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defaultThemeVersion="124226"/>
  <bookViews>
    <workbookView xWindow="11460" yWindow="-15" windowWidth="11445" windowHeight="12645" tabRatio="864" firstSheet="4" activeTab="6"/>
  </bookViews>
  <sheets>
    <sheet name="NOTES" sheetId="29" r:id="rId1"/>
    <sheet name="Formulae" sheetId="1" r:id="rId2"/>
    <sheet name="Model update" sheetId="4" r:id="rId3"/>
    <sheet name="Metering" sheetId="28" r:id="rId4"/>
    <sheet name="Prop2018DistTar" sheetId="5" r:id="rId5"/>
    <sheet name="Vol" sheetId="35" r:id="rId6"/>
    <sheet name="2018DistRevCapForm" sheetId="2" r:id="rId7"/>
    <sheet name="2018DistTarRebalCont" sheetId="9" r:id="rId8"/>
    <sheet name="Est2017DistRev" sheetId="13" r:id="rId9"/>
    <sheet name="Prop2018TransTar" sheetId="15" r:id="rId10"/>
    <sheet name="Est2017TransRev" sheetId="14" r:id="rId11"/>
    <sheet name="2018TransRevCont" sheetId="23" r:id="rId12"/>
    <sheet name="TUoS cost audit template" sheetId="20" r:id="rId13"/>
    <sheet name="Prop2018JSTar" sheetId="17" r:id="rId14"/>
    <sheet name="Est2017JSRev" sheetId="18" r:id="rId15"/>
    <sheet name="2018JSRevCont" sheetId="27" r:id="rId16"/>
    <sheet name="JS cost audit template" sheetId="24" r:id="rId17"/>
    <sheet name="Prop2018TSSComp" sheetId="32" r:id="rId18"/>
  </sheets>
  <definedNames>
    <definedName name="_xlnm._FilterDatabase" localSheetId="6" hidden="1">'2018DistRevCapForm'!$B$28:$C$38</definedName>
    <definedName name="_xlnm._FilterDatabase" localSheetId="7" hidden="1">'2018DistTarRebalCont'!$B$38:$DO$98</definedName>
  </definedNames>
  <calcPr calcId="145621" iterate="1"/>
</workbook>
</file>

<file path=xl/calcChain.xml><?xml version="1.0" encoding="utf-8"?>
<calcChain xmlns="http://schemas.openxmlformats.org/spreadsheetml/2006/main">
  <c r="CO43" i="5" l="1"/>
  <c r="DJ43" i="5" s="1"/>
  <c r="CP43" i="5"/>
  <c r="CQ43" i="5"/>
  <c r="CR43" i="5"/>
  <c r="CS43" i="5"/>
  <c r="CT43" i="5"/>
  <c r="CU43" i="5"/>
  <c r="CV43" i="5"/>
  <c r="CW43" i="5"/>
  <c r="CX43" i="5"/>
  <c r="CY43" i="5"/>
  <c r="CZ43" i="5"/>
  <c r="DA43" i="5"/>
  <c r="DB43" i="5"/>
  <c r="DC43" i="5"/>
  <c r="DD43" i="5"/>
  <c r="DE43" i="5"/>
  <c r="DF43" i="5"/>
  <c r="DG43" i="5"/>
  <c r="DH43" i="5"/>
  <c r="DI43" i="5"/>
  <c r="CO44" i="5"/>
  <c r="DJ44" i="5" s="1"/>
  <c r="CP44" i="5"/>
  <c r="CQ44" i="5"/>
  <c r="CR44" i="5"/>
  <c r="CS44" i="5"/>
  <c r="CT44" i="5"/>
  <c r="CU44" i="5"/>
  <c r="CV44" i="5"/>
  <c r="CW44" i="5"/>
  <c r="CX44" i="5"/>
  <c r="CY44" i="5"/>
  <c r="CZ44" i="5"/>
  <c r="DA44" i="5"/>
  <c r="DB44" i="5"/>
  <c r="DC44" i="5"/>
  <c r="DD44" i="5"/>
  <c r="DE44" i="5"/>
  <c r="DF44" i="5"/>
  <c r="DG44" i="5"/>
  <c r="DH44" i="5"/>
  <c r="DI44" i="5"/>
  <c r="CO45" i="5"/>
  <c r="DJ45" i="5" s="1"/>
  <c r="CP45" i="5"/>
  <c r="CQ45" i="5"/>
  <c r="CR45" i="5"/>
  <c r="CS45" i="5"/>
  <c r="CT45" i="5"/>
  <c r="CU45" i="5"/>
  <c r="CV45" i="5"/>
  <c r="CW45" i="5"/>
  <c r="CX45" i="5"/>
  <c r="CY45" i="5"/>
  <c r="CZ45" i="5"/>
  <c r="DA45" i="5"/>
  <c r="DB45" i="5"/>
  <c r="DC45" i="5"/>
  <c r="DD45" i="5"/>
  <c r="DE45" i="5"/>
  <c r="DF45" i="5"/>
  <c r="DG45" i="5"/>
  <c r="DH45" i="5"/>
  <c r="DI45" i="5"/>
  <c r="CO46" i="5"/>
  <c r="DJ46" i="5" s="1"/>
  <c r="CP46" i="5"/>
  <c r="CQ46" i="5"/>
  <c r="CR46" i="5"/>
  <c r="CS46" i="5"/>
  <c r="CT46" i="5"/>
  <c r="CU46" i="5"/>
  <c r="CV46" i="5"/>
  <c r="CW46" i="5"/>
  <c r="CX46" i="5"/>
  <c r="CY46" i="5"/>
  <c r="CZ46" i="5"/>
  <c r="DA46" i="5"/>
  <c r="DB46" i="5"/>
  <c r="DC46" i="5"/>
  <c r="DD46" i="5"/>
  <c r="DE46" i="5"/>
  <c r="DF46" i="5"/>
  <c r="DG46" i="5"/>
  <c r="DH46" i="5"/>
  <c r="DI46" i="5"/>
  <c r="CO47" i="5"/>
  <c r="DJ47" i="5" s="1"/>
  <c r="CP47" i="5"/>
  <c r="CQ47" i="5"/>
  <c r="CR47" i="5"/>
  <c r="CS47" i="5"/>
  <c r="CT47" i="5"/>
  <c r="CU47" i="5"/>
  <c r="CV47" i="5"/>
  <c r="CW47" i="5"/>
  <c r="CX47" i="5"/>
  <c r="CY47" i="5"/>
  <c r="CZ47" i="5"/>
  <c r="DA47" i="5"/>
  <c r="DB47" i="5"/>
  <c r="DC47" i="5"/>
  <c r="DD47" i="5"/>
  <c r="DE47" i="5"/>
  <c r="DF47" i="5"/>
  <c r="DG47" i="5"/>
  <c r="DH47" i="5"/>
  <c r="DI47" i="5"/>
  <c r="CO48" i="5"/>
  <c r="DJ48" i="5" s="1"/>
  <c r="CP48" i="5"/>
  <c r="CQ48" i="5"/>
  <c r="CR48" i="5"/>
  <c r="CS48" i="5"/>
  <c r="CT48" i="5"/>
  <c r="CU48" i="5"/>
  <c r="CV48" i="5"/>
  <c r="CW48" i="5"/>
  <c r="CX48" i="5"/>
  <c r="CY48" i="5"/>
  <c r="CZ48" i="5"/>
  <c r="DA48" i="5"/>
  <c r="DB48" i="5"/>
  <c r="DC48" i="5"/>
  <c r="DD48" i="5"/>
  <c r="DE48" i="5"/>
  <c r="DF48" i="5"/>
  <c r="DG48" i="5"/>
  <c r="DH48" i="5"/>
  <c r="DI48" i="5"/>
  <c r="CO49" i="5"/>
  <c r="DJ49" i="5" s="1"/>
  <c r="CP49" i="5"/>
  <c r="CQ49" i="5"/>
  <c r="CR49" i="5"/>
  <c r="CS49" i="5"/>
  <c r="CT49" i="5"/>
  <c r="CU49" i="5"/>
  <c r="CV49" i="5"/>
  <c r="CW49" i="5"/>
  <c r="CX49" i="5"/>
  <c r="CY49" i="5"/>
  <c r="CZ49" i="5"/>
  <c r="DA49" i="5"/>
  <c r="DB49" i="5"/>
  <c r="DC49" i="5"/>
  <c r="DD49" i="5"/>
  <c r="DE49" i="5"/>
  <c r="DF49" i="5"/>
  <c r="DG49" i="5"/>
  <c r="DH49" i="5"/>
  <c r="DI49" i="5"/>
  <c r="CO50" i="5"/>
  <c r="DJ50" i="5" s="1"/>
  <c r="CP50" i="5"/>
  <c r="CQ50" i="5"/>
  <c r="CR50" i="5"/>
  <c r="CS50" i="5"/>
  <c r="CT50" i="5"/>
  <c r="CU50" i="5"/>
  <c r="CV50" i="5"/>
  <c r="CW50" i="5"/>
  <c r="CX50" i="5"/>
  <c r="CY50" i="5"/>
  <c r="CZ50" i="5"/>
  <c r="DA50" i="5"/>
  <c r="DB50" i="5"/>
  <c r="DC50" i="5"/>
  <c r="DD50" i="5"/>
  <c r="DE50" i="5"/>
  <c r="DF50" i="5"/>
  <c r="DG50" i="5"/>
  <c r="DH50" i="5"/>
  <c r="DI50" i="5"/>
  <c r="CO51" i="5"/>
  <c r="DJ51" i="5" s="1"/>
  <c r="CP51" i="5"/>
  <c r="CQ51" i="5"/>
  <c r="CR51" i="5"/>
  <c r="CS51" i="5"/>
  <c r="CT51" i="5"/>
  <c r="CU51" i="5"/>
  <c r="CV51" i="5"/>
  <c r="CW51" i="5"/>
  <c r="CX51" i="5"/>
  <c r="CY51" i="5"/>
  <c r="CZ51" i="5"/>
  <c r="DA51" i="5"/>
  <c r="DB51" i="5"/>
  <c r="DC51" i="5"/>
  <c r="DD51" i="5"/>
  <c r="DE51" i="5"/>
  <c r="DF51" i="5"/>
  <c r="DG51" i="5"/>
  <c r="DH51" i="5"/>
  <c r="DI51" i="5"/>
  <c r="CO52" i="5"/>
  <c r="DJ52" i="5" s="1"/>
  <c r="CP52" i="5"/>
  <c r="CQ52" i="5"/>
  <c r="CR52" i="5"/>
  <c r="CS52" i="5"/>
  <c r="CT52" i="5"/>
  <c r="CU52" i="5"/>
  <c r="CV52" i="5"/>
  <c r="CW52" i="5"/>
  <c r="CX52" i="5"/>
  <c r="CY52" i="5"/>
  <c r="CZ52" i="5"/>
  <c r="DA52" i="5"/>
  <c r="DB52" i="5"/>
  <c r="DC52" i="5"/>
  <c r="DD52" i="5"/>
  <c r="DE52" i="5"/>
  <c r="DF52" i="5"/>
  <c r="DG52" i="5"/>
  <c r="DH52" i="5"/>
  <c r="DI52" i="5"/>
  <c r="CO53" i="5"/>
  <c r="DJ53" i="5" s="1"/>
  <c r="CP53" i="5"/>
  <c r="CQ53" i="5"/>
  <c r="CR53" i="5"/>
  <c r="CS53" i="5"/>
  <c r="CT53" i="5"/>
  <c r="CU53" i="5"/>
  <c r="CV53" i="5"/>
  <c r="CW53" i="5"/>
  <c r="CX53" i="5"/>
  <c r="CY53" i="5"/>
  <c r="CZ53" i="5"/>
  <c r="DA53" i="5"/>
  <c r="DB53" i="5"/>
  <c r="DC53" i="5"/>
  <c r="DD53" i="5"/>
  <c r="DE53" i="5"/>
  <c r="DF53" i="5"/>
  <c r="DG53" i="5"/>
  <c r="DH53" i="5"/>
  <c r="DI53" i="5"/>
  <c r="P66" i="35"/>
  <c r="O66"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7" i="35"/>
  <c r="J66" i="35"/>
  <c r="N66" i="35"/>
  <c r="R66" i="35"/>
  <c r="V66" i="35"/>
  <c r="H66" i="35"/>
  <c r="L66" i="35"/>
  <c r="T66" i="35"/>
  <c r="X66" i="35"/>
  <c r="K66" i="35"/>
  <c r="S66" i="35"/>
  <c r="W66" i="35"/>
  <c r="E66" i="35"/>
  <c r="D4" i="35"/>
  <c r="U66" i="35"/>
  <c r="Q66" i="35"/>
  <c r="M66" i="35"/>
  <c r="G66" i="35"/>
  <c r="B1" i="35"/>
  <c r="I66" i="35" l="1"/>
  <c r="F66" i="35"/>
  <c r="D66"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7" i="32"/>
  <c r="C37" i="32" l="1"/>
  <c r="C36" i="32"/>
  <c r="C8" i="32"/>
  <c r="C9" i="32"/>
  <c r="C10" i="32"/>
  <c r="C11" i="32"/>
  <c r="C12" i="32"/>
  <c r="C13" i="32"/>
  <c r="C14" i="32"/>
  <c r="C15" i="32"/>
  <c r="C16" i="32"/>
  <c r="C17" i="32"/>
  <c r="C18" i="32"/>
  <c r="C19" i="32"/>
  <c r="C20" i="32"/>
  <c r="C21" i="32"/>
  <c r="C22" i="32"/>
  <c r="C23" i="32"/>
  <c r="C24" i="32"/>
  <c r="C25" i="32"/>
  <c r="C26" i="32"/>
  <c r="C27" i="32"/>
  <c r="C28" i="32"/>
  <c r="C29" i="32"/>
  <c r="C30" i="32"/>
  <c r="C31" i="32"/>
  <c r="C32" i="32"/>
  <c r="C33" i="32"/>
  <c r="C34" i="32"/>
  <c r="C35" i="32"/>
  <c r="C38" i="32"/>
  <c r="C39" i="32"/>
  <c r="C40" i="32"/>
  <c r="C41" i="32"/>
  <c r="C42" i="32"/>
  <c r="C7" i="32"/>
  <c r="D8" i="32"/>
  <c r="E8" i="32"/>
  <c r="F8" i="32"/>
  <c r="G8" i="32"/>
  <c r="H8" i="32"/>
  <c r="I8" i="32"/>
  <c r="BB8" i="32" s="1"/>
  <c r="J8" i="32"/>
  <c r="BC8" i="32" s="1"/>
  <c r="K8" i="32"/>
  <c r="BD8" i="32" s="1"/>
  <c r="L8" i="32"/>
  <c r="M8" i="32"/>
  <c r="N8" i="32"/>
  <c r="BG8" i="32" s="1"/>
  <c r="O8" i="32"/>
  <c r="BH8" i="32" s="1"/>
  <c r="P8" i="32"/>
  <c r="Q8" i="32"/>
  <c r="BJ8" i="32" s="1"/>
  <c r="R8" i="32"/>
  <c r="BK8" i="32" s="1"/>
  <c r="S8" i="32"/>
  <c r="BL8" i="32" s="1"/>
  <c r="T8" i="32"/>
  <c r="U8" i="32"/>
  <c r="V8" i="32"/>
  <c r="BO8" i="32" s="1"/>
  <c r="W8" i="32"/>
  <c r="BP8" i="32" s="1"/>
  <c r="X8" i="32"/>
  <c r="D9" i="32"/>
  <c r="E9" i="32"/>
  <c r="AX9" i="32" s="1"/>
  <c r="F9" i="32"/>
  <c r="AY9" i="32" s="1"/>
  <c r="G9" i="32"/>
  <c r="H9" i="32"/>
  <c r="BA9" i="32" s="1"/>
  <c r="I9" i="32"/>
  <c r="BB9" i="32" s="1"/>
  <c r="J9" i="32"/>
  <c r="BC9" i="32" s="1"/>
  <c r="K9" i="32"/>
  <c r="L9" i="32"/>
  <c r="M9" i="32"/>
  <c r="N9" i="32"/>
  <c r="O9" i="32"/>
  <c r="P9" i="32"/>
  <c r="Q9" i="32"/>
  <c r="BJ9" i="32" s="1"/>
  <c r="R9" i="32"/>
  <c r="BK9" i="32" s="1"/>
  <c r="S9" i="32"/>
  <c r="T9" i="32"/>
  <c r="BM9" i="32" s="1"/>
  <c r="U9" i="32"/>
  <c r="V9" i="32"/>
  <c r="BO9" i="32" s="1"/>
  <c r="W9" i="32"/>
  <c r="X9" i="32"/>
  <c r="D10" i="32"/>
  <c r="AW10" i="32" s="1"/>
  <c r="E10" i="32"/>
  <c r="AX10" i="32" s="1"/>
  <c r="F10" i="32"/>
  <c r="G10" i="32"/>
  <c r="H10" i="32"/>
  <c r="BA10" i="32" s="1"/>
  <c r="I10" i="32"/>
  <c r="BB10" i="32" s="1"/>
  <c r="J10" i="32"/>
  <c r="K10" i="32"/>
  <c r="BD10" i="32" s="1"/>
  <c r="L10" i="32"/>
  <c r="M10" i="32"/>
  <c r="BF10" i="32" s="1"/>
  <c r="N10" i="32"/>
  <c r="O10" i="32"/>
  <c r="BH10" i="32" s="1"/>
  <c r="P10" i="32"/>
  <c r="BI10" i="32" s="1"/>
  <c r="Q10" i="32"/>
  <c r="BJ10" i="32" s="1"/>
  <c r="R10" i="32"/>
  <c r="S10" i="32"/>
  <c r="T10" i="32"/>
  <c r="U10" i="32"/>
  <c r="BN10" i="32" s="1"/>
  <c r="V10" i="32"/>
  <c r="W10" i="32"/>
  <c r="X10" i="32"/>
  <c r="BQ10" i="32" s="1"/>
  <c r="D11" i="32"/>
  <c r="AW11" i="32" s="1"/>
  <c r="E11" i="32"/>
  <c r="F11" i="32"/>
  <c r="AY11" i="32" s="1"/>
  <c r="G11" i="32"/>
  <c r="AZ11" i="32" s="1"/>
  <c r="H11" i="32"/>
  <c r="BA11" i="32" s="1"/>
  <c r="I11" i="32"/>
  <c r="J11" i="32"/>
  <c r="K11" i="32"/>
  <c r="BD11" i="32" s="1"/>
  <c r="L11" i="32"/>
  <c r="BE11" i="32" s="1"/>
  <c r="M11" i="32"/>
  <c r="N11" i="32"/>
  <c r="BG11" i="32" s="1"/>
  <c r="O11" i="32"/>
  <c r="BH11" i="32" s="1"/>
  <c r="P11" i="32"/>
  <c r="BI11" i="32" s="1"/>
  <c r="Q11" i="32"/>
  <c r="R11" i="32"/>
  <c r="S11" i="32"/>
  <c r="BL11" i="32" s="1"/>
  <c r="T11" i="32"/>
  <c r="BM11" i="32" s="1"/>
  <c r="U11" i="32"/>
  <c r="V11" i="32"/>
  <c r="BO11" i="32" s="1"/>
  <c r="W11" i="32"/>
  <c r="BP11" i="32" s="1"/>
  <c r="X11" i="32"/>
  <c r="D12" i="32"/>
  <c r="E12" i="32"/>
  <c r="F12" i="32"/>
  <c r="AY12" i="32" s="1"/>
  <c r="G12" i="32"/>
  <c r="H12" i="32"/>
  <c r="I12" i="32"/>
  <c r="BB12" i="32" s="1"/>
  <c r="J12" i="32"/>
  <c r="BC12" i="32" s="1"/>
  <c r="K12" i="32"/>
  <c r="BD12" i="32" s="1"/>
  <c r="L12" i="32"/>
  <c r="M12" i="32"/>
  <c r="N12" i="32"/>
  <c r="BG12" i="32" s="1"/>
  <c r="O12" i="32"/>
  <c r="BH12" i="32" s="1"/>
  <c r="P12" i="32"/>
  <c r="Q12" i="32"/>
  <c r="BJ12" i="32" s="1"/>
  <c r="R12" i="32"/>
  <c r="S12" i="32"/>
  <c r="BL12" i="32" s="1"/>
  <c r="T12" i="32"/>
  <c r="U12" i="32"/>
  <c r="BN12" i="32" s="1"/>
  <c r="V12" i="32"/>
  <c r="BO12" i="32" s="1"/>
  <c r="W12" i="32"/>
  <c r="X12" i="32"/>
  <c r="D13" i="32"/>
  <c r="AW13" i="32" s="1"/>
  <c r="E13" i="32"/>
  <c r="AX13" i="32" s="1"/>
  <c r="F13" i="32"/>
  <c r="G13" i="32"/>
  <c r="H13" i="32"/>
  <c r="BA13" i="32" s="1"/>
  <c r="I13" i="32"/>
  <c r="BB13" i="32" s="1"/>
  <c r="J13" i="32"/>
  <c r="BC13" i="32" s="1"/>
  <c r="K13" i="32"/>
  <c r="L13" i="32"/>
  <c r="M13" i="32"/>
  <c r="BF13" i="32" s="1"/>
  <c r="N13" i="32"/>
  <c r="BG13" i="32" s="1"/>
  <c r="O13" i="32"/>
  <c r="P13" i="32"/>
  <c r="BI13" i="32" s="1"/>
  <c r="Q13" i="32"/>
  <c r="R13" i="32"/>
  <c r="S13" i="32"/>
  <c r="T13" i="32"/>
  <c r="U13" i="32"/>
  <c r="BN13" i="32" s="1"/>
  <c r="V13" i="32"/>
  <c r="BO13" i="32" s="1"/>
  <c r="W13" i="32"/>
  <c r="X13" i="32"/>
  <c r="BQ13" i="32" s="1"/>
  <c r="D14" i="32"/>
  <c r="AW14" i="32" s="1"/>
  <c r="E14" i="32"/>
  <c r="AX14" i="32" s="1"/>
  <c r="F14" i="32"/>
  <c r="G14" i="32"/>
  <c r="H14" i="32"/>
  <c r="BA14" i="32" s="1"/>
  <c r="I14" i="32"/>
  <c r="BB14" i="32" s="1"/>
  <c r="J14" i="32"/>
  <c r="K14" i="32"/>
  <c r="BD14" i="32" s="1"/>
  <c r="L14" i="32"/>
  <c r="BE14" i="32" s="1"/>
  <c r="M14" i="32"/>
  <c r="BF14" i="32" s="1"/>
  <c r="N14" i="32"/>
  <c r="O14" i="32"/>
  <c r="P14" i="32"/>
  <c r="BI14" i="32" s="1"/>
  <c r="Q14" i="32"/>
  <c r="BJ14" i="32" s="1"/>
  <c r="R14" i="32"/>
  <c r="S14" i="32"/>
  <c r="BL14" i="32" s="1"/>
  <c r="T14" i="32"/>
  <c r="BM14" i="32" s="1"/>
  <c r="U14" i="32"/>
  <c r="V14" i="32"/>
  <c r="W14" i="32"/>
  <c r="X14" i="32"/>
  <c r="BQ14" i="32" s="1"/>
  <c r="D15" i="32"/>
  <c r="AW15" i="32" s="1"/>
  <c r="E15" i="32"/>
  <c r="F15" i="32"/>
  <c r="G15" i="32"/>
  <c r="AZ15" i="32" s="1"/>
  <c r="H15" i="32"/>
  <c r="BA15" i="32" s="1"/>
  <c r="I15" i="32"/>
  <c r="J15" i="32"/>
  <c r="BC15" i="32" s="1"/>
  <c r="K15" i="32"/>
  <c r="BD15" i="32" s="1"/>
  <c r="L15" i="32"/>
  <c r="BE15" i="32" s="1"/>
  <c r="M15" i="32"/>
  <c r="N15" i="32"/>
  <c r="O15" i="32"/>
  <c r="P15" i="32"/>
  <c r="BI15" i="32" s="1"/>
  <c r="Q15" i="32"/>
  <c r="R15" i="32"/>
  <c r="S15" i="32"/>
  <c r="BL15" i="32" s="1"/>
  <c r="T15" i="32"/>
  <c r="BM15" i="32" s="1"/>
  <c r="U15" i="32"/>
  <c r="V15" i="32"/>
  <c r="BO15" i="32" s="1"/>
  <c r="W15" i="32"/>
  <c r="BP15" i="32" s="1"/>
  <c r="X15" i="32"/>
  <c r="BQ15" i="32" s="1"/>
  <c r="D16" i="32"/>
  <c r="E16" i="32"/>
  <c r="AX16" i="32" s="1"/>
  <c r="F16" i="32"/>
  <c r="AY16" i="32" s="1"/>
  <c r="G16" i="32"/>
  <c r="AZ16" i="32" s="1"/>
  <c r="H16" i="32"/>
  <c r="I16" i="32"/>
  <c r="J16" i="32"/>
  <c r="BC16" i="32" s="1"/>
  <c r="K16" i="32"/>
  <c r="BD16" i="32" s="1"/>
  <c r="L16" i="32"/>
  <c r="M16" i="32"/>
  <c r="BF16" i="32" s="1"/>
  <c r="N16" i="32"/>
  <c r="BG16" i="32" s="1"/>
  <c r="O16" i="32"/>
  <c r="BH16" i="32" s="1"/>
  <c r="P16" i="32"/>
  <c r="Q16" i="32"/>
  <c r="R16" i="32"/>
  <c r="S16" i="32"/>
  <c r="BL16" i="32" s="1"/>
  <c r="T16" i="32"/>
  <c r="U16" i="32"/>
  <c r="V16" i="32"/>
  <c r="BO16" i="32" s="1"/>
  <c r="W16" i="32"/>
  <c r="BP16" i="32" s="1"/>
  <c r="X16" i="32"/>
  <c r="D17" i="32"/>
  <c r="E17" i="32"/>
  <c r="F17" i="32"/>
  <c r="AY17" i="32" s="1"/>
  <c r="G17" i="32"/>
  <c r="H17" i="32"/>
  <c r="I17" i="32"/>
  <c r="BB17" i="32" s="1"/>
  <c r="J17" i="32"/>
  <c r="BC17" i="32" s="1"/>
  <c r="K17" i="32"/>
  <c r="L17" i="32"/>
  <c r="BE17" i="32" s="1"/>
  <c r="M17" i="32"/>
  <c r="BF17" i="32" s="1"/>
  <c r="N17" i="32"/>
  <c r="BG17" i="32" s="1"/>
  <c r="O17" i="32"/>
  <c r="P17" i="32"/>
  <c r="Q17" i="32"/>
  <c r="BJ17" i="32" s="1"/>
  <c r="R17" i="32"/>
  <c r="BK17" i="32" s="1"/>
  <c r="S17" i="32"/>
  <c r="T17" i="32"/>
  <c r="BM17" i="32" s="1"/>
  <c r="U17" i="32"/>
  <c r="BN17" i="32" s="1"/>
  <c r="V17" i="32"/>
  <c r="BO17" i="32" s="1"/>
  <c r="W17" i="32"/>
  <c r="X17" i="32"/>
  <c r="D18" i="32"/>
  <c r="AW18" i="32" s="1"/>
  <c r="E18" i="32"/>
  <c r="AX18" i="32" s="1"/>
  <c r="F18" i="32"/>
  <c r="G18" i="32"/>
  <c r="H18" i="32"/>
  <c r="BA18" i="32" s="1"/>
  <c r="I18" i="32"/>
  <c r="BB18" i="32" s="1"/>
  <c r="J18" i="32"/>
  <c r="K18" i="32"/>
  <c r="BD18" i="32" s="1"/>
  <c r="L18" i="32"/>
  <c r="M18" i="32"/>
  <c r="BF18" i="32" s="1"/>
  <c r="N18" i="32"/>
  <c r="O18" i="32"/>
  <c r="BH18" i="32" s="1"/>
  <c r="P18" i="32"/>
  <c r="BI18" i="32" s="1"/>
  <c r="Q18" i="32"/>
  <c r="BJ18" i="32" s="1"/>
  <c r="R18" i="32"/>
  <c r="S18" i="32"/>
  <c r="T18" i="32"/>
  <c r="BM18" i="32" s="1"/>
  <c r="U18" i="32"/>
  <c r="BN18" i="32" s="1"/>
  <c r="V18" i="32"/>
  <c r="W18" i="32"/>
  <c r="BP18" i="32" s="1"/>
  <c r="X18" i="32"/>
  <c r="BQ18" i="32" s="1"/>
  <c r="D19" i="32"/>
  <c r="AW19" i="32" s="1"/>
  <c r="E19" i="32"/>
  <c r="F19" i="32"/>
  <c r="G19" i="32"/>
  <c r="AZ19" i="32" s="1"/>
  <c r="H19" i="32"/>
  <c r="BA19" i="32" s="1"/>
  <c r="I19" i="32"/>
  <c r="J19" i="32"/>
  <c r="BC19" i="32" s="1"/>
  <c r="K19" i="32"/>
  <c r="BD19" i="32" s="1"/>
  <c r="L19" i="32"/>
  <c r="M19" i="32"/>
  <c r="N19" i="32"/>
  <c r="BG19" i="32" s="1"/>
  <c r="O19" i="32"/>
  <c r="BH19" i="32" s="1"/>
  <c r="P19" i="32"/>
  <c r="BI19" i="32" s="1"/>
  <c r="Q19" i="32"/>
  <c r="R19" i="32"/>
  <c r="S19" i="32"/>
  <c r="T19" i="32"/>
  <c r="BM19" i="32" s="1"/>
  <c r="U19" i="32"/>
  <c r="V19" i="32"/>
  <c r="W19" i="32"/>
  <c r="BP19" i="32" s="1"/>
  <c r="X19" i="32"/>
  <c r="BQ19" i="32" s="1"/>
  <c r="D20" i="32"/>
  <c r="E20" i="32"/>
  <c r="AX20" i="32" s="1"/>
  <c r="F20" i="32"/>
  <c r="AY20" i="32" s="1"/>
  <c r="G20" i="32"/>
  <c r="AZ20" i="32" s="1"/>
  <c r="H20" i="32"/>
  <c r="I20" i="32"/>
  <c r="J20" i="32"/>
  <c r="BC20" i="32" s="1"/>
  <c r="K20" i="32"/>
  <c r="BD20" i="32" s="1"/>
  <c r="L20" i="32"/>
  <c r="M20" i="32"/>
  <c r="BF20" i="32" s="1"/>
  <c r="N20" i="32"/>
  <c r="O20" i="32"/>
  <c r="BH20" i="32" s="1"/>
  <c r="P20" i="32"/>
  <c r="Q20" i="32"/>
  <c r="BJ20" i="32" s="1"/>
  <c r="R20" i="32"/>
  <c r="BK20" i="32" s="1"/>
  <c r="S20" i="32"/>
  <c r="BL20" i="32" s="1"/>
  <c r="T20" i="32"/>
  <c r="U20" i="32"/>
  <c r="V20" i="32"/>
  <c r="BO20" i="32" s="1"/>
  <c r="W20" i="32"/>
  <c r="BP20" i="32" s="1"/>
  <c r="X20" i="32"/>
  <c r="D21" i="32"/>
  <c r="E21" i="32"/>
  <c r="AX21" i="32" s="1"/>
  <c r="F21" i="32"/>
  <c r="AY21" i="32" s="1"/>
  <c r="G21" i="32"/>
  <c r="H21" i="32"/>
  <c r="BA21" i="32" s="1"/>
  <c r="I21" i="32"/>
  <c r="BB21" i="32" s="1"/>
  <c r="J21" i="32"/>
  <c r="BC21" i="32" s="1"/>
  <c r="K21" i="32"/>
  <c r="L21" i="32"/>
  <c r="M21" i="32"/>
  <c r="BF21" i="32" s="1"/>
  <c r="N21" i="32"/>
  <c r="BG21" i="32" s="1"/>
  <c r="O21" i="32"/>
  <c r="P21" i="32"/>
  <c r="BI21" i="32" s="1"/>
  <c r="Q21" i="32"/>
  <c r="BJ21" i="32" s="1"/>
  <c r="R21" i="32"/>
  <c r="BK21" i="32" s="1"/>
  <c r="S21" i="32"/>
  <c r="T21" i="32"/>
  <c r="U21" i="32"/>
  <c r="BN21" i="32" s="1"/>
  <c r="V21" i="32"/>
  <c r="BO21" i="32" s="1"/>
  <c r="W21" i="32"/>
  <c r="X21" i="32"/>
  <c r="BQ21" i="32" s="1"/>
  <c r="D22" i="32"/>
  <c r="AW22" i="32" s="1"/>
  <c r="E22" i="32"/>
  <c r="F22" i="32"/>
  <c r="G22" i="32"/>
  <c r="H22" i="32"/>
  <c r="BA22" i="32" s="1"/>
  <c r="I22" i="32"/>
  <c r="BB22" i="32" s="1"/>
  <c r="J22" i="32"/>
  <c r="K22" i="32"/>
  <c r="BD22" i="32" s="1"/>
  <c r="L22" i="32"/>
  <c r="BE22" i="32" s="1"/>
  <c r="M22" i="32"/>
  <c r="BF22" i="32" s="1"/>
  <c r="N22" i="32"/>
  <c r="O22" i="32"/>
  <c r="P22" i="32"/>
  <c r="BI22" i="32" s="1"/>
  <c r="Q22" i="32"/>
  <c r="BJ22" i="32" s="1"/>
  <c r="R22" i="32"/>
  <c r="S22" i="32"/>
  <c r="BL22" i="32" s="1"/>
  <c r="T22" i="32"/>
  <c r="BM22" i="32" s="1"/>
  <c r="U22" i="32"/>
  <c r="BN22" i="32" s="1"/>
  <c r="V22" i="32"/>
  <c r="W22" i="32"/>
  <c r="X22" i="32"/>
  <c r="BQ22" i="32" s="1"/>
  <c r="D23" i="32"/>
  <c r="AW23" i="32" s="1"/>
  <c r="E23" i="32"/>
  <c r="F23" i="32"/>
  <c r="G23" i="32"/>
  <c r="AZ23" i="32" s="1"/>
  <c r="H23" i="32"/>
  <c r="BA23" i="32" s="1"/>
  <c r="I23" i="32"/>
  <c r="J23" i="32"/>
  <c r="BC23" i="32" s="1"/>
  <c r="K23" i="32"/>
  <c r="BD23" i="32" s="1"/>
  <c r="L23" i="32"/>
  <c r="BE23" i="32" s="1"/>
  <c r="M23" i="32"/>
  <c r="N23" i="32"/>
  <c r="O23" i="32"/>
  <c r="BH23" i="32" s="1"/>
  <c r="P23" i="32"/>
  <c r="BI23" i="32" s="1"/>
  <c r="Q23" i="32"/>
  <c r="R23" i="32"/>
  <c r="BK23" i="32" s="1"/>
  <c r="S23" i="32"/>
  <c r="BL23" i="32" s="1"/>
  <c r="T23" i="32"/>
  <c r="BM23" i="32" s="1"/>
  <c r="U23" i="32"/>
  <c r="V23" i="32"/>
  <c r="W23" i="32"/>
  <c r="BP23" i="32" s="1"/>
  <c r="X23" i="32"/>
  <c r="BQ23" i="32" s="1"/>
  <c r="D24" i="32"/>
  <c r="E24" i="32"/>
  <c r="AX24" i="32" s="1"/>
  <c r="F24" i="32"/>
  <c r="AY24" i="32" s="1"/>
  <c r="G24" i="32"/>
  <c r="AZ24" i="32" s="1"/>
  <c r="H24" i="32"/>
  <c r="I24" i="32"/>
  <c r="J24" i="32"/>
  <c r="BC24" i="32" s="1"/>
  <c r="K24" i="32"/>
  <c r="BD24" i="32" s="1"/>
  <c r="L24" i="32"/>
  <c r="M24" i="32"/>
  <c r="BF24" i="32" s="1"/>
  <c r="N24" i="32"/>
  <c r="BG24" i="32" s="1"/>
  <c r="O24" i="32"/>
  <c r="BH24" i="32" s="1"/>
  <c r="P24" i="32"/>
  <c r="Q24" i="32"/>
  <c r="R24" i="32"/>
  <c r="BK24" i="32" s="1"/>
  <c r="S24" i="32"/>
  <c r="BL24" i="32" s="1"/>
  <c r="T24" i="32"/>
  <c r="U24" i="32"/>
  <c r="BN24" i="32" s="1"/>
  <c r="V24" i="32"/>
  <c r="BO24" i="32" s="1"/>
  <c r="W24" i="32"/>
  <c r="BP24" i="32" s="1"/>
  <c r="X24" i="32"/>
  <c r="D25" i="32"/>
  <c r="AW25" i="32" s="1"/>
  <c r="E25" i="32"/>
  <c r="AX25" i="32" s="1"/>
  <c r="F25" i="32"/>
  <c r="AY25" i="32" s="1"/>
  <c r="G25" i="32"/>
  <c r="H25" i="32"/>
  <c r="I25" i="32"/>
  <c r="BB25" i="32" s="1"/>
  <c r="J25" i="32"/>
  <c r="BC25" i="32" s="1"/>
  <c r="K25" i="32"/>
  <c r="L25" i="32"/>
  <c r="BE25" i="32" s="1"/>
  <c r="M25" i="32"/>
  <c r="BF25" i="32" s="1"/>
  <c r="N25" i="32"/>
  <c r="BG25" i="32" s="1"/>
  <c r="O25" i="32"/>
  <c r="P25" i="32"/>
  <c r="Q25" i="32"/>
  <c r="BJ25" i="32" s="1"/>
  <c r="R25" i="32"/>
  <c r="BK25" i="32" s="1"/>
  <c r="S25" i="32"/>
  <c r="T25" i="32"/>
  <c r="BM25" i="32" s="1"/>
  <c r="U25" i="32"/>
  <c r="BN25" i="32" s="1"/>
  <c r="V25" i="32"/>
  <c r="BO25" i="32" s="1"/>
  <c r="W25" i="32"/>
  <c r="X25" i="32"/>
  <c r="D26" i="32"/>
  <c r="AW26" i="32" s="1"/>
  <c r="E26" i="32"/>
  <c r="AX26" i="32" s="1"/>
  <c r="F26" i="32"/>
  <c r="G26" i="32"/>
  <c r="H26" i="32"/>
  <c r="BA26" i="32" s="1"/>
  <c r="I26" i="32"/>
  <c r="BB26" i="32" s="1"/>
  <c r="J26" i="32"/>
  <c r="K26" i="32"/>
  <c r="BD26" i="32" s="1"/>
  <c r="L26" i="32"/>
  <c r="BE26" i="32" s="1"/>
  <c r="M26" i="32"/>
  <c r="BF26" i="32" s="1"/>
  <c r="N26" i="32"/>
  <c r="O26" i="32"/>
  <c r="P26" i="32"/>
  <c r="BI26" i="32" s="1"/>
  <c r="Q26" i="32"/>
  <c r="BJ26" i="32" s="1"/>
  <c r="R26" i="32"/>
  <c r="S26" i="32"/>
  <c r="BL26" i="32" s="1"/>
  <c r="T26" i="32"/>
  <c r="BM26" i="32" s="1"/>
  <c r="U26" i="32"/>
  <c r="BN26" i="32" s="1"/>
  <c r="V26" i="32"/>
  <c r="W26" i="32"/>
  <c r="X26" i="32"/>
  <c r="BQ26" i="32" s="1"/>
  <c r="D27" i="32"/>
  <c r="E27" i="32"/>
  <c r="F27" i="32"/>
  <c r="AY27" i="32" s="1"/>
  <c r="G27" i="32"/>
  <c r="AZ27" i="32" s="1"/>
  <c r="H27" i="32"/>
  <c r="BA27" i="32" s="1"/>
  <c r="I27" i="32"/>
  <c r="J27" i="32"/>
  <c r="K27" i="32"/>
  <c r="BD27" i="32" s="1"/>
  <c r="L27" i="32"/>
  <c r="BE27" i="32" s="1"/>
  <c r="M27" i="32"/>
  <c r="N27" i="32"/>
  <c r="BG27" i="32" s="1"/>
  <c r="O27" i="32"/>
  <c r="BH27" i="32" s="1"/>
  <c r="P27" i="32"/>
  <c r="BI27" i="32" s="1"/>
  <c r="Q27" i="32"/>
  <c r="R27" i="32"/>
  <c r="S27" i="32"/>
  <c r="BL27" i="32" s="1"/>
  <c r="T27" i="32"/>
  <c r="BM27" i="32" s="1"/>
  <c r="U27" i="32"/>
  <c r="V27" i="32"/>
  <c r="BO27" i="32" s="1"/>
  <c r="W27" i="32"/>
  <c r="BP27" i="32" s="1"/>
  <c r="X27" i="32"/>
  <c r="BQ27" i="32" s="1"/>
  <c r="D28" i="32"/>
  <c r="E28" i="32"/>
  <c r="F28" i="32"/>
  <c r="AY28" i="32" s="1"/>
  <c r="G28" i="32"/>
  <c r="AZ28" i="32" s="1"/>
  <c r="H28" i="32"/>
  <c r="I28" i="32"/>
  <c r="J28" i="32"/>
  <c r="BC28" i="32" s="1"/>
  <c r="K28" i="32"/>
  <c r="BD28" i="32" s="1"/>
  <c r="L28" i="32"/>
  <c r="M28" i="32"/>
  <c r="BF28" i="32" s="1"/>
  <c r="N28" i="32"/>
  <c r="BG28" i="32" s="1"/>
  <c r="O28" i="32"/>
  <c r="BH28" i="32" s="1"/>
  <c r="P28" i="32"/>
  <c r="Q28" i="32"/>
  <c r="R28" i="32"/>
  <c r="S28" i="32"/>
  <c r="BL28" i="32" s="1"/>
  <c r="T28" i="32"/>
  <c r="U28" i="32"/>
  <c r="BN28" i="32" s="1"/>
  <c r="V28" i="32"/>
  <c r="BO28" i="32" s="1"/>
  <c r="W28" i="32"/>
  <c r="BP28" i="32" s="1"/>
  <c r="X28" i="32"/>
  <c r="D29" i="32"/>
  <c r="E29" i="32"/>
  <c r="F29" i="32"/>
  <c r="AY29" i="32" s="1"/>
  <c r="G29" i="32"/>
  <c r="H29" i="32"/>
  <c r="BA29" i="32" s="1"/>
  <c r="I29" i="32"/>
  <c r="BB29" i="32" s="1"/>
  <c r="J29" i="32"/>
  <c r="BC29" i="32" s="1"/>
  <c r="K29" i="32"/>
  <c r="L29" i="32"/>
  <c r="BE29" i="32" s="1"/>
  <c r="M29" i="32"/>
  <c r="BF29" i="32" s="1"/>
  <c r="N29" i="32"/>
  <c r="BG29" i="32" s="1"/>
  <c r="O29" i="32"/>
  <c r="P29" i="32"/>
  <c r="BI29" i="32" s="1"/>
  <c r="Q29" i="32"/>
  <c r="BJ29" i="32" s="1"/>
  <c r="R29" i="32"/>
  <c r="BK29" i="32" s="1"/>
  <c r="S29" i="32"/>
  <c r="T29" i="32"/>
  <c r="BM29" i="32" s="1"/>
  <c r="U29" i="32"/>
  <c r="BN29" i="32" s="1"/>
  <c r="V29" i="32"/>
  <c r="BO29" i="32" s="1"/>
  <c r="W29" i="32"/>
  <c r="X29" i="32"/>
  <c r="BQ29" i="32" s="1"/>
  <c r="D30" i="32"/>
  <c r="AW30" i="32" s="1"/>
  <c r="E30" i="32"/>
  <c r="AX30" i="32" s="1"/>
  <c r="F30" i="32"/>
  <c r="G30" i="32"/>
  <c r="AZ30" i="32" s="1"/>
  <c r="H30" i="32"/>
  <c r="BA30" i="32" s="1"/>
  <c r="I30" i="32"/>
  <c r="BB30" i="32" s="1"/>
  <c r="J30" i="32"/>
  <c r="K30" i="32"/>
  <c r="BD30" i="32" s="1"/>
  <c r="L30" i="32"/>
  <c r="BE30" i="32" s="1"/>
  <c r="M30" i="32"/>
  <c r="BF30" i="32" s="1"/>
  <c r="N30" i="32"/>
  <c r="O30" i="32"/>
  <c r="P30" i="32"/>
  <c r="BI30" i="32" s="1"/>
  <c r="Q30" i="32"/>
  <c r="BJ30" i="32" s="1"/>
  <c r="R30" i="32"/>
  <c r="S30" i="32"/>
  <c r="BL30" i="32" s="1"/>
  <c r="T30" i="32"/>
  <c r="BM30" i="32" s="1"/>
  <c r="U30" i="32"/>
  <c r="BN30" i="32" s="1"/>
  <c r="V30" i="32"/>
  <c r="W30" i="32"/>
  <c r="BP30" i="32" s="1"/>
  <c r="X30" i="32"/>
  <c r="BQ30" i="32" s="1"/>
  <c r="D31" i="32"/>
  <c r="AW31" i="32" s="1"/>
  <c r="E31" i="32"/>
  <c r="F31" i="32"/>
  <c r="AY31" i="32" s="1"/>
  <c r="G31" i="32"/>
  <c r="AZ31" i="32" s="1"/>
  <c r="H31" i="32"/>
  <c r="BA31" i="32" s="1"/>
  <c r="I31" i="32"/>
  <c r="J31" i="32"/>
  <c r="K31" i="32"/>
  <c r="BD31" i="32" s="1"/>
  <c r="L31" i="32"/>
  <c r="BE31" i="32" s="1"/>
  <c r="M31" i="32"/>
  <c r="N31" i="32"/>
  <c r="BG31" i="32" s="1"/>
  <c r="O31" i="32"/>
  <c r="BH31" i="32" s="1"/>
  <c r="P31" i="32"/>
  <c r="BI31" i="32" s="1"/>
  <c r="Q31" i="32"/>
  <c r="R31" i="32"/>
  <c r="BK31" i="32" s="1"/>
  <c r="S31" i="32"/>
  <c r="BL31" i="32" s="1"/>
  <c r="T31" i="32"/>
  <c r="BM31" i="32" s="1"/>
  <c r="U31" i="32"/>
  <c r="V31" i="32"/>
  <c r="W31" i="32"/>
  <c r="BP31" i="32" s="1"/>
  <c r="X31" i="32"/>
  <c r="BQ31" i="32" s="1"/>
  <c r="D32" i="32"/>
  <c r="E32" i="32"/>
  <c r="AX32" i="32" s="1"/>
  <c r="F32" i="32"/>
  <c r="AY32" i="32" s="1"/>
  <c r="G32" i="32"/>
  <c r="AZ32" i="32" s="1"/>
  <c r="H32" i="32"/>
  <c r="I32" i="32"/>
  <c r="BB32" i="32" s="1"/>
  <c r="J32" i="32"/>
  <c r="BC32" i="32" s="1"/>
  <c r="K32" i="32"/>
  <c r="BD32" i="32" s="1"/>
  <c r="L32" i="32"/>
  <c r="M32" i="32"/>
  <c r="BF32" i="32" s="1"/>
  <c r="N32" i="32"/>
  <c r="BG32" i="32" s="1"/>
  <c r="O32" i="32"/>
  <c r="BH32" i="32" s="1"/>
  <c r="P32" i="32"/>
  <c r="Q32" i="32"/>
  <c r="BJ32" i="32" s="1"/>
  <c r="R32" i="32"/>
  <c r="BK32" i="32" s="1"/>
  <c r="S32" i="32"/>
  <c r="BL32" i="32" s="1"/>
  <c r="T32" i="32"/>
  <c r="U32" i="32"/>
  <c r="BN32" i="32" s="1"/>
  <c r="V32" i="32"/>
  <c r="BO32" i="32" s="1"/>
  <c r="W32" i="32"/>
  <c r="BP32" i="32" s="1"/>
  <c r="X32" i="32"/>
  <c r="D33" i="32"/>
  <c r="E33" i="32"/>
  <c r="AX33" i="32" s="1"/>
  <c r="F33" i="32"/>
  <c r="G33" i="32"/>
  <c r="H33" i="32"/>
  <c r="BA33" i="32" s="1"/>
  <c r="I33" i="32"/>
  <c r="BB33" i="32" s="1"/>
  <c r="J33" i="32"/>
  <c r="BC33" i="32" s="1"/>
  <c r="K33" i="32"/>
  <c r="L33" i="32"/>
  <c r="BE33" i="32" s="1"/>
  <c r="M33" i="32"/>
  <c r="BF33" i="32" s="1"/>
  <c r="N33" i="32"/>
  <c r="BG33" i="32" s="1"/>
  <c r="O33" i="32"/>
  <c r="P33" i="32"/>
  <c r="Q33" i="32"/>
  <c r="BJ33" i="32" s="1"/>
  <c r="R33" i="32"/>
  <c r="BK33" i="32" s="1"/>
  <c r="S33" i="32"/>
  <c r="T33" i="32"/>
  <c r="BM33" i="32" s="1"/>
  <c r="U33" i="32"/>
  <c r="BN33" i="32" s="1"/>
  <c r="V33" i="32"/>
  <c r="BO33" i="32" s="1"/>
  <c r="W33" i="32"/>
  <c r="X33" i="32"/>
  <c r="BQ33" i="32" s="1"/>
  <c r="D34" i="32"/>
  <c r="AW34" i="32" s="1"/>
  <c r="E34" i="32"/>
  <c r="AX34" i="32" s="1"/>
  <c r="F34" i="32"/>
  <c r="G34" i="32"/>
  <c r="AZ34" i="32" s="1"/>
  <c r="H34" i="32"/>
  <c r="BA34" i="32" s="1"/>
  <c r="I34" i="32"/>
  <c r="BB34" i="32" s="1"/>
  <c r="J34" i="32"/>
  <c r="K34" i="32"/>
  <c r="BD34" i="32" s="1"/>
  <c r="L34" i="32"/>
  <c r="BE34" i="32" s="1"/>
  <c r="M34" i="32"/>
  <c r="BF34" i="32" s="1"/>
  <c r="N34" i="32"/>
  <c r="O34" i="32"/>
  <c r="BH34" i="32" s="1"/>
  <c r="P34" i="32"/>
  <c r="BI34" i="32" s="1"/>
  <c r="Q34" i="32"/>
  <c r="BJ34" i="32" s="1"/>
  <c r="R34" i="32"/>
  <c r="S34" i="32"/>
  <c r="BL34" i="32" s="1"/>
  <c r="T34" i="32"/>
  <c r="BM34" i="32" s="1"/>
  <c r="U34" i="32"/>
  <c r="BN34" i="32" s="1"/>
  <c r="V34" i="32"/>
  <c r="W34" i="32"/>
  <c r="X34" i="32"/>
  <c r="BQ34" i="32" s="1"/>
  <c r="D35" i="32"/>
  <c r="AW35" i="32" s="1"/>
  <c r="E35" i="32"/>
  <c r="F35" i="32"/>
  <c r="AY35" i="32" s="1"/>
  <c r="G35" i="32"/>
  <c r="AZ35" i="32" s="1"/>
  <c r="H35" i="32"/>
  <c r="BA35" i="32" s="1"/>
  <c r="I35" i="32"/>
  <c r="J35" i="32"/>
  <c r="BC35" i="32" s="1"/>
  <c r="K35" i="32"/>
  <c r="BD35" i="32" s="1"/>
  <c r="L35" i="32"/>
  <c r="BE35" i="32" s="1"/>
  <c r="M35" i="32"/>
  <c r="N35" i="32"/>
  <c r="O35" i="32"/>
  <c r="BH35" i="32" s="1"/>
  <c r="P35" i="32"/>
  <c r="BI35" i="32" s="1"/>
  <c r="Q35" i="32"/>
  <c r="R35" i="32"/>
  <c r="BK35" i="32" s="1"/>
  <c r="S35" i="32"/>
  <c r="BL35" i="32" s="1"/>
  <c r="T35" i="32"/>
  <c r="BM35" i="32" s="1"/>
  <c r="U35" i="32"/>
  <c r="V35" i="32"/>
  <c r="BO35" i="32" s="1"/>
  <c r="W35" i="32"/>
  <c r="BP35" i="32" s="1"/>
  <c r="X35" i="32"/>
  <c r="BQ35" i="32" s="1"/>
  <c r="D36" i="32"/>
  <c r="E36" i="32"/>
  <c r="AX36" i="32" s="1"/>
  <c r="F36" i="32"/>
  <c r="AY36" i="32" s="1"/>
  <c r="G36" i="32"/>
  <c r="AZ36" i="32" s="1"/>
  <c r="H36" i="32"/>
  <c r="I36" i="32"/>
  <c r="BB36" i="32" s="1"/>
  <c r="J36" i="32"/>
  <c r="BC36" i="32" s="1"/>
  <c r="K36" i="32"/>
  <c r="BD36" i="32" s="1"/>
  <c r="L36" i="32"/>
  <c r="M36" i="32"/>
  <c r="BF36" i="32" s="1"/>
  <c r="N36" i="32"/>
  <c r="BG36" i="32" s="1"/>
  <c r="O36" i="32"/>
  <c r="BH36" i="32" s="1"/>
  <c r="P36" i="32"/>
  <c r="Q36" i="32"/>
  <c r="BJ36" i="32" s="1"/>
  <c r="R36" i="32"/>
  <c r="BK36" i="32" s="1"/>
  <c r="S36" i="32"/>
  <c r="BL36" i="32" s="1"/>
  <c r="T36" i="32"/>
  <c r="U36" i="32"/>
  <c r="BN36" i="32" s="1"/>
  <c r="V36" i="32"/>
  <c r="BO36" i="32" s="1"/>
  <c r="W36" i="32"/>
  <c r="BP36" i="32" s="1"/>
  <c r="X36" i="32"/>
  <c r="D37" i="32"/>
  <c r="AW37" i="32" s="1"/>
  <c r="E37" i="32"/>
  <c r="AX37" i="32" s="1"/>
  <c r="F37" i="32"/>
  <c r="AY37" i="32" s="1"/>
  <c r="G37" i="32"/>
  <c r="H37" i="32"/>
  <c r="I37" i="32"/>
  <c r="BB37" i="32" s="1"/>
  <c r="J37" i="32"/>
  <c r="BC37" i="32" s="1"/>
  <c r="K37" i="32"/>
  <c r="L37" i="32"/>
  <c r="BE37" i="32" s="1"/>
  <c r="M37" i="32"/>
  <c r="BF37" i="32" s="1"/>
  <c r="N37" i="32"/>
  <c r="BG37" i="32" s="1"/>
  <c r="O37" i="32"/>
  <c r="P37" i="32"/>
  <c r="BI37" i="32" s="1"/>
  <c r="Q37" i="32"/>
  <c r="BJ37" i="32" s="1"/>
  <c r="R37" i="32"/>
  <c r="BK37" i="32" s="1"/>
  <c r="S37" i="32"/>
  <c r="T37" i="32"/>
  <c r="BM37" i="32" s="1"/>
  <c r="U37" i="32"/>
  <c r="BN37" i="32" s="1"/>
  <c r="V37" i="32"/>
  <c r="BO37" i="32" s="1"/>
  <c r="W37" i="32"/>
  <c r="X37" i="32"/>
  <c r="BQ37" i="32" s="1"/>
  <c r="D38" i="32"/>
  <c r="AW38" i="32" s="1"/>
  <c r="E38" i="32"/>
  <c r="AX38" i="32" s="1"/>
  <c r="F38" i="32"/>
  <c r="G38" i="32"/>
  <c r="AZ38" i="32" s="1"/>
  <c r="H38" i="32"/>
  <c r="BA38" i="32" s="1"/>
  <c r="I38" i="32"/>
  <c r="BB38" i="32" s="1"/>
  <c r="J38" i="32"/>
  <c r="K38" i="32"/>
  <c r="BD38" i="32" s="1"/>
  <c r="L38" i="32"/>
  <c r="BE38" i="32" s="1"/>
  <c r="M38" i="32"/>
  <c r="BF38" i="32" s="1"/>
  <c r="N38" i="32"/>
  <c r="O38" i="32"/>
  <c r="BH38" i="32" s="1"/>
  <c r="P38" i="32"/>
  <c r="BI38" i="32" s="1"/>
  <c r="Q38" i="32"/>
  <c r="BJ38" i="32" s="1"/>
  <c r="R38" i="32"/>
  <c r="S38" i="32"/>
  <c r="BL38" i="32" s="1"/>
  <c r="T38" i="32"/>
  <c r="BM38" i="32" s="1"/>
  <c r="U38" i="32"/>
  <c r="BN38" i="32" s="1"/>
  <c r="V38" i="32"/>
  <c r="W38" i="32"/>
  <c r="BP38" i="32" s="1"/>
  <c r="X38" i="32"/>
  <c r="BQ38" i="32" s="1"/>
  <c r="D39" i="32"/>
  <c r="AW39" i="32" s="1"/>
  <c r="E39" i="32"/>
  <c r="F39" i="32"/>
  <c r="AY39" i="32" s="1"/>
  <c r="G39" i="32"/>
  <c r="AZ39" i="32" s="1"/>
  <c r="H39" i="32"/>
  <c r="I39" i="32"/>
  <c r="J39" i="32"/>
  <c r="BC39" i="32" s="1"/>
  <c r="K39" i="32"/>
  <c r="BD39" i="32" s="1"/>
  <c r="L39" i="32"/>
  <c r="M39" i="32"/>
  <c r="N39" i="32"/>
  <c r="O39" i="32"/>
  <c r="BH39" i="32" s="1"/>
  <c r="P39" i="32"/>
  <c r="BI39" i="32" s="1"/>
  <c r="Q39" i="32"/>
  <c r="R39" i="32"/>
  <c r="BK39" i="32" s="1"/>
  <c r="S39" i="32"/>
  <c r="BL39" i="32" s="1"/>
  <c r="T39" i="32"/>
  <c r="BM39" i="32" s="1"/>
  <c r="U39" i="32"/>
  <c r="V39" i="32"/>
  <c r="BO39" i="32" s="1"/>
  <c r="W39" i="32"/>
  <c r="BP39" i="32" s="1"/>
  <c r="X39" i="32"/>
  <c r="BQ39" i="32" s="1"/>
  <c r="D40" i="32"/>
  <c r="E40" i="32"/>
  <c r="AX40" i="32" s="1"/>
  <c r="F40" i="32"/>
  <c r="AY40" i="32" s="1"/>
  <c r="G40" i="32"/>
  <c r="AZ40" i="32" s="1"/>
  <c r="H40" i="32"/>
  <c r="I40" i="32"/>
  <c r="J40" i="32"/>
  <c r="BC40" i="32" s="1"/>
  <c r="K40" i="32"/>
  <c r="BD40" i="32" s="1"/>
  <c r="L40" i="32"/>
  <c r="M40" i="32"/>
  <c r="BF40" i="32" s="1"/>
  <c r="N40" i="32"/>
  <c r="BG40" i="32" s="1"/>
  <c r="O40" i="32"/>
  <c r="BH40" i="32" s="1"/>
  <c r="P40" i="32"/>
  <c r="Q40" i="32"/>
  <c r="BJ40" i="32" s="1"/>
  <c r="R40" i="32"/>
  <c r="BK40" i="32" s="1"/>
  <c r="S40" i="32"/>
  <c r="BL40" i="32" s="1"/>
  <c r="T40" i="32"/>
  <c r="U40" i="32"/>
  <c r="BN40" i="32" s="1"/>
  <c r="V40" i="32"/>
  <c r="BO40" i="32" s="1"/>
  <c r="W40" i="32"/>
  <c r="BP40" i="32" s="1"/>
  <c r="X40" i="32"/>
  <c r="D41" i="32"/>
  <c r="AW41" i="32" s="1"/>
  <c r="E41" i="32"/>
  <c r="AX41" i="32" s="1"/>
  <c r="F41" i="32"/>
  <c r="AY41" i="32" s="1"/>
  <c r="G41" i="32"/>
  <c r="H41" i="32"/>
  <c r="BA41" i="32" s="1"/>
  <c r="I41" i="32"/>
  <c r="BB41" i="32" s="1"/>
  <c r="J41" i="32"/>
  <c r="BC41" i="32" s="1"/>
  <c r="K41" i="32"/>
  <c r="L41" i="32"/>
  <c r="BE41" i="32" s="1"/>
  <c r="M41" i="32"/>
  <c r="BF41" i="32" s="1"/>
  <c r="N41" i="32"/>
  <c r="BG41" i="32" s="1"/>
  <c r="O41" i="32"/>
  <c r="P41" i="32"/>
  <c r="BI41" i="32" s="1"/>
  <c r="Q41" i="32"/>
  <c r="BJ41" i="32" s="1"/>
  <c r="R41" i="32"/>
  <c r="BK41" i="32" s="1"/>
  <c r="S41" i="32"/>
  <c r="T41" i="32"/>
  <c r="U41" i="32"/>
  <c r="BN41" i="32" s="1"/>
  <c r="V41" i="32"/>
  <c r="BO41" i="32" s="1"/>
  <c r="W41" i="32"/>
  <c r="X41" i="32"/>
  <c r="BQ41" i="32" s="1"/>
  <c r="D42" i="32"/>
  <c r="AW42" i="32" s="1"/>
  <c r="E42" i="32"/>
  <c r="AX42" i="32" s="1"/>
  <c r="F42" i="32"/>
  <c r="G42" i="32"/>
  <c r="H42" i="32"/>
  <c r="BA42" i="32" s="1"/>
  <c r="I42" i="32"/>
  <c r="BB42" i="32" s="1"/>
  <c r="J42" i="32"/>
  <c r="K42" i="32"/>
  <c r="BD42" i="32" s="1"/>
  <c r="L42" i="32"/>
  <c r="BE42" i="32" s="1"/>
  <c r="M42" i="32"/>
  <c r="BF42" i="32" s="1"/>
  <c r="N42" i="32"/>
  <c r="O42" i="32"/>
  <c r="BH42" i="32" s="1"/>
  <c r="P42" i="32"/>
  <c r="BI42" i="32" s="1"/>
  <c r="Q42" i="32"/>
  <c r="R42" i="32"/>
  <c r="S42" i="32"/>
  <c r="T42" i="32"/>
  <c r="BM42" i="32" s="1"/>
  <c r="U42" i="32"/>
  <c r="BN42" i="32" s="1"/>
  <c r="V42" i="32"/>
  <c r="W42" i="32"/>
  <c r="BP42" i="32" s="1"/>
  <c r="X42" i="32"/>
  <c r="BQ42" i="32" s="1"/>
  <c r="I7" i="32"/>
  <c r="BB7" i="32" s="1"/>
  <c r="J7" i="32"/>
  <c r="BC7" i="32" s="1"/>
  <c r="K7" i="32"/>
  <c r="BD7" i="32" s="1"/>
  <c r="L7" i="32"/>
  <c r="BE7" i="32" s="1"/>
  <c r="M7" i="32"/>
  <c r="BF7" i="32" s="1"/>
  <c r="N7" i="32"/>
  <c r="BG7" i="32" s="1"/>
  <c r="O7" i="32"/>
  <c r="BH7" i="32" s="1"/>
  <c r="P7" i="32"/>
  <c r="BI7" i="32" s="1"/>
  <c r="Q7" i="32"/>
  <c r="BJ7" i="32" s="1"/>
  <c r="R7" i="32"/>
  <c r="S7" i="32"/>
  <c r="BL7" i="32" s="1"/>
  <c r="T7" i="32"/>
  <c r="BM7" i="32" s="1"/>
  <c r="U7" i="32"/>
  <c r="BN7" i="32" s="1"/>
  <c r="V7" i="32"/>
  <c r="W7" i="32"/>
  <c r="BP7" i="32" s="1"/>
  <c r="X7" i="32"/>
  <c r="BQ7" i="32" s="1"/>
  <c r="E7" i="32"/>
  <c r="AX7" i="32" s="1"/>
  <c r="F7" i="32"/>
  <c r="G7" i="32"/>
  <c r="H7" i="32"/>
  <c r="BA7" i="32" s="1"/>
  <c r="D7" i="32"/>
  <c r="AW7" i="32" s="1"/>
  <c r="BO42" i="32"/>
  <c r="BL42" i="32"/>
  <c r="BK42" i="32"/>
  <c r="BG42" i="32"/>
  <c r="BC42" i="32"/>
  <c r="AZ42" i="32"/>
  <c r="AY42" i="32"/>
  <c r="BJ42" i="32"/>
  <c r="BP41" i="32"/>
  <c r="BM41" i="32"/>
  <c r="BL41" i="32"/>
  <c r="BH41" i="32"/>
  <c r="BD41" i="32"/>
  <c r="AZ41" i="32"/>
  <c r="BQ40" i="32"/>
  <c r="BM40" i="32"/>
  <c r="BI40" i="32"/>
  <c r="BE40" i="32"/>
  <c r="BA40" i="32"/>
  <c r="AW40" i="32"/>
  <c r="BB40" i="32"/>
  <c r="BN39" i="32"/>
  <c r="BJ39" i="32"/>
  <c r="AX39" i="32"/>
  <c r="BG39" i="32"/>
  <c r="BF39" i="32"/>
  <c r="BE39" i="32"/>
  <c r="BB39" i="32"/>
  <c r="BA39" i="32"/>
  <c r="BO38" i="32"/>
  <c r="BK38" i="32"/>
  <c r="BG38" i="32"/>
  <c r="BC38" i="32"/>
  <c r="AY38" i="32"/>
  <c r="BP37" i="32"/>
  <c r="BL37" i="32"/>
  <c r="BH37" i="32"/>
  <c r="BD37" i="32"/>
  <c r="AZ37" i="32"/>
  <c r="BA37" i="32"/>
  <c r="BM36" i="32"/>
  <c r="BI36" i="32"/>
  <c r="AW36" i="32"/>
  <c r="BQ36" i="32"/>
  <c r="BE36" i="32"/>
  <c r="BA36" i="32"/>
  <c r="BB35" i="32"/>
  <c r="AX35" i="32"/>
  <c r="BN35" i="32"/>
  <c r="BJ35" i="32"/>
  <c r="BG35" i="32"/>
  <c r="BF35" i="32"/>
  <c r="BK34" i="32"/>
  <c r="BG34" i="32"/>
  <c r="BC34" i="32"/>
  <c r="BP34" i="32"/>
  <c r="BO34" i="32"/>
  <c r="AY34" i="32"/>
  <c r="AY33" i="32"/>
  <c r="BP33" i="32"/>
  <c r="BL33" i="32"/>
  <c r="BI33" i="32"/>
  <c r="BH33" i="32"/>
  <c r="BD33" i="32"/>
  <c r="AZ33" i="32"/>
  <c r="AW33" i="32"/>
  <c r="BM32" i="32"/>
  <c r="BI32" i="32"/>
  <c r="BE32" i="32"/>
  <c r="AW32" i="32"/>
  <c r="BQ32" i="32"/>
  <c r="BA32" i="32"/>
  <c r="BN31" i="32"/>
  <c r="BJ31" i="32"/>
  <c r="AX31" i="32"/>
  <c r="BO31" i="32"/>
  <c r="BF31" i="32"/>
  <c r="BC31" i="32"/>
  <c r="BB31" i="32"/>
  <c r="BH30" i="32"/>
  <c r="BO30" i="32"/>
  <c r="BK30" i="32"/>
  <c r="BG30" i="32"/>
  <c r="BC30" i="32"/>
  <c r="AY30" i="32"/>
  <c r="BL29" i="32"/>
  <c r="BH29" i="32"/>
  <c r="BP29" i="32"/>
  <c r="BD29" i="32"/>
  <c r="AZ29" i="32"/>
  <c r="AX29" i="32"/>
  <c r="AW29" i="32"/>
  <c r="BJ28" i="32"/>
  <c r="AX28" i="32"/>
  <c r="BQ28" i="32"/>
  <c r="BM28" i="32"/>
  <c r="BK28" i="32"/>
  <c r="BI28" i="32"/>
  <c r="BE28" i="32"/>
  <c r="BB28" i="32"/>
  <c r="BA28" i="32"/>
  <c r="AW28" i="32"/>
  <c r="BK27" i="32"/>
  <c r="BF27" i="32"/>
  <c r="BC27" i="32"/>
  <c r="AW27" i="32"/>
  <c r="BN27" i="32"/>
  <c r="BJ27" i="32"/>
  <c r="BB27" i="32"/>
  <c r="AX27" i="32"/>
  <c r="BP26" i="32"/>
  <c r="BH26" i="32"/>
  <c r="AZ26" i="32"/>
  <c r="BO26" i="32"/>
  <c r="BK26" i="32"/>
  <c r="BG26" i="32"/>
  <c r="BC26" i="32"/>
  <c r="AY26" i="32"/>
  <c r="BQ25" i="32"/>
  <c r="BI25" i="32"/>
  <c r="BA25" i="32"/>
  <c r="BP25" i="32"/>
  <c r="BL25" i="32"/>
  <c r="BH25" i="32"/>
  <c r="BD25" i="32"/>
  <c r="AZ25" i="32"/>
  <c r="BJ24" i="32"/>
  <c r="BB24" i="32"/>
  <c r="BQ24" i="32"/>
  <c r="BM24" i="32"/>
  <c r="BI24" i="32"/>
  <c r="BE24" i="32"/>
  <c r="BA24" i="32"/>
  <c r="AW24" i="32"/>
  <c r="BO23" i="32"/>
  <c r="BG23" i="32"/>
  <c r="AY23" i="32"/>
  <c r="BN23" i="32"/>
  <c r="BJ23" i="32"/>
  <c r="BF23" i="32"/>
  <c r="BB23" i="32"/>
  <c r="AX23" i="32"/>
  <c r="BP22" i="32"/>
  <c r="BH22" i="32"/>
  <c r="AZ22" i="32"/>
  <c r="BO22" i="32"/>
  <c r="BK22" i="32"/>
  <c r="BG22" i="32"/>
  <c r="BC22" i="32"/>
  <c r="AY22" i="32"/>
  <c r="AX22" i="32"/>
  <c r="BM21" i="32"/>
  <c r="BE21" i="32"/>
  <c r="AW21" i="32"/>
  <c r="BP21" i="32"/>
  <c r="BL21" i="32"/>
  <c r="BH21" i="32"/>
  <c r="BD21" i="32"/>
  <c r="AZ21" i="32"/>
  <c r="BN20" i="32"/>
  <c r="BG20" i="32"/>
  <c r="BB20" i="32"/>
  <c r="BQ20" i="32"/>
  <c r="BM20" i="32"/>
  <c r="BI20" i="32"/>
  <c r="BE20" i="32"/>
  <c r="BA20" i="32"/>
  <c r="AW20" i="32"/>
  <c r="BO19" i="32"/>
  <c r="BL19" i="32"/>
  <c r="BK19" i="32"/>
  <c r="BE19" i="32"/>
  <c r="AY19" i="32"/>
  <c r="BN19" i="32"/>
  <c r="BJ19" i="32"/>
  <c r="BF19" i="32"/>
  <c r="BB19" i="32"/>
  <c r="AX19" i="32"/>
  <c r="BL18" i="32"/>
  <c r="BE18" i="32"/>
  <c r="AZ18" i="32"/>
  <c r="BO18" i="32"/>
  <c r="BK18" i="32"/>
  <c r="BG18" i="32"/>
  <c r="BC18" i="32"/>
  <c r="AY18" i="32"/>
  <c r="BQ17" i="32"/>
  <c r="BI17" i="32"/>
  <c r="BA17" i="32"/>
  <c r="AX17" i="32"/>
  <c r="AW17" i="32"/>
  <c r="BP17" i="32"/>
  <c r="BL17" i="32"/>
  <c r="BH17" i="32"/>
  <c r="BD17" i="32"/>
  <c r="AZ17" i="32"/>
  <c r="BN16" i="32"/>
  <c r="BK16" i="32"/>
  <c r="BJ16" i="32"/>
  <c r="BB16" i="32"/>
  <c r="BQ16" i="32"/>
  <c r="BM16" i="32"/>
  <c r="BI16" i="32"/>
  <c r="BE16" i="32"/>
  <c r="BA16" i="32"/>
  <c r="AW16" i="32"/>
  <c r="BK15" i="32"/>
  <c r="BH15" i="32"/>
  <c r="BG15" i="32"/>
  <c r="AY15" i="32"/>
  <c r="BN15" i="32"/>
  <c r="BJ15" i="32"/>
  <c r="BF15" i="32"/>
  <c r="BB15" i="32"/>
  <c r="AX15" i="32"/>
  <c r="BP14" i="32"/>
  <c r="BH14" i="32"/>
  <c r="AZ14" i="32"/>
  <c r="BO14" i="32"/>
  <c r="BN14" i="32"/>
  <c r="BK14" i="32"/>
  <c r="BG14" i="32"/>
  <c r="BC14" i="32"/>
  <c r="AY14" i="32"/>
  <c r="BM13" i="32"/>
  <c r="BK13" i="32"/>
  <c r="BJ13" i="32"/>
  <c r="BE13" i="32"/>
  <c r="AY13" i="32"/>
  <c r="BP13" i="32"/>
  <c r="BL13" i="32"/>
  <c r="BH13" i="32"/>
  <c r="BD13" i="32"/>
  <c r="AZ13" i="32"/>
  <c r="BK12" i="32"/>
  <c r="BF12" i="32"/>
  <c r="AX12" i="32"/>
  <c r="BQ12" i="32"/>
  <c r="BP12" i="32"/>
  <c r="BM12" i="32"/>
  <c r="BI12" i="32"/>
  <c r="BE12" i="32"/>
  <c r="BA12" i="32"/>
  <c r="AZ12" i="32"/>
  <c r="AW12" i="32"/>
  <c r="BK11" i="32"/>
  <c r="BC11" i="32"/>
  <c r="BQ11" i="32"/>
  <c r="BN11" i="32"/>
  <c r="BJ11" i="32"/>
  <c r="BF11" i="32"/>
  <c r="BB11" i="32"/>
  <c r="AX11" i="32"/>
  <c r="BP10" i="32"/>
  <c r="BM10" i="32"/>
  <c r="BL10" i="32"/>
  <c r="BE10" i="32"/>
  <c r="AZ10" i="32"/>
  <c r="BO10" i="32"/>
  <c r="BK10" i="32"/>
  <c r="BG10" i="32"/>
  <c r="BC10" i="32"/>
  <c r="AY10" i="32"/>
  <c r="BQ9" i="32"/>
  <c r="BI9" i="32"/>
  <c r="BG9" i="32"/>
  <c r="BE9" i="32"/>
  <c r="AW9" i="32"/>
  <c r="BP9" i="32"/>
  <c r="BN9" i="32"/>
  <c r="BL9" i="32"/>
  <c r="BH9" i="32"/>
  <c r="BF9" i="32"/>
  <c r="BD9" i="32"/>
  <c r="AZ9" i="32"/>
  <c r="BN8" i="32"/>
  <c r="BF8" i="32"/>
  <c r="AX8" i="32"/>
  <c r="BQ8" i="32"/>
  <c r="BM8" i="32"/>
  <c r="BI8" i="32"/>
  <c r="BE8" i="32"/>
  <c r="BA8" i="32"/>
  <c r="AZ8" i="32"/>
  <c r="AY8" i="32"/>
  <c r="AW8" i="32"/>
  <c r="BO7" i="32"/>
  <c r="BK7" i="32"/>
  <c r="AY7" i="32"/>
  <c r="AZ7" i="32"/>
  <c r="BR15" i="32" l="1" a="1"/>
  <c r="BR15" i="32" s="1"/>
  <c r="BR11" i="32" a="1"/>
  <c r="BR11" i="32" s="1"/>
  <c r="BR23" i="32" a="1"/>
  <c r="BR23" i="32" s="1"/>
  <c r="BR34" i="32" a="1"/>
  <c r="BR34" i="32" s="1"/>
  <c r="BR13" i="32" a="1"/>
  <c r="BR13" i="32" s="1"/>
  <c r="BR36" i="32" a="1"/>
  <c r="BR36" i="32" s="1"/>
  <c r="BR29" i="32" a="1"/>
  <c r="BR29" i="32" s="1"/>
  <c r="BR10" i="32" a="1"/>
  <c r="BR10" i="32" s="1"/>
  <c r="BR17" i="32" a="1"/>
  <c r="BR17" i="32" s="1"/>
  <c r="BR9" i="32" a="1"/>
  <c r="BR9" i="32" s="1"/>
  <c r="BR18" i="32" a="1"/>
  <c r="BR18" i="32" s="1"/>
  <c r="BR21" i="32" a="1"/>
  <c r="BR21" i="32" s="1"/>
  <c r="BR22" i="32" a="1"/>
  <c r="BR22" i="32" s="1"/>
  <c r="BR8" i="32" a="1"/>
  <c r="BR8" i="32" s="1"/>
  <c r="BR14" i="32" a="1"/>
  <c r="BR14" i="32" s="1"/>
  <c r="BR25" i="32" a="1"/>
  <c r="BR25" i="32" s="1"/>
  <c r="BR26" i="32" a="1"/>
  <c r="BR26" i="32" s="1"/>
  <c r="BR35" i="32" a="1"/>
  <c r="BR35" i="32" s="1"/>
  <c r="BR16" i="32" a="1"/>
  <c r="BR16" i="32" s="1"/>
  <c r="BR27" i="32" a="1"/>
  <c r="BR27" i="32" s="1"/>
  <c r="BR28" i="32" a="1"/>
  <c r="BR28" i="32" s="1"/>
  <c r="BR30" i="32" a="1"/>
  <c r="BR30" i="32" s="1"/>
  <c r="BR12" i="32" a="1"/>
  <c r="BR12" i="32" s="1"/>
  <c r="BR7" i="32" a="1"/>
  <c r="BR7" i="32" s="1"/>
  <c r="BR19" i="32" a="1"/>
  <c r="BR19" i="32" s="1"/>
  <c r="BR24" i="32" a="1"/>
  <c r="BR24" i="32" s="1"/>
  <c r="BR32" i="32" a="1"/>
  <c r="BR32" i="32" s="1"/>
  <c r="BR20" i="32" a="1"/>
  <c r="BR20" i="32" s="1"/>
  <c r="BR31" i="32" a="1"/>
  <c r="BR31" i="32" s="1"/>
  <c r="BR33" i="32" a="1"/>
  <c r="BR33" i="32" s="1"/>
  <c r="BR38" i="32" a="1"/>
  <c r="BR38" i="32" s="1"/>
  <c r="BR41" i="32" a="1"/>
  <c r="BR41" i="32" s="1"/>
  <c r="BR37" i="32" a="1"/>
  <c r="BR37" i="32" s="1"/>
  <c r="BR39" i="32" a="1"/>
  <c r="BR39" i="32" s="1"/>
  <c r="BR40" i="32" a="1"/>
  <c r="BR40" i="32" s="1"/>
  <c r="BR42" i="32" a="1"/>
  <c r="BR42" i="32" s="1"/>
  <c r="D34" i="23" l="1"/>
  <c r="D47" i="2" l="1"/>
  <c r="A8" i="17" l="1"/>
  <c r="B8" i="17"/>
  <c r="A9" i="17"/>
  <c r="B9" i="17"/>
  <c r="A10" i="17"/>
  <c r="B10" i="17"/>
  <c r="A11" i="17"/>
  <c r="B11" i="17"/>
  <c r="A12" i="17"/>
  <c r="B12" i="17"/>
  <c r="A13" i="17"/>
  <c r="B13" i="17"/>
  <c r="A14" i="17"/>
  <c r="B14" i="17"/>
  <c r="A15" i="17"/>
  <c r="B15" i="17"/>
  <c r="A16" i="17"/>
  <c r="B16" i="17"/>
  <c r="A17" i="17"/>
  <c r="B17" i="17"/>
  <c r="A18" i="17"/>
  <c r="B18" i="17"/>
  <c r="A19" i="17"/>
  <c r="B19" i="17"/>
  <c r="A20" i="17"/>
  <c r="B20" i="17"/>
  <c r="A21" i="17"/>
  <c r="B21" i="17"/>
  <c r="A22" i="17"/>
  <c r="B22" i="17"/>
  <c r="A23" i="17"/>
  <c r="B23" i="17"/>
  <c r="A24" i="17"/>
  <c r="B24" i="17"/>
  <c r="A25" i="17"/>
  <c r="B25" i="17"/>
  <c r="A26" i="17"/>
  <c r="B26" i="17"/>
  <c r="A27" i="17"/>
  <c r="B27" i="17"/>
  <c r="A28" i="17"/>
  <c r="B28" i="17"/>
  <c r="A29" i="17"/>
  <c r="B29" i="17"/>
  <c r="A30" i="17"/>
  <c r="B30" i="17"/>
  <c r="A31" i="17"/>
  <c r="B31" i="17"/>
  <c r="A32" i="17"/>
  <c r="B32" i="17"/>
  <c r="A33" i="17"/>
  <c r="B33" i="17"/>
  <c r="A34" i="17"/>
  <c r="B34" i="17"/>
  <c r="A35" i="17"/>
  <c r="B35" i="17"/>
  <c r="A36" i="17"/>
  <c r="B36" i="17"/>
  <c r="A37" i="17"/>
  <c r="B37" i="17"/>
  <c r="A38" i="17"/>
  <c r="B38" i="17"/>
  <c r="A39" i="17"/>
  <c r="B39" i="17"/>
  <c r="A40" i="17"/>
  <c r="B40" i="17"/>
  <c r="A41" i="17"/>
  <c r="B41" i="17"/>
  <c r="A42" i="17"/>
  <c r="B42" i="17"/>
  <c r="B7" i="17"/>
  <c r="A7" i="17"/>
  <c r="A8" i="15"/>
  <c r="B8" i="15"/>
  <c r="A9" i="15"/>
  <c r="B9" i="15"/>
  <c r="A10" i="15"/>
  <c r="B10" i="15"/>
  <c r="A11" i="15"/>
  <c r="B11" i="15"/>
  <c r="A12" i="15"/>
  <c r="B12" i="15"/>
  <c r="A13" i="15"/>
  <c r="B13" i="15"/>
  <c r="A14" i="15"/>
  <c r="B14" i="15"/>
  <c r="A15" i="15"/>
  <c r="B15" i="15"/>
  <c r="A16" i="15"/>
  <c r="B16" i="15"/>
  <c r="A17" i="15"/>
  <c r="B17" i="15"/>
  <c r="A18" i="15"/>
  <c r="B18" i="15"/>
  <c r="A19" i="15"/>
  <c r="B19" i="15"/>
  <c r="A20" i="15"/>
  <c r="B20" i="15"/>
  <c r="A21" i="15"/>
  <c r="B21" i="15"/>
  <c r="A22" i="15"/>
  <c r="B22" i="15"/>
  <c r="A23" i="15"/>
  <c r="B23" i="15"/>
  <c r="A24" i="15"/>
  <c r="B24" i="15"/>
  <c r="A25" i="15"/>
  <c r="B25" i="15"/>
  <c r="A26" i="15"/>
  <c r="B26" i="15"/>
  <c r="A27" i="15"/>
  <c r="B27" i="15"/>
  <c r="A28" i="15"/>
  <c r="B28" i="15"/>
  <c r="A29" i="15"/>
  <c r="B29" i="15"/>
  <c r="A30" i="15"/>
  <c r="B30" i="15"/>
  <c r="A31" i="15"/>
  <c r="B31" i="15"/>
  <c r="A32" i="15"/>
  <c r="B32" i="15"/>
  <c r="A33" i="15"/>
  <c r="B33" i="15"/>
  <c r="A34" i="15"/>
  <c r="B34" i="15"/>
  <c r="A35" i="15"/>
  <c r="B35" i="15"/>
  <c r="A36" i="15"/>
  <c r="B36" i="15"/>
  <c r="A37" i="15"/>
  <c r="B37" i="15"/>
  <c r="A38" i="15"/>
  <c r="B38" i="15"/>
  <c r="A39" i="15"/>
  <c r="B39" i="15"/>
  <c r="A40" i="15"/>
  <c r="B40" i="15"/>
  <c r="A41" i="15"/>
  <c r="B41" i="15"/>
  <c r="A42" i="15"/>
  <c r="B42" i="15"/>
  <c r="B7" i="15"/>
  <c r="A7" i="15"/>
  <c r="BP52" i="13"/>
  <c r="BO52" i="13"/>
  <c r="BN52" i="13"/>
  <c r="BM52" i="13"/>
  <c r="BL52" i="13"/>
  <c r="BK52" i="13"/>
  <c r="BJ52" i="13"/>
  <c r="BI52" i="13"/>
  <c r="BH52" i="13"/>
  <c r="BG52" i="13"/>
  <c r="BF52" i="13"/>
  <c r="BE52" i="13"/>
  <c r="BD52" i="13"/>
  <c r="BC52" i="13"/>
  <c r="BB52" i="13"/>
  <c r="BA52" i="13"/>
  <c r="AZ52" i="13"/>
  <c r="AY52" i="13"/>
  <c r="AX52" i="13"/>
  <c r="AW52" i="13"/>
  <c r="AV52" i="13"/>
  <c r="BP51" i="13"/>
  <c r="BO51" i="13"/>
  <c r="BN51" i="13"/>
  <c r="BM51" i="13"/>
  <c r="BL51" i="13"/>
  <c r="BK51" i="13"/>
  <c r="BJ51" i="13"/>
  <c r="BI51" i="13"/>
  <c r="BH51" i="13"/>
  <c r="BG51" i="13"/>
  <c r="BF51" i="13"/>
  <c r="BE51" i="13"/>
  <c r="BD51" i="13"/>
  <c r="BC51" i="13"/>
  <c r="BB51" i="13"/>
  <c r="BA51" i="13"/>
  <c r="AZ51" i="13"/>
  <c r="AY51" i="13"/>
  <c r="AX51" i="13"/>
  <c r="AW51" i="13"/>
  <c r="AV51" i="13"/>
  <c r="BP50" i="13"/>
  <c r="BO50" i="13"/>
  <c r="BN50" i="13"/>
  <c r="BM50" i="13"/>
  <c r="BL50" i="13"/>
  <c r="BK50" i="13"/>
  <c r="BJ50" i="13"/>
  <c r="BI50" i="13"/>
  <c r="BH50" i="13"/>
  <c r="BG50" i="13"/>
  <c r="BF50" i="13"/>
  <c r="BE50" i="13"/>
  <c r="BD50" i="13"/>
  <c r="BC50" i="13"/>
  <c r="BB50" i="13"/>
  <c r="BA50" i="13"/>
  <c r="AZ50" i="13"/>
  <c r="AY50" i="13"/>
  <c r="AX50" i="13"/>
  <c r="AW50" i="13"/>
  <c r="AV50" i="13"/>
  <c r="BP49" i="13"/>
  <c r="BO49" i="13"/>
  <c r="BN49" i="13"/>
  <c r="BM49" i="13"/>
  <c r="BL49" i="13"/>
  <c r="BK49" i="13"/>
  <c r="BJ49" i="13"/>
  <c r="BI49" i="13"/>
  <c r="BH49" i="13"/>
  <c r="BG49" i="13"/>
  <c r="BF49" i="13"/>
  <c r="BE49" i="13"/>
  <c r="BD49" i="13"/>
  <c r="BC49" i="13"/>
  <c r="BB49" i="13"/>
  <c r="BA49" i="13"/>
  <c r="AZ49" i="13"/>
  <c r="AY49" i="13"/>
  <c r="AX49" i="13"/>
  <c r="AW49" i="13"/>
  <c r="AV49" i="13"/>
  <c r="BQ49" i="13" s="1"/>
  <c r="BP48" i="13"/>
  <c r="BO48" i="13"/>
  <c r="BN48" i="13"/>
  <c r="BM48" i="13"/>
  <c r="BL48" i="13"/>
  <c r="BK48" i="13"/>
  <c r="BJ48" i="13"/>
  <c r="BI48" i="13"/>
  <c r="BH48" i="13"/>
  <c r="BG48" i="13"/>
  <c r="BF48" i="13"/>
  <c r="BE48" i="13"/>
  <c r="BD48" i="13"/>
  <c r="BC48" i="13"/>
  <c r="BB48" i="13"/>
  <c r="BA48" i="13"/>
  <c r="AZ48" i="13"/>
  <c r="AY48" i="13"/>
  <c r="AX48" i="13"/>
  <c r="AW48" i="13"/>
  <c r="AV48" i="13"/>
  <c r="BP47" i="13"/>
  <c r="BO47" i="13"/>
  <c r="BN47" i="13"/>
  <c r="BM47" i="13"/>
  <c r="BL47" i="13"/>
  <c r="BK47" i="13"/>
  <c r="BJ47" i="13"/>
  <c r="BI47" i="13"/>
  <c r="BH47" i="13"/>
  <c r="BG47" i="13"/>
  <c r="BF47" i="13"/>
  <c r="BE47" i="13"/>
  <c r="BD47" i="13"/>
  <c r="BC47" i="13"/>
  <c r="BB47" i="13"/>
  <c r="BA47" i="13"/>
  <c r="AZ47" i="13"/>
  <c r="AY47" i="13"/>
  <c r="AX47" i="13"/>
  <c r="AW47" i="13"/>
  <c r="AV47" i="13"/>
  <c r="BP46" i="13"/>
  <c r="BO46" i="13"/>
  <c r="BN46" i="13"/>
  <c r="BM46" i="13"/>
  <c r="BL46" i="13"/>
  <c r="BK46" i="13"/>
  <c r="BJ46" i="13"/>
  <c r="BI46" i="13"/>
  <c r="BH46" i="13"/>
  <c r="BG46" i="13"/>
  <c r="BF46" i="13"/>
  <c r="BE46" i="13"/>
  <c r="BD46" i="13"/>
  <c r="BC46" i="13"/>
  <c r="BB46" i="13"/>
  <c r="BA46" i="13"/>
  <c r="AZ46" i="13"/>
  <c r="AY46" i="13"/>
  <c r="AX46" i="13"/>
  <c r="AW46" i="13"/>
  <c r="AV46" i="13"/>
  <c r="BP45" i="13"/>
  <c r="BO45" i="13"/>
  <c r="BN45" i="13"/>
  <c r="BM45" i="13"/>
  <c r="BL45" i="13"/>
  <c r="BK45" i="13"/>
  <c r="BJ45" i="13"/>
  <c r="BI45" i="13"/>
  <c r="BH45" i="13"/>
  <c r="BG45" i="13"/>
  <c r="BF45" i="13"/>
  <c r="BE45" i="13"/>
  <c r="BD45" i="13"/>
  <c r="BC45" i="13"/>
  <c r="BB45" i="13"/>
  <c r="BA45" i="13"/>
  <c r="AZ45" i="13"/>
  <c r="AY45" i="13"/>
  <c r="AX45" i="13"/>
  <c r="AW45" i="13"/>
  <c r="AV45" i="13"/>
  <c r="BQ45" i="13" s="1"/>
  <c r="BP44" i="13"/>
  <c r="BO44" i="13"/>
  <c r="BN44" i="13"/>
  <c r="BM44" i="13"/>
  <c r="BL44" i="13"/>
  <c r="BK44" i="13"/>
  <c r="BJ44" i="13"/>
  <c r="BI44" i="13"/>
  <c r="BH44" i="13"/>
  <c r="BG44" i="13"/>
  <c r="BF44" i="13"/>
  <c r="BE44" i="13"/>
  <c r="BD44" i="13"/>
  <c r="BC44" i="13"/>
  <c r="BB44" i="13"/>
  <c r="BA44" i="13"/>
  <c r="AZ44" i="13"/>
  <c r="AY44" i="13"/>
  <c r="AX44" i="13"/>
  <c r="AW44" i="13"/>
  <c r="AV44" i="13"/>
  <c r="BP43" i="13"/>
  <c r="BO43" i="13"/>
  <c r="BN43" i="13"/>
  <c r="BM43" i="13"/>
  <c r="BL43" i="13"/>
  <c r="BK43" i="13"/>
  <c r="BJ43" i="13"/>
  <c r="BI43" i="13"/>
  <c r="BH43" i="13"/>
  <c r="BG43" i="13"/>
  <c r="BF43" i="13"/>
  <c r="BE43" i="13"/>
  <c r="BD43" i="13"/>
  <c r="BC43" i="13"/>
  <c r="BB43" i="13"/>
  <c r="BA43" i="13"/>
  <c r="AZ43" i="13"/>
  <c r="AY43" i="13"/>
  <c r="AX43" i="13"/>
  <c r="AW43" i="13"/>
  <c r="AV43" i="13"/>
  <c r="BP42" i="13"/>
  <c r="BO42" i="13"/>
  <c r="BN42" i="13"/>
  <c r="BM42" i="13"/>
  <c r="BL42" i="13"/>
  <c r="BK42" i="13"/>
  <c r="BJ42" i="13"/>
  <c r="BI42" i="13"/>
  <c r="BH42" i="13"/>
  <c r="BG42" i="13"/>
  <c r="BF42" i="13"/>
  <c r="BE42" i="13"/>
  <c r="BD42" i="13"/>
  <c r="BC42" i="13"/>
  <c r="BB42" i="13"/>
  <c r="BA42" i="13"/>
  <c r="AZ42" i="13"/>
  <c r="AY42" i="13"/>
  <c r="AX42" i="13"/>
  <c r="AW42" i="13"/>
  <c r="AV42" i="13"/>
  <c r="BP41" i="13"/>
  <c r="BO41" i="13"/>
  <c r="BN41" i="13"/>
  <c r="BM41" i="13"/>
  <c r="BL41" i="13"/>
  <c r="BK41" i="13"/>
  <c r="BJ41" i="13"/>
  <c r="BI41" i="13"/>
  <c r="BH41" i="13"/>
  <c r="BG41" i="13"/>
  <c r="BF41" i="13"/>
  <c r="BE41" i="13"/>
  <c r="BD41" i="13"/>
  <c r="BC41" i="13"/>
  <c r="BB41" i="13"/>
  <c r="BA41" i="13"/>
  <c r="AZ41" i="13"/>
  <c r="AY41" i="13"/>
  <c r="AX41" i="13"/>
  <c r="AW41" i="13"/>
  <c r="AV41" i="13"/>
  <c r="BQ41" i="13" s="1"/>
  <c r="BP40" i="13"/>
  <c r="BO40" i="13"/>
  <c r="BN40" i="13"/>
  <c r="BM40" i="13"/>
  <c r="BL40" i="13"/>
  <c r="BK40" i="13"/>
  <c r="BJ40" i="13"/>
  <c r="BI40" i="13"/>
  <c r="BH40" i="13"/>
  <c r="BG40" i="13"/>
  <c r="BF40" i="13"/>
  <c r="BE40" i="13"/>
  <c r="BD40" i="13"/>
  <c r="BC40" i="13"/>
  <c r="BB40" i="13"/>
  <c r="BA40" i="13"/>
  <c r="AZ40" i="13"/>
  <c r="AY40" i="13"/>
  <c r="AX40" i="13"/>
  <c r="AW40" i="13"/>
  <c r="AV40" i="13"/>
  <c r="BP39" i="13"/>
  <c r="BO39" i="13"/>
  <c r="BN39" i="13"/>
  <c r="BM39" i="13"/>
  <c r="BL39" i="13"/>
  <c r="BK39" i="13"/>
  <c r="BJ39" i="13"/>
  <c r="BI39" i="13"/>
  <c r="BH39" i="13"/>
  <c r="BG39" i="13"/>
  <c r="BF39" i="13"/>
  <c r="BE39" i="13"/>
  <c r="BD39" i="13"/>
  <c r="BC39" i="13"/>
  <c r="BB39" i="13"/>
  <c r="BA39" i="13"/>
  <c r="AZ39" i="13"/>
  <c r="AY39" i="13"/>
  <c r="AX39" i="13"/>
  <c r="AW39" i="13"/>
  <c r="AV39" i="13"/>
  <c r="BP38" i="13"/>
  <c r="BO38" i="13"/>
  <c r="BN38" i="13"/>
  <c r="BM38" i="13"/>
  <c r="BL38" i="13"/>
  <c r="BK38" i="13"/>
  <c r="BJ38" i="13"/>
  <c r="BI38" i="13"/>
  <c r="BH38" i="13"/>
  <c r="BG38" i="13"/>
  <c r="BF38" i="13"/>
  <c r="BE38" i="13"/>
  <c r="BD38" i="13"/>
  <c r="BC38" i="13"/>
  <c r="BB38" i="13"/>
  <c r="BA38" i="13"/>
  <c r="AZ38" i="13"/>
  <c r="AY38" i="13"/>
  <c r="AX38" i="13"/>
  <c r="AW38" i="13"/>
  <c r="AV38" i="13"/>
  <c r="BP37" i="13"/>
  <c r="BO37" i="13"/>
  <c r="BN37" i="13"/>
  <c r="BM37" i="13"/>
  <c r="BL37" i="13"/>
  <c r="BK37" i="13"/>
  <c r="BJ37" i="13"/>
  <c r="BI37" i="13"/>
  <c r="BH37" i="13"/>
  <c r="BG37" i="13"/>
  <c r="BF37" i="13"/>
  <c r="BE37" i="13"/>
  <c r="BD37" i="13"/>
  <c r="BC37" i="13"/>
  <c r="BB37" i="13"/>
  <c r="BA37" i="13"/>
  <c r="AZ37" i="13"/>
  <c r="AY37" i="13"/>
  <c r="AX37" i="13"/>
  <c r="AW37" i="13"/>
  <c r="AV37" i="13"/>
  <c r="BQ37" i="13" s="1"/>
  <c r="BP36" i="13"/>
  <c r="BO36" i="13"/>
  <c r="BN36" i="13"/>
  <c r="BM36" i="13"/>
  <c r="BL36" i="13"/>
  <c r="BK36" i="13"/>
  <c r="BJ36" i="13"/>
  <c r="BI36" i="13"/>
  <c r="BH36" i="13"/>
  <c r="BG36" i="13"/>
  <c r="BF36" i="13"/>
  <c r="BE36" i="13"/>
  <c r="BD36" i="13"/>
  <c r="BC36" i="13"/>
  <c r="BB36" i="13"/>
  <c r="BA36" i="13"/>
  <c r="AZ36" i="13"/>
  <c r="AY36" i="13"/>
  <c r="AX36" i="13"/>
  <c r="AW36" i="13"/>
  <c r="AV36" i="13"/>
  <c r="BP35" i="13"/>
  <c r="BO35" i="13"/>
  <c r="BN35" i="13"/>
  <c r="BM35" i="13"/>
  <c r="BL35" i="13"/>
  <c r="BK35" i="13"/>
  <c r="BJ35" i="13"/>
  <c r="BI35" i="13"/>
  <c r="BH35" i="13"/>
  <c r="BG35" i="13"/>
  <c r="BF35" i="13"/>
  <c r="BE35" i="13"/>
  <c r="BD35" i="13"/>
  <c r="BC35" i="13"/>
  <c r="BB35" i="13"/>
  <c r="BA35" i="13"/>
  <c r="AZ35" i="13"/>
  <c r="AY35" i="13"/>
  <c r="AX35" i="13"/>
  <c r="AW35" i="13"/>
  <c r="AV35" i="13"/>
  <c r="BP34" i="13"/>
  <c r="BO34" i="13"/>
  <c r="BN34" i="13"/>
  <c r="BM34" i="13"/>
  <c r="BL34" i="13"/>
  <c r="BK34" i="13"/>
  <c r="BJ34" i="13"/>
  <c r="BI34" i="13"/>
  <c r="BH34" i="13"/>
  <c r="BG34" i="13"/>
  <c r="BF34" i="13"/>
  <c r="BE34" i="13"/>
  <c r="BD34" i="13"/>
  <c r="BC34" i="13"/>
  <c r="BB34" i="13"/>
  <c r="BA34" i="13"/>
  <c r="AZ34" i="13"/>
  <c r="AY34" i="13"/>
  <c r="AX34" i="13"/>
  <c r="AW34" i="13"/>
  <c r="AV34" i="13"/>
  <c r="BP33" i="13"/>
  <c r="BO33" i="13"/>
  <c r="BN33" i="13"/>
  <c r="BM33" i="13"/>
  <c r="BL33" i="13"/>
  <c r="BK33" i="13"/>
  <c r="BJ33" i="13"/>
  <c r="BI33" i="13"/>
  <c r="BH33" i="13"/>
  <c r="BG33" i="13"/>
  <c r="BF33" i="13"/>
  <c r="BE33" i="13"/>
  <c r="BD33" i="13"/>
  <c r="BC33" i="13"/>
  <c r="BB33" i="13"/>
  <c r="BA33" i="13"/>
  <c r="AZ33" i="13"/>
  <c r="AY33" i="13"/>
  <c r="AX33" i="13"/>
  <c r="AW33" i="13"/>
  <c r="AV33" i="13"/>
  <c r="BQ33" i="13" s="1"/>
  <c r="BP32" i="13"/>
  <c r="BO32" i="13"/>
  <c r="BN32" i="13"/>
  <c r="BM32" i="13"/>
  <c r="BL32" i="13"/>
  <c r="BK32" i="13"/>
  <c r="BJ32" i="13"/>
  <c r="BI32" i="13"/>
  <c r="BH32" i="13"/>
  <c r="BG32" i="13"/>
  <c r="BF32" i="13"/>
  <c r="BE32" i="13"/>
  <c r="BD32" i="13"/>
  <c r="BC32" i="13"/>
  <c r="BB32" i="13"/>
  <c r="BA32" i="13"/>
  <c r="AZ32" i="13"/>
  <c r="AY32" i="13"/>
  <c r="AX32" i="13"/>
  <c r="AW32" i="13"/>
  <c r="AV32" i="13"/>
  <c r="BP31" i="13"/>
  <c r="BO31" i="13"/>
  <c r="BN31" i="13"/>
  <c r="BM31" i="13"/>
  <c r="BL31" i="13"/>
  <c r="BK31" i="13"/>
  <c r="BJ31" i="13"/>
  <c r="BI31" i="13"/>
  <c r="BH31" i="13"/>
  <c r="BG31" i="13"/>
  <c r="BF31" i="13"/>
  <c r="BE31" i="13"/>
  <c r="BD31" i="13"/>
  <c r="BC31" i="13"/>
  <c r="BB31" i="13"/>
  <c r="BA31" i="13"/>
  <c r="AZ31" i="13"/>
  <c r="AY31" i="13"/>
  <c r="AX31" i="13"/>
  <c r="AW31" i="13"/>
  <c r="AV31" i="13"/>
  <c r="BP30" i="13"/>
  <c r="BO30" i="13"/>
  <c r="BN30" i="13"/>
  <c r="BM30" i="13"/>
  <c r="BL30" i="13"/>
  <c r="BK30" i="13"/>
  <c r="BJ30" i="13"/>
  <c r="BI30" i="13"/>
  <c r="BH30" i="13"/>
  <c r="BG30" i="13"/>
  <c r="BF30" i="13"/>
  <c r="BE30" i="13"/>
  <c r="BD30" i="13"/>
  <c r="BC30" i="13"/>
  <c r="BB30" i="13"/>
  <c r="BA30" i="13"/>
  <c r="AZ30" i="13"/>
  <c r="AY30" i="13"/>
  <c r="AX30" i="13"/>
  <c r="AW30" i="13"/>
  <c r="AV30" i="13"/>
  <c r="BP29" i="13"/>
  <c r="BO29" i="13"/>
  <c r="BN29" i="13"/>
  <c r="BM29" i="13"/>
  <c r="BL29" i="13"/>
  <c r="BK29" i="13"/>
  <c r="BJ29" i="13"/>
  <c r="BI29" i="13"/>
  <c r="BH29" i="13"/>
  <c r="BG29" i="13"/>
  <c r="BF29" i="13"/>
  <c r="BE29" i="13"/>
  <c r="BD29" i="13"/>
  <c r="BC29" i="13"/>
  <c r="BB29" i="13"/>
  <c r="BA29" i="13"/>
  <c r="AZ29" i="13"/>
  <c r="AY29" i="13"/>
  <c r="AX29" i="13"/>
  <c r="AW29" i="13"/>
  <c r="AV29" i="13"/>
  <c r="BQ29" i="13" s="1"/>
  <c r="BP28" i="13"/>
  <c r="BO28" i="13"/>
  <c r="BN28" i="13"/>
  <c r="BM28" i="13"/>
  <c r="BL28" i="13"/>
  <c r="BK28" i="13"/>
  <c r="BJ28" i="13"/>
  <c r="BI28" i="13"/>
  <c r="BH28" i="13"/>
  <c r="BG28" i="13"/>
  <c r="BF28" i="13"/>
  <c r="BE28" i="13"/>
  <c r="BD28" i="13"/>
  <c r="BC28" i="13"/>
  <c r="BB28" i="13"/>
  <c r="BA28" i="13"/>
  <c r="AZ28" i="13"/>
  <c r="AY28" i="13"/>
  <c r="AX28" i="13"/>
  <c r="AW28" i="13"/>
  <c r="AV28" i="13"/>
  <c r="BP27" i="13"/>
  <c r="BO27" i="13"/>
  <c r="BN27" i="13"/>
  <c r="BM27" i="13"/>
  <c r="BL27" i="13"/>
  <c r="BK27" i="13"/>
  <c r="BJ27" i="13"/>
  <c r="BI27" i="13"/>
  <c r="BH27" i="13"/>
  <c r="BG27" i="13"/>
  <c r="BF27" i="13"/>
  <c r="BE27" i="13"/>
  <c r="BD27" i="13"/>
  <c r="BC27" i="13"/>
  <c r="BB27" i="13"/>
  <c r="BA27" i="13"/>
  <c r="AZ27" i="13"/>
  <c r="AY27" i="13"/>
  <c r="AX27" i="13"/>
  <c r="AW27" i="13"/>
  <c r="AV27" i="13"/>
  <c r="BP26" i="13"/>
  <c r="BO26" i="13"/>
  <c r="BN26" i="13"/>
  <c r="BM26" i="13"/>
  <c r="BL26" i="13"/>
  <c r="BK26" i="13"/>
  <c r="BJ26" i="13"/>
  <c r="BI26" i="13"/>
  <c r="BH26" i="13"/>
  <c r="BG26" i="13"/>
  <c r="BF26" i="13"/>
  <c r="BE26" i="13"/>
  <c r="BD26" i="13"/>
  <c r="BC26" i="13"/>
  <c r="BB26" i="13"/>
  <c r="BA26" i="13"/>
  <c r="AZ26" i="13"/>
  <c r="AY26" i="13"/>
  <c r="AX26" i="13"/>
  <c r="AW26" i="13"/>
  <c r="AV26" i="13"/>
  <c r="BP25" i="13"/>
  <c r="BO25" i="13"/>
  <c r="BN25" i="13"/>
  <c r="BM25" i="13"/>
  <c r="BL25" i="13"/>
  <c r="BK25" i="13"/>
  <c r="BJ25" i="13"/>
  <c r="BI25" i="13"/>
  <c r="BH25" i="13"/>
  <c r="BG25" i="13"/>
  <c r="BF25" i="13"/>
  <c r="BE25" i="13"/>
  <c r="BD25" i="13"/>
  <c r="BC25" i="13"/>
  <c r="BB25" i="13"/>
  <c r="BA25" i="13"/>
  <c r="AZ25" i="13"/>
  <c r="AY25" i="13"/>
  <c r="AX25" i="13"/>
  <c r="AW25" i="13"/>
  <c r="AV25" i="13"/>
  <c r="BP24" i="13"/>
  <c r="BO24" i="13"/>
  <c r="BN24" i="13"/>
  <c r="BM24" i="13"/>
  <c r="BL24" i="13"/>
  <c r="BK24" i="13"/>
  <c r="BJ24" i="13"/>
  <c r="BI24" i="13"/>
  <c r="BH24" i="13"/>
  <c r="BG24" i="13"/>
  <c r="BF24" i="13"/>
  <c r="BE24" i="13"/>
  <c r="BD24" i="13"/>
  <c r="BC24" i="13"/>
  <c r="BB24" i="13"/>
  <c r="BA24" i="13"/>
  <c r="AZ24" i="13"/>
  <c r="AY24" i="13"/>
  <c r="AX24" i="13"/>
  <c r="AW24" i="13"/>
  <c r="AV24" i="13"/>
  <c r="BP23" i="13"/>
  <c r="BO23" i="13"/>
  <c r="BN23" i="13"/>
  <c r="BM23" i="13"/>
  <c r="BL23" i="13"/>
  <c r="BK23" i="13"/>
  <c r="BJ23" i="13"/>
  <c r="BI23" i="13"/>
  <c r="BH23" i="13"/>
  <c r="BG23" i="13"/>
  <c r="BF23" i="13"/>
  <c r="BE23" i="13"/>
  <c r="BD23" i="13"/>
  <c r="BC23" i="13"/>
  <c r="BB23" i="13"/>
  <c r="BA23" i="13"/>
  <c r="AZ23" i="13"/>
  <c r="AY23" i="13"/>
  <c r="AX23" i="13"/>
  <c r="AW23" i="13"/>
  <c r="AV23" i="13"/>
  <c r="BP22" i="13"/>
  <c r="BO22" i="13"/>
  <c r="BN22" i="13"/>
  <c r="BM22" i="13"/>
  <c r="BL22" i="13"/>
  <c r="BK22" i="13"/>
  <c r="BJ22" i="13"/>
  <c r="BI22" i="13"/>
  <c r="BH22" i="13"/>
  <c r="BG22" i="13"/>
  <c r="BF22" i="13"/>
  <c r="BE22" i="13"/>
  <c r="BD22" i="13"/>
  <c r="BC22" i="13"/>
  <c r="BB22" i="13"/>
  <c r="BA22" i="13"/>
  <c r="AZ22" i="13"/>
  <c r="AY22" i="13"/>
  <c r="AX22" i="13"/>
  <c r="AW22" i="13"/>
  <c r="AV22" i="13"/>
  <c r="BP21" i="13"/>
  <c r="BO21" i="13"/>
  <c r="BN21" i="13"/>
  <c r="BM21" i="13"/>
  <c r="BL21" i="13"/>
  <c r="BK21" i="13"/>
  <c r="BJ21" i="13"/>
  <c r="BI21" i="13"/>
  <c r="BH21" i="13"/>
  <c r="BG21" i="13"/>
  <c r="BF21" i="13"/>
  <c r="BE21" i="13"/>
  <c r="BD21" i="13"/>
  <c r="BC21" i="13"/>
  <c r="BB21" i="13"/>
  <c r="BA21" i="13"/>
  <c r="AZ21" i="13"/>
  <c r="AY21" i="13"/>
  <c r="AX21" i="13"/>
  <c r="AW21" i="13"/>
  <c r="AV21" i="13"/>
  <c r="BQ21" i="13" s="1"/>
  <c r="BP20" i="13"/>
  <c r="BO20" i="13"/>
  <c r="BN20" i="13"/>
  <c r="BM20" i="13"/>
  <c r="BL20" i="13"/>
  <c r="BK20" i="13"/>
  <c r="BJ20" i="13"/>
  <c r="BI20" i="13"/>
  <c r="BH20" i="13"/>
  <c r="BG20" i="13"/>
  <c r="BF20" i="13"/>
  <c r="BE20" i="13"/>
  <c r="BD20" i="13"/>
  <c r="BC20" i="13"/>
  <c r="BB20" i="13"/>
  <c r="BA20" i="13"/>
  <c r="AZ20" i="13"/>
  <c r="AY20" i="13"/>
  <c r="AX20" i="13"/>
  <c r="AW20" i="13"/>
  <c r="AV20" i="13"/>
  <c r="BP19" i="13"/>
  <c r="BO19" i="13"/>
  <c r="BN19" i="13"/>
  <c r="BM19" i="13"/>
  <c r="BL19" i="13"/>
  <c r="BK19" i="13"/>
  <c r="BJ19" i="13"/>
  <c r="BI19" i="13"/>
  <c r="BH19" i="13"/>
  <c r="BG19" i="13"/>
  <c r="BF19" i="13"/>
  <c r="BE19" i="13"/>
  <c r="BD19" i="13"/>
  <c r="BC19" i="13"/>
  <c r="BB19" i="13"/>
  <c r="BA19" i="13"/>
  <c r="AZ19" i="13"/>
  <c r="AY19" i="13"/>
  <c r="AX19" i="13"/>
  <c r="AW19" i="13"/>
  <c r="AV19" i="13"/>
  <c r="BP18" i="13"/>
  <c r="BO18" i="13"/>
  <c r="BN18" i="13"/>
  <c r="BM18" i="13"/>
  <c r="BL18" i="13"/>
  <c r="BK18" i="13"/>
  <c r="BJ18" i="13"/>
  <c r="BI18" i="13"/>
  <c r="BH18" i="13"/>
  <c r="BG18" i="13"/>
  <c r="BF18" i="13"/>
  <c r="BE18" i="13"/>
  <c r="BD18" i="13"/>
  <c r="BC18" i="13"/>
  <c r="BB18" i="13"/>
  <c r="BA18" i="13"/>
  <c r="AZ18" i="13"/>
  <c r="AY18" i="13"/>
  <c r="AX18" i="13"/>
  <c r="AW18" i="13"/>
  <c r="AV18" i="13"/>
  <c r="BP17" i="13"/>
  <c r="BO17" i="13"/>
  <c r="BN17" i="13"/>
  <c r="BM17" i="13"/>
  <c r="BL17" i="13"/>
  <c r="BK17" i="13"/>
  <c r="BJ17" i="13"/>
  <c r="BI17" i="13"/>
  <c r="BH17" i="13"/>
  <c r="BG17" i="13"/>
  <c r="BF17" i="13"/>
  <c r="BE17" i="13"/>
  <c r="BD17" i="13"/>
  <c r="BC17" i="13"/>
  <c r="BB17" i="13"/>
  <c r="BA17" i="13"/>
  <c r="AZ17" i="13"/>
  <c r="AY17" i="13"/>
  <c r="AX17" i="13"/>
  <c r="AW17" i="13"/>
  <c r="AV17" i="13"/>
  <c r="BQ17" i="13" s="1"/>
  <c r="BP16" i="13"/>
  <c r="BO16" i="13"/>
  <c r="BN16" i="13"/>
  <c r="BM16" i="13"/>
  <c r="BL16" i="13"/>
  <c r="BK16" i="13"/>
  <c r="BJ16" i="13"/>
  <c r="BI16" i="13"/>
  <c r="BH16" i="13"/>
  <c r="BG16" i="13"/>
  <c r="BF16" i="13"/>
  <c r="BE16" i="13"/>
  <c r="BD16" i="13"/>
  <c r="BC16" i="13"/>
  <c r="BB16" i="13"/>
  <c r="BA16" i="13"/>
  <c r="AZ16" i="13"/>
  <c r="AY16" i="13"/>
  <c r="AX16" i="13"/>
  <c r="AW16" i="13"/>
  <c r="AV16" i="13"/>
  <c r="BP15" i="13"/>
  <c r="BO15" i="13"/>
  <c r="BN15" i="13"/>
  <c r="BM15" i="13"/>
  <c r="BL15" i="13"/>
  <c r="BK15" i="13"/>
  <c r="BJ15" i="13"/>
  <c r="BI15" i="13"/>
  <c r="BH15" i="13"/>
  <c r="BG15" i="13"/>
  <c r="BF15" i="13"/>
  <c r="BE15" i="13"/>
  <c r="BD15" i="13"/>
  <c r="BC15" i="13"/>
  <c r="BB15" i="13"/>
  <c r="BA15" i="13"/>
  <c r="AZ15" i="13"/>
  <c r="AY15" i="13"/>
  <c r="AX15" i="13"/>
  <c r="AW15" i="13"/>
  <c r="AV15" i="13"/>
  <c r="BP14" i="13"/>
  <c r="BO14" i="13"/>
  <c r="BN14" i="13"/>
  <c r="BM14" i="13"/>
  <c r="BL14" i="13"/>
  <c r="BK14" i="13"/>
  <c r="BJ14" i="13"/>
  <c r="BI14" i="13"/>
  <c r="BH14" i="13"/>
  <c r="BG14" i="13"/>
  <c r="BF14" i="13"/>
  <c r="BE14" i="13"/>
  <c r="BD14" i="13"/>
  <c r="BC14" i="13"/>
  <c r="BB14" i="13"/>
  <c r="BA14" i="13"/>
  <c r="AZ14" i="13"/>
  <c r="AY14" i="13"/>
  <c r="AX14" i="13"/>
  <c r="AW14" i="13"/>
  <c r="AV14" i="13"/>
  <c r="BP13" i="13"/>
  <c r="BO13" i="13"/>
  <c r="BN13" i="13"/>
  <c r="BM13" i="13"/>
  <c r="BL13" i="13"/>
  <c r="BK13" i="13"/>
  <c r="BJ13" i="13"/>
  <c r="BI13" i="13"/>
  <c r="BH13" i="13"/>
  <c r="BG13" i="13"/>
  <c r="BF13" i="13"/>
  <c r="BE13" i="13"/>
  <c r="BD13" i="13"/>
  <c r="BC13" i="13"/>
  <c r="BB13" i="13"/>
  <c r="BA13" i="13"/>
  <c r="AZ13" i="13"/>
  <c r="AY13" i="13"/>
  <c r="AX13" i="13"/>
  <c r="AW13" i="13"/>
  <c r="AV13" i="13"/>
  <c r="BQ13" i="13" s="1"/>
  <c r="BP12" i="13"/>
  <c r="BO12" i="13"/>
  <c r="BN12" i="13"/>
  <c r="BM12" i="13"/>
  <c r="BL12" i="13"/>
  <c r="BK12" i="13"/>
  <c r="BJ12" i="13"/>
  <c r="BI12" i="13"/>
  <c r="BH12" i="13"/>
  <c r="BG12" i="13"/>
  <c r="BF12" i="13"/>
  <c r="BE12" i="13"/>
  <c r="BD12" i="13"/>
  <c r="BC12" i="13"/>
  <c r="BB12" i="13"/>
  <c r="BA12" i="13"/>
  <c r="AZ12" i="13"/>
  <c r="AY12" i="13"/>
  <c r="AX12" i="13"/>
  <c r="AW12" i="13"/>
  <c r="AV12" i="13"/>
  <c r="BP11" i="13"/>
  <c r="BO11" i="13"/>
  <c r="BN11" i="13"/>
  <c r="BM11" i="13"/>
  <c r="BL11" i="13"/>
  <c r="BK11" i="13"/>
  <c r="BJ11" i="13"/>
  <c r="BI11" i="13"/>
  <c r="BH11" i="13"/>
  <c r="BG11" i="13"/>
  <c r="BF11" i="13"/>
  <c r="BE11" i="13"/>
  <c r="BD11" i="13"/>
  <c r="BC11" i="13"/>
  <c r="BB11" i="13"/>
  <c r="BA11" i="13"/>
  <c r="AZ11" i="13"/>
  <c r="AY11" i="13"/>
  <c r="AX11" i="13"/>
  <c r="AW11" i="13"/>
  <c r="AV11" i="13"/>
  <c r="BP10" i="13"/>
  <c r="BO10" i="13"/>
  <c r="BN10" i="13"/>
  <c r="BM10" i="13"/>
  <c r="BL10" i="13"/>
  <c r="BK10" i="13"/>
  <c r="BJ10" i="13"/>
  <c r="BI10" i="13"/>
  <c r="BH10" i="13"/>
  <c r="BG10" i="13"/>
  <c r="BF10" i="13"/>
  <c r="BE10" i="13"/>
  <c r="BD10" i="13"/>
  <c r="BC10" i="13"/>
  <c r="BB10" i="13"/>
  <c r="BA10" i="13"/>
  <c r="AZ10" i="13"/>
  <c r="AY10" i="13"/>
  <c r="AX10" i="13"/>
  <c r="AW10" i="13"/>
  <c r="AV10" i="13"/>
  <c r="BP9" i="13"/>
  <c r="BO9" i="13"/>
  <c r="BN9" i="13"/>
  <c r="BM9" i="13"/>
  <c r="BL9" i="13"/>
  <c r="BK9" i="13"/>
  <c r="BJ9" i="13"/>
  <c r="BI9" i="13"/>
  <c r="BH9" i="13"/>
  <c r="BG9" i="13"/>
  <c r="BF9" i="13"/>
  <c r="BE9" i="13"/>
  <c r="BD9" i="13"/>
  <c r="BC9" i="13"/>
  <c r="BB9" i="13"/>
  <c r="BA9" i="13"/>
  <c r="AZ9" i="13"/>
  <c r="AY9" i="13"/>
  <c r="AX9" i="13"/>
  <c r="AW9" i="13"/>
  <c r="AV9" i="13"/>
  <c r="BQ9" i="13" s="1"/>
  <c r="BP8" i="13"/>
  <c r="BO8" i="13"/>
  <c r="BN8" i="13"/>
  <c r="BM8" i="13"/>
  <c r="BL8" i="13"/>
  <c r="BK8" i="13"/>
  <c r="BJ8" i="13"/>
  <c r="BI8" i="13"/>
  <c r="BH8" i="13"/>
  <c r="BG8" i="13"/>
  <c r="BF8" i="13"/>
  <c r="BE8" i="13"/>
  <c r="BD8" i="13"/>
  <c r="BC8" i="13"/>
  <c r="BB8" i="13"/>
  <c r="BA8" i="13"/>
  <c r="AZ8" i="13"/>
  <c r="AY8" i="13"/>
  <c r="AX8" i="13"/>
  <c r="AW8" i="13"/>
  <c r="AV8" i="13"/>
  <c r="BP7" i="13"/>
  <c r="BO7" i="13"/>
  <c r="BN7" i="13"/>
  <c r="BM7" i="13"/>
  <c r="BL7" i="13"/>
  <c r="BK7" i="13"/>
  <c r="BJ7" i="13"/>
  <c r="BI7" i="13"/>
  <c r="BH7" i="13"/>
  <c r="BG7" i="13"/>
  <c r="BF7" i="13"/>
  <c r="BE7" i="13"/>
  <c r="BD7" i="13"/>
  <c r="BC7" i="13"/>
  <c r="BB7" i="13"/>
  <c r="BA7" i="13"/>
  <c r="AZ7" i="13"/>
  <c r="AY7" i="13"/>
  <c r="AX7" i="13"/>
  <c r="AW7" i="13"/>
  <c r="AV7" i="13"/>
  <c r="Z8" i="5"/>
  <c r="CO8" i="5" s="1"/>
  <c r="AA8" i="5"/>
  <c r="CP8" i="5" s="1"/>
  <c r="AB8" i="5"/>
  <c r="CQ8" i="5" s="1"/>
  <c r="AC8" i="5"/>
  <c r="CR8" i="5" s="1"/>
  <c r="AD8" i="5"/>
  <c r="CS8" i="5" s="1"/>
  <c r="AE8" i="5"/>
  <c r="CT8" i="5" s="1"/>
  <c r="AF8" i="5"/>
  <c r="CU8" i="5" s="1"/>
  <c r="AG8" i="5"/>
  <c r="CV8" i="5" s="1"/>
  <c r="AH8" i="5"/>
  <c r="CW8" i="5" s="1"/>
  <c r="AI8" i="5"/>
  <c r="CX8" i="5" s="1"/>
  <c r="AJ8" i="5"/>
  <c r="CY8" i="5" s="1"/>
  <c r="AK8" i="5"/>
  <c r="CZ8" i="5" s="1"/>
  <c r="AL8" i="5"/>
  <c r="DA8" i="5" s="1"/>
  <c r="AM8" i="5"/>
  <c r="DB8" i="5" s="1"/>
  <c r="AN8" i="5"/>
  <c r="DC8" i="5" s="1"/>
  <c r="AO8" i="5"/>
  <c r="DD8" i="5" s="1"/>
  <c r="AP8" i="5"/>
  <c r="DE8" i="5" s="1"/>
  <c r="AQ8" i="5"/>
  <c r="DF8" i="5" s="1"/>
  <c r="AR8" i="5"/>
  <c r="DG8" i="5" s="1"/>
  <c r="AS8" i="5"/>
  <c r="DH8" i="5" s="1"/>
  <c r="AT8" i="5"/>
  <c r="DI8" i="5" s="1"/>
  <c r="Z9" i="5"/>
  <c r="CO9" i="5" s="1"/>
  <c r="AA9" i="5"/>
  <c r="CP9" i="5" s="1"/>
  <c r="AB9" i="5"/>
  <c r="CQ9" i="5" s="1"/>
  <c r="AC9" i="5"/>
  <c r="CR9" i="5" s="1"/>
  <c r="AD9" i="5"/>
  <c r="CS9" i="5" s="1"/>
  <c r="AE9" i="5"/>
  <c r="CT9" i="5" s="1"/>
  <c r="AF9" i="5"/>
  <c r="CU9" i="5" s="1"/>
  <c r="AG9" i="5"/>
  <c r="CV9" i="5" s="1"/>
  <c r="AH9" i="5"/>
  <c r="CW9" i="5" s="1"/>
  <c r="AI9" i="5"/>
  <c r="CX9" i="5" s="1"/>
  <c r="AJ9" i="5"/>
  <c r="CY9" i="5" s="1"/>
  <c r="AK9" i="5"/>
  <c r="CZ9" i="5" s="1"/>
  <c r="AL9" i="5"/>
  <c r="DA9" i="5" s="1"/>
  <c r="AM9" i="5"/>
  <c r="DB9" i="5" s="1"/>
  <c r="AN9" i="5"/>
  <c r="DC9" i="5" s="1"/>
  <c r="AO9" i="5"/>
  <c r="DD9" i="5" s="1"/>
  <c r="AP9" i="5"/>
  <c r="DE9" i="5" s="1"/>
  <c r="AQ9" i="5"/>
  <c r="DF9" i="5" s="1"/>
  <c r="AR9" i="5"/>
  <c r="DG9" i="5" s="1"/>
  <c r="AS9" i="5"/>
  <c r="DH9" i="5" s="1"/>
  <c r="AT9" i="5"/>
  <c r="DI9" i="5" s="1"/>
  <c r="Z10" i="5"/>
  <c r="CO10" i="5" s="1"/>
  <c r="AA10" i="5"/>
  <c r="CP10" i="5" s="1"/>
  <c r="AB10" i="5"/>
  <c r="CQ10" i="5" s="1"/>
  <c r="AC10" i="5"/>
  <c r="CR10" i="5" s="1"/>
  <c r="AD10" i="5"/>
  <c r="CS10" i="5" s="1"/>
  <c r="AE10" i="5"/>
  <c r="CT10" i="5" s="1"/>
  <c r="AF10" i="5"/>
  <c r="CU10" i="5" s="1"/>
  <c r="AG10" i="5"/>
  <c r="CV10" i="5" s="1"/>
  <c r="AH10" i="5"/>
  <c r="CW10" i="5" s="1"/>
  <c r="AI10" i="5"/>
  <c r="CX10" i="5" s="1"/>
  <c r="AJ10" i="5"/>
  <c r="CY10" i="5" s="1"/>
  <c r="AK10" i="5"/>
  <c r="CZ10" i="5" s="1"/>
  <c r="AL10" i="5"/>
  <c r="DA10" i="5" s="1"/>
  <c r="AM10" i="5"/>
  <c r="DB10" i="5" s="1"/>
  <c r="AN10" i="5"/>
  <c r="DC10" i="5" s="1"/>
  <c r="AO10" i="5"/>
  <c r="DD10" i="5" s="1"/>
  <c r="AP10" i="5"/>
  <c r="DE10" i="5" s="1"/>
  <c r="AQ10" i="5"/>
  <c r="DF10" i="5" s="1"/>
  <c r="AR10" i="5"/>
  <c r="DG10" i="5" s="1"/>
  <c r="AS10" i="5"/>
  <c r="DH10" i="5" s="1"/>
  <c r="AT10" i="5"/>
  <c r="DI10" i="5" s="1"/>
  <c r="Z11" i="5"/>
  <c r="CO11" i="5" s="1"/>
  <c r="AA11" i="5"/>
  <c r="CP11" i="5" s="1"/>
  <c r="AB11" i="5"/>
  <c r="CQ11" i="5" s="1"/>
  <c r="AC11" i="5"/>
  <c r="CR11" i="5" s="1"/>
  <c r="AD11" i="5"/>
  <c r="CS11" i="5" s="1"/>
  <c r="AE11" i="5"/>
  <c r="CT11" i="5" s="1"/>
  <c r="AF11" i="5"/>
  <c r="CU11" i="5" s="1"/>
  <c r="AG11" i="5"/>
  <c r="CV11" i="5" s="1"/>
  <c r="AH11" i="5"/>
  <c r="CW11" i="5" s="1"/>
  <c r="AI11" i="5"/>
  <c r="CX11" i="5" s="1"/>
  <c r="AJ11" i="5"/>
  <c r="CY11" i="5" s="1"/>
  <c r="AK11" i="5"/>
  <c r="CZ11" i="5" s="1"/>
  <c r="AL11" i="5"/>
  <c r="DA11" i="5" s="1"/>
  <c r="AM11" i="5"/>
  <c r="DB11" i="5" s="1"/>
  <c r="AN11" i="5"/>
  <c r="DC11" i="5" s="1"/>
  <c r="AO11" i="5"/>
  <c r="DD11" i="5" s="1"/>
  <c r="AP11" i="5"/>
  <c r="DE11" i="5" s="1"/>
  <c r="AQ11" i="5"/>
  <c r="DF11" i="5" s="1"/>
  <c r="AR11" i="5"/>
  <c r="DG11" i="5" s="1"/>
  <c r="AS11" i="5"/>
  <c r="DH11" i="5" s="1"/>
  <c r="AT11" i="5"/>
  <c r="DI11" i="5" s="1"/>
  <c r="Z12" i="5"/>
  <c r="CO12" i="5" s="1"/>
  <c r="AA12" i="5"/>
  <c r="CP12" i="5" s="1"/>
  <c r="AB12" i="5"/>
  <c r="CQ12" i="5" s="1"/>
  <c r="AC12" i="5"/>
  <c r="CR12" i="5" s="1"/>
  <c r="AD12" i="5"/>
  <c r="CS12" i="5" s="1"/>
  <c r="AE12" i="5"/>
  <c r="CT12" i="5" s="1"/>
  <c r="AF12" i="5"/>
  <c r="CU12" i="5" s="1"/>
  <c r="AG12" i="5"/>
  <c r="CV12" i="5" s="1"/>
  <c r="AH12" i="5"/>
  <c r="CW12" i="5" s="1"/>
  <c r="AI12" i="5"/>
  <c r="CX12" i="5" s="1"/>
  <c r="AJ12" i="5"/>
  <c r="CY12" i="5" s="1"/>
  <c r="AK12" i="5"/>
  <c r="CZ12" i="5" s="1"/>
  <c r="AL12" i="5"/>
  <c r="DA12" i="5" s="1"/>
  <c r="AM12" i="5"/>
  <c r="DB12" i="5" s="1"/>
  <c r="AN12" i="5"/>
  <c r="DC12" i="5" s="1"/>
  <c r="AO12" i="5"/>
  <c r="DD12" i="5" s="1"/>
  <c r="AP12" i="5"/>
  <c r="DE12" i="5" s="1"/>
  <c r="AQ12" i="5"/>
  <c r="DF12" i="5" s="1"/>
  <c r="AR12" i="5"/>
  <c r="DG12" i="5" s="1"/>
  <c r="AS12" i="5"/>
  <c r="DH12" i="5" s="1"/>
  <c r="AT12" i="5"/>
  <c r="DI12" i="5" s="1"/>
  <c r="Z13" i="5"/>
  <c r="CO13" i="5" s="1"/>
  <c r="AA13" i="5"/>
  <c r="CP13" i="5" s="1"/>
  <c r="AB13" i="5"/>
  <c r="CQ13" i="5" s="1"/>
  <c r="AC13" i="5"/>
  <c r="CR13" i="5" s="1"/>
  <c r="AD13" i="5"/>
  <c r="CS13" i="5" s="1"/>
  <c r="AE13" i="5"/>
  <c r="CT13" i="5" s="1"/>
  <c r="AF13" i="5"/>
  <c r="CU13" i="5" s="1"/>
  <c r="AG13" i="5"/>
  <c r="CV13" i="5" s="1"/>
  <c r="AH13" i="5"/>
  <c r="CW13" i="5" s="1"/>
  <c r="AI13" i="5"/>
  <c r="CX13" i="5" s="1"/>
  <c r="AJ13" i="5"/>
  <c r="CY13" i="5" s="1"/>
  <c r="AK13" i="5"/>
  <c r="CZ13" i="5" s="1"/>
  <c r="AL13" i="5"/>
  <c r="DA13" i="5" s="1"/>
  <c r="AM13" i="5"/>
  <c r="DB13" i="5" s="1"/>
  <c r="AN13" i="5"/>
  <c r="DC13" i="5" s="1"/>
  <c r="AO13" i="5"/>
  <c r="DD13" i="5" s="1"/>
  <c r="AP13" i="5"/>
  <c r="DE13" i="5" s="1"/>
  <c r="AQ13" i="5"/>
  <c r="DF13" i="5" s="1"/>
  <c r="AR13" i="5"/>
  <c r="DG13" i="5" s="1"/>
  <c r="AS13" i="5"/>
  <c r="DH13" i="5" s="1"/>
  <c r="AT13" i="5"/>
  <c r="DI13" i="5" s="1"/>
  <c r="Z14" i="5"/>
  <c r="CO14" i="5" s="1"/>
  <c r="AA14" i="5"/>
  <c r="CP14" i="5" s="1"/>
  <c r="AB14" i="5"/>
  <c r="CQ14" i="5" s="1"/>
  <c r="AC14" i="5"/>
  <c r="CR14" i="5" s="1"/>
  <c r="AD14" i="5"/>
  <c r="CS14" i="5" s="1"/>
  <c r="AE14" i="5"/>
  <c r="CT14" i="5" s="1"/>
  <c r="AF14" i="5"/>
  <c r="CU14" i="5" s="1"/>
  <c r="AG14" i="5"/>
  <c r="CV14" i="5" s="1"/>
  <c r="AH14" i="5"/>
  <c r="CW14" i="5" s="1"/>
  <c r="AI14" i="5"/>
  <c r="CX14" i="5" s="1"/>
  <c r="AJ14" i="5"/>
  <c r="CY14" i="5" s="1"/>
  <c r="AK14" i="5"/>
  <c r="CZ14" i="5" s="1"/>
  <c r="AL14" i="5"/>
  <c r="DA14" i="5" s="1"/>
  <c r="AM14" i="5"/>
  <c r="DB14" i="5" s="1"/>
  <c r="AN14" i="5"/>
  <c r="DC14" i="5" s="1"/>
  <c r="AO14" i="5"/>
  <c r="DD14" i="5" s="1"/>
  <c r="AP14" i="5"/>
  <c r="DE14" i="5" s="1"/>
  <c r="AQ14" i="5"/>
  <c r="DF14" i="5" s="1"/>
  <c r="AR14" i="5"/>
  <c r="DG14" i="5" s="1"/>
  <c r="AS14" i="5"/>
  <c r="DH14" i="5" s="1"/>
  <c r="AT14" i="5"/>
  <c r="DI14" i="5" s="1"/>
  <c r="Z15" i="5"/>
  <c r="CO15" i="5" s="1"/>
  <c r="AA15" i="5"/>
  <c r="CP15" i="5" s="1"/>
  <c r="AB15" i="5"/>
  <c r="CQ15" i="5" s="1"/>
  <c r="AC15" i="5"/>
  <c r="CR15" i="5" s="1"/>
  <c r="AD15" i="5"/>
  <c r="CS15" i="5" s="1"/>
  <c r="AE15" i="5"/>
  <c r="CT15" i="5" s="1"/>
  <c r="AF15" i="5"/>
  <c r="CU15" i="5" s="1"/>
  <c r="AG15" i="5"/>
  <c r="CV15" i="5" s="1"/>
  <c r="AH15" i="5"/>
  <c r="CW15" i="5" s="1"/>
  <c r="AI15" i="5"/>
  <c r="CX15" i="5" s="1"/>
  <c r="AJ15" i="5"/>
  <c r="CY15" i="5" s="1"/>
  <c r="AK15" i="5"/>
  <c r="CZ15" i="5" s="1"/>
  <c r="AL15" i="5"/>
  <c r="DA15" i="5" s="1"/>
  <c r="AM15" i="5"/>
  <c r="DB15" i="5" s="1"/>
  <c r="AN15" i="5"/>
  <c r="DC15" i="5" s="1"/>
  <c r="AO15" i="5"/>
  <c r="DD15" i="5" s="1"/>
  <c r="AP15" i="5"/>
  <c r="DE15" i="5" s="1"/>
  <c r="AQ15" i="5"/>
  <c r="DF15" i="5" s="1"/>
  <c r="AR15" i="5"/>
  <c r="DG15" i="5" s="1"/>
  <c r="AS15" i="5"/>
  <c r="DH15" i="5" s="1"/>
  <c r="AT15" i="5"/>
  <c r="DI15" i="5" s="1"/>
  <c r="Z16" i="5"/>
  <c r="CO16" i="5" s="1"/>
  <c r="AA16" i="5"/>
  <c r="CP16" i="5" s="1"/>
  <c r="AB16" i="5"/>
  <c r="CQ16" i="5" s="1"/>
  <c r="AC16" i="5"/>
  <c r="CR16" i="5" s="1"/>
  <c r="AD16" i="5"/>
  <c r="CS16" i="5" s="1"/>
  <c r="AE16" i="5"/>
  <c r="CT16" i="5" s="1"/>
  <c r="AF16" i="5"/>
  <c r="CU16" i="5" s="1"/>
  <c r="AG16" i="5"/>
  <c r="CV16" i="5" s="1"/>
  <c r="AH16" i="5"/>
  <c r="CW16" i="5" s="1"/>
  <c r="AI16" i="5"/>
  <c r="CX16" i="5" s="1"/>
  <c r="AJ16" i="5"/>
  <c r="CY16" i="5" s="1"/>
  <c r="AK16" i="5"/>
  <c r="CZ16" i="5" s="1"/>
  <c r="AL16" i="5"/>
  <c r="DA16" i="5" s="1"/>
  <c r="AM16" i="5"/>
  <c r="DB16" i="5" s="1"/>
  <c r="AN16" i="5"/>
  <c r="DC16" i="5" s="1"/>
  <c r="AO16" i="5"/>
  <c r="DD16" i="5" s="1"/>
  <c r="AP16" i="5"/>
  <c r="DE16" i="5" s="1"/>
  <c r="AQ16" i="5"/>
  <c r="DF16" i="5" s="1"/>
  <c r="AR16" i="5"/>
  <c r="DG16" i="5" s="1"/>
  <c r="AS16" i="5"/>
  <c r="DH16" i="5" s="1"/>
  <c r="AT16" i="5"/>
  <c r="DI16" i="5" s="1"/>
  <c r="Z17" i="5"/>
  <c r="CO17" i="5" s="1"/>
  <c r="AA17" i="5"/>
  <c r="CP17" i="5" s="1"/>
  <c r="AB17" i="5"/>
  <c r="CQ17" i="5" s="1"/>
  <c r="AC17" i="5"/>
  <c r="CR17" i="5" s="1"/>
  <c r="AD17" i="5"/>
  <c r="CS17" i="5" s="1"/>
  <c r="AE17" i="5"/>
  <c r="CT17" i="5" s="1"/>
  <c r="AF17" i="5"/>
  <c r="CU17" i="5" s="1"/>
  <c r="AG17" i="5"/>
  <c r="CV17" i="5" s="1"/>
  <c r="AH17" i="5"/>
  <c r="CW17" i="5" s="1"/>
  <c r="AI17" i="5"/>
  <c r="CX17" i="5" s="1"/>
  <c r="AJ17" i="5"/>
  <c r="CY17" i="5" s="1"/>
  <c r="AK17" i="5"/>
  <c r="CZ17" i="5" s="1"/>
  <c r="AL17" i="5"/>
  <c r="DA17" i="5" s="1"/>
  <c r="AM17" i="5"/>
  <c r="DB17" i="5" s="1"/>
  <c r="AN17" i="5"/>
  <c r="DC17" i="5" s="1"/>
  <c r="AO17" i="5"/>
  <c r="DD17" i="5" s="1"/>
  <c r="AP17" i="5"/>
  <c r="DE17" i="5" s="1"/>
  <c r="AQ17" i="5"/>
  <c r="DF17" i="5" s="1"/>
  <c r="AR17" i="5"/>
  <c r="DG17" i="5" s="1"/>
  <c r="AS17" i="5"/>
  <c r="DH17" i="5" s="1"/>
  <c r="AT17" i="5"/>
  <c r="DI17" i="5" s="1"/>
  <c r="Z18" i="5"/>
  <c r="CO18" i="5" s="1"/>
  <c r="AA18" i="5"/>
  <c r="CP18" i="5" s="1"/>
  <c r="AB18" i="5"/>
  <c r="CQ18" i="5" s="1"/>
  <c r="AC18" i="5"/>
  <c r="CR18" i="5" s="1"/>
  <c r="AD18" i="5"/>
  <c r="CS18" i="5" s="1"/>
  <c r="AE18" i="5"/>
  <c r="CT18" i="5" s="1"/>
  <c r="AF18" i="5"/>
  <c r="CU18" i="5" s="1"/>
  <c r="AG18" i="5"/>
  <c r="CV18" i="5" s="1"/>
  <c r="AH18" i="5"/>
  <c r="CW18" i="5" s="1"/>
  <c r="AI18" i="5"/>
  <c r="CX18" i="5" s="1"/>
  <c r="AJ18" i="5"/>
  <c r="CY18" i="5" s="1"/>
  <c r="AK18" i="5"/>
  <c r="CZ18" i="5" s="1"/>
  <c r="AL18" i="5"/>
  <c r="DA18" i="5" s="1"/>
  <c r="AM18" i="5"/>
  <c r="DB18" i="5" s="1"/>
  <c r="AN18" i="5"/>
  <c r="DC18" i="5" s="1"/>
  <c r="AO18" i="5"/>
  <c r="DD18" i="5" s="1"/>
  <c r="AP18" i="5"/>
  <c r="DE18" i="5" s="1"/>
  <c r="AQ18" i="5"/>
  <c r="DF18" i="5" s="1"/>
  <c r="AR18" i="5"/>
  <c r="DG18" i="5" s="1"/>
  <c r="AS18" i="5"/>
  <c r="DH18" i="5" s="1"/>
  <c r="AT18" i="5"/>
  <c r="DI18" i="5" s="1"/>
  <c r="Z19" i="5"/>
  <c r="CO19" i="5" s="1"/>
  <c r="AA19" i="5"/>
  <c r="CP19" i="5" s="1"/>
  <c r="AB19" i="5"/>
  <c r="CQ19" i="5" s="1"/>
  <c r="AC19" i="5"/>
  <c r="CR19" i="5" s="1"/>
  <c r="AD19" i="5"/>
  <c r="CS19" i="5" s="1"/>
  <c r="AE19" i="5"/>
  <c r="CT19" i="5" s="1"/>
  <c r="AF19" i="5"/>
  <c r="CU19" i="5" s="1"/>
  <c r="AG19" i="5"/>
  <c r="CV19" i="5" s="1"/>
  <c r="AH19" i="5"/>
  <c r="CW19" i="5" s="1"/>
  <c r="AI19" i="5"/>
  <c r="CX19" i="5" s="1"/>
  <c r="AJ19" i="5"/>
  <c r="CY19" i="5" s="1"/>
  <c r="AK19" i="5"/>
  <c r="CZ19" i="5" s="1"/>
  <c r="AL19" i="5"/>
  <c r="DA19" i="5" s="1"/>
  <c r="AM19" i="5"/>
  <c r="DB19" i="5" s="1"/>
  <c r="AN19" i="5"/>
  <c r="DC19" i="5" s="1"/>
  <c r="AO19" i="5"/>
  <c r="DD19" i="5" s="1"/>
  <c r="AP19" i="5"/>
  <c r="DE19" i="5" s="1"/>
  <c r="AQ19" i="5"/>
  <c r="DF19" i="5" s="1"/>
  <c r="AR19" i="5"/>
  <c r="DG19" i="5" s="1"/>
  <c r="AS19" i="5"/>
  <c r="DH19" i="5" s="1"/>
  <c r="AT19" i="5"/>
  <c r="DI19" i="5" s="1"/>
  <c r="Z20" i="5"/>
  <c r="CO20" i="5" s="1"/>
  <c r="AA20" i="5"/>
  <c r="CP20" i="5" s="1"/>
  <c r="AB20" i="5"/>
  <c r="CQ20" i="5" s="1"/>
  <c r="AC20" i="5"/>
  <c r="CR20" i="5" s="1"/>
  <c r="AD20" i="5"/>
  <c r="CS20" i="5" s="1"/>
  <c r="AE20" i="5"/>
  <c r="CT20" i="5" s="1"/>
  <c r="AF20" i="5"/>
  <c r="CU20" i="5" s="1"/>
  <c r="AG20" i="5"/>
  <c r="CV20" i="5" s="1"/>
  <c r="AH20" i="5"/>
  <c r="CW20" i="5" s="1"/>
  <c r="AI20" i="5"/>
  <c r="CX20" i="5" s="1"/>
  <c r="AJ20" i="5"/>
  <c r="CY20" i="5" s="1"/>
  <c r="AK20" i="5"/>
  <c r="CZ20" i="5" s="1"/>
  <c r="AL20" i="5"/>
  <c r="DA20" i="5" s="1"/>
  <c r="AM20" i="5"/>
  <c r="DB20" i="5" s="1"/>
  <c r="AN20" i="5"/>
  <c r="DC20" i="5" s="1"/>
  <c r="AO20" i="5"/>
  <c r="DD20" i="5" s="1"/>
  <c r="AP20" i="5"/>
  <c r="DE20" i="5" s="1"/>
  <c r="AQ20" i="5"/>
  <c r="DF20" i="5" s="1"/>
  <c r="AR20" i="5"/>
  <c r="DG20" i="5" s="1"/>
  <c r="AS20" i="5"/>
  <c r="DH20" i="5" s="1"/>
  <c r="AT20" i="5"/>
  <c r="DI20" i="5" s="1"/>
  <c r="Z21" i="5"/>
  <c r="CO21" i="5" s="1"/>
  <c r="AA21" i="5"/>
  <c r="CP21" i="5" s="1"/>
  <c r="AB21" i="5"/>
  <c r="CQ21" i="5" s="1"/>
  <c r="AC21" i="5"/>
  <c r="CR21" i="5" s="1"/>
  <c r="AD21" i="5"/>
  <c r="CS21" i="5" s="1"/>
  <c r="AE21" i="5"/>
  <c r="CT21" i="5" s="1"/>
  <c r="AF21" i="5"/>
  <c r="CU21" i="5" s="1"/>
  <c r="AG21" i="5"/>
  <c r="CV21" i="5" s="1"/>
  <c r="AH21" i="5"/>
  <c r="CW21" i="5" s="1"/>
  <c r="AI21" i="5"/>
  <c r="CX21" i="5" s="1"/>
  <c r="AJ21" i="5"/>
  <c r="CY21" i="5" s="1"/>
  <c r="AK21" i="5"/>
  <c r="CZ21" i="5" s="1"/>
  <c r="AL21" i="5"/>
  <c r="DA21" i="5" s="1"/>
  <c r="AM21" i="5"/>
  <c r="DB21" i="5" s="1"/>
  <c r="AN21" i="5"/>
  <c r="DC21" i="5" s="1"/>
  <c r="AO21" i="5"/>
  <c r="DD21" i="5" s="1"/>
  <c r="AP21" i="5"/>
  <c r="DE21" i="5" s="1"/>
  <c r="AQ21" i="5"/>
  <c r="DF21" i="5" s="1"/>
  <c r="AR21" i="5"/>
  <c r="DG21" i="5" s="1"/>
  <c r="AS21" i="5"/>
  <c r="DH21" i="5" s="1"/>
  <c r="AT21" i="5"/>
  <c r="DI21" i="5" s="1"/>
  <c r="Z22" i="5"/>
  <c r="CO22" i="5" s="1"/>
  <c r="AA22" i="5"/>
  <c r="CP22" i="5" s="1"/>
  <c r="AB22" i="5"/>
  <c r="CQ22" i="5" s="1"/>
  <c r="AC22" i="5"/>
  <c r="CR22" i="5" s="1"/>
  <c r="AD22" i="5"/>
  <c r="CS22" i="5" s="1"/>
  <c r="AE22" i="5"/>
  <c r="CT22" i="5" s="1"/>
  <c r="AF22" i="5"/>
  <c r="CU22" i="5" s="1"/>
  <c r="AG22" i="5"/>
  <c r="CV22" i="5" s="1"/>
  <c r="AH22" i="5"/>
  <c r="CW22" i="5" s="1"/>
  <c r="AI22" i="5"/>
  <c r="CX22" i="5" s="1"/>
  <c r="AJ22" i="5"/>
  <c r="CY22" i="5" s="1"/>
  <c r="AK22" i="5"/>
  <c r="CZ22" i="5" s="1"/>
  <c r="AL22" i="5"/>
  <c r="DA22" i="5" s="1"/>
  <c r="AM22" i="5"/>
  <c r="DB22" i="5" s="1"/>
  <c r="AN22" i="5"/>
  <c r="DC22" i="5" s="1"/>
  <c r="AO22" i="5"/>
  <c r="DD22" i="5" s="1"/>
  <c r="AP22" i="5"/>
  <c r="DE22" i="5" s="1"/>
  <c r="AQ22" i="5"/>
  <c r="DF22" i="5" s="1"/>
  <c r="AR22" i="5"/>
  <c r="DG22" i="5" s="1"/>
  <c r="AS22" i="5"/>
  <c r="DH22" i="5" s="1"/>
  <c r="AT22" i="5"/>
  <c r="DI22" i="5" s="1"/>
  <c r="Z23" i="5"/>
  <c r="CO23" i="5" s="1"/>
  <c r="AA23" i="5"/>
  <c r="CP23" i="5" s="1"/>
  <c r="AB23" i="5"/>
  <c r="CQ23" i="5" s="1"/>
  <c r="AC23" i="5"/>
  <c r="CR23" i="5" s="1"/>
  <c r="AD23" i="5"/>
  <c r="CS23" i="5" s="1"/>
  <c r="AE23" i="5"/>
  <c r="CT23" i="5" s="1"/>
  <c r="AF23" i="5"/>
  <c r="CU23" i="5" s="1"/>
  <c r="AG23" i="5"/>
  <c r="CV23" i="5" s="1"/>
  <c r="AH23" i="5"/>
  <c r="CW23" i="5" s="1"/>
  <c r="AI23" i="5"/>
  <c r="CX23" i="5" s="1"/>
  <c r="AJ23" i="5"/>
  <c r="CY23" i="5" s="1"/>
  <c r="AK23" i="5"/>
  <c r="CZ23" i="5" s="1"/>
  <c r="AL23" i="5"/>
  <c r="DA23" i="5" s="1"/>
  <c r="AM23" i="5"/>
  <c r="DB23" i="5" s="1"/>
  <c r="AN23" i="5"/>
  <c r="DC23" i="5" s="1"/>
  <c r="AO23" i="5"/>
  <c r="DD23" i="5" s="1"/>
  <c r="AP23" i="5"/>
  <c r="DE23" i="5" s="1"/>
  <c r="AQ23" i="5"/>
  <c r="DF23" i="5" s="1"/>
  <c r="AR23" i="5"/>
  <c r="DG23" i="5" s="1"/>
  <c r="AS23" i="5"/>
  <c r="DH23" i="5" s="1"/>
  <c r="AT23" i="5"/>
  <c r="DI23" i="5" s="1"/>
  <c r="Z24" i="5"/>
  <c r="CO24" i="5" s="1"/>
  <c r="AA24" i="5"/>
  <c r="CP24" i="5" s="1"/>
  <c r="AB24" i="5"/>
  <c r="CQ24" i="5" s="1"/>
  <c r="AC24" i="5"/>
  <c r="CR24" i="5" s="1"/>
  <c r="AD24" i="5"/>
  <c r="CS24" i="5" s="1"/>
  <c r="AE24" i="5"/>
  <c r="CT24" i="5" s="1"/>
  <c r="AF24" i="5"/>
  <c r="CU24" i="5" s="1"/>
  <c r="AG24" i="5"/>
  <c r="CV24" i="5" s="1"/>
  <c r="AH24" i="5"/>
  <c r="CW24" i="5" s="1"/>
  <c r="AI24" i="5"/>
  <c r="CX24" i="5" s="1"/>
  <c r="AJ24" i="5"/>
  <c r="CY24" i="5" s="1"/>
  <c r="AK24" i="5"/>
  <c r="CZ24" i="5" s="1"/>
  <c r="AL24" i="5"/>
  <c r="DA24" i="5" s="1"/>
  <c r="AM24" i="5"/>
  <c r="DB24" i="5" s="1"/>
  <c r="AN24" i="5"/>
  <c r="DC24" i="5" s="1"/>
  <c r="AO24" i="5"/>
  <c r="DD24" i="5" s="1"/>
  <c r="AP24" i="5"/>
  <c r="DE24" i="5" s="1"/>
  <c r="AQ24" i="5"/>
  <c r="DF24" i="5" s="1"/>
  <c r="AR24" i="5"/>
  <c r="DG24" i="5" s="1"/>
  <c r="AS24" i="5"/>
  <c r="DH24" i="5" s="1"/>
  <c r="AT24" i="5"/>
  <c r="DI24" i="5" s="1"/>
  <c r="Z25" i="5"/>
  <c r="CO25" i="5" s="1"/>
  <c r="AA25" i="5"/>
  <c r="CP25" i="5" s="1"/>
  <c r="AB25" i="5"/>
  <c r="CQ25" i="5" s="1"/>
  <c r="AC25" i="5"/>
  <c r="CR25" i="5" s="1"/>
  <c r="AD25" i="5"/>
  <c r="CS25" i="5" s="1"/>
  <c r="AE25" i="5"/>
  <c r="CT25" i="5" s="1"/>
  <c r="AF25" i="5"/>
  <c r="CU25" i="5" s="1"/>
  <c r="AG25" i="5"/>
  <c r="CV25" i="5" s="1"/>
  <c r="AH25" i="5"/>
  <c r="CW25" i="5" s="1"/>
  <c r="AI25" i="5"/>
  <c r="CX25" i="5" s="1"/>
  <c r="AJ25" i="5"/>
  <c r="CY25" i="5" s="1"/>
  <c r="AK25" i="5"/>
  <c r="CZ25" i="5" s="1"/>
  <c r="AL25" i="5"/>
  <c r="DA25" i="5" s="1"/>
  <c r="AM25" i="5"/>
  <c r="DB25" i="5" s="1"/>
  <c r="AN25" i="5"/>
  <c r="DC25" i="5" s="1"/>
  <c r="AO25" i="5"/>
  <c r="DD25" i="5" s="1"/>
  <c r="AP25" i="5"/>
  <c r="DE25" i="5" s="1"/>
  <c r="AQ25" i="5"/>
  <c r="DF25" i="5" s="1"/>
  <c r="AR25" i="5"/>
  <c r="DG25" i="5" s="1"/>
  <c r="AS25" i="5"/>
  <c r="DH25" i="5" s="1"/>
  <c r="AT25" i="5"/>
  <c r="DI25" i="5" s="1"/>
  <c r="Z26" i="5"/>
  <c r="CO26" i="5" s="1"/>
  <c r="AA26" i="5"/>
  <c r="CP26" i="5" s="1"/>
  <c r="AB26" i="5"/>
  <c r="CQ26" i="5" s="1"/>
  <c r="AC26" i="5"/>
  <c r="CR26" i="5" s="1"/>
  <c r="AD26" i="5"/>
  <c r="CS26" i="5" s="1"/>
  <c r="AE26" i="5"/>
  <c r="CT26" i="5" s="1"/>
  <c r="AF26" i="5"/>
  <c r="CU26" i="5" s="1"/>
  <c r="AG26" i="5"/>
  <c r="CV26" i="5" s="1"/>
  <c r="AH26" i="5"/>
  <c r="CW26" i="5" s="1"/>
  <c r="AI26" i="5"/>
  <c r="CX26" i="5" s="1"/>
  <c r="AJ26" i="5"/>
  <c r="CY26" i="5" s="1"/>
  <c r="AK26" i="5"/>
  <c r="CZ26" i="5" s="1"/>
  <c r="AL26" i="5"/>
  <c r="DA26" i="5" s="1"/>
  <c r="AM26" i="5"/>
  <c r="DB26" i="5" s="1"/>
  <c r="AN26" i="5"/>
  <c r="DC26" i="5" s="1"/>
  <c r="AO26" i="5"/>
  <c r="DD26" i="5" s="1"/>
  <c r="AP26" i="5"/>
  <c r="DE26" i="5" s="1"/>
  <c r="AQ26" i="5"/>
  <c r="DF26" i="5" s="1"/>
  <c r="AR26" i="5"/>
  <c r="DG26" i="5" s="1"/>
  <c r="AS26" i="5"/>
  <c r="DH26" i="5" s="1"/>
  <c r="AT26" i="5"/>
  <c r="DI26" i="5" s="1"/>
  <c r="Z27" i="5"/>
  <c r="CO27" i="5" s="1"/>
  <c r="AA27" i="5"/>
  <c r="CP27" i="5" s="1"/>
  <c r="AB27" i="5"/>
  <c r="CQ27" i="5" s="1"/>
  <c r="AC27" i="5"/>
  <c r="CR27" i="5" s="1"/>
  <c r="AD27" i="5"/>
  <c r="CS27" i="5" s="1"/>
  <c r="AE27" i="5"/>
  <c r="CT27" i="5" s="1"/>
  <c r="AF27" i="5"/>
  <c r="CU27" i="5" s="1"/>
  <c r="AG27" i="5"/>
  <c r="CV27" i="5" s="1"/>
  <c r="AH27" i="5"/>
  <c r="CW27" i="5" s="1"/>
  <c r="AI27" i="5"/>
  <c r="CX27" i="5" s="1"/>
  <c r="AJ27" i="5"/>
  <c r="CY27" i="5" s="1"/>
  <c r="AK27" i="5"/>
  <c r="CZ27" i="5" s="1"/>
  <c r="AL27" i="5"/>
  <c r="DA27" i="5" s="1"/>
  <c r="AM27" i="5"/>
  <c r="DB27" i="5" s="1"/>
  <c r="AN27" i="5"/>
  <c r="DC27" i="5" s="1"/>
  <c r="AO27" i="5"/>
  <c r="DD27" i="5" s="1"/>
  <c r="AP27" i="5"/>
  <c r="DE27" i="5" s="1"/>
  <c r="AQ27" i="5"/>
  <c r="DF27" i="5" s="1"/>
  <c r="AR27" i="5"/>
  <c r="DG27" i="5" s="1"/>
  <c r="AS27" i="5"/>
  <c r="DH27" i="5" s="1"/>
  <c r="AT27" i="5"/>
  <c r="DI27" i="5" s="1"/>
  <c r="Z28" i="5"/>
  <c r="CO28" i="5" s="1"/>
  <c r="AA28" i="5"/>
  <c r="CP28" i="5" s="1"/>
  <c r="AB28" i="5"/>
  <c r="CQ28" i="5" s="1"/>
  <c r="AC28" i="5"/>
  <c r="CR28" i="5" s="1"/>
  <c r="AD28" i="5"/>
  <c r="CS28" i="5" s="1"/>
  <c r="AE28" i="5"/>
  <c r="CT28" i="5" s="1"/>
  <c r="AF28" i="5"/>
  <c r="CU28" i="5" s="1"/>
  <c r="AG28" i="5"/>
  <c r="CV28" i="5" s="1"/>
  <c r="AH28" i="5"/>
  <c r="CW28" i="5" s="1"/>
  <c r="AI28" i="5"/>
  <c r="CX28" i="5" s="1"/>
  <c r="AJ28" i="5"/>
  <c r="CY28" i="5" s="1"/>
  <c r="AK28" i="5"/>
  <c r="CZ28" i="5" s="1"/>
  <c r="AL28" i="5"/>
  <c r="DA28" i="5" s="1"/>
  <c r="AM28" i="5"/>
  <c r="DB28" i="5" s="1"/>
  <c r="AN28" i="5"/>
  <c r="DC28" i="5" s="1"/>
  <c r="AO28" i="5"/>
  <c r="DD28" i="5" s="1"/>
  <c r="AP28" i="5"/>
  <c r="DE28" i="5" s="1"/>
  <c r="AQ28" i="5"/>
  <c r="DF28" i="5" s="1"/>
  <c r="AR28" i="5"/>
  <c r="DG28" i="5" s="1"/>
  <c r="AS28" i="5"/>
  <c r="DH28" i="5" s="1"/>
  <c r="AT28" i="5"/>
  <c r="DI28" i="5" s="1"/>
  <c r="Z29" i="5"/>
  <c r="CO29" i="5" s="1"/>
  <c r="AA29" i="5"/>
  <c r="CP29" i="5" s="1"/>
  <c r="AB29" i="5"/>
  <c r="CQ29" i="5" s="1"/>
  <c r="AC29" i="5"/>
  <c r="CR29" i="5" s="1"/>
  <c r="AD29" i="5"/>
  <c r="CS29" i="5" s="1"/>
  <c r="AE29" i="5"/>
  <c r="CT29" i="5" s="1"/>
  <c r="AF29" i="5"/>
  <c r="CU29" i="5" s="1"/>
  <c r="AG29" i="5"/>
  <c r="CV29" i="5" s="1"/>
  <c r="AH29" i="5"/>
  <c r="CW29" i="5" s="1"/>
  <c r="AI29" i="5"/>
  <c r="CX29" i="5" s="1"/>
  <c r="AJ29" i="5"/>
  <c r="CY29" i="5" s="1"/>
  <c r="AK29" i="5"/>
  <c r="CZ29" i="5" s="1"/>
  <c r="AL29" i="5"/>
  <c r="DA29" i="5" s="1"/>
  <c r="AM29" i="5"/>
  <c r="DB29" i="5" s="1"/>
  <c r="AN29" i="5"/>
  <c r="DC29" i="5" s="1"/>
  <c r="AO29" i="5"/>
  <c r="DD29" i="5" s="1"/>
  <c r="AP29" i="5"/>
  <c r="DE29" i="5" s="1"/>
  <c r="AQ29" i="5"/>
  <c r="DF29" i="5" s="1"/>
  <c r="AR29" i="5"/>
  <c r="DG29" i="5" s="1"/>
  <c r="AS29" i="5"/>
  <c r="DH29" i="5" s="1"/>
  <c r="AT29" i="5"/>
  <c r="DI29" i="5" s="1"/>
  <c r="Z30" i="5"/>
  <c r="CO30" i="5" s="1"/>
  <c r="AA30" i="5"/>
  <c r="CP30" i="5" s="1"/>
  <c r="AB30" i="5"/>
  <c r="CQ30" i="5" s="1"/>
  <c r="AC30" i="5"/>
  <c r="CR30" i="5" s="1"/>
  <c r="AD30" i="5"/>
  <c r="CS30" i="5" s="1"/>
  <c r="AE30" i="5"/>
  <c r="CT30" i="5" s="1"/>
  <c r="AF30" i="5"/>
  <c r="CU30" i="5" s="1"/>
  <c r="AG30" i="5"/>
  <c r="CV30" i="5" s="1"/>
  <c r="AH30" i="5"/>
  <c r="CW30" i="5" s="1"/>
  <c r="AI30" i="5"/>
  <c r="CX30" i="5" s="1"/>
  <c r="AJ30" i="5"/>
  <c r="CY30" i="5" s="1"/>
  <c r="AK30" i="5"/>
  <c r="CZ30" i="5" s="1"/>
  <c r="AL30" i="5"/>
  <c r="DA30" i="5" s="1"/>
  <c r="AM30" i="5"/>
  <c r="DB30" i="5" s="1"/>
  <c r="AN30" i="5"/>
  <c r="DC30" i="5" s="1"/>
  <c r="AO30" i="5"/>
  <c r="DD30" i="5" s="1"/>
  <c r="AP30" i="5"/>
  <c r="DE30" i="5" s="1"/>
  <c r="AQ30" i="5"/>
  <c r="DF30" i="5" s="1"/>
  <c r="AR30" i="5"/>
  <c r="DG30" i="5" s="1"/>
  <c r="AS30" i="5"/>
  <c r="DH30" i="5" s="1"/>
  <c r="AT30" i="5"/>
  <c r="DI30" i="5" s="1"/>
  <c r="Z31" i="5"/>
  <c r="CO31" i="5" s="1"/>
  <c r="AA31" i="5"/>
  <c r="CP31" i="5" s="1"/>
  <c r="AB31" i="5"/>
  <c r="CQ31" i="5" s="1"/>
  <c r="AC31" i="5"/>
  <c r="CR31" i="5" s="1"/>
  <c r="AD31" i="5"/>
  <c r="CS31" i="5" s="1"/>
  <c r="AE31" i="5"/>
  <c r="CT31" i="5" s="1"/>
  <c r="AF31" i="5"/>
  <c r="CU31" i="5" s="1"/>
  <c r="AG31" i="5"/>
  <c r="CV31" i="5" s="1"/>
  <c r="AH31" i="5"/>
  <c r="CW31" i="5" s="1"/>
  <c r="AI31" i="5"/>
  <c r="CX31" i="5" s="1"/>
  <c r="AJ31" i="5"/>
  <c r="CY31" i="5" s="1"/>
  <c r="AK31" i="5"/>
  <c r="CZ31" i="5" s="1"/>
  <c r="AL31" i="5"/>
  <c r="DA31" i="5" s="1"/>
  <c r="AM31" i="5"/>
  <c r="DB31" i="5" s="1"/>
  <c r="AN31" i="5"/>
  <c r="DC31" i="5" s="1"/>
  <c r="AO31" i="5"/>
  <c r="DD31" i="5" s="1"/>
  <c r="AP31" i="5"/>
  <c r="DE31" i="5" s="1"/>
  <c r="AQ31" i="5"/>
  <c r="DF31" i="5" s="1"/>
  <c r="AR31" i="5"/>
  <c r="DG31" i="5" s="1"/>
  <c r="AS31" i="5"/>
  <c r="DH31" i="5" s="1"/>
  <c r="AT31" i="5"/>
  <c r="DI31" i="5" s="1"/>
  <c r="Z32" i="5"/>
  <c r="CO32" i="5" s="1"/>
  <c r="AA32" i="5"/>
  <c r="CP32" i="5" s="1"/>
  <c r="AB32" i="5"/>
  <c r="CQ32" i="5" s="1"/>
  <c r="AC32" i="5"/>
  <c r="CR32" i="5" s="1"/>
  <c r="AD32" i="5"/>
  <c r="CS32" i="5" s="1"/>
  <c r="AE32" i="5"/>
  <c r="CT32" i="5" s="1"/>
  <c r="AF32" i="5"/>
  <c r="CU32" i="5" s="1"/>
  <c r="AG32" i="5"/>
  <c r="CV32" i="5" s="1"/>
  <c r="AH32" i="5"/>
  <c r="CW32" i="5" s="1"/>
  <c r="AI32" i="5"/>
  <c r="CX32" i="5" s="1"/>
  <c r="AJ32" i="5"/>
  <c r="CY32" i="5" s="1"/>
  <c r="AK32" i="5"/>
  <c r="CZ32" i="5" s="1"/>
  <c r="AL32" i="5"/>
  <c r="DA32" i="5" s="1"/>
  <c r="AM32" i="5"/>
  <c r="DB32" i="5" s="1"/>
  <c r="AN32" i="5"/>
  <c r="DC32" i="5" s="1"/>
  <c r="AO32" i="5"/>
  <c r="DD32" i="5" s="1"/>
  <c r="AP32" i="5"/>
  <c r="DE32" i="5" s="1"/>
  <c r="AQ32" i="5"/>
  <c r="DF32" i="5" s="1"/>
  <c r="AR32" i="5"/>
  <c r="DG32" i="5" s="1"/>
  <c r="AS32" i="5"/>
  <c r="DH32" i="5" s="1"/>
  <c r="AT32" i="5"/>
  <c r="DI32" i="5" s="1"/>
  <c r="Z33" i="5"/>
  <c r="CO33" i="5" s="1"/>
  <c r="AA33" i="5"/>
  <c r="CP33" i="5" s="1"/>
  <c r="AB33" i="5"/>
  <c r="CQ33" i="5" s="1"/>
  <c r="AC33" i="5"/>
  <c r="CR33" i="5" s="1"/>
  <c r="AD33" i="5"/>
  <c r="CS33" i="5" s="1"/>
  <c r="AE33" i="5"/>
  <c r="CT33" i="5" s="1"/>
  <c r="AF33" i="5"/>
  <c r="CU33" i="5" s="1"/>
  <c r="AG33" i="5"/>
  <c r="CV33" i="5" s="1"/>
  <c r="AH33" i="5"/>
  <c r="CW33" i="5" s="1"/>
  <c r="AI33" i="5"/>
  <c r="CX33" i="5" s="1"/>
  <c r="AJ33" i="5"/>
  <c r="CY33" i="5" s="1"/>
  <c r="AK33" i="5"/>
  <c r="CZ33" i="5" s="1"/>
  <c r="AL33" i="5"/>
  <c r="DA33" i="5" s="1"/>
  <c r="AM33" i="5"/>
  <c r="DB33" i="5" s="1"/>
  <c r="AN33" i="5"/>
  <c r="DC33" i="5" s="1"/>
  <c r="AO33" i="5"/>
  <c r="DD33" i="5" s="1"/>
  <c r="AP33" i="5"/>
  <c r="DE33" i="5" s="1"/>
  <c r="AQ33" i="5"/>
  <c r="DF33" i="5" s="1"/>
  <c r="AR33" i="5"/>
  <c r="DG33" i="5" s="1"/>
  <c r="AS33" i="5"/>
  <c r="DH33" i="5" s="1"/>
  <c r="AT33" i="5"/>
  <c r="DI33" i="5" s="1"/>
  <c r="Z34" i="5"/>
  <c r="CO34" i="5" s="1"/>
  <c r="AA34" i="5"/>
  <c r="CP34" i="5" s="1"/>
  <c r="AB34" i="5"/>
  <c r="CQ34" i="5" s="1"/>
  <c r="AC34" i="5"/>
  <c r="CR34" i="5" s="1"/>
  <c r="AD34" i="5"/>
  <c r="CS34" i="5" s="1"/>
  <c r="AE34" i="5"/>
  <c r="CT34" i="5" s="1"/>
  <c r="AF34" i="5"/>
  <c r="CU34" i="5" s="1"/>
  <c r="AG34" i="5"/>
  <c r="CV34" i="5" s="1"/>
  <c r="AH34" i="5"/>
  <c r="CW34" i="5" s="1"/>
  <c r="AI34" i="5"/>
  <c r="CX34" i="5" s="1"/>
  <c r="AJ34" i="5"/>
  <c r="CY34" i="5" s="1"/>
  <c r="AK34" i="5"/>
  <c r="CZ34" i="5" s="1"/>
  <c r="AL34" i="5"/>
  <c r="DA34" i="5" s="1"/>
  <c r="AM34" i="5"/>
  <c r="DB34" i="5" s="1"/>
  <c r="AN34" i="5"/>
  <c r="DC34" i="5" s="1"/>
  <c r="AO34" i="5"/>
  <c r="DD34" i="5" s="1"/>
  <c r="AP34" i="5"/>
  <c r="DE34" i="5" s="1"/>
  <c r="AQ34" i="5"/>
  <c r="DF34" i="5" s="1"/>
  <c r="AR34" i="5"/>
  <c r="DG34" i="5" s="1"/>
  <c r="AS34" i="5"/>
  <c r="DH34" i="5" s="1"/>
  <c r="AT34" i="5"/>
  <c r="DI34" i="5" s="1"/>
  <c r="Z35" i="5"/>
  <c r="CO35" i="5" s="1"/>
  <c r="AA35" i="5"/>
  <c r="CP35" i="5" s="1"/>
  <c r="AB35" i="5"/>
  <c r="CQ35" i="5" s="1"/>
  <c r="AC35" i="5"/>
  <c r="CR35" i="5" s="1"/>
  <c r="AD35" i="5"/>
  <c r="CS35" i="5" s="1"/>
  <c r="AE35" i="5"/>
  <c r="CT35" i="5" s="1"/>
  <c r="AF35" i="5"/>
  <c r="CU35" i="5" s="1"/>
  <c r="AG35" i="5"/>
  <c r="CV35" i="5" s="1"/>
  <c r="AH35" i="5"/>
  <c r="CW35" i="5" s="1"/>
  <c r="AI35" i="5"/>
  <c r="CX35" i="5" s="1"/>
  <c r="AJ35" i="5"/>
  <c r="CY35" i="5" s="1"/>
  <c r="AK35" i="5"/>
  <c r="CZ35" i="5" s="1"/>
  <c r="AL35" i="5"/>
  <c r="DA35" i="5" s="1"/>
  <c r="AM35" i="5"/>
  <c r="DB35" i="5" s="1"/>
  <c r="AN35" i="5"/>
  <c r="DC35" i="5" s="1"/>
  <c r="AO35" i="5"/>
  <c r="DD35" i="5" s="1"/>
  <c r="AP35" i="5"/>
  <c r="DE35" i="5" s="1"/>
  <c r="AQ35" i="5"/>
  <c r="DF35" i="5" s="1"/>
  <c r="AR35" i="5"/>
  <c r="DG35" i="5" s="1"/>
  <c r="AS35" i="5"/>
  <c r="DH35" i="5" s="1"/>
  <c r="AT35" i="5"/>
  <c r="DI35" i="5" s="1"/>
  <c r="Z36" i="5"/>
  <c r="CO36" i="5" s="1"/>
  <c r="AA36" i="5"/>
  <c r="CP36" i="5" s="1"/>
  <c r="AB36" i="5"/>
  <c r="CQ36" i="5" s="1"/>
  <c r="AC36" i="5"/>
  <c r="CR36" i="5" s="1"/>
  <c r="AD36" i="5"/>
  <c r="CS36" i="5" s="1"/>
  <c r="AE36" i="5"/>
  <c r="CT36" i="5" s="1"/>
  <c r="AF36" i="5"/>
  <c r="CU36" i="5" s="1"/>
  <c r="AG36" i="5"/>
  <c r="CV36" i="5" s="1"/>
  <c r="AH36" i="5"/>
  <c r="CW36" i="5" s="1"/>
  <c r="AI36" i="5"/>
  <c r="CX36" i="5" s="1"/>
  <c r="AJ36" i="5"/>
  <c r="CY36" i="5" s="1"/>
  <c r="AK36" i="5"/>
  <c r="CZ36" i="5" s="1"/>
  <c r="AL36" i="5"/>
  <c r="DA36" i="5" s="1"/>
  <c r="AM36" i="5"/>
  <c r="DB36" i="5" s="1"/>
  <c r="AN36" i="5"/>
  <c r="DC36" i="5" s="1"/>
  <c r="AO36" i="5"/>
  <c r="DD36" i="5" s="1"/>
  <c r="AP36" i="5"/>
  <c r="DE36" i="5" s="1"/>
  <c r="AQ36" i="5"/>
  <c r="DF36" i="5" s="1"/>
  <c r="AR36" i="5"/>
  <c r="DG36" i="5" s="1"/>
  <c r="AS36" i="5"/>
  <c r="DH36" i="5" s="1"/>
  <c r="AT36" i="5"/>
  <c r="DI36" i="5" s="1"/>
  <c r="Z37" i="5"/>
  <c r="CO37" i="5" s="1"/>
  <c r="AA37" i="5"/>
  <c r="CP37" i="5" s="1"/>
  <c r="AB37" i="5"/>
  <c r="CQ37" i="5" s="1"/>
  <c r="AC37" i="5"/>
  <c r="CR37" i="5" s="1"/>
  <c r="AD37" i="5"/>
  <c r="CS37" i="5" s="1"/>
  <c r="AE37" i="5"/>
  <c r="CT37" i="5" s="1"/>
  <c r="AF37" i="5"/>
  <c r="CU37" i="5" s="1"/>
  <c r="AG37" i="5"/>
  <c r="CV37" i="5" s="1"/>
  <c r="AH37" i="5"/>
  <c r="CW37" i="5" s="1"/>
  <c r="AI37" i="5"/>
  <c r="CX37" i="5" s="1"/>
  <c r="AJ37" i="5"/>
  <c r="CY37" i="5" s="1"/>
  <c r="AK37" i="5"/>
  <c r="CZ37" i="5" s="1"/>
  <c r="AL37" i="5"/>
  <c r="DA37" i="5" s="1"/>
  <c r="AM37" i="5"/>
  <c r="DB37" i="5" s="1"/>
  <c r="AN37" i="5"/>
  <c r="DC37" i="5" s="1"/>
  <c r="AO37" i="5"/>
  <c r="DD37" i="5" s="1"/>
  <c r="AP37" i="5"/>
  <c r="DE37" i="5" s="1"/>
  <c r="AQ37" i="5"/>
  <c r="DF37" i="5" s="1"/>
  <c r="AR37" i="5"/>
  <c r="DG37" i="5" s="1"/>
  <c r="AS37" i="5"/>
  <c r="DH37" i="5" s="1"/>
  <c r="AT37" i="5"/>
  <c r="DI37" i="5" s="1"/>
  <c r="Z38" i="5"/>
  <c r="CO38" i="5" s="1"/>
  <c r="AA38" i="5"/>
  <c r="CP38" i="5" s="1"/>
  <c r="AB38" i="5"/>
  <c r="CQ38" i="5" s="1"/>
  <c r="AC38" i="5"/>
  <c r="CR38" i="5" s="1"/>
  <c r="AD38" i="5"/>
  <c r="CS38" i="5" s="1"/>
  <c r="AE38" i="5"/>
  <c r="CT38" i="5" s="1"/>
  <c r="AF38" i="5"/>
  <c r="CU38" i="5" s="1"/>
  <c r="AG38" i="5"/>
  <c r="CV38" i="5" s="1"/>
  <c r="AH38" i="5"/>
  <c r="CW38" i="5" s="1"/>
  <c r="AI38" i="5"/>
  <c r="CX38" i="5" s="1"/>
  <c r="AJ38" i="5"/>
  <c r="CY38" i="5" s="1"/>
  <c r="AK38" i="5"/>
  <c r="CZ38" i="5" s="1"/>
  <c r="AL38" i="5"/>
  <c r="DA38" i="5" s="1"/>
  <c r="AM38" i="5"/>
  <c r="DB38" i="5" s="1"/>
  <c r="AN38" i="5"/>
  <c r="DC38" i="5" s="1"/>
  <c r="AO38" i="5"/>
  <c r="DD38" i="5" s="1"/>
  <c r="AP38" i="5"/>
  <c r="DE38" i="5" s="1"/>
  <c r="AQ38" i="5"/>
  <c r="DF38" i="5" s="1"/>
  <c r="AR38" i="5"/>
  <c r="DG38" i="5" s="1"/>
  <c r="AS38" i="5"/>
  <c r="DH38" i="5" s="1"/>
  <c r="AT38" i="5"/>
  <c r="DI38" i="5" s="1"/>
  <c r="Z39" i="5"/>
  <c r="CO39" i="5" s="1"/>
  <c r="AA39" i="5"/>
  <c r="CP39" i="5" s="1"/>
  <c r="AB39" i="5"/>
  <c r="CQ39" i="5" s="1"/>
  <c r="AC39" i="5"/>
  <c r="CR39" i="5" s="1"/>
  <c r="AD39" i="5"/>
  <c r="CS39" i="5" s="1"/>
  <c r="AE39" i="5"/>
  <c r="CT39" i="5" s="1"/>
  <c r="AF39" i="5"/>
  <c r="CU39" i="5" s="1"/>
  <c r="AG39" i="5"/>
  <c r="CV39" i="5" s="1"/>
  <c r="AH39" i="5"/>
  <c r="CW39" i="5" s="1"/>
  <c r="AI39" i="5"/>
  <c r="CX39" i="5" s="1"/>
  <c r="AJ39" i="5"/>
  <c r="CY39" i="5" s="1"/>
  <c r="AK39" i="5"/>
  <c r="CZ39" i="5" s="1"/>
  <c r="AL39" i="5"/>
  <c r="DA39" i="5" s="1"/>
  <c r="AM39" i="5"/>
  <c r="DB39" i="5" s="1"/>
  <c r="AN39" i="5"/>
  <c r="DC39" i="5" s="1"/>
  <c r="AO39" i="5"/>
  <c r="DD39" i="5" s="1"/>
  <c r="AP39" i="5"/>
  <c r="DE39" i="5" s="1"/>
  <c r="AQ39" i="5"/>
  <c r="DF39" i="5" s="1"/>
  <c r="AR39" i="5"/>
  <c r="DG39" i="5" s="1"/>
  <c r="AS39" i="5"/>
  <c r="DH39" i="5" s="1"/>
  <c r="AT39" i="5"/>
  <c r="DI39" i="5" s="1"/>
  <c r="Z40" i="5"/>
  <c r="CO40" i="5" s="1"/>
  <c r="AA40" i="5"/>
  <c r="CP40" i="5" s="1"/>
  <c r="AB40" i="5"/>
  <c r="CQ40" i="5" s="1"/>
  <c r="AC40" i="5"/>
  <c r="CR40" i="5" s="1"/>
  <c r="AD40" i="5"/>
  <c r="CS40" i="5" s="1"/>
  <c r="AE40" i="5"/>
  <c r="CT40" i="5" s="1"/>
  <c r="AF40" i="5"/>
  <c r="CU40" i="5" s="1"/>
  <c r="AG40" i="5"/>
  <c r="CV40" i="5" s="1"/>
  <c r="AH40" i="5"/>
  <c r="CW40" i="5" s="1"/>
  <c r="AI40" i="5"/>
  <c r="CX40" i="5" s="1"/>
  <c r="AJ40" i="5"/>
  <c r="CY40" i="5" s="1"/>
  <c r="AK40" i="5"/>
  <c r="CZ40" i="5" s="1"/>
  <c r="AL40" i="5"/>
  <c r="DA40" i="5" s="1"/>
  <c r="AM40" i="5"/>
  <c r="DB40" i="5" s="1"/>
  <c r="AN40" i="5"/>
  <c r="DC40" i="5" s="1"/>
  <c r="AO40" i="5"/>
  <c r="DD40" i="5" s="1"/>
  <c r="AP40" i="5"/>
  <c r="DE40" i="5" s="1"/>
  <c r="AQ40" i="5"/>
  <c r="DF40" i="5" s="1"/>
  <c r="AR40" i="5"/>
  <c r="DG40" i="5" s="1"/>
  <c r="AS40" i="5"/>
  <c r="DH40" i="5" s="1"/>
  <c r="AT40" i="5"/>
  <c r="DI40" i="5" s="1"/>
  <c r="Z41" i="5"/>
  <c r="CO41" i="5" s="1"/>
  <c r="AA41" i="5"/>
  <c r="CP41" i="5" s="1"/>
  <c r="AB41" i="5"/>
  <c r="CQ41" i="5" s="1"/>
  <c r="AC41" i="5"/>
  <c r="CR41" i="5" s="1"/>
  <c r="AD41" i="5"/>
  <c r="CS41" i="5" s="1"/>
  <c r="AE41" i="5"/>
  <c r="CT41" i="5" s="1"/>
  <c r="AF41" i="5"/>
  <c r="CU41" i="5" s="1"/>
  <c r="AG41" i="5"/>
  <c r="CV41" i="5" s="1"/>
  <c r="AH41" i="5"/>
  <c r="CW41" i="5" s="1"/>
  <c r="AI41" i="5"/>
  <c r="CX41" i="5" s="1"/>
  <c r="AJ41" i="5"/>
  <c r="CY41" i="5" s="1"/>
  <c r="AK41" i="5"/>
  <c r="CZ41" i="5" s="1"/>
  <c r="AL41" i="5"/>
  <c r="DA41" i="5" s="1"/>
  <c r="AM41" i="5"/>
  <c r="DB41" i="5" s="1"/>
  <c r="AN41" i="5"/>
  <c r="DC41" i="5" s="1"/>
  <c r="AO41" i="5"/>
  <c r="DD41" i="5" s="1"/>
  <c r="AP41" i="5"/>
  <c r="DE41" i="5" s="1"/>
  <c r="AQ41" i="5"/>
  <c r="DF41" i="5" s="1"/>
  <c r="AR41" i="5"/>
  <c r="DG41" i="5" s="1"/>
  <c r="AS41" i="5"/>
  <c r="DH41" i="5" s="1"/>
  <c r="AT41" i="5"/>
  <c r="DI41" i="5" s="1"/>
  <c r="Z42" i="5"/>
  <c r="CO42" i="5" s="1"/>
  <c r="AA42" i="5"/>
  <c r="CP42" i="5" s="1"/>
  <c r="AB42" i="5"/>
  <c r="CQ42" i="5" s="1"/>
  <c r="AC42" i="5"/>
  <c r="CR42" i="5" s="1"/>
  <c r="AD42" i="5"/>
  <c r="CS42" i="5" s="1"/>
  <c r="AE42" i="5"/>
  <c r="CT42" i="5" s="1"/>
  <c r="AF42" i="5"/>
  <c r="CU42" i="5" s="1"/>
  <c r="AG42" i="5"/>
  <c r="CV42" i="5" s="1"/>
  <c r="AH42" i="5"/>
  <c r="CW42" i="5" s="1"/>
  <c r="AI42" i="5"/>
  <c r="CX42" i="5" s="1"/>
  <c r="AJ42" i="5"/>
  <c r="CY42" i="5" s="1"/>
  <c r="AK42" i="5"/>
  <c r="CZ42" i="5" s="1"/>
  <c r="AL42" i="5"/>
  <c r="DA42" i="5" s="1"/>
  <c r="AM42" i="5"/>
  <c r="DB42" i="5" s="1"/>
  <c r="AN42" i="5"/>
  <c r="DC42" i="5" s="1"/>
  <c r="AO42" i="5"/>
  <c r="DD42" i="5" s="1"/>
  <c r="AP42" i="5"/>
  <c r="DE42" i="5" s="1"/>
  <c r="AQ42" i="5"/>
  <c r="DF42" i="5" s="1"/>
  <c r="AR42" i="5"/>
  <c r="DG42" i="5" s="1"/>
  <c r="AS42" i="5"/>
  <c r="DH42" i="5" s="1"/>
  <c r="AT42" i="5"/>
  <c r="DI42" i="5" s="1"/>
  <c r="AA7" i="5"/>
  <c r="CP7" i="5" s="1"/>
  <c r="AB7" i="5"/>
  <c r="CQ7" i="5" s="1"/>
  <c r="AC7" i="5"/>
  <c r="CR7" i="5" s="1"/>
  <c r="AD7" i="5"/>
  <c r="CS7" i="5" s="1"/>
  <c r="AE7" i="5"/>
  <c r="CT7" i="5" s="1"/>
  <c r="AF7" i="5"/>
  <c r="CU7" i="5" s="1"/>
  <c r="AG7" i="5"/>
  <c r="CV7" i="5" s="1"/>
  <c r="AH7" i="5"/>
  <c r="CW7" i="5" s="1"/>
  <c r="AI7" i="5"/>
  <c r="CX7" i="5" s="1"/>
  <c r="AJ7" i="5"/>
  <c r="CY7" i="5" s="1"/>
  <c r="AK7" i="5"/>
  <c r="CZ7" i="5" s="1"/>
  <c r="AL7" i="5"/>
  <c r="DA7" i="5" s="1"/>
  <c r="AM7" i="5"/>
  <c r="DB7" i="5" s="1"/>
  <c r="AN7" i="5"/>
  <c r="DC7" i="5" s="1"/>
  <c r="AO7" i="5"/>
  <c r="DD7" i="5" s="1"/>
  <c r="AP7" i="5"/>
  <c r="DE7" i="5" s="1"/>
  <c r="AQ7" i="5"/>
  <c r="DF7" i="5" s="1"/>
  <c r="AR7" i="5"/>
  <c r="DG7" i="5" s="1"/>
  <c r="AS7" i="5"/>
  <c r="DH7" i="5" s="1"/>
  <c r="AT7" i="5"/>
  <c r="DI7" i="5" s="1"/>
  <c r="Z7" i="5"/>
  <c r="CO7" i="5" s="1"/>
  <c r="CL42" i="5"/>
  <c r="CK42" i="5"/>
  <c r="CJ42" i="5"/>
  <c r="CI42" i="5"/>
  <c r="CH42" i="5"/>
  <c r="CG42" i="5"/>
  <c r="CF42" i="5"/>
  <c r="CE42" i="5"/>
  <c r="CD42" i="5"/>
  <c r="CC42" i="5"/>
  <c r="CB42" i="5"/>
  <c r="CA42" i="5"/>
  <c r="BZ42" i="5"/>
  <c r="BY42" i="5"/>
  <c r="BX42" i="5"/>
  <c r="BW42" i="5"/>
  <c r="BV42" i="5"/>
  <c r="BU42" i="5"/>
  <c r="BT42" i="5"/>
  <c r="BS42" i="5"/>
  <c r="BR42" i="5"/>
  <c r="CL41" i="5"/>
  <c r="CK41" i="5"/>
  <c r="CJ41" i="5"/>
  <c r="CI41" i="5"/>
  <c r="CH41" i="5"/>
  <c r="CG41" i="5"/>
  <c r="CF41" i="5"/>
  <c r="CE41" i="5"/>
  <c r="CD41" i="5"/>
  <c r="CC41" i="5"/>
  <c r="CB41" i="5"/>
  <c r="CA41" i="5"/>
  <c r="BZ41" i="5"/>
  <c r="BY41" i="5"/>
  <c r="BX41" i="5"/>
  <c r="BW41" i="5"/>
  <c r="BV41" i="5"/>
  <c r="BU41" i="5"/>
  <c r="BT41" i="5"/>
  <c r="BS41" i="5"/>
  <c r="BR41" i="5"/>
  <c r="CL40" i="5"/>
  <c r="CK40" i="5"/>
  <c r="CJ40" i="5"/>
  <c r="CI40" i="5"/>
  <c r="CH40" i="5"/>
  <c r="CG40" i="5"/>
  <c r="CF40" i="5"/>
  <c r="CE40" i="5"/>
  <c r="CD40" i="5"/>
  <c r="CC40" i="5"/>
  <c r="CB40" i="5"/>
  <c r="CA40" i="5"/>
  <c r="BZ40" i="5"/>
  <c r="BY40" i="5"/>
  <c r="BX40" i="5"/>
  <c r="BW40" i="5"/>
  <c r="BV40" i="5"/>
  <c r="BU40" i="5"/>
  <c r="BT40" i="5"/>
  <c r="BS40" i="5"/>
  <c r="BR40" i="5"/>
  <c r="CL39" i="5"/>
  <c r="CK39" i="5"/>
  <c r="CJ39" i="5"/>
  <c r="CI39" i="5"/>
  <c r="CH39" i="5"/>
  <c r="CG39" i="5"/>
  <c r="CF39" i="5"/>
  <c r="CE39" i="5"/>
  <c r="CD39" i="5"/>
  <c r="CC39" i="5"/>
  <c r="CB39" i="5"/>
  <c r="CA39" i="5"/>
  <c r="BZ39" i="5"/>
  <c r="BY39" i="5"/>
  <c r="BX39" i="5"/>
  <c r="BW39" i="5"/>
  <c r="BV39" i="5"/>
  <c r="BU39" i="5"/>
  <c r="BT39" i="5"/>
  <c r="BS39" i="5"/>
  <c r="BR39" i="5"/>
  <c r="CL38" i="5"/>
  <c r="CK38" i="5"/>
  <c r="CJ38" i="5"/>
  <c r="CI38" i="5"/>
  <c r="CH38" i="5"/>
  <c r="CG38" i="5"/>
  <c r="CF38" i="5"/>
  <c r="CE38" i="5"/>
  <c r="CD38" i="5"/>
  <c r="CC38" i="5"/>
  <c r="CB38" i="5"/>
  <c r="CA38" i="5"/>
  <c r="BZ38" i="5"/>
  <c r="BY38" i="5"/>
  <c r="BX38" i="5"/>
  <c r="BW38" i="5"/>
  <c r="BV38" i="5"/>
  <c r="BU38" i="5"/>
  <c r="BT38" i="5"/>
  <c r="BS38" i="5"/>
  <c r="BR38" i="5"/>
  <c r="CL37" i="5"/>
  <c r="CK37" i="5"/>
  <c r="CJ37" i="5"/>
  <c r="CI37" i="5"/>
  <c r="CH37" i="5"/>
  <c r="CG37" i="5"/>
  <c r="CF37" i="5"/>
  <c r="CE37" i="5"/>
  <c r="CD37" i="5"/>
  <c r="CC37" i="5"/>
  <c r="CB37" i="5"/>
  <c r="CA37" i="5"/>
  <c r="BZ37" i="5"/>
  <c r="BY37" i="5"/>
  <c r="BX37" i="5"/>
  <c r="BW37" i="5"/>
  <c r="BV37" i="5"/>
  <c r="BU37" i="5"/>
  <c r="BT37" i="5"/>
  <c r="BS37" i="5"/>
  <c r="BR37" i="5"/>
  <c r="CL36" i="5"/>
  <c r="CK36" i="5"/>
  <c r="CJ36" i="5"/>
  <c r="CI36" i="5"/>
  <c r="CH36" i="5"/>
  <c r="CG36" i="5"/>
  <c r="CF36" i="5"/>
  <c r="CE36" i="5"/>
  <c r="CD36" i="5"/>
  <c r="CC36" i="5"/>
  <c r="CB36" i="5"/>
  <c r="CA36" i="5"/>
  <c r="BZ36" i="5"/>
  <c r="BY36" i="5"/>
  <c r="BX36" i="5"/>
  <c r="BW36" i="5"/>
  <c r="BV36" i="5"/>
  <c r="BU36" i="5"/>
  <c r="BT36" i="5"/>
  <c r="BS36" i="5"/>
  <c r="BR36" i="5"/>
  <c r="CL35" i="5"/>
  <c r="CK35" i="5"/>
  <c r="CJ35" i="5"/>
  <c r="CI35" i="5"/>
  <c r="CH35" i="5"/>
  <c r="CG35" i="5"/>
  <c r="CF35" i="5"/>
  <c r="CE35" i="5"/>
  <c r="CD35" i="5"/>
  <c r="CC35" i="5"/>
  <c r="CB35" i="5"/>
  <c r="CA35" i="5"/>
  <c r="BZ35" i="5"/>
  <c r="BY35" i="5"/>
  <c r="BX35" i="5"/>
  <c r="BW35" i="5"/>
  <c r="BV35" i="5"/>
  <c r="BU35" i="5"/>
  <c r="BT35" i="5"/>
  <c r="BS35" i="5"/>
  <c r="BR35" i="5"/>
  <c r="CL34" i="5"/>
  <c r="CK34" i="5"/>
  <c r="CJ34" i="5"/>
  <c r="CI34" i="5"/>
  <c r="CH34" i="5"/>
  <c r="CG34" i="5"/>
  <c r="CF34" i="5"/>
  <c r="CE34" i="5"/>
  <c r="CD34" i="5"/>
  <c r="CC34" i="5"/>
  <c r="CB34" i="5"/>
  <c r="CA34" i="5"/>
  <c r="BZ34" i="5"/>
  <c r="BY34" i="5"/>
  <c r="BX34" i="5"/>
  <c r="BW34" i="5"/>
  <c r="BV34" i="5"/>
  <c r="BU34" i="5"/>
  <c r="BT34" i="5"/>
  <c r="BS34" i="5"/>
  <c r="BR34" i="5"/>
  <c r="CL33" i="5"/>
  <c r="CK33" i="5"/>
  <c r="CJ33" i="5"/>
  <c r="CI33" i="5"/>
  <c r="CH33" i="5"/>
  <c r="CG33" i="5"/>
  <c r="CF33" i="5"/>
  <c r="CE33" i="5"/>
  <c r="CD33" i="5"/>
  <c r="CC33" i="5"/>
  <c r="CB33" i="5"/>
  <c r="CA33" i="5"/>
  <c r="BZ33" i="5"/>
  <c r="BY33" i="5"/>
  <c r="BX33" i="5"/>
  <c r="BW33" i="5"/>
  <c r="BV33" i="5"/>
  <c r="BU33" i="5"/>
  <c r="BT33" i="5"/>
  <c r="BS33" i="5"/>
  <c r="BR33" i="5"/>
  <c r="CL32" i="5"/>
  <c r="CK32" i="5"/>
  <c r="CJ32" i="5"/>
  <c r="CI32" i="5"/>
  <c r="CH32" i="5"/>
  <c r="CG32" i="5"/>
  <c r="CF32" i="5"/>
  <c r="CE32" i="5"/>
  <c r="CD32" i="5"/>
  <c r="CC32" i="5"/>
  <c r="CB32" i="5"/>
  <c r="CA32" i="5"/>
  <c r="BZ32" i="5"/>
  <c r="BY32" i="5"/>
  <c r="BX32" i="5"/>
  <c r="BW32" i="5"/>
  <c r="BV32" i="5"/>
  <c r="BU32" i="5"/>
  <c r="BT32" i="5"/>
  <c r="BS32" i="5"/>
  <c r="BR32" i="5"/>
  <c r="CL31" i="5"/>
  <c r="CK31" i="5"/>
  <c r="CJ31" i="5"/>
  <c r="CI31" i="5"/>
  <c r="CH31" i="5"/>
  <c r="CG31" i="5"/>
  <c r="CF31" i="5"/>
  <c r="CE31" i="5"/>
  <c r="CD31" i="5"/>
  <c r="CC31" i="5"/>
  <c r="CB31" i="5"/>
  <c r="CA31" i="5"/>
  <c r="BZ31" i="5"/>
  <c r="BY31" i="5"/>
  <c r="BX31" i="5"/>
  <c r="BW31" i="5"/>
  <c r="BV31" i="5"/>
  <c r="BU31" i="5"/>
  <c r="BT31" i="5"/>
  <c r="BS31" i="5"/>
  <c r="BR31" i="5"/>
  <c r="CL30" i="5"/>
  <c r="CK30" i="5"/>
  <c r="CJ30" i="5"/>
  <c r="CI30" i="5"/>
  <c r="CH30" i="5"/>
  <c r="CG30" i="5"/>
  <c r="CF30" i="5"/>
  <c r="CE30" i="5"/>
  <c r="CD30" i="5"/>
  <c r="CC30" i="5"/>
  <c r="CB30" i="5"/>
  <c r="CA30" i="5"/>
  <c r="BZ30" i="5"/>
  <c r="BY30" i="5"/>
  <c r="BX30" i="5"/>
  <c r="BW30" i="5"/>
  <c r="BV30" i="5"/>
  <c r="BU30" i="5"/>
  <c r="BT30" i="5"/>
  <c r="BS30" i="5"/>
  <c r="BR30" i="5"/>
  <c r="CL29" i="5"/>
  <c r="CK29" i="5"/>
  <c r="CJ29" i="5"/>
  <c r="CI29" i="5"/>
  <c r="CH29" i="5"/>
  <c r="CG29" i="5"/>
  <c r="CF29" i="5"/>
  <c r="CE29" i="5"/>
  <c r="CD29" i="5"/>
  <c r="CC29" i="5"/>
  <c r="CB29" i="5"/>
  <c r="CA29" i="5"/>
  <c r="BZ29" i="5"/>
  <c r="BY29" i="5"/>
  <c r="BX29" i="5"/>
  <c r="BW29" i="5"/>
  <c r="BV29" i="5"/>
  <c r="BU29" i="5"/>
  <c r="BT29" i="5"/>
  <c r="BS29" i="5"/>
  <c r="BR29" i="5"/>
  <c r="CL28" i="5"/>
  <c r="CK28" i="5"/>
  <c r="CJ28" i="5"/>
  <c r="CI28" i="5"/>
  <c r="CH28" i="5"/>
  <c r="CG28" i="5"/>
  <c r="CF28" i="5"/>
  <c r="CE28" i="5"/>
  <c r="CD28" i="5"/>
  <c r="CC28" i="5"/>
  <c r="CB28" i="5"/>
  <c r="CA28" i="5"/>
  <c r="BZ28" i="5"/>
  <c r="BY28" i="5"/>
  <c r="BX28" i="5"/>
  <c r="BW28" i="5"/>
  <c r="BV28" i="5"/>
  <c r="BU28" i="5"/>
  <c r="BT28" i="5"/>
  <c r="BS28" i="5"/>
  <c r="BR28" i="5"/>
  <c r="CL27" i="5"/>
  <c r="CK27" i="5"/>
  <c r="CJ27" i="5"/>
  <c r="CI27" i="5"/>
  <c r="CH27" i="5"/>
  <c r="CG27" i="5"/>
  <c r="CF27" i="5"/>
  <c r="CE27" i="5"/>
  <c r="CD27" i="5"/>
  <c r="CC27" i="5"/>
  <c r="CB27" i="5"/>
  <c r="CA27" i="5"/>
  <c r="BZ27" i="5"/>
  <c r="BY27" i="5"/>
  <c r="BX27" i="5"/>
  <c r="BW27" i="5"/>
  <c r="BV27" i="5"/>
  <c r="BU27" i="5"/>
  <c r="BT27" i="5"/>
  <c r="BS27" i="5"/>
  <c r="BR27" i="5"/>
  <c r="CL26" i="5"/>
  <c r="CK26" i="5"/>
  <c r="CJ26" i="5"/>
  <c r="CI26" i="5"/>
  <c r="CH26" i="5"/>
  <c r="CG26" i="5"/>
  <c r="CF26" i="5"/>
  <c r="CE26" i="5"/>
  <c r="CD26" i="5"/>
  <c r="CC26" i="5"/>
  <c r="CB26" i="5"/>
  <c r="CA26" i="5"/>
  <c r="BZ26" i="5"/>
  <c r="BY26" i="5"/>
  <c r="BX26" i="5"/>
  <c r="BW26" i="5"/>
  <c r="BV26" i="5"/>
  <c r="BU26" i="5"/>
  <c r="BT26" i="5"/>
  <c r="BS26" i="5"/>
  <c r="BR26" i="5"/>
  <c r="CL25" i="5"/>
  <c r="CK25" i="5"/>
  <c r="CJ25" i="5"/>
  <c r="CI25" i="5"/>
  <c r="CH25" i="5"/>
  <c r="CG25" i="5"/>
  <c r="CF25" i="5"/>
  <c r="CE25" i="5"/>
  <c r="CD25" i="5"/>
  <c r="CC25" i="5"/>
  <c r="CB25" i="5"/>
  <c r="CA25" i="5"/>
  <c r="BZ25" i="5"/>
  <c r="BY25" i="5"/>
  <c r="BX25" i="5"/>
  <c r="BW25" i="5"/>
  <c r="BV25" i="5"/>
  <c r="BU25" i="5"/>
  <c r="BT25" i="5"/>
  <c r="BS25" i="5"/>
  <c r="BR25" i="5"/>
  <c r="CL24" i="5"/>
  <c r="CK24" i="5"/>
  <c r="CJ24" i="5"/>
  <c r="CI24" i="5"/>
  <c r="CH24" i="5"/>
  <c r="CG24" i="5"/>
  <c r="CF24" i="5"/>
  <c r="CE24" i="5"/>
  <c r="CD24" i="5"/>
  <c r="CC24" i="5"/>
  <c r="CB24" i="5"/>
  <c r="CA24" i="5"/>
  <c r="BZ24" i="5"/>
  <c r="BY24" i="5"/>
  <c r="BX24" i="5"/>
  <c r="BW24" i="5"/>
  <c r="BV24" i="5"/>
  <c r="BU24" i="5"/>
  <c r="BT24" i="5"/>
  <c r="BS24" i="5"/>
  <c r="BR24" i="5"/>
  <c r="CL23" i="5"/>
  <c r="CK23" i="5"/>
  <c r="CJ23" i="5"/>
  <c r="CI23" i="5"/>
  <c r="CH23" i="5"/>
  <c r="CG23" i="5"/>
  <c r="CF23" i="5"/>
  <c r="CE23" i="5"/>
  <c r="CD23" i="5"/>
  <c r="CC23" i="5"/>
  <c r="CB23" i="5"/>
  <c r="CA23" i="5"/>
  <c r="BZ23" i="5"/>
  <c r="BY23" i="5"/>
  <c r="BX23" i="5"/>
  <c r="BW23" i="5"/>
  <c r="BV23" i="5"/>
  <c r="BU23" i="5"/>
  <c r="BT23" i="5"/>
  <c r="BS23" i="5"/>
  <c r="BR23" i="5"/>
  <c r="CL22" i="5"/>
  <c r="CK22" i="5"/>
  <c r="CJ22" i="5"/>
  <c r="CI22" i="5"/>
  <c r="CH22" i="5"/>
  <c r="CG22" i="5"/>
  <c r="CF22" i="5"/>
  <c r="CE22" i="5"/>
  <c r="CD22" i="5"/>
  <c r="CC22" i="5"/>
  <c r="CB22" i="5"/>
  <c r="CA22" i="5"/>
  <c r="BZ22" i="5"/>
  <c r="BY22" i="5"/>
  <c r="BX22" i="5"/>
  <c r="BW22" i="5"/>
  <c r="BV22" i="5"/>
  <c r="BU22" i="5"/>
  <c r="BT22" i="5"/>
  <c r="BS22" i="5"/>
  <c r="BR22" i="5"/>
  <c r="CL21" i="5"/>
  <c r="CK21" i="5"/>
  <c r="CJ21" i="5"/>
  <c r="CI21" i="5"/>
  <c r="CH21" i="5"/>
  <c r="CG21" i="5"/>
  <c r="CF21" i="5"/>
  <c r="CE21" i="5"/>
  <c r="CD21" i="5"/>
  <c r="CC21" i="5"/>
  <c r="CB21" i="5"/>
  <c r="CA21" i="5"/>
  <c r="BZ21" i="5"/>
  <c r="BY21" i="5"/>
  <c r="BX21" i="5"/>
  <c r="BW21" i="5"/>
  <c r="BV21" i="5"/>
  <c r="BU21" i="5"/>
  <c r="BT21" i="5"/>
  <c r="BS21" i="5"/>
  <c r="BR21" i="5"/>
  <c r="CL20" i="5"/>
  <c r="CK20" i="5"/>
  <c r="CJ20" i="5"/>
  <c r="CI20" i="5"/>
  <c r="CH20" i="5"/>
  <c r="CG20" i="5"/>
  <c r="CF20" i="5"/>
  <c r="CE20" i="5"/>
  <c r="CD20" i="5"/>
  <c r="CC20" i="5"/>
  <c r="CB20" i="5"/>
  <c r="CA20" i="5"/>
  <c r="BZ20" i="5"/>
  <c r="BY20" i="5"/>
  <c r="BX20" i="5"/>
  <c r="BW20" i="5"/>
  <c r="BV20" i="5"/>
  <c r="BU20" i="5"/>
  <c r="BT20" i="5"/>
  <c r="BS20" i="5"/>
  <c r="BR20" i="5"/>
  <c r="CL19" i="5"/>
  <c r="CK19" i="5"/>
  <c r="CJ19" i="5"/>
  <c r="CI19" i="5"/>
  <c r="CH19" i="5"/>
  <c r="CG19" i="5"/>
  <c r="CF19" i="5"/>
  <c r="CE19" i="5"/>
  <c r="CD19" i="5"/>
  <c r="CC19" i="5"/>
  <c r="CB19" i="5"/>
  <c r="CA19" i="5"/>
  <c r="BZ19" i="5"/>
  <c r="BY19" i="5"/>
  <c r="BX19" i="5"/>
  <c r="BW19" i="5"/>
  <c r="BV19" i="5"/>
  <c r="BU19" i="5"/>
  <c r="BT19" i="5"/>
  <c r="BS19" i="5"/>
  <c r="BR19" i="5"/>
  <c r="CL18" i="5"/>
  <c r="CK18" i="5"/>
  <c r="CJ18" i="5"/>
  <c r="CI18" i="5"/>
  <c r="CH18" i="5"/>
  <c r="CG18" i="5"/>
  <c r="CF18" i="5"/>
  <c r="CE18" i="5"/>
  <c r="CD18" i="5"/>
  <c r="CC18" i="5"/>
  <c r="CB18" i="5"/>
  <c r="CA18" i="5"/>
  <c r="BZ18" i="5"/>
  <c r="BY18" i="5"/>
  <c r="BX18" i="5"/>
  <c r="BW18" i="5"/>
  <c r="BV18" i="5"/>
  <c r="BU18" i="5"/>
  <c r="BT18" i="5"/>
  <c r="BS18" i="5"/>
  <c r="BR18" i="5"/>
  <c r="CL17" i="5"/>
  <c r="CK17" i="5"/>
  <c r="CJ17" i="5"/>
  <c r="CI17" i="5"/>
  <c r="CH17" i="5"/>
  <c r="CG17" i="5"/>
  <c r="CF17" i="5"/>
  <c r="CE17" i="5"/>
  <c r="CD17" i="5"/>
  <c r="CC17" i="5"/>
  <c r="CB17" i="5"/>
  <c r="CA17" i="5"/>
  <c r="BZ17" i="5"/>
  <c r="BY17" i="5"/>
  <c r="BX17" i="5"/>
  <c r="BW17" i="5"/>
  <c r="BV17" i="5"/>
  <c r="BU17" i="5"/>
  <c r="BT17" i="5"/>
  <c r="BS17" i="5"/>
  <c r="BR17" i="5"/>
  <c r="CL16" i="5"/>
  <c r="CK16" i="5"/>
  <c r="CJ16" i="5"/>
  <c r="CI16" i="5"/>
  <c r="CH16" i="5"/>
  <c r="CG16" i="5"/>
  <c r="CF16" i="5"/>
  <c r="CE16" i="5"/>
  <c r="CD16" i="5"/>
  <c r="CC16" i="5"/>
  <c r="CB16" i="5"/>
  <c r="CA16" i="5"/>
  <c r="BZ16" i="5"/>
  <c r="BY16" i="5"/>
  <c r="BX16" i="5"/>
  <c r="BW16" i="5"/>
  <c r="BV16" i="5"/>
  <c r="BU16" i="5"/>
  <c r="BT16" i="5"/>
  <c r="BS16" i="5"/>
  <c r="BR16" i="5"/>
  <c r="CL15" i="5"/>
  <c r="CK15" i="5"/>
  <c r="CJ15" i="5"/>
  <c r="CI15" i="5"/>
  <c r="CH15" i="5"/>
  <c r="CG15" i="5"/>
  <c r="CF15" i="5"/>
  <c r="CE15" i="5"/>
  <c r="CD15" i="5"/>
  <c r="CC15" i="5"/>
  <c r="CB15" i="5"/>
  <c r="CA15" i="5"/>
  <c r="BZ15" i="5"/>
  <c r="BY15" i="5"/>
  <c r="BX15" i="5"/>
  <c r="BW15" i="5"/>
  <c r="BV15" i="5"/>
  <c r="BU15" i="5"/>
  <c r="BT15" i="5"/>
  <c r="BS15" i="5"/>
  <c r="BR15" i="5"/>
  <c r="CL14" i="5"/>
  <c r="CK14" i="5"/>
  <c r="CJ14" i="5"/>
  <c r="CI14" i="5"/>
  <c r="CH14" i="5"/>
  <c r="CG14" i="5"/>
  <c r="CF14" i="5"/>
  <c r="CE14" i="5"/>
  <c r="CD14" i="5"/>
  <c r="CC14" i="5"/>
  <c r="CB14" i="5"/>
  <c r="CA14" i="5"/>
  <c r="BZ14" i="5"/>
  <c r="BY14" i="5"/>
  <c r="BX14" i="5"/>
  <c r="BW14" i="5"/>
  <c r="BV14" i="5"/>
  <c r="BU14" i="5"/>
  <c r="BT14" i="5"/>
  <c r="BS14" i="5"/>
  <c r="BR14" i="5"/>
  <c r="CL13" i="5"/>
  <c r="CK13" i="5"/>
  <c r="CJ13" i="5"/>
  <c r="CI13" i="5"/>
  <c r="CH13" i="5"/>
  <c r="CG13" i="5"/>
  <c r="CF13" i="5"/>
  <c r="CE13" i="5"/>
  <c r="CD13" i="5"/>
  <c r="CC13" i="5"/>
  <c r="CB13" i="5"/>
  <c r="CA13" i="5"/>
  <c r="BZ13" i="5"/>
  <c r="BY13" i="5"/>
  <c r="BX13" i="5"/>
  <c r="BW13" i="5"/>
  <c r="BV13" i="5"/>
  <c r="BU13" i="5"/>
  <c r="BT13" i="5"/>
  <c r="BS13" i="5"/>
  <c r="BR13" i="5"/>
  <c r="CL12" i="5"/>
  <c r="CK12" i="5"/>
  <c r="CJ12" i="5"/>
  <c r="CI12" i="5"/>
  <c r="CH12" i="5"/>
  <c r="CG12" i="5"/>
  <c r="CF12" i="5"/>
  <c r="CE12" i="5"/>
  <c r="CD12" i="5"/>
  <c r="CC12" i="5"/>
  <c r="CB12" i="5"/>
  <c r="CA12" i="5"/>
  <c r="BZ12" i="5"/>
  <c r="BY12" i="5"/>
  <c r="BX12" i="5"/>
  <c r="BW12" i="5"/>
  <c r="BV12" i="5"/>
  <c r="BU12" i="5"/>
  <c r="BT12" i="5"/>
  <c r="BS12" i="5"/>
  <c r="BR12" i="5"/>
  <c r="CL11" i="5"/>
  <c r="CK11" i="5"/>
  <c r="CJ11" i="5"/>
  <c r="CI11" i="5"/>
  <c r="CH11" i="5"/>
  <c r="CG11" i="5"/>
  <c r="CF11" i="5"/>
  <c r="CE11" i="5"/>
  <c r="CD11" i="5"/>
  <c r="CC11" i="5"/>
  <c r="CB11" i="5"/>
  <c r="CA11" i="5"/>
  <c r="BZ11" i="5"/>
  <c r="BY11" i="5"/>
  <c r="BX11" i="5"/>
  <c r="BW11" i="5"/>
  <c r="BV11" i="5"/>
  <c r="BU11" i="5"/>
  <c r="BT11" i="5"/>
  <c r="BS11" i="5"/>
  <c r="BR11" i="5"/>
  <c r="CL10" i="5"/>
  <c r="CK10" i="5"/>
  <c r="CJ10" i="5"/>
  <c r="CI10" i="5"/>
  <c r="CH10" i="5"/>
  <c r="CG10" i="5"/>
  <c r="CF10" i="5"/>
  <c r="CE10" i="5"/>
  <c r="CD10" i="5"/>
  <c r="CC10" i="5"/>
  <c r="CB10" i="5"/>
  <c r="CA10" i="5"/>
  <c r="BZ10" i="5"/>
  <c r="BY10" i="5"/>
  <c r="BX10" i="5"/>
  <c r="BW10" i="5"/>
  <c r="BV10" i="5"/>
  <c r="BU10" i="5"/>
  <c r="BT10" i="5"/>
  <c r="BS10" i="5"/>
  <c r="BR10" i="5"/>
  <c r="CL9" i="5"/>
  <c r="CK9" i="5"/>
  <c r="CJ9" i="5"/>
  <c r="CI9" i="5"/>
  <c r="CH9" i="5"/>
  <c r="CG9" i="5"/>
  <c r="CF9" i="5"/>
  <c r="CE9" i="5"/>
  <c r="CD9" i="5"/>
  <c r="CC9" i="5"/>
  <c r="CB9" i="5"/>
  <c r="CA9" i="5"/>
  <c r="BZ9" i="5"/>
  <c r="BY9" i="5"/>
  <c r="BX9" i="5"/>
  <c r="BW9" i="5"/>
  <c r="BV9" i="5"/>
  <c r="BU9" i="5"/>
  <c r="BT9" i="5"/>
  <c r="BS9" i="5"/>
  <c r="BR9" i="5"/>
  <c r="CL8" i="5"/>
  <c r="CK8" i="5"/>
  <c r="CJ8" i="5"/>
  <c r="CI8" i="5"/>
  <c r="CH8" i="5"/>
  <c r="CG8" i="5"/>
  <c r="CF8" i="5"/>
  <c r="CE8" i="5"/>
  <c r="CD8" i="5"/>
  <c r="CC8" i="5"/>
  <c r="CB8" i="5"/>
  <c r="CA8" i="5"/>
  <c r="BZ8" i="5"/>
  <c r="BY8" i="5"/>
  <c r="BX8" i="5"/>
  <c r="BW8" i="5"/>
  <c r="BV8" i="5"/>
  <c r="BU8" i="5"/>
  <c r="BT8" i="5"/>
  <c r="BS8" i="5"/>
  <c r="BR8" i="5"/>
  <c r="CL7" i="5"/>
  <c r="CK7" i="5"/>
  <c r="CJ7" i="5"/>
  <c r="CI7" i="5"/>
  <c r="CH7" i="5"/>
  <c r="CG7" i="5"/>
  <c r="CF7" i="5"/>
  <c r="CE7" i="5"/>
  <c r="CD7" i="5"/>
  <c r="CC7" i="5"/>
  <c r="CB7" i="5"/>
  <c r="CA7" i="5"/>
  <c r="BZ7" i="5"/>
  <c r="BY7" i="5"/>
  <c r="BX7" i="5"/>
  <c r="BW7" i="5"/>
  <c r="BV7" i="5"/>
  <c r="BU7" i="5"/>
  <c r="BT7" i="5"/>
  <c r="BS7" i="5"/>
  <c r="BR7" i="5"/>
  <c r="CM10" i="5" l="1"/>
  <c r="CM15" i="5"/>
  <c r="CM19" i="5"/>
  <c r="CM24" i="5"/>
  <c r="CM33" i="5"/>
  <c r="CM37" i="5"/>
  <c r="BQ10" i="13"/>
  <c r="BQ14" i="13"/>
  <c r="BQ18" i="13"/>
  <c r="BQ22" i="13"/>
  <c r="BQ26" i="13"/>
  <c r="BQ30" i="13"/>
  <c r="BQ34" i="13"/>
  <c r="BQ38" i="13"/>
  <c r="BQ42" i="13"/>
  <c r="BQ46" i="13"/>
  <c r="BQ50" i="13"/>
  <c r="BQ25" i="13"/>
  <c r="BQ7" i="13"/>
  <c r="BQ11" i="13"/>
  <c r="BQ15" i="13"/>
  <c r="BQ19" i="13"/>
  <c r="BQ23" i="13"/>
  <c r="BQ27" i="13"/>
  <c r="BQ31" i="13"/>
  <c r="BQ35" i="13"/>
  <c r="BQ39" i="13"/>
  <c r="BQ43" i="13"/>
  <c r="BQ47" i="13"/>
  <c r="BQ51" i="13"/>
  <c r="BQ8" i="13"/>
  <c r="BQ12" i="13"/>
  <c r="BQ16" i="13"/>
  <c r="BQ20" i="13"/>
  <c r="BQ24" i="13"/>
  <c r="BQ28" i="13"/>
  <c r="BQ32" i="13"/>
  <c r="BQ36" i="13"/>
  <c r="BQ40" i="13"/>
  <c r="BQ44" i="13"/>
  <c r="BQ48" i="13"/>
  <c r="BQ52" i="13"/>
  <c r="CM8" i="5"/>
  <c r="CM11" i="5"/>
  <c r="CM32" i="5"/>
  <c r="CM35" i="5"/>
  <c r="CM7" i="5"/>
  <c r="CM9" i="5"/>
  <c r="CM18" i="5"/>
  <c r="CM20" i="5"/>
  <c r="CM27" i="5"/>
  <c r="CM31" i="5"/>
  <c r="CM39" i="5"/>
  <c r="CM41" i="5"/>
  <c r="CM42" i="5"/>
  <c r="CM14" i="5"/>
  <c r="CM29" i="5"/>
  <c r="CM36" i="5"/>
  <c r="CM12" i="5"/>
  <c r="CM16" i="5"/>
  <c r="CM22" i="5"/>
  <c r="CM23" i="5"/>
  <c r="CM25" i="5"/>
  <c r="CM26" i="5"/>
  <c r="CM28" i="5"/>
  <c r="DJ39" i="5"/>
  <c r="DJ17" i="5"/>
  <c r="DJ13" i="5"/>
  <c r="DJ38" i="5"/>
  <c r="DJ31" i="5"/>
  <c r="DJ22" i="5"/>
  <c r="DJ30" i="5"/>
  <c r="DJ33" i="5"/>
  <c r="DJ8" i="5"/>
  <c r="DJ10" i="5"/>
  <c r="DJ12" i="5"/>
  <c r="DJ18" i="5"/>
  <c r="DJ20" i="5"/>
  <c r="DJ21" i="5"/>
  <c r="DJ14" i="5"/>
  <c r="DJ37" i="5"/>
  <c r="DJ41" i="5"/>
  <c r="DJ26" i="5"/>
  <c r="DJ9" i="5"/>
  <c r="DJ24" i="5"/>
  <c r="DJ16" i="5"/>
  <c r="DJ25" i="5"/>
  <c r="DJ7" i="5"/>
  <c r="DJ15" i="5"/>
  <c r="CM17" i="5"/>
  <c r="DJ32" i="5"/>
  <c r="CM34" i="5"/>
  <c r="DJ35" i="5"/>
  <c r="DJ19" i="5"/>
  <c r="CM21" i="5"/>
  <c r="CM40" i="5"/>
  <c r="DJ23" i="5"/>
  <c r="DJ40" i="5"/>
  <c r="DJ11" i="5"/>
  <c r="CM13" i="5"/>
  <c r="DJ27" i="5"/>
  <c r="DJ28" i="5"/>
  <c r="DJ29" i="5"/>
  <c r="DJ34" i="5"/>
  <c r="DJ42" i="5"/>
  <c r="DJ36" i="5"/>
  <c r="CM38" i="5"/>
  <c r="CM30" i="5"/>
  <c r="A7" i="29" l="1"/>
  <c r="A9" i="29" s="1"/>
  <c r="A11" i="29" s="1"/>
  <c r="A13" i="29" s="1"/>
  <c r="A15" i="29" s="1"/>
  <c r="A17" i="29" s="1"/>
  <c r="D57" i="2" l="1"/>
  <c r="BP65" i="18" l="1"/>
  <c r="BO65" i="18"/>
  <c r="BN65" i="18"/>
  <c r="BM65" i="18"/>
  <c r="BL65" i="18"/>
  <c r="BK65" i="18"/>
  <c r="BJ65" i="18"/>
  <c r="BI65" i="18"/>
  <c r="BH65" i="18"/>
  <c r="BG65" i="18"/>
  <c r="BF65" i="18"/>
  <c r="BE65" i="18"/>
  <c r="BD65" i="18"/>
  <c r="BC65" i="18"/>
  <c r="BB65" i="18"/>
  <c r="BA65" i="18"/>
  <c r="AZ65" i="18"/>
  <c r="AY65" i="18"/>
  <c r="AX65" i="18"/>
  <c r="AW65" i="18"/>
  <c r="AV65" i="18"/>
  <c r="BQ65" i="18" s="1"/>
  <c r="BP64" i="18"/>
  <c r="BO64" i="18"/>
  <c r="BN64" i="18"/>
  <c r="BM64" i="18"/>
  <c r="BL64" i="18"/>
  <c r="BK64" i="18"/>
  <c r="BJ64" i="18"/>
  <c r="BI64" i="18"/>
  <c r="BH64" i="18"/>
  <c r="BG64" i="18"/>
  <c r="BF64" i="18"/>
  <c r="BE64" i="18"/>
  <c r="BD64" i="18"/>
  <c r="BC64" i="18"/>
  <c r="BB64" i="18"/>
  <c r="BA64" i="18"/>
  <c r="AZ64" i="18"/>
  <c r="AY64" i="18"/>
  <c r="AX64" i="18"/>
  <c r="AW64" i="18"/>
  <c r="AV64" i="18"/>
  <c r="BQ64" i="18" s="1"/>
  <c r="BP63" i="18"/>
  <c r="BO63" i="18"/>
  <c r="BN63" i="18"/>
  <c r="BM63" i="18"/>
  <c r="BL63" i="18"/>
  <c r="BK63" i="18"/>
  <c r="BJ63" i="18"/>
  <c r="BI63" i="18"/>
  <c r="BH63" i="18"/>
  <c r="BG63" i="18"/>
  <c r="BF63" i="18"/>
  <c r="BE63" i="18"/>
  <c r="BD63" i="18"/>
  <c r="BC63" i="18"/>
  <c r="BB63" i="18"/>
  <c r="BA63" i="18"/>
  <c r="AZ63" i="18"/>
  <c r="AY63" i="18"/>
  <c r="AX63" i="18"/>
  <c r="AW63" i="18"/>
  <c r="BQ63" i="18" s="1"/>
  <c r="AV63" i="18"/>
  <c r="BP62" i="18"/>
  <c r="BO62" i="18"/>
  <c r="BN62" i="18"/>
  <c r="BM62" i="18"/>
  <c r="BL62" i="18"/>
  <c r="BK62" i="18"/>
  <c r="BJ62" i="18"/>
  <c r="BI62" i="18"/>
  <c r="BH62" i="18"/>
  <c r="BG62" i="18"/>
  <c r="BF62" i="18"/>
  <c r="BE62" i="18"/>
  <c r="BD62" i="18"/>
  <c r="BC62" i="18"/>
  <c r="BB62" i="18"/>
  <c r="BA62" i="18"/>
  <c r="AZ62" i="18"/>
  <c r="AY62" i="18"/>
  <c r="AX62" i="18"/>
  <c r="AW62" i="18"/>
  <c r="BQ62" i="18" s="1"/>
  <c r="AV62" i="18"/>
  <c r="BP61" i="18"/>
  <c r="BO61" i="18"/>
  <c r="BN61" i="18"/>
  <c r="BM61" i="18"/>
  <c r="BL61" i="18"/>
  <c r="BK61" i="18"/>
  <c r="BJ61" i="18"/>
  <c r="BI61" i="18"/>
  <c r="BH61" i="18"/>
  <c r="BG61" i="18"/>
  <c r="BF61" i="18"/>
  <c r="BE61" i="18"/>
  <c r="BD61" i="18"/>
  <c r="BC61" i="18"/>
  <c r="BB61" i="18"/>
  <c r="BA61" i="18"/>
  <c r="AZ61" i="18"/>
  <c r="AY61" i="18"/>
  <c r="AX61" i="18"/>
  <c r="AW61" i="18"/>
  <c r="BQ61" i="18" s="1"/>
  <c r="AV61" i="18"/>
  <c r="BP60" i="18"/>
  <c r="BO60" i="18"/>
  <c r="BN60" i="18"/>
  <c r="BM60" i="18"/>
  <c r="BL60" i="18"/>
  <c r="BK60" i="18"/>
  <c r="BJ60" i="18"/>
  <c r="BI60" i="18"/>
  <c r="BH60" i="18"/>
  <c r="BG60" i="18"/>
  <c r="BF60" i="18"/>
  <c r="BE60" i="18"/>
  <c r="BD60" i="18"/>
  <c r="BC60" i="18"/>
  <c r="BB60" i="18"/>
  <c r="BA60" i="18"/>
  <c r="AZ60" i="18"/>
  <c r="AY60" i="18"/>
  <c r="AX60" i="18"/>
  <c r="AW60" i="18"/>
  <c r="BQ60" i="18" s="1"/>
  <c r="AV60" i="18"/>
  <c r="BP59" i="18"/>
  <c r="BO59" i="18"/>
  <c r="BN59" i="18"/>
  <c r="BM59" i="18"/>
  <c r="BL59" i="18"/>
  <c r="BK59" i="18"/>
  <c r="BJ59" i="18"/>
  <c r="BI59" i="18"/>
  <c r="BH59" i="18"/>
  <c r="BG59" i="18"/>
  <c r="BF59" i="18"/>
  <c r="BE59" i="18"/>
  <c r="BD59" i="18"/>
  <c r="BC59" i="18"/>
  <c r="BB59" i="18"/>
  <c r="BA59" i="18"/>
  <c r="AZ59" i="18"/>
  <c r="AY59" i="18"/>
  <c r="AX59" i="18"/>
  <c r="AW59" i="18"/>
  <c r="BQ59" i="18" s="1"/>
  <c r="AV59" i="18"/>
  <c r="BP58" i="18"/>
  <c r="BO58" i="18"/>
  <c r="BN58" i="18"/>
  <c r="BM58" i="18"/>
  <c r="BL58" i="18"/>
  <c r="BK58" i="18"/>
  <c r="BJ58" i="18"/>
  <c r="BI58" i="18"/>
  <c r="BH58" i="18"/>
  <c r="BG58" i="18"/>
  <c r="BF58" i="18"/>
  <c r="BE58" i="18"/>
  <c r="BD58" i="18"/>
  <c r="BC58" i="18"/>
  <c r="BB58" i="18"/>
  <c r="BA58" i="18"/>
  <c r="AZ58" i="18"/>
  <c r="AY58" i="18"/>
  <c r="AX58" i="18"/>
  <c r="AW58" i="18"/>
  <c r="BQ58" i="18" s="1"/>
  <c r="AV58" i="18"/>
  <c r="BP57" i="18"/>
  <c r="BO57" i="18"/>
  <c r="BN57" i="18"/>
  <c r="BM57" i="18"/>
  <c r="BL57" i="18"/>
  <c r="BK57" i="18"/>
  <c r="BJ57" i="18"/>
  <c r="BI57" i="18"/>
  <c r="BH57" i="18"/>
  <c r="BG57" i="18"/>
  <c r="BF57" i="18"/>
  <c r="BE57" i="18"/>
  <c r="BD57" i="18"/>
  <c r="BC57" i="18"/>
  <c r="BB57" i="18"/>
  <c r="BA57" i="18"/>
  <c r="AZ57" i="18"/>
  <c r="AY57" i="18"/>
  <c r="AX57" i="18"/>
  <c r="AW57" i="18"/>
  <c r="BQ57" i="18" s="1"/>
  <c r="AV57" i="18"/>
  <c r="BP56" i="18"/>
  <c r="BO56" i="18"/>
  <c r="BN56" i="18"/>
  <c r="BM56" i="18"/>
  <c r="BL56" i="18"/>
  <c r="BK56" i="18"/>
  <c r="BJ56" i="18"/>
  <c r="BI56" i="18"/>
  <c r="BH56" i="18"/>
  <c r="BG56" i="18"/>
  <c r="BF56" i="18"/>
  <c r="BE56" i="18"/>
  <c r="BD56" i="18"/>
  <c r="BC56" i="18"/>
  <c r="BB56" i="18"/>
  <c r="BA56" i="18"/>
  <c r="AZ56" i="18"/>
  <c r="AY56" i="18"/>
  <c r="AX56" i="18"/>
  <c r="AW56" i="18"/>
  <c r="BQ56" i="18" s="1"/>
  <c r="AV56" i="18"/>
  <c r="BP55" i="18"/>
  <c r="BO55" i="18"/>
  <c r="BN55" i="18"/>
  <c r="BM55" i="18"/>
  <c r="BL55" i="18"/>
  <c r="BK55" i="18"/>
  <c r="BJ55" i="18"/>
  <c r="BI55" i="18"/>
  <c r="BH55" i="18"/>
  <c r="BG55" i="18"/>
  <c r="BF55" i="18"/>
  <c r="BE55" i="18"/>
  <c r="BD55" i="18"/>
  <c r="BC55" i="18"/>
  <c r="BB55" i="18"/>
  <c r="BA55" i="18"/>
  <c r="AZ55" i="18"/>
  <c r="AY55" i="18"/>
  <c r="AX55" i="18"/>
  <c r="AW55" i="18"/>
  <c r="BQ55" i="18" s="1"/>
  <c r="AV55" i="18"/>
  <c r="BP54" i="18"/>
  <c r="BO54" i="18"/>
  <c r="BN54" i="18"/>
  <c r="BM54" i="18"/>
  <c r="BL54" i="18"/>
  <c r="BK54" i="18"/>
  <c r="BJ54" i="18"/>
  <c r="BI54" i="18"/>
  <c r="BH54" i="18"/>
  <c r="BG54" i="18"/>
  <c r="BF54" i="18"/>
  <c r="BE54" i="18"/>
  <c r="BD54" i="18"/>
  <c r="BC54" i="18"/>
  <c r="BB54" i="18"/>
  <c r="BA54" i="18"/>
  <c r="AZ54" i="18"/>
  <c r="AY54" i="18"/>
  <c r="AX54" i="18"/>
  <c r="AW54" i="18"/>
  <c r="BQ54" i="18" s="1"/>
  <c r="AV54" i="18"/>
  <c r="BP53" i="18"/>
  <c r="BO53" i="18"/>
  <c r="BN53" i="18"/>
  <c r="BM53" i="18"/>
  <c r="BL53" i="18"/>
  <c r="BK53" i="18"/>
  <c r="BJ53" i="18"/>
  <c r="BI53" i="18"/>
  <c r="BH53" i="18"/>
  <c r="BG53" i="18"/>
  <c r="BF53" i="18"/>
  <c r="BE53" i="18"/>
  <c r="BD53" i="18"/>
  <c r="BC53" i="18"/>
  <c r="BB53" i="18"/>
  <c r="BA53" i="18"/>
  <c r="AZ53" i="18"/>
  <c r="AY53" i="18"/>
  <c r="AX53" i="18"/>
  <c r="AW53" i="18"/>
  <c r="BQ53" i="18" s="1"/>
  <c r="AV53" i="18"/>
  <c r="BP52" i="18"/>
  <c r="BP51" i="18"/>
  <c r="BP50" i="18"/>
  <c r="BP49" i="18"/>
  <c r="BP48" i="18"/>
  <c r="BP47" i="18"/>
  <c r="BP46" i="18"/>
  <c r="BP45" i="18"/>
  <c r="BP44" i="18"/>
  <c r="BP43" i="18"/>
  <c r="BP42" i="18"/>
  <c r="BP41" i="18"/>
  <c r="BP40" i="18"/>
  <c r="BP39" i="18"/>
  <c r="BP38" i="18"/>
  <c r="BP37" i="18"/>
  <c r="BP36" i="18"/>
  <c r="BP35" i="18"/>
  <c r="BP34" i="18"/>
  <c r="BP33" i="18"/>
  <c r="BP32" i="18"/>
  <c r="BP31" i="18"/>
  <c r="BP30" i="18"/>
  <c r="BP29" i="18"/>
  <c r="BP28" i="18"/>
  <c r="BP27" i="18"/>
  <c r="BP26" i="18"/>
  <c r="BP25" i="18"/>
  <c r="BP24" i="18"/>
  <c r="BP23" i="18"/>
  <c r="BP22" i="18"/>
  <c r="BP21" i="18"/>
  <c r="BP20" i="18"/>
  <c r="BP19" i="18"/>
  <c r="BP18" i="18"/>
  <c r="BP17" i="18"/>
  <c r="BP16" i="18"/>
  <c r="BP15" i="18"/>
  <c r="BP14" i="18"/>
  <c r="BP13" i="18"/>
  <c r="BP12" i="18"/>
  <c r="BP11" i="18"/>
  <c r="BP10" i="18"/>
  <c r="BP9" i="18"/>
  <c r="BP8" i="18"/>
  <c r="BP7" i="18"/>
  <c r="BP65" i="17"/>
  <c r="BO65" i="17"/>
  <c r="BN65" i="17"/>
  <c r="BM65" i="17"/>
  <c r="BL65" i="17"/>
  <c r="BK65" i="17"/>
  <c r="BJ65" i="17"/>
  <c r="BI65" i="17"/>
  <c r="BH65" i="17"/>
  <c r="BG65" i="17"/>
  <c r="BF65" i="17"/>
  <c r="BE65" i="17"/>
  <c r="BD65" i="17"/>
  <c r="BC65" i="17"/>
  <c r="BB65" i="17"/>
  <c r="BA65" i="17"/>
  <c r="AZ65" i="17"/>
  <c r="AY65" i="17"/>
  <c r="AX65" i="17"/>
  <c r="AW65" i="17"/>
  <c r="AV65" i="17"/>
  <c r="BQ65" i="17" s="1"/>
  <c r="BP64" i="17"/>
  <c r="BO64" i="17"/>
  <c r="BN64" i="17"/>
  <c r="BM64" i="17"/>
  <c r="BL64" i="17"/>
  <c r="BK64" i="17"/>
  <c r="BJ64" i="17"/>
  <c r="BI64" i="17"/>
  <c r="BH64" i="17"/>
  <c r="BG64" i="17"/>
  <c r="BF64" i="17"/>
  <c r="BE64" i="17"/>
  <c r="BD64" i="17"/>
  <c r="BC64" i="17"/>
  <c r="BB64" i="17"/>
  <c r="BA64" i="17"/>
  <c r="AZ64" i="17"/>
  <c r="AY64" i="17"/>
  <c r="AX64" i="17"/>
  <c r="AW64" i="17"/>
  <c r="AV64" i="17"/>
  <c r="BQ64" i="17" s="1"/>
  <c r="BP63" i="17"/>
  <c r="BO63" i="17"/>
  <c r="BN63" i="17"/>
  <c r="BM63" i="17"/>
  <c r="BL63" i="17"/>
  <c r="BK63" i="17"/>
  <c r="BJ63" i="17"/>
  <c r="BI63" i="17"/>
  <c r="BH63" i="17"/>
  <c r="BG63" i="17"/>
  <c r="BF63" i="17"/>
  <c r="BE63" i="17"/>
  <c r="BD63" i="17"/>
  <c r="BC63" i="17"/>
  <c r="BB63" i="17"/>
  <c r="BA63" i="17"/>
  <c r="AZ63" i="17"/>
  <c r="AY63" i="17"/>
  <c r="AX63" i="17"/>
  <c r="AW63" i="17"/>
  <c r="AV63" i="17"/>
  <c r="BQ63" i="17" s="1"/>
  <c r="BP62" i="17"/>
  <c r="BO62" i="17"/>
  <c r="BN62" i="17"/>
  <c r="BM62" i="17"/>
  <c r="BL62" i="17"/>
  <c r="BK62" i="17"/>
  <c r="BJ62" i="17"/>
  <c r="BI62" i="17"/>
  <c r="BH62" i="17"/>
  <c r="BG62" i="17"/>
  <c r="BF62" i="17"/>
  <c r="BE62" i="17"/>
  <c r="BD62" i="17"/>
  <c r="BC62" i="17"/>
  <c r="BB62" i="17"/>
  <c r="BA62" i="17"/>
  <c r="AZ62" i="17"/>
  <c r="AY62" i="17"/>
  <c r="AX62" i="17"/>
  <c r="AW62" i="17"/>
  <c r="AV62" i="17"/>
  <c r="BQ62" i="17" s="1"/>
  <c r="BP61" i="17"/>
  <c r="BO61" i="17"/>
  <c r="BN61" i="17"/>
  <c r="BM61" i="17"/>
  <c r="BL61" i="17"/>
  <c r="BK61" i="17"/>
  <c r="BJ61" i="17"/>
  <c r="BI61" i="17"/>
  <c r="BH61" i="17"/>
  <c r="BG61" i="17"/>
  <c r="BF61" i="17"/>
  <c r="BE61" i="17"/>
  <c r="BD61" i="17"/>
  <c r="BC61" i="17"/>
  <c r="BB61" i="17"/>
  <c r="BA61" i="17"/>
  <c r="AZ61" i="17"/>
  <c r="AY61" i="17"/>
  <c r="AX61" i="17"/>
  <c r="AW61" i="17"/>
  <c r="BQ61" i="17" s="1"/>
  <c r="AV61" i="17"/>
  <c r="BP60" i="17"/>
  <c r="BO60" i="17"/>
  <c r="BN60" i="17"/>
  <c r="BM60" i="17"/>
  <c r="BL60" i="17"/>
  <c r="BK60" i="17"/>
  <c r="BJ60" i="17"/>
  <c r="BI60" i="17"/>
  <c r="BH60" i="17"/>
  <c r="BG60" i="17"/>
  <c r="BF60" i="17"/>
  <c r="BE60" i="17"/>
  <c r="BD60" i="17"/>
  <c r="BC60" i="17"/>
  <c r="BB60" i="17"/>
  <c r="BA60" i="17"/>
  <c r="AZ60" i="17"/>
  <c r="AY60" i="17"/>
  <c r="AX60" i="17"/>
  <c r="AW60" i="17"/>
  <c r="BQ60" i="17" s="1"/>
  <c r="AV60" i="17"/>
  <c r="BP59" i="17"/>
  <c r="BO59" i="17"/>
  <c r="BN59" i="17"/>
  <c r="BM59" i="17"/>
  <c r="BL59" i="17"/>
  <c r="BK59" i="17"/>
  <c r="BJ59" i="17"/>
  <c r="BI59" i="17"/>
  <c r="BH59" i="17"/>
  <c r="BG59" i="17"/>
  <c r="BF59" i="17"/>
  <c r="BE59" i="17"/>
  <c r="BD59" i="17"/>
  <c r="BC59" i="17"/>
  <c r="BB59" i="17"/>
  <c r="BA59" i="17"/>
  <c r="AZ59" i="17"/>
  <c r="AY59" i="17"/>
  <c r="AX59" i="17"/>
  <c r="AW59" i="17"/>
  <c r="BQ59" i="17" s="1"/>
  <c r="AV59" i="17"/>
  <c r="BP58" i="17"/>
  <c r="BO58" i="17"/>
  <c r="BN58" i="17"/>
  <c r="BM58" i="17"/>
  <c r="BL58" i="17"/>
  <c r="BK58" i="17"/>
  <c r="BJ58" i="17"/>
  <c r="BI58" i="17"/>
  <c r="BH58" i="17"/>
  <c r="BG58" i="17"/>
  <c r="BF58" i="17"/>
  <c r="BE58" i="17"/>
  <c r="BD58" i="17"/>
  <c r="BC58" i="17"/>
  <c r="BB58" i="17"/>
  <c r="BA58" i="17"/>
  <c r="AZ58" i="17"/>
  <c r="AY58" i="17"/>
  <c r="AX58" i="17"/>
  <c r="AW58" i="17"/>
  <c r="BQ58" i="17" s="1"/>
  <c r="AV58" i="17"/>
  <c r="BP57" i="17"/>
  <c r="BO57" i="17"/>
  <c r="BN57" i="17"/>
  <c r="BM57" i="17"/>
  <c r="BL57" i="17"/>
  <c r="BK57" i="17"/>
  <c r="BJ57" i="17"/>
  <c r="BI57" i="17"/>
  <c r="BH57" i="17"/>
  <c r="BG57" i="17"/>
  <c r="BF57" i="17"/>
  <c r="BE57" i="17"/>
  <c r="BD57" i="17"/>
  <c r="BC57" i="17"/>
  <c r="BB57" i="17"/>
  <c r="BA57" i="17"/>
  <c r="AZ57" i="17"/>
  <c r="AY57" i="17"/>
  <c r="AX57" i="17"/>
  <c r="AW57" i="17"/>
  <c r="BQ57" i="17" s="1"/>
  <c r="AV57" i="17"/>
  <c r="BP56" i="17"/>
  <c r="BO56" i="17"/>
  <c r="BN56" i="17"/>
  <c r="BM56" i="17"/>
  <c r="BL56" i="17"/>
  <c r="BK56" i="17"/>
  <c r="BJ56" i="17"/>
  <c r="BI56" i="17"/>
  <c r="BH56" i="17"/>
  <c r="BG56" i="17"/>
  <c r="BF56" i="17"/>
  <c r="BE56" i="17"/>
  <c r="BD56" i="17"/>
  <c r="BC56" i="17"/>
  <c r="BB56" i="17"/>
  <c r="BA56" i="17"/>
  <c r="AZ56" i="17"/>
  <c r="AY56" i="17"/>
  <c r="AX56" i="17"/>
  <c r="AW56" i="17"/>
  <c r="BQ56" i="17" s="1"/>
  <c r="AV56" i="17"/>
  <c r="BP55" i="17"/>
  <c r="BO55" i="17"/>
  <c r="BN55" i="17"/>
  <c r="BM55" i="17"/>
  <c r="BL55" i="17"/>
  <c r="BK55" i="17"/>
  <c r="BJ55" i="17"/>
  <c r="BI55" i="17"/>
  <c r="BH55" i="17"/>
  <c r="BG55" i="17"/>
  <c r="BF55" i="17"/>
  <c r="BE55" i="17"/>
  <c r="BD55" i="17"/>
  <c r="BC55" i="17"/>
  <c r="BB55" i="17"/>
  <c r="BA55" i="17"/>
  <c r="AZ55" i="17"/>
  <c r="AY55" i="17"/>
  <c r="AX55" i="17"/>
  <c r="AW55" i="17"/>
  <c r="AV55" i="17"/>
  <c r="BQ55" i="17" s="1"/>
  <c r="BP54" i="17"/>
  <c r="BO54" i="17"/>
  <c r="BN54" i="17"/>
  <c r="BM54" i="17"/>
  <c r="BL54" i="17"/>
  <c r="BK54" i="17"/>
  <c r="BJ54" i="17"/>
  <c r="BI54" i="17"/>
  <c r="BH54" i="17"/>
  <c r="BG54" i="17"/>
  <c r="BF54" i="17"/>
  <c r="BE54" i="17"/>
  <c r="BD54" i="17"/>
  <c r="BC54" i="17"/>
  <c r="BB54" i="17"/>
  <c r="BA54" i="17"/>
  <c r="AZ54" i="17"/>
  <c r="AY54" i="17"/>
  <c r="AX54" i="17"/>
  <c r="AW54" i="17"/>
  <c r="AV54" i="17"/>
  <c r="BQ54" i="17" s="1"/>
  <c r="BF32" i="17"/>
  <c r="AX32" i="17"/>
  <c r="BP30" i="17"/>
  <c r="BH30" i="17"/>
  <c r="BA29" i="17"/>
  <c r="BN28" i="17"/>
  <c r="BK27" i="17"/>
  <c r="BC27" i="17"/>
  <c r="AZ26" i="17"/>
  <c r="BI25" i="17"/>
  <c r="BF24" i="17"/>
  <c r="AX24" i="17"/>
  <c r="BP22" i="17"/>
  <c r="BH22" i="17"/>
  <c r="BA21" i="17"/>
  <c r="BN20" i="17"/>
  <c r="BK19" i="17"/>
  <c r="BC19" i="17"/>
  <c r="AZ18" i="17"/>
  <c r="BI17" i="17"/>
  <c r="BF16" i="17"/>
  <c r="AX16" i="17"/>
  <c r="BP14" i="17"/>
  <c r="BH14" i="17"/>
  <c r="BA13" i="17"/>
  <c r="BN12" i="17"/>
  <c r="BK11" i="17"/>
  <c r="BC11" i="17"/>
  <c r="AZ10" i="17"/>
  <c r="BI9" i="17"/>
  <c r="BF8" i="17"/>
  <c r="AT42" i="17"/>
  <c r="BP42" i="17" s="1"/>
  <c r="AS42" i="17"/>
  <c r="BO42" i="17" s="1"/>
  <c r="AR42" i="17"/>
  <c r="BN42" i="17" s="1"/>
  <c r="AQ42" i="17"/>
  <c r="BM42" i="17" s="1"/>
  <c r="AP42" i="17"/>
  <c r="BL42" i="17" s="1"/>
  <c r="AO42" i="17"/>
  <c r="BK42" i="17" s="1"/>
  <c r="AN42" i="17"/>
  <c r="BJ42" i="17" s="1"/>
  <c r="AM42" i="17"/>
  <c r="BI42" i="17" s="1"/>
  <c r="AL42" i="17"/>
  <c r="BH42" i="17" s="1"/>
  <c r="AK42" i="17"/>
  <c r="BG42" i="17" s="1"/>
  <c r="AJ42" i="17"/>
  <c r="BF42" i="17" s="1"/>
  <c r="AI42" i="17"/>
  <c r="BE42" i="17" s="1"/>
  <c r="AH42" i="17"/>
  <c r="BD42" i="17" s="1"/>
  <c r="AG42" i="17"/>
  <c r="BC42" i="17" s="1"/>
  <c r="AF42" i="17"/>
  <c r="BB42" i="17" s="1"/>
  <c r="AE42" i="17"/>
  <c r="BA42" i="17" s="1"/>
  <c r="AD42" i="17"/>
  <c r="AZ42" i="17" s="1"/>
  <c r="AC42" i="17"/>
  <c r="AY42" i="17" s="1"/>
  <c r="AB42" i="17"/>
  <c r="AX42" i="17" s="1"/>
  <c r="AA42" i="17"/>
  <c r="AW42" i="17" s="1"/>
  <c r="Z42" i="17"/>
  <c r="AV42" i="17" s="1"/>
  <c r="AT41" i="17"/>
  <c r="BP41" i="17" s="1"/>
  <c r="AS41" i="17"/>
  <c r="BO41" i="17" s="1"/>
  <c r="AR41" i="17"/>
  <c r="BN41" i="17" s="1"/>
  <c r="AQ41" i="17"/>
  <c r="BM41" i="17" s="1"/>
  <c r="AP41" i="17"/>
  <c r="BL41" i="17" s="1"/>
  <c r="AO41" i="17"/>
  <c r="BK41" i="17" s="1"/>
  <c r="AN41" i="17"/>
  <c r="BJ41" i="17" s="1"/>
  <c r="AM41" i="17"/>
  <c r="BI41" i="17" s="1"/>
  <c r="AL41" i="17"/>
  <c r="BH41" i="17" s="1"/>
  <c r="AK41" i="17"/>
  <c r="BG41" i="17" s="1"/>
  <c r="AJ41" i="17"/>
  <c r="BF41" i="17" s="1"/>
  <c r="AI41" i="17"/>
  <c r="BE41" i="17" s="1"/>
  <c r="AH41" i="17"/>
  <c r="BD41" i="17" s="1"/>
  <c r="AG41" i="17"/>
  <c r="BC41" i="17" s="1"/>
  <c r="AF41" i="17"/>
  <c r="BB41" i="17" s="1"/>
  <c r="AE41" i="17"/>
  <c r="BA41" i="17" s="1"/>
  <c r="AD41" i="17"/>
  <c r="AZ41" i="17" s="1"/>
  <c r="AC41" i="17"/>
  <c r="AY41" i="17" s="1"/>
  <c r="AB41" i="17"/>
  <c r="AX41" i="17" s="1"/>
  <c r="AA41" i="17"/>
  <c r="AW41" i="17" s="1"/>
  <c r="Z41" i="17"/>
  <c r="AV41" i="17" s="1"/>
  <c r="AT40" i="17"/>
  <c r="BP40" i="17" s="1"/>
  <c r="AS40" i="17"/>
  <c r="BO40" i="17" s="1"/>
  <c r="AR40" i="17"/>
  <c r="BN40" i="17" s="1"/>
  <c r="AQ40" i="17"/>
  <c r="BM40" i="17" s="1"/>
  <c r="AP40" i="17"/>
  <c r="BL40" i="17" s="1"/>
  <c r="AO40" i="17"/>
  <c r="BK40" i="17" s="1"/>
  <c r="AN40" i="17"/>
  <c r="BJ40" i="17" s="1"/>
  <c r="AM40" i="17"/>
  <c r="BI40" i="17" s="1"/>
  <c r="AL40" i="17"/>
  <c r="BH40" i="17" s="1"/>
  <c r="AK40" i="17"/>
  <c r="BG40" i="17" s="1"/>
  <c r="AJ40" i="17"/>
  <c r="BF40" i="17" s="1"/>
  <c r="AI40" i="17"/>
  <c r="BE40" i="17" s="1"/>
  <c r="AH40" i="17"/>
  <c r="BD40" i="17" s="1"/>
  <c r="AG40" i="17"/>
  <c r="BC40" i="17" s="1"/>
  <c r="AF40" i="17"/>
  <c r="BB40" i="17" s="1"/>
  <c r="AE40" i="17"/>
  <c r="BA40" i="17" s="1"/>
  <c r="AD40" i="17"/>
  <c r="AZ40" i="17" s="1"/>
  <c r="AC40" i="17"/>
  <c r="AY40" i="17" s="1"/>
  <c r="AB40" i="17"/>
  <c r="AX40" i="17" s="1"/>
  <c r="AA40" i="17"/>
  <c r="AW40" i="17" s="1"/>
  <c r="Z40" i="17"/>
  <c r="AV40" i="17" s="1"/>
  <c r="AT39" i="17"/>
  <c r="BP39" i="17" s="1"/>
  <c r="AS39" i="17"/>
  <c r="BO39" i="17" s="1"/>
  <c r="AR39" i="17"/>
  <c r="BN39" i="17" s="1"/>
  <c r="AQ39" i="17"/>
  <c r="BM39" i="17" s="1"/>
  <c r="AP39" i="17"/>
  <c r="BL39" i="17" s="1"/>
  <c r="AO39" i="17"/>
  <c r="BK39" i="17" s="1"/>
  <c r="AN39" i="17"/>
  <c r="BJ39" i="17" s="1"/>
  <c r="AM39" i="17"/>
  <c r="BI39" i="17" s="1"/>
  <c r="AL39" i="17"/>
  <c r="BH39" i="17" s="1"/>
  <c r="AK39" i="17"/>
  <c r="BG39" i="17" s="1"/>
  <c r="AJ39" i="17"/>
  <c r="BF39" i="17" s="1"/>
  <c r="AI39" i="17"/>
  <c r="BE39" i="17" s="1"/>
  <c r="AH39" i="17"/>
  <c r="BD39" i="17" s="1"/>
  <c r="AG39" i="17"/>
  <c r="BC39" i="17" s="1"/>
  <c r="AF39" i="17"/>
  <c r="BB39" i="17" s="1"/>
  <c r="AE39" i="17"/>
  <c r="BA39" i="17" s="1"/>
  <c r="AD39" i="17"/>
  <c r="AZ39" i="17" s="1"/>
  <c r="AC39" i="17"/>
  <c r="AY39" i="17" s="1"/>
  <c r="AB39" i="17"/>
  <c r="AX39" i="17" s="1"/>
  <c r="AA39" i="17"/>
  <c r="AW39" i="17" s="1"/>
  <c r="Z39" i="17"/>
  <c r="AV39" i="17" s="1"/>
  <c r="AT38" i="17"/>
  <c r="BP38" i="17" s="1"/>
  <c r="AS38" i="17"/>
  <c r="BO38" i="17" s="1"/>
  <c r="AR38" i="17"/>
  <c r="BN38" i="17" s="1"/>
  <c r="AQ38" i="17"/>
  <c r="BM38" i="17" s="1"/>
  <c r="AP38" i="17"/>
  <c r="BL38" i="17" s="1"/>
  <c r="AO38" i="17"/>
  <c r="BK38" i="17" s="1"/>
  <c r="AN38" i="17"/>
  <c r="BJ38" i="17" s="1"/>
  <c r="AM38" i="17"/>
  <c r="BI38" i="17" s="1"/>
  <c r="AL38" i="17"/>
  <c r="BH38" i="17" s="1"/>
  <c r="AK38" i="17"/>
  <c r="BG38" i="17" s="1"/>
  <c r="AJ38" i="17"/>
  <c r="BF38" i="17" s="1"/>
  <c r="AI38" i="17"/>
  <c r="BE38" i="17" s="1"/>
  <c r="AH38" i="17"/>
  <c r="BD38" i="17" s="1"/>
  <c r="AG38" i="17"/>
  <c r="BC38" i="17" s="1"/>
  <c r="AF38" i="17"/>
  <c r="BB38" i="17" s="1"/>
  <c r="AE38" i="17"/>
  <c r="BA38" i="17" s="1"/>
  <c r="AD38" i="17"/>
  <c r="AZ38" i="17" s="1"/>
  <c r="AC38" i="17"/>
  <c r="AY38" i="17" s="1"/>
  <c r="AB38" i="17"/>
  <c r="AX38" i="17" s="1"/>
  <c r="AA38" i="17"/>
  <c r="AW38" i="17" s="1"/>
  <c r="Z38" i="17"/>
  <c r="AV38" i="17" s="1"/>
  <c r="AT37" i="17"/>
  <c r="BP37" i="17" s="1"/>
  <c r="AS37" i="17"/>
  <c r="BO37" i="17" s="1"/>
  <c r="AR37" i="17"/>
  <c r="BN37" i="17" s="1"/>
  <c r="AQ37" i="17"/>
  <c r="BM37" i="17" s="1"/>
  <c r="AP37" i="17"/>
  <c r="BL37" i="17" s="1"/>
  <c r="AO37" i="17"/>
  <c r="BK37" i="17" s="1"/>
  <c r="AN37" i="17"/>
  <c r="BJ37" i="17" s="1"/>
  <c r="AM37" i="17"/>
  <c r="BI37" i="17" s="1"/>
  <c r="AL37" i="17"/>
  <c r="BH37" i="17" s="1"/>
  <c r="AK37" i="17"/>
  <c r="BG37" i="17" s="1"/>
  <c r="AJ37" i="17"/>
  <c r="BF37" i="17" s="1"/>
  <c r="AI37" i="17"/>
  <c r="BE37" i="17" s="1"/>
  <c r="AH37" i="17"/>
  <c r="BD37" i="17" s="1"/>
  <c r="AG37" i="17"/>
  <c r="BC37" i="17" s="1"/>
  <c r="AF37" i="17"/>
  <c r="BB37" i="17" s="1"/>
  <c r="AE37" i="17"/>
  <c r="BA37" i="17" s="1"/>
  <c r="AD37" i="17"/>
  <c r="AZ37" i="17" s="1"/>
  <c r="AC37" i="17"/>
  <c r="AY37" i="17" s="1"/>
  <c r="AB37" i="17"/>
  <c r="AX37" i="17" s="1"/>
  <c r="AA37" i="17"/>
  <c r="AW37" i="17" s="1"/>
  <c r="Z37" i="17"/>
  <c r="AV37" i="17" s="1"/>
  <c r="AT36" i="17"/>
  <c r="BP36" i="17" s="1"/>
  <c r="AS36" i="17"/>
  <c r="BO36" i="17" s="1"/>
  <c r="AR36" i="17"/>
  <c r="BN36" i="17" s="1"/>
  <c r="AQ36" i="17"/>
  <c r="BM36" i="17" s="1"/>
  <c r="AP36" i="17"/>
  <c r="BL36" i="17" s="1"/>
  <c r="AO36" i="17"/>
  <c r="BK36" i="17" s="1"/>
  <c r="AN36" i="17"/>
  <c r="BJ36" i="17" s="1"/>
  <c r="AM36" i="17"/>
  <c r="BI36" i="17" s="1"/>
  <c r="AL36" i="17"/>
  <c r="BH36" i="17" s="1"/>
  <c r="AK36" i="17"/>
  <c r="BG36" i="17" s="1"/>
  <c r="AJ36" i="17"/>
  <c r="BF36" i="17" s="1"/>
  <c r="AI36" i="17"/>
  <c r="BE36" i="17" s="1"/>
  <c r="AH36" i="17"/>
  <c r="BD36" i="17" s="1"/>
  <c r="AG36" i="17"/>
  <c r="BC36" i="17" s="1"/>
  <c r="AF36" i="17"/>
  <c r="BB36" i="17" s="1"/>
  <c r="AE36" i="17"/>
  <c r="BA36" i="17" s="1"/>
  <c r="AD36" i="17"/>
  <c r="AZ36" i="17" s="1"/>
  <c r="AC36" i="17"/>
  <c r="AY36" i="17" s="1"/>
  <c r="AB36" i="17"/>
  <c r="AX36" i="17" s="1"/>
  <c r="AA36" i="17"/>
  <c r="AW36" i="17" s="1"/>
  <c r="Z36" i="17"/>
  <c r="AV36" i="17" s="1"/>
  <c r="AT35" i="17"/>
  <c r="BP35" i="17" s="1"/>
  <c r="AS35" i="17"/>
  <c r="BO35" i="17" s="1"/>
  <c r="AR35" i="17"/>
  <c r="BN35" i="17" s="1"/>
  <c r="AQ35" i="17"/>
  <c r="BM35" i="17" s="1"/>
  <c r="AP35" i="17"/>
  <c r="BL35" i="17" s="1"/>
  <c r="AO35" i="17"/>
  <c r="BK35" i="17" s="1"/>
  <c r="AN35" i="17"/>
  <c r="BJ35" i="17" s="1"/>
  <c r="AM35" i="17"/>
  <c r="BI35" i="17" s="1"/>
  <c r="AL35" i="17"/>
  <c r="BH35" i="17" s="1"/>
  <c r="AK35" i="17"/>
  <c r="BG35" i="17" s="1"/>
  <c r="AJ35" i="17"/>
  <c r="BF35" i="17" s="1"/>
  <c r="AI35" i="17"/>
  <c r="BE35" i="17" s="1"/>
  <c r="AH35" i="17"/>
  <c r="BD35" i="17" s="1"/>
  <c r="AG35" i="17"/>
  <c r="BC35" i="17" s="1"/>
  <c r="AF35" i="17"/>
  <c r="BB35" i="17" s="1"/>
  <c r="AE35" i="17"/>
  <c r="BA35" i="17" s="1"/>
  <c r="AD35" i="17"/>
  <c r="AZ35" i="17" s="1"/>
  <c r="AC35" i="17"/>
  <c r="AY35" i="17" s="1"/>
  <c r="AB35" i="17"/>
  <c r="AX35" i="17" s="1"/>
  <c r="AA35" i="17"/>
  <c r="AW35" i="17" s="1"/>
  <c r="Z35" i="17"/>
  <c r="AV35" i="17" s="1"/>
  <c r="AT34" i="17"/>
  <c r="BP34" i="17" s="1"/>
  <c r="AS34" i="17"/>
  <c r="BO34" i="17" s="1"/>
  <c r="AR34" i="17"/>
  <c r="BN34" i="17" s="1"/>
  <c r="AQ34" i="17"/>
  <c r="BM34" i="17" s="1"/>
  <c r="AP34" i="17"/>
  <c r="BL34" i="17" s="1"/>
  <c r="AO34" i="17"/>
  <c r="BK34" i="17" s="1"/>
  <c r="AN34" i="17"/>
  <c r="BJ34" i="17" s="1"/>
  <c r="AM34" i="17"/>
  <c r="BI34" i="17" s="1"/>
  <c r="AL34" i="17"/>
  <c r="BH34" i="17" s="1"/>
  <c r="AK34" i="17"/>
  <c r="BG34" i="17" s="1"/>
  <c r="AJ34" i="17"/>
  <c r="BF34" i="17" s="1"/>
  <c r="AI34" i="17"/>
  <c r="BE34" i="17" s="1"/>
  <c r="AH34" i="17"/>
  <c r="BD34" i="17" s="1"/>
  <c r="AG34" i="17"/>
  <c r="BC34" i="17" s="1"/>
  <c r="AF34" i="17"/>
  <c r="BB34" i="17" s="1"/>
  <c r="AE34" i="17"/>
  <c r="BA34" i="17" s="1"/>
  <c r="AD34" i="17"/>
  <c r="AZ34" i="17" s="1"/>
  <c r="AC34" i="17"/>
  <c r="AY34" i="17" s="1"/>
  <c r="AB34" i="17"/>
  <c r="AX34" i="17" s="1"/>
  <c r="AA34" i="17"/>
  <c r="AW34" i="17" s="1"/>
  <c r="Z34" i="17"/>
  <c r="AV34" i="17" s="1"/>
  <c r="AT33" i="17"/>
  <c r="BP33" i="17" s="1"/>
  <c r="AS33" i="17"/>
  <c r="BO33" i="17" s="1"/>
  <c r="AR33" i="17"/>
  <c r="BN33" i="17" s="1"/>
  <c r="AQ33" i="17"/>
  <c r="BM33" i="17" s="1"/>
  <c r="AP33" i="17"/>
  <c r="BL33" i="17" s="1"/>
  <c r="AO33" i="17"/>
  <c r="BK33" i="17" s="1"/>
  <c r="AN33" i="17"/>
  <c r="BJ33" i="17" s="1"/>
  <c r="AM33" i="17"/>
  <c r="BI33" i="17" s="1"/>
  <c r="AL33" i="17"/>
  <c r="BH33" i="17" s="1"/>
  <c r="AK33" i="17"/>
  <c r="BG33" i="17" s="1"/>
  <c r="AJ33" i="17"/>
  <c r="BF33" i="17" s="1"/>
  <c r="AI33" i="17"/>
  <c r="BE33" i="17" s="1"/>
  <c r="AH33" i="17"/>
  <c r="BD33" i="17" s="1"/>
  <c r="AG33" i="17"/>
  <c r="BC33" i="17" s="1"/>
  <c r="AF33" i="17"/>
  <c r="BB33" i="17" s="1"/>
  <c r="AE33" i="17"/>
  <c r="BA33" i="17" s="1"/>
  <c r="AD33" i="17"/>
  <c r="AZ33" i="17" s="1"/>
  <c r="AC33" i="17"/>
  <c r="AY33" i="17" s="1"/>
  <c r="AB33" i="17"/>
  <c r="AX33" i="17" s="1"/>
  <c r="AA33" i="17"/>
  <c r="AW33" i="17" s="1"/>
  <c r="Z33" i="17"/>
  <c r="AV33" i="17" s="1"/>
  <c r="AT32" i="17"/>
  <c r="BP32" i="17" s="1"/>
  <c r="AS32" i="17"/>
  <c r="BO32" i="17" s="1"/>
  <c r="AR32" i="17"/>
  <c r="BN32" i="17" s="1"/>
  <c r="AQ32" i="17"/>
  <c r="BM32" i="17" s="1"/>
  <c r="AP32" i="17"/>
  <c r="BL32" i="17" s="1"/>
  <c r="AO32" i="17"/>
  <c r="BK32" i="17" s="1"/>
  <c r="AN32" i="17"/>
  <c r="BJ32" i="17" s="1"/>
  <c r="AM32" i="17"/>
  <c r="BI32" i="17" s="1"/>
  <c r="AL32" i="17"/>
  <c r="BH32" i="17" s="1"/>
  <c r="AK32" i="17"/>
  <c r="BG32" i="17" s="1"/>
  <c r="AJ32" i="17"/>
  <c r="AI32" i="17"/>
  <c r="BE32" i="17" s="1"/>
  <c r="AH32" i="17"/>
  <c r="BD32" i="17" s="1"/>
  <c r="AG32" i="17"/>
  <c r="BC32" i="17" s="1"/>
  <c r="AF32" i="17"/>
  <c r="BB32" i="17" s="1"/>
  <c r="AE32" i="17"/>
  <c r="BA32" i="17" s="1"/>
  <c r="AD32" i="17"/>
  <c r="AZ32" i="17" s="1"/>
  <c r="AC32" i="17"/>
  <c r="AY32" i="17" s="1"/>
  <c r="AB32" i="17"/>
  <c r="AA32" i="17"/>
  <c r="AW32" i="17" s="1"/>
  <c r="Z32" i="17"/>
  <c r="AV32" i="17" s="1"/>
  <c r="AT31" i="17"/>
  <c r="BP31" i="17" s="1"/>
  <c r="AS31" i="17"/>
  <c r="BO31" i="17" s="1"/>
  <c r="AR31" i="17"/>
  <c r="BN31" i="17" s="1"/>
  <c r="AQ31" i="17"/>
  <c r="BM31" i="17" s="1"/>
  <c r="AP31" i="17"/>
  <c r="BL31" i="17" s="1"/>
  <c r="AO31" i="17"/>
  <c r="BK31" i="17" s="1"/>
  <c r="AN31" i="17"/>
  <c r="BJ31" i="17" s="1"/>
  <c r="AM31" i="17"/>
  <c r="BI31" i="17" s="1"/>
  <c r="AL31" i="17"/>
  <c r="BH31" i="17" s="1"/>
  <c r="AK31" i="17"/>
  <c r="BG31" i="17" s="1"/>
  <c r="AJ31" i="17"/>
  <c r="BF31" i="17" s="1"/>
  <c r="AI31" i="17"/>
  <c r="BE31" i="17" s="1"/>
  <c r="AH31" i="17"/>
  <c r="BD31" i="17" s="1"/>
  <c r="AG31" i="17"/>
  <c r="BC31" i="17" s="1"/>
  <c r="AF31" i="17"/>
  <c r="BB31" i="17" s="1"/>
  <c r="AE31" i="17"/>
  <c r="BA31" i="17" s="1"/>
  <c r="AD31" i="17"/>
  <c r="AZ31" i="17" s="1"/>
  <c r="AC31" i="17"/>
  <c r="AY31" i="17" s="1"/>
  <c r="AB31" i="17"/>
  <c r="AX31" i="17" s="1"/>
  <c r="AA31" i="17"/>
  <c r="AW31" i="17" s="1"/>
  <c r="Z31" i="17"/>
  <c r="AV31" i="17" s="1"/>
  <c r="AT30" i="17"/>
  <c r="AS30" i="17"/>
  <c r="BO30" i="17" s="1"/>
  <c r="AR30" i="17"/>
  <c r="BN30" i="17" s="1"/>
  <c r="AQ30" i="17"/>
  <c r="BM30" i="17" s="1"/>
  <c r="AP30" i="17"/>
  <c r="BL30" i="17" s="1"/>
  <c r="AO30" i="17"/>
  <c r="BK30" i="17" s="1"/>
  <c r="AN30" i="17"/>
  <c r="BJ30" i="17" s="1"/>
  <c r="AM30" i="17"/>
  <c r="BI30" i="17" s="1"/>
  <c r="AL30" i="17"/>
  <c r="AK30" i="17"/>
  <c r="BG30" i="17" s="1"/>
  <c r="AJ30" i="17"/>
  <c r="BF30" i="17" s="1"/>
  <c r="AI30" i="17"/>
  <c r="BE30" i="17" s="1"/>
  <c r="AH30" i="17"/>
  <c r="BD30" i="17" s="1"/>
  <c r="AG30" i="17"/>
  <c r="BC30" i="17" s="1"/>
  <c r="AF30" i="17"/>
  <c r="BB30" i="17" s="1"/>
  <c r="AE30" i="17"/>
  <c r="BA30" i="17" s="1"/>
  <c r="AD30" i="17"/>
  <c r="AZ30" i="17" s="1"/>
  <c r="AC30" i="17"/>
  <c r="AY30" i="17" s="1"/>
  <c r="AB30" i="17"/>
  <c r="AX30" i="17" s="1"/>
  <c r="AA30" i="17"/>
  <c r="AW30" i="17" s="1"/>
  <c r="Z30" i="17"/>
  <c r="AV30" i="17" s="1"/>
  <c r="AT29" i="17"/>
  <c r="BP29" i="17" s="1"/>
  <c r="AS29" i="17"/>
  <c r="BO29" i="17" s="1"/>
  <c r="AR29" i="17"/>
  <c r="BN29" i="17" s="1"/>
  <c r="AQ29" i="17"/>
  <c r="BM29" i="17" s="1"/>
  <c r="AP29" i="17"/>
  <c r="BL29" i="17" s="1"/>
  <c r="AO29" i="17"/>
  <c r="BK29" i="17" s="1"/>
  <c r="AN29" i="17"/>
  <c r="BJ29" i="17" s="1"/>
  <c r="AM29" i="17"/>
  <c r="BI29" i="17" s="1"/>
  <c r="AL29" i="17"/>
  <c r="BH29" i="17" s="1"/>
  <c r="AK29" i="17"/>
  <c r="BG29" i="17" s="1"/>
  <c r="AJ29" i="17"/>
  <c r="BF29" i="17" s="1"/>
  <c r="AI29" i="17"/>
  <c r="BE29" i="17" s="1"/>
  <c r="AH29" i="17"/>
  <c r="BD29" i="17" s="1"/>
  <c r="AG29" i="17"/>
  <c r="BC29" i="17" s="1"/>
  <c r="AF29" i="17"/>
  <c r="BB29" i="17" s="1"/>
  <c r="AE29" i="17"/>
  <c r="AD29" i="17"/>
  <c r="AZ29" i="17" s="1"/>
  <c r="AC29" i="17"/>
  <c r="AY29" i="17" s="1"/>
  <c r="AB29" i="17"/>
  <c r="AX29" i="17" s="1"/>
  <c r="AA29" i="17"/>
  <c r="AW29" i="17" s="1"/>
  <c r="Z29" i="17"/>
  <c r="AV29" i="17" s="1"/>
  <c r="AT28" i="17"/>
  <c r="BP28" i="17" s="1"/>
  <c r="AS28" i="17"/>
  <c r="BO28" i="17" s="1"/>
  <c r="AR28" i="17"/>
  <c r="AQ28" i="17"/>
  <c r="BM28" i="17" s="1"/>
  <c r="AP28" i="17"/>
  <c r="BL28" i="17" s="1"/>
  <c r="AO28" i="17"/>
  <c r="BK28" i="17" s="1"/>
  <c r="AN28" i="17"/>
  <c r="BJ28" i="17" s="1"/>
  <c r="AM28" i="17"/>
  <c r="BI28" i="17" s="1"/>
  <c r="AL28" i="17"/>
  <c r="BH28" i="17" s="1"/>
  <c r="AK28" i="17"/>
  <c r="BG28" i="17" s="1"/>
  <c r="AJ28" i="17"/>
  <c r="BF28" i="17" s="1"/>
  <c r="AI28" i="17"/>
  <c r="BE28" i="17" s="1"/>
  <c r="AH28" i="17"/>
  <c r="BD28" i="17" s="1"/>
  <c r="AG28" i="17"/>
  <c r="BC28" i="17" s="1"/>
  <c r="AF28" i="17"/>
  <c r="BB28" i="17" s="1"/>
  <c r="AE28" i="17"/>
  <c r="BA28" i="17" s="1"/>
  <c r="AD28" i="17"/>
  <c r="AZ28" i="17" s="1"/>
  <c r="AC28" i="17"/>
  <c r="AY28" i="17" s="1"/>
  <c r="AB28" i="17"/>
  <c r="AX28" i="17" s="1"/>
  <c r="AA28" i="17"/>
  <c r="AW28" i="17" s="1"/>
  <c r="Z28" i="17"/>
  <c r="AV28" i="17" s="1"/>
  <c r="AT27" i="17"/>
  <c r="BP27" i="17" s="1"/>
  <c r="AS27" i="17"/>
  <c r="BO27" i="17" s="1"/>
  <c r="AR27" i="17"/>
  <c r="BN27" i="17" s="1"/>
  <c r="AQ27" i="17"/>
  <c r="BM27" i="17" s="1"/>
  <c r="AP27" i="17"/>
  <c r="BL27" i="17" s="1"/>
  <c r="AO27" i="17"/>
  <c r="AN27" i="17"/>
  <c r="BJ27" i="17" s="1"/>
  <c r="AM27" i="17"/>
  <c r="BI27" i="17" s="1"/>
  <c r="AL27" i="17"/>
  <c r="BH27" i="17" s="1"/>
  <c r="AK27" i="17"/>
  <c r="BG27" i="17" s="1"/>
  <c r="AJ27" i="17"/>
  <c r="BF27" i="17" s="1"/>
  <c r="AI27" i="17"/>
  <c r="BE27" i="17" s="1"/>
  <c r="AH27" i="17"/>
  <c r="BD27" i="17" s="1"/>
  <c r="AG27" i="17"/>
  <c r="AF27" i="17"/>
  <c r="BB27" i="17" s="1"/>
  <c r="AE27" i="17"/>
  <c r="BA27" i="17" s="1"/>
  <c r="AD27" i="17"/>
  <c r="AZ27" i="17" s="1"/>
  <c r="AC27" i="17"/>
  <c r="AY27" i="17" s="1"/>
  <c r="AB27" i="17"/>
  <c r="AX27" i="17" s="1"/>
  <c r="AA27" i="17"/>
  <c r="AW27" i="17" s="1"/>
  <c r="Z27" i="17"/>
  <c r="AV27" i="17" s="1"/>
  <c r="AT26" i="17"/>
  <c r="BP26" i="17" s="1"/>
  <c r="AS26" i="17"/>
  <c r="BO26" i="17" s="1"/>
  <c r="AR26" i="17"/>
  <c r="BN26" i="17" s="1"/>
  <c r="AQ26" i="17"/>
  <c r="BM26" i="17" s="1"/>
  <c r="AP26" i="17"/>
  <c r="BL26" i="17" s="1"/>
  <c r="AO26" i="17"/>
  <c r="BK26" i="17" s="1"/>
  <c r="AN26" i="17"/>
  <c r="BJ26" i="17" s="1"/>
  <c r="AM26" i="17"/>
  <c r="BI26" i="17" s="1"/>
  <c r="AL26" i="17"/>
  <c r="BH26" i="17" s="1"/>
  <c r="AK26" i="17"/>
  <c r="BG26" i="17" s="1"/>
  <c r="AJ26" i="17"/>
  <c r="BF26" i="17" s="1"/>
  <c r="AI26" i="17"/>
  <c r="BE26" i="17" s="1"/>
  <c r="AH26" i="17"/>
  <c r="BD26" i="17" s="1"/>
  <c r="AG26" i="17"/>
  <c r="BC26" i="17" s="1"/>
  <c r="AF26" i="17"/>
  <c r="BB26" i="17" s="1"/>
  <c r="AE26" i="17"/>
  <c r="BA26" i="17" s="1"/>
  <c r="AD26" i="17"/>
  <c r="AC26" i="17"/>
  <c r="AY26" i="17" s="1"/>
  <c r="AB26" i="17"/>
  <c r="AX26" i="17" s="1"/>
  <c r="AA26" i="17"/>
  <c r="AW26" i="17" s="1"/>
  <c r="Z26" i="17"/>
  <c r="AV26" i="17" s="1"/>
  <c r="AT25" i="17"/>
  <c r="BP25" i="17" s="1"/>
  <c r="AS25" i="17"/>
  <c r="BO25" i="17" s="1"/>
  <c r="AR25" i="17"/>
  <c r="BN25" i="17" s="1"/>
  <c r="AQ25" i="17"/>
  <c r="BM25" i="17" s="1"/>
  <c r="AP25" i="17"/>
  <c r="BL25" i="17" s="1"/>
  <c r="AO25" i="17"/>
  <c r="BK25" i="17" s="1"/>
  <c r="AN25" i="17"/>
  <c r="BJ25" i="17" s="1"/>
  <c r="AM25" i="17"/>
  <c r="AL25" i="17"/>
  <c r="BH25" i="17" s="1"/>
  <c r="AK25" i="17"/>
  <c r="BG25" i="17" s="1"/>
  <c r="AJ25" i="17"/>
  <c r="BF25" i="17" s="1"/>
  <c r="AI25" i="17"/>
  <c r="BE25" i="17" s="1"/>
  <c r="AH25" i="17"/>
  <c r="BD25" i="17" s="1"/>
  <c r="AG25" i="17"/>
  <c r="BC25" i="17" s="1"/>
  <c r="AF25" i="17"/>
  <c r="BB25" i="17" s="1"/>
  <c r="AE25" i="17"/>
  <c r="BA25" i="17" s="1"/>
  <c r="AD25" i="17"/>
  <c r="AZ25" i="17" s="1"/>
  <c r="AC25" i="17"/>
  <c r="AY25" i="17" s="1"/>
  <c r="AB25" i="17"/>
  <c r="AX25" i="17" s="1"/>
  <c r="AA25" i="17"/>
  <c r="AW25" i="17" s="1"/>
  <c r="Z25" i="17"/>
  <c r="AV25" i="17" s="1"/>
  <c r="AT24" i="17"/>
  <c r="BP24" i="17" s="1"/>
  <c r="AS24" i="17"/>
  <c r="BO24" i="17" s="1"/>
  <c r="AR24" i="17"/>
  <c r="BN24" i="17" s="1"/>
  <c r="AQ24" i="17"/>
  <c r="BM24" i="17" s="1"/>
  <c r="AP24" i="17"/>
  <c r="BL24" i="17" s="1"/>
  <c r="AO24" i="17"/>
  <c r="BK24" i="17" s="1"/>
  <c r="AN24" i="17"/>
  <c r="BJ24" i="17" s="1"/>
  <c r="AM24" i="17"/>
  <c r="BI24" i="17" s="1"/>
  <c r="AL24" i="17"/>
  <c r="BH24" i="17" s="1"/>
  <c r="AK24" i="17"/>
  <c r="BG24" i="17" s="1"/>
  <c r="AJ24" i="17"/>
  <c r="AI24" i="17"/>
  <c r="BE24" i="17" s="1"/>
  <c r="AH24" i="17"/>
  <c r="BD24" i="17" s="1"/>
  <c r="AG24" i="17"/>
  <c r="BC24" i="17" s="1"/>
  <c r="AF24" i="17"/>
  <c r="BB24" i="17" s="1"/>
  <c r="AE24" i="17"/>
  <c r="BA24" i="17" s="1"/>
  <c r="AD24" i="17"/>
  <c r="AZ24" i="17" s="1"/>
  <c r="AC24" i="17"/>
  <c r="AY24" i="17" s="1"/>
  <c r="AB24" i="17"/>
  <c r="AA24" i="17"/>
  <c r="AW24" i="17" s="1"/>
  <c r="Z24" i="17"/>
  <c r="AV24" i="17" s="1"/>
  <c r="AT23" i="17"/>
  <c r="BP23" i="17" s="1"/>
  <c r="AS23" i="17"/>
  <c r="BO23" i="17" s="1"/>
  <c r="AR23" i="17"/>
  <c r="BN23" i="17" s="1"/>
  <c r="AQ23" i="17"/>
  <c r="BM23" i="17" s="1"/>
  <c r="AP23" i="17"/>
  <c r="BL23" i="17" s="1"/>
  <c r="AO23" i="17"/>
  <c r="BK23" i="17" s="1"/>
  <c r="AN23" i="17"/>
  <c r="BJ23" i="17" s="1"/>
  <c r="AM23" i="17"/>
  <c r="BI23" i="17" s="1"/>
  <c r="AL23" i="17"/>
  <c r="BH23" i="17" s="1"/>
  <c r="AK23" i="17"/>
  <c r="BG23" i="17" s="1"/>
  <c r="AJ23" i="17"/>
  <c r="BF23" i="17" s="1"/>
  <c r="AI23" i="17"/>
  <c r="BE23" i="17" s="1"/>
  <c r="AH23" i="17"/>
  <c r="BD23" i="17" s="1"/>
  <c r="AG23" i="17"/>
  <c r="BC23" i="17" s="1"/>
  <c r="AF23" i="17"/>
  <c r="BB23" i="17" s="1"/>
  <c r="AE23" i="17"/>
  <c r="BA23" i="17" s="1"/>
  <c r="AD23" i="17"/>
  <c r="AZ23" i="17" s="1"/>
  <c r="AC23" i="17"/>
  <c r="AY23" i="17" s="1"/>
  <c r="AB23" i="17"/>
  <c r="AX23" i="17" s="1"/>
  <c r="AA23" i="17"/>
  <c r="AW23" i="17" s="1"/>
  <c r="Z23" i="17"/>
  <c r="AV23" i="17" s="1"/>
  <c r="AT22" i="17"/>
  <c r="AS22" i="17"/>
  <c r="BO22" i="17" s="1"/>
  <c r="AR22" i="17"/>
  <c r="BN22" i="17" s="1"/>
  <c r="AQ22" i="17"/>
  <c r="BM22" i="17" s="1"/>
  <c r="AP22" i="17"/>
  <c r="BL22" i="17" s="1"/>
  <c r="AO22" i="17"/>
  <c r="BK22" i="17" s="1"/>
  <c r="AN22" i="17"/>
  <c r="BJ22" i="17" s="1"/>
  <c r="AM22" i="17"/>
  <c r="BI22" i="17" s="1"/>
  <c r="AL22" i="17"/>
  <c r="AK22" i="17"/>
  <c r="BG22" i="17" s="1"/>
  <c r="AJ22" i="17"/>
  <c r="BF22" i="17" s="1"/>
  <c r="AI22" i="17"/>
  <c r="BE22" i="17" s="1"/>
  <c r="AH22" i="17"/>
  <c r="BD22" i="17" s="1"/>
  <c r="AG22" i="17"/>
  <c r="BC22" i="17" s="1"/>
  <c r="AF22" i="17"/>
  <c r="BB22" i="17" s="1"/>
  <c r="AE22" i="17"/>
  <c r="BA22" i="17" s="1"/>
  <c r="AD22" i="17"/>
  <c r="AZ22" i="17" s="1"/>
  <c r="AC22" i="17"/>
  <c r="AY22" i="17" s="1"/>
  <c r="AB22" i="17"/>
  <c r="AX22" i="17" s="1"/>
  <c r="AA22" i="17"/>
  <c r="AW22" i="17" s="1"/>
  <c r="Z22" i="17"/>
  <c r="AV22" i="17" s="1"/>
  <c r="AT21" i="17"/>
  <c r="BP21" i="17" s="1"/>
  <c r="AS21" i="17"/>
  <c r="BO21" i="17" s="1"/>
  <c r="AR21" i="17"/>
  <c r="BN21" i="17" s="1"/>
  <c r="AQ21" i="17"/>
  <c r="BM21" i="17" s="1"/>
  <c r="AP21" i="17"/>
  <c r="BL21" i="17" s="1"/>
  <c r="AO21" i="17"/>
  <c r="BK21" i="17" s="1"/>
  <c r="AN21" i="17"/>
  <c r="BJ21" i="17" s="1"/>
  <c r="AM21" i="17"/>
  <c r="BI21" i="17" s="1"/>
  <c r="AL21" i="17"/>
  <c r="BH21" i="17" s="1"/>
  <c r="AK21" i="17"/>
  <c r="BG21" i="17" s="1"/>
  <c r="AJ21" i="17"/>
  <c r="BF21" i="17" s="1"/>
  <c r="AI21" i="17"/>
  <c r="BE21" i="17" s="1"/>
  <c r="AH21" i="17"/>
  <c r="BD21" i="17" s="1"/>
  <c r="AG21" i="17"/>
  <c r="BC21" i="17" s="1"/>
  <c r="AF21" i="17"/>
  <c r="BB21" i="17" s="1"/>
  <c r="AE21" i="17"/>
  <c r="AD21" i="17"/>
  <c r="AZ21" i="17" s="1"/>
  <c r="AC21" i="17"/>
  <c r="AY21" i="17" s="1"/>
  <c r="AB21" i="17"/>
  <c r="AX21" i="17" s="1"/>
  <c r="AA21" i="17"/>
  <c r="AW21" i="17" s="1"/>
  <c r="Z21" i="17"/>
  <c r="AV21" i="17" s="1"/>
  <c r="AT20" i="17"/>
  <c r="BP20" i="17" s="1"/>
  <c r="AS20" i="17"/>
  <c r="BO20" i="17" s="1"/>
  <c r="AR20" i="17"/>
  <c r="AQ20" i="17"/>
  <c r="BM20" i="17" s="1"/>
  <c r="AP20" i="17"/>
  <c r="BL20" i="17" s="1"/>
  <c r="AO20" i="17"/>
  <c r="BK20" i="17" s="1"/>
  <c r="AN20" i="17"/>
  <c r="BJ20" i="17" s="1"/>
  <c r="AM20" i="17"/>
  <c r="BI20" i="17" s="1"/>
  <c r="AL20" i="17"/>
  <c r="BH20" i="17" s="1"/>
  <c r="AK20" i="17"/>
  <c r="BG20" i="17" s="1"/>
  <c r="AJ20" i="17"/>
  <c r="BF20" i="17" s="1"/>
  <c r="AI20" i="17"/>
  <c r="BE20" i="17" s="1"/>
  <c r="AH20" i="17"/>
  <c r="BD20" i="17" s="1"/>
  <c r="AG20" i="17"/>
  <c r="BC20" i="17" s="1"/>
  <c r="AF20" i="17"/>
  <c r="BB20" i="17" s="1"/>
  <c r="AE20" i="17"/>
  <c r="BA20" i="17" s="1"/>
  <c r="AD20" i="17"/>
  <c r="AZ20" i="17" s="1"/>
  <c r="AC20" i="17"/>
  <c r="AY20" i="17" s="1"/>
  <c r="AB20" i="17"/>
  <c r="AX20" i="17" s="1"/>
  <c r="AA20" i="17"/>
  <c r="AW20" i="17" s="1"/>
  <c r="Z20" i="17"/>
  <c r="AV20" i="17" s="1"/>
  <c r="AT19" i="17"/>
  <c r="BP19" i="17" s="1"/>
  <c r="AS19" i="17"/>
  <c r="BO19" i="17" s="1"/>
  <c r="AR19" i="17"/>
  <c r="BN19" i="17" s="1"/>
  <c r="AQ19" i="17"/>
  <c r="BM19" i="17" s="1"/>
  <c r="AP19" i="17"/>
  <c r="BL19" i="17" s="1"/>
  <c r="AO19" i="17"/>
  <c r="AN19" i="17"/>
  <c r="BJ19" i="17" s="1"/>
  <c r="AM19" i="17"/>
  <c r="BI19" i="17" s="1"/>
  <c r="AL19" i="17"/>
  <c r="BH19" i="17" s="1"/>
  <c r="AK19" i="17"/>
  <c r="BG19" i="17" s="1"/>
  <c r="AJ19" i="17"/>
  <c r="BF19" i="17" s="1"/>
  <c r="AI19" i="17"/>
  <c r="BE19" i="17" s="1"/>
  <c r="AH19" i="17"/>
  <c r="BD19" i="17" s="1"/>
  <c r="AG19" i="17"/>
  <c r="AF19" i="17"/>
  <c r="BB19" i="17" s="1"/>
  <c r="AE19" i="17"/>
  <c r="BA19" i="17" s="1"/>
  <c r="AD19" i="17"/>
  <c r="AZ19" i="17" s="1"/>
  <c r="AC19" i="17"/>
  <c r="AY19" i="17" s="1"/>
  <c r="AB19" i="17"/>
  <c r="AX19" i="17" s="1"/>
  <c r="AA19" i="17"/>
  <c r="AW19" i="17" s="1"/>
  <c r="Z19" i="17"/>
  <c r="AV19" i="17" s="1"/>
  <c r="AT18" i="17"/>
  <c r="BP18" i="17" s="1"/>
  <c r="AS18" i="17"/>
  <c r="BO18" i="17" s="1"/>
  <c r="AR18" i="17"/>
  <c r="BN18" i="17" s="1"/>
  <c r="AQ18" i="17"/>
  <c r="BM18" i="17" s="1"/>
  <c r="AP18" i="17"/>
  <c r="BL18" i="17" s="1"/>
  <c r="AO18" i="17"/>
  <c r="BK18" i="17" s="1"/>
  <c r="AN18" i="17"/>
  <c r="BJ18" i="17" s="1"/>
  <c r="AM18" i="17"/>
  <c r="BI18" i="17" s="1"/>
  <c r="AL18" i="17"/>
  <c r="BH18" i="17" s="1"/>
  <c r="AK18" i="17"/>
  <c r="BG18" i="17" s="1"/>
  <c r="AJ18" i="17"/>
  <c r="BF18" i="17" s="1"/>
  <c r="AI18" i="17"/>
  <c r="BE18" i="17" s="1"/>
  <c r="AH18" i="17"/>
  <c r="BD18" i="17" s="1"/>
  <c r="AG18" i="17"/>
  <c r="BC18" i="17" s="1"/>
  <c r="AF18" i="17"/>
  <c r="BB18" i="17" s="1"/>
  <c r="AE18" i="17"/>
  <c r="BA18" i="17" s="1"/>
  <c r="AD18" i="17"/>
  <c r="AC18" i="17"/>
  <c r="AY18" i="17" s="1"/>
  <c r="AB18" i="17"/>
  <c r="AX18" i="17" s="1"/>
  <c r="AA18" i="17"/>
  <c r="AW18" i="17" s="1"/>
  <c r="Z18" i="17"/>
  <c r="AV18" i="17" s="1"/>
  <c r="AT17" i="17"/>
  <c r="BP17" i="17" s="1"/>
  <c r="AS17" i="17"/>
  <c r="BO17" i="17" s="1"/>
  <c r="AR17" i="17"/>
  <c r="BN17" i="17" s="1"/>
  <c r="AQ17" i="17"/>
  <c r="BM17" i="17" s="1"/>
  <c r="AP17" i="17"/>
  <c r="BL17" i="17" s="1"/>
  <c r="AO17" i="17"/>
  <c r="BK17" i="17" s="1"/>
  <c r="AN17" i="17"/>
  <c r="BJ17" i="17" s="1"/>
  <c r="AM17" i="17"/>
  <c r="AL17" i="17"/>
  <c r="BH17" i="17" s="1"/>
  <c r="AK17" i="17"/>
  <c r="BG17" i="17" s="1"/>
  <c r="AJ17" i="17"/>
  <c r="BF17" i="17" s="1"/>
  <c r="AI17" i="17"/>
  <c r="BE17" i="17" s="1"/>
  <c r="AH17" i="17"/>
  <c r="BD17" i="17" s="1"/>
  <c r="AG17" i="17"/>
  <c r="BC17" i="17" s="1"/>
  <c r="AF17" i="17"/>
  <c r="BB17" i="17" s="1"/>
  <c r="AE17" i="17"/>
  <c r="BA17" i="17" s="1"/>
  <c r="AD17" i="17"/>
  <c r="AZ17" i="17" s="1"/>
  <c r="AC17" i="17"/>
  <c r="AY17" i="17" s="1"/>
  <c r="AB17" i="17"/>
  <c r="AX17" i="17" s="1"/>
  <c r="AA17" i="17"/>
  <c r="AW17" i="17" s="1"/>
  <c r="Z17" i="17"/>
  <c r="AV17" i="17" s="1"/>
  <c r="AT16" i="17"/>
  <c r="BP16" i="17" s="1"/>
  <c r="AS16" i="17"/>
  <c r="BO16" i="17" s="1"/>
  <c r="AR16" i="17"/>
  <c r="BN16" i="17" s="1"/>
  <c r="AQ16" i="17"/>
  <c r="BM16" i="17" s="1"/>
  <c r="AP16" i="17"/>
  <c r="BL16" i="17" s="1"/>
  <c r="AO16" i="17"/>
  <c r="BK16" i="17" s="1"/>
  <c r="AN16" i="17"/>
  <c r="BJ16" i="17" s="1"/>
  <c r="AM16" i="17"/>
  <c r="BI16" i="17" s="1"/>
  <c r="AL16" i="17"/>
  <c r="BH16" i="17" s="1"/>
  <c r="AK16" i="17"/>
  <c r="BG16" i="17" s="1"/>
  <c r="AJ16" i="17"/>
  <c r="AI16" i="17"/>
  <c r="BE16" i="17" s="1"/>
  <c r="AH16" i="17"/>
  <c r="BD16" i="17" s="1"/>
  <c r="AG16" i="17"/>
  <c r="BC16" i="17" s="1"/>
  <c r="AF16" i="17"/>
  <c r="BB16" i="17" s="1"/>
  <c r="AE16" i="17"/>
  <c r="BA16" i="17" s="1"/>
  <c r="AD16" i="17"/>
  <c r="AZ16" i="17" s="1"/>
  <c r="AC16" i="17"/>
  <c r="AY16" i="17" s="1"/>
  <c r="AB16" i="17"/>
  <c r="AA16" i="17"/>
  <c r="AW16" i="17" s="1"/>
  <c r="Z16" i="17"/>
  <c r="AV16" i="17" s="1"/>
  <c r="AT15" i="17"/>
  <c r="BP15" i="17" s="1"/>
  <c r="AS15" i="17"/>
  <c r="BO15" i="17" s="1"/>
  <c r="AR15" i="17"/>
  <c r="BN15" i="17" s="1"/>
  <c r="AQ15" i="17"/>
  <c r="BM15" i="17" s="1"/>
  <c r="AP15" i="17"/>
  <c r="BL15" i="17" s="1"/>
  <c r="AO15" i="17"/>
  <c r="BK15" i="17" s="1"/>
  <c r="AN15" i="17"/>
  <c r="BJ15" i="17" s="1"/>
  <c r="AM15" i="17"/>
  <c r="BI15" i="17" s="1"/>
  <c r="AL15" i="17"/>
  <c r="BH15" i="17" s="1"/>
  <c r="AK15" i="17"/>
  <c r="BG15" i="17" s="1"/>
  <c r="AJ15" i="17"/>
  <c r="BF15" i="17" s="1"/>
  <c r="AI15" i="17"/>
  <c r="BE15" i="17" s="1"/>
  <c r="AH15" i="17"/>
  <c r="BD15" i="17" s="1"/>
  <c r="AG15" i="17"/>
  <c r="BC15" i="17" s="1"/>
  <c r="AF15" i="17"/>
  <c r="BB15" i="17" s="1"/>
  <c r="AE15" i="17"/>
  <c r="BA15" i="17" s="1"/>
  <c r="AD15" i="17"/>
  <c r="AZ15" i="17" s="1"/>
  <c r="AC15" i="17"/>
  <c r="AY15" i="17" s="1"/>
  <c r="AB15" i="17"/>
  <c r="AX15" i="17" s="1"/>
  <c r="AA15" i="17"/>
  <c r="AW15" i="17" s="1"/>
  <c r="Z15" i="17"/>
  <c r="AV15" i="17" s="1"/>
  <c r="AT14" i="17"/>
  <c r="AS14" i="17"/>
  <c r="BO14" i="17" s="1"/>
  <c r="AR14" i="17"/>
  <c r="BN14" i="17" s="1"/>
  <c r="AQ14" i="17"/>
  <c r="BM14" i="17" s="1"/>
  <c r="AP14" i="17"/>
  <c r="BL14" i="17" s="1"/>
  <c r="AO14" i="17"/>
  <c r="BK14" i="17" s="1"/>
  <c r="AN14" i="17"/>
  <c r="BJ14" i="17" s="1"/>
  <c r="AM14" i="17"/>
  <c r="BI14" i="17" s="1"/>
  <c r="AL14" i="17"/>
  <c r="AK14" i="17"/>
  <c r="BG14" i="17" s="1"/>
  <c r="AJ14" i="17"/>
  <c r="BF14" i="17" s="1"/>
  <c r="AI14" i="17"/>
  <c r="BE14" i="17" s="1"/>
  <c r="AH14" i="17"/>
  <c r="BD14" i="17" s="1"/>
  <c r="AG14" i="17"/>
  <c r="BC14" i="17" s="1"/>
  <c r="AF14" i="17"/>
  <c r="BB14" i="17" s="1"/>
  <c r="AE14" i="17"/>
  <c r="BA14" i="17" s="1"/>
  <c r="AD14" i="17"/>
  <c r="AZ14" i="17" s="1"/>
  <c r="AC14" i="17"/>
  <c r="AY14" i="17" s="1"/>
  <c r="AB14" i="17"/>
  <c r="AX14" i="17" s="1"/>
  <c r="AA14" i="17"/>
  <c r="AW14" i="17" s="1"/>
  <c r="Z14" i="17"/>
  <c r="AV14" i="17" s="1"/>
  <c r="AT13" i="17"/>
  <c r="BP13" i="17" s="1"/>
  <c r="AS13" i="17"/>
  <c r="BO13" i="17" s="1"/>
  <c r="AR13" i="17"/>
  <c r="BN13" i="17" s="1"/>
  <c r="AQ13" i="17"/>
  <c r="BM13" i="17" s="1"/>
  <c r="AP13" i="17"/>
  <c r="BL13" i="17" s="1"/>
  <c r="AO13" i="17"/>
  <c r="BK13" i="17" s="1"/>
  <c r="AN13" i="17"/>
  <c r="BJ13" i="17" s="1"/>
  <c r="AM13" i="17"/>
  <c r="BI13" i="17" s="1"/>
  <c r="AL13" i="17"/>
  <c r="BH13" i="17" s="1"/>
  <c r="AK13" i="17"/>
  <c r="BG13" i="17" s="1"/>
  <c r="AJ13" i="17"/>
  <c r="BF13" i="17" s="1"/>
  <c r="AI13" i="17"/>
  <c r="BE13" i="17" s="1"/>
  <c r="AH13" i="17"/>
  <c r="BD13" i="17" s="1"/>
  <c r="AG13" i="17"/>
  <c r="BC13" i="17" s="1"/>
  <c r="AF13" i="17"/>
  <c r="BB13" i="17" s="1"/>
  <c r="AE13" i="17"/>
  <c r="AD13" i="17"/>
  <c r="AZ13" i="17" s="1"/>
  <c r="AC13" i="17"/>
  <c r="AY13" i="17" s="1"/>
  <c r="AB13" i="17"/>
  <c r="AX13" i="17" s="1"/>
  <c r="AA13" i="17"/>
  <c r="AW13" i="17" s="1"/>
  <c r="Z13" i="17"/>
  <c r="AV13" i="17" s="1"/>
  <c r="AT12" i="17"/>
  <c r="BP12" i="17" s="1"/>
  <c r="AS12" i="17"/>
  <c r="BO12" i="17" s="1"/>
  <c r="AR12" i="17"/>
  <c r="AQ12" i="17"/>
  <c r="BM12" i="17" s="1"/>
  <c r="AP12" i="17"/>
  <c r="BL12" i="17" s="1"/>
  <c r="AO12" i="17"/>
  <c r="BK12" i="17" s="1"/>
  <c r="AN12" i="17"/>
  <c r="BJ12" i="17" s="1"/>
  <c r="AM12" i="17"/>
  <c r="BI12" i="17" s="1"/>
  <c r="AL12" i="17"/>
  <c r="BH12" i="17" s="1"/>
  <c r="AK12" i="17"/>
  <c r="BG12" i="17" s="1"/>
  <c r="AJ12" i="17"/>
  <c r="BF12" i="17" s="1"/>
  <c r="AI12" i="17"/>
  <c r="BE12" i="17" s="1"/>
  <c r="AH12" i="17"/>
  <c r="BD12" i="17" s="1"/>
  <c r="AG12" i="17"/>
  <c r="BC12" i="17" s="1"/>
  <c r="AF12" i="17"/>
  <c r="BB12" i="17" s="1"/>
  <c r="AE12" i="17"/>
  <c r="BA12" i="17" s="1"/>
  <c r="AD12" i="17"/>
  <c r="AZ12" i="17" s="1"/>
  <c r="AC12" i="17"/>
  <c r="AY12" i="17" s="1"/>
  <c r="AB12" i="17"/>
  <c r="AX12" i="17" s="1"/>
  <c r="AA12" i="17"/>
  <c r="AW12" i="17" s="1"/>
  <c r="Z12" i="17"/>
  <c r="AV12" i="17" s="1"/>
  <c r="AT11" i="17"/>
  <c r="BP11" i="17" s="1"/>
  <c r="AS11" i="17"/>
  <c r="BO11" i="17" s="1"/>
  <c r="AR11" i="17"/>
  <c r="BN11" i="17" s="1"/>
  <c r="AQ11" i="17"/>
  <c r="BM11" i="17" s="1"/>
  <c r="AP11" i="17"/>
  <c r="BL11" i="17" s="1"/>
  <c r="AO11" i="17"/>
  <c r="AN11" i="17"/>
  <c r="BJ11" i="17" s="1"/>
  <c r="AM11" i="17"/>
  <c r="BI11" i="17" s="1"/>
  <c r="AL11" i="17"/>
  <c r="BH11" i="17" s="1"/>
  <c r="AK11" i="17"/>
  <c r="BG11" i="17" s="1"/>
  <c r="AJ11" i="17"/>
  <c r="BF11" i="17" s="1"/>
  <c r="AI11" i="17"/>
  <c r="BE11" i="17" s="1"/>
  <c r="AH11" i="17"/>
  <c r="BD11" i="17" s="1"/>
  <c r="AG11" i="17"/>
  <c r="AF11" i="17"/>
  <c r="BB11" i="17" s="1"/>
  <c r="AE11" i="17"/>
  <c r="BA11" i="17" s="1"/>
  <c r="AD11" i="17"/>
  <c r="AZ11" i="17" s="1"/>
  <c r="AC11" i="17"/>
  <c r="AY11" i="17" s="1"/>
  <c r="AB11" i="17"/>
  <c r="AX11" i="17" s="1"/>
  <c r="AA11" i="17"/>
  <c r="AW11" i="17" s="1"/>
  <c r="Z11" i="17"/>
  <c r="AV11" i="17" s="1"/>
  <c r="AT10" i="17"/>
  <c r="BP10" i="17" s="1"/>
  <c r="AS10" i="17"/>
  <c r="BO10" i="17" s="1"/>
  <c r="AR10" i="17"/>
  <c r="BN10" i="17" s="1"/>
  <c r="AQ10" i="17"/>
  <c r="BM10" i="17" s="1"/>
  <c r="AP10" i="17"/>
  <c r="BL10" i="17" s="1"/>
  <c r="AO10" i="17"/>
  <c r="BK10" i="17" s="1"/>
  <c r="AN10" i="17"/>
  <c r="BJ10" i="17" s="1"/>
  <c r="AM10" i="17"/>
  <c r="BI10" i="17" s="1"/>
  <c r="AL10" i="17"/>
  <c r="BH10" i="17" s="1"/>
  <c r="AK10" i="17"/>
  <c r="BG10" i="17" s="1"/>
  <c r="AJ10" i="17"/>
  <c r="BF10" i="17" s="1"/>
  <c r="AI10" i="17"/>
  <c r="BE10" i="17" s="1"/>
  <c r="AH10" i="17"/>
  <c r="BD10" i="17" s="1"/>
  <c r="AG10" i="17"/>
  <c r="BC10" i="17" s="1"/>
  <c r="AF10" i="17"/>
  <c r="BB10" i="17" s="1"/>
  <c r="AE10" i="17"/>
  <c r="BA10" i="17" s="1"/>
  <c r="AD10" i="17"/>
  <c r="AC10" i="17"/>
  <c r="AY10" i="17" s="1"/>
  <c r="AB10" i="17"/>
  <c r="AX10" i="17" s="1"/>
  <c r="AA10" i="17"/>
  <c r="AW10" i="17" s="1"/>
  <c r="Z10" i="17"/>
  <c r="AV10" i="17" s="1"/>
  <c r="AT9" i="17"/>
  <c r="BP9" i="17" s="1"/>
  <c r="AS9" i="17"/>
  <c r="BO9" i="17" s="1"/>
  <c r="AR9" i="17"/>
  <c r="BN9" i="17" s="1"/>
  <c r="AQ9" i="17"/>
  <c r="BM9" i="17" s="1"/>
  <c r="AP9" i="17"/>
  <c r="BL9" i="17" s="1"/>
  <c r="AO9" i="17"/>
  <c r="BK9" i="17" s="1"/>
  <c r="AN9" i="17"/>
  <c r="BJ9" i="17" s="1"/>
  <c r="AM9" i="17"/>
  <c r="AL9" i="17"/>
  <c r="BH9" i="17" s="1"/>
  <c r="AK9" i="17"/>
  <c r="BG9" i="17" s="1"/>
  <c r="AJ9" i="17"/>
  <c r="BF9" i="17" s="1"/>
  <c r="AI9" i="17"/>
  <c r="BE9" i="17" s="1"/>
  <c r="AH9" i="17"/>
  <c r="BD9" i="17" s="1"/>
  <c r="AG9" i="17"/>
  <c r="BC9" i="17" s="1"/>
  <c r="AF9" i="17"/>
  <c r="BB9" i="17" s="1"/>
  <c r="AE9" i="17"/>
  <c r="BA9" i="17" s="1"/>
  <c r="AD9" i="17"/>
  <c r="AZ9" i="17" s="1"/>
  <c r="AC9" i="17"/>
  <c r="AY9" i="17" s="1"/>
  <c r="AB9" i="17"/>
  <c r="AX9" i="17" s="1"/>
  <c r="AA9" i="17"/>
  <c r="AW9" i="17" s="1"/>
  <c r="Z9" i="17"/>
  <c r="AV9" i="17" s="1"/>
  <c r="AT8" i="17"/>
  <c r="BP8" i="17" s="1"/>
  <c r="AS8" i="17"/>
  <c r="BO8" i="17" s="1"/>
  <c r="AR8" i="17"/>
  <c r="BN8" i="17" s="1"/>
  <c r="AQ8" i="17"/>
  <c r="BM8" i="17" s="1"/>
  <c r="AP8" i="17"/>
  <c r="BL8" i="17" s="1"/>
  <c r="AO8" i="17"/>
  <c r="BK8" i="17" s="1"/>
  <c r="AN8" i="17"/>
  <c r="BJ8" i="17" s="1"/>
  <c r="AM8" i="17"/>
  <c r="BI8" i="17" s="1"/>
  <c r="AL8" i="17"/>
  <c r="BH8" i="17" s="1"/>
  <c r="AK8" i="17"/>
  <c r="BG8" i="17" s="1"/>
  <c r="AJ8" i="17"/>
  <c r="AI8" i="17"/>
  <c r="BE8" i="17" s="1"/>
  <c r="AH8" i="17"/>
  <c r="BD8" i="17" s="1"/>
  <c r="AG8" i="17"/>
  <c r="BC8" i="17" s="1"/>
  <c r="AF8" i="17"/>
  <c r="BB8" i="17" s="1"/>
  <c r="AE8" i="17"/>
  <c r="BA8" i="17" s="1"/>
  <c r="AD8" i="17"/>
  <c r="AZ8" i="17" s="1"/>
  <c r="AC8" i="17"/>
  <c r="AY8" i="17" s="1"/>
  <c r="AB8" i="17"/>
  <c r="AX8" i="17" s="1"/>
  <c r="AA8" i="17"/>
  <c r="AW8" i="17" s="1"/>
  <c r="Z8" i="17"/>
  <c r="AV8" i="17" s="1"/>
  <c r="C43" i="23"/>
  <c r="BP65" i="14"/>
  <c r="BO65" i="14"/>
  <c r="BN65" i="14"/>
  <c r="BM65" i="14"/>
  <c r="BL65" i="14"/>
  <c r="BK65" i="14"/>
  <c r="BJ65" i="14"/>
  <c r="BI65" i="14"/>
  <c r="BH65" i="14"/>
  <c r="BG65" i="14"/>
  <c r="BF65" i="14"/>
  <c r="BE65" i="14"/>
  <c r="BD65" i="14"/>
  <c r="BC65" i="14"/>
  <c r="BB65" i="14"/>
  <c r="BA65" i="14"/>
  <c r="AZ65" i="14"/>
  <c r="AY65" i="14"/>
  <c r="AX65" i="14"/>
  <c r="AW65" i="14"/>
  <c r="BQ65" i="14" s="1"/>
  <c r="AV65" i="14"/>
  <c r="BP64" i="14"/>
  <c r="BO64" i="14"/>
  <c r="BN64" i="14"/>
  <c r="BM64" i="14"/>
  <c r="BL64" i="14"/>
  <c r="BK64" i="14"/>
  <c r="BJ64" i="14"/>
  <c r="BI64" i="14"/>
  <c r="BH64" i="14"/>
  <c r="BG64" i="14"/>
  <c r="BF64" i="14"/>
  <c r="BE64" i="14"/>
  <c r="BD64" i="14"/>
  <c r="BC64" i="14"/>
  <c r="BB64" i="14"/>
  <c r="BA64" i="14"/>
  <c r="AZ64" i="14"/>
  <c r="AY64" i="14"/>
  <c r="AX64" i="14"/>
  <c r="AW64" i="14"/>
  <c r="BQ64" i="14" s="1"/>
  <c r="AV64" i="14"/>
  <c r="BP63" i="14"/>
  <c r="BO63" i="14"/>
  <c r="BN63" i="14"/>
  <c r="BM63" i="14"/>
  <c r="BL63" i="14"/>
  <c r="BK63" i="14"/>
  <c r="BJ63" i="14"/>
  <c r="BI63" i="14"/>
  <c r="BH63" i="14"/>
  <c r="BG63" i="14"/>
  <c r="BF63" i="14"/>
  <c r="BE63" i="14"/>
  <c r="BD63" i="14"/>
  <c r="BC63" i="14"/>
  <c r="BB63" i="14"/>
  <c r="BA63" i="14"/>
  <c r="AZ63" i="14"/>
  <c r="AY63" i="14"/>
  <c r="AX63" i="14"/>
  <c r="AW63" i="14"/>
  <c r="BQ63" i="14" s="1"/>
  <c r="AV63" i="14"/>
  <c r="BP62" i="14"/>
  <c r="BO62" i="14"/>
  <c r="BN62" i="14"/>
  <c r="BM62" i="14"/>
  <c r="BL62" i="14"/>
  <c r="BK62" i="14"/>
  <c r="BJ62" i="14"/>
  <c r="BI62" i="14"/>
  <c r="BH62" i="14"/>
  <c r="BG62" i="14"/>
  <c r="BF62" i="14"/>
  <c r="BE62" i="14"/>
  <c r="BD62" i="14"/>
  <c r="BC62" i="14"/>
  <c r="BB62" i="14"/>
  <c r="BA62" i="14"/>
  <c r="AZ62" i="14"/>
  <c r="AY62" i="14"/>
  <c r="AX62" i="14"/>
  <c r="AW62" i="14"/>
  <c r="BQ62" i="14" s="1"/>
  <c r="AV62" i="14"/>
  <c r="BP61" i="14"/>
  <c r="BO61" i="14"/>
  <c r="BN61" i="14"/>
  <c r="BM61" i="14"/>
  <c r="BL61" i="14"/>
  <c r="BK61" i="14"/>
  <c r="BJ61" i="14"/>
  <c r="BI61" i="14"/>
  <c r="BH61" i="14"/>
  <c r="BG61" i="14"/>
  <c r="BF61" i="14"/>
  <c r="BE61" i="14"/>
  <c r="BD61" i="14"/>
  <c r="BC61" i="14"/>
  <c r="BB61" i="14"/>
  <c r="BA61" i="14"/>
  <c r="AZ61" i="14"/>
  <c r="AY61" i="14"/>
  <c r="AX61" i="14"/>
  <c r="AW61" i="14"/>
  <c r="BQ61" i="14" s="1"/>
  <c r="AV61" i="14"/>
  <c r="BP60" i="14"/>
  <c r="BO60" i="14"/>
  <c r="BN60" i="14"/>
  <c r="BM60" i="14"/>
  <c r="BL60" i="14"/>
  <c r="BK60" i="14"/>
  <c r="BJ60" i="14"/>
  <c r="BI60" i="14"/>
  <c r="BH60" i="14"/>
  <c r="BG60" i="14"/>
  <c r="BF60" i="14"/>
  <c r="BE60" i="14"/>
  <c r="BD60" i="14"/>
  <c r="BC60" i="14"/>
  <c r="BB60" i="14"/>
  <c r="BA60" i="14"/>
  <c r="AZ60" i="14"/>
  <c r="AY60" i="14"/>
  <c r="AX60" i="14"/>
  <c r="AW60" i="14"/>
  <c r="BQ60" i="14" s="1"/>
  <c r="AV60" i="14"/>
  <c r="BP59" i="14"/>
  <c r="BO59" i="14"/>
  <c r="BN59" i="14"/>
  <c r="BM59" i="14"/>
  <c r="BL59" i="14"/>
  <c r="BK59" i="14"/>
  <c r="BJ59" i="14"/>
  <c r="BI59" i="14"/>
  <c r="BH59" i="14"/>
  <c r="BG59" i="14"/>
  <c r="BF59" i="14"/>
  <c r="BE59" i="14"/>
  <c r="BD59" i="14"/>
  <c r="BC59" i="14"/>
  <c r="BB59" i="14"/>
  <c r="BA59" i="14"/>
  <c r="AZ59" i="14"/>
  <c r="AY59" i="14"/>
  <c r="AX59" i="14"/>
  <c r="AW59" i="14"/>
  <c r="BQ59" i="14" s="1"/>
  <c r="AV59" i="14"/>
  <c r="BP58" i="14"/>
  <c r="BO58" i="14"/>
  <c r="BN58" i="14"/>
  <c r="BM58" i="14"/>
  <c r="BL58" i="14"/>
  <c r="BK58" i="14"/>
  <c r="BJ58" i="14"/>
  <c r="BI58" i="14"/>
  <c r="BH58" i="14"/>
  <c r="BG58" i="14"/>
  <c r="BF58" i="14"/>
  <c r="BE58" i="14"/>
  <c r="BD58" i="14"/>
  <c r="BC58" i="14"/>
  <c r="BB58" i="14"/>
  <c r="BA58" i="14"/>
  <c r="AZ58" i="14"/>
  <c r="AY58" i="14"/>
  <c r="AX58" i="14"/>
  <c r="AW58" i="14"/>
  <c r="BQ58" i="14" s="1"/>
  <c r="AV58" i="14"/>
  <c r="BP57" i="14"/>
  <c r="BO57" i="14"/>
  <c r="BN57" i="14"/>
  <c r="BM57" i="14"/>
  <c r="BL57" i="14"/>
  <c r="BK57" i="14"/>
  <c r="BJ57" i="14"/>
  <c r="BI57" i="14"/>
  <c r="BH57" i="14"/>
  <c r="BG57" i="14"/>
  <c r="BF57" i="14"/>
  <c r="BE57" i="14"/>
  <c r="BD57" i="14"/>
  <c r="BC57" i="14"/>
  <c r="BB57" i="14"/>
  <c r="BA57" i="14"/>
  <c r="AZ57" i="14"/>
  <c r="AY57" i="14"/>
  <c r="AX57" i="14"/>
  <c r="AW57" i="14"/>
  <c r="BQ57" i="14" s="1"/>
  <c r="AV57" i="14"/>
  <c r="BP56" i="14"/>
  <c r="BO56" i="14"/>
  <c r="BN56" i="14"/>
  <c r="BM56" i="14"/>
  <c r="BL56" i="14"/>
  <c r="BK56" i="14"/>
  <c r="BJ56" i="14"/>
  <c r="BI56" i="14"/>
  <c r="BH56" i="14"/>
  <c r="BG56" i="14"/>
  <c r="BF56" i="14"/>
  <c r="BE56" i="14"/>
  <c r="BD56" i="14"/>
  <c r="BC56" i="14"/>
  <c r="BB56" i="14"/>
  <c r="BA56" i="14"/>
  <c r="AZ56" i="14"/>
  <c r="AY56" i="14"/>
  <c r="AX56" i="14"/>
  <c r="AW56" i="14"/>
  <c r="BQ56" i="14" s="1"/>
  <c r="AV56" i="14"/>
  <c r="BP55" i="14"/>
  <c r="BO55" i="14"/>
  <c r="BN55" i="14"/>
  <c r="BM55" i="14"/>
  <c r="BL55" i="14"/>
  <c r="BK55" i="14"/>
  <c r="BJ55" i="14"/>
  <c r="BI55" i="14"/>
  <c r="BH55" i="14"/>
  <c r="BG55" i="14"/>
  <c r="BF55" i="14"/>
  <c r="BE55" i="14"/>
  <c r="BD55" i="14"/>
  <c r="BC55" i="14"/>
  <c r="BB55" i="14"/>
  <c r="BA55" i="14"/>
  <c r="AZ55" i="14"/>
  <c r="AY55" i="14"/>
  <c r="AX55" i="14"/>
  <c r="AW55" i="14"/>
  <c r="BQ55" i="14" s="1"/>
  <c r="AV55" i="14"/>
  <c r="BP54" i="14"/>
  <c r="BO54" i="14"/>
  <c r="BN54" i="14"/>
  <c r="BM54" i="14"/>
  <c r="BL54" i="14"/>
  <c r="BK54" i="14"/>
  <c r="BJ54" i="14"/>
  <c r="BI54" i="14"/>
  <c r="BH54" i="14"/>
  <c r="BG54" i="14"/>
  <c r="BF54" i="14"/>
  <c r="BE54" i="14"/>
  <c r="BD54" i="14"/>
  <c r="BC54" i="14"/>
  <c r="BB54" i="14"/>
  <c r="BA54" i="14"/>
  <c r="AZ54" i="14"/>
  <c r="AY54" i="14"/>
  <c r="AX54" i="14"/>
  <c r="AW54" i="14"/>
  <c r="BQ54" i="14" s="1"/>
  <c r="AV54" i="14"/>
  <c r="BP53" i="14"/>
  <c r="BO53" i="14"/>
  <c r="BN53" i="14"/>
  <c r="BM53" i="14"/>
  <c r="BL53" i="14"/>
  <c r="BK53" i="14"/>
  <c r="BJ53" i="14"/>
  <c r="BI53" i="14"/>
  <c r="BH53" i="14"/>
  <c r="BG53" i="14"/>
  <c r="BF53" i="14"/>
  <c r="BE53" i="14"/>
  <c r="BD53" i="14"/>
  <c r="BC53" i="14"/>
  <c r="BB53" i="14"/>
  <c r="BA53" i="14"/>
  <c r="AZ53" i="14"/>
  <c r="AY53" i="14"/>
  <c r="AX53" i="14"/>
  <c r="AW53" i="14"/>
  <c r="BQ53" i="14" s="1"/>
  <c r="AV53" i="14"/>
  <c r="BP65" i="15"/>
  <c r="BO65" i="15"/>
  <c r="BN65" i="15"/>
  <c r="BM65" i="15"/>
  <c r="BL65" i="15"/>
  <c r="BK65" i="15"/>
  <c r="BJ65" i="15"/>
  <c r="BI65" i="15"/>
  <c r="BH65" i="15"/>
  <c r="BG65" i="15"/>
  <c r="BF65" i="15"/>
  <c r="BE65" i="15"/>
  <c r="BD65" i="15"/>
  <c r="BC65" i="15"/>
  <c r="BB65" i="15"/>
  <c r="BA65" i="15"/>
  <c r="AZ65" i="15"/>
  <c r="AY65" i="15"/>
  <c r="AX65" i="15"/>
  <c r="AW65" i="15"/>
  <c r="BQ65" i="15" s="1"/>
  <c r="AV65" i="15"/>
  <c r="BP64" i="15"/>
  <c r="BO64" i="15"/>
  <c r="BN64" i="15"/>
  <c r="BM64" i="15"/>
  <c r="BL64" i="15"/>
  <c r="BK64" i="15"/>
  <c r="BJ64" i="15"/>
  <c r="BI64" i="15"/>
  <c r="BH64" i="15"/>
  <c r="BG64" i="15"/>
  <c r="BF64" i="15"/>
  <c r="BE64" i="15"/>
  <c r="BD64" i="15"/>
  <c r="BC64" i="15"/>
  <c r="BB64" i="15"/>
  <c r="BA64" i="15"/>
  <c r="AZ64" i="15"/>
  <c r="AY64" i="15"/>
  <c r="AX64" i="15"/>
  <c r="AW64" i="15"/>
  <c r="BQ64" i="15" s="1"/>
  <c r="AV64" i="15"/>
  <c r="BP63" i="15"/>
  <c r="BO63" i="15"/>
  <c r="BN63" i="15"/>
  <c r="BM63" i="15"/>
  <c r="BL63" i="15"/>
  <c r="BK63" i="15"/>
  <c r="BJ63" i="15"/>
  <c r="BI63" i="15"/>
  <c r="BH63" i="15"/>
  <c r="BG63" i="15"/>
  <c r="BF63" i="15"/>
  <c r="BE63" i="15"/>
  <c r="BD63" i="15"/>
  <c r="BC63" i="15"/>
  <c r="BB63" i="15"/>
  <c r="BA63" i="15"/>
  <c r="AZ63" i="15"/>
  <c r="AY63" i="15"/>
  <c r="AX63" i="15"/>
  <c r="AW63" i="15"/>
  <c r="BQ63" i="15" s="1"/>
  <c r="AV63" i="15"/>
  <c r="BP62" i="15"/>
  <c r="BO62" i="15"/>
  <c r="BN62" i="15"/>
  <c r="BM62" i="15"/>
  <c r="BL62" i="15"/>
  <c r="BK62" i="15"/>
  <c r="BJ62" i="15"/>
  <c r="BI62" i="15"/>
  <c r="BH62" i="15"/>
  <c r="BG62" i="15"/>
  <c r="BF62" i="15"/>
  <c r="BE62" i="15"/>
  <c r="BD62" i="15"/>
  <c r="BC62" i="15"/>
  <c r="BB62" i="15"/>
  <c r="BA62" i="15"/>
  <c r="AZ62" i="15"/>
  <c r="AY62" i="15"/>
  <c r="AX62" i="15"/>
  <c r="AW62" i="15"/>
  <c r="BQ62" i="15" s="1"/>
  <c r="AV62" i="15"/>
  <c r="BP61" i="15"/>
  <c r="BO61" i="15"/>
  <c r="BN61" i="15"/>
  <c r="BM61" i="15"/>
  <c r="BL61" i="15"/>
  <c r="BK61" i="15"/>
  <c r="BJ61" i="15"/>
  <c r="BI61" i="15"/>
  <c r="BH61" i="15"/>
  <c r="BG61" i="15"/>
  <c r="BF61" i="15"/>
  <c r="BE61" i="15"/>
  <c r="BD61" i="15"/>
  <c r="BC61" i="15"/>
  <c r="BB61" i="15"/>
  <c r="BA61" i="15"/>
  <c r="AZ61" i="15"/>
  <c r="AY61" i="15"/>
  <c r="AX61" i="15"/>
  <c r="AW61" i="15"/>
  <c r="BQ61" i="15" s="1"/>
  <c r="AV61" i="15"/>
  <c r="BP60" i="15"/>
  <c r="BO60" i="15"/>
  <c r="BN60" i="15"/>
  <c r="BM60" i="15"/>
  <c r="BL60" i="15"/>
  <c r="BK60" i="15"/>
  <c r="BJ60" i="15"/>
  <c r="BI60" i="15"/>
  <c r="BH60" i="15"/>
  <c r="BG60" i="15"/>
  <c r="BF60" i="15"/>
  <c r="BE60" i="15"/>
  <c r="BD60" i="15"/>
  <c r="BC60" i="15"/>
  <c r="BB60" i="15"/>
  <c r="BA60" i="15"/>
  <c r="AZ60" i="15"/>
  <c r="AY60" i="15"/>
  <c r="AX60" i="15"/>
  <c r="AW60" i="15"/>
  <c r="BQ60" i="15" s="1"/>
  <c r="AV60" i="15"/>
  <c r="BP59" i="15"/>
  <c r="BO59" i="15"/>
  <c r="BN59" i="15"/>
  <c r="BM59" i="15"/>
  <c r="BL59" i="15"/>
  <c r="BK59" i="15"/>
  <c r="BJ59" i="15"/>
  <c r="BI59" i="15"/>
  <c r="BH59" i="15"/>
  <c r="BG59" i="15"/>
  <c r="BF59" i="15"/>
  <c r="BE59" i="15"/>
  <c r="BD59" i="15"/>
  <c r="BC59" i="15"/>
  <c r="BB59" i="15"/>
  <c r="BA59" i="15"/>
  <c r="AZ59" i="15"/>
  <c r="AY59" i="15"/>
  <c r="AX59" i="15"/>
  <c r="AW59" i="15"/>
  <c r="BQ59" i="15" s="1"/>
  <c r="AV59" i="15"/>
  <c r="BP58" i="15"/>
  <c r="BO58" i="15"/>
  <c r="BN58" i="15"/>
  <c r="BM58" i="15"/>
  <c r="BL58" i="15"/>
  <c r="BK58" i="15"/>
  <c r="BJ58" i="15"/>
  <c r="BI58" i="15"/>
  <c r="BH58" i="15"/>
  <c r="BG58" i="15"/>
  <c r="BF58" i="15"/>
  <c r="BE58" i="15"/>
  <c r="BD58" i="15"/>
  <c r="BC58" i="15"/>
  <c r="BB58" i="15"/>
  <c r="BA58" i="15"/>
  <c r="AZ58" i="15"/>
  <c r="AY58" i="15"/>
  <c r="AX58" i="15"/>
  <c r="AW58" i="15"/>
  <c r="BQ58" i="15" s="1"/>
  <c r="AV58" i="15"/>
  <c r="BP57" i="15"/>
  <c r="BO57" i="15"/>
  <c r="BN57" i="15"/>
  <c r="BM57" i="15"/>
  <c r="BL57" i="15"/>
  <c r="BK57" i="15"/>
  <c r="BJ57" i="15"/>
  <c r="BI57" i="15"/>
  <c r="BH57" i="15"/>
  <c r="BG57" i="15"/>
  <c r="BF57" i="15"/>
  <c r="BE57" i="15"/>
  <c r="BD57" i="15"/>
  <c r="BC57" i="15"/>
  <c r="BB57" i="15"/>
  <c r="BA57" i="15"/>
  <c r="AZ57" i="15"/>
  <c r="AY57" i="15"/>
  <c r="AX57" i="15"/>
  <c r="AW57" i="15"/>
  <c r="BQ57" i="15" s="1"/>
  <c r="AV57" i="15"/>
  <c r="BP56" i="15"/>
  <c r="BO56" i="15"/>
  <c r="BN56" i="15"/>
  <c r="BM56" i="15"/>
  <c r="BL56" i="15"/>
  <c r="BK56" i="15"/>
  <c r="BJ56" i="15"/>
  <c r="BI56" i="15"/>
  <c r="BH56" i="15"/>
  <c r="BG56" i="15"/>
  <c r="BF56" i="15"/>
  <c r="BE56" i="15"/>
  <c r="BD56" i="15"/>
  <c r="BC56" i="15"/>
  <c r="BB56" i="15"/>
  <c r="BA56" i="15"/>
  <c r="AZ56" i="15"/>
  <c r="AY56" i="15"/>
  <c r="AX56" i="15"/>
  <c r="AW56" i="15"/>
  <c r="BQ56" i="15" s="1"/>
  <c r="AV56" i="15"/>
  <c r="BP55" i="15"/>
  <c r="BO55" i="15"/>
  <c r="BN55" i="15"/>
  <c r="BM55" i="15"/>
  <c r="BL55" i="15"/>
  <c r="BK55" i="15"/>
  <c r="BJ55" i="15"/>
  <c r="BI55" i="15"/>
  <c r="BH55" i="15"/>
  <c r="BG55" i="15"/>
  <c r="BF55" i="15"/>
  <c r="BE55" i="15"/>
  <c r="BD55" i="15"/>
  <c r="BC55" i="15"/>
  <c r="BB55" i="15"/>
  <c r="BA55" i="15"/>
  <c r="AZ55" i="15"/>
  <c r="AY55" i="15"/>
  <c r="AX55" i="15"/>
  <c r="AW55" i="15"/>
  <c r="BQ55" i="15" s="1"/>
  <c r="AV55" i="15"/>
  <c r="BP54" i="15"/>
  <c r="BO54" i="15"/>
  <c r="BN54" i="15"/>
  <c r="BM54" i="15"/>
  <c r="BL54" i="15"/>
  <c r="BK54" i="15"/>
  <c r="BJ54" i="15"/>
  <c r="BI54" i="15"/>
  <c r="BH54" i="15"/>
  <c r="BG54" i="15"/>
  <c r="BF54" i="15"/>
  <c r="BE54" i="15"/>
  <c r="BD54" i="15"/>
  <c r="BC54" i="15"/>
  <c r="BB54" i="15"/>
  <c r="BA54" i="15"/>
  <c r="AZ54" i="15"/>
  <c r="AY54" i="15"/>
  <c r="AX54" i="15"/>
  <c r="AW54" i="15"/>
  <c r="AV54" i="15"/>
  <c r="BP53" i="15"/>
  <c r="BO53" i="15"/>
  <c r="BN53" i="15"/>
  <c r="BM53" i="15"/>
  <c r="BL53" i="15"/>
  <c r="BK53" i="15"/>
  <c r="BJ53" i="15"/>
  <c r="BI53" i="15"/>
  <c r="BH53" i="15"/>
  <c r="BG53" i="15"/>
  <c r="BF53" i="15"/>
  <c r="BE53" i="15"/>
  <c r="BD53" i="15"/>
  <c r="BC53" i="15"/>
  <c r="BB53" i="15"/>
  <c r="BA53" i="15"/>
  <c r="AZ53" i="15"/>
  <c r="AY53" i="15"/>
  <c r="AX53" i="15"/>
  <c r="AW53" i="15"/>
  <c r="BQ53" i="15" s="1"/>
  <c r="AV53" i="15"/>
  <c r="AT42" i="15"/>
  <c r="BP42" i="15" s="1"/>
  <c r="AS42" i="15"/>
  <c r="BO42" i="15" s="1"/>
  <c r="AR42" i="15"/>
  <c r="BN42" i="15" s="1"/>
  <c r="AQ42" i="15"/>
  <c r="BM42" i="15" s="1"/>
  <c r="AP42" i="15"/>
  <c r="BL42" i="15" s="1"/>
  <c r="AO42" i="15"/>
  <c r="BK42" i="15" s="1"/>
  <c r="AN42" i="15"/>
  <c r="BJ42" i="15" s="1"/>
  <c r="AM42" i="15"/>
  <c r="BI42" i="15" s="1"/>
  <c r="AL42" i="15"/>
  <c r="BH42" i="15" s="1"/>
  <c r="AK42" i="15"/>
  <c r="BG42" i="15" s="1"/>
  <c r="AJ42" i="15"/>
  <c r="BF42" i="15" s="1"/>
  <c r="AI42" i="15"/>
  <c r="BE42" i="15" s="1"/>
  <c r="AH42" i="15"/>
  <c r="BD42" i="15" s="1"/>
  <c r="AG42" i="15"/>
  <c r="BC42" i="15" s="1"/>
  <c r="AF42" i="15"/>
  <c r="BB42" i="15" s="1"/>
  <c r="AE42" i="15"/>
  <c r="BA42" i="15" s="1"/>
  <c r="AD42" i="15"/>
  <c r="AZ42" i="15" s="1"/>
  <c r="AC42" i="15"/>
  <c r="AY42" i="15" s="1"/>
  <c r="AB42" i="15"/>
  <c r="AX42" i="15" s="1"/>
  <c r="AA42" i="15"/>
  <c r="AW42" i="15" s="1"/>
  <c r="Z42" i="15"/>
  <c r="AV42" i="15" s="1"/>
  <c r="AT41" i="15"/>
  <c r="BP41" i="15" s="1"/>
  <c r="AS41" i="15"/>
  <c r="BO41" i="15" s="1"/>
  <c r="AR41" i="15"/>
  <c r="BN41" i="15" s="1"/>
  <c r="AQ41" i="15"/>
  <c r="BM41" i="15" s="1"/>
  <c r="AP41" i="15"/>
  <c r="BL41" i="15" s="1"/>
  <c r="AO41" i="15"/>
  <c r="BK41" i="15" s="1"/>
  <c r="AN41" i="15"/>
  <c r="BJ41" i="15" s="1"/>
  <c r="AM41" i="15"/>
  <c r="BI41" i="15" s="1"/>
  <c r="AL41" i="15"/>
  <c r="BH41" i="15" s="1"/>
  <c r="AK41" i="15"/>
  <c r="BG41" i="15" s="1"/>
  <c r="AJ41" i="15"/>
  <c r="BF41" i="15" s="1"/>
  <c r="AI41" i="15"/>
  <c r="BE41" i="15" s="1"/>
  <c r="AH41" i="15"/>
  <c r="BD41" i="15" s="1"/>
  <c r="AG41" i="15"/>
  <c r="BC41" i="15" s="1"/>
  <c r="AF41" i="15"/>
  <c r="BB41" i="15" s="1"/>
  <c r="AE41" i="15"/>
  <c r="BA41" i="15" s="1"/>
  <c r="AD41" i="15"/>
  <c r="AZ41" i="15" s="1"/>
  <c r="AC41" i="15"/>
  <c r="AY41" i="15" s="1"/>
  <c r="AB41" i="15"/>
  <c r="AX41" i="15" s="1"/>
  <c r="AA41" i="15"/>
  <c r="AW41" i="15" s="1"/>
  <c r="Z41" i="15"/>
  <c r="AV41" i="15" s="1"/>
  <c r="AT40" i="15"/>
  <c r="BP40" i="15" s="1"/>
  <c r="AS40" i="15"/>
  <c r="BO40" i="15" s="1"/>
  <c r="AR40" i="15"/>
  <c r="BN40" i="15" s="1"/>
  <c r="AQ40" i="15"/>
  <c r="BM40" i="15" s="1"/>
  <c r="AP40" i="15"/>
  <c r="BL40" i="15" s="1"/>
  <c r="AO40" i="15"/>
  <c r="BK40" i="15" s="1"/>
  <c r="AN40" i="15"/>
  <c r="BJ40" i="15" s="1"/>
  <c r="AM40" i="15"/>
  <c r="BI40" i="15" s="1"/>
  <c r="AL40" i="15"/>
  <c r="BH40" i="15" s="1"/>
  <c r="AK40" i="15"/>
  <c r="BG40" i="15" s="1"/>
  <c r="AJ40" i="15"/>
  <c r="BF40" i="15" s="1"/>
  <c r="AI40" i="15"/>
  <c r="BE40" i="15" s="1"/>
  <c r="AH40" i="15"/>
  <c r="BD40" i="15" s="1"/>
  <c r="AG40" i="15"/>
  <c r="BC40" i="15" s="1"/>
  <c r="AF40" i="15"/>
  <c r="BB40" i="15" s="1"/>
  <c r="AE40" i="15"/>
  <c r="BA40" i="15" s="1"/>
  <c r="AD40" i="15"/>
  <c r="AZ40" i="15" s="1"/>
  <c r="AC40" i="15"/>
  <c r="AY40" i="15" s="1"/>
  <c r="AB40" i="15"/>
  <c r="AX40" i="15" s="1"/>
  <c r="AA40" i="15"/>
  <c r="AW40" i="15" s="1"/>
  <c r="Z40" i="15"/>
  <c r="AV40" i="15" s="1"/>
  <c r="AT39" i="15"/>
  <c r="BP39" i="15" s="1"/>
  <c r="AS39" i="15"/>
  <c r="BO39" i="15" s="1"/>
  <c r="AR39" i="15"/>
  <c r="BN39" i="15" s="1"/>
  <c r="AQ39" i="15"/>
  <c r="BM39" i="15" s="1"/>
  <c r="AP39" i="15"/>
  <c r="BL39" i="15" s="1"/>
  <c r="AO39" i="15"/>
  <c r="BK39" i="15" s="1"/>
  <c r="AN39" i="15"/>
  <c r="BJ39" i="15" s="1"/>
  <c r="AM39" i="15"/>
  <c r="BI39" i="15" s="1"/>
  <c r="AL39" i="15"/>
  <c r="BH39" i="15" s="1"/>
  <c r="AK39" i="15"/>
  <c r="BG39" i="15" s="1"/>
  <c r="AJ39" i="15"/>
  <c r="BF39" i="15" s="1"/>
  <c r="AI39" i="15"/>
  <c r="BE39" i="15" s="1"/>
  <c r="AH39" i="15"/>
  <c r="BD39" i="15" s="1"/>
  <c r="AG39" i="15"/>
  <c r="BC39" i="15" s="1"/>
  <c r="AF39" i="15"/>
  <c r="BB39" i="15" s="1"/>
  <c r="AE39" i="15"/>
  <c r="BA39" i="15" s="1"/>
  <c r="AD39" i="15"/>
  <c r="AZ39" i="15" s="1"/>
  <c r="AC39" i="15"/>
  <c r="AY39" i="15" s="1"/>
  <c r="AB39" i="15"/>
  <c r="AX39" i="15" s="1"/>
  <c r="AA39" i="15"/>
  <c r="AW39" i="15" s="1"/>
  <c r="Z39" i="15"/>
  <c r="AV39" i="15" s="1"/>
  <c r="AT38" i="15"/>
  <c r="BP38" i="15" s="1"/>
  <c r="AS38" i="15"/>
  <c r="BO38" i="15" s="1"/>
  <c r="AR38" i="15"/>
  <c r="BN38" i="15" s="1"/>
  <c r="AQ38" i="15"/>
  <c r="BM38" i="15" s="1"/>
  <c r="AP38" i="15"/>
  <c r="BL38" i="15" s="1"/>
  <c r="AO38" i="15"/>
  <c r="BK38" i="15" s="1"/>
  <c r="AN38" i="15"/>
  <c r="BJ38" i="15" s="1"/>
  <c r="AM38" i="15"/>
  <c r="BI38" i="15" s="1"/>
  <c r="AL38" i="15"/>
  <c r="BH38" i="15" s="1"/>
  <c r="AK38" i="15"/>
  <c r="BG38" i="15" s="1"/>
  <c r="AJ38" i="15"/>
  <c r="BF38" i="15" s="1"/>
  <c r="AI38" i="15"/>
  <c r="BE38" i="15" s="1"/>
  <c r="AH38" i="15"/>
  <c r="BD38" i="15" s="1"/>
  <c r="AG38" i="15"/>
  <c r="BC38" i="15" s="1"/>
  <c r="AF38" i="15"/>
  <c r="BB38" i="15" s="1"/>
  <c r="AE38" i="15"/>
  <c r="BA38" i="15" s="1"/>
  <c r="AD38" i="15"/>
  <c r="AZ38" i="15" s="1"/>
  <c r="AC38" i="15"/>
  <c r="AY38" i="15" s="1"/>
  <c r="AB38" i="15"/>
  <c r="AX38" i="15" s="1"/>
  <c r="AA38" i="15"/>
  <c r="AW38" i="15" s="1"/>
  <c r="Z38" i="15"/>
  <c r="AV38" i="15" s="1"/>
  <c r="AT37" i="15"/>
  <c r="BP37" i="15" s="1"/>
  <c r="AS37" i="15"/>
  <c r="BO37" i="15" s="1"/>
  <c r="AR37" i="15"/>
  <c r="BN37" i="15" s="1"/>
  <c r="AQ37" i="15"/>
  <c r="BM37" i="15" s="1"/>
  <c r="AP37" i="15"/>
  <c r="BL37" i="15" s="1"/>
  <c r="AO37" i="15"/>
  <c r="BK37" i="15" s="1"/>
  <c r="AN37" i="15"/>
  <c r="BJ37" i="15" s="1"/>
  <c r="AM37" i="15"/>
  <c r="BI37" i="15" s="1"/>
  <c r="AL37" i="15"/>
  <c r="BH37" i="15" s="1"/>
  <c r="AK37" i="15"/>
  <c r="BG37" i="15" s="1"/>
  <c r="AJ37" i="15"/>
  <c r="BF37" i="15" s="1"/>
  <c r="AI37" i="15"/>
  <c r="BE37" i="15" s="1"/>
  <c r="AH37" i="15"/>
  <c r="BD37" i="15" s="1"/>
  <c r="AG37" i="15"/>
  <c r="BC37" i="15" s="1"/>
  <c r="AF37" i="15"/>
  <c r="BB37" i="15" s="1"/>
  <c r="AE37" i="15"/>
  <c r="BA37" i="15" s="1"/>
  <c r="AD37" i="15"/>
  <c r="AZ37" i="15" s="1"/>
  <c r="AC37" i="15"/>
  <c r="AY37" i="15" s="1"/>
  <c r="AB37" i="15"/>
  <c r="AX37" i="15" s="1"/>
  <c r="AA37" i="15"/>
  <c r="AW37" i="15" s="1"/>
  <c r="Z37" i="15"/>
  <c r="AV37" i="15" s="1"/>
  <c r="AT36" i="15"/>
  <c r="BP36" i="15" s="1"/>
  <c r="AS36" i="15"/>
  <c r="BO36" i="15" s="1"/>
  <c r="AR36" i="15"/>
  <c r="BN36" i="15" s="1"/>
  <c r="AQ36" i="15"/>
  <c r="BM36" i="15" s="1"/>
  <c r="AP36" i="15"/>
  <c r="BL36" i="15" s="1"/>
  <c r="AO36" i="15"/>
  <c r="BK36" i="15" s="1"/>
  <c r="AN36" i="15"/>
  <c r="BJ36" i="15" s="1"/>
  <c r="AM36" i="15"/>
  <c r="BI36" i="15" s="1"/>
  <c r="AL36" i="15"/>
  <c r="BH36" i="15" s="1"/>
  <c r="AK36" i="15"/>
  <c r="BG36" i="15" s="1"/>
  <c r="AJ36" i="15"/>
  <c r="BF36" i="15" s="1"/>
  <c r="AI36" i="15"/>
  <c r="BE36" i="15" s="1"/>
  <c r="AH36" i="15"/>
  <c r="BD36" i="15" s="1"/>
  <c r="AG36" i="15"/>
  <c r="BC36" i="15" s="1"/>
  <c r="AF36" i="15"/>
  <c r="BB36" i="15" s="1"/>
  <c r="AE36" i="15"/>
  <c r="BA36" i="15" s="1"/>
  <c r="AD36" i="15"/>
  <c r="AZ36" i="15" s="1"/>
  <c r="AC36" i="15"/>
  <c r="AY36" i="15" s="1"/>
  <c r="AB36" i="15"/>
  <c r="AX36" i="15" s="1"/>
  <c r="AA36" i="15"/>
  <c r="AW36" i="15" s="1"/>
  <c r="Z36" i="15"/>
  <c r="AV36" i="15" s="1"/>
  <c r="AT35" i="15"/>
  <c r="BP35" i="15" s="1"/>
  <c r="AS35" i="15"/>
  <c r="BO35" i="15" s="1"/>
  <c r="AR35" i="15"/>
  <c r="BN35" i="15" s="1"/>
  <c r="AQ35" i="15"/>
  <c r="BM35" i="15" s="1"/>
  <c r="AP35" i="15"/>
  <c r="BL35" i="15" s="1"/>
  <c r="AO35" i="15"/>
  <c r="BK35" i="15" s="1"/>
  <c r="AN35" i="15"/>
  <c r="BJ35" i="15" s="1"/>
  <c r="AM35" i="15"/>
  <c r="BI35" i="15" s="1"/>
  <c r="AL35" i="15"/>
  <c r="BH35" i="15" s="1"/>
  <c r="AK35" i="15"/>
  <c r="BG35" i="15" s="1"/>
  <c r="AJ35" i="15"/>
  <c r="BF35" i="15" s="1"/>
  <c r="AI35" i="15"/>
  <c r="BE35" i="15" s="1"/>
  <c r="AH35" i="15"/>
  <c r="BD35" i="15" s="1"/>
  <c r="AG35" i="15"/>
  <c r="BC35" i="15" s="1"/>
  <c r="AF35" i="15"/>
  <c r="BB35" i="15" s="1"/>
  <c r="AE35" i="15"/>
  <c r="BA35" i="15" s="1"/>
  <c r="AD35" i="15"/>
  <c r="AZ35" i="15" s="1"/>
  <c r="AC35" i="15"/>
  <c r="AY35" i="15" s="1"/>
  <c r="AB35" i="15"/>
  <c r="AX35" i="15" s="1"/>
  <c r="AA35" i="15"/>
  <c r="AW35" i="15" s="1"/>
  <c r="Z35" i="15"/>
  <c r="AV35" i="15" s="1"/>
  <c r="AT34" i="15"/>
  <c r="BP34" i="15" s="1"/>
  <c r="AS34" i="15"/>
  <c r="BO34" i="15" s="1"/>
  <c r="AR34" i="15"/>
  <c r="BN34" i="15" s="1"/>
  <c r="AQ34" i="15"/>
  <c r="BM34" i="15" s="1"/>
  <c r="AP34" i="15"/>
  <c r="BL34" i="15" s="1"/>
  <c r="AO34" i="15"/>
  <c r="BK34" i="15" s="1"/>
  <c r="AN34" i="15"/>
  <c r="BJ34" i="15" s="1"/>
  <c r="AM34" i="15"/>
  <c r="BI34" i="15" s="1"/>
  <c r="AL34" i="15"/>
  <c r="BH34" i="15" s="1"/>
  <c r="AK34" i="15"/>
  <c r="BG34" i="15" s="1"/>
  <c r="AJ34" i="15"/>
  <c r="BF34" i="15" s="1"/>
  <c r="AI34" i="15"/>
  <c r="BE34" i="15" s="1"/>
  <c r="AH34" i="15"/>
  <c r="BD34" i="15" s="1"/>
  <c r="AG34" i="15"/>
  <c r="BC34" i="15" s="1"/>
  <c r="AF34" i="15"/>
  <c r="BB34" i="15" s="1"/>
  <c r="AE34" i="15"/>
  <c r="BA34" i="15" s="1"/>
  <c r="AD34" i="15"/>
  <c r="AZ34" i="15" s="1"/>
  <c r="AC34" i="15"/>
  <c r="AY34" i="15" s="1"/>
  <c r="AB34" i="15"/>
  <c r="AX34" i="15" s="1"/>
  <c r="AA34" i="15"/>
  <c r="AW34" i="15" s="1"/>
  <c r="Z34" i="15"/>
  <c r="AV34" i="15" s="1"/>
  <c r="AT33" i="15"/>
  <c r="BP33" i="15" s="1"/>
  <c r="AS33" i="15"/>
  <c r="BO33" i="15" s="1"/>
  <c r="AR33" i="15"/>
  <c r="BN33" i="15" s="1"/>
  <c r="AQ33" i="15"/>
  <c r="BM33" i="15" s="1"/>
  <c r="AP33" i="15"/>
  <c r="BL33" i="15" s="1"/>
  <c r="AO33" i="15"/>
  <c r="BK33" i="15" s="1"/>
  <c r="AN33" i="15"/>
  <c r="BJ33" i="15" s="1"/>
  <c r="AM33" i="15"/>
  <c r="BI33" i="15" s="1"/>
  <c r="AL33" i="15"/>
  <c r="BH33" i="15" s="1"/>
  <c r="AK33" i="15"/>
  <c r="BG33" i="15" s="1"/>
  <c r="AJ33" i="15"/>
  <c r="BF33" i="15" s="1"/>
  <c r="AI33" i="15"/>
  <c r="BE33" i="15" s="1"/>
  <c r="AH33" i="15"/>
  <c r="BD33" i="15" s="1"/>
  <c r="AG33" i="15"/>
  <c r="BC33" i="15" s="1"/>
  <c r="AF33" i="15"/>
  <c r="BB33" i="15" s="1"/>
  <c r="AE33" i="15"/>
  <c r="BA33" i="15" s="1"/>
  <c r="AD33" i="15"/>
  <c r="AZ33" i="15" s="1"/>
  <c r="AC33" i="15"/>
  <c r="AY33" i="15" s="1"/>
  <c r="AB33" i="15"/>
  <c r="AX33" i="15" s="1"/>
  <c r="AA33" i="15"/>
  <c r="AW33" i="15" s="1"/>
  <c r="Z33" i="15"/>
  <c r="AV33" i="15" s="1"/>
  <c r="AT32" i="15"/>
  <c r="BP32" i="15" s="1"/>
  <c r="AS32" i="15"/>
  <c r="BO32" i="15" s="1"/>
  <c r="AR32" i="15"/>
  <c r="BN32" i="15" s="1"/>
  <c r="AQ32" i="15"/>
  <c r="BM32" i="15" s="1"/>
  <c r="AP32" i="15"/>
  <c r="BL32" i="15" s="1"/>
  <c r="AO32" i="15"/>
  <c r="BK32" i="15" s="1"/>
  <c r="AN32" i="15"/>
  <c r="BJ32" i="15" s="1"/>
  <c r="AM32" i="15"/>
  <c r="BI32" i="15" s="1"/>
  <c r="AL32" i="15"/>
  <c r="BH32" i="15" s="1"/>
  <c r="AK32" i="15"/>
  <c r="BG32" i="15" s="1"/>
  <c r="AJ32" i="15"/>
  <c r="BF32" i="15" s="1"/>
  <c r="AI32" i="15"/>
  <c r="BE32" i="15" s="1"/>
  <c r="AH32" i="15"/>
  <c r="BD32" i="15" s="1"/>
  <c r="AG32" i="15"/>
  <c r="BC32" i="15" s="1"/>
  <c r="AF32" i="15"/>
  <c r="BB32" i="15" s="1"/>
  <c r="AE32" i="15"/>
  <c r="BA32" i="15" s="1"/>
  <c r="AD32" i="15"/>
  <c r="AZ32" i="15" s="1"/>
  <c r="AC32" i="15"/>
  <c r="AY32" i="15" s="1"/>
  <c r="AB32" i="15"/>
  <c r="AX32" i="15" s="1"/>
  <c r="AA32" i="15"/>
  <c r="AW32" i="15" s="1"/>
  <c r="Z32" i="15"/>
  <c r="AV32" i="15" s="1"/>
  <c r="AT31" i="15"/>
  <c r="BP31" i="15" s="1"/>
  <c r="AS31" i="15"/>
  <c r="BO31" i="15" s="1"/>
  <c r="AR31" i="15"/>
  <c r="BN31" i="15" s="1"/>
  <c r="AQ31" i="15"/>
  <c r="BM31" i="15" s="1"/>
  <c r="AP31" i="15"/>
  <c r="BL31" i="15" s="1"/>
  <c r="AO31" i="15"/>
  <c r="BK31" i="15" s="1"/>
  <c r="AN31" i="15"/>
  <c r="BJ31" i="15" s="1"/>
  <c r="AM31" i="15"/>
  <c r="BI31" i="15" s="1"/>
  <c r="AL31" i="15"/>
  <c r="BH31" i="15" s="1"/>
  <c r="AK31" i="15"/>
  <c r="BG31" i="15" s="1"/>
  <c r="AJ31" i="15"/>
  <c r="BF31" i="15" s="1"/>
  <c r="AI31" i="15"/>
  <c r="BE31" i="15" s="1"/>
  <c r="AH31" i="15"/>
  <c r="BD31" i="15" s="1"/>
  <c r="AG31" i="15"/>
  <c r="BC31" i="15" s="1"/>
  <c r="AF31" i="15"/>
  <c r="BB31" i="15" s="1"/>
  <c r="AE31" i="15"/>
  <c r="BA31" i="15" s="1"/>
  <c r="AD31" i="15"/>
  <c r="AZ31" i="15" s="1"/>
  <c r="AC31" i="15"/>
  <c r="AY31" i="15" s="1"/>
  <c r="AB31" i="15"/>
  <c r="AX31" i="15" s="1"/>
  <c r="AA31" i="15"/>
  <c r="AW31" i="15" s="1"/>
  <c r="Z31" i="15"/>
  <c r="AV31" i="15" s="1"/>
  <c r="AT30" i="15"/>
  <c r="BP30" i="15" s="1"/>
  <c r="AS30" i="15"/>
  <c r="BO30" i="15" s="1"/>
  <c r="AR30" i="15"/>
  <c r="BN30" i="15" s="1"/>
  <c r="AQ30" i="15"/>
  <c r="BM30" i="15" s="1"/>
  <c r="AP30" i="15"/>
  <c r="BL30" i="15" s="1"/>
  <c r="AO30" i="15"/>
  <c r="BK30" i="15" s="1"/>
  <c r="AN30" i="15"/>
  <c r="BJ30" i="15" s="1"/>
  <c r="AM30" i="15"/>
  <c r="BI30" i="15" s="1"/>
  <c r="AL30" i="15"/>
  <c r="BH30" i="15" s="1"/>
  <c r="AK30" i="15"/>
  <c r="BG30" i="15" s="1"/>
  <c r="AJ30" i="15"/>
  <c r="BF30" i="15" s="1"/>
  <c r="AI30" i="15"/>
  <c r="BE30" i="15" s="1"/>
  <c r="AH30" i="15"/>
  <c r="BD30" i="15" s="1"/>
  <c r="AG30" i="15"/>
  <c r="BC30" i="15" s="1"/>
  <c r="AF30" i="15"/>
  <c r="BB30" i="15" s="1"/>
  <c r="AE30" i="15"/>
  <c r="BA30" i="15" s="1"/>
  <c r="AD30" i="15"/>
  <c r="AZ30" i="15" s="1"/>
  <c r="AC30" i="15"/>
  <c r="AY30" i="15" s="1"/>
  <c r="AB30" i="15"/>
  <c r="AX30" i="15" s="1"/>
  <c r="AA30" i="15"/>
  <c r="AW30" i="15" s="1"/>
  <c r="Z30" i="15"/>
  <c r="AV30" i="15" s="1"/>
  <c r="AT29" i="15"/>
  <c r="BP29" i="15" s="1"/>
  <c r="AS29" i="15"/>
  <c r="BO29" i="15" s="1"/>
  <c r="AR29" i="15"/>
  <c r="BN29" i="15" s="1"/>
  <c r="AQ29" i="15"/>
  <c r="BM29" i="15" s="1"/>
  <c r="AP29" i="15"/>
  <c r="BL29" i="15" s="1"/>
  <c r="AO29" i="15"/>
  <c r="BK29" i="15" s="1"/>
  <c r="AN29" i="15"/>
  <c r="BJ29" i="15" s="1"/>
  <c r="AM29" i="15"/>
  <c r="BI29" i="15" s="1"/>
  <c r="AL29" i="15"/>
  <c r="BH29" i="15" s="1"/>
  <c r="AK29" i="15"/>
  <c r="BG29" i="15" s="1"/>
  <c r="AJ29" i="15"/>
  <c r="BF29" i="15" s="1"/>
  <c r="AI29" i="15"/>
  <c r="BE29" i="15" s="1"/>
  <c r="AH29" i="15"/>
  <c r="BD29" i="15" s="1"/>
  <c r="AG29" i="15"/>
  <c r="BC29" i="15" s="1"/>
  <c r="AF29" i="15"/>
  <c r="BB29" i="15" s="1"/>
  <c r="AE29" i="15"/>
  <c r="BA29" i="15" s="1"/>
  <c r="AD29" i="15"/>
  <c r="AZ29" i="15" s="1"/>
  <c r="AC29" i="15"/>
  <c r="AY29" i="15" s="1"/>
  <c r="AB29" i="15"/>
  <c r="AX29" i="15" s="1"/>
  <c r="AA29" i="15"/>
  <c r="AW29" i="15" s="1"/>
  <c r="Z29" i="15"/>
  <c r="AV29" i="15" s="1"/>
  <c r="AT28" i="15"/>
  <c r="BP28" i="15" s="1"/>
  <c r="AS28" i="15"/>
  <c r="BO28" i="15" s="1"/>
  <c r="AR28" i="15"/>
  <c r="BN28" i="15" s="1"/>
  <c r="AQ28" i="15"/>
  <c r="BM28" i="15" s="1"/>
  <c r="AP28" i="15"/>
  <c r="BL28" i="15" s="1"/>
  <c r="AO28" i="15"/>
  <c r="BK28" i="15" s="1"/>
  <c r="AN28" i="15"/>
  <c r="BJ28" i="15" s="1"/>
  <c r="AM28" i="15"/>
  <c r="BI28" i="15" s="1"/>
  <c r="AL28" i="15"/>
  <c r="BH28" i="15" s="1"/>
  <c r="AK28" i="15"/>
  <c r="BG28" i="15" s="1"/>
  <c r="AJ28" i="15"/>
  <c r="BF28" i="15" s="1"/>
  <c r="AI28" i="15"/>
  <c r="BE28" i="15" s="1"/>
  <c r="AH28" i="15"/>
  <c r="BD28" i="15" s="1"/>
  <c r="AG28" i="15"/>
  <c r="BC28" i="15" s="1"/>
  <c r="AF28" i="15"/>
  <c r="BB28" i="15" s="1"/>
  <c r="AE28" i="15"/>
  <c r="BA28" i="15" s="1"/>
  <c r="AD28" i="15"/>
  <c r="AZ28" i="15" s="1"/>
  <c r="AC28" i="15"/>
  <c r="AY28" i="15" s="1"/>
  <c r="AB28" i="15"/>
  <c r="AX28" i="15" s="1"/>
  <c r="AA28" i="15"/>
  <c r="AW28" i="15" s="1"/>
  <c r="Z28" i="15"/>
  <c r="AV28" i="15" s="1"/>
  <c r="AT27" i="15"/>
  <c r="BP27" i="15" s="1"/>
  <c r="AS27" i="15"/>
  <c r="BO27" i="15" s="1"/>
  <c r="AR27" i="15"/>
  <c r="BN27" i="15" s="1"/>
  <c r="AQ27" i="15"/>
  <c r="BM27" i="15" s="1"/>
  <c r="AP27" i="15"/>
  <c r="BL27" i="15" s="1"/>
  <c r="AO27" i="15"/>
  <c r="BK27" i="15" s="1"/>
  <c r="AN27" i="15"/>
  <c r="BJ27" i="15" s="1"/>
  <c r="AM27" i="15"/>
  <c r="BI27" i="15" s="1"/>
  <c r="AL27" i="15"/>
  <c r="BH27" i="15" s="1"/>
  <c r="AK27" i="15"/>
  <c r="BG27" i="15" s="1"/>
  <c r="AJ27" i="15"/>
  <c r="BF27" i="15" s="1"/>
  <c r="AI27" i="15"/>
  <c r="BE27" i="15" s="1"/>
  <c r="AH27" i="15"/>
  <c r="BD27" i="15" s="1"/>
  <c r="AG27" i="15"/>
  <c r="BC27" i="15" s="1"/>
  <c r="AF27" i="15"/>
  <c r="BB27" i="15" s="1"/>
  <c r="AE27" i="15"/>
  <c r="BA27" i="15" s="1"/>
  <c r="AD27" i="15"/>
  <c r="AZ27" i="15" s="1"/>
  <c r="AC27" i="15"/>
  <c r="AY27" i="15" s="1"/>
  <c r="AB27" i="15"/>
  <c r="AX27" i="15" s="1"/>
  <c r="AA27" i="15"/>
  <c r="AW27" i="15" s="1"/>
  <c r="Z27" i="15"/>
  <c r="AV27" i="15" s="1"/>
  <c r="AT26" i="15"/>
  <c r="BP26" i="15" s="1"/>
  <c r="AS26" i="15"/>
  <c r="BO26" i="15" s="1"/>
  <c r="AR26" i="15"/>
  <c r="BN26" i="15" s="1"/>
  <c r="AQ26" i="15"/>
  <c r="BM26" i="15" s="1"/>
  <c r="AP26" i="15"/>
  <c r="BL26" i="15" s="1"/>
  <c r="AO26" i="15"/>
  <c r="BK26" i="15" s="1"/>
  <c r="AN26" i="15"/>
  <c r="BJ26" i="15" s="1"/>
  <c r="AM26" i="15"/>
  <c r="BI26" i="15" s="1"/>
  <c r="AL26" i="15"/>
  <c r="BH26" i="15" s="1"/>
  <c r="AK26" i="15"/>
  <c r="BG26" i="15" s="1"/>
  <c r="AJ26" i="15"/>
  <c r="BF26" i="15" s="1"/>
  <c r="AI26" i="15"/>
  <c r="BE26" i="15" s="1"/>
  <c r="AH26" i="15"/>
  <c r="BD26" i="15" s="1"/>
  <c r="AG26" i="15"/>
  <c r="BC26" i="15" s="1"/>
  <c r="AF26" i="15"/>
  <c r="BB26" i="15" s="1"/>
  <c r="AE26" i="15"/>
  <c r="BA26" i="15" s="1"/>
  <c r="AD26" i="15"/>
  <c r="AZ26" i="15" s="1"/>
  <c r="AC26" i="15"/>
  <c r="AY26" i="15" s="1"/>
  <c r="AB26" i="15"/>
  <c r="AX26" i="15" s="1"/>
  <c r="AA26" i="15"/>
  <c r="AW26" i="15" s="1"/>
  <c r="Z26" i="15"/>
  <c r="AV26" i="15" s="1"/>
  <c r="AT25" i="15"/>
  <c r="BP25" i="15" s="1"/>
  <c r="AS25" i="15"/>
  <c r="BO25" i="15" s="1"/>
  <c r="AR25" i="15"/>
  <c r="BN25" i="15" s="1"/>
  <c r="AQ25" i="15"/>
  <c r="BM25" i="15" s="1"/>
  <c r="AP25" i="15"/>
  <c r="BL25" i="15" s="1"/>
  <c r="AO25" i="15"/>
  <c r="BK25" i="15" s="1"/>
  <c r="AN25" i="15"/>
  <c r="BJ25" i="15" s="1"/>
  <c r="AM25" i="15"/>
  <c r="BI25" i="15" s="1"/>
  <c r="AL25" i="15"/>
  <c r="BH25" i="15" s="1"/>
  <c r="AK25" i="15"/>
  <c r="BG25" i="15" s="1"/>
  <c r="AJ25" i="15"/>
  <c r="BF25" i="15" s="1"/>
  <c r="AI25" i="15"/>
  <c r="BE25" i="15" s="1"/>
  <c r="AH25" i="15"/>
  <c r="BD25" i="15" s="1"/>
  <c r="AG25" i="15"/>
  <c r="BC25" i="15" s="1"/>
  <c r="AF25" i="15"/>
  <c r="BB25" i="15" s="1"/>
  <c r="AE25" i="15"/>
  <c r="BA25" i="15" s="1"/>
  <c r="AD25" i="15"/>
  <c r="AZ25" i="15" s="1"/>
  <c r="AC25" i="15"/>
  <c r="AY25" i="15" s="1"/>
  <c r="AB25" i="15"/>
  <c r="AX25" i="15" s="1"/>
  <c r="AA25" i="15"/>
  <c r="AW25" i="15" s="1"/>
  <c r="Z25" i="15"/>
  <c r="AV25" i="15" s="1"/>
  <c r="AT24" i="15"/>
  <c r="BP24" i="15" s="1"/>
  <c r="AS24" i="15"/>
  <c r="BO24" i="15" s="1"/>
  <c r="AR24" i="15"/>
  <c r="BN24" i="15" s="1"/>
  <c r="AQ24" i="15"/>
  <c r="BM24" i="15" s="1"/>
  <c r="AP24" i="15"/>
  <c r="BL24" i="15" s="1"/>
  <c r="AO24" i="15"/>
  <c r="BK24" i="15" s="1"/>
  <c r="AN24" i="15"/>
  <c r="BJ24" i="15" s="1"/>
  <c r="AM24" i="15"/>
  <c r="BI24" i="15" s="1"/>
  <c r="AL24" i="15"/>
  <c r="BH24" i="15" s="1"/>
  <c r="AK24" i="15"/>
  <c r="BG24" i="15" s="1"/>
  <c r="AJ24" i="15"/>
  <c r="BF24" i="15" s="1"/>
  <c r="AI24" i="15"/>
  <c r="BE24" i="15" s="1"/>
  <c r="AH24" i="15"/>
  <c r="BD24" i="15" s="1"/>
  <c r="AG24" i="15"/>
  <c r="BC24" i="15" s="1"/>
  <c r="AF24" i="15"/>
  <c r="BB24" i="15" s="1"/>
  <c r="AE24" i="15"/>
  <c r="BA24" i="15" s="1"/>
  <c r="AD24" i="15"/>
  <c r="AZ24" i="15" s="1"/>
  <c r="AC24" i="15"/>
  <c r="AY24" i="15" s="1"/>
  <c r="AB24" i="15"/>
  <c r="AX24" i="15" s="1"/>
  <c r="AA24" i="15"/>
  <c r="AW24" i="15" s="1"/>
  <c r="Z24" i="15"/>
  <c r="AV24" i="15" s="1"/>
  <c r="AT23" i="15"/>
  <c r="BP23" i="15" s="1"/>
  <c r="AS23" i="15"/>
  <c r="BO23" i="15" s="1"/>
  <c r="AR23" i="15"/>
  <c r="BN23" i="15" s="1"/>
  <c r="AQ23" i="15"/>
  <c r="BM23" i="15" s="1"/>
  <c r="AP23" i="15"/>
  <c r="BL23" i="15" s="1"/>
  <c r="AO23" i="15"/>
  <c r="BK23" i="15" s="1"/>
  <c r="AN23" i="15"/>
  <c r="BJ23" i="15" s="1"/>
  <c r="AM23" i="15"/>
  <c r="BI23" i="15" s="1"/>
  <c r="AL23" i="15"/>
  <c r="BH23" i="15" s="1"/>
  <c r="AK23" i="15"/>
  <c r="BG23" i="15" s="1"/>
  <c r="AJ23" i="15"/>
  <c r="BF23" i="15" s="1"/>
  <c r="AI23" i="15"/>
  <c r="BE23" i="15" s="1"/>
  <c r="AH23" i="15"/>
  <c r="BD23" i="15" s="1"/>
  <c r="AG23" i="15"/>
  <c r="BC23" i="15" s="1"/>
  <c r="AF23" i="15"/>
  <c r="BB23" i="15" s="1"/>
  <c r="AE23" i="15"/>
  <c r="BA23" i="15" s="1"/>
  <c r="AD23" i="15"/>
  <c r="AZ23" i="15" s="1"/>
  <c r="AC23" i="15"/>
  <c r="AY23" i="15" s="1"/>
  <c r="AB23" i="15"/>
  <c r="AX23" i="15" s="1"/>
  <c r="AA23" i="15"/>
  <c r="AW23" i="15" s="1"/>
  <c r="Z23" i="15"/>
  <c r="AV23" i="15" s="1"/>
  <c r="AT22" i="15"/>
  <c r="BP22" i="15" s="1"/>
  <c r="AS22" i="15"/>
  <c r="BO22" i="15" s="1"/>
  <c r="AR22" i="15"/>
  <c r="BN22" i="15" s="1"/>
  <c r="AQ22" i="15"/>
  <c r="BM22" i="15" s="1"/>
  <c r="AP22" i="15"/>
  <c r="BL22" i="15" s="1"/>
  <c r="AO22" i="15"/>
  <c r="BK22" i="15" s="1"/>
  <c r="AN22" i="15"/>
  <c r="BJ22" i="15" s="1"/>
  <c r="AM22" i="15"/>
  <c r="BI22" i="15" s="1"/>
  <c r="AL22" i="15"/>
  <c r="BH22" i="15" s="1"/>
  <c r="AK22" i="15"/>
  <c r="BG22" i="15" s="1"/>
  <c r="AJ22" i="15"/>
  <c r="BF22" i="15" s="1"/>
  <c r="AI22" i="15"/>
  <c r="BE22" i="15" s="1"/>
  <c r="AH22" i="15"/>
  <c r="BD22" i="15" s="1"/>
  <c r="AG22" i="15"/>
  <c r="BC22" i="15" s="1"/>
  <c r="AF22" i="15"/>
  <c r="BB22" i="15" s="1"/>
  <c r="AE22" i="15"/>
  <c r="BA22" i="15" s="1"/>
  <c r="AD22" i="15"/>
  <c r="AZ22" i="15" s="1"/>
  <c r="AC22" i="15"/>
  <c r="AY22" i="15" s="1"/>
  <c r="AB22" i="15"/>
  <c r="AX22" i="15" s="1"/>
  <c r="AA22" i="15"/>
  <c r="AW22" i="15" s="1"/>
  <c r="Z22" i="15"/>
  <c r="AV22" i="15" s="1"/>
  <c r="AT21" i="15"/>
  <c r="BP21" i="15" s="1"/>
  <c r="AS21" i="15"/>
  <c r="BO21" i="15" s="1"/>
  <c r="AR21" i="15"/>
  <c r="BN21" i="15" s="1"/>
  <c r="AQ21" i="15"/>
  <c r="BM21" i="15" s="1"/>
  <c r="AP21" i="15"/>
  <c r="BL21" i="15" s="1"/>
  <c r="AO21" i="15"/>
  <c r="BK21" i="15" s="1"/>
  <c r="AN21" i="15"/>
  <c r="BJ21" i="15" s="1"/>
  <c r="AM21" i="15"/>
  <c r="BI21" i="15" s="1"/>
  <c r="AL21" i="15"/>
  <c r="BH21" i="15" s="1"/>
  <c r="AK21" i="15"/>
  <c r="BG21" i="15" s="1"/>
  <c r="AJ21" i="15"/>
  <c r="BF21" i="15" s="1"/>
  <c r="AI21" i="15"/>
  <c r="BE21" i="15" s="1"/>
  <c r="AH21" i="15"/>
  <c r="BD21" i="15" s="1"/>
  <c r="AG21" i="15"/>
  <c r="BC21" i="15" s="1"/>
  <c r="AF21" i="15"/>
  <c r="BB21" i="15" s="1"/>
  <c r="AE21" i="15"/>
  <c r="BA21" i="15" s="1"/>
  <c r="AD21" i="15"/>
  <c r="AZ21" i="15" s="1"/>
  <c r="AC21" i="15"/>
  <c r="AY21" i="15" s="1"/>
  <c r="AB21" i="15"/>
  <c r="AX21" i="15" s="1"/>
  <c r="AA21" i="15"/>
  <c r="AW21" i="15" s="1"/>
  <c r="Z21" i="15"/>
  <c r="AV21" i="15" s="1"/>
  <c r="AT20" i="15"/>
  <c r="BP20" i="15" s="1"/>
  <c r="AS20" i="15"/>
  <c r="BO20" i="15" s="1"/>
  <c r="AR20" i="15"/>
  <c r="BN20" i="15" s="1"/>
  <c r="AQ20" i="15"/>
  <c r="BM20" i="15" s="1"/>
  <c r="AP20" i="15"/>
  <c r="BL20" i="15" s="1"/>
  <c r="AO20" i="15"/>
  <c r="BK20" i="15" s="1"/>
  <c r="AN20" i="15"/>
  <c r="BJ20" i="15" s="1"/>
  <c r="AM20" i="15"/>
  <c r="BI20" i="15" s="1"/>
  <c r="AL20" i="15"/>
  <c r="BH20" i="15" s="1"/>
  <c r="AK20" i="15"/>
  <c r="BG20" i="15" s="1"/>
  <c r="AJ20" i="15"/>
  <c r="BF20" i="15" s="1"/>
  <c r="AI20" i="15"/>
  <c r="BE20" i="15" s="1"/>
  <c r="AH20" i="15"/>
  <c r="BD20" i="15" s="1"/>
  <c r="AG20" i="15"/>
  <c r="BC20" i="15" s="1"/>
  <c r="AF20" i="15"/>
  <c r="BB20" i="15" s="1"/>
  <c r="AE20" i="15"/>
  <c r="BA20" i="15" s="1"/>
  <c r="AD20" i="15"/>
  <c r="AZ20" i="15" s="1"/>
  <c r="AC20" i="15"/>
  <c r="AY20" i="15" s="1"/>
  <c r="AB20" i="15"/>
  <c r="AX20" i="15" s="1"/>
  <c r="AA20" i="15"/>
  <c r="AW20" i="15" s="1"/>
  <c r="Z20" i="15"/>
  <c r="AV20" i="15" s="1"/>
  <c r="AT19" i="15"/>
  <c r="BP19" i="15" s="1"/>
  <c r="AS19" i="15"/>
  <c r="BO19" i="15" s="1"/>
  <c r="AR19" i="15"/>
  <c r="BN19" i="15" s="1"/>
  <c r="AQ19" i="15"/>
  <c r="BM19" i="15" s="1"/>
  <c r="AP19" i="15"/>
  <c r="BL19" i="15" s="1"/>
  <c r="AO19" i="15"/>
  <c r="BK19" i="15" s="1"/>
  <c r="AN19" i="15"/>
  <c r="BJ19" i="15" s="1"/>
  <c r="AM19" i="15"/>
  <c r="BI19" i="15" s="1"/>
  <c r="AL19" i="15"/>
  <c r="BH19" i="15" s="1"/>
  <c r="AK19" i="15"/>
  <c r="BG19" i="15" s="1"/>
  <c r="AJ19" i="15"/>
  <c r="BF19" i="15" s="1"/>
  <c r="AI19" i="15"/>
  <c r="BE19" i="15" s="1"/>
  <c r="AH19" i="15"/>
  <c r="BD19" i="15" s="1"/>
  <c r="AG19" i="15"/>
  <c r="BC19" i="15" s="1"/>
  <c r="AF19" i="15"/>
  <c r="BB19" i="15" s="1"/>
  <c r="AE19" i="15"/>
  <c r="BA19" i="15" s="1"/>
  <c r="AD19" i="15"/>
  <c r="AZ19" i="15" s="1"/>
  <c r="AC19" i="15"/>
  <c r="AY19" i="15" s="1"/>
  <c r="AB19" i="15"/>
  <c r="AX19" i="15" s="1"/>
  <c r="AA19" i="15"/>
  <c r="AW19" i="15" s="1"/>
  <c r="Z19" i="15"/>
  <c r="AV19" i="15" s="1"/>
  <c r="AT18" i="15"/>
  <c r="BP18" i="15" s="1"/>
  <c r="AS18" i="15"/>
  <c r="BO18" i="15" s="1"/>
  <c r="AR18" i="15"/>
  <c r="BN18" i="15" s="1"/>
  <c r="AQ18" i="15"/>
  <c r="BM18" i="15" s="1"/>
  <c r="AP18" i="15"/>
  <c r="BL18" i="15" s="1"/>
  <c r="AO18" i="15"/>
  <c r="BK18" i="15" s="1"/>
  <c r="AN18" i="15"/>
  <c r="BJ18" i="15" s="1"/>
  <c r="AM18" i="15"/>
  <c r="BI18" i="15" s="1"/>
  <c r="AL18" i="15"/>
  <c r="BH18" i="15" s="1"/>
  <c r="AK18" i="15"/>
  <c r="BG18" i="15" s="1"/>
  <c r="AJ18" i="15"/>
  <c r="BF18" i="15" s="1"/>
  <c r="AI18" i="15"/>
  <c r="BE18" i="15" s="1"/>
  <c r="AH18" i="15"/>
  <c r="BD18" i="15" s="1"/>
  <c r="AG18" i="15"/>
  <c r="BC18" i="15" s="1"/>
  <c r="AF18" i="15"/>
  <c r="BB18" i="15" s="1"/>
  <c r="AE18" i="15"/>
  <c r="BA18" i="15" s="1"/>
  <c r="AD18" i="15"/>
  <c r="AZ18" i="15" s="1"/>
  <c r="AC18" i="15"/>
  <c r="AY18" i="15" s="1"/>
  <c r="AB18" i="15"/>
  <c r="AX18" i="15" s="1"/>
  <c r="AA18" i="15"/>
  <c r="AW18" i="15" s="1"/>
  <c r="Z18" i="15"/>
  <c r="AV18" i="15" s="1"/>
  <c r="AT17" i="15"/>
  <c r="BP17" i="15" s="1"/>
  <c r="AS17" i="15"/>
  <c r="BO17" i="15" s="1"/>
  <c r="AR17" i="15"/>
  <c r="BN17" i="15" s="1"/>
  <c r="AQ17" i="15"/>
  <c r="BM17" i="15" s="1"/>
  <c r="AP17" i="15"/>
  <c r="BL17" i="15" s="1"/>
  <c r="AO17" i="15"/>
  <c r="BK17" i="15" s="1"/>
  <c r="AN17" i="15"/>
  <c r="BJ17" i="15" s="1"/>
  <c r="AM17" i="15"/>
  <c r="BI17" i="15" s="1"/>
  <c r="AL17" i="15"/>
  <c r="BH17" i="15" s="1"/>
  <c r="AK17" i="15"/>
  <c r="BG17" i="15" s="1"/>
  <c r="AJ17" i="15"/>
  <c r="BF17" i="15" s="1"/>
  <c r="AI17" i="15"/>
  <c r="BE17" i="15" s="1"/>
  <c r="AH17" i="15"/>
  <c r="BD17" i="15" s="1"/>
  <c r="AG17" i="15"/>
  <c r="BC17" i="15" s="1"/>
  <c r="AF17" i="15"/>
  <c r="BB17" i="15" s="1"/>
  <c r="AE17" i="15"/>
  <c r="BA17" i="15" s="1"/>
  <c r="AD17" i="15"/>
  <c r="AZ17" i="15" s="1"/>
  <c r="AC17" i="15"/>
  <c r="AY17" i="15" s="1"/>
  <c r="AB17" i="15"/>
  <c r="AX17" i="15" s="1"/>
  <c r="AA17" i="15"/>
  <c r="AW17" i="15" s="1"/>
  <c r="Z17" i="15"/>
  <c r="AV17" i="15" s="1"/>
  <c r="AT16" i="15"/>
  <c r="BP16" i="15" s="1"/>
  <c r="AS16" i="15"/>
  <c r="BO16" i="15" s="1"/>
  <c r="AR16" i="15"/>
  <c r="BN16" i="15" s="1"/>
  <c r="AQ16" i="15"/>
  <c r="BM16" i="15" s="1"/>
  <c r="AP16" i="15"/>
  <c r="BL16" i="15" s="1"/>
  <c r="AO16" i="15"/>
  <c r="BK16" i="15" s="1"/>
  <c r="AN16" i="15"/>
  <c r="BJ16" i="15" s="1"/>
  <c r="AM16" i="15"/>
  <c r="BI16" i="15" s="1"/>
  <c r="AL16" i="15"/>
  <c r="BH16" i="15" s="1"/>
  <c r="AK16" i="15"/>
  <c r="BG16" i="15" s="1"/>
  <c r="AJ16" i="15"/>
  <c r="BF16" i="15" s="1"/>
  <c r="AI16" i="15"/>
  <c r="BE16" i="15" s="1"/>
  <c r="AH16" i="15"/>
  <c r="BD16" i="15" s="1"/>
  <c r="AG16" i="15"/>
  <c r="BC16" i="15" s="1"/>
  <c r="AF16" i="15"/>
  <c r="BB16" i="15" s="1"/>
  <c r="AE16" i="15"/>
  <c r="BA16" i="15" s="1"/>
  <c r="AD16" i="15"/>
  <c r="AZ16" i="15" s="1"/>
  <c r="AC16" i="15"/>
  <c r="AY16" i="15" s="1"/>
  <c r="AB16" i="15"/>
  <c r="AX16" i="15" s="1"/>
  <c r="AA16" i="15"/>
  <c r="AW16" i="15" s="1"/>
  <c r="Z16" i="15"/>
  <c r="AV16" i="15" s="1"/>
  <c r="AT15" i="15"/>
  <c r="BP15" i="15" s="1"/>
  <c r="AS15" i="15"/>
  <c r="BO15" i="15" s="1"/>
  <c r="AR15" i="15"/>
  <c r="BN15" i="15" s="1"/>
  <c r="AQ15" i="15"/>
  <c r="BM15" i="15" s="1"/>
  <c r="AP15" i="15"/>
  <c r="BL15" i="15" s="1"/>
  <c r="AO15" i="15"/>
  <c r="BK15" i="15" s="1"/>
  <c r="AN15" i="15"/>
  <c r="BJ15" i="15" s="1"/>
  <c r="AM15" i="15"/>
  <c r="BI15" i="15" s="1"/>
  <c r="AL15" i="15"/>
  <c r="BH15" i="15" s="1"/>
  <c r="AK15" i="15"/>
  <c r="BG15" i="15" s="1"/>
  <c r="AJ15" i="15"/>
  <c r="BF15" i="15" s="1"/>
  <c r="AI15" i="15"/>
  <c r="BE15" i="15" s="1"/>
  <c r="AH15" i="15"/>
  <c r="BD15" i="15" s="1"/>
  <c r="AG15" i="15"/>
  <c r="BC15" i="15" s="1"/>
  <c r="AF15" i="15"/>
  <c r="BB15" i="15" s="1"/>
  <c r="AE15" i="15"/>
  <c r="BA15" i="15" s="1"/>
  <c r="AD15" i="15"/>
  <c r="AZ15" i="15" s="1"/>
  <c r="AC15" i="15"/>
  <c r="AY15" i="15" s="1"/>
  <c r="AB15" i="15"/>
  <c r="AX15" i="15" s="1"/>
  <c r="AA15" i="15"/>
  <c r="AW15" i="15" s="1"/>
  <c r="Z15" i="15"/>
  <c r="AV15" i="15" s="1"/>
  <c r="AT14" i="15"/>
  <c r="BP14" i="15" s="1"/>
  <c r="AS14" i="15"/>
  <c r="BO14" i="15" s="1"/>
  <c r="AR14" i="15"/>
  <c r="BN14" i="15" s="1"/>
  <c r="AQ14" i="15"/>
  <c r="BM14" i="15" s="1"/>
  <c r="AP14" i="15"/>
  <c r="BL14" i="15" s="1"/>
  <c r="AO14" i="15"/>
  <c r="BK14" i="15" s="1"/>
  <c r="AN14" i="15"/>
  <c r="BJ14" i="15" s="1"/>
  <c r="AM14" i="15"/>
  <c r="BI14" i="15" s="1"/>
  <c r="AL14" i="15"/>
  <c r="BH14" i="15" s="1"/>
  <c r="AK14" i="15"/>
  <c r="BG14" i="15" s="1"/>
  <c r="AJ14" i="15"/>
  <c r="BF14" i="15" s="1"/>
  <c r="AI14" i="15"/>
  <c r="BE14" i="15" s="1"/>
  <c r="AH14" i="15"/>
  <c r="BD14" i="15" s="1"/>
  <c r="AG14" i="15"/>
  <c r="BC14" i="15" s="1"/>
  <c r="AF14" i="15"/>
  <c r="BB14" i="15" s="1"/>
  <c r="AE14" i="15"/>
  <c r="BA14" i="15" s="1"/>
  <c r="AD14" i="15"/>
  <c r="AZ14" i="15" s="1"/>
  <c r="AC14" i="15"/>
  <c r="AY14" i="15" s="1"/>
  <c r="AB14" i="15"/>
  <c r="AX14" i="15" s="1"/>
  <c r="AA14" i="15"/>
  <c r="AW14" i="15" s="1"/>
  <c r="Z14" i="15"/>
  <c r="AV14" i="15" s="1"/>
  <c r="AT13" i="15"/>
  <c r="BP13" i="15" s="1"/>
  <c r="AS13" i="15"/>
  <c r="BO13" i="15" s="1"/>
  <c r="AR13" i="15"/>
  <c r="BN13" i="15" s="1"/>
  <c r="AQ13" i="15"/>
  <c r="BM13" i="15" s="1"/>
  <c r="AP13" i="15"/>
  <c r="BL13" i="15" s="1"/>
  <c r="AO13" i="15"/>
  <c r="BK13" i="15" s="1"/>
  <c r="AN13" i="15"/>
  <c r="BJ13" i="15" s="1"/>
  <c r="AM13" i="15"/>
  <c r="BI13" i="15" s="1"/>
  <c r="AL13" i="15"/>
  <c r="BH13" i="15" s="1"/>
  <c r="AK13" i="15"/>
  <c r="BG13" i="15" s="1"/>
  <c r="AJ13" i="15"/>
  <c r="BF13" i="15" s="1"/>
  <c r="AI13" i="15"/>
  <c r="BE13" i="15" s="1"/>
  <c r="AH13" i="15"/>
  <c r="BD13" i="15" s="1"/>
  <c r="AG13" i="15"/>
  <c r="BC13" i="15" s="1"/>
  <c r="AF13" i="15"/>
  <c r="BB13" i="15" s="1"/>
  <c r="AE13" i="15"/>
  <c r="BA13" i="15" s="1"/>
  <c r="AD13" i="15"/>
  <c r="AZ13" i="15" s="1"/>
  <c r="AC13" i="15"/>
  <c r="AY13" i="15" s="1"/>
  <c r="AB13" i="15"/>
  <c r="AX13" i="15" s="1"/>
  <c r="AA13" i="15"/>
  <c r="AW13" i="15" s="1"/>
  <c r="Z13" i="15"/>
  <c r="AV13" i="15" s="1"/>
  <c r="AT12" i="15"/>
  <c r="BP12" i="15" s="1"/>
  <c r="AS12" i="15"/>
  <c r="BO12" i="15" s="1"/>
  <c r="AR12" i="15"/>
  <c r="BN12" i="15" s="1"/>
  <c r="AQ12" i="15"/>
  <c r="BM12" i="15" s="1"/>
  <c r="AP12" i="15"/>
  <c r="BL12" i="15" s="1"/>
  <c r="AO12" i="15"/>
  <c r="BK12" i="15" s="1"/>
  <c r="AN12" i="15"/>
  <c r="BJ12" i="15" s="1"/>
  <c r="AM12" i="15"/>
  <c r="BI12" i="15" s="1"/>
  <c r="AL12" i="15"/>
  <c r="BH12" i="15" s="1"/>
  <c r="AK12" i="15"/>
  <c r="BG12" i="15" s="1"/>
  <c r="AJ12" i="15"/>
  <c r="BF12" i="15" s="1"/>
  <c r="AI12" i="15"/>
  <c r="BE12" i="15" s="1"/>
  <c r="AH12" i="15"/>
  <c r="BD12" i="15" s="1"/>
  <c r="AG12" i="15"/>
  <c r="BC12" i="15" s="1"/>
  <c r="AF12" i="15"/>
  <c r="BB12" i="15" s="1"/>
  <c r="AE12" i="15"/>
  <c r="BA12" i="15" s="1"/>
  <c r="AD12" i="15"/>
  <c r="AZ12" i="15" s="1"/>
  <c r="AC12" i="15"/>
  <c r="AY12" i="15" s="1"/>
  <c r="AB12" i="15"/>
  <c r="AX12" i="15" s="1"/>
  <c r="AA12" i="15"/>
  <c r="AW12" i="15" s="1"/>
  <c r="Z12" i="15"/>
  <c r="AV12" i="15" s="1"/>
  <c r="AT11" i="15"/>
  <c r="BP11" i="15" s="1"/>
  <c r="AS11" i="15"/>
  <c r="BO11" i="15" s="1"/>
  <c r="AR11" i="15"/>
  <c r="BN11" i="15" s="1"/>
  <c r="AQ11" i="15"/>
  <c r="BM11" i="15" s="1"/>
  <c r="AP11" i="15"/>
  <c r="BL11" i="15" s="1"/>
  <c r="AO11" i="15"/>
  <c r="BK11" i="15" s="1"/>
  <c r="AN11" i="15"/>
  <c r="BJ11" i="15" s="1"/>
  <c r="AM11" i="15"/>
  <c r="BI11" i="15" s="1"/>
  <c r="AL11" i="15"/>
  <c r="BH11" i="15" s="1"/>
  <c r="AK11" i="15"/>
  <c r="BG11" i="15" s="1"/>
  <c r="AJ11" i="15"/>
  <c r="BF11" i="15" s="1"/>
  <c r="AI11" i="15"/>
  <c r="BE11" i="15" s="1"/>
  <c r="AH11" i="15"/>
  <c r="BD11" i="15" s="1"/>
  <c r="AG11" i="15"/>
  <c r="BC11" i="15" s="1"/>
  <c r="AF11" i="15"/>
  <c r="BB11" i="15" s="1"/>
  <c r="AE11" i="15"/>
  <c r="BA11" i="15" s="1"/>
  <c r="AD11" i="15"/>
  <c r="AZ11" i="15" s="1"/>
  <c r="AC11" i="15"/>
  <c r="AY11" i="15" s="1"/>
  <c r="AB11" i="15"/>
  <c r="AX11" i="15" s="1"/>
  <c r="AA11" i="15"/>
  <c r="AW11" i="15" s="1"/>
  <c r="Z11" i="15"/>
  <c r="AV11" i="15" s="1"/>
  <c r="AT10" i="15"/>
  <c r="BP10" i="15" s="1"/>
  <c r="AS10" i="15"/>
  <c r="BO10" i="15" s="1"/>
  <c r="AR10" i="15"/>
  <c r="BN10" i="15" s="1"/>
  <c r="AQ10" i="15"/>
  <c r="BM10" i="15" s="1"/>
  <c r="AP10" i="15"/>
  <c r="BL10" i="15" s="1"/>
  <c r="AO10" i="15"/>
  <c r="BK10" i="15" s="1"/>
  <c r="AN10" i="15"/>
  <c r="BJ10" i="15" s="1"/>
  <c r="AM10" i="15"/>
  <c r="BI10" i="15" s="1"/>
  <c r="AL10" i="15"/>
  <c r="BH10" i="15" s="1"/>
  <c r="AK10" i="15"/>
  <c r="BG10" i="15" s="1"/>
  <c r="AJ10" i="15"/>
  <c r="BF10" i="15" s="1"/>
  <c r="AI10" i="15"/>
  <c r="BE10" i="15" s="1"/>
  <c r="AH10" i="15"/>
  <c r="BD10" i="15" s="1"/>
  <c r="AG10" i="15"/>
  <c r="BC10" i="15" s="1"/>
  <c r="AF10" i="15"/>
  <c r="BB10" i="15" s="1"/>
  <c r="AE10" i="15"/>
  <c r="BA10" i="15" s="1"/>
  <c r="AD10" i="15"/>
  <c r="AZ10" i="15" s="1"/>
  <c r="AC10" i="15"/>
  <c r="AY10" i="15" s="1"/>
  <c r="AB10" i="15"/>
  <c r="AX10" i="15" s="1"/>
  <c r="AA10" i="15"/>
  <c r="AW10" i="15" s="1"/>
  <c r="Z10" i="15"/>
  <c r="AV10" i="15" s="1"/>
  <c r="AT9" i="15"/>
  <c r="BP9" i="15" s="1"/>
  <c r="AS9" i="15"/>
  <c r="BO9" i="15" s="1"/>
  <c r="AR9" i="15"/>
  <c r="BN9" i="15" s="1"/>
  <c r="AQ9" i="15"/>
  <c r="BM9" i="15" s="1"/>
  <c r="AP9" i="15"/>
  <c r="BL9" i="15" s="1"/>
  <c r="AO9" i="15"/>
  <c r="BK9" i="15" s="1"/>
  <c r="AN9" i="15"/>
  <c r="BJ9" i="15" s="1"/>
  <c r="AM9" i="15"/>
  <c r="BI9" i="15" s="1"/>
  <c r="AL9" i="15"/>
  <c r="BH9" i="15" s="1"/>
  <c r="AK9" i="15"/>
  <c r="BG9" i="15" s="1"/>
  <c r="AJ9" i="15"/>
  <c r="BF9" i="15" s="1"/>
  <c r="AI9" i="15"/>
  <c r="BE9" i="15" s="1"/>
  <c r="AH9" i="15"/>
  <c r="BD9" i="15" s="1"/>
  <c r="AG9" i="15"/>
  <c r="BC9" i="15" s="1"/>
  <c r="AF9" i="15"/>
  <c r="BB9" i="15" s="1"/>
  <c r="AE9" i="15"/>
  <c r="BA9" i="15" s="1"/>
  <c r="AD9" i="15"/>
  <c r="AZ9" i="15" s="1"/>
  <c r="AC9" i="15"/>
  <c r="AY9" i="15" s="1"/>
  <c r="AB9" i="15"/>
  <c r="AX9" i="15" s="1"/>
  <c r="AA9" i="15"/>
  <c r="AW9" i="15" s="1"/>
  <c r="Z9" i="15"/>
  <c r="AV9" i="15" s="1"/>
  <c r="AT8" i="15"/>
  <c r="BP8" i="15" s="1"/>
  <c r="AS8" i="15"/>
  <c r="BO8" i="15" s="1"/>
  <c r="AR8" i="15"/>
  <c r="BN8" i="15" s="1"/>
  <c r="AQ8" i="15"/>
  <c r="BM8" i="15" s="1"/>
  <c r="AP8" i="15"/>
  <c r="BL8" i="15" s="1"/>
  <c r="AO8" i="15"/>
  <c r="BK8" i="15" s="1"/>
  <c r="AN8" i="15"/>
  <c r="BJ8" i="15" s="1"/>
  <c r="AM8" i="15"/>
  <c r="BI8" i="15" s="1"/>
  <c r="AL8" i="15"/>
  <c r="BH8" i="15" s="1"/>
  <c r="AK8" i="15"/>
  <c r="BG8" i="15" s="1"/>
  <c r="AJ8" i="15"/>
  <c r="BF8" i="15" s="1"/>
  <c r="AI8" i="15"/>
  <c r="BE8" i="15" s="1"/>
  <c r="AH8" i="15"/>
  <c r="BD8" i="15" s="1"/>
  <c r="AG8" i="15"/>
  <c r="BC8" i="15" s="1"/>
  <c r="AF8" i="15"/>
  <c r="BB8" i="15" s="1"/>
  <c r="AE8" i="15"/>
  <c r="BA8" i="15" s="1"/>
  <c r="AD8" i="15"/>
  <c r="AZ8" i="15" s="1"/>
  <c r="AC8" i="15"/>
  <c r="AY8" i="15" s="1"/>
  <c r="AB8" i="15"/>
  <c r="AX8" i="15" s="1"/>
  <c r="AA8" i="15"/>
  <c r="AW8" i="15" s="1"/>
  <c r="Z8" i="15"/>
  <c r="AV8" i="15" s="1"/>
  <c r="C56" i="2"/>
  <c r="BP65" i="13"/>
  <c r="BO65" i="13"/>
  <c r="BN65" i="13"/>
  <c r="BM65" i="13"/>
  <c r="BL65" i="13"/>
  <c r="BK65" i="13"/>
  <c r="BJ65" i="13"/>
  <c r="BI65" i="13"/>
  <c r="BH65" i="13"/>
  <c r="BG65" i="13"/>
  <c r="BF65" i="13"/>
  <c r="BE65" i="13"/>
  <c r="BD65" i="13"/>
  <c r="BC65" i="13"/>
  <c r="BB65" i="13"/>
  <c r="BA65" i="13"/>
  <c r="AZ65" i="13"/>
  <c r="AY65" i="13"/>
  <c r="AX65" i="13"/>
  <c r="AW65" i="13"/>
  <c r="AV65" i="13"/>
  <c r="BQ65" i="13" s="1"/>
  <c r="BP64" i="13"/>
  <c r="BO64" i="13"/>
  <c r="BN64" i="13"/>
  <c r="BM64" i="13"/>
  <c r="BL64" i="13"/>
  <c r="BK64" i="13"/>
  <c r="BJ64" i="13"/>
  <c r="BI64" i="13"/>
  <c r="BH64" i="13"/>
  <c r="BG64" i="13"/>
  <c r="BF64" i="13"/>
  <c r="BE64" i="13"/>
  <c r="BD64" i="13"/>
  <c r="BC64" i="13"/>
  <c r="BB64" i="13"/>
  <c r="BA64" i="13"/>
  <c r="AZ64" i="13"/>
  <c r="AY64" i="13"/>
  <c r="AX64" i="13"/>
  <c r="AW64" i="13"/>
  <c r="AV64" i="13"/>
  <c r="BQ64" i="13" s="1"/>
  <c r="BP63" i="13"/>
  <c r="BO63" i="13"/>
  <c r="BN63" i="13"/>
  <c r="BM63" i="13"/>
  <c r="BL63" i="13"/>
  <c r="BK63" i="13"/>
  <c r="BJ63" i="13"/>
  <c r="BI63" i="13"/>
  <c r="BH63" i="13"/>
  <c r="BG63" i="13"/>
  <c r="BF63" i="13"/>
  <c r="BE63" i="13"/>
  <c r="BD63" i="13"/>
  <c r="BC63" i="13"/>
  <c r="BB63" i="13"/>
  <c r="BA63" i="13"/>
  <c r="AZ63" i="13"/>
  <c r="AY63" i="13"/>
  <c r="AX63" i="13"/>
  <c r="AW63" i="13"/>
  <c r="AV63" i="13"/>
  <c r="BQ63" i="13" s="1"/>
  <c r="BP62" i="13"/>
  <c r="BO62" i="13"/>
  <c r="BN62" i="13"/>
  <c r="BM62" i="13"/>
  <c r="BL62" i="13"/>
  <c r="BK62" i="13"/>
  <c r="BJ62" i="13"/>
  <c r="BI62" i="13"/>
  <c r="BH62" i="13"/>
  <c r="BG62" i="13"/>
  <c r="BF62" i="13"/>
  <c r="BE62" i="13"/>
  <c r="BD62" i="13"/>
  <c r="BC62" i="13"/>
  <c r="BB62" i="13"/>
  <c r="BA62" i="13"/>
  <c r="AZ62" i="13"/>
  <c r="AY62" i="13"/>
  <c r="AX62" i="13"/>
  <c r="AW62" i="13"/>
  <c r="AV62" i="13"/>
  <c r="BQ62" i="13" s="1"/>
  <c r="BP61" i="13"/>
  <c r="BO61" i="13"/>
  <c r="BN61" i="13"/>
  <c r="BM61" i="13"/>
  <c r="BL61" i="13"/>
  <c r="BK61" i="13"/>
  <c r="BJ61" i="13"/>
  <c r="BI61" i="13"/>
  <c r="BH61" i="13"/>
  <c r="BG61" i="13"/>
  <c r="BF61" i="13"/>
  <c r="BE61" i="13"/>
  <c r="BD61" i="13"/>
  <c r="BC61" i="13"/>
  <c r="BB61" i="13"/>
  <c r="BA61" i="13"/>
  <c r="AZ61" i="13"/>
  <c r="AY61" i="13"/>
  <c r="AX61" i="13"/>
  <c r="AW61" i="13"/>
  <c r="AV61" i="13"/>
  <c r="BQ61" i="13" s="1"/>
  <c r="BP60" i="13"/>
  <c r="BO60" i="13"/>
  <c r="BN60" i="13"/>
  <c r="BM60" i="13"/>
  <c r="BL60" i="13"/>
  <c r="BK60" i="13"/>
  <c r="BJ60" i="13"/>
  <c r="BI60" i="13"/>
  <c r="BH60" i="13"/>
  <c r="BG60" i="13"/>
  <c r="BF60" i="13"/>
  <c r="BE60" i="13"/>
  <c r="BD60" i="13"/>
  <c r="BC60" i="13"/>
  <c r="BB60" i="13"/>
  <c r="BA60" i="13"/>
  <c r="AZ60" i="13"/>
  <c r="AY60" i="13"/>
  <c r="AX60" i="13"/>
  <c r="AW60" i="13"/>
  <c r="AV60" i="13"/>
  <c r="BQ60" i="13" s="1"/>
  <c r="BP59" i="13"/>
  <c r="BO59" i="13"/>
  <c r="BN59" i="13"/>
  <c r="BM59" i="13"/>
  <c r="BL59" i="13"/>
  <c r="BK59" i="13"/>
  <c r="BJ59" i="13"/>
  <c r="BI59" i="13"/>
  <c r="BH59" i="13"/>
  <c r="BG59" i="13"/>
  <c r="BF59" i="13"/>
  <c r="BE59" i="13"/>
  <c r="BD59" i="13"/>
  <c r="BC59" i="13"/>
  <c r="BB59" i="13"/>
  <c r="BA59" i="13"/>
  <c r="AZ59" i="13"/>
  <c r="AY59" i="13"/>
  <c r="AX59" i="13"/>
  <c r="AW59" i="13"/>
  <c r="AV59" i="13"/>
  <c r="BQ59" i="13" s="1"/>
  <c r="BP58" i="13"/>
  <c r="BO58" i="13"/>
  <c r="BN58" i="13"/>
  <c r="BM58" i="13"/>
  <c r="BL58" i="13"/>
  <c r="BK58" i="13"/>
  <c r="BJ58" i="13"/>
  <c r="BI58" i="13"/>
  <c r="BH58" i="13"/>
  <c r="BG58" i="13"/>
  <c r="BF58" i="13"/>
  <c r="BE58" i="13"/>
  <c r="BD58" i="13"/>
  <c r="BC58" i="13"/>
  <c r="BB58" i="13"/>
  <c r="BA58" i="13"/>
  <c r="AZ58" i="13"/>
  <c r="AY58" i="13"/>
  <c r="AX58" i="13"/>
  <c r="AW58" i="13"/>
  <c r="AV58" i="13"/>
  <c r="BQ58" i="13" s="1"/>
  <c r="BP57" i="13"/>
  <c r="BO57" i="13"/>
  <c r="BN57" i="13"/>
  <c r="BM57" i="13"/>
  <c r="BL57" i="13"/>
  <c r="BK57" i="13"/>
  <c r="BJ57" i="13"/>
  <c r="BI57" i="13"/>
  <c r="BH57" i="13"/>
  <c r="BG57" i="13"/>
  <c r="BF57" i="13"/>
  <c r="BE57" i="13"/>
  <c r="BD57" i="13"/>
  <c r="BC57" i="13"/>
  <c r="BB57" i="13"/>
  <c r="BA57" i="13"/>
  <c r="AZ57" i="13"/>
  <c r="AY57" i="13"/>
  <c r="AX57" i="13"/>
  <c r="AW57" i="13"/>
  <c r="AV57" i="13"/>
  <c r="BQ57" i="13" s="1"/>
  <c r="BP56" i="13"/>
  <c r="BO56" i="13"/>
  <c r="BN56" i="13"/>
  <c r="BM56" i="13"/>
  <c r="BL56" i="13"/>
  <c r="BK56" i="13"/>
  <c r="BJ56" i="13"/>
  <c r="BI56" i="13"/>
  <c r="BH56" i="13"/>
  <c r="BG56" i="13"/>
  <c r="BF56" i="13"/>
  <c r="BE56" i="13"/>
  <c r="BD56" i="13"/>
  <c r="BC56" i="13"/>
  <c r="BB56" i="13"/>
  <c r="BA56" i="13"/>
  <c r="AZ56" i="13"/>
  <c r="AY56" i="13"/>
  <c r="AX56" i="13"/>
  <c r="AW56" i="13"/>
  <c r="AV56" i="13"/>
  <c r="BQ56" i="13" s="1"/>
  <c r="BP55" i="13"/>
  <c r="BO55" i="13"/>
  <c r="BN55" i="13"/>
  <c r="BM55" i="13"/>
  <c r="BL55" i="13"/>
  <c r="BK55" i="13"/>
  <c r="BJ55" i="13"/>
  <c r="BI55" i="13"/>
  <c r="BH55" i="13"/>
  <c r="BG55" i="13"/>
  <c r="BF55" i="13"/>
  <c r="BE55" i="13"/>
  <c r="BD55" i="13"/>
  <c r="BC55" i="13"/>
  <c r="BB55" i="13"/>
  <c r="BA55" i="13"/>
  <c r="AZ55" i="13"/>
  <c r="AY55" i="13"/>
  <c r="AX55" i="13"/>
  <c r="AW55" i="13"/>
  <c r="AV55" i="13"/>
  <c r="BQ55" i="13" s="1"/>
  <c r="BP54" i="13"/>
  <c r="BO54" i="13"/>
  <c r="BN54" i="13"/>
  <c r="BM54" i="13"/>
  <c r="BL54" i="13"/>
  <c r="BK54" i="13"/>
  <c r="BJ54" i="13"/>
  <c r="BI54" i="13"/>
  <c r="BH54" i="13"/>
  <c r="BG54" i="13"/>
  <c r="BF54" i="13"/>
  <c r="BE54" i="13"/>
  <c r="BD54" i="13"/>
  <c r="BC54" i="13"/>
  <c r="BB54" i="13"/>
  <c r="BA54" i="13"/>
  <c r="AZ54" i="13"/>
  <c r="AY54" i="13"/>
  <c r="AX54" i="13"/>
  <c r="AW54" i="13"/>
  <c r="AV54" i="13"/>
  <c r="BQ54" i="13" s="1"/>
  <c r="BP53" i="13"/>
  <c r="BO53" i="13"/>
  <c r="BN53" i="13"/>
  <c r="BM53" i="13"/>
  <c r="BL53" i="13"/>
  <c r="BK53" i="13"/>
  <c r="BJ53" i="13"/>
  <c r="BI53" i="13"/>
  <c r="BH53" i="13"/>
  <c r="BG53" i="13"/>
  <c r="BF53" i="13"/>
  <c r="BE53" i="13"/>
  <c r="BD53" i="13"/>
  <c r="BC53" i="13"/>
  <c r="BB53" i="13"/>
  <c r="BA53" i="13"/>
  <c r="AZ53" i="13"/>
  <c r="AY53" i="13"/>
  <c r="AX53" i="13"/>
  <c r="AW53" i="13"/>
  <c r="AV53" i="13"/>
  <c r="BQ53" i="13" s="1"/>
  <c r="DI65" i="5"/>
  <c r="DH65" i="5"/>
  <c r="DG65" i="5"/>
  <c r="DF65" i="5"/>
  <c r="DE65" i="5"/>
  <c r="DD65" i="5"/>
  <c r="DC65" i="5"/>
  <c r="DB65" i="5"/>
  <c r="DA65" i="5"/>
  <c r="CZ65" i="5"/>
  <c r="CY65" i="5"/>
  <c r="CX65" i="5"/>
  <c r="CW65" i="5"/>
  <c r="CV65" i="5"/>
  <c r="CU65" i="5"/>
  <c r="CT65" i="5"/>
  <c r="CS65" i="5"/>
  <c r="CR65" i="5"/>
  <c r="CQ65" i="5"/>
  <c r="CP65" i="5"/>
  <c r="CO65" i="5"/>
  <c r="DJ65" i="5" s="1"/>
  <c r="DI64" i="5"/>
  <c r="DH64" i="5"/>
  <c r="DG64" i="5"/>
  <c r="DF64" i="5"/>
  <c r="DE64" i="5"/>
  <c r="DD64" i="5"/>
  <c r="DC64" i="5"/>
  <c r="DB64" i="5"/>
  <c r="DA64" i="5"/>
  <c r="CZ64" i="5"/>
  <c r="CY64" i="5"/>
  <c r="CX64" i="5"/>
  <c r="CW64" i="5"/>
  <c r="CV64" i="5"/>
  <c r="CU64" i="5"/>
  <c r="CT64" i="5"/>
  <c r="CS64" i="5"/>
  <c r="CR64" i="5"/>
  <c r="CQ64" i="5"/>
  <c r="CP64" i="5"/>
  <c r="CO64" i="5"/>
  <c r="DJ64" i="5" s="1"/>
  <c r="DI63" i="5"/>
  <c r="DH63" i="5"/>
  <c r="DG63" i="5"/>
  <c r="DF63" i="5"/>
  <c r="DE63" i="5"/>
  <c r="DD63" i="5"/>
  <c r="DC63" i="5"/>
  <c r="DB63" i="5"/>
  <c r="DA63" i="5"/>
  <c r="CZ63" i="5"/>
  <c r="CY63" i="5"/>
  <c r="CX63" i="5"/>
  <c r="CW63" i="5"/>
  <c r="CV63" i="5"/>
  <c r="CU63" i="5"/>
  <c r="CT63" i="5"/>
  <c r="CS63" i="5"/>
  <c r="CR63" i="5"/>
  <c r="CQ63" i="5"/>
  <c r="CP63" i="5"/>
  <c r="CO63" i="5"/>
  <c r="DJ63" i="5" s="1"/>
  <c r="DI62" i="5"/>
  <c r="DH62" i="5"/>
  <c r="DG62" i="5"/>
  <c r="DF62" i="5"/>
  <c r="DE62" i="5"/>
  <c r="DD62" i="5"/>
  <c r="DC62" i="5"/>
  <c r="DB62" i="5"/>
  <c r="DA62" i="5"/>
  <c r="CZ62" i="5"/>
  <c r="CY62" i="5"/>
  <c r="CX62" i="5"/>
  <c r="CW62" i="5"/>
  <c r="CV62" i="5"/>
  <c r="CU62" i="5"/>
  <c r="CT62" i="5"/>
  <c r="CS62" i="5"/>
  <c r="CR62" i="5"/>
  <c r="CQ62" i="5"/>
  <c r="CP62" i="5"/>
  <c r="CO62" i="5"/>
  <c r="DJ62" i="5" s="1"/>
  <c r="DI61" i="5"/>
  <c r="DH61" i="5"/>
  <c r="DG61" i="5"/>
  <c r="DF61" i="5"/>
  <c r="DE61" i="5"/>
  <c r="DD61" i="5"/>
  <c r="DC61" i="5"/>
  <c r="DB61" i="5"/>
  <c r="DA61" i="5"/>
  <c r="CZ61" i="5"/>
  <c r="CY61" i="5"/>
  <c r="CX61" i="5"/>
  <c r="CW61" i="5"/>
  <c r="CV61" i="5"/>
  <c r="CU61" i="5"/>
  <c r="CT61" i="5"/>
  <c r="CS61" i="5"/>
  <c r="CR61" i="5"/>
  <c r="CQ61" i="5"/>
  <c r="CP61" i="5"/>
  <c r="CO61" i="5"/>
  <c r="DJ61" i="5" s="1"/>
  <c r="DI60" i="5"/>
  <c r="DH60" i="5"/>
  <c r="DG60" i="5"/>
  <c r="DF60" i="5"/>
  <c r="DE60" i="5"/>
  <c r="DD60" i="5"/>
  <c r="DC60" i="5"/>
  <c r="DB60" i="5"/>
  <c r="DA60" i="5"/>
  <c r="CZ60" i="5"/>
  <c r="CY60" i="5"/>
  <c r="CX60" i="5"/>
  <c r="CW60" i="5"/>
  <c r="CV60" i="5"/>
  <c r="CU60" i="5"/>
  <c r="CT60" i="5"/>
  <c r="CS60" i="5"/>
  <c r="CR60" i="5"/>
  <c r="CQ60" i="5"/>
  <c r="CP60" i="5"/>
  <c r="CO60" i="5"/>
  <c r="DJ60" i="5" s="1"/>
  <c r="DI59" i="5"/>
  <c r="DH59" i="5"/>
  <c r="DG59" i="5"/>
  <c r="DF59" i="5"/>
  <c r="DE59" i="5"/>
  <c r="DD59" i="5"/>
  <c r="DC59" i="5"/>
  <c r="DB59" i="5"/>
  <c r="DA59" i="5"/>
  <c r="CZ59" i="5"/>
  <c r="CY59" i="5"/>
  <c r="CX59" i="5"/>
  <c r="CW59" i="5"/>
  <c r="CV59" i="5"/>
  <c r="CU59" i="5"/>
  <c r="CT59" i="5"/>
  <c r="CS59" i="5"/>
  <c r="CR59" i="5"/>
  <c r="CQ59" i="5"/>
  <c r="CP59" i="5"/>
  <c r="CO59" i="5"/>
  <c r="DJ59" i="5" s="1"/>
  <c r="DI58" i="5"/>
  <c r="DH58" i="5"/>
  <c r="DG58" i="5"/>
  <c r="DF58" i="5"/>
  <c r="DE58" i="5"/>
  <c r="DD58" i="5"/>
  <c r="DC58" i="5"/>
  <c r="DB58" i="5"/>
  <c r="DA58" i="5"/>
  <c r="CZ58" i="5"/>
  <c r="CY58" i="5"/>
  <c r="CX58" i="5"/>
  <c r="CW58" i="5"/>
  <c r="CV58" i="5"/>
  <c r="CU58" i="5"/>
  <c r="CT58" i="5"/>
  <c r="CS58" i="5"/>
  <c r="CR58" i="5"/>
  <c r="CQ58" i="5"/>
  <c r="CP58" i="5"/>
  <c r="CO58" i="5"/>
  <c r="DJ58" i="5" s="1"/>
  <c r="DI57" i="5"/>
  <c r="DH57" i="5"/>
  <c r="DG57" i="5"/>
  <c r="DF57" i="5"/>
  <c r="DE57" i="5"/>
  <c r="DD57" i="5"/>
  <c r="DC57" i="5"/>
  <c r="DB57" i="5"/>
  <c r="DA57" i="5"/>
  <c r="CZ57" i="5"/>
  <c r="CY57" i="5"/>
  <c r="CX57" i="5"/>
  <c r="CW57" i="5"/>
  <c r="CV57" i="5"/>
  <c r="CU57" i="5"/>
  <c r="CT57" i="5"/>
  <c r="CS57" i="5"/>
  <c r="CR57" i="5"/>
  <c r="CQ57" i="5"/>
  <c r="CP57" i="5"/>
  <c r="CO57" i="5"/>
  <c r="DJ57" i="5" s="1"/>
  <c r="DI56" i="5"/>
  <c r="DH56" i="5"/>
  <c r="DG56" i="5"/>
  <c r="DF56" i="5"/>
  <c r="DE56" i="5"/>
  <c r="DD56" i="5"/>
  <c r="DC56" i="5"/>
  <c r="DB56" i="5"/>
  <c r="DA56" i="5"/>
  <c r="CZ56" i="5"/>
  <c r="CY56" i="5"/>
  <c r="CX56" i="5"/>
  <c r="CW56" i="5"/>
  <c r="CV56" i="5"/>
  <c r="CU56" i="5"/>
  <c r="CT56" i="5"/>
  <c r="CS56" i="5"/>
  <c r="CR56" i="5"/>
  <c r="CQ56" i="5"/>
  <c r="CP56" i="5"/>
  <c r="CO56" i="5"/>
  <c r="DJ56" i="5" s="1"/>
  <c r="DI55" i="5"/>
  <c r="DH55" i="5"/>
  <c r="DG55" i="5"/>
  <c r="DF55" i="5"/>
  <c r="DE55" i="5"/>
  <c r="DD55" i="5"/>
  <c r="DC55" i="5"/>
  <c r="DB55" i="5"/>
  <c r="DA55" i="5"/>
  <c r="CZ55" i="5"/>
  <c r="CY55" i="5"/>
  <c r="CX55" i="5"/>
  <c r="CW55" i="5"/>
  <c r="CV55" i="5"/>
  <c r="CU55" i="5"/>
  <c r="CT55" i="5"/>
  <c r="CS55" i="5"/>
  <c r="CR55" i="5"/>
  <c r="CQ55" i="5"/>
  <c r="CP55" i="5"/>
  <c r="CO55" i="5"/>
  <c r="DJ55" i="5" s="1"/>
  <c r="DI54" i="5"/>
  <c r="DH54" i="5"/>
  <c r="DG54" i="5"/>
  <c r="DF54" i="5"/>
  <c r="DE54" i="5"/>
  <c r="DD54" i="5"/>
  <c r="DC54" i="5"/>
  <c r="DB54" i="5"/>
  <c r="DA54" i="5"/>
  <c r="CZ54" i="5"/>
  <c r="CY54" i="5"/>
  <c r="CX54" i="5"/>
  <c r="CW54" i="5"/>
  <c r="CV54" i="5"/>
  <c r="CU54" i="5"/>
  <c r="CT54" i="5"/>
  <c r="CS54" i="5"/>
  <c r="CR54" i="5"/>
  <c r="CQ54" i="5"/>
  <c r="CP54" i="5"/>
  <c r="CO54" i="5"/>
  <c r="DJ54" i="5" s="1"/>
  <c r="CL65" i="5"/>
  <c r="CK65" i="5"/>
  <c r="CJ65" i="5"/>
  <c r="CI65" i="5"/>
  <c r="CH65" i="5"/>
  <c r="CG65" i="5"/>
  <c r="CF65" i="5"/>
  <c r="CE65" i="5"/>
  <c r="CD65" i="5"/>
  <c r="CC65" i="5"/>
  <c r="CB65" i="5"/>
  <c r="CA65" i="5"/>
  <c r="BZ65" i="5"/>
  <c r="BY65" i="5"/>
  <c r="BX65" i="5"/>
  <c r="BW65" i="5"/>
  <c r="BV65" i="5"/>
  <c r="BU65" i="5"/>
  <c r="BT65" i="5"/>
  <c r="BS65" i="5"/>
  <c r="CM65" i="5" s="1"/>
  <c r="BR65" i="5"/>
  <c r="CL64" i="5"/>
  <c r="CK64" i="5"/>
  <c r="CJ64" i="5"/>
  <c r="CI64" i="5"/>
  <c r="CH64" i="5"/>
  <c r="CG64" i="5"/>
  <c r="CF64" i="5"/>
  <c r="CE64" i="5"/>
  <c r="CD64" i="5"/>
  <c r="CC64" i="5"/>
  <c r="CB64" i="5"/>
  <c r="CA64" i="5"/>
  <c r="BZ64" i="5"/>
  <c r="BY64" i="5"/>
  <c r="BX64" i="5"/>
  <c r="BW64" i="5"/>
  <c r="BV64" i="5"/>
  <c r="BU64" i="5"/>
  <c r="BT64" i="5"/>
  <c r="BS64" i="5"/>
  <c r="CM64" i="5" s="1"/>
  <c r="BR64" i="5"/>
  <c r="CL63" i="5"/>
  <c r="CK63" i="5"/>
  <c r="CJ63" i="5"/>
  <c r="CI63" i="5"/>
  <c r="CH63" i="5"/>
  <c r="CG63" i="5"/>
  <c r="CF63" i="5"/>
  <c r="CE63" i="5"/>
  <c r="CD63" i="5"/>
  <c r="CC63" i="5"/>
  <c r="CB63" i="5"/>
  <c r="CA63" i="5"/>
  <c r="BZ63" i="5"/>
  <c r="BY63" i="5"/>
  <c r="BX63" i="5"/>
  <c r="BW63" i="5"/>
  <c r="BV63" i="5"/>
  <c r="BU63" i="5"/>
  <c r="BT63" i="5"/>
  <c r="BS63" i="5"/>
  <c r="CM63" i="5" s="1"/>
  <c r="BR63" i="5"/>
  <c r="CL62" i="5"/>
  <c r="CK62" i="5"/>
  <c r="CJ62" i="5"/>
  <c r="CI62" i="5"/>
  <c r="CH62" i="5"/>
  <c r="CG62" i="5"/>
  <c r="CF62" i="5"/>
  <c r="CE62" i="5"/>
  <c r="CD62" i="5"/>
  <c r="CC62" i="5"/>
  <c r="CB62" i="5"/>
  <c r="CA62" i="5"/>
  <c r="BZ62" i="5"/>
  <c r="BY62" i="5"/>
  <c r="BX62" i="5"/>
  <c r="BW62" i="5"/>
  <c r="BV62" i="5"/>
  <c r="BU62" i="5"/>
  <c r="BT62" i="5"/>
  <c r="BS62" i="5"/>
  <c r="CM62" i="5" s="1"/>
  <c r="BR62" i="5"/>
  <c r="CL61" i="5"/>
  <c r="CK61" i="5"/>
  <c r="CJ61" i="5"/>
  <c r="CI61" i="5"/>
  <c r="CH61" i="5"/>
  <c r="CG61" i="5"/>
  <c r="CF61" i="5"/>
  <c r="CE61" i="5"/>
  <c r="CD61" i="5"/>
  <c r="CC61" i="5"/>
  <c r="CB61" i="5"/>
  <c r="CA61" i="5"/>
  <c r="BZ61" i="5"/>
  <c r="BY61" i="5"/>
  <c r="BX61" i="5"/>
  <c r="BW61" i="5"/>
  <c r="BV61" i="5"/>
  <c r="BU61" i="5"/>
  <c r="BT61" i="5"/>
  <c r="BS61" i="5"/>
  <c r="CM61" i="5" s="1"/>
  <c r="BR61" i="5"/>
  <c r="CL60" i="5"/>
  <c r="CK60" i="5"/>
  <c r="CJ60" i="5"/>
  <c r="CI60" i="5"/>
  <c r="CH60" i="5"/>
  <c r="CG60" i="5"/>
  <c r="CF60" i="5"/>
  <c r="CE60" i="5"/>
  <c r="CD60" i="5"/>
  <c r="CC60" i="5"/>
  <c r="CB60" i="5"/>
  <c r="CA60" i="5"/>
  <c r="BZ60" i="5"/>
  <c r="BY60" i="5"/>
  <c r="BX60" i="5"/>
  <c r="BW60" i="5"/>
  <c r="BV60" i="5"/>
  <c r="BU60" i="5"/>
  <c r="BT60" i="5"/>
  <c r="BS60" i="5"/>
  <c r="CM60" i="5" s="1"/>
  <c r="BR60" i="5"/>
  <c r="CL59" i="5"/>
  <c r="CK59" i="5"/>
  <c r="CJ59" i="5"/>
  <c r="CI59" i="5"/>
  <c r="CH59" i="5"/>
  <c r="CG59" i="5"/>
  <c r="CF59" i="5"/>
  <c r="CE59" i="5"/>
  <c r="CD59" i="5"/>
  <c r="CC59" i="5"/>
  <c r="CB59" i="5"/>
  <c r="CA59" i="5"/>
  <c r="BZ59" i="5"/>
  <c r="BY59" i="5"/>
  <c r="BX59" i="5"/>
  <c r="BW59" i="5"/>
  <c r="BV59" i="5"/>
  <c r="BU59" i="5"/>
  <c r="BT59" i="5"/>
  <c r="BS59" i="5"/>
  <c r="CM59" i="5" s="1"/>
  <c r="BR59" i="5"/>
  <c r="CL58" i="5"/>
  <c r="CK58" i="5"/>
  <c r="CJ58" i="5"/>
  <c r="CI58" i="5"/>
  <c r="CH58" i="5"/>
  <c r="CG58" i="5"/>
  <c r="CF58" i="5"/>
  <c r="CE58" i="5"/>
  <c r="CD58" i="5"/>
  <c r="CC58" i="5"/>
  <c r="CB58" i="5"/>
  <c r="CA58" i="5"/>
  <c r="BZ58" i="5"/>
  <c r="BY58" i="5"/>
  <c r="BX58" i="5"/>
  <c r="BW58" i="5"/>
  <c r="BV58" i="5"/>
  <c r="BU58" i="5"/>
  <c r="BT58" i="5"/>
  <c r="BS58" i="5"/>
  <c r="CM58" i="5" s="1"/>
  <c r="BR58" i="5"/>
  <c r="CL57" i="5"/>
  <c r="CK57" i="5"/>
  <c r="CJ57" i="5"/>
  <c r="CI57" i="5"/>
  <c r="CH57" i="5"/>
  <c r="CG57" i="5"/>
  <c r="CF57" i="5"/>
  <c r="CE57" i="5"/>
  <c r="CD57" i="5"/>
  <c r="CC57" i="5"/>
  <c r="CB57" i="5"/>
  <c r="CA57" i="5"/>
  <c r="BZ57" i="5"/>
  <c r="BY57" i="5"/>
  <c r="BX57" i="5"/>
  <c r="BW57" i="5"/>
  <c r="BV57" i="5"/>
  <c r="BU57" i="5"/>
  <c r="BT57" i="5"/>
  <c r="BS57" i="5"/>
  <c r="CM57" i="5" s="1"/>
  <c r="BR57" i="5"/>
  <c r="CL56" i="5"/>
  <c r="CK56" i="5"/>
  <c r="CJ56" i="5"/>
  <c r="CI56" i="5"/>
  <c r="CH56" i="5"/>
  <c r="CG56" i="5"/>
  <c r="CF56" i="5"/>
  <c r="CE56" i="5"/>
  <c r="CD56" i="5"/>
  <c r="CC56" i="5"/>
  <c r="CB56" i="5"/>
  <c r="CA56" i="5"/>
  <c r="BZ56" i="5"/>
  <c r="BY56" i="5"/>
  <c r="BX56" i="5"/>
  <c r="BW56" i="5"/>
  <c r="BV56" i="5"/>
  <c r="BU56" i="5"/>
  <c r="BT56" i="5"/>
  <c r="BS56" i="5"/>
  <c r="CM56" i="5" s="1"/>
  <c r="BR56" i="5"/>
  <c r="CL55" i="5"/>
  <c r="CK55" i="5"/>
  <c r="CJ55" i="5"/>
  <c r="CI55" i="5"/>
  <c r="CH55" i="5"/>
  <c r="CG55" i="5"/>
  <c r="CF55" i="5"/>
  <c r="CE55" i="5"/>
  <c r="CD55" i="5"/>
  <c r="CC55" i="5"/>
  <c r="CB55" i="5"/>
  <c r="CA55" i="5"/>
  <c r="BZ55" i="5"/>
  <c r="BY55" i="5"/>
  <c r="BX55" i="5"/>
  <c r="BW55" i="5"/>
  <c r="BV55" i="5"/>
  <c r="BU55" i="5"/>
  <c r="BT55" i="5"/>
  <c r="BS55" i="5"/>
  <c r="CM55" i="5" s="1"/>
  <c r="BR55" i="5"/>
  <c r="CL54" i="5"/>
  <c r="CK54" i="5"/>
  <c r="CJ54" i="5"/>
  <c r="CI54" i="5"/>
  <c r="CH54" i="5"/>
  <c r="CG54" i="5"/>
  <c r="CF54" i="5"/>
  <c r="CE54" i="5"/>
  <c r="CD54" i="5"/>
  <c r="CC54" i="5"/>
  <c r="CB54" i="5"/>
  <c r="CA54" i="5"/>
  <c r="BZ54" i="5"/>
  <c r="BY54" i="5"/>
  <c r="BX54" i="5"/>
  <c r="BW54" i="5"/>
  <c r="BV54" i="5"/>
  <c r="BU54" i="5"/>
  <c r="BT54" i="5"/>
  <c r="BS54" i="5"/>
  <c r="CM54" i="5" s="1"/>
  <c r="BR54" i="5"/>
  <c r="CL53" i="5"/>
  <c r="CK53" i="5"/>
  <c r="CJ53" i="5"/>
  <c r="CI53" i="5"/>
  <c r="CH53" i="5"/>
  <c r="CG53" i="5"/>
  <c r="CF53" i="5"/>
  <c r="CE53" i="5"/>
  <c r="CD53" i="5"/>
  <c r="CC53" i="5"/>
  <c r="CB53" i="5"/>
  <c r="CA53" i="5"/>
  <c r="BZ53" i="5"/>
  <c r="BY53" i="5"/>
  <c r="BX53" i="5"/>
  <c r="BW53" i="5"/>
  <c r="BV53" i="5"/>
  <c r="BU53" i="5"/>
  <c r="BT53" i="5"/>
  <c r="BS53" i="5"/>
  <c r="CM53" i="5" s="1"/>
  <c r="BR53" i="5"/>
  <c r="BQ54" i="15" l="1"/>
  <c r="BQ40" i="17"/>
  <c r="BQ12" i="17"/>
  <c r="BQ16" i="17"/>
  <c r="BQ23" i="17"/>
  <c r="BQ24" i="17"/>
  <c r="BQ28" i="17"/>
  <c r="BQ32" i="17"/>
  <c r="BQ22" i="15"/>
  <c r="BQ24" i="15"/>
  <c r="BQ26" i="15"/>
  <c r="BQ28" i="15"/>
  <c r="BQ30" i="15"/>
  <c r="BQ32" i="15"/>
  <c r="BQ34" i="15"/>
  <c r="BQ37" i="15"/>
  <c r="BQ39" i="15"/>
  <c r="BQ41" i="15"/>
  <c r="BQ9" i="15"/>
  <c r="BQ11" i="15"/>
  <c r="BQ13" i="15"/>
  <c r="BQ15" i="15"/>
  <c r="BQ17" i="15"/>
  <c r="BQ20" i="15"/>
  <c r="BQ8" i="17"/>
  <c r="BQ10" i="17"/>
  <c r="BQ18" i="17"/>
  <c r="BQ21" i="17"/>
  <c r="BQ26" i="17"/>
  <c r="BQ36" i="17"/>
  <c r="BQ8" i="15"/>
  <c r="BQ10" i="15"/>
  <c r="BQ12" i="15"/>
  <c r="BQ14" i="15"/>
  <c r="BQ16" i="15"/>
  <c r="BQ18" i="15"/>
  <c r="BQ19" i="15"/>
  <c r="BQ21" i="15"/>
  <c r="BQ23" i="15"/>
  <c r="BQ25" i="15"/>
  <c r="BQ27" i="15"/>
  <c r="BQ29" i="15"/>
  <c r="BQ31" i="15"/>
  <c r="BQ33" i="15"/>
  <c r="BQ35" i="15"/>
  <c r="BQ36" i="15"/>
  <c r="BQ38" i="15"/>
  <c r="BQ40" i="15"/>
  <c r="BQ42" i="15"/>
  <c r="BQ9" i="17"/>
  <c r="BQ11" i="17"/>
  <c r="BQ13" i="17"/>
  <c r="BQ15" i="17"/>
  <c r="BQ17" i="17"/>
  <c r="BQ19" i="17"/>
  <c r="BQ20" i="17"/>
  <c r="BQ22" i="17"/>
  <c r="BQ25" i="17"/>
  <c r="BQ27" i="17"/>
  <c r="BQ29" i="17"/>
  <c r="BQ31" i="17"/>
  <c r="BQ33" i="17"/>
  <c r="BQ35" i="17"/>
  <c r="BQ37" i="17"/>
  <c r="BQ39" i="17"/>
  <c r="BQ41" i="17"/>
  <c r="BQ14" i="17"/>
  <c r="BQ30" i="17"/>
  <c r="BQ34" i="17"/>
  <c r="BQ38" i="17"/>
  <c r="BQ42" i="17"/>
  <c r="E276" i="4"/>
  <c r="C276" i="4"/>
  <c r="C278" i="4" s="1"/>
  <c r="I275" i="4"/>
  <c r="I276" i="4" s="1"/>
  <c r="G275" i="4"/>
  <c r="F275" i="4"/>
  <c r="F276" i="4" s="1"/>
  <c r="E275" i="4"/>
  <c r="D275" i="4"/>
  <c r="D276" i="4" s="1"/>
  <c r="N273" i="4"/>
  <c r="K273" i="4"/>
  <c r="J273" i="4"/>
  <c r="I273" i="4"/>
  <c r="H273" i="4"/>
  <c r="H276" i="4" s="1"/>
  <c r="G273" i="4"/>
  <c r="G276" i="4" s="1"/>
  <c r="A271" i="4"/>
  <c r="C30" i="2"/>
  <c r="D278" i="4" l="1"/>
  <c r="E278" i="4" s="1"/>
  <c r="F278" i="4" s="1"/>
  <c r="G278" i="4" s="1"/>
  <c r="H278" i="4" s="1"/>
  <c r="I278" i="4" s="1"/>
  <c r="C51" i="2" l="1"/>
  <c r="H30" i="2"/>
  <c r="A133" i="4"/>
  <c r="D125" i="4"/>
  <c r="H125" i="4"/>
  <c r="G125" i="4"/>
  <c r="F125" i="4"/>
  <c r="E125" i="4"/>
  <c r="C41" i="27" l="1"/>
  <c r="C40" i="27"/>
  <c r="C44" i="23" l="1"/>
  <c r="C45" i="23"/>
  <c r="C42" i="23"/>
  <c r="F8" i="20"/>
  <c r="AT53" i="14" l="1"/>
  <c r="AS53" i="14"/>
  <c r="AR53" i="14"/>
  <c r="AQ53" i="14"/>
  <c r="AP53" i="14"/>
  <c r="AO53" i="14"/>
  <c r="AN53" i="14"/>
  <c r="AM53" i="14"/>
  <c r="AL53" i="14"/>
  <c r="AK53" i="14"/>
  <c r="AJ53" i="14"/>
  <c r="AI53" i="14"/>
  <c r="AH53" i="14"/>
  <c r="AG53" i="14"/>
  <c r="AF53" i="14"/>
  <c r="AE53" i="14"/>
  <c r="AD53" i="14"/>
  <c r="AC53" i="14"/>
  <c r="AB53" i="14"/>
  <c r="AA53" i="14"/>
  <c r="Z53" i="14"/>
  <c r="AT52" i="14"/>
  <c r="BP52" i="14" s="1"/>
  <c r="AS52" i="14"/>
  <c r="AR52" i="14"/>
  <c r="AQ52" i="14"/>
  <c r="AP52" i="14"/>
  <c r="AO52" i="14"/>
  <c r="AN52" i="14"/>
  <c r="AM52" i="14"/>
  <c r="AL52" i="14"/>
  <c r="AK52" i="14"/>
  <c r="AJ52" i="14"/>
  <c r="AI52" i="14"/>
  <c r="AH52" i="14"/>
  <c r="AG52" i="14"/>
  <c r="AF52" i="14"/>
  <c r="AE52" i="14"/>
  <c r="AD52" i="14"/>
  <c r="AC52" i="14"/>
  <c r="AB52" i="14"/>
  <c r="AA52" i="14"/>
  <c r="Z52" i="14"/>
  <c r="AT51" i="14"/>
  <c r="BP51" i="14" s="1"/>
  <c r="AS51" i="14"/>
  <c r="AR51" i="14"/>
  <c r="AQ51" i="14"/>
  <c r="AP51" i="14"/>
  <c r="AO51" i="14"/>
  <c r="AN51" i="14"/>
  <c r="AM51" i="14"/>
  <c r="AL51" i="14"/>
  <c r="AK51" i="14"/>
  <c r="AJ51" i="14"/>
  <c r="AI51" i="14"/>
  <c r="AH51" i="14"/>
  <c r="AG51" i="14"/>
  <c r="AF51" i="14"/>
  <c r="AE51" i="14"/>
  <c r="AD51" i="14"/>
  <c r="AC51" i="14"/>
  <c r="AB51" i="14"/>
  <c r="AA51" i="14"/>
  <c r="Z51" i="14"/>
  <c r="AT50" i="14"/>
  <c r="BP50" i="14" s="1"/>
  <c r="AS50" i="14"/>
  <c r="AR50" i="14"/>
  <c r="AQ50" i="14"/>
  <c r="AP50" i="14"/>
  <c r="AO50" i="14"/>
  <c r="AN50" i="14"/>
  <c r="AM50" i="14"/>
  <c r="AL50" i="14"/>
  <c r="AK50" i="14"/>
  <c r="AJ50" i="14"/>
  <c r="AI50" i="14"/>
  <c r="AH50" i="14"/>
  <c r="AG50" i="14"/>
  <c r="AF50" i="14"/>
  <c r="AE50" i="14"/>
  <c r="AD50" i="14"/>
  <c r="AC50" i="14"/>
  <c r="AB50" i="14"/>
  <c r="AA50" i="14"/>
  <c r="Z50" i="14"/>
  <c r="AT49" i="14"/>
  <c r="BP49" i="14" s="1"/>
  <c r="AS49" i="14"/>
  <c r="AR49" i="14"/>
  <c r="AQ49" i="14"/>
  <c r="AP49" i="14"/>
  <c r="AO49" i="14"/>
  <c r="AN49" i="14"/>
  <c r="AM49" i="14"/>
  <c r="AL49" i="14"/>
  <c r="AK49" i="14"/>
  <c r="AJ49" i="14"/>
  <c r="AI49" i="14"/>
  <c r="AH49" i="14"/>
  <c r="AG49" i="14"/>
  <c r="AF49" i="14"/>
  <c r="AE49" i="14"/>
  <c r="AD49" i="14"/>
  <c r="AC49" i="14"/>
  <c r="AB49" i="14"/>
  <c r="AA49" i="14"/>
  <c r="Z49" i="14"/>
  <c r="AT48" i="14"/>
  <c r="BP48" i="14" s="1"/>
  <c r="AS48" i="14"/>
  <c r="AR48" i="14"/>
  <c r="AQ48" i="14"/>
  <c r="AP48" i="14"/>
  <c r="AO48" i="14"/>
  <c r="AN48" i="14"/>
  <c r="AM48" i="14"/>
  <c r="AL48" i="14"/>
  <c r="AK48" i="14"/>
  <c r="AJ48" i="14"/>
  <c r="AI48" i="14"/>
  <c r="AH48" i="14"/>
  <c r="AG48" i="14"/>
  <c r="AF48" i="14"/>
  <c r="AE48" i="14"/>
  <c r="AD48" i="14"/>
  <c r="AC48" i="14"/>
  <c r="AB48" i="14"/>
  <c r="AA48" i="14"/>
  <c r="Z48" i="14"/>
  <c r="AT47" i="14"/>
  <c r="BP47" i="14" s="1"/>
  <c r="AS47" i="14"/>
  <c r="AR47" i="14"/>
  <c r="AQ47" i="14"/>
  <c r="AP47" i="14"/>
  <c r="AO47" i="14"/>
  <c r="AN47" i="14"/>
  <c r="AM47" i="14"/>
  <c r="AL47" i="14"/>
  <c r="AK47" i="14"/>
  <c r="AJ47" i="14"/>
  <c r="AI47" i="14"/>
  <c r="AH47" i="14"/>
  <c r="AG47" i="14"/>
  <c r="AF47" i="14"/>
  <c r="AE47" i="14"/>
  <c r="AD47" i="14"/>
  <c r="AC47" i="14"/>
  <c r="AB47" i="14"/>
  <c r="AA47" i="14"/>
  <c r="Z47" i="14"/>
  <c r="AT46" i="14"/>
  <c r="BP46" i="14" s="1"/>
  <c r="AS46" i="14"/>
  <c r="AR46" i="14"/>
  <c r="AQ46" i="14"/>
  <c r="AP46" i="14"/>
  <c r="AO46" i="14"/>
  <c r="AN46" i="14"/>
  <c r="AM46" i="14"/>
  <c r="AL46" i="14"/>
  <c r="AK46" i="14"/>
  <c r="AJ46" i="14"/>
  <c r="AI46" i="14"/>
  <c r="AH46" i="14"/>
  <c r="AG46" i="14"/>
  <c r="AF46" i="14"/>
  <c r="AE46" i="14"/>
  <c r="AD46" i="14"/>
  <c r="AC46" i="14"/>
  <c r="AB46" i="14"/>
  <c r="AA46" i="14"/>
  <c r="Z46" i="14"/>
  <c r="AT45" i="14"/>
  <c r="BP45" i="14" s="1"/>
  <c r="AS45" i="14"/>
  <c r="AR45" i="14"/>
  <c r="AQ45" i="14"/>
  <c r="AP45" i="14"/>
  <c r="AO45" i="14"/>
  <c r="AN45" i="14"/>
  <c r="AM45" i="14"/>
  <c r="AL45" i="14"/>
  <c r="AK45" i="14"/>
  <c r="AJ45" i="14"/>
  <c r="AI45" i="14"/>
  <c r="AH45" i="14"/>
  <c r="AG45" i="14"/>
  <c r="AF45" i="14"/>
  <c r="AE45" i="14"/>
  <c r="AD45" i="14"/>
  <c r="AC45" i="14"/>
  <c r="AB45" i="14"/>
  <c r="AA45" i="14"/>
  <c r="Z45" i="14"/>
  <c r="AT44" i="14"/>
  <c r="BP44" i="14" s="1"/>
  <c r="AS44" i="14"/>
  <c r="AR44" i="14"/>
  <c r="AQ44" i="14"/>
  <c r="AP44" i="14"/>
  <c r="AO44" i="14"/>
  <c r="AN44" i="14"/>
  <c r="AM44" i="14"/>
  <c r="AL44" i="14"/>
  <c r="AK44" i="14"/>
  <c r="AJ44" i="14"/>
  <c r="AI44" i="14"/>
  <c r="AH44" i="14"/>
  <c r="AG44" i="14"/>
  <c r="AF44" i="14"/>
  <c r="AE44" i="14"/>
  <c r="AD44" i="14"/>
  <c r="AC44" i="14"/>
  <c r="AB44" i="14"/>
  <c r="AA44" i="14"/>
  <c r="Z44" i="14"/>
  <c r="AT43" i="14"/>
  <c r="BP43" i="14" s="1"/>
  <c r="AS43" i="14"/>
  <c r="AR43" i="14"/>
  <c r="AQ43" i="14"/>
  <c r="AP43" i="14"/>
  <c r="AO43" i="14"/>
  <c r="AN43" i="14"/>
  <c r="AM43" i="14"/>
  <c r="AL43" i="14"/>
  <c r="AK43" i="14"/>
  <c r="AJ43" i="14"/>
  <c r="AI43" i="14"/>
  <c r="AH43" i="14"/>
  <c r="AG43" i="14"/>
  <c r="AF43" i="14"/>
  <c r="AE43" i="14"/>
  <c r="AD43" i="14"/>
  <c r="AC43" i="14"/>
  <c r="AB43" i="14"/>
  <c r="AA43" i="14"/>
  <c r="Z43" i="14"/>
  <c r="AT42" i="14"/>
  <c r="BP42" i="14" s="1"/>
  <c r="AS42" i="14"/>
  <c r="AR42" i="14"/>
  <c r="AQ42" i="14"/>
  <c r="AP42" i="14"/>
  <c r="AO42" i="14"/>
  <c r="AN42" i="14"/>
  <c r="AM42" i="14"/>
  <c r="AL42" i="14"/>
  <c r="AK42" i="14"/>
  <c r="AJ42" i="14"/>
  <c r="AI42" i="14"/>
  <c r="AH42" i="14"/>
  <c r="AG42" i="14"/>
  <c r="AF42" i="14"/>
  <c r="AE42" i="14"/>
  <c r="AD42" i="14"/>
  <c r="AC42" i="14"/>
  <c r="AB42" i="14"/>
  <c r="AA42" i="14"/>
  <c r="Z42" i="14"/>
  <c r="AT41" i="14"/>
  <c r="BP41" i="14" s="1"/>
  <c r="AS41" i="14"/>
  <c r="AR41" i="14"/>
  <c r="AQ41" i="14"/>
  <c r="AP41" i="14"/>
  <c r="AO41" i="14"/>
  <c r="AN41" i="14"/>
  <c r="AM41" i="14"/>
  <c r="AL41" i="14"/>
  <c r="AK41" i="14"/>
  <c r="AJ41" i="14"/>
  <c r="AI41" i="14"/>
  <c r="AH41" i="14"/>
  <c r="AG41" i="14"/>
  <c r="AF41" i="14"/>
  <c r="AE41" i="14"/>
  <c r="AD41" i="14"/>
  <c r="AC41" i="14"/>
  <c r="AB41" i="14"/>
  <c r="AA41" i="14"/>
  <c r="Z41" i="14"/>
  <c r="AT40" i="14"/>
  <c r="BP40" i="14" s="1"/>
  <c r="AS40" i="14"/>
  <c r="AR40" i="14"/>
  <c r="AQ40" i="14"/>
  <c r="AP40" i="14"/>
  <c r="AO40" i="14"/>
  <c r="AN40" i="14"/>
  <c r="AM40" i="14"/>
  <c r="AL40" i="14"/>
  <c r="AK40" i="14"/>
  <c r="AJ40" i="14"/>
  <c r="AI40" i="14"/>
  <c r="AH40" i="14"/>
  <c r="AG40" i="14"/>
  <c r="AF40" i="14"/>
  <c r="AE40" i="14"/>
  <c r="AD40" i="14"/>
  <c r="AC40" i="14"/>
  <c r="AB40" i="14"/>
  <c r="AA40" i="14"/>
  <c r="Z40" i="14"/>
  <c r="AT39" i="14"/>
  <c r="BP39" i="14" s="1"/>
  <c r="AS39" i="14"/>
  <c r="AR39" i="14"/>
  <c r="AQ39" i="14"/>
  <c r="AP39" i="14"/>
  <c r="AO39" i="14"/>
  <c r="AN39" i="14"/>
  <c r="AM39" i="14"/>
  <c r="AL39" i="14"/>
  <c r="AK39" i="14"/>
  <c r="AJ39" i="14"/>
  <c r="AI39" i="14"/>
  <c r="AH39" i="14"/>
  <c r="AG39" i="14"/>
  <c r="AF39" i="14"/>
  <c r="AE39" i="14"/>
  <c r="AD39" i="14"/>
  <c r="AC39" i="14"/>
  <c r="AB39" i="14"/>
  <c r="AA39" i="14"/>
  <c r="Z39" i="14"/>
  <c r="AT38" i="14"/>
  <c r="BP38" i="14" s="1"/>
  <c r="AS38" i="14"/>
  <c r="AR38" i="14"/>
  <c r="AQ38" i="14"/>
  <c r="AP38" i="14"/>
  <c r="AO38" i="14"/>
  <c r="AN38" i="14"/>
  <c r="AM38" i="14"/>
  <c r="AL38" i="14"/>
  <c r="AK38" i="14"/>
  <c r="AJ38" i="14"/>
  <c r="AI38" i="14"/>
  <c r="AH38" i="14"/>
  <c r="AG38" i="14"/>
  <c r="AF38" i="14"/>
  <c r="AE38" i="14"/>
  <c r="AD38" i="14"/>
  <c r="AC38" i="14"/>
  <c r="AB38" i="14"/>
  <c r="AA38" i="14"/>
  <c r="Z38" i="14"/>
  <c r="AT37" i="14"/>
  <c r="BP37" i="14" s="1"/>
  <c r="AS37" i="14"/>
  <c r="AR37" i="14"/>
  <c r="AQ37" i="14"/>
  <c r="AP37" i="14"/>
  <c r="AO37" i="14"/>
  <c r="AN37" i="14"/>
  <c r="AM37" i="14"/>
  <c r="AL37" i="14"/>
  <c r="AK37" i="14"/>
  <c r="AJ37" i="14"/>
  <c r="AI37" i="14"/>
  <c r="AH37" i="14"/>
  <c r="AG37" i="14"/>
  <c r="AF37" i="14"/>
  <c r="AE37" i="14"/>
  <c r="AD37" i="14"/>
  <c r="AC37" i="14"/>
  <c r="AB37" i="14"/>
  <c r="AA37" i="14"/>
  <c r="Z37" i="14"/>
  <c r="AT36" i="14"/>
  <c r="BP36" i="14" s="1"/>
  <c r="AS36" i="14"/>
  <c r="AR36" i="14"/>
  <c r="AQ36" i="14"/>
  <c r="AP36" i="14"/>
  <c r="AO36" i="14"/>
  <c r="AN36" i="14"/>
  <c r="AM36" i="14"/>
  <c r="AL36" i="14"/>
  <c r="AK36" i="14"/>
  <c r="AJ36" i="14"/>
  <c r="AI36" i="14"/>
  <c r="AH36" i="14"/>
  <c r="AG36" i="14"/>
  <c r="AF36" i="14"/>
  <c r="AE36" i="14"/>
  <c r="AD36" i="14"/>
  <c r="AC36" i="14"/>
  <c r="AB36" i="14"/>
  <c r="AA36" i="14"/>
  <c r="Z36" i="14"/>
  <c r="AT35" i="14"/>
  <c r="BP35" i="14" s="1"/>
  <c r="AS35" i="14"/>
  <c r="AR35" i="14"/>
  <c r="AQ35" i="14"/>
  <c r="AP35" i="14"/>
  <c r="AO35" i="14"/>
  <c r="AN35" i="14"/>
  <c r="AM35" i="14"/>
  <c r="AL35" i="14"/>
  <c r="AK35" i="14"/>
  <c r="AJ35" i="14"/>
  <c r="AI35" i="14"/>
  <c r="AH35" i="14"/>
  <c r="AG35" i="14"/>
  <c r="AF35" i="14"/>
  <c r="AE35" i="14"/>
  <c r="AD35" i="14"/>
  <c r="AC35" i="14"/>
  <c r="AB35" i="14"/>
  <c r="AA35" i="14"/>
  <c r="Z35" i="14"/>
  <c r="AT34" i="14"/>
  <c r="BP34" i="14" s="1"/>
  <c r="AS34" i="14"/>
  <c r="AR34" i="14"/>
  <c r="AQ34" i="14"/>
  <c r="AP34" i="14"/>
  <c r="AO34" i="14"/>
  <c r="AN34" i="14"/>
  <c r="AM34" i="14"/>
  <c r="AL34" i="14"/>
  <c r="AK34" i="14"/>
  <c r="AJ34" i="14"/>
  <c r="AI34" i="14"/>
  <c r="AH34" i="14"/>
  <c r="AG34" i="14"/>
  <c r="AF34" i="14"/>
  <c r="AE34" i="14"/>
  <c r="AD34" i="14"/>
  <c r="AC34" i="14"/>
  <c r="AB34" i="14"/>
  <c r="AA34" i="14"/>
  <c r="Z34" i="14"/>
  <c r="AT33" i="14"/>
  <c r="BP33" i="14" s="1"/>
  <c r="AS33" i="14"/>
  <c r="AR33" i="14"/>
  <c r="AQ33" i="14"/>
  <c r="AP33" i="14"/>
  <c r="AO33" i="14"/>
  <c r="AN33" i="14"/>
  <c r="AM33" i="14"/>
  <c r="AL33" i="14"/>
  <c r="AK33" i="14"/>
  <c r="AJ33" i="14"/>
  <c r="AI33" i="14"/>
  <c r="AH33" i="14"/>
  <c r="AG33" i="14"/>
  <c r="AF33" i="14"/>
  <c r="AE33" i="14"/>
  <c r="AD33" i="14"/>
  <c r="AC33" i="14"/>
  <c r="AB33" i="14"/>
  <c r="AA33" i="14"/>
  <c r="Z33" i="14"/>
  <c r="AT32" i="14"/>
  <c r="BP32" i="14" s="1"/>
  <c r="AS32" i="14"/>
  <c r="AR32" i="14"/>
  <c r="AQ32" i="14"/>
  <c r="AP32" i="14"/>
  <c r="AO32" i="14"/>
  <c r="AN32" i="14"/>
  <c r="AM32" i="14"/>
  <c r="AL32" i="14"/>
  <c r="AK32" i="14"/>
  <c r="AJ32" i="14"/>
  <c r="AI32" i="14"/>
  <c r="AH32" i="14"/>
  <c r="AG32" i="14"/>
  <c r="AF32" i="14"/>
  <c r="AE32" i="14"/>
  <c r="AD32" i="14"/>
  <c r="AC32" i="14"/>
  <c r="AB32" i="14"/>
  <c r="AA32" i="14"/>
  <c r="Z32" i="14"/>
  <c r="AT31" i="14"/>
  <c r="BP31" i="14" s="1"/>
  <c r="AS31" i="14"/>
  <c r="AR31" i="14"/>
  <c r="AQ31" i="14"/>
  <c r="AP31" i="14"/>
  <c r="AO31" i="14"/>
  <c r="AN31" i="14"/>
  <c r="AM31" i="14"/>
  <c r="AL31" i="14"/>
  <c r="AK31" i="14"/>
  <c r="AJ31" i="14"/>
  <c r="AI31" i="14"/>
  <c r="AH31" i="14"/>
  <c r="AG31" i="14"/>
  <c r="AF31" i="14"/>
  <c r="AE31" i="14"/>
  <c r="AD31" i="14"/>
  <c r="AC31" i="14"/>
  <c r="AB31" i="14"/>
  <c r="AA31" i="14"/>
  <c r="Z31" i="14"/>
  <c r="AT30" i="14"/>
  <c r="BP30" i="14" s="1"/>
  <c r="AS30" i="14"/>
  <c r="AR30" i="14"/>
  <c r="AQ30" i="14"/>
  <c r="AP30" i="14"/>
  <c r="AO30" i="14"/>
  <c r="AN30" i="14"/>
  <c r="AM30" i="14"/>
  <c r="AL30" i="14"/>
  <c r="AK30" i="14"/>
  <c r="AJ30" i="14"/>
  <c r="AI30" i="14"/>
  <c r="AH30" i="14"/>
  <c r="AG30" i="14"/>
  <c r="AF30" i="14"/>
  <c r="AE30" i="14"/>
  <c r="AD30" i="14"/>
  <c r="AC30" i="14"/>
  <c r="AB30" i="14"/>
  <c r="AA30" i="14"/>
  <c r="Z30" i="14"/>
  <c r="AT29" i="14"/>
  <c r="BP29" i="14" s="1"/>
  <c r="AS29" i="14"/>
  <c r="AR29" i="14"/>
  <c r="AQ29" i="14"/>
  <c r="AP29" i="14"/>
  <c r="AO29" i="14"/>
  <c r="AN29" i="14"/>
  <c r="AM29" i="14"/>
  <c r="AL29" i="14"/>
  <c r="AK29" i="14"/>
  <c r="AJ29" i="14"/>
  <c r="AI29" i="14"/>
  <c r="AH29" i="14"/>
  <c r="AG29" i="14"/>
  <c r="AF29" i="14"/>
  <c r="AE29" i="14"/>
  <c r="AD29" i="14"/>
  <c r="AC29" i="14"/>
  <c r="AB29" i="14"/>
  <c r="AA29" i="14"/>
  <c r="Z29" i="14"/>
  <c r="AT28" i="14"/>
  <c r="BP28" i="14" s="1"/>
  <c r="AS28" i="14"/>
  <c r="AR28" i="14"/>
  <c r="AQ28" i="14"/>
  <c r="AP28" i="14"/>
  <c r="AO28" i="14"/>
  <c r="AN28" i="14"/>
  <c r="AM28" i="14"/>
  <c r="AL28" i="14"/>
  <c r="AK28" i="14"/>
  <c r="AJ28" i="14"/>
  <c r="AI28" i="14"/>
  <c r="AH28" i="14"/>
  <c r="AG28" i="14"/>
  <c r="AF28" i="14"/>
  <c r="AE28" i="14"/>
  <c r="AD28" i="14"/>
  <c r="AC28" i="14"/>
  <c r="AB28" i="14"/>
  <c r="AA28" i="14"/>
  <c r="Z28" i="14"/>
  <c r="AT27" i="14"/>
  <c r="BP27" i="14" s="1"/>
  <c r="AS27" i="14"/>
  <c r="AR27" i="14"/>
  <c r="AQ27" i="14"/>
  <c r="AP27" i="14"/>
  <c r="AO27" i="14"/>
  <c r="AN27" i="14"/>
  <c r="AM27" i="14"/>
  <c r="AL27" i="14"/>
  <c r="AK27" i="14"/>
  <c r="AJ27" i="14"/>
  <c r="AI27" i="14"/>
  <c r="AH27" i="14"/>
  <c r="AG27" i="14"/>
  <c r="AF27" i="14"/>
  <c r="AE27" i="14"/>
  <c r="AD27" i="14"/>
  <c r="AC27" i="14"/>
  <c r="AB27" i="14"/>
  <c r="AA27" i="14"/>
  <c r="Z27" i="14"/>
  <c r="AT26" i="14"/>
  <c r="BP26" i="14" s="1"/>
  <c r="AS26" i="14"/>
  <c r="AR26" i="14"/>
  <c r="AQ26" i="14"/>
  <c r="AP26" i="14"/>
  <c r="AO26" i="14"/>
  <c r="AN26" i="14"/>
  <c r="AM26" i="14"/>
  <c r="AL26" i="14"/>
  <c r="AK26" i="14"/>
  <c r="AJ26" i="14"/>
  <c r="AI26" i="14"/>
  <c r="AH26" i="14"/>
  <c r="AG26" i="14"/>
  <c r="AF26" i="14"/>
  <c r="AE26" i="14"/>
  <c r="AD26" i="14"/>
  <c r="AC26" i="14"/>
  <c r="AB26" i="14"/>
  <c r="AA26" i="14"/>
  <c r="Z26" i="14"/>
  <c r="AT25" i="14"/>
  <c r="BP25" i="14" s="1"/>
  <c r="AS25" i="14"/>
  <c r="AR25" i="14"/>
  <c r="AQ25" i="14"/>
  <c r="AP25" i="14"/>
  <c r="AO25" i="14"/>
  <c r="AN25" i="14"/>
  <c r="AM25" i="14"/>
  <c r="AL25" i="14"/>
  <c r="AK25" i="14"/>
  <c r="AJ25" i="14"/>
  <c r="AI25" i="14"/>
  <c r="AH25" i="14"/>
  <c r="AG25" i="14"/>
  <c r="AF25" i="14"/>
  <c r="AE25" i="14"/>
  <c r="AD25" i="14"/>
  <c r="AC25" i="14"/>
  <c r="AB25" i="14"/>
  <c r="AA25" i="14"/>
  <c r="Z25" i="14"/>
  <c r="AT24" i="14"/>
  <c r="BP24" i="14" s="1"/>
  <c r="AS24" i="14"/>
  <c r="AR24" i="14"/>
  <c r="AQ24" i="14"/>
  <c r="AP24" i="14"/>
  <c r="AO24" i="14"/>
  <c r="AN24" i="14"/>
  <c r="AM24" i="14"/>
  <c r="AL24" i="14"/>
  <c r="AK24" i="14"/>
  <c r="AJ24" i="14"/>
  <c r="AI24" i="14"/>
  <c r="AH24" i="14"/>
  <c r="AG24" i="14"/>
  <c r="AF24" i="14"/>
  <c r="AE24" i="14"/>
  <c r="AD24" i="14"/>
  <c r="AC24" i="14"/>
  <c r="AB24" i="14"/>
  <c r="AA24" i="14"/>
  <c r="Z24" i="14"/>
  <c r="AT23" i="14"/>
  <c r="BP23" i="14" s="1"/>
  <c r="AS23" i="14"/>
  <c r="AR23" i="14"/>
  <c r="AQ23" i="14"/>
  <c r="AP23" i="14"/>
  <c r="AO23" i="14"/>
  <c r="AN23" i="14"/>
  <c r="AM23" i="14"/>
  <c r="AL23" i="14"/>
  <c r="AK23" i="14"/>
  <c r="AJ23" i="14"/>
  <c r="AI23" i="14"/>
  <c r="AH23" i="14"/>
  <c r="AG23" i="14"/>
  <c r="AF23" i="14"/>
  <c r="AE23" i="14"/>
  <c r="AD23" i="14"/>
  <c r="AC23" i="14"/>
  <c r="AB23" i="14"/>
  <c r="AA23" i="14"/>
  <c r="Z23" i="14"/>
  <c r="AT22" i="14"/>
  <c r="BP22" i="14" s="1"/>
  <c r="AS22" i="14"/>
  <c r="AR22" i="14"/>
  <c r="AQ22" i="14"/>
  <c r="AP22" i="14"/>
  <c r="AO22" i="14"/>
  <c r="AN22" i="14"/>
  <c r="AM22" i="14"/>
  <c r="AL22" i="14"/>
  <c r="AK22" i="14"/>
  <c r="AJ22" i="14"/>
  <c r="AI22" i="14"/>
  <c r="AH22" i="14"/>
  <c r="AG22" i="14"/>
  <c r="AF22" i="14"/>
  <c r="AE22" i="14"/>
  <c r="AD22" i="14"/>
  <c r="AC22" i="14"/>
  <c r="AB22" i="14"/>
  <c r="AA22" i="14"/>
  <c r="Z22" i="14"/>
  <c r="AT21" i="14"/>
  <c r="BP21" i="14" s="1"/>
  <c r="AS21" i="14"/>
  <c r="AR21" i="14"/>
  <c r="AQ21" i="14"/>
  <c r="AP21" i="14"/>
  <c r="AO21" i="14"/>
  <c r="AN21" i="14"/>
  <c r="AM21" i="14"/>
  <c r="AL21" i="14"/>
  <c r="AK21" i="14"/>
  <c r="AJ21" i="14"/>
  <c r="AI21" i="14"/>
  <c r="AH21" i="14"/>
  <c r="AG21" i="14"/>
  <c r="AF21" i="14"/>
  <c r="AE21" i="14"/>
  <c r="AD21" i="14"/>
  <c r="AC21" i="14"/>
  <c r="AB21" i="14"/>
  <c r="AA21" i="14"/>
  <c r="Z21" i="14"/>
  <c r="AT20" i="14"/>
  <c r="BP20" i="14" s="1"/>
  <c r="AS20" i="14"/>
  <c r="AR20" i="14"/>
  <c r="AQ20" i="14"/>
  <c r="AP20" i="14"/>
  <c r="AO20" i="14"/>
  <c r="AN20" i="14"/>
  <c r="AM20" i="14"/>
  <c r="AL20" i="14"/>
  <c r="AK20" i="14"/>
  <c r="AJ20" i="14"/>
  <c r="AI20" i="14"/>
  <c r="AH20" i="14"/>
  <c r="AG20" i="14"/>
  <c r="AF20" i="14"/>
  <c r="AE20" i="14"/>
  <c r="AD20" i="14"/>
  <c r="AC20" i="14"/>
  <c r="AB20" i="14"/>
  <c r="AA20" i="14"/>
  <c r="Z20" i="14"/>
  <c r="AT19" i="14"/>
  <c r="BP19" i="14" s="1"/>
  <c r="AS19" i="14"/>
  <c r="AR19" i="14"/>
  <c r="AQ19" i="14"/>
  <c r="AP19" i="14"/>
  <c r="AO19" i="14"/>
  <c r="AN19" i="14"/>
  <c r="AM19" i="14"/>
  <c r="AL19" i="14"/>
  <c r="AK19" i="14"/>
  <c r="AJ19" i="14"/>
  <c r="AI19" i="14"/>
  <c r="AH19" i="14"/>
  <c r="AG19" i="14"/>
  <c r="AF19" i="14"/>
  <c r="AE19" i="14"/>
  <c r="AD19" i="14"/>
  <c r="AC19" i="14"/>
  <c r="AB19" i="14"/>
  <c r="AA19" i="14"/>
  <c r="Z19" i="14"/>
  <c r="AT18" i="14"/>
  <c r="BP18" i="14" s="1"/>
  <c r="AS18" i="14"/>
  <c r="AR18" i="14"/>
  <c r="AQ18" i="14"/>
  <c r="AP18" i="14"/>
  <c r="AO18" i="14"/>
  <c r="AN18" i="14"/>
  <c r="AM18" i="14"/>
  <c r="AL18" i="14"/>
  <c r="AK18" i="14"/>
  <c r="AJ18" i="14"/>
  <c r="AI18" i="14"/>
  <c r="AH18" i="14"/>
  <c r="AG18" i="14"/>
  <c r="AF18" i="14"/>
  <c r="AE18" i="14"/>
  <c r="AD18" i="14"/>
  <c r="AC18" i="14"/>
  <c r="AB18" i="14"/>
  <c r="AA18" i="14"/>
  <c r="Z18" i="14"/>
  <c r="AT17" i="14"/>
  <c r="BP17" i="14" s="1"/>
  <c r="AS17" i="14"/>
  <c r="AR17" i="14"/>
  <c r="AQ17" i="14"/>
  <c r="AP17" i="14"/>
  <c r="AO17" i="14"/>
  <c r="AN17" i="14"/>
  <c r="AM17" i="14"/>
  <c r="AL17" i="14"/>
  <c r="AK17" i="14"/>
  <c r="AJ17" i="14"/>
  <c r="AI17" i="14"/>
  <c r="AH17" i="14"/>
  <c r="AG17" i="14"/>
  <c r="AF17" i="14"/>
  <c r="AE17" i="14"/>
  <c r="AD17" i="14"/>
  <c r="AC17" i="14"/>
  <c r="AB17" i="14"/>
  <c r="AA17" i="14"/>
  <c r="Z17" i="14"/>
  <c r="AT16" i="14"/>
  <c r="BP16" i="14" s="1"/>
  <c r="AS16" i="14"/>
  <c r="AR16" i="14"/>
  <c r="AQ16" i="14"/>
  <c r="AP16" i="14"/>
  <c r="AO16" i="14"/>
  <c r="AN16" i="14"/>
  <c r="AM16" i="14"/>
  <c r="AL16" i="14"/>
  <c r="AK16" i="14"/>
  <c r="AJ16" i="14"/>
  <c r="AI16" i="14"/>
  <c r="AH16" i="14"/>
  <c r="AG16" i="14"/>
  <c r="AF16" i="14"/>
  <c r="AE16" i="14"/>
  <c r="AD16" i="14"/>
  <c r="AC16" i="14"/>
  <c r="AB16" i="14"/>
  <c r="AA16" i="14"/>
  <c r="Z16" i="14"/>
  <c r="AT15" i="14"/>
  <c r="BP15" i="14" s="1"/>
  <c r="AS15" i="14"/>
  <c r="AR15" i="14"/>
  <c r="AQ15" i="14"/>
  <c r="AP15" i="14"/>
  <c r="AO15" i="14"/>
  <c r="AN15" i="14"/>
  <c r="AM15" i="14"/>
  <c r="AL15" i="14"/>
  <c r="AK15" i="14"/>
  <c r="AJ15" i="14"/>
  <c r="AI15" i="14"/>
  <c r="AH15" i="14"/>
  <c r="AG15" i="14"/>
  <c r="AF15" i="14"/>
  <c r="AE15" i="14"/>
  <c r="AD15" i="14"/>
  <c r="AC15" i="14"/>
  <c r="AB15" i="14"/>
  <c r="AA15" i="14"/>
  <c r="Z15" i="14"/>
  <c r="AT14" i="14"/>
  <c r="BP14" i="14" s="1"/>
  <c r="AS14" i="14"/>
  <c r="AR14" i="14"/>
  <c r="AQ14" i="14"/>
  <c r="AP14" i="14"/>
  <c r="AO14" i="14"/>
  <c r="AN14" i="14"/>
  <c r="AM14" i="14"/>
  <c r="AL14" i="14"/>
  <c r="AK14" i="14"/>
  <c r="AJ14" i="14"/>
  <c r="AI14" i="14"/>
  <c r="AH14" i="14"/>
  <c r="AG14" i="14"/>
  <c r="AF14" i="14"/>
  <c r="AE14" i="14"/>
  <c r="AD14" i="14"/>
  <c r="AC14" i="14"/>
  <c r="AB14" i="14"/>
  <c r="AA14" i="14"/>
  <c r="Z14" i="14"/>
  <c r="AT13" i="14"/>
  <c r="BP13" i="14" s="1"/>
  <c r="AS13" i="14"/>
  <c r="AR13" i="14"/>
  <c r="AQ13" i="14"/>
  <c r="AP13" i="14"/>
  <c r="AO13" i="14"/>
  <c r="AN13" i="14"/>
  <c r="AM13" i="14"/>
  <c r="AL13" i="14"/>
  <c r="AK13" i="14"/>
  <c r="AJ13" i="14"/>
  <c r="AI13" i="14"/>
  <c r="AH13" i="14"/>
  <c r="AG13" i="14"/>
  <c r="AF13" i="14"/>
  <c r="AE13" i="14"/>
  <c r="AD13" i="14"/>
  <c r="AC13" i="14"/>
  <c r="AB13" i="14"/>
  <c r="AA13" i="14"/>
  <c r="Z13" i="14"/>
  <c r="AT12" i="14"/>
  <c r="BP12" i="14" s="1"/>
  <c r="AS12" i="14"/>
  <c r="AR12" i="14"/>
  <c r="AQ12" i="14"/>
  <c r="AP12" i="14"/>
  <c r="AO12" i="14"/>
  <c r="AN12" i="14"/>
  <c r="AM12" i="14"/>
  <c r="AL12" i="14"/>
  <c r="AK12" i="14"/>
  <c r="AJ12" i="14"/>
  <c r="AI12" i="14"/>
  <c r="AH12" i="14"/>
  <c r="AG12" i="14"/>
  <c r="AF12" i="14"/>
  <c r="AE12" i="14"/>
  <c r="AD12" i="14"/>
  <c r="AC12" i="14"/>
  <c r="AB12" i="14"/>
  <c r="AA12" i="14"/>
  <c r="Z12" i="14"/>
  <c r="AT11" i="14"/>
  <c r="BP11" i="14" s="1"/>
  <c r="AS11" i="14"/>
  <c r="AR11" i="14"/>
  <c r="AQ11" i="14"/>
  <c r="AP11" i="14"/>
  <c r="AO11" i="14"/>
  <c r="AN11" i="14"/>
  <c r="AM11" i="14"/>
  <c r="AL11" i="14"/>
  <c r="AK11" i="14"/>
  <c r="AJ11" i="14"/>
  <c r="AI11" i="14"/>
  <c r="AH11" i="14"/>
  <c r="AG11" i="14"/>
  <c r="AF11" i="14"/>
  <c r="AE11" i="14"/>
  <c r="AD11" i="14"/>
  <c r="AC11" i="14"/>
  <c r="AB11" i="14"/>
  <c r="AA11" i="14"/>
  <c r="Z11" i="14"/>
  <c r="AT10" i="14"/>
  <c r="BP10" i="14" s="1"/>
  <c r="AS10" i="14"/>
  <c r="AR10" i="14"/>
  <c r="AQ10" i="14"/>
  <c r="AP10" i="14"/>
  <c r="AO10" i="14"/>
  <c r="AN10" i="14"/>
  <c r="AM10" i="14"/>
  <c r="AL10" i="14"/>
  <c r="AK10" i="14"/>
  <c r="AJ10" i="14"/>
  <c r="AI10" i="14"/>
  <c r="AH10" i="14"/>
  <c r="AG10" i="14"/>
  <c r="AF10" i="14"/>
  <c r="AE10" i="14"/>
  <c r="AD10" i="14"/>
  <c r="AC10" i="14"/>
  <c r="AB10" i="14"/>
  <c r="AA10" i="14"/>
  <c r="Z10" i="14"/>
  <c r="AT9" i="14"/>
  <c r="BP9" i="14" s="1"/>
  <c r="AS9" i="14"/>
  <c r="AR9" i="14"/>
  <c r="AQ9" i="14"/>
  <c r="AP9" i="14"/>
  <c r="AO9" i="14"/>
  <c r="AN9" i="14"/>
  <c r="AM9" i="14"/>
  <c r="AL9" i="14"/>
  <c r="AK9" i="14"/>
  <c r="AJ9" i="14"/>
  <c r="AI9" i="14"/>
  <c r="AH9" i="14"/>
  <c r="AG9" i="14"/>
  <c r="AF9" i="14"/>
  <c r="AE9" i="14"/>
  <c r="AD9" i="14"/>
  <c r="AC9" i="14"/>
  <c r="AB9" i="14"/>
  <c r="AA9" i="14"/>
  <c r="Z9" i="14"/>
  <c r="AT8" i="14"/>
  <c r="BP8" i="14" s="1"/>
  <c r="AS8" i="14"/>
  <c r="AR8" i="14"/>
  <c r="AQ8" i="14"/>
  <c r="AP8" i="14"/>
  <c r="AO8" i="14"/>
  <c r="AN8" i="14"/>
  <c r="AM8" i="14"/>
  <c r="AL8" i="14"/>
  <c r="AK8" i="14"/>
  <c r="AJ8" i="14"/>
  <c r="AI8" i="14"/>
  <c r="AH8" i="14"/>
  <c r="AG8" i="14"/>
  <c r="AF8" i="14"/>
  <c r="AE8" i="14"/>
  <c r="AD8" i="14"/>
  <c r="AC8" i="14"/>
  <c r="AB8" i="14"/>
  <c r="AA8" i="14"/>
  <c r="Z8" i="14"/>
  <c r="AT7" i="14"/>
  <c r="BP7" i="14" s="1"/>
  <c r="AS7" i="14"/>
  <c r="AR7" i="14"/>
  <c r="AQ7" i="14"/>
  <c r="AP7" i="14"/>
  <c r="AO7" i="14"/>
  <c r="AN7" i="14"/>
  <c r="AM7" i="14"/>
  <c r="AL7" i="14"/>
  <c r="AK7" i="14"/>
  <c r="AJ7" i="14"/>
  <c r="AI7" i="14"/>
  <c r="AH7" i="14"/>
  <c r="AG7" i="14"/>
  <c r="AF7" i="14"/>
  <c r="AE7" i="14"/>
  <c r="AD7" i="14"/>
  <c r="AC7" i="14"/>
  <c r="AB7" i="14"/>
  <c r="AA7" i="14"/>
  <c r="Z7" i="14"/>
  <c r="AA7" i="18" l="1"/>
  <c r="AW7" i="18" s="1"/>
  <c r="AW7" i="14"/>
  <c r="AI7" i="18"/>
  <c r="BE7" i="18" s="1"/>
  <c r="BE7" i="14"/>
  <c r="AM7" i="18"/>
  <c r="BI7" i="18" s="1"/>
  <c r="BI7" i="14"/>
  <c r="Z8" i="18"/>
  <c r="AV8" i="18" s="1"/>
  <c r="AV8" i="14"/>
  <c r="AD8" i="18"/>
  <c r="AZ8" i="18" s="1"/>
  <c r="AZ8" i="14"/>
  <c r="AL8" i="18"/>
  <c r="BH8" i="18" s="1"/>
  <c r="BH8" i="14"/>
  <c r="AP8" i="18"/>
  <c r="BL8" i="18" s="1"/>
  <c r="BL8" i="14"/>
  <c r="AC9" i="18"/>
  <c r="AY9" i="18" s="1"/>
  <c r="AY9" i="14"/>
  <c r="AK9" i="18"/>
  <c r="BG9" i="18" s="1"/>
  <c r="BG9" i="14"/>
  <c r="AB10" i="18"/>
  <c r="AX10" i="18" s="1"/>
  <c r="AX10" i="14"/>
  <c r="AJ10" i="18"/>
  <c r="BF10" i="18" s="1"/>
  <c r="BF10" i="14"/>
  <c r="AR10" i="18"/>
  <c r="BN10" i="18" s="1"/>
  <c r="BN10" i="14"/>
  <c r="AI11" i="18"/>
  <c r="BE11" i="18" s="1"/>
  <c r="BE11" i="14"/>
  <c r="AC7" i="18"/>
  <c r="AY7" i="18" s="1"/>
  <c r="AY7" i="14"/>
  <c r="AG7" i="18"/>
  <c r="BC7" i="18" s="1"/>
  <c r="BC7" i="14"/>
  <c r="AK7" i="18"/>
  <c r="BG7" i="18" s="1"/>
  <c r="BG7" i="14"/>
  <c r="AO7" i="18"/>
  <c r="BK7" i="18" s="1"/>
  <c r="BK7" i="14"/>
  <c r="AS7" i="18"/>
  <c r="BO7" i="18" s="1"/>
  <c r="BO7" i="14"/>
  <c r="AB8" i="18"/>
  <c r="AX8" i="18" s="1"/>
  <c r="AX8" i="14"/>
  <c r="AF8" i="18"/>
  <c r="BB8" i="18" s="1"/>
  <c r="BB8" i="14"/>
  <c r="AJ8" i="18"/>
  <c r="BF8" i="18" s="1"/>
  <c r="BF8" i="14"/>
  <c r="AN8" i="18"/>
  <c r="BJ8" i="18" s="1"/>
  <c r="BJ8" i="14"/>
  <c r="AR8" i="18"/>
  <c r="BN8" i="18" s="1"/>
  <c r="BN8" i="14"/>
  <c r="AA9" i="18"/>
  <c r="AW9" i="18" s="1"/>
  <c r="AW9" i="14"/>
  <c r="AE9" i="18"/>
  <c r="BA9" i="18" s="1"/>
  <c r="BA9" i="14"/>
  <c r="AI9" i="18"/>
  <c r="BE9" i="18" s="1"/>
  <c r="BE9" i="14"/>
  <c r="AM9" i="18"/>
  <c r="BI9" i="18" s="1"/>
  <c r="BI9" i="14"/>
  <c r="AQ9" i="18"/>
  <c r="BM9" i="18" s="1"/>
  <c r="BM9" i="14"/>
  <c r="Z10" i="18"/>
  <c r="AV10" i="18" s="1"/>
  <c r="AV10" i="14"/>
  <c r="AD10" i="18"/>
  <c r="AZ10" i="18" s="1"/>
  <c r="AZ10" i="14"/>
  <c r="AH10" i="18"/>
  <c r="BD10" i="18" s="1"/>
  <c r="BD10" i="14"/>
  <c r="AL10" i="18"/>
  <c r="BH10" i="18" s="1"/>
  <c r="BH10" i="14"/>
  <c r="AP10" i="18"/>
  <c r="BL10" i="18" s="1"/>
  <c r="BL10" i="14"/>
  <c r="AC11" i="18"/>
  <c r="AY11" i="18" s="1"/>
  <c r="AY11" i="14"/>
  <c r="AG11" i="18"/>
  <c r="BC11" i="18" s="1"/>
  <c r="BC11" i="14"/>
  <c r="AK11" i="18"/>
  <c r="BG11" i="18" s="1"/>
  <c r="BG11" i="14"/>
  <c r="AO11" i="18"/>
  <c r="BK11" i="18" s="1"/>
  <c r="BK11" i="14"/>
  <c r="AS11" i="18"/>
  <c r="BO11" i="18" s="1"/>
  <c r="BO11" i="14"/>
  <c r="AB12" i="18"/>
  <c r="AX12" i="18" s="1"/>
  <c r="AX12" i="14"/>
  <c r="AF12" i="18"/>
  <c r="BB12" i="18" s="1"/>
  <c r="BB12" i="14"/>
  <c r="AJ12" i="18"/>
  <c r="BF12" i="18" s="1"/>
  <c r="BF12" i="14"/>
  <c r="AN12" i="18"/>
  <c r="BJ12" i="18" s="1"/>
  <c r="BJ12" i="14"/>
  <c r="AR12" i="18"/>
  <c r="BN12" i="18" s="1"/>
  <c r="BN12" i="14"/>
  <c r="AA13" i="18"/>
  <c r="AW13" i="18" s="1"/>
  <c r="AW13" i="14"/>
  <c r="AE13" i="18"/>
  <c r="BA13" i="18" s="1"/>
  <c r="BA13" i="14"/>
  <c r="AI13" i="18"/>
  <c r="BE13" i="18" s="1"/>
  <c r="BE13" i="14"/>
  <c r="AM13" i="18"/>
  <c r="BI13" i="18" s="1"/>
  <c r="BI13" i="14"/>
  <c r="AQ13" i="18"/>
  <c r="BM13" i="18" s="1"/>
  <c r="BM13" i="14"/>
  <c r="Z14" i="18"/>
  <c r="AV14" i="18" s="1"/>
  <c r="AV14" i="14"/>
  <c r="AD14" i="18"/>
  <c r="AZ14" i="18" s="1"/>
  <c r="AZ14" i="14"/>
  <c r="AH14" i="18"/>
  <c r="BD14" i="18" s="1"/>
  <c r="BD14" i="14"/>
  <c r="AL14" i="18"/>
  <c r="BH14" i="18" s="1"/>
  <c r="BH14" i="14"/>
  <c r="AP14" i="18"/>
  <c r="BL14" i="18" s="1"/>
  <c r="BL14" i="14"/>
  <c r="AC15" i="18"/>
  <c r="AY15" i="18" s="1"/>
  <c r="AY15" i="14"/>
  <c r="AG15" i="18"/>
  <c r="BC15" i="18" s="1"/>
  <c r="BC15" i="14"/>
  <c r="AK15" i="18"/>
  <c r="BG15" i="18" s="1"/>
  <c r="BG15" i="14"/>
  <c r="AO15" i="18"/>
  <c r="BK15" i="18" s="1"/>
  <c r="BK15" i="14"/>
  <c r="AS15" i="18"/>
  <c r="BO15" i="18" s="1"/>
  <c r="BO15" i="14"/>
  <c r="AB16" i="18"/>
  <c r="AX16" i="18" s="1"/>
  <c r="AX16" i="14"/>
  <c r="AF16" i="18"/>
  <c r="BB16" i="18" s="1"/>
  <c r="BB16" i="14"/>
  <c r="AJ16" i="18"/>
  <c r="BF16" i="18" s="1"/>
  <c r="BF16" i="14"/>
  <c r="AN16" i="18"/>
  <c r="BJ16" i="18" s="1"/>
  <c r="BJ16" i="14"/>
  <c r="AR16" i="18"/>
  <c r="BN16" i="18" s="1"/>
  <c r="BN16" i="14"/>
  <c r="AA17" i="18"/>
  <c r="AW17" i="18" s="1"/>
  <c r="AW17" i="14"/>
  <c r="AE17" i="18"/>
  <c r="BA17" i="18" s="1"/>
  <c r="BA17" i="14"/>
  <c r="AI17" i="18"/>
  <c r="BE17" i="18" s="1"/>
  <c r="BE17" i="14"/>
  <c r="AM17" i="18"/>
  <c r="BI17" i="18" s="1"/>
  <c r="BI17" i="14"/>
  <c r="AQ17" i="18"/>
  <c r="BM17" i="18" s="1"/>
  <c r="BM17" i="14"/>
  <c r="Z18" i="18"/>
  <c r="AV18" i="18" s="1"/>
  <c r="AV18" i="14"/>
  <c r="AD18" i="18"/>
  <c r="AZ18" i="18" s="1"/>
  <c r="AZ18" i="14"/>
  <c r="AH18" i="18"/>
  <c r="BD18" i="18" s="1"/>
  <c r="BD18" i="14"/>
  <c r="AL18" i="18"/>
  <c r="BH18" i="18" s="1"/>
  <c r="BH18" i="14"/>
  <c r="AP18" i="18"/>
  <c r="BL18" i="18" s="1"/>
  <c r="BL18" i="14"/>
  <c r="AC19" i="18"/>
  <c r="AY19" i="18" s="1"/>
  <c r="AY19" i="14"/>
  <c r="AG19" i="18"/>
  <c r="BC19" i="18" s="1"/>
  <c r="BC19" i="14"/>
  <c r="AK19" i="18"/>
  <c r="BG19" i="18" s="1"/>
  <c r="BG19" i="14"/>
  <c r="AO19" i="18"/>
  <c r="BK19" i="18" s="1"/>
  <c r="BK19" i="14"/>
  <c r="AS19" i="18"/>
  <c r="BO19" i="18" s="1"/>
  <c r="BO19" i="14"/>
  <c r="AB20" i="18"/>
  <c r="AX20" i="18" s="1"/>
  <c r="AX20" i="14"/>
  <c r="AF20" i="18"/>
  <c r="BB20" i="18" s="1"/>
  <c r="BB20" i="14"/>
  <c r="AJ20" i="18"/>
  <c r="BF20" i="18" s="1"/>
  <c r="BF20" i="14"/>
  <c r="AN20" i="18"/>
  <c r="BJ20" i="18" s="1"/>
  <c r="BJ20" i="14"/>
  <c r="AR20" i="18"/>
  <c r="BN20" i="18" s="1"/>
  <c r="BN20" i="14"/>
  <c r="AA21" i="18"/>
  <c r="AW21" i="18" s="1"/>
  <c r="AW21" i="14"/>
  <c r="AE21" i="18"/>
  <c r="BA21" i="18" s="1"/>
  <c r="BA21" i="14"/>
  <c r="AI21" i="18"/>
  <c r="BE21" i="18" s="1"/>
  <c r="BE21" i="14"/>
  <c r="AM21" i="18"/>
  <c r="BI21" i="18" s="1"/>
  <c r="BI21" i="14"/>
  <c r="AQ21" i="18"/>
  <c r="BM21" i="18" s="1"/>
  <c r="BM21" i="14"/>
  <c r="Z22" i="18"/>
  <c r="AV22" i="18" s="1"/>
  <c r="AV22" i="14"/>
  <c r="AD22" i="18"/>
  <c r="AZ22" i="18" s="1"/>
  <c r="AZ22" i="14"/>
  <c r="AH22" i="18"/>
  <c r="BD22" i="18" s="1"/>
  <c r="BD22" i="14"/>
  <c r="AL22" i="18"/>
  <c r="BH22" i="18" s="1"/>
  <c r="BH22" i="14"/>
  <c r="AP22" i="18"/>
  <c r="BL22" i="18" s="1"/>
  <c r="BL22" i="14"/>
  <c r="AC23" i="18"/>
  <c r="AY23" i="18" s="1"/>
  <c r="AY23" i="14"/>
  <c r="AG23" i="18"/>
  <c r="BC23" i="18" s="1"/>
  <c r="BC23" i="14"/>
  <c r="AK23" i="18"/>
  <c r="BG23" i="18" s="1"/>
  <c r="BG23" i="14"/>
  <c r="AO23" i="18"/>
  <c r="BK23" i="18" s="1"/>
  <c r="BK23" i="14"/>
  <c r="AS23" i="18"/>
  <c r="BO23" i="18" s="1"/>
  <c r="BO23" i="14"/>
  <c r="AB24" i="18"/>
  <c r="AX24" i="18" s="1"/>
  <c r="AX24" i="14"/>
  <c r="AF24" i="18"/>
  <c r="BB24" i="18" s="1"/>
  <c r="BB24" i="14"/>
  <c r="AJ24" i="18"/>
  <c r="BF24" i="18" s="1"/>
  <c r="BF24" i="14"/>
  <c r="AN24" i="18"/>
  <c r="BJ24" i="18" s="1"/>
  <c r="BJ24" i="14"/>
  <c r="AR24" i="18"/>
  <c r="BN24" i="18" s="1"/>
  <c r="BN24" i="14"/>
  <c r="AA25" i="18"/>
  <c r="AW25" i="18" s="1"/>
  <c r="AW25" i="14"/>
  <c r="AE25" i="18"/>
  <c r="BA25" i="18" s="1"/>
  <c r="BA25" i="14"/>
  <c r="AI25" i="18"/>
  <c r="BE25" i="18" s="1"/>
  <c r="BE25" i="14"/>
  <c r="AM25" i="18"/>
  <c r="BI25" i="18" s="1"/>
  <c r="BI25" i="14"/>
  <c r="AQ25" i="18"/>
  <c r="BM25" i="18" s="1"/>
  <c r="BM25" i="14"/>
  <c r="Z26" i="18"/>
  <c r="AV26" i="18" s="1"/>
  <c r="AV26" i="14"/>
  <c r="AD26" i="18"/>
  <c r="AZ26" i="18" s="1"/>
  <c r="AZ26" i="14"/>
  <c r="AH26" i="18"/>
  <c r="BD26" i="18" s="1"/>
  <c r="BD26" i="14"/>
  <c r="AL26" i="18"/>
  <c r="BH26" i="18" s="1"/>
  <c r="BH26" i="14"/>
  <c r="AP26" i="18"/>
  <c r="BL26" i="18" s="1"/>
  <c r="BL26" i="14"/>
  <c r="AC27" i="18"/>
  <c r="AY27" i="18" s="1"/>
  <c r="AY27" i="14"/>
  <c r="AG27" i="18"/>
  <c r="BC27" i="18" s="1"/>
  <c r="BC27" i="14"/>
  <c r="AK27" i="18"/>
  <c r="BG27" i="18" s="1"/>
  <c r="BG27" i="14"/>
  <c r="AO27" i="18"/>
  <c r="BK27" i="18" s="1"/>
  <c r="BK27" i="14"/>
  <c r="AS27" i="18"/>
  <c r="BO27" i="18" s="1"/>
  <c r="BO27" i="14"/>
  <c r="AB28" i="18"/>
  <c r="AX28" i="18" s="1"/>
  <c r="AX28" i="14"/>
  <c r="AF28" i="18"/>
  <c r="BB28" i="18" s="1"/>
  <c r="BB28" i="14"/>
  <c r="AJ28" i="18"/>
  <c r="BF28" i="18" s="1"/>
  <c r="BF28" i="14"/>
  <c r="AN28" i="18"/>
  <c r="BJ28" i="18" s="1"/>
  <c r="BJ28" i="14"/>
  <c r="AR28" i="18"/>
  <c r="BN28" i="18" s="1"/>
  <c r="BN28" i="14"/>
  <c r="AA29" i="18"/>
  <c r="AW29" i="18" s="1"/>
  <c r="AW29" i="14"/>
  <c r="AE29" i="18"/>
  <c r="BA29" i="18" s="1"/>
  <c r="BA29" i="14"/>
  <c r="AI29" i="18"/>
  <c r="BE29" i="18" s="1"/>
  <c r="BE29" i="14"/>
  <c r="AM29" i="18"/>
  <c r="BI29" i="18" s="1"/>
  <c r="BI29" i="14"/>
  <c r="AQ29" i="18"/>
  <c r="BM29" i="18" s="1"/>
  <c r="BM29" i="14"/>
  <c r="Z30" i="18"/>
  <c r="AV30" i="18" s="1"/>
  <c r="AV30" i="14"/>
  <c r="AD30" i="18"/>
  <c r="AZ30" i="18" s="1"/>
  <c r="AZ30" i="14"/>
  <c r="AH30" i="18"/>
  <c r="BD30" i="18" s="1"/>
  <c r="BD30" i="14"/>
  <c r="AL30" i="18"/>
  <c r="BH30" i="18" s="1"/>
  <c r="BH30" i="14"/>
  <c r="AP30" i="18"/>
  <c r="BL30" i="18" s="1"/>
  <c r="BL30" i="14"/>
  <c r="AC31" i="18"/>
  <c r="AY31" i="18" s="1"/>
  <c r="AY31" i="14"/>
  <c r="AG31" i="18"/>
  <c r="BC31" i="18" s="1"/>
  <c r="BC31" i="14"/>
  <c r="AK31" i="18"/>
  <c r="BG31" i="18" s="1"/>
  <c r="BG31" i="14"/>
  <c r="AO31" i="18"/>
  <c r="BK31" i="18" s="1"/>
  <c r="BK31" i="14"/>
  <c r="AS31" i="18"/>
  <c r="BO31" i="18" s="1"/>
  <c r="BO31" i="14"/>
  <c r="AB32" i="18"/>
  <c r="AX32" i="18" s="1"/>
  <c r="AX32" i="14"/>
  <c r="AF32" i="18"/>
  <c r="BB32" i="18" s="1"/>
  <c r="BB32" i="14"/>
  <c r="AJ32" i="18"/>
  <c r="BF32" i="18" s="1"/>
  <c r="BF32" i="14"/>
  <c r="AN32" i="18"/>
  <c r="BJ32" i="18" s="1"/>
  <c r="BJ32" i="14"/>
  <c r="AR32" i="18"/>
  <c r="BN32" i="18" s="1"/>
  <c r="BN32" i="14"/>
  <c r="AA33" i="18"/>
  <c r="AW33" i="18" s="1"/>
  <c r="AW33" i="14"/>
  <c r="AE33" i="18"/>
  <c r="BA33" i="18" s="1"/>
  <c r="BA33" i="14"/>
  <c r="AI33" i="18"/>
  <c r="BE33" i="18" s="1"/>
  <c r="BE33" i="14"/>
  <c r="AM33" i="18"/>
  <c r="BI33" i="18" s="1"/>
  <c r="BI33" i="14"/>
  <c r="AQ33" i="18"/>
  <c r="BM33" i="18" s="1"/>
  <c r="BM33" i="14"/>
  <c r="Z34" i="18"/>
  <c r="AV34" i="18" s="1"/>
  <c r="AV34" i="14"/>
  <c r="AD34" i="18"/>
  <c r="AZ34" i="18" s="1"/>
  <c r="AZ34" i="14"/>
  <c r="AH34" i="18"/>
  <c r="BD34" i="18" s="1"/>
  <c r="BD34" i="14"/>
  <c r="AL34" i="18"/>
  <c r="BH34" i="18" s="1"/>
  <c r="BH34" i="14"/>
  <c r="AP34" i="18"/>
  <c r="BL34" i="18" s="1"/>
  <c r="BL34" i="14"/>
  <c r="AC35" i="18"/>
  <c r="AY35" i="18" s="1"/>
  <c r="AY35" i="14"/>
  <c r="AG35" i="18"/>
  <c r="BC35" i="18" s="1"/>
  <c r="BC35" i="14"/>
  <c r="AK35" i="18"/>
  <c r="BG35" i="18" s="1"/>
  <c r="BG35" i="14"/>
  <c r="AO35" i="18"/>
  <c r="BK35" i="18" s="1"/>
  <c r="BK35" i="14"/>
  <c r="AS35" i="18"/>
  <c r="BO35" i="18" s="1"/>
  <c r="BO35" i="14"/>
  <c r="AB36" i="18"/>
  <c r="AX36" i="18" s="1"/>
  <c r="AX36" i="14"/>
  <c r="AF36" i="18"/>
  <c r="BB36" i="18" s="1"/>
  <c r="BB36" i="14"/>
  <c r="AJ36" i="18"/>
  <c r="BF36" i="18" s="1"/>
  <c r="BF36" i="14"/>
  <c r="AN36" i="18"/>
  <c r="BJ36" i="18" s="1"/>
  <c r="BJ36" i="14"/>
  <c r="AR36" i="18"/>
  <c r="BN36" i="18" s="1"/>
  <c r="BN36" i="14"/>
  <c r="AA37" i="18"/>
  <c r="AW37" i="18" s="1"/>
  <c r="AW37" i="14"/>
  <c r="AE37" i="18"/>
  <c r="BA37" i="18" s="1"/>
  <c r="BA37" i="14"/>
  <c r="AI37" i="18"/>
  <c r="BE37" i="18" s="1"/>
  <c r="BE37" i="14"/>
  <c r="AM37" i="18"/>
  <c r="BI37" i="18" s="1"/>
  <c r="BI37" i="14"/>
  <c r="AQ37" i="18"/>
  <c r="BM37" i="18" s="1"/>
  <c r="BM37" i="14"/>
  <c r="Z38" i="18"/>
  <c r="AV38" i="18" s="1"/>
  <c r="AV38" i="14"/>
  <c r="AD38" i="18"/>
  <c r="AZ38" i="18" s="1"/>
  <c r="AZ38" i="14"/>
  <c r="AH38" i="18"/>
  <c r="BD38" i="18" s="1"/>
  <c r="BD38" i="14"/>
  <c r="AL38" i="18"/>
  <c r="BH38" i="18" s="1"/>
  <c r="BH38" i="14"/>
  <c r="AP38" i="18"/>
  <c r="BL38" i="18" s="1"/>
  <c r="BL38" i="14"/>
  <c r="AC39" i="18"/>
  <c r="AY39" i="18" s="1"/>
  <c r="AY39" i="14"/>
  <c r="AG39" i="18"/>
  <c r="BC39" i="18" s="1"/>
  <c r="BC39" i="14"/>
  <c r="AK39" i="18"/>
  <c r="BG39" i="18" s="1"/>
  <c r="BG39" i="14"/>
  <c r="AO39" i="18"/>
  <c r="BK39" i="18" s="1"/>
  <c r="BK39" i="14"/>
  <c r="AS39" i="18"/>
  <c r="BO39" i="18" s="1"/>
  <c r="BO39" i="14"/>
  <c r="AB40" i="18"/>
  <c r="AX40" i="18" s="1"/>
  <c r="AX40" i="14"/>
  <c r="AF40" i="18"/>
  <c r="BB40" i="18" s="1"/>
  <c r="BB40" i="14"/>
  <c r="AJ40" i="18"/>
  <c r="BF40" i="18" s="1"/>
  <c r="BF40" i="14"/>
  <c r="AN40" i="18"/>
  <c r="BJ40" i="18" s="1"/>
  <c r="BJ40" i="14"/>
  <c r="AR40" i="18"/>
  <c r="BN40" i="18" s="1"/>
  <c r="BN40" i="14"/>
  <c r="AA41" i="18"/>
  <c r="AW41" i="18" s="1"/>
  <c r="AW41" i="14"/>
  <c r="AE41" i="18"/>
  <c r="BA41" i="18" s="1"/>
  <c r="BA41" i="14"/>
  <c r="AI41" i="18"/>
  <c r="BE41" i="18" s="1"/>
  <c r="BE41" i="14"/>
  <c r="AM41" i="18"/>
  <c r="BI41" i="18" s="1"/>
  <c r="BI41" i="14"/>
  <c r="AQ41" i="18"/>
  <c r="BM41" i="18" s="1"/>
  <c r="BM41" i="14"/>
  <c r="Z42" i="18"/>
  <c r="AV42" i="18" s="1"/>
  <c r="AV42" i="14"/>
  <c r="AD42" i="18"/>
  <c r="AZ42" i="18" s="1"/>
  <c r="AZ42" i="14"/>
  <c r="AH42" i="18"/>
  <c r="BD42" i="18" s="1"/>
  <c r="BD42" i="14"/>
  <c r="AL42" i="18"/>
  <c r="BH42" i="18" s="1"/>
  <c r="BH42" i="14"/>
  <c r="AP42" i="18"/>
  <c r="BL42" i="18" s="1"/>
  <c r="BL42" i="14"/>
  <c r="AC43" i="18"/>
  <c r="AY43" i="18" s="1"/>
  <c r="AY43" i="14"/>
  <c r="AG43" i="18"/>
  <c r="BC43" i="18" s="1"/>
  <c r="BC43" i="14"/>
  <c r="AK43" i="18"/>
  <c r="BG43" i="18" s="1"/>
  <c r="BG43" i="14"/>
  <c r="AO43" i="18"/>
  <c r="BK43" i="18" s="1"/>
  <c r="BK43" i="14"/>
  <c r="AS43" i="18"/>
  <c r="BO43" i="18" s="1"/>
  <c r="BO43" i="14"/>
  <c r="AB44" i="18"/>
  <c r="AX44" i="18" s="1"/>
  <c r="AX44" i="14"/>
  <c r="AF44" i="18"/>
  <c r="BB44" i="18" s="1"/>
  <c r="BB44" i="14"/>
  <c r="AJ44" i="18"/>
  <c r="BF44" i="18" s="1"/>
  <c r="BF44" i="14"/>
  <c r="AN44" i="18"/>
  <c r="BJ44" i="18" s="1"/>
  <c r="BJ44" i="14"/>
  <c r="AR44" i="18"/>
  <c r="BN44" i="18" s="1"/>
  <c r="BN44" i="14"/>
  <c r="AA45" i="18"/>
  <c r="AW45" i="18" s="1"/>
  <c r="AW45" i="14"/>
  <c r="AE45" i="18"/>
  <c r="BA45" i="18" s="1"/>
  <c r="BA45" i="14"/>
  <c r="AI45" i="18"/>
  <c r="BE45" i="18" s="1"/>
  <c r="BE45" i="14"/>
  <c r="AM45" i="18"/>
  <c r="BI45" i="18" s="1"/>
  <c r="BI45" i="14"/>
  <c r="AQ45" i="18"/>
  <c r="BM45" i="18" s="1"/>
  <c r="BM45" i="14"/>
  <c r="Z46" i="18"/>
  <c r="AV46" i="18" s="1"/>
  <c r="AV46" i="14"/>
  <c r="AD46" i="18"/>
  <c r="AZ46" i="18" s="1"/>
  <c r="AZ46" i="14"/>
  <c r="AH46" i="18"/>
  <c r="BD46" i="18" s="1"/>
  <c r="BD46" i="14"/>
  <c r="AL46" i="18"/>
  <c r="BH46" i="18" s="1"/>
  <c r="BH46" i="14"/>
  <c r="AP46" i="18"/>
  <c r="BL46" i="18" s="1"/>
  <c r="BL46" i="14"/>
  <c r="AC47" i="18"/>
  <c r="AY47" i="18" s="1"/>
  <c r="AY47" i="14"/>
  <c r="AG47" i="18"/>
  <c r="BC47" i="18" s="1"/>
  <c r="BC47" i="14"/>
  <c r="AK47" i="18"/>
  <c r="BG47" i="18" s="1"/>
  <c r="BG47" i="14"/>
  <c r="AO47" i="18"/>
  <c r="BK47" i="18" s="1"/>
  <c r="BK47" i="14"/>
  <c r="AS47" i="18"/>
  <c r="BO47" i="18" s="1"/>
  <c r="BO47" i="14"/>
  <c r="AB48" i="18"/>
  <c r="AX48" i="18" s="1"/>
  <c r="AX48" i="14"/>
  <c r="AF48" i="18"/>
  <c r="BB48" i="18" s="1"/>
  <c r="BB48" i="14"/>
  <c r="AJ48" i="18"/>
  <c r="BF48" i="18" s="1"/>
  <c r="BF48" i="14"/>
  <c r="AN48" i="18"/>
  <c r="BJ48" i="18" s="1"/>
  <c r="BJ48" i="14"/>
  <c r="AR48" i="18"/>
  <c r="BN48" i="18" s="1"/>
  <c r="BN48" i="14"/>
  <c r="AA49" i="18"/>
  <c r="AW49" i="18" s="1"/>
  <c r="AW49" i="14"/>
  <c r="AE49" i="18"/>
  <c r="BA49" i="18" s="1"/>
  <c r="BA49" i="14"/>
  <c r="AI49" i="18"/>
  <c r="BE49" i="18" s="1"/>
  <c r="BE49" i="14"/>
  <c r="AM49" i="18"/>
  <c r="BI49" i="18" s="1"/>
  <c r="BI49" i="14"/>
  <c r="AQ49" i="18"/>
  <c r="BM49" i="18" s="1"/>
  <c r="BM49" i="14"/>
  <c r="Z50" i="18"/>
  <c r="AV50" i="18" s="1"/>
  <c r="AV50" i="14"/>
  <c r="AD50" i="18"/>
  <c r="AZ50" i="18" s="1"/>
  <c r="AZ50" i="14"/>
  <c r="AH50" i="18"/>
  <c r="BD50" i="18" s="1"/>
  <c r="BD50" i="14"/>
  <c r="AL50" i="18"/>
  <c r="BH50" i="18" s="1"/>
  <c r="BH50" i="14"/>
  <c r="AP50" i="18"/>
  <c r="BL50" i="18" s="1"/>
  <c r="BL50" i="14"/>
  <c r="AC51" i="18"/>
  <c r="AY51" i="18" s="1"/>
  <c r="AY51" i="14"/>
  <c r="AG51" i="18"/>
  <c r="BC51" i="18" s="1"/>
  <c r="BC51" i="14"/>
  <c r="AK51" i="18"/>
  <c r="BG51" i="18" s="1"/>
  <c r="BG51" i="14"/>
  <c r="AO51" i="18"/>
  <c r="BK51" i="18" s="1"/>
  <c r="BK51" i="14"/>
  <c r="AS51" i="18"/>
  <c r="BO51" i="18" s="1"/>
  <c r="BO51" i="14"/>
  <c r="AB52" i="18"/>
  <c r="AX52" i="18" s="1"/>
  <c r="AX52" i="14"/>
  <c r="AF52" i="18"/>
  <c r="BB52" i="18" s="1"/>
  <c r="BB52" i="14"/>
  <c r="AJ52" i="18"/>
  <c r="BF52" i="18" s="1"/>
  <c r="BF52" i="14"/>
  <c r="AN52" i="18"/>
  <c r="BJ52" i="18" s="1"/>
  <c r="BJ52" i="14"/>
  <c r="AR52" i="18"/>
  <c r="BN52" i="18" s="1"/>
  <c r="BN52" i="14"/>
  <c r="Z7" i="18"/>
  <c r="AV7" i="18" s="1"/>
  <c r="AV7" i="14"/>
  <c r="AD7" i="18"/>
  <c r="AZ7" i="18" s="1"/>
  <c r="AZ7" i="14"/>
  <c r="AH7" i="18"/>
  <c r="BD7" i="18" s="1"/>
  <c r="BD7" i="14"/>
  <c r="AL7" i="18"/>
  <c r="BH7" i="18" s="1"/>
  <c r="BH7" i="14"/>
  <c r="AP7" i="18"/>
  <c r="BL7" i="18" s="1"/>
  <c r="BL7" i="14"/>
  <c r="AC8" i="18"/>
  <c r="AY8" i="18" s="1"/>
  <c r="AY8" i="14"/>
  <c r="AG8" i="18"/>
  <c r="BC8" i="18" s="1"/>
  <c r="BC8" i="14"/>
  <c r="AK8" i="18"/>
  <c r="BG8" i="18" s="1"/>
  <c r="BG8" i="14"/>
  <c r="AO8" i="18"/>
  <c r="BK8" i="18" s="1"/>
  <c r="BK8" i="14"/>
  <c r="AS8" i="18"/>
  <c r="BO8" i="18" s="1"/>
  <c r="BO8" i="14"/>
  <c r="AB9" i="18"/>
  <c r="AX9" i="18" s="1"/>
  <c r="AX9" i="14"/>
  <c r="AF9" i="18"/>
  <c r="BB9" i="18" s="1"/>
  <c r="BB9" i="14"/>
  <c r="AJ9" i="18"/>
  <c r="BF9" i="18" s="1"/>
  <c r="BF9" i="14"/>
  <c r="AN9" i="18"/>
  <c r="BJ9" i="18" s="1"/>
  <c r="BJ9" i="14"/>
  <c r="AR9" i="18"/>
  <c r="BN9" i="18" s="1"/>
  <c r="BN9" i="14"/>
  <c r="AA10" i="18"/>
  <c r="AW10" i="18" s="1"/>
  <c r="AW10" i="14"/>
  <c r="AE10" i="18"/>
  <c r="BA10" i="18" s="1"/>
  <c r="BA10" i="14"/>
  <c r="AI10" i="18"/>
  <c r="BE10" i="18" s="1"/>
  <c r="BE10" i="14"/>
  <c r="AM10" i="18"/>
  <c r="BI10" i="18" s="1"/>
  <c r="BI10" i="14"/>
  <c r="AQ10" i="18"/>
  <c r="BM10" i="18" s="1"/>
  <c r="BM10" i="14"/>
  <c r="Z11" i="18"/>
  <c r="AV11" i="18" s="1"/>
  <c r="AV11" i="14"/>
  <c r="AD11" i="18"/>
  <c r="AZ11" i="18" s="1"/>
  <c r="AZ11" i="14"/>
  <c r="AH11" i="18"/>
  <c r="BD11" i="18" s="1"/>
  <c r="BD11" i="14"/>
  <c r="AL11" i="18"/>
  <c r="BH11" i="18" s="1"/>
  <c r="BH11" i="14"/>
  <c r="AP11" i="18"/>
  <c r="BL11" i="18" s="1"/>
  <c r="BL11" i="14"/>
  <c r="AC12" i="18"/>
  <c r="AY12" i="18" s="1"/>
  <c r="AY12" i="14"/>
  <c r="AG12" i="18"/>
  <c r="BC12" i="18" s="1"/>
  <c r="BC12" i="14"/>
  <c r="AK12" i="18"/>
  <c r="BG12" i="18" s="1"/>
  <c r="BG12" i="14"/>
  <c r="AO12" i="18"/>
  <c r="BK12" i="18" s="1"/>
  <c r="BK12" i="14"/>
  <c r="AS12" i="18"/>
  <c r="BO12" i="18" s="1"/>
  <c r="BO12" i="14"/>
  <c r="AB13" i="18"/>
  <c r="AX13" i="18" s="1"/>
  <c r="AX13" i="14"/>
  <c r="AF13" i="18"/>
  <c r="BB13" i="18" s="1"/>
  <c r="BB13" i="14"/>
  <c r="AJ13" i="18"/>
  <c r="BF13" i="18" s="1"/>
  <c r="BF13" i="14"/>
  <c r="AN13" i="18"/>
  <c r="BJ13" i="18" s="1"/>
  <c r="BJ13" i="14"/>
  <c r="AR13" i="18"/>
  <c r="BN13" i="18" s="1"/>
  <c r="BN13" i="14"/>
  <c r="AA14" i="18"/>
  <c r="AW14" i="18" s="1"/>
  <c r="AW14" i="14"/>
  <c r="AE14" i="18"/>
  <c r="BA14" i="18" s="1"/>
  <c r="BA14" i="14"/>
  <c r="AI14" i="18"/>
  <c r="BE14" i="18" s="1"/>
  <c r="BE14" i="14"/>
  <c r="AM14" i="18"/>
  <c r="BI14" i="18" s="1"/>
  <c r="BI14" i="14"/>
  <c r="AQ14" i="18"/>
  <c r="BM14" i="18" s="1"/>
  <c r="BM14" i="14"/>
  <c r="Z15" i="18"/>
  <c r="AV15" i="18" s="1"/>
  <c r="AV15" i="14"/>
  <c r="AD15" i="18"/>
  <c r="AZ15" i="18" s="1"/>
  <c r="AZ15" i="14"/>
  <c r="AH15" i="18"/>
  <c r="BD15" i="18" s="1"/>
  <c r="BD15" i="14"/>
  <c r="AL15" i="18"/>
  <c r="BH15" i="18" s="1"/>
  <c r="BH15" i="14"/>
  <c r="AP15" i="18"/>
  <c r="BL15" i="18" s="1"/>
  <c r="BL15" i="14"/>
  <c r="AC16" i="18"/>
  <c r="AY16" i="18" s="1"/>
  <c r="AY16" i="14"/>
  <c r="AG16" i="18"/>
  <c r="BC16" i="18" s="1"/>
  <c r="BC16" i="14"/>
  <c r="AK16" i="18"/>
  <c r="BG16" i="18" s="1"/>
  <c r="BG16" i="14"/>
  <c r="AO16" i="18"/>
  <c r="BK16" i="18" s="1"/>
  <c r="BK16" i="14"/>
  <c r="AS16" i="18"/>
  <c r="BO16" i="18" s="1"/>
  <c r="BO16" i="14"/>
  <c r="AB17" i="18"/>
  <c r="AX17" i="18" s="1"/>
  <c r="AX17" i="14"/>
  <c r="AF17" i="18"/>
  <c r="BB17" i="18" s="1"/>
  <c r="BB17" i="14"/>
  <c r="AJ17" i="18"/>
  <c r="BF17" i="18" s="1"/>
  <c r="BF17" i="14"/>
  <c r="AN17" i="18"/>
  <c r="BJ17" i="18" s="1"/>
  <c r="BJ17" i="14"/>
  <c r="AR17" i="18"/>
  <c r="BN17" i="18" s="1"/>
  <c r="BN17" i="14"/>
  <c r="AA18" i="18"/>
  <c r="AW18" i="18" s="1"/>
  <c r="AW18" i="14"/>
  <c r="AE18" i="18"/>
  <c r="BA18" i="18" s="1"/>
  <c r="BA18" i="14"/>
  <c r="AI18" i="18"/>
  <c r="BE18" i="18" s="1"/>
  <c r="BE18" i="14"/>
  <c r="AM18" i="18"/>
  <c r="BI18" i="18" s="1"/>
  <c r="BI18" i="14"/>
  <c r="AQ18" i="18"/>
  <c r="BM18" i="18" s="1"/>
  <c r="BM18" i="14"/>
  <c r="Z19" i="18"/>
  <c r="AV19" i="18" s="1"/>
  <c r="AV19" i="14"/>
  <c r="AD19" i="18"/>
  <c r="AZ19" i="18" s="1"/>
  <c r="AZ19" i="14"/>
  <c r="AH19" i="18"/>
  <c r="BD19" i="18" s="1"/>
  <c r="BD19" i="14"/>
  <c r="AL19" i="18"/>
  <c r="BH19" i="18" s="1"/>
  <c r="BH19" i="14"/>
  <c r="AP19" i="18"/>
  <c r="BL19" i="18" s="1"/>
  <c r="BL19" i="14"/>
  <c r="AC20" i="18"/>
  <c r="AY20" i="18" s="1"/>
  <c r="AY20" i="14"/>
  <c r="AG20" i="18"/>
  <c r="BC20" i="18" s="1"/>
  <c r="BC20" i="14"/>
  <c r="AK20" i="18"/>
  <c r="BG20" i="18" s="1"/>
  <c r="BG20" i="14"/>
  <c r="AO20" i="18"/>
  <c r="BK20" i="18" s="1"/>
  <c r="BK20" i="14"/>
  <c r="AS20" i="18"/>
  <c r="BO20" i="18" s="1"/>
  <c r="BO20" i="14"/>
  <c r="AB21" i="18"/>
  <c r="AX21" i="18" s="1"/>
  <c r="AX21" i="14"/>
  <c r="AF21" i="18"/>
  <c r="BB21" i="18" s="1"/>
  <c r="BB21" i="14"/>
  <c r="AJ21" i="18"/>
  <c r="BF21" i="18" s="1"/>
  <c r="BF21" i="14"/>
  <c r="AN21" i="18"/>
  <c r="BJ21" i="18" s="1"/>
  <c r="BJ21" i="14"/>
  <c r="AR21" i="18"/>
  <c r="BN21" i="18" s="1"/>
  <c r="BN21" i="14"/>
  <c r="AA22" i="18"/>
  <c r="AW22" i="18" s="1"/>
  <c r="AW22" i="14"/>
  <c r="AE22" i="18"/>
  <c r="BA22" i="18" s="1"/>
  <c r="BA22" i="14"/>
  <c r="AI22" i="18"/>
  <c r="BE22" i="18" s="1"/>
  <c r="BE22" i="14"/>
  <c r="AM22" i="18"/>
  <c r="BI22" i="18" s="1"/>
  <c r="BI22" i="14"/>
  <c r="AQ22" i="18"/>
  <c r="BM22" i="18" s="1"/>
  <c r="BM22" i="14"/>
  <c r="Z23" i="18"/>
  <c r="AV23" i="18" s="1"/>
  <c r="AV23" i="14"/>
  <c r="AD23" i="18"/>
  <c r="AZ23" i="18" s="1"/>
  <c r="AZ23" i="14"/>
  <c r="AH23" i="18"/>
  <c r="BD23" i="18" s="1"/>
  <c r="BD23" i="14"/>
  <c r="AL23" i="18"/>
  <c r="BH23" i="18" s="1"/>
  <c r="BH23" i="14"/>
  <c r="AP23" i="18"/>
  <c r="BL23" i="18" s="1"/>
  <c r="BL23" i="14"/>
  <c r="AC24" i="18"/>
  <c r="AY24" i="18" s="1"/>
  <c r="AY24" i="14"/>
  <c r="AG24" i="18"/>
  <c r="BC24" i="18" s="1"/>
  <c r="BC24" i="14"/>
  <c r="AK24" i="18"/>
  <c r="BG24" i="18" s="1"/>
  <c r="BG24" i="14"/>
  <c r="AO24" i="18"/>
  <c r="BK24" i="18" s="1"/>
  <c r="BK24" i="14"/>
  <c r="AS24" i="18"/>
  <c r="BO24" i="18" s="1"/>
  <c r="BO24" i="14"/>
  <c r="AB25" i="18"/>
  <c r="AX25" i="18" s="1"/>
  <c r="AX25" i="14"/>
  <c r="AF25" i="18"/>
  <c r="BB25" i="18" s="1"/>
  <c r="BB25" i="14"/>
  <c r="AJ25" i="18"/>
  <c r="BF25" i="18" s="1"/>
  <c r="BF25" i="14"/>
  <c r="AN25" i="18"/>
  <c r="BJ25" i="18" s="1"/>
  <c r="BJ25" i="14"/>
  <c r="AR25" i="18"/>
  <c r="BN25" i="18" s="1"/>
  <c r="BN25" i="14"/>
  <c r="AA26" i="18"/>
  <c r="AW26" i="18" s="1"/>
  <c r="AW26" i="14"/>
  <c r="AE26" i="18"/>
  <c r="BA26" i="18" s="1"/>
  <c r="BA26" i="14"/>
  <c r="AI26" i="18"/>
  <c r="BE26" i="18" s="1"/>
  <c r="BE26" i="14"/>
  <c r="AM26" i="18"/>
  <c r="BI26" i="18" s="1"/>
  <c r="BI26" i="14"/>
  <c r="AQ26" i="18"/>
  <c r="BM26" i="18" s="1"/>
  <c r="BM26" i="14"/>
  <c r="Z27" i="18"/>
  <c r="AV27" i="18" s="1"/>
  <c r="AV27" i="14"/>
  <c r="AD27" i="18"/>
  <c r="AZ27" i="18" s="1"/>
  <c r="AZ27" i="14"/>
  <c r="AH27" i="18"/>
  <c r="BD27" i="18" s="1"/>
  <c r="BD27" i="14"/>
  <c r="AL27" i="18"/>
  <c r="BH27" i="18" s="1"/>
  <c r="BH27" i="14"/>
  <c r="AP27" i="18"/>
  <c r="BL27" i="18" s="1"/>
  <c r="BL27" i="14"/>
  <c r="AC28" i="18"/>
  <c r="AY28" i="18" s="1"/>
  <c r="AY28" i="14"/>
  <c r="AG28" i="18"/>
  <c r="BC28" i="18" s="1"/>
  <c r="BC28" i="14"/>
  <c r="AK28" i="18"/>
  <c r="BG28" i="18" s="1"/>
  <c r="BG28" i="14"/>
  <c r="AO28" i="18"/>
  <c r="BK28" i="18" s="1"/>
  <c r="BK28" i="14"/>
  <c r="AS28" i="18"/>
  <c r="BO28" i="18" s="1"/>
  <c r="BO28" i="14"/>
  <c r="AB29" i="18"/>
  <c r="AX29" i="18" s="1"/>
  <c r="AX29" i="14"/>
  <c r="AF29" i="18"/>
  <c r="BB29" i="18" s="1"/>
  <c r="BB29" i="14"/>
  <c r="AJ29" i="18"/>
  <c r="BF29" i="18" s="1"/>
  <c r="BF29" i="14"/>
  <c r="AN29" i="18"/>
  <c r="BJ29" i="18" s="1"/>
  <c r="BJ29" i="14"/>
  <c r="AR29" i="18"/>
  <c r="BN29" i="18" s="1"/>
  <c r="BN29" i="14"/>
  <c r="AA30" i="18"/>
  <c r="AW30" i="18" s="1"/>
  <c r="AW30" i="14"/>
  <c r="AE30" i="18"/>
  <c r="BA30" i="18" s="1"/>
  <c r="BA30" i="14"/>
  <c r="AI30" i="18"/>
  <c r="BE30" i="18" s="1"/>
  <c r="BE30" i="14"/>
  <c r="AM30" i="18"/>
  <c r="BI30" i="18" s="1"/>
  <c r="BI30" i="14"/>
  <c r="AQ30" i="18"/>
  <c r="BM30" i="18" s="1"/>
  <c r="BM30" i="14"/>
  <c r="Z31" i="18"/>
  <c r="AV31" i="18" s="1"/>
  <c r="AV31" i="14"/>
  <c r="AD31" i="18"/>
  <c r="AZ31" i="18" s="1"/>
  <c r="AZ31" i="14"/>
  <c r="AH31" i="18"/>
  <c r="BD31" i="18" s="1"/>
  <c r="BD31" i="14"/>
  <c r="AL31" i="18"/>
  <c r="BH31" i="18" s="1"/>
  <c r="BH31" i="14"/>
  <c r="AP31" i="18"/>
  <c r="BL31" i="18" s="1"/>
  <c r="BL31" i="14"/>
  <c r="AC32" i="18"/>
  <c r="AY32" i="18" s="1"/>
  <c r="AY32" i="14"/>
  <c r="AG32" i="18"/>
  <c r="BC32" i="18" s="1"/>
  <c r="BC32" i="14"/>
  <c r="AK32" i="18"/>
  <c r="BG32" i="18" s="1"/>
  <c r="BG32" i="14"/>
  <c r="AO32" i="18"/>
  <c r="BK32" i="18" s="1"/>
  <c r="BK32" i="14"/>
  <c r="AS32" i="18"/>
  <c r="BO32" i="18" s="1"/>
  <c r="BO32" i="14"/>
  <c r="AB33" i="18"/>
  <c r="AX33" i="18" s="1"/>
  <c r="AX33" i="14"/>
  <c r="AF33" i="18"/>
  <c r="BB33" i="18" s="1"/>
  <c r="BB33" i="14"/>
  <c r="AJ33" i="18"/>
  <c r="BF33" i="18" s="1"/>
  <c r="BF33" i="14"/>
  <c r="AN33" i="18"/>
  <c r="BJ33" i="18" s="1"/>
  <c r="BJ33" i="14"/>
  <c r="AR33" i="18"/>
  <c r="BN33" i="18" s="1"/>
  <c r="BN33" i="14"/>
  <c r="AA34" i="18"/>
  <c r="AW34" i="18" s="1"/>
  <c r="AW34" i="14"/>
  <c r="AE34" i="18"/>
  <c r="BA34" i="18" s="1"/>
  <c r="BA34" i="14"/>
  <c r="AI34" i="18"/>
  <c r="BE34" i="18" s="1"/>
  <c r="BE34" i="14"/>
  <c r="AM34" i="18"/>
  <c r="BI34" i="18" s="1"/>
  <c r="BI34" i="14"/>
  <c r="AQ34" i="18"/>
  <c r="BM34" i="18" s="1"/>
  <c r="BM34" i="14"/>
  <c r="Z35" i="18"/>
  <c r="AV35" i="18" s="1"/>
  <c r="AV35" i="14"/>
  <c r="AD35" i="18"/>
  <c r="AZ35" i="18" s="1"/>
  <c r="AZ35" i="14"/>
  <c r="AH35" i="18"/>
  <c r="BD35" i="18" s="1"/>
  <c r="BD35" i="14"/>
  <c r="AL35" i="18"/>
  <c r="BH35" i="18" s="1"/>
  <c r="BH35" i="14"/>
  <c r="AP35" i="18"/>
  <c r="BL35" i="18" s="1"/>
  <c r="BL35" i="14"/>
  <c r="AC36" i="18"/>
  <c r="AY36" i="18" s="1"/>
  <c r="AY36" i="14"/>
  <c r="AG36" i="18"/>
  <c r="BC36" i="18" s="1"/>
  <c r="BC36" i="14"/>
  <c r="AK36" i="18"/>
  <c r="BG36" i="18" s="1"/>
  <c r="BG36" i="14"/>
  <c r="AO36" i="18"/>
  <c r="BK36" i="18" s="1"/>
  <c r="BK36" i="14"/>
  <c r="AS36" i="18"/>
  <c r="BO36" i="18" s="1"/>
  <c r="BO36" i="14"/>
  <c r="AB37" i="18"/>
  <c r="AX37" i="18" s="1"/>
  <c r="AX37" i="14"/>
  <c r="AF37" i="18"/>
  <c r="BB37" i="18" s="1"/>
  <c r="BB37" i="14"/>
  <c r="AJ37" i="18"/>
  <c r="BF37" i="18" s="1"/>
  <c r="BF37" i="14"/>
  <c r="AN37" i="18"/>
  <c r="BJ37" i="18" s="1"/>
  <c r="BJ37" i="14"/>
  <c r="AR37" i="18"/>
  <c r="BN37" i="18" s="1"/>
  <c r="BN37" i="14"/>
  <c r="AA38" i="18"/>
  <c r="AW38" i="18" s="1"/>
  <c r="AW38" i="14"/>
  <c r="AE38" i="18"/>
  <c r="BA38" i="18" s="1"/>
  <c r="BA38" i="14"/>
  <c r="AI38" i="18"/>
  <c r="BE38" i="18" s="1"/>
  <c r="BE38" i="14"/>
  <c r="AM38" i="18"/>
  <c r="BI38" i="18" s="1"/>
  <c r="BI38" i="14"/>
  <c r="AQ38" i="18"/>
  <c r="BM38" i="18" s="1"/>
  <c r="BM38" i="14"/>
  <c r="Z39" i="18"/>
  <c r="AV39" i="18" s="1"/>
  <c r="AV39" i="14"/>
  <c r="AD39" i="18"/>
  <c r="AZ39" i="18" s="1"/>
  <c r="AZ39" i="14"/>
  <c r="AH39" i="18"/>
  <c r="BD39" i="18" s="1"/>
  <c r="BD39" i="14"/>
  <c r="AL39" i="18"/>
  <c r="BH39" i="18" s="1"/>
  <c r="BH39" i="14"/>
  <c r="AP39" i="18"/>
  <c r="BL39" i="18" s="1"/>
  <c r="BL39" i="14"/>
  <c r="AC40" i="18"/>
  <c r="AY40" i="18" s="1"/>
  <c r="AY40" i="14"/>
  <c r="AG40" i="18"/>
  <c r="BC40" i="18" s="1"/>
  <c r="BC40" i="14"/>
  <c r="AK40" i="18"/>
  <c r="BG40" i="18" s="1"/>
  <c r="BG40" i="14"/>
  <c r="AO40" i="18"/>
  <c r="BK40" i="18" s="1"/>
  <c r="BK40" i="14"/>
  <c r="AS40" i="18"/>
  <c r="BO40" i="18" s="1"/>
  <c r="BO40" i="14"/>
  <c r="AB41" i="18"/>
  <c r="AX41" i="18" s="1"/>
  <c r="AX41" i="14"/>
  <c r="AF41" i="18"/>
  <c r="BB41" i="18" s="1"/>
  <c r="BB41" i="14"/>
  <c r="AJ41" i="18"/>
  <c r="BF41" i="18" s="1"/>
  <c r="BF41" i="14"/>
  <c r="AN41" i="18"/>
  <c r="BJ41" i="18" s="1"/>
  <c r="BJ41" i="14"/>
  <c r="AR41" i="18"/>
  <c r="BN41" i="18" s="1"/>
  <c r="BN41" i="14"/>
  <c r="AA42" i="18"/>
  <c r="AW42" i="18" s="1"/>
  <c r="AW42" i="14"/>
  <c r="AE42" i="18"/>
  <c r="BA42" i="18" s="1"/>
  <c r="BA42" i="14"/>
  <c r="AI42" i="18"/>
  <c r="BE42" i="18" s="1"/>
  <c r="BE42" i="14"/>
  <c r="AM42" i="18"/>
  <c r="BI42" i="18" s="1"/>
  <c r="BI42" i="14"/>
  <c r="AQ42" i="18"/>
  <c r="BM42" i="18" s="1"/>
  <c r="BM42" i="14"/>
  <c r="Z43" i="18"/>
  <c r="AV43" i="18" s="1"/>
  <c r="AV43" i="14"/>
  <c r="AD43" i="18"/>
  <c r="AZ43" i="18" s="1"/>
  <c r="AZ43" i="14"/>
  <c r="AH43" i="18"/>
  <c r="BD43" i="18" s="1"/>
  <c r="BD43" i="14"/>
  <c r="AL43" i="18"/>
  <c r="BH43" i="18" s="1"/>
  <c r="BH43" i="14"/>
  <c r="AP43" i="18"/>
  <c r="BL43" i="18" s="1"/>
  <c r="BL43" i="14"/>
  <c r="AC44" i="18"/>
  <c r="AY44" i="18" s="1"/>
  <c r="AY44" i="14"/>
  <c r="AG44" i="18"/>
  <c r="BC44" i="18" s="1"/>
  <c r="BC44" i="14"/>
  <c r="AK44" i="18"/>
  <c r="BG44" i="18" s="1"/>
  <c r="BG44" i="14"/>
  <c r="AO44" i="18"/>
  <c r="BK44" i="18" s="1"/>
  <c r="BK44" i="14"/>
  <c r="AS44" i="18"/>
  <c r="BO44" i="18" s="1"/>
  <c r="BO44" i="14"/>
  <c r="AB45" i="18"/>
  <c r="AX45" i="18" s="1"/>
  <c r="AX45" i="14"/>
  <c r="AF45" i="18"/>
  <c r="BB45" i="18" s="1"/>
  <c r="BB45" i="14"/>
  <c r="AJ45" i="18"/>
  <c r="BF45" i="18" s="1"/>
  <c r="BF45" i="14"/>
  <c r="AN45" i="18"/>
  <c r="BJ45" i="18" s="1"/>
  <c r="BJ45" i="14"/>
  <c r="AR45" i="18"/>
  <c r="BN45" i="18" s="1"/>
  <c r="BN45" i="14"/>
  <c r="AA46" i="18"/>
  <c r="AW46" i="18" s="1"/>
  <c r="AW46" i="14"/>
  <c r="AE46" i="18"/>
  <c r="BA46" i="18" s="1"/>
  <c r="BA46" i="14"/>
  <c r="AI46" i="18"/>
  <c r="BE46" i="18" s="1"/>
  <c r="BE46" i="14"/>
  <c r="AM46" i="18"/>
  <c r="BI46" i="18" s="1"/>
  <c r="BI46" i="14"/>
  <c r="AQ46" i="18"/>
  <c r="BM46" i="18" s="1"/>
  <c r="BM46" i="14"/>
  <c r="Z47" i="18"/>
  <c r="AV47" i="18" s="1"/>
  <c r="AV47" i="14"/>
  <c r="AD47" i="18"/>
  <c r="AZ47" i="18" s="1"/>
  <c r="AZ47" i="14"/>
  <c r="AH47" i="18"/>
  <c r="BD47" i="18" s="1"/>
  <c r="BD47" i="14"/>
  <c r="AL47" i="18"/>
  <c r="BH47" i="18" s="1"/>
  <c r="BH47" i="14"/>
  <c r="AP47" i="18"/>
  <c r="BL47" i="18" s="1"/>
  <c r="BL47" i="14"/>
  <c r="AC48" i="18"/>
  <c r="AY48" i="18" s="1"/>
  <c r="AY48" i="14"/>
  <c r="AG48" i="18"/>
  <c r="BC48" i="18" s="1"/>
  <c r="BC48" i="14"/>
  <c r="AK48" i="18"/>
  <c r="BG48" i="18" s="1"/>
  <c r="BG48" i="14"/>
  <c r="AO48" i="18"/>
  <c r="BK48" i="18" s="1"/>
  <c r="BK48" i="14"/>
  <c r="AS48" i="18"/>
  <c r="BO48" i="18" s="1"/>
  <c r="BO48" i="14"/>
  <c r="AB49" i="18"/>
  <c r="AX49" i="18" s="1"/>
  <c r="AX49" i="14"/>
  <c r="AF49" i="18"/>
  <c r="BB49" i="18" s="1"/>
  <c r="BB49" i="14"/>
  <c r="AJ49" i="18"/>
  <c r="BF49" i="18" s="1"/>
  <c r="BF49" i="14"/>
  <c r="AN49" i="18"/>
  <c r="BJ49" i="18" s="1"/>
  <c r="BJ49" i="14"/>
  <c r="AR49" i="18"/>
  <c r="BN49" i="18" s="1"/>
  <c r="BN49" i="14"/>
  <c r="AA50" i="18"/>
  <c r="AW50" i="18" s="1"/>
  <c r="AW50" i="14"/>
  <c r="AE50" i="18"/>
  <c r="BA50" i="18" s="1"/>
  <c r="BA50" i="14"/>
  <c r="AI50" i="18"/>
  <c r="BE50" i="18" s="1"/>
  <c r="BE50" i="14"/>
  <c r="AM50" i="18"/>
  <c r="BI50" i="18" s="1"/>
  <c r="BI50" i="14"/>
  <c r="AQ50" i="18"/>
  <c r="BM50" i="18" s="1"/>
  <c r="BM50" i="14"/>
  <c r="Z51" i="18"/>
  <c r="AV51" i="18" s="1"/>
  <c r="AV51" i="14"/>
  <c r="AD51" i="18"/>
  <c r="AZ51" i="18" s="1"/>
  <c r="AZ51" i="14"/>
  <c r="AH51" i="18"/>
  <c r="BD51" i="18" s="1"/>
  <c r="BD51" i="14"/>
  <c r="AL51" i="18"/>
  <c r="BH51" i="18" s="1"/>
  <c r="BH51" i="14"/>
  <c r="AP51" i="18"/>
  <c r="BL51" i="18" s="1"/>
  <c r="BL51" i="14"/>
  <c r="AC52" i="18"/>
  <c r="AY52" i="18" s="1"/>
  <c r="AY52" i="14"/>
  <c r="AG52" i="18"/>
  <c r="BC52" i="18" s="1"/>
  <c r="BC52" i="14"/>
  <c r="AK52" i="18"/>
  <c r="BG52" i="18" s="1"/>
  <c r="BG52" i="14"/>
  <c r="AO52" i="18"/>
  <c r="BK52" i="18" s="1"/>
  <c r="BK52" i="14"/>
  <c r="AS52" i="18"/>
  <c r="BO52" i="18" s="1"/>
  <c r="BO52" i="14"/>
  <c r="AE7" i="18"/>
  <c r="BA7" i="18" s="1"/>
  <c r="BA7" i="14"/>
  <c r="AQ7" i="18"/>
  <c r="BM7" i="18" s="1"/>
  <c r="BM7" i="14"/>
  <c r="AH8" i="18"/>
  <c r="BD8" i="18" s="1"/>
  <c r="BD8" i="14"/>
  <c r="AG9" i="18"/>
  <c r="BC9" i="18" s="1"/>
  <c r="BC9" i="14"/>
  <c r="AO9" i="18"/>
  <c r="BK9" i="18" s="1"/>
  <c r="BK9" i="14"/>
  <c r="AS9" i="18"/>
  <c r="BO9" i="18" s="1"/>
  <c r="BO9" i="14"/>
  <c r="AF10" i="18"/>
  <c r="BB10" i="18" s="1"/>
  <c r="BB10" i="14"/>
  <c r="AN10" i="18"/>
  <c r="BJ10" i="18" s="1"/>
  <c r="BJ10" i="14"/>
  <c r="AA11" i="18"/>
  <c r="AW11" i="18" s="1"/>
  <c r="AW11" i="14"/>
  <c r="AE11" i="18"/>
  <c r="BA11" i="18" s="1"/>
  <c r="BA11" i="14"/>
  <c r="AM11" i="18"/>
  <c r="BI11" i="18" s="1"/>
  <c r="BI11" i="14"/>
  <c r="AQ11" i="18"/>
  <c r="BM11" i="18" s="1"/>
  <c r="BM11" i="14"/>
  <c r="Z12" i="18"/>
  <c r="AV12" i="18" s="1"/>
  <c r="AV12" i="14"/>
  <c r="AD12" i="18"/>
  <c r="AZ12" i="18" s="1"/>
  <c r="AZ12" i="14"/>
  <c r="AH12" i="18"/>
  <c r="BD12" i="18" s="1"/>
  <c r="BD12" i="14"/>
  <c r="AL12" i="18"/>
  <c r="BH12" i="18" s="1"/>
  <c r="BH12" i="14"/>
  <c r="AP12" i="18"/>
  <c r="BL12" i="18" s="1"/>
  <c r="BL12" i="14"/>
  <c r="AC13" i="18"/>
  <c r="AY13" i="18" s="1"/>
  <c r="AY13" i="14"/>
  <c r="AG13" i="18"/>
  <c r="BC13" i="18" s="1"/>
  <c r="BC13" i="14"/>
  <c r="AK13" i="18"/>
  <c r="BG13" i="18" s="1"/>
  <c r="BG13" i="14"/>
  <c r="AO13" i="18"/>
  <c r="BK13" i="18" s="1"/>
  <c r="BK13" i="14"/>
  <c r="AS13" i="18"/>
  <c r="BO13" i="18" s="1"/>
  <c r="BO13" i="14"/>
  <c r="AB14" i="18"/>
  <c r="AX14" i="18" s="1"/>
  <c r="AX14" i="14"/>
  <c r="AF14" i="18"/>
  <c r="BB14" i="18" s="1"/>
  <c r="BB14" i="14"/>
  <c r="AJ14" i="18"/>
  <c r="BF14" i="18" s="1"/>
  <c r="BF14" i="14"/>
  <c r="AN14" i="18"/>
  <c r="BJ14" i="18" s="1"/>
  <c r="BJ14" i="14"/>
  <c r="AR14" i="18"/>
  <c r="BN14" i="18" s="1"/>
  <c r="BN14" i="14"/>
  <c r="AA15" i="18"/>
  <c r="AW15" i="18" s="1"/>
  <c r="AW15" i="14"/>
  <c r="AE15" i="18"/>
  <c r="BA15" i="18" s="1"/>
  <c r="BA15" i="14"/>
  <c r="AI15" i="18"/>
  <c r="BE15" i="18" s="1"/>
  <c r="BE15" i="14"/>
  <c r="AM15" i="18"/>
  <c r="BI15" i="18" s="1"/>
  <c r="BI15" i="14"/>
  <c r="AQ15" i="18"/>
  <c r="BM15" i="18" s="1"/>
  <c r="BM15" i="14"/>
  <c r="Z16" i="18"/>
  <c r="AV16" i="18" s="1"/>
  <c r="AV16" i="14"/>
  <c r="AD16" i="18"/>
  <c r="AZ16" i="18" s="1"/>
  <c r="AZ16" i="14"/>
  <c r="AH16" i="18"/>
  <c r="BD16" i="18" s="1"/>
  <c r="BD16" i="14"/>
  <c r="AL16" i="18"/>
  <c r="BH16" i="18" s="1"/>
  <c r="BH16" i="14"/>
  <c r="AP16" i="18"/>
  <c r="BL16" i="18" s="1"/>
  <c r="BL16" i="14"/>
  <c r="AC17" i="18"/>
  <c r="AY17" i="18" s="1"/>
  <c r="AY17" i="14"/>
  <c r="AG17" i="18"/>
  <c r="BC17" i="18" s="1"/>
  <c r="BC17" i="14"/>
  <c r="AK17" i="18"/>
  <c r="BG17" i="18" s="1"/>
  <c r="BG17" i="14"/>
  <c r="AO17" i="18"/>
  <c r="BK17" i="18" s="1"/>
  <c r="BK17" i="14"/>
  <c r="AS17" i="18"/>
  <c r="BO17" i="18" s="1"/>
  <c r="BO17" i="14"/>
  <c r="AB18" i="18"/>
  <c r="AX18" i="18" s="1"/>
  <c r="AX18" i="14"/>
  <c r="AF18" i="18"/>
  <c r="BB18" i="18" s="1"/>
  <c r="BB18" i="14"/>
  <c r="AJ18" i="18"/>
  <c r="BF18" i="18" s="1"/>
  <c r="BF18" i="14"/>
  <c r="AN18" i="18"/>
  <c r="BJ18" i="18" s="1"/>
  <c r="BJ18" i="14"/>
  <c r="AR18" i="18"/>
  <c r="BN18" i="18" s="1"/>
  <c r="BN18" i="14"/>
  <c r="AA19" i="18"/>
  <c r="AW19" i="18" s="1"/>
  <c r="AW19" i="14"/>
  <c r="AE19" i="18"/>
  <c r="BA19" i="18" s="1"/>
  <c r="BA19" i="14"/>
  <c r="AI19" i="18"/>
  <c r="BE19" i="18" s="1"/>
  <c r="BE19" i="14"/>
  <c r="AM19" i="18"/>
  <c r="BI19" i="18" s="1"/>
  <c r="BI19" i="14"/>
  <c r="AQ19" i="18"/>
  <c r="BM19" i="18" s="1"/>
  <c r="BM19" i="14"/>
  <c r="Z20" i="18"/>
  <c r="AV20" i="18" s="1"/>
  <c r="AV20" i="14"/>
  <c r="AD20" i="18"/>
  <c r="AZ20" i="18" s="1"/>
  <c r="AZ20" i="14"/>
  <c r="AH20" i="18"/>
  <c r="BD20" i="18" s="1"/>
  <c r="BD20" i="14"/>
  <c r="AL20" i="18"/>
  <c r="BH20" i="18" s="1"/>
  <c r="BH20" i="14"/>
  <c r="AP20" i="18"/>
  <c r="BL20" i="18" s="1"/>
  <c r="BL20" i="14"/>
  <c r="AC21" i="18"/>
  <c r="AY21" i="18" s="1"/>
  <c r="AY21" i="14"/>
  <c r="AG21" i="18"/>
  <c r="BC21" i="18" s="1"/>
  <c r="BC21" i="14"/>
  <c r="AK21" i="18"/>
  <c r="BG21" i="18" s="1"/>
  <c r="BG21" i="14"/>
  <c r="AO21" i="18"/>
  <c r="BK21" i="18" s="1"/>
  <c r="BK21" i="14"/>
  <c r="AS21" i="18"/>
  <c r="BO21" i="18" s="1"/>
  <c r="BO21" i="14"/>
  <c r="AB22" i="18"/>
  <c r="AX22" i="18" s="1"/>
  <c r="AX22" i="14"/>
  <c r="AF22" i="18"/>
  <c r="BB22" i="18" s="1"/>
  <c r="BB22" i="14"/>
  <c r="AJ22" i="18"/>
  <c r="BF22" i="18" s="1"/>
  <c r="BF22" i="14"/>
  <c r="AN22" i="18"/>
  <c r="BJ22" i="18" s="1"/>
  <c r="BJ22" i="14"/>
  <c r="AR22" i="18"/>
  <c r="BN22" i="18" s="1"/>
  <c r="BN22" i="14"/>
  <c r="AA23" i="18"/>
  <c r="AW23" i="18" s="1"/>
  <c r="AW23" i="14"/>
  <c r="AE23" i="18"/>
  <c r="BA23" i="18" s="1"/>
  <c r="BA23" i="14"/>
  <c r="AI23" i="18"/>
  <c r="BE23" i="18" s="1"/>
  <c r="BE23" i="14"/>
  <c r="AM23" i="18"/>
  <c r="BI23" i="18" s="1"/>
  <c r="BI23" i="14"/>
  <c r="AQ23" i="18"/>
  <c r="BM23" i="18" s="1"/>
  <c r="BM23" i="14"/>
  <c r="Z24" i="18"/>
  <c r="AV24" i="18" s="1"/>
  <c r="AV24" i="14"/>
  <c r="AD24" i="18"/>
  <c r="AZ24" i="18" s="1"/>
  <c r="AZ24" i="14"/>
  <c r="AH24" i="18"/>
  <c r="BD24" i="18" s="1"/>
  <c r="BD24" i="14"/>
  <c r="AL24" i="18"/>
  <c r="BH24" i="18" s="1"/>
  <c r="BH24" i="14"/>
  <c r="AP24" i="18"/>
  <c r="BL24" i="18" s="1"/>
  <c r="BL24" i="14"/>
  <c r="AC25" i="18"/>
  <c r="AY25" i="18" s="1"/>
  <c r="AY25" i="14"/>
  <c r="AG25" i="18"/>
  <c r="BC25" i="18" s="1"/>
  <c r="BC25" i="14"/>
  <c r="AK25" i="18"/>
  <c r="BG25" i="18" s="1"/>
  <c r="BG25" i="14"/>
  <c r="AO25" i="18"/>
  <c r="BK25" i="18" s="1"/>
  <c r="BK25" i="14"/>
  <c r="AS25" i="18"/>
  <c r="BO25" i="18" s="1"/>
  <c r="BO25" i="14"/>
  <c r="AB26" i="18"/>
  <c r="AX26" i="18" s="1"/>
  <c r="AX26" i="14"/>
  <c r="AF26" i="18"/>
  <c r="BB26" i="18" s="1"/>
  <c r="BB26" i="14"/>
  <c r="AJ26" i="18"/>
  <c r="BF26" i="18" s="1"/>
  <c r="BF26" i="14"/>
  <c r="AN26" i="18"/>
  <c r="BJ26" i="18" s="1"/>
  <c r="BJ26" i="14"/>
  <c r="AR26" i="18"/>
  <c r="BN26" i="18" s="1"/>
  <c r="BN26" i="14"/>
  <c r="AA27" i="18"/>
  <c r="AW27" i="18" s="1"/>
  <c r="AW27" i="14"/>
  <c r="AE27" i="18"/>
  <c r="BA27" i="18" s="1"/>
  <c r="BA27" i="14"/>
  <c r="AI27" i="18"/>
  <c r="BE27" i="18" s="1"/>
  <c r="BE27" i="14"/>
  <c r="AM27" i="18"/>
  <c r="BI27" i="18" s="1"/>
  <c r="BI27" i="14"/>
  <c r="AQ27" i="18"/>
  <c r="BM27" i="18" s="1"/>
  <c r="BM27" i="14"/>
  <c r="Z28" i="18"/>
  <c r="AV28" i="18" s="1"/>
  <c r="AV28" i="14"/>
  <c r="AD28" i="18"/>
  <c r="AZ28" i="18" s="1"/>
  <c r="AZ28" i="14"/>
  <c r="AH28" i="18"/>
  <c r="BD28" i="18" s="1"/>
  <c r="BD28" i="14"/>
  <c r="AL28" i="18"/>
  <c r="BH28" i="18" s="1"/>
  <c r="BH28" i="14"/>
  <c r="AP28" i="18"/>
  <c r="BL28" i="18" s="1"/>
  <c r="BL28" i="14"/>
  <c r="AC29" i="18"/>
  <c r="AY29" i="18" s="1"/>
  <c r="AY29" i="14"/>
  <c r="AG29" i="18"/>
  <c r="BC29" i="18" s="1"/>
  <c r="BC29" i="14"/>
  <c r="AK29" i="18"/>
  <c r="BG29" i="18" s="1"/>
  <c r="BG29" i="14"/>
  <c r="AO29" i="18"/>
  <c r="BK29" i="18" s="1"/>
  <c r="BK29" i="14"/>
  <c r="AS29" i="18"/>
  <c r="BO29" i="18" s="1"/>
  <c r="BO29" i="14"/>
  <c r="AB30" i="18"/>
  <c r="AX30" i="18" s="1"/>
  <c r="AX30" i="14"/>
  <c r="AF30" i="18"/>
  <c r="BB30" i="18" s="1"/>
  <c r="BB30" i="14"/>
  <c r="AJ30" i="18"/>
  <c r="BF30" i="18" s="1"/>
  <c r="BF30" i="14"/>
  <c r="AN30" i="18"/>
  <c r="BJ30" i="18" s="1"/>
  <c r="BJ30" i="14"/>
  <c r="AR30" i="18"/>
  <c r="BN30" i="18" s="1"/>
  <c r="BN30" i="14"/>
  <c r="AA31" i="18"/>
  <c r="AW31" i="18" s="1"/>
  <c r="AW31" i="14"/>
  <c r="AE31" i="18"/>
  <c r="BA31" i="18" s="1"/>
  <c r="BA31" i="14"/>
  <c r="AI31" i="18"/>
  <c r="BE31" i="18" s="1"/>
  <c r="BE31" i="14"/>
  <c r="AM31" i="18"/>
  <c r="BI31" i="18" s="1"/>
  <c r="BI31" i="14"/>
  <c r="AQ31" i="18"/>
  <c r="BM31" i="18" s="1"/>
  <c r="BM31" i="14"/>
  <c r="Z32" i="18"/>
  <c r="AV32" i="18" s="1"/>
  <c r="AV32" i="14"/>
  <c r="AD32" i="18"/>
  <c r="AZ32" i="18" s="1"/>
  <c r="AZ32" i="14"/>
  <c r="AH32" i="18"/>
  <c r="BD32" i="18" s="1"/>
  <c r="BD32" i="14"/>
  <c r="AL32" i="18"/>
  <c r="BH32" i="18" s="1"/>
  <c r="BH32" i="14"/>
  <c r="AP32" i="18"/>
  <c r="BL32" i="18" s="1"/>
  <c r="BL32" i="14"/>
  <c r="AC33" i="18"/>
  <c r="AY33" i="18" s="1"/>
  <c r="AY33" i="14"/>
  <c r="AG33" i="18"/>
  <c r="BC33" i="18" s="1"/>
  <c r="BC33" i="14"/>
  <c r="AK33" i="18"/>
  <c r="BG33" i="18" s="1"/>
  <c r="BG33" i="14"/>
  <c r="AO33" i="18"/>
  <c r="BK33" i="18" s="1"/>
  <c r="BK33" i="14"/>
  <c r="AS33" i="18"/>
  <c r="BO33" i="18" s="1"/>
  <c r="BO33" i="14"/>
  <c r="AB34" i="18"/>
  <c r="AX34" i="18" s="1"/>
  <c r="AX34" i="14"/>
  <c r="AF34" i="18"/>
  <c r="BB34" i="18" s="1"/>
  <c r="BB34" i="14"/>
  <c r="AJ34" i="18"/>
  <c r="BF34" i="18" s="1"/>
  <c r="BF34" i="14"/>
  <c r="AN34" i="18"/>
  <c r="BJ34" i="18" s="1"/>
  <c r="BJ34" i="14"/>
  <c r="AR34" i="18"/>
  <c r="BN34" i="18" s="1"/>
  <c r="BN34" i="14"/>
  <c r="AA35" i="18"/>
  <c r="AW35" i="18" s="1"/>
  <c r="AW35" i="14"/>
  <c r="AE35" i="18"/>
  <c r="BA35" i="18" s="1"/>
  <c r="BA35" i="14"/>
  <c r="AI35" i="18"/>
  <c r="BE35" i="18" s="1"/>
  <c r="BE35" i="14"/>
  <c r="AM35" i="18"/>
  <c r="BI35" i="18" s="1"/>
  <c r="BI35" i="14"/>
  <c r="AQ35" i="18"/>
  <c r="BM35" i="18" s="1"/>
  <c r="BM35" i="14"/>
  <c r="Z36" i="18"/>
  <c r="AV36" i="18" s="1"/>
  <c r="AV36" i="14"/>
  <c r="AD36" i="18"/>
  <c r="AZ36" i="18" s="1"/>
  <c r="AZ36" i="14"/>
  <c r="AH36" i="18"/>
  <c r="BD36" i="18" s="1"/>
  <c r="BD36" i="14"/>
  <c r="AL36" i="18"/>
  <c r="BH36" i="18" s="1"/>
  <c r="BH36" i="14"/>
  <c r="AP36" i="18"/>
  <c r="BL36" i="18" s="1"/>
  <c r="BL36" i="14"/>
  <c r="AC37" i="18"/>
  <c r="AY37" i="18" s="1"/>
  <c r="AY37" i="14"/>
  <c r="AG37" i="18"/>
  <c r="BC37" i="18" s="1"/>
  <c r="BC37" i="14"/>
  <c r="AK37" i="18"/>
  <c r="BG37" i="18" s="1"/>
  <c r="BG37" i="14"/>
  <c r="AO37" i="18"/>
  <c r="BK37" i="18" s="1"/>
  <c r="BK37" i="14"/>
  <c r="AS37" i="18"/>
  <c r="BO37" i="18" s="1"/>
  <c r="BO37" i="14"/>
  <c r="AB38" i="18"/>
  <c r="AX38" i="18" s="1"/>
  <c r="AX38" i="14"/>
  <c r="AF38" i="18"/>
  <c r="BB38" i="18" s="1"/>
  <c r="BB38" i="14"/>
  <c r="AJ38" i="18"/>
  <c r="BF38" i="18" s="1"/>
  <c r="BF38" i="14"/>
  <c r="AN38" i="18"/>
  <c r="BJ38" i="18" s="1"/>
  <c r="BJ38" i="14"/>
  <c r="AR38" i="18"/>
  <c r="BN38" i="18" s="1"/>
  <c r="BN38" i="14"/>
  <c r="AA39" i="18"/>
  <c r="AW39" i="18" s="1"/>
  <c r="AW39" i="14"/>
  <c r="AE39" i="18"/>
  <c r="BA39" i="18" s="1"/>
  <c r="BA39" i="14"/>
  <c r="AI39" i="18"/>
  <c r="BE39" i="18" s="1"/>
  <c r="BE39" i="14"/>
  <c r="AM39" i="18"/>
  <c r="BI39" i="18" s="1"/>
  <c r="BI39" i="14"/>
  <c r="AQ39" i="18"/>
  <c r="BM39" i="18" s="1"/>
  <c r="BM39" i="14"/>
  <c r="Z40" i="18"/>
  <c r="AV40" i="18" s="1"/>
  <c r="AV40" i="14"/>
  <c r="AD40" i="18"/>
  <c r="AZ40" i="18" s="1"/>
  <c r="AZ40" i="14"/>
  <c r="AH40" i="18"/>
  <c r="BD40" i="18" s="1"/>
  <c r="BD40" i="14"/>
  <c r="AL40" i="18"/>
  <c r="BH40" i="18" s="1"/>
  <c r="BH40" i="14"/>
  <c r="AP40" i="18"/>
  <c r="BL40" i="18" s="1"/>
  <c r="BL40" i="14"/>
  <c r="AC41" i="18"/>
  <c r="AY41" i="18" s="1"/>
  <c r="AY41" i="14"/>
  <c r="AG41" i="18"/>
  <c r="BC41" i="18" s="1"/>
  <c r="BC41" i="14"/>
  <c r="AK41" i="18"/>
  <c r="BG41" i="18" s="1"/>
  <c r="BG41" i="14"/>
  <c r="AO41" i="18"/>
  <c r="BK41" i="18" s="1"/>
  <c r="BK41" i="14"/>
  <c r="AS41" i="18"/>
  <c r="BO41" i="18" s="1"/>
  <c r="BO41" i="14"/>
  <c r="AB42" i="18"/>
  <c r="AX42" i="18" s="1"/>
  <c r="AX42" i="14"/>
  <c r="AF42" i="18"/>
  <c r="BB42" i="18" s="1"/>
  <c r="BB42" i="14"/>
  <c r="AJ42" i="18"/>
  <c r="BF42" i="18" s="1"/>
  <c r="BF42" i="14"/>
  <c r="AN42" i="18"/>
  <c r="BJ42" i="18" s="1"/>
  <c r="BJ42" i="14"/>
  <c r="AR42" i="18"/>
  <c r="BN42" i="18" s="1"/>
  <c r="BN42" i="14"/>
  <c r="AA43" i="18"/>
  <c r="AW43" i="18" s="1"/>
  <c r="AW43" i="14"/>
  <c r="AE43" i="18"/>
  <c r="BA43" i="18" s="1"/>
  <c r="BA43" i="14"/>
  <c r="AI43" i="18"/>
  <c r="BE43" i="18" s="1"/>
  <c r="BE43" i="14"/>
  <c r="AM43" i="18"/>
  <c r="BI43" i="18" s="1"/>
  <c r="BI43" i="14"/>
  <c r="AQ43" i="18"/>
  <c r="BM43" i="18" s="1"/>
  <c r="BM43" i="14"/>
  <c r="Z44" i="18"/>
  <c r="AV44" i="18" s="1"/>
  <c r="AV44" i="14"/>
  <c r="AD44" i="18"/>
  <c r="AZ44" i="18" s="1"/>
  <c r="AZ44" i="14"/>
  <c r="AH44" i="18"/>
  <c r="BD44" i="18" s="1"/>
  <c r="BD44" i="14"/>
  <c r="AL44" i="18"/>
  <c r="BH44" i="18" s="1"/>
  <c r="BH44" i="14"/>
  <c r="AP44" i="18"/>
  <c r="BL44" i="18" s="1"/>
  <c r="BL44" i="14"/>
  <c r="AC45" i="18"/>
  <c r="AY45" i="18" s="1"/>
  <c r="AY45" i="14"/>
  <c r="AG45" i="18"/>
  <c r="BC45" i="18" s="1"/>
  <c r="BC45" i="14"/>
  <c r="AK45" i="18"/>
  <c r="BG45" i="18" s="1"/>
  <c r="BG45" i="14"/>
  <c r="AO45" i="18"/>
  <c r="BK45" i="18" s="1"/>
  <c r="BK45" i="14"/>
  <c r="AS45" i="18"/>
  <c r="BO45" i="18" s="1"/>
  <c r="BO45" i="14"/>
  <c r="AB46" i="18"/>
  <c r="AX46" i="18" s="1"/>
  <c r="AX46" i="14"/>
  <c r="AF46" i="18"/>
  <c r="BB46" i="18" s="1"/>
  <c r="BB46" i="14"/>
  <c r="AJ46" i="18"/>
  <c r="BF46" i="18" s="1"/>
  <c r="BF46" i="14"/>
  <c r="AN46" i="18"/>
  <c r="BJ46" i="18" s="1"/>
  <c r="BJ46" i="14"/>
  <c r="AR46" i="18"/>
  <c r="BN46" i="18" s="1"/>
  <c r="BN46" i="14"/>
  <c r="AA47" i="18"/>
  <c r="AW47" i="18" s="1"/>
  <c r="AW47" i="14"/>
  <c r="AE47" i="18"/>
  <c r="BA47" i="18" s="1"/>
  <c r="BA47" i="14"/>
  <c r="AI47" i="18"/>
  <c r="BE47" i="18" s="1"/>
  <c r="BE47" i="14"/>
  <c r="AM47" i="18"/>
  <c r="BI47" i="18" s="1"/>
  <c r="BI47" i="14"/>
  <c r="AQ47" i="18"/>
  <c r="BM47" i="18" s="1"/>
  <c r="BM47" i="14"/>
  <c r="Z48" i="18"/>
  <c r="AV48" i="18" s="1"/>
  <c r="AV48" i="14"/>
  <c r="AD48" i="18"/>
  <c r="AZ48" i="18" s="1"/>
  <c r="AZ48" i="14"/>
  <c r="AH48" i="18"/>
  <c r="BD48" i="18" s="1"/>
  <c r="BD48" i="14"/>
  <c r="AL48" i="18"/>
  <c r="BH48" i="18" s="1"/>
  <c r="BH48" i="14"/>
  <c r="AP48" i="18"/>
  <c r="BL48" i="18" s="1"/>
  <c r="BL48" i="14"/>
  <c r="AC49" i="18"/>
  <c r="AY49" i="18" s="1"/>
  <c r="AY49" i="14"/>
  <c r="AG49" i="18"/>
  <c r="BC49" i="18" s="1"/>
  <c r="BC49" i="14"/>
  <c r="AK49" i="18"/>
  <c r="BG49" i="18" s="1"/>
  <c r="BG49" i="14"/>
  <c r="AO49" i="18"/>
  <c r="BK49" i="18" s="1"/>
  <c r="BK49" i="14"/>
  <c r="AS49" i="18"/>
  <c r="BO49" i="18" s="1"/>
  <c r="BO49" i="14"/>
  <c r="AB50" i="18"/>
  <c r="AX50" i="18" s="1"/>
  <c r="AX50" i="14"/>
  <c r="AF50" i="18"/>
  <c r="BB50" i="18" s="1"/>
  <c r="BB50" i="14"/>
  <c r="AJ50" i="18"/>
  <c r="BF50" i="18" s="1"/>
  <c r="BF50" i="14"/>
  <c r="AN50" i="18"/>
  <c r="BJ50" i="18" s="1"/>
  <c r="BJ50" i="14"/>
  <c r="AR50" i="18"/>
  <c r="BN50" i="18" s="1"/>
  <c r="BN50" i="14"/>
  <c r="AA51" i="18"/>
  <c r="AW51" i="18" s="1"/>
  <c r="AW51" i="14"/>
  <c r="AE51" i="18"/>
  <c r="BA51" i="18" s="1"/>
  <c r="BA51" i="14"/>
  <c r="AI51" i="18"/>
  <c r="BE51" i="18" s="1"/>
  <c r="BE51" i="14"/>
  <c r="AM51" i="18"/>
  <c r="BI51" i="18" s="1"/>
  <c r="BI51" i="14"/>
  <c r="AQ51" i="18"/>
  <c r="BM51" i="18" s="1"/>
  <c r="BM51" i="14"/>
  <c r="Z52" i="18"/>
  <c r="AV52" i="18" s="1"/>
  <c r="AV52" i="14"/>
  <c r="AD52" i="18"/>
  <c r="AZ52" i="18" s="1"/>
  <c r="AZ52" i="14"/>
  <c r="AH52" i="18"/>
  <c r="BD52" i="18" s="1"/>
  <c r="BD52" i="14"/>
  <c r="AL52" i="18"/>
  <c r="BH52" i="18" s="1"/>
  <c r="BH52" i="14"/>
  <c r="AP52" i="18"/>
  <c r="BL52" i="18" s="1"/>
  <c r="BL52" i="14"/>
  <c r="AB7" i="18"/>
  <c r="AX7" i="18" s="1"/>
  <c r="AX7" i="14"/>
  <c r="AF7" i="18"/>
  <c r="BB7" i="18" s="1"/>
  <c r="BB7" i="14"/>
  <c r="AJ7" i="18"/>
  <c r="BF7" i="18" s="1"/>
  <c r="BF7" i="14"/>
  <c r="AN7" i="18"/>
  <c r="BJ7" i="18" s="1"/>
  <c r="BJ7" i="14"/>
  <c r="AR7" i="18"/>
  <c r="BN7" i="18" s="1"/>
  <c r="BN7" i="14"/>
  <c r="AA8" i="18"/>
  <c r="AW8" i="18" s="1"/>
  <c r="AW8" i="14"/>
  <c r="AE8" i="18"/>
  <c r="BA8" i="18" s="1"/>
  <c r="BA8" i="14"/>
  <c r="AI8" i="18"/>
  <c r="BE8" i="18" s="1"/>
  <c r="BE8" i="14"/>
  <c r="AM8" i="18"/>
  <c r="BI8" i="18" s="1"/>
  <c r="BI8" i="14"/>
  <c r="AQ8" i="18"/>
  <c r="BM8" i="18" s="1"/>
  <c r="BM8" i="14"/>
  <c r="Z9" i="18"/>
  <c r="AV9" i="18" s="1"/>
  <c r="AV9" i="14"/>
  <c r="AD9" i="18"/>
  <c r="AZ9" i="18" s="1"/>
  <c r="AZ9" i="14"/>
  <c r="AH9" i="18"/>
  <c r="BD9" i="18" s="1"/>
  <c r="BD9" i="14"/>
  <c r="AL9" i="18"/>
  <c r="BH9" i="18" s="1"/>
  <c r="BH9" i="14"/>
  <c r="AP9" i="18"/>
  <c r="BL9" i="18" s="1"/>
  <c r="BL9" i="14"/>
  <c r="AC10" i="18"/>
  <c r="AY10" i="18" s="1"/>
  <c r="AY10" i="14"/>
  <c r="AG10" i="18"/>
  <c r="BC10" i="18" s="1"/>
  <c r="BC10" i="14"/>
  <c r="AK10" i="18"/>
  <c r="BG10" i="18" s="1"/>
  <c r="BG10" i="14"/>
  <c r="AO10" i="18"/>
  <c r="BK10" i="18" s="1"/>
  <c r="BK10" i="14"/>
  <c r="AS10" i="18"/>
  <c r="BO10" i="18" s="1"/>
  <c r="BO10" i="14"/>
  <c r="AB11" i="18"/>
  <c r="AX11" i="18" s="1"/>
  <c r="AX11" i="14"/>
  <c r="AF11" i="18"/>
  <c r="BB11" i="18" s="1"/>
  <c r="BB11" i="14"/>
  <c r="AJ11" i="18"/>
  <c r="BF11" i="18" s="1"/>
  <c r="BF11" i="14"/>
  <c r="AN11" i="18"/>
  <c r="BJ11" i="18" s="1"/>
  <c r="BJ11" i="14"/>
  <c r="AR11" i="18"/>
  <c r="BN11" i="18" s="1"/>
  <c r="BN11" i="14"/>
  <c r="AA12" i="18"/>
  <c r="AW12" i="18" s="1"/>
  <c r="AW12" i="14"/>
  <c r="AE12" i="18"/>
  <c r="BA12" i="18" s="1"/>
  <c r="BA12" i="14"/>
  <c r="AI12" i="18"/>
  <c r="BE12" i="18" s="1"/>
  <c r="BE12" i="14"/>
  <c r="AM12" i="18"/>
  <c r="BI12" i="18" s="1"/>
  <c r="BI12" i="14"/>
  <c r="AQ12" i="18"/>
  <c r="BM12" i="18" s="1"/>
  <c r="BM12" i="14"/>
  <c r="Z13" i="18"/>
  <c r="AV13" i="18" s="1"/>
  <c r="AV13" i="14"/>
  <c r="AD13" i="18"/>
  <c r="AZ13" i="18" s="1"/>
  <c r="AZ13" i="14"/>
  <c r="AH13" i="18"/>
  <c r="BD13" i="18" s="1"/>
  <c r="BD13" i="14"/>
  <c r="AL13" i="18"/>
  <c r="BH13" i="18" s="1"/>
  <c r="BH13" i="14"/>
  <c r="AP13" i="18"/>
  <c r="BL13" i="18" s="1"/>
  <c r="BL13" i="14"/>
  <c r="AC14" i="18"/>
  <c r="AY14" i="18" s="1"/>
  <c r="AY14" i="14"/>
  <c r="AG14" i="18"/>
  <c r="BC14" i="18" s="1"/>
  <c r="BC14" i="14"/>
  <c r="AK14" i="18"/>
  <c r="BG14" i="18" s="1"/>
  <c r="BG14" i="14"/>
  <c r="AO14" i="18"/>
  <c r="BK14" i="18" s="1"/>
  <c r="BK14" i="14"/>
  <c r="AS14" i="18"/>
  <c r="BO14" i="18" s="1"/>
  <c r="BO14" i="14"/>
  <c r="AB15" i="18"/>
  <c r="AX15" i="18" s="1"/>
  <c r="AX15" i="14"/>
  <c r="AF15" i="18"/>
  <c r="BB15" i="18" s="1"/>
  <c r="BB15" i="14"/>
  <c r="AJ15" i="18"/>
  <c r="BF15" i="18" s="1"/>
  <c r="BF15" i="14"/>
  <c r="AN15" i="18"/>
  <c r="BJ15" i="18" s="1"/>
  <c r="BJ15" i="14"/>
  <c r="AR15" i="18"/>
  <c r="BN15" i="18" s="1"/>
  <c r="BN15" i="14"/>
  <c r="AA16" i="18"/>
  <c r="AW16" i="18" s="1"/>
  <c r="AW16" i="14"/>
  <c r="AE16" i="18"/>
  <c r="BA16" i="18" s="1"/>
  <c r="BA16" i="14"/>
  <c r="AI16" i="18"/>
  <c r="BE16" i="18" s="1"/>
  <c r="BE16" i="14"/>
  <c r="AM16" i="18"/>
  <c r="BI16" i="18" s="1"/>
  <c r="BI16" i="14"/>
  <c r="AQ16" i="18"/>
  <c r="BM16" i="18" s="1"/>
  <c r="BM16" i="14"/>
  <c r="Z17" i="18"/>
  <c r="AV17" i="18" s="1"/>
  <c r="AV17" i="14"/>
  <c r="AD17" i="18"/>
  <c r="AZ17" i="18" s="1"/>
  <c r="AZ17" i="14"/>
  <c r="AH17" i="18"/>
  <c r="BD17" i="18" s="1"/>
  <c r="BD17" i="14"/>
  <c r="AL17" i="18"/>
  <c r="BH17" i="18" s="1"/>
  <c r="BH17" i="14"/>
  <c r="AP17" i="18"/>
  <c r="BL17" i="18" s="1"/>
  <c r="BL17" i="14"/>
  <c r="AC18" i="18"/>
  <c r="AY18" i="18" s="1"/>
  <c r="AY18" i="14"/>
  <c r="AG18" i="18"/>
  <c r="BC18" i="18" s="1"/>
  <c r="BC18" i="14"/>
  <c r="AK18" i="18"/>
  <c r="BG18" i="18" s="1"/>
  <c r="BG18" i="14"/>
  <c r="AO18" i="18"/>
  <c r="BK18" i="18" s="1"/>
  <c r="BK18" i="14"/>
  <c r="AS18" i="18"/>
  <c r="BO18" i="18" s="1"/>
  <c r="BO18" i="14"/>
  <c r="AB19" i="18"/>
  <c r="AX19" i="18" s="1"/>
  <c r="AX19" i="14"/>
  <c r="AF19" i="18"/>
  <c r="BB19" i="18" s="1"/>
  <c r="BB19" i="14"/>
  <c r="AJ19" i="18"/>
  <c r="BF19" i="18" s="1"/>
  <c r="BF19" i="14"/>
  <c r="AN19" i="18"/>
  <c r="BJ19" i="18" s="1"/>
  <c r="BJ19" i="14"/>
  <c r="AR19" i="18"/>
  <c r="BN19" i="18" s="1"/>
  <c r="BN19" i="14"/>
  <c r="AA20" i="18"/>
  <c r="AW20" i="18" s="1"/>
  <c r="AW20" i="14"/>
  <c r="AE20" i="18"/>
  <c r="BA20" i="18" s="1"/>
  <c r="BA20" i="14"/>
  <c r="AI20" i="18"/>
  <c r="BE20" i="18" s="1"/>
  <c r="BE20" i="14"/>
  <c r="AM20" i="18"/>
  <c r="BI20" i="18" s="1"/>
  <c r="BI20" i="14"/>
  <c r="AQ20" i="18"/>
  <c r="BM20" i="18" s="1"/>
  <c r="BM20" i="14"/>
  <c r="Z21" i="18"/>
  <c r="AV21" i="18" s="1"/>
  <c r="AV21" i="14"/>
  <c r="AD21" i="18"/>
  <c r="AZ21" i="18" s="1"/>
  <c r="AZ21" i="14"/>
  <c r="AH21" i="18"/>
  <c r="BD21" i="18" s="1"/>
  <c r="BD21" i="14"/>
  <c r="AL21" i="18"/>
  <c r="BH21" i="18" s="1"/>
  <c r="BH21" i="14"/>
  <c r="AP21" i="18"/>
  <c r="BL21" i="18" s="1"/>
  <c r="BL21" i="14"/>
  <c r="AC22" i="18"/>
  <c r="AY22" i="18" s="1"/>
  <c r="AY22" i="14"/>
  <c r="AG22" i="18"/>
  <c r="BC22" i="18" s="1"/>
  <c r="BC22" i="14"/>
  <c r="AK22" i="18"/>
  <c r="BG22" i="18" s="1"/>
  <c r="BG22" i="14"/>
  <c r="AO22" i="18"/>
  <c r="BK22" i="18" s="1"/>
  <c r="BK22" i="14"/>
  <c r="AS22" i="18"/>
  <c r="BO22" i="18" s="1"/>
  <c r="BO22" i="14"/>
  <c r="AB23" i="18"/>
  <c r="AX23" i="18" s="1"/>
  <c r="AX23" i="14"/>
  <c r="AF23" i="18"/>
  <c r="BB23" i="18" s="1"/>
  <c r="BB23" i="14"/>
  <c r="AJ23" i="18"/>
  <c r="BF23" i="18" s="1"/>
  <c r="BF23" i="14"/>
  <c r="AN23" i="18"/>
  <c r="BJ23" i="18" s="1"/>
  <c r="BJ23" i="14"/>
  <c r="AR23" i="18"/>
  <c r="BN23" i="18" s="1"/>
  <c r="BN23" i="14"/>
  <c r="AA24" i="18"/>
  <c r="AW24" i="18" s="1"/>
  <c r="AW24" i="14"/>
  <c r="AE24" i="18"/>
  <c r="BA24" i="18" s="1"/>
  <c r="BA24" i="14"/>
  <c r="AI24" i="18"/>
  <c r="BE24" i="18" s="1"/>
  <c r="BE24" i="14"/>
  <c r="AM24" i="18"/>
  <c r="BI24" i="18" s="1"/>
  <c r="BI24" i="14"/>
  <c r="AQ24" i="18"/>
  <c r="BM24" i="18" s="1"/>
  <c r="BM24" i="14"/>
  <c r="Z25" i="18"/>
  <c r="AV25" i="18" s="1"/>
  <c r="AV25" i="14"/>
  <c r="AD25" i="18"/>
  <c r="AZ25" i="18" s="1"/>
  <c r="AZ25" i="14"/>
  <c r="AH25" i="18"/>
  <c r="BD25" i="18" s="1"/>
  <c r="BD25" i="14"/>
  <c r="AL25" i="18"/>
  <c r="BH25" i="18" s="1"/>
  <c r="BH25" i="14"/>
  <c r="AP25" i="18"/>
  <c r="BL25" i="18" s="1"/>
  <c r="BL25" i="14"/>
  <c r="AC26" i="18"/>
  <c r="AY26" i="18" s="1"/>
  <c r="AY26" i="14"/>
  <c r="AG26" i="18"/>
  <c r="BC26" i="18" s="1"/>
  <c r="BC26" i="14"/>
  <c r="AK26" i="18"/>
  <c r="BG26" i="18" s="1"/>
  <c r="BG26" i="14"/>
  <c r="AO26" i="18"/>
  <c r="BK26" i="18" s="1"/>
  <c r="BK26" i="14"/>
  <c r="AS26" i="18"/>
  <c r="BO26" i="18" s="1"/>
  <c r="BO26" i="14"/>
  <c r="AB27" i="18"/>
  <c r="AX27" i="18" s="1"/>
  <c r="AX27" i="14"/>
  <c r="AF27" i="18"/>
  <c r="BB27" i="18" s="1"/>
  <c r="BB27" i="14"/>
  <c r="AJ27" i="18"/>
  <c r="BF27" i="18" s="1"/>
  <c r="BF27" i="14"/>
  <c r="AN27" i="18"/>
  <c r="BJ27" i="18" s="1"/>
  <c r="BJ27" i="14"/>
  <c r="AR27" i="18"/>
  <c r="BN27" i="18" s="1"/>
  <c r="BN27" i="14"/>
  <c r="AA28" i="18"/>
  <c r="AW28" i="18" s="1"/>
  <c r="AW28" i="14"/>
  <c r="AE28" i="18"/>
  <c r="BA28" i="18" s="1"/>
  <c r="BA28" i="14"/>
  <c r="AI28" i="18"/>
  <c r="BE28" i="18" s="1"/>
  <c r="BE28" i="14"/>
  <c r="AM28" i="18"/>
  <c r="BI28" i="18" s="1"/>
  <c r="BI28" i="14"/>
  <c r="AQ28" i="18"/>
  <c r="BM28" i="18" s="1"/>
  <c r="BM28" i="14"/>
  <c r="Z29" i="18"/>
  <c r="AV29" i="18" s="1"/>
  <c r="AV29" i="14"/>
  <c r="AD29" i="18"/>
  <c r="AZ29" i="18" s="1"/>
  <c r="AZ29" i="14"/>
  <c r="AH29" i="18"/>
  <c r="BD29" i="18" s="1"/>
  <c r="BD29" i="14"/>
  <c r="AL29" i="18"/>
  <c r="BH29" i="18" s="1"/>
  <c r="BH29" i="14"/>
  <c r="AP29" i="18"/>
  <c r="BL29" i="18" s="1"/>
  <c r="BL29" i="14"/>
  <c r="AC30" i="18"/>
  <c r="AY30" i="18" s="1"/>
  <c r="AY30" i="14"/>
  <c r="AG30" i="18"/>
  <c r="BC30" i="18" s="1"/>
  <c r="BC30" i="14"/>
  <c r="AK30" i="18"/>
  <c r="BG30" i="18" s="1"/>
  <c r="BG30" i="14"/>
  <c r="AO30" i="18"/>
  <c r="BK30" i="18" s="1"/>
  <c r="BK30" i="14"/>
  <c r="AS30" i="18"/>
  <c r="BO30" i="18" s="1"/>
  <c r="BO30" i="14"/>
  <c r="AB31" i="18"/>
  <c r="AX31" i="18" s="1"/>
  <c r="AX31" i="14"/>
  <c r="AF31" i="18"/>
  <c r="BB31" i="18" s="1"/>
  <c r="BB31" i="14"/>
  <c r="AJ31" i="18"/>
  <c r="BF31" i="18" s="1"/>
  <c r="BF31" i="14"/>
  <c r="AN31" i="18"/>
  <c r="BJ31" i="18" s="1"/>
  <c r="BJ31" i="14"/>
  <c r="AR31" i="18"/>
  <c r="BN31" i="18" s="1"/>
  <c r="BN31" i="14"/>
  <c r="AA32" i="18"/>
  <c r="AW32" i="18" s="1"/>
  <c r="AW32" i="14"/>
  <c r="AE32" i="18"/>
  <c r="BA32" i="18" s="1"/>
  <c r="BA32" i="14"/>
  <c r="AI32" i="18"/>
  <c r="BE32" i="18" s="1"/>
  <c r="BE32" i="14"/>
  <c r="AM32" i="18"/>
  <c r="BI32" i="18" s="1"/>
  <c r="BI32" i="14"/>
  <c r="AQ32" i="18"/>
  <c r="BM32" i="18" s="1"/>
  <c r="BM32" i="14"/>
  <c r="Z33" i="18"/>
  <c r="AV33" i="18" s="1"/>
  <c r="AV33" i="14"/>
  <c r="AD33" i="18"/>
  <c r="AZ33" i="18" s="1"/>
  <c r="AZ33" i="14"/>
  <c r="AH33" i="18"/>
  <c r="BD33" i="18" s="1"/>
  <c r="BD33" i="14"/>
  <c r="AL33" i="18"/>
  <c r="BH33" i="18" s="1"/>
  <c r="BH33" i="14"/>
  <c r="AP33" i="18"/>
  <c r="BL33" i="18" s="1"/>
  <c r="BL33" i="14"/>
  <c r="AC34" i="18"/>
  <c r="AY34" i="18" s="1"/>
  <c r="AY34" i="14"/>
  <c r="AG34" i="18"/>
  <c r="BC34" i="18" s="1"/>
  <c r="BC34" i="14"/>
  <c r="AK34" i="18"/>
  <c r="BG34" i="18" s="1"/>
  <c r="BG34" i="14"/>
  <c r="AO34" i="18"/>
  <c r="BK34" i="18" s="1"/>
  <c r="BK34" i="14"/>
  <c r="AS34" i="18"/>
  <c r="BO34" i="18" s="1"/>
  <c r="BO34" i="14"/>
  <c r="AB35" i="18"/>
  <c r="AX35" i="18" s="1"/>
  <c r="AX35" i="14"/>
  <c r="AF35" i="18"/>
  <c r="BB35" i="18" s="1"/>
  <c r="BB35" i="14"/>
  <c r="AJ35" i="18"/>
  <c r="BF35" i="18" s="1"/>
  <c r="BF35" i="14"/>
  <c r="AN35" i="18"/>
  <c r="BJ35" i="18" s="1"/>
  <c r="BJ35" i="14"/>
  <c r="AR35" i="18"/>
  <c r="BN35" i="18" s="1"/>
  <c r="BN35" i="14"/>
  <c r="AA36" i="18"/>
  <c r="AW36" i="18" s="1"/>
  <c r="AW36" i="14"/>
  <c r="AE36" i="18"/>
  <c r="BA36" i="18" s="1"/>
  <c r="BA36" i="14"/>
  <c r="AI36" i="18"/>
  <c r="BE36" i="18" s="1"/>
  <c r="BE36" i="14"/>
  <c r="AM36" i="18"/>
  <c r="BI36" i="18" s="1"/>
  <c r="BI36" i="14"/>
  <c r="AQ36" i="18"/>
  <c r="BM36" i="18" s="1"/>
  <c r="BM36" i="14"/>
  <c r="Z37" i="18"/>
  <c r="AV37" i="18" s="1"/>
  <c r="AV37" i="14"/>
  <c r="AD37" i="18"/>
  <c r="AZ37" i="18" s="1"/>
  <c r="AZ37" i="14"/>
  <c r="AH37" i="18"/>
  <c r="BD37" i="18" s="1"/>
  <c r="BD37" i="14"/>
  <c r="AL37" i="18"/>
  <c r="BH37" i="18" s="1"/>
  <c r="BH37" i="14"/>
  <c r="AP37" i="18"/>
  <c r="BL37" i="18" s="1"/>
  <c r="BL37" i="14"/>
  <c r="AC38" i="18"/>
  <c r="AY38" i="18" s="1"/>
  <c r="AY38" i="14"/>
  <c r="AG38" i="18"/>
  <c r="BC38" i="18" s="1"/>
  <c r="BC38" i="14"/>
  <c r="AK38" i="18"/>
  <c r="BG38" i="18" s="1"/>
  <c r="BG38" i="14"/>
  <c r="AO38" i="18"/>
  <c r="BK38" i="18" s="1"/>
  <c r="BK38" i="14"/>
  <c r="AS38" i="18"/>
  <c r="BO38" i="18" s="1"/>
  <c r="BO38" i="14"/>
  <c r="AB39" i="18"/>
  <c r="AX39" i="18" s="1"/>
  <c r="AX39" i="14"/>
  <c r="AF39" i="18"/>
  <c r="BB39" i="18" s="1"/>
  <c r="BB39" i="14"/>
  <c r="AJ39" i="18"/>
  <c r="BF39" i="18" s="1"/>
  <c r="BF39" i="14"/>
  <c r="AN39" i="18"/>
  <c r="BJ39" i="18" s="1"/>
  <c r="BJ39" i="14"/>
  <c r="AR39" i="18"/>
  <c r="BN39" i="18" s="1"/>
  <c r="BN39" i="14"/>
  <c r="AA40" i="18"/>
  <c r="AW40" i="18" s="1"/>
  <c r="AW40" i="14"/>
  <c r="AE40" i="18"/>
  <c r="BA40" i="18" s="1"/>
  <c r="BA40" i="14"/>
  <c r="AI40" i="18"/>
  <c r="BE40" i="18" s="1"/>
  <c r="BE40" i="14"/>
  <c r="AM40" i="18"/>
  <c r="BI40" i="18" s="1"/>
  <c r="BI40" i="14"/>
  <c r="AQ40" i="18"/>
  <c r="BM40" i="18" s="1"/>
  <c r="BM40" i="14"/>
  <c r="Z41" i="18"/>
  <c r="AV41" i="18" s="1"/>
  <c r="AV41" i="14"/>
  <c r="AD41" i="18"/>
  <c r="AZ41" i="18" s="1"/>
  <c r="AZ41" i="14"/>
  <c r="AH41" i="18"/>
  <c r="BD41" i="18" s="1"/>
  <c r="BD41" i="14"/>
  <c r="AL41" i="18"/>
  <c r="BH41" i="18" s="1"/>
  <c r="BH41" i="14"/>
  <c r="AP41" i="18"/>
  <c r="BL41" i="18" s="1"/>
  <c r="BL41" i="14"/>
  <c r="AC42" i="18"/>
  <c r="AY42" i="18" s="1"/>
  <c r="AY42" i="14"/>
  <c r="AG42" i="18"/>
  <c r="BC42" i="18" s="1"/>
  <c r="BC42" i="14"/>
  <c r="AK42" i="18"/>
  <c r="BG42" i="18" s="1"/>
  <c r="BG42" i="14"/>
  <c r="AO42" i="18"/>
  <c r="BK42" i="18" s="1"/>
  <c r="BK42" i="14"/>
  <c r="AS42" i="18"/>
  <c r="BO42" i="18" s="1"/>
  <c r="BO42" i="14"/>
  <c r="AB43" i="18"/>
  <c r="AX43" i="18" s="1"/>
  <c r="AX43" i="14"/>
  <c r="AF43" i="18"/>
  <c r="BB43" i="18" s="1"/>
  <c r="BB43" i="14"/>
  <c r="AJ43" i="18"/>
  <c r="BF43" i="18" s="1"/>
  <c r="BF43" i="14"/>
  <c r="AN43" i="18"/>
  <c r="BJ43" i="18" s="1"/>
  <c r="BJ43" i="14"/>
  <c r="AR43" i="18"/>
  <c r="BN43" i="18" s="1"/>
  <c r="BN43" i="14"/>
  <c r="AA44" i="18"/>
  <c r="AW44" i="18" s="1"/>
  <c r="AW44" i="14"/>
  <c r="BQ44" i="14" s="1"/>
  <c r="AE44" i="18"/>
  <c r="BA44" i="18" s="1"/>
  <c r="BA44" i="14"/>
  <c r="AI44" i="18"/>
  <c r="BE44" i="18" s="1"/>
  <c r="BE44" i="14"/>
  <c r="AM44" i="18"/>
  <c r="BI44" i="18" s="1"/>
  <c r="BI44" i="14"/>
  <c r="AQ44" i="18"/>
  <c r="BM44" i="18" s="1"/>
  <c r="BM44" i="14"/>
  <c r="Z45" i="18"/>
  <c r="AV45" i="18" s="1"/>
  <c r="AV45" i="14"/>
  <c r="AD45" i="18"/>
  <c r="AZ45" i="18" s="1"/>
  <c r="AZ45" i="14"/>
  <c r="AH45" i="18"/>
  <c r="BD45" i="18" s="1"/>
  <c r="BD45" i="14"/>
  <c r="AL45" i="18"/>
  <c r="BH45" i="18" s="1"/>
  <c r="BH45" i="14"/>
  <c r="AP45" i="18"/>
  <c r="BL45" i="18" s="1"/>
  <c r="BL45" i="14"/>
  <c r="AC46" i="18"/>
  <c r="AY46" i="18" s="1"/>
  <c r="AY46" i="14"/>
  <c r="AG46" i="18"/>
  <c r="BC46" i="18" s="1"/>
  <c r="BC46" i="14"/>
  <c r="AK46" i="18"/>
  <c r="BG46" i="18" s="1"/>
  <c r="BG46" i="14"/>
  <c r="AO46" i="18"/>
  <c r="BK46" i="18" s="1"/>
  <c r="BK46" i="14"/>
  <c r="AS46" i="18"/>
  <c r="BO46" i="18" s="1"/>
  <c r="BO46" i="14"/>
  <c r="AB47" i="18"/>
  <c r="AX47" i="18" s="1"/>
  <c r="AX47" i="14"/>
  <c r="AF47" i="18"/>
  <c r="BB47" i="18" s="1"/>
  <c r="BB47" i="14"/>
  <c r="AJ47" i="18"/>
  <c r="BF47" i="18" s="1"/>
  <c r="BF47" i="14"/>
  <c r="AN47" i="18"/>
  <c r="BJ47" i="18" s="1"/>
  <c r="BJ47" i="14"/>
  <c r="AR47" i="18"/>
  <c r="BN47" i="18" s="1"/>
  <c r="BN47" i="14"/>
  <c r="AA48" i="18"/>
  <c r="AW48" i="18" s="1"/>
  <c r="AW48" i="14"/>
  <c r="AE48" i="18"/>
  <c r="BA48" i="18" s="1"/>
  <c r="BA48" i="14"/>
  <c r="AI48" i="18"/>
  <c r="BE48" i="18" s="1"/>
  <c r="BE48" i="14"/>
  <c r="AM48" i="18"/>
  <c r="BI48" i="18" s="1"/>
  <c r="BI48" i="14"/>
  <c r="AQ48" i="18"/>
  <c r="BM48" i="18" s="1"/>
  <c r="BM48" i="14"/>
  <c r="Z49" i="18"/>
  <c r="AV49" i="18" s="1"/>
  <c r="AV49" i="14"/>
  <c r="AD49" i="18"/>
  <c r="AZ49" i="18" s="1"/>
  <c r="AZ49" i="14"/>
  <c r="AH49" i="18"/>
  <c r="BD49" i="18" s="1"/>
  <c r="BD49" i="14"/>
  <c r="AL49" i="18"/>
  <c r="BH49" i="18" s="1"/>
  <c r="BH49" i="14"/>
  <c r="AP49" i="18"/>
  <c r="BL49" i="18" s="1"/>
  <c r="BL49" i="14"/>
  <c r="AC50" i="18"/>
  <c r="AY50" i="18" s="1"/>
  <c r="AY50" i="14"/>
  <c r="AG50" i="18"/>
  <c r="BC50" i="18" s="1"/>
  <c r="BC50" i="14"/>
  <c r="AK50" i="18"/>
  <c r="BG50" i="18" s="1"/>
  <c r="BG50" i="14"/>
  <c r="AO50" i="18"/>
  <c r="BK50" i="18" s="1"/>
  <c r="BK50" i="14"/>
  <c r="AS50" i="18"/>
  <c r="BO50" i="18" s="1"/>
  <c r="BO50" i="14"/>
  <c r="AB51" i="18"/>
  <c r="AX51" i="18" s="1"/>
  <c r="AX51" i="14"/>
  <c r="AF51" i="18"/>
  <c r="BB51" i="18" s="1"/>
  <c r="BB51" i="14"/>
  <c r="AJ51" i="18"/>
  <c r="BF51" i="18" s="1"/>
  <c r="BF51" i="14"/>
  <c r="AN51" i="18"/>
  <c r="BJ51" i="18" s="1"/>
  <c r="BJ51" i="14"/>
  <c r="AR51" i="18"/>
  <c r="BN51" i="18" s="1"/>
  <c r="BN51" i="14"/>
  <c r="AA52" i="18"/>
  <c r="AW52" i="18" s="1"/>
  <c r="AW52" i="14"/>
  <c r="AE52" i="18"/>
  <c r="BA52" i="18" s="1"/>
  <c r="BA52" i="14"/>
  <c r="AI52" i="18"/>
  <c r="BE52" i="18" s="1"/>
  <c r="BE52" i="14"/>
  <c r="AM52" i="18"/>
  <c r="BI52" i="18" s="1"/>
  <c r="BI52" i="14"/>
  <c r="AQ52" i="18"/>
  <c r="BM52" i="18" s="1"/>
  <c r="BM52" i="14"/>
  <c r="H162" i="4"/>
  <c r="E159" i="4"/>
  <c r="D159" i="4"/>
  <c r="H153" i="4"/>
  <c r="E150" i="4"/>
  <c r="C154" i="4" s="1"/>
  <c r="D154" i="4" s="1"/>
  <c r="E154" i="4" s="1"/>
  <c r="F154" i="4" s="1"/>
  <c r="G154" i="4" s="1"/>
  <c r="H154" i="4" s="1"/>
  <c r="E138" i="4" s="1"/>
  <c r="D150" i="4"/>
  <c r="A144" i="4"/>
  <c r="A142" i="4"/>
  <c r="A141" i="4"/>
  <c r="A140" i="4"/>
  <c r="A139" i="4"/>
  <c r="A138" i="4"/>
  <c r="E144" i="4" s="1"/>
  <c r="H16" i="2" s="1"/>
  <c r="E137" i="4"/>
  <c r="B137" i="4"/>
  <c r="BQ52" i="14" l="1"/>
  <c r="BQ40" i="14"/>
  <c r="BQ36" i="14"/>
  <c r="BQ32" i="14"/>
  <c r="BQ28" i="14"/>
  <c r="BQ24" i="14"/>
  <c r="BQ20" i="14"/>
  <c r="BQ16" i="14"/>
  <c r="BQ12" i="14"/>
  <c r="BQ8" i="14"/>
  <c r="BQ11" i="14"/>
  <c r="BQ49" i="14"/>
  <c r="BQ45" i="14"/>
  <c r="BQ41" i="14"/>
  <c r="BQ37" i="14"/>
  <c r="BQ33" i="14"/>
  <c r="BQ29" i="14"/>
  <c r="BQ25" i="14"/>
  <c r="BQ21" i="14"/>
  <c r="BQ17" i="14"/>
  <c r="BQ13" i="14"/>
  <c r="BQ9" i="14"/>
  <c r="BQ52" i="18"/>
  <c r="BQ48" i="18"/>
  <c r="BQ44" i="18"/>
  <c r="BQ40" i="18"/>
  <c r="BQ36" i="18"/>
  <c r="BQ32" i="18"/>
  <c r="BQ28" i="18"/>
  <c r="BQ24" i="18"/>
  <c r="BQ20" i="18"/>
  <c r="BQ16" i="18"/>
  <c r="BQ12" i="18"/>
  <c r="BQ19" i="18"/>
  <c r="BQ15" i="18"/>
  <c r="BQ11" i="18"/>
  <c r="BQ7" i="18"/>
  <c r="BQ49" i="18"/>
  <c r="BQ45" i="18"/>
  <c r="BQ41" i="18"/>
  <c r="BQ37" i="18"/>
  <c r="BQ33" i="18"/>
  <c r="BQ29" i="18"/>
  <c r="BQ25" i="18"/>
  <c r="BQ21" i="18"/>
  <c r="BQ8" i="18"/>
  <c r="BQ48" i="14"/>
  <c r="BQ51" i="14"/>
  <c r="BQ47" i="14"/>
  <c r="BQ43" i="14"/>
  <c r="BQ39" i="14"/>
  <c r="BQ35" i="14"/>
  <c r="BQ31" i="14"/>
  <c r="BQ27" i="14"/>
  <c r="BQ23" i="14"/>
  <c r="BQ19" i="14"/>
  <c r="BQ15" i="14"/>
  <c r="BQ50" i="14"/>
  <c r="BQ46" i="14"/>
  <c r="BQ42" i="14"/>
  <c r="BQ38" i="14"/>
  <c r="BQ34" i="14"/>
  <c r="BQ30" i="14"/>
  <c r="BQ26" i="14"/>
  <c r="BQ22" i="14"/>
  <c r="BQ18" i="14"/>
  <c r="BQ14" i="14"/>
  <c r="BQ10" i="14"/>
  <c r="BQ7" i="14"/>
  <c r="BQ17" i="18"/>
  <c r="BQ13" i="18"/>
  <c r="BQ9" i="18"/>
  <c r="BQ51" i="18"/>
  <c r="BQ47" i="18"/>
  <c r="BQ43" i="18"/>
  <c r="BQ39" i="18"/>
  <c r="BQ35" i="18"/>
  <c r="BQ31" i="18"/>
  <c r="BQ27" i="18"/>
  <c r="BQ23" i="18"/>
  <c r="BQ50" i="18"/>
  <c r="BQ46" i="18"/>
  <c r="BQ42" i="18"/>
  <c r="BQ38" i="18"/>
  <c r="BQ34" i="18"/>
  <c r="BQ30" i="18"/>
  <c r="BQ26" i="18"/>
  <c r="BQ22" i="18"/>
  <c r="BQ18" i="18"/>
  <c r="BQ14" i="18"/>
  <c r="BQ10" i="18"/>
  <c r="B138" i="4"/>
  <c r="C163" i="4"/>
  <c r="D163" i="4" s="1"/>
  <c r="E163" i="4" s="1"/>
  <c r="F163" i="4" s="1"/>
  <c r="G163" i="4" s="1"/>
  <c r="H163" i="4" s="1"/>
  <c r="E142" i="4" s="1"/>
  <c r="B142" i="4" s="1"/>
  <c r="B139" i="4"/>
  <c r="B141" i="4"/>
  <c r="F144" i="4"/>
  <c r="F137" i="4"/>
  <c r="G137" i="4" s="1"/>
  <c r="H137" i="4" s="1"/>
  <c r="B144" i="4"/>
  <c r="C16" i="2" s="1"/>
  <c r="G144" i="4"/>
  <c r="B140" i="4"/>
  <c r="D144" i="4"/>
  <c r="C53" i="2" s="1"/>
  <c r="H144" i="4"/>
  <c r="C39" i="27" l="1"/>
  <c r="C35" i="27"/>
  <c r="C45" i="27" s="1"/>
  <c r="C58" i="27" s="1"/>
  <c r="C41" i="23"/>
  <c r="C37" i="23" s="1"/>
  <c r="C49" i="23" s="1"/>
  <c r="C62" i="23" s="1"/>
  <c r="D53" i="2"/>
  <c r="C54" i="2" l="1"/>
  <c r="D77" i="28" l="1"/>
  <c r="E88" i="28" l="1"/>
  <c r="E87" i="28"/>
  <c r="E86" i="28"/>
  <c r="E85" i="28"/>
  <c r="E84" i="28"/>
  <c r="E83" i="28"/>
  <c r="C82" i="28"/>
  <c r="E82" i="28" s="1"/>
  <c r="C81" i="28"/>
  <c r="E81" i="28" s="1"/>
  <c r="C80" i="28"/>
  <c r="E53" i="28"/>
  <c r="E52" i="28" s="1"/>
  <c r="D52" i="28"/>
  <c r="D57" i="28" s="1"/>
  <c r="D70" i="28" s="1"/>
  <c r="E80" i="28" l="1"/>
  <c r="E89" i="28" s="1"/>
  <c r="E49" i="28" s="1"/>
  <c r="E57" i="28" s="1"/>
  <c r="E70" i="28" s="1"/>
  <c r="D20" i="9" l="1"/>
  <c r="C20" i="9"/>
  <c r="I98" i="9" l="1"/>
  <c r="I97" i="9"/>
  <c r="I96" i="9"/>
  <c r="I95" i="9"/>
  <c r="I94" i="9"/>
  <c r="I93" i="9"/>
  <c r="I92" i="9"/>
  <c r="I91" i="9"/>
  <c r="I90" i="9"/>
  <c r="I89" i="9"/>
  <c r="I88" i="9"/>
  <c r="I87" i="9"/>
  <c r="I86" i="9"/>
  <c r="F98" i="9"/>
  <c r="F97" i="9"/>
  <c r="F96" i="9"/>
  <c r="F95" i="9"/>
  <c r="F94" i="9"/>
  <c r="F93" i="9"/>
  <c r="F92" i="9"/>
  <c r="F91" i="9"/>
  <c r="F90" i="9"/>
  <c r="F89" i="9"/>
  <c r="F88" i="9"/>
  <c r="F87" i="9"/>
  <c r="F86" i="9"/>
  <c r="BP6" i="18" l="1"/>
  <c r="BO6" i="18"/>
  <c r="BN6" i="18"/>
  <c r="BM6" i="18"/>
  <c r="BL6" i="18"/>
  <c r="BK6" i="18"/>
  <c r="BJ6" i="18"/>
  <c r="BI6" i="18"/>
  <c r="BH6" i="18"/>
  <c r="BG6" i="18"/>
  <c r="BF6" i="18"/>
  <c r="BE6" i="18"/>
  <c r="BD6" i="18"/>
  <c r="BC6" i="18"/>
  <c r="BB6" i="18"/>
  <c r="BA6" i="18"/>
  <c r="AZ6" i="18"/>
  <c r="AY6" i="18"/>
  <c r="AX6" i="18"/>
  <c r="AW6" i="18"/>
  <c r="AV6" i="18"/>
  <c r="BQ6" i="18" s="1"/>
  <c r="BP6" i="14"/>
  <c r="BO6" i="14"/>
  <c r="BN6" i="14"/>
  <c r="BM6" i="14"/>
  <c r="BL6" i="14"/>
  <c r="BK6" i="14"/>
  <c r="BJ6" i="14"/>
  <c r="BI6" i="14"/>
  <c r="BH6" i="14"/>
  <c r="BG6" i="14"/>
  <c r="BF6" i="14"/>
  <c r="BE6" i="14"/>
  <c r="BD6" i="14"/>
  <c r="BC6" i="14"/>
  <c r="BB6" i="14"/>
  <c r="BA6" i="14"/>
  <c r="AZ6" i="14"/>
  <c r="AY6" i="14"/>
  <c r="AX6" i="14"/>
  <c r="AW6" i="14"/>
  <c r="AV6" i="14"/>
  <c r="BQ6" i="14" l="1"/>
  <c r="A111" i="4" l="1"/>
  <c r="A109" i="4"/>
  <c r="A108" i="4"/>
  <c r="A107" i="4"/>
  <c r="A106" i="4"/>
  <c r="A105" i="4"/>
  <c r="E104" i="4"/>
  <c r="F104" i="4" s="1"/>
  <c r="G104" i="4" s="1"/>
  <c r="H104" i="4" s="1"/>
  <c r="B104" i="4"/>
  <c r="A131" i="4"/>
  <c r="A130" i="4"/>
  <c r="A129" i="4"/>
  <c r="A128" i="4"/>
  <c r="A127" i="4"/>
  <c r="E126" i="4"/>
  <c r="F126" i="4" s="1"/>
  <c r="G126" i="4" s="1"/>
  <c r="H126" i="4" s="1"/>
  <c r="B126" i="4"/>
  <c r="B131" i="4" s="1"/>
  <c r="B129" i="4" l="1"/>
  <c r="B130" i="4"/>
  <c r="B127" i="4"/>
  <c r="B128" i="4"/>
  <c r="B108" i="4"/>
  <c r="B105" i="4"/>
  <c r="B107" i="4"/>
  <c r="B109" i="4"/>
  <c r="B106" i="4"/>
  <c r="BP6" i="17" l="1"/>
  <c r="BO6" i="17"/>
  <c r="BN6" i="17"/>
  <c r="BM6" i="17"/>
  <c r="BL6" i="17"/>
  <c r="BK6" i="17"/>
  <c r="BJ6" i="17"/>
  <c r="BI6" i="17"/>
  <c r="BH6" i="17"/>
  <c r="BG6" i="17"/>
  <c r="BF6" i="17"/>
  <c r="BE6" i="17"/>
  <c r="BD6" i="17"/>
  <c r="BC6" i="17"/>
  <c r="BB6" i="17"/>
  <c r="BA6" i="17"/>
  <c r="AZ6" i="17"/>
  <c r="AY6" i="17"/>
  <c r="AX6" i="17"/>
  <c r="AW6" i="17"/>
  <c r="BQ6" i="17" s="1"/>
  <c r="AV6" i="17"/>
  <c r="BP6" i="15"/>
  <c r="BO6" i="15"/>
  <c r="BN6" i="15"/>
  <c r="BM6" i="15"/>
  <c r="BL6" i="15"/>
  <c r="BK6" i="15"/>
  <c r="BJ6" i="15"/>
  <c r="BI6" i="15"/>
  <c r="BH6" i="15"/>
  <c r="BG6" i="15"/>
  <c r="BF6" i="15"/>
  <c r="BE6" i="15"/>
  <c r="BD6" i="15"/>
  <c r="BC6" i="15"/>
  <c r="BB6" i="15"/>
  <c r="BA6" i="15"/>
  <c r="AZ6" i="15"/>
  <c r="AY6" i="15"/>
  <c r="AX6" i="15"/>
  <c r="AW6" i="15"/>
  <c r="AV6" i="15"/>
  <c r="CL6" i="5"/>
  <c r="CK6" i="5"/>
  <c r="CJ6" i="5"/>
  <c r="CI6" i="5"/>
  <c r="CH6" i="5"/>
  <c r="CG6" i="5"/>
  <c r="CF6" i="5"/>
  <c r="CE6" i="5"/>
  <c r="CD6" i="5"/>
  <c r="CC6" i="5"/>
  <c r="CB6" i="5"/>
  <c r="CA6" i="5"/>
  <c r="BZ6" i="5"/>
  <c r="BY6" i="5"/>
  <c r="BX6" i="5"/>
  <c r="BW6" i="5"/>
  <c r="BV6" i="5"/>
  <c r="BU6" i="5"/>
  <c r="BT6" i="5"/>
  <c r="BS6" i="5"/>
  <c r="BR6" i="5"/>
  <c r="AT7" i="15"/>
  <c r="BP7" i="15" s="1"/>
  <c r="AR7" i="15"/>
  <c r="BN7" i="15" s="1"/>
  <c r="AQ7" i="15"/>
  <c r="BM7" i="15" s="1"/>
  <c r="AP7" i="15"/>
  <c r="BL7" i="15" s="1"/>
  <c r="AN7" i="15"/>
  <c r="BJ7" i="15" s="1"/>
  <c r="AM7" i="15"/>
  <c r="BI7" i="15" s="1"/>
  <c r="AL7" i="15"/>
  <c r="BH7" i="15" s="1"/>
  <c r="AJ7" i="15"/>
  <c r="BF7" i="15" s="1"/>
  <c r="AI7" i="15"/>
  <c r="BE7" i="15" s="1"/>
  <c r="AH7" i="15"/>
  <c r="BD7" i="15" s="1"/>
  <c r="AF7" i="15"/>
  <c r="BB7" i="15" s="1"/>
  <c r="AE7" i="15"/>
  <c r="BA7" i="15" s="1"/>
  <c r="AD7" i="15"/>
  <c r="AZ7" i="15" s="1"/>
  <c r="AB7" i="15"/>
  <c r="AX7" i="15" s="1"/>
  <c r="AA7" i="15"/>
  <c r="AW7" i="15" s="1"/>
  <c r="Z7" i="15"/>
  <c r="AV7" i="15" s="1"/>
  <c r="D119" i="4"/>
  <c r="C3" i="4"/>
  <c r="A30" i="4"/>
  <c r="AN7" i="17"/>
  <c r="BJ7" i="17" s="1"/>
  <c r="AT7" i="17"/>
  <c r="BP7" i="17" s="1"/>
  <c r="AR7" i="17"/>
  <c r="BN7" i="17" s="1"/>
  <c r="AQ7" i="17"/>
  <c r="BM7" i="17" s="1"/>
  <c r="AP7" i="17"/>
  <c r="BL7" i="17" s="1"/>
  <c r="AM7" i="17"/>
  <c r="BI7" i="17" s="1"/>
  <c r="AL7" i="17"/>
  <c r="BH7" i="17" s="1"/>
  <c r="AJ7" i="17"/>
  <c r="BF7" i="17" s="1"/>
  <c r="AI7" i="17"/>
  <c r="BE7" i="17" s="1"/>
  <c r="AH7" i="17"/>
  <c r="BD7" i="17" s="1"/>
  <c r="AF7" i="17"/>
  <c r="BB7" i="17" s="1"/>
  <c r="AE7" i="17"/>
  <c r="BA7" i="17" s="1"/>
  <c r="AD7" i="17"/>
  <c r="AZ7" i="17" s="1"/>
  <c r="AB7" i="17"/>
  <c r="AX7" i="17" s="1"/>
  <c r="AA7" i="17"/>
  <c r="AW7" i="17" s="1"/>
  <c r="Z7" i="17"/>
  <c r="AV7" i="17" s="1"/>
  <c r="AV4" i="17"/>
  <c r="Z4" i="17"/>
  <c r="D4" i="17"/>
  <c r="B3" i="17"/>
  <c r="B1" i="17"/>
  <c r="AV4" i="15"/>
  <c r="Z4" i="15"/>
  <c r="D4" i="15"/>
  <c r="B3" i="15"/>
  <c r="BR4" i="5"/>
  <c r="AV4" i="5"/>
  <c r="D4" i="5"/>
  <c r="B3" i="5"/>
  <c r="B1" i="5"/>
  <c r="AV66" i="5"/>
  <c r="DI6" i="5"/>
  <c r="DH6" i="5"/>
  <c r="DG6" i="5"/>
  <c r="DF6" i="5"/>
  <c r="DE6" i="5"/>
  <c r="DD6" i="5"/>
  <c r="DC6" i="5"/>
  <c r="DB6" i="5"/>
  <c r="DA6" i="5"/>
  <c r="CZ6" i="5"/>
  <c r="CY6" i="5"/>
  <c r="CX6" i="5"/>
  <c r="CW6" i="5"/>
  <c r="CV6" i="5"/>
  <c r="CU6" i="5"/>
  <c r="CT6" i="5"/>
  <c r="CS6" i="5"/>
  <c r="CR6" i="5"/>
  <c r="CQ6" i="5"/>
  <c r="CP6" i="5"/>
  <c r="CO6" i="5"/>
  <c r="BQ6" i="15"/>
  <c r="CM6" i="5"/>
  <c r="F39" i="9" s="1"/>
  <c r="D181" i="4"/>
  <c r="D180" i="4"/>
  <c r="D179" i="4"/>
  <c r="D178" i="4"/>
  <c r="D177" i="4"/>
  <c r="F183" i="4" s="1"/>
  <c r="A181" i="4"/>
  <c r="A180" i="4"/>
  <c r="A179" i="4"/>
  <c r="A178" i="4"/>
  <c r="B183" i="4" s="1"/>
  <c r="A177" i="4"/>
  <c r="A47" i="4"/>
  <c r="A45" i="4"/>
  <c r="A43" i="4"/>
  <c r="A36" i="4"/>
  <c r="B38" i="4" s="1"/>
  <c r="B43" i="4" s="1"/>
  <c r="D5" i="28"/>
  <c r="F5" i="28"/>
  <c r="L16" i="28"/>
  <c r="L15" i="28"/>
  <c r="L14" i="28"/>
  <c r="L13" i="28"/>
  <c r="L12" i="28"/>
  <c r="L11" i="28"/>
  <c r="H28" i="28"/>
  <c r="H27" i="28"/>
  <c r="H26" i="28"/>
  <c r="H25" i="28"/>
  <c r="E27" i="28"/>
  <c r="D22" i="28"/>
  <c r="A122" i="4"/>
  <c r="A100" i="4"/>
  <c r="A120" i="4"/>
  <c r="A119" i="4"/>
  <c r="A118" i="4"/>
  <c r="A117" i="4"/>
  <c r="A116" i="4"/>
  <c r="E115" i="4"/>
  <c r="F115" i="4" s="1"/>
  <c r="G115" i="4" s="1"/>
  <c r="H115" i="4" s="1"/>
  <c r="B115" i="4"/>
  <c r="B116" i="4" s="1"/>
  <c r="A89" i="4"/>
  <c r="A87" i="4"/>
  <c r="B93" i="4"/>
  <c r="E93" i="4"/>
  <c r="F93" i="4"/>
  <c r="G93" i="4" s="1"/>
  <c r="H93" i="4" s="1"/>
  <c r="A98" i="4"/>
  <c r="A97" i="4"/>
  <c r="A96" i="4"/>
  <c r="A95" i="4"/>
  <c r="A94" i="4"/>
  <c r="B40" i="4"/>
  <c r="A37" i="4"/>
  <c r="A38" i="4"/>
  <c r="A39" i="4"/>
  <c r="A40" i="4"/>
  <c r="A41" i="4"/>
  <c r="B98" i="4"/>
  <c r="B41" i="4"/>
  <c r="B37" i="4"/>
  <c r="H16" i="28"/>
  <c r="H15" i="28"/>
  <c r="H14" i="28"/>
  <c r="H13" i="28"/>
  <c r="H12" i="28"/>
  <c r="H11" i="28"/>
  <c r="I16" i="28"/>
  <c r="I15" i="28"/>
  <c r="I14" i="28"/>
  <c r="I13" i="28"/>
  <c r="I12" i="28"/>
  <c r="I11" i="28"/>
  <c r="I10" i="28"/>
  <c r="I9" i="28"/>
  <c r="I8" i="28"/>
  <c r="A72" i="4"/>
  <c r="A65" i="4"/>
  <c r="B66" i="4" s="1"/>
  <c r="H5" i="28"/>
  <c r="B3" i="28"/>
  <c r="D39" i="27"/>
  <c r="C22" i="27"/>
  <c r="C14" i="27" s="1"/>
  <c r="E41" i="27"/>
  <c r="E40" i="27"/>
  <c r="D35" i="27"/>
  <c r="C6" i="27"/>
  <c r="A85" i="4"/>
  <c r="A78" i="4"/>
  <c r="F7" i="24"/>
  <c r="E44" i="23"/>
  <c r="E43" i="23"/>
  <c r="E42" i="23"/>
  <c r="D41" i="23"/>
  <c r="D37" i="23" s="1"/>
  <c r="C6" i="23"/>
  <c r="F42" i="20"/>
  <c r="F34" i="20"/>
  <c r="F43" i="20" s="1"/>
  <c r="F24" i="20"/>
  <c r="F23" i="20"/>
  <c r="F22" i="20"/>
  <c r="F21" i="20"/>
  <c r="F15" i="20"/>
  <c r="F25" i="20"/>
  <c r="E53" i="2"/>
  <c r="AT66" i="13"/>
  <c r="AS66" i="13"/>
  <c r="AR66" i="13"/>
  <c r="AQ66" i="13"/>
  <c r="AP66" i="13"/>
  <c r="AO66" i="13"/>
  <c r="AN66" i="13"/>
  <c r="AM66" i="13"/>
  <c r="AL66" i="13"/>
  <c r="AK66" i="13"/>
  <c r="AJ66" i="13"/>
  <c r="AI66" i="13"/>
  <c r="AH66" i="13"/>
  <c r="AG66" i="13"/>
  <c r="AF66" i="13"/>
  <c r="AE66" i="13"/>
  <c r="AD66" i="13"/>
  <c r="AC66" i="13"/>
  <c r="AB66" i="13"/>
  <c r="AA66" i="13"/>
  <c r="Z66" i="13"/>
  <c r="BP6" i="13"/>
  <c r="BO6" i="13"/>
  <c r="BN6" i="13"/>
  <c r="BM6" i="13"/>
  <c r="BL6" i="13"/>
  <c r="BK6" i="13"/>
  <c r="BJ6" i="13"/>
  <c r="BI6" i="13"/>
  <c r="BH6" i="13"/>
  <c r="BG6" i="13"/>
  <c r="BF6" i="13"/>
  <c r="BE6" i="13"/>
  <c r="BD6" i="13"/>
  <c r="BC6" i="13"/>
  <c r="BB6" i="13"/>
  <c r="BA6" i="13"/>
  <c r="AZ6" i="13"/>
  <c r="AY6" i="13"/>
  <c r="AX6" i="13"/>
  <c r="AW6" i="13"/>
  <c r="AV6" i="13"/>
  <c r="F37" i="9"/>
  <c r="B13" i="9"/>
  <c r="B12" i="9"/>
  <c r="B11" i="9"/>
  <c r="E98" i="9"/>
  <c r="D98" i="9"/>
  <c r="A98" i="9" a="1"/>
  <c r="A98" i="9"/>
  <c r="E97" i="9"/>
  <c r="D97" i="9"/>
  <c r="A97" i="9" a="1"/>
  <c r="A97" i="9"/>
  <c r="E96" i="9"/>
  <c r="D96" i="9"/>
  <c r="A96" i="9" a="1"/>
  <c r="A96" i="9"/>
  <c r="E95" i="9"/>
  <c r="D95" i="9"/>
  <c r="A95" i="9" a="1"/>
  <c r="A95" i="9"/>
  <c r="E94" i="9"/>
  <c r="D94" i="9"/>
  <c r="A94" i="9" a="1"/>
  <c r="A94" i="9"/>
  <c r="E93" i="9"/>
  <c r="D93" i="9"/>
  <c r="A93" i="9" a="1"/>
  <c r="A93" i="9"/>
  <c r="E92" i="9"/>
  <c r="D92" i="9"/>
  <c r="A92" i="9" a="1"/>
  <c r="A92" i="9"/>
  <c r="E91" i="9"/>
  <c r="D91" i="9"/>
  <c r="A91" i="9" a="1"/>
  <c r="A91" i="9"/>
  <c r="E90" i="9"/>
  <c r="D90" i="9"/>
  <c r="A90" i="9" a="1"/>
  <c r="A90" i="9"/>
  <c r="E89" i="9"/>
  <c r="D89" i="9"/>
  <c r="A89" i="9" a="1"/>
  <c r="A89" i="9"/>
  <c r="E88" i="9"/>
  <c r="D88" i="9"/>
  <c r="A88" i="9" a="1"/>
  <c r="A88" i="9"/>
  <c r="E87" i="9"/>
  <c r="D87" i="9"/>
  <c r="A87" i="9" a="1"/>
  <c r="A87" i="9"/>
  <c r="E86" i="9"/>
  <c r="D86" i="9"/>
  <c r="A86" i="9" a="1"/>
  <c r="A86" i="9"/>
  <c r="E85" i="9"/>
  <c r="D85" i="9"/>
  <c r="A85" i="9" a="1"/>
  <c r="A85" i="9"/>
  <c r="E84" i="9"/>
  <c r="D84" i="9"/>
  <c r="A84" i="9" a="1"/>
  <c r="A84" i="9"/>
  <c r="E83" i="9"/>
  <c r="D83" i="9"/>
  <c r="A83" i="9" a="1"/>
  <c r="A83" i="9"/>
  <c r="E82" i="9"/>
  <c r="D82" i="9"/>
  <c r="A82" i="9" a="1"/>
  <c r="A82" i="9"/>
  <c r="E81" i="9"/>
  <c r="D81" i="9"/>
  <c r="A81" i="9" a="1"/>
  <c r="A81" i="9"/>
  <c r="E80" i="9"/>
  <c r="D80" i="9"/>
  <c r="A80" i="9" a="1"/>
  <c r="A80" i="9"/>
  <c r="E79" i="9"/>
  <c r="D79" i="9"/>
  <c r="A79" i="9" a="1"/>
  <c r="A79" i="9"/>
  <c r="E78" i="9"/>
  <c r="D78" i="9"/>
  <c r="A78" i="9" s="1"/>
  <c r="A78" i="9" a="1"/>
  <c r="E77" i="9"/>
  <c r="D77" i="9"/>
  <c r="A77" i="9" s="1"/>
  <c r="A77" i="9" a="1"/>
  <c r="E76" i="9"/>
  <c r="D76" i="9"/>
  <c r="A76" i="9" s="1"/>
  <c r="A76" i="9" a="1"/>
  <c r="E75" i="9"/>
  <c r="D75" i="9"/>
  <c r="A75" i="9" s="1"/>
  <c r="A75" i="9" a="1"/>
  <c r="E74" i="9"/>
  <c r="D74" i="9"/>
  <c r="A74" i="9" s="1"/>
  <c r="A74" i="9" a="1"/>
  <c r="E73" i="9"/>
  <c r="D73" i="9"/>
  <c r="A73" i="9" s="1"/>
  <c r="A73" i="9" a="1"/>
  <c r="E72" i="9"/>
  <c r="D72" i="9"/>
  <c r="A72" i="9" s="1"/>
  <c r="A72" i="9" a="1"/>
  <c r="E71" i="9"/>
  <c r="D71" i="9"/>
  <c r="A71" i="9" s="1"/>
  <c r="A71" i="9" a="1"/>
  <c r="E70" i="9"/>
  <c r="D70" i="9"/>
  <c r="A70" i="9" s="1"/>
  <c r="A70" i="9" a="1"/>
  <c r="E69" i="9"/>
  <c r="D69" i="9"/>
  <c r="A69" i="9" s="1"/>
  <c r="A69" i="9" a="1"/>
  <c r="E68" i="9"/>
  <c r="D68" i="9"/>
  <c r="A68" i="9" s="1"/>
  <c r="A68" i="9" a="1"/>
  <c r="E67" i="9"/>
  <c r="D67" i="9"/>
  <c r="A67" i="9" s="1"/>
  <c r="A67" i="9" a="1"/>
  <c r="E66" i="9"/>
  <c r="D66" i="9"/>
  <c r="A66" i="9" s="1"/>
  <c r="A66" i="9" a="1"/>
  <c r="E65" i="9"/>
  <c r="D65" i="9"/>
  <c r="A65" i="9" s="1"/>
  <c r="A65" i="9" a="1"/>
  <c r="E64" i="9"/>
  <c r="D64" i="9"/>
  <c r="A64" i="9" s="1"/>
  <c r="A64" i="9" a="1"/>
  <c r="E63" i="9"/>
  <c r="D63" i="9"/>
  <c r="A63" i="9" s="1"/>
  <c r="A63" i="9" a="1"/>
  <c r="E62" i="9"/>
  <c r="D62" i="9"/>
  <c r="A62" i="9" s="1"/>
  <c r="A62" i="9" a="1"/>
  <c r="E61" i="9"/>
  <c r="D61" i="9"/>
  <c r="A61" i="9" s="1"/>
  <c r="A61" i="9" a="1"/>
  <c r="E60" i="9"/>
  <c r="D60" i="9"/>
  <c r="A60" i="9" s="1"/>
  <c r="A60" i="9" a="1"/>
  <c r="E59" i="9"/>
  <c r="D59" i="9"/>
  <c r="A59" i="9" s="1"/>
  <c r="A59" i="9" a="1"/>
  <c r="E58" i="9"/>
  <c r="D58" i="9"/>
  <c r="A58" i="9" s="1"/>
  <c r="A58" i="9" a="1"/>
  <c r="E57" i="9"/>
  <c r="D57" i="9"/>
  <c r="A57" i="9" s="1"/>
  <c r="A57" i="9" a="1"/>
  <c r="E56" i="9"/>
  <c r="D56" i="9"/>
  <c r="A56" i="9" s="1"/>
  <c r="A56" i="9" a="1"/>
  <c r="E55" i="9"/>
  <c r="D55" i="9"/>
  <c r="A55" i="9" s="1"/>
  <c r="A55" i="9" a="1"/>
  <c r="E54" i="9"/>
  <c r="D54" i="9"/>
  <c r="A54" i="9" s="1"/>
  <c r="A54" i="9" a="1"/>
  <c r="E53" i="9"/>
  <c r="D53" i="9"/>
  <c r="A53" i="9" s="1"/>
  <c r="A53" i="9" a="1"/>
  <c r="E52" i="9"/>
  <c r="D52" i="9"/>
  <c r="A52" i="9" s="1"/>
  <c r="A52" i="9" a="1"/>
  <c r="E51" i="9"/>
  <c r="D51" i="9"/>
  <c r="A51" i="9" s="1"/>
  <c r="A51" i="9" a="1"/>
  <c r="E50" i="9"/>
  <c r="D50" i="9"/>
  <c r="A50" i="9" s="1"/>
  <c r="A50" i="9" a="1"/>
  <c r="E49" i="9"/>
  <c r="D49" i="9"/>
  <c r="A49" i="9" s="1"/>
  <c r="A49" i="9" a="1"/>
  <c r="E48" i="9"/>
  <c r="D48" i="9"/>
  <c r="A48" i="9" s="1"/>
  <c r="A48" i="9" a="1"/>
  <c r="E47" i="9"/>
  <c r="D47" i="9"/>
  <c r="A47" i="9" s="1"/>
  <c r="A47" i="9" a="1"/>
  <c r="E46" i="9"/>
  <c r="D46" i="9"/>
  <c r="A46" i="9" s="1"/>
  <c r="A46" i="9" a="1"/>
  <c r="E45" i="9"/>
  <c r="D45" i="9"/>
  <c r="A45" i="9" s="1"/>
  <c r="A45" i="9" a="1"/>
  <c r="E44" i="9"/>
  <c r="D44" i="9"/>
  <c r="A44" i="9" s="1"/>
  <c r="A44" i="9" a="1"/>
  <c r="E43" i="9"/>
  <c r="D43" i="9"/>
  <c r="A43" i="9" s="1"/>
  <c r="A43" i="9" a="1"/>
  <c r="E42" i="9"/>
  <c r="D42" i="9"/>
  <c r="A42" i="9" s="1"/>
  <c r="A42" i="9" a="1"/>
  <c r="E41" i="9"/>
  <c r="D41" i="9"/>
  <c r="A41" i="9" s="1"/>
  <c r="A41" i="9" a="1"/>
  <c r="E40" i="9"/>
  <c r="D40" i="9"/>
  <c r="A40" i="9" s="1"/>
  <c r="A40" i="9" a="1"/>
  <c r="E39" i="9"/>
  <c r="D39" i="9"/>
  <c r="A39" i="9" a="1"/>
  <c r="A39" i="9"/>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F24" i="4"/>
  <c r="M273" i="4" s="1"/>
  <c r="F23" i="4"/>
  <c r="L273" i="4" s="1"/>
  <c r="F22" i="4"/>
  <c r="F20" i="4"/>
  <c r="F19" i="4"/>
  <c r="F18" i="4"/>
  <c r="F17" i="4"/>
  <c r="C6" i="2"/>
  <c r="I259" i="4"/>
  <c r="I242" i="4"/>
  <c r="H259" i="4"/>
  <c r="H242" i="4"/>
  <c r="G259" i="4"/>
  <c r="G242" i="4"/>
  <c r="A224" i="4"/>
  <c r="A223" i="4"/>
  <c r="A222" i="4"/>
  <c r="A221" i="4"/>
  <c r="A220" i="4"/>
  <c r="C226" i="4" s="1"/>
  <c r="F192" i="4" s="1"/>
  <c r="A213" i="4"/>
  <c r="A212" i="4"/>
  <c r="A211" i="4"/>
  <c r="A210" i="4"/>
  <c r="A209" i="4"/>
  <c r="A202" i="4"/>
  <c r="A201" i="4"/>
  <c r="A200" i="4"/>
  <c r="A199" i="4"/>
  <c r="A198" i="4"/>
  <c r="C204" i="4" s="1"/>
  <c r="F190" i="4" s="1"/>
  <c r="A83" i="4"/>
  <c r="A82" i="4"/>
  <c r="A81" i="4"/>
  <c r="A80" i="4"/>
  <c r="E85" i="4" s="1"/>
  <c r="A79" i="4"/>
  <c r="F259" i="4"/>
  <c r="E259" i="4"/>
  <c r="E260" i="4"/>
  <c r="F260" i="4" s="1"/>
  <c r="G260" i="4" s="1"/>
  <c r="H260" i="4" s="1"/>
  <c r="I260" i="4" s="1"/>
  <c r="E254" i="4"/>
  <c r="F254" i="4"/>
  <c r="G254" i="4" s="1"/>
  <c r="H254" i="4" s="1"/>
  <c r="B222" i="4"/>
  <c r="D122" i="4"/>
  <c r="H100" i="4"/>
  <c r="E100" i="4"/>
  <c r="H15" i="2" s="1"/>
  <c r="D100" i="4"/>
  <c r="D43" i="4"/>
  <c r="J275" i="4" s="1"/>
  <c r="J276" i="4" s="1"/>
  <c r="J278" i="4" s="1"/>
  <c r="H43" i="4"/>
  <c r="N275" i="4" s="1"/>
  <c r="N276" i="4" s="1"/>
  <c r="G43" i="4"/>
  <c r="M275" i="4" s="1"/>
  <c r="E43" i="4"/>
  <c r="K275" i="4" s="1"/>
  <c r="K276" i="4" s="1"/>
  <c r="F43" i="4"/>
  <c r="L275" i="4" s="1"/>
  <c r="H72" i="4"/>
  <c r="D72" i="4"/>
  <c r="G72" i="4"/>
  <c r="F72" i="4"/>
  <c r="E72" i="4"/>
  <c r="B1" i="28"/>
  <c r="B2" i="27"/>
  <c r="F60" i="4"/>
  <c r="H85" i="4"/>
  <c r="E60" i="4"/>
  <c r="H23" i="2" s="1"/>
  <c r="H60" i="4"/>
  <c r="G60" i="4"/>
  <c r="B1" i="24"/>
  <c r="B2" i="23"/>
  <c r="B1" i="20"/>
  <c r="B1" i="14"/>
  <c r="B1" i="18"/>
  <c r="B1" i="13"/>
  <c r="B1" i="9"/>
  <c r="B2" i="2"/>
  <c r="B83" i="4"/>
  <c r="B79" i="4"/>
  <c r="B82" i="4"/>
  <c r="B81" i="4"/>
  <c r="B80" i="4"/>
  <c r="F242" i="4"/>
  <c r="E242" i="4"/>
  <c r="E243" i="4" s="1"/>
  <c r="F243" i="4" s="1"/>
  <c r="G243" i="4" s="1"/>
  <c r="H243" i="4" s="1"/>
  <c r="I243" i="4" s="1"/>
  <c r="E237" i="4"/>
  <c r="F237" i="4"/>
  <c r="G237" i="4" s="1"/>
  <c r="A190" i="4"/>
  <c r="A60" i="4"/>
  <c r="A53" i="4"/>
  <c r="B54" i="4" s="1"/>
  <c r="C7" i="4"/>
  <c r="I17" i="28" l="1"/>
  <c r="D52" i="2"/>
  <c r="C52" i="2"/>
  <c r="C50" i="2" s="1"/>
  <c r="C60" i="2" s="1"/>
  <c r="C73" i="2" s="1"/>
  <c r="L276" i="4"/>
  <c r="L278" i="4" s="1"/>
  <c r="D284" i="4" s="1"/>
  <c r="D292" i="4" s="1"/>
  <c r="D31" i="28" s="1"/>
  <c r="F54" i="28" s="1"/>
  <c r="K278" i="4"/>
  <c r="M276" i="4"/>
  <c r="D290" i="4"/>
  <c r="D56" i="2"/>
  <c r="C30" i="4"/>
  <c r="E69" i="2" s="1"/>
  <c r="I80" i="9"/>
  <c r="I79" i="9"/>
  <c r="I81" i="9"/>
  <c r="I83" i="9"/>
  <c r="I85" i="9"/>
  <c r="B45" i="4"/>
  <c r="G239" i="4"/>
  <c r="H237" i="4"/>
  <c r="H239" i="4" s="1"/>
  <c r="H245" i="4" s="1"/>
  <c r="B211" i="4" s="1"/>
  <c r="B226" i="4"/>
  <c r="E192" i="4" s="1"/>
  <c r="C215" i="4"/>
  <c r="F191" i="4" s="1"/>
  <c r="F193" i="4" s="1"/>
  <c r="B39" i="4"/>
  <c r="B97" i="4"/>
  <c r="B1" i="15"/>
  <c r="B58" i="4"/>
  <c r="B57" i="4"/>
  <c r="B55" i="4"/>
  <c r="B60" i="4" s="1"/>
  <c r="C23" i="2" s="1"/>
  <c r="G100" i="4"/>
  <c r="B120" i="4"/>
  <c r="B117" i="4"/>
  <c r="H111" i="4"/>
  <c r="F111" i="4"/>
  <c r="D111" i="4"/>
  <c r="D133" i="4"/>
  <c r="E133" i="4"/>
  <c r="H35" i="2" s="1"/>
  <c r="B111" i="4"/>
  <c r="C24" i="2" s="1"/>
  <c r="C10" i="9" s="1"/>
  <c r="F133" i="4"/>
  <c r="H133" i="4"/>
  <c r="E111" i="4"/>
  <c r="H24" i="2" s="1"/>
  <c r="G111" i="4"/>
  <c r="G133" i="4"/>
  <c r="E52" i="27"/>
  <c r="D52" i="27" s="1"/>
  <c r="C52" i="27" s="1"/>
  <c r="E30" i="27"/>
  <c r="D30" i="27" s="1"/>
  <c r="C30" i="27" s="1"/>
  <c r="E56" i="23"/>
  <c r="D56" i="23" s="1"/>
  <c r="C56" i="23" s="1"/>
  <c r="E32" i="23"/>
  <c r="D32" i="23" s="1"/>
  <c r="C32" i="23" s="1"/>
  <c r="H6" i="2"/>
  <c r="E67" i="2"/>
  <c r="D67" i="2" s="1"/>
  <c r="C67" i="2" s="1"/>
  <c r="E45" i="2"/>
  <c r="D45" i="2" s="1"/>
  <c r="C45" i="2" s="1"/>
  <c r="K12" i="28"/>
  <c r="K16" i="28"/>
  <c r="K13" i="28"/>
  <c r="F64" i="28"/>
  <c r="E64" i="28" s="1"/>
  <c r="D64" i="28" s="1"/>
  <c r="F47" i="28"/>
  <c r="E47" i="28" s="1"/>
  <c r="D47" i="28" s="1"/>
  <c r="K14" i="28"/>
  <c r="K11" i="28"/>
  <c r="K15" i="28"/>
  <c r="C24" i="23"/>
  <c r="C14" i="23" s="1"/>
  <c r="E45" i="23"/>
  <c r="E41" i="23" s="1"/>
  <c r="BQ6" i="13"/>
  <c r="AC7" i="15"/>
  <c r="AY7" i="15" s="1"/>
  <c r="AC7" i="17"/>
  <c r="AY7" i="17" s="1"/>
  <c r="AY66" i="5"/>
  <c r="AG7" i="15"/>
  <c r="BC7" i="15" s="1"/>
  <c r="AG7" i="17"/>
  <c r="BC7" i="17" s="1"/>
  <c r="BC66" i="5"/>
  <c r="AK7" i="15"/>
  <c r="BG7" i="15" s="1"/>
  <c r="BG66" i="5"/>
  <c r="AK7" i="17"/>
  <c r="BG7" i="17" s="1"/>
  <c r="AO7" i="15"/>
  <c r="BK7" i="15" s="1"/>
  <c r="AO7" i="17"/>
  <c r="BK7" i="17" s="1"/>
  <c r="BK66" i="5"/>
  <c r="AS7" i="15"/>
  <c r="BO7" i="15" s="1"/>
  <c r="AS7" i="17"/>
  <c r="BO7" i="17" s="1"/>
  <c r="BO66" i="5"/>
  <c r="AX66" i="5"/>
  <c r="BB66" i="5"/>
  <c r="BF66" i="5"/>
  <c r="BJ66" i="5"/>
  <c r="BN66" i="5"/>
  <c r="AW66" i="5"/>
  <c r="BA66" i="5"/>
  <c r="BE66" i="5"/>
  <c r="BI66" i="5"/>
  <c r="BM66" i="5"/>
  <c r="AZ66" i="5"/>
  <c r="BD66" i="5"/>
  <c r="BH66" i="5"/>
  <c r="BP66" i="5"/>
  <c r="BL66" i="5"/>
  <c r="DJ6" i="5"/>
  <c r="I39" i="9" s="1"/>
  <c r="H256" i="4"/>
  <c r="H262" i="4" s="1"/>
  <c r="B212" i="4" s="1"/>
  <c r="I254" i="4"/>
  <c r="I256" i="4" s="1"/>
  <c r="I262" i="4" s="1"/>
  <c r="C212" i="4" s="1"/>
  <c r="G245" i="4"/>
  <c r="B47" i="4"/>
  <c r="B68" i="4"/>
  <c r="I237" i="4"/>
  <c r="I239" i="4" s="1"/>
  <c r="I245" i="4" s="1"/>
  <c r="C211" i="4" s="1"/>
  <c r="B204" i="4"/>
  <c r="E190" i="4" s="1"/>
  <c r="G85" i="4"/>
  <c r="B215" i="4"/>
  <c r="E191" i="4" s="1"/>
  <c r="B56" i="4"/>
  <c r="C8" i="4"/>
  <c r="B3" i="14" s="1"/>
  <c r="D85" i="4"/>
  <c r="B87" i="4" s="1"/>
  <c r="F100" i="4"/>
  <c r="G256" i="4"/>
  <c r="G262" i="4" s="1"/>
  <c r="B70" i="4"/>
  <c r="B95" i="4"/>
  <c r="B100" i="4" s="1"/>
  <c r="C15" i="2" s="1"/>
  <c r="E52" i="2" s="1"/>
  <c r="B85" i="4"/>
  <c r="F85" i="4"/>
  <c r="B69" i="4"/>
  <c r="B122" i="4"/>
  <c r="E56" i="2" s="1"/>
  <c r="G122" i="4"/>
  <c r="F122" i="4"/>
  <c r="E122" i="4"/>
  <c r="H122" i="4"/>
  <c r="D60" i="4"/>
  <c r="C9" i="9"/>
  <c r="B67" i="4"/>
  <c r="B72" i="4" s="1"/>
  <c r="D38" i="28" s="1"/>
  <c r="I26" i="28" s="1"/>
  <c r="B94" i="4"/>
  <c r="B119" i="4"/>
  <c r="B118" i="4"/>
  <c r="B96" i="4"/>
  <c r="E39" i="27"/>
  <c r="I82" i="9"/>
  <c r="I84" i="9"/>
  <c r="M278" i="4" l="1"/>
  <c r="N278" i="4" s="1"/>
  <c r="BQ7" i="15"/>
  <c r="C22" i="2"/>
  <c r="C8" i="9" s="1"/>
  <c r="F66" i="28"/>
  <c r="E54" i="27"/>
  <c r="I27" i="28"/>
  <c r="BQ7" i="17"/>
  <c r="C36" i="2"/>
  <c r="E58" i="23"/>
  <c r="D37" i="28"/>
  <c r="B89" i="4"/>
  <c r="CP66" i="5"/>
  <c r="E193" i="4"/>
  <c r="AV4" i="14"/>
  <c r="C77" i="28"/>
  <c r="E77" i="28"/>
  <c r="I37" i="9"/>
  <c r="B3" i="13"/>
  <c r="D4" i="13"/>
  <c r="CY66" i="5"/>
  <c r="DG66" i="5"/>
  <c r="DA66" i="5"/>
  <c r="CQ66" i="5"/>
  <c r="CW66" i="5"/>
  <c r="CU66" i="5"/>
  <c r="DD66" i="5"/>
  <c r="CS66" i="5"/>
  <c r="CO66" i="5"/>
  <c r="CR66" i="5"/>
  <c r="DB66" i="5"/>
  <c r="CX66" i="5"/>
  <c r="DC66" i="5"/>
  <c r="DH66" i="5"/>
  <c r="CV66" i="5"/>
  <c r="DE66" i="5"/>
  <c r="CT66" i="5"/>
  <c r="DF66" i="5"/>
  <c r="CK66" i="5"/>
  <c r="CZ66" i="5"/>
  <c r="CH66" i="5"/>
  <c r="BU66" i="5"/>
  <c r="Z4" i="5"/>
  <c r="AV4" i="13"/>
  <c r="C9" i="4"/>
  <c r="C10" i="4" s="1"/>
  <c r="C11" i="4" s="1"/>
  <c r="Z4" i="14"/>
  <c r="E5" i="28"/>
  <c r="D4" i="14"/>
  <c r="I5" i="28"/>
  <c r="B5" i="14"/>
  <c r="CO4" i="5"/>
  <c r="A29" i="4"/>
  <c r="C29" i="4" s="1"/>
  <c r="B3" i="18"/>
  <c r="B5" i="18"/>
  <c r="B5" i="13"/>
  <c r="Z4" i="18"/>
  <c r="D4" i="18"/>
  <c r="AV4" i="18"/>
  <c r="Z4" i="13"/>
  <c r="D39" i="28"/>
  <c r="D30" i="28" s="1"/>
  <c r="F53" i="28" s="1"/>
  <c r="F52" i="28" s="1"/>
  <c r="AP66" i="17"/>
  <c r="BN66" i="13"/>
  <c r="BF66" i="13"/>
  <c r="AX66" i="13"/>
  <c r="BK66" i="13"/>
  <c r="BC66" i="13"/>
  <c r="BL66" i="13"/>
  <c r="BD66" i="13"/>
  <c r="AV66" i="13"/>
  <c r="BI66" i="13"/>
  <c r="BA66" i="13"/>
  <c r="AF66" i="17"/>
  <c r="AR66" i="14"/>
  <c r="AJ66" i="14"/>
  <c r="AB66" i="14"/>
  <c r="AO66" i="14"/>
  <c r="AG66" i="14"/>
  <c r="AP66" i="14"/>
  <c r="AH66" i="14"/>
  <c r="Z66" i="14"/>
  <c r="AM66" i="14"/>
  <c r="AE66" i="14"/>
  <c r="BJ66" i="13"/>
  <c r="BB66" i="13"/>
  <c r="BO66" i="13"/>
  <c r="BG66" i="13"/>
  <c r="AY66" i="13"/>
  <c r="BH66" i="13"/>
  <c r="AZ66" i="13"/>
  <c r="BM66" i="13"/>
  <c r="BE66" i="13"/>
  <c r="AW66" i="13"/>
  <c r="AJ66" i="17"/>
  <c r="AN66" i="14"/>
  <c r="AF66" i="14"/>
  <c r="AS66" i="14"/>
  <c r="AK66" i="14"/>
  <c r="AC66" i="14"/>
  <c r="AT66" i="14"/>
  <c r="AL66" i="14"/>
  <c r="AZ66" i="14"/>
  <c r="AD66" i="14"/>
  <c r="AQ66" i="14"/>
  <c r="AI66" i="14"/>
  <c r="AA66" i="14"/>
  <c r="BC66" i="17"/>
  <c r="BI66" i="17"/>
  <c r="BH66" i="17"/>
  <c r="BJ66" i="17"/>
  <c r="BK66" i="15"/>
  <c r="BF66" i="15"/>
  <c r="BE66" i="15"/>
  <c r="BP66" i="15"/>
  <c r="AZ66" i="15"/>
  <c r="AM66" i="15"/>
  <c r="AE66" i="15"/>
  <c r="AP66" i="15"/>
  <c r="AH66" i="15"/>
  <c r="Z66" i="15"/>
  <c r="AO66" i="17"/>
  <c r="AG66" i="17"/>
  <c r="AR66" i="17"/>
  <c r="AB66" i="17"/>
  <c r="BO66" i="17"/>
  <c r="AY66" i="17"/>
  <c r="BE66" i="17"/>
  <c r="BD66" i="17"/>
  <c r="BF66" i="17"/>
  <c r="BG66" i="15"/>
  <c r="BB66" i="15"/>
  <c r="BA66" i="15"/>
  <c r="BL66" i="15"/>
  <c r="AV66" i="15"/>
  <c r="AM66" i="17"/>
  <c r="AE66" i="17"/>
  <c r="AH66" i="17"/>
  <c r="Z66" i="17"/>
  <c r="AS66" i="15"/>
  <c r="AK66" i="15"/>
  <c r="AC66" i="15"/>
  <c r="AN66" i="15"/>
  <c r="AF66" i="15"/>
  <c r="BK66" i="17"/>
  <c r="BA66" i="17"/>
  <c r="BP66" i="17"/>
  <c r="AZ66" i="17"/>
  <c r="BB66" i="17"/>
  <c r="BC66" i="15"/>
  <c r="BN66" i="15"/>
  <c r="AX66" i="15"/>
  <c r="BM66" i="15"/>
  <c r="AW66" i="15"/>
  <c r="BH66" i="15"/>
  <c r="AQ66" i="15"/>
  <c r="AI66" i="15"/>
  <c r="AA66" i="15"/>
  <c r="AT66" i="15"/>
  <c r="AL66" i="15"/>
  <c r="AD66" i="15"/>
  <c r="AS66" i="17"/>
  <c r="AK66" i="17"/>
  <c r="AC66" i="17"/>
  <c r="AN66" i="17"/>
  <c r="BG66" i="17"/>
  <c r="BM66" i="17"/>
  <c r="AW66" i="17"/>
  <c r="BL66" i="17"/>
  <c r="AV66" i="17"/>
  <c r="BN66" i="17"/>
  <c r="AX66" i="17"/>
  <c r="BO66" i="15"/>
  <c r="AY66" i="15"/>
  <c r="BJ66" i="15"/>
  <c r="BI66" i="15"/>
  <c r="BD66" i="15"/>
  <c r="AQ66" i="17"/>
  <c r="AI66" i="17"/>
  <c r="AA66" i="17"/>
  <c r="AT66" i="17"/>
  <c r="AL66" i="17"/>
  <c r="AD66" i="17"/>
  <c r="AO66" i="15"/>
  <c r="AG66" i="15"/>
  <c r="AR66" i="15"/>
  <c r="AJ66" i="15"/>
  <c r="AB66" i="15"/>
  <c r="CG66" i="5" l="1"/>
  <c r="CD66" i="5"/>
  <c r="CI66" i="5"/>
  <c r="BW66" i="5"/>
  <c r="CJ66" i="5"/>
  <c r="CC66" i="5"/>
  <c r="BY66" i="5"/>
  <c r="BZ66" i="5"/>
  <c r="BV66" i="5"/>
  <c r="BR66" i="5"/>
  <c r="BS66" i="5"/>
  <c r="BX66" i="5"/>
  <c r="BT66" i="5"/>
  <c r="CF66" i="5"/>
  <c r="CB66" i="5"/>
  <c r="CA66" i="5"/>
  <c r="CE66" i="5"/>
  <c r="F85" i="9"/>
  <c r="F83" i="9"/>
  <c r="F79" i="9"/>
  <c r="F84" i="9"/>
  <c r="F80" i="9"/>
  <c r="F81" i="9"/>
  <c r="F82" i="9"/>
  <c r="I25" i="28"/>
  <c r="H9" i="28"/>
  <c r="K9" i="28" s="1"/>
  <c r="H10" i="28"/>
  <c r="K10" i="28" s="1"/>
  <c r="D54" i="27"/>
  <c r="E66" i="28"/>
  <c r="E71" i="28" s="1"/>
  <c r="D69" i="2"/>
  <c r="D58" i="23"/>
  <c r="A28" i="4"/>
  <c r="C28" i="4" s="1"/>
  <c r="H37" i="2" s="1"/>
  <c r="H22" i="2"/>
  <c r="H25" i="2" s="1"/>
  <c r="C21" i="2" s="1"/>
  <c r="C25" i="2" s="1"/>
  <c r="C14" i="2" s="1"/>
  <c r="E51" i="2" s="1"/>
  <c r="C37" i="2"/>
  <c r="H36" i="2"/>
  <c r="BH66" i="18"/>
  <c r="BE66" i="18"/>
  <c r="AZ66" i="18"/>
  <c r="BM66" i="18"/>
  <c r="BP66" i="18"/>
  <c r="BI66" i="18"/>
  <c r="BD66" i="18"/>
  <c r="BC66" i="18"/>
  <c r="BF66" i="18"/>
  <c r="BJ66" i="18"/>
  <c r="AW66" i="18"/>
  <c r="BG66" i="18"/>
  <c r="BN66" i="18"/>
  <c r="BA66" i="18"/>
  <c r="AV66" i="18"/>
  <c r="BL66" i="18"/>
  <c r="BK66" i="18"/>
  <c r="AY66" i="18"/>
  <c r="BO66" i="18"/>
  <c r="AX66" i="18"/>
  <c r="BB66" i="18"/>
  <c r="BH66" i="14"/>
  <c r="BP66" i="14"/>
  <c r="BK66" i="14"/>
  <c r="BG66" i="14"/>
  <c r="BC66" i="14"/>
  <c r="BI66" i="14"/>
  <c r="BE66" i="14"/>
  <c r="BA66" i="14"/>
  <c r="BB66" i="14"/>
  <c r="BM66" i="14"/>
  <c r="AY66" i="14"/>
  <c r="BO66" i="14"/>
  <c r="AA66" i="18"/>
  <c r="AQ66" i="18"/>
  <c r="AT66" i="18"/>
  <c r="AE66" i="18"/>
  <c r="Z66" i="18"/>
  <c r="BD66" i="14"/>
  <c r="AO66" i="18"/>
  <c r="AR66" i="18"/>
  <c r="AL66" i="18"/>
  <c r="AC66" i="18"/>
  <c r="AS66" i="18"/>
  <c r="AV66" i="14"/>
  <c r="AJ66" i="18"/>
  <c r="BN66" i="14"/>
  <c r="AI66" i="18"/>
  <c r="AD66" i="18"/>
  <c r="AN66" i="18"/>
  <c r="AM66" i="18"/>
  <c r="AP66" i="18"/>
  <c r="AG66" i="18"/>
  <c r="AB66" i="18"/>
  <c r="BF66" i="14"/>
  <c r="AK66" i="18"/>
  <c r="AF66" i="18"/>
  <c r="BJ66" i="14"/>
  <c r="AH66" i="18"/>
  <c r="BL66" i="14"/>
  <c r="AX66" i="14"/>
  <c r="AW66" i="14"/>
  <c r="BQ66" i="17"/>
  <c r="BQ66" i="15"/>
  <c r="C9" i="27" l="1"/>
  <c r="E32" i="27" s="1"/>
  <c r="C9" i="23"/>
  <c r="E34" i="23" s="1"/>
  <c r="H38" i="2"/>
  <c r="H29" i="2" s="1"/>
  <c r="D55" i="2" s="1"/>
  <c r="D54" i="2" s="1"/>
  <c r="D51" i="2"/>
  <c r="H14" i="2"/>
  <c r="C54" i="27"/>
  <c r="D66" i="28"/>
  <c r="C58" i="23"/>
  <c r="C61" i="23" s="1"/>
  <c r="C69" i="2"/>
  <c r="BQ66" i="18"/>
  <c r="D32" i="27" s="1"/>
  <c r="D45" i="27" s="1"/>
  <c r="D58" i="27" s="1"/>
  <c r="BQ66" i="14"/>
  <c r="H32" i="2" l="1"/>
  <c r="H17" i="2" s="1"/>
  <c r="H18" i="2" s="1"/>
  <c r="E57" i="2"/>
  <c r="C63" i="23"/>
  <c r="C64" i="23" s="1"/>
  <c r="D60" i="23" s="1"/>
  <c r="D61" i="23" s="1"/>
  <c r="D50" i="2"/>
  <c r="C57" i="27"/>
  <c r="C59" i="27"/>
  <c r="D69" i="28"/>
  <c r="D71" i="28"/>
  <c r="C72" i="2"/>
  <c r="C74" i="2"/>
  <c r="D49" i="23"/>
  <c r="D62" i="23" s="1"/>
  <c r="D59" i="27"/>
  <c r="E39" i="23" l="1"/>
  <c r="E37" i="23" s="1"/>
  <c r="E49" i="23" s="1"/>
  <c r="D72" i="28"/>
  <c r="E68" i="28" s="1"/>
  <c r="C75" i="2"/>
  <c r="D71" i="2" s="1"/>
  <c r="C60" i="27"/>
  <c r="D56" i="27" s="1"/>
  <c r="D63" i="23"/>
  <c r="D64" i="23" s="1"/>
  <c r="E37" i="27"/>
  <c r="E35" i="27" s="1"/>
  <c r="E45" i="27" s="1"/>
  <c r="E62" i="23" l="1"/>
  <c r="E63" i="23" s="1"/>
  <c r="C15" i="23"/>
  <c r="C17" i="23" s="1"/>
  <c r="C10" i="23" s="1"/>
  <c r="C11" i="23" s="1"/>
  <c r="D72" i="2"/>
  <c r="D57" i="27"/>
  <c r="D60" i="27" s="1"/>
  <c r="E56" i="27" s="1"/>
  <c r="E60" i="23"/>
  <c r="E61" i="23" s="1"/>
  <c r="E69" i="28"/>
  <c r="C15" i="27"/>
  <c r="C17" i="27" s="1"/>
  <c r="C10" i="27" s="1"/>
  <c r="C11" i="27" s="1"/>
  <c r="E58" i="27"/>
  <c r="E72" i="28" l="1"/>
  <c r="F68" i="28" s="1"/>
  <c r="E64" i="23"/>
  <c r="E57" i="27"/>
  <c r="E59" i="27"/>
  <c r="B133" i="4"/>
  <c r="C35" i="2" s="1"/>
  <c r="C38" i="2" s="1"/>
  <c r="E55" i="2" l="1"/>
  <c r="E54" i="2" s="1"/>
  <c r="E50" i="2" s="1"/>
  <c r="C29" i="2"/>
  <c r="E60" i="27"/>
  <c r="F69" i="28"/>
  <c r="I64" i="9" l="1"/>
  <c r="I56" i="9"/>
  <c r="I52" i="9"/>
  <c r="I46" i="9"/>
  <c r="I44" i="9"/>
  <c r="I77" i="9"/>
  <c r="I75" i="9"/>
  <c r="C26" i="9" s="1"/>
  <c r="I73" i="9"/>
  <c r="I71" i="9"/>
  <c r="I69" i="9"/>
  <c r="I67" i="9"/>
  <c r="I65" i="9"/>
  <c r="I63" i="9"/>
  <c r="I61" i="9"/>
  <c r="I59" i="9"/>
  <c r="I57" i="9"/>
  <c r="I54" i="9"/>
  <c r="I55" i="9"/>
  <c r="F45" i="9"/>
  <c r="I45" i="9"/>
  <c r="I74" i="9"/>
  <c r="I53" i="9"/>
  <c r="I51" i="9"/>
  <c r="I49" i="9"/>
  <c r="I43" i="9"/>
  <c r="F41" i="9"/>
  <c r="I41" i="9"/>
  <c r="I78" i="9"/>
  <c r="I76" i="9"/>
  <c r="I72" i="9"/>
  <c r="F68" i="9"/>
  <c r="I66" i="9"/>
  <c r="F62" i="9"/>
  <c r="I62" i="9"/>
  <c r="I60" i="9"/>
  <c r="I58" i="9"/>
  <c r="I50" i="9"/>
  <c r="I48" i="9"/>
  <c r="F48" i="9"/>
  <c r="I42" i="9"/>
  <c r="F51" i="9"/>
  <c r="I47" i="9"/>
  <c r="I40" i="9"/>
  <c r="I68" i="9"/>
  <c r="F77" i="9"/>
  <c r="F71" i="9"/>
  <c r="F69" i="9"/>
  <c r="I70" i="9"/>
  <c r="F70" i="9"/>
  <c r="C25" i="9" l="1"/>
  <c r="F54" i="9"/>
  <c r="F43" i="9"/>
  <c r="F42" i="9"/>
  <c r="F50" i="9"/>
  <c r="F58" i="9"/>
  <c r="F60" i="9"/>
  <c r="F76" i="9"/>
  <c r="F49" i="9"/>
  <c r="F55" i="9"/>
  <c r="F74" i="9"/>
  <c r="F59" i="9"/>
  <c r="F61" i="9"/>
  <c r="F63" i="9"/>
  <c r="F67" i="9"/>
  <c r="F73" i="9"/>
  <c r="F44" i="9"/>
  <c r="F52" i="9"/>
  <c r="F78" i="9"/>
  <c r="D25" i="9" s="1"/>
  <c r="F53" i="9"/>
  <c r="F64" i="9"/>
  <c r="F66" i="9"/>
  <c r="F72" i="9"/>
  <c r="F47" i="9"/>
  <c r="F57" i="9"/>
  <c r="F65" i="9"/>
  <c r="F75" i="9"/>
  <c r="D26" i="9" s="1"/>
  <c r="E26" i="9" s="1"/>
  <c r="F46" i="9"/>
  <c r="F56" i="9"/>
  <c r="C24" i="9"/>
  <c r="BP66" i="13"/>
  <c r="BQ66" i="13"/>
  <c r="D60" i="2" s="1"/>
  <c r="D73" i="2" s="1"/>
  <c r="C22" i="9"/>
  <c r="I99" i="9"/>
  <c r="DI66" i="5"/>
  <c r="DJ66" i="5"/>
  <c r="C23" i="9"/>
  <c r="E25" i="9" l="1"/>
  <c r="C11" i="9"/>
  <c r="C12" i="9"/>
  <c r="CL66" i="5"/>
  <c r="D24" i="9"/>
  <c r="E24" i="9" s="1"/>
  <c r="D23" i="9"/>
  <c r="E23" i="9" s="1"/>
  <c r="C35" i="9"/>
  <c r="C34" i="9"/>
  <c r="CM66" i="5"/>
  <c r="F40" i="9"/>
  <c r="D74" i="2"/>
  <c r="D75" i="2" s="1"/>
  <c r="E71" i="2" s="1"/>
  <c r="C9" i="2" l="1"/>
  <c r="E47" i="2" s="1"/>
  <c r="E60" i="2" s="1"/>
  <c r="E72" i="2"/>
  <c r="F99" i="9"/>
  <c r="D22" i="9"/>
  <c r="D35" i="9" l="1"/>
  <c r="D34" i="9"/>
  <c r="E22" i="9"/>
  <c r="E73" i="2"/>
  <c r="C28" i="2"/>
  <c r="C32" i="2" s="1"/>
  <c r="C17" i="2" s="1"/>
  <c r="C13" i="9" s="1"/>
  <c r="E74" i="2" l="1"/>
  <c r="E75" i="2" s="1"/>
  <c r="C18" i="2"/>
  <c r="C10" i="2" s="1"/>
  <c r="C11" i="2" s="1"/>
  <c r="C16" i="9"/>
  <c r="F22" i="9" s="1"/>
  <c r="F26" i="9" l="1"/>
  <c r="F25" i="9"/>
  <c r="F24" i="9"/>
  <c r="F23" i="9"/>
  <c r="H8" i="28" l="1"/>
  <c r="K8" i="28" s="1"/>
  <c r="H17" i="28" l="1"/>
  <c r="D25" i="28" s="1"/>
  <c r="F49" i="28" l="1"/>
  <c r="F57" i="28" s="1"/>
  <c r="F70" i="28" l="1"/>
  <c r="D32" i="28"/>
  <c r="D33" i="28" l="1"/>
  <c r="D26" i="28" s="1"/>
  <c r="D27" i="28" s="1"/>
  <c r="I28" i="28"/>
  <c r="I30" i="28" s="1"/>
  <c r="F71" i="28"/>
  <c r="F72" i="28" s="1"/>
  <c r="L9" i="28" l="1"/>
  <c r="L10" i="28"/>
  <c r="L8" i="28"/>
</calcChain>
</file>

<file path=xl/comments1.xml><?xml version="1.0" encoding="utf-8"?>
<comments xmlns="http://schemas.openxmlformats.org/spreadsheetml/2006/main">
  <authors>
    <author>Author</author>
  </authors>
  <commentList>
    <comment ref="F127" authorId="0">
      <text>
        <r>
          <rPr>
            <b/>
            <sz val="9"/>
            <color indexed="81"/>
            <rFont val="Tahoma"/>
            <family val="2"/>
          </rPr>
          <t>Author:</t>
        </r>
        <r>
          <rPr>
            <sz val="9"/>
            <color indexed="81"/>
            <rFont val="Tahoma"/>
            <family val="2"/>
          </rPr>
          <t xml:space="preserve">
Contact ESCV for 2016-17 values</t>
        </r>
      </text>
    </comment>
  </commentList>
</comments>
</file>

<file path=xl/comments2.xml><?xml version="1.0" encoding="utf-8"?>
<comments xmlns="http://schemas.openxmlformats.org/spreadsheetml/2006/main">
  <authors>
    <author>Author</author>
  </authors>
  <commentList>
    <comment ref="E8" authorId="0">
      <text>
        <r>
          <rPr>
            <b/>
            <sz val="9"/>
            <color indexed="81"/>
            <rFont val="Tahoma"/>
            <family val="2"/>
          </rPr>
          <t>Author:</t>
        </r>
        <r>
          <rPr>
            <sz val="9"/>
            <color indexed="81"/>
            <rFont val="Tahoma"/>
            <family val="2"/>
          </rPr>
          <t xml:space="preserve">
Previous approved Tariff Model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0">
      <text>
        <r>
          <rPr>
            <b/>
            <sz val="9"/>
            <color indexed="81"/>
            <rFont val="Tahoma"/>
            <family val="2"/>
          </rPr>
          <t>Source:</t>
        </r>
        <r>
          <rPr>
            <sz val="9"/>
            <color indexed="81"/>
            <rFont val="Tahoma"/>
            <family val="2"/>
          </rPr>
          <t xml:space="preserve">
2016 Annual RIN</t>
        </r>
      </text>
    </comment>
    <comment ref="D53" authorId="0">
      <text>
        <r>
          <rPr>
            <b/>
            <sz val="9"/>
            <color indexed="81"/>
            <rFont val="Tahoma"/>
            <family val="2"/>
          </rPr>
          <t>Author:</t>
        </r>
        <r>
          <rPr>
            <sz val="9"/>
            <color indexed="81"/>
            <rFont val="Tahoma"/>
            <family val="2"/>
          </rPr>
          <t xml:space="preserve">
Previous approved Tariff Model</t>
        </r>
      </text>
    </comment>
    <comment ref="C80" authorId="0">
      <text>
        <r>
          <rPr>
            <b/>
            <sz val="9"/>
            <color indexed="81"/>
            <rFont val="Tahoma"/>
            <family val="2"/>
          </rPr>
          <t>Author:</t>
        </r>
        <r>
          <rPr>
            <sz val="9"/>
            <color indexed="81"/>
            <rFont val="Tahoma"/>
            <family val="2"/>
          </rPr>
          <t xml:space="preserve">
Previous approved Tariff Model</t>
        </r>
      </text>
    </comment>
  </commentList>
</comments>
</file>

<file path=xl/comments3.xml><?xml version="1.0" encoding="utf-8"?>
<comments xmlns="http://schemas.openxmlformats.org/spreadsheetml/2006/main">
  <authors>
    <author>Author</author>
  </authors>
  <commentList>
    <comment ref="Z7" authorId="0">
      <text>
        <r>
          <rPr>
            <b/>
            <sz val="9"/>
            <color indexed="81"/>
            <rFont val="Tahoma"/>
            <family val="2"/>
          </rPr>
          <t>Author:</t>
        </r>
        <r>
          <rPr>
            <sz val="9"/>
            <color indexed="81"/>
            <rFont val="Tahoma"/>
            <family val="2"/>
          </rPr>
          <t xml:space="preserve">
Previous approved Tariff model</t>
        </r>
      </text>
    </comment>
  </commentList>
</comments>
</file>

<file path=xl/comments4.xml><?xml version="1.0" encoding="utf-8"?>
<comments xmlns="http://schemas.openxmlformats.org/spreadsheetml/2006/main">
  <authors>
    <author>Author</author>
  </authors>
  <commentList>
    <comment ref="H15" authorId="0">
      <text>
        <r>
          <rPr>
            <b/>
            <sz val="9"/>
            <color indexed="81"/>
            <rFont val="Tahoma"/>
            <family val="2"/>
          </rPr>
          <t>Author:</t>
        </r>
        <r>
          <rPr>
            <sz val="9"/>
            <color indexed="81"/>
            <rFont val="Tahoma"/>
            <family val="2"/>
          </rPr>
          <t xml:space="preserve">
Changed formula so updated automatically.</t>
        </r>
      </text>
    </comment>
    <comment ref="H16" authorId="0">
      <text>
        <r>
          <rPr>
            <b/>
            <sz val="9"/>
            <color indexed="81"/>
            <rFont val="Tahoma"/>
            <family val="2"/>
          </rPr>
          <t>Author:</t>
        </r>
        <r>
          <rPr>
            <sz val="9"/>
            <color indexed="81"/>
            <rFont val="Tahoma"/>
            <family val="2"/>
          </rPr>
          <t xml:space="preserve">
Changed formula so updated automatically.</t>
        </r>
      </text>
    </comment>
    <comment ref="H21" authorId="0">
      <text>
        <r>
          <rPr>
            <b/>
            <sz val="9"/>
            <color indexed="81"/>
            <rFont val="Tahoma"/>
            <family val="2"/>
          </rPr>
          <t>AER:</t>
        </r>
        <r>
          <rPr>
            <sz val="9"/>
            <color indexed="81"/>
            <rFont val="Tahoma"/>
            <family val="2"/>
          </rPr>
          <t xml:space="preserve">
Taken from previous year's pricing proposal.</t>
        </r>
      </text>
    </comment>
    <comment ref="H23" authorId="0">
      <text>
        <r>
          <rPr>
            <b/>
            <sz val="9"/>
            <color indexed="81"/>
            <rFont val="Tahoma"/>
            <family val="2"/>
          </rPr>
          <t>AER:</t>
        </r>
        <r>
          <rPr>
            <sz val="9"/>
            <color indexed="81"/>
            <rFont val="Tahoma"/>
            <family val="2"/>
          </rPr>
          <t xml:space="preserve">
Changed formula so relevant for future updates.</t>
        </r>
      </text>
    </comment>
    <comment ref="H24" authorId="0">
      <text>
        <r>
          <rPr>
            <b/>
            <sz val="9"/>
            <color indexed="81"/>
            <rFont val="Tahoma"/>
            <family val="2"/>
          </rPr>
          <t>AER:</t>
        </r>
        <r>
          <rPr>
            <sz val="9"/>
            <color indexed="81"/>
            <rFont val="Tahoma"/>
            <family val="2"/>
          </rPr>
          <t xml:space="preserve">
Changed formula so relevant for future updates.</t>
        </r>
      </text>
    </comment>
    <comment ref="H28" authorId="0">
      <text>
        <r>
          <rPr>
            <b/>
            <sz val="9"/>
            <color indexed="81"/>
            <rFont val="Tahoma"/>
            <family val="2"/>
          </rPr>
          <t>Author:</t>
        </r>
        <r>
          <rPr>
            <sz val="9"/>
            <color indexed="81"/>
            <rFont val="Tahoma"/>
            <family val="2"/>
          </rPr>
          <t xml:space="preserve">
Previous approved Tariff model</t>
        </r>
      </text>
    </comment>
    <comment ref="H30" authorId="0">
      <text>
        <r>
          <rPr>
            <b/>
            <sz val="9"/>
            <color indexed="81"/>
            <rFont val="Tahoma"/>
            <family val="2"/>
          </rPr>
          <t>AER:</t>
        </r>
        <r>
          <rPr>
            <sz val="9"/>
            <color indexed="81"/>
            <rFont val="Tahoma"/>
            <family val="2"/>
          </rPr>
          <t xml:space="preserve">
Changed formula so updated automatically.</t>
        </r>
      </text>
    </comment>
    <comment ref="C31" authorId="0">
      <text>
        <r>
          <rPr>
            <b/>
            <sz val="9"/>
            <color indexed="81"/>
            <rFont val="Tahoma"/>
            <family val="2"/>
          </rPr>
          <t>Author:</t>
        </r>
        <r>
          <rPr>
            <sz val="9"/>
            <color indexed="81"/>
            <rFont val="Tahoma"/>
            <family val="2"/>
          </rPr>
          <t xml:space="preserve">
Not required from 2018 on</t>
        </r>
      </text>
    </comment>
    <comment ref="H31" authorId="0">
      <text>
        <r>
          <rPr>
            <b/>
            <sz val="9"/>
            <color indexed="81"/>
            <rFont val="Tahoma"/>
            <family val="2"/>
          </rPr>
          <t>Author:</t>
        </r>
        <r>
          <rPr>
            <sz val="9"/>
            <color indexed="81"/>
            <rFont val="Tahoma"/>
            <family val="2"/>
          </rPr>
          <t xml:space="preserve">
Previous approved Tariff model.</t>
        </r>
      </text>
    </comment>
    <comment ref="C47" authorId="0">
      <text>
        <r>
          <rPr>
            <b/>
            <sz val="9"/>
            <color indexed="81"/>
            <rFont val="Tahoma"/>
            <family val="2"/>
          </rPr>
          <t>Author:</t>
        </r>
        <r>
          <rPr>
            <sz val="9"/>
            <color indexed="81"/>
            <rFont val="Tahoma"/>
            <family val="2"/>
          </rPr>
          <t xml:space="preserve">
2016 Annual RIN</t>
        </r>
      </text>
    </comment>
    <comment ref="C57" authorId="0">
      <text>
        <r>
          <rPr>
            <b/>
            <sz val="9"/>
            <color indexed="81"/>
            <rFont val="Tahoma"/>
            <family val="2"/>
          </rPr>
          <t>Author:</t>
        </r>
        <r>
          <rPr>
            <sz val="9"/>
            <color indexed="81"/>
            <rFont val="Tahoma"/>
            <family val="2"/>
          </rPr>
          <t xml:space="preserve">
Previous approved tariff model</t>
        </r>
      </text>
    </comment>
  </commentList>
</comments>
</file>

<file path=xl/comments5.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6.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7.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8.xml><?xml version="1.0" encoding="utf-8"?>
<comments xmlns="http://schemas.openxmlformats.org/spreadsheetml/2006/main">
  <authors>
    <author>Author</author>
  </authors>
  <commentList>
    <comment ref="C16" authorId="0">
      <text>
        <r>
          <rPr>
            <b/>
            <sz val="9"/>
            <color indexed="81"/>
            <rFont val="Tahoma"/>
            <family val="2"/>
          </rPr>
          <t>Author:</t>
        </r>
        <r>
          <rPr>
            <sz val="9"/>
            <color indexed="81"/>
            <rFont val="Tahoma"/>
            <family val="2"/>
          </rPr>
          <t xml:space="preserve">
Not required for 2018 on</t>
        </r>
      </text>
    </comment>
    <comment ref="C34" authorId="0">
      <text>
        <r>
          <rPr>
            <b/>
            <sz val="9"/>
            <color indexed="81"/>
            <rFont val="Tahoma"/>
            <family val="2"/>
          </rPr>
          <t>AER:</t>
        </r>
        <r>
          <rPr>
            <sz val="9"/>
            <color indexed="81"/>
            <rFont val="Tahoma"/>
            <family val="2"/>
          </rPr>
          <t xml:space="preserve">
Nil in RIN for SCS. Only in 'audited stat accounts'.</t>
        </r>
      </text>
    </comment>
    <comment ref="C39" authorId="0">
      <text>
        <r>
          <rPr>
            <b/>
            <sz val="9"/>
            <color indexed="81"/>
            <rFont val="Tahoma"/>
            <family val="2"/>
          </rPr>
          <t>Author:</t>
        </r>
        <r>
          <rPr>
            <sz val="9"/>
            <color indexed="81"/>
            <rFont val="Tahoma"/>
            <family val="2"/>
          </rPr>
          <t xml:space="preserve">
Previous pricing proposal model.</t>
        </r>
      </text>
    </comment>
    <comment ref="C42" authorId="0">
      <text>
        <r>
          <rPr>
            <b/>
            <sz val="9"/>
            <color indexed="81"/>
            <rFont val="Tahoma"/>
            <family val="2"/>
          </rPr>
          <t>Author:</t>
        </r>
        <r>
          <rPr>
            <sz val="9"/>
            <color indexed="81"/>
            <rFont val="Tahoma"/>
            <family val="2"/>
          </rPr>
          <t xml:space="preserve">
2016 Annual RIN (and TUoS cost audit template sheet)</t>
        </r>
      </text>
    </comment>
  </commentList>
</comments>
</file>

<file path=xl/comments9.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10.xml><?xml version="1.0" encoding="utf-8"?>
<comments xmlns="http://schemas.openxmlformats.org/spreadsheetml/2006/main">
  <authors>
    <author>Author</author>
  </authors>
  <commentList>
    <comment ref="C16" authorId="0">
      <text>
        <r>
          <rPr>
            <b/>
            <sz val="9"/>
            <color indexed="81"/>
            <rFont val="Tahoma"/>
            <family val="2"/>
          </rPr>
          <t>Author:</t>
        </r>
        <r>
          <rPr>
            <sz val="9"/>
            <color indexed="81"/>
            <rFont val="Tahoma"/>
            <family val="2"/>
          </rPr>
          <t xml:space="preserve">
No longer required for 2018 on.</t>
        </r>
      </text>
    </comment>
    <comment ref="C32" authorId="0">
      <text>
        <r>
          <rPr>
            <b/>
            <sz val="9"/>
            <color indexed="81"/>
            <rFont val="Tahoma"/>
            <family val="2"/>
          </rPr>
          <t>Author:</t>
        </r>
        <r>
          <rPr>
            <sz val="9"/>
            <color indexed="81"/>
            <rFont val="Tahoma"/>
            <family val="2"/>
          </rPr>
          <t xml:space="preserve">
2016 Annual RIN</t>
        </r>
      </text>
    </comment>
    <comment ref="C37" authorId="0">
      <text>
        <r>
          <rPr>
            <b/>
            <sz val="9"/>
            <color indexed="81"/>
            <rFont val="Tahoma"/>
            <family val="2"/>
          </rPr>
          <t>Author:</t>
        </r>
        <r>
          <rPr>
            <sz val="9"/>
            <color indexed="81"/>
            <rFont val="Tahoma"/>
            <family val="2"/>
          </rPr>
          <t xml:space="preserve">
Previous approved Tariff model</t>
        </r>
      </text>
    </comment>
    <comment ref="C40" authorId="0">
      <text>
        <r>
          <rPr>
            <b/>
            <sz val="9"/>
            <color indexed="81"/>
            <rFont val="Tahoma"/>
            <family val="2"/>
          </rPr>
          <t>Author:</t>
        </r>
        <r>
          <rPr>
            <sz val="9"/>
            <color indexed="81"/>
            <rFont val="Tahoma"/>
            <family val="2"/>
          </rPr>
          <t xml:space="preserve">
2016 Annual RIN</t>
        </r>
      </text>
    </comment>
  </commentList>
</comments>
</file>

<file path=xl/sharedStrings.xml><?xml version="1.0" encoding="utf-8"?>
<sst xmlns="http://schemas.openxmlformats.org/spreadsheetml/2006/main" count="1630" uniqueCount="844">
  <si>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</si>
  <si>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</si>
  <si>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</si>
  <si>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</si>
  <si>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</si>
  <si>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</si>
  <si>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</si>
  <si>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</si>
  <si>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</si>
  <si>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</si>
  <si>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</si>
  <si>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</si>
  <si>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</si>
  <si>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</si>
  <si>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</si>
  <si>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</si>
  <si>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</si>
  <si>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</si>
  <si>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</si>
  <si>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</si>
  <si>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</si>
  <si>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</si>
  <si>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</si>
  <si>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</si>
  <si>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</si>
  <si>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</si>
  <si>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</si>
  <si>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</si>
  <si>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</si>
  <si>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</si>
  <si>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</si>
  <si>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</si>
  <si>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</si>
  <si>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</si>
  <si>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</si>
  <si>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</si>
  <si>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</si>
  <si>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</si>
  <si>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</si>
  <si>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</si>
  <si>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</si>
  <si>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</si>
  <si>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</si>
  <si>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</si>
  <si>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</si>
  <si>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</si>
  <si>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</si>
  <si>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</si>
  <si>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</si>
  <si>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</si>
  <si>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</si>
  <si>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</si>
  <si>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</si>
  <si>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</si>
  <si>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</si>
  <si>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</si>
  <si>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</si>
  <si>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</si>
  <si>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</si>
  <si>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</si>
  <si>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</si>
  <si>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</si>
  <si>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</si>
  <si>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</si>
  <si>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</si>
  <si>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</si>
  <si>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</si>
  <si>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</si>
  <si>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</si>
  <si>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</si>
  <si>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</si>
  <si>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</si>
  <si>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</si>
  <si>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</si>
  <si>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</si>
  <si>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</si>
  <si>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</si>
  <si>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</si>
  <si>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</si>
  <si>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</si>
  <si>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</si>
  <si>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</si>
  <si>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</si>
  <si>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</si>
  <si>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</si>
  <si>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</si>
  <si>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</si>
  <si>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</si>
  <si>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</si>
  <si>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</si>
  <si>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</si>
  <si>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</si>
  <si>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</si>
  <si>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</si>
  <si>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</si>
  <si>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</si>
  <si>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</si>
  <si>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</si>
  <si>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</si>
  <si>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</si>
  <si>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</si>
  <si>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</si>
  <si>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</si>
  <si>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</si>
  <si>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</si>
  <si>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</si>
  <si>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</si>
  <si>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</si>
  <si>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</si>
  <si>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</si>
  <si>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</si>
  <si>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</si>
  <si>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</si>
  <si>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</si>
  <si>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</si>
  <si>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</si>
  <si>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</si>
  <si>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</si>
  <si>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</si>
  <si>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</si>
  <si>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</si>
  <si>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</si>
  <si>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</si>
  <si>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</si>
  <si>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</si>
  <si>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</si>
  <si>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</si>
  <si>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</si>
  <si>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</si>
  <si>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</si>
  <si>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</si>
  <si>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</si>
  <si>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</si>
  <si>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</si>
  <si>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</si>
  <si>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</si>
  <si>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</si>
  <si>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</si>
  <si>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PropTar
WtrBlk4</t>
  </si>
  <si>
    <t>ExistTar
Fixed</t>
  </si>
  <si>
    <t>ExistTar
OPkBlk1</t>
  </si>
  <si>
    <t>ExistTar
SumBlk1</t>
  </si>
  <si>
    <t>ExistTar
SumBlk2</t>
  </si>
  <si>
    <t>ExistTar
SumBlk3</t>
  </si>
  <si>
    <t>ExistTar
WtrBlk1</t>
  </si>
  <si>
    <t>ExistTar
WtrBlk2</t>
  </si>
  <si>
    <t>ExistTar
WtrBlk3</t>
  </si>
  <si>
    <t>ExistTar
WtrBlk4</t>
  </si>
  <si>
    <t>PropRev
Fixed</t>
  </si>
  <si>
    <t>PropRev
PkBlk1</t>
  </si>
  <si>
    <t>PropRev
PkBlk2</t>
  </si>
  <si>
    <t>PropRev
PkBlk3</t>
  </si>
  <si>
    <t>PropRev
PkBlk4</t>
  </si>
  <si>
    <t>PropRev
OPkBlk1</t>
  </si>
  <si>
    <t>PropRev
OPkBlk2</t>
  </si>
  <si>
    <t>PropRev
OPkBlk3</t>
  </si>
  <si>
    <t>PropRev
OPkBlk4</t>
  </si>
  <si>
    <t>PropRev
DemBlk1</t>
  </si>
  <si>
    <t>PropRev
DemBlk2</t>
  </si>
  <si>
    <t>PropRev
DemBlk3</t>
  </si>
  <si>
    <t>PropRev
DemBlk4</t>
  </si>
  <si>
    <t>PropRev
SumBlk1</t>
  </si>
  <si>
    <t>PropRev
SumBlk2</t>
  </si>
  <si>
    <t>PropRev
SumBlk3</t>
  </si>
  <si>
    <t>PropRev
SumBlk4</t>
  </si>
  <si>
    <t>PropRev
WtrBlk1</t>
  </si>
  <si>
    <t>PropRev
WtrBlk2</t>
  </si>
  <si>
    <t>PropRev
WtrBlk3</t>
  </si>
  <si>
    <t>PropRev
WtrBlk4</t>
  </si>
  <si>
    <t>PropRev
Total</t>
  </si>
  <si>
    <t>ExistRev
Fixed</t>
  </si>
  <si>
    <t>ExistRev
PkBlk1</t>
  </si>
  <si>
    <t>ExistRev
PkBlk2</t>
  </si>
  <si>
    <t>ExistRev
PkBlk3</t>
  </si>
  <si>
    <t>ExistRev
PkBlk4</t>
  </si>
  <si>
    <t>ExistRev
OPkBlk1</t>
  </si>
  <si>
    <t>ExistRev
OPkBlk2</t>
  </si>
  <si>
    <t>ExistRev
OPkBlk3</t>
  </si>
  <si>
    <t>ExistRev
OPkBlk4</t>
  </si>
  <si>
    <t>ExistRev
DemBlk1</t>
  </si>
  <si>
    <t>ExistRev
DemBlk2</t>
  </si>
  <si>
    <t>ExistRev
DemBlk3</t>
  </si>
  <si>
    <t>ExistRev
DemBlk4</t>
  </si>
  <si>
    <t>ExistRev
SumBlk1</t>
  </si>
  <si>
    <t>ExistRev
SumBlk2</t>
  </si>
  <si>
    <t>ExistRev
SumBlk3</t>
  </si>
  <si>
    <t>ExistRev
SumBlk4</t>
  </si>
  <si>
    <t>ExistRev
WtrBlk1</t>
  </si>
  <si>
    <t>ExistRev
WtrBlk2</t>
  </si>
  <si>
    <t>ExistRev
WtrBlk3</t>
  </si>
  <si>
    <t>ExistRev
WtrBlk4</t>
  </si>
  <si>
    <t>ExistRev
Total</t>
  </si>
  <si>
    <t>FcastVol
Fixed</t>
  </si>
  <si>
    <t>FcastVol
PkBlk1</t>
  </si>
  <si>
    <t>FcastVol
PkBlk2</t>
  </si>
  <si>
    <t>FcastVol
PkBlk3</t>
  </si>
  <si>
    <t>FcastVol
PkBlk4</t>
  </si>
  <si>
    <t>FcastVol
OPkBlk1</t>
  </si>
  <si>
    <t>FcastVol
OPkBlk2</t>
  </si>
  <si>
    <t>FcastVol
OPkBlk3</t>
  </si>
  <si>
    <t>FcastVol
OPkBlk4</t>
  </si>
  <si>
    <t>FcastVol
DemBlk1</t>
  </si>
  <si>
    <t>FcastVol
DemBlk2</t>
  </si>
  <si>
    <t>FcastVol
DemBlk3</t>
  </si>
  <si>
    <t>FcastVol
DemBlk4</t>
  </si>
  <si>
    <t>FcastVol
SumBlk1</t>
  </si>
  <si>
    <t>FcastVol
SumBlk2</t>
  </si>
  <si>
    <t>FcastVol
SumBlk3</t>
  </si>
  <si>
    <t>FcastVol
SumBlk4</t>
  </si>
  <si>
    <t>FcastVol
WtrBlk1</t>
  </si>
  <si>
    <t>FcastVol
WtrBlk2</t>
  </si>
  <si>
    <t>FcastVol
WtrBlk3</t>
  </si>
  <si>
    <t>FcastVol
WtrBlk4</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</si>
  <si>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</si>
  <si>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</si>
  <si>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</si>
  <si>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</si>
  <si>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</si>
  <si>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</si>
  <si>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</si>
  <si>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</si>
  <si>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</si>
  <si>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</si>
  <si>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</si>
  <si>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</si>
  <si>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</si>
  <si>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</si>
  <si>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</si>
  <si>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</si>
  <si>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</si>
  <si>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</si>
  <si>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</si>
  <si>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</si>
  <si>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</si>
  <si>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</si>
  <si>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</si>
  <si>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</si>
  <si>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</si>
  <si>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</si>
  <si>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</si>
  <si>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</si>
  <si>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</si>
  <si>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Current
Fixed</t>
  </si>
  <si>
    <t>Current
SumBlk1</t>
  </si>
  <si>
    <t>Current
SumBlk2</t>
  </si>
  <si>
    <t>Current
SumBlk3</t>
  </si>
  <si>
    <t>Current
WtrBlk1</t>
  </si>
  <si>
    <t>Current
WtrBlk2</t>
  </si>
  <si>
    <t>Current
WtrBlk3</t>
  </si>
  <si>
    <t>EstRev
Fixed</t>
  </si>
  <si>
    <t>EstRev
OPkBlk1</t>
  </si>
  <si>
    <t>EstRev
SumBlk1</t>
  </si>
  <si>
    <t>EstRev
SumBlk2</t>
  </si>
  <si>
    <t>EstRev
SumBlk3</t>
  </si>
  <si>
    <t>EstRev
WtrBlk1</t>
  </si>
  <si>
    <t>EstRev
WtrBlk2</t>
  </si>
  <si>
    <t>EstRev
WtrBlk3</t>
  </si>
  <si>
    <t>EstRev
WtrBlk4</t>
  </si>
  <si>
    <t>EstRev
Total</t>
  </si>
  <si>
    <t>Current
OPkBlk1</t>
  </si>
  <si>
    <t>EstVol
Fixed</t>
  </si>
  <si>
    <t>EstVol
OPkBlk1</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</si>
  <si>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</si>
  <si>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</si>
  <si>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</si>
  <si>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</si>
  <si>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</si>
  <si>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</si>
  <si>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</si>
  <si>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</si>
  <si>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</si>
  <si>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</si>
  <si>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</si>
  <si>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</si>
  <si>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</si>
  <si>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</si>
  <si>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</si>
  <si>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</si>
  <si>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</si>
  <si>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</si>
  <si>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</si>
  <si>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</si>
  <si>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Grid equalisation</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</si>
  <si>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</si>
  <si>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</si>
  <si>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</si>
  <si>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</si>
  <si>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</si>
  <si>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</si>
  <si>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</si>
  <si>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</si>
  <si>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payments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</si>
  <si>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</si>
  <si>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</si>
  <si>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</si>
  <si>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</si>
  <si>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</si>
  <si>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</si>
  <si>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</si>
  <si>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</si>
  <si>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</si>
  <si>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</si>
  <si>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</si>
  <si>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</si>
  <si>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</si>
  <si>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</si>
  <si>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</si>
  <si>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</si>
  <si>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</si>
  <si>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</si>
  <si>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</si>
  <si>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</si>
  <si>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</si>
  <si>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</si>
  <si>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</si>
  <si>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</si>
  <si>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</si>
  <si>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</si>
  <si>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</si>
  <si>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</si>
  <si>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</si>
  <si>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</si>
  <si>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</si>
  <si>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</si>
  <si>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</si>
  <si>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</si>
  <si>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</si>
  <si>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</si>
  <si>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</si>
  <si>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</si>
  <si>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</si>
  <si>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</si>
  <si>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</si>
  <si>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</si>
  <si>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</si>
  <si>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</si>
  <si>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</si>
  <si>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</si>
  <si>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</si>
  <si>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</si>
  <si>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</si>
  <si>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</si>
  <si>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</si>
  <si>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</si>
  <si>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</si>
  <si>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</si>
  <si>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</si>
  <si>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</si>
  <si>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</si>
  <si>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</si>
  <si>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</si>
  <si>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</si>
  <si>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</si>
  <si>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</si>
  <si>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</si>
  <si>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</si>
  <si>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</si>
  <si>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</si>
  <si>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</si>
  <si>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</si>
  <si>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</si>
  <si>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</si>
  <si>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</si>
  <si>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</si>
  <si>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</si>
  <si>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</si>
  <si>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</si>
  <si>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</si>
  <si>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</si>
  <si>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</si>
  <si>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</si>
  <si>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</si>
  <si>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</si>
  <si>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</si>
  <si>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</si>
  <si>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</si>
  <si>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</si>
  <si>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</si>
  <si>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</si>
  <si>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</si>
  <si>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</si>
  <si>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</si>
  <si>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</si>
  <si>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</si>
  <si>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</si>
  <si>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</si>
  <si>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</si>
  <si>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</si>
  <si>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</si>
  <si>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</si>
  <si>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</si>
  <si>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</si>
  <si>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</si>
  <si>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</si>
  <si>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</si>
  <si>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</si>
  <si>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</si>
  <si>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</si>
  <si>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</si>
  <si>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</si>
  <si>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</si>
  <si>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</si>
  <si>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</si>
  <si>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</si>
  <si>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</si>
  <si>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</si>
  <si>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</si>
  <si>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</si>
  <si>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</si>
  <si>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</si>
  <si>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</si>
  <si>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</si>
  <si>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</si>
  <si>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</si>
  <si>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</si>
  <si>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</si>
  <si>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</si>
  <si>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</si>
  <si>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</si>
  <si>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</si>
  <si>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</si>
  <si>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</si>
  <si>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UE</t>
  </si>
  <si>
    <t>Pass Through revenue under/over recovery for years 2014 and 2015</t>
  </si>
  <si>
    <t>+Pass Through revenue under/over recovery for years 2014 and 2015</t>
  </si>
  <si>
    <t>Table 4- B factor for year t</t>
  </si>
  <si>
    <t>Table 5 - License Fee Recovery Amount for year t</t>
  </si>
  <si>
    <t>Table 6 - DUoS Recovery Arrangements</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</si>
  <si>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</si>
  <si>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</si>
  <si>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</si>
  <si>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</si>
  <si>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</si>
  <si>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</si>
  <si>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</si>
  <si>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</si>
  <si>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</si>
  <si>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</si>
  <si>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</si>
  <si>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</si>
  <si>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</si>
  <si>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</si>
  <si>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</si>
  <si>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</si>
  <si>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</si>
  <si>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</si>
  <si>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</si>
  <si>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</si>
  <si>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</si>
  <si>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</si>
  <si>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</si>
  <si>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</si>
  <si>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</si>
  <si>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</si>
  <si>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</si>
  <si>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</si>
  <si>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</si>
  <si>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</si>
  <si>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</si>
  <si>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</si>
  <si>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</si>
  <si>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</si>
  <si>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</si>
  <si>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</si>
  <si>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</si>
  <si>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</si>
  <si>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</si>
  <si>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</si>
  <si>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</si>
  <si>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</si>
  <si>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</si>
  <si>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</si>
  <si>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</si>
  <si>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</si>
  <si>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</si>
  <si>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</si>
  <si>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</si>
  <si>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</si>
  <si>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</si>
  <si>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</si>
  <si>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</si>
  <si>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</si>
  <si>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</si>
  <si>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</si>
  <si>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</si>
  <si>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</si>
  <si>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</si>
  <si>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</si>
  <si>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</si>
  <si>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</si>
  <si>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</si>
  <si>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</si>
  <si>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</si>
  <si>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</si>
  <si>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</si>
  <si>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</si>
  <si>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</si>
  <si>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</si>
  <si>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</si>
  <si>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</si>
  <si>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</si>
  <si>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</si>
  <si>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</si>
  <si>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</si>
  <si>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</si>
  <si>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</si>
  <si>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</si>
  <si>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</si>
  <si>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</si>
  <si>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</si>
  <si>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</si>
  <si>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</si>
  <si>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</si>
  <si>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</si>
  <si>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</si>
  <si>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</si>
  <si>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</si>
  <si>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</si>
  <si>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</si>
  <si>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</si>
  <si>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</si>
  <si>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</si>
  <si>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</si>
  <si>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</si>
  <si>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</si>
  <si>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</si>
  <si>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</si>
  <si>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</si>
  <si>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</si>
  <si>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</si>
  <si>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</si>
  <si>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</si>
  <si>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</si>
  <si>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</si>
  <si>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</si>
  <si>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</si>
  <si>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</si>
  <si>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</si>
  <si>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</si>
  <si>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</si>
  <si>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</si>
  <si>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</si>
  <si>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AEMO (TUOS Usage)</t>
  </si>
  <si>
    <t>AEMO (TUOS General and Common Service)</t>
  </si>
  <si>
    <t>Ausnet Services (Connection)</t>
  </si>
  <si>
    <t>Ausnet Services (Augmentation)</t>
  </si>
  <si>
    <t>Residential Single Rate</t>
  </si>
  <si>
    <t>Residential Single Rate - Bulk</t>
  </si>
  <si>
    <t>Residential - flexible pricing</t>
  </si>
  <si>
    <t>Residential - flexible pricing bulk</t>
  </si>
  <si>
    <t>Residential Two Rate 5d</t>
  </si>
  <si>
    <t>Residential Two Rate 5d - Bulk</t>
  </si>
  <si>
    <t>Residential Interval</t>
  </si>
  <si>
    <t>Residential Interval - Bulk</t>
  </si>
  <si>
    <t>Residential Two Rate 5d - Controlled Load</t>
  </si>
  <si>
    <t>Residential Two Rate 5d - Bulk - Controlled Load</t>
  </si>
  <si>
    <t>Dedicated Circuit</t>
  </si>
  <si>
    <t>Dedicated Circuit - Bulk</t>
  </si>
  <si>
    <t>Non-Residential Single Rate</t>
  </si>
  <si>
    <t>Non-Residential Single Rate - Bulk</t>
  </si>
  <si>
    <t>Non-Residential Two Rate 5d</t>
  </si>
  <si>
    <t>Non-Residential Two Rate 5d - Bulk</t>
  </si>
  <si>
    <t>Non-Residential Interval</t>
  </si>
  <si>
    <t>Non-Residential Interval - Bulk</t>
  </si>
  <si>
    <t>Non-Residential Flexible Pricing</t>
  </si>
  <si>
    <t>Non-Residential - Flexible Pricing Bulk</t>
  </si>
  <si>
    <t>Non-Residential Two Rate 7d</t>
  </si>
  <si>
    <t>Non-Residential Two Rate 7d - Bulk</t>
  </si>
  <si>
    <t>Large Two Rate 7d</t>
  </si>
  <si>
    <t>Unmetered Supplies / Public Lighting</t>
  </si>
  <si>
    <t>Large Low Voltage Demand</t>
  </si>
  <si>
    <t>Large Low Voltage Demand - Bulk</t>
  </si>
  <si>
    <t>Large Low Voltage Demand R</t>
  </si>
  <si>
    <t>Large Low Voltage Demand G</t>
  </si>
  <si>
    <t>Large Low Voltage Demand - Bulk R</t>
  </si>
  <si>
    <t>Large Low Voltage Demand - Bulk G</t>
  </si>
  <si>
    <t>High Voltage Demand</t>
  </si>
  <si>
    <t>High Voltage Demand D1</t>
  </si>
  <si>
    <t>High Voltage Demand R</t>
  </si>
  <si>
    <t>High Voltage Demand G</t>
  </si>
  <si>
    <t>High Voltage</t>
  </si>
  <si>
    <t xml:space="preserve">Subtransmission </t>
  </si>
  <si>
    <t>Year t-1</t>
  </si>
  <si>
    <t>Nominal WACC</t>
  </si>
  <si>
    <t>Interest on Opening balance</t>
  </si>
  <si>
    <t>Nominal</t>
  </si>
  <si>
    <t>DMIA Carryover adjustment</t>
  </si>
  <si>
    <t>2011-15</t>
  </si>
  <si>
    <t>CPI - PTRM</t>
  </si>
  <si>
    <t>Nominal Vanilla WACC - PTRM</t>
  </si>
  <si>
    <t>Ex-ante revenue minus ex post expenditure ($nominal)</t>
  </si>
  <si>
    <t>UED</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</si>
  <si>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</si>
  <si>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</si>
  <si>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</si>
  <si>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</si>
  <si>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Residential Demand</t>
  </si>
  <si>
    <t>Residential Bulk Demand</t>
  </si>
  <si>
    <t>Non-Residential Demand Tariff</t>
  </si>
  <si>
    <t>Non-Residential Bulk Demand Tariff</t>
  </si>
  <si>
    <t>Medium business</t>
  </si>
  <si>
    <t>Medium business bulk</t>
  </si>
  <si>
    <t>Large low Voltage</t>
  </si>
  <si>
    <t>Large low Voltage Bulk</t>
  </si>
  <si>
    <t>High Voltage Bulk</t>
  </si>
  <si>
    <t>Subtransmission</t>
  </si>
  <si>
    <t>PropTar
Anytime</t>
  </si>
  <si>
    <t>PropTar
PkBlk</t>
  </si>
  <si>
    <t>PropTar
Dem kVA</t>
  </si>
  <si>
    <t>PropTar
Dem kW</t>
  </si>
  <si>
    <t>PropTar
Dem kW Sum</t>
  </si>
  <si>
    <t>PropTar
Dem kW Win</t>
  </si>
  <si>
    <t>FcastVol
Anytime</t>
  </si>
  <si>
    <t>FcastVol
Pk</t>
  </si>
  <si>
    <t>FcastVol
Opk</t>
  </si>
  <si>
    <t>FcastVol
Dem kVA</t>
  </si>
  <si>
    <t>FcastVol
Dem kW</t>
  </si>
  <si>
    <t>FcastVol
Dem kW Sum</t>
  </si>
  <si>
    <t>FcastVol
Dem kW Win</t>
  </si>
  <si>
    <t>ExistTar
Anytime</t>
  </si>
  <si>
    <t>ExistTar
PkBlk</t>
  </si>
  <si>
    <t>ExistTar
Dem kVA</t>
  </si>
  <si>
    <t>ExistTar
Dem kW</t>
  </si>
  <si>
    <t>ExistTar
Dem kW Sum</t>
  </si>
  <si>
    <t>ExistTar
Dem kW Win</t>
  </si>
  <si>
    <t>Current
Anytime</t>
  </si>
  <si>
    <t>Current
PkBlk</t>
  </si>
  <si>
    <t>Current
Dem kVA</t>
  </si>
  <si>
    <t>Current
Dem kW</t>
  </si>
  <si>
    <t>Current
Dem kW Sum</t>
  </si>
  <si>
    <t>Current
Dem kW Win</t>
  </si>
  <si>
    <t>EstVol
Anytime</t>
  </si>
  <si>
    <t>EstVol
PkBlk</t>
  </si>
  <si>
    <t>EstVol
Dem kVA</t>
  </si>
  <si>
    <t>EstVol
Dem kW</t>
  </si>
  <si>
    <t>EstVol
Dem kW Sum</t>
  </si>
  <si>
    <t>EstVol
Dem kW Win</t>
  </si>
  <si>
    <t>EstRev
Anytime</t>
  </si>
  <si>
    <t>EstRev
PkBlk</t>
  </si>
  <si>
    <t>EstRev
Dem kVA</t>
  </si>
  <si>
    <t>EstRev
Dem kW</t>
  </si>
  <si>
    <t>EstRev
Dem kW Sum</t>
  </si>
  <si>
    <t>EstRev
Dem kW Win</t>
  </si>
  <si>
    <t>PropRev
Anytime</t>
  </si>
  <si>
    <t>PropRev
Pk</t>
  </si>
  <si>
    <t>PropRev
Opk</t>
  </si>
  <si>
    <t>PropRev
Dem kVA</t>
  </si>
  <si>
    <t>PropRev
Dem kW</t>
  </si>
  <si>
    <t>PropRev
Dem kW Sum</t>
  </si>
  <si>
    <t>PropRev
Dem kW Win</t>
  </si>
  <si>
    <t>Adjustment</t>
  </si>
  <si>
    <t>EstVol
OPkBlk</t>
  </si>
  <si>
    <t>EstRev
Opk</t>
  </si>
  <si>
    <t>Relevant financial year (t-1)</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</si>
  <si>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</si>
  <si>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</si>
  <si>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</si>
  <si>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</si>
  <si>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</si>
  <si>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</si>
  <si>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</si>
  <si>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</si>
  <si>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</si>
  <si>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</si>
  <si>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</si>
  <si>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</si>
  <si>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Issue</t>
  </si>
  <si>
    <t>Location</t>
  </si>
  <si>
    <t>Item</t>
  </si>
  <si>
    <t>Comment</t>
  </si>
  <si>
    <t>Model update'!F37:F41</t>
  </si>
  <si>
    <t>Model update'!F54:F58</t>
  </si>
  <si>
    <t>DuoS Xt for2018</t>
  </si>
  <si>
    <t>Model update'!F66:F70</t>
  </si>
  <si>
    <t>Metering Xt for2018</t>
  </si>
  <si>
    <t>Model update'!F94:F98</t>
  </si>
  <si>
    <t>Model update'!F105:F109</t>
  </si>
  <si>
    <t>Model update'!F127:F131</t>
  </si>
  <si>
    <t>The following is test data to illustrate the workings of the model.</t>
  </si>
  <si>
    <t>Input data required from DNSPs</t>
  </si>
  <si>
    <t>Metering!D8:D10</t>
  </si>
  <si>
    <t>Metering!F8:F10</t>
  </si>
  <si>
    <t>Metering!D80:D82</t>
  </si>
  <si>
    <t>Prop2018DistTar!D7:W52</t>
  </si>
  <si>
    <t>Prop2018DistTar!AV27:BO52</t>
  </si>
  <si>
    <t>Est2017DistRev!Z7:AS52</t>
  </si>
  <si>
    <t>Prop2018TransTar!D7:W52</t>
  </si>
  <si>
    <t>2018TransRevCont'!C20:C23</t>
  </si>
  <si>
    <t>2018TransRevCont'!D42:D45</t>
  </si>
  <si>
    <t>Transmission charges for year t-1</t>
  </si>
  <si>
    <t>Prop2018JSTar!D7:W52</t>
  </si>
  <si>
    <t>2018JSRevCont'!C20:C21</t>
  </si>
  <si>
    <t>2018JSRevCont'!D40:D41</t>
  </si>
  <si>
    <t>PFIT &amp; TFIT charges for year t-1</t>
  </si>
  <si>
    <t>Ifactor (t) 2018</t>
  </si>
  <si>
    <t>S factor (t) 2018</t>
  </si>
  <si>
    <t>Licence Fee (t-1) 2017</t>
  </si>
  <si>
    <t>Proposed Metering Tariffs P(t) for 2018</t>
  </si>
  <si>
    <t>Forecast Quantities   (Qt) for 2018</t>
  </si>
  <si>
    <t>Estimated Quantities   (Qt-1) for 2017</t>
  </si>
  <si>
    <t>Proposed Distribution Tariffs (Pt) for 2018</t>
  </si>
  <si>
    <t>Forecast Quantities (Qt) for 2018</t>
  </si>
  <si>
    <t xml:space="preserve"> Estimated Distribution Quantities for 2017 (Qt-1)</t>
  </si>
  <si>
    <t>Proposed Transmission Tariffs (Pt) for 2018</t>
  </si>
  <si>
    <t>Proposed Jurisdictional scheme Tariffs (Pt) for 2018</t>
  </si>
  <si>
    <t>TSS name</t>
  </si>
  <si>
    <t>Proposal name</t>
  </si>
  <si>
    <t>Residential flat</t>
  </si>
  <si>
    <t>Residential flat (bulk)</t>
  </si>
  <si>
    <t>Residential flexible</t>
  </si>
  <si>
    <t>Residential flexible (bulk)</t>
  </si>
  <si>
    <t>Residential two rate 5d</t>
  </si>
  <si>
    <t>Residential two rate 5d (bulk)</t>
  </si>
  <si>
    <t>Residential cost-reflective</t>
  </si>
  <si>
    <t>Residential cost-reflective (bulk)</t>
  </si>
  <si>
    <t>Residential controlled load</t>
  </si>
  <si>
    <t>Residential controlled load (bulk)</t>
  </si>
  <si>
    <t>Small business flat</t>
  </si>
  <si>
    <t>Small business flat (bulk)</t>
  </si>
  <si>
    <t>Non-residential two rate 5d</t>
  </si>
  <si>
    <t>Non-residential two rate 5d (bulk)</t>
  </si>
  <si>
    <t>Non-residential flexible pricing</t>
  </si>
  <si>
    <t>Non-residential flexible pricing (bulk)</t>
  </si>
  <si>
    <t>Non-residential two rate 7d</t>
  </si>
  <si>
    <t>Non-residential two rate 7d (bulk)</t>
  </si>
  <si>
    <t>Large two rate 7d</t>
  </si>
  <si>
    <t>Small business cost-reflective</t>
  </si>
  <si>
    <t>Small business cost-reflective (bulk)</t>
  </si>
  <si>
    <t>Medium business (bulk)</t>
  </si>
  <si>
    <t>Unmetered supplies</t>
  </si>
  <si>
    <t>Large low voltage</t>
  </si>
  <si>
    <t>Large low voltage (bulk)</t>
  </si>
  <si>
    <t>High voltage</t>
  </si>
  <si>
    <t>n/a</t>
  </si>
  <si>
    <t>Materiality threshold</t>
  </si>
  <si>
    <t>Explanation required?</t>
  </si>
  <si>
    <t>Transmission connection fees</t>
  </si>
  <si>
    <t>Transmission connection (TCt)</t>
  </si>
  <si>
    <t>+Transmission connection</t>
  </si>
  <si>
    <t>IndTar
Fixed</t>
  </si>
  <si>
    <t>IndTar
Anytime</t>
  </si>
  <si>
    <t>IndTar
PkBlk</t>
  </si>
  <si>
    <t>IndTar
OPkBlk1</t>
  </si>
  <si>
    <t>IndTar
Dem kVA</t>
  </si>
  <si>
    <t>IndTar
Dem kW</t>
  </si>
  <si>
    <t>IndTar
Dem kW Sum</t>
  </si>
  <si>
    <t>IndTar
Dem kW Win</t>
  </si>
  <si>
    <t>IndTar
SumBlk1</t>
  </si>
  <si>
    <t>IndTar
SumBlk2</t>
  </si>
  <si>
    <t>IndTar
SumBlk3</t>
  </si>
  <si>
    <t>IndTar
WtrBlk1</t>
  </si>
  <si>
    <t>IndTar
WtrBlk2</t>
  </si>
  <si>
    <t>IndTar
WtrBlk3</t>
  </si>
  <si>
    <t>IndTar
WtrBlk4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</si>
  <si>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</si>
  <si>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</si>
  <si>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</si>
  <si>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</si>
  <si>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</si>
  <si>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</si>
  <si>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</si>
  <si>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</si>
  <si>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</si>
  <si>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</si>
  <si>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</si>
  <si>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</si>
  <si>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</si>
  <si>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</si>
  <si>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</si>
  <si>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</si>
  <si>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</si>
  <si>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</si>
  <si>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</si>
  <si>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</si>
  <si>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</si>
  <si>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Values updated for 2018 cost of debt</t>
  </si>
  <si>
    <t>Values updated</t>
  </si>
  <si>
    <t>Values may require updating</t>
  </si>
  <si>
    <t>C1R</t>
  </si>
  <si>
    <t>C1RB</t>
  </si>
  <si>
    <t>C13R</t>
  </si>
  <si>
    <t>C13RB</t>
  </si>
  <si>
    <t>C2R</t>
  </si>
  <si>
    <t>C2RB</t>
  </si>
  <si>
    <t>C3R</t>
  </si>
  <si>
    <t>C3RB</t>
  </si>
  <si>
    <t>C2ROP</t>
  </si>
  <si>
    <t>C2RBOP</t>
  </si>
  <si>
    <t>CDS</t>
  </si>
  <si>
    <t>CDSB</t>
  </si>
  <si>
    <t>CR</t>
  </si>
  <si>
    <t>CRB</t>
  </si>
  <si>
    <t>C1G</t>
  </si>
  <si>
    <t>C1GB</t>
  </si>
  <si>
    <t>C2G5</t>
  </si>
  <si>
    <t>C2G5B</t>
  </si>
  <si>
    <t>C3G</t>
  </si>
  <si>
    <t>C3GB</t>
  </si>
  <si>
    <t>C14G</t>
  </si>
  <si>
    <t>C14GB</t>
  </si>
  <si>
    <t>C2G7</t>
  </si>
  <si>
    <t>C2G7B</t>
  </si>
  <si>
    <t>C2L7</t>
  </si>
  <si>
    <t>CG</t>
  </si>
  <si>
    <t>CGB</t>
  </si>
  <si>
    <t>CMG</t>
  </si>
  <si>
    <t>Medium Business Demand</t>
  </si>
  <si>
    <t>CMGB</t>
  </si>
  <si>
    <t>Medium Business Bulk Demand</t>
  </si>
  <si>
    <t>CMGO</t>
  </si>
  <si>
    <t>Medium Business Opt-out</t>
  </si>
  <si>
    <t>-</t>
  </si>
  <si>
    <t>CMGBO</t>
  </si>
  <si>
    <t>Medium Business Bulk Opt-out</t>
  </si>
  <si>
    <t>C2U</t>
  </si>
  <si>
    <t>CLLV</t>
  </si>
  <si>
    <t>CLLVB</t>
  </si>
  <si>
    <t>CHV</t>
  </si>
  <si>
    <t>CST</t>
  </si>
  <si>
    <t xml:space="preserve">CR </t>
  </si>
  <si>
    <t>C2DL</t>
  </si>
  <si>
    <t>C2DLB</t>
  </si>
  <si>
    <t>C2DLER</t>
  </si>
  <si>
    <t>C2DLEG</t>
  </si>
  <si>
    <t>C2DLBER</t>
  </si>
  <si>
    <t>C2DLBEG</t>
  </si>
  <si>
    <t>C2DH</t>
  </si>
  <si>
    <t>C2DHD1</t>
  </si>
  <si>
    <t>C2DHER</t>
  </si>
  <si>
    <t>C2DHEG</t>
  </si>
  <si>
    <t>CHVB</t>
  </si>
  <si>
    <t>C2DT</t>
  </si>
  <si>
    <t>Tariff Approval - CitiPower</t>
  </si>
  <si>
    <t>COMPARISON OF 2018 PROPOSED AND TSS INDICATIVE DISTRIBUTION TARIFFS</t>
  </si>
  <si>
    <t>Proposed NUOS Tariffs (Pt) for 2018</t>
  </si>
  <si>
    <t>Indicative tariffs for 2018</t>
  </si>
  <si>
    <t>Percentage difference between proposed 2018 tariffs and indecative TSS tariffs</t>
  </si>
  <si>
    <t>This worksheet has been inserted by CitiPower</t>
  </si>
  <si>
    <t>2018 Volumes for 2017 Prices</t>
  </si>
  <si>
    <t>Tariffs</t>
  </si>
  <si>
    <t xml:space="preserve">Qt 2018 has been allocated per inserted worksheet Vol </t>
  </si>
  <si>
    <t>This enables allocations to tariffs that weren't available in 2017 such as Medium Business opt-out</t>
  </si>
  <si>
    <t>Note</t>
  </si>
  <si>
    <t>In 2017 there was no Medium Business opt-out tariff. No volumes / customer numbers have been allocated to these tariffs</t>
  </si>
</sst>
</file>

<file path=xl/styles.xml><?xml version="1.0" encoding="utf-8"?>
<styleSheet xmlns="http://schemas.openxmlformats.org/spreadsheetml/2006/main" xmlns:mc="http://schemas.openxmlformats.org/markup-compatibility/2006" xmlns:x14ac="http://schemas.microsoft.com/office/spreadsheetml/2009/9/ac" mc:Ignorable="x14ac">
  <numFmts count="6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0000"/>
    <numFmt numFmtId="176" formatCode="0.0%"/>
    <numFmt numFmtId="177" formatCode="_(* #,##0_);_(* \(#,##0\);_(* &quot;-&quot;??_);_(@_)"/>
    <numFmt numFmtId="178" formatCode="_(* #,##0_);_(* \(#,##0\);_(* &quot;-&quot;_);_(@_)"/>
    <numFmt numFmtId="179" formatCode="_([$€-2]* #,##0.00_);_([$€-2]* \(#,##0.00\);_([$€-2]* &quot;-&quot;??_)"/>
    <numFmt numFmtId="180" formatCode="_-* #,##0.00_-;[Red]\(#,##0.00\)_-;_-* &quot;-&quot;??_-;_-@_-"/>
    <numFmt numFmtId="181" formatCode="_(&quot;$&quot;* #,##0.00_);_(&quot;$&quot;* \(#,##0.00\);_(&quot;$&quot;* &quot;-&quot;??_);_(@_)"/>
    <numFmt numFmtId="182" formatCode="mm/dd/yy"/>
    <numFmt numFmtId="183" formatCode="0_);[Red]\(0\)"/>
    <numFmt numFmtId="184" formatCode="_(* #,##0.0_);_(* \(#,##0.0\);_(* &quot;-&quot;?_);_(@_)"/>
    <numFmt numFmtId="185" formatCode="_(* #,##0_);_(* \(#,##0\);_(* &quot;-&quot;?_);_(@_)"/>
    <numFmt numFmtId="186" formatCode="#,##0.000_ ;[Red]\-#,##0.000\ "/>
    <numFmt numFmtId="187" formatCode="#,##0.0_);\(#,##0.0\)"/>
    <numFmt numFmtId="188" formatCode="#,##0_ ;\-#,##0\ "/>
    <numFmt numFmtId="189" formatCode="#,##0;[Red]\(#,##0.0\)"/>
    <numFmt numFmtId="190" formatCode="#,##0_ ;[Red]\(#,##0\)\ "/>
    <numFmt numFmtId="191" formatCode="#,##0.00;\(#,##0.00\)"/>
    <numFmt numFmtId="192" formatCode="_)d\-mmm\-yy_)"/>
    <numFmt numFmtId="193" formatCode="_(#,##0.0_);\(#,##0.0\);_(&quot;-&quot;_)"/>
    <numFmt numFmtId="194" formatCode="_(###0_);\(###0\);_(###0_)"/>
    <numFmt numFmtId="195" formatCode="#,##0.0000_);[Red]\(#,##0.0000\)"/>
    <numFmt numFmtId="196" formatCode="&quot;Check&quot;;&quot;Check&quot;;&quot;OK&quot;"/>
    <numFmt numFmtId="197" formatCode="#,##0_);\(#,##0\);\-\-_)"/>
    <numFmt numFmtId="198" formatCode="[$-409]d\-mmm\-yy;&quot;nm&quot;;&quot;nm&quot;"/>
    <numFmt numFmtId="199" formatCode="_(&quot;$&quot;#,##0.0_);\(&quot;$&quot;#,##0.0\);_(&quot;$&quot;#,##0.0_)"/>
    <numFmt numFmtId="200" formatCode="d/m/yy"/>
    <numFmt numFmtId="201" formatCode="_(#,##0.0\x_);\(#,##0.0\x\);_(#,##0.0\x_)"/>
    <numFmt numFmtId="202" formatCode="_(#,##0.0_);\(#,##0.0\);_(#,##0.0_)"/>
    <numFmt numFmtId="203" formatCode="_(#,##0.0%_);\(#,##0.0%\);_(#,##0.0%_)"/>
    <numFmt numFmtId="204" formatCode="_)d/m/yy_)"/>
    <numFmt numFmtId="205" formatCode="0.000_)"/>
    <numFmt numFmtId="206" formatCode="_(&quot;Rp.&quot;* #,##0_);_(&quot;Rp.&quot;* \(#,##0\);_(&quot;Rp.&quot;* &quot;-&quot;_);_(@_)"/>
    <numFmt numFmtId="207" formatCode="00000"/>
    <numFmt numFmtId="208" formatCode="_-[$€-2]* #,##0.00_-;\-[$€-2]* #,##0.00_-;_-[$€-2]* &quot;-&quot;??_-"/>
    <numFmt numFmtId="209" formatCode="&quot;Rp.&quot;#,##0.00_);\(&quot;Rp.&quot;#,##0.00\)"/>
    <numFmt numFmtId="210" formatCode="0.00%;_*\(0.00\)%"/>
    <numFmt numFmtId="211" formatCode="#,##0\ &quot;bps&quot;;\-#,##0\ &quot;bps&quot;;#,##0\ &quot;bps&quot;"/>
    <numFmt numFmtId="212" formatCode="[$-409]mmm\-yy;&quot;nm&quot;;&quot;nm&quot;"/>
    <numFmt numFmtId="213" formatCode="#,##0\ &quot;days&quot;;\-#,##0\ &quot;days&quot;"/>
    <numFmt numFmtId="214" formatCode="#,##0.000,,_);\(#,##0.000,,\);\-\-_)"/>
    <numFmt numFmtId="215" formatCode="#,##0\ &quot;mths&quot;;\-#,##0\ &quot;mths&quot;;#,##0\ &quot;mths&quot;"/>
    <numFmt numFmtId="216" formatCode="0.00\x;\-0.00\x;0.00\x"/>
    <numFmt numFmtId="217" formatCode="0.00%;\-0.00%;\-\-\%"/>
    <numFmt numFmtId="218" formatCode="#,##0.000,_);\(#,##0.000,\);\-\-_)"/>
    <numFmt numFmtId="219" formatCode="#,##0\ &quot;yrs&quot;;\-#,##0\ &quot;yrs&quot;;@_x"/>
    <numFmt numFmtId="220" formatCode="_(#,##0_);\(#,##0\);_(#,##0_)"/>
    <numFmt numFmtId="221" formatCode="_-* #,##0.0_-;\(\ #,##0.0\)"/>
    <numFmt numFmtId="222" formatCode="General_)"/>
    <numFmt numFmtId="223" formatCode="0_)"/>
    <numFmt numFmtId="224" formatCode="\+0.0%;[Red]\-0.0%;\-"/>
  </numFmts>
  <fonts count="174">
    <font>
      <sz val="10"/>
      <color theme="1"/>
      <name val="Arial"/>
      <family val="2"/>
    </font>
    <font>
      <sz val="10"/>
      <color theme="1"/>
      <name val="Verdana"/>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sz val="10"/>
      <color rgb="FF0000FF"/>
      <name val="Verdana"/>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b/>
      <sz val="10"/>
      <color rgb="FF0000FF"/>
      <name val="Arial"/>
      <family val="2"/>
    </font>
    <font>
      <b/>
      <sz val="11"/>
      <color rgb="FFFF0000"/>
      <name val="Arial"/>
      <family val="2"/>
    </font>
    <font>
      <b/>
      <sz val="18"/>
      <color theme="3"/>
      <name val="Cambria"/>
      <family val="2"/>
      <scheme val="major"/>
    </font>
    <font>
      <b/>
      <sz val="15"/>
      <color theme="3"/>
      <name val="Verdana"/>
      <family val="2"/>
    </font>
    <font>
      <b/>
      <sz val="13"/>
      <color theme="3"/>
      <name val="Verdana"/>
      <family val="2"/>
    </font>
    <font>
      <b/>
      <sz val="11"/>
      <color theme="3"/>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3F3F3F"/>
      <name val="Verdana"/>
      <family val="2"/>
    </font>
    <font>
      <b/>
      <sz val="10"/>
      <color rgb="FFFA7D00"/>
      <name val="Verdana"/>
      <family val="2"/>
    </font>
    <font>
      <sz val="10"/>
      <color rgb="FFFA7D00"/>
      <name val="Verdana"/>
      <family val="2"/>
    </font>
    <font>
      <b/>
      <sz val="10"/>
      <color theme="0"/>
      <name val="Verdana"/>
      <family val="2"/>
    </font>
    <font>
      <sz val="10"/>
      <color rgb="FFFF0000"/>
      <name val="Verdana"/>
      <family val="2"/>
    </font>
    <font>
      <i/>
      <sz val="10"/>
      <color rgb="FF7F7F7F"/>
      <name val="Verdana"/>
      <family val="2"/>
    </font>
    <font>
      <b/>
      <sz val="10"/>
      <color theme="1"/>
      <name val="Verdana"/>
      <family val="2"/>
    </font>
    <font>
      <sz val="10"/>
      <color theme="0"/>
      <name val="Verdana"/>
      <family val="2"/>
    </font>
    <font>
      <b/>
      <sz val="16"/>
      <color indexed="9"/>
      <name val="Arial"/>
      <family val="2"/>
    </font>
    <font>
      <b/>
      <sz val="9"/>
      <name val="Arial"/>
      <family val="2"/>
    </font>
    <font>
      <sz val="10"/>
      <name val="Helv"/>
      <charset val="204"/>
    </font>
    <font>
      <sz val="14"/>
      <name val="System"/>
      <family val="2"/>
    </font>
    <font>
      <sz val="11"/>
      <color indexed="9"/>
      <name val="Calibri"/>
      <family val="2"/>
    </font>
    <font>
      <sz val="9"/>
      <name val="AGaramond"/>
    </font>
    <font>
      <sz val="10"/>
      <name val="Times New Roman"/>
      <family val="1"/>
    </font>
    <font>
      <sz val="11"/>
      <color indexed="20"/>
      <name val="Calibri"/>
      <family val="2"/>
    </font>
    <font>
      <sz val="10"/>
      <name val="Helvetica"/>
      <family val="2"/>
    </font>
    <font>
      <sz val="10"/>
      <color indexed="12"/>
      <name val="Helvetica"/>
      <family val="2"/>
    </font>
    <font>
      <b/>
      <sz val="11"/>
      <color indexed="52"/>
      <name val="Calibri"/>
      <family val="2"/>
    </font>
    <font>
      <b/>
      <sz val="11"/>
      <color indexed="9"/>
      <name val="Calibri"/>
      <family val="2"/>
    </font>
    <font>
      <sz val="10"/>
      <name val="MS Sans Serif"/>
      <family val="2"/>
    </font>
    <font>
      <sz val="10"/>
      <color indexed="24"/>
      <name val="Arial"/>
      <family val="2"/>
    </font>
    <font>
      <b/>
      <sz val="11"/>
      <color indexed="8"/>
      <name val="Calibri"/>
      <family val="2"/>
    </font>
    <font>
      <i/>
      <sz val="11"/>
      <color indexed="23"/>
      <name val="Calibri"/>
      <family val="2"/>
    </font>
    <font>
      <sz val="9"/>
      <name val="GillSans"/>
      <family val="2"/>
    </font>
    <font>
      <sz val="9"/>
      <name val="GillSans Light"/>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b/>
      <sz val="8"/>
      <name val="Arial"/>
      <family val="2"/>
    </font>
    <font>
      <b/>
      <sz val="8.5"/>
      <name val="Univers 65"/>
      <family val="2"/>
    </font>
    <font>
      <u/>
      <sz val="11"/>
      <color theme="10"/>
      <name val="Calibri"/>
      <family val="2"/>
    </font>
    <font>
      <u/>
      <sz val="10"/>
      <color indexed="12"/>
      <name val="Arial"/>
      <family val="2"/>
    </font>
    <font>
      <u/>
      <sz val="11"/>
      <color indexed="12"/>
      <name val="Calibri"/>
      <family val="2"/>
    </font>
    <font>
      <u/>
      <sz val="11"/>
      <color theme="10"/>
      <name val="Calibri"/>
      <family val="2"/>
      <scheme val="minor"/>
    </font>
    <font>
      <b/>
      <sz val="10"/>
      <color indexed="56"/>
      <name val="Wingdings"/>
      <charset val="2"/>
    </font>
    <font>
      <b/>
      <u/>
      <sz val="8"/>
      <color indexed="56"/>
      <name val="Arial"/>
      <family val="2"/>
    </font>
    <font>
      <sz val="11"/>
      <color indexed="62"/>
      <name val="Calibri"/>
      <family val="2"/>
    </font>
    <font>
      <b/>
      <sz val="9"/>
      <color indexed="9"/>
      <name val="Arial"/>
      <family val="2"/>
    </font>
    <font>
      <sz val="11"/>
      <color indexed="52"/>
      <name val="Calibri"/>
      <family val="2"/>
    </font>
    <font>
      <sz val="9"/>
      <name val="Arial"/>
      <family val="2"/>
    </font>
    <font>
      <sz val="12"/>
      <color indexed="14"/>
      <name val="Arial"/>
      <family val="2"/>
    </font>
    <font>
      <b/>
      <sz val="12"/>
      <name val="Arial"/>
      <family val="2"/>
    </font>
    <font>
      <sz val="11"/>
      <color indexed="60"/>
      <name val="Calibri"/>
      <family val="2"/>
    </font>
    <font>
      <sz val="8"/>
      <name val="Palatino"/>
      <family val="1"/>
    </font>
    <font>
      <b/>
      <sz val="11"/>
      <color indexed="63"/>
      <name val="Calibri"/>
      <family val="2"/>
    </font>
    <font>
      <sz val="8.5"/>
      <name val="Univers 55"/>
      <family val="2"/>
    </font>
    <font>
      <sz val="10"/>
      <color indexed="18"/>
      <name val="Times New Roman"/>
      <family val="1"/>
    </font>
    <font>
      <b/>
      <sz val="10"/>
      <name val="MS Sans Serif"/>
      <family val="2"/>
    </font>
    <font>
      <b/>
      <sz val="18"/>
      <color indexed="62"/>
      <name val="Cambria"/>
      <family val="2"/>
    </font>
    <font>
      <b/>
      <sz val="14"/>
      <name val="Arial"/>
      <family val="2"/>
    </font>
    <font>
      <sz val="9"/>
      <color indexed="21"/>
      <name val="Helvetica-Black"/>
    </font>
    <font>
      <b/>
      <sz val="9"/>
      <name val="Palatino"/>
      <family val="1"/>
    </font>
    <font>
      <sz val="7"/>
      <name val="Palatino"/>
      <family val="1"/>
    </font>
    <font>
      <b/>
      <sz val="12"/>
      <color theme="0"/>
      <name val="Calibri"/>
      <family val="2"/>
      <scheme val="minor"/>
    </font>
    <font>
      <sz val="12"/>
      <name val="Palatino"/>
      <family val="1"/>
    </font>
    <font>
      <sz val="11"/>
      <name val="Helvetica-Black"/>
    </font>
    <font>
      <sz val="12"/>
      <color indexed="12"/>
      <name val="Arial MT"/>
    </font>
    <font>
      <b/>
      <u/>
      <sz val="9.5"/>
      <color indexed="56"/>
      <name val="Arial"/>
      <family val="2"/>
    </font>
    <font>
      <u/>
      <sz val="8"/>
      <color indexed="56"/>
      <name val="Arial"/>
      <family val="2"/>
    </font>
    <font>
      <sz val="11"/>
      <color indexed="10"/>
      <name val="Calibri"/>
      <family val="2"/>
    </font>
    <font>
      <b/>
      <sz val="10"/>
      <color indexed="9"/>
      <name val="Arial"/>
      <family val="2"/>
    </font>
    <font>
      <sz val="10"/>
      <color indexed="9"/>
      <name val="Arial"/>
      <family val="2"/>
    </font>
    <font>
      <i/>
      <sz val="10"/>
      <color indexed="8"/>
      <name val="Arial"/>
      <family val="2"/>
    </font>
    <font>
      <b/>
      <sz val="10"/>
      <color indexed="63"/>
      <name val="Arial"/>
      <family val="2"/>
    </font>
    <font>
      <b/>
      <sz val="11"/>
      <color indexed="17"/>
      <name val="Calibri"/>
      <family val="2"/>
    </font>
    <font>
      <b/>
      <sz val="8"/>
      <color indexed="15"/>
      <name val="Times New Roman"/>
      <family val="1"/>
    </font>
    <font>
      <sz val="11"/>
      <name val="Tms Rmn"/>
    </font>
    <font>
      <sz val="10"/>
      <name val="Palatino"/>
    </font>
    <font>
      <sz val="11"/>
      <name val="Book Antiqua"/>
      <family val="1"/>
    </font>
    <font>
      <b/>
      <sz val="10"/>
      <name val="Book Antiqua"/>
      <family val="1"/>
    </font>
    <font>
      <sz val="9"/>
      <color indexed="10"/>
      <name val="Times New Roman"/>
      <family val="1"/>
    </font>
    <font>
      <sz val="11"/>
      <color indexed="48"/>
      <name val="Calibri"/>
      <family val="2"/>
    </font>
    <font>
      <sz val="8"/>
      <name val="MS Sans Serif"/>
      <family val="2"/>
    </font>
    <font>
      <sz val="10"/>
      <color indexed="63"/>
      <name val="Arial"/>
      <family val="2"/>
    </font>
    <font>
      <sz val="9"/>
      <color indexed="12"/>
      <name val="Times New Roman"/>
      <family val="1"/>
    </font>
    <font>
      <b/>
      <sz val="10"/>
      <color indexed="39"/>
      <name val="Arial"/>
      <family val="2"/>
    </font>
    <font>
      <sz val="8"/>
      <color indexed="62"/>
      <name val="Arial"/>
      <family val="2"/>
    </font>
    <font>
      <b/>
      <sz val="8"/>
      <color indexed="8"/>
      <name val="Arial"/>
      <family val="2"/>
    </font>
    <font>
      <sz val="10"/>
      <color indexed="8"/>
      <name val="Arial"/>
      <family val="2"/>
    </font>
    <font>
      <b/>
      <sz val="12"/>
      <color indexed="8"/>
      <name val="Arial"/>
      <family val="2"/>
    </font>
    <font>
      <sz val="8"/>
      <color indexed="8"/>
      <name val="Arial"/>
      <family val="2"/>
    </font>
    <font>
      <sz val="10"/>
      <color indexed="39"/>
      <name val="Arial"/>
      <family val="2"/>
    </font>
    <font>
      <sz val="9"/>
      <color indexed="8"/>
      <name val="Arial"/>
      <family val="2"/>
    </font>
    <font>
      <b/>
      <sz val="16"/>
      <color indexed="48"/>
      <name val="Arial"/>
      <family val="2"/>
    </font>
    <font>
      <sz val="19"/>
      <name val="Arial"/>
      <family val="2"/>
    </font>
    <font>
      <b/>
      <sz val="14"/>
      <color indexed="48"/>
      <name val="Arial"/>
      <family val="2"/>
    </font>
    <font>
      <sz val="8"/>
      <color indexed="14"/>
      <name val="Arial"/>
      <family val="2"/>
    </font>
    <font>
      <b/>
      <sz val="13"/>
      <name val="Arial"/>
      <family val="2"/>
    </font>
    <font>
      <sz val="9"/>
      <color indexed="20"/>
      <name val="Arial"/>
      <family val="2"/>
    </font>
    <font>
      <b/>
      <sz val="12"/>
      <color indexed="20"/>
      <name val="Arial"/>
      <family val="2"/>
    </font>
    <font>
      <sz val="8"/>
      <name val="Book Antiqua"/>
      <family val="1"/>
    </font>
    <font>
      <sz val="11"/>
      <name val="Calibri"/>
      <family val="2"/>
    </font>
    <font>
      <sz val="11"/>
      <color indexed="37"/>
      <name val="Calibri"/>
      <family val="2"/>
    </font>
    <font>
      <sz val="11"/>
      <color indexed="14"/>
      <name val="Calibri"/>
      <family val="2"/>
    </font>
    <font>
      <sz val="11"/>
      <color indexed="16"/>
      <name val="Calibri"/>
      <family val="2"/>
    </font>
    <font>
      <b/>
      <sz val="11"/>
      <color indexed="53"/>
      <name val="Calibri"/>
      <family val="2"/>
    </font>
    <font>
      <i/>
      <sz val="10"/>
      <color indexed="23"/>
      <name val="Arial"/>
      <family val="2"/>
    </font>
    <font>
      <sz val="11"/>
      <color indexed="53"/>
      <name val="Calibri"/>
      <family val="2"/>
    </font>
    <font>
      <sz val="10"/>
      <color rgb="FF00B050"/>
      <name val="Arial"/>
      <family val="2"/>
    </font>
  </fonts>
  <fills count="139">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499984740745262"/>
        <bgColor indexed="64"/>
      </patternFill>
    </fill>
    <fill>
      <patternFill patternType="solid">
        <fgColor indexed="8"/>
        <bgColor indexed="64"/>
      </patternFill>
    </fill>
    <fill>
      <patternFill patternType="solid">
        <fgColor theme="4" tint="0.39997558519241921"/>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49"/>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42"/>
        <bgColor indexed="42"/>
      </patternFill>
    </fill>
    <fill>
      <patternFill patternType="solid">
        <fgColor indexed="57"/>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solid">
        <fgColor indexed="45"/>
      </patternFill>
    </fill>
    <fill>
      <patternFill patternType="solid">
        <fgColor indexed="5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2"/>
      </patternFill>
    </fill>
    <fill>
      <patternFill patternType="solid">
        <fgColor indexed="44"/>
        <bgColor indexed="64"/>
      </patternFill>
    </fill>
    <fill>
      <patternFill patternType="gray0625">
        <bgColor indexed="44"/>
      </patternFill>
    </fill>
    <fill>
      <patternFill patternType="solid">
        <fgColor indexed="42"/>
        <bgColor indexed="64"/>
      </patternFill>
    </fill>
    <fill>
      <patternFill patternType="solid">
        <fgColor indexed="62"/>
        <bgColor indexed="64"/>
      </patternFill>
    </fill>
    <fill>
      <patternFill patternType="mediumGray">
        <fgColor indexed="22"/>
      </patternFill>
    </fill>
    <fill>
      <patternFill patternType="solid">
        <fgColor theme="4" tint="-0.499984740745262"/>
        <bgColor indexed="64"/>
      </patternFill>
    </fill>
    <fill>
      <patternFill patternType="solid">
        <fgColor indexed="61"/>
        <bgColor indexed="61"/>
      </patternFill>
    </fill>
    <fill>
      <patternFill patternType="solid">
        <fgColor indexed="58"/>
        <bgColor indexed="58"/>
      </patternFill>
    </fill>
    <fill>
      <patternFill patternType="solid">
        <fgColor indexed="48"/>
        <bgColor indexed="48"/>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Gray">
        <fgColor indexed="13"/>
      </patternFill>
    </fill>
    <fill>
      <patternFill patternType="lightUp">
        <fgColor indexed="9"/>
        <bgColor indexed="24"/>
      </patternFill>
    </fill>
    <fill>
      <patternFill patternType="lightUp">
        <fgColor indexed="9"/>
        <bgColor indexed="12"/>
      </patternFill>
    </fill>
    <fill>
      <patternFill patternType="solid">
        <fgColor indexed="18"/>
        <bgColor indexed="64"/>
      </patternFill>
    </fill>
    <fill>
      <patternFill patternType="solid">
        <fgColor indexed="12"/>
        <bgColor indexed="64"/>
      </patternFill>
    </fill>
    <fill>
      <patternFill patternType="solid">
        <fgColor indexed="40"/>
        <bgColor indexed="64"/>
      </patternFill>
    </fill>
    <fill>
      <patternFill patternType="solid">
        <fgColor indexed="60"/>
      </patternFill>
    </fill>
    <fill>
      <patternFill patternType="solid">
        <fgColor indexed="29"/>
      </patternFill>
    </fill>
    <fill>
      <patternFill patternType="solid">
        <fgColor indexed="12"/>
      </patternFill>
    </fill>
    <fill>
      <patternFill patternType="solid">
        <fgColor indexed="51"/>
      </patternFill>
    </fill>
    <fill>
      <patternFill patternType="solid">
        <fgColor indexed="52"/>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26"/>
        <bgColor indexed="54"/>
      </patternFill>
    </fill>
    <fill>
      <patternFill patternType="solid">
        <fgColor indexed="23"/>
      </patternFill>
    </fill>
    <fill>
      <patternFill patternType="solid">
        <fgColor indexed="26"/>
        <bgColor indexed="40"/>
      </patternFill>
    </fill>
    <fill>
      <patternFill patternType="solid">
        <fgColor indexed="44"/>
      </patternFill>
    </fill>
    <fill>
      <patternFill patternType="solid">
        <fgColor indexed="26"/>
        <bgColor indexed="44"/>
      </patternFill>
    </fill>
    <fill>
      <patternFill patternType="solid">
        <fgColor indexed="26"/>
        <bgColor indexed="41"/>
      </patternFill>
    </fill>
    <fill>
      <patternFill patternType="solid">
        <fgColor indexed="26"/>
        <bgColor indexed="43"/>
      </patternFill>
    </fill>
    <fill>
      <patternFill patternType="solid">
        <fgColor indexed="15"/>
      </patternFill>
    </fill>
    <fill>
      <patternFill patternType="solid">
        <fgColor indexed="20"/>
      </patternFill>
    </fill>
    <fill>
      <patternFill patternType="solid">
        <fgColor indexed="14"/>
        <bgColor indexed="64"/>
      </patternFill>
    </fill>
    <fill>
      <patternFill patternType="lightUp">
        <fgColor indexed="9"/>
        <bgColor indexed="57"/>
      </patternFill>
    </fill>
    <fill>
      <patternFill patternType="solid">
        <fgColor indexed="24"/>
        <bgColor indexed="24"/>
      </patternFill>
    </fill>
    <fill>
      <patternFill patternType="solid">
        <fgColor indexed="15"/>
        <bgColor indexed="15"/>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
      <patternFill patternType="solid">
        <fgColor rgb="FFFFFFFF"/>
        <bgColor indexed="64"/>
      </patternFill>
    </fill>
  </fills>
  <borders count="107">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thin">
        <color theme="0" tint="-0.34998626667073579"/>
      </top>
      <bottom style="thin">
        <color theme="0" tint="-0.34998626667073579"/>
      </bottom>
      <diagonal/>
    </border>
    <border>
      <left/>
      <right/>
      <top style="thin">
        <color indexed="49"/>
      </top>
      <bottom style="double">
        <color indexed="49"/>
      </bottom>
      <diagonal/>
    </border>
    <border>
      <left style="medium">
        <color indexed="22"/>
      </left>
      <right style="medium">
        <color indexed="22"/>
      </right>
      <top style="medium">
        <color indexed="22"/>
      </top>
      <bottom style="medium">
        <color indexed="22"/>
      </bottom>
      <diagonal/>
    </border>
    <border>
      <left style="thin">
        <color indexed="18"/>
      </left>
      <right style="thin">
        <color indexed="18"/>
      </right>
      <top style="thin">
        <color indexed="18"/>
      </top>
      <bottom style="thin">
        <color indexed="18"/>
      </bottom>
      <diagonal/>
    </border>
    <border>
      <left/>
      <right/>
      <top/>
      <bottom style="hair">
        <color indexed="64"/>
      </bottom>
      <diagonal/>
    </border>
    <border>
      <left/>
      <right/>
      <top/>
      <bottom style="dotted">
        <color indexed="64"/>
      </bottom>
      <diagonal/>
    </border>
    <border>
      <left style="thin">
        <color indexed="8"/>
      </left>
      <right style="thin">
        <color indexed="8"/>
      </right>
      <top style="thin">
        <color indexed="8"/>
      </top>
      <bottom style="thin">
        <color indexed="8"/>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48"/>
      </left>
      <right style="thin">
        <color indexed="48"/>
      </right>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48"/>
      </left>
      <right style="thin">
        <color indexed="48"/>
      </right>
      <top/>
      <bottom/>
      <diagonal/>
    </border>
    <border>
      <left style="thin">
        <color indexed="51"/>
      </left>
      <right style="thin">
        <color indexed="51"/>
      </right>
      <top/>
      <bottom/>
      <diagonal/>
    </border>
    <border>
      <left/>
      <right/>
      <top style="thin">
        <color indexed="48"/>
      </top>
      <bottom style="double">
        <color indexed="48"/>
      </bottom>
      <diagonal/>
    </border>
    <border>
      <left/>
      <right/>
      <top/>
      <bottom style="thick">
        <color indexed="55"/>
      </bottom>
      <diagonal/>
    </border>
    <border>
      <left/>
      <right/>
      <top/>
      <bottom style="medium">
        <color indexed="49"/>
      </bottom>
      <diagonal/>
    </border>
    <border>
      <left style="thin">
        <color indexed="55"/>
      </left>
      <right style="thin">
        <color indexed="55"/>
      </right>
      <top style="thin">
        <color indexed="55"/>
      </top>
      <bottom style="thin">
        <color indexed="55"/>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right/>
      <top/>
      <bottom style="thick">
        <color indexed="22"/>
      </bottom>
      <diagonal/>
    </border>
    <border>
      <left/>
      <right/>
      <top/>
      <bottom style="medium">
        <color indexed="24"/>
      </bottom>
      <diagonal/>
    </border>
    <border>
      <left/>
      <right/>
      <top/>
      <bottom style="double">
        <color indexed="53"/>
      </bottom>
      <diagonal/>
    </border>
    <border>
      <left/>
      <right/>
      <top/>
      <bottom style="medium">
        <color auto="1"/>
      </bottom>
      <diagonal/>
    </border>
  </borders>
  <cellStyleXfs count="14084">
    <xf numFmtId="0" fontId="0" fillId="0" borderId="0"/>
    <xf numFmtId="0" fontId="14" fillId="0" borderId="0"/>
    <xf numFmtId="0" fontId="15" fillId="0" borderId="0"/>
    <xf numFmtId="9" fontId="14" fillId="0" borderId="0" applyFont="0" applyFill="0" applyBorder="0" applyAlignment="0" applyProtection="0"/>
    <xf numFmtId="0" fontId="16" fillId="0" borderId="0"/>
    <xf numFmtId="43" fontId="3" fillId="0" borderId="0" applyFont="0" applyFill="0" applyBorder="0" applyAlignment="0" applyProtection="0"/>
    <xf numFmtId="9" fontId="3" fillId="0" borderId="0" applyFont="0" applyFill="0" applyBorder="0" applyAlignment="0" applyProtection="0"/>
    <xf numFmtId="0" fontId="15" fillId="0" borderId="0"/>
    <xf numFmtId="3" fontId="15" fillId="11" borderId="0" applyNumberFormat="0" applyFont="0" applyBorder="0" applyAlignment="0">
      <alignment horizontal="right"/>
      <protection locked="0"/>
    </xf>
    <xf numFmtId="0" fontId="15" fillId="0" borderId="0"/>
    <xf numFmtId="0" fontId="15" fillId="0" borderId="0"/>
    <xf numFmtId="0" fontId="15" fillId="0" borderId="0"/>
    <xf numFmtId="0" fontId="15" fillId="0" borderId="0"/>
    <xf numFmtId="0" fontId="15" fillId="0" borderId="0"/>
    <xf numFmtId="0" fontId="17" fillId="14" borderId="0" applyNumberFormat="0" applyBorder="0" applyAlignment="0" applyProtection="0"/>
    <xf numFmtId="172" fontId="14" fillId="0" borderId="0" applyFont="0" applyFill="0" applyBorder="0" applyAlignment="0" applyProtection="0"/>
    <xf numFmtId="0" fontId="14" fillId="0" borderId="0"/>
    <xf numFmtId="0" fontId="15" fillId="0" borderId="0"/>
    <xf numFmtId="0" fontId="15" fillId="0" borderId="0"/>
    <xf numFmtId="0" fontId="2" fillId="0" borderId="0"/>
    <xf numFmtId="0" fontId="15" fillId="0" borderId="0"/>
    <xf numFmtId="9" fontId="2" fillId="0" borderId="0" applyFont="0" applyFill="0" applyBorder="0" applyAlignment="0" applyProtection="0"/>
    <xf numFmtId="0" fontId="2" fillId="0" borderId="0"/>
    <xf numFmtId="9" fontId="3" fillId="0" borderId="0" applyFont="0" applyFill="0" applyBorder="0" applyAlignment="0" applyProtection="0"/>
    <xf numFmtId="0" fontId="3" fillId="0" borderId="0"/>
    <xf numFmtId="0" fontId="2"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3" fontId="14" fillId="15" borderId="65" applyAlignment="0" applyProtection="0"/>
    <xf numFmtId="0" fontId="1" fillId="0" borderId="0"/>
    <xf numFmtId="43" fontId="3" fillId="0" borderId="0" applyFont="0" applyFill="0" applyBorder="0" applyAlignment="0" applyProtection="0"/>
    <xf numFmtId="0" fontId="1" fillId="0" borderId="0"/>
    <xf numFmtId="0" fontId="2" fillId="0" borderId="0"/>
    <xf numFmtId="43" fontId="3" fillId="0" borderId="0" applyFont="0" applyFill="0" applyBorder="0" applyAlignment="0" applyProtection="0"/>
    <xf numFmtId="0" fontId="15" fillId="0" borderId="0"/>
    <xf numFmtId="0" fontId="15" fillId="4" borderId="0"/>
    <xf numFmtId="178" fontId="15" fillId="16" borderId="0" applyNumberFormat="0" applyFont="0" applyBorder="0" applyAlignment="0">
      <alignment horizontal="right"/>
    </xf>
    <xf numFmtId="0" fontId="15" fillId="0" borderId="0"/>
    <xf numFmtId="0" fontId="15" fillId="0" borderId="0"/>
    <xf numFmtId="0" fontId="15" fillId="0" borderId="0"/>
    <xf numFmtId="179" fontId="15" fillId="0" borderId="0"/>
    <xf numFmtId="179" fontId="15" fillId="0" borderId="0"/>
    <xf numFmtId="0" fontId="83" fillId="0" borderId="0"/>
    <xf numFmtId="0" fontId="83" fillId="0" borderId="0"/>
    <xf numFmtId="0" fontId="15"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15" fillId="0" borderId="0"/>
    <xf numFmtId="0" fontId="15" fillId="0" borderId="0"/>
    <xf numFmtId="0" fontId="15" fillId="0" borderId="0"/>
    <xf numFmtId="180" fontId="30" fillId="0" borderId="0"/>
    <xf numFmtId="180" fontId="30" fillId="0" borderId="0"/>
    <xf numFmtId="0" fontId="17" fillId="57" borderId="0" applyNumberFormat="0" applyBorder="0" applyAlignment="0" applyProtection="0"/>
    <xf numFmtId="0" fontId="2" fillId="30"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7" borderId="0" applyNumberFormat="0" applyBorder="0" applyAlignment="0" applyProtection="0"/>
    <xf numFmtId="0" fontId="2" fillId="31" borderId="0" applyNumberFormat="0" applyBorder="0" applyAlignment="0" applyProtection="0"/>
    <xf numFmtId="0" fontId="17" fillId="58" borderId="0" applyNumberFormat="0" applyBorder="0" applyAlignment="0" applyProtection="0"/>
    <xf numFmtId="0" fontId="17" fillId="61"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61"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85" fillId="68"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17" fillId="66" borderId="0" applyNumberFormat="0" applyBorder="0" applyAlignment="0" applyProtection="0"/>
    <xf numFmtId="0" fontId="17" fillId="70" borderId="0" applyNumberFormat="0" applyBorder="0" applyAlignment="0" applyProtection="0"/>
    <xf numFmtId="0" fontId="85" fillId="67"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17" fillId="63" borderId="0" applyNumberFormat="0" applyBorder="0" applyAlignment="0" applyProtection="0"/>
    <xf numFmtId="0" fontId="17" fillId="67" borderId="0" applyNumberFormat="0" applyBorder="0" applyAlignment="0" applyProtection="0"/>
    <xf numFmtId="0" fontId="85" fillId="67"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17" fillId="7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66" borderId="0" applyNumberFormat="0" applyBorder="0" applyAlignment="0" applyProtection="0"/>
    <xf numFmtId="0" fontId="17" fillId="74" borderId="0" applyNumberFormat="0" applyBorder="0" applyAlignment="0" applyProtection="0"/>
    <xf numFmtId="0" fontId="85" fillId="74"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6" fillId="0" borderId="0"/>
    <xf numFmtId="42" fontId="87" fillId="0" borderId="0" applyFont="0" applyFill="0" applyBorder="0" applyAlignment="0" applyProtection="0"/>
    <xf numFmtId="0" fontId="88" fillId="76" borderId="0" applyNumberFormat="0" applyBorder="0" applyAlignment="0" applyProtection="0"/>
    <xf numFmtId="0" fontId="89" fillId="0" borderId="0" applyNumberFormat="0" applyFill="0" applyBorder="0" applyAlignment="0"/>
    <xf numFmtId="178" fontId="15" fillId="16" borderId="0" applyNumberFormat="0" applyFont="0" applyBorder="0" applyAlignment="0">
      <alignment horizontal="right"/>
    </xf>
    <xf numFmtId="178" fontId="15" fillId="16" borderId="0" applyNumberFormat="0" applyFont="0" applyBorder="0" applyAlignment="0">
      <alignment horizontal="right"/>
    </xf>
    <xf numFmtId="0" fontId="90" fillId="0" borderId="0" applyNumberFormat="0" applyFill="0" applyBorder="0" applyAlignment="0">
      <protection locked="0"/>
    </xf>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2" fillId="77" borderId="73" applyNumberFormat="0" applyAlignment="0" applyProtection="0"/>
    <xf numFmtId="0" fontId="92" fillId="77" borderId="73" applyNumberFormat="0" applyAlignment="0" applyProtection="0"/>
    <xf numFmtId="41" fontId="15" fillId="0" borderId="0" applyFont="0" applyFill="0" applyBorder="0" applyAlignment="0" applyProtection="0"/>
    <xf numFmtId="0" fontId="93" fillId="0" borderId="0" applyFont="0" applyFill="0" applyBorder="0" applyAlignment="0" applyProtection="0"/>
    <xf numFmtId="0" fontId="15" fillId="0" borderId="0" applyFont="0" applyFill="0" applyBorder="0" applyAlignment="0" applyProtection="0"/>
    <xf numFmtId="0" fontId="15" fillId="0" borderId="0" applyFont="0" applyFill="0" applyBorder="0" applyAlignment="0" applyProtection="0"/>
    <xf numFmtId="43" fontId="2"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172" fontId="14" fillId="0" borderId="0" applyFont="0" applyFill="0" applyBorder="0" applyAlignment="0" applyProtection="0"/>
    <xf numFmtId="172" fontId="15" fillId="0" borderId="0" applyFont="0" applyFill="0" applyBorder="0" applyAlignment="0" applyProtection="0"/>
    <xf numFmtId="0" fontId="15" fillId="0" borderId="0" applyFont="0" applyFill="0" applyBorder="0" applyAlignment="0" applyProtection="0"/>
    <xf numFmtId="172" fontId="15" fillId="0" borderId="0" applyFont="0" applyFill="0" applyBorder="0" applyAlignment="0" applyProtection="0"/>
    <xf numFmtId="172" fontId="14" fillId="0" borderId="0" applyFont="0" applyFill="0" applyBorder="0" applyAlignment="0" applyProtection="0"/>
    <xf numFmtId="172" fontId="14" fillId="0" borderId="0" applyFont="0" applyFill="0" applyBorder="0" applyAlignment="0" applyProtection="0"/>
    <xf numFmtId="0"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9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81" fontId="1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2" fontId="15" fillId="0" borderId="0" applyFont="0" applyFill="0" applyBorder="0" applyAlignment="0" applyProtection="0"/>
    <xf numFmtId="182" fontId="15" fillId="0" borderId="0" applyFont="0" applyFill="0" applyBorder="0" applyAlignment="0" applyProtection="0"/>
    <xf numFmtId="182" fontId="15" fillId="0" borderId="0" applyFont="0" applyFill="0" applyBorder="0" applyAlignment="0" applyProtection="0"/>
    <xf numFmtId="49" fontId="60" fillId="56" borderId="40">
      <alignment horizontal="center" vertical="center" wrapText="1"/>
    </xf>
    <xf numFmtId="0" fontId="95" fillId="78" borderId="0" applyNumberFormat="0" applyBorder="0" applyAlignment="0" applyProtection="0"/>
    <xf numFmtId="0" fontId="95" fillId="79" borderId="0" applyNumberFormat="0" applyBorder="0" applyAlignment="0" applyProtection="0"/>
    <xf numFmtId="0" fontId="95" fillId="80" borderId="0" applyNumberFormat="0" applyBorder="0" applyAlignment="0" applyProtection="0"/>
    <xf numFmtId="179" fontId="17" fillId="0" borderId="0" applyFont="0" applyFill="0" applyBorder="0" applyAlignment="0" applyProtection="0"/>
    <xf numFmtId="0" fontId="96" fillId="0" borderId="0" applyNumberFormat="0" applyFill="0" applyBorder="0" applyAlignment="0" applyProtection="0"/>
    <xf numFmtId="183" fontId="15" fillId="0" borderId="0" applyFont="0" applyFill="0" applyBorder="0" applyAlignment="0" applyProtection="0"/>
    <xf numFmtId="183" fontId="15" fillId="0" borderId="0" applyFont="0" applyFill="0" applyBorder="0" applyAlignment="0" applyProtection="0"/>
    <xf numFmtId="0" fontId="97" fillId="0" borderId="0"/>
    <xf numFmtId="0" fontId="98" fillId="0" borderId="0"/>
    <xf numFmtId="0" fontId="99" fillId="81" borderId="0" applyNumberFormat="0" applyBorder="0" applyAlignment="0" applyProtection="0"/>
    <xf numFmtId="0" fontId="29" fillId="0" borderId="0" applyFill="0" applyBorder="0">
      <alignment vertical="center"/>
    </xf>
    <xf numFmtId="0" fontId="100" fillId="0" borderId="74" applyNumberFormat="0" applyFill="0" applyAlignment="0" applyProtection="0"/>
    <xf numFmtId="0" fontId="29" fillId="0" borderId="0" applyFill="0" applyBorder="0">
      <alignment vertical="center"/>
    </xf>
    <xf numFmtId="0" fontId="82" fillId="0" borderId="0" applyFill="0" applyBorder="0">
      <alignment vertical="center"/>
    </xf>
    <xf numFmtId="0" fontId="101" fillId="0" borderId="75" applyNumberFormat="0" applyFill="0" applyAlignment="0" applyProtection="0"/>
    <xf numFmtId="0" fontId="82" fillId="0" borderId="0" applyFill="0" applyBorder="0">
      <alignment vertical="center"/>
    </xf>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3" fillId="0" borderId="0" applyFill="0" applyBorder="0">
      <alignment vertical="center"/>
    </xf>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3" fillId="0" borderId="0" applyFill="0" applyBorder="0">
      <alignment vertical="center"/>
    </xf>
    <xf numFmtId="0" fontId="30" fillId="0" borderId="0" applyFill="0" applyBorder="0">
      <alignment vertical="center"/>
    </xf>
    <xf numFmtId="0" fontId="102" fillId="0" borderId="0" applyNumberFormat="0" applyFill="0" applyBorder="0" applyAlignment="0" applyProtection="0"/>
    <xf numFmtId="0" fontId="30" fillId="0" borderId="0" applyFill="0" applyBorder="0">
      <alignment vertical="center"/>
    </xf>
    <xf numFmtId="176" fontId="104" fillId="0" borderId="0"/>
    <xf numFmtId="0" fontId="105" fillId="0" borderId="0" applyNumberFormat="0" applyFill="0" applyBorder="0" applyAlignment="0" applyProtection="0">
      <alignment vertical="top"/>
      <protection locked="0"/>
    </xf>
    <xf numFmtId="0" fontId="106"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8" fillId="0" borderId="0" applyNumberFormat="0" applyFill="0" applyBorder="0" applyAlignment="0" applyProtection="0"/>
    <xf numFmtId="0" fontId="106" fillId="0" borderId="0" applyNumberFormat="0" applyFill="0" applyBorder="0" applyAlignment="0" applyProtection="0">
      <alignment vertical="top"/>
      <protection locked="0"/>
    </xf>
    <xf numFmtId="0" fontId="109" fillId="0" borderId="0" applyFill="0" applyBorder="0">
      <alignment horizontal="center" vertical="center"/>
      <protection locked="0"/>
    </xf>
    <xf numFmtId="0" fontId="110" fillId="0" borderId="0" applyFill="0" applyBorder="0">
      <alignment horizontal="left" vertical="center"/>
      <protection locked="0"/>
    </xf>
    <xf numFmtId="184" fontId="15" fillId="9" borderId="0" applyFont="0" applyBorder="0">
      <alignment horizontal="right"/>
    </xf>
    <xf numFmtId="176" fontId="15" fillId="9" borderId="0" applyFont="0" applyBorder="0" applyAlignment="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82" borderId="0" applyFont="0" applyBorder="0" applyAlignment="0">
      <alignment horizontal="right"/>
      <protection locked="0"/>
    </xf>
    <xf numFmtId="10" fontId="15" fillId="82" borderId="0" applyFont="0" applyBorder="0">
      <alignment horizontal="right"/>
      <protection locked="0"/>
    </xf>
    <xf numFmtId="3" fontId="15" fillId="83" borderId="0" applyFont="0" applyBorder="0">
      <protection locked="0"/>
    </xf>
    <xf numFmtId="176" fontId="82" fillId="83" borderId="0" applyBorder="0" applyAlignment="0">
      <protection locked="0"/>
    </xf>
    <xf numFmtId="185" fontId="15" fillId="84" borderId="0" applyFont="0" applyBorder="0">
      <alignment horizontal="right"/>
      <protection locked="0"/>
    </xf>
    <xf numFmtId="185" fontId="15" fillId="84" borderId="0" applyFont="0" applyBorder="0">
      <alignment horizontal="right"/>
      <protection locked="0"/>
    </xf>
    <xf numFmtId="185" fontId="15" fillId="84"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186" fontId="2" fillId="10" borderId="77">
      <protection locked="0"/>
    </xf>
    <xf numFmtId="186" fontId="2" fillId="10" borderId="77">
      <protection locked="0"/>
    </xf>
    <xf numFmtId="186" fontId="2" fillId="10" borderId="77">
      <protection locked="0"/>
    </xf>
    <xf numFmtId="49" fontId="2" fillId="10" borderId="77" applyFont="0" applyAlignment="0">
      <alignment horizontal="left" vertical="center" wrapText="1"/>
      <protection locked="0"/>
    </xf>
    <xf numFmtId="49" fontId="2" fillId="10" borderId="77" applyFont="0" applyAlignment="0">
      <alignment horizontal="left" vertical="center" wrapText="1"/>
      <protection locked="0"/>
    </xf>
    <xf numFmtId="49" fontId="2" fillId="10" borderId="77" applyFont="0" applyAlignment="0">
      <alignment horizontal="left" vertical="center" wrapText="1"/>
      <protection locked="0"/>
    </xf>
    <xf numFmtId="176" fontId="112" fillId="85" borderId="0" applyBorder="0" applyAlignment="0"/>
    <xf numFmtId="0" fontId="30" fillId="16" borderId="0"/>
    <xf numFmtId="0" fontId="113" fillId="0" borderId="78" applyNumberFormat="0" applyFill="0" applyAlignment="0" applyProtection="0"/>
    <xf numFmtId="184" fontId="114" fillId="16" borderId="21" applyFont="0" applyBorder="0" applyAlignment="0"/>
    <xf numFmtId="176" fontId="82" fillId="16" borderId="0" applyFont="0" applyBorder="0" applyAlignment="0"/>
    <xf numFmtId="187" fontId="115" fillId="0" borderId="0"/>
    <xf numFmtId="0" fontId="116" fillId="0" borderId="0" applyFill="0" applyBorder="0">
      <alignment horizontal="left" vertical="center"/>
    </xf>
    <xf numFmtId="0" fontId="117" fillId="61" borderId="0" applyNumberFormat="0" applyBorder="0" applyAlignment="0" applyProtection="0"/>
    <xf numFmtId="186" fontId="2" fillId="17" borderId="77"/>
    <xf numFmtId="186" fontId="2" fillId="17" borderId="77"/>
    <xf numFmtId="186" fontId="2" fillId="17" borderId="77"/>
    <xf numFmtId="188" fontId="118" fillId="0" borderId="0"/>
    <xf numFmtId="0" fontId="15" fillId="0" borderId="0"/>
    <xf numFmtId="0" fontId="15" fillId="4" borderId="0"/>
    <xf numFmtId="0" fontId="15" fillId="0" borderId="0"/>
    <xf numFmtId="0" fontId="15" fillId="4" borderId="0"/>
    <xf numFmtId="0" fontId="2" fillId="0" borderId="0"/>
    <xf numFmtId="0" fontId="15" fillId="0" borderId="0" applyFill="0"/>
    <xf numFmtId="0" fontId="15" fillId="0" borderId="0" applyFill="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4" borderId="0"/>
    <xf numFmtId="0" fontId="15" fillId="4" borderId="0"/>
    <xf numFmtId="0" fontId="15" fillId="0" borderId="0"/>
    <xf numFmtId="0" fontId="15" fillId="0" borderId="0"/>
    <xf numFmtId="0" fontId="15" fillId="0" borderId="0"/>
    <xf numFmtId="0" fontId="14" fillId="0" borderId="0"/>
    <xf numFmtId="0" fontId="17" fillId="0" borderId="0"/>
    <xf numFmtId="0" fontId="17" fillId="0" borderId="0"/>
    <xf numFmtId="0" fontId="15" fillId="0" borderId="0"/>
    <xf numFmtId="0" fontId="15" fillId="0" borderId="0"/>
    <xf numFmtId="0" fontId="15" fillId="0" borderId="0"/>
    <xf numFmtId="0" fontId="15" fillId="0" borderId="0"/>
    <xf numFmtId="0" fontId="15" fillId="0" borderId="0"/>
    <xf numFmtId="0" fontId="15" fillId="0" borderId="0" applyFill="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15" fillId="0" borderId="0"/>
    <xf numFmtId="0" fontId="15" fillId="0" borderId="0"/>
    <xf numFmtId="0" fontId="15" fillId="4" borderId="0"/>
    <xf numFmtId="0" fontId="15" fillId="4" borderId="0"/>
    <xf numFmtId="0" fontId="15" fillId="0" borderId="0"/>
    <xf numFmtId="0" fontId="15" fillId="4" borderId="0"/>
    <xf numFmtId="0" fontId="2" fillId="0" borderId="0"/>
    <xf numFmtId="0" fontId="2" fillId="0" borderId="0"/>
    <xf numFmtId="0" fontId="2" fillId="0" borderId="0"/>
    <xf numFmtId="0" fontId="15" fillId="0" borderId="0"/>
    <xf numFmtId="0" fontId="15" fillId="0" borderId="0"/>
    <xf numFmtId="0" fontId="15" fillId="0" borderId="0"/>
    <xf numFmtId="0" fontId="2" fillId="0" borderId="0"/>
    <xf numFmtId="0" fontId="2" fillId="0" borderId="0"/>
    <xf numFmtId="0" fontId="2" fillId="0" borderId="0"/>
    <xf numFmtId="0" fontId="15" fillId="0" borderId="0"/>
    <xf numFmtId="0" fontId="15" fillId="4" borderId="0"/>
    <xf numFmtId="0" fontId="15" fillId="4" borderId="0"/>
    <xf numFmtId="0" fontId="15" fillId="4" borderId="0"/>
    <xf numFmtId="0" fontId="15"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applyFill="0"/>
    <xf numFmtId="0" fontId="15" fillId="0" borderId="0"/>
    <xf numFmtId="0" fontId="2"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0" borderId="0"/>
    <xf numFmtId="0" fontId="87" fillId="0" borderId="0"/>
    <xf numFmtId="0" fontId="15" fillId="0" borderId="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189" fontId="15" fillId="0" borderId="0" applyFill="0" applyBorder="0"/>
    <xf numFmtId="189" fontId="15" fillId="0" borderId="0" applyFill="0" applyBorder="0"/>
    <xf numFmtId="189" fontId="15" fillId="0" borderId="0" applyFill="0" applyBorder="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176" fontId="120" fillId="0" borderId="0"/>
    <xf numFmtId="0" fontId="103" fillId="0" borderId="0" applyFill="0" applyBorder="0">
      <alignment vertical="center"/>
    </xf>
    <xf numFmtId="0" fontId="93" fillId="0" borderId="0" applyNumberFormat="0" applyFont="0" applyFill="0" applyBorder="0" applyAlignment="0" applyProtection="0">
      <alignment horizontal="left"/>
    </xf>
    <xf numFmtId="15" fontId="93" fillId="0" borderId="0" applyFont="0" applyFill="0" applyBorder="0" applyAlignment="0" applyProtection="0"/>
    <xf numFmtId="4" fontId="93" fillId="0" borderId="0" applyFont="0" applyFill="0" applyBorder="0" applyAlignment="0" applyProtection="0"/>
    <xf numFmtId="190" fontId="121" fillId="0" borderId="18"/>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93" fillId="0" borderId="0" applyFont="0" applyFill="0" applyBorder="0" applyAlignment="0" applyProtection="0"/>
    <xf numFmtId="0" fontId="93" fillId="86" borderId="0" applyNumberFormat="0" applyFont="0" applyBorder="0" applyAlignment="0" applyProtection="0"/>
    <xf numFmtId="191" fontId="15" fillId="0" borderId="0"/>
    <xf numFmtId="191" fontId="15" fillId="0" borderId="0"/>
    <xf numFmtId="191" fontId="15" fillId="0" borderId="0"/>
    <xf numFmtId="192" fontId="30" fillId="0" borderId="0" applyFill="0" applyBorder="0">
      <alignment horizontal="right" vertical="center"/>
    </xf>
    <xf numFmtId="193" fontId="30" fillId="0" borderId="0" applyFill="0" applyBorder="0">
      <alignment horizontal="right" vertical="center"/>
    </xf>
    <xf numFmtId="194" fontId="30" fillId="0" borderId="0" applyFill="0" applyBorder="0">
      <alignment horizontal="right" vertical="center"/>
    </xf>
    <xf numFmtId="186" fontId="5" fillId="10" borderId="81">
      <alignment horizontal="right" indent="2"/>
      <protection locked="0"/>
    </xf>
    <xf numFmtId="0" fontId="15" fillId="59" borderId="0" applyNumberFormat="0" applyFont="0" applyBorder="0" applyAlignment="0" applyProtection="0"/>
    <xf numFmtId="0" fontId="15" fillId="59" borderId="0" applyNumberFormat="0" applyFont="0" applyBorder="0" applyAlignment="0" applyProtection="0"/>
    <xf numFmtId="0" fontId="15" fillId="60" borderId="0" applyNumberFormat="0" applyFont="0" applyBorder="0" applyAlignment="0" applyProtection="0"/>
    <xf numFmtId="0" fontId="15" fillId="60" borderId="0" applyNumberFormat="0" applyFont="0" applyBorder="0" applyAlignment="0" applyProtection="0"/>
    <xf numFmtId="0" fontId="15" fillId="62" borderId="0" applyNumberFormat="0" applyFont="0" applyBorder="0" applyAlignment="0" applyProtection="0"/>
    <xf numFmtId="0" fontId="15" fillId="62" borderId="0" applyNumberFormat="0" applyFont="0" applyBorder="0" applyAlignment="0" applyProtection="0"/>
    <xf numFmtId="0" fontId="15" fillId="0" borderId="0" applyNumberFormat="0" applyFont="0" applyFill="0" applyBorder="0" applyAlignment="0" applyProtection="0"/>
    <xf numFmtId="0" fontId="15" fillId="0" borderId="0" applyNumberFormat="0" applyFont="0" applyFill="0" applyBorder="0" applyAlignment="0" applyProtection="0"/>
    <xf numFmtId="0" fontId="15" fillId="62" borderId="0" applyNumberFormat="0" applyFont="0" applyBorder="0" applyAlignment="0" applyProtection="0"/>
    <xf numFmtId="0" fontId="15" fillId="62" borderId="0" applyNumberFormat="0" applyFont="0" applyBorder="0" applyAlignment="0" applyProtection="0"/>
    <xf numFmtId="0" fontId="15" fillId="0" borderId="0" applyNumberFormat="0" applyFont="0" applyFill="0" applyBorder="0" applyAlignment="0" applyProtection="0"/>
    <xf numFmtId="0" fontId="15" fillId="0" borderId="0" applyNumberFormat="0" applyFont="0" applyFill="0" applyBorder="0" applyAlignment="0" applyProtection="0"/>
    <xf numFmtId="0" fontId="15" fillId="0" borderId="0" applyNumberFormat="0" applyFont="0" applyBorder="0" applyAlignment="0" applyProtection="0"/>
    <xf numFmtId="0" fontId="15" fillId="0" borderId="0" applyNumberFormat="0" applyFont="0" applyBorder="0" applyAlignment="0" applyProtection="0"/>
    <xf numFmtId="0" fontId="123" fillId="0" borderId="0" applyNumberFormat="0" applyFill="0" applyBorder="0" applyAlignment="0" applyProtection="0"/>
    <xf numFmtId="0" fontId="81" fillId="87"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16" fillId="0" borderId="0"/>
    <xf numFmtId="0" fontId="124" fillId="0" borderId="0"/>
    <xf numFmtId="15" fontId="15" fillId="0" borderId="0"/>
    <xf numFmtId="15" fontId="15" fillId="0" borderId="0"/>
    <xf numFmtId="15" fontId="15" fillId="0" borderId="0"/>
    <xf numFmtId="10" fontId="15" fillId="0" borderId="0"/>
    <xf numFmtId="10" fontId="15" fillId="0" borderId="0"/>
    <xf numFmtId="10" fontId="15" fillId="0" borderId="0"/>
    <xf numFmtId="0" fontId="125" fillId="55" borderId="14" applyBorder="0" applyProtection="0">
      <alignment horizontal="centerContinuous" vertical="center"/>
    </xf>
    <xf numFmtId="0" fontId="126" fillId="0" borderId="0" applyBorder="0" applyProtection="0">
      <alignment vertical="center"/>
    </xf>
    <xf numFmtId="0" fontId="127" fillId="0" borderId="0">
      <alignment horizontal="left"/>
    </xf>
    <xf numFmtId="0" fontId="127" fillId="0" borderId="10" applyFill="0" applyBorder="0" applyProtection="0">
      <alignment horizontal="left" vertical="top"/>
    </xf>
    <xf numFmtId="0" fontId="81" fillId="54" borderId="0">
      <alignment horizontal="left" vertical="center"/>
      <protection locked="0"/>
    </xf>
    <xf numFmtId="0" fontId="128" fillId="53" borderId="0">
      <alignment vertical="center"/>
      <protection locked="0"/>
    </xf>
    <xf numFmtId="49" fontId="15" fillId="0" borderId="0" applyFont="0" applyFill="0" applyBorder="0" applyAlignment="0" applyProtection="0"/>
    <xf numFmtId="0" fontId="129" fillId="0" borderId="0"/>
    <xf numFmtId="49" fontId="15" fillId="0" borderId="0" applyFont="0" applyFill="0" applyBorder="0" applyAlignment="0" applyProtection="0"/>
    <xf numFmtId="0" fontId="130" fillId="0" borderId="0"/>
    <xf numFmtId="0" fontId="130" fillId="0" borderId="0"/>
    <xf numFmtId="0" fontId="129" fillId="0" borderId="0"/>
    <xf numFmtId="187" fontId="131" fillId="0" borderId="0"/>
    <xf numFmtId="0" fontId="123" fillId="0" borderId="0" applyNumberFormat="0" applyFill="0" applyBorder="0" applyAlignment="0" applyProtection="0"/>
    <xf numFmtId="0" fontId="132" fillId="0" borderId="0" applyFill="0" applyBorder="0">
      <alignment horizontal="left" vertical="center"/>
      <protection locked="0"/>
    </xf>
    <xf numFmtId="0" fontId="129" fillId="0" borderId="0"/>
    <xf numFmtId="0" fontId="133" fillId="0" borderId="0" applyFill="0" applyBorder="0">
      <alignment horizontal="left" vertical="center"/>
      <protection locked="0"/>
    </xf>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134" fillId="0" borderId="0" applyNumberFormat="0" applyFill="0" applyBorder="0" applyAlignment="0" applyProtection="0"/>
    <xf numFmtId="195" fontId="15" fillId="0" borderId="14" applyBorder="0" applyProtection="0">
      <alignment horizontal="right"/>
    </xf>
    <xf numFmtId="195" fontId="15" fillId="0" borderId="14" applyBorder="0" applyProtection="0">
      <alignment horizontal="right"/>
    </xf>
    <xf numFmtId="195" fontId="15" fillId="0" borderId="14" applyBorder="0" applyProtection="0">
      <alignment horizontal="right"/>
    </xf>
    <xf numFmtId="196" fontId="137" fillId="0" borderId="0" applyFont="0" applyFill="0" applyBorder="0" applyAlignment="0">
      <alignment vertical="center"/>
    </xf>
    <xf numFmtId="197" fontId="15" fillId="0" borderId="0" applyFill="0" applyBorder="0">
      <alignment vertical="center"/>
    </xf>
    <xf numFmtId="198" fontId="15" fillId="0" borderId="0" applyFill="0" applyBorder="0">
      <alignment vertical="center"/>
    </xf>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61" borderId="0" applyNumberFormat="0" applyBorder="0" applyAlignment="0" applyProtection="0"/>
    <xf numFmtId="0" fontId="17" fillId="61" borderId="0" applyNumberFormat="0" applyBorder="0" applyAlignment="0" applyProtection="0"/>
    <xf numFmtId="0" fontId="17" fillId="62"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85"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58" borderId="0" applyNumberFormat="0" applyBorder="0" applyAlignment="0" applyProtection="0"/>
    <xf numFmtId="0" fontId="85" fillId="61" borderId="0" applyNumberFormat="0" applyBorder="0" applyAlignment="0" applyProtection="0"/>
    <xf numFmtId="0" fontId="85" fillId="61" borderId="0" applyNumberFormat="0" applyBorder="0" applyAlignment="0" applyProtection="0"/>
    <xf numFmtId="0" fontId="85" fillId="62"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58" borderId="0" applyNumberFormat="0" applyBorder="0" applyAlignment="0" applyProtection="0"/>
    <xf numFmtId="0" fontId="17" fillId="88" borderId="0" applyNumberFormat="0" applyBorder="0" applyAlignment="0" applyProtection="0"/>
    <xf numFmtId="0" fontId="17" fillId="67" borderId="0" applyNumberFormat="0" applyBorder="0" applyAlignment="0" applyProtection="0"/>
    <xf numFmtId="0" fontId="85" fillId="89"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17" fillId="63" borderId="0" applyNumberFormat="0" applyBorder="0" applyAlignment="0" applyProtection="0"/>
    <xf numFmtId="0" fontId="17" fillId="91" borderId="0" applyNumberFormat="0" applyBorder="0" applyAlignment="0" applyProtection="0"/>
    <xf numFmtId="0" fontId="85" fillId="92"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17" fillId="94" borderId="0" applyNumberFormat="0" applyBorder="0" applyAlignment="0" applyProtection="0"/>
    <xf numFmtId="0" fontId="17" fillId="95" borderId="0" applyNumberFormat="0" applyBorder="0" applyAlignment="0" applyProtection="0"/>
    <xf numFmtId="0" fontId="85" fillId="96"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17" fillId="63" borderId="0" applyNumberFormat="0" applyBorder="0" applyAlignment="0" applyProtection="0"/>
    <xf numFmtId="0" fontId="17" fillId="68" borderId="0" applyNumberFormat="0" applyBorder="0" applyAlignment="0" applyProtection="0"/>
    <xf numFmtId="0" fontId="85" fillId="91"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17" fillId="99" borderId="0" applyNumberFormat="0" applyBorder="0" applyAlignment="0" applyProtection="0"/>
    <xf numFmtId="0" fontId="17" fillId="100"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17" fillId="66" borderId="0" applyNumberFormat="0" applyBorder="0" applyAlignment="0" applyProtection="0"/>
    <xf numFmtId="0" fontId="17" fillId="74" borderId="0" applyNumberFormat="0" applyBorder="0" applyAlignment="0" applyProtection="0"/>
    <xf numFmtId="0" fontId="85" fillId="101"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88" fillId="76" borderId="0" applyNumberFormat="0" applyBorder="0" applyAlignment="0" applyProtection="0"/>
    <xf numFmtId="0" fontId="88" fillId="76" borderId="0" applyNumberFormat="0" applyBorder="0" applyAlignment="0" applyProtection="0"/>
    <xf numFmtId="41" fontId="15" fillId="16" borderId="0" applyNumberFormat="0" applyFont="0" applyBorder="0" applyAlignment="0">
      <alignment horizontal="right"/>
    </xf>
    <xf numFmtId="178" fontId="15" fillId="16" borderId="0" applyNumberFormat="0" applyFont="0" applyBorder="0" applyAlignment="0">
      <alignment horizontal="right"/>
    </xf>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139" fillId="103" borderId="84" applyNumberFormat="0" applyAlignment="0" applyProtection="0"/>
    <xf numFmtId="0" fontId="140" fillId="104" borderId="0" applyNumberFormat="0" applyFill="0" applyBorder="0" applyProtection="0">
      <alignment horizontal="center"/>
    </xf>
    <xf numFmtId="0" fontId="140" fillId="104" borderId="0" applyNumberFormat="0" applyFill="0" applyBorder="0" applyProtection="0"/>
    <xf numFmtId="0" fontId="30" fillId="0" borderId="0" applyNumberFormat="0" applyFont="0" applyFill="0" applyBorder="0">
      <alignment horizontal="center" vertical="center"/>
      <protection locked="0"/>
    </xf>
    <xf numFmtId="199" fontId="30" fillId="0" borderId="0" applyFill="0" applyBorder="0">
      <alignment horizontal="center" vertical="center"/>
    </xf>
    <xf numFmtId="200" fontId="30" fillId="0" borderId="0" applyFill="0" applyBorder="0">
      <alignment horizontal="center" vertical="center"/>
    </xf>
    <xf numFmtId="201" fontId="30" fillId="0" borderId="0" applyFill="0" applyBorder="0">
      <alignment horizontal="center" vertical="center"/>
    </xf>
    <xf numFmtId="202" fontId="30" fillId="0" borderId="0" applyFill="0" applyBorder="0">
      <alignment horizontal="center" vertical="center"/>
    </xf>
    <xf numFmtId="203" fontId="30" fillId="0" borderId="0" applyFill="0" applyBorder="0">
      <alignment horizontal="center" vertical="center"/>
    </xf>
    <xf numFmtId="194" fontId="30" fillId="0" borderId="0" applyFill="0" applyBorder="0">
      <alignment horizontal="center" vertical="center"/>
    </xf>
    <xf numFmtId="0" fontId="92" fillId="77" borderId="73" applyNumberFormat="0" applyAlignment="0" applyProtection="0"/>
    <xf numFmtId="0" fontId="92" fillId="77" borderId="73" applyNumberFormat="0" applyAlignment="0" applyProtection="0"/>
    <xf numFmtId="205" fontId="141" fillId="0" borderId="0"/>
    <xf numFmtId="205" fontId="141" fillId="0" borderId="0"/>
    <xf numFmtId="205" fontId="141" fillId="0" borderId="0"/>
    <xf numFmtId="205" fontId="141" fillId="0" borderId="0"/>
    <xf numFmtId="205" fontId="141" fillId="0" borderId="0"/>
    <xf numFmtId="205" fontId="141" fillId="0" borderId="0"/>
    <xf numFmtId="205" fontId="141" fillId="0" borderId="0"/>
    <xf numFmtId="205" fontId="141" fillId="0" borderId="0"/>
    <xf numFmtId="187" fontId="142" fillId="0" borderId="0" applyFill="0" applyBorder="0" applyAlignment="0" applyProtection="0">
      <alignment horizontal="right"/>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172" fontId="14" fillId="0" borderId="0" applyFont="0" applyFill="0" applyBorder="0" applyAlignment="0" applyProtection="0"/>
    <xf numFmtId="172" fontId="15" fillId="0" borderId="0" applyFont="0" applyFill="0" applyBorder="0" applyAlignment="0" applyProtection="0"/>
    <xf numFmtId="206" fontId="15" fillId="0" borderId="0" applyFont="0" applyFill="0" applyBorder="0" applyAlignment="0" applyProtection="0"/>
    <xf numFmtId="207" fontId="143" fillId="0" borderId="0" applyFont="0" applyFill="0" applyBorder="0" applyAlignment="0" applyProtection="0"/>
    <xf numFmtId="44" fontId="1" fillId="0" borderId="0" applyFont="0" applyFill="0" applyBorder="0" applyAlignment="0" applyProtection="0"/>
    <xf numFmtId="0" fontId="95" fillId="105" borderId="0" applyNumberFormat="0" applyBorder="0" applyAlignment="0" applyProtection="0"/>
    <xf numFmtId="0" fontId="95" fillId="106" borderId="0" applyNumberFormat="0" applyBorder="0" applyAlignment="0" applyProtection="0"/>
    <xf numFmtId="0" fontId="95" fillId="80" borderId="0" applyNumberFormat="0" applyBorder="0" applyAlignment="0" applyProtection="0"/>
    <xf numFmtId="208" fontId="15" fillId="0" borderId="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177" fontId="143" fillId="0" borderId="0" applyFont="0" applyFill="0" applyBorder="0" applyAlignment="0" applyProtection="0"/>
    <xf numFmtId="209" fontId="15" fillId="0" borderId="0" applyFont="0" applyFill="0" applyBorder="0" applyAlignment="0" applyProtection="0">
      <alignment horizontal="center"/>
    </xf>
    <xf numFmtId="0" fontId="99" fillId="81" borderId="0" applyNumberFormat="0" applyBorder="0" applyAlignment="0" applyProtection="0"/>
    <xf numFmtId="0" fontId="99" fillId="81" borderId="0" applyNumberFormat="0" applyBorder="0" applyAlignment="0" applyProtection="0"/>
    <xf numFmtId="38" fontId="30" fillId="16" borderId="0" applyNumberFormat="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116" fillId="0" borderId="19">
      <alignment horizontal="left" vertical="center"/>
    </xf>
    <xf numFmtId="0" fontId="29" fillId="0" borderId="0" applyFill="0" applyBorder="0">
      <alignment vertical="center"/>
    </xf>
    <xf numFmtId="0" fontId="100" fillId="0" borderId="74" applyNumberFormat="0" applyFill="0" applyAlignment="0" applyProtection="0"/>
    <xf numFmtId="0" fontId="82" fillId="0" borderId="0" applyFill="0" applyBorder="0">
      <alignment vertical="center"/>
    </xf>
    <xf numFmtId="0" fontId="101" fillId="0" borderId="75"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30" fillId="0" borderId="0" applyFill="0" applyBorder="0">
      <alignment vertical="center"/>
    </xf>
    <xf numFmtId="0" fontId="102" fillId="0" borderId="0" applyNumberFormat="0" applyFill="0" applyBorder="0" applyAlignment="0" applyProtection="0"/>
    <xf numFmtId="0" fontId="144" fillId="60" borderId="10"/>
    <xf numFmtId="184" fontId="15" fillId="9" borderId="0" applyFont="0" applyBorder="0">
      <alignment horizontal="right"/>
    </xf>
    <xf numFmtId="187" fontId="42" fillId="0" borderId="85" applyProtection="0"/>
    <xf numFmtId="210" fontId="145" fillId="0" borderId="85">
      <alignment horizontal="right"/>
      <protection locked="0"/>
    </xf>
    <xf numFmtId="10" fontId="30" fillId="9" borderId="11" applyNumberFormat="0" applyBorder="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46" fillId="74" borderId="84" applyNumberFormat="0" applyAlignment="0" applyProtection="0"/>
    <xf numFmtId="0" fontId="42" fillId="0" borderId="85">
      <protection locked="0"/>
    </xf>
    <xf numFmtId="178" fontId="15" fillId="13" borderId="0" applyFont="0" applyBorder="0" applyAlignment="0">
      <alignment horizontal="right"/>
      <protection locked="0"/>
    </xf>
    <xf numFmtId="10" fontId="29" fillId="84" borderId="0" applyFont="0" applyBorder="0" applyAlignment="0">
      <alignment horizontal="left"/>
      <protection locked="0"/>
    </xf>
    <xf numFmtId="178" fontId="15" fillId="9"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9" fontId="29" fillId="9" borderId="0" applyFont="0" applyBorder="0">
      <alignment horizontal="right"/>
      <protection locked="0"/>
    </xf>
    <xf numFmtId="0" fontId="147" fillId="60" borderId="0" applyNumberFormat="0" applyFont="0" applyAlignment="0"/>
    <xf numFmtId="0" fontId="147" fillId="60" borderId="86" applyNumberFormat="0" applyFont="0" applyAlignment="0">
      <protection locked="0"/>
    </xf>
    <xf numFmtId="0" fontId="136" fillId="107" borderId="0" applyNumberFormat="0">
      <alignment vertical="center"/>
    </xf>
    <xf numFmtId="0" fontId="135" fillId="107" borderId="0" applyNumberFormat="0">
      <alignment vertical="center"/>
    </xf>
    <xf numFmtId="0" fontId="138" fillId="108" borderId="0" applyNumberFormat="0">
      <alignment vertical="center"/>
    </xf>
    <xf numFmtId="0" fontId="148" fillId="109" borderId="0" applyNumberFormat="0">
      <alignment vertical="center"/>
    </xf>
    <xf numFmtId="211" fontId="15" fillId="0" borderId="0" applyFill="0" applyBorder="0">
      <alignment vertical="center"/>
    </xf>
    <xf numFmtId="212" fontId="15" fillId="0" borderId="0" applyFill="0" applyBorder="0">
      <alignment vertical="center"/>
    </xf>
    <xf numFmtId="213" fontId="15" fillId="0" borderId="0" applyFill="0" applyBorder="0">
      <alignment vertical="center"/>
    </xf>
    <xf numFmtId="214" fontId="15" fillId="0" borderId="0" applyFill="0" applyBorder="0">
      <alignment vertical="center"/>
    </xf>
    <xf numFmtId="215" fontId="15" fillId="0" borderId="0">
      <alignment vertical="center"/>
    </xf>
    <xf numFmtId="216" fontId="15" fillId="0" borderId="0" applyFill="0" applyBorder="0">
      <alignment vertical="center"/>
    </xf>
    <xf numFmtId="217" fontId="15" fillId="0" borderId="0" applyFill="0" applyBorder="0">
      <alignment vertical="center"/>
    </xf>
    <xf numFmtId="218" fontId="15" fillId="0" borderId="0">
      <alignment vertical="center"/>
    </xf>
    <xf numFmtId="219" fontId="15" fillId="0" borderId="0" applyFill="0" applyBorder="0">
      <alignment vertical="center"/>
    </xf>
    <xf numFmtId="0" fontId="113" fillId="0" borderId="78" applyNumberFormat="0" applyFill="0" applyAlignment="0" applyProtection="0"/>
    <xf numFmtId="0" fontId="113" fillId="0" borderId="78" applyNumberFormat="0" applyFill="0" applyAlignment="0" applyProtection="0"/>
    <xf numFmtId="0" fontId="103" fillId="0" borderId="87" applyFill="0">
      <alignment horizontal="center" vertical="center"/>
    </xf>
    <xf numFmtId="0" fontId="30" fillId="0" borderId="87" applyFill="0">
      <alignment horizontal="center" vertical="center"/>
    </xf>
    <xf numFmtId="220" fontId="30" fillId="0" borderId="87" applyFill="0">
      <alignment horizontal="center" vertical="center"/>
    </xf>
    <xf numFmtId="0" fontId="117" fillId="61" borderId="0" applyNumberFormat="0" applyBorder="0" applyAlignment="0" applyProtection="0"/>
    <xf numFmtId="0" fontId="117" fillId="61" borderId="0" applyNumberFormat="0" applyBorder="0" applyAlignment="0" applyProtection="0"/>
    <xf numFmtId="221" fontId="149" fillId="0" borderId="85">
      <alignment horizontal="right"/>
      <protection locked="0"/>
    </xf>
    <xf numFmtId="0" fontId="15" fillId="0" borderId="0"/>
    <xf numFmtId="0" fontId="15" fillId="4" borderId="0"/>
    <xf numFmtId="0" fontId="30" fillId="110" borderId="0"/>
    <xf numFmtId="0" fontId="14" fillId="0" borderId="0"/>
    <xf numFmtId="0" fontId="15" fillId="0" borderId="0"/>
    <xf numFmtId="0" fontId="15" fillId="4" borderId="0"/>
    <xf numFmtId="0" fontId="30" fillId="110" borderId="0"/>
    <xf numFmtId="0" fontId="2" fillId="0" borderId="0"/>
    <xf numFmtId="0" fontId="30" fillId="110" borderId="0"/>
    <xf numFmtId="0" fontId="1" fillId="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1" fillId="0" borderId="0"/>
    <xf numFmtId="0" fontId="30" fillId="110" borderId="0"/>
    <xf numFmtId="0" fontId="30" fillId="110" borderId="0"/>
    <xf numFmtId="0" fontId="30" fillId="110" borderId="0"/>
    <xf numFmtId="0" fontId="15" fillId="0" borderId="0"/>
    <xf numFmtId="0" fontId="15" fillId="4"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5" fillId="0" borderId="0"/>
    <xf numFmtId="0" fontId="1" fillId="0" borderId="0"/>
    <xf numFmtId="0" fontId="1" fillId="0" borderId="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30" fillId="66" borderId="84" applyNumberFormat="0" applyFon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103" borderId="80"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222" fontId="42" fillId="0" borderId="2"/>
    <xf numFmtId="222" fontId="42" fillId="0" borderId="2"/>
    <xf numFmtId="0" fontId="6" fillId="0" borderId="0" applyFill="0">
      <alignment horizontal="left" indent="3"/>
    </xf>
    <xf numFmtId="199" fontId="30" fillId="0" borderId="0" applyFill="0" applyBorder="0">
      <alignment horizontal="right" vertical="center"/>
    </xf>
    <xf numFmtId="201" fontId="30" fillId="0" borderId="0" applyFill="0" applyBorder="0">
      <alignment horizontal="right" vertical="center"/>
    </xf>
    <xf numFmtId="203" fontId="30" fillId="0" borderId="0" applyFill="0" applyBorder="0">
      <alignment horizontal="right" vertical="center"/>
    </xf>
    <xf numFmtId="4" fontId="46" fillId="61" borderId="88"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46" fillId="61" borderId="88"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46" fillId="61" borderId="88" applyNumberFormat="0" applyProtection="0">
      <alignment vertical="center"/>
    </xf>
    <xf numFmtId="4" fontId="30" fillId="61"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30" fillId="61" borderId="84" applyNumberFormat="0" applyProtection="0">
      <alignment vertical="center"/>
    </xf>
    <xf numFmtId="4" fontId="151" fillId="5"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151" fillId="5"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46" fillId="5" borderId="88"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46" fillId="5" borderId="88"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46" fillId="5" borderId="88" applyNumberFormat="0" applyProtection="0">
      <alignment horizontal="left" vertical="center" indent="1"/>
    </xf>
    <xf numFmtId="4" fontId="30" fillId="5" borderId="84" applyNumberFormat="0" applyProtection="0">
      <alignment horizontal="left" vertical="center" indent="1"/>
    </xf>
    <xf numFmtId="0" fontId="46" fillId="5"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46" fillId="5"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46" fillId="5" borderId="88" applyNumberFormat="0" applyProtection="0">
      <alignment horizontal="left" vertical="top" indent="1"/>
    </xf>
    <xf numFmtId="0" fontId="152" fillId="61" borderId="88" applyNumberFormat="0" applyProtection="0">
      <alignment horizontal="left" vertical="top" indent="1"/>
    </xf>
    <xf numFmtId="4" fontId="46" fillId="0" borderId="0"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46" fillId="0" borderId="0"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76" borderId="88"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153" fillId="76" borderId="88"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153" fillId="76" borderId="88" applyNumberFormat="0" applyProtection="0">
      <alignment horizontal="right" vertical="center"/>
    </xf>
    <xf numFmtId="4" fontId="30" fillId="76"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153" fillId="118"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3" fillId="118"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4" fillId="119"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4" fillId="119"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3" fillId="59" borderId="90" applyNumberFormat="0" applyProtection="0">
      <alignment horizontal="center"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153" fillId="59" borderId="90" applyNumberFormat="0" applyProtection="0">
      <alignment horizontal="center"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153" fillId="118" borderId="0"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153" fillId="118" borderId="0"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153" fillId="109" borderId="0"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153" fillId="109" borderId="0"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0" fontId="15" fillId="59"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29" fillId="121"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15" fillId="59"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15" fillId="59"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29" fillId="123"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15" fillId="59"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15" fillId="59"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29" fillId="125"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15" fillId="59"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15" fillId="59"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126"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59"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15" fillId="60" borderId="1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5"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03" fillId="72" borderId="92" applyBorder="0"/>
    <xf numFmtId="0" fontId="103" fillId="72" borderId="92" applyBorder="0"/>
    <xf numFmtId="0" fontId="103" fillId="72" borderId="92" applyBorder="0"/>
    <xf numFmtId="0" fontId="103" fillId="72" borderId="92" applyBorder="0"/>
    <xf numFmtId="0" fontId="103" fillId="72" borderId="92" applyBorder="0"/>
    <xf numFmtId="4" fontId="153" fillId="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3" fillId="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3" fillId="9" borderId="88" applyNumberFormat="0" applyProtection="0">
      <alignment vertical="center"/>
    </xf>
    <xf numFmtId="4" fontId="155" fillId="5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30" fillId="59" borderId="11" applyNumberFormat="0" applyProtection="0">
      <alignment vertical="center"/>
    </xf>
    <xf numFmtId="4" fontId="156" fillId="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153" fillId="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3" fillId="5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3" fillId="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0" fontId="153" fillId="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3" fillId="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3" fillId="9" borderId="88" applyNumberFormat="0" applyProtection="0">
      <alignment horizontal="left" vertical="top" indent="1"/>
    </xf>
    <xf numFmtId="0" fontId="155" fillId="59" borderId="88" applyNumberFormat="0" applyProtection="0">
      <alignment horizontal="left" vertical="top" indent="1"/>
    </xf>
    <xf numFmtId="4" fontId="157"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3"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7"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6" fillId="0" borderId="88" applyNumberFormat="0" applyProtection="0">
      <alignment horizontal="right" vertical="center"/>
    </xf>
    <xf numFmtId="4" fontId="151" fillId="4" borderId="84" applyNumberFormat="0" applyProtection="0">
      <alignment horizontal="right" vertical="center"/>
    </xf>
    <xf numFmtId="4" fontId="30" fillId="60" borderId="84" applyNumberFormat="0" applyProtection="0">
      <alignment horizontal="right" vertical="center"/>
    </xf>
    <xf numFmtId="4" fontId="151" fillId="4" borderId="84" applyNumberFormat="0" applyProtection="0">
      <alignment horizontal="right" vertical="center"/>
    </xf>
    <xf numFmtId="4" fontId="156" fillId="118" borderId="88" applyNumberFormat="0" applyProtection="0">
      <alignment horizontal="right" vertical="center"/>
    </xf>
    <xf numFmtId="4" fontId="151" fillId="4" borderId="84" applyNumberFormat="0" applyProtection="0">
      <alignment horizontal="right" vertical="center"/>
    </xf>
    <xf numFmtId="4" fontId="151" fillId="4" borderId="84" applyNumberFormat="0" applyProtection="0">
      <alignment horizontal="right" vertical="center"/>
    </xf>
    <xf numFmtId="4" fontId="156" fillId="0" borderId="88" applyNumberFormat="0" applyProtection="0">
      <alignment horizontal="right" vertical="center"/>
    </xf>
    <xf numFmtId="4" fontId="151" fillId="4" borderId="84" applyNumberFormat="0" applyProtection="0">
      <alignment horizontal="right" vertical="center"/>
    </xf>
    <xf numFmtId="4" fontId="153" fillId="127"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120"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127"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0" fontId="46" fillId="127" borderId="93" applyNumberFormat="0" applyProtection="0">
      <alignment horizontal="center" vertical="top"/>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46" fillId="123" borderId="93"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3" fillId="125" borderId="87" applyNumberFormat="0" applyProtection="0">
      <alignment horizontal="center" vertical="top"/>
    </xf>
    <xf numFmtId="4" fontId="158" fillId="0" borderId="0"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60" fillId="0" borderId="0"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8" fillId="0" borderId="0" applyNumberFormat="0" applyProtection="0">
      <alignment horizontal="left" vertical="center" indent="1"/>
    </xf>
    <xf numFmtId="0" fontId="30" fillId="129" borderId="11"/>
    <xf numFmtId="0" fontId="30" fillId="129" borderId="11"/>
    <xf numFmtId="0" fontId="30" fillId="129" borderId="11"/>
    <xf numFmtId="4" fontId="42" fillId="118" borderId="88"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42" fillId="118" borderId="88"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42" fillId="118" borderId="88" applyNumberFormat="0" applyProtection="0">
      <alignment horizontal="right" vertical="center"/>
    </xf>
    <xf numFmtId="4" fontId="161" fillId="60" borderId="84" applyNumberFormat="0" applyProtection="0">
      <alignment horizontal="right" vertical="center"/>
    </xf>
    <xf numFmtId="0" fontId="162" fillId="0" borderId="0" applyFill="0" applyBorder="0" applyAlignment="0"/>
    <xf numFmtId="0" fontId="163" fillId="130" borderId="0"/>
    <xf numFmtId="49" fontId="164" fillId="130" borderId="94">
      <alignment horizontal="center" wrapText="1"/>
    </xf>
    <xf numFmtId="49" fontId="164" fillId="130" borderId="0">
      <alignment horizontal="center" wrapText="1"/>
    </xf>
    <xf numFmtId="0" fontId="163" fillId="130" borderId="0"/>
    <xf numFmtId="223" fontId="153" fillId="0" borderId="12">
      <alignment horizontal="justify" vertical="top" wrapText="1"/>
    </xf>
    <xf numFmtId="38" fontId="165" fillId="0" borderId="10" applyBorder="0" applyAlignment="0"/>
    <xf numFmtId="2" fontId="166" fillId="0" borderId="0" applyBorder="0"/>
    <xf numFmtId="0" fontId="123" fillId="0" borderId="0" applyNumberFormat="0" applyFill="0" applyBorder="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95" applyNumberFormat="0" applyFill="0" applyAlignment="0" applyProtection="0"/>
    <xf numFmtId="0" fontId="134" fillId="0" borderId="0" applyNumberFormat="0" applyFill="0" applyBorder="0" applyAlignment="0" applyProtection="0"/>
    <xf numFmtId="0" fontId="134" fillId="0" borderId="0" applyNumberFormat="0" applyFill="0" applyBorder="0" applyAlignment="0" applyProtection="0"/>
    <xf numFmtId="44" fontId="3" fillId="0" borderId="0" applyFont="0" applyFill="0" applyBorder="0" applyAlignment="0" applyProtection="0"/>
    <xf numFmtId="0" fontId="1" fillId="0" borderId="0"/>
    <xf numFmtId="0" fontId="3" fillId="0" borderId="0"/>
    <xf numFmtId="0" fontId="1" fillId="0" borderId="0"/>
    <xf numFmtId="43" fontId="3" fillId="0" borderId="0" applyFont="0" applyFill="0" applyBorder="0" applyAlignment="0" applyProtection="0"/>
    <xf numFmtId="9" fontId="3"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1" fillId="0" borderId="0"/>
    <xf numFmtId="0" fontId="3" fillId="0" borderId="0"/>
    <xf numFmtId="0" fontId="30" fillId="60" borderId="91" applyNumberFormat="0">
      <protection locked="0"/>
    </xf>
    <xf numFmtId="200" fontId="30" fillId="0" borderId="83">
      <alignment horizontal="center" vertical="center"/>
      <protection locked="0"/>
    </xf>
    <xf numFmtId="44" fontId="15" fillId="0" borderId="0" applyFont="0" applyFill="0" applyBorder="0" applyAlignment="0" applyProtection="0"/>
    <xf numFmtId="44" fontId="15" fillId="0" borderId="0" applyFont="0" applyFill="0" applyBorder="0" applyAlignment="0" applyProtection="0"/>
    <xf numFmtId="43" fontId="153" fillId="0" borderId="0" applyFont="0" applyFill="0" applyBorder="0" applyAlignment="0" applyProtection="0"/>
    <xf numFmtId="43" fontId="3" fillId="0" borderId="0" applyFont="0" applyFill="0" applyBorder="0" applyAlignment="0" applyProtection="0"/>
    <xf numFmtId="44" fontId="153" fillId="0" borderId="0" applyFont="0" applyFill="0" applyBorder="0" applyAlignment="0" applyProtection="0"/>
    <xf numFmtId="0" fontId="95" fillId="131" borderId="0" applyNumberFormat="0" applyBorder="0" applyAlignment="0" applyProtection="0"/>
    <xf numFmtId="0" fontId="3" fillId="0" borderId="0"/>
    <xf numFmtId="43" fontId="153" fillId="0" borderId="0" applyFont="0" applyFill="0" applyBorder="0" applyAlignment="0" applyProtection="0"/>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5" fillId="0" borderId="0"/>
    <xf numFmtId="0" fontId="116" fillId="0" borderId="71" applyNumberFormat="0" applyAlignment="0" applyProtection="0">
      <alignment horizontal="left" vertical="center"/>
    </xf>
    <xf numFmtId="0" fontId="30" fillId="60" borderId="91" applyNumberFormat="0">
      <protection locked="0"/>
    </xf>
    <xf numFmtId="44" fontId="15" fillId="0" borderId="0" applyFont="0" applyFill="0" applyBorder="0" applyAlignment="0" applyProtection="0"/>
    <xf numFmtId="9" fontId="15" fillId="0" borderId="0" applyFont="0" applyFill="0" applyBorder="0" applyAlignment="0" applyProtection="0"/>
    <xf numFmtId="0" fontId="93" fillId="0" borderId="0"/>
    <xf numFmtId="0" fontId="30" fillId="60" borderId="91" applyNumberFormat="0">
      <protection locked="0"/>
    </xf>
    <xf numFmtId="0" fontId="3" fillId="0" borderId="0"/>
    <xf numFmtId="172" fontId="14" fillId="0" borderId="0" applyFont="0" applyFill="0" applyBorder="0" applyAlignment="0" applyProtection="0"/>
    <xf numFmtId="0" fontId="93" fillId="0" borderId="0"/>
    <xf numFmtId="0" fontId="15" fillId="4" borderId="0"/>
    <xf numFmtId="0" fontId="15" fillId="4" borderId="0"/>
    <xf numFmtId="0" fontId="3" fillId="0" borderId="0"/>
    <xf numFmtId="44" fontId="153" fillId="0" borderId="0" applyFont="0" applyFill="0" applyBorder="0" applyAlignment="0" applyProtection="0"/>
    <xf numFmtId="9" fontId="15" fillId="0" borderId="0" applyFont="0" applyFill="0" applyBorder="0" applyAlignment="0" applyProtection="0"/>
    <xf numFmtId="0" fontId="3" fillId="0" borderId="0"/>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93" fillId="0" borderId="0"/>
    <xf numFmtId="0" fontId="30" fillId="0" borderId="83" applyAlignment="0">
      <protection locked="0"/>
    </xf>
    <xf numFmtId="199" fontId="30" fillId="0" borderId="83">
      <alignment vertical="center"/>
      <protection locked="0"/>
    </xf>
    <xf numFmtId="0" fontId="15" fillId="0" borderId="0"/>
    <xf numFmtId="0" fontId="17" fillId="62" borderId="0" applyNumberFormat="0" applyBorder="0" applyAlignment="0" applyProtection="0"/>
    <xf numFmtId="0" fontId="85" fillId="71" borderId="0" applyNumberFormat="0" applyBorder="0" applyAlignment="0" applyProtection="0"/>
    <xf numFmtId="0" fontId="85" fillId="69" borderId="0" applyNumberFormat="0" applyBorder="0" applyAlignment="0" applyProtection="0"/>
    <xf numFmtId="0" fontId="17" fillId="62"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77" borderId="0" applyNumberFormat="0" applyBorder="0" applyAlignment="0" applyProtection="0"/>
    <xf numFmtId="0" fontId="17" fillId="111" borderId="0" applyNumberFormat="0" applyBorder="0" applyAlignment="0" applyProtection="0"/>
    <xf numFmtId="0" fontId="85" fillId="69" borderId="0" applyNumberFormat="0" applyBorder="0" applyAlignment="0" applyProtection="0"/>
    <xf numFmtId="0" fontId="17" fillId="77" borderId="0" applyNumberFormat="0" applyBorder="0" applyAlignment="0" applyProtection="0"/>
    <xf numFmtId="0" fontId="17" fillId="124" borderId="0" applyNumberFormat="0" applyBorder="0" applyAlignment="0" applyProtection="0"/>
    <xf numFmtId="0" fontId="85" fillId="71" borderId="0" applyNumberFormat="0" applyBorder="0" applyAlignment="0" applyProtection="0"/>
    <xf numFmtId="0" fontId="85" fillId="65" borderId="0" applyNumberFormat="0" applyBorder="0" applyAlignment="0" applyProtection="0"/>
    <xf numFmtId="0" fontId="85" fillId="111" borderId="0" applyNumberFormat="0" applyBorder="0" applyAlignment="0" applyProtection="0"/>
    <xf numFmtId="0" fontId="85" fillId="72" borderId="0" applyNumberFormat="0" applyBorder="0" applyAlignment="0" applyProtection="0"/>
    <xf numFmtId="0" fontId="85" fillId="77"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43" fontId="15" fillId="0" borderId="0" applyFont="0" applyFill="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101" fillId="0" borderId="96" applyNumberFormat="0" applyFill="0" applyAlignment="0" applyProtection="0"/>
    <xf numFmtId="0" fontId="102" fillId="0" borderId="97" applyNumberFormat="0" applyFill="0" applyAlignment="0" applyProtection="0"/>
    <xf numFmtId="0" fontId="85" fillId="65" borderId="0" applyNumberFormat="0" applyBorder="0" applyAlignment="0" applyProtection="0"/>
    <xf numFmtId="0" fontId="85" fillId="75" borderId="0" applyNumberFormat="0" applyBorder="0" applyAlignment="0" applyProtection="0"/>
    <xf numFmtId="0" fontId="85" fillId="71" borderId="0" applyNumberFormat="0" applyBorder="0" applyAlignment="0" applyProtection="0"/>
    <xf numFmtId="0" fontId="85" fillId="69" borderId="0" applyNumberFormat="0" applyBorder="0" applyAlignment="0" applyProtection="0"/>
    <xf numFmtId="0" fontId="15" fillId="59" borderId="98" applyNumberFormat="0" applyFont="0" applyAlignment="0" applyProtection="0"/>
    <xf numFmtId="0" fontId="85" fillId="65" borderId="0" applyNumberFormat="0" applyBorder="0" applyAlignment="0" applyProtection="0"/>
    <xf numFmtId="43" fontId="15" fillId="0" borderId="0" applyFont="0" applyFill="0" applyBorder="0" applyAlignment="0" applyProtection="0"/>
    <xf numFmtId="0" fontId="85" fillId="65" borderId="0" applyNumberFormat="0" applyBorder="0" applyAlignment="0" applyProtection="0"/>
    <xf numFmtId="0" fontId="15" fillId="0" borderId="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43" fontId="15" fillId="0" borderId="0" applyFont="0" applyFill="0" applyBorder="0" applyAlignment="0" applyProtection="0"/>
    <xf numFmtId="0" fontId="15" fillId="0" borderId="0"/>
    <xf numFmtId="0" fontId="85" fillId="69" borderId="0" applyNumberFormat="0" applyBorder="0" applyAlignment="0" applyProtection="0"/>
    <xf numFmtId="0" fontId="85" fillId="71"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9" fontId="15" fillId="0" borderId="0" applyFont="0" applyFill="0" applyBorder="0" applyAlignment="0" applyProtection="0"/>
    <xf numFmtId="0" fontId="85" fillId="65" borderId="0" applyNumberFormat="0" applyBorder="0" applyAlignment="0" applyProtection="0"/>
    <xf numFmtId="0" fontId="85" fillId="69" borderId="0" applyNumberFormat="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0" fontId="15" fillId="0" borderId="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95" fillId="131" borderId="0" applyNumberFormat="0" applyBorder="0" applyAlignment="0" applyProtection="0"/>
    <xf numFmtId="43" fontId="15" fillId="0" borderId="0" applyFont="0" applyFill="0" applyBorder="0" applyAlignment="0" applyProtection="0"/>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93" fillId="0" borderId="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9" fontId="14" fillId="0" borderId="0" applyFont="0" applyFill="0" applyBorder="0" applyAlignment="0" applyProtection="0"/>
    <xf numFmtId="9" fontId="15"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0" fontId="1" fillId="0" borderId="0"/>
    <xf numFmtId="0" fontId="1" fillId="0" borderId="0"/>
    <xf numFmtId="9" fontId="3" fillId="0" borderId="0" applyFont="0" applyFill="0" applyBorder="0" applyAlignment="0" applyProtection="0"/>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93" fillId="0" borderId="0"/>
    <xf numFmtId="44" fontId="153" fillId="0" borderId="0" applyFont="0" applyFill="0" applyBorder="0" applyAlignment="0" applyProtection="0"/>
    <xf numFmtId="43" fontId="15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15" fillId="0" borderId="0"/>
    <xf numFmtId="0" fontId="116" fillId="0" borderId="71" applyNumberFormat="0" applyAlignment="0" applyProtection="0">
      <alignment horizontal="left" vertical="center"/>
    </xf>
    <xf numFmtId="0" fontId="3" fillId="0" borderId="0"/>
    <xf numFmtId="0" fontId="30" fillId="60" borderId="91" applyNumberFormat="0">
      <protection locked="0"/>
    </xf>
    <xf numFmtId="0" fontId="15" fillId="4" borderId="0"/>
    <xf numFmtId="0" fontId="17" fillId="57"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95" fillId="80" borderId="0" applyNumberFormat="0" applyBorder="0" applyAlignment="0" applyProtection="0"/>
    <xf numFmtId="0" fontId="101" fillId="0" borderId="75" applyNumberFormat="0" applyFill="0" applyAlignment="0" applyProtection="0"/>
    <xf numFmtId="0" fontId="102" fillId="0" borderId="76" applyNumberFormat="0" applyFill="0" applyAlignment="0" applyProtection="0"/>
    <xf numFmtId="0" fontId="14" fillId="0" borderId="0"/>
    <xf numFmtId="0" fontId="15" fillId="4" borderId="0"/>
    <xf numFmtId="0" fontId="30" fillId="11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15" fillId="59" borderId="79"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0" fontId="15" fillId="60" borderId="11" applyNumberFormat="0">
      <protection locked="0"/>
    </xf>
    <xf numFmtId="0" fontId="46" fillId="127" borderId="93" applyNumberFormat="0" applyProtection="0">
      <alignment horizontal="center" vertical="top"/>
    </xf>
    <xf numFmtId="4" fontId="158" fillId="0" borderId="0" applyNumberFormat="0" applyProtection="0">
      <alignment horizontal="left" vertical="center" indent="1"/>
    </xf>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30" fillId="60" borderId="91" applyNumberFormat="0">
      <protection locked="0"/>
    </xf>
    <xf numFmtId="44"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0" fontId="15" fillId="0" borderId="0"/>
    <xf numFmtId="43" fontId="15" fillId="0" borderId="0" applyFont="0" applyFill="0" applyBorder="0" applyAlignment="0" applyProtection="0"/>
    <xf numFmtId="43" fontId="15" fillId="0" borderId="0" applyFont="0" applyFill="0" applyBorder="0" applyAlignment="0" applyProtection="0"/>
    <xf numFmtId="3" fontId="15" fillId="11" borderId="0" applyNumberFormat="0" applyFont="0" applyBorder="0" applyAlignment="0">
      <alignment horizontal="right"/>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80" fillId="32" borderId="0" applyNumberFormat="0" applyBorder="0" applyAlignment="0" applyProtection="0"/>
    <xf numFmtId="0" fontId="80" fillId="36" borderId="0" applyNumberFormat="0" applyBorder="0" applyAlignment="0" applyProtection="0"/>
    <xf numFmtId="0" fontId="80" fillId="40" borderId="0" applyNumberFormat="0" applyBorder="0" applyAlignment="0" applyProtection="0"/>
    <xf numFmtId="0" fontId="80" fillId="44" borderId="0" applyNumberFormat="0" applyBorder="0" applyAlignment="0" applyProtection="0"/>
    <xf numFmtId="0" fontId="80" fillId="48" borderId="0" applyNumberFormat="0" applyBorder="0" applyAlignment="0" applyProtection="0"/>
    <xf numFmtId="0" fontId="80" fillId="52" borderId="0" applyNumberFormat="0" applyBorder="0" applyAlignment="0" applyProtection="0"/>
    <xf numFmtId="0" fontId="17" fillId="64" borderId="0" applyNumberFormat="0" applyBorder="0" applyAlignment="0" applyProtection="0"/>
    <xf numFmtId="0" fontId="17" fillId="100" borderId="0" applyNumberFormat="0" applyBorder="0" applyAlignment="0" applyProtection="0"/>
    <xf numFmtId="0" fontId="85" fillId="132" borderId="0" applyNumberFormat="0" applyBorder="0" applyAlignment="0" applyProtection="0"/>
    <xf numFmtId="0" fontId="80" fillId="29" borderId="0" applyNumberFormat="0" applyBorder="0" applyAlignment="0" applyProtection="0"/>
    <xf numFmtId="0" fontId="85" fillId="90" borderId="0" applyNumberFormat="0" applyBorder="0" applyAlignment="0" applyProtection="0"/>
    <xf numFmtId="0" fontId="80" fillId="29" borderId="0" applyNumberFormat="0" applyBorder="0" applyAlignment="0" applyProtection="0"/>
    <xf numFmtId="0" fontId="80" fillId="29" borderId="0" applyNumberFormat="0" applyBorder="0" applyAlignment="0" applyProtection="0"/>
    <xf numFmtId="0" fontId="80" fillId="29" borderId="0" applyNumberFormat="0" applyBorder="0" applyAlignment="0" applyProtection="0"/>
    <xf numFmtId="0" fontId="17" fillId="133" borderId="0" applyNumberFormat="0" applyBorder="0" applyAlignment="0" applyProtection="0"/>
    <xf numFmtId="0" fontId="17" fillId="92" borderId="0" applyNumberFormat="0" applyBorder="0" applyAlignment="0" applyProtection="0"/>
    <xf numFmtId="0" fontId="80" fillId="33" borderId="0" applyNumberFormat="0" applyBorder="0" applyAlignment="0" applyProtection="0"/>
    <xf numFmtId="0" fontId="85" fillId="93" borderId="0" applyNumberFormat="0" applyBorder="0" applyAlignment="0" applyProtection="0"/>
    <xf numFmtId="0" fontId="80" fillId="33" borderId="0" applyNumberFormat="0" applyBorder="0" applyAlignment="0" applyProtection="0"/>
    <xf numFmtId="0" fontId="80" fillId="33" borderId="0" applyNumberFormat="0" applyBorder="0" applyAlignment="0" applyProtection="0"/>
    <xf numFmtId="0" fontId="80" fillId="33" borderId="0" applyNumberFormat="0" applyBorder="0" applyAlignment="0" applyProtection="0"/>
    <xf numFmtId="0" fontId="17" fillId="99" borderId="0" applyNumberFormat="0" applyBorder="0" applyAlignment="0" applyProtection="0"/>
    <xf numFmtId="0" fontId="17" fillId="91" borderId="0" applyNumberFormat="0" applyBorder="0" applyAlignment="0" applyProtection="0"/>
    <xf numFmtId="0" fontId="80" fillId="37" borderId="0" applyNumberFormat="0" applyBorder="0" applyAlignment="0" applyProtection="0"/>
    <xf numFmtId="0" fontId="85" fillId="9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17" fillId="91" borderId="0" applyNumberFormat="0" applyBorder="0" applyAlignment="0" applyProtection="0"/>
    <xf numFmtId="0" fontId="80" fillId="41" borderId="0" applyNumberFormat="0" applyBorder="0" applyAlignment="0" applyProtection="0"/>
    <xf numFmtId="0" fontId="85" fillId="98" borderId="0" applyNumberFormat="0" applyBorder="0" applyAlignment="0" applyProtection="0"/>
    <xf numFmtId="0" fontId="80" fillId="41" borderId="0" applyNumberFormat="0" applyBorder="0" applyAlignment="0" applyProtection="0"/>
    <xf numFmtId="0" fontId="80" fillId="41" borderId="0" applyNumberFormat="0" applyBorder="0" applyAlignment="0" applyProtection="0"/>
    <xf numFmtId="0" fontId="80" fillId="41" borderId="0" applyNumberFormat="0" applyBorder="0" applyAlignment="0" applyProtection="0"/>
    <xf numFmtId="0" fontId="17" fillId="64" borderId="0" applyNumberFormat="0" applyBorder="0" applyAlignment="0" applyProtection="0"/>
    <xf numFmtId="0" fontId="85" fillId="100" borderId="0" applyNumberFormat="0" applyBorder="0" applyAlignment="0" applyProtection="0"/>
    <xf numFmtId="0" fontId="80" fillId="45" borderId="0" applyNumberFormat="0" applyBorder="0" applyAlignment="0" applyProtection="0"/>
    <xf numFmtId="0" fontId="85" fillId="89" borderId="0" applyNumberFormat="0" applyBorder="0" applyAlignment="0" applyProtection="0"/>
    <xf numFmtId="0" fontId="80" fillId="45" borderId="0" applyNumberFormat="0" applyBorder="0" applyAlignment="0" applyProtection="0"/>
    <xf numFmtId="0" fontId="80" fillId="45" borderId="0" applyNumberFormat="0" applyBorder="0" applyAlignment="0" applyProtection="0"/>
    <xf numFmtId="0" fontId="80" fillId="45" borderId="0" applyNumberFormat="0" applyBorder="0" applyAlignment="0" applyProtection="0"/>
    <xf numFmtId="0" fontId="17" fillId="92" borderId="0" applyNumberFormat="0" applyBorder="0" applyAlignment="0" applyProtection="0"/>
    <xf numFmtId="0" fontId="80" fillId="49" borderId="0" applyNumberFormat="0" applyBorder="0" applyAlignment="0" applyProtection="0"/>
    <xf numFmtId="0" fontId="85" fillId="102" borderId="0" applyNumberFormat="0" applyBorder="0" applyAlignment="0" applyProtection="0"/>
    <xf numFmtId="0" fontId="80" fillId="49" borderId="0" applyNumberFormat="0" applyBorder="0" applyAlignment="0" applyProtection="0"/>
    <xf numFmtId="0" fontId="80" fillId="49" borderId="0" applyNumberFormat="0" applyBorder="0" applyAlignment="0" applyProtection="0"/>
    <xf numFmtId="0" fontId="80" fillId="49" borderId="0" applyNumberFormat="0" applyBorder="0" applyAlignment="0" applyProtection="0"/>
    <xf numFmtId="0" fontId="70" fillId="23" borderId="0" applyNumberFormat="0" applyBorder="0" applyAlignment="0" applyProtection="0"/>
    <xf numFmtId="0" fontId="167" fillId="66" borderId="0" applyNumberFormat="0" applyBorder="0" applyAlignment="0" applyProtection="0"/>
    <xf numFmtId="0" fontId="74" fillId="26" borderId="65" applyNumberFormat="0" applyAlignment="0" applyProtection="0"/>
    <xf numFmtId="0" fontId="139" fillId="103" borderId="84" applyNumberFormat="0" applyAlignment="0" applyProtection="0"/>
    <xf numFmtId="0" fontId="76" fillId="27" borderId="68" applyNumberFormat="0" applyAlignment="0" applyProtection="0"/>
    <xf numFmtId="0" fontId="92" fillId="98" borderId="73" applyNumberFormat="0" applyAlignment="0" applyProtection="0"/>
    <xf numFmtId="172" fontId="1" fillId="0" borderId="0" applyFont="0" applyFill="0" applyBorder="0" applyAlignment="0" applyProtection="0"/>
    <xf numFmtId="181" fontId="1" fillId="0" borderId="0" applyFont="0" applyFill="0" applyBorder="0" applyAlignment="0" applyProtection="0"/>
    <xf numFmtId="0" fontId="15" fillId="0" borderId="0" applyFont="0" applyFill="0" applyBorder="0" applyAlignment="0" applyProtection="0"/>
    <xf numFmtId="0" fontId="78" fillId="0" borderId="0" applyNumberFormat="0" applyFill="0" applyBorder="0" applyAlignment="0" applyProtection="0"/>
    <xf numFmtId="0" fontId="69" fillId="22" borderId="0" applyNumberFormat="0" applyBorder="0" applyAlignment="0" applyProtection="0"/>
    <xf numFmtId="0" fontId="17" fillId="95" borderId="0" applyNumberFormat="0" applyBorder="0" applyAlignment="0" applyProtection="0"/>
    <xf numFmtId="0" fontId="66" fillId="0" borderId="62" applyNumberFormat="0" applyFill="0" applyAlignment="0" applyProtection="0"/>
    <xf numFmtId="0" fontId="100" fillId="0" borderId="99" applyNumberFormat="0" applyFill="0" applyAlignment="0" applyProtection="0"/>
    <xf numFmtId="0" fontId="67" fillId="0" borderId="63" applyNumberFormat="0" applyFill="0" applyAlignment="0" applyProtection="0"/>
    <xf numFmtId="0" fontId="101" fillId="0" borderId="100" applyNumberFormat="0" applyFill="0" applyAlignment="0" applyProtection="0"/>
    <xf numFmtId="0" fontId="68" fillId="0" borderId="64" applyNumberFormat="0" applyFill="0" applyAlignment="0" applyProtection="0"/>
    <xf numFmtId="0" fontId="102" fillId="0" borderId="101" applyNumberFormat="0" applyFill="0" applyAlignment="0" applyProtection="0"/>
    <xf numFmtId="0" fontId="68" fillId="0" borderId="0" applyNumberFormat="0" applyFill="0" applyBorder="0" applyAlignment="0" applyProtection="0"/>
    <xf numFmtId="0" fontId="72" fillId="25" borderId="65" applyNumberFormat="0" applyAlignment="0" applyProtection="0"/>
    <xf numFmtId="0" fontId="146" fillId="74" borderId="84" applyNumberFormat="0" applyAlignment="0" applyProtection="0"/>
    <xf numFmtId="0" fontId="75" fillId="0" borderId="67" applyNumberFormat="0" applyFill="0" applyAlignment="0" applyProtection="0"/>
    <xf numFmtId="0" fontId="99" fillId="0" borderId="102" applyNumberFormat="0" applyFill="0" applyAlignment="0" applyProtection="0"/>
    <xf numFmtId="0" fontId="71" fillId="24" borderId="0" applyNumberFormat="0" applyBorder="0" applyAlignment="0" applyProtection="0"/>
    <xf numFmtId="0" fontId="99" fillId="74" borderId="0" applyNumberFormat="0" applyBorder="0" applyAlignment="0" applyProtection="0"/>
    <xf numFmtId="0" fontId="30" fillId="110" borderId="0"/>
    <xf numFmtId="0" fontId="1" fillId="0" borderId="0"/>
    <xf numFmtId="0" fontId="1" fillId="28" borderId="69" applyNumberFormat="0" applyFont="0" applyAlignment="0" applyProtection="0"/>
    <xf numFmtId="0" fontId="30" fillId="66" borderId="84" applyNumberFormat="0" applyFont="0" applyAlignment="0" applyProtection="0"/>
    <xf numFmtId="0" fontId="73" fillId="26" borderId="66" applyNumberFormat="0" applyAlignment="0" applyProtection="0"/>
    <xf numFmtId="0" fontId="119" fillId="103" borderId="80" applyNumberFormat="0" applyAlignment="0" applyProtection="0"/>
    <xf numFmtId="4" fontId="46" fillId="61" borderId="88" applyNumberFormat="0" applyProtection="0">
      <alignment vertical="center"/>
    </xf>
    <xf numFmtId="4" fontId="150" fillId="5" borderId="88" applyNumberFormat="0" applyProtection="0">
      <alignment vertical="center"/>
    </xf>
    <xf numFmtId="4" fontId="46" fillId="5" borderId="88" applyNumberFormat="0" applyProtection="0">
      <alignment horizontal="left" vertical="center" indent="1"/>
    </xf>
    <xf numFmtId="0" fontId="46" fillId="5" borderId="88" applyNumberFormat="0" applyProtection="0">
      <alignment horizontal="left" vertical="top" indent="1"/>
    </xf>
    <xf numFmtId="4" fontId="46" fillId="0" borderId="0" applyNumberFormat="0" applyProtection="0">
      <alignment horizontal="left" vertical="center" indent="1"/>
    </xf>
    <xf numFmtId="4" fontId="153" fillId="76" borderId="88" applyNumberFormat="0" applyProtection="0">
      <alignment horizontal="right" vertical="center"/>
    </xf>
    <xf numFmtId="4" fontId="153" fillId="111" borderId="88" applyNumberFormat="0" applyProtection="0">
      <alignment horizontal="right" vertical="center"/>
    </xf>
    <xf numFmtId="4" fontId="153" fillId="69" borderId="88" applyNumberFormat="0" applyProtection="0">
      <alignment horizontal="right" vertical="center"/>
    </xf>
    <xf numFmtId="4" fontId="153" fillId="113" borderId="88" applyNumberFormat="0" applyProtection="0">
      <alignment horizontal="right" vertical="center"/>
    </xf>
    <xf numFmtId="4" fontId="153" fillId="114" borderId="88" applyNumberFormat="0" applyProtection="0">
      <alignment horizontal="right" vertical="center"/>
    </xf>
    <xf numFmtId="4" fontId="153" fillId="75" borderId="88" applyNumberFormat="0" applyProtection="0">
      <alignment horizontal="right" vertical="center"/>
    </xf>
    <xf numFmtId="4" fontId="153" fillId="71" borderId="88" applyNumberFormat="0" applyProtection="0">
      <alignment horizontal="right" vertical="center"/>
    </xf>
    <xf numFmtId="4" fontId="153" fillId="115" borderId="88" applyNumberFormat="0" applyProtection="0">
      <alignment horizontal="right" vertical="center"/>
    </xf>
    <xf numFmtId="4" fontId="153" fillId="116" borderId="88" applyNumberFormat="0" applyProtection="0">
      <alignment horizontal="righ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153" fillId="118" borderId="0" applyNumberFormat="0" applyProtection="0">
      <alignment horizontal="left" vertical="center" indent="1"/>
    </xf>
    <xf numFmtId="4" fontId="154" fillId="119" borderId="0" applyNumberFormat="0" applyProtection="0">
      <alignment horizontal="left" vertical="center" indent="1"/>
    </xf>
    <xf numFmtId="4" fontId="153" fillId="59" borderId="90" applyNumberFormat="0" applyProtection="0">
      <alignment horizontal="center" vertical="center"/>
    </xf>
    <xf numFmtId="4" fontId="153" fillId="118" borderId="0" applyNumberFormat="0" applyProtection="0">
      <alignment horizontal="left" vertical="center" indent="1"/>
    </xf>
    <xf numFmtId="4" fontId="153" fillId="109" borderId="0" applyNumberFormat="0" applyProtection="0">
      <alignment horizontal="left" vertical="center" indent="1"/>
    </xf>
    <xf numFmtId="0" fontId="15" fillId="59" borderId="88" applyNumberFormat="0" applyProtection="0">
      <alignment horizontal="left" vertical="center" indent="1"/>
    </xf>
    <xf numFmtId="0" fontId="15" fillId="119" borderId="88" applyNumberFormat="0" applyProtection="0">
      <alignment horizontal="left" vertical="top" indent="1"/>
    </xf>
    <xf numFmtId="9" fontId="1" fillId="0" borderId="0" applyFont="0" applyFill="0" applyBorder="0" applyAlignment="0" applyProtection="0"/>
    <xf numFmtId="0" fontId="15" fillId="59" borderId="88" applyNumberFormat="0" applyProtection="0">
      <alignment horizontal="left" vertical="center" indent="1"/>
    </xf>
    <xf numFmtId="0" fontId="15" fillId="109" borderId="88" applyNumberFormat="0" applyProtection="0">
      <alignment horizontal="left" vertical="top" indent="1"/>
    </xf>
    <xf numFmtId="0" fontId="15" fillId="59" borderId="88" applyNumberFormat="0" applyProtection="0">
      <alignment horizontal="left" vertical="center" indent="1"/>
    </xf>
    <xf numFmtId="0" fontId="15" fillId="82" borderId="88" applyNumberFormat="0" applyProtection="0">
      <alignment horizontal="left" vertical="top" indent="1"/>
    </xf>
    <xf numFmtId="0" fontId="15" fillId="59" borderId="88" applyNumberFormat="0" applyProtection="0">
      <alignment horizontal="left" vertical="center" indent="1"/>
    </xf>
    <xf numFmtId="0" fontId="15" fillId="11" borderId="88" applyNumberFormat="0" applyProtection="0">
      <alignment horizontal="left" vertical="top" indent="1"/>
    </xf>
    <xf numFmtId="0" fontId="15" fillId="0" borderId="0"/>
    <xf numFmtId="0" fontId="30" fillId="60" borderId="91" applyNumberFormat="0">
      <protection locked="0"/>
    </xf>
    <xf numFmtId="4" fontId="153" fillId="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153" fillId="9" borderId="88" applyNumberFormat="0" applyProtection="0">
      <alignment horizontal="left" vertical="center" indent="1"/>
    </xf>
    <xf numFmtId="0" fontId="153" fillId="9" borderId="88" applyNumberFormat="0" applyProtection="0">
      <alignment horizontal="left" vertical="top" indent="1"/>
    </xf>
    <xf numFmtId="4" fontId="157" fillId="0" borderId="88" applyNumberFormat="0" applyProtection="0">
      <alignment horizontal="right" vertical="center"/>
    </xf>
    <xf numFmtId="4" fontId="156" fillId="0" borderId="88" applyNumberFormat="0" applyProtection="0">
      <alignment horizontal="right" vertical="center"/>
    </xf>
    <xf numFmtId="4" fontId="153" fillId="127" borderId="88" applyNumberFormat="0" applyProtection="0">
      <alignment horizontal="left" vertical="center" indent="1"/>
    </xf>
    <xf numFmtId="0" fontId="46" fillId="127" borderId="93" applyNumberFormat="0" applyProtection="0">
      <alignment horizontal="center" vertical="top"/>
    </xf>
    <xf numFmtId="4" fontId="158" fillId="0" borderId="0" applyNumberFormat="0" applyProtection="0">
      <alignment horizontal="left" vertical="center" indent="1"/>
    </xf>
    <xf numFmtId="0" fontId="1" fillId="0" borderId="0"/>
    <xf numFmtId="4" fontId="42" fillId="118" borderId="88" applyNumberFormat="0" applyProtection="0">
      <alignment horizontal="right" vertical="center"/>
    </xf>
    <xf numFmtId="0" fontId="65" fillId="0" borderId="0" applyNumberFormat="0" applyFill="0" applyBorder="0" applyAlignment="0" applyProtection="0"/>
    <xf numFmtId="0" fontId="79" fillId="0" borderId="70" applyNumberFormat="0" applyFill="0" applyAlignment="0" applyProtection="0"/>
    <xf numFmtId="0" fontId="95" fillId="0" borderId="95" applyNumberFormat="0" applyFill="0" applyAlignment="0" applyProtection="0"/>
    <xf numFmtId="0" fontId="77" fillId="0" borderId="0" applyNumberFormat="0" applyFill="0" applyBorder="0" applyAlignment="0" applyProtection="0"/>
    <xf numFmtId="0" fontId="168" fillId="0" borderId="0" applyNumberFormat="0" applyFill="0" applyBorder="0" applyAlignment="0" applyProtection="0"/>
    <xf numFmtId="9" fontId="1" fillId="0" borderId="0" applyFont="0" applyFill="0" applyBorder="0" applyAlignment="0" applyProtection="0"/>
    <xf numFmtId="0" fontId="153" fillId="120" borderId="0" applyNumberFormat="0" applyBorder="0" applyAlignment="0" applyProtection="0"/>
    <xf numFmtId="0" fontId="153" fillId="111" borderId="0" applyNumberFormat="0" applyBorder="0" applyAlignment="0" applyProtection="0"/>
    <xf numFmtId="0" fontId="153" fillId="59" borderId="0" applyNumberFormat="0" applyBorder="0" applyAlignment="0" applyProtection="0"/>
    <xf numFmtId="0" fontId="153" fillId="60" borderId="0" applyNumberFormat="0" applyBorder="0" applyAlignment="0" applyProtection="0"/>
    <xf numFmtId="0" fontId="153" fillId="124" borderId="0" applyNumberFormat="0" applyBorder="0" applyAlignment="0" applyProtection="0"/>
    <xf numFmtId="0" fontId="153" fillId="76" borderId="0" applyNumberFormat="0" applyBorder="0" applyAlignment="0" applyProtection="0"/>
    <xf numFmtId="0" fontId="153" fillId="72" borderId="0" applyNumberFormat="0" applyBorder="0" applyAlignment="0" applyProtection="0"/>
    <xf numFmtId="0" fontId="153" fillId="111" borderId="0" applyNumberFormat="0" applyBorder="0" applyAlignment="0" applyProtection="0"/>
    <xf numFmtId="0" fontId="153" fillId="71" borderId="0" applyNumberFormat="0" applyBorder="0" applyAlignment="0" applyProtection="0"/>
    <xf numFmtId="0" fontId="153" fillId="62" borderId="0" applyNumberFormat="0" applyBorder="0" applyAlignment="0" applyProtection="0"/>
    <xf numFmtId="0" fontId="153" fillId="72" borderId="0" applyNumberFormat="0" applyBorder="0" applyAlignment="0" applyProtection="0"/>
    <xf numFmtId="0" fontId="153" fillId="58" borderId="0" applyNumberFormat="0" applyBorder="0" applyAlignment="0" applyProtection="0"/>
    <xf numFmtId="0" fontId="136" fillId="72" borderId="0" applyNumberFormat="0" applyBorder="0" applyAlignment="0" applyProtection="0"/>
    <xf numFmtId="0" fontId="136" fillId="111" borderId="0" applyNumberFormat="0" applyBorder="0" applyAlignment="0" applyProtection="0"/>
    <xf numFmtId="0" fontId="136" fillId="71" borderId="0" applyNumberFormat="0" applyBorder="0" applyAlignment="0" applyProtection="0"/>
    <xf numFmtId="0" fontId="136" fillId="62" borderId="0" applyNumberFormat="0" applyBorder="0" applyAlignment="0" applyProtection="0"/>
    <xf numFmtId="0" fontId="136" fillId="72" borderId="0" applyNumberFormat="0" applyBorder="0" applyAlignment="0" applyProtection="0"/>
    <xf numFmtId="0" fontId="136" fillId="58" borderId="0" applyNumberFormat="0" applyBorder="0" applyAlignment="0" applyProtection="0"/>
    <xf numFmtId="0" fontId="85" fillId="68" borderId="0" applyNumberFormat="0" applyBorder="0" applyAlignment="0" applyProtection="0"/>
    <xf numFmtId="0" fontId="85" fillId="134" borderId="0" applyNumberFormat="0" applyBorder="0" applyAlignment="0" applyProtection="0"/>
    <xf numFmtId="0" fontId="85" fillId="135" borderId="0" applyNumberFormat="0" applyBorder="0" applyAlignment="0" applyProtection="0"/>
    <xf numFmtId="0" fontId="85" fillId="136" borderId="0" applyNumberFormat="0" applyBorder="0" applyAlignment="0" applyProtection="0"/>
    <xf numFmtId="0" fontId="169" fillId="92" borderId="0" applyNumberFormat="0" applyBorder="0" applyAlignment="0" applyProtection="0"/>
    <xf numFmtId="0" fontId="170" fillId="137" borderId="72" applyNumberFormat="0" applyAlignment="0" applyProtection="0"/>
    <xf numFmtId="0" fontId="92" fillId="68" borderId="73" applyNumberFormat="0" applyAlignment="0" applyProtection="0"/>
    <xf numFmtId="0" fontId="171" fillId="0" borderId="0" applyNumberFormat="0" applyFill="0" applyBorder="0" applyAlignment="0" applyProtection="0"/>
    <xf numFmtId="0" fontId="99" fillId="70" borderId="0" applyNumberFormat="0" applyBorder="0" applyAlignment="0" applyProtection="0"/>
    <xf numFmtId="0" fontId="101" fillId="0" borderId="103" applyNumberFormat="0" applyFill="0" applyAlignment="0" applyProtection="0"/>
    <xf numFmtId="0" fontId="102" fillId="0" borderId="104" applyNumberFormat="0" applyFill="0" applyAlignment="0" applyProtection="0"/>
    <xf numFmtId="0" fontId="146" fillId="74" borderId="72" applyNumberFormat="0" applyAlignment="0" applyProtection="0"/>
    <xf numFmtId="0" fontId="172" fillId="0" borderId="105" applyNumberFormat="0" applyFill="0" applyAlignment="0" applyProtection="0"/>
    <xf numFmtId="0" fontId="117" fillId="74" borderId="0" applyNumberFormat="0" applyBorder="0" applyAlignment="0" applyProtection="0"/>
    <xf numFmtId="0" fontId="15" fillId="66" borderId="79" applyNumberFormat="0" applyFont="0" applyAlignment="0" applyProtection="0"/>
    <xf numFmtId="0" fontId="119" fillId="137" borderId="80" applyNumberFormat="0" applyAlignment="0" applyProtection="0"/>
    <xf numFmtId="0" fontId="85" fillId="135" borderId="0" applyNumberFormat="0" applyBorder="0" applyAlignment="0" applyProtection="0"/>
    <xf numFmtId="0" fontId="85" fillId="134" borderId="0" applyNumberFormat="0" applyBorder="0" applyAlignment="0" applyProtection="0"/>
    <xf numFmtId="0" fontId="85" fillId="136" borderId="0" applyNumberFormat="0" applyBorder="0" applyAlignment="0" applyProtection="0"/>
    <xf numFmtId="0" fontId="85" fillId="68"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3" fillId="0" borderId="0" applyFont="0" applyFill="0" applyBorder="0" applyAlignment="0" applyProtection="0"/>
    <xf numFmtId="43" fontId="3" fillId="0" borderId="0" applyFont="0" applyFill="0" applyBorder="0" applyAlignment="0" applyProtection="0"/>
    <xf numFmtId="0" fontId="3" fillId="0" borderId="0"/>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201"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2" fontId="30" fillId="0" borderId="83">
      <alignment vertical="center"/>
      <protection locked="0"/>
    </xf>
    <xf numFmtId="202"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9"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0" fontId="1" fillId="0" borderId="0"/>
    <xf numFmtId="0" fontId="1" fillId="0" borderId="0"/>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3" fontId="3" fillId="0" borderId="0" applyFont="0" applyFill="0" applyBorder="0" applyAlignment="0" applyProtection="0"/>
    <xf numFmtId="9" fontId="3" fillId="0" borderId="0" applyFont="0" applyFill="0" applyBorder="0" applyAlignment="0" applyProtection="0"/>
    <xf numFmtId="0" fontId="3" fillId="0" borderId="0"/>
    <xf numFmtId="43" fontId="15" fillId="0" borderId="0" applyFont="0" applyFill="0" applyBorder="0" applyAlignment="0" applyProtection="0"/>
    <xf numFmtId="43" fontId="3" fillId="0" borderId="0" applyFont="0" applyFill="0" applyBorder="0" applyAlignment="0" applyProtection="0"/>
    <xf numFmtId="0" fontId="2" fillId="0" borderId="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4" fontId="46" fillId="117" borderId="89" applyNumberFormat="0" applyProtection="0">
      <alignment horizontal="left" vertical="center" indent="1"/>
    </xf>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0" fillId="60" borderId="91" applyNumberFormat="0">
      <protection locked="0"/>
    </xf>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1"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9" fontId="3" fillId="0" borderId="0" applyFont="0" applyFill="0" applyBorder="0" applyAlignment="0" applyProtection="0"/>
    <xf numFmtId="199"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43" fontId="3" fillId="0" borderId="0" applyFont="0" applyFill="0" applyBorder="0" applyAlignment="0" applyProtection="0"/>
    <xf numFmtId="0" fontId="3" fillId="0" borderId="0"/>
    <xf numFmtId="203"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 fillId="0" borderId="0"/>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 fillId="0" borderId="0"/>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9" fontId="3"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43" fontId="3" fillId="0" borderId="0" applyFont="0" applyFill="0" applyBorder="0" applyAlignment="0" applyProtection="0"/>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44" fontId="3" fillId="0" borderId="0" applyFont="0" applyFill="0" applyBorder="0" applyAlignment="0" applyProtection="0"/>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9" fontId="3" fillId="0" borderId="0" applyFont="0" applyFill="0" applyBorder="0" applyAlignment="0" applyProtection="0"/>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4" fontId="3" fillId="0" borderId="0" applyFont="0" applyFill="0" applyBorder="0" applyAlignment="0" applyProtection="0"/>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199" fontId="30" fillId="0" borderId="83">
      <alignment vertical="center"/>
      <protection locked="0"/>
    </xf>
    <xf numFmtId="44" fontId="3" fillId="0" borderId="0" applyFont="0" applyFill="0" applyBorder="0" applyAlignment="0" applyProtection="0"/>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5" fillId="0" borderId="0"/>
    <xf numFmtId="0" fontId="3" fillId="0" borderId="0"/>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 fillId="0" borderId="0"/>
    <xf numFmtId="0" fontId="30" fillId="60" borderId="91" applyNumberFormat="0">
      <protection locked="0"/>
    </xf>
    <xf numFmtId="9" fontId="3" fillId="0" borderId="0" applyFont="0" applyFill="0" applyBorder="0" applyAlignment="0" applyProtection="0"/>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0" fontId="3" fillId="0" borderId="0"/>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9" fontId="3" fillId="0" borderId="0" applyFont="0" applyFill="0" applyBorder="0" applyAlignment="0" applyProtection="0"/>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43"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 fillId="0" borderId="0"/>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3" fontId="3" fillId="0" borderId="0" applyFont="0" applyFill="0" applyBorder="0" applyAlignment="0" applyProtection="0"/>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43" fontId="3" fillId="0" borderId="0" applyFont="0" applyFill="0" applyBorder="0" applyAlignment="0" applyProtection="0"/>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 fillId="0" borderId="0"/>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9" fontId="3" fillId="0" borderId="0" applyFont="0" applyFill="0" applyBorder="0" applyAlignment="0" applyProtection="0"/>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3" fontId="3" fillId="0" borderId="0" applyFont="0" applyFill="0" applyBorder="0" applyAlignment="0" applyProtection="0"/>
    <xf numFmtId="44" fontId="3"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3"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0" borderId="83" applyAlignment="0">
      <protection locked="0"/>
    </xf>
    <xf numFmtId="204" fontId="30" fillId="0" borderId="83">
      <alignment horizontal="righ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0" borderId="0"/>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19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0" fontId="30" fillId="0" borderId="83" applyAlignment="0">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1"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202" fontId="30" fillId="0" borderId="83">
      <alignmen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194" fontId="30" fillId="0" borderId="83">
      <alignment horizontal="right" vertical="center"/>
      <protection locked="0"/>
    </xf>
    <xf numFmtId="194"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199" fontId="30" fillId="0" borderId="83">
      <alignment vertical="center"/>
      <protection locked="0"/>
    </xf>
    <xf numFmtId="202"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44" fontId="3" fillId="0" borderId="0" applyFont="0" applyFill="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43"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0" fillId="0" borderId="83" applyAlignmen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0" fontId="30" fillId="60" borderId="91" applyNumberFormat="0">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30" fillId="0" borderId="83" applyAlignment="0">
      <protection locked="0"/>
    </xf>
    <xf numFmtId="202"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199"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2"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43" fontId="3" fillId="0" borderId="0" applyFont="0" applyFill="0" applyBorder="0" applyAlignment="0" applyProtection="0"/>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1" fontId="30" fillId="0" borderId="83">
      <alignment vertical="center"/>
      <protection locked="0"/>
    </xf>
    <xf numFmtId="202"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9" fontId="3" fillId="0" borderId="0" applyFont="0" applyFill="0" applyBorder="0" applyAlignment="0" applyProtection="0"/>
    <xf numFmtId="201" fontId="30" fillId="0" borderId="83">
      <alignment horizontal="center"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199"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9" fontId="3" fillId="0" borderId="0" applyFont="0" applyFill="0" applyBorder="0" applyAlignment="0" applyProtection="0"/>
    <xf numFmtId="43" fontId="3" fillId="0" borderId="0" applyFont="0" applyFill="0" applyBorder="0" applyAlignment="0" applyProtection="0"/>
    <xf numFmtId="199" fontId="30" fillId="0" borderId="83">
      <alignment vertical="center"/>
      <protection locked="0"/>
    </xf>
    <xf numFmtId="0" fontId="30" fillId="0" borderId="83" applyAlignment="0">
      <protection locked="0"/>
    </xf>
    <xf numFmtId="202" fontId="30" fillId="0" borderId="83">
      <alignment vertical="center"/>
      <protection locked="0"/>
    </xf>
    <xf numFmtId="202"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0" fontId="30" fillId="0" borderId="83" applyAlignment="0">
      <protection locked="0"/>
    </xf>
    <xf numFmtId="43" fontId="3" fillId="0" borderId="0" applyFont="0" applyFill="0" applyBorder="0" applyAlignment="0" applyProtection="0"/>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9"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3" fontId="14" fillId="15" borderId="65"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94" fontId="30" fillId="0" borderId="83">
      <alignment horizontal="right" vertical="center"/>
      <protection locked="0"/>
    </xf>
    <xf numFmtId="194"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1" fillId="0" borderId="0"/>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1"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vertical="center"/>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 fillId="0" borderId="0"/>
    <xf numFmtId="202"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43" fontId="3" fillId="0" borderId="0" applyFont="0" applyFill="0" applyBorder="0" applyAlignment="0" applyProtection="0"/>
    <xf numFmtId="194"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 fillId="0" borderId="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0" fontId="30" fillId="0" borderId="83" applyAlignment="0">
      <protection locked="0"/>
    </xf>
    <xf numFmtId="202" fontId="30" fillId="0" borderId="83">
      <alignment vertical="center"/>
      <protection locked="0"/>
    </xf>
    <xf numFmtId="200" fontId="30" fillId="0" borderId="83">
      <alignment horizontal="center" vertical="center"/>
      <protection locked="0"/>
    </xf>
    <xf numFmtId="202" fontId="30" fillId="0" borderId="83">
      <alignment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199"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44" fontId="3" fillId="0" borderId="0" applyFont="0" applyFill="0" applyBorder="0" applyAlignment="0" applyProtection="0"/>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9" fontId="1"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 fillId="0" borderId="0"/>
    <xf numFmtId="0" fontId="3" fillId="0" borderId="0"/>
    <xf numFmtId="0" fontId="3" fillId="0" borderId="0"/>
    <xf numFmtId="9" fontId="3" fillId="0" borderId="0" applyFont="0" applyFill="0" applyBorder="0" applyAlignment="0" applyProtection="0"/>
    <xf numFmtId="0" fontId="3" fillId="0" borderId="0"/>
    <xf numFmtId="44" fontId="3" fillId="0" borderId="0" applyFont="0" applyFill="0" applyBorder="0" applyAlignment="0" applyProtection="0"/>
    <xf numFmtId="9" fontId="1" fillId="0" borderId="0" applyFont="0" applyFill="0" applyBorder="0" applyAlignment="0" applyProtection="0"/>
    <xf numFmtId="201" fontId="30" fillId="0" borderId="83">
      <alignmen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1" fontId="30" fillId="0" borderId="83">
      <alignment horizontal="center" vertical="center"/>
      <protection locked="0"/>
    </xf>
    <xf numFmtId="0" fontId="122" fillId="0" borderId="16">
      <alignment horizontal="center"/>
    </xf>
    <xf numFmtId="0" fontId="3" fillId="0" borderId="0"/>
    <xf numFmtId="199" fontId="30" fillId="0" borderId="83">
      <alignment horizontal="center" vertical="center"/>
      <protection locked="0"/>
    </xf>
    <xf numFmtId="9" fontId="3" fillId="0" borderId="0" applyFont="0" applyFill="0" applyBorder="0" applyAlignment="0" applyProtection="0"/>
    <xf numFmtId="9" fontId="1" fillId="0" borderId="0" applyFont="0" applyFill="0" applyBorder="0" applyAlignment="0" applyProtection="0"/>
    <xf numFmtId="0" fontId="1" fillId="0" borderId="0"/>
    <xf numFmtId="194" fontId="30" fillId="0" borderId="83">
      <alignment horizontal="center" vertical="center"/>
      <protection locked="0"/>
    </xf>
    <xf numFmtId="0" fontId="30" fillId="60" borderId="91" applyNumberFormat="0">
      <protection locked="0"/>
    </xf>
    <xf numFmtId="0" fontId="1" fillId="0" borderId="0"/>
    <xf numFmtId="44" fontId="3" fillId="0" borderId="0" applyFont="0" applyFill="0" applyBorder="0" applyAlignment="0" applyProtection="0"/>
    <xf numFmtId="0" fontId="1" fillId="0" borderId="0"/>
    <xf numFmtId="43" fontId="1" fillId="0" borderId="0" applyFont="0" applyFill="0" applyBorder="0" applyAlignment="0" applyProtection="0"/>
    <xf numFmtId="194" fontId="30" fillId="0" borderId="83">
      <alignment horizontal="center" vertical="center"/>
      <protection locked="0"/>
    </xf>
    <xf numFmtId="0" fontId="1" fillId="0" borderId="0"/>
    <xf numFmtId="0" fontId="3" fillId="0" borderId="0"/>
    <xf numFmtId="43" fontId="3" fillId="0" borderId="0" applyFont="0" applyFill="0" applyBorder="0" applyAlignment="0" applyProtection="0"/>
    <xf numFmtId="0" fontId="1" fillId="0" borderId="0"/>
    <xf numFmtId="0" fontId="3" fillId="0" borderId="0"/>
    <xf numFmtId="0" fontId="122" fillId="0" borderId="16">
      <alignment horizontal="center"/>
    </xf>
    <xf numFmtId="203"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9" fontId="1" fillId="0" borderId="0" applyFont="0" applyFill="0" applyBorder="0" applyAlignment="0" applyProtection="0"/>
    <xf numFmtId="194" fontId="30" fillId="0" borderId="83">
      <alignment horizontal="center" vertical="center"/>
      <protection locked="0"/>
    </xf>
    <xf numFmtId="194" fontId="30" fillId="0" borderId="83">
      <alignment horizontal="right" vertical="center"/>
      <protection locked="0"/>
    </xf>
    <xf numFmtId="0" fontId="122" fillId="0" borderId="16">
      <alignment horizontal="center"/>
    </xf>
    <xf numFmtId="0" fontId="1" fillId="0" borderId="0"/>
    <xf numFmtId="0" fontId="1" fillId="0" borderId="0"/>
    <xf numFmtId="0" fontId="1" fillId="0" borderId="0"/>
    <xf numFmtId="43" fontId="3" fillId="0" borderId="0" applyFont="0" applyFill="0" applyBorder="0" applyAlignment="0" applyProtection="0"/>
    <xf numFmtId="0" fontId="1" fillId="0" borderId="0"/>
    <xf numFmtId="204" fontId="30" fillId="0" borderId="83">
      <alignment horizontal="right" vertical="center"/>
      <protection locked="0"/>
    </xf>
    <xf numFmtId="0" fontId="1" fillId="0" borderId="0"/>
    <xf numFmtId="0" fontId="1" fillId="0" borderId="0"/>
    <xf numFmtId="0" fontId="122" fillId="0" borderId="16">
      <alignment horizontal="center"/>
    </xf>
    <xf numFmtId="0" fontId="30" fillId="60" borderId="91" applyNumberFormat="0">
      <protection locked="0"/>
    </xf>
    <xf numFmtId="0" fontId="1" fillId="0" borderId="0"/>
    <xf numFmtId="0" fontId="1" fillId="0" borderId="0"/>
    <xf numFmtId="0" fontId="30" fillId="60" borderId="91" applyNumberFormat="0">
      <protection locked="0"/>
    </xf>
    <xf numFmtId="0" fontId="122" fillId="0" borderId="16">
      <alignment horizontal="center"/>
    </xf>
    <xf numFmtId="0" fontId="1" fillId="0" borderId="0"/>
    <xf numFmtId="202" fontId="30" fillId="0" borderId="83">
      <alignment horizontal="center" vertical="center"/>
      <protection locked="0"/>
    </xf>
    <xf numFmtId="9" fontId="3" fillId="0" borderId="0" applyFont="0" applyFill="0" applyBorder="0" applyAlignment="0" applyProtection="0"/>
    <xf numFmtId="9" fontId="3" fillId="0" borderId="0" applyFont="0" applyFill="0" applyBorder="0" applyAlignment="0" applyProtection="0"/>
    <xf numFmtId="0" fontId="1" fillId="0" borderId="0"/>
    <xf numFmtId="0" fontId="1" fillId="0" borderId="0"/>
    <xf numFmtId="0" fontId="1" fillId="0" borderId="0"/>
    <xf numFmtId="43" fontId="3" fillId="0" borderId="0" applyFont="0" applyFill="0" applyBorder="0" applyAlignment="0" applyProtection="0"/>
    <xf numFmtId="0" fontId="1" fillId="0" borderId="0"/>
    <xf numFmtId="44" fontId="3" fillId="0" borderId="0" applyFont="0" applyFill="0" applyBorder="0" applyAlignment="0" applyProtection="0"/>
    <xf numFmtId="199" fontId="30" fillId="0" borderId="83">
      <alignment vertical="center"/>
      <protection locked="0"/>
    </xf>
    <xf numFmtId="0" fontId="1" fillId="0" borderId="0"/>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 fillId="0" borderId="0"/>
    <xf numFmtId="0" fontId="3" fillId="0" borderId="0"/>
    <xf numFmtId="0" fontId="30" fillId="60" borderId="91" applyNumberFormat="0">
      <protection locked="0"/>
    </xf>
    <xf numFmtId="0" fontId="30" fillId="60" borderId="91" applyNumberFormat="0">
      <protection locked="0"/>
    </xf>
    <xf numFmtId="0" fontId="1" fillId="0" borderId="0"/>
    <xf numFmtId="199" fontId="30" fillId="0" borderId="83">
      <alignment vertical="center"/>
      <protection locked="0"/>
    </xf>
    <xf numFmtId="9"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201" fontId="30" fillId="0" borderId="83">
      <alignment horizontal="center" vertical="center"/>
      <protection locked="0"/>
    </xf>
    <xf numFmtId="0" fontId="122" fillId="0" borderId="16">
      <alignment horizontal="center"/>
    </xf>
    <xf numFmtId="0" fontId="1" fillId="0" borderId="0"/>
    <xf numFmtId="44" fontId="1" fillId="0" borderId="0" applyFont="0" applyFill="0" applyBorder="0" applyAlignment="0" applyProtection="0"/>
    <xf numFmtId="0" fontId="1" fillId="0" borderId="0"/>
    <xf numFmtId="0" fontId="30" fillId="60" borderId="91" applyNumberFormat="0">
      <protection locked="0"/>
    </xf>
    <xf numFmtId="44" fontId="1"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0" fontId="122" fillId="0" borderId="16">
      <alignment horizontal="center"/>
    </xf>
    <xf numFmtId="0" fontId="1" fillId="0" borderId="0"/>
    <xf numFmtId="0" fontId="30" fillId="60" borderId="91" applyNumberFormat="0">
      <protection locked="0"/>
    </xf>
    <xf numFmtId="0" fontId="1" fillId="0" borderId="0"/>
    <xf numFmtId="9" fontId="3" fillId="0" borderId="0" applyFont="0" applyFill="0" applyBorder="0" applyAlignment="0" applyProtection="0"/>
    <xf numFmtId="0" fontId="122" fillId="0" borderId="16">
      <alignment horizontal="center"/>
    </xf>
    <xf numFmtId="4" fontId="46" fillId="117" borderId="89" applyNumberFormat="0" applyProtection="0">
      <alignment horizontal="left" vertical="center" indent="1"/>
    </xf>
    <xf numFmtId="194" fontId="30" fillId="0" borderId="83">
      <alignment horizontal="right" vertical="center"/>
      <protection locked="0"/>
    </xf>
    <xf numFmtId="201" fontId="30" fillId="0" borderId="83">
      <alignment vertical="center"/>
      <protection locked="0"/>
    </xf>
    <xf numFmtId="44" fontId="1"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1" fillId="0" borderId="0"/>
    <xf numFmtId="9" fontId="3" fillId="0" borderId="0" applyFont="0" applyFill="0" applyBorder="0" applyAlignment="0" applyProtection="0"/>
    <xf numFmtId="202" fontId="30" fillId="0" borderId="83">
      <alignment horizontal="center" vertical="center"/>
      <protection locked="0"/>
    </xf>
    <xf numFmtId="9" fontId="3" fillId="0" borderId="0" applyFont="0" applyFill="0" applyBorder="0" applyAlignment="0" applyProtection="0"/>
    <xf numFmtId="0" fontId="30" fillId="60" borderId="91" applyNumberFormat="0">
      <protection locked="0"/>
    </xf>
    <xf numFmtId="9" fontId="3" fillId="0" borderId="0" applyFont="0" applyFill="0" applyBorder="0" applyAlignment="0" applyProtection="0"/>
    <xf numFmtId="0" fontId="1" fillId="0" borderId="0"/>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 fillId="0" borderId="0"/>
    <xf numFmtId="0" fontId="1" fillId="0" borderId="0"/>
    <xf numFmtId="202" fontId="30" fillId="0" borderId="83">
      <alignment vertical="center"/>
      <protection locked="0"/>
    </xf>
    <xf numFmtId="0" fontId="3" fillId="0" borderId="0"/>
    <xf numFmtId="0" fontId="1" fillId="0" borderId="0"/>
    <xf numFmtId="203" fontId="30" fillId="0" borderId="83">
      <alignment horizontal="center" vertical="center"/>
      <protection locked="0"/>
    </xf>
    <xf numFmtId="0" fontId="30" fillId="0" borderId="83" applyAlignment="0">
      <protection locked="0"/>
    </xf>
    <xf numFmtId="0" fontId="122" fillId="0" borderId="16">
      <alignment horizontal="center"/>
    </xf>
    <xf numFmtId="9" fontId="3" fillId="0" borderId="0" applyFont="0" applyFill="0" applyBorder="0" applyAlignment="0" applyProtection="0"/>
    <xf numFmtId="44" fontId="1" fillId="0" borderId="0" applyFont="0" applyFill="0" applyBorder="0" applyAlignment="0" applyProtection="0"/>
    <xf numFmtId="200" fontId="30" fillId="0" borderId="83">
      <alignment horizontal="center" vertical="center"/>
      <protection locked="0"/>
    </xf>
    <xf numFmtId="0" fontId="122" fillId="0" borderId="16">
      <alignment horizontal="center"/>
    </xf>
    <xf numFmtId="0" fontId="1" fillId="0" borderId="0"/>
    <xf numFmtId="0" fontId="1" fillId="0" borderId="0"/>
    <xf numFmtId="0" fontId="1" fillId="0" borderId="0"/>
    <xf numFmtId="0" fontId="30" fillId="60" borderId="91" applyNumberFormat="0">
      <protection locked="0"/>
    </xf>
    <xf numFmtId="0" fontId="1" fillId="0" borderId="0"/>
    <xf numFmtId="0" fontId="1" fillId="0" borderId="0"/>
    <xf numFmtId="0" fontId="122" fillId="0" borderId="16">
      <alignment horizontal="center"/>
    </xf>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22" fillId="0" borderId="16">
      <alignment horizontal="center"/>
    </xf>
    <xf numFmtId="199" fontId="30" fillId="0" borderId="83">
      <alignment vertical="center"/>
      <protection locked="0"/>
    </xf>
    <xf numFmtId="0" fontId="1" fillId="0" borderId="0"/>
    <xf numFmtId="43"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43" fontId="3" fillId="0" borderId="0" applyFont="0" applyFill="0" applyBorder="0" applyAlignment="0" applyProtection="0"/>
    <xf numFmtId="203" fontId="30" fillId="0" borderId="83">
      <alignment vertical="center"/>
      <protection locked="0"/>
    </xf>
    <xf numFmtId="0" fontId="30" fillId="60" borderId="91" applyNumberFormat="0">
      <protection locked="0"/>
    </xf>
    <xf numFmtId="0" fontId="1" fillId="0" borderId="0"/>
    <xf numFmtId="201" fontId="30" fillId="0" borderId="83">
      <alignment vertical="center"/>
      <protection locked="0"/>
    </xf>
    <xf numFmtId="3" fontId="14" fillId="15" borderId="65" applyAlignment="0" applyProtection="0"/>
    <xf numFmtId="43" fontId="1" fillId="0" borderId="0" applyFont="0" applyFill="0" applyBorder="0" applyAlignment="0" applyProtection="0"/>
    <xf numFmtId="0" fontId="30" fillId="60" borderId="91" applyNumberFormat="0">
      <protection locked="0"/>
    </xf>
    <xf numFmtId="0" fontId="1" fillId="0" borderId="0"/>
    <xf numFmtId="0" fontId="1" fillId="0" borderId="0"/>
    <xf numFmtId="0" fontId="1" fillId="0" borderId="0"/>
    <xf numFmtId="0" fontId="1" fillId="0" borderId="0"/>
    <xf numFmtId="0" fontId="1" fillId="0" borderId="0"/>
    <xf numFmtId="43" fontId="3" fillId="0" borderId="0" applyFont="0" applyFill="0" applyBorder="0" applyAlignment="0" applyProtection="0"/>
    <xf numFmtId="0" fontId="3" fillId="0" borderId="0"/>
    <xf numFmtId="0" fontId="122" fillId="0" borderId="16">
      <alignment horizontal="center"/>
    </xf>
    <xf numFmtId="9" fontId="3" fillId="0" borderId="0" applyFont="0" applyFill="0" applyBorder="0" applyAlignment="0" applyProtection="0"/>
    <xf numFmtId="44" fontId="1" fillId="0" borderId="0" applyFont="0" applyFill="0" applyBorder="0" applyAlignment="0" applyProtection="0"/>
    <xf numFmtId="9" fontId="3" fillId="0" borderId="0" applyFont="0" applyFill="0" applyBorder="0" applyAlignment="0" applyProtection="0"/>
    <xf numFmtId="202" fontId="30" fillId="0" borderId="83">
      <alignment vertical="center"/>
      <protection locked="0"/>
    </xf>
    <xf numFmtId="44" fontId="1"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0" fontId="1" fillId="0" borderId="0"/>
    <xf numFmtId="9" fontId="1" fillId="0" borderId="0" applyFont="0" applyFill="0" applyBorder="0" applyAlignment="0" applyProtection="0"/>
    <xf numFmtId="0" fontId="122" fillId="0" borderId="16">
      <alignment horizontal="center"/>
    </xf>
    <xf numFmtId="200" fontId="30" fillId="0" borderId="83">
      <alignment horizontal="center" vertical="center"/>
      <protection locked="0"/>
    </xf>
    <xf numFmtId="203" fontId="30" fillId="0" borderId="83">
      <alignment vertical="center"/>
      <protection locked="0"/>
    </xf>
    <xf numFmtId="43" fontId="3" fillId="0" borderId="0" applyFont="0" applyFill="0" applyBorder="0" applyAlignment="0" applyProtection="0"/>
    <xf numFmtId="43" fontId="3" fillId="0" borderId="0" applyFont="0" applyFill="0" applyBorder="0" applyAlignment="0" applyProtection="0"/>
    <xf numFmtId="0" fontId="1" fillId="0" borderId="0"/>
    <xf numFmtId="0" fontId="3" fillId="0" borderId="0"/>
    <xf numFmtId="0" fontId="30" fillId="0" borderId="83" applyAlignment="0">
      <protection locked="0"/>
    </xf>
    <xf numFmtId="0" fontId="1" fillId="0" borderId="0"/>
    <xf numFmtId="0" fontId="30" fillId="0" borderId="83" applyAlignment="0">
      <protection locked="0"/>
    </xf>
    <xf numFmtId="9" fontId="3" fillId="0" borderId="0" applyFont="0" applyFill="0" applyBorder="0" applyAlignment="0" applyProtection="0"/>
    <xf numFmtId="9" fontId="3" fillId="0" borderId="0" applyFont="0" applyFill="0" applyBorder="0" applyAlignment="0" applyProtection="0"/>
    <xf numFmtId="0" fontId="1" fillId="0" borderId="0"/>
    <xf numFmtId="0" fontId="122" fillId="0" borderId="16">
      <alignment horizontal="center"/>
    </xf>
    <xf numFmtId="0" fontId="1" fillId="0" borderId="0"/>
    <xf numFmtId="43" fontId="1" fillId="0" borderId="0" applyFont="0" applyFill="0" applyBorder="0" applyAlignment="0" applyProtection="0"/>
    <xf numFmtId="0" fontId="30" fillId="60" borderId="91" applyNumberFormat="0">
      <protection locked="0"/>
    </xf>
    <xf numFmtId="43" fontId="3" fillId="0" borderId="0" applyFont="0" applyFill="0" applyBorder="0" applyAlignment="0" applyProtection="0"/>
    <xf numFmtId="200" fontId="30" fillId="0" borderId="83">
      <alignment horizontal="center" vertical="center"/>
      <protection locked="0"/>
    </xf>
    <xf numFmtId="0" fontId="1" fillId="0" borderId="0"/>
    <xf numFmtId="0" fontId="1" fillId="0" borderId="0"/>
    <xf numFmtId="0" fontId="1" fillId="0" borderId="0"/>
    <xf numFmtId="3" fontId="14" fillId="15" borderId="65" applyAlignment="0" applyProtection="0"/>
    <xf numFmtId="202" fontId="30" fillId="0" borderId="83">
      <alignment vertical="center"/>
      <protection locked="0"/>
    </xf>
    <xf numFmtId="0" fontId="1" fillId="0" borderId="0"/>
    <xf numFmtId="0" fontId="1" fillId="0" borderId="0"/>
    <xf numFmtId="4" fontId="46" fillId="117" borderId="89" applyNumberFormat="0" applyProtection="0">
      <alignment horizontal="left" vertical="center" indent="1"/>
    </xf>
    <xf numFmtId="0" fontId="122" fillId="0" borderId="16">
      <alignment horizontal="center"/>
    </xf>
    <xf numFmtId="194" fontId="30" fillId="0" borderId="83">
      <alignment horizontal="right" vertical="center"/>
      <protection locked="0"/>
    </xf>
    <xf numFmtId="9" fontId="1" fillId="0" borderId="0" applyFont="0" applyFill="0" applyBorder="0" applyAlignment="0" applyProtection="0"/>
    <xf numFmtId="0" fontId="1" fillId="0" borderId="0"/>
    <xf numFmtId="0" fontId="30" fillId="60" borderId="91" applyNumberFormat="0">
      <protection locked="0"/>
    </xf>
    <xf numFmtId="43" fontId="1" fillId="0" borderId="0" applyFont="0" applyFill="0" applyBorder="0" applyAlignment="0" applyProtection="0"/>
    <xf numFmtId="0" fontId="1" fillId="0" borderId="0"/>
    <xf numFmtId="0" fontId="3" fillId="0" borderId="0"/>
    <xf numFmtId="202" fontId="30" fillId="0" borderId="83">
      <alignment horizontal="center" vertical="center"/>
      <protection locked="0"/>
    </xf>
    <xf numFmtId="0" fontId="122" fillId="0" borderId="16">
      <alignment horizontal="center"/>
    </xf>
    <xf numFmtId="0" fontId="122" fillId="0" borderId="16">
      <alignment horizontal="center"/>
    </xf>
    <xf numFmtId="43" fontId="3" fillId="0" borderId="0" applyFont="0" applyFill="0" applyBorder="0" applyAlignment="0" applyProtection="0"/>
    <xf numFmtId="0" fontId="3" fillId="0" borderId="0"/>
    <xf numFmtId="202" fontId="30" fillId="0" borderId="83">
      <alignment vertical="center"/>
      <protection locked="0"/>
    </xf>
    <xf numFmtId="0" fontId="122" fillId="0" borderId="16">
      <alignment horizontal="center"/>
    </xf>
    <xf numFmtId="203" fontId="30" fillId="0" borderId="83">
      <alignment horizontal="center" vertical="center"/>
      <protection locked="0"/>
    </xf>
    <xf numFmtId="0" fontId="30" fillId="60" borderId="91" applyNumberFormat="0">
      <protection locked="0"/>
    </xf>
    <xf numFmtId="43" fontId="3"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201" fontId="30" fillId="0" borderId="83">
      <alignment vertical="center"/>
      <protection locked="0"/>
    </xf>
    <xf numFmtId="9" fontId="1" fillId="0" borderId="0" applyFont="0" applyFill="0" applyBorder="0" applyAlignment="0" applyProtection="0"/>
    <xf numFmtId="0" fontId="1" fillId="0" borderId="0"/>
    <xf numFmtId="0" fontId="1" fillId="0" borderId="0"/>
    <xf numFmtId="0" fontId="1" fillId="0" borderId="0"/>
    <xf numFmtId="204" fontId="30" fillId="0" borderId="83">
      <alignment horizontal="right" vertical="center"/>
      <protection locked="0"/>
    </xf>
    <xf numFmtId="0" fontId="15" fillId="0" borderId="0"/>
    <xf numFmtId="44" fontId="3" fillId="0" borderId="0" applyFont="0" applyFill="0" applyBorder="0" applyAlignment="0" applyProtection="0"/>
    <xf numFmtId="202" fontId="30" fillId="0" borderId="83">
      <alignment horizontal="center" vertical="center"/>
      <protection locked="0"/>
    </xf>
    <xf numFmtId="43" fontId="1" fillId="0" borderId="0" applyFont="0" applyFill="0" applyBorder="0" applyAlignment="0" applyProtection="0"/>
    <xf numFmtId="0" fontId="1" fillId="0" borderId="0"/>
    <xf numFmtId="0" fontId="122" fillId="0" borderId="16">
      <alignment horizontal="center"/>
    </xf>
    <xf numFmtId="0" fontId="30" fillId="60" borderId="91" applyNumberFormat="0">
      <protection locked="0"/>
    </xf>
    <xf numFmtId="0" fontId="1" fillId="0" borderId="0"/>
    <xf numFmtId="43" fontId="1" fillId="0" borderId="0" applyFont="0" applyFill="0" applyBorder="0" applyAlignment="0" applyProtection="0"/>
    <xf numFmtId="43" fontId="3" fillId="0" borderId="0" applyFont="0" applyFill="0" applyBorder="0" applyAlignment="0" applyProtection="0"/>
    <xf numFmtId="200"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122" fillId="0" borderId="16">
      <alignment horizontal="center"/>
    </xf>
    <xf numFmtId="43" fontId="3" fillId="0" borderId="0" applyFont="0" applyFill="0" applyBorder="0" applyAlignment="0" applyProtection="0"/>
    <xf numFmtId="0" fontId="30" fillId="60" borderId="91" applyNumberFormat="0">
      <protection locked="0"/>
    </xf>
    <xf numFmtId="0" fontId="3" fillId="0" borderId="0"/>
    <xf numFmtId="0" fontId="1" fillId="0" borderId="0"/>
    <xf numFmtId="0" fontId="1" fillId="0" borderId="0"/>
    <xf numFmtId="44"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204" fontId="30" fillId="0" borderId="83">
      <alignment horizontal="right" vertical="center"/>
      <protection locked="0"/>
    </xf>
    <xf numFmtId="0" fontId="1" fillId="0" borderId="0"/>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0" fontId="122" fillId="0" borderId="16">
      <alignment horizontal="center"/>
    </xf>
    <xf numFmtId="9" fontId="3" fillId="0" borderId="0" applyFont="0" applyFill="0" applyBorder="0" applyAlignment="0" applyProtection="0"/>
    <xf numFmtId="0" fontId="1" fillId="0" borderId="0"/>
    <xf numFmtId="0" fontId="1" fillId="0" borderId="0"/>
    <xf numFmtId="43" fontId="3" fillId="0" borderId="0" applyFont="0" applyFill="0" applyBorder="0" applyAlignment="0" applyProtection="0"/>
    <xf numFmtId="194" fontId="30" fillId="0" borderId="83">
      <alignment horizontal="center" vertical="center"/>
      <protection locked="0"/>
    </xf>
    <xf numFmtId="43" fontId="3" fillId="0" borderId="0" applyFont="0" applyFill="0" applyBorder="0" applyAlignment="0" applyProtection="0"/>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0" fontId="30" fillId="60" borderId="91" applyNumberFormat="0">
      <protection locked="0"/>
    </xf>
    <xf numFmtId="0" fontId="3" fillId="0" borderId="0"/>
    <xf numFmtId="44" fontId="1" fillId="0" borderId="0" applyFont="0" applyFill="0" applyBorder="0" applyAlignment="0" applyProtection="0"/>
    <xf numFmtId="44" fontId="3"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199" fontId="30" fillId="0" borderId="83">
      <alignment horizontal="center" vertical="center"/>
      <protection locked="0"/>
    </xf>
    <xf numFmtId="0" fontId="1" fillId="0" borderId="0"/>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22" fillId="0" borderId="16">
      <alignment horizontal="center"/>
    </xf>
    <xf numFmtId="0" fontId="1" fillId="0" borderId="0"/>
    <xf numFmtId="0" fontId="1" fillId="0" borderId="0"/>
    <xf numFmtId="0" fontId="1" fillId="0" borderId="0"/>
    <xf numFmtId="44" fontId="3" fillId="0" borderId="0" applyFont="0" applyFill="0" applyBorder="0" applyAlignment="0" applyProtection="0"/>
    <xf numFmtId="0" fontId="1" fillId="0" borderId="0"/>
    <xf numFmtId="44" fontId="1" fillId="0" borderId="0" applyFont="0" applyFill="0" applyBorder="0" applyAlignment="0" applyProtection="0"/>
    <xf numFmtId="0" fontId="116" fillId="0" borderId="71" applyNumberFormat="0" applyAlignment="0" applyProtection="0">
      <alignment horizontal="left" vertical="center"/>
    </xf>
    <xf numFmtId="0" fontId="1" fillId="0" borderId="0"/>
    <xf numFmtId="203" fontId="30" fillId="0" borderId="83">
      <alignment horizontal="center" vertical="center"/>
      <protection locked="0"/>
    </xf>
    <xf numFmtId="0" fontId="122" fillId="0" borderId="16">
      <alignment horizontal="center"/>
    </xf>
    <xf numFmtId="0" fontId="122" fillId="0" borderId="16">
      <alignment horizontal="center"/>
    </xf>
    <xf numFmtId="0" fontId="122" fillId="0" borderId="16">
      <alignment horizontal="center"/>
    </xf>
    <xf numFmtId="0" fontId="1" fillId="0" borderId="0"/>
    <xf numFmtId="0" fontId="1" fillId="0" borderId="0"/>
    <xf numFmtId="9" fontId="1" fillId="0" borderId="0" applyFont="0" applyFill="0" applyBorder="0" applyAlignment="0" applyProtection="0"/>
    <xf numFmtId="3" fontId="14" fillId="15" borderId="65" applyAlignment="0" applyProtection="0"/>
    <xf numFmtId="0" fontId="30" fillId="0" borderId="83" applyAlignment="0">
      <protection locked="0"/>
    </xf>
    <xf numFmtId="0" fontId="3" fillId="0" borderId="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122" fillId="0" borderId="16">
      <alignment horizontal="center"/>
    </xf>
    <xf numFmtId="9" fontId="3" fillId="0" borderId="0" applyFont="0" applyFill="0" applyBorder="0" applyAlignment="0" applyProtection="0"/>
    <xf numFmtId="0" fontId="122" fillId="0" borderId="16">
      <alignment horizontal="center"/>
    </xf>
    <xf numFmtId="44"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3" fillId="0" borderId="0" applyFont="0" applyFill="0" applyBorder="0" applyAlignment="0" applyProtection="0"/>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0" fontId="30" fillId="0" borderId="83" applyAlignment="0">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4"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199"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5" fillId="4" borderId="0"/>
    <xf numFmtId="201"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horizontal="center" vertical="center"/>
      <protection locked="0"/>
    </xf>
    <xf numFmtId="44" fontId="1" fillId="0" borderId="0" applyFont="0" applyFill="0" applyBorder="0" applyAlignment="0" applyProtection="0"/>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202" fontId="30" fillId="0" borderId="83">
      <alignment vertical="center"/>
      <protection locked="0"/>
    </xf>
    <xf numFmtId="0" fontId="1" fillId="39" borderId="0" applyNumberFormat="0" applyBorder="0" applyAlignment="0" applyProtection="0"/>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1" fillId="0" borderId="0"/>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9" fontId="1" fillId="0" borderId="0" applyFont="0" applyFill="0" applyBorder="0" applyAlignment="0" applyProtection="0"/>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9" fontId="1" fillId="0" borderId="0" applyFont="0" applyFill="0" applyBorder="0" applyAlignment="0" applyProtection="0"/>
    <xf numFmtId="0" fontId="1" fillId="0" borderId="0"/>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2"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1" fillId="0" borderId="0"/>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4" fontId="46" fillId="117" borderId="89" applyNumberFormat="0" applyProtection="0">
      <alignment horizontal="left" vertical="center" indent="1"/>
    </xf>
    <xf numFmtId="0" fontId="1" fillId="38" borderId="0" applyNumberFormat="0" applyBorder="0" applyAlignment="0" applyProtection="0"/>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3" fontId="14" fillId="15" borderId="65" applyAlignment="0" applyProtection="0"/>
    <xf numFmtId="0" fontId="30" fillId="60" borderId="91" applyNumberFormat="0">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0" borderId="0"/>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0" fontId="1" fillId="0" borderId="0"/>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201"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201" fontId="30" fillId="0" borderId="83">
      <alignment horizontal="center" vertical="center"/>
      <protection locked="0"/>
    </xf>
    <xf numFmtId="0" fontId="30" fillId="0" borderId="83" applyAlignment="0">
      <protection locked="0"/>
    </xf>
    <xf numFmtId="0" fontId="30" fillId="0" borderId="83" applyAlignment="0">
      <protection locked="0"/>
    </xf>
    <xf numFmtId="0" fontId="30" fillId="60" borderId="91" applyNumberFormat="0">
      <protection locked="0"/>
    </xf>
    <xf numFmtId="0" fontId="1" fillId="0" borderId="0"/>
    <xf numFmtId="4" fontId="46" fillId="117" borderId="89" applyNumberFormat="0" applyProtection="0">
      <alignment horizontal="left" vertical="center" indent="1"/>
    </xf>
    <xf numFmtId="194" fontId="30" fillId="0" borderId="83">
      <alignment horizontal="right" vertical="center"/>
      <protection locked="0"/>
    </xf>
    <xf numFmtId="203" fontId="30" fillId="0" borderId="83">
      <alignment vertical="center"/>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vertical="center"/>
      <protection locked="0"/>
    </xf>
    <xf numFmtId="44" fontId="1" fillId="0" borderId="0" applyFont="0" applyFill="0" applyBorder="0" applyAlignment="0" applyProtection="0"/>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1" fillId="0" borderId="0"/>
    <xf numFmtId="0" fontId="1" fillId="0" borderId="0"/>
    <xf numFmtId="194" fontId="30" fillId="0" borderId="83">
      <alignment horizontal="right" vertical="center"/>
      <protection locked="0"/>
    </xf>
    <xf numFmtId="194" fontId="30" fillId="0" borderId="83">
      <alignment horizontal="right" vertical="center"/>
      <protection locked="0"/>
    </xf>
    <xf numFmtId="0" fontId="1" fillId="0" borderId="0"/>
    <xf numFmtId="0" fontId="116" fillId="0" borderId="71" applyNumberFormat="0" applyAlignment="0" applyProtection="0">
      <alignment horizontal="left" vertical="center"/>
    </xf>
    <xf numFmtId="202" fontId="30" fillId="0" borderId="83">
      <alignmen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4" fontId="30" fillId="0" borderId="83">
      <alignment horizontal="center" vertical="center"/>
      <protection locked="0"/>
    </xf>
    <xf numFmtId="199"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horizontal="center" vertical="center"/>
      <protection locked="0"/>
    </xf>
    <xf numFmtId="203"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4" fontId="46" fillId="117" borderId="89" applyNumberFormat="0" applyProtection="0">
      <alignment horizontal="left" vertical="center" indent="1"/>
    </xf>
    <xf numFmtId="199" fontId="30" fillId="0" borderId="83">
      <alignment horizontal="center" vertical="center"/>
      <protection locked="0"/>
    </xf>
    <xf numFmtId="44" fontId="1" fillId="0" borderId="0" applyFont="0" applyFill="0" applyBorder="0" applyAlignment="0" applyProtection="0"/>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4" fontId="30" fillId="0" borderId="83">
      <alignment horizontal="right" vertical="center"/>
      <protection locked="0"/>
    </xf>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202"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vertical="center"/>
      <protection locked="0"/>
    </xf>
    <xf numFmtId="202" fontId="30" fillId="0" borderId="83">
      <alignment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0" fontId="1" fillId="34" borderId="0" applyNumberFormat="0" applyBorder="0" applyAlignment="0" applyProtection="0"/>
    <xf numFmtId="0" fontId="1" fillId="0" borderId="0"/>
    <xf numFmtId="0" fontId="30" fillId="60" borderId="91" applyNumberFormat="0">
      <protection locked="0"/>
    </xf>
    <xf numFmtId="0" fontId="1" fillId="38" borderId="0" applyNumberFormat="0" applyBorder="0" applyAlignment="0" applyProtection="0"/>
    <xf numFmtId="0" fontId="1" fillId="0" borderId="0"/>
    <xf numFmtId="0" fontId="1" fillId="0" borderId="0"/>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44" fontId="1" fillId="0" borderId="0" applyFont="0" applyFill="0" applyBorder="0" applyAlignment="0" applyProtection="0"/>
    <xf numFmtId="203"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4" fontId="1" fillId="0" borderId="0" applyFont="0" applyFill="0" applyBorder="0" applyAlignment="0" applyProtection="0"/>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201"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4" fontId="46" fillId="117" borderId="89" applyNumberFormat="0" applyProtection="0">
      <alignment horizontal="left" vertical="center" indent="1"/>
    </xf>
    <xf numFmtId="9" fontId="1" fillId="0" borderId="0" applyFont="0" applyFill="0" applyBorder="0" applyAlignment="0" applyProtection="0"/>
    <xf numFmtId="194" fontId="30" fillId="0" borderId="83">
      <alignment horizontal="right" vertical="center"/>
      <protection locked="0"/>
    </xf>
    <xf numFmtId="194" fontId="30" fillId="0" borderId="83">
      <alignment horizontal="right" vertical="center"/>
      <protection locked="0"/>
    </xf>
    <xf numFmtId="0" fontId="1" fillId="0" borderId="0"/>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44" fontId="1" fillId="0" borderId="0" applyFont="0" applyFill="0" applyBorder="0" applyAlignment="0" applyProtection="0"/>
    <xf numFmtId="194" fontId="30" fillId="0" borderId="83">
      <alignment horizontal="center"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right" vertical="center"/>
      <protection locked="0"/>
    </xf>
    <xf numFmtId="3" fontId="14" fillId="15" borderId="65" applyAlignment="0" applyProtection="0"/>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1" fillId="0" borderId="0"/>
    <xf numFmtId="199"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203" fontId="30" fillId="0" borderId="83">
      <alignment horizontal="center" vertical="center"/>
      <protection locked="0"/>
    </xf>
    <xf numFmtId="181" fontId="1" fillId="0" borderId="0" applyFont="0" applyFill="0" applyBorder="0" applyAlignment="0" applyProtection="0"/>
    <xf numFmtId="0" fontId="30" fillId="60" borderId="91" applyNumberFormat="0">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 fillId="35" borderId="0" applyNumberFormat="0" applyBorder="0" applyAlignment="0" applyProtection="0"/>
    <xf numFmtId="0" fontId="1" fillId="0" borderId="0"/>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horizontal="center" vertical="center"/>
      <protection locked="0"/>
    </xf>
    <xf numFmtId="0" fontId="1" fillId="43" borderId="0" applyNumberFormat="0" applyBorder="0" applyAlignment="0" applyProtection="0"/>
    <xf numFmtId="4" fontId="46" fillId="117" borderId="89" applyNumberFormat="0" applyProtection="0">
      <alignment horizontal="left" vertical="center" indent="1"/>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0" fontId="1" fillId="46" borderId="0" applyNumberFormat="0" applyBorder="0" applyAlignment="0" applyProtection="0"/>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0" borderId="83" applyAlignmen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1" fillId="0" borderId="0"/>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1" fillId="0" borderId="0"/>
    <xf numFmtId="199" fontId="30" fillId="0" borderId="83">
      <alignment vertical="center"/>
      <protection locked="0"/>
    </xf>
    <xf numFmtId="203" fontId="30" fillId="0" borderId="83">
      <alignment horizontal="center" vertical="center"/>
      <protection locked="0"/>
    </xf>
    <xf numFmtId="0" fontId="1" fillId="0" borderId="0"/>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28" borderId="69" applyNumberFormat="0" applyFont="0" applyAlignment="0" applyProtection="0"/>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1" fontId="30" fillId="0" borderId="83">
      <alignment vertical="center"/>
      <protection locked="0"/>
    </xf>
    <xf numFmtId="44" fontId="1" fillId="0" borderId="0" applyFont="0" applyFill="0" applyBorder="0" applyAlignment="0" applyProtection="0"/>
    <xf numFmtId="43" fontId="1" fillId="0" borderId="0" applyFont="0" applyFill="0" applyBorder="0" applyAlignment="0" applyProtection="0"/>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0" borderId="83" applyAlignment="0">
      <protection locked="0"/>
    </xf>
    <xf numFmtId="203" fontId="30" fillId="0" borderId="83">
      <alignment horizontal="center" vertical="center"/>
      <protection locked="0"/>
    </xf>
    <xf numFmtId="0" fontId="1" fillId="0" borderId="0"/>
    <xf numFmtId="0" fontId="1" fillId="0" borderId="0"/>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3" fontId="30" fillId="0" borderId="83">
      <alignment vertical="center"/>
      <protection locked="0"/>
    </xf>
    <xf numFmtId="9" fontId="1" fillId="0" borderId="0" applyFont="0" applyFill="0" applyBorder="0" applyAlignment="0" applyProtection="0"/>
    <xf numFmtId="0" fontId="1" fillId="0" borderId="0"/>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203"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1" fillId="0" borderId="0"/>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0" borderId="83" applyAlignment="0">
      <protection locked="0"/>
    </xf>
    <xf numFmtId="203" fontId="30" fillId="0" borderId="83">
      <alignment horizontal="center" vertical="center"/>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47" borderId="0" applyNumberFormat="0" applyBorder="0" applyAlignment="0" applyProtection="0"/>
    <xf numFmtId="201" fontId="30" fillId="0" borderId="83">
      <alignment vertical="center"/>
      <protection locked="0"/>
    </xf>
    <xf numFmtId="0" fontId="1" fillId="0" borderId="0"/>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0" fontId="3" fillId="0" borderId="0"/>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0" fontId="30" fillId="0" borderId="83" applyAlignment="0">
      <protection locked="0"/>
    </xf>
    <xf numFmtId="201" fontId="30" fillId="0" borderId="83">
      <alignment vertical="center"/>
      <protection locked="0"/>
    </xf>
    <xf numFmtId="201"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201"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1" fillId="34" borderId="0" applyNumberFormat="0" applyBorder="0" applyAlignment="0" applyProtection="0"/>
    <xf numFmtId="194" fontId="30" fillId="0" borderId="83">
      <alignment horizontal="center" vertical="center"/>
      <protection locked="0"/>
    </xf>
    <xf numFmtId="203" fontId="30" fillId="0" borderId="83">
      <alignment horizontal="center" vertical="center"/>
      <protection locked="0"/>
    </xf>
    <xf numFmtId="0" fontId="1" fillId="42" borderId="0" applyNumberFormat="0" applyBorder="0" applyAlignment="0" applyProtection="0"/>
    <xf numFmtId="201" fontId="30" fillId="0" borderId="83">
      <alignment horizontal="center" vertical="center"/>
      <protection locked="0"/>
    </xf>
    <xf numFmtId="0" fontId="30" fillId="60" borderId="91" applyNumberFormat="0">
      <protection locked="0"/>
    </xf>
    <xf numFmtId="44" fontId="1"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9" fontId="1" fillId="0" borderId="0" applyFont="0" applyFill="0" applyBorder="0" applyAlignment="0" applyProtection="0"/>
    <xf numFmtId="194" fontId="30" fillId="0" borderId="83">
      <alignment horizontal="right" vertical="center"/>
      <protection locked="0"/>
    </xf>
    <xf numFmtId="200"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center" vertical="center"/>
      <protection locked="0"/>
    </xf>
    <xf numFmtId="201" fontId="30" fillId="0" borderId="83">
      <alignment horizontal="center" vertical="center"/>
      <protection locked="0"/>
    </xf>
    <xf numFmtId="203"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201"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204" fontId="30" fillId="0" borderId="83">
      <alignment horizontal="right" vertical="center"/>
      <protection locked="0"/>
    </xf>
    <xf numFmtId="0" fontId="30" fillId="0" borderId="83" applyAlignment="0">
      <protection locked="0"/>
    </xf>
    <xf numFmtId="201" fontId="30" fillId="0" borderId="83">
      <alignment horizontal="center" vertical="center"/>
      <protection locked="0"/>
    </xf>
    <xf numFmtId="0" fontId="1" fillId="0" borderId="0"/>
    <xf numFmtId="0" fontId="1" fillId="0" borderId="0"/>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0" fontId="1" fillId="0" borderId="0"/>
    <xf numFmtId="200"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1" fillId="0" borderId="0"/>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0" fontId="30" fillId="60" borderId="91" applyNumberFormat="0">
      <protection locked="0"/>
    </xf>
    <xf numFmtId="0" fontId="30" fillId="60" borderId="91" applyNumberFormat="0">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9" fontId="1" fillId="0" borderId="0" applyFont="0" applyFill="0" applyBorder="0" applyAlignment="0" applyProtection="0"/>
    <xf numFmtId="202" fontId="30" fillId="0" borderId="83">
      <alignment horizontal="center" vertical="center"/>
      <protection locked="0"/>
    </xf>
    <xf numFmtId="9" fontId="1" fillId="0" borderId="0" applyFont="0" applyFill="0" applyBorder="0" applyAlignment="0" applyProtection="0"/>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1" fillId="0" borderId="0"/>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200" fontId="30" fillId="0" borderId="83">
      <alignment horizontal="center" vertical="center"/>
      <protection locked="0"/>
    </xf>
    <xf numFmtId="9" fontId="1" fillId="0" borderId="0" applyFont="0" applyFill="0" applyBorder="0" applyAlignment="0" applyProtection="0"/>
    <xf numFmtId="202" fontId="30" fillId="0" borderId="83">
      <alignment vertical="center"/>
      <protection locked="0"/>
    </xf>
    <xf numFmtId="199" fontId="30" fillId="0" borderId="83">
      <alignment horizontal="center" vertical="center"/>
      <protection locked="0"/>
    </xf>
    <xf numFmtId="0" fontId="30" fillId="0" borderId="83" applyAlignment="0">
      <protection locked="0"/>
    </xf>
    <xf numFmtId="9" fontId="1" fillId="0" borderId="0" applyFont="0" applyFill="0" applyBorder="0" applyAlignment="0" applyProtection="0"/>
    <xf numFmtId="0" fontId="30" fillId="60" borderId="91" applyNumberFormat="0">
      <protection locked="0"/>
    </xf>
    <xf numFmtId="0" fontId="1" fillId="0" borderId="0"/>
    <xf numFmtId="201" fontId="30" fillId="0" borderId="83">
      <alignment vertical="center"/>
      <protection locked="0"/>
    </xf>
    <xf numFmtId="203" fontId="30" fillId="0" borderId="83">
      <alignment vertical="center"/>
      <protection locked="0"/>
    </xf>
    <xf numFmtId="200"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9" fontId="3" fillId="0" borderId="0" applyFont="0" applyFill="0" applyBorder="0" applyAlignment="0" applyProtection="0"/>
    <xf numFmtId="201" fontId="30" fillId="0" borderId="83">
      <alignment horizontal="center" vertical="center"/>
      <protection locked="0"/>
    </xf>
    <xf numFmtId="9" fontId="1" fillId="0" borderId="0" applyFont="0" applyFill="0" applyBorder="0" applyAlignment="0" applyProtection="0"/>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1" fillId="50" borderId="0" applyNumberFormat="0" applyBorder="0" applyAlignment="0" applyProtection="0"/>
    <xf numFmtId="204" fontId="30" fillId="0" borderId="83">
      <alignment horizontal="right" vertical="center"/>
      <protection locked="0"/>
    </xf>
    <xf numFmtId="194" fontId="30" fillId="0" borderId="83">
      <alignment horizontal="right" vertical="center"/>
      <protection locked="0"/>
    </xf>
    <xf numFmtId="0" fontId="1" fillId="31" borderId="0" applyNumberFormat="0" applyBorder="0" applyAlignment="0" applyProtection="0"/>
    <xf numFmtId="9" fontId="1" fillId="0" borderId="0" applyFont="0" applyFill="0" applyBorder="0" applyAlignment="0" applyProtection="0"/>
    <xf numFmtId="201" fontId="30" fillId="0" borderId="83">
      <alignment vertical="center"/>
      <protection locked="0"/>
    </xf>
    <xf numFmtId="0" fontId="1" fillId="0" borderId="0"/>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202"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181" fontId="1" fillId="0" borderId="0" applyFont="0" applyFill="0" applyBorder="0" applyAlignment="0" applyProtection="0"/>
    <xf numFmtId="0" fontId="1" fillId="0" borderId="0"/>
    <xf numFmtId="43" fontId="3" fillId="0" borderId="0" applyFont="0" applyFill="0" applyBorder="0" applyAlignment="0" applyProtection="0"/>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9" fontId="1"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0" borderId="0"/>
    <xf numFmtId="199"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0" fontId="1" fillId="0" borderId="0"/>
    <xf numFmtId="194" fontId="30" fillId="0" borderId="83">
      <alignment horizontal="center" vertical="center"/>
      <protection locked="0"/>
    </xf>
    <xf numFmtId="0" fontId="1" fillId="0" borderId="0"/>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right"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44" fontId="1" fillId="0" borderId="0" applyFont="0" applyFill="0" applyBorder="0" applyAlignment="0" applyProtection="0"/>
    <xf numFmtId="203"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30" borderId="0" applyNumberFormat="0" applyBorder="0" applyAlignment="0" applyProtection="0"/>
    <xf numFmtId="0" fontId="30" fillId="60" borderId="91" applyNumberFormat="0">
      <protection locked="0"/>
    </xf>
    <xf numFmtId="199"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9" fontId="1"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2" fontId="30" fillId="0" borderId="83">
      <alignment vertical="center"/>
      <protection locked="0"/>
    </xf>
    <xf numFmtId="0" fontId="30" fillId="0" borderId="83" applyAlignment="0">
      <protection locked="0"/>
    </xf>
    <xf numFmtId="200" fontId="30" fillId="0" borderId="83">
      <alignment horizontal="center"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43" fontId="1" fillId="0" borderId="0" applyFont="0" applyFill="0" applyBorder="0" applyAlignment="0" applyProtection="0"/>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0" fontId="1" fillId="0" borderId="0"/>
    <xf numFmtId="201" fontId="30" fillId="0" borderId="83">
      <alignmen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0" fontId="30" fillId="0" borderId="83" applyAlignment="0">
      <protection locked="0"/>
    </xf>
    <xf numFmtId="0" fontId="1" fillId="0" borderId="0"/>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 fillId="0" borderId="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0" borderId="83" applyAlignment="0">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201" fontId="30" fillId="0" borderId="83">
      <alignment horizontal="center" vertical="center"/>
      <protection locked="0"/>
    </xf>
    <xf numFmtId="44" fontId="1" fillId="0" borderId="0" applyFont="0" applyFill="0" applyBorder="0" applyAlignment="0" applyProtection="0"/>
    <xf numFmtId="43" fontId="3" fillId="0" borderId="0" applyFont="0" applyFill="0" applyBorder="0" applyAlignment="0" applyProtection="0"/>
    <xf numFmtId="203" fontId="30" fillId="0" borderId="83">
      <alignment vertical="center"/>
      <protection locked="0"/>
    </xf>
    <xf numFmtId="199" fontId="30" fillId="0" borderId="83">
      <alignmen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43" fontId="1"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 fillId="0" borderId="0"/>
    <xf numFmtId="44" fontId="1" fillId="0" borderId="0" applyFont="0" applyFill="0" applyBorder="0" applyAlignment="0" applyProtection="0"/>
    <xf numFmtId="0" fontId="1" fillId="50" borderId="0" applyNumberFormat="0" applyBorder="0" applyAlignment="0" applyProtection="0"/>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1" fillId="0" borderId="0"/>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3" fontId="1" fillId="0" borderId="0" applyFont="0" applyFill="0" applyBorder="0" applyAlignment="0" applyProtection="0"/>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1" fillId="0" borderId="0"/>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200"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0" borderId="0"/>
    <xf numFmtId="203"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44" fontId="1" fillId="0" borderId="0" applyFont="0" applyFill="0" applyBorder="0" applyAlignment="0" applyProtection="0"/>
    <xf numFmtId="201"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0" fontId="30" fillId="0" borderId="83" applyAlignment="0">
      <protection locked="0"/>
    </xf>
    <xf numFmtId="0" fontId="30" fillId="0" borderId="83" applyAlignment="0">
      <protection locked="0"/>
    </xf>
    <xf numFmtId="203"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 fillId="0" borderId="0"/>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1" fillId="0" borderId="0"/>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0" fontId="1" fillId="0" borderId="0"/>
    <xf numFmtId="203" fontId="30" fillId="0" borderId="83">
      <alignment vertical="center"/>
      <protection locked="0"/>
    </xf>
    <xf numFmtId="194" fontId="30" fillId="0" borderId="83">
      <alignment horizontal="center" vertical="center"/>
      <protection locked="0"/>
    </xf>
    <xf numFmtId="0" fontId="1" fillId="0" borderId="0"/>
    <xf numFmtId="202" fontId="30" fillId="0" borderId="83">
      <alignment horizontal="center" vertical="center"/>
      <protection locked="0"/>
    </xf>
    <xf numFmtId="0" fontId="1" fillId="47" borderId="0" applyNumberFormat="0" applyBorder="0" applyAlignment="0" applyProtection="0"/>
    <xf numFmtId="43" fontId="1" fillId="0" borderId="0" applyFont="0" applyFill="0" applyBorder="0" applyAlignment="0" applyProtection="0"/>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9" fontId="1" fillId="0" borderId="0" applyFont="0" applyFill="0" applyBorder="0" applyAlignment="0" applyProtection="0"/>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horizontal="center" vertical="center"/>
      <protection locked="0"/>
    </xf>
    <xf numFmtId="44" fontId="1" fillId="0" borderId="0" applyFont="0" applyFill="0" applyBorder="0" applyAlignment="0" applyProtection="0"/>
    <xf numFmtId="202" fontId="30" fillId="0" borderId="83">
      <alignment vertical="center"/>
      <protection locked="0"/>
    </xf>
    <xf numFmtId="201"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 fillId="51" borderId="0" applyNumberFormat="0" applyBorder="0" applyAlignment="0" applyProtection="0"/>
    <xf numFmtId="203" fontId="30" fillId="0" borderId="83">
      <alignment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0" fontId="1" fillId="0" borderId="0"/>
    <xf numFmtId="4" fontId="46" fillId="117" borderId="89" applyNumberFormat="0" applyProtection="0">
      <alignment horizontal="left" vertical="center" indent="1"/>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0" fontId="30" fillId="0" borderId="83">
      <alignment horizontal="center" vertical="center"/>
      <protection locked="0"/>
    </xf>
    <xf numFmtId="204" fontId="30" fillId="0" borderId="83">
      <alignment horizontal="right" vertical="center"/>
      <protection locked="0"/>
    </xf>
    <xf numFmtId="203" fontId="30" fillId="0" borderId="83">
      <alignment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 fillId="31" borderId="0" applyNumberFormat="0" applyBorder="0" applyAlignment="0" applyProtection="0"/>
    <xf numFmtId="4" fontId="46" fillId="117" borderId="89" applyNumberFormat="0" applyProtection="0">
      <alignment horizontal="left" vertical="center" indent="1"/>
    </xf>
    <xf numFmtId="0" fontId="30" fillId="60" borderId="91" applyNumberFormat="0">
      <protection locked="0"/>
    </xf>
    <xf numFmtId="0" fontId="1" fillId="51" borderId="0" applyNumberFormat="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1" fillId="0" borderId="0"/>
    <xf numFmtId="201"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1" fillId="0" borderId="0"/>
    <xf numFmtId="0" fontId="30" fillId="60" borderId="91" applyNumberFormat="0">
      <protection locked="0"/>
    </xf>
    <xf numFmtId="194" fontId="30" fillId="0" borderId="83">
      <alignment horizontal="right" vertical="center"/>
      <protection locked="0"/>
    </xf>
    <xf numFmtId="0" fontId="1" fillId="0" borderId="0"/>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194" fontId="30" fillId="0" borderId="83">
      <alignment horizontal="right" vertical="center"/>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vertical="center"/>
      <protection locked="0"/>
    </xf>
    <xf numFmtId="9" fontId="1" fillId="0" borderId="0" applyFont="0" applyFill="0" applyBorder="0" applyAlignment="0" applyProtection="0"/>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0" fontId="30" fillId="0" borderId="83" applyAlignmen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3" fontId="1" fillId="0" borderId="0" applyFont="0" applyFill="0" applyBorder="0" applyAlignment="0" applyProtection="0"/>
    <xf numFmtId="194" fontId="30" fillId="0" borderId="83">
      <alignment horizontal="right" vertical="center"/>
      <protection locked="0"/>
    </xf>
    <xf numFmtId="0" fontId="1" fillId="0" borderId="0"/>
    <xf numFmtId="204" fontId="30" fillId="0" borderId="83">
      <alignment horizontal="right"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172" fontId="1" fillId="0" borderId="0" applyFont="0" applyFill="0" applyBorder="0" applyAlignment="0" applyProtection="0"/>
    <xf numFmtId="0" fontId="1" fillId="0" borderId="0"/>
    <xf numFmtId="0" fontId="30" fillId="60" borderId="91" applyNumberFormat="0">
      <protection locked="0"/>
    </xf>
    <xf numFmtId="199" fontId="30" fillId="0" borderId="83">
      <alignment vertical="center"/>
      <protection locked="0"/>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3" fontId="14" fillId="15" borderId="65" applyAlignment="0" applyProtection="0"/>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202" fontId="30" fillId="0" borderId="83">
      <alignment vertical="center"/>
      <protection locked="0"/>
    </xf>
    <xf numFmtId="200" fontId="30" fillId="0" borderId="83">
      <alignment horizontal="center" vertical="center"/>
      <protection locked="0"/>
    </xf>
    <xf numFmtId="199" fontId="30" fillId="0" borderId="83">
      <alignment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203"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0" fontId="1" fillId="28" borderId="69" applyNumberFormat="0" applyFont="0" applyAlignment="0" applyProtection="0"/>
    <xf numFmtId="199" fontId="30" fillId="0" borderId="83">
      <alignment horizontal="center" vertical="center"/>
      <protection locked="0"/>
    </xf>
    <xf numFmtId="199"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9" fontId="3" fillId="0" borderId="0" applyFont="0" applyFill="0" applyBorder="0" applyAlignment="0" applyProtection="0"/>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0" fontId="1" fillId="0" borderId="0"/>
    <xf numFmtId="0" fontId="30" fillId="60" borderId="91" applyNumberFormat="0">
      <protection locked="0"/>
    </xf>
    <xf numFmtId="0" fontId="116" fillId="0" borderId="71" applyNumberFormat="0" applyAlignment="0" applyProtection="0">
      <alignment horizontal="left" vertical="center"/>
    </xf>
    <xf numFmtId="0" fontId="1" fillId="0" borderId="0"/>
    <xf numFmtId="200" fontId="30" fillId="0" borderId="83">
      <alignment horizontal="center" vertical="center"/>
      <protection locked="0"/>
    </xf>
    <xf numFmtId="199" fontId="30" fillId="0" borderId="83">
      <alignment horizontal="center" vertical="center"/>
      <protection locked="0"/>
    </xf>
    <xf numFmtId="0" fontId="1" fillId="39" borderId="0" applyNumberFormat="0" applyBorder="0" applyAlignment="0" applyProtection="0"/>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 fillId="0" borderId="0"/>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1" fillId="0" borderId="0"/>
    <xf numFmtId="0" fontId="1" fillId="0" borderId="0"/>
    <xf numFmtId="201"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194" fontId="30" fillId="0" borderId="83">
      <alignment horizontal="center" vertical="center"/>
      <protection locked="0"/>
    </xf>
    <xf numFmtId="199" fontId="30" fillId="0" borderId="83">
      <alignment vertical="center"/>
      <protection locked="0"/>
    </xf>
    <xf numFmtId="0" fontId="1" fillId="0" borderId="0"/>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0" fontId="30" fillId="0" borderId="83" applyAlignment="0">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202" fontId="30" fillId="0" borderId="83">
      <alignment vertical="center"/>
      <protection locked="0"/>
    </xf>
    <xf numFmtId="0" fontId="30" fillId="0" borderId="83" applyAlignment="0">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201" fontId="30" fillId="0" borderId="83">
      <alignment vertical="center"/>
      <protection locked="0"/>
    </xf>
    <xf numFmtId="199" fontId="30" fillId="0" borderId="83">
      <alignment vertical="center"/>
      <protection locked="0"/>
    </xf>
    <xf numFmtId="203" fontId="30" fillId="0" borderId="83">
      <alignment vertical="center"/>
      <protection locked="0"/>
    </xf>
    <xf numFmtId="203"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0" fontId="1" fillId="0" borderId="0"/>
    <xf numFmtId="199" fontId="30" fillId="0" borderId="83">
      <alignment horizontal="center" vertical="center"/>
      <protection locked="0"/>
    </xf>
    <xf numFmtId="200" fontId="30" fillId="0" borderId="83">
      <alignment horizontal="center" vertical="center"/>
      <protection locked="0"/>
    </xf>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1" fillId="43" borderId="0" applyNumberFormat="0" applyBorder="0" applyAlignment="0" applyProtection="0"/>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0" fontId="1" fillId="0" borderId="0"/>
    <xf numFmtId="0" fontId="116" fillId="0" borderId="71" applyNumberFormat="0" applyAlignment="0" applyProtection="0">
      <alignment horizontal="left" vertical="center"/>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201" fontId="30" fillId="0" borderId="83">
      <alignment vertical="center"/>
      <protection locked="0"/>
    </xf>
    <xf numFmtId="194" fontId="30" fillId="0" borderId="83">
      <alignment horizontal="center" vertical="center"/>
      <protection locked="0"/>
    </xf>
    <xf numFmtId="0" fontId="1" fillId="0" borderId="0"/>
    <xf numFmtId="172" fontId="1" fillId="0" borderId="0" applyFont="0" applyFill="0" applyBorder="0" applyAlignment="0" applyProtection="0"/>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1" fillId="0" borderId="0"/>
    <xf numFmtId="201" fontId="30" fillId="0" borderId="83">
      <alignmen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1" fillId="0" borderId="0"/>
    <xf numFmtId="0" fontId="30" fillId="60" borderId="91" applyNumberFormat="0">
      <protection locked="0"/>
    </xf>
    <xf numFmtId="9" fontId="1" fillId="0" borderId="0" applyFont="0" applyFill="0" applyBorder="0" applyAlignment="0" applyProtection="0"/>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9" fontId="1" fillId="0" borderId="0" applyFont="0" applyFill="0" applyBorder="0" applyAlignment="0" applyProtection="0"/>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1" fillId="0" borderId="0"/>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199"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9" fontId="1" fillId="0" borderId="0" applyFont="0" applyFill="0" applyBorder="0" applyAlignment="0" applyProtection="0"/>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1" fillId="0" borderId="0"/>
    <xf numFmtId="203" fontId="30" fillId="0" borderId="83">
      <alignment horizontal="center" vertical="center"/>
      <protection locked="0"/>
    </xf>
    <xf numFmtId="43" fontId="3" fillId="0" borderId="0" applyFont="0" applyFill="0" applyBorder="0" applyAlignment="0" applyProtection="0"/>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203" fontId="30" fillId="0" borderId="83">
      <alignment vertical="center"/>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194" fontId="30" fillId="0" borderId="83">
      <alignment horizontal="center" vertical="center"/>
      <protection locked="0"/>
    </xf>
    <xf numFmtId="0" fontId="30" fillId="0" borderId="83" applyAlignment="0">
      <protection locked="0"/>
    </xf>
    <xf numFmtId="0" fontId="1" fillId="42" borderId="0" applyNumberFormat="0" applyBorder="0" applyAlignment="0" applyProtection="0"/>
    <xf numFmtId="0" fontId="30" fillId="60" borderId="91" applyNumberFormat="0">
      <protection locked="0"/>
    </xf>
    <xf numFmtId="0" fontId="30" fillId="60" borderId="91" applyNumberFormat="0">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 fillId="0" borderId="0"/>
    <xf numFmtId="202"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0" fontId="3" fillId="0" borderId="0"/>
    <xf numFmtId="202" fontId="30" fillId="0" borderId="83">
      <alignment vertical="center"/>
      <protection locked="0"/>
    </xf>
    <xf numFmtId="0" fontId="30" fillId="60" borderId="91" applyNumberFormat="0">
      <protection locked="0"/>
    </xf>
    <xf numFmtId="0" fontId="1" fillId="0" borderId="0"/>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0" borderId="0"/>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4" fontId="46" fillId="117" borderId="89" applyNumberFormat="0" applyProtection="0">
      <alignment horizontal="left" vertical="center" indent="1"/>
    </xf>
    <xf numFmtId="201" fontId="30" fillId="0" borderId="83">
      <alignment vertical="center"/>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0" fontId="1" fillId="0" borderId="0"/>
    <xf numFmtId="0" fontId="30" fillId="60" borderId="91" applyNumberFormat="0">
      <protection locked="0"/>
    </xf>
    <xf numFmtId="199"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0" borderId="83" applyAlignment="0">
      <protection locked="0"/>
    </xf>
    <xf numFmtId="202" fontId="30" fillId="0" borderId="83">
      <alignment vertical="center"/>
      <protection locked="0"/>
    </xf>
    <xf numFmtId="0" fontId="1" fillId="35" borderId="0" applyNumberFormat="0" applyBorder="0" applyAlignment="0" applyProtection="0"/>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199"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43" fontId="1" fillId="0" borderId="0" applyFont="0" applyFill="0" applyBorder="0" applyAlignment="0" applyProtection="0"/>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 fillId="0" borderId="0"/>
    <xf numFmtId="0" fontId="1" fillId="0" borderId="0"/>
    <xf numFmtId="0" fontId="116" fillId="0" borderId="71" applyNumberFormat="0" applyAlignment="0" applyProtection="0">
      <alignment horizontal="left" vertical="center"/>
    </xf>
    <xf numFmtId="201"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201" fontId="30" fillId="0" borderId="83">
      <alignment horizontal="center" vertical="center"/>
      <protection locked="0"/>
    </xf>
    <xf numFmtId="0" fontId="3" fillId="0" borderId="0"/>
    <xf numFmtId="0" fontId="116" fillId="0" borderId="71" applyNumberFormat="0" applyAlignment="0" applyProtection="0">
      <alignment horizontal="left" vertical="center"/>
    </xf>
    <xf numFmtId="194" fontId="30" fillId="0" borderId="83">
      <alignment horizontal="right"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3" fontId="1" fillId="0" borderId="0" applyFont="0" applyFill="0" applyBorder="0" applyAlignment="0" applyProtection="0"/>
    <xf numFmtId="200"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1" fillId="0" borderId="0"/>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1" fillId="0" borderId="0"/>
    <xf numFmtId="9" fontId="1" fillId="0" borderId="0" applyFont="0" applyFill="0" applyBorder="0" applyAlignment="0" applyProtection="0"/>
    <xf numFmtId="9" fontId="1" fillId="0" borderId="0" applyFont="0" applyFill="0" applyBorder="0" applyAlignment="0" applyProtection="0"/>
    <xf numFmtId="0" fontId="30" fillId="0" borderId="83" applyAlignment="0">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201" fontId="30" fillId="0" borderId="83">
      <alignment vertical="center"/>
      <protection locked="0"/>
    </xf>
    <xf numFmtId="0" fontId="1" fillId="0" borderId="0"/>
    <xf numFmtId="0" fontId="30" fillId="0" borderId="83" applyAlignment="0">
      <protection locked="0"/>
    </xf>
    <xf numFmtId="0" fontId="1" fillId="0" borderId="0"/>
    <xf numFmtId="194"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0" fontId="1" fillId="30" borderId="0" applyNumberFormat="0" applyBorder="0" applyAlignment="0" applyProtection="0"/>
    <xf numFmtId="204" fontId="30" fillId="0" borderId="83">
      <alignment horizontal="righ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 fillId="0" borderId="0"/>
    <xf numFmtId="200" fontId="30" fillId="0" borderId="83">
      <alignment horizontal="center"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0" fontId="1" fillId="0" borderId="0"/>
    <xf numFmtId="0" fontId="30" fillId="60" borderId="91" applyNumberFormat="0">
      <protection locked="0"/>
    </xf>
    <xf numFmtId="0" fontId="1" fillId="46" borderId="0" applyNumberFormat="0" applyBorder="0" applyAlignment="0" applyProtection="0"/>
    <xf numFmtId="203" fontId="30" fillId="0" borderId="83">
      <alignment horizontal="center" vertical="center"/>
      <protection locked="0"/>
    </xf>
    <xf numFmtId="203"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0" fontId="1" fillId="0" borderId="0"/>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9" fontId="1" fillId="0" borderId="0" applyFont="0" applyFill="0" applyBorder="0" applyAlignment="0" applyProtection="0"/>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1" fillId="0" borderId="0"/>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203" fontId="30" fillId="0" borderId="83">
      <alignment vertical="center"/>
      <protection locked="0"/>
    </xf>
    <xf numFmtId="203"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0" fontId="1" fillId="0" borderId="0"/>
    <xf numFmtId="20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1" fillId="0" borderId="0"/>
    <xf numFmtId="194"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9" fontId="1" fillId="0" borderId="0" applyFont="0" applyFill="0" applyBorder="0" applyAlignment="0" applyProtection="0"/>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43" fontId="3" fillId="0" borderId="0" applyFont="0" applyFill="0" applyBorder="0" applyAlignment="0" applyProtection="0"/>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204" fontId="30" fillId="0" borderId="83">
      <alignment horizontal="righ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0" fontId="30" fillId="0" borderId="83" applyAlignment="0">
      <protection locked="0"/>
    </xf>
    <xf numFmtId="202"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0" fontId="30" fillId="0" borderId="83" applyAlignment="0">
      <protection locked="0"/>
    </xf>
    <xf numFmtId="202" fontId="30" fillId="0" borderId="83">
      <alignment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right" vertical="center"/>
      <protection locked="0"/>
    </xf>
    <xf numFmtId="200"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0" borderId="83" applyAlignment="0">
      <protection locked="0"/>
    </xf>
    <xf numFmtId="201"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194" fontId="30" fillId="0" borderId="83">
      <alignment horizontal="right"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4" fontId="3" fillId="0" borderId="0" applyFont="0" applyFill="0" applyBorder="0" applyAlignment="0" applyProtection="0"/>
    <xf numFmtId="200"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203"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0"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201" fontId="30" fillId="0" borderId="83">
      <alignment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199"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199"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200" fontId="30" fillId="0" borderId="83">
      <alignment horizontal="center"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201"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203"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199" fontId="30" fillId="0" borderId="83">
      <alignment horizontal="center" vertical="center"/>
      <protection locked="0"/>
    </xf>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202"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199"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0" borderId="83" applyAlignment="0">
      <protection locked="0"/>
    </xf>
    <xf numFmtId="204" fontId="30" fillId="0" borderId="83">
      <alignment horizontal="right"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199"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9" fontId="1" fillId="0" borderId="0" applyFont="0" applyFill="0" applyBorder="0" applyAlignment="0" applyProtection="0"/>
    <xf numFmtId="203" fontId="30" fillId="0" borderId="83">
      <alignment vertical="center"/>
      <protection locked="0"/>
    </xf>
    <xf numFmtId="200" fontId="30" fillId="0" borderId="83">
      <alignment horizontal="center" vertical="center"/>
      <protection locked="0"/>
    </xf>
    <xf numFmtId="199" fontId="30" fillId="0" borderId="83">
      <alignment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0" fontId="30" fillId="0" borderId="83" applyAlignment="0">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4" fontId="46" fillId="117" borderId="89" applyNumberFormat="0" applyProtection="0">
      <alignment horizontal="left" vertical="center" indent="1"/>
    </xf>
    <xf numFmtId="199" fontId="30" fillId="0" borderId="83">
      <alignment vertical="center"/>
      <protection locked="0"/>
    </xf>
    <xf numFmtId="200"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201" fontId="30" fillId="0" borderId="83">
      <alignment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204" fontId="30" fillId="0" borderId="83">
      <alignment horizontal="righ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1"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9" fontId="30" fillId="0" borderId="83">
      <alignment vertical="center"/>
      <protection locked="0"/>
    </xf>
    <xf numFmtId="202"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4" fontId="30" fillId="0" borderId="83">
      <alignment horizontal="righ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2"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0" fontId="30" fillId="0" borderId="83" applyAlignment="0">
      <protection locked="0"/>
    </xf>
    <xf numFmtId="0" fontId="30" fillId="0" borderId="83" applyAlignment="0">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4" fontId="30" fillId="0" borderId="83">
      <alignment horizontal="right" vertical="center"/>
      <protection locked="0"/>
    </xf>
    <xf numFmtId="199"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righ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202"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1"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2" fontId="30" fillId="0" borderId="83">
      <alignment horizontal="center"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4" fontId="30" fillId="0" borderId="83">
      <alignment horizontal="right"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3" fontId="14" fillId="15" borderId="65" applyAlignment="0" applyProtection="0"/>
    <xf numFmtId="0" fontId="1" fillId="0" borderId="0"/>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5" fillId="0" borderId="0"/>
    <xf numFmtId="43" fontId="15" fillId="0" borderId="0" applyFont="0" applyFill="0" applyBorder="0" applyAlignment="0" applyProtection="0"/>
    <xf numFmtId="44" fontId="15" fillId="0" borderId="0" applyFont="0" applyFill="0" applyBorder="0" applyAlignment="0" applyProtection="0"/>
    <xf numFmtId="9" fontId="15"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15" fillId="0" borderId="0"/>
    <xf numFmtId="43" fontId="153" fillId="0" borderId="0" applyFont="0" applyFill="0" applyBorder="0" applyAlignment="0" applyProtection="0"/>
    <xf numFmtId="0" fontId="93" fillId="0" borderId="0"/>
    <xf numFmtId="0" fontId="17" fillId="6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85" fillId="68" borderId="0" applyNumberFormat="0" applyBorder="0" applyAlignment="0" applyProtection="0"/>
    <xf numFmtId="0" fontId="17" fillId="66" borderId="0" applyNumberFormat="0" applyBorder="0" applyAlignment="0" applyProtection="0"/>
    <xf numFmtId="0" fontId="17" fillId="70" borderId="0" applyNumberFormat="0" applyBorder="0" applyAlignment="0" applyProtection="0"/>
    <xf numFmtId="0" fontId="85" fillId="67" borderId="0" applyNumberFormat="0" applyBorder="0" applyAlignment="0" applyProtection="0"/>
    <xf numFmtId="0" fontId="17" fillId="67" borderId="0" applyNumberFormat="0" applyBorder="0" applyAlignment="0" applyProtection="0"/>
    <xf numFmtId="0" fontId="85" fillId="67" borderId="0" applyNumberFormat="0" applyBorder="0" applyAlignment="0" applyProtection="0"/>
    <xf numFmtId="0" fontId="17" fillId="7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74" borderId="0" applyNumberFormat="0" applyBorder="0" applyAlignment="0" applyProtection="0"/>
    <xf numFmtId="43" fontId="15" fillId="0" borderId="0" applyFont="0" applyFill="0" applyBorder="0" applyAlignment="0" applyProtection="0"/>
    <xf numFmtId="0" fontId="95" fillId="78" borderId="0" applyNumberFormat="0" applyBorder="0" applyAlignment="0" applyProtection="0"/>
    <xf numFmtId="0" fontId="95" fillId="79" borderId="0" applyNumberFormat="0" applyBorder="0" applyAlignment="0" applyProtection="0"/>
    <xf numFmtId="0" fontId="95" fillId="80" borderId="0" applyNumberFormat="0" applyBorder="0" applyAlignment="0" applyProtection="0"/>
    <xf numFmtId="0" fontId="15" fillId="4" borderId="0"/>
    <xf numFmtId="44" fontId="153" fillId="0" borderId="0" applyFont="0" applyFill="0" applyBorder="0" applyAlignment="0" applyProtection="0"/>
    <xf numFmtId="43" fontId="153" fillId="0" borderId="0" applyFont="0" applyFill="0" applyBorder="0" applyAlignment="0" applyProtection="0"/>
    <xf numFmtId="44" fontId="15" fillId="0" borderId="0" applyFont="0" applyFill="0" applyBorder="0" applyAlignment="0" applyProtection="0"/>
    <xf numFmtId="4" fontId="46" fillId="61" borderId="88" applyNumberFormat="0" applyProtection="0">
      <alignment vertical="center"/>
    </xf>
    <xf numFmtId="4" fontId="150" fillId="5" borderId="88" applyNumberFormat="0" applyProtection="0">
      <alignment vertical="center"/>
    </xf>
    <xf numFmtId="4" fontId="46" fillId="5" borderId="88" applyNumberFormat="0" applyProtection="0">
      <alignment horizontal="left" vertical="center" indent="1"/>
    </xf>
    <xf numFmtId="0" fontId="46" fillId="5" borderId="88" applyNumberFormat="0" applyProtection="0">
      <alignment horizontal="left" vertical="top" indent="1"/>
    </xf>
    <xf numFmtId="4" fontId="46" fillId="0" borderId="0" applyNumberFormat="0" applyProtection="0">
      <alignment horizontal="left" vertical="center" indent="1"/>
    </xf>
    <xf numFmtId="4" fontId="153" fillId="76" borderId="88" applyNumberFormat="0" applyProtection="0">
      <alignment horizontal="right" vertical="center"/>
    </xf>
    <xf numFmtId="4" fontId="153" fillId="111" borderId="88" applyNumberFormat="0" applyProtection="0">
      <alignment horizontal="right" vertical="center"/>
    </xf>
    <xf numFmtId="4" fontId="153" fillId="69" borderId="88" applyNumberFormat="0" applyProtection="0">
      <alignment horizontal="right" vertical="center"/>
    </xf>
    <xf numFmtId="4" fontId="153" fillId="113" borderId="88" applyNumberFormat="0" applyProtection="0">
      <alignment horizontal="right" vertical="center"/>
    </xf>
    <xf numFmtId="4" fontId="153" fillId="114" borderId="88" applyNumberFormat="0" applyProtection="0">
      <alignment horizontal="right" vertical="center"/>
    </xf>
    <xf numFmtId="4" fontId="153" fillId="75" borderId="88" applyNumberFormat="0" applyProtection="0">
      <alignment horizontal="right" vertical="center"/>
    </xf>
    <xf numFmtId="4" fontId="153" fillId="71" borderId="88" applyNumberFormat="0" applyProtection="0">
      <alignment horizontal="right" vertical="center"/>
    </xf>
    <xf numFmtId="4" fontId="153" fillId="115" borderId="88" applyNumberFormat="0" applyProtection="0">
      <alignment horizontal="right" vertical="center"/>
    </xf>
    <xf numFmtId="4" fontId="153" fillId="116" borderId="88" applyNumberFormat="0" applyProtection="0">
      <alignment horizontal="right" vertical="center"/>
    </xf>
    <xf numFmtId="4" fontId="153" fillId="118" borderId="0" applyNumberFormat="0" applyProtection="0">
      <alignment horizontal="left" vertical="center" indent="1"/>
    </xf>
    <xf numFmtId="4" fontId="154" fillId="119" borderId="0" applyNumberFormat="0" applyProtection="0">
      <alignment horizontal="left" vertical="center" indent="1"/>
    </xf>
    <xf numFmtId="4" fontId="153" fillId="59" borderId="90" applyNumberFormat="0" applyProtection="0">
      <alignment horizontal="center" vertical="center"/>
    </xf>
    <xf numFmtId="4" fontId="153" fillId="118" borderId="0" applyNumberFormat="0" applyProtection="0">
      <alignment horizontal="left" vertical="center" indent="1"/>
    </xf>
    <xf numFmtId="4" fontId="153" fillId="109" borderId="0" applyNumberFormat="0" applyProtection="0">
      <alignment horizontal="left" vertical="center" indent="1"/>
    </xf>
    <xf numFmtId="0" fontId="15" fillId="59" borderId="88" applyNumberFormat="0" applyProtection="0">
      <alignment horizontal="left" vertical="center" indent="1"/>
    </xf>
    <xf numFmtId="0" fontId="15" fillId="119" borderId="88" applyNumberFormat="0" applyProtection="0">
      <alignment horizontal="left" vertical="top" indent="1"/>
    </xf>
    <xf numFmtId="0" fontId="15" fillId="59" borderId="88" applyNumberFormat="0" applyProtection="0">
      <alignment horizontal="left" vertical="center" indent="1"/>
    </xf>
    <xf numFmtId="0" fontId="15" fillId="109" borderId="88" applyNumberFormat="0" applyProtection="0">
      <alignment horizontal="left" vertical="top" indent="1"/>
    </xf>
    <xf numFmtId="0" fontId="15" fillId="59" borderId="88" applyNumberFormat="0" applyProtection="0">
      <alignment horizontal="left" vertical="center" indent="1"/>
    </xf>
    <xf numFmtId="0" fontId="15" fillId="82" borderId="88" applyNumberFormat="0" applyProtection="0">
      <alignment horizontal="left" vertical="top" indent="1"/>
    </xf>
    <xf numFmtId="0" fontId="15" fillId="59" borderId="88" applyNumberFormat="0" applyProtection="0">
      <alignment horizontal="left" vertical="center" indent="1"/>
    </xf>
    <xf numFmtId="0" fontId="15" fillId="11" borderId="88" applyNumberFormat="0" applyProtection="0">
      <alignment horizontal="left" vertical="top" indent="1"/>
    </xf>
    <xf numFmtId="0" fontId="15" fillId="60" borderId="11" applyNumberFormat="0">
      <protection locked="0"/>
    </xf>
    <xf numFmtId="4" fontId="153" fillId="9" borderId="88" applyNumberFormat="0" applyProtection="0">
      <alignment vertical="center"/>
    </xf>
    <xf numFmtId="4" fontId="156" fillId="9" borderId="88" applyNumberFormat="0" applyProtection="0">
      <alignment vertical="center"/>
    </xf>
    <xf numFmtId="4" fontId="153" fillId="9" borderId="88" applyNumberFormat="0" applyProtection="0">
      <alignment horizontal="left" vertical="center" indent="1"/>
    </xf>
    <xf numFmtId="0" fontId="153" fillId="9" borderId="88" applyNumberFormat="0" applyProtection="0">
      <alignment horizontal="left" vertical="top" indent="1"/>
    </xf>
    <xf numFmtId="4" fontId="157" fillId="0" borderId="88" applyNumberFormat="0" applyProtection="0">
      <alignment horizontal="right" vertical="center"/>
    </xf>
    <xf numFmtId="4" fontId="156" fillId="0" borderId="88" applyNumberFormat="0" applyProtection="0">
      <alignment horizontal="right" vertical="center"/>
    </xf>
    <xf numFmtId="4" fontId="153" fillId="127" borderId="88" applyNumberFormat="0" applyProtection="0">
      <alignment horizontal="left" vertical="center" indent="1"/>
    </xf>
    <xf numFmtId="4" fontId="42" fillId="118" borderId="88" applyNumberFormat="0" applyProtection="0">
      <alignment horizontal="right" vertical="center"/>
    </xf>
    <xf numFmtId="9" fontId="15" fillId="0" borderId="0" applyFont="0" applyFill="0" applyBorder="0" applyAlignment="0" applyProtection="0"/>
    <xf numFmtId="43" fontId="15" fillId="0" borderId="0" applyFont="0" applyFill="0" applyBorder="0" applyAlignment="0" applyProtection="0"/>
    <xf numFmtId="44"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2" fillId="0" borderId="0"/>
    <xf numFmtId="0" fontId="1" fillId="0" borderId="0"/>
    <xf numFmtId="0" fontId="1" fillId="0" borderId="0"/>
    <xf numFmtId="0" fontId="2"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3" fontId="14" fillId="15" borderId="65" applyAlignment="0" applyProtection="0"/>
    <xf numFmtId="3" fontId="14" fillId="15" borderId="65" applyAlignment="0" applyProtection="0"/>
    <xf numFmtId="0" fontId="1" fillId="0" borderId="0"/>
    <xf numFmtId="0" fontId="1" fillId="0" borderId="0"/>
    <xf numFmtId="3" fontId="14" fillId="15" borderId="65" applyAlignment="0" applyProtection="0"/>
    <xf numFmtId="3" fontId="14" fillId="15" borderId="65"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0" fontId="1" fillId="0" borderId="0"/>
    <xf numFmtId="3" fontId="14" fillId="15" borderId="65" applyAlignment="0" applyProtection="0"/>
    <xf numFmtId="3" fontId="14" fillId="15" borderId="65" applyAlignment="0" applyProtection="0"/>
    <xf numFmtId="3" fontId="14" fillId="15" borderId="65"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3" fontId="14" fillId="15" borderId="65"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3" fontId="14" fillId="15" borderId="65" applyAlignment="0" applyProtection="0"/>
    <xf numFmtId="3" fontId="14" fillId="15" borderId="65"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4" borderId="0"/>
    <xf numFmtId="43" fontId="153" fillId="0" borderId="0" applyFont="0" applyFill="0" applyBorder="0" applyAlignment="0" applyProtection="0"/>
    <xf numFmtId="44" fontId="153" fillId="0" borderId="0" applyFont="0" applyFill="0" applyBorder="0" applyAlignment="0" applyProtection="0"/>
    <xf numFmtId="44" fontId="15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3" fontId="14" fillId="15" borderId="65"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3" fontId="14" fillId="15" borderId="65" applyAlignment="0" applyProtection="0"/>
    <xf numFmtId="9" fontId="1" fillId="0" borderId="0" applyFont="0" applyFill="0" applyBorder="0" applyAlignment="0" applyProtection="0"/>
    <xf numFmtId="0" fontId="1" fillId="0" borderId="0"/>
    <xf numFmtId="3" fontId="14" fillId="15" borderId="65" applyAlignment="0" applyProtection="0"/>
    <xf numFmtId="0" fontId="1" fillId="0" borderId="0"/>
    <xf numFmtId="0" fontId="1" fillId="0" borderId="0"/>
    <xf numFmtId="9" fontId="1" fillId="0" borderId="0" applyFont="0" applyFill="0" applyBorder="0"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1" fillId="0" borderId="0" applyFont="0" applyFill="0" applyBorder="0"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1" borderId="0" applyNumberFormat="0" applyBorder="0" applyAlignment="0" applyProtection="0"/>
    <xf numFmtId="9" fontId="1" fillId="0" borderId="0" applyFont="0" applyFill="0" applyBorder="0" applyAlignment="0" applyProtection="0"/>
    <xf numFmtId="3" fontId="14" fillId="15" borderId="65" applyAlignment="0" applyProtection="0"/>
    <xf numFmtId="181"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46" borderId="0" applyNumberFormat="0" applyBorder="0" applyAlignment="0" applyProtection="0"/>
    <xf numFmtId="0" fontId="1" fillId="0" borderId="0"/>
    <xf numFmtId="0" fontId="1" fillId="50"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0" borderId="0" applyNumberFormat="0" applyBorder="0" applyAlignment="0" applyProtection="0"/>
    <xf numFmtId="0" fontId="1" fillId="42" borderId="0" applyNumberFormat="0" applyBorder="0" applyAlignment="0" applyProtection="0"/>
    <xf numFmtId="0" fontId="1" fillId="0" borderId="0"/>
    <xf numFmtId="0" fontId="1" fillId="39" borderId="0" applyNumberFormat="0" applyBorder="0" applyAlignment="0" applyProtection="0"/>
    <xf numFmtId="172"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2" fillId="0" borderId="0"/>
    <xf numFmtId="0" fontId="2"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3" fontId="14" fillId="15" borderId="65" applyAlignment="0" applyProtection="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0" fontId="1" fillId="0" borderId="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0" fontId="1" fillId="0" borderId="0"/>
    <xf numFmtId="9" fontId="1" fillId="0" borderId="0" applyFont="0" applyFill="0" applyBorder="0" applyAlignment="0" applyProtection="0"/>
    <xf numFmtId="44" fontId="3" fillId="0" borderId="0" applyFont="0" applyFill="0" applyBorder="0" applyAlignment="0" applyProtection="0"/>
  </cellStyleXfs>
  <cellXfs count="824">
    <xf numFmtId="0" fontId="0" fillId="0" borderId="0" xfId="0"/>
    <xf numFmtId="0" fontId="4" fillId="0" borderId="0" xfId="0" applyFont="1" applyAlignment="1">
      <alignment vertical="center"/>
    </xf>
    <xf numFmtId="0" fontId="3" fillId="0" borderId="0" xfId="0" applyFont="1" applyAlignment="1">
      <alignment horizontal="left" vertical="center" indent="2"/>
    </xf>
    <xf numFmtId="0" fontId="5" fillId="0" borderId="0" xfId="0" applyFont="1" applyAlignment="1">
      <alignment horizontal="left" vertical="center" indent="2"/>
    </xf>
    <xf numFmtId="0" fontId="5" fillId="0" borderId="0" xfId="0" applyFont="1" applyAlignment="1">
      <alignment vertical="center"/>
    </xf>
    <xf numFmtId="0" fontId="5" fillId="0" borderId="0" xfId="0" applyFont="1" applyAlignment="1">
      <alignment horizontal="left" vertical="center" indent="3"/>
    </xf>
    <xf numFmtId="0" fontId="6" fillId="0" borderId="0" xfId="0" applyFont="1" applyAlignment="1">
      <alignment vertical="center"/>
    </xf>
    <xf numFmtId="0" fontId="5" fillId="0" borderId="0" xfId="0" applyFont="1" applyAlignment="1">
      <alignment horizontal="left" vertical="center" indent="1"/>
    </xf>
    <xf numFmtId="0" fontId="8" fillId="0" borderId="0" xfId="0" applyFont="1" applyAlignment="1">
      <alignment horizontal="left" vertical="center" indent="1"/>
    </xf>
    <xf numFmtId="0" fontId="7" fillId="0" borderId="0" xfId="0" applyFont="1" applyAlignment="1">
      <alignment horizontal="left" vertical="center" indent="1"/>
    </xf>
    <xf numFmtId="0" fontId="10" fillId="2" borderId="0" xfId="0" applyFont="1" applyFill="1" applyAlignment="1">
      <alignment horizontal="right" vertical="center" wrapText="1"/>
    </xf>
    <xf numFmtId="0" fontId="11" fillId="0" borderId="0" xfId="0" applyFont="1" applyAlignment="1">
      <alignment vertical="center" wrapText="1"/>
    </xf>
    <xf numFmtId="0" fontId="11" fillId="0" borderId="0" xfId="0" applyFont="1" applyAlignment="1">
      <alignment horizontal="right" vertical="center" wrapText="1"/>
    </xf>
    <xf numFmtId="0" fontId="11" fillId="3" borderId="0" xfId="0" applyFont="1" applyFill="1" applyAlignment="1">
      <alignment vertical="center" wrapText="1"/>
    </xf>
    <xf numFmtId="0" fontId="11" fillId="3" borderId="0" xfId="0" applyFont="1" applyFill="1" applyAlignment="1">
      <alignment horizontal="right" vertical="center" wrapText="1"/>
    </xf>
    <xf numFmtId="0" fontId="7" fillId="0" borderId="0" xfId="0" applyFont="1" applyAlignment="1">
      <alignment horizontal="left" vertical="center" wrapText="1" indent="1"/>
    </xf>
    <xf numFmtId="0" fontId="7" fillId="0" borderId="0" xfId="0" applyFont="1" applyAlignment="1">
      <alignment horizontal="right" vertical="center" wrapText="1"/>
    </xf>
    <xf numFmtId="0" fontId="7" fillId="3" borderId="0" xfId="0" applyFont="1" applyFill="1" applyAlignment="1">
      <alignment horizontal="left" vertical="center" wrapText="1" indent="1"/>
    </xf>
    <xf numFmtId="0" fontId="7" fillId="3" borderId="0" xfId="0" applyFont="1" applyFill="1" applyAlignment="1">
      <alignment horizontal="right" vertical="center" wrapText="1"/>
    </xf>
    <xf numFmtId="0" fontId="12" fillId="0" borderId="0" xfId="0" applyFont="1" applyAlignment="1">
      <alignment horizontal="left" vertical="center" wrapText="1" indent="3"/>
    </xf>
    <xf numFmtId="0" fontId="12" fillId="0" borderId="0" xfId="0" applyFont="1" applyAlignment="1">
      <alignment horizontal="right" vertical="center" wrapText="1"/>
    </xf>
    <xf numFmtId="0" fontId="12" fillId="3" borderId="0" xfId="0" applyFont="1" applyFill="1" applyAlignment="1">
      <alignment horizontal="left" vertical="center" wrapText="1" indent="3"/>
    </xf>
    <xf numFmtId="0" fontId="12" fillId="3" borderId="0" xfId="0" applyFont="1" applyFill="1" applyAlignment="1">
      <alignment horizontal="right" vertical="center" wrapText="1"/>
    </xf>
    <xf numFmtId="0" fontId="7" fillId="3" borderId="0" xfId="0" applyFont="1" applyFill="1" applyAlignment="1">
      <alignment vertical="center" wrapText="1"/>
    </xf>
    <xf numFmtId="10" fontId="7" fillId="3" borderId="0" xfId="0" applyNumberFormat="1" applyFont="1" applyFill="1" applyAlignment="1">
      <alignment horizontal="right" vertical="center" wrapText="1"/>
    </xf>
    <xf numFmtId="0" fontId="7" fillId="0" borderId="0" xfId="0" applyFont="1" applyAlignment="1">
      <alignment vertical="center" wrapText="1"/>
    </xf>
    <xf numFmtId="10" fontId="7" fillId="0" borderId="0" xfId="0" applyNumberFormat="1" applyFont="1" applyAlignment="1">
      <alignment horizontal="right" vertical="center" wrapText="1"/>
    </xf>
    <xf numFmtId="0" fontId="11" fillId="0" borderId="1" xfId="0" applyFont="1" applyBorder="1" applyAlignment="1">
      <alignment vertical="center" wrapText="1"/>
    </xf>
    <xf numFmtId="0" fontId="11" fillId="0" borderId="1" xfId="0" applyFont="1" applyBorder="1" applyAlignment="1">
      <alignment horizontal="right" vertical="center" wrapText="1"/>
    </xf>
    <xf numFmtId="0" fontId="7" fillId="0" borderId="0" xfId="0" applyFont="1" applyAlignment="1">
      <alignment horizontal="justify" vertical="center"/>
    </xf>
    <xf numFmtId="0" fontId="11" fillId="3" borderId="1" xfId="0" applyFont="1" applyFill="1" applyBorder="1" applyAlignment="1">
      <alignment vertical="center" wrapText="1"/>
    </xf>
    <xf numFmtId="0" fontId="11" fillId="3" borderId="1" xfId="0" applyFont="1" applyFill="1" applyBorder="1" applyAlignment="1">
      <alignment horizontal="right" vertical="center" wrapText="1"/>
    </xf>
    <xf numFmtId="0" fontId="6" fillId="0" borderId="0" xfId="0" applyFont="1" applyProtection="1">
      <protection locked="0"/>
    </xf>
    <xf numFmtId="0" fontId="5" fillId="0" borderId="0" xfId="0" applyFont="1" applyProtection="1"/>
    <xf numFmtId="169" fontId="5" fillId="0" borderId="0" xfId="0" applyNumberFormat="1" applyFont="1" applyAlignment="1" applyProtection="1">
      <alignment horizontal="center"/>
    </xf>
    <xf numFmtId="0" fontId="5" fillId="0" borderId="0" xfId="0" applyFont="1" applyProtection="1">
      <protection locked="0"/>
    </xf>
    <xf numFmtId="170" fontId="5" fillId="0" borderId="0" xfId="0" applyNumberFormat="1" applyFont="1" applyProtection="1">
      <protection locked="0"/>
    </xf>
    <xf numFmtId="2" fontId="21" fillId="0" borderId="0" xfId="5" applyNumberFormat="1" applyFont="1" applyAlignment="1" applyProtection="1">
      <alignment horizontal="left"/>
    </xf>
    <xf numFmtId="2" fontId="21" fillId="0" borderId="0" xfId="5" applyNumberFormat="1" applyFont="1" applyAlignment="1" applyProtection="1">
      <alignment horizontal="left"/>
      <protection locked="0"/>
    </xf>
    <xf numFmtId="2" fontId="20" fillId="0" borderId="0" xfId="5" applyNumberFormat="1" applyFont="1" applyFill="1" applyAlignment="1" applyProtection="1">
      <alignment horizontal="left"/>
      <protection locked="0"/>
    </xf>
    <xf numFmtId="0" fontId="6" fillId="0" borderId="0" xfId="0" applyFont="1" applyProtection="1"/>
    <xf numFmtId="169" fontId="6" fillId="0" borderId="0" xfId="0" applyNumberFormat="1" applyFont="1" applyAlignment="1" applyProtection="1">
      <alignment horizontal="center"/>
    </xf>
    <xf numFmtId="170" fontId="6" fillId="0" borderId="0" xfId="0" applyNumberFormat="1" applyFont="1" applyProtection="1">
      <protection locked="0"/>
    </xf>
    <xf numFmtId="0" fontId="6" fillId="0" borderId="0" xfId="0" applyFont="1" applyAlignment="1" applyProtection="1">
      <alignment vertical="center"/>
      <protection locked="0"/>
    </xf>
    <xf numFmtId="0" fontId="21" fillId="0" borderId="0" xfId="0" applyFont="1" applyBorder="1" applyAlignment="1" applyProtection="1">
      <alignment vertical="center"/>
    </xf>
    <xf numFmtId="0" fontId="5" fillId="0" borderId="0" xfId="0" applyFont="1" applyBorder="1" applyAlignment="1" applyProtection="1">
      <alignment vertical="center"/>
    </xf>
    <xf numFmtId="169" fontId="21" fillId="0" borderId="0" xfId="0" applyNumberFormat="1" applyFont="1" applyBorder="1" applyAlignment="1" applyProtection="1">
      <alignment horizontal="center" vertical="center"/>
    </xf>
    <xf numFmtId="0" fontId="5" fillId="0" borderId="0" xfId="0" applyFont="1" applyFill="1" applyBorder="1" applyProtection="1">
      <protection locked="0"/>
    </xf>
    <xf numFmtId="0" fontId="6" fillId="0" borderId="11" xfId="0" applyFont="1" applyFill="1" applyBorder="1" applyAlignment="1" applyProtection="1">
      <alignment vertical="center"/>
    </xf>
    <xf numFmtId="171" fontId="6" fillId="0" borderId="0" xfId="0" applyNumberFormat="1" applyFont="1" applyFill="1" applyBorder="1" applyProtection="1">
      <protection locked="0"/>
    </xf>
    <xf numFmtId="3" fontId="22" fillId="0" borderId="0" xfId="8" applyFont="1" applyFill="1" applyBorder="1" applyAlignment="1" applyProtection="1">
      <alignment horizontal="left"/>
      <protection locked="0"/>
    </xf>
    <xf numFmtId="0" fontId="24" fillId="0" borderId="0" xfId="0" applyFont="1" applyFill="1" applyProtection="1">
      <protection locked="0"/>
    </xf>
    <xf numFmtId="0" fontId="5" fillId="0" borderId="7" xfId="0" applyFont="1" applyFill="1" applyBorder="1" applyAlignment="1" applyProtection="1">
      <alignment vertical="center"/>
    </xf>
    <xf numFmtId="0" fontId="6" fillId="0" borderId="11" xfId="0" applyFont="1" applyBorder="1" applyAlignment="1" applyProtection="1">
      <alignment vertical="center"/>
    </xf>
    <xf numFmtId="0" fontId="6" fillId="4" borderId="11" xfId="0" applyFont="1" applyFill="1" applyBorder="1" applyAlignment="1" applyProtection="1">
      <alignment vertical="center"/>
    </xf>
    <xf numFmtId="0" fontId="6" fillId="0" borderId="7" xfId="0" applyFont="1" applyFill="1" applyBorder="1" applyAlignment="1" applyProtection="1">
      <alignment vertical="center"/>
    </xf>
    <xf numFmtId="0" fontId="21" fillId="0" borderId="7" xfId="0" applyFont="1" applyBorder="1" applyAlignment="1" applyProtection="1">
      <alignment vertical="center"/>
    </xf>
    <xf numFmtId="0" fontId="6" fillId="0" borderId="0" xfId="0" applyFont="1" applyBorder="1" applyAlignment="1" applyProtection="1">
      <alignment vertical="center"/>
    </xf>
    <xf numFmtId="0" fontId="21" fillId="0" borderId="0" xfId="9" applyFont="1" applyProtection="1"/>
    <xf numFmtId="0" fontId="21" fillId="0" borderId="11" xfId="9" applyFont="1" applyBorder="1" applyProtection="1"/>
    <xf numFmtId="0" fontId="6" fillId="0" borderId="11" xfId="9" applyFont="1" applyBorder="1" applyProtection="1"/>
    <xf numFmtId="0" fontId="6" fillId="0" borderId="0" xfId="7" applyFont="1"/>
    <xf numFmtId="169" fontId="6" fillId="0" borderId="0" xfId="7" applyNumberFormat="1" applyFont="1" applyFill="1" applyAlignment="1" applyProtection="1">
      <alignment horizontal="center"/>
    </xf>
    <xf numFmtId="2" fontId="26" fillId="11" borderId="0" xfId="5" applyNumberFormat="1" applyFont="1" applyFill="1" applyAlignment="1" applyProtection="1">
      <alignment horizontal="left"/>
      <protection locked="0"/>
    </xf>
    <xf numFmtId="3" fontId="6" fillId="0" borderId="11" xfId="6" applyNumberFormat="1" applyFont="1" applyFill="1" applyBorder="1" applyAlignment="1" applyProtection="1">
      <alignment horizontal="right" vertical="center"/>
    </xf>
    <xf numFmtId="3" fontId="21" fillId="12" borderId="11" xfId="6" applyNumberFormat="1" applyFont="1" applyFill="1" applyBorder="1" applyAlignment="1" applyProtection="1">
      <alignment horizontal="right" vertical="center"/>
      <protection hidden="1"/>
    </xf>
    <xf numFmtId="3" fontId="6" fillId="10" borderId="11" xfId="0" applyNumberFormat="1" applyFont="1" applyFill="1" applyBorder="1" applyAlignment="1" applyProtection="1">
      <alignment horizontal="right" vertical="center"/>
    </xf>
    <xf numFmtId="10" fontId="6" fillId="0" borderId="11" xfId="6" applyNumberFormat="1" applyFont="1" applyFill="1" applyBorder="1" applyAlignment="1" applyProtection="1">
      <alignment horizontal="right" vertical="center"/>
      <protection hidden="1"/>
    </xf>
    <xf numFmtId="170" fontId="21" fillId="0" borderId="0" xfId="6" applyNumberFormat="1" applyFont="1" applyFill="1" applyBorder="1" applyAlignment="1" applyProtection="1">
      <alignment horizontal="right" vertical="center"/>
      <protection hidden="1"/>
    </xf>
    <xf numFmtId="3" fontId="22" fillId="0" borderId="0" xfId="8" applyFont="1" applyFill="1" applyBorder="1" applyAlignment="1" applyProtection="1">
      <alignment horizontal="right"/>
      <protection locked="0"/>
    </xf>
    <xf numFmtId="3" fontId="6" fillId="0" borderId="11" xfId="9" applyNumberFormat="1" applyFont="1" applyFill="1" applyBorder="1" applyAlignment="1" applyProtection="1">
      <alignment horizontal="right"/>
    </xf>
    <xf numFmtId="3" fontId="21" fillId="13" borderId="11" xfId="6" applyNumberFormat="1" applyFont="1" applyFill="1" applyBorder="1" applyAlignment="1" applyProtection="1">
      <alignment horizontal="right" vertical="center"/>
      <protection hidden="1"/>
    </xf>
    <xf numFmtId="3" fontId="6" fillId="10" borderId="8" xfId="6" applyNumberFormat="1" applyFont="1" applyFill="1" applyBorder="1" applyAlignment="1" applyProtection="1">
      <alignment horizontal="right" vertical="center"/>
    </xf>
    <xf numFmtId="3" fontId="21" fillId="0" borderId="11" xfId="0" applyNumberFormat="1" applyFont="1" applyFill="1" applyBorder="1" applyAlignment="1" applyProtection="1">
      <alignment horizontal="right" vertical="center"/>
    </xf>
    <xf numFmtId="0" fontId="21" fillId="11" borderId="0" xfId="5" applyNumberFormat="1" applyFont="1" applyFill="1" applyAlignment="1" applyProtection="1">
      <alignment horizontal="left"/>
      <protection locked="0"/>
    </xf>
    <xf numFmtId="170" fontId="6" fillId="0" borderId="0" xfId="8" applyNumberFormat="1" applyFont="1" applyFill="1" applyBorder="1" applyProtection="1">
      <alignment horizontal="right"/>
      <protection locked="0"/>
    </xf>
    <xf numFmtId="3" fontId="6" fillId="0" borderId="0" xfId="8" applyFont="1" applyFill="1" applyBorder="1" applyProtection="1">
      <alignment horizontal="right"/>
      <protection locked="0"/>
    </xf>
    <xf numFmtId="0" fontId="6" fillId="0" borderId="0" xfId="7" applyFont="1" applyFill="1"/>
    <xf numFmtId="0" fontId="5" fillId="0" borderId="0" xfId="0" applyFont="1" applyFill="1" applyProtection="1">
      <protection locked="0"/>
    </xf>
    <xf numFmtId="0" fontId="6" fillId="0" borderId="6" xfId="7" applyFont="1" applyBorder="1"/>
    <xf numFmtId="0" fontId="5" fillId="0" borderId="38" xfId="0" applyFont="1" applyBorder="1" applyProtection="1">
      <protection locked="0"/>
    </xf>
    <xf numFmtId="10" fontId="5" fillId="0" borderId="11" xfId="0" applyNumberFormat="1" applyFont="1" applyBorder="1" applyProtection="1">
      <protection locked="0"/>
    </xf>
    <xf numFmtId="0" fontId="28" fillId="0" borderId="13" xfId="0" applyFont="1" applyBorder="1" applyProtection="1"/>
    <xf numFmtId="3" fontId="21" fillId="0" borderId="12" xfId="6" applyNumberFormat="1" applyFont="1" applyFill="1" applyBorder="1" applyAlignment="1" applyProtection="1">
      <alignment horizontal="right" vertical="center"/>
    </xf>
    <xf numFmtId="0" fontId="6" fillId="0" borderId="0" xfId="0" applyFont="1" applyFill="1" applyProtection="1">
      <protection locked="0"/>
    </xf>
    <xf numFmtId="0" fontId="6" fillId="0" borderId="8" xfId="0" applyFont="1" applyFill="1" applyBorder="1" applyAlignment="1" applyProtection="1">
      <alignment vertical="center"/>
    </xf>
    <xf numFmtId="3" fontId="21" fillId="0" borderId="8" xfId="0" applyNumberFormat="1" applyFont="1" applyFill="1" applyBorder="1" applyAlignment="1" applyProtection="1">
      <alignment horizontal="right" vertical="center"/>
    </xf>
    <xf numFmtId="0" fontId="5" fillId="0" borderId="38" xfId="0" applyFont="1" applyBorder="1" applyProtection="1"/>
    <xf numFmtId="0" fontId="5" fillId="0" borderId="19" xfId="0" applyFont="1" applyFill="1" applyBorder="1" applyAlignment="1" applyProtection="1">
      <alignment vertical="center"/>
    </xf>
    <xf numFmtId="0" fontId="23" fillId="4" borderId="39" xfId="0" applyFont="1" applyFill="1" applyBorder="1" applyAlignment="1" applyProtection="1">
      <alignment horizontal="right" vertical="center"/>
    </xf>
    <xf numFmtId="0" fontId="29" fillId="16" borderId="0" xfId="2" applyFont="1" applyFill="1"/>
    <xf numFmtId="0" fontId="32" fillId="0" borderId="0" xfId="0" applyFont="1" applyAlignment="1">
      <alignment vertical="center"/>
    </xf>
    <xf numFmtId="10" fontId="25" fillId="0" borderId="7" xfId="5" applyNumberFormat="1" applyFont="1" applyFill="1" applyBorder="1" applyAlignment="1" applyProtection="1">
      <alignment horizontal="center" vertical="center"/>
    </xf>
    <xf numFmtId="10" fontId="25" fillId="0" borderId="0" xfId="5" applyNumberFormat="1" applyFont="1" applyFill="1" applyBorder="1" applyAlignment="1" applyProtection="1">
      <alignment horizontal="center" vertical="center"/>
    </xf>
    <xf numFmtId="0" fontId="21" fillId="11" borderId="0" xfId="5" applyNumberFormat="1" applyFont="1" applyFill="1" applyAlignment="1" applyProtection="1">
      <alignment horizontal="center"/>
      <protection locked="0"/>
    </xf>
    <xf numFmtId="3" fontId="5" fillId="0" borderId="11" xfId="0" applyNumberFormat="1" applyFont="1" applyBorder="1" applyProtection="1">
      <protection locked="0"/>
    </xf>
    <xf numFmtId="3" fontId="28" fillId="0" borderId="11" xfId="0" applyNumberFormat="1" applyFont="1" applyBorder="1" applyProtection="1">
      <protection locked="0"/>
    </xf>
    <xf numFmtId="3" fontId="21" fillId="10" borderId="11" xfId="6" applyNumberFormat="1" applyFont="1" applyFill="1" applyBorder="1" applyAlignment="1" applyProtection="1">
      <alignment horizontal="right" vertical="center"/>
    </xf>
    <xf numFmtId="169" fontId="5" fillId="0" borderId="18" xfId="0" applyNumberFormat="1" applyFont="1" applyBorder="1" applyAlignment="1" applyProtection="1">
      <alignment horizontal="center"/>
    </xf>
    <xf numFmtId="3" fontId="6" fillId="10" borderId="18" xfId="6" applyNumberFormat="1" applyFont="1" applyFill="1" applyBorder="1" applyAlignment="1" applyProtection="1">
      <alignment horizontal="right" vertical="center"/>
    </xf>
    <xf numFmtId="0" fontId="5" fillId="0" borderId="8" xfId="0" applyFont="1" applyFill="1" applyBorder="1" applyProtection="1"/>
    <xf numFmtId="0" fontId="5" fillId="0" borderId="18" xfId="0" applyFont="1" applyFill="1" applyBorder="1" applyProtection="1"/>
    <xf numFmtId="0" fontId="6" fillId="0" borderId="18" xfId="0" applyFont="1" applyFill="1" applyBorder="1" applyAlignment="1" applyProtection="1">
      <alignment wrapText="1"/>
    </xf>
    <xf numFmtId="0" fontId="21" fillId="0" borderId="18" xfId="0" applyFont="1" applyFill="1" applyBorder="1" applyProtection="1"/>
    <xf numFmtId="49" fontId="6" fillId="0" borderId="18" xfId="0" applyNumberFormat="1" applyFont="1" applyFill="1" applyBorder="1" applyAlignment="1" applyProtection="1">
      <alignment horizontal="left" indent="1"/>
    </xf>
    <xf numFmtId="49" fontId="34" fillId="0" borderId="18" xfId="0" applyNumberFormat="1" applyFont="1" applyFill="1" applyBorder="1" applyAlignment="1" applyProtection="1">
      <alignment horizontal="left" indent="2"/>
    </xf>
    <xf numFmtId="49" fontId="21" fillId="0" borderId="18" xfId="0" applyNumberFormat="1" applyFont="1" applyFill="1" applyBorder="1" applyProtection="1"/>
    <xf numFmtId="0" fontId="6" fillId="0" borderId="18" xfId="0" applyFont="1" applyFill="1" applyBorder="1" applyProtection="1"/>
    <xf numFmtId="0" fontId="35" fillId="0" borderId="0" xfId="0" applyFont="1" applyProtection="1"/>
    <xf numFmtId="10" fontId="5" fillId="0" borderId="18" xfId="6" applyNumberFormat="1" applyFont="1" applyBorder="1" applyAlignment="1" applyProtection="1">
      <alignment horizontal="right"/>
    </xf>
    <xf numFmtId="3" fontId="5" fillId="0" borderId="18" xfId="0" applyNumberFormat="1" applyFont="1" applyBorder="1" applyProtection="1">
      <protection locked="0"/>
    </xf>
    <xf numFmtId="0" fontId="5" fillId="0" borderId="18" xfId="0" applyFont="1" applyBorder="1" applyProtection="1">
      <protection locked="0"/>
    </xf>
    <xf numFmtId="3" fontId="27" fillId="0" borderId="18" xfId="0" applyNumberFormat="1" applyFont="1" applyBorder="1" applyProtection="1">
      <protection locked="0"/>
    </xf>
    <xf numFmtId="0" fontId="21" fillId="0" borderId="8" xfId="17" applyFont="1" applyFill="1" applyBorder="1" applyAlignment="1" applyProtection="1">
      <alignment horizontal="right"/>
    </xf>
    <xf numFmtId="1" fontId="21" fillId="0" borderId="18" xfId="17" applyNumberFormat="1" applyFont="1" applyFill="1" applyBorder="1" applyAlignment="1" applyProtection="1">
      <alignment horizontal="right"/>
    </xf>
    <xf numFmtId="1" fontId="21" fillId="0" borderId="12" xfId="17" applyNumberFormat="1" applyFont="1" applyFill="1" applyBorder="1" applyAlignment="1" applyProtection="1">
      <alignment horizontal="right"/>
    </xf>
    <xf numFmtId="0" fontId="21" fillId="0" borderId="6" xfId="0" applyFont="1" applyFill="1" applyBorder="1" applyProtection="1"/>
    <xf numFmtId="0" fontId="6" fillId="0" borderId="10" xfId="0" applyFont="1" applyFill="1" applyBorder="1" applyProtection="1"/>
    <xf numFmtId="0" fontId="21" fillId="0" borderId="13" xfId="0" applyFont="1" applyFill="1" applyBorder="1" applyProtection="1"/>
    <xf numFmtId="0" fontId="5" fillId="0" borderId="0" xfId="0" applyFont="1" applyBorder="1" applyProtection="1"/>
    <xf numFmtId="3" fontId="6" fillId="10" borderId="12" xfId="6" applyNumberFormat="1" applyFont="1" applyFill="1" applyBorder="1" applyAlignment="1" applyProtection="1">
      <alignment horizontal="right" vertical="center"/>
    </xf>
    <xf numFmtId="3" fontId="5" fillId="0" borderId="12" xfId="0" applyNumberFormat="1" applyFont="1" applyBorder="1" applyProtection="1">
      <protection locked="0"/>
    </xf>
    <xf numFmtId="0" fontId="29" fillId="0" borderId="5" xfId="18" applyFont="1" applyBorder="1"/>
    <xf numFmtId="4" fontId="15" fillId="9" borderId="9" xfId="18" applyNumberFormat="1" applyFont="1" applyFill="1" applyBorder="1" applyAlignment="1">
      <alignment horizontal="center"/>
    </xf>
    <xf numFmtId="0" fontId="15" fillId="0" borderId="16" xfId="18" applyFont="1" applyBorder="1" applyAlignment="1">
      <alignment horizontal="right"/>
    </xf>
    <xf numFmtId="4" fontId="15" fillId="0" borderId="57" xfId="18" applyNumberFormat="1" applyFont="1" applyBorder="1" applyAlignment="1">
      <alignment horizontal="center"/>
    </xf>
    <xf numFmtId="0" fontId="29" fillId="0" borderId="3" xfId="18" applyFont="1" applyBorder="1"/>
    <xf numFmtId="0" fontId="29" fillId="0" borderId="4" xfId="18" applyFont="1" applyBorder="1"/>
    <xf numFmtId="0" fontId="29" fillId="0" borderId="5" xfId="18" applyFont="1" applyBorder="1" applyAlignment="1">
      <alignment horizontal="left"/>
    </xf>
    <xf numFmtId="0" fontId="15" fillId="0" borderId="14" xfId="18" applyFont="1" applyBorder="1" applyAlignment="1">
      <alignment horizontal="center" vertical="center" wrapText="1"/>
    </xf>
    <xf numFmtId="0" fontId="15" fillId="0" borderId="37" xfId="18" applyFont="1" applyBorder="1" applyAlignment="1">
      <alignment horizontal="center" vertical="center" wrapText="1"/>
    </xf>
    <xf numFmtId="4" fontId="15" fillId="9" borderId="0" xfId="18" applyNumberFormat="1" applyFont="1" applyFill="1" applyBorder="1" applyAlignment="1">
      <alignment horizontal="center"/>
    </xf>
    <xf numFmtId="4" fontId="15" fillId="9" borderId="7" xfId="18" applyNumberFormat="1" applyFont="1" applyFill="1" applyBorder="1" applyAlignment="1">
      <alignment horizontal="center"/>
    </xf>
    <xf numFmtId="4" fontId="15" fillId="9" borderId="23" xfId="18" applyNumberFormat="1" applyFont="1" applyFill="1" applyBorder="1" applyAlignment="1">
      <alignment horizontal="center"/>
    </xf>
    <xf numFmtId="4" fontId="15" fillId="4" borderId="9" xfId="18" applyNumberFormat="1" applyFont="1" applyFill="1" applyBorder="1" applyAlignment="1">
      <alignment horizontal="center"/>
    </xf>
    <xf numFmtId="4" fontId="15" fillId="4" borderId="49" xfId="18" applyNumberFormat="1" applyFont="1" applyFill="1" applyBorder="1" applyAlignment="1">
      <alignment horizontal="center"/>
    </xf>
    <xf numFmtId="4" fontId="15" fillId="9" borderId="21" xfId="18" applyNumberFormat="1" applyFont="1" applyFill="1" applyBorder="1" applyAlignment="1">
      <alignment horizontal="center"/>
    </xf>
    <xf numFmtId="0" fontId="29" fillId="0" borderId="15" xfId="18" applyFont="1" applyBorder="1" applyAlignment="1">
      <alignment horizontal="right"/>
    </xf>
    <xf numFmtId="4" fontId="15" fillId="0" borderId="58" xfId="18" applyNumberFormat="1" applyFont="1" applyBorder="1" applyAlignment="1">
      <alignment horizontal="center"/>
    </xf>
    <xf numFmtId="4" fontId="15" fillId="0" borderId="59" xfId="18" applyNumberFormat="1" applyFont="1" applyBorder="1" applyAlignment="1">
      <alignment horizontal="center"/>
    </xf>
    <xf numFmtId="0" fontId="15" fillId="0" borderId="9" xfId="18" applyFont="1" applyBorder="1"/>
    <xf numFmtId="4" fontId="15" fillId="9" borderId="37" xfId="18" applyNumberFormat="1" applyFont="1" applyFill="1" applyBorder="1" applyAlignment="1">
      <alignment horizontal="center"/>
    </xf>
    <xf numFmtId="4" fontId="15" fillId="0" borderId="9" xfId="18" applyNumberFormat="1" applyFont="1" applyBorder="1" applyAlignment="1">
      <alignment horizontal="center"/>
    </xf>
    <xf numFmtId="2" fontId="26" fillId="0" borderId="0" xfId="5" applyNumberFormat="1" applyFont="1" applyFill="1" applyAlignment="1" applyProtection="1">
      <alignment horizontal="left"/>
      <protection locked="0"/>
    </xf>
    <xf numFmtId="2" fontId="36" fillId="6" borderId="0" xfId="5" applyNumberFormat="1" applyFont="1" applyFill="1" applyAlignment="1" applyProtection="1">
      <alignment horizontal="left"/>
      <protection locked="0"/>
    </xf>
    <xf numFmtId="169" fontId="5" fillId="6" borderId="0" xfId="0" applyNumberFormat="1" applyFont="1" applyFill="1" applyAlignment="1" applyProtection="1">
      <alignment horizontal="center"/>
    </xf>
    <xf numFmtId="3" fontId="6" fillId="0" borderId="18" xfId="0" applyNumberFormat="1" applyFont="1" applyBorder="1" applyProtection="1">
      <protection locked="0"/>
    </xf>
    <xf numFmtId="49" fontId="6" fillId="0" borderId="10" xfId="0" applyNumberFormat="1" applyFont="1" applyFill="1" applyBorder="1" applyAlignment="1" applyProtection="1">
      <alignment horizontal="left" indent="1"/>
    </xf>
    <xf numFmtId="3" fontId="6" fillId="0" borderId="18" xfId="6" applyNumberFormat="1" applyFont="1" applyFill="1" applyBorder="1" applyAlignment="1" applyProtection="1">
      <alignment horizontal="right" vertical="center"/>
    </xf>
    <xf numFmtId="3" fontId="5" fillId="0" borderId="0" xfId="0" applyNumberFormat="1" applyFont="1" applyProtection="1">
      <protection locked="0"/>
    </xf>
    <xf numFmtId="0" fontId="29" fillId="16" borderId="0" xfId="16" applyFont="1" applyFill="1"/>
    <xf numFmtId="10" fontId="15" fillId="4" borderId="18" xfId="3" applyNumberFormat="1" applyFont="1" applyFill="1" applyBorder="1"/>
    <xf numFmtId="10" fontId="15" fillId="4" borderId="0" xfId="3" applyNumberFormat="1" applyFont="1" applyFill="1" applyBorder="1"/>
    <xf numFmtId="0" fontId="37" fillId="16" borderId="0" xfId="1" applyFont="1" applyFill="1"/>
    <xf numFmtId="0" fontId="15" fillId="16" borderId="0" xfId="1" applyFont="1" applyFill="1" applyBorder="1"/>
    <xf numFmtId="0" fontId="15" fillId="4" borderId="17" xfId="1" applyFont="1" applyFill="1" applyBorder="1"/>
    <xf numFmtId="0" fontId="3" fillId="0" borderId="0" xfId="0" applyFont="1"/>
    <xf numFmtId="0" fontId="15" fillId="0" borderId="16" xfId="18" applyFont="1" applyBorder="1" applyAlignment="1"/>
    <xf numFmtId="0" fontId="15" fillId="0" borderId="4" xfId="18" applyFont="1" applyBorder="1" applyAlignment="1"/>
    <xf numFmtId="0" fontId="15" fillId="9" borderId="2" xfId="18" applyFont="1" applyFill="1" applyBorder="1" applyAlignment="1">
      <alignment horizontal="center"/>
    </xf>
    <xf numFmtId="0" fontId="15" fillId="0" borderId="0" xfId="18" applyFont="1" applyBorder="1" applyAlignment="1"/>
    <xf numFmtId="0" fontId="15" fillId="9" borderId="0" xfId="18" applyFont="1" applyFill="1" applyBorder="1" applyAlignment="1"/>
    <xf numFmtId="3" fontId="6" fillId="0" borderId="8" xfId="6" applyNumberFormat="1" applyFont="1" applyFill="1" applyBorder="1" applyAlignment="1" applyProtection="1">
      <alignment horizontal="right" vertical="center"/>
    </xf>
    <xf numFmtId="0" fontId="5" fillId="0" borderId="39" xfId="0" applyFont="1" applyFill="1" applyBorder="1" applyAlignment="1" applyProtection="1">
      <alignment vertical="center"/>
    </xf>
    <xf numFmtId="0" fontId="5" fillId="0" borderId="23" xfId="0" applyFont="1" applyFill="1" applyBorder="1" applyAlignment="1" applyProtection="1">
      <alignment vertical="center"/>
    </xf>
    <xf numFmtId="0" fontId="6" fillId="4" borderId="39" xfId="0" applyFont="1" applyFill="1" applyBorder="1" applyAlignment="1" applyProtection="1">
      <alignment vertical="center"/>
    </xf>
    <xf numFmtId="0" fontId="21" fillId="0" borderId="39" xfId="0" applyFont="1" applyBorder="1" applyAlignment="1" applyProtection="1">
      <alignment vertical="center"/>
    </xf>
    <xf numFmtId="0" fontId="6" fillId="0" borderId="38" xfId="0" applyFont="1" applyFill="1" applyBorder="1" applyAlignment="1" applyProtection="1">
      <alignment vertical="center"/>
    </xf>
    <xf numFmtId="0" fontId="6" fillId="0" borderId="6" xfId="0" applyFont="1" applyFill="1" applyBorder="1" applyAlignment="1" applyProtection="1">
      <alignment vertical="center"/>
    </xf>
    <xf numFmtId="0" fontId="6" fillId="0" borderId="38" xfId="0" applyFont="1" applyBorder="1" applyAlignment="1" applyProtection="1">
      <alignment vertical="center"/>
    </xf>
    <xf numFmtId="0" fontId="6" fillId="4" borderId="38" xfId="0" applyFont="1" applyFill="1" applyBorder="1" applyAlignment="1" applyProtection="1">
      <alignment vertical="center"/>
    </xf>
    <xf numFmtId="0" fontId="21" fillId="0" borderId="10" xfId="0" applyFont="1" applyFill="1" applyBorder="1" applyAlignment="1" applyProtection="1"/>
    <xf numFmtId="0" fontId="5" fillId="0" borderId="6" xfId="0" applyFont="1" applyFill="1" applyBorder="1" applyProtection="1"/>
    <xf numFmtId="0" fontId="5" fillId="0" borderId="10" xfId="0" applyFont="1" applyFill="1" applyBorder="1" applyProtection="1"/>
    <xf numFmtId="0" fontId="6" fillId="0" borderId="10" xfId="0" applyFont="1" applyFill="1" applyBorder="1" applyAlignment="1" applyProtection="1">
      <alignment wrapText="1"/>
    </xf>
    <xf numFmtId="0" fontId="21" fillId="0" borderId="10" xfId="0" applyFont="1" applyFill="1" applyBorder="1" applyProtection="1"/>
    <xf numFmtId="0" fontId="5" fillId="0" borderId="23" xfId="0" applyFont="1" applyBorder="1" applyProtection="1"/>
    <xf numFmtId="0" fontId="5" fillId="0" borderId="21" xfId="0" applyFont="1" applyBorder="1" applyProtection="1"/>
    <xf numFmtId="0" fontId="6" fillId="0" borderId="6" xfId="0" applyFont="1" applyFill="1" applyBorder="1" applyProtection="1"/>
    <xf numFmtId="0" fontId="5" fillId="0" borderId="8" xfId="0" applyFont="1" applyBorder="1" applyProtection="1">
      <protection locked="0"/>
    </xf>
    <xf numFmtId="0" fontId="5" fillId="0" borderId="22" xfId="0" applyFont="1" applyBorder="1" applyProtection="1"/>
    <xf numFmtId="3" fontId="21" fillId="18" borderId="11" xfId="6" applyNumberFormat="1" applyFont="1" applyFill="1" applyBorder="1" applyAlignment="1" applyProtection="1">
      <alignment horizontal="right" vertical="center"/>
      <protection hidden="1"/>
    </xf>
    <xf numFmtId="0" fontId="37" fillId="16" borderId="0" xfId="0" applyFont="1" applyFill="1"/>
    <xf numFmtId="0" fontId="15" fillId="0" borderId="0" xfId="1" applyFont="1" applyFill="1"/>
    <xf numFmtId="0" fontId="29" fillId="16" borderId="0" xfId="0" applyFont="1" applyFill="1"/>
    <xf numFmtId="0" fontId="15" fillId="17" borderId="0" xfId="1" applyFont="1" applyFill="1"/>
    <xf numFmtId="0" fontId="29" fillId="6" borderId="30" xfId="1" applyFont="1" applyFill="1" applyBorder="1" applyAlignment="1">
      <alignment horizontal="center" wrapText="1"/>
    </xf>
    <xf numFmtId="0" fontId="15" fillId="6" borderId="0" xfId="1" applyFont="1" applyFill="1" applyBorder="1"/>
    <xf numFmtId="0" fontId="15" fillId="17" borderId="0" xfId="1" applyFont="1" applyFill="1" applyBorder="1"/>
    <xf numFmtId="0" fontId="15" fillId="0" borderId="41" xfId="1" applyFont="1" applyFill="1" applyBorder="1"/>
    <xf numFmtId="0" fontId="15" fillId="0" borderId="42" xfId="1" applyFont="1" applyFill="1" applyBorder="1"/>
    <xf numFmtId="0" fontId="15" fillId="0" borderId="41" xfId="1" applyFont="1" applyFill="1" applyBorder="1" applyAlignment="1">
      <alignment horizontal="center" wrapText="1"/>
    </xf>
    <xf numFmtId="0" fontId="15" fillId="15" borderId="31" xfId="1" applyFont="1" applyFill="1" applyBorder="1"/>
    <xf numFmtId="0" fontId="15" fillId="15" borderId="2" xfId="1" applyFont="1" applyFill="1" applyBorder="1"/>
    <xf numFmtId="168" fontId="15" fillId="15" borderId="31" xfId="15" applyNumberFormat="1" applyFont="1" applyFill="1" applyBorder="1"/>
    <xf numFmtId="0" fontId="15" fillId="15" borderId="32" xfId="1" applyFont="1" applyFill="1" applyBorder="1"/>
    <xf numFmtId="0" fontId="15" fillId="15" borderId="15" xfId="1" applyFont="1" applyFill="1" applyBorder="1"/>
    <xf numFmtId="0" fontId="15" fillId="0" borderId="0" xfId="1" applyFont="1" applyFill="1" applyBorder="1"/>
    <xf numFmtId="0" fontId="15" fillId="4" borderId="0" xfId="16" applyFont="1" applyFill="1" applyBorder="1"/>
    <xf numFmtId="0" fontId="15" fillId="16" borderId="0" xfId="1" applyFont="1" applyFill="1"/>
    <xf numFmtId="0" fontId="5" fillId="0" borderId="10" xfId="0" applyFont="1" applyBorder="1" applyProtection="1">
      <protection locked="0"/>
    </xf>
    <xf numFmtId="0" fontId="5" fillId="0" borderId="0" xfId="0" applyFont="1" applyBorder="1" applyProtection="1">
      <protection locked="0"/>
    </xf>
    <xf numFmtId="3" fontId="6" fillId="0" borderId="13" xfId="8" applyFont="1" applyFill="1" applyBorder="1" applyProtection="1">
      <alignment horizontal="right"/>
      <protection locked="0"/>
    </xf>
    <xf numFmtId="3" fontId="6" fillId="0" borderId="22" xfId="8" applyFont="1" applyFill="1" applyBorder="1" applyProtection="1">
      <alignment horizontal="right"/>
      <protection locked="0"/>
    </xf>
    <xf numFmtId="0" fontId="6" fillId="0" borderId="0" xfId="0" applyFont="1" applyBorder="1" applyProtection="1">
      <protection locked="0"/>
    </xf>
    <xf numFmtId="170" fontId="6" fillId="0" borderId="0" xfId="0" applyNumberFormat="1" applyFont="1" applyBorder="1" applyProtection="1">
      <protection locked="0"/>
    </xf>
    <xf numFmtId="0" fontId="15" fillId="0" borderId="6" xfId="16" applyFont="1" applyFill="1" applyBorder="1" applyAlignment="1">
      <alignment horizontal="center"/>
    </xf>
    <xf numFmtId="0" fontId="15" fillId="0" borderId="10" xfId="16" applyFont="1" applyFill="1" applyBorder="1" applyAlignment="1">
      <alignment horizontal="center"/>
    </xf>
    <xf numFmtId="0" fontId="35" fillId="0" borderId="0" xfId="0" applyFont="1" applyBorder="1" applyProtection="1"/>
    <xf numFmtId="0" fontId="6" fillId="0" borderId="0" xfId="0" applyFont="1" applyBorder="1" applyProtection="1"/>
    <xf numFmtId="10" fontId="5" fillId="0" borderId="8" xfId="0" applyNumberFormat="1" applyFont="1" applyBorder="1" applyAlignment="1" applyProtection="1">
      <alignment horizontal="center"/>
      <protection locked="0"/>
    </xf>
    <xf numFmtId="10" fontId="6" fillId="0" borderId="18" xfId="6" applyNumberFormat="1" applyFont="1" applyFill="1" applyBorder="1" applyAlignment="1" applyProtection="1">
      <alignment horizontal="center"/>
      <protection locked="0"/>
    </xf>
    <xf numFmtId="10" fontId="6" fillId="0" borderId="12" xfId="6" applyNumberFormat="1" applyFont="1" applyFill="1" applyBorder="1" applyAlignment="1" applyProtection="1">
      <alignment horizontal="center"/>
      <protection locked="0"/>
    </xf>
    <xf numFmtId="0" fontId="5" fillId="0" borderId="21" xfId="0" applyFont="1" applyBorder="1" applyAlignment="1" applyProtection="1">
      <alignment horizontal="center"/>
      <protection locked="0"/>
    </xf>
    <xf numFmtId="10" fontId="6" fillId="0" borderId="11" xfId="6" applyNumberFormat="1" applyFont="1" applyFill="1" applyBorder="1" applyAlignment="1" applyProtection="1">
      <alignment horizontal="center"/>
      <protection locked="0"/>
    </xf>
    <xf numFmtId="0" fontId="29" fillId="4" borderId="3" xfId="2" applyFont="1" applyFill="1" applyBorder="1"/>
    <xf numFmtId="0" fontId="15" fillId="4" borderId="5" xfId="2" applyFont="1" applyFill="1" applyBorder="1"/>
    <xf numFmtId="0" fontId="15" fillId="4" borderId="2" xfId="2" applyFont="1" applyFill="1" applyBorder="1"/>
    <xf numFmtId="0" fontId="15" fillId="4" borderId="9" xfId="2" applyFont="1" applyFill="1" applyBorder="1"/>
    <xf numFmtId="0" fontId="15" fillId="4" borderId="15" xfId="2" applyFont="1" applyFill="1" applyBorder="1"/>
    <xf numFmtId="0" fontId="15" fillId="4" borderId="17" xfId="2" applyFont="1" applyFill="1" applyBorder="1"/>
    <xf numFmtId="0" fontId="15" fillId="4" borderId="4" xfId="2" applyFont="1" applyFill="1" applyBorder="1"/>
    <xf numFmtId="0" fontId="15" fillId="4" borderId="0" xfId="2" applyFont="1" applyFill="1" applyBorder="1"/>
    <xf numFmtId="168" fontId="15" fillId="4" borderId="8" xfId="15" applyNumberFormat="1" applyFont="1" applyFill="1" applyBorder="1"/>
    <xf numFmtId="168" fontId="15" fillId="4" borderId="18" xfId="15" applyNumberFormat="1" applyFont="1" applyFill="1" applyBorder="1"/>
    <xf numFmtId="0" fontId="15" fillId="4" borderId="16" xfId="2" applyFont="1" applyFill="1" applyBorder="1"/>
    <xf numFmtId="0" fontId="15" fillId="0" borderId="0" xfId="18" applyFont="1"/>
    <xf numFmtId="0" fontId="29" fillId="16" borderId="0" xfId="1" applyFont="1" applyFill="1"/>
    <xf numFmtId="0" fontId="15" fillId="0" borderId="0" xfId="18" applyFont="1" applyAlignment="1">
      <alignment vertical="top"/>
    </xf>
    <xf numFmtId="0" fontId="29" fillId="7" borderId="0" xfId="1" applyFont="1" applyFill="1"/>
    <xf numFmtId="0" fontId="15" fillId="7" borderId="0" xfId="1" applyFont="1" applyFill="1"/>
    <xf numFmtId="0" fontId="29" fillId="6" borderId="0" xfId="1" applyFont="1" applyFill="1"/>
    <xf numFmtId="0" fontId="15" fillId="6" borderId="0" xfId="1" applyFont="1" applyFill="1"/>
    <xf numFmtId="0" fontId="15" fillId="4" borderId="41" xfId="1" applyFont="1" applyFill="1" applyBorder="1"/>
    <xf numFmtId="0" fontId="15" fillId="4" borderId="43" xfId="1" applyFont="1" applyFill="1" applyBorder="1" applyAlignment="1">
      <alignment horizontal="center" wrapText="1"/>
    </xf>
    <xf numFmtId="0" fontId="15" fillId="4" borderId="28" xfId="1" applyFont="1" applyFill="1" applyBorder="1" applyAlignment="1">
      <alignment horizontal="center" wrapText="1"/>
    </xf>
    <xf numFmtId="0" fontId="15" fillId="4" borderId="44" xfId="1" applyFont="1" applyFill="1" applyBorder="1" applyAlignment="1">
      <alignment horizontal="center" wrapText="1"/>
    </xf>
    <xf numFmtId="0" fontId="15" fillId="4" borderId="45" xfId="1" applyFont="1" applyFill="1" applyBorder="1" applyAlignment="1">
      <alignment horizontal="center" wrapText="1"/>
    </xf>
    <xf numFmtId="0" fontId="15" fillId="9" borderId="31" xfId="1" applyFont="1" applyFill="1" applyBorder="1"/>
    <xf numFmtId="173" fontId="15" fillId="9" borderId="47" xfId="15" applyNumberFormat="1" applyFont="1" applyFill="1" applyBorder="1"/>
    <xf numFmtId="173" fontId="15" fillId="9" borderId="8" xfId="15" applyNumberFormat="1" applyFont="1" applyFill="1" applyBorder="1"/>
    <xf numFmtId="172" fontId="15" fillId="9" borderId="8" xfId="15" applyFont="1" applyFill="1" applyBorder="1"/>
    <xf numFmtId="172" fontId="15" fillId="9" borderId="48" xfId="15" applyFont="1" applyFill="1" applyBorder="1"/>
    <xf numFmtId="168" fontId="15" fillId="9" borderId="47" xfId="15" applyNumberFormat="1" applyFont="1" applyFill="1" applyBorder="1"/>
    <xf numFmtId="168" fontId="15" fillId="9" borderId="8" xfId="15" applyNumberFormat="1" applyFont="1" applyFill="1" applyBorder="1"/>
    <xf numFmtId="168" fontId="15" fillId="9" borderId="48" xfId="15" applyNumberFormat="1" applyFont="1" applyFill="1" applyBorder="1"/>
    <xf numFmtId="168" fontId="15" fillId="4" borderId="6" xfId="15" applyNumberFormat="1" applyFont="1" applyFill="1" applyBorder="1"/>
    <xf numFmtId="168" fontId="15" fillId="4" borderId="48" xfId="1" applyNumberFormat="1" applyFont="1" applyFill="1" applyBorder="1"/>
    <xf numFmtId="0" fontId="3" fillId="16" borderId="0" xfId="0" applyFont="1" applyFill="1"/>
    <xf numFmtId="174" fontId="15" fillId="9" borderId="2" xfId="15" applyNumberFormat="1" applyFont="1" applyFill="1" applyBorder="1"/>
    <xf numFmtId="174" fontId="15" fillId="9" borderId="18" xfId="15" applyNumberFormat="1" applyFont="1" applyFill="1" applyBorder="1"/>
    <xf numFmtId="174" fontId="15" fillId="9" borderId="49" xfId="15" applyNumberFormat="1" applyFont="1" applyFill="1" applyBorder="1"/>
    <xf numFmtId="168" fontId="15" fillId="9" borderId="26" xfId="15" applyNumberFormat="1" applyFont="1" applyFill="1" applyBorder="1"/>
    <xf numFmtId="168" fontId="15" fillId="9" borderId="18" xfId="15" applyNumberFormat="1" applyFont="1" applyFill="1" applyBorder="1"/>
    <xf numFmtId="168" fontId="15" fillId="9" borderId="49" xfId="15" applyNumberFormat="1" applyFont="1" applyFill="1" applyBorder="1"/>
    <xf numFmtId="168" fontId="15" fillId="4" borderId="26" xfId="15" applyNumberFormat="1" applyFont="1" applyFill="1" applyBorder="1"/>
    <xf numFmtId="168" fontId="15" fillId="4" borderId="10" xfId="15" applyNumberFormat="1" applyFont="1" applyFill="1" applyBorder="1"/>
    <xf numFmtId="168" fontId="15" fillId="4" borderId="49" xfId="1" applyNumberFormat="1" applyFont="1" applyFill="1" applyBorder="1"/>
    <xf numFmtId="172" fontId="15" fillId="9" borderId="26" xfId="15" applyFont="1" applyFill="1" applyBorder="1"/>
    <xf numFmtId="173" fontId="15" fillId="9" borderId="18" xfId="15" applyNumberFormat="1" applyFont="1" applyFill="1" applyBorder="1"/>
    <xf numFmtId="172" fontId="15" fillId="9" borderId="18" xfId="15" applyNumberFormat="1" applyFont="1" applyFill="1" applyBorder="1"/>
    <xf numFmtId="172" fontId="15" fillId="9" borderId="49" xfId="15" applyNumberFormat="1" applyFont="1" applyFill="1" applyBorder="1"/>
    <xf numFmtId="0" fontId="15" fillId="9" borderId="32" xfId="1" applyFont="1" applyFill="1" applyBorder="1"/>
    <xf numFmtId="172" fontId="15" fillId="9" borderId="27" xfId="15" applyFont="1" applyFill="1" applyBorder="1"/>
    <xf numFmtId="173" fontId="15" fillId="9" borderId="25" xfId="15" applyNumberFormat="1" applyFont="1" applyFill="1" applyBorder="1"/>
    <xf numFmtId="172" fontId="15" fillId="9" borderId="25" xfId="15" applyNumberFormat="1" applyFont="1" applyFill="1" applyBorder="1"/>
    <xf numFmtId="172" fontId="15" fillId="9" borderId="51" xfId="15" applyNumberFormat="1" applyFont="1" applyFill="1" applyBorder="1"/>
    <xf numFmtId="168" fontId="15" fillId="9" borderId="27" xfId="15" applyNumberFormat="1" applyFont="1" applyFill="1" applyBorder="1"/>
    <xf numFmtId="168" fontId="15" fillId="9" borderId="25" xfId="15" applyNumberFormat="1" applyFont="1" applyFill="1" applyBorder="1"/>
    <xf numFmtId="168" fontId="15" fillId="9" borderId="51" xfId="15" applyNumberFormat="1" applyFont="1" applyFill="1" applyBorder="1"/>
    <xf numFmtId="168" fontId="15" fillId="4" borderId="27" xfId="15" applyNumberFormat="1" applyFont="1" applyFill="1" applyBorder="1"/>
    <xf numFmtId="168" fontId="15" fillId="4" borderId="25" xfId="15" applyNumberFormat="1" applyFont="1" applyFill="1" applyBorder="1"/>
    <xf numFmtId="168" fontId="15" fillId="4" borderId="56" xfId="15" applyNumberFormat="1" applyFont="1" applyFill="1" applyBorder="1"/>
    <xf numFmtId="168" fontId="15" fillId="4" borderId="51" xfId="1" applyNumberFormat="1" applyFont="1" applyFill="1" applyBorder="1"/>
    <xf numFmtId="0" fontId="15" fillId="16" borderId="18" xfId="1" applyFont="1" applyFill="1" applyBorder="1"/>
    <xf numFmtId="168" fontId="15" fillId="4" borderId="53" xfId="1" applyNumberFormat="1" applyFont="1" applyFill="1" applyBorder="1"/>
    <xf numFmtId="168" fontId="15" fillId="4" borderId="53" xfId="15" applyNumberFormat="1" applyFont="1" applyFill="1" applyBorder="1"/>
    <xf numFmtId="0" fontId="3" fillId="16" borderId="2" xfId="0" applyFont="1" applyFill="1" applyBorder="1"/>
    <xf numFmtId="174" fontId="15" fillId="9" borderId="9" xfId="15" applyNumberFormat="1" applyFont="1" applyFill="1" applyBorder="1"/>
    <xf numFmtId="168" fontId="15" fillId="9" borderId="2" xfId="15" applyNumberFormat="1" applyFont="1" applyFill="1" applyBorder="1"/>
    <xf numFmtId="168" fontId="15" fillId="9" borderId="9" xfId="15" applyNumberFormat="1" applyFont="1" applyFill="1" applyBorder="1"/>
    <xf numFmtId="0" fontId="15" fillId="16" borderId="42" xfId="1" applyFont="1" applyFill="1" applyBorder="1"/>
    <xf numFmtId="0" fontId="15" fillId="16" borderId="31" xfId="1" applyFont="1" applyFill="1" applyBorder="1"/>
    <xf numFmtId="173" fontId="3" fillId="9" borderId="23" xfId="15" applyNumberFormat="1" applyFont="1" applyFill="1" applyBorder="1"/>
    <xf numFmtId="173" fontId="3" fillId="9" borderId="8" xfId="15" applyNumberFormat="1" applyFont="1" applyFill="1" applyBorder="1"/>
    <xf numFmtId="173" fontId="3" fillId="9" borderId="48" xfId="15" applyNumberFormat="1" applyFont="1" applyFill="1" applyBorder="1"/>
    <xf numFmtId="168" fontId="15" fillId="4" borderId="47" xfId="15" applyNumberFormat="1" applyFont="1" applyFill="1" applyBorder="1"/>
    <xf numFmtId="0" fontId="15" fillId="16" borderId="2" xfId="1" applyFont="1" applyFill="1" applyBorder="1"/>
    <xf numFmtId="173" fontId="15" fillId="9" borderId="26" xfId="15" applyNumberFormat="1" applyFont="1" applyFill="1" applyBorder="1"/>
    <xf numFmtId="173" fontId="3" fillId="9" borderId="21" xfId="15" applyNumberFormat="1" applyFont="1" applyFill="1" applyBorder="1"/>
    <xf numFmtId="173" fontId="3" fillId="9" borderId="18" xfId="15" applyNumberFormat="1" applyFont="1" applyFill="1" applyBorder="1"/>
    <xf numFmtId="173" fontId="3" fillId="9" borderId="49" xfId="15" applyNumberFormat="1" applyFont="1" applyFill="1" applyBorder="1"/>
    <xf numFmtId="0" fontId="15" fillId="16" borderId="15" xfId="1" applyFont="1" applyFill="1" applyBorder="1"/>
    <xf numFmtId="173" fontId="15" fillId="9" borderId="27" xfId="15" applyNumberFormat="1" applyFont="1" applyFill="1" applyBorder="1"/>
    <xf numFmtId="173" fontId="3" fillId="9" borderId="50" xfId="15" applyNumberFormat="1" applyFont="1" applyFill="1" applyBorder="1"/>
    <xf numFmtId="173" fontId="3" fillId="9" borderId="25" xfId="15" applyNumberFormat="1" applyFont="1" applyFill="1" applyBorder="1"/>
    <xf numFmtId="173" fontId="3" fillId="9" borderId="51" xfId="15" applyNumberFormat="1" applyFont="1" applyFill="1" applyBorder="1"/>
    <xf numFmtId="174" fontId="3" fillId="9" borderId="26" xfId="15" applyNumberFormat="1" applyFont="1" applyFill="1" applyBorder="1"/>
    <xf numFmtId="174" fontId="3" fillId="9" borderId="18" xfId="15" applyNumberFormat="1" applyFont="1" applyFill="1" applyBorder="1"/>
    <xf numFmtId="174" fontId="3" fillId="9" borderId="49" xfId="15" applyNumberFormat="1" applyFont="1" applyFill="1" applyBorder="1"/>
    <xf numFmtId="173" fontId="3" fillId="9" borderId="47" xfId="15" applyNumberFormat="1" applyFont="1" applyFill="1" applyBorder="1"/>
    <xf numFmtId="168" fontId="3" fillId="4" borderId="47" xfId="15" applyNumberFormat="1" applyFont="1" applyFill="1" applyBorder="1"/>
    <xf numFmtId="168" fontId="3" fillId="4" borderId="8" xfId="15" applyNumberFormat="1" applyFont="1" applyFill="1" applyBorder="1"/>
    <xf numFmtId="168" fontId="3" fillId="4" borderId="6" xfId="15" applyNumberFormat="1" applyFont="1" applyFill="1" applyBorder="1"/>
    <xf numFmtId="168" fontId="3" fillId="4" borderId="26" xfId="15" applyNumberFormat="1" applyFont="1" applyFill="1" applyBorder="1"/>
    <xf numFmtId="168" fontId="3" fillId="4" borderId="18" xfId="15" applyNumberFormat="1" applyFont="1" applyFill="1" applyBorder="1"/>
    <xf numFmtId="168" fontId="3" fillId="4" borderId="10" xfId="15" applyNumberFormat="1" applyFont="1" applyFill="1" applyBorder="1"/>
    <xf numFmtId="173" fontId="3" fillId="9" borderId="26" xfId="15" applyNumberFormat="1" applyFont="1" applyFill="1" applyBorder="1"/>
    <xf numFmtId="168" fontId="3" fillId="9" borderId="26" xfId="15" applyNumberFormat="1" applyFont="1" applyFill="1" applyBorder="1"/>
    <xf numFmtId="168" fontId="3" fillId="9" borderId="18" xfId="15" applyNumberFormat="1" applyFont="1" applyFill="1" applyBorder="1"/>
    <xf numFmtId="168" fontId="3" fillId="9" borderId="49" xfId="15" applyNumberFormat="1" applyFont="1" applyFill="1" applyBorder="1"/>
    <xf numFmtId="173" fontId="3" fillId="9" borderId="27" xfId="15" applyNumberFormat="1" applyFont="1" applyFill="1" applyBorder="1"/>
    <xf numFmtId="168" fontId="3" fillId="9" borderId="27" xfId="15" applyNumberFormat="1" applyFont="1" applyFill="1" applyBorder="1"/>
    <xf numFmtId="168" fontId="3" fillId="9" borderId="25" xfId="15" applyNumberFormat="1" applyFont="1" applyFill="1" applyBorder="1"/>
    <xf numFmtId="168" fontId="3" fillId="9" borderId="51" xfId="15" applyNumberFormat="1" applyFont="1" applyFill="1" applyBorder="1"/>
    <xf numFmtId="168" fontId="3" fillId="4" borderId="27" xfId="15" applyNumberFormat="1" applyFont="1" applyFill="1" applyBorder="1"/>
    <xf numFmtId="168" fontId="3" fillId="4" borderId="25" xfId="15" applyNumberFormat="1" applyFont="1" applyFill="1" applyBorder="1"/>
    <xf numFmtId="168" fontId="3" fillId="4" borderId="56" xfId="15" applyNumberFormat="1" applyFont="1" applyFill="1" applyBorder="1"/>
    <xf numFmtId="168" fontId="3" fillId="4" borderId="53" xfId="15" applyNumberFormat="1" applyFont="1" applyFill="1" applyBorder="1"/>
    <xf numFmtId="10" fontId="3" fillId="16" borderId="0" xfId="3" applyNumberFormat="1" applyFont="1" applyFill="1"/>
    <xf numFmtId="174" fontId="15" fillId="9" borderId="26" xfId="15" applyNumberFormat="1" applyFont="1" applyFill="1" applyBorder="1"/>
    <xf numFmtId="173" fontId="15" fillId="9" borderId="48" xfId="15" applyNumberFormat="1" applyFont="1" applyFill="1" applyBorder="1"/>
    <xf numFmtId="173" fontId="15" fillId="9" borderId="49" xfId="15" applyNumberFormat="1" applyFont="1" applyFill="1" applyBorder="1"/>
    <xf numFmtId="173" fontId="15" fillId="9" borderId="51" xfId="15" applyNumberFormat="1" applyFont="1" applyFill="1" applyBorder="1"/>
    <xf numFmtId="168" fontId="15" fillId="16" borderId="0" xfId="1" applyNumberFormat="1" applyFont="1" applyFill="1"/>
    <xf numFmtId="0" fontId="37" fillId="16" borderId="0" xfId="16" applyFont="1" applyFill="1"/>
    <xf numFmtId="0" fontId="15" fillId="7" borderId="0" xfId="16" applyFont="1" applyFill="1"/>
    <xf numFmtId="0" fontId="15" fillId="16" borderId="0" xfId="16" applyFont="1" applyFill="1"/>
    <xf numFmtId="0" fontId="15" fillId="4" borderId="3" xfId="16" applyFont="1" applyFill="1" applyBorder="1"/>
    <xf numFmtId="0" fontId="15" fillId="4" borderId="4" xfId="16" applyFont="1" applyFill="1" applyBorder="1"/>
    <xf numFmtId="0" fontId="15" fillId="4" borderId="5" xfId="16" applyFont="1" applyFill="1" applyBorder="1"/>
    <xf numFmtId="0" fontId="29" fillId="4" borderId="2" xfId="16" applyFont="1" applyFill="1" applyBorder="1"/>
    <xf numFmtId="0" fontId="15" fillId="4" borderId="9" xfId="16" applyFont="1" applyFill="1" applyBorder="1"/>
    <xf numFmtId="0" fontId="15" fillId="4" borderId="2" xfId="16" applyFont="1" applyFill="1" applyBorder="1"/>
    <xf numFmtId="10" fontId="15" fillId="4" borderId="8" xfId="3" applyNumberFormat="1" applyFont="1" applyFill="1" applyBorder="1"/>
    <xf numFmtId="0" fontId="42" fillId="4" borderId="2" xfId="16" applyFont="1" applyFill="1" applyBorder="1"/>
    <xf numFmtId="10" fontId="15" fillId="4" borderId="11" xfId="16" applyNumberFormat="1" applyFont="1" applyFill="1" applyBorder="1"/>
    <xf numFmtId="0" fontId="15" fillId="4" borderId="15" xfId="16" applyFont="1" applyFill="1" applyBorder="1"/>
    <xf numFmtId="0" fontId="15" fillId="4" borderId="16" xfId="16" applyFont="1" applyFill="1" applyBorder="1"/>
    <xf numFmtId="0" fontId="15" fillId="4" borderId="17" xfId="16" applyFont="1" applyFill="1" applyBorder="1"/>
    <xf numFmtId="0" fontId="15" fillId="16" borderId="0" xfId="16" applyFont="1" applyFill="1" applyBorder="1"/>
    <xf numFmtId="0" fontId="15" fillId="7" borderId="54" xfId="16" applyFont="1" applyFill="1" applyBorder="1"/>
    <xf numFmtId="0" fontId="15" fillId="4" borderId="8" xfId="16" applyFont="1" applyFill="1" applyBorder="1" applyAlignment="1">
      <alignment horizontal="center"/>
    </xf>
    <xf numFmtId="0" fontId="38" fillId="4" borderId="9" xfId="16" applyFont="1" applyFill="1" applyBorder="1"/>
    <xf numFmtId="0" fontId="31" fillId="9" borderId="2" xfId="16" applyFont="1" applyFill="1" applyBorder="1"/>
    <xf numFmtId="168" fontId="15" fillId="4" borderId="8" xfId="16" applyNumberFormat="1" applyFont="1" applyFill="1" applyBorder="1"/>
    <xf numFmtId="0" fontId="31" fillId="9" borderId="26" xfId="16" applyFont="1" applyFill="1" applyBorder="1"/>
    <xf numFmtId="168" fontId="15" fillId="4" borderId="18" xfId="16" applyNumberFormat="1" applyFont="1" applyFill="1" applyBorder="1"/>
    <xf numFmtId="0" fontId="15" fillId="9" borderId="26" xfId="16" applyFont="1" applyFill="1" applyBorder="1"/>
    <xf numFmtId="0" fontId="15" fillId="9" borderId="27" xfId="16" applyFont="1" applyFill="1" applyBorder="1"/>
    <xf numFmtId="168" fontId="15" fillId="4" borderId="25" xfId="16" applyNumberFormat="1" applyFont="1" applyFill="1" applyBorder="1"/>
    <xf numFmtId="10" fontId="15" fillId="4" borderId="25" xfId="3" applyNumberFormat="1" applyFont="1" applyFill="1" applyBorder="1"/>
    <xf numFmtId="0" fontId="38" fillId="4" borderId="51" xfId="16" applyFont="1" applyFill="1" applyBorder="1"/>
    <xf numFmtId="0" fontId="42" fillId="4" borderId="24" xfId="16" applyFont="1" applyFill="1" applyBorder="1"/>
    <xf numFmtId="168" fontId="42" fillId="4" borderId="55" xfId="16" applyNumberFormat="1" applyFont="1" applyFill="1" applyBorder="1" applyAlignment="1">
      <alignment horizontal="right"/>
    </xf>
    <xf numFmtId="168" fontId="42" fillId="4" borderId="24" xfId="16" applyNumberFormat="1" applyFont="1" applyFill="1" applyBorder="1" applyAlignment="1">
      <alignment horizontal="right"/>
    </xf>
    <xf numFmtId="0" fontId="29" fillId="4" borderId="12" xfId="16" applyFont="1" applyFill="1" applyBorder="1"/>
    <xf numFmtId="168" fontId="42" fillId="4" borderId="12" xfId="16" applyNumberFormat="1" applyFont="1" applyFill="1" applyBorder="1" applyAlignment="1">
      <alignment horizontal="right"/>
    </xf>
    <xf numFmtId="168" fontId="29" fillId="16" borderId="0" xfId="16" applyNumberFormat="1" applyFont="1" applyFill="1"/>
    <xf numFmtId="0" fontId="29" fillId="7" borderId="0" xfId="16" applyFont="1" applyFill="1"/>
    <xf numFmtId="172" fontId="15" fillId="16" borderId="0" xfId="16" applyNumberFormat="1" applyFont="1" applyFill="1"/>
    <xf numFmtId="0" fontId="15" fillId="4" borderId="40" xfId="1" applyFont="1" applyFill="1" applyBorder="1" applyAlignment="1">
      <alignment horizontal="center" wrapText="1"/>
    </xf>
    <xf numFmtId="0" fontId="15" fillId="4" borderId="41" xfId="16" applyFont="1" applyFill="1" applyBorder="1"/>
    <xf numFmtId="0" fontId="15" fillId="4" borderId="42" xfId="16" applyFont="1" applyFill="1" applyBorder="1"/>
    <xf numFmtId="0" fontId="15" fillId="4" borderId="0" xfId="1" applyFont="1" applyFill="1"/>
    <xf numFmtId="0" fontId="15" fillId="4" borderId="31" xfId="16" applyFont="1" applyFill="1" applyBorder="1"/>
    <xf numFmtId="0" fontId="15" fillId="9" borderId="32" xfId="16" applyFont="1" applyFill="1" applyBorder="1"/>
    <xf numFmtId="0" fontId="15" fillId="4" borderId="32" xfId="16" applyFont="1" applyFill="1" applyBorder="1"/>
    <xf numFmtId="168" fontId="15" fillId="4" borderId="53" xfId="16" applyNumberFormat="1" applyFont="1" applyFill="1" applyBorder="1"/>
    <xf numFmtId="172" fontId="15" fillId="16" borderId="0" xfId="1" applyNumberFormat="1" applyFont="1" applyFill="1"/>
    <xf numFmtId="0" fontId="15" fillId="4" borderId="42" xfId="1" applyFont="1" applyFill="1" applyBorder="1"/>
    <xf numFmtId="0" fontId="15" fillId="4" borderId="46" xfId="1" applyFont="1" applyFill="1" applyBorder="1" applyAlignment="1">
      <alignment horizontal="center" wrapText="1"/>
    </xf>
    <xf numFmtId="172" fontId="15" fillId="9" borderId="23" xfId="15" applyFont="1" applyFill="1" applyBorder="1"/>
    <xf numFmtId="168" fontId="15" fillId="9" borderId="21" xfId="15" applyNumberFormat="1" applyFont="1" applyFill="1" applyBorder="1"/>
    <xf numFmtId="174" fontId="3" fillId="9" borderId="21" xfId="15" applyNumberFormat="1" applyFont="1" applyFill="1" applyBorder="1"/>
    <xf numFmtId="168" fontId="3" fillId="9" borderId="21" xfId="15" applyNumberFormat="1" applyFont="1" applyFill="1" applyBorder="1"/>
    <xf numFmtId="0" fontId="15" fillId="9" borderId="2" xfId="1" applyFont="1" applyFill="1" applyBorder="1"/>
    <xf numFmtId="172" fontId="15" fillId="9" borderId="21" xfId="15" applyNumberFormat="1" applyFont="1" applyFill="1" applyBorder="1"/>
    <xf numFmtId="0" fontId="15" fillId="9" borderId="15" xfId="1" applyFont="1" applyFill="1" applyBorder="1"/>
    <xf numFmtId="172" fontId="15" fillId="9" borderId="50" xfId="15" applyNumberFormat="1" applyFont="1" applyFill="1" applyBorder="1"/>
    <xf numFmtId="168" fontId="3" fillId="9" borderId="50" xfId="15" applyNumberFormat="1" applyFont="1" applyFill="1" applyBorder="1"/>
    <xf numFmtId="168" fontId="15" fillId="4" borderId="52" xfId="1" applyNumberFormat="1" applyFont="1" applyFill="1" applyBorder="1"/>
    <xf numFmtId="168" fontId="3" fillId="4" borderId="52" xfId="15" applyNumberFormat="1" applyFont="1" applyFill="1" applyBorder="1"/>
    <xf numFmtId="3" fontId="3" fillId="16" borderId="0" xfId="0" applyNumberFormat="1" applyFont="1" applyFill="1"/>
    <xf numFmtId="173" fontId="3" fillId="15" borderId="60" xfId="15" applyNumberFormat="1" applyFont="1" applyFill="1" applyBorder="1"/>
    <xf numFmtId="43" fontId="3" fillId="15" borderId="31" xfId="15" applyNumberFormat="1" applyFont="1" applyFill="1" applyBorder="1"/>
    <xf numFmtId="173" fontId="3" fillId="15" borderId="31" xfId="15" applyNumberFormat="1" applyFont="1" applyFill="1" applyBorder="1"/>
    <xf numFmtId="168" fontId="3" fillId="15" borderId="31" xfId="15" applyNumberFormat="1" applyFont="1" applyFill="1" applyBorder="1"/>
    <xf numFmtId="173" fontId="3" fillId="15" borderId="32" xfId="15" applyNumberFormat="1" applyFont="1" applyFill="1" applyBorder="1"/>
    <xf numFmtId="168" fontId="3" fillId="15" borderId="32" xfId="15" applyNumberFormat="1" applyFont="1" applyFill="1" applyBorder="1"/>
    <xf numFmtId="0" fontId="30" fillId="16" borderId="0" xfId="1" applyFont="1" applyFill="1"/>
    <xf numFmtId="0" fontId="30" fillId="0" borderId="18" xfId="0" applyFont="1" applyFill="1" applyBorder="1" applyAlignment="1" applyProtection="1">
      <alignment wrapText="1"/>
    </xf>
    <xf numFmtId="0" fontId="30" fillId="9" borderId="31" xfId="1" applyFont="1" applyFill="1" applyBorder="1"/>
    <xf numFmtId="0" fontId="30" fillId="0" borderId="18" xfId="0" applyFont="1" applyFill="1" applyBorder="1" applyProtection="1"/>
    <xf numFmtId="0" fontId="30" fillId="9" borderId="27" xfId="16" applyFont="1" applyFill="1" applyBorder="1"/>
    <xf numFmtId="0" fontId="30" fillId="0" borderId="0" xfId="0" applyFont="1" applyAlignment="1">
      <alignment vertical="center"/>
    </xf>
    <xf numFmtId="0" fontId="38" fillId="0" borderId="0" xfId="1" applyFont="1"/>
    <xf numFmtId="0" fontId="15" fillId="0" borderId="0" xfId="1" applyFont="1"/>
    <xf numFmtId="0" fontId="39" fillId="0" borderId="0" xfId="1" applyFont="1"/>
    <xf numFmtId="0" fontId="39" fillId="5" borderId="0" xfId="1" applyFont="1" applyFill="1" applyAlignment="1">
      <alignment horizontal="center"/>
    </xf>
    <xf numFmtId="0" fontId="29" fillId="5" borderId="0" xfId="1" applyFont="1" applyFill="1"/>
    <xf numFmtId="0" fontId="33" fillId="4" borderId="6" xfId="2" applyFont="1" applyFill="1" applyBorder="1"/>
    <xf numFmtId="0" fontId="15" fillId="4" borderId="7" xfId="2" applyFont="1" applyFill="1" applyBorder="1"/>
    <xf numFmtId="164" fontId="15" fillId="5" borderId="8" xfId="2" applyNumberFormat="1" applyFont="1" applyFill="1" applyBorder="1"/>
    <xf numFmtId="0" fontId="15" fillId="0" borderId="0" xfId="1" applyFont="1" applyBorder="1"/>
    <xf numFmtId="0" fontId="33" fillId="4" borderId="10" xfId="2" applyFont="1" applyFill="1" applyBorder="1"/>
    <xf numFmtId="164" fontId="15" fillId="5" borderId="11" xfId="2" applyNumberFormat="1" applyFont="1" applyFill="1" applyBorder="1"/>
    <xf numFmtId="0" fontId="15" fillId="0" borderId="6" xfId="1" applyFont="1" applyBorder="1" applyAlignment="1">
      <alignment horizontal="center"/>
    </xf>
    <xf numFmtId="10" fontId="15" fillId="0" borderId="23" xfId="6" applyNumberFormat="1" applyFont="1" applyBorder="1" applyAlignment="1">
      <alignment horizontal="center"/>
    </xf>
    <xf numFmtId="164" fontId="15" fillId="5" borderId="12" xfId="2" applyNumberFormat="1" applyFont="1" applyFill="1" applyBorder="1"/>
    <xf numFmtId="0" fontId="15" fillId="0" borderId="10" xfId="1" applyFont="1" applyBorder="1" applyAlignment="1">
      <alignment horizontal="center"/>
    </xf>
    <xf numFmtId="10" fontId="15" fillId="0" borderId="21" xfId="6" applyNumberFormat="1" applyFont="1" applyBorder="1" applyAlignment="1">
      <alignment horizontal="center"/>
    </xf>
    <xf numFmtId="0" fontId="15" fillId="4" borderId="21" xfId="2" applyFont="1" applyFill="1" applyBorder="1"/>
    <xf numFmtId="164" fontId="40" fillId="5" borderId="12" xfId="2" applyNumberFormat="1" applyFont="1" applyFill="1" applyBorder="1"/>
    <xf numFmtId="0" fontId="15" fillId="0" borderId="21" xfId="1" applyFont="1" applyBorder="1" applyAlignment="1">
      <alignment horizontal="center"/>
    </xf>
    <xf numFmtId="0" fontId="33" fillId="4" borderId="13" xfId="2" applyFont="1" applyFill="1" applyBorder="1"/>
    <xf numFmtId="0" fontId="15" fillId="4" borderId="14" xfId="2" applyFont="1" applyFill="1" applyBorder="1"/>
    <xf numFmtId="0" fontId="15" fillId="0" borderId="13" xfId="1" applyFont="1" applyBorder="1" applyAlignment="1">
      <alignment horizontal="center"/>
    </xf>
    <xf numFmtId="10" fontId="15" fillId="0" borderId="22" xfId="6" applyNumberFormat="1" applyFont="1" applyBorder="1" applyAlignment="1">
      <alignment horizontal="center"/>
    </xf>
    <xf numFmtId="165" fontId="15" fillId="4" borderId="0" xfId="3" applyNumberFormat="1" applyFont="1" applyFill="1" applyBorder="1"/>
    <xf numFmtId="10" fontId="15" fillId="4" borderId="11" xfId="3" applyNumberFormat="1" applyFont="1" applyFill="1" applyBorder="1"/>
    <xf numFmtId="0" fontId="29" fillId="0" borderId="6" xfId="1" applyFont="1" applyBorder="1" applyAlignment="1"/>
    <xf numFmtId="0" fontId="15" fillId="0" borderId="23" xfId="1" applyFont="1" applyBorder="1" applyAlignment="1"/>
    <xf numFmtId="0" fontId="29" fillId="0" borderId="8" xfId="1" applyFont="1" applyBorder="1" applyAlignment="1">
      <alignment horizontal="right"/>
    </xf>
    <xf numFmtId="0" fontId="29" fillId="0" borderId="7" xfId="1" applyFont="1" applyBorder="1" applyAlignment="1">
      <alignment horizontal="right"/>
    </xf>
    <xf numFmtId="0" fontId="29" fillId="0" borderId="13" xfId="1" applyFont="1" applyBorder="1"/>
    <xf numFmtId="0" fontId="15" fillId="0" borderId="22" xfId="1" applyFont="1" applyBorder="1" applyAlignment="1"/>
    <xf numFmtId="0" fontId="29" fillId="0" borderId="12" xfId="1" applyFont="1" applyBorder="1" applyAlignment="1">
      <alignment horizontal="right"/>
    </xf>
    <xf numFmtId="0" fontId="29" fillId="0" borderId="14" xfId="1" applyFont="1" applyBorder="1" applyAlignment="1">
      <alignment horizontal="right"/>
    </xf>
    <xf numFmtId="0" fontId="15" fillId="0" borderId="2" xfId="1" applyFont="1" applyBorder="1"/>
    <xf numFmtId="10" fontId="15" fillId="0" borderId="9" xfId="3" applyNumberFormat="1" applyFont="1" applyBorder="1"/>
    <xf numFmtId="10" fontId="31" fillId="0" borderId="18" xfId="3" applyNumberFormat="1" applyFont="1" applyBorder="1"/>
    <xf numFmtId="10" fontId="31" fillId="0" borderId="0" xfId="3" applyNumberFormat="1" applyFont="1" applyBorder="1"/>
    <xf numFmtId="10" fontId="31" fillId="15" borderId="0" xfId="3" applyNumberFormat="1" applyFont="1" applyFill="1" applyBorder="1"/>
    <xf numFmtId="10" fontId="31" fillId="15" borderId="18" xfId="3" applyNumberFormat="1" applyFont="1" applyFill="1" applyBorder="1"/>
    <xf numFmtId="0" fontId="29" fillId="6" borderId="15" xfId="1" applyFont="1" applyFill="1" applyBorder="1" applyAlignment="1">
      <alignment wrapText="1"/>
    </xf>
    <xf numFmtId="10" fontId="29" fillId="6" borderId="17" xfId="3" applyNumberFormat="1" applyFont="1" applyFill="1" applyBorder="1"/>
    <xf numFmtId="10" fontId="29" fillId="6" borderId="12" xfId="3" applyNumberFormat="1" applyFont="1" applyFill="1" applyBorder="1"/>
    <xf numFmtId="10" fontId="29" fillId="6" borderId="14" xfId="3" applyNumberFormat="1" applyFont="1" applyFill="1" applyBorder="1"/>
    <xf numFmtId="0" fontId="15" fillId="0" borderId="5" xfId="1" applyFont="1" applyBorder="1"/>
    <xf numFmtId="0" fontId="29" fillId="6" borderId="2" xfId="1" applyFont="1" applyFill="1" applyBorder="1"/>
    <xf numFmtId="10" fontId="29" fillId="6" borderId="9" xfId="6" applyNumberFormat="1" applyFont="1" applyFill="1" applyBorder="1" applyAlignment="1">
      <alignment horizontal="right"/>
    </xf>
    <xf numFmtId="0" fontId="29" fillId="0" borderId="0" xfId="1" applyFont="1"/>
    <xf numFmtId="0" fontId="29" fillId="0" borderId="9" xfId="1" applyFont="1" applyBorder="1"/>
    <xf numFmtId="0" fontId="29" fillId="6" borderId="15" xfId="1" applyFont="1" applyFill="1" applyBorder="1"/>
    <xf numFmtId="10" fontId="29" fillId="6" borderId="17" xfId="6" applyNumberFormat="1" applyFont="1" applyFill="1" applyBorder="1" applyAlignment="1">
      <alignment horizontal="right"/>
    </xf>
    <xf numFmtId="0" fontId="41" fillId="0" borderId="0" xfId="1" applyFont="1"/>
    <xf numFmtId="0" fontId="29" fillId="0" borderId="3" xfId="1" applyFont="1" applyBorder="1"/>
    <xf numFmtId="0" fontId="29" fillId="0" borderId="30" xfId="1" applyFont="1" applyBorder="1" applyAlignment="1">
      <alignment horizontal="right"/>
    </xf>
    <xf numFmtId="0" fontId="29" fillId="0" borderId="23" xfId="1" applyFont="1" applyBorder="1" applyAlignment="1">
      <alignment horizontal="right"/>
    </xf>
    <xf numFmtId="10" fontId="15" fillId="0" borderId="9" xfId="3" applyNumberFormat="1" applyFont="1" applyBorder="1" applyAlignment="1">
      <alignment horizontal="right"/>
    </xf>
    <xf numFmtId="166" fontId="33" fillId="0" borderId="31" xfId="1" applyNumberFormat="1" applyFont="1" applyBorder="1"/>
    <xf numFmtId="10" fontId="31" fillId="15" borderId="21" xfId="3" applyNumberFormat="1" applyFont="1" applyFill="1" applyBorder="1"/>
    <xf numFmtId="0" fontId="15" fillId="0" borderId="31" xfId="1" applyFont="1" applyBorder="1"/>
    <xf numFmtId="0" fontId="15" fillId="0" borderId="21" xfId="1" applyFont="1" applyBorder="1"/>
    <xf numFmtId="0" fontId="15" fillId="0" borderId="18" xfId="1" applyFont="1" applyBorder="1"/>
    <xf numFmtId="0" fontId="29" fillId="6" borderId="15" xfId="1" applyFont="1" applyFill="1" applyBorder="1" applyAlignment="1">
      <alignment horizontal="left" wrapText="1"/>
    </xf>
    <xf numFmtId="10" fontId="29" fillId="6" borderId="17" xfId="3" applyNumberFormat="1" applyFont="1" applyFill="1" applyBorder="1" applyAlignment="1">
      <alignment horizontal="right"/>
    </xf>
    <xf numFmtId="166" fontId="29" fillId="6" borderId="32" xfId="3" applyNumberFormat="1" applyFont="1" applyFill="1" applyBorder="1"/>
    <xf numFmtId="167" fontId="15" fillId="0" borderId="0" xfId="1" applyNumberFormat="1" applyFont="1"/>
    <xf numFmtId="0" fontId="15" fillId="0" borderId="3" xfId="1" applyFont="1" applyBorder="1"/>
    <xf numFmtId="10" fontId="29" fillId="6" borderId="9" xfId="6" applyNumberFormat="1" applyFont="1" applyFill="1" applyBorder="1"/>
    <xf numFmtId="10" fontId="29" fillId="6" borderId="17" xfId="6" applyNumberFormat="1" applyFont="1" applyFill="1" applyBorder="1"/>
    <xf numFmtId="0" fontId="29" fillId="6" borderId="3" xfId="1" applyFont="1" applyFill="1" applyBorder="1"/>
    <xf numFmtId="0" fontId="29" fillId="0" borderId="4" xfId="1" applyFont="1" applyBorder="1"/>
    <xf numFmtId="0" fontId="29" fillId="8" borderId="44" xfId="1" applyFont="1" applyFill="1" applyBorder="1"/>
    <xf numFmtId="0" fontId="29" fillId="8" borderId="29" xfId="1" applyFont="1" applyFill="1" applyBorder="1"/>
    <xf numFmtId="166" fontId="15" fillId="8" borderId="0" xfId="3" applyNumberFormat="1" applyFont="1" applyFill="1" applyBorder="1"/>
    <xf numFmtId="0" fontId="15" fillId="0" borderId="9" xfId="1" applyFont="1" applyBorder="1"/>
    <xf numFmtId="166" fontId="33" fillId="10" borderId="21" xfId="3" applyNumberFormat="1" applyFont="1" applyFill="1" applyBorder="1"/>
    <xf numFmtId="166" fontId="33" fillId="10" borderId="9" xfId="3" applyNumberFormat="1" applyFont="1" applyFill="1" applyBorder="1"/>
    <xf numFmtId="10" fontId="15" fillId="0" borderId="21" xfId="3" applyNumberFormat="1" applyFont="1" applyBorder="1"/>
    <xf numFmtId="166" fontId="29" fillId="6" borderId="16" xfId="3" applyNumberFormat="1" applyFont="1" applyFill="1" applyBorder="1"/>
    <xf numFmtId="0" fontId="15" fillId="0" borderId="17" xfId="1" applyFont="1" applyBorder="1"/>
    <xf numFmtId="166" fontId="29" fillId="6" borderId="50" xfId="3" applyNumberFormat="1" applyFont="1" applyFill="1" applyBorder="1"/>
    <xf numFmtId="166" fontId="29" fillId="6" borderId="17" xfId="3" applyNumberFormat="1" applyFont="1" applyFill="1" applyBorder="1"/>
    <xf numFmtId="0" fontId="44" fillId="6" borderId="3" xfId="0" applyFont="1" applyFill="1" applyBorder="1" applyAlignment="1"/>
    <xf numFmtId="0" fontId="40" fillId="6" borderId="5" xfId="0" applyFont="1" applyFill="1" applyBorder="1" applyAlignment="1">
      <alignment wrapText="1"/>
    </xf>
    <xf numFmtId="0" fontId="15" fillId="0" borderId="0" xfId="0" applyFont="1" applyBorder="1"/>
    <xf numFmtId="0" fontId="15" fillId="0" borderId="0" xfId="0" applyFont="1"/>
    <xf numFmtId="0" fontId="40" fillId="8" borderId="2" xfId="0" applyFont="1" applyFill="1" applyBorder="1" applyAlignment="1">
      <alignment wrapText="1"/>
    </xf>
    <xf numFmtId="0" fontId="40" fillId="8" borderId="9" xfId="0" applyFont="1" applyFill="1" applyBorder="1" applyAlignment="1">
      <alignment wrapText="1"/>
    </xf>
    <xf numFmtId="0" fontId="15" fillId="0" borderId="0" xfId="0" applyFont="1" applyFill="1" applyBorder="1"/>
    <xf numFmtId="10" fontId="31" fillId="0" borderId="9" xfId="3" applyNumberFormat="1" applyFont="1" applyBorder="1"/>
    <xf numFmtId="0" fontId="15" fillId="0" borderId="2" xfId="0" applyFont="1" applyBorder="1"/>
    <xf numFmtId="0" fontId="29" fillId="6" borderId="15" xfId="0" applyFont="1" applyFill="1" applyBorder="1" applyAlignment="1">
      <alignment wrapText="1"/>
    </xf>
    <xf numFmtId="0" fontId="15" fillId="0" borderId="4" xfId="1" applyFont="1" applyBorder="1"/>
    <xf numFmtId="167" fontId="15" fillId="0" borderId="4" xfId="1" applyNumberFormat="1" applyFont="1" applyBorder="1"/>
    <xf numFmtId="0" fontId="44" fillId="7" borderId="2" xfId="1" applyFont="1" applyFill="1" applyBorder="1"/>
    <xf numFmtId="0" fontId="29" fillId="0" borderId="19" xfId="1" applyFont="1" applyBorder="1"/>
    <xf numFmtId="0" fontId="29" fillId="0" borderId="2" xfId="1" applyFont="1" applyBorder="1"/>
    <xf numFmtId="166" fontId="29" fillId="0" borderId="0" xfId="1" applyNumberFormat="1" applyFont="1" applyBorder="1"/>
    <xf numFmtId="168" fontId="15" fillId="0" borderId="0" xfId="1" applyNumberFormat="1" applyFont="1"/>
    <xf numFmtId="3" fontId="29" fillId="0" borderId="0" xfId="1" applyNumberFormat="1" applyFont="1" applyBorder="1"/>
    <xf numFmtId="0" fontId="41" fillId="6" borderId="2" xfId="1" applyFont="1" applyFill="1" applyBorder="1"/>
    <xf numFmtId="3" fontId="41" fillId="6" borderId="20" xfId="1" applyNumberFormat="1" applyFont="1" applyFill="1" applyBorder="1"/>
    <xf numFmtId="168" fontId="15" fillId="0" borderId="0" xfId="5" applyNumberFormat="1" applyFont="1"/>
    <xf numFmtId="0" fontId="41" fillId="8" borderId="2" xfId="1" applyFont="1" applyFill="1" applyBorder="1"/>
    <xf numFmtId="0" fontId="15" fillId="8" borderId="0" xfId="1" applyFont="1" applyFill="1" applyBorder="1"/>
    <xf numFmtId="3" fontId="41" fillId="8" borderId="0" xfId="1" applyNumberFormat="1" applyFont="1" applyFill="1" applyBorder="1"/>
    <xf numFmtId="0" fontId="15" fillId="8" borderId="9" xfId="1" applyFont="1" applyFill="1" applyBorder="1"/>
    <xf numFmtId="0" fontId="15" fillId="8" borderId="0" xfId="1" applyFont="1" applyFill="1"/>
    <xf numFmtId="0" fontId="29" fillId="8" borderId="28" xfId="1" applyFont="1" applyFill="1" applyBorder="1"/>
    <xf numFmtId="166" fontId="33" fillId="10" borderId="26" xfId="3" applyNumberFormat="1" applyFont="1" applyFill="1" applyBorder="1"/>
    <xf numFmtId="10" fontId="15" fillId="0" borderId="26" xfId="3" applyNumberFormat="1" applyFont="1" applyBorder="1"/>
    <xf numFmtId="0" fontId="29" fillId="5" borderId="15" xfId="1" applyFont="1" applyFill="1" applyBorder="1" applyAlignment="1">
      <alignment wrapText="1"/>
    </xf>
    <xf numFmtId="166" fontId="29" fillId="6" borderId="27" xfId="3" applyNumberFormat="1" applyFont="1" applyFill="1" applyBorder="1"/>
    <xf numFmtId="0" fontId="29" fillId="6" borderId="3" xfId="1" applyFont="1" applyFill="1" applyBorder="1" applyAlignment="1">
      <alignment wrapText="1"/>
    </xf>
    <xf numFmtId="0" fontId="29" fillId="6" borderId="33" xfId="1" applyFont="1" applyFill="1" applyBorder="1"/>
    <xf numFmtId="0" fontId="15" fillId="0" borderId="7" xfId="1" applyFont="1" applyBorder="1"/>
    <xf numFmtId="0" fontId="15" fillId="0" borderId="34" xfId="1" applyFont="1" applyBorder="1"/>
    <xf numFmtId="0" fontId="39" fillId="0" borderId="2" xfId="1" applyFont="1" applyBorder="1"/>
    <xf numFmtId="0" fontId="29" fillId="0" borderId="35" xfId="1" applyFont="1" applyBorder="1"/>
    <xf numFmtId="0" fontId="46" fillId="0" borderId="2" xfId="4" applyFont="1" applyFill="1" applyBorder="1" applyAlignment="1">
      <alignment horizontal="left"/>
    </xf>
    <xf numFmtId="3" fontId="31" fillId="0" borderId="0" xfId="1" applyNumberFormat="1" applyFont="1" applyBorder="1"/>
    <xf numFmtId="3" fontId="31" fillId="0" borderId="9" xfId="1" applyNumberFormat="1" applyFont="1" applyBorder="1"/>
    <xf numFmtId="0" fontId="15" fillId="7" borderId="2" xfId="1" applyFont="1" applyFill="1" applyBorder="1"/>
    <xf numFmtId="0" fontId="15" fillId="7" borderId="0" xfId="1" applyFont="1" applyFill="1" applyBorder="1"/>
    <xf numFmtId="10" fontId="3" fillId="9" borderId="0" xfId="4" applyNumberFormat="1" applyFont="1" applyFill="1" applyBorder="1"/>
    <xf numFmtId="10" fontId="3" fillId="9" borderId="9" xfId="4" applyNumberFormat="1" applyFont="1" applyFill="1" applyBorder="1"/>
    <xf numFmtId="10" fontId="3" fillId="0" borderId="0" xfId="4" applyNumberFormat="1" applyFont="1" applyBorder="1"/>
    <xf numFmtId="10" fontId="3" fillId="0" borderId="9" xfId="4" applyNumberFormat="1" applyFont="1" applyBorder="1"/>
    <xf numFmtId="3" fontId="29" fillId="0" borderId="9" xfId="1" applyNumberFormat="1" applyFont="1" applyBorder="1"/>
    <xf numFmtId="10" fontId="15" fillId="0" borderId="0" xfId="1" applyNumberFormat="1" applyFont="1" applyBorder="1"/>
    <xf numFmtId="10" fontId="15" fillId="0" borderId="9" xfId="1" applyNumberFormat="1" applyFont="1" applyBorder="1"/>
    <xf numFmtId="3" fontId="29" fillId="0" borderId="19" xfId="1" applyNumberFormat="1" applyFont="1" applyBorder="1"/>
    <xf numFmtId="3" fontId="29" fillId="0" borderId="35" xfId="1" applyNumberFormat="1" applyFont="1" applyBorder="1"/>
    <xf numFmtId="0" fontId="15" fillId="0" borderId="36" xfId="1" applyFont="1" applyBorder="1"/>
    <xf numFmtId="0" fontId="15" fillId="0" borderId="14" xfId="1" applyFont="1" applyBorder="1"/>
    <xf numFmtId="0" fontId="15" fillId="0" borderId="37" xfId="1" applyFont="1" applyBorder="1"/>
    <xf numFmtId="0" fontId="15" fillId="7" borderId="2" xfId="0" applyFont="1" applyFill="1" applyBorder="1"/>
    <xf numFmtId="0" fontId="15" fillId="7" borderId="0" xfId="0" applyFont="1" applyFill="1" applyBorder="1"/>
    <xf numFmtId="0" fontId="15" fillId="8" borderId="0" xfId="0" applyFont="1" applyFill="1" applyBorder="1"/>
    <xf numFmtId="0" fontId="15" fillId="8" borderId="9" xfId="0" applyFont="1" applyFill="1" applyBorder="1"/>
    <xf numFmtId="0" fontId="15" fillId="0" borderId="15" xfId="1" applyFont="1" applyBorder="1"/>
    <xf numFmtId="0" fontId="15" fillId="0" borderId="16" xfId="1" applyFont="1" applyBorder="1"/>
    <xf numFmtId="167" fontId="15" fillId="0" borderId="0" xfId="1" applyNumberFormat="1" applyFont="1" applyBorder="1"/>
    <xf numFmtId="0" fontId="41" fillId="0" borderId="2" xfId="1" applyFont="1" applyBorder="1"/>
    <xf numFmtId="0" fontId="15" fillId="0" borderId="9" xfId="0" applyFont="1" applyBorder="1"/>
    <xf numFmtId="167" fontId="15" fillId="0" borderId="16" xfId="1" applyNumberFormat="1" applyFont="1" applyBorder="1"/>
    <xf numFmtId="0" fontId="47" fillId="0" borderId="2" xfId="1" applyFont="1" applyBorder="1"/>
    <xf numFmtId="0" fontId="5" fillId="0" borderId="0" xfId="0" applyFont="1"/>
    <xf numFmtId="0" fontId="21" fillId="12" borderId="0" xfId="5" applyNumberFormat="1" applyFont="1" applyFill="1" applyAlignment="1" applyProtection="1">
      <alignment horizontal="center"/>
      <protection locked="0"/>
    </xf>
    <xf numFmtId="2" fontId="21" fillId="12" borderId="0" xfId="5" applyNumberFormat="1" applyFont="1" applyFill="1" applyAlignment="1" applyProtection="1">
      <alignment horizontal="left"/>
    </xf>
    <xf numFmtId="0" fontId="29" fillId="0" borderId="0" xfId="1" applyFont="1" applyBorder="1"/>
    <xf numFmtId="168" fontId="3" fillId="8" borderId="31" xfId="15" applyNumberFormat="1" applyFont="1" applyFill="1" applyBorder="1"/>
    <xf numFmtId="168" fontId="3" fillId="8" borderId="60" xfId="15" applyNumberFormat="1" applyFont="1" applyFill="1" applyBorder="1"/>
    <xf numFmtId="168" fontId="3" fillId="8" borderId="32" xfId="15" applyNumberFormat="1" applyFont="1" applyFill="1" applyBorder="1"/>
    <xf numFmtId="168" fontId="15" fillId="8" borderId="53" xfId="1" applyNumberFormat="1" applyFont="1" applyFill="1" applyBorder="1"/>
    <xf numFmtId="0" fontId="29" fillId="8" borderId="30" xfId="1" applyFont="1" applyFill="1" applyBorder="1" applyAlignment="1">
      <alignment horizontal="center" wrapText="1"/>
    </xf>
    <xf numFmtId="0" fontId="41" fillId="8" borderId="30" xfId="1" applyFont="1" applyFill="1" applyBorder="1" applyAlignment="1">
      <alignment horizontal="center" wrapText="1"/>
    </xf>
    <xf numFmtId="0" fontId="15" fillId="8" borderId="61" xfId="1" applyFont="1" applyFill="1" applyBorder="1"/>
    <xf numFmtId="0" fontId="15" fillId="8" borderId="31" xfId="1" applyFont="1" applyFill="1" applyBorder="1" applyAlignment="1">
      <alignment horizontal="center"/>
    </xf>
    <xf numFmtId="0" fontId="15" fillId="8" borderId="31" xfId="1" applyFont="1" applyFill="1" applyBorder="1"/>
    <xf numFmtId="10" fontId="15" fillId="8" borderId="31" xfId="3" applyNumberFormat="1" applyFont="1" applyFill="1" applyBorder="1" applyAlignment="1">
      <alignment horizontal="center"/>
    </xf>
    <xf numFmtId="0" fontId="41" fillId="8" borderId="31" xfId="1" applyFont="1" applyFill="1" applyBorder="1"/>
    <xf numFmtId="10" fontId="15" fillId="8" borderId="31" xfId="6" applyNumberFormat="1" applyFont="1" applyFill="1" applyBorder="1"/>
    <xf numFmtId="10" fontId="15" fillId="8" borderId="32" xfId="6" applyNumberFormat="1" applyFont="1" applyFill="1" applyBorder="1"/>
    <xf numFmtId="0" fontId="41" fillId="8" borderId="32" xfId="1" applyFont="1" applyFill="1" applyBorder="1"/>
    <xf numFmtId="3" fontId="5" fillId="0" borderId="8" xfId="0" applyNumberFormat="1" applyFont="1" applyBorder="1" applyProtection="1">
      <protection locked="0"/>
    </xf>
    <xf numFmtId="0" fontId="29" fillId="6" borderId="15" xfId="0" applyFont="1" applyFill="1" applyBorder="1" applyAlignment="1"/>
    <xf numFmtId="0" fontId="41" fillId="6" borderId="3" xfId="1" applyFont="1" applyFill="1" applyBorder="1" applyAlignment="1"/>
    <xf numFmtId="0" fontId="40" fillId="6" borderId="4" xfId="0" applyFont="1" applyFill="1" applyBorder="1"/>
    <xf numFmtId="0" fontId="40" fillId="6" borderId="5" xfId="0" applyFont="1" applyFill="1" applyBorder="1"/>
    <xf numFmtId="0" fontId="15" fillId="6" borderId="16" xfId="0" applyFont="1" applyFill="1" applyBorder="1"/>
    <xf numFmtId="166" fontId="33" fillId="19" borderId="21" xfId="3" applyNumberFormat="1" applyFont="1" applyFill="1" applyBorder="1"/>
    <xf numFmtId="10" fontId="6" fillId="0" borderId="0" xfId="6" applyNumberFormat="1" applyFont="1" applyFill="1" applyBorder="1" applyAlignment="1" applyProtection="1">
      <alignment horizontal="right"/>
      <protection locked="0"/>
    </xf>
    <xf numFmtId="165" fontId="6" fillId="0" borderId="0" xfId="6" applyNumberFormat="1" applyFont="1" applyFill="1" applyBorder="1" applyAlignment="1" applyProtection="1">
      <alignment horizontal="right"/>
      <protection locked="0"/>
    </xf>
    <xf numFmtId="175" fontId="6" fillId="0" borderId="0" xfId="8" applyNumberFormat="1" applyFont="1" applyFill="1" applyBorder="1" applyProtection="1">
      <alignment horizontal="right"/>
      <protection locked="0"/>
    </xf>
    <xf numFmtId="166" fontId="33" fillId="8" borderId="31" xfId="1" applyNumberFormat="1" applyFont="1" applyFill="1" applyBorder="1"/>
    <xf numFmtId="0" fontId="15" fillId="8" borderId="2" xfId="1" applyFont="1" applyFill="1" applyBorder="1"/>
    <xf numFmtId="10" fontId="15" fillId="8" borderId="0" xfId="6" applyNumberFormat="1" applyFont="1" applyFill="1" applyBorder="1"/>
    <xf numFmtId="10" fontId="33" fillId="10" borderId="21" xfId="6" applyNumberFormat="1" applyFont="1" applyFill="1" applyBorder="1"/>
    <xf numFmtId="10" fontId="33" fillId="10" borderId="9" xfId="6" applyNumberFormat="1" applyFont="1" applyFill="1" applyBorder="1"/>
    <xf numFmtId="10" fontId="15" fillId="0" borderId="0" xfId="6" applyNumberFormat="1" applyFont="1" applyBorder="1"/>
    <xf numFmtId="10" fontId="29" fillId="6" borderId="16" xfId="6" applyNumberFormat="1" applyFont="1" applyFill="1" applyBorder="1"/>
    <xf numFmtId="10" fontId="29" fillId="6" borderId="50" xfId="6" applyNumberFormat="1" applyFont="1" applyFill="1" applyBorder="1"/>
    <xf numFmtId="0" fontId="13" fillId="0" borderId="0" xfId="0" applyFont="1" applyAlignment="1">
      <alignment vertical="center" wrapText="1"/>
    </xf>
    <xf numFmtId="0" fontId="13" fillId="3" borderId="0" xfId="0" applyFont="1" applyFill="1" applyAlignment="1">
      <alignment vertical="center" wrapText="1"/>
    </xf>
    <xf numFmtId="3" fontId="3" fillId="0" borderId="0" xfId="0" applyNumberFormat="1" applyFont="1"/>
    <xf numFmtId="0" fontId="0" fillId="0" borderId="0" xfId="0" applyFont="1"/>
    <xf numFmtId="0" fontId="50" fillId="0" borderId="0" xfId="0" applyFont="1" applyAlignment="1">
      <alignment horizontal="center" vertical="center"/>
    </xf>
    <xf numFmtId="0" fontId="0" fillId="0" borderId="0" xfId="0" applyFont="1" applyAlignment="1">
      <alignment horizontal="left" vertical="center" indent="1"/>
    </xf>
    <xf numFmtId="0" fontId="50" fillId="0" borderId="0" xfId="0" applyFont="1" applyAlignment="1">
      <alignment horizontal="center"/>
    </xf>
    <xf numFmtId="0" fontId="50" fillId="0" borderId="0" xfId="0" applyFont="1" applyAlignment="1">
      <alignment horizontal="left" vertical="center" indent="1"/>
    </xf>
    <xf numFmtId="0" fontId="13" fillId="3" borderId="0" xfId="0" applyFont="1" applyFill="1" applyAlignment="1">
      <alignment horizontal="right" vertical="center" wrapText="1"/>
    </xf>
    <xf numFmtId="0" fontId="13" fillId="0" borderId="0" xfId="0" applyFont="1" applyAlignment="1">
      <alignment horizontal="right" vertical="center" wrapText="1"/>
    </xf>
    <xf numFmtId="0" fontId="50" fillId="0" borderId="0" xfId="0" applyFont="1"/>
    <xf numFmtId="168" fontId="15" fillId="16" borderId="0" xfId="1" applyNumberFormat="1" applyFont="1" applyFill="1" applyBorder="1"/>
    <xf numFmtId="168" fontId="14" fillId="4" borderId="53" xfId="16" applyNumberFormat="1" applyFill="1" applyBorder="1"/>
    <xf numFmtId="0" fontId="29" fillId="6" borderId="0" xfId="16" applyFont="1" applyFill="1"/>
    <xf numFmtId="0" fontId="15" fillId="6" borderId="0" xfId="16" applyFont="1" applyFill="1"/>
    <xf numFmtId="168" fontId="15" fillId="4" borderId="32" xfId="16" applyNumberFormat="1" applyFont="1" applyFill="1" applyBorder="1"/>
    <xf numFmtId="168" fontId="15" fillId="4" borderId="31" xfId="16" applyNumberFormat="1" applyFont="1" applyFill="1" applyBorder="1"/>
    <xf numFmtId="173" fontId="15" fillId="4" borderId="32" xfId="15" applyNumberFormat="1" applyFont="1" applyFill="1" applyBorder="1"/>
    <xf numFmtId="173" fontId="15" fillId="4" borderId="31" xfId="15" applyNumberFormat="1" applyFont="1" applyFill="1" applyBorder="1"/>
    <xf numFmtId="173" fontId="15" fillId="4" borderId="60" xfId="15" applyNumberFormat="1" applyFont="1" applyFill="1" applyBorder="1"/>
    <xf numFmtId="0" fontId="14" fillId="4" borderId="41" xfId="16" applyFill="1" applyBorder="1" applyAlignment="1">
      <alignment horizontal="center" wrapText="1"/>
    </xf>
    <xf numFmtId="0" fontId="52" fillId="9" borderId="26" xfId="16" applyFont="1" applyFill="1" applyBorder="1"/>
    <xf numFmtId="0" fontId="0" fillId="16" borderId="0" xfId="0" applyFill="1"/>
    <xf numFmtId="0" fontId="14" fillId="4" borderId="3" xfId="16" applyFill="1" applyBorder="1"/>
    <xf numFmtId="0" fontId="14" fillId="4" borderId="4" xfId="16" applyFill="1" applyBorder="1"/>
    <xf numFmtId="0" fontId="14" fillId="4" borderId="5" xfId="16" applyFill="1" applyBorder="1"/>
    <xf numFmtId="0" fontId="14" fillId="16" borderId="0" xfId="16" applyFill="1"/>
    <xf numFmtId="0" fontId="53" fillId="4" borderId="2" xfId="16" applyFont="1" applyFill="1" applyBorder="1"/>
    <xf numFmtId="0" fontId="53" fillId="0" borderId="0" xfId="16" applyFont="1" applyFill="1" applyBorder="1" applyAlignment="1">
      <alignment horizontal="center"/>
    </xf>
    <xf numFmtId="0" fontId="14" fillId="4" borderId="0" xfId="16" applyFill="1" applyBorder="1"/>
    <xf numFmtId="0" fontId="14" fillId="4" borderId="9" xfId="16" applyFill="1" applyBorder="1"/>
    <xf numFmtId="3" fontId="21" fillId="0" borderId="11" xfId="6" applyNumberFormat="1" applyFont="1" applyFill="1" applyBorder="1" applyAlignment="1" applyProtection="1">
      <alignment horizontal="right" vertical="center"/>
    </xf>
    <xf numFmtId="10" fontId="5" fillId="0" borderId="0" xfId="6" applyNumberFormat="1" applyFont="1" applyProtection="1">
      <protection locked="0"/>
    </xf>
    <xf numFmtId="10" fontId="5" fillId="0" borderId="18" xfId="6" applyNumberFormat="1" applyFont="1" applyBorder="1" applyProtection="1">
      <protection locked="0"/>
    </xf>
    <xf numFmtId="0" fontId="6" fillId="0" borderId="0" xfId="0" applyFont="1" applyFill="1" applyBorder="1" applyProtection="1"/>
    <xf numFmtId="0" fontId="5" fillId="0" borderId="0" xfId="0" applyFont="1" applyFill="1" applyProtection="1"/>
    <xf numFmtId="169" fontId="5" fillId="0" borderId="0" xfId="0" applyNumberFormat="1" applyFont="1" applyFill="1" applyAlignment="1" applyProtection="1">
      <alignment horizontal="center"/>
    </xf>
    <xf numFmtId="170" fontId="5" fillId="0" borderId="0" xfId="0" applyNumberFormat="1" applyFont="1" applyFill="1" applyProtection="1">
      <protection locked="0"/>
    </xf>
    <xf numFmtId="168" fontId="40" fillId="15" borderId="31" xfId="15" applyNumberFormat="1" applyFont="1" applyFill="1" applyBorder="1"/>
    <xf numFmtId="0" fontId="21" fillId="0" borderId="18" xfId="0" applyFont="1" applyFill="1" applyBorder="1" applyAlignment="1" applyProtection="1">
      <alignment wrapText="1"/>
    </xf>
    <xf numFmtId="0" fontId="21" fillId="0" borderId="12" xfId="0" applyFont="1" applyFill="1" applyBorder="1" applyProtection="1"/>
    <xf numFmtId="0" fontId="21" fillId="0" borderId="8" xfId="0" applyFont="1" applyFill="1" applyBorder="1" applyProtection="1"/>
    <xf numFmtId="0" fontId="6" fillId="0" borderId="12" xfId="0" applyFont="1" applyFill="1" applyBorder="1" applyProtection="1"/>
    <xf numFmtId="0" fontId="28" fillId="21" borderId="0" xfId="0" applyFont="1" applyFill="1" applyProtection="1">
      <protection locked="0"/>
    </xf>
    <xf numFmtId="3" fontId="15" fillId="16" borderId="0" xfId="1" applyNumberFormat="1" applyFont="1" applyFill="1"/>
    <xf numFmtId="3" fontId="27" fillId="0" borderId="18" xfId="0" applyNumberFormat="1" applyFont="1" applyFill="1" applyBorder="1" applyProtection="1">
      <protection locked="0"/>
    </xf>
    <xf numFmtId="3" fontId="6" fillId="0" borderId="12" xfId="6" applyNumberFormat="1" applyFont="1" applyFill="1" applyBorder="1" applyAlignment="1" applyProtection="1">
      <alignment horizontal="right" vertical="center"/>
    </xf>
    <xf numFmtId="10" fontId="31" fillId="17" borderId="18" xfId="3" applyNumberFormat="1" applyFont="1" applyFill="1" applyBorder="1"/>
    <xf numFmtId="10" fontId="31" fillId="17" borderId="0" xfId="3" applyNumberFormat="1" applyFont="1" applyFill="1" applyBorder="1"/>
    <xf numFmtId="166" fontId="33" fillId="17" borderId="21" xfId="3" applyNumberFormat="1" applyFont="1" applyFill="1" applyBorder="1"/>
    <xf numFmtId="166" fontId="15" fillId="10" borderId="9" xfId="3" applyNumberFormat="1" applyFont="1" applyFill="1" applyBorder="1"/>
    <xf numFmtId="166" fontId="33" fillId="17" borderId="9" xfId="3" applyNumberFormat="1" applyFont="1" applyFill="1" applyBorder="1"/>
    <xf numFmtId="0" fontId="54" fillId="0" borderId="10" xfId="0" applyFont="1" applyBorder="1"/>
    <xf numFmtId="0" fontId="55" fillId="0" borderId="6" xfId="0" applyFont="1" applyBorder="1"/>
    <xf numFmtId="0" fontId="54" fillId="0" borderId="19" xfId="0" applyFont="1" applyBorder="1" applyAlignment="1">
      <alignment horizontal="right"/>
    </xf>
    <xf numFmtId="0" fontId="54" fillId="0" borderId="19" xfId="0" applyFont="1" applyBorder="1"/>
    <xf numFmtId="0" fontId="0" fillId="0" borderId="7" xfId="0" applyBorder="1"/>
    <xf numFmtId="0" fontId="0" fillId="0" borderId="23" xfId="0" applyBorder="1"/>
    <xf numFmtId="0" fontId="56" fillId="0" borderId="10" xfId="0" applyFont="1" applyBorder="1"/>
    <xf numFmtId="0" fontId="54" fillId="0" borderId="0" xfId="0" applyFont="1" applyBorder="1" applyAlignment="1">
      <alignment horizontal="right"/>
    </xf>
    <xf numFmtId="10" fontId="57" fillId="0" borderId="0" xfId="6" applyNumberFormat="1" applyFont="1" applyBorder="1"/>
    <xf numFmtId="0" fontId="0" fillId="0" borderId="0" xfId="0" applyBorder="1"/>
    <xf numFmtId="0" fontId="0" fillId="0" borderId="21" xfId="0" applyBorder="1"/>
    <xf numFmtId="0" fontId="0" fillId="0" borderId="10" xfId="0" applyBorder="1"/>
    <xf numFmtId="10" fontId="56" fillId="0" borderId="0" xfId="6" applyNumberFormat="1" applyFont="1" applyBorder="1"/>
    <xf numFmtId="0" fontId="54" fillId="0" borderId="39" xfId="0" applyFont="1" applyBorder="1" applyAlignment="1">
      <alignment horizontal="right"/>
    </xf>
    <xf numFmtId="168" fontId="57" fillId="0" borderId="0" xfId="0" applyNumberFormat="1" applyFont="1" applyBorder="1"/>
    <xf numFmtId="168" fontId="0" fillId="0" borderId="21" xfId="0" applyNumberFormat="1" applyBorder="1"/>
    <xf numFmtId="168" fontId="0" fillId="0" borderId="0" xfId="0" applyNumberFormat="1" applyBorder="1"/>
    <xf numFmtId="168" fontId="55" fillId="6" borderId="21" xfId="0" applyNumberFormat="1" applyFont="1" applyFill="1" applyBorder="1"/>
    <xf numFmtId="168" fontId="15"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5" fillId="0" borderId="14" xfId="0" applyNumberFormat="1" applyFont="1" applyBorder="1"/>
    <xf numFmtId="176" fontId="55" fillId="0" borderId="22" xfId="6" applyNumberFormat="1" applyFont="1" applyBorder="1"/>
    <xf numFmtId="168" fontId="55" fillId="0" borderId="22" xfId="0" applyNumberFormat="1" applyFont="1" applyBorder="1"/>
    <xf numFmtId="43" fontId="33" fillId="15" borderId="31" xfId="15" applyNumberFormat="1" applyFont="1" applyFill="1" applyBorder="1"/>
    <xf numFmtId="168" fontId="33" fillId="15" borderId="31" xfId="15" applyNumberFormat="1" applyFont="1" applyFill="1" applyBorder="1"/>
    <xf numFmtId="174" fontId="33" fillId="9" borderId="2" xfId="15" applyNumberFormat="1" applyFont="1" applyFill="1" applyBorder="1"/>
    <xf numFmtId="174" fontId="33" fillId="9" borderId="18" xfId="15" applyNumberFormat="1" applyFont="1" applyFill="1" applyBorder="1"/>
    <xf numFmtId="174" fontId="33" fillId="9" borderId="49" xfId="15" applyNumberFormat="1" applyFont="1" applyFill="1" applyBorder="1"/>
    <xf numFmtId="168" fontId="33" fillId="9" borderId="26" xfId="15" applyNumberFormat="1" applyFont="1" applyFill="1" applyBorder="1"/>
    <xf numFmtId="168" fontId="33" fillId="9" borderId="18" xfId="15" applyNumberFormat="1" applyFont="1" applyFill="1" applyBorder="1"/>
    <xf numFmtId="168" fontId="33" fillId="9" borderId="49" xfId="15" applyNumberFormat="1" applyFont="1" applyFill="1" applyBorder="1"/>
    <xf numFmtId="168" fontId="33" fillId="9" borderId="2" xfId="15" applyNumberFormat="1" applyFont="1" applyFill="1" applyBorder="1"/>
    <xf numFmtId="173" fontId="33" fillId="9" borderId="47" xfId="15" applyNumberFormat="1" applyFont="1" applyFill="1" applyBorder="1"/>
    <xf numFmtId="173" fontId="33" fillId="9" borderId="8" xfId="15" applyNumberFormat="1" applyFont="1" applyFill="1" applyBorder="1"/>
    <xf numFmtId="173" fontId="33" fillId="9" borderId="48" xfId="15" applyNumberFormat="1" applyFont="1" applyFill="1" applyBorder="1"/>
    <xf numFmtId="174" fontId="33" fillId="9" borderId="26" xfId="15" applyNumberFormat="1" applyFont="1" applyFill="1" applyBorder="1"/>
    <xf numFmtId="3" fontId="48" fillId="10" borderId="18" xfId="6" applyNumberFormat="1" applyFont="1" applyFill="1" applyBorder="1" applyAlignment="1" applyProtection="1">
      <alignment horizontal="right" vertical="center"/>
    </xf>
    <xf numFmtId="3" fontId="48" fillId="10" borderId="12" xfId="6" applyNumberFormat="1" applyFont="1" applyFill="1" applyBorder="1" applyAlignment="1" applyProtection="1">
      <alignment horizontal="right" vertical="center"/>
    </xf>
    <xf numFmtId="173" fontId="33" fillId="9" borderId="23" xfId="15" applyNumberFormat="1" applyFont="1" applyFill="1" applyBorder="1"/>
    <xf numFmtId="174" fontId="33" fillId="9" borderId="9" xfId="15" applyNumberFormat="1" applyFont="1" applyFill="1" applyBorder="1"/>
    <xf numFmtId="3" fontId="48" fillId="10" borderId="11" xfId="6" applyNumberFormat="1" applyFont="1" applyFill="1" applyBorder="1" applyAlignment="1" applyProtection="1">
      <alignment horizontal="right" vertical="center"/>
    </xf>
    <xf numFmtId="10" fontId="31" fillId="0" borderId="0" xfId="3" applyNumberFormat="1" applyFont="1" applyFill="1" applyBorder="1"/>
    <xf numFmtId="10" fontId="31" fillId="0" borderId="21" xfId="3" applyNumberFormat="1" applyFont="1" applyFill="1" applyBorder="1"/>
    <xf numFmtId="0" fontId="41" fillId="0" borderId="0" xfId="0" applyFont="1"/>
    <xf numFmtId="164" fontId="15" fillId="15" borderId="12" xfId="2" applyNumberFormat="1" applyFont="1" applyFill="1" applyBorder="1"/>
    <xf numFmtId="174" fontId="33" fillId="9" borderId="21" xfId="15" applyNumberFormat="1" applyFont="1" applyFill="1" applyBorder="1"/>
    <xf numFmtId="168" fontId="33" fillId="9" borderId="21" xfId="15" applyNumberFormat="1" applyFont="1" applyFill="1" applyBorder="1"/>
    <xf numFmtId="0" fontId="33" fillId="9" borderId="26" xfId="16" applyFont="1" applyFill="1" applyBorder="1"/>
    <xf numFmtId="0" fontId="15" fillId="9" borderId="0" xfId="18" applyFont="1" applyFill="1" applyBorder="1" applyAlignment="1"/>
    <xf numFmtId="3" fontId="15" fillId="9" borderId="0" xfId="18" applyNumberFormat="1" applyFont="1" applyFill="1" applyBorder="1" applyAlignment="1">
      <alignment horizontal="center"/>
    </xf>
    <xf numFmtId="0" fontId="15" fillId="0" borderId="0" xfId="1" applyFont="1" applyAlignment="1">
      <alignment horizontal="right"/>
    </xf>
    <xf numFmtId="167" fontId="29" fillId="0" borderId="0" xfId="1" applyNumberFormat="1" applyFont="1" applyFill="1" applyAlignment="1">
      <alignment horizontal="right"/>
    </xf>
    <xf numFmtId="0" fontId="29" fillId="0" borderId="0" xfId="1" applyFont="1" applyFill="1" applyAlignment="1">
      <alignment horizontal="right"/>
    </xf>
    <xf numFmtId="170" fontId="27" fillId="0" borderId="0" xfId="8" applyNumberFormat="1" applyFont="1" applyFill="1" applyBorder="1" applyAlignment="1" applyProtection="1">
      <alignment horizontal="left"/>
      <protection locked="0"/>
    </xf>
    <xf numFmtId="0" fontId="58" fillId="6" borderId="3" xfId="19" applyFont="1" applyFill="1" applyBorder="1" applyAlignment="1">
      <alignment horizontal="left"/>
    </xf>
    <xf numFmtId="0" fontId="15" fillId="6" borderId="4" xfId="1" applyFont="1" applyFill="1" applyBorder="1"/>
    <xf numFmtId="0" fontId="29" fillId="0" borderId="19" xfId="20" quotePrefix="1" applyFont="1" applyFill="1" applyBorder="1" applyAlignment="1">
      <alignment horizontal="right"/>
    </xf>
    <xf numFmtId="0" fontId="29" fillId="0" borderId="39" xfId="20" quotePrefix="1" applyFont="1" applyFill="1" applyBorder="1" applyAlignment="1">
      <alignment horizontal="right"/>
    </xf>
    <xf numFmtId="0" fontId="54" fillId="0" borderId="19" xfId="19" applyFont="1" applyBorder="1" applyAlignment="1">
      <alignment horizontal="right"/>
    </xf>
    <xf numFmtId="0" fontId="54" fillId="0" borderId="35" xfId="19" applyFont="1" applyBorder="1" applyAlignment="1">
      <alignment horizontal="right"/>
    </xf>
    <xf numFmtId="0" fontId="54" fillId="0" borderId="2" xfId="19" applyFont="1" applyBorder="1"/>
    <xf numFmtId="10" fontId="15" fillId="15" borderId="0" xfId="6" applyNumberFormat="1" applyFont="1" applyFill="1" applyBorder="1"/>
    <xf numFmtId="10" fontId="15" fillId="0" borderId="21" xfId="1" applyNumberFormat="1" applyFont="1" applyBorder="1"/>
    <xf numFmtId="0" fontId="54" fillId="0" borderId="2" xfId="19" applyFont="1" applyFill="1" applyBorder="1"/>
    <xf numFmtId="10" fontId="15" fillId="0" borderId="0" xfId="6" applyNumberFormat="1" applyFont="1" applyFill="1" applyBorder="1"/>
    <xf numFmtId="10" fontId="15" fillId="0" borderId="21" xfId="1" applyNumberFormat="1" applyFont="1" applyFill="1" applyBorder="1"/>
    <xf numFmtId="10" fontId="15" fillId="0" borderId="0" xfId="1" applyNumberFormat="1" applyFont="1" applyFill="1" applyBorder="1"/>
    <xf numFmtId="10" fontId="15"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0" fontId="2" fillId="0" borderId="0" xfId="19" applyNumberFormat="1" applyFont="1" applyBorder="1" applyAlignment="1">
      <alignment horizontal="right"/>
    </xf>
    <xf numFmtId="170" fontId="2" fillId="0" borderId="0" xfId="19" applyNumberFormat="1" applyBorder="1" applyAlignment="1">
      <alignment horizontal="right"/>
    </xf>
    <xf numFmtId="170" fontId="2" fillId="0" borderId="21" xfId="19" applyNumberFormat="1" applyBorder="1" applyAlignment="1">
      <alignment horizontal="right"/>
    </xf>
    <xf numFmtId="170" fontId="2" fillId="0" borderId="9" xfId="19" applyNumberFormat="1" applyBorder="1" applyAlignment="1">
      <alignment horizontal="right"/>
    </xf>
    <xf numFmtId="0" fontId="2" fillId="0" borderId="2" xfId="19" applyBorder="1"/>
    <xf numFmtId="0" fontId="59" fillId="0" borderId="2" xfId="19" applyFont="1" applyBorder="1"/>
    <xf numFmtId="0" fontId="60" fillId="0" borderId="2" xfId="19" applyFont="1" applyBorder="1" applyAlignment="1">
      <alignment horizontal="left"/>
    </xf>
    <xf numFmtId="0" fontId="54" fillId="0" borderId="2" xfId="19" applyFont="1" applyBorder="1" applyAlignment="1">
      <alignment horizontal="left"/>
    </xf>
    <xf numFmtId="3" fontId="60" fillId="15" borderId="0" xfId="19" applyNumberFormat="1" applyFont="1" applyFill="1" applyBorder="1" applyAlignment="1">
      <alignment horizontal="right"/>
    </xf>
    <xf numFmtId="3" fontId="54" fillId="0" borderId="0" xfId="19" applyNumberFormat="1" applyFont="1" applyBorder="1" applyAlignment="1">
      <alignment horizontal="right"/>
    </xf>
    <xf numFmtId="0" fontId="29" fillId="0" borderId="2" xfId="0" applyFont="1" applyBorder="1"/>
    <xf numFmtId="0" fontId="59" fillId="0" borderId="2" xfId="19" applyFont="1" applyFill="1" applyBorder="1"/>
    <xf numFmtId="0" fontId="61" fillId="0" borderId="2" xfId="19" applyFont="1" applyFill="1" applyBorder="1" applyAlignment="1">
      <alignment horizontal="left"/>
    </xf>
    <xf numFmtId="0" fontId="62" fillId="0" borderId="0" xfId="1" applyFont="1" applyFill="1" applyBorder="1"/>
    <xf numFmtId="3" fontId="61" fillId="6" borderId="11" xfId="19" applyNumberFormat="1" applyFont="1" applyFill="1" applyBorder="1" applyAlignment="1">
      <alignment horizontal="right"/>
    </xf>
    <xf numFmtId="173" fontId="33" fillId="9" borderId="26" xfId="15" applyNumberFormat="1" applyFont="1" applyFill="1" applyBorder="1"/>
    <xf numFmtId="173" fontId="33" fillId="9" borderId="18" xfId="15" applyNumberFormat="1" applyFont="1" applyFill="1" applyBorder="1"/>
    <xf numFmtId="173" fontId="33" fillId="9" borderId="21" xfId="15" applyNumberFormat="1" applyFont="1" applyFill="1" applyBorder="1"/>
    <xf numFmtId="3" fontId="6" fillId="20" borderId="11" xfId="6" applyNumberFormat="1" applyFont="1" applyFill="1" applyBorder="1" applyAlignment="1" applyProtection="1">
      <alignment horizontal="right" vertical="center"/>
    </xf>
    <xf numFmtId="3" fontId="6" fillId="17" borderId="11" xfId="6" applyNumberFormat="1" applyFont="1" applyFill="1" applyBorder="1" applyAlignment="1" applyProtection="1">
      <alignment horizontal="right" vertical="center"/>
    </xf>
    <xf numFmtId="3" fontId="6" fillId="0" borderId="11" xfId="0" applyNumberFormat="1" applyFont="1" applyFill="1" applyBorder="1" applyAlignment="1" applyProtection="1">
      <alignment horizontal="right" vertical="center"/>
    </xf>
    <xf numFmtId="3" fontId="6" fillId="0" borderId="12" xfId="0" applyNumberFormat="1" applyFont="1" applyFill="1" applyBorder="1" applyAlignment="1" applyProtection="1">
      <alignment horizontal="right" vertical="center"/>
    </xf>
    <xf numFmtId="3" fontId="6" fillId="10" borderId="11" xfId="7" applyNumberFormat="1" applyFont="1" applyFill="1" applyBorder="1" applyAlignment="1" applyProtection="1">
      <alignment horizontal="right"/>
    </xf>
    <xf numFmtId="3" fontId="6" fillId="10" borderId="11" xfId="9" applyNumberFormat="1" applyFont="1" applyFill="1" applyBorder="1" applyAlignment="1" applyProtection="1">
      <alignment horizontal="right"/>
    </xf>
    <xf numFmtId="0" fontId="37" fillId="6" borderId="0" xfId="0" applyFont="1" applyFill="1" applyAlignment="1">
      <alignment vertical="center"/>
    </xf>
    <xf numFmtId="0" fontId="0" fillId="6" borderId="0" xfId="0" applyFill="1"/>
    <xf numFmtId="0" fontId="49" fillId="0" borderId="19" xfId="0" applyFont="1" applyBorder="1" applyAlignment="1">
      <alignment horizontal="center"/>
    </xf>
    <xf numFmtId="0" fontId="49" fillId="0" borderId="19" xfId="0" applyFont="1" applyBorder="1"/>
    <xf numFmtId="0" fontId="63" fillId="0" borderId="0" xfId="0" applyFont="1" applyAlignment="1">
      <alignment horizontal="center"/>
    </xf>
    <xf numFmtId="0" fontId="0" fillId="0" borderId="0" xfId="0" quotePrefix="1"/>
    <xf numFmtId="0" fontId="0" fillId="0" borderId="0" xfId="0" applyAlignment="1">
      <alignment horizontal="left"/>
    </xf>
    <xf numFmtId="0" fontId="49" fillId="0" borderId="0" xfId="0" applyFont="1"/>
    <xf numFmtId="0" fontId="64" fillId="0" borderId="0" xfId="0" applyFont="1" applyAlignment="1">
      <alignment vertical="center"/>
    </xf>
    <xf numFmtId="176" fontId="3" fillId="4" borderId="26" xfId="6" applyNumberFormat="1" applyFont="1" applyFill="1" applyBorder="1"/>
    <xf numFmtId="176" fontId="3" fillId="4" borderId="18" xfId="6" applyNumberFormat="1" applyFont="1" applyFill="1" applyBorder="1"/>
    <xf numFmtId="176" fontId="3" fillId="4" borderId="27" xfId="6" applyNumberFormat="1" applyFont="1" applyFill="1" applyBorder="1"/>
    <xf numFmtId="176" fontId="3" fillId="4" borderId="25" xfId="6" applyNumberFormat="1" applyFont="1" applyFill="1" applyBorder="1"/>
    <xf numFmtId="4" fontId="6" fillId="0" borderId="0" xfId="0" applyNumberFormat="1" applyFont="1" applyFill="1" applyBorder="1" applyProtection="1">
      <protection locked="0"/>
    </xf>
    <xf numFmtId="176" fontId="3" fillId="4" borderId="10" xfId="6" applyNumberFormat="1" applyFont="1" applyFill="1" applyBorder="1"/>
    <xf numFmtId="176" fontId="3" fillId="4" borderId="56" xfId="6" applyNumberFormat="1" applyFont="1" applyFill="1" applyBorder="1"/>
    <xf numFmtId="0" fontId="15" fillId="8" borderId="30" xfId="1" applyFont="1" applyFill="1" applyBorder="1"/>
    <xf numFmtId="9" fontId="15" fillId="10" borderId="31" xfId="1" applyNumberFormat="1" applyFont="1" applyFill="1" applyBorder="1"/>
    <xf numFmtId="0" fontId="15" fillId="8" borderId="30" xfId="1" applyFont="1" applyFill="1" applyBorder="1" applyAlignment="1">
      <alignment horizontal="center" wrapText="1"/>
    </xf>
    <xf numFmtId="0" fontId="15" fillId="8" borderId="32" xfId="1" applyFont="1" applyFill="1" applyBorder="1"/>
    <xf numFmtId="43" fontId="15" fillId="17" borderId="0" xfId="1" applyNumberFormat="1" applyFont="1" applyFill="1"/>
    <xf numFmtId="174" fontId="15" fillId="17" borderId="0" xfId="1" applyNumberFormat="1" applyFont="1" applyFill="1"/>
    <xf numFmtId="0" fontId="15" fillId="16" borderId="0" xfId="1" applyFont="1" applyFill="1"/>
    <xf numFmtId="168" fontId="15" fillId="4" borderId="18" xfId="15" applyNumberFormat="1" applyFont="1" applyFill="1" applyBorder="1"/>
    <xf numFmtId="0" fontId="15" fillId="9" borderId="31" xfId="1" applyFont="1" applyFill="1" applyBorder="1"/>
    <xf numFmtId="174" fontId="15" fillId="9" borderId="2" xfId="15" applyNumberFormat="1" applyFont="1" applyFill="1" applyBorder="1"/>
    <xf numFmtId="174" fontId="15" fillId="9" borderId="18" xfId="15" applyNumberFormat="1" applyFont="1" applyFill="1" applyBorder="1"/>
    <xf numFmtId="174" fontId="15" fillId="9" borderId="49" xfId="15" applyNumberFormat="1" applyFont="1" applyFill="1" applyBorder="1"/>
    <xf numFmtId="168" fontId="15" fillId="9" borderId="49" xfId="15" applyNumberFormat="1" applyFont="1" applyFill="1" applyBorder="1"/>
    <xf numFmtId="168" fontId="15" fillId="4" borderId="26" xfId="15" applyNumberFormat="1" applyFont="1" applyFill="1" applyBorder="1"/>
    <xf numFmtId="168" fontId="15" fillId="4" borderId="10" xfId="15" applyNumberFormat="1" applyFont="1" applyFill="1" applyBorder="1"/>
    <xf numFmtId="168" fontId="15" fillId="4" borderId="49" xfId="1" applyNumberFormat="1" applyFont="1" applyFill="1" applyBorder="1"/>
    <xf numFmtId="173" fontId="15" fillId="9" borderId="18" xfId="15" applyNumberFormat="1" applyFont="1" applyFill="1" applyBorder="1"/>
    <xf numFmtId="174" fontId="15" fillId="9" borderId="9" xfId="15" applyNumberFormat="1" applyFont="1" applyFill="1" applyBorder="1"/>
    <xf numFmtId="0" fontId="15" fillId="16" borderId="2" xfId="1" applyFont="1" applyFill="1" applyBorder="1"/>
    <xf numFmtId="173" fontId="15" fillId="9" borderId="26" xfId="15" applyNumberFormat="1" applyFont="1" applyFill="1" applyBorder="1"/>
    <xf numFmtId="168" fontId="3" fillId="4" borderId="26" xfId="15" applyNumberFormat="1" applyFont="1" applyFill="1" applyBorder="1"/>
    <xf numFmtId="168" fontId="3" fillId="4" borderId="18" xfId="15" applyNumberFormat="1" applyFont="1" applyFill="1" applyBorder="1"/>
    <xf numFmtId="173" fontId="15" fillId="9" borderId="49" xfId="15" applyNumberFormat="1" applyFont="1" applyFill="1" applyBorder="1"/>
    <xf numFmtId="168" fontId="15" fillId="16" borderId="0" xfId="1" applyNumberFormat="1" applyFont="1" applyFill="1"/>
    <xf numFmtId="0" fontId="30" fillId="9" borderId="31" xfId="1" applyFont="1" applyFill="1" applyBorder="1"/>
    <xf numFmtId="174" fontId="33" fillId="9" borderId="2" xfId="15" applyNumberFormat="1" applyFont="1" applyFill="1" applyBorder="1"/>
    <xf numFmtId="174" fontId="33" fillId="9" borderId="18" xfId="15" applyNumberFormat="1" applyFont="1" applyFill="1" applyBorder="1"/>
    <xf numFmtId="174" fontId="33" fillId="9" borderId="49" xfId="15" applyNumberFormat="1" applyFont="1" applyFill="1" applyBorder="1"/>
    <xf numFmtId="168" fontId="33" fillId="9" borderId="26" xfId="15" applyNumberFormat="1" applyFont="1" applyFill="1" applyBorder="1"/>
    <xf numFmtId="168" fontId="33" fillId="9" borderId="18" xfId="15" applyNumberFormat="1" applyFont="1" applyFill="1" applyBorder="1"/>
    <xf numFmtId="168" fontId="33" fillId="9" borderId="49" xfId="15" applyNumberFormat="1" applyFont="1" applyFill="1" applyBorder="1"/>
    <xf numFmtId="168" fontId="33" fillId="9" borderId="2" xfId="15" applyNumberFormat="1" applyFont="1" applyFill="1" applyBorder="1"/>
    <xf numFmtId="174" fontId="33" fillId="9" borderId="26" xfId="15" applyNumberFormat="1" applyFont="1" applyFill="1" applyBorder="1"/>
    <xf numFmtId="0" fontId="15" fillId="9" borderId="31" xfId="1" quotePrefix="1" applyFont="1" applyFill="1" applyBorder="1"/>
    <xf numFmtId="0" fontId="40" fillId="16" borderId="0" xfId="1" applyFont="1" applyFill="1" applyAlignment="1">
      <alignment horizontal="center"/>
    </xf>
    <xf numFmtId="168" fontId="40" fillId="16" borderId="0" xfId="1" applyNumberFormat="1" applyFont="1" applyFill="1" applyAlignment="1">
      <alignment horizontal="center"/>
    </xf>
    <xf numFmtId="0" fontId="5" fillId="0" borderId="0" xfId="0" applyNumberFormat="1" applyFont="1" applyFill="1" applyProtection="1">
      <protection locked="0"/>
    </xf>
    <xf numFmtId="44" fontId="5" fillId="0" borderId="0" xfId="14083" applyFont="1" applyFill="1" applyProtection="1">
      <protection locked="0"/>
    </xf>
    <xf numFmtId="3" fontId="5" fillId="0" borderId="0" xfId="0" applyNumberFormat="1" applyFont="1" applyFill="1" applyProtection="1">
      <protection locked="0"/>
    </xf>
    <xf numFmtId="10" fontId="15" fillId="138" borderId="8" xfId="3" applyNumberFormat="1" applyFont="1" applyFill="1" applyBorder="1"/>
    <xf numFmtId="10" fontId="15" fillId="138" borderId="18" xfId="3" applyNumberFormat="1" applyFont="1" applyFill="1" applyBorder="1"/>
    <xf numFmtId="10" fontId="15" fillId="138" borderId="12" xfId="3" applyNumberFormat="1" applyFont="1" applyFill="1" applyBorder="1"/>
    <xf numFmtId="224" fontId="3" fillId="4" borderId="26" xfId="6" applyNumberFormat="1" applyFont="1" applyFill="1" applyBorder="1"/>
    <xf numFmtId="224" fontId="3" fillId="4" borderId="18" xfId="6" applyNumberFormat="1" applyFont="1" applyFill="1" applyBorder="1"/>
    <xf numFmtId="224" fontId="3" fillId="4" borderId="10" xfId="6" applyNumberFormat="1" applyFont="1" applyFill="1" applyBorder="1"/>
    <xf numFmtId="0" fontId="15" fillId="16" borderId="0" xfId="1" applyFont="1" applyFill="1" applyAlignment="1">
      <alignment horizontal="center"/>
    </xf>
    <xf numFmtId="0" fontId="40" fillId="6" borderId="0" xfId="1" applyFont="1" applyFill="1"/>
    <xf numFmtId="0" fontId="41" fillId="16" borderId="0" xfId="1" applyFont="1" applyFill="1"/>
    <xf numFmtId="0" fontId="44" fillId="16" borderId="0" xfId="1" applyFont="1" applyFill="1"/>
    <xf numFmtId="0" fontId="173" fillId="16" borderId="0" xfId="1" applyFont="1" applyFill="1"/>
    <xf numFmtId="0" fontId="173" fillId="9" borderId="31" xfId="1" applyFont="1" applyFill="1" applyBorder="1"/>
    <xf numFmtId="0" fontId="173" fillId="16" borderId="2" xfId="1" applyFont="1" applyFill="1" applyBorder="1"/>
    <xf numFmtId="168" fontId="173" fillId="9" borderId="26" xfId="15" applyNumberFormat="1" applyFont="1" applyFill="1" applyBorder="1"/>
    <xf numFmtId="168" fontId="173" fillId="9" borderId="18" xfId="15" applyNumberFormat="1" applyFont="1" applyFill="1" applyBorder="1"/>
    <xf numFmtId="168" fontId="173" fillId="9" borderId="49" xfId="15" applyNumberFormat="1" applyFont="1" applyFill="1" applyBorder="1"/>
    <xf numFmtId="168" fontId="173" fillId="16" borderId="0" xfId="1" applyNumberFormat="1" applyFont="1" applyFill="1" applyAlignment="1">
      <alignment horizontal="center"/>
    </xf>
    <xf numFmtId="168" fontId="15" fillId="16" borderId="0" xfId="1" applyNumberFormat="1" applyFont="1" applyFill="1" applyAlignment="1">
      <alignment horizontal="center"/>
    </xf>
    <xf numFmtId="168" fontId="15" fillId="16" borderId="0" xfId="16" applyNumberFormat="1" applyFont="1" applyFill="1"/>
    <xf numFmtId="10" fontId="15" fillId="16" borderId="0" xfId="16" applyNumberFormat="1" applyFont="1" applyFill="1"/>
    <xf numFmtId="0" fontId="10" fillId="2" borderId="0" xfId="0" applyFont="1" applyFill="1" applyAlignment="1">
      <alignment vertical="center" wrapText="1"/>
    </xf>
    <xf numFmtId="0" fontId="29" fillId="4" borderId="38" xfId="16" applyFont="1" applyFill="1" applyBorder="1" applyAlignment="1">
      <alignment horizontal="center"/>
    </xf>
    <xf numFmtId="0" fontId="3" fillId="0" borderId="39" xfId="0" applyFont="1" applyBorder="1" applyAlignment="1">
      <alignment horizontal="center"/>
    </xf>
    <xf numFmtId="0" fontId="15" fillId="0" borderId="15" xfId="18" applyFont="1" applyBorder="1" applyAlignment="1">
      <alignment horizontal="left"/>
    </xf>
    <xf numFmtId="0" fontId="15" fillId="0" borderId="16" xfId="18" applyFont="1" applyBorder="1" applyAlignment="1"/>
    <xf numFmtId="0" fontId="30" fillId="0" borderId="2" xfId="18" applyFont="1" applyBorder="1" applyAlignment="1">
      <alignment horizontal="right"/>
    </xf>
    <xf numFmtId="0" fontId="15" fillId="0" borderId="0" xfId="18" applyFont="1" applyBorder="1" applyAlignment="1">
      <alignment horizontal="right"/>
    </xf>
    <xf numFmtId="0" fontId="15" fillId="0" borderId="2" xfId="18" applyFont="1" applyBorder="1" applyAlignment="1">
      <alignment horizontal="center"/>
    </xf>
    <xf numFmtId="0" fontId="15" fillId="0" borderId="0" xfId="18" applyFont="1" applyBorder="1" applyAlignment="1"/>
    <xf numFmtId="0" fontId="15" fillId="0" borderId="2" xfId="18" applyFont="1" applyBorder="1" applyAlignment="1"/>
    <xf numFmtId="0" fontId="15" fillId="9" borderId="2" xfId="18" applyFont="1" applyFill="1" applyBorder="1" applyAlignment="1">
      <alignment horizontal="center"/>
    </xf>
    <xf numFmtId="0" fontId="15" fillId="9" borderId="0" xfId="18" applyFont="1" applyFill="1" applyBorder="1" applyAlignment="1"/>
    <xf numFmtId="0" fontId="15" fillId="0" borderId="2" xfId="18" applyFont="1" applyBorder="1" applyAlignment="1">
      <alignment horizontal="right"/>
    </xf>
    <xf numFmtId="0" fontId="15" fillId="0" borderId="0" xfId="18" applyFont="1" applyAlignment="1"/>
    <xf numFmtId="0" fontId="15" fillId="9" borderId="0" xfId="18" applyFont="1" applyFill="1" applyBorder="1" applyAlignment="1">
      <alignment horizontal="center"/>
    </xf>
    <xf numFmtId="0" fontId="29" fillId="0" borderId="3" xfId="18" applyFont="1" applyBorder="1" applyAlignment="1"/>
    <xf numFmtId="0" fontId="15" fillId="0" borderId="4" xfId="18" applyFont="1" applyBorder="1" applyAlignment="1"/>
    <xf numFmtId="0" fontId="15" fillId="0" borderId="15" xfId="18" applyFont="1" applyBorder="1" applyAlignment="1">
      <alignment horizontal="right"/>
    </xf>
    <xf numFmtId="0" fontId="29" fillId="0" borderId="33" xfId="18" applyFont="1" applyBorder="1" applyAlignment="1">
      <alignment horizontal="center" vertical="center" wrapText="1"/>
    </xf>
    <xf numFmtId="0" fontId="15" fillId="0" borderId="36" xfId="18" applyFont="1" applyBorder="1" applyAlignment="1">
      <alignment horizontal="center" vertical="center" wrapText="1"/>
    </xf>
    <xf numFmtId="0" fontId="29" fillId="0" borderId="7" xfId="18" applyFont="1" applyBorder="1" applyAlignment="1">
      <alignment horizontal="center"/>
    </xf>
    <xf numFmtId="0" fontId="29" fillId="0" borderId="34" xfId="18" applyFont="1" applyBorder="1" applyAlignment="1">
      <alignment horizontal="center"/>
    </xf>
    <xf numFmtId="10" fontId="5" fillId="0" borderId="0" xfId="0" applyNumberFormat="1" applyFont="1" applyFill="1" applyProtection="1">
      <protection locked="0"/>
    </xf>
  </cellXfs>
  <cellStyles count="14084">
    <cellStyle name=" 1" xfId="38"/>
    <cellStyle name=" 1 2" xfId="39"/>
    <cellStyle name=" 1 2 2" xfId="40"/>
    <cellStyle name=" 1 2 3" xfId="41"/>
    <cellStyle name=" 1 3" xfId="42"/>
    <cellStyle name=" 1 3 2" xfId="43"/>
    <cellStyle name=" 1 4" xfId="44"/>
    <cellStyle name=" 1_29(d) - Gas extensions -tariffs" xfId="45"/>
    <cellStyle name="_3GIS model v2.77_Distribution Business_Retail Fin Perform " xfId="46"/>
    <cellStyle name="_3GIS model v2.77_Fleet Overhead Costs 2_Retail Fin Perform " xfId="47"/>
    <cellStyle name="_3GIS model v2.77_Fleet Overhead Costs_Retail Fin Perform " xfId="48"/>
    <cellStyle name="_3GIS model v2.77_Forecast 2_Retail Fin Perform " xfId="49"/>
    <cellStyle name="_3GIS model v2.77_Forecast_Retail Fin Perform " xfId="50"/>
    <cellStyle name="_3GIS model v2.77_Funding &amp; Cashflow_1_Retail Fin Perform " xfId="51"/>
    <cellStyle name="_3GIS model v2.77_Funding &amp; Cashflow_Retail Fin Perform " xfId="52"/>
    <cellStyle name="_3GIS model v2.77_Group P&amp;L_1_Retail Fin Perform " xfId="53"/>
    <cellStyle name="_3GIS model v2.77_Group P&amp;L_Retail Fin Perform " xfId="54"/>
    <cellStyle name="_3GIS model v2.77_Opening  Detailed BS_Retail Fin Perform " xfId="55"/>
    <cellStyle name="_3GIS model v2.77_OUTPUT DB_Retail Fin Perform " xfId="56"/>
    <cellStyle name="_3GIS model v2.77_OUTPUT EB_Retail Fin Perform " xfId="57"/>
    <cellStyle name="_3GIS model v2.77_Report_Retail Fin Perform " xfId="58"/>
    <cellStyle name="_3GIS model v2.77_Retail Fin Perform " xfId="59"/>
    <cellStyle name="_3GIS model v2.77_Sheet2 2_Retail Fin Perform " xfId="60"/>
    <cellStyle name="_3GIS model v2.77_Sheet2_Retail Fin Perform " xfId="61"/>
    <cellStyle name="_ACS Template AMI PAL 12" xfId="615"/>
    <cellStyle name="_C8. Summary 205" xfId="616"/>
    <cellStyle name="_Capex" xfId="62"/>
    <cellStyle name="_Capex 2" xfId="63"/>
    <cellStyle name="_Capex_29(d) - Gas extensions -tariffs" xfId="64"/>
    <cellStyle name="_CitiPower AMI Budget Templates 2012-15 Draft" xfId="617"/>
    <cellStyle name="_Item 1.30-Related Party-CHED Serv Charges to PAL&amp;CP 09" xfId="618"/>
    <cellStyle name="_Item 1.34-Related Party-CHED Serv Charges to PAL&amp;CP 2010" xfId="619"/>
    <cellStyle name="_MA Template PAL 12" xfId="620"/>
    <cellStyle name="_PAL AMI SALARIES" xfId="621"/>
    <cellStyle name="_Powercor AMI Budget Templates 2012-15 Draft" xfId="622"/>
    <cellStyle name="_UED AMP 2009-14 Final 250309 Less PU" xfId="65"/>
    <cellStyle name="_UED AMP 2009-14 Final 250309 Less PU_1011 monthly" xfId="66"/>
    <cellStyle name="20% - Accent1 2" xfId="67"/>
    <cellStyle name="20% - Accent1 2 2" xfId="623"/>
    <cellStyle name="20% - Accent1 2 3" xfId="1910"/>
    <cellStyle name="20% - Accent1 2 3 2" xfId="2519"/>
    <cellStyle name="20% - Accent1 2 3 2 2" xfId="4562"/>
    <cellStyle name="20% - Accent1 2 3 2 2 2" xfId="8950"/>
    <cellStyle name="20% - Accent1 2 3 2 2 2 2" xfId="11894"/>
    <cellStyle name="20% - Accent1 2 3 2 2 2 2 2" xfId="12967"/>
    <cellStyle name="20% - Accent1 2 3 2 2 2 3" xfId="12932"/>
    <cellStyle name="20% - Accent1 2 3 2 2 2 4" xfId="11014"/>
    <cellStyle name="20% - Accent1 2 3 2 2 3" xfId="11418"/>
    <cellStyle name="20% - Accent1 2 3 2 2 3 2" xfId="12968"/>
    <cellStyle name="20% - Accent1 2 3 2 2 4" xfId="12460"/>
    <cellStyle name="20% - Accent1 2 3 2 2 5" xfId="10542"/>
    <cellStyle name="20% - Accent1 2 3 2 3" xfId="7175"/>
    <cellStyle name="20% - Accent1 2 3 2 3 2" xfId="11654"/>
    <cellStyle name="20% - Accent1 2 3 2 3 2 2" xfId="12969"/>
    <cellStyle name="20% - Accent1 2 3 2 3 3" xfId="12693"/>
    <cellStyle name="20% - Accent1 2 3 2 3 4" xfId="10775"/>
    <cellStyle name="20% - Accent1 2 3 2 4" xfId="11237"/>
    <cellStyle name="20% - Accent1 2 3 2 4 2" xfId="12970"/>
    <cellStyle name="20% - Accent1 2 3 2 5" xfId="12281"/>
    <cellStyle name="20% - Accent1 2 3 2 6" xfId="10363"/>
    <cellStyle name="20% - Accent1 2 3 3" xfId="4385"/>
    <cellStyle name="20% - Accent1 2 3 3 2" xfId="8821"/>
    <cellStyle name="20% - Accent1 2 3 3 2 2" xfId="11806"/>
    <cellStyle name="20% - Accent1 2 3 3 2 2 2" xfId="12971"/>
    <cellStyle name="20% - Accent1 2 3 3 2 3" xfId="12844"/>
    <cellStyle name="20% - Accent1 2 3 3 2 4" xfId="10926"/>
    <cellStyle name="20% - Accent1 2 3 3 3" xfId="11330"/>
    <cellStyle name="20% - Accent1 2 3 3 3 2" xfId="12972"/>
    <cellStyle name="20% - Accent1 2 3 3 4" xfId="12372"/>
    <cellStyle name="20% - Accent1 2 3 3 5" xfId="10454"/>
    <cellStyle name="20% - Accent1 2 3 4" xfId="8112"/>
    <cellStyle name="20% - Accent1 2 3 4 2" xfId="11734"/>
    <cellStyle name="20% - Accent1 2 3 4 2 2" xfId="12973"/>
    <cellStyle name="20% - Accent1 2 3 4 3" xfId="12772"/>
    <cellStyle name="20% - Accent1 2 3 4 4" xfId="10854"/>
    <cellStyle name="20% - Accent1 2 3 5" xfId="11151"/>
    <cellStyle name="20% - Accent1 2 3 5 2" xfId="12974"/>
    <cellStyle name="20% - Accent1 2 3 6" xfId="12173"/>
    <cellStyle name="20% - Accent1 2 3 7" xfId="10278"/>
    <cellStyle name="20% - Accent1 3" xfId="68"/>
    <cellStyle name="20% - Accent1 3 2" xfId="2050"/>
    <cellStyle name="20% - Accent1 4" xfId="624"/>
    <cellStyle name="20% - Accent1 4 2" xfId="1610"/>
    <cellStyle name="20% - Accent1 4 3" xfId="1782"/>
    <cellStyle name="20% - Accent2 2" xfId="69"/>
    <cellStyle name="20% - Accent2 2 2" xfId="625"/>
    <cellStyle name="20% - Accent2 2 3" xfId="1911"/>
    <cellStyle name="20% - Accent2 2 3 2" xfId="2520"/>
    <cellStyle name="20% - Accent2 2 3 2 2" xfId="4563"/>
    <cellStyle name="20% - Accent2 2 3 2 2 2" xfId="8951"/>
    <cellStyle name="20% - Accent2 2 3 2 2 2 2" xfId="11895"/>
    <cellStyle name="20% - Accent2 2 3 2 2 2 2 2" xfId="12975"/>
    <cellStyle name="20% - Accent2 2 3 2 2 2 3" xfId="12933"/>
    <cellStyle name="20% - Accent2 2 3 2 2 2 4" xfId="11015"/>
    <cellStyle name="20% - Accent2 2 3 2 2 3" xfId="11419"/>
    <cellStyle name="20% - Accent2 2 3 2 2 3 2" xfId="12976"/>
    <cellStyle name="20% - Accent2 2 3 2 2 4" xfId="12461"/>
    <cellStyle name="20% - Accent2 2 3 2 2 5" xfId="10543"/>
    <cellStyle name="20% - Accent2 2 3 2 3" xfId="6466"/>
    <cellStyle name="20% - Accent2 2 3 2 3 2" xfId="11581"/>
    <cellStyle name="20% - Accent2 2 3 2 3 2 2" xfId="12977"/>
    <cellStyle name="20% - Accent2 2 3 2 3 3" xfId="12621"/>
    <cellStyle name="20% - Accent2 2 3 2 3 4" xfId="10703"/>
    <cellStyle name="20% - Accent2 2 3 2 4" xfId="11238"/>
    <cellStyle name="20% - Accent2 2 3 2 4 2" xfId="12978"/>
    <cellStyle name="20% - Accent2 2 3 2 5" xfId="12282"/>
    <cellStyle name="20% - Accent2 2 3 2 6" xfId="10364"/>
    <cellStyle name="20% - Accent2 2 3 3" xfId="4386"/>
    <cellStyle name="20% - Accent2 2 3 3 2" xfId="8822"/>
    <cellStyle name="20% - Accent2 2 3 3 2 2" xfId="11807"/>
    <cellStyle name="20% - Accent2 2 3 3 2 2 2" xfId="12979"/>
    <cellStyle name="20% - Accent2 2 3 3 2 3" xfId="12845"/>
    <cellStyle name="20% - Accent2 2 3 3 2 4" xfId="10927"/>
    <cellStyle name="20% - Accent2 2 3 3 3" xfId="11331"/>
    <cellStyle name="20% - Accent2 2 3 3 3 2" xfId="12980"/>
    <cellStyle name="20% - Accent2 2 3 3 4" xfId="12373"/>
    <cellStyle name="20% - Accent2 2 3 3 5" xfId="10455"/>
    <cellStyle name="20% - Accent2 2 3 4" xfId="6880"/>
    <cellStyle name="20% - Accent2 2 3 4 2" xfId="11621"/>
    <cellStyle name="20% - Accent2 2 3 4 2 2" xfId="12981"/>
    <cellStyle name="20% - Accent2 2 3 4 3" xfId="12661"/>
    <cellStyle name="20% - Accent2 2 3 4 4" xfId="10743"/>
    <cellStyle name="20% - Accent2 2 3 5" xfId="11152"/>
    <cellStyle name="20% - Accent2 2 3 5 2" xfId="12982"/>
    <cellStyle name="20% - Accent2 2 3 6" xfId="12142"/>
    <cellStyle name="20% - Accent2 2 3 7" xfId="10279"/>
    <cellStyle name="20% - Accent2 3" xfId="626"/>
    <cellStyle name="20% - Accent2 3 2" xfId="2051"/>
    <cellStyle name="20% - Accent3 2" xfId="70"/>
    <cellStyle name="20% - Accent3 2 2" xfId="627"/>
    <cellStyle name="20% - Accent3 2 3" xfId="1912"/>
    <cellStyle name="20% - Accent3 2 3 2" xfId="2521"/>
    <cellStyle name="20% - Accent3 2 3 2 2" xfId="4564"/>
    <cellStyle name="20% - Accent3 2 3 2 2 2" xfId="8952"/>
    <cellStyle name="20% - Accent3 2 3 2 2 2 2" xfId="11896"/>
    <cellStyle name="20% - Accent3 2 3 2 2 2 2 2" xfId="12983"/>
    <cellStyle name="20% - Accent3 2 3 2 2 2 3" xfId="12934"/>
    <cellStyle name="20% - Accent3 2 3 2 2 2 4" xfId="11016"/>
    <cellStyle name="20% - Accent3 2 3 2 2 3" xfId="11420"/>
    <cellStyle name="20% - Accent3 2 3 2 2 3 2" xfId="12984"/>
    <cellStyle name="20% - Accent3 2 3 2 2 4" xfId="12462"/>
    <cellStyle name="20% - Accent3 2 3 2 2 5" xfId="10544"/>
    <cellStyle name="20% - Accent3 2 3 2 3" xfId="6347"/>
    <cellStyle name="20% - Accent3 2 3 2 3 2" xfId="11569"/>
    <cellStyle name="20% - Accent3 2 3 2 3 2 2" xfId="12985"/>
    <cellStyle name="20% - Accent3 2 3 2 3 3" xfId="12610"/>
    <cellStyle name="20% - Accent3 2 3 2 3 4" xfId="10692"/>
    <cellStyle name="20% - Accent3 2 3 2 4" xfId="11239"/>
    <cellStyle name="20% - Accent3 2 3 2 4 2" xfId="12986"/>
    <cellStyle name="20% - Accent3 2 3 2 5" xfId="12283"/>
    <cellStyle name="20% - Accent3 2 3 2 6" xfId="10365"/>
    <cellStyle name="20% - Accent3 2 3 3" xfId="4387"/>
    <cellStyle name="20% - Accent3 2 3 3 2" xfId="8823"/>
    <cellStyle name="20% - Accent3 2 3 3 2 2" xfId="11808"/>
    <cellStyle name="20% - Accent3 2 3 3 2 2 2" xfId="12987"/>
    <cellStyle name="20% - Accent3 2 3 3 2 3" xfId="12846"/>
    <cellStyle name="20% - Accent3 2 3 3 2 4" xfId="10928"/>
    <cellStyle name="20% - Accent3 2 3 3 3" xfId="11332"/>
    <cellStyle name="20% - Accent3 2 3 3 3 2" xfId="12988"/>
    <cellStyle name="20% - Accent3 2 3 3 4" xfId="12374"/>
    <cellStyle name="20% - Accent3 2 3 3 5" xfId="10456"/>
    <cellStyle name="20% - Accent3 2 3 4" xfId="6469"/>
    <cellStyle name="20% - Accent3 2 3 4 2" xfId="11583"/>
    <cellStyle name="20% - Accent3 2 3 4 2 2" xfId="12989"/>
    <cellStyle name="20% - Accent3 2 3 4 3" xfId="12623"/>
    <cellStyle name="20% - Accent3 2 3 4 4" xfId="10705"/>
    <cellStyle name="20% - Accent3 2 3 5" xfId="11153"/>
    <cellStyle name="20% - Accent3 2 3 5 2" xfId="12990"/>
    <cellStyle name="20% - Accent3 2 3 6" xfId="12163"/>
    <cellStyle name="20% - Accent3 2 3 7" xfId="10280"/>
    <cellStyle name="20% - Accent3 3" xfId="628"/>
    <cellStyle name="20% - Accent3 3 2" xfId="2052"/>
    <cellStyle name="20% - Accent4 2" xfId="71"/>
    <cellStyle name="20% - Accent4 2 2" xfId="629"/>
    <cellStyle name="20% - Accent4 2 3" xfId="1913"/>
    <cellStyle name="20% - Accent4 2 3 2" xfId="2522"/>
    <cellStyle name="20% - Accent4 2 3 2 2" xfId="4565"/>
    <cellStyle name="20% - Accent4 2 3 2 2 2" xfId="8953"/>
    <cellStyle name="20% - Accent4 2 3 2 2 2 2" xfId="11897"/>
    <cellStyle name="20% - Accent4 2 3 2 2 2 2 2" xfId="12991"/>
    <cellStyle name="20% - Accent4 2 3 2 2 2 3" xfId="12935"/>
    <cellStyle name="20% - Accent4 2 3 2 2 2 4" xfId="11017"/>
    <cellStyle name="20% - Accent4 2 3 2 2 3" xfId="11421"/>
    <cellStyle name="20% - Accent4 2 3 2 2 3 2" xfId="12992"/>
    <cellStyle name="20% - Accent4 2 3 2 2 4" xfId="12463"/>
    <cellStyle name="20% - Accent4 2 3 2 2 5" xfId="10545"/>
    <cellStyle name="20% - Accent4 2 3 2 3" xfId="7973"/>
    <cellStyle name="20% - Accent4 2 3 2 3 2" xfId="11716"/>
    <cellStyle name="20% - Accent4 2 3 2 3 2 2" xfId="12993"/>
    <cellStyle name="20% - Accent4 2 3 2 3 3" xfId="12754"/>
    <cellStyle name="20% - Accent4 2 3 2 3 4" xfId="10836"/>
    <cellStyle name="20% - Accent4 2 3 2 4" xfId="11240"/>
    <cellStyle name="20% - Accent4 2 3 2 4 2" xfId="12994"/>
    <cellStyle name="20% - Accent4 2 3 2 5" xfId="12284"/>
    <cellStyle name="20% - Accent4 2 3 2 6" xfId="10366"/>
    <cellStyle name="20% - Accent4 2 3 3" xfId="4388"/>
    <cellStyle name="20% - Accent4 2 3 3 2" xfId="8824"/>
    <cellStyle name="20% - Accent4 2 3 3 2 2" xfId="11809"/>
    <cellStyle name="20% - Accent4 2 3 3 2 2 2" xfId="12995"/>
    <cellStyle name="20% - Accent4 2 3 3 2 3" xfId="12847"/>
    <cellStyle name="20% - Accent4 2 3 3 2 4" xfId="10929"/>
    <cellStyle name="20% - Accent4 2 3 3 3" xfId="11333"/>
    <cellStyle name="20% - Accent4 2 3 3 3 2" xfId="12996"/>
    <cellStyle name="20% - Accent4 2 3 3 4" xfId="12375"/>
    <cellStyle name="20% - Accent4 2 3 3 5" xfId="10457"/>
    <cellStyle name="20% - Accent4 2 3 4" xfId="6883"/>
    <cellStyle name="20% - Accent4 2 3 4 2" xfId="11622"/>
    <cellStyle name="20% - Accent4 2 3 4 2 2" xfId="12997"/>
    <cellStyle name="20% - Accent4 2 3 4 3" xfId="12662"/>
    <cellStyle name="20% - Accent4 2 3 4 4" xfId="10744"/>
    <cellStyle name="20% - Accent4 2 3 5" xfId="11154"/>
    <cellStyle name="20% - Accent4 2 3 5 2" xfId="12998"/>
    <cellStyle name="20% - Accent4 2 3 6" xfId="12174"/>
    <cellStyle name="20% - Accent4 2 3 7" xfId="10281"/>
    <cellStyle name="20% - Accent4 3" xfId="630"/>
    <cellStyle name="20% - Accent4 3 2" xfId="1613"/>
    <cellStyle name="20% - Accent4 3 3" xfId="1783"/>
    <cellStyle name="20% - Accent4 3 4" xfId="2053"/>
    <cellStyle name="20% - Accent5 2" xfId="72"/>
    <cellStyle name="20% - Accent5 2 2" xfId="631"/>
    <cellStyle name="20% - Accent5 2 2 2" xfId="14"/>
    <cellStyle name="20% - Accent5 2 3" xfId="1914"/>
    <cellStyle name="20% - Accent5 2 3 2" xfId="2523"/>
    <cellStyle name="20% - Accent5 2 3 2 2" xfId="4566"/>
    <cellStyle name="20% - Accent5 2 3 2 2 2" xfId="8954"/>
    <cellStyle name="20% - Accent5 2 3 2 2 2 2" xfId="11898"/>
    <cellStyle name="20% - Accent5 2 3 2 2 2 2 2" xfId="12999"/>
    <cellStyle name="20% - Accent5 2 3 2 2 2 3" xfId="12936"/>
    <cellStyle name="20% - Accent5 2 3 2 2 2 4" xfId="11018"/>
    <cellStyle name="20% - Accent5 2 3 2 2 3" xfId="11422"/>
    <cellStyle name="20% - Accent5 2 3 2 2 3 2" xfId="13000"/>
    <cellStyle name="20% - Accent5 2 3 2 2 4" xfId="12464"/>
    <cellStyle name="20% - Accent5 2 3 2 2 5" xfId="10546"/>
    <cellStyle name="20% - Accent5 2 3 2 3" xfId="6638"/>
    <cellStyle name="20% - Accent5 2 3 2 3 2" xfId="11597"/>
    <cellStyle name="20% - Accent5 2 3 2 3 2 2" xfId="13001"/>
    <cellStyle name="20% - Accent5 2 3 2 3 3" xfId="12637"/>
    <cellStyle name="20% - Accent5 2 3 2 3 4" xfId="10719"/>
    <cellStyle name="20% - Accent5 2 3 2 4" xfId="11241"/>
    <cellStyle name="20% - Accent5 2 3 2 4 2" xfId="13002"/>
    <cellStyle name="20% - Accent5 2 3 2 5" xfId="12285"/>
    <cellStyle name="20% - Accent5 2 3 2 6" xfId="10367"/>
    <cellStyle name="20% - Accent5 2 3 3" xfId="4389"/>
    <cellStyle name="20% - Accent5 2 3 3 2" xfId="8825"/>
    <cellStyle name="20% - Accent5 2 3 3 2 2" xfId="11810"/>
    <cellStyle name="20% - Accent5 2 3 3 2 2 2" xfId="13003"/>
    <cellStyle name="20% - Accent5 2 3 3 2 3" xfId="12848"/>
    <cellStyle name="20% - Accent5 2 3 3 2 4" xfId="10930"/>
    <cellStyle name="20% - Accent5 2 3 3 3" xfId="11334"/>
    <cellStyle name="20% - Accent5 2 3 3 3 2" xfId="13004"/>
    <cellStyle name="20% - Accent5 2 3 3 4" xfId="12376"/>
    <cellStyle name="20% - Accent5 2 3 3 5" xfId="10458"/>
    <cellStyle name="20% - Accent5 2 3 4" xfId="8153"/>
    <cellStyle name="20% - Accent5 2 3 4 2" xfId="11737"/>
    <cellStyle name="20% - Accent5 2 3 4 2 2" xfId="13005"/>
    <cellStyle name="20% - Accent5 2 3 4 3" xfId="12775"/>
    <cellStyle name="20% - Accent5 2 3 4 4" xfId="10857"/>
    <cellStyle name="20% - Accent5 2 3 5" xfId="11155"/>
    <cellStyle name="20% - Accent5 2 3 5 2" xfId="13006"/>
    <cellStyle name="20% - Accent5 2 3 6" xfId="12159"/>
    <cellStyle name="20% - Accent5 2 3 7" xfId="10282"/>
    <cellStyle name="20% - Accent5 3" xfId="632"/>
    <cellStyle name="20% - Accent5 3 2" xfId="2054"/>
    <cellStyle name="20% - Accent6 2" xfId="73"/>
    <cellStyle name="20% - Accent6 2 2" xfId="633"/>
    <cellStyle name="20% - Accent6 2 3" xfId="1915"/>
    <cellStyle name="20% - Accent6 2 3 2" xfId="2524"/>
    <cellStyle name="20% - Accent6 2 3 2 2" xfId="4567"/>
    <cellStyle name="20% - Accent6 2 3 2 2 2" xfId="8955"/>
    <cellStyle name="20% - Accent6 2 3 2 2 2 2" xfId="11899"/>
    <cellStyle name="20% - Accent6 2 3 2 2 2 2 2" xfId="13007"/>
    <cellStyle name="20% - Accent6 2 3 2 2 2 3" xfId="12937"/>
    <cellStyle name="20% - Accent6 2 3 2 2 2 4" xfId="11019"/>
    <cellStyle name="20% - Accent6 2 3 2 2 3" xfId="11423"/>
    <cellStyle name="20% - Accent6 2 3 2 2 3 2" xfId="13008"/>
    <cellStyle name="20% - Accent6 2 3 2 2 4" xfId="12465"/>
    <cellStyle name="20% - Accent6 2 3 2 2 5" xfId="10547"/>
    <cellStyle name="20% - Accent6 2 3 2 3" xfId="7352"/>
    <cellStyle name="20% - Accent6 2 3 2 3 2" xfId="11665"/>
    <cellStyle name="20% - Accent6 2 3 2 3 2 2" xfId="13009"/>
    <cellStyle name="20% - Accent6 2 3 2 3 3" xfId="12704"/>
    <cellStyle name="20% - Accent6 2 3 2 3 4" xfId="10786"/>
    <cellStyle name="20% - Accent6 2 3 2 4" xfId="11242"/>
    <cellStyle name="20% - Accent6 2 3 2 4 2" xfId="13010"/>
    <cellStyle name="20% - Accent6 2 3 2 5" xfId="12286"/>
    <cellStyle name="20% - Accent6 2 3 2 6" xfId="10368"/>
    <cellStyle name="20% - Accent6 2 3 3" xfId="4390"/>
    <cellStyle name="20% - Accent6 2 3 3 2" xfId="8826"/>
    <cellStyle name="20% - Accent6 2 3 3 2 2" xfId="11811"/>
    <cellStyle name="20% - Accent6 2 3 3 2 2 2" xfId="13011"/>
    <cellStyle name="20% - Accent6 2 3 3 2 3" xfId="12849"/>
    <cellStyle name="20% - Accent6 2 3 3 2 4" xfId="10931"/>
    <cellStyle name="20% - Accent6 2 3 3 3" xfId="11335"/>
    <cellStyle name="20% - Accent6 2 3 3 3 2" xfId="13012"/>
    <cellStyle name="20% - Accent6 2 3 3 4" xfId="12377"/>
    <cellStyle name="20% - Accent6 2 3 3 5" xfId="10459"/>
    <cellStyle name="20% - Accent6 2 3 4" xfId="7069"/>
    <cellStyle name="20% - Accent6 2 3 4 2" xfId="11640"/>
    <cellStyle name="20% - Accent6 2 3 4 2 2" xfId="13013"/>
    <cellStyle name="20% - Accent6 2 3 4 3" xfId="12679"/>
    <cellStyle name="20% - Accent6 2 3 4 4" xfId="10761"/>
    <cellStyle name="20% - Accent6 2 3 5" xfId="11156"/>
    <cellStyle name="20% - Accent6 2 3 5 2" xfId="13014"/>
    <cellStyle name="20% - Accent6 2 3 6" xfId="12161"/>
    <cellStyle name="20% - Accent6 2 3 7" xfId="10283"/>
    <cellStyle name="20% - Accent6 3" xfId="634"/>
    <cellStyle name="20% - Accent6 3 2" xfId="2055"/>
    <cellStyle name="40% - Accent1 2" xfId="74"/>
    <cellStyle name="40% - Accent1 2 2" xfId="635"/>
    <cellStyle name="40% - Accent1 2 3" xfId="1916"/>
    <cellStyle name="40% - Accent1 2 3 2" xfId="2525"/>
    <cellStyle name="40% - Accent1 2 3 2 2" xfId="4568"/>
    <cellStyle name="40% - Accent1 2 3 2 2 2" xfId="8956"/>
    <cellStyle name="40% - Accent1 2 3 2 2 2 2" xfId="11900"/>
    <cellStyle name="40% - Accent1 2 3 2 2 2 2 2" xfId="13015"/>
    <cellStyle name="40% - Accent1 2 3 2 2 2 3" xfId="12938"/>
    <cellStyle name="40% - Accent1 2 3 2 2 2 4" xfId="11020"/>
    <cellStyle name="40% - Accent1 2 3 2 2 3" xfId="11424"/>
    <cellStyle name="40% - Accent1 2 3 2 2 3 2" xfId="13016"/>
    <cellStyle name="40% - Accent1 2 3 2 2 4" xfId="12466"/>
    <cellStyle name="40% - Accent1 2 3 2 2 5" xfId="10548"/>
    <cellStyle name="40% - Accent1 2 3 2 3" xfId="7072"/>
    <cellStyle name="40% - Accent1 2 3 2 3 2" xfId="11641"/>
    <cellStyle name="40% - Accent1 2 3 2 3 2 2" xfId="13017"/>
    <cellStyle name="40% - Accent1 2 3 2 3 3" xfId="12680"/>
    <cellStyle name="40% - Accent1 2 3 2 3 4" xfId="10762"/>
    <cellStyle name="40% - Accent1 2 3 2 4" xfId="11243"/>
    <cellStyle name="40% - Accent1 2 3 2 4 2" xfId="13018"/>
    <cellStyle name="40% - Accent1 2 3 2 5" xfId="12287"/>
    <cellStyle name="40% - Accent1 2 3 2 6" xfId="10369"/>
    <cellStyle name="40% - Accent1 2 3 3" xfId="4391"/>
    <cellStyle name="40% - Accent1 2 3 3 2" xfId="8827"/>
    <cellStyle name="40% - Accent1 2 3 3 2 2" xfId="11812"/>
    <cellStyle name="40% - Accent1 2 3 3 2 2 2" xfId="13019"/>
    <cellStyle name="40% - Accent1 2 3 3 2 3" xfId="12850"/>
    <cellStyle name="40% - Accent1 2 3 3 2 4" xfId="10932"/>
    <cellStyle name="40% - Accent1 2 3 3 3" xfId="11336"/>
    <cellStyle name="40% - Accent1 2 3 3 3 2" xfId="13020"/>
    <cellStyle name="40% - Accent1 2 3 3 4" xfId="12378"/>
    <cellStyle name="40% - Accent1 2 3 3 5" xfId="10460"/>
    <cellStyle name="40% - Accent1 2 3 4" xfId="7596"/>
    <cellStyle name="40% - Accent1 2 3 4 2" xfId="11684"/>
    <cellStyle name="40% - Accent1 2 3 4 2 2" xfId="13021"/>
    <cellStyle name="40% - Accent1 2 3 4 3" xfId="12723"/>
    <cellStyle name="40% - Accent1 2 3 4 4" xfId="10805"/>
    <cellStyle name="40% - Accent1 2 3 5" xfId="11157"/>
    <cellStyle name="40% - Accent1 2 3 5 2" xfId="13022"/>
    <cellStyle name="40% - Accent1 2 3 6" xfId="12153"/>
    <cellStyle name="40% - Accent1 2 3 7" xfId="10284"/>
    <cellStyle name="40% - Accent1 3" xfId="75"/>
    <cellStyle name="40% - Accent1 3 2" xfId="2056"/>
    <cellStyle name="40% - Accent1 4" xfId="636"/>
    <cellStyle name="40% - Accent1 4 2" xfId="1616"/>
    <cellStyle name="40% - Accent1 4 3" xfId="1784"/>
    <cellStyle name="40% - Accent2 2" xfId="76"/>
    <cellStyle name="40% - Accent2 2 2" xfId="637"/>
    <cellStyle name="40% - Accent2 2 3" xfId="1917"/>
    <cellStyle name="40% - Accent2 2 3 2" xfId="2526"/>
    <cellStyle name="40% - Accent2 2 3 2 2" xfId="4569"/>
    <cellStyle name="40% - Accent2 2 3 2 2 2" xfId="8957"/>
    <cellStyle name="40% - Accent2 2 3 2 2 2 2" xfId="11901"/>
    <cellStyle name="40% - Accent2 2 3 2 2 2 2 2" xfId="13023"/>
    <cellStyle name="40% - Accent2 2 3 2 2 2 3" xfId="12939"/>
    <cellStyle name="40% - Accent2 2 3 2 2 2 4" xfId="11021"/>
    <cellStyle name="40% - Accent2 2 3 2 2 3" xfId="11425"/>
    <cellStyle name="40% - Accent2 2 3 2 2 3 2" xfId="13024"/>
    <cellStyle name="40% - Accent2 2 3 2 2 4" xfId="12467"/>
    <cellStyle name="40% - Accent2 2 3 2 2 5" xfId="10549"/>
    <cellStyle name="40% - Accent2 2 3 2 3" xfId="6618"/>
    <cellStyle name="40% - Accent2 2 3 2 3 2" xfId="11594"/>
    <cellStyle name="40% - Accent2 2 3 2 3 2 2" xfId="13025"/>
    <cellStyle name="40% - Accent2 2 3 2 3 3" xfId="12634"/>
    <cellStyle name="40% - Accent2 2 3 2 3 4" xfId="10716"/>
    <cellStyle name="40% - Accent2 2 3 2 4" xfId="11244"/>
    <cellStyle name="40% - Accent2 2 3 2 4 2" xfId="13026"/>
    <cellStyle name="40% - Accent2 2 3 2 5" xfId="12288"/>
    <cellStyle name="40% - Accent2 2 3 2 6" xfId="10370"/>
    <cellStyle name="40% - Accent2 2 3 3" xfId="4392"/>
    <cellStyle name="40% - Accent2 2 3 3 2" xfId="8828"/>
    <cellStyle name="40% - Accent2 2 3 3 2 2" xfId="11813"/>
    <cellStyle name="40% - Accent2 2 3 3 2 2 2" xfId="13027"/>
    <cellStyle name="40% - Accent2 2 3 3 2 3" xfId="12851"/>
    <cellStyle name="40% - Accent2 2 3 3 2 4" xfId="10933"/>
    <cellStyle name="40% - Accent2 2 3 3 3" xfId="11337"/>
    <cellStyle name="40% - Accent2 2 3 3 3 2" xfId="13028"/>
    <cellStyle name="40% - Accent2 2 3 3 4" xfId="12379"/>
    <cellStyle name="40% - Accent2 2 3 3 5" xfId="10461"/>
    <cellStyle name="40% - Accent2 2 3 4" xfId="8028"/>
    <cellStyle name="40% - Accent2 2 3 4 2" xfId="11722"/>
    <cellStyle name="40% - Accent2 2 3 4 2 2" xfId="13029"/>
    <cellStyle name="40% - Accent2 2 3 4 3" xfId="12760"/>
    <cellStyle name="40% - Accent2 2 3 4 4" xfId="10842"/>
    <cellStyle name="40% - Accent2 2 3 5" xfId="11158"/>
    <cellStyle name="40% - Accent2 2 3 5 2" xfId="13030"/>
    <cellStyle name="40% - Accent2 2 3 6" xfId="12143"/>
    <cellStyle name="40% - Accent2 2 3 7" xfId="10285"/>
    <cellStyle name="40% - Accent2 3" xfId="638"/>
    <cellStyle name="40% - Accent2 3 2" xfId="1617"/>
    <cellStyle name="40% - Accent2 3 3" xfId="1785"/>
    <cellStyle name="40% - Accent2 3 4" xfId="2057"/>
    <cellStyle name="40% - Accent3 2" xfId="77"/>
    <cellStyle name="40% - Accent3 2 2" xfId="639"/>
    <cellStyle name="40% - Accent3 2 3" xfId="1918"/>
    <cellStyle name="40% - Accent3 2 3 2" xfId="2527"/>
    <cellStyle name="40% - Accent3 2 3 2 2" xfId="4570"/>
    <cellStyle name="40% - Accent3 2 3 2 2 2" xfId="8958"/>
    <cellStyle name="40% - Accent3 2 3 2 2 2 2" xfId="11902"/>
    <cellStyle name="40% - Accent3 2 3 2 2 2 2 2" xfId="13031"/>
    <cellStyle name="40% - Accent3 2 3 2 2 2 3" xfId="12940"/>
    <cellStyle name="40% - Accent3 2 3 2 2 2 4" xfId="11022"/>
    <cellStyle name="40% - Accent3 2 3 2 2 3" xfId="11426"/>
    <cellStyle name="40% - Accent3 2 3 2 2 3 2" xfId="13032"/>
    <cellStyle name="40% - Accent3 2 3 2 2 4" xfId="12468"/>
    <cellStyle name="40% - Accent3 2 3 2 2 5" xfId="10550"/>
    <cellStyle name="40% - Accent3 2 3 2 3" xfId="7751"/>
    <cellStyle name="40% - Accent3 2 3 2 3 2" xfId="11699"/>
    <cellStyle name="40% - Accent3 2 3 2 3 2 2" xfId="13033"/>
    <cellStyle name="40% - Accent3 2 3 2 3 3" xfId="12737"/>
    <cellStyle name="40% - Accent3 2 3 2 3 4" xfId="10819"/>
    <cellStyle name="40% - Accent3 2 3 2 4" xfId="11245"/>
    <cellStyle name="40% - Accent3 2 3 2 4 2" xfId="13034"/>
    <cellStyle name="40% - Accent3 2 3 2 5" xfId="12289"/>
    <cellStyle name="40% - Accent3 2 3 2 6" xfId="10371"/>
    <cellStyle name="40% - Accent3 2 3 3" xfId="4393"/>
    <cellStyle name="40% - Accent3 2 3 3 2" xfId="8829"/>
    <cellStyle name="40% - Accent3 2 3 3 2 2" xfId="11814"/>
    <cellStyle name="40% - Accent3 2 3 3 2 2 2" xfId="13035"/>
    <cellStyle name="40% - Accent3 2 3 3 2 3" xfId="12852"/>
    <cellStyle name="40% - Accent3 2 3 3 2 4" xfId="10934"/>
    <cellStyle name="40% - Accent3 2 3 3 3" xfId="11338"/>
    <cellStyle name="40% - Accent3 2 3 3 3 2" xfId="13036"/>
    <cellStyle name="40% - Accent3 2 3 3 4" xfId="12380"/>
    <cellStyle name="40% - Accent3 2 3 3 5" xfId="10462"/>
    <cellStyle name="40% - Accent3 2 3 4" xfId="6256"/>
    <cellStyle name="40% - Accent3 2 3 4 2" xfId="11563"/>
    <cellStyle name="40% - Accent3 2 3 4 2 2" xfId="13037"/>
    <cellStyle name="40% - Accent3 2 3 4 3" xfId="12604"/>
    <cellStyle name="40% - Accent3 2 3 4 4" xfId="10686"/>
    <cellStyle name="40% - Accent3 2 3 5" xfId="11159"/>
    <cellStyle name="40% - Accent3 2 3 5 2" xfId="13038"/>
    <cellStyle name="40% - Accent3 2 3 6" xfId="12176"/>
    <cellStyle name="40% - Accent3 2 3 7" xfId="10286"/>
    <cellStyle name="40% - Accent3 3" xfId="640"/>
    <cellStyle name="40% - Accent3 3 2" xfId="2058"/>
    <cellStyle name="40% - Accent4 2" xfId="78"/>
    <cellStyle name="40% - Accent4 2 2" xfId="641"/>
    <cellStyle name="40% - Accent4 2 3" xfId="1919"/>
    <cellStyle name="40% - Accent4 2 3 2" xfId="2528"/>
    <cellStyle name="40% - Accent4 2 3 2 2" xfId="4571"/>
    <cellStyle name="40% - Accent4 2 3 2 2 2" xfId="8959"/>
    <cellStyle name="40% - Accent4 2 3 2 2 2 2" xfId="11903"/>
    <cellStyle name="40% - Accent4 2 3 2 2 2 2 2" xfId="13039"/>
    <cellStyle name="40% - Accent4 2 3 2 2 2 3" xfId="12941"/>
    <cellStyle name="40% - Accent4 2 3 2 2 2 4" xfId="11023"/>
    <cellStyle name="40% - Accent4 2 3 2 2 3" xfId="11427"/>
    <cellStyle name="40% - Accent4 2 3 2 2 3 2" xfId="13040"/>
    <cellStyle name="40% - Accent4 2 3 2 2 4" xfId="12469"/>
    <cellStyle name="40% - Accent4 2 3 2 2 5" xfId="10551"/>
    <cellStyle name="40% - Accent4 2 3 2 3" xfId="6625"/>
    <cellStyle name="40% - Accent4 2 3 2 3 2" xfId="11596"/>
    <cellStyle name="40% - Accent4 2 3 2 3 2 2" xfId="13041"/>
    <cellStyle name="40% - Accent4 2 3 2 3 3" xfId="12636"/>
    <cellStyle name="40% - Accent4 2 3 2 3 4" xfId="10718"/>
    <cellStyle name="40% - Accent4 2 3 2 4" xfId="11246"/>
    <cellStyle name="40% - Accent4 2 3 2 4 2" xfId="13042"/>
    <cellStyle name="40% - Accent4 2 3 2 5" xfId="12290"/>
    <cellStyle name="40% - Accent4 2 3 2 6" xfId="10372"/>
    <cellStyle name="40% - Accent4 2 3 3" xfId="4394"/>
    <cellStyle name="40% - Accent4 2 3 3 2" xfId="8830"/>
    <cellStyle name="40% - Accent4 2 3 3 2 2" xfId="11815"/>
    <cellStyle name="40% - Accent4 2 3 3 2 2 2" xfId="13043"/>
    <cellStyle name="40% - Accent4 2 3 3 2 3" xfId="12853"/>
    <cellStyle name="40% - Accent4 2 3 3 2 4" xfId="10935"/>
    <cellStyle name="40% - Accent4 2 3 3 3" xfId="11339"/>
    <cellStyle name="40% - Accent4 2 3 3 3 2" xfId="13044"/>
    <cellStyle name="40% - Accent4 2 3 3 4" xfId="12381"/>
    <cellStyle name="40% - Accent4 2 3 3 5" xfId="10463"/>
    <cellStyle name="40% - Accent4 2 3 4" xfId="7838"/>
    <cellStyle name="40% - Accent4 2 3 4 2" xfId="11705"/>
    <cellStyle name="40% - Accent4 2 3 4 2 2" xfId="13045"/>
    <cellStyle name="40% - Accent4 2 3 4 3" xfId="12743"/>
    <cellStyle name="40% - Accent4 2 3 4 4" xfId="10825"/>
    <cellStyle name="40% - Accent4 2 3 5" xfId="11160"/>
    <cellStyle name="40% - Accent4 2 3 5 2" xfId="13046"/>
    <cellStyle name="40% - Accent4 2 3 6" xfId="12144"/>
    <cellStyle name="40% - Accent4 2 3 7" xfId="10287"/>
    <cellStyle name="40% - Accent4 3" xfId="642"/>
    <cellStyle name="40% - Accent4 3 2" xfId="1619"/>
    <cellStyle name="40% - Accent4 3 3" xfId="1786"/>
    <cellStyle name="40% - Accent4 3 4" xfId="2059"/>
    <cellStyle name="40% - Accent5 2" xfId="79"/>
    <cellStyle name="40% - Accent5 2 2" xfId="643"/>
    <cellStyle name="40% - Accent5 2 3" xfId="1920"/>
    <cellStyle name="40% - Accent5 2 3 2" xfId="2529"/>
    <cellStyle name="40% - Accent5 2 3 2 2" xfId="4572"/>
    <cellStyle name="40% - Accent5 2 3 2 2 2" xfId="8960"/>
    <cellStyle name="40% - Accent5 2 3 2 2 2 2" xfId="11904"/>
    <cellStyle name="40% - Accent5 2 3 2 2 2 2 2" xfId="13047"/>
    <cellStyle name="40% - Accent5 2 3 2 2 2 3" xfId="12942"/>
    <cellStyle name="40% - Accent5 2 3 2 2 2 4" xfId="11024"/>
    <cellStyle name="40% - Accent5 2 3 2 2 3" xfId="11428"/>
    <cellStyle name="40% - Accent5 2 3 2 2 3 2" xfId="13048"/>
    <cellStyle name="40% - Accent5 2 3 2 2 4" xfId="12470"/>
    <cellStyle name="40% - Accent5 2 3 2 2 5" xfId="10552"/>
    <cellStyle name="40% - Accent5 2 3 2 3" xfId="7489"/>
    <cellStyle name="40% - Accent5 2 3 2 3 2" xfId="11677"/>
    <cellStyle name="40% - Accent5 2 3 2 3 2 2" xfId="13049"/>
    <cellStyle name="40% - Accent5 2 3 2 3 3" xfId="12716"/>
    <cellStyle name="40% - Accent5 2 3 2 3 4" xfId="10798"/>
    <cellStyle name="40% - Accent5 2 3 2 4" xfId="11247"/>
    <cellStyle name="40% - Accent5 2 3 2 4 2" xfId="13050"/>
    <cellStyle name="40% - Accent5 2 3 2 5" xfId="12291"/>
    <cellStyle name="40% - Accent5 2 3 2 6" xfId="10373"/>
    <cellStyle name="40% - Accent5 2 3 3" xfId="4395"/>
    <cellStyle name="40% - Accent5 2 3 3 2" xfId="8831"/>
    <cellStyle name="40% - Accent5 2 3 3 2 2" xfId="11816"/>
    <cellStyle name="40% - Accent5 2 3 3 2 2 2" xfId="13051"/>
    <cellStyle name="40% - Accent5 2 3 3 2 3" xfId="12854"/>
    <cellStyle name="40% - Accent5 2 3 3 2 4" xfId="10936"/>
    <cellStyle name="40% - Accent5 2 3 3 3" xfId="11340"/>
    <cellStyle name="40% - Accent5 2 3 3 3 2" xfId="13052"/>
    <cellStyle name="40% - Accent5 2 3 3 4" xfId="12382"/>
    <cellStyle name="40% - Accent5 2 3 3 5" xfId="10464"/>
    <cellStyle name="40% - Accent5 2 3 4" xfId="6823"/>
    <cellStyle name="40% - Accent5 2 3 4 2" xfId="11616"/>
    <cellStyle name="40% - Accent5 2 3 4 2 2" xfId="13053"/>
    <cellStyle name="40% - Accent5 2 3 4 3" xfId="12656"/>
    <cellStyle name="40% - Accent5 2 3 4 4" xfId="10738"/>
    <cellStyle name="40% - Accent5 2 3 5" xfId="11161"/>
    <cellStyle name="40% - Accent5 2 3 5 2" xfId="13054"/>
    <cellStyle name="40% - Accent5 2 3 6" xfId="12145"/>
    <cellStyle name="40% - Accent5 2 3 7" xfId="10288"/>
    <cellStyle name="40% - Accent5 3" xfId="644"/>
    <cellStyle name="40% - Accent5 3 2" xfId="1620"/>
    <cellStyle name="40% - Accent5 3 3" xfId="1787"/>
    <cellStyle name="40% - Accent5 3 4" xfId="2060"/>
    <cellStyle name="40% - Accent6 2" xfId="80"/>
    <cellStyle name="40% - Accent6 2 2" xfId="645"/>
    <cellStyle name="40% - Accent6 2 3" xfId="1921"/>
    <cellStyle name="40% - Accent6 2 3 2" xfId="2530"/>
    <cellStyle name="40% - Accent6 2 3 2 2" xfId="4573"/>
    <cellStyle name="40% - Accent6 2 3 2 2 2" xfId="8961"/>
    <cellStyle name="40% - Accent6 2 3 2 2 2 2" xfId="11905"/>
    <cellStyle name="40% - Accent6 2 3 2 2 2 2 2" xfId="13055"/>
    <cellStyle name="40% - Accent6 2 3 2 2 2 3" xfId="12943"/>
    <cellStyle name="40% - Accent6 2 3 2 2 2 4" xfId="11025"/>
    <cellStyle name="40% - Accent6 2 3 2 2 3" xfId="11429"/>
    <cellStyle name="40% - Accent6 2 3 2 2 3 2" xfId="13056"/>
    <cellStyle name="40% - Accent6 2 3 2 2 4" xfId="12471"/>
    <cellStyle name="40% - Accent6 2 3 2 2 5" xfId="10553"/>
    <cellStyle name="40% - Accent6 2 3 2 3" xfId="7599"/>
    <cellStyle name="40% - Accent6 2 3 2 3 2" xfId="11685"/>
    <cellStyle name="40% - Accent6 2 3 2 3 2 2" xfId="13057"/>
    <cellStyle name="40% - Accent6 2 3 2 3 3" xfId="12724"/>
    <cellStyle name="40% - Accent6 2 3 2 3 4" xfId="10806"/>
    <cellStyle name="40% - Accent6 2 3 2 4" xfId="11248"/>
    <cellStyle name="40% - Accent6 2 3 2 4 2" xfId="13058"/>
    <cellStyle name="40% - Accent6 2 3 2 5" xfId="12292"/>
    <cellStyle name="40% - Accent6 2 3 2 6" xfId="10374"/>
    <cellStyle name="40% - Accent6 2 3 3" xfId="4396"/>
    <cellStyle name="40% - Accent6 2 3 3 2" xfId="8832"/>
    <cellStyle name="40% - Accent6 2 3 3 2 2" xfId="11817"/>
    <cellStyle name="40% - Accent6 2 3 3 2 2 2" xfId="13059"/>
    <cellStyle name="40% - Accent6 2 3 3 2 3" xfId="12855"/>
    <cellStyle name="40% - Accent6 2 3 3 2 4" xfId="10937"/>
    <cellStyle name="40% - Accent6 2 3 3 3" xfId="11341"/>
    <cellStyle name="40% - Accent6 2 3 3 3 2" xfId="13060"/>
    <cellStyle name="40% - Accent6 2 3 3 4" xfId="12383"/>
    <cellStyle name="40% - Accent6 2 3 3 5" xfId="10465"/>
    <cellStyle name="40% - Accent6 2 3 4" xfId="7550"/>
    <cellStyle name="40% - Accent6 2 3 4 2" xfId="11682"/>
    <cellStyle name="40% - Accent6 2 3 4 2 2" xfId="13061"/>
    <cellStyle name="40% - Accent6 2 3 4 3" xfId="12721"/>
    <cellStyle name="40% - Accent6 2 3 4 4" xfId="10803"/>
    <cellStyle name="40% - Accent6 2 3 5" xfId="11162"/>
    <cellStyle name="40% - Accent6 2 3 5 2" xfId="13062"/>
    <cellStyle name="40% - Accent6 2 3 6" xfId="12146"/>
    <cellStyle name="40% - Accent6 2 3 7" xfId="10289"/>
    <cellStyle name="40% - Accent6 3" xfId="646"/>
    <cellStyle name="40% - Accent6 3 2" xfId="2061"/>
    <cellStyle name="60% - Accent1 2" xfId="81"/>
    <cellStyle name="60% - Accent1 2 2" xfId="647"/>
    <cellStyle name="60% - Accent1 2 3" xfId="1922"/>
    <cellStyle name="60% - Accent1 3" xfId="648"/>
    <cellStyle name="60% - Accent1 3 2" xfId="1622"/>
    <cellStyle name="60% - Accent1 3 3" xfId="1788"/>
    <cellStyle name="60% - Accent1 3 4" xfId="2062"/>
    <cellStyle name="60% - Accent2 2" xfId="82"/>
    <cellStyle name="60% - Accent2 2 2" xfId="649"/>
    <cellStyle name="60% - Accent2 2 3" xfId="1923"/>
    <cellStyle name="60% - Accent2 3" xfId="650"/>
    <cellStyle name="60% - Accent2 3 2" xfId="1623"/>
    <cellStyle name="60% - Accent2 3 3" xfId="1789"/>
    <cellStyle name="60% - Accent2 3 4" xfId="2063"/>
    <cellStyle name="60% - Accent3 2" xfId="83"/>
    <cellStyle name="60% - Accent3 2 2" xfId="651"/>
    <cellStyle name="60% - Accent3 2 3" xfId="1924"/>
    <cellStyle name="60% - Accent3 3" xfId="652"/>
    <cellStyle name="60% - Accent3 3 2" xfId="2064"/>
    <cellStyle name="60% - Accent4 2" xfId="84"/>
    <cellStyle name="60% - Accent4 2 2" xfId="653"/>
    <cellStyle name="60% - Accent4 2 3" xfId="1925"/>
    <cellStyle name="60% - Accent4 3" xfId="654"/>
    <cellStyle name="60% - Accent4 3 2" xfId="1625"/>
    <cellStyle name="60% - Accent4 3 3" xfId="1790"/>
    <cellStyle name="60% - Accent4 3 4" xfId="2065"/>
    <cellStyle name="60% - Accent5 2" xfId="85"/>
    <cellStyle name="60% - Accent5 2 2" xfId="655"/>
    <cellStyle name="60% - Accent5 2 3" xfId="1926"/>
    <cellStyle name="60% - Accent5 3" xfId="656"/>
    <cellStyle name="60% - Accent5 3 2" xfId="1626"/>
    <cellStyle name="60% - Accent5 3 3" xfId="1791"/>
    <cellStyle name="60% - Accent5 3 4" xfId="2066"/>
    <cellStyle name="60% - Accent6 2" xfId="86"/>
    <cellStyle name="60% - Accent6 2 2" xfId="657"/>
    <cellStyle name="60% - Accent6 2 3" xfId="1927"/>
    <cellStyle name="60% - Accent6 3" xfId="658"/>
    <cellStyle name="60% - Accent6 3 2" xfId="2067"/>
    <cellStyle name="Accent1 - 20%" xfId="87"/>
    <cellStyle name="Accent1 - 20% 2" xfId="659"/>
    <cellStyle name="Accent1 - 20% 3" xfId="1928"/>
    <cellStyle name="Accent1 - 20% 3 2" xfId="10136"/>
    <cellStyle name="Accent1 - 40%" xfId="88"/>
    <cellStyle name="Accent1 - 40% 2" xfId="660"/>
    <cellStyle name="Accent1 - 40% 3" xfId="1929"/>
    <cellStyle name="Accent1 - 40% 3 2" xfId="10137"/>
    <cellStyle name="Accent1 - 60%" xfId="89"/>
    <cellStyle name="Accent1 - 60% 2" xfId="661"/>
    <cellStyle name="Accent1 - 60% 3" xfId="1930"/>
    <cellStyle name="Accent1 - 60% 3 2" xfId="10138"/>
    <cellStyle name="Accent1 10" xfId="662"/>
    <cellStyle name="Accent1 10 2" xfId="1635"/>
    <cellStyle name="Accent1 10 3" xfId="1792"/>
    <cellStyle name="Accent1 11" xfId="663"/>
    <cellStyle name="Accent1 11 2" xfId="1662"/>
    <cellStyle name="Accent1 11 3" xfId="1793"/>
    <cellStyle name="Accent1 12" xfId="664"/>
    <cellStyle name="Accent1 12 2" xfId="1650"/>
    <cellStyle name="Accent1 12 3" xfId="1794"/>
    <cellStyle name="Accent1 13" xfId="665"/>
    <cellStyle name="Accent1 13 2" xfId="1648"/>
    <cellStyle name="Accent1 13 3" xfId="1795"/>
    <cellStyle name="Accent1 14" xfId="666"/>
    <cellStyle name="Accent1 14 2" xfId="1680"/>
    <cellStyle name="Accent1 14 3" xfId="1796"/>
    <cellStyle name="Accent1 15" xfId="667"/>
    <cellStyle name="Accent1 16" xfId="668"/>
    <cellStyle name="Accent1 17" xfId="669"/>
    <cellStyle name="Accent1 18" xfId="670"/>
    <cellStyle name="Accent1 19" xfId="671"/>
    <cellStyle name="Accent1 2" xfId="90"/>
    <cellStyle name="Accent1 2 2" xfId="672"/>
    <cellStyle name="Accent1 2 2 2" xfId="1932"/>
    <cellStyle name="Accent1 2 3" xfId="1931"/>
    <cellStyle name="Accent1 20" xfId="673"/>
    <cellStyle name="Accent1 21" xfId="674"/>
    <cellStyle name="Accent1 22" xfId="675"/>
    <cellStyle name="Accent1 23" xfId="676"/>
    <cellStyle name="Accent1 24" xfId="677"/>
    <cellStyle name="Accent1 25" xfId="678"/>
    <cellStyle name="Accent1 26" xfId="679"/>
    <cellStyle name="Accent1 27" xfId="680"/>
    <cellStyle name="Accent1 28" xfId="681"/>
    <cellStyle name="Accent1 29" xfId="682"/>
    <cellStyle name="Accent1 3" xfId="91"/>
    <cellStyle name="Accent1 3 2" xfId="683"/>
    <cellStyle name="Accent1 3 3" xfId="1933"/>
    <cellStyle name="Accent1 30" xfId="684"/>
    <cellStyle name="Accent1 31" xfId="685"/>
    <cellStyle name="Accent1 32" xfId="686"/>
    <cellStyle name="Accent1 33" xfId="687"/>
    <cellStyle name="Accent1 34" xfId="688"/>
    <cellStyle name="Accent1 35" xfId="689"/>
    <cellStyle name="Accent1 36" xfId="690"/>
    <cellStyle name="Accent1 37" xfId="691"/>
    <cellStyle name="Accent1 38" xfId="692"/>
    <cellStyle name="Accent1 39" xfId="693"/>
    <cellStyle name="Accent1 4" xfId="92"/>
    <cellStyle name="Accent1 4 2" xfId="694"/>
    <cellStyle name="Accent1 4 3" xfId="1934"/>
    <cellStyle name="Accent1 40" xfId="695"/>
    <cellStyle name="Accent1 41" xfId="696"/>
    <cellStyle name="Accent1 42" xfId="697"/>
    <cellStyle name="Accent1 43" xfId="698"/>
    <cellStyle name="Accent1 44" xfId="699"/>
    <cellStyle name="Accent1 45" xfId="700"/>
    <cellStyle name="Accent1 46" xfId="701"/>
    <cellStyle name="Accent1 5" xfId="93"/>
    <cellStyle name="Accent1 5 2" xfId="702"/>
    <cellStyle name="Accent1 5 3" xfId="1935"/>
    <cellStyle name="Accent1 6" xfId="703"/>
    <cellStyle name="Accent1 6 2" xfId="1628"/>
    <cellStyle name="Accent1 6 3" xfId="1797"/>
    <cellStyle name="Accent1 7" xfId="704"/>
    <cellStyle name="Accent1 7 2" xfId="1614"/>
    <cellStyle name="Accent1 7 3" xfId="1798"/>
    <cellStyle name="Accent1 8" xfId="705"/>
    <cellStyle name="Accent1 8 2" xfId="1615"/>
    <cellStyle name="Accent1 8 3" xfId="1799"/>
    <cellStyle name="Accent1 9" xfId="706"/>
    <cellStyle name="Accent1 9 2" xfId="1655"/>
    <cellStyle name="Accent1 9 3" xfId="1800"/>
    <cellStyle name="Accent2 - 20%" xfId="94"/>
    <cellStyle name="Accent2 - 20% 2" xfId="707"/>
    <cellStyle name="Accent2 - 20% 3" xfId="1936"/>
    <cellStyle name="Accent2 - 20% 3 2" xfId="10139"/>
    <cellStyle name="Accent2 - 40%" xfId="95"/>
    <cellStyle name="Accent2 - 40% 2" xfId="708"/>
    <cellStyle name="Accent2 - 40% 3" xfId="1937"/>
    <cellStyle name="Accent2 - 40% 3 2" xfId="10140"/>
    <cellStyle name="Accent2 - 60%" xfId="96"/>
    <cellStyle name="Accent2 - 60% 2" xfId="709"/>
    <cellStyle name="Accent2 - 60% 3" xfId="10141"/>
    <cellStyle name="Accent2 10" xfId="710"/>
    <cellStyle name="Accent2 10 2" xfId="1636"/>
    <cellStyle name="Accent2 10 3" xfId="1801"/>
    <cellStyle name="Accent2 11" xfId="711"/>
    <cellStyle name="Accent2 11 2" xfId="1663"/>
    <cellStyle name="Accent2 11 3" xfId="1802"/>
    <cellStyle name="Accent2 12" xfId="712"/>
    <cellStyle name="Accent2 12 2" xfId="1674"/>
    <cellStyle name="Accent2 12 3" xfId="1803"/>
    <cellStyle name="Accent2 13" xfId="713"/>
    <cellStyle name="Accent2 13 2" xfId="1646"/>
    <cellStyle name="Accent2 13 3" xfId="1804"/>
    <cellStyle name="Accent2 14" xfId="714"/>
    <cellStyle name="Accent2 14 2" xfId="1681"/>
    <cellStyle name="Accent2 14 3" xfId="1805"/>
    <cellStyle name="Accent2 15" xfId="715"/>
    <cellStyle name="Accent2 16" xfId="716"/>
    <cellStyle name="Accent2 17" xfId="717"/>
    <cellStyle name="Accent2 18" xfId="718"/>
    <cellStyle name="Accent2 19" xfId="719"/>
    <cellStyle name="Accent2 2" xfId="97"/>
    <cellStyle name="Accent2 2 2" xfId="720"/>
    <cellStyle name="Accent2 2 2 2" xfId="1939"/>
    <cellStyle name="Accent2 2 3" xfId="1938"/>
    <cellStyle name="Accent2 20" xfId="721"/>
    <cellStyle name="Accent2 21" xfId="722"/>
    <cellStyle name="Accent2 22" xfId="723"/>
    <cellStyle name="Accent2 23" xfId="724"/>
    <cellStyle name="Accent2 24" xfId="725"/>
    <cellStyle name="Accent2 25" xfId="726"/>
    <cellStyle name="Accent2 26" xfId="727"/>
    <cellStyle name="Accent2 27" xfId="728"/>
    <cellStyle name="Accent2 28" xfId="729"/>
    <cellStyle name="Accent2 29" xfId="730"/>
    <cellStyle name="Accent2 3" xfId="98"/>
    <cellStyle name="Accent2 3 2" xfId="731"/>
    <cellStyle name="Accent2 3 3" xfId="1940"/>
    <cellStyle name="Accent2 30" xfId="732"/>
    <cellStyle name="Accent2 31" xfId="733"/>
    <cellStyle name="Accent2 32" xfId="734"/>
    <cellStyle name="Accent2 33" xfId="735"/>
    <cellStyle name="Accent2 34" xfId="736"/>
    <cellStyle name="Accent2 35" xfId="737"/>
    <cellStyle name="Accent2 36" xfId="738"/>
    <cellStyle name="Accent2 37" xfId="739"/>
    <cellStyle name="Accent2 38" xfId="740"/>
    <cellStyle name="Accent2 39" xfId="741"/>
    <cellStyle name="Accent2 4" xfId="99"/>
    <cellStyle name="Accent2 4 2" xfId="742"/>
    <cellStyle name="Accent2 4 3" xfId="1941"/>
    <cellStyle name="Accent2 40" xfId="743"/>
    <cellStyle name="Accent2 41" xfId="744"/>
    <cellStyle name="Accent2 42" xfId="745"/>
    <cellStyle name="Accent2 43" xfId="746"/>
    <cellStyle name="Accent2 44" xfId="747"/>
    <cellStyle name="Accent2 45" xfId="748"/>
    <cellStyle name="Accent2 46" xfId="749"/>
    <cellStyle name="Accent2 5" xfId="100"/>
    <cellStyle name="Accent2 5 2" xfId="750"/>
    <cellStyle name="Accent2 5 3" xfId="1942"/>
    <cellStyle name="Accent2 6" xfId="751"/>
    <cellStyle name="Accent2 6 2" xfId="1629"/>
    <cellStyle name="Accent2 6 3" xfId="1806"/>
    <cellStyle name="Accent2 7" xfId="752"/>
    <cellStyle name="Accent2 7 2" xfId="1612"/>
    <cellStyle name="Accent2 7 3" xfId="1807"/>
    <cellStyle name="Accent2 8" xfId="753"/>
    <cellStyle name="Accent2 8 2" xfId="1618"/>
    <cellStyle name="Accent2 8 3" xfId="1808"/>
    <cellStyle name="Accent2 9" xfId="754"/>
    <cellStyle name="Accent2 9 2" xfId="1656"/>
    <cellStyle name="Accent2 9 3" xfId="1809"/>
    <cellStyle name="Accent3 - 20%" xfId="101"/>
    <cellStyle name="Accent3 - 20% 2" xfId="755"/>
    <cellStyle name="Accent3 - 20% 3" xfId="1943"/>
    <cellStyle name="Accent3 - 20% 3 2" xfId="10142"/>
    <cellStyle name="Accent3 - 40%" xfId="102"/>
    <cellStyle name="Accent3 - 40% 2" xfId="756"/>
    <cellStyle name="Accent3 - 40% 3" xfId="1944"/>
    <cellStyle name="Accent3 - 40% 3 2" xfId="10143"/>
    <cellStyle name="Accent3 - 60%" xfId="103"/>
    <cellStyle name="Accent3 - 60% 2" xfId="757"/>
    <cellStyle name="Accent3 - 60% 3" xfId="10144"/>
    <cellStyle name="Accent3 10" xfId="758"/>
    <cellStyle name="Accent3 10 2" xfId="1638"/>
    <cellStyle name="Accent3 10 3" xfId="1810"/>
    <cellStyle name="Accent3 11" xfId="759"/>
    <cellStyle name="Accent3 11 2" xfId="1664"/>
    <cellStyle name="Accent3 11 3" xfId="1811"/>
    <cellStyle name="Accent3 12" xfId="760"/>
    <cellStyle name="Accent3 12 2" xfId="1675"/>
    <cellStyle name="Accent3 12 3" xfId="1812"/>
    <cellStyle name="Accent3 13" xfId="761"/>
    <cellStyle name="Accent3 13 2" xfId="1645"/>
    <cellStyle name="Accent3 13 3" xfId="1813"/>
    <cellStyle name="Accent3 14" xfId="762"/>
    <cellStyle name="Accent3 14 2" xfId="1686"/>
    <cellStyle name="Accent3 14 3" xfId="1814"/>
    <cellStyle name="Accent3 15" xfId="763"/>
    <cellStyle name="Accent3 16" xfId="764"/>
    <cellStyle name="Accent3 17" xfId="765"/>
    <cellStyle name="Accent3 18" xfId="766"/>
    <cellStyle name="Accent3 19" xfId="767"/>
    <cellStyle name="Accent3 2" xfId="104"/>
    <cellStyle name="Accent3 2 2" xfId="768"/>
    <cellStyle name="Accent3 2 2 2" xfId="1946"/>
    <cellStyle name="Accent3 2 3" xfId="1945"/>
    <cellStyle name="Accent3 20" xfId="769"/>
    <cellStyle name="Accent3 21" xfId="770"/>
    <cellStyle name="Accent3 22" xfId="771"/>
    <cellStyle name="Accent3 23" xfId="772"/>
    <cellStyle name="Accent3 24" xfId="773"/>
    <cellStyle name="Accent3 25" xfId="774"/>
    <cellStyle name="Accent3 26" xfId="775"/>
    <cellStyle name="Accent3 27" xfId="776"/>
    <cellStyle name="Accent3 28" xfId="777"/>
    <cellStyle name="Accent3 29" xfId="778"/>
    <cellStyle name="Accent3 3" xfId="105"/>
    <cellStyle name="Accent3 3 2" xfId="779"/>
    <cellStyle name="Accent3 3 3" xfId="1947"/>
    <cellStyle name="Accent3 30" xfId="780"/>
    <cellStyle name="Accent3 31" xfId="781"/>
    <cellStyle name="Accent3 32" xfId="782"/>
    <cellStyle name="Accent3 33" xfId="783"/>
    <cellStyle name="Accent3 34" xfId="784"/>
    <cellStyle name="Accent3 35" xfId="785"/>
    <cellStyle name="Accent3 36" xfId="786"/>
    <cellStyle name="Accent3 37" xfId="787"/>
    <cellStyle name="Accent3 38" xfId="788"/>
    <cellStyle name="Accent3 39" xfId="789"/>
    <cellStyle name="Accent3 4" xfId="106"/>
    <cellStyle name="Accent3 4 2" xfId="790"/>
    <cellStyle name="Accent3 4 3" xfId="1948"/>
    <cellStyle name="Accent3 40" xfId="791"/>
    <cellStyle name="Accent3 41" xfId="792"/>
    <cellStyle name="Accent3 42" xfId="793"/>
    <cellStyle name="Accent3 43" xfId="794"/>
    <cellStyle name="Accent3 44" xfId="795"/>
    <cellStyle name="Accent3 45" xfId="796"/>
    <cellStyle name="Accent3 46" xfId="797"/>
    <cellStyle name="Accent3 5" xfId="107"/>
    <cellStyle name="Accent3 5 2" xfId="798"/>
    <cellStyle name="Accent3 5 3" xfId="1949"/>
    <cellStyle name="Accent3 6" xfId="799"/>
    <cellStyle name="Accent3 6 2" xfId="1630"/>
    <cellStyle name="Accent3 6 3" xfId="1815"/>
    <cellStyle name="Accent3 7" xfId="800"/>
    <cellStyle name="Accent3 7 2" xfId="1611"/>
    <cellStyle name="Accent3 7 3" xfId="1816"/>
    <cellStyle name="Accent3 8" xfId="801"/>
    <cellStyle name="Accent3 8 2" xfId="1621"/>
    <cellStyle name="Accent3 8 3" xfId="1817"/>
    <cellStyle name="Accent3 8 4" xfId="2068"/>
    <cellStyle name="Accent3 9" xfId="802"/>
    <cellStyle name="Accent3 9 2" xfId="1657"/>
    <cellStyle name="Accent3 9 3" xfId="1818"/>
    <cellStyle name="Accent3 9 4" xfId="2087"/>
    <cellStyle name="Accent4 - 20%" xfId="108"/>
    <cellStyle name="Accent4 - 20% 2" xfId="803"/>
    <cellStyle name="Accent4 - 20% 3" xfId="1950"/>
    <cellStyle name="Accent4 - 40%" xfId="109"/>
    <cellStyle name="Accent4 - 40% 2" xfId="804"/>
    <cellStyle name="Accent4 - 40% 3" xfId="10145"/>
    <cellStyle name="Accent4 - 60%" xfId="110"/>
    <cellStyle name="Accent4 - 60% 2" xfId="805"/>
    <cellStyle name="Accent4 - 60% 3" xfId="10146"/>
    <cellStyle name="Accent4 10" xfId="806"/>
    <cellStyle name="Accent4 10 2" xfId="1640"/>
    <cellStyle name="Accent4 10 3" xfId="1819"/>
    <cellStyle name="Accent4 11" xfId="807"/>
    <cellStyle name="Accent4 11 2" xfId="1666"/>
    <cellStyle name="Accent4 11 3" xfId="1820"/>
    <cellStyle name="Accent4 12" xfId="808"/>
    <cellStyle name="Accent4 12 2" xfId="1676"/>
    <cellStyle name="Accent4 12 3" xfId="1821"/>
    <cellStyle name="Accent4 13" xfId="809"/>
    <cellStyle name="Accent4 13 2" xfId="1669"/>
    <cellStyle name="Accent4 13 3" xfId="1822"/>
    <cellStyle name="Accent4 14" xfId="810"/>
    <cellStyle name="Accent4 14 2" xfId="1688"/>
    <cellStyle name="Accent4 14 3" xfId="1823"/>
    <cellStyle name="Accent4 15" xfId="811"/>
    <cellStyle name="Accent4 16" xfId="812"/>
    <cellStyle name="Accent4 17" xfId="813"/>
    <cellStyle name="Accent4 18" xfId="814"/>
    <cellStyle name="Accent4 19" xfId="815"/>
    <cellStyle name="Accent4 2" xfId="111"/>
    <cellStyle name="Accent4 2 2" xfId="816"/>
    <cellStyle name="Accent4 2 2 2" xfId="1952"/>
    <cellStyle name="Accent4 2 3" xfId="1951"/>
    <cellStyle name="Accent4 20" xfId="817"/>
    <cellStyle name="Accent4 21" xfId="818"/>
    <cellStyle name="Accent4 22" xfId="819"/>
    <cellStyle name="Accent4 23" xfId="820"/>
    <cellStyle name="Accent4 24" xfId="821"/>
    <cellStyle name="Accent4 25" xfId="822"/>
    <cellStyle name="Accent4 26" xfId="823"/>
    <cellStyle name="Accent4 27" xfId="824"/>
    <cellStyle name="Accent4 28" xfId="825"/>
    <cellStyle name="Accent4 29" xfId="826"/>
    <cellStyle name="Accent4 3" xfId="112"/>
    <cellStyle name="Accent4 3 2" xfId="827"/>
    <cellStyle name="Accent4 3 3" xfId="1953"/>
    <cellStyle name="Accent4 30" xfId="828"/>
    <cellStyle name="Accent4 31" xfId="829"/>
    <cellStyle name="Accent4 32" xfId="830"/>
    <cellStyle name="Accent4 33" xfId="831"/>
    <cellStyle name="Accent4 34" xfId="832"/>
    <cellStyle name="Accent4 35" xfId="833"/>
    <cellStyle name="Accent4 36" xfId="834"/>
    <cellStyle name="Accent4 37" xfId="835"/>
    <cellStyle name="Accent4 38" xfId="836"/>
    <cellStyle name="Accent4 39" xfId="837"/>
    <cellStyle name="Accent4 4" xfId="113"/>
    <cellStyle name="Accent4 4 2" xfId="838"/>
    <cellStyle name="Accent4 4 3" xfId="1954"/>
    <cellStyle name="Accent4 40" xfId="839"/>
    <cellStyle name="Accent4 41" xfId="840"/>
    <cellStyle name="Accent4 42" xfId="841"/>
    <cellStyle name="Accent4 43" xfId="842"/>
    <cellStyle name="Accent4 44" xfId="843"/>
    <cellStyle name="Accent4 45" xfId="844"/>
    <cellStyle name="Accent4 46" xfId="845"/>
    <cellStyle name="Accent4 5" xfId="114"/>
    <cellStyle name="Accent4 5 2" xfId="846"/>
    <cellStyle name="Accent4 5 3" xfId="1955"/>
    <cellStyle name="Accent4 6" xfId="847"/>
    <cellStyle name="Accent4 6 2" xfId="1631"/>
    <cellStyle name="Accent4 6 3" xfId="1824"/>
    <cellStyle name="Accent4 7" xfId="848"/>
    <cellStyle name="Accent4 7 2" xfId="1652"/>
    <cellStyle name="Accent4 7 3" xfId="1825"/>
    <cellStyle name="Accent4 8" xfId="849"/>
    <cellStyle name="Accent4 8 2" xfId="1624"/>
    <cellStyle name="Accent4 8 3" xfId="1826"/>
    <cellStyle name="Accent4 8 4" xfId="2069"/>
    <cellStyle name="Accent4 9" xfId="850"/>
    <cellStyle name="Accent4 9 2" xfId="1659"/>
    <cellStyle name="Accent4 9 3" xfId="1827"/>
    <cellStyle name="Accent4 9 4" xfId="2085"/>
    <cellStyle name="Accent5 - 20%" xfId="115"/>
    <cellStyle name="Accent5 - 20% 2" xfId="851"/>
    <cellStyle name="Accent5 - 20% 3" xfId="1956"/>
    <cellStyle name="Accent5 - 20% 3 2" xfId="10147"/>
    <cellStyle name="Accent5 - 40%" xfId="116"/>
    <cellStyle name="Accent5 - 40% 2" xfId="852"/>
    <cellStyle name="Accent5 - 40% 3" xfId="10148"/>
    <cellStyle name="Accent5 - 60%" xfId="117"/>
    <cellStyle name="Accent5 - 60% 2" xfId="853"/>
    <cellStyle name="Accent5 - 60% 3" xfId="1957"/>
    <cellStyle name="Accent5 - 60% 3 2" xfId="10149"/>
    <cellStyle name="Accent5 10" xfId="854"/>
    <cellStyle name="Accent5 10 2" xfId="1643"/>
    <cellStyle name="Accent5 10 3" xfId="1828"/>
    <cellStyle name="Accent5 11" xfId="855"/>
    <cellStyle name="Accent5 11 2" xfId="1667"/>
    <cellStyle name="Accent5 11 3" xfId="1829"/>
    <cellStyle name="Accent5 12" xfId="856"/>
    <cellStyle name="Accent5 12 2" xfId="1677"/>
    <cellStyle name="Accent5 12 3" xfId="1830"/>
    <cellStyle name="Accent5 13" xfId="857"/>
    <cellStyle name="Accent5 13 2" xfId="1670"/>
    <cellStyle name="Accent5 13 3" xfId="1831"/>
    <cellStyle name="Accent5 14" xfId="858"/>
    <cellStyle name="Accent5 14 2" xfId="1689"/>
    <cellStyle name="Accent5 14 3" xfId="1832"/>
    <cellStyle name="Accent5 15" xfId="859"/>
    <cellStyle name="Accent5 16" xfId="860"/>
    <cellStyle name="Accent5 17" xfId="861"/>
    <cellStyle name="Accent5 18" xfId="862"/>
    <cellStyle name="Accent5 19" xfId="863"/>
    <cellStyle name="Accent5 2" xfId="118"/>
    <cellStyle name="Accent5 2 2" xfId="864"/>
    <cellStyle name="Accent5 2 2 2" xfId="1959"/>
    <cellStyle name="Accent5 2 3" xfId="1958"/>
    <cellStyle name="Accent5 20" xfId="865"/>
    <cellStyle name="Accent5 21" xfId="866"/>
    <cellStyle name="Accent5 22" xfId="867"/>
    <cellStyle name="Accent5 23" xfId="868"/>
    <cellStyle name="Accent5 24" xfId="869"/>
    <cellStyle name="Accent5 25" xfId="870"/>
    <cellStyle name="Accent5 26" xfId="871"/>
    <cellStyle name="Accent5 27" xfId="872"/>
    <cellStyle name="Accent5 28" xfId="873"/>
    <cellStyle name="Accent5 29" xfId="874"/>
    <cellStyle name="Accent5 3" xfId="119"/>
    <cellStyle name="Accent5 3 2" xfId="875"/>
    <cellStyle name="Accent5 3 3" xfId="1960"/>
    <cellStyle name="Accent5 30" xfId="876"/>
    <cellStyle name="Accent5 31" xfId="877"/>
    <cellStyle name="Accent5 32" xfId="878"/>
    <cellStyle name="Accent5 33" xfId="879"/>
    <cellStyle name="Accent5 34" xfId="880"/>
    <cellStyle name="Accent5 35" xfId="881"/>
    <cellStyle name="Accent5 36" xfId="882"/>
    <cellStyle name="Accent5 37" xfId="883"/>
    <cellStyle name="Accent5 38" xfId="884"/>
    <cellStyle name="Accent5 39" xfId="885"/>
    <cellStyle name="Accent5 4" xfId="120"/>
    <cellStyle name="Accent5 4 2" xfId="886"/>
    <cellStyle name="Accent5 4 3" xfId="1961"/>
    <cellStyle name="Accent5 40" xfId="887"/>
    <cellStyle name="Accent5 41" xfId="888"/>
    <cellStyle name="Accent5 42" xfId="889"/>
    <cellStyle name="Accent5 43" xfId="890"/>
    <cellStyle name="Accent5 44" xfId="891"/>
    <cellStyle name="Accent5 45" xfId="892"/>
    <cellStyle name="Accent5 46" xfId="893"/>
    <cellStyle name="Accent5 5" xfId="121"/>
    <cellStyle name="Accent5 5 2" xfId="894"/>
    <cellStyle name="Accent5 5 3" xfId="1962"/>
    <cellStyle name="Accent5 6" xfId="895"/>
    <cellStyle name="Accent5 6 2" xfId="1632"/>
    <cellStyle name="Accent5 6 3" xfId="1833"/>
    <cellStyle name="Accent5 7" xfId="896"/>
    <cellStyle name="Accent5 7 2" xfId="1653"/>
    <cellStyle name="Accent5 7 3" xfId="1834"/>
    <cellStyle name="Accent5 8" xfId="897"/>
    <cellStyle name="Accent5 8 2" xfId="1627"/>
    <cellStyle name="Accent5 8 3" xfId="1835"/>
    <cellStyle name="Accent5 8 4" xfId="2070"/>
    <cellStyle name="Accent5 9" xfId="898"/>
    <cellStyle name="Accent5 9 2" xfId="1660"/>
    <cellStyle name="Accent5 9 3" xfId="1836"/>
    <cellStyle name="Accent5 9 4" xfId="2084"/>
    <cellStyle name="Accent6 - 20%" xfId="122"/>
    <cellStyle name="Accent6 - 20% 2" xfId="899"/>
    <cellStyle name="Accent6 - 40%" xfId="123"/>
    <cellStyle name="Accent6 - 40% 2" xfId="900"/>
    <cellStyle name="Accent6 - 40% 3" xfId="1963"/>
    <cellStyle name="Accent6 - 60%" xfId="124"/>
    <cellStyle name="Accent6 - 60% 2" xfId="901"/>
    <cellStyle name="Accent6 - 60% 3" xfId="10150"/>
    <cellStyle name="Accent6 10" xfId="902"/>
    <cellStyle name="Accent6 10 2" xfId="1644"/>
    <cellStyle name="Accent6 10 3" xfId="1837"/>
    <cellStyle name="Accent6 11" xfId="903"/>
    <cellStyle name="Accent6 11 2" xfId="1668"/>
    <cellStyle name="Accent6 11 3" xfId="1838"/>
    <cellStyle name="Accent6 12" xfId="904"/>
    <cellStyle name="Accent6 12 2" xfId="1678"/>
    <cellStyle name="Accent6 12 3" xfId="1839"/>
    <cellStyle name="Accent6 13" xfId="905"/>
    <cellStyle name="Accent6 13 2" xfId="1671"/>
    <cellStyle name="Accent6 13 3" xfId="1840"/>
    <cellStyle name="Accent6 14" xfId="906"/>
    <cellStyle name="Accent6 14 2" xfId="1690"/>
    <cellStyle name="Accent6 14 3" xfId="1841"/>
    <cellStyle name="Accent6 15" xfId="907"/>
    <cellStyle name="Accent6 16" xfId="908"/>
    <cellStyle name="Accent6 17" xfId="909"/>
    <cellStyle name="Accent6 18" xfId="910"/>
    <cellStyle name="Accent6 19" xfId="911"/>
    <cellStyle name="Accent6 2" xfId="125"/>
    <cellStyle name="Accent6 2 2" xfId="912"/>
    <cellStyle name="Accent6 2 2 2" xfId="1965"/>
    <cellStyle name="Accent6 2 3" xfId="1964"/>
    <cellStyle name="Accent6 20" xfId="913"/>
    <cellStyle name="Accent6 21" xfId="914"/>
    <cellStyle name="Accent6 22" xfId="915"/>
    <cellStyle name="Accent6 23" xfId="916"/>
    <cellStyle name="Accent6 24" xfId="917"/>
    <cellStyle name="Accent6 25" xfId="918"/>
    <cellStyle name="Accent6 26" xfId="919"/>
    <cellStyle name="Accent6 27" xfId="920"/>
    <cellStyle name="Accent6 28" xfId="921"/>
    <cellStyle name="Accent6 29" xfId="922"/>
    <cellStyle name="Accent6 3" xfId="126"/>
    <cellStyle name="Accent6 3 2" xfId="923"/>
    <cellStyle name="Accent6 3 3" xfId="1966"/>
    <cellStyle name="Accent6 30" xfId="924"/>
    <cellStyle name="Accent6 31" xfId="925"/>
    <cellStyle name="Accent6 32" xfId="926"/>
    <cellStyle name="Accent6 33" xfId="927"/>
    <cellStyle name="Accent6 34" xfId="928"/>
    <cellStyle name="Accent6 35" xfId="929"/>
    <cellStyle name="Accent6 36" xfId="930"/>
    <cellStyle name="Accent6 37" xfId="931"/>
    <cellStyle name="Accent6 38" xfId="932"/>
    <cellStyle name="Accent6 39" xfId="933"/>
    <cellStyle name="Accent6 4" xfId="127"/>
    <cellStyle name="Accent6 4 2" xfId="934"/>
    <cellStyle name="Accent6 4 3" xfId="1967"/>
    <cellStyle name="Accent6 40" xfId="935"/>
    <cellStyle name="Accent6 41" xfId="936"/>
    <cellStyle name="Accent6 42" xfId="937"/>
    <cellStyle name="Accent6 43" xfId="938"/>
    <cellStyle name="Accent6 44" xfId="939"/>
    <cellStyle name="Accent6 45" xfId="940"/>
    <cellStyle name="Accent6 46" xfId="941"/>
    <cellStyle name="Accent6 5" xfId="128"/>
    <cellStyle name="Accent6 5 2" xfId="942"/>
    <cellStyle name="Accent6 5 3" xfId="1968"/>
    <cellStyle name="Accent6 6" xfId="943"/>
    <cellStyle name="Accent6 6 2" xfId="1633"/>
    <cellStyle name="Accent6 6 3" xfId="1842"/>
    <cellStyle name="Accent6 7" xfId="944"/>
    <cellStyle name="Accent6 7 2" xfId="1654"/>
    <cellStyle name="Accent6 7 3" xfId="1843"/>
    <cellStyle name="Accent6 8" xfId="945"/>
    <cellStyle name="Accent6 8 2" xfId="1634"/>
    <cellStyle name="Accent6 8 3" xfId="1844"/>
    <cellStyle name="Accent6 8 4" xfId="2071"/>
    <cellStyle name="Accent6 9" xfId="946"/>
    <cellStyle name="Accent6 9 2" xfId="1661"/>
    <cellStyle name="Accent6 9 3" xfId="1845"/>
    <cellStyle name="Accent6 9 4" xfId="2086"/>
    <cellStyle name="Agara" xfId="129"/>
    <cellStyle name="Assumptions Center Currency" xfId="947"/>
    <cellStyle name="Assumptions Center Currency 10" xfId="3075"/>
    <cellStyle name="Assumptions Center Currency 10 2" xfId="3761"/>
    <cellStyle name="Assumptions Center Currency 10 2 2" xfId="7462"/>
    <cellStyle name="Assumptions Center Currency 10 3" xfId="5973"/>
    <cellStyle name="Assumptions Center Currency 10 3 2" xfId="9867"/>
    <cellStyle name="Assumptions Center Currency 10 4" xfId="9315"/>
    <cellStyle name="Assumptions Center Currency 11" xfId="3383"/>
    <cellStyle name="Assumptions Center Currency 11 2" xfId="4957"/>
    <cellStyle name="Assumptions Center Currency 11 2 2" xfId="7750"/>
    <cellStyle name="Assumptions Center Currency 11 3" xfId="7068"/>
    <cellStyle name="Assumptions Center Currency 12" xfId="4023"/>
    <cellStyle name="Assumptions Center Currency 12 2" xfId="8330"/>
    <cellStyle name="Assumptions Center Currency 13" xfId="9458"/>
    <cellStyle name="Assumptions Center Currency 2" xfId="948"/>
    <cellStyle name="Assumptions Center Currency 2 10" xfId="3384"/>
    <cellStyle name="Assumptions Center Currency 2 10 2" xfId="4958"/>
    <cellStyle name="Assumptions Center Currency 2 10 2 2" xfId="9550"/>
    <cellStyle name="Assumptions Center Currency 2 10 3" xfId="9603"/>
    <cellStyle name="Assumptions Center Currency 2 11" xfId="4022"/>
    <cellStyle name="Assumptions Center Currency 2 11 2" xfId="9644"/>
    <cellStyle name="Assumptions Center Currency 2 12" xfId="8998"/>
    <cellStyle name="Assumptions Center Currency 2 2" xfId="1709"/>
    <cellStyle name="Assumptions Center Currency 2 2 10" xfId="3452"/>
    <cellStyle name="Assumptions Center Currency 2 2 10 2" xfId="5022"/>
    <cellStyle name="Assumptions Center Currency 2 2 10 2 2" xfId="6860"/>
    <cellStyle name="Assumptions Center Currency 2 2 10 3" xfId="8327"/>
    <cellStyle name="Assumptions Center Currency 2 2 11" xfId="3647"/>
    <cellStyle name="Assumptions Center Currency 2 2 11 2" xfId="9519"/>
    <cellStyle name="Assumptions Center Currency 2 2 12" xfId="8291"/>
    <cellStyle name="Assumptions Center Currency 2 2 2" xfId="1758"/>
    <cellStyle name="Assumptions Center Currency 2 2 2 10" xfId="8293"/>
    <cellStyle name="Assumptions Center Currency 2 2 2 2" xfId="2473"/>
    <cellStyle name="Assumptions Center Currency 2 2 2 2 2" xfId="2596"/>
    <cellStyle name="Assumptions Center Currency 2 2 2 2 2 2" xfId="4461"/>
    <cellStyle name="Assumptions Center Currency 2 2 2 2 2 2 2" xfId="7384"/>
    <cellStyle name="Assumptions Center Currency 2 2 2 2 2 3" xfId="6506"/>
    <cellStyle name="Assumptions Center Currency 2 2 2 2 3" xfId="4738"/>
    <cellStyle name="Assumptions Center Currency 2 2 2 2 3 2" xfId="7595"/>
    <cellStyle name="Assumptions Center Currency 2 2 2 2 4" xfId="7300"/>
    <cellStyle name="Assumptions Center Currency 2 2 2 3" xfId="2341"/>
    <cellStyle name="Assumptions Center Currency 2 2 2 3 2" xfId="2931"/>
    <cellStyle name="Assumptions Center Currency 2 2 2 3 2 2" xfId="3847"/>
    <cellStyle name="Assumptions Center Currency 2 2 2 3 2 2 2" xfId="9084"/>
    <cellStyle name="Assumptions Center Currency 2 2 2 3 2 3" xfId="8149"/>
    <cellStyle name="Assumptions Center Currency 2 2 2 3 3" xfId="4183"/>
    <cellStyle name="Assumptions Center Currency 2 2 2 3 3 2" xfId="7624"/>
    <cellStyle name="Assumptions Center Currency 2 2 2 3 4" xfId="5672"/>
    <cellStyle name="Assumptions Center Currency 2 2 2 3 4 2" xfId="7457"/>
    <cellStyle name="Assumptions Center Currency 2 2 2 3 5" xfId="8318"/>
    <cellStyle name="Assumptions Center Currency 2 2 2 4" xfId="2105"/>
    <cellStyle name="Assumptions Center Currency 2 2 2 4 2" xfId="4473"/>
    <cellStyle name="Assumptions Center Currency 2 2 2 4 2 2" xfId="9301"/>
    <cellStyle name="Assumptions Center Currency 2 2 2 4 3" xfId="5577"/>
    <cellStyle name="Assumptions Center Currency 2 2 2 4 3 2" xfId="6523"/>
    <cellStyle name="Assumptions Center Currency 2 2 2 4 4" xfId="8019"/>
    <cellStyle name="Assumptions Center Currency 2 2 2 5" xfId="2808"/>
    <cellStyle name="Assumptions Center Currency 2 2 2 5 2" xfId="4230"/>
    <cellStyle name="Assumptions Center Currency 2 2 2 5 2 2" xfId="9380"/>
    <cellStyle name="Assumptions Center Currency 2 2 2 5 3" xfId="5742"/>
    <cellStyle name="Assumptions Center Currency 2 2 2 5 3 2" xfId="7194"/>
    <cellStyle name="Assumptions Center Currency 2 2 2 5 4" xfId="6454"/>
    <cellStyle name="Assumptions Center Currency 2 2 2 6" xfId="3195"/>
    <cellStyle name="Assumptions Center Currency 2 2 2 6 2" xfId="4260"/>
    <cellStyle name="Assumptions Center Currency 2 2 2 6 2 2" xfId="8739"/>
    <cellStyle name="Assumptions Center Currency 2 2 2 6 3" xfId="6084"/>
    <cellStyle name="Assumptions Center Currency 2 2 2 6 3 2" xfId="9978"/>
    <cellStyle name="Assumptions Center Currency 2 2 2 6 4" xfId="9275"/>
    <cellStyle name="Assumptions Center Currency 2 2 2 7" xfId="3360"/>
    <cellStyle name="Assumptions Center Currency 2 2 2 7 2" xfId="4950"/>
    <cellStyle name="Assumptions Center Currency 2 2 2 7 2 2" xfId="8146"/>
    <cellStyle name="Assumptions Center Currency 2 2 2 7 3" xfId="6226"/>
    <cellStyle name="Assumptions Center Currency 2 2 2 7 3 2" xfId="10120"/>
    <cellStyle name="Assumptions Center Currency 2 2 2 7 4" xfId="9654"/>
    <cellStyle name="Assumptions Center Currency 2 2 2 8" xfId="3487"/>
    <cellStyle name="Assumptions Center Currency 2 2 2 8 2" xfId="5057"/>
    <cellStyle name="Assumptions Center Currency 2 2 2 8 2 2" xfId="8435"/>
    <cellStyle name="Assumptions Center Currency 2 2 2 8 3" xfId="8594"/>
    <cellStyle name="Assumptions Center Currency 2 2 2 9" xfId="4241"/>
    <cellStyle name="Assumptions Center Currency 2 2 2 9 2" xfId="7950"/>
    <cellStyle name="Assumptions Center Currency 2 2 3" xfId="2323"/>
    <cellStyle name="Assumptions Center Currency 2 2 3 2" xfId="2670"/>
    <cellStyle name="Assumptions Center Currency 2 2 3 2 2" xfId="4099"/>
    <cellStyle name="Assumptions Center Currency 2 2 3 2 2 2" xfId="9162"/>
    <cellStyle name="Assumptions Center Currency 2 2 3 2 3" xfId="8048"/>
    <cellStyle name="Assumptions Center Currency 2 2 3 3" xfId="4494"/>
    <cellStyle name="Assumptions Center Currency 2 2 3 3 2" xfId="8879"/>
    <cellStyle name="Assumptions Center Currency 2 2 3 4" xfId="5100"/>
    <cellStyle name="Assumptions Center Currency 2 2 3 4 2" xfId="9471"/>
    <cellStyle name="Assumptions Center Currency 2 2 3 5" xfId="5500"/>
    <cellStyle name="Assumptions Center Currency 2 2 3 5 2" xfId="6444"/>
    <cellStyle name="Assumptions Center Currency 2 2 3 6" xfId="8066"/>
    <cellStyle name="Assumptions Center Currency 2 2 4" xfId="2308"/>
    <cellStyle name="Assumptions Center Currency 2 2 4 2" xfId="4460"/>
    <cellStyle name="Assumptions Center Currency 2 2 4 2 2" xfId="9649"/>
    <cellStyle name="Assumptions Center Currency 2 2 4 3" xfId="5528"/>
    <cellStyle name="Assumptions Center Currency 2 2 4 3 2" xfId="6716"/>
    <cellStyle name="Assumptions Center Currency 2 2 4 4" xfId="6855"/>
    <cellStyle name="Assumptions Center Currency 2 2 5" xfId="3214"/>
    <cellStyle name="Assumptions Center Currency 2 2 5 2" xfId="3697"/>
    <cellStyle name="Assumptions Center Currency 2 2 5 2 2" xfId="6624"/>
    <cellStyle name="Assumptions Center Currency 2 2 5 3" xfId="6102"/>
    <cellStyle name="Assumptions Center Currency 2 2 5 3 2" xfId="9996"/>
    <cellStyle name="Assumptions Center Currency 2 2 5 4" xfId="8040"/>
    <cellStyle name="Assumptions Center Currency 2 2 6" xfId="2925"/>
    <cellStyle name="Assumptions Center Currency 2 2 6 2" xfId="4266"/>
    <cellStyle name="Assumptions Center Currency 2 2 6 2 2" xfId="9684"/>
    <cellStyle name="Assumptions Center Currency 2 2 6 3" xfId="5854"/>
    <cellStyle name="Assumptions Center Currency 2 2 6 3 2" xfId="7349"/>
    <cellStyle name="Assumptions Center Currency 2 2 6 4" xfId="8054"/>
    <cellStyle name="Assumptions Center Currency 2 2 7" xfId="2795"/>
    <cellStyle name="Assumptions Center Currency 2 2 7 2" xfId="4232"/>
    <cellStyle name="Assumptions Center Currency 2 2 7 2 2" xfId="8847"/>
    <cellStyle name="Assumptions Center Currency 2 2 7 3" xfId="5729"/>
    <cellStyle name="Assumptions Center Currency 2 2 7 3 2" xfId="6819"/>
    <cellStyle name="Assumptions Center Currency 2 2 7 4" xfId="7629"/>
    <cellStyle name="Assumptions Center Currency 2 2 8" xfId="2826"/>
    <cellStyle name="Assumptions Center Currency 2 2 8 2" xfId="4164"/>
    <cellStyle name="Assumptions Center Currency 2 2 8 2 2" xfId="8759"/>
    <cellStyle name="Assumptions Center Currency 2 2 8 3" xfId="5759"/>
    <cellStyle name="Assumptions Center Currency 2 2 8 3 2" xfId="6763"/>
    <cellStyle name="Assumptions Center Currency 2 2 8 4" xfId="8580"/>
    <cellStyle name="Assumptions Center Currency 2 2 9" xfId="3356"/>
    <cellStyle name="Assumptions Center Currency 2 2 9 2" xfId="4946"/>
    <cellStyle name="Assumptions Center Currency 2 2 9 2 2" xfId="8999"/>
    <cellStyle name="Assumptions Center Currency 2 2 9 3" xfId="6222"/>
    <cellStyle name="Assumptions Center Currency 2 2 9 3 2" xfId="10116"/>
    <cellStyle name="Assumptions Center Currency 2 2 9 4" xfId="7792"/>
    <cellStyle name="Assumptions Center Currency 2 3" xfId="2249"/>
    <cellStyle name="Assumptions Center Currency 2 3 2" xfId="2640"/>
    <cellStyle name="Assumptions Center Currency 2 3 2 2" xfId="4112"/>
    <cellStyle name="Assumptions Center Currency 2 3 2 2 2" xfId="7928"/>
    <cellStyle name="Assumptions Center Currency 2 3 2 3" xfId="8096"/>
    <cellStyle name="Assumptions Center Currency 2 3 3" xfId="4301"/>
    <cellStyle name="Assumptions Center Currency 2 3 3 2" xfId="9615"/>
    <cellStyle name="Assumptions Center Currency 2 3 4" xfId="5152"/>
    <cellStyle name="Assumptions Center Currency 2 3 4 2" xfId="8507"/>
    <cellStyle name="Assumptions Center Currency 2 3 5" xfId="5471"/>
    <cellStyle name="Assumptions Center Currency 2 3 5 2" xfId="6901"/>
    <cellStyle name="Assumptions Center Currency 2 3 6" xfId="9294"/>
    <cellStyle name="Assumptions Center Currency 2 4" xfId="2269"/>
    <cellStyle name="Assumptions Center Currency 2 4 2" xfId="4872"/>
    <cellStyle name="Assumptions Center Currency 2 4 2 2" xfId="9634"/>
    <cellStyle name="Assumptions Center Currency 2 4 3" xfId="5460"/>
    <cellStyle name="Assumptions Center Currency 2 4 3 2" xfId="7688"/>
    <cellStyle name="Assumptions Center Currency 2 4 4" xfId="7289"/>
    <cellStyle name="Assumptions Center Currency 2 5" xfId="2918"/>
    <cellStyle name="Assumptions Center Currency 2 5 2" xfId="4222"/>
    <cellStyle name="Assumptions Center Currency 2 5 2 2" xfId="8563"/>
    <cellStyle name="Assumptions Center Currency 2 5 3" xfId="5847"/>
    <cellStyle name="Assumptions Center Currency 2 5 3 2" xfId="7303"/>
    <cellStyle name="Assumptions Center Currency 2 5 4" xfId="6891"/>
    <cellStyle name="Assumptions Center Currency 2 6" xfId="3090"/>
    <cellStyle name="Assumptions Center Currency 2 6 2" xfId="4043"/>
    <cellStyle name="Assumptions Center Currency 2 6 2 2" xfId="9145"/>
    <cellStyle name="Assumptions Center Currency 2 6 3" xfId="5987"/>
    <cellStyle name="Assumptions Center Currency 2 6 3 2" xfId="9881"/>
    <cellStyle name="Assumptions Center Currency 2 6 4" xfId="8741"/>
    <cellStyle name="Assumptions Center Currency 2 7" xfId="3269"/>
    <cellStyle name="Assumptions Center Currency 2 7 2" xfId="3684"/>
    <cellStyle name="Assumptions Center Currency 2 7 2 2" xfId="9205"/>
    <cellStyle name="Assumptions Center Currency 2 7 3" xfId="6144"/>
    <cellStyle name="Assumptions Center Currency 2 7 3 2" xfId="10038"/>
    <cellStyle name="Assumptions Center Currency 2 7 4" xfId="6723"/>
    <cellStyle name="Assumptions Center Currency 2 8" xfId="2922"/>
    <cellStyle name="Assumptions Center Currency 2 8 2" xfId="4153"/>
    <cellStyle name="Assumptions Center Currency 2 8 2 2" xfId="8457"/>
    <cellStyle name="Assumptions Center Currency 2 8 3" xfId="5851"/>
    <cellStyle name="Assumptions Center Currency 2 8 3 2" xfId="7063"/>
    <cellStyle name="Assumptions Center Currency 2 8 4" xfId="7504"/>
    <cellStyle name="Assumptions Center Currency 2 9" xfId="3032"/>
    <cellStyle name="Assumptions Center Currency 2 9 2" xfId="3787"/>
    <cellStyle name="Assumptions Center Currency 2 9 2 2" xfId="9035"/>
    <cellStyle name="Assumptions Center Currency 2 9 3" xfId="5933"/>
    <cellStyle name="Assumptions Center Currency 2 9 3 2" xfId="9827"/>
    <cellStyle name="Assumptions Center Currency 2 9 4" xfId="7217"/>
    <cellStyle name="Assumptions Center Currency 3" xfId="1708"/>
    <cellStyle name="Assumptions Center Currency 3 10" xfId="3451"/>
    <cellStyle name="Assumptions Center Currency 3 10 2" xfId="5021"/>
    <cellStyle name="Assumptions Center Currency 3 10 2 2" xfId="6480"/>
    <cellStyle name="Assumptions Center Currency 3 10 3" xfId="9612"/>
    <cellStyle name="Assumptions Center Currency 3 11" xfId="3648"/>
    <cellStyle name="Assumptions Center Currency 3 11 2" xfId="8556"/>
    <cellStyle name="Assumptions Center Currency 3 12" xfId="6392"/>
    <cellStyle name="Assumptions Center Currency 3 2" xfId="1734"/>
    <cellStyle name="Assumptions Center Currency 3 2 10" xfId="6809"/>
    <cellStyle name="Assumptions Center Currency 3 2 2" xfId="2452"/>
    <cellStyle name="Assumptions Center Currency 3 2 2 2" xfId="2586"/>
    <cellStyle name="Assumptions Center Currency 3 2 2 2 2" xfId="4756"/>
    <cellStyle name="Assumptions Center Currency 3 2 2 2 2 2" xfId="7253"/>
    <cellStyle name="Assumptions Center Currency 3 2 2 2 3" xfId="8501"/>
    <cellStyle name="Assumptions Center Currency 3 2 2 3" xfId="4439"/>
    <cellStyle name="Assumptions Center Currency 3 2 2 3 2" xfId="6312"/>
    <cellStyle name="Assumptions Center Currency 3 2 2 4" xfId="8452"/>
    <cellStyle name="Assumptions Center Currency 3 2 3" xfId="2191"/>
    <cellStyle name="Assumptions Center Currency 3 2 3 2" xfId="2942"/>
    <cellStyle name="Assumptions Center Currency 3 2 3 2 2" xfId="3840"/>
    <cellStyle name="Assumptions Center Currency 3 2 3 2 2 2" xfId="7337"/>
    <cellStyle name="Assumptions Center Currency 3 2 3 2 3" xfId="7530"/>
    <cellStyle name="Assumptions Center Currency 3 2 3 3" xfId="4889"/>
    <cellStyle name="Assumptions Center Currency 3 2 3 3 2" xfId="8440"/>
    <cellStyle name="Assumptions Center Currency 3 2 3 4" xfId="5608"/>
    <cellStyle name="Assumptions Center Currency 3 2 3 4 2" xfId="7713"/>
    <cellStyle name="Assumptions Center Currency 3 2 3 5" xfId="7142"/>
    <cellStyle name="Assumptions Center Currency 3 2 4" xfId="2316"/>
    <cellStyle name="Assumptions Center Currency 3 2 4 2" xfId="4679"/>
    <cellStyle name="Assumptions Center Currency 3 2 4 2 2" xfId="9456"/>
    <cellStyle name="Assumptions Center Currency 3 2 4 3" xfId="5660"/>
    <cellStyle name="Assumptions Center Currency 3 2 4 3 2" xfId="7719"/>
    <cellStyle name="Assumptions Center Currency 3 2 4 4" xfId="6644"/>
    <cellStyle name="Assumptions Center Currency 3 2 5" xfId="3172"/>
    <cellStyle name="Assumptions Center Currency 3 2 5 2" xfId="3710"/>
    <cellStyle name="Assumptions Center Currency 3 2 5 2 2" xfId="9063"/>
    <cellStyle name="Assumptions Center Currency 3 2 5 3" xfId="6064"/>
    <cellStyle name="Assumptions Center Currency 3 2 5 3 2" xfId="9958"/>
    <cellStyle name="Assumptions Center Currency 3 2 5 4" xfId="6795"/>
    <cellStyle name="Assumptions Center Currency 3 2 6" xfId="3344"/>
    <cellStyle name="Assumptions Center Currency 3 2 6 2" xfId="4935"/>
    <cellStyle name="Assumptions Center Currency 3 2 6 2 2" xfId="9747"/>
    <cellStyle name="Assumptions Center Currency 3 2 6 3" xfId="6211"/>
    <cellStyle name="Assumptions Center Currency 3 2 6 3 2" xfId="10105"/>
    <cellStyle name="Assumptions Center Currency 3 2 6 4" xfId="7867"/>
    <cellStyle name="Assumptions Center Currency 3 2 7" xfId="3014"/>
    <cellStyle name="Assumptions Center Currency 3 2 7 2" xfId="3800"/>
    <cellStyle name="Assumptions Center Currency 3 2 7 2 2" xfId="9180"/>
    <cellStyle name="Assumptions Center Currency 3 2 7 3" xfId="5916"/>
    <cellStyle name="Assumptions Center Currency 3 2 7 3 2" xfId="9810"/>
    <cellStyle name="Assumptions Center Currency 3 2 7 4" xfId="7061"/>
    <cellStyle name="Assumptions Center Currency 3 2 8" xfId="3477"/>
    <cellStyle name="Assumptions Center Currency 3 2 8 2" xfId="5047"/>
    <cellStyle name="Assumptions Center Currency 3 2 8 2 2" xfId="8713"/>
    <cellStyle name="Assumptions Center Currency 3 2 8 3" xfId="8431"/>
    <cellStyle name="Assumptions Center Currency 3 2 9" xfId="3623"/>
    <cellStyle name="Assumptions Center Currency 3 2 9 2" xfId="6276"/>
    <cellStyle name="Assumptions Center Currency 3 3" xfId="2200"/>
    <cellStyle name="Assumptions Center Currency 3 3 2" xfId="2669"/>
    <cellStyle name="Assumptions Center Currency 3 3 2 2" xfId="4881"/>
    <cellStyle name="Assumptions Center Currency 3 3 2 2 2" xfId="9374"/>
    <cellStyle name="Assumptions Center Currency 3 3 2 3" xfId="7111"/>
    <cellStyle name="Assumptions Center Currency 3 3 3" xfId="4422"/>
    <cellStyle name="Assumptions Center Currency 3 3 3 2" xfId="8743"/>
    <cellStyle name="Assumptions Center Currency 3 3 4" xfId="5352"/>
    <cellStyle name="Assumptions Center Currency 3 3 4 2" xfId="7700"/>
    <cellStyle name="Assumptions Center Currency 3 3 5" xfId="5499"/>
    <cellStyle name="Assumptions Center Currency 3 3 5 2" xfId="7833"/>
    <cellStyle name="Assumptions Center Currency 3 3 6" xfId="8414"/>
    <cellStyle name="Assumptions Center Currency 3 4" xfId="2283"/>
    <cellStyle name="Assumptions Center Currency 3 4 2" xfId="4862"/>
    <cellStyle name="Assumptions Center Currency 3 4 2 2" xfId="9578"/>
    <cellStyle name="Assumptions Center Currency 3 4 3" xfId="5527"/>
    <cellStyle name="Assumptions Center Currency 3 4 3 2" xfId="6416"/>
    <cellStyle name="Assumptions Center Currency 3 4 4" xfId="7037"/>
    <cellStyle name="Assumptions Center Currency 3 5" xfId="2954"/>
    <cellStyle name="Assumptions Center Currency 3 5 2" xfId="3830"/>
    <cellStyle name="Assumptions Center Currency 3 5 2 2" xfId="9541"/>
    <cellStyle name="Assumptions Center Currency 3 5 3" xfId="5874"/>
    <cellStyle name="Assumptions Center Currency 3 5 3 2" xfId="7921"/>
    <cellStyle name="Assumptions Center Currency 3 5 4" xfId="7739"/>
    <cellStyle name="Assumptions Center Currency 3 6" xfId="2879"/>
    <cellStyle name="Assumptions Center Currency 3 6 2" xfId="3597"/>
    <cellStyle name="Assumptions Center Currency 3 6 2 2" xfId="9714"/>
    <cellStyle name="Assumptions Center Currency 3 6 3" xfId="5810"/>
    <cellStyle name="Assumptions Center Currency 3 6 3 2" xfId="7579"/>
    <cellStyle name="Assumptions Center Currency 3 6 4" xfId="8581"/>
    <cellStyle name="Assumptions Center Currency 3 7" xfId="2869"/>
    <cellStyle name="Assumptions Center Currency 3 7 2" xfId="3881"/>
    <cellStyle name="Assumptions Center Currency 3 7 2 2" xfId="9147"/>
    <cellStyle name="Assumptions Center Currency 3 7 3" xfId="5800"/>
    <cellStyle name="Assumptions Center Currency 3 7 3 2" xfId="8286"/>
    <cellStyle name="Assumptions Center Currency 3 7 4" xfId="8635"/>
    <cellStyle name="Assumptions Center Currency 3 8" xfId="2895"/>
    <cellStyle name="Assumptions Center Currency 3 8 2" xfId="3860"/>
    <cellStyle name="Assumptions Center Currency 3 8 2 2" xfId="9540"/>
    <cellStyle name="Assumptions Center Currency 3 8 3" xfId="5826"/>
    <cellStyle name="Assumptions Center Currency 3 8 3 2" xfId="8422"/>
    <cellStyle name="Assumptions Center Currency 3 8 4" xfId="9532"/>
    <cellStyle name="Assumptions Center Currency 3 9" xfId="3113"/>
    <cellStyle name="Assumptions Center Currency 3 9 2" xfId="3740"/>
    <cellStyle name="Assumptions Center Currency 3 9 2 2" xfId="7018"/>
    <cellStyle name="Assumptions Center Currency 3 9 3" xfId="6009"/>
    <cellStyle name="Assumptions Center Currency 3 9 3 2" xfId="9903"/>
    <cellStyle name="Assumptions Center Currency 3 9 4" xfId="8333"/>
    <cellStyle name="Assumptions Center Currency 4" xfId="2122"/>
    <cellStyle name="Assumptions Center Currency 4 2" xfId="2639"/>
    <cellStyle name="Assumptions Center Currency 4 2 2" xfId="4299"/>
    <cellStyle name="Assumptions Center Currency 4 2 2 2" xfId="7156"/>
    <cellStyle name="Assumptions Center Currency 4 2 3" xfId="7716"/>
    <cellStyle name="Assumptions Center Currency 4 3" xfId="4832"/>
    <cellStyle name="Assumptions Center Currency 4 3 2" xfId="9629"/>
    <cellStyle name="Assumptions Center Currency 4 4" xfId="5096"/>
    <cellStyle name="Assumptions Center Currency 4 4 2" xfId="7077"/>
    <cellStyle name="Assumptions Center Currency 4 5" xfId="5470"/>
    <cellStyle name="Assumptions Center Currency 4 5 2" xfId="6504"/>
    <cellStyle name="Assumptions Center Currency 4 6" xfId="6383"/>
    <cellStyle name="Assumptions Center Currency 5" xfId="2268"/>
    <cellStyle name="Assumptions Center Currency 5 2" xfId="4413"/>
    <cellStyle name="Assumptions Center Currency 5 2 2" xfId="9572"/>
    <cellStyle name="Assumptions Center Currency 5 3" xfId="5461"/>
    <cellStyle name="Assumptions Center Currency 5 3 2" xfId="7999"/>
    <cellStyle name="Assumptions Center Currency 5 4" xfId="8294"/>
    <cellStyle name="Assumptions Center Currency 6" xfId="3050"/>
    <cellStyle name="Assumptions Center Currency 6 2" xfId="3771"/>
    <cellStyle name="Assumptions Center Currency 6 2 2" xfId="8687"/>
    <cellStyle name="Assumptions Center Currency 6 3" xfId="5951"/>
    <cellStyle name="Assumptions Center Currency 6 3 2" xfId="9845"/>
    <cellStyle name="Assumptions Center Currency 6 4" xfId="8448"/>
    <cellStyle name="Assumptions Center Currency 7" xfId="3170"/>
    <cellStyle name="Assumptions Center Currency 7 2" xfId="4128"/>
    <cellStyle name="Assumptions Center Currency 7 2 2" xfId="7711"/>
    <cellStyle name="Assumptions Center Currency 7 3" xfId="6062"/>
    <cellStyle name="Assumptions Center Currency 7 3 2" xfId="9956"/>
    <cellStyle name="Assumptions Center Currency 7 4" xfId="8235"/>
    <cellStyle name="Assumptions Center Currency 8" xfId="2837"/>
    <cellStyle name="Assumptions Center Currency 8 2" xfId="4228"/>
    <cellStyle name="Assumptions Center Currency 8 2 2" xfId="8864"/>
    <cellStyle name="Assumptions Center Currency 8 3" xfId="5769"/>
    <cellStyle name="Assumptions Center Currency 8 3 2" xfId="6585"/>
    <cellStyle name="Assumptions Center Currency 8 4" xfId="7754"/>
    <cellStyle name="Assumptions Center Currency 9" xfId="2894"/>
    <cellStyle name="Assumptions Center Currency 9 2" xfId="3861"/>
    <cellStyle name="Assumptions Center Currency 9 2 2" xfId="7875"/>
    <cellStyle name="Assumptions Center Currency 9 3" xfId="5825"/>
    <cellStyle name="Assumptions Center Currency 9 3 2" xfId="6294"/>
    <cellStyle name="Assumptions Center Currency 9 4" xfId="6427"/>
    <cellStyle name="Assumptions Center Date" xfId="949"/>
    <cellStyle name="Assumptions Center Date 10" xfId="3031"/>
    <cellStyle name="Assumptions Center Date 10 2" xfId="3788"/>
    <cellStyle name="Assumptions Center Date 10 2 2" xfId="7170"/>
    <cellStyle name="Assumptions Center Date 10 3" xfId="5932"/>
    <cellStyle name="Assumptions Center Date 10 3 2" xfId="9826"/>
    <cellStyle name="Assumptions Center Date 10 4" xfId="9246"/>
    <cellStyle name="Assumptions Center Date 11" xfId="3385"/>
    <cellStyle name="Assumptions Center Date 11 2" xfId="4959"/>
    <cellStyle name="Assumptions Center Date 11 2 2" xfId="8647"/>
    <cellStyle name="Assumptions Center Date 11 3" xfId="8174"/>
    <cellStyle name="Assumptions Center Date 12" xfId="4021"/>
    <cellStyle name="Assumptions Center Date 12 2" xfId="7749"/>
    <cellStyle name="Assumptions Center Date 13" xfId="6731"/>
    <cellStyle name="Assumptions Center Date 2" xfId="950"/>
    <cellStyle name="Assumptions Center Date 2 10" xfId="3386"/>
    <cellStyle name="Assumptions Center Date 2 10 2" xfId="4960"/>
    <cellStyle name="Assumptions Center Date 2 10 2 2" xfId="8459"/>
    <cellStyle name="Assumptions Center Date 2 10 3" xfId="7834"/>
    <cellStyle name="Assumptions Center Date 2 11" xfId="4020"/>
    <cellStyle name="Assumptions Center Date 2 11 2" xfId="8140"/>
    <cellStyle name="Assumptions Center Date 2 12" xfId="8386"/>
    <cellStyle name="Assumptions Center Date 2 2" xfId="1711"/>
    <cellStyle name="Assumptions Center Date 2 2 10" xfId="3454"/>
    <cellStyle name="Assumptions Center Date 2 2 10 2" xfId="5024"/>
    <cellStyle name="Assumptions Center Date 2 2 10 2 2" xfId="9002"/>
    <cellStyle name="Assumptions Center Date 2 2 10 3" xfId="9356"/>
    <cellStyle name="Assumptions Center Date 2 2 11" xfId="3645"/>
    <cellStyle name="Assumptions Center Date 2 2 11 2" xfId="6611"/>
    <cellStyle name="Assumptions Center Date 2 2 12" xfId="6931"/>
    <cellStyle name="Assumptions Center Date 2 2 2" xfId="1755"/>
    <cellStyle name="Assumptions Center Date 2 2 2 10" xfId="8313"/>
    <cellStyle name="Assumptions Center Date 2 2 2 2" xfId="2470"/>
    <cellStyle name="Assumptions Center Date 2 2 2 2 2" xfId="2593"/>
    <cellStyle name="Assumptions Center Date 2 2 2 2 2 2" xfId="4647"/>
    <cellStyle name="Assumptions Center Date 2 2 2 2 2 2 2" xfId="8729"/>
    <cellStyle name="Assumptions Center Date 2 2 2 2 2 3" xfId="6748"/>
    <cellStyle name="Assumptions Center Date 2 2 2 2 3" xfId="4674"/>
    <cellStyle name="Assumptions Center Date 2 2 2 2 3 2" xfId="9119"/>
    <cellStyle name="Assumptions Center Date 2 2 2 2 4" xfId="6677"/>
    <cellStyle name="Assumptions Center Date 2 2 2 3" xfId="2185"/>
    <cellStyle name="Assumptions Center Date 2 2 2 3 2" xfId="2932"/>
    <cellStyle name="Assumptions Center Date 2 2 2 3 2 2" xfId="4150"/>
    <cellStyle name="Assumptions Center Date 2 2 2 3 2 2 2" xfId="7696"/>
    <cellStyle name="Assumptions Center Date 2 2 2 3 2 3" xfId="6937"/>
    <cellStyle name="Assumptions Center Date 2 2 2 3 3" xfId="4459"/>
    <cellStyle name="Assumptions Center Date 2 2 2 3 3 2" xfId="7399"/>
    <cellStyle name="Assumptions Center Date 2 2 2 3 4" xfId="5602"/>
    <cellStyle name="Assumptions Center Date 2 2 2 3 4 2" xfId="7828"/>
    <cellStyle name="Assumptions Center Date 2 2 2 3 5" xfId="8361"/>
    <cellStyle name="Assumptions Center Date 2 2 2 4" xfId="2208"/>
    <cellStyle name="Assumptions Center Date 2 2 2 4 2" xfId="4441"/>
    <cellStyle name="Assumptions Center Date 2 2 2 4 2 2" xfId="9065"/>
    <cellStyle name="Assumptions Center Date 2 2 2 4 3" xfId="5615"/>
    <cellStyle name="Assumptions Center Date 2 2 2 4 3 2" xfId="6321"/>
    <cellStyle name="Assumptions Center Date 2 2 2 4 4" xfId="9235"/>
    <cellStyle name="Assumptions Center Date 2 2 2 5" xfId="2991"/>
    <cellStyle name="Assumptions Center Date 2 2 2 5 2" xfId="3808"/>
    <cellStyle name="Assumptions Center Date 2 2 2 5 2 2" xfId="7523"/>
    <cellStyle name="Assumptions Center Date 2 2 2 5 3" xfId="5894"/>
    <cellStyle name="Assumptions Center Date 2 2 2 5 3 2" xfId="9788"/>
    <cellStyle name="Assumptions Center Date 2 2 2 5 4" xfId="9096"/>
    <cellStyle name="Assumptions Center Date 2 2 2 6" xfId="3084"/>
    <cellStyle name="Assumptions Center Date 2 2 2 6 2" xfId="4078"/>
    <cellStyle name="Assumptions Center Date 2 2 2 6 2 2" xfId="6582"/>
    <cellStyle name="Assumptions Center Date 2 2 2 6 3" xfId="5981"/>
    <cellStyle name="Assumptions Center Date 2 2 2 6 3 2" xfId="9875"/>
    <cellStyle name="Assumptions Center Date 2 2 2 6 4" xfId="9302"/>
    <cellStyle name="Assumptions Center Date 2 2 2 7" xfId="3146"/>
    <cellStyle name="Assumptions Center Date 2 2 2 7 2" xfId="4131"/>
    <cellStyle name="Assumptions Center Date 2 2 2 7 2 2" xfId="7478"/>
    <cellStyle name="Assumptions Center Date 2 2 2 7 3" xfId="6040"/>
    <cellStyle name="Assumptions Center Date 2 2 2 7 3 2" xfId="9934"/>
    <cellStyle name="Assumptions Center Date 2 2 2 7 4" xfId="6607"/>
    <cellStyle name="Assumptions Center Date 2 2 2 8" xfId="3484"/>
    <cellStyle name="Assumptions Center Date 2 2 2 8 2" xfId="5054"/>
    <cellStyle name="Assumptions Center Date 2 2 2 8 2 2" xfId="7166"/>
    <cellStyle name="Assumptions Center Date 2 2 2 8 3" xfId="8717"/>
    <cellStyle name="Assumptions Center Date 2 2 2 9" xfId="3620"/>
    <cellStyle name="Assumptions Center Date 2 2 2 9 2" xfId="8489"/>
    <cellStyle name="Assumptions Center Date 2 2 3" xfId="2199"/>
    <cellStyle name="Assumptions Center Date 2 2 3 2" xfId="2672"/>
    <cellStyle name="Assumptions Center Date 2 2 3 2 2" xfId="3966"/>
    <cellStyle name="Assumptions Center Date 2 2 3 2 2 2" xfId="9126"/>
    <cellStyle name="Assumptions Center Date 2 2 3 2 3" xfId="8163"/>
    <cellStyle name="Assumptions Center Date 2 2 3 3" xfId="4610"/>
    <cellStyle name="Assumptions Center Date 2 2 3 3 2" xfId="6975"/>
    <cellStyle name="Assumptions Center Date 2 2 3 4" xfId="5271"/>
    <cellStyle name="Assumptions Center Date 2 2 3 4 2" xfId="7690"/>
    <cellStyle name="Assumptions Center Date 2 2 3 5" xfId="5502"/>
    <cellStyle name="Assumptions Center Date 2 2 3 5 2" xfId="6534"/>
    <cellStyle name="Assumptions Center Date 2 2 3 6" xfId="9212"/>
    <cellStyle name="Assumptions Center Date 2 2 4" xfId="2252"/>
    <cellStyle name="Assumptions Center Date 2 2 4 2" xfId="4105"/>
    <cellStyle name="Assumptions Center Date 2 2 4 2 2" xfId="8707"/>
    <cellStyle name="Assumptions Center Date 2 2 4 3" xfId="5530"/>
    <cellStyle name="Assumptions Center Date 2 2 4 3 2" xfId="7304"/>
    <cellStyle name="Assumptions Center Date 2 2 4 4" xfId="7328"/>
    <cellStyle name="Assumptions Center Date 2 2 5" xfId="2953"/>
    <cellStyle name="Assumptions Center Date 2 2 5 2" xfId="3831"/>
    <cellStyle name="Assumptions Center Date 2 2 5 2 2" xfId="6917"/>
    <cellStyle name="Assumptions Center Date 2 2 5 3" xfId="5873"/>
    <cellStyle name="Assumptions Center Date 2 2 5 3 2" xfId="8524"/>
    <cellStyle name="Assumptions Center Date 2 2 5 4" xfId="9263"/>
    <cellStyle name="Assumptions Center Date 2 2 6" xfId="2880"/>
    <cellStyle name="Assumptions Center Date 2 2 6 2" xfId="3872"/>
    <cellStyle name="Assumptions Center Date 2 2 6 2 2" xfId="9089"/>
    <cellStyle name="Assumptions Center Date 2 2 6 3" xfId="5811"/>
    <cellStyle name="Assumptions Center Date 2 2 6 3 2" xfId="7502"/>
    <cellStyle name="Assumptions Center Date 2 2 6 4" xfId="7559"/>
    <cellStyle name="Assumptions Center Date 2 2 7" xfId="2797"/>
    <cellStyle name="Assumptions Center Date 2 2 7 2" xfId="3603"/>
    <cellStyle name="Assumptions Center Date 2 2 7 2 2" xfId="9429"/>
    <cellStyle name="Assumptions Center Date 2 2 7 3" xfId="5731"/>
    <cellStyle name="Assumptions Center Date 2 2 7 3 2" xfId="8394"/>
    <cellStyle name="Assumptions Center Date 2 2 7 4" xfId="7426"/>
    <cellStyle name="Assumptions Center Date 2 2 8" xfId="3099"/>
    <cellStyle name="Assumptions Center Date 2 2 8 2" xfId="3752"/>
    <cellStyle name="Assumptions Center Date 2 2 8 2 2" xfId="7342"/>
    <cellStyle name="Assumptions Center Date 2 2 8 3" xfId="5996"/>
    <cellStyle name="Assumptions Center Date 2 2 8 3 2" xfId="9890"/>
    <cellStyle name="Assumptions Center Date 2 2 8 4" xfId="8590"/>
    <cellStyle name="Assumptions Center Date 2 2 9" xfId="3254"/>
    <cellStyle name="Assumptions Center Date 2 2 9 2" xfId="3688"/>
    <cellStyle name="Assumptions Center Date 2 2 9 2 2" xfId="6628"/>
    <cellStyle name="Assumptions Center Date 2 2 9 3" xfId="6131"/>
    <cellStyle name="Assumptions Center Date 2 2 9 3 2" xfId="10025"/>
    <cellStyle name="Assumptions Center Date 2 2 9 4" xfId="7433"/>
    <cellStyle name="Assumptions Center Date 2 3" xfId="2247"/>
    <cellStyle name="Assumptions Center Date 2 3 2" xfId="2642"/>
    <cellStyle name="Assumptions Center Date 2 3 2 2" xfId="4098"/>
    <cellStyle name="Assumptions Center Date 2 3 2 2 2" xfId="8740"/>
    <cellStyle name="Assumptions Center Date 2 3 2 3" xfId="8144"/>
    <cellStyle name="Assumptions Center Date 2 3 3" xfId="4437"/>
    <cellStyle name="Assumptions Center Date 2 3 3 2" xfId="9463"/>
    <cellStyle name="Assumptions Center Date 2 3 4" xfId="5254"/>
    <cellStyle name="Assumptions Center Date 2 3 4 2" xfId="7889"/>
    <cellStyle name="Assumptions Center Date 2 3 5" xfId="5473"/>
    <cellStyle name="Assumptions Center Date 2 3 5 2" xfId="8485"/>
    <cellStyle name="Assumptions Center Date 2 3 6" xfId="9239"/>
    <cellStyle name="Assumptions Center Date 2 4" xfId="2270"/>
    <cellStyle name="Assumptions Center Date 2 4 2" xfId="4820"/>
    <cellStyle name="Assumptions Center Date 2 4 2 2" xfId="9397"/>
    <cellStyle name="Assumptions Center Date 2 4 3" xfId="5458"/>
    <cellStyle name="Assumptions Center Date 2 4 3 2" xfId="8121"/>
    <cellStyle name="Assumptions Center Date 2 4 4" xfId="6831"/>
    <cellStyle name="Assumptions Center Date 2 5" xfId="3048"/>
    <cellStyle name="Assumptions Center Date 2 5 2" xfId="3773"/>
    <cellStyle name="Assumptions Center Date 2 5 2 2" xfId="7715"/>
    <cellStyle name="Assumptions Center Date 2 5 3" xfId="5949"/>
    <cellStyle name="Assumptions Center Date 2 5 3 2" xfId="9843"/>
    <cellStyle name="Assumptions Center Date 2 5 4" xfId="7905"/>
    <cellStyle name="Assumptions Center Date 2 6" xfId="3092"/>
    <cellStyle name="Assumptions Center Date 2 6 2" xfId="4134"/>
    <cellStyle name="Assumptions Center Date 2 6 2 2" xfId="8645"/>
    <cellStyle name="Assumptions Center Date 2 6 3" xfId="5989"/>
    <cellStyle name="Assumptions Center Date 2 6 3 2" xfId="9883"/>
    <cellStyle name="Assumptions Center Date 2 6 4" xfId="8660"/>
    <cellStyle name="Assumptions Center Date 2 7" xfId="2840"/>
    <cellStyle name="Assumptions Center Date 2 7 2" xfId="4272"/>
    <cellStyle name="Assumptions Center Date 2 7 2 2" xfId="9439"/>
    <cellStyle name="Assumptions Center Date 2 7 3" xfId="5772"/>
    <cellStyle name="Assumptions Center Date 2 7 3 2" xfId="6834"/>
    <cellStyle name="Assumptions Center Date 2 7 4" xfId="6727"/>
    <cellStyle name="Assumptions Center Date 2 8" xfId="2909"/>
    <cellStyle name="Assumptions Center Date 2 8 2" xfId="4085"/>
    <cellStyle name="Assumptions Center Date 2 8 2 2" xfId="8433"/>
    <cellStyle name="Assumptions Center Date 2 8 3" xfId="5840"/>
    <cellStyle name="Assumptions Center Date 2 8 3 2" xfId="7407"/>
    <cellStyle name="Assumptions Center Date 2 8 4" xfId="7988"/>
    <cellStyle name="Assumptions Center Date 2 9" xfId="3206"/>
    <cellStyle name="Assumptions Center Date 2 9 2" xfId="3699"/>
    <cellStyle name="Assumptions Center Date 2 9 2 2" xfId="8674"/>
    <cellStyle name="Assumptions Center Date 2 9 3" xfId="6095"/>
    <cellStyle name="Assumptions Center Date 2 9 3 2" xfId="9989"/>
    <cellStyle name="Assumptions Center Date 2 9 4" xfId="6660"/>
    <cellStyle name="Assumptions Center Date 3" xfId="1710"/>
    <cellStyle name="Assumptions Center Date 3 10" xfId="3453"/>
    <cellStyle name="Assumptions Center Date 3 10 2" xfId="5023"/>
    <cellStyle name="Assumptions Center Date 3 10 2 2" xfId="9013"/>
    <cellStyle name="Assumptions Center Date 3 10 3" xfId="7044"/>
    <cellStyle name="Assumptions Center Date 3 11" xfId="3646"/>
    <cellStyle name="Assumptions Center Date 3 11 2" xfId="6247"/>
    <cellStyle name="Assumptions Center Date 3 12" xfId="8008"/>
    <cellStyle name="Assumptions Center Date 3 2" xfId="1567"/>
    <cellStyle name="Assumptions Center Date 3 2 10" xfId="9077"/>
    <cellStyle name="Assumptions Center Date 3 2 2" xfId="2428"/>
    <cellStyle name="Assumptions Center Date 3 2 2 2" xfId="2562"/>
    <cellStyle name="Assumptions Center Date 3 2 2 2 2" xfId="4457"/>
    <cellStyle name="Assumptions Center Date 3 2 2 2 2 2" xfId="9553"/>
    <cellStyle name="Assumptions Center Date 3 2 2 2 3" xfId="7434"/>
    <cellStyle name="Assumptions Center Date 3 2 2 3" xfId="4644"/>
    <cellStyle name="Assumptions Center Date 3 2 2 3 2" xfId="7231"/>
    <cellStyle name="Assumptions Center Date 3 2 2 4" xfId="7240"/>
    <cellStyle name="Assumptions Center Date 3 2 3" xfId="2297"/>
    <cellStyle name="Assumptions Center Date 3 2 3 2" xfId="2984"/>
    <cellStyle name="Assumptions Center Date 3 2 3 2 2" xfId="4071"/>
    <cellStyle name="Assumptions Center Date 3 2 3 2 2 2" xfId="9093"/>
    <cellStyle name="Assumptions Center Date 3 2 3 2 3" xfId="9332"/>
    <cellStyle name="Assumptions Center Date 3 2 3 3" xfId="4678"/>
    <cellStyle name="Assumptions Center Date 3 2 3 3 2" xfId="7949"/>
    <cellStyle name="Assumptions Center Date 3 2 3 4" xfId="5650"/>
    <cellStyle name="Assumptions Center Date 3 2 3 4 2" xfId="7877"/>
    <cellStyle name="Assumptions Center Date 3 2 3 5" xfId="8156"/>
    <cellStyle name="Assumptions Center Date 3 2 4" xfId="2129"/>
    <cellStyle name="Assumptions Center Date 3 2 4 2" xfId="4763"/>
    <cellStyle name="Assumptions Center Date 3 2 4 2 2" xfId="8409"/>
    <cellStyle name="Assumptions Center Date 3 2 4 3" xfId="5586"/>
    <cellStyle name="Assumptions Center Date 3 2 4 3 2" xfId="8481"/>
    <cellStyle name="Assumptions Center Date 3 2 4 4" xfId="8314"/>
    <cellStyle name="Assumptions Center Date 3 2 5" xfId="3334"/>
    <cellStyle name="Assumptions Center Date 3 2 5 2" xfId="4925"/>
    <cellStyle name="Assumptions Center Date 3 2 5 2 2" xfId="7366"/>
    <cellStyle name="Assumptions Center Date 3 2 5 3" xfId="6201"/>
    <cellStyle name="Assumptions Center Date 3 2 5 3 2" xfId="10095"/>
    <cellStyle name="Assumptions Center Date 3 2 5 4" xfId="9534"/>
    <cellStyle name="Assumptions Center Date 3 2 6" xfId="3357"/>
    <cellStyle name="Assumptions Center Date 3 2 6 2" xfId="4947"/>
    <cellStyle name="Assumptions Center Date 3 2 6 2 2" xfId="8867"/>
    <cellStyle name="Assumptions Center Date 3 2 6 3" xfId="6223"/>
    <cellStyle name="Assumptions Center Date 3 2 6 3 2" xfId="10117"/>
    <cellStyle name="Assumptions Center Date 3 2 6 4" xfId="9678"/>
    <cellStyle name="Assumptions Center Date 3 2 7" xfId="2801"/>
    <cellStyle name="Assumptions Center Date 3 2 7 2" xfId="3915"/>
    <cellStyle name="Assumptions Center Date 3 2 7 2 2" xfId="9751"/>
    <cellStyle name="Assumptions Center Date 3 2 7 3" xfId="5735"/>
    <cellStyle name="Assumptions Center Date 3 2 7 3 2" xfId="8367"/>
    <cellStyle name="Assumptions Center Date 3 2 7 4" xfId="7321"/>
    <cellStyle name="Assumptions Center Date 3 2 8" xfId="3428"/>
    <cellStyle name="Assumptions Center Date 3 2 8 2" xfId="4999"/>
    <cellStyle name="Assumptions Center Date 3 2 8 2 2" xfId="8986"/>
    <cellStyle name="Assumptions Center Date 3 2 8 3" xfId="9187"/>
    <cellStyle name="Assumptions Center Date 3 2 9" xfId="3658"/>
    <cellStyle name="Assumptions Center Date 3 2 9 2" xfId="7117"/>
    <cellStyle name="Assumptions Center Date 3 3" xfId="2303"/>
    <cellStyle name="Assumptions Center Date 3 3 2" xfId="2671"/>
    <cellStyle name="Assumptions Center Date 3 3 2 2" xfId="4855"/>
    <cellStyle name="Assumptions Center Date 3 3 2 2 2" xfId="8609"/>
    <cellStyle name="Assumptions Center Date 3 3 2 3" xfId="6959"/>
    <cellStyle name="Assumptions Center Date 3 3 3" xfId="4414"/>
    <cellStyle name="Assumptions Center Date 3 3 3 2" xfId="7374"/>
    <cellStyle name="Assumptions Center Date 3 3 4" xfId="5208"/>
    <cellStyle name="Assumptions Center Date 3 3 4 2" xfId="7982"/>
    <cellStyle name="Assumptions Center Date 3 3 5" xfId="5501"/>
    <cellStyle name="Assumptions Center Date 3 3 5 2" xfId="8307"/>
    <cellStyle name="Assumptions Center Date 3 3 6" xfId="8391"/>
    <cellStyle name="Assumptions Center Date 3 4" xfId="2331"/>
    <cellStyle name="Assumptions Center Date 3 4 2" xfId="4492"/>
    <cellStyle name="Assumptions Center Date 3 4 2 2" xfId="8520"/>
    <cellStyle name="Assumptions Center Date 3 4 3" xfId="5529"/>
    <cellStyle name="Assumptions Center Date 3 4 3 2" xfId="8289"/>
    <cellStyle name="Assumptions Center Date 3 4 4" xfId="7469"/>
    <cellStyle name="Assumptions Center Date 3 5" xfId="3166"/>
    <cellStyle name="Assumptions Center Date 3 5 2" xfId="4200"/>
    <cellStyle name="Assumptions Center Date 3 5 2 2" xfId="7492"/>
    <cellStyle name="Assumptions Center Date 3 5 3" xfId="6058"/>
    <cellStyle name="Assumptions Center Date 3 5 3 2" xfId="9952"/>
    <cellStyle name="Assumptions Center Date 3 5 4" xfId="7540"/>
    <cellStyle name="Assumptions Center Date 3 6" xfId="3175"/>
    <cellStyle name="Assumptions Center Date 3 6 2" xfId="3573"/>
    <cellStyle name="Assumptions Center Date 3 6 2 2" xfId="9503"/>
    <cellStyle name="Assumptions Center Date 3 6 3" xfId="6067"/>
    <cellStyle name="Assumptions Center Date 3 6 3 2" xfId="9961"/>
    <cellStyle name="Assumptions Center Date 3 6 4" xfId="8521"/>
    <cellStyle name="Assumptions Center Date 3 7" xfId="2796"/>
    <cellStyle name="Assumptions Center Date 3 7 2" xfId="3919"/>
    <cellStyle name="Assumptions Center Date 3 7 2 2" xfId="8734"/>
    <cellStyle name="Assumptions Center Date 3 7 3" xfId="5730"/>
    <cellStyle name="Assumptions Center Date 3 7 3 2" xfId="7230"/>
    <cellStyle name="Assumptions Center Date 3 7 4" xfId="6260"/>
    <cellStyle name="Assumptions Center Date 3 8" xfId="3346"/>
    <cellStyle name="Assumptions Center Date 3 8 2" xfId="4937"/>
    <cellStyle name="Assumptions Center Date 3 8 2 2" xfId="8070"/>
    <cellStyle name="Assumptions Center Date 3 8 3" xfId="6213"/>
    <cellStyle name="Assumptions Center Date 3 8 3 2" xfId="10107"/>
    <cellStyle name="Assumptions Center Date 3 8 4" xfId="9007"/>
    <cellStyle name="Assumptions Center Date 3 9" xfId="2824"/>
    <cellStyle name="Assumptions Center Date 3 9 2" xfId="4092"/>
    <cellStyle name="Assumptions Center Date 3 9 2 2" xfId="9402"/>
    <cellStyle name="Assumptions Center Date 3 9 3" xfId="5758"/>
    <cellStyle name="Assumptions Center Date 3 9 3 2" xfId="8260"/>
    <cellStyle name="Assumptions Center Date 3 9 4" xfId="9435"/>
    <cellStyle name="Assumptions Center Date 4" xfId="2248"/>
    <cellStyle name="Assumptions Center Date 4 2" xfId="2641"/>
    <cellStyle name="Assumptions Center Date 4 2 2" xfId="4880"/>
    <cellStyle name="Assumptions Center Date 4 2 2 2" xfId="8538"/>
    <cellStyle name="Assumptions Center Date 4 2 3" xfId="7573"/>
    <cellStyle name="Assumptions Center Date 4 3" xfId="4595"/>
    <cellStyle name="Assumptions Center Date 4 3 2" xfId="8506"/>
    <cellStyle name="Assumptions Center Date 4 4" xfId="5318"/>
    <cellStyle name="Assumptions Center Date 4 4 2" xfId="7034"/>
    <cellStyle name="Assumptions Center Date 4 5" xfId="5472"/>
    <cellStyle name="Assumptions Center Date 4 5 2" xfId="8247"/>
    <cellStyle name="Assumptions Center Date 4 6" xfId="7588"/>
    <cellStyle name="Assumptions Center Date 5" xfId="2354"/>
    <cellStyle name="Assumptions Center Date 5 2" xfId="4604"/>
    <cellStyle name="Assumptions Center Date 5 2 2" xfId="8700"/>
    <cellStyle name="Assumptions Center Date 5 3" xfId="5459"/>
    <cellStyle name="Assumptions Center Date 5 3 2" xfId="6520"/>
    <cellStyle name="Assumptions Center Date 5 4" xfId="8063"/>
    <cellStyle name="Assumptions Center Date 6" xfId="3049"/>
    <cellStyle name="Assumptions Center Date 6 2" xfId="3772"/>
    <cellStyle name="Assumptions Center Date 6 2 2" xfId="8508"/>
    <cellStyle name="Assumptions Center Date 6 3" xfId="5950"/>
    <cellStyle name="Assumptions Center Date 6 3 2" xfId="9844"/>
    <cellStyle name="Assumptions Center Date 6 4" xfId="9318"/>
    <cellStyle name="Assumptions Center Date 7" xfId="3091"/>
    <cellStyle name="Assumptions Center Date 7 2" xfId="3756"/>
    <cellStyle name="Assumptions Center Date 7 2 2" xfId="9722"/>
    <cellStyle name="Assumptions Center Date 7 3" xfId="5988"/>
    <cellStyle name="Assumptions Center Date 7 3 2" xfId="9882"/>
    <cellStyle name="Assumptions Center Date 7 4" xfId="8546"/>
    <cellStyle name="Assumptions Center Date 8" xfId="2839"/>
    <cellStyle name="Assumptions Center Date 8 2" xfId="3600"/>
    <cellStyle name="Assumptions Center Date 8 2 2" xfId="9569"/>
    <cellStyle name="Assumptions Center Date 8 3" xfId="5771"/>
    <cellStyle name="Assumptions Center Date 8 3 2" xfId="7670"/>
    <cellStyle name="Assumptions Center Date 8 4" xfId="9627"/>
    <cellStyle name="Assumptions Center Date 9" xfId="2914"/>
    <cellStyle name="Assumptions Center Date 9 2" xfId="3851"/>
    <cellStyle name="Assumptions Center Date 9 2 2" xfId="8995"/>
    <cellStyle name="Assumptions Center Date 9 3" xfId="5845"/>
    <cellStyle name="Assumptions Center Date 9 3 2" xfId="7316"/>
    <cellStyle name="Assumptions Center Date 9 4" xfId="7737"/>
    <cellStyle name="Assumptions Center Multiple" xfId="951"/>
    <cellStyle name="Assumptions Center Multiple 10" xfId="2964"/>
    <cellStyle name="Assumptions Center Multiple 10 2" xfId="3824"/>
    <cellStyle name="Assumptions Center Multiple 10 2 2" xfId="8878"/>
    <cellStyle name="Assumptions Center Multiple 10 3" xfId="5881"/>
    <cellStyle name="Assumptions Center Multiple 10 3 2" xfId="9775"/>
    <cellStyle name="Assumptions Center Multiple 10 4" xfId="9280"/>
    <cellStyle name="Assumptions Center Multiple 11" xfId="3387"/>
    <cellStyle name="Assumptions Center Multiple 11 2" xfId="4961"/>
    <cellStyle name="Assumptions Center Multiple 11 2 2" xfId="9516"/>
    <cellStyle name="Assumptions Center Multiple 11 3" xfId="9582"/>
    <cellStyle name="Assumptions Center Multiple 12" xfId="4019"/>
    <cellStyle name="Assumptions Center Multiple 12 2" xfId="9741"/>
    <cellStyle name="Assumptions Center Multiple 13" xfId="7221"/>
    <cellStyle name="Assumptions Center Multiple 2" xfId="952"/>
    <cellStyle name="Assumptions Center Multiple 2 10" xfId="3388"/>
    <cellStyle name="Assumptions Center Multiple 2 10 2" xfId="4962"/>
    <cellStyle name="Assumptions Center Multiple 2 10 2 2" xfId="8742"/>
    <cellStyle name="Assumptions Center Multiple 2 10 3" xfId="8241"/>
    <cellStyle name="Assumptions Center Multiple 2 11" xfId="4018"/>
    <cellStyle name="Assumptions Center Multiple 2 11 2" xfId="8250"/>
    <cellStyle name="Assumptions Center Multiple 2 12" xfId="9039"/>
    <cellStyle name="Assumptions Center Multiple 2 2" xfId="1713"/>
    <cellStyle name="Assumptions Center Multiple 2 2 10" xfId="3456"/>
    <cellStyle name="Assumptions Center Multiple 2 2 10 2" xfId="5026"/>
    <cellStyle name="Assumptions Center Multiple 2 2 10 2 2" xfId="6507"/>
    <cellStyle name="Assumptions Center Multiple 2 2 10 3" xfId="6295"/>
    <cellStyle name="Assumptions Center Multiple 2 2 11" xfId="3643"/>
    <cellStyle name="Assumptions Center Multiple 2 2 11 2" xfId="7856"/>
    <cellStyle name="Assumptions Center Multiple 2 2 12" xfId="7980"/>
    <cellStyle name="Assumptions Center Multiple 2 2 2" xfId="1904"/>
    <cellStyle name="Assumptions Center Multiple 2 2 2 10" xfId="6952"/>
    <cellStyle name="Assumptions Center Multiple 2 2 2 2" xfId="2514"/>
    <cellStyle name="Assumptions Center Multiple 2 2 2 2 2" xfId="2615"/>
    <cellStyle name="Assumptions Center Multiple 2 2 2 2 2 2" xfId="3967"/>
    <cellStyle name="Assumptions Center Multiple 2 2 2 2 2 2 2" xfId="8071"/>
    <cellStyle name="Assumptions Center Multiple 2 2 2 2 2 3" xfId="7909"/>
    <cellStyle name="Assumptions Center Multiple 2 2 2 2 3" xfId="4690"/>
    <cellStyle name="Assumptions Center Multiple 2 2 2 2 3 2" xfId="9175"/>
    <cellStyle name="Assumptions Center Multiple 2 2 2 2 4" xfId="6270"/>
    <cellStyle name="Assumptions Center Multiple 2 2 2 3" xfId="2164"/>
    <cellStyle name="Assumptions Center Multiple 2 2 2 3 2" xfId="2765"/>
    <cellStyle name="Assumptions Center Multiple 2 2 2 3 2 2" xfId="3941"/>
    <cellStyle name="Assumptions Center Multiple 2 2 2 3 2 2 2" xfId="8221"/>
    <cellStyle name="Assumptions Center Multiple 2 2 2 3 2 3" xfId="7906"/>
    <cellStyle name="Assumptions Center Multiple 2 2 2 3 3" xfId="4852"/>
    <cellStyle name="Assumptions Center Multiple 2 2 2 3 3 2" xfId="9173"/>
    <cellStyle name="Assumptions Center Multiple 2 2 2 3 4" xfId="5596"/>
    <cellStyle name="Assumptions Center Multiple 2 2 2 3 4 2" xfId="6334"/>
    <cellStyle name="Assumptions Center Multiple 2 2 2 3 5" xfId="7893"/>
    <cellStyle name="Assumptions Center Multiple 2 2 2 4" xfId="2364"/>
    <cellStyle name="Assumptions Center Multiple 2 2 2 4 2" xfId="4879"/>
    <cellStyle name="Assumptions Center Multiple 2 2 2 4 2 2" xfId="8983"/>
    <cellStyle name="Assumptions Center Multiple 2 2 2 4 3" xfId="5682"/>
    <cellStyle name="Assumptions Center Multiple 2 2 2 4 3 2" xfId="6923"/>
    <cellStyle name="Assumptions Center Multiple 2 2 2 4 4" xfId="7901"/>
    <cellStyle name="Assumptions Center Multiple 2 2 2 5" xfId="2987"/>
    <cellStyle name="Assumptions Center Multiple 2 2 2 5 2" xfId="4090"/>
    <cellStyle name="Assumptions Center Multiple 2 2 2 5 2 2" xfId="9103"/>
    <cellStyle name="Assumptions Center Multiple 2 2 2 5 3" xfId="5891"/>
    <cellStyle name="Assumptions Center Multiple 2 2 2 5 3 2" xfId="9785"/>
    <cellStyle name="Assumptions Center Multiple 2 2 2 5 4" xfId="9329"/>
    <cellStyle name="Assumptions Center Multiple 2 2 2 6" xfId="3082"/>
    <cellStyle name="Assumptions Center Multiple 2 2 2 6 2" xfId="3581"/>
    <cellStyle name="Assumptions Center Multiple 2 2 2 6 2 2" xfId="7839"/>
    <cellStyle name="Assumptions Center Multiple 2 2 2 6 3" xfId="5979"/>
    <cellStyle name="Assumptions Center Multiple 2 2 2 6 3 2" xfId="9873"/>
    <cellStyle name="Assumptions Center Multiple 2 2 2 6 4" xfId="9323"/>
    <cellStyle name="Assumptions Center Multiple 2 2 2 7" xfId="3183"/>
    <cellStyle name="Assumptions Center Multiple 2 2 2 7 2" xfId="4262"/>
    <cellStyle name="Assumptions Center Multiple 2 2 2 7 2 2" xfId="7444"/>
    <cellStyle name="Assumptions Center Multiple 2 2 2 7 3" xfId="6074"/>
    <cellStyle name="Assumptions Center Multiple 2 2 2 7 3 2" xfId="9968"/>
    <cellStyle name="Assumptions Center Multiple 2 2 2 7 4" xfId="7636"/>
    <cellStyle name="Assumptions Center Multiple 2 2 2 8" xfId="3507"/>
    <cellStyle name="Assumptions Center Multiple 2 2 2 8 2" xfId="5077"/>
    <cellStyle name="Assumptions Center Multiple 2 2 2 8 2 2" xfId="6859"/>
    <cellStyle name="Assumptions Center Multiple 2 2 2 8 3" xfId="9092"/>
    <cellStyle name="Assumptions Center Multiple 2 2 2 9" xfId="4180"/>
    <cellStyle name="Assumptions Center Multiple 2 2 2 9 2" xfId="8161"/>
    <cellStyle name="Assumptions Center Multiple 2 2 3" xfId="2299"/>
    <cellStyle name="Assumptions Center Multiple 2 2 3 2" xfId="2674"/>
    <cellStyle name="Assumptions Center Multiple 2 2 3 2 2" xfId="4752"/>
    <cellStyle name="Assumptions Center Multiple 2 2 3 2 2 2" xfId="9592"/>
    <cellStyle name="Assumptions Center Multiple 2 2 3 2 3" xfId="7518"/>
    <cellStyle name="Assumptions Center Multiple 2 2 3 3" xfId="4707"/>
    <cellStyle name="Assumptions Center Multiple 2 2 3 3 2" xfId="9648"/>
    <cellStyle name="Assumptions Center Multiple 2 2 3 4" xfId="5119"/>
    <cellStyle name="Assumptions Center Multiple 2 2 3 4 2" xfId="8052"/>
    <cellStyle name="Assumptions Center Multiple 2 2 3 5" xfId="5504"/>
    <cellStyle name="Assumptions Center Multiple 2 2 3 5 2" xfId="6368"/>
    <cellStyle name="Assumptions Center Multiple 2 2 3 6" xfId="8404"/>
    <cellStyle name="Assumptions Center Multiple 2 2 4" xfId="2332"/>
    <cellStyle name="Assumptions Center Multiple 2 2 4 2" xfId="4899"/>
    <cellStyle name="Assumptions Center Multiple 2 2 4 2 2" xfId="9669"/>
    <cellStyle name="Assumptions Center Multiple 2 2 4 3" xfId="5532"/>
    <cellStyle name="Assumptions Center Multiple 2 2 4 3 2" xfId="6589"/>
    <cellStyle name="Assumptions Center Multiple 2 2 4 4" xfId="8075"/>
    <cellStyle name="Assumptions Center Multiple 2 2 5" xfId="2783"/>
    <cellStyle name="Assumptions Center Multiple 2 2 5 2" xfId="3930"/>
    <cellStyle name="Assumptions Center Multiple 2 2 5 2 2" xfId="9404"/>
    <cellStyle name="Assumptions Center Multiple 2 2 5 3" xfId="5719"/>
    <cellStyle name="Assumptions Center Multiple 2 2 5 3 2" xfId="6867"/>
    <cellStyle name="Assumptions Center Multiple 2 2 5 4" xfId="8551"/>
    <cellStyle name="Assumptions Center Multiple 2 2 6" xfId="2959"/>
    <cellStyle name="Assumptions Center Multiple 2 2 6 2" xfId="3827"/>
    <cellStyle name="Assumptions Center Multiple 2 2 6 2 2" xfId="9628"/>
    <cellStyle name="Assumptions Center Multiple 2 2 6 3" xfId="5877"/>
    <cellStyle name="Assumptions Center Multiple 2 2 6 3 2" xfId="7152"/>
    <cellStyle name="Assumptions Center Multiple 2 2 6 4" xfId="9248"/>
    <cellStyle name="Assumptions Center Multiple 2 2 7" xfId="3017"/>
    <cellStyle name="Assumptions Center Multiple 2 2 7 2" xfId="3587"/>
    <cellStyle name="Assumptions Center Multiple 2 2 7 2 2" xfId="8491"/>
    <cellStyle name="Assumptions Center Multiple 2 2 7 3" xfId="5919"/>
    <cellStyle name="Assumptions Center Multiple 2 2 7 3 2" xfId="9813"/>
    <cellStyle name="Assumptions Center Multiple 2 2 7 4" xfId="6487"/>
    <cellStyle name="Assumptions Center Multiple 2 2 8" xfId="3224"/>
    <cellStyle name="Assumptions Center Multiple 2 2 8 2" xfId="4256"/>
    <cellStyle name="Assumptions Center Multiple 2 2 8 2 2" xfId="9005"/>
    <cellStyle name="Assumptions Center Multiple 2 2 8 3" xfId="6106"/>
    <cellStyle name="Assumptions Center Multiple 2 2 8 3 2" xfId="10000"/>
    <cellStyle name="Assumptions Center Multiple 2 2 8 4" xfId="8256"/>
    <cellStyle name="Assumptions Center Multiple 2 2 9" xfId="2877"/>
    <cellStyle name="Assumptions Center Multiple 2 2 9 2" xfId="4225"/>
    <cellStyle name="Assumptions Center Multiple 2 2 9 2 2" xfId="6690"/>
    <cellStyle name="Assumptions Center Multiple 2 2 9 3" xfId="5808"/>
    <cellStyle name="Assumptions Center Multiple 2 2 9 3 2" xfId="7397"/>
    <cellStyle name="Assumptions Center Multiple 2 2 9 4" xfId="9434"/>
    <cellStyle name="Assumptions Center Multiple 2 3" xfId="2120"/>
    <cellStyle name="Assumptions Center Multiple 2 3 2" xfId="2644"/>
    <cellStyle name="Assumptions Center Multiple 2 3 2 2" xfId="4689"/>
    <cellStyle name="Assumptions Center Multiple 2 3 2 2 2" xfId="7241"/>
    <cellStyle name="Assumptions Center Multiple 2 3 2 3" xfId="7951"/>
    <cellStyle name="Assumptions Center Multiple 2 3 3" xfId="4842"/>
    <cellStyle name="Assumptions Center Multiple 2 3 3 2" xfId="9095"/>
    <cellStyle name="Assumptions Center Multiple 2 3 4" xfId="5320"/>
    <cellStyle name="Assumptions Center Multiple 2 3 4 2" xfId="7371"/>
    <cellStyle name="Assumptions Center Multiple 2 3 5" xfId="5475"/>
    <cellStyle name="Assumptions Center Multiple 2 3 5 2" xfId="7411"/>
    <cellStyle name="Assumptions Center Multiple 2 3 6" xfId="8536"/>
    <cellStyle name="Assumptions Center Multiple 2 4" xfId="2272"/>
    <cellStyle name="Assumptions Center Multiple 2 4 2" xfId="4777"/>
    <cellStyle name="Assumptions Center Multiple 2 4 2 2" xfId="8203"/>
    <cellStyle name="Assumptions Center Multiple 2 4 3" xfId="5456"/>
    <cellStyle name="Assumptions Center Multiple 2 4 3 2" xfId="8172"/>
    <cellStyle name="Assumptions Center Multiple 2 4 4" xfId="7603"/>
    <cellStyle name="Assumptions Center Multiple 2 5" xfId="3046"/>
    <cellStyle name="Assumptions Center Multiple 2 5 2" xfId="3775"/>
    <cellStyle name="Assumptions Center Multiple 2 5 2 2" xfId="9160"/>
    <cellStyle name="Assumptions Center Multiple 2 5 3" xfId="5947"/>
    <cellStyle name="Assumptions Center Multiple 2 5 3 2" xfId="9841"/>
    <cellStyle name="Assumptions Center Multiple 2 5 4" xfId="7213"/>
    <cellStyle name="Assumptions Center Multiple 2 6" xfId="2811"/>
    <cellStyle name="Assumptions Center Multiple 2 6 2" xfId="3602"/>
    <cellStyle name="Assumptions Center Multiple 2 6 2 2" xfId="6387"/>
    <cellStyle name="Assumptions Center Multiple 2 6 3" xfId="5745"/>
    <cellStyle name="Assumptions Center Multiple 2 6 3 2" xfId="8353"/>
    <cellStyle name="Assumptions Center Multiple 2 6 4" xfId="7783"/>
    <cellStyle name="Assumptions Center Multiple 2 7" xfId="3270"/>
    <cellStyle name="Assumptions Center Multiple 2 7 2" xfId="4309"/>
    <cellStyle name="Assumptions Center Multiple 2 7 2 2" xfId="8658"/>
    <cellStyle name="Assumptions Center Multiple 2 7 3" xfId="6145"/>
    <cellStyle name="Assumptions Center Multiple 2 7 3 2" xfId="10039"/>
    <cellStyle name="Assumptions Center Multiple 2 7 4" xfId="8464"/>
    <cellStyle name="Assumptions Center Multiple 2 8" xfId="2888"/>
    <cellStyle name="Assumptions Center Multiple 2 8 2" xfId="3864"/>
    <cellStyle name="Assumptions Center Multiple 2 8 2 2" xfId="9054"/>
    <cellStyle name="Assumptions Center Multiple 2 8 3" xfId="5819"/>
    <cellStyle name="Assumptions Center Multiple 2 8 3 2" xfId="7614"/>
    <cellStyle name="Assumptions Center Multiple 2 8 4" xfId="6921"/>
    <cellStyle name="Assumptions Center Multiple 2 9" xfId="3337"/>
    <cellStyle name="Assumptions Center Multiple 2 9 2" xfId="4928"/>
    <cellStyle name="Assumptions Center Multiple 2 9 2 2" xfId="6893"/>
    <cellStyle name="Assumptions Center Multiple 2 9 3" xfId="6204"/>
    <cellStyle name="Assumptions Center Multiple 2 9 3 2" xfId="10098"/>
    <cellStyle name="Assumptions Center Multiple 2 9 4" xfId="9442"/>
    <cellStyle name="Assumptions Center Multiple 3" xfId="1712"/>
    <cellStyle name="Assumptions Center Multiple 3 10" xfId="3455"/>
    <cellStyle name="Assumptions Center Multiple 3 10 2" xfId="5025"/>
    <cellStyle name="Assumptions Center Multiple 3 10 2 2" xfId="8230"/>
    <cellStyle name="Assumptions Center Multiple 3 10 3" xfId="9026"/>
    <cellStyle name="Assumptions Center Multiple 3 11" xfId="3644"/>
    <cellStyle name="Assumptions Center Multiple 3 11 2" xfId="9730"/>
    <cellStyle name="Assumptions Center Multiple 3 12" xfId="8220"/>
    <cellStyle name="Assumptions Center Multiple 3 2" xfId="1896"/>
    <cellStyle name="Assumptions Center Multiple 3 2 10" xfId="7593"/>
    <cellStyle name="Assumptions Center Multiple 3 2 2" xfId="2510"/>
    <cellStyle name="Assumptions Center Multiple 3 2 2 2" xfId="2611"/>
    <cellStyle name="Assumptions Center Multiple 3 2 2 2 2" xfId="4857"/>
    <cellStyle name="Assumptions Center Multiple 3 2 2 2 2 2" xfId="7564"/>
    <cellStyle name="Assumptions Center Multiple 3 2 2 2 3" xfId="6528"/>
    <cellStyle name="Assumptions Center Multiple 3 2 2 3" xfId="4445"/>
    <cellStyle name="Assumptions Center Multiple 3 2 2 3 2" xfId="9045"/>
    <cellStyle name="Assumptions Center Multiple 3 2 2 4" xfId="6253"/>
    <cellStyle name="Assumptions Center Multiple 3 2 3" xfId="2360"/>
    <cellStyle name="Assumptions Center Multiple 3 2 3 2" xfId="2770"/>
    <cellStyle name="Assumptions Center Multiple 3 2 3 2 2" xfId="4061"/>
    <cellStyle name="Assumptions Center Multiple 3 2 3 2 2 2" xfId="7923"/>
    <cellStyle name="Assumptions Center Multiple 3 2 3 2 3" xfId="7355"/>
    <cellStyle name="Assumptions Center Multiple 3 2 3 3" xfId="4705"/>
    <cellStyle name="Assumptions Center Multiple 3 2 3 3 2" xfId="7191"/>
    <cellStyle name="Assumptions Center Multiple 3 2 3 4" xfId="5681"/>
    <cellStyle name="Assumptions Center Multiple 3 2 3 4 2" xfId="6375"/>
    <cellStyle name="Assumptions Center Multiple 3 2 3 5" xfId="6409"/>
    <cellStyle name="Assumptions Center Multiple 3 2 4" xfId="2206"/>
    <cellStyle name="Assumptions Center Multiple 3 2 4 2" xfId="4463"/>
    <cellStyle name="Assumptions Center Multiple 3 2 4 2 2" xfId="9733"/>
    <cellStyle name="Assumptions Center Multiple 3 2 4 3" xfId="5613"/>
    <cellStyle name="Assumptions Center Multiple 3 2 4 3 2" xfId="7456"/>
    <cellStyle name="Assumptions Center Multiple 3 2 4 4" xfId="9259"/>
    <cellStyle name="Assumptions Center Multiple 3 2 5" xfId="2930"/>
    <cellStyle name="Assumptions Center Multiple 3 2 5 2" xfId="4041"/>
    <cellStyle name="Assumptions Center Multiple 3 2 5 2 2" xfId="8418"/>
    <cellStyle name="Assumptions Center Multiple 3 2 5 3" xfId="5859"/>
    <cellStyle name="Assumptions Center Multiple 3 2 5 3 2" xfId="6437"/>
    <cellStyle name="Assumptions Center Multiple 3 2 5 4" xfId="7441"/>
    <cellStyle name="Assumptions Center Multiple 3 2 6" xfId="2907"/>
    <cellStyle name="Assumptions Center Multiple 3 2 6 2" xfId="3854"/>
    <cellStyle name="Assumptions Center Multiple 3 2 6 2 2" xfId="9625"/>
    <cellStyle name="Assumptions Center Multiple 3 2 6 3" xfId="5838"/>
    <cellStyle name="Assumptions Center Multiple 3 2 6 3 2" xfId="8097"/>
    <cellStyle name="Assumptions Center Multiple 3 2 6 4" xfId="9199"/>
    <cellStyle name="Assumptions Center Multiple 3 2 7" xfId="2995"/>
    <cellStyle name="Assumptions Center Multiple 3 2 7 2" xfId="3806"/>
    <cellStyle name="Assumptions Center Multiple 3 2 7 2 2" xfId="9528"/>
    <cellStyle name="Assumptions Center Multiple 3 2 7 3" xfId="5898"/>
    <cellStyle name="Assumptions Center Multiple 3 2 7 3 2" xfId="9792"/>
    <cellStyle name="Assumptions Center Multiple 3 2 7 4" xfId="8618"/>
    <cellStyle name="Assumptions Center Multiple 3 2 8" xfId="3503"/>
    <cellStyle name="Assumptions Center Multiple 3 2 8 2" xfId="5073"/>
    <cellStyle name="Assumptions Center Multiple 3 2 8 2 2" xfId="9537"/>
    <cellStyle name="Assumptions Center Multiple 3 2 8 3" xfId="8978"/>
    <cellStyle name="Assumptions Center Multiple 3 2 9" xfId="3613"/>
    <cellStyle name="Assumptions Center Multiple 3 2 9 2" xfId="9188"/>
    <cellStyle name="Assumptions Center Multiple 3 3" xfId="2322"/>
    <cellStyle name="Assumptions Center Multiple 3 3 2" xfId="2673"/>
    <cellStyle name="Assumptions Center Multiple 3 3 2 2" xfId="4854"/>
    <cellStyle name="Assumptions Center Multiple 3 3 2 2 2" xfId="7181"/>
    <cellStyle name="Assumptions Center Multiple 3 3 2 3" xfId="6341"/>
    <cellStyle name="Assumptions Center Multiple 3 3 3" xfId="4606"/>
    <cellStyle name="Assumptions Center Multiple 3 3 3 2" xfId="7959"/>
    <cellStyle name="Assumptions Center Multiple 3 3 4" xfId="5164"/>
    <cellStyle name="Assumptions Center Multiple 3 3 4 2" xfId="6935"/>
    <cellStyle name="Assumptions Center Multiple 3 3 5" xfId="5503"/>
    <cellStyle name="Assumptions Center Multiple 3 3 5 2" xfId="7761"/>
    <cellStyle name="Assumptions Center Multiple 3 3 6" xfId="7381"/>
    <cellStyle name="Assumptions Center Multiple 3 4" xfId="2309"/>
    <cellStyle name="Assumptions Center Multiple 3 4 2" xfId="4802"/>
    <cellStyle name="Assumptions Center Multiple 3 4 2 2" xfId="9535"/>
    <cellStyle name="Assumptions Center Multiple 3 4 3" xfId="5531"/>
    <cellStyle name="Assumptions Center Multiple 3 4 3 2" xfId="7161"/>
    <cellStyle name="Assumptions Center Multiple 3 4 4" xfId="6884"/>
    <cellStyle name="Assumptions Center Multiple 3 5" xfId="2952"/>
    <cellStyle name="Assumptions Center Multiple 3 5 2" xfId="3832"/>
    <cellStyle name="Assumptions Center Multiple 3 5 2 2" xfId="8120"/>
    <cellStyle name="Assumptions Center Multiple 3 5 3" xfId="5872"/>
    <cellStyle name="Assumptions Center Multiple 3 5 3 2" xfId="7282"/>
    <cellStyle name="Assumptions Center Multiple 3 5 4" xfId="7354"/>
    <cellStyle name="Assumptions Center Multiple 3 6" xfId="2778"/>
    <cellStyle name="Assumptions Center Multiple 3 6 2" xfId="3934"/>
    <cellStyle name="Assumptions Center Multiple 3 6 2 2" xfId="7057"/>
    <cellStyle name="Assumptions Center Multiple 3 6 3" xfId="5715"/>
    <cellStyle name="Assumptions Center Multiple 3 6 3 2" xfId="6674"/>
    <cellStyle name="Assumptions Center Multiple 3 6 4" xfId="6854"/>
    <cellStyle name="Assumptions Center Multiple 3 7" xfId="3279"/>
    <cellStyle name="Assumptions Center Multiple 3 7 2" xfId="3559"/>
    <cellStyle name="Assumptions Center Multiple 3 7 2 2" xfId="7821"/>
    <cellStyle name="Assumptions Center Multiple 3 7 3" xfId="6153"/>
    <cellStyle name="Assumptions Center Multiple 3 7 3 2" xfId="10047"/>
    <cellStyle name="Assumptions Center Multiple 3 7 4" xfId="6496"/>
    <cellStyle name="Assumptions Center Multiple 3 8" xfId="2768"/>
    <cellStyle name="Assumptions Center Multiple 3 8 2" xfId="3940"/>
    <cellStyle name="Assumptions Center Multiple 3 8 2 2" xfId="8325"/>
    <cellStyle name="Assumptions Center Multiple 3 8 3" xfId="5708"/>
    <cellStyle name="Assumptions Center Multiple 3 8 3 2" xfId="6633"/>
    <cellStyle name="Assumptions Center Multiple 3 8 4" xfId="8396"/>
    <cellStyle name="Assumptions Center Multiple 3 9" xfId="2855"/>
    <cellStyle name="Assumptions Center Multiple 3 9 2" xfId="3892"/>
    <cellStyle name="Assumptions Center Multiple 3 9 2 2" xfId="7179"/>
    <cellStyle name="Assumptions Center Multiple 3 9 3" xfId="5786"/>
    <cellStyle name="Assumptions Center Multiple 3 9 3 2" xfId="7522"/>
    <cellStyle name="Assumptions Center Multiple 3 9 4" xfId="7981"/>
    <cellStyle name="Assumptions Center Multiple 4" xfId="2121"/>
    <cellStyle name="Assumptions Center Multiple 4 2" xfId="2643"/>
    <cellStyle name="Assumptions Center Multiple 4 2 2" xfId="4733"/>
    <cellStyle name="Assumptions Center Multiple 4 2 2 2" xfId="7823"/>
    <cellStyle name="Assumptions Center Multiple 4 2 3" xfId="6432"/>
    <cellStyle name="Assumptions Center Multiple 4 3" xfId="4843"/>
    <cellStyle name="Assumptions Center Multiple 4 3 2" xfId="8578"/>
    <cellStyle name="Assumptions Center Multiple 4 4" xfId="5097"/>
    <cellStyle name="Assumptions Center Multiple 4 4 2" xfId="9675"/>
    <cellStyle name="Assumptions Center Multiple 4 5" xfId="5474"/>
    <cellStyle name="Assumptions Center Multiple 4 5 2" xfId="7306"/>
    <cellStyle name="Assumptions Center Multiple 4 6" xfId="7572"/>
    <cellStyle name="Assumptions Center Multiple 5" xfId="2271"/>
    <cellStyle name="Assumptions Center Multiple 5 2" xfId="4829"/>
    <cellStyle name="Assumptions Center Multiple 5 2 2" xfId="9682"/>
    <cellStyle name="Assumptions Center Multiple 5 3" xfId="5457"/>
    <cellStyle name="Assumptions Center Multiple 5 3 2" xfId="8010"/>
    <cellStyle name="Assumptions Center Multiple 5 4" xfId="6630"/>
    <cellStyle name="Assumptions Center Multiple 6" xfId="3047"/>
    <cellStyle name="Assumptions Center Multiple 6 2" xfId="3774"/>
    <cellStyle name="Assumptions Center Multiple 6 2 2" xfId="8595"/>
    <cellStyle name="Assumptions Center Multiple 6 3" xfId="5948"/>
    <cellStyle name="Assumptions Center Multiple 6 3 2" xfId="9842"/>
    <cellStyle name="Assumptions Center Multiple 6 4" xfId="6792"/>
    <cellStyle name="Assumptions Center Multiple 7" xfId="3237"/>
    <cellStyle name="Assumptions Center Multiple 7 2" xfId="3565"/>
    <cellStyle name="Assumptions Center Multiple 7 2 2" xfId="8469"/>
    <cellStyle name="Assumptions Center Multiple 7 3" xfId="6119"/>
    <cellStyle name="Assumptions Center Multiple 7 3 2" xfId="10013"/>
    <cellStyle name="Assumptions Center Multiple 7 4" xfId="8057"/>
    <cellStyle name="Assumptions Center Multiple 8" xfId="3117"/>
    <cellStyle name="Assumptions Center Multiple 8 2" xfId="3736"/>
    <cellStyle name="Assumptions Center Multiple 8 2 2" xfId="6873"/>
    <cellStyle name="Assumptions Center Multiple 8 3" xfId="6013"/>
    <cellStyle name="Assumptions Center Multiple 8 3 2" xfId="9907"/>
    <cellStyle name="Assumptions Center Multiple 8 4" xfId="7885"/>
    <cellStyle name="Assumptions Center Multiple 9" xfId="3228"/>
    <cellStyle name="Assumptions Center Multiple 9 2" xfId="3694"/>
    <cellStyle name="Assumptions Center Multiple 9 2 2" xfId="8133"/>
    <cellStyle name="Assumptions Center Multiple 9 3" xfId="6110"/>
    <cellStyle name="Assumptions Center Multiple 9 3 2" xfId="10004"/>
    <cellStyle name="Assumptions Center Multiple 9 4" xfId="6994"/>
    <cellStyle name="Assumptions Center Number" xfId="953"/>
    <cellStyle name="Assumptions Center Number 10" xfId="3088"/>
    <cellStyle name="Assumptions Center Number 10 2" xfId="3757"/>
    <cellStyle name="Assumptions Center Number 10 2 2" xfId="7994"/>
    <cellStyle name="Assumptions Center Number 10 3" xfId="5985"/>
    <cellStyle name="Assumptions Center Number 10 3 2" xfId="9879"/>
    <cellStyle name="Assumptions Center Number 10 4" xfId="9236"/>
    <cellStyle name="Assumptions Center Number 11" xfId="3389"/>
    <cellStyle name="Assumptions Center Number 11 2" xfId="4963"/>
    <cellStyle name="Assumptions Center Number 11 2 2" xfId="8416"/>
    <cellStyle name="Assumptions Center Number 11 3" xfId="6856"/>
    <cellStyle name="Assumptions Center Number 12" xfId="4246"/>
    <cellStyle name="Assumptions Center Number 12 2" xfId="8627"/>
    <cellStyle name="Assumptions Center Number 13" xfId="8854"/>
    <cellStyle name="Assumptions Center Number 2" xfId="954"/>
    <cellStyle name="Assumptions Center Number 2 10" xfId="3390"/>
    <cellStyle name="Assumptions Center Number 2 10 2" xfId="4964"/>
    <cellStyle name="Assumptions Center Number 2 10 2 2" xfId="9635"/>
    <cellStyle name="Assumptions Center Number 2 10 3" xfId="9566"/>
    <cellStyle name="Assumptions Center Number 2 11" xfId="4017"/>
    <cellStyle name="Assumptions Center Number 2 11 2" xfId="6940"/>
    <cellStyle name="Assumptions Center Number 2 12" xfId="7536"/>
    <cellStyle name="Assumptions Center Number 2 2" xfId="1715"/>
    <cellStyle name="Assumptions Center Number 2 2 10" xfId="3458"/>
    <cellStyle name="Assumptions Center Number 2 2 10 2" xfId="5028"/>
    <cellStyle name="Assumptions Center Number 2 2 10 2 2" xfId="6474"/>
    <cellStyle name="Assumptions Center Number 2 2 10 3" xfId="9218"/>
    <cellStyle name="Assumptions Center Number 2 2 11" xfId="3641"/>
    <cellStyle name="Assumptions Center Number 2 2 11 2" xfId="9662"/>
    <cellStyle name="Assumptions Center Number 2 2 12" xfId="8299"/>
    <cellStyle name="Assumptions Center Number 2 2 2" xfId="1604"/>
    <cellStyle name="Assumptions Center Number 2 2 2 10" xfId="6827"/>
    <cellStyle name="Assumptions Center Number 2 2 2 2" xfId="2444"/>
    <cellStyle name="Assumptions Center Number 2 2 2 2 2" xfId="2578"/>
    <cellStyle name="Assumptions Center Number 2 2 2 2 2 2" xfId="4587"/>
    <cellStyle name="Assumptions Center Number 2 2 2 2 2 2 2" xfId="7985"/>
    <cellStyle name="Assumptions Center Number 2 2 2 2 2 3" xfId="9763"/>
    <cellStyle name="Assumptions Center Number 2 2 2 2 3" xfId="4430"/>
    <cellStyle name="Assumptions Center Number 2 2 2 2 3 2" xfId="6765"/>
    <cellStyle name="Assumptions Center Number 2 2 2 2 4" xfId="6390"/>
    <cellStyle name="Assumptions Center Number 2 2 2 3" xfId="2212"/>
    <cellStyle name="Assumptions Center Number 2 2 2 3 2" xfId="2972"/>
    <cellStyle name="Assumptions Center Number 2 2 2 3 2 2" xfId="4218"/>
    <cellStyle name="Assumptions Center Number 2 2 2 3 2 2 2" xfId="9650"/>
    <cellStyle name="Assumptions Center Number 2 2 2 3 2 3" xfId="7010"/>
    <cellStyle name="Assumptions Center Number 2 2 2 3 3" xfId="4725"/>
    <cellStyle name="Assumptions Center Number 2 2 2 3 3 2" xfId="9527"/>
    <cellStyle name="Assumptions Center Number 2 2 2 3 4" xfId="5618"/>
    <cellStyle name="Assumptions Center Number 2 2 2 3 4 2" xfId="7276"/>
    <cellStyle name="Assumptions Center Number 2 2 2 3 5" xfId="6862"/>
    <cellStyle name="Assumptions Center Number 2 2 2 4" xfId="2160"/>
    <cellStyle name="Assumptions Center Number 2 2 2 4 2" xfId="4110"/>
    <cellStyle name="Assumptions Center Number 2 2 2 4 2 2" xfId="9462"/>
    <cellStyle name="Assumptions Center Number 2 2 2 4 3" xfId="5593"/>
    <cellStyle name="Assumptions Center Number 2 2 2 4 3 2" xfId="6267"/>
    <cellStyle name="Assumptions Center Number 2 2 2 4 4" xfId="6263"/>
    <cellStyle name="Assumptions Center Number 2 2 2 5" xfId="3333"/>
    <cellStyle name="Assumptions Center Number 2 2 2 5 2" xfId="4924"/>
    <cellStyle name="Assumptions Center Number 2 2 2 5 2 2" xfId="8412"/>
    <cellStyle name="Assumptions Center Number 2 2 2 5 3" xfId="6200"/>
    <cellStyle name="Assumptions Center Number 2 2 2 5 3 2" xfId="10094"/>
    <cellStyle name="Assumptions Center Number 2 2 2 5 4" xfId="7104"/>
    <cellStyle name="Assumptions Center Number 2 2 2 6" xfId="3203"/>
    <cellStyle name="Assumptions Center Number 2 2 2 6 2" xfId="3700"/>
    <cellStyle name="Assumptions Center Number 2 2 2 6 2 2" xfId="7878"/>
    <cellStyle name="Assumptions Center Number 2 2 2 6 3" xfId="6092"/>
    <cellStyle name="Assumptions Center Number 2 2 2 6 3 2" xfId="9986"/>
    <cellStyle name="Assumptions Center Number 2 2 2 6 4" xfId="8236"/>
    <cellStyle name="Assumptions Center Number 2 2 2 7" xfId="3180"/>
    <cellStyle name="Assumptions Center Number 2 2 2 7 2" xfId="4198"/>
    <cellStyle name="Assumptions Center Number 2 2 2 7 2 2" xfId="7822"/>
    <cellStyle name="Assumptions Center Number 2 2 2 7 3" xfId="6071"/>
    <cellStyle name="Assumptions Center Number 2 2 2 7 3 2" xfId="9965"/>
    <cellStyle name="Assumptions Center Number 2 2 2 7 4" xfId="8275"/>
    <cellStyle name="Assumptions Center Number 2 2 2 8" xfId="3442"/>
    <cellStyle name="Assumptions Center Number 2 2 2 8 2" xfId="5013"/>
    <cellStyle name="Assumptions Center Number 2 2 2 8 2 2" xfId="8242"/>
    <cellStyle name="Assumptions Center Number 2 2 2 8 3" xfId="9512"/>
    <cellStyle name="Assumptions Center Number 2 2 2 9" xfId="3992"/>
    <cellStyle name="Assumptions Center Number 2 2 2 9 2" xfId="9641"/>
    <cellStyle name="Assumptions Center Number 2 2 3" xfId="2197"/>
    <cellStyle name="Assumptions Center Number 2 2 3 2" xfId="2676"/>
    <cellStyle name="Assumptions Center Number 2 2 3 2 2" xfId="3610"/>
    <cellStyle name="Assumptions Center Number 2 2 3 2 2 2" xfId="6519"/>
    <cellStyle name="Assumptions Center Number 2 2 3 2 3" xfId="6986"/>
    <cellStyle name="Assumptions Center Number 2 2 3 3" xfId="4739"/>
    <cellStyle name="Assumptions Center Number 2 2 3 3 2" xfId="6535"/>
    <cellStyle name="Assumptions Center Number 2 2 3 4" xfId="5288"/>
    <cellStyle name="Assumptions Center Number 2 2 3 4 2" xfId="7813"/>
    <cellStyle name="Assumptions Center Number 2 2 3 5" xfId="5506"/>
    <cellStyle name="Assumptions Center Number 2 2 3 5 2" xfId="8160"/>
    <cellStyle name="Assumptions Center Number 2 2 3 6" xfId="8463"/>
    <cellStyle name="Assumptions Center Number 2 2 4" xfId="2310"/>
    <cellStyle name="Assumptions Center Number 2 2 4 2" xfId="4487"/>
    <cellStyle name="Assumptions Center Number 2 2 4 2 2" xfId="9687"/>
    <cellStyle name="Assumptions Center Number 2 2 4 3" xfId="5534"/>
    <cellStyle name="Assumptions Center Number 2 2 4 3 2" xfId="6868"/>
    <cellStyle name="Assumptions Center Number 2 2 4 4" xfId="8030"/>
    <cellStyle name="Assumptions Center Number 2 2 5" xfId="2782"/>
    <cellStyle name="Assumptions Center Number 2 2 5 2" xfId="4233"/>
    <cellStyle name="Assumptions Center Number 2 2 5 2 2" xfId="8982"/>
    <cellStyle name="Assumptions Center Number 2 2 5 3" xfId="5718"/>
    <cellStyle name="Assumptions Center Number 2 2 5 3 2" xfId="7479"/>
    <cellStyle name="Assumptions Center Number 2 2 5 4" xfId="7693"/>
    <cellStyle name="Assumptions Center Number 2 2 6" xfId="2926"/>
    <cellStyle name="Assumptions Center Number 2 2 6 2" xfId="4152"/>
    <cellStyle name="Assumptions Center Number 2 2 6 2 2" xfId="8114"/>
    <cellStyle name="Assumptions Center Number 2 2 6 3" xfId="5855"/>
    <cellStyle name="Assumptions Center Number 2 2 6 3 2" xfId="8062"/>
    <cellStyle name="Assumptions Center Number 2 2 6 4" xfId="7347"/>
    <cellStyle name="Assumptions Center Number 2 2 7" xfId="3230"/>
    <cellStyle name="Assumptions Center Number 2 2 7 2" xfId="4255"/>
    <cellStyle name="Assumptions Center Number 2 2 7 2 2" xfId="9214"/>
    <cellStyle name="Assumptions Center Number 2 2 7 3" xfId="6112"/>
    <cellStyle name="Assumptions Center Number 2 2 7 3 2" xfId="10006"/>
    <cellStyle name="Assumptions Center Number 2 2 7 4" xfId="6314"/>
    <cellStyle name="Assumptions Center Number 2 2 8" xfId="2998"/>
    <cellStyle name="Assumptions Center Number 2 2 8 2" xfId="3805"/>
    <cellStyle name="Assumptions Center Number 2 2 8 2 2" xfId="8198"/>
    <cellStyle name="Assumptions Center Number 2 2 8 3" xfId="5901"/>
    <cellStyle name="Assumptions Center Number 2 2 8 3 2" xfId="9795"/>
    <cellStyle name="Assumptions Center Number 2 2 8 4" xfId="7341"/>
    <cellStyle name="Assumptions Center Number 2 2 9" xfId="2833"/>
    <cellStyle name="Assumptions Center Number 2 2 9 2" xfId="3898"/>
    <cellStyle name="Assumptions Center Number 2 2 9 2 2" xfId="8705"/>
    <cellStyle name="Assumptions Center Number 2 2 9 3" xfId="5766"/>
    <cellStyle name="Assumptions Center Number 2 2 9 3 2" xfId="7628"/>
    <cellStyle name="Assumptions Center Number 2 2 9 4" xfId="9496"/>
    <cellStyle name="Assumptions Center Number 2 3" xfId="2246"/>
    <cellStyle name="Assumptions Center Number 2 3 2" xfId="2646"/>
    <cellStyle name="Assumptions Center Number 2 3 2 2" xfId="4754"/>
    <cellStyle name="Assumptions Center Number 2 3 2 2 2" xfId="7488"/>
    <cellStyle name="Assumptions Center Number 2 3 2 3" xfId="7003"/>
    <cellStyle name="Assumptions Center Number 2 3 3" xfId="4697"/>
    <cellStyle name="Assumptions Center Number 2 3 3 2" xfId="8723"/>
    <cellStyle name="Assumptions Center Number 2 3 4" xfId="5140"/>
    <cellStyle name="Assumptions Center Number 2 3 4 2" xfId="7404"/>
    <cellStyle name="Assumptions Center Number 2 3 5" xfId="5477"/>
    <cellStyle name="Assumptions Center Number 2 3 5 2" xfId="6998"/>
    <cellStyle name="Assumptions Center Number 2 3 6" xfId="7288"/>
    <cellStyle name="Assumptions Center Number 2 4" xfId="2273"/>
    <cellStyle name="Assumptions Center Number 2 4 2" xfId="4475"/>
    <cellStyle name="Assumptions Center Number 2 4 2 2" xfId="8873"/>
    <cellStyle name="Assumptions Center Number 2 4 3" xfId="5454"/>
    <cellStyle name="Assumptions Center Number 2 4 3 2" xfId="8517"/>
    <cellStyle name="Assumptions Center Number 2 4 4" xfId="8401"/>
    <cellStyle name="Assumptions Center Number 2 5" xfId="2919"/>
    <cellStyle name="Assumptions Center Number 2 5 2" xfId="3850"/>
    <cellStyle name="Assumptions Center Number 2 5 2 2" xfId="7081"/>
    <cellStyle name="Assumptions Center Number 2 5 3" xfId="5848"/>
    <cellStyle name="Assumptions Center Number 2 5 3 2" xfId="7270"/>
    <cellStyle name="Assumptions Center Number 2 5 4" xfId="7964"/>
    <cellStyle name="Assumptions Center Number 2 6" xfId="3093"/>
    <cellStyle name="Assumptions Center Number 2 6 2" xfId="4057"/>
    <cellStyle name="Assumptions Center Number 2 6 2 2" xfId="7873"/>
    <cellStyle name="Assumptions Center Number 2 6 3" xfId="5990"/>
    <cellStyle name="Assumptions Center Number 2 6 3 2" xfId="9884"/>
    <cellStyle name="Assumptions Center Number 2 6 4" xfId="9085"/>
    <cellStyle name="Assumptions Center Number 2 7" xfId="2841"/>
    <cellStyle name="Assumptions Center Number 2 7 2" xfId="4162"/>
    <cellStyle name="Assumptions Center Number 2 7 2 2" xfId="8268"/>
    <cellStyle name="Assumptions Center Number 2 7 3" xfId="5773"/>
    <cellStyle name="Assumptions Center Number 2 7 3 2" xfId="6908"/>
    <cellStyle name="Assumptions Center Number 2 7 4" xfId="8427"/>
    <cellStyle name="Assumptions Center Number 2 8" xfId="2878"/>
    <cellStyle name="Assumptions Center Number 2 8 2" xfId="3873"/>
    <cellStyle name="Assumptions Center Number 2 8 2 2" xfId="6651"/>
    <cellStyle name="Assumptions Center Number 2 8 3" xfId="5809"/>
    <cellStyle name="Assumptions Center Number 2 8 3 2" xfId="7846"/>
    <cellStyle name="Assumptions Center Number 2 8 4" xfId="8985"/>
    <cellStyle name="Assumptions Center Number 2 9" xfId="3072"/>
    <cellStyle name="Assumptions Center Number 2 9 2" xfId="4138"/>
    <cellStyle name="Assumptions Center Number 2 9 2 2" xfId="7421"/>
    <cellStyle name="Assumptions Center Number 2 9 3" xfId="5970"/>
    <cellStyle name="Assumptions Center Number 2 9 3 2" xfId="9864"/>
    <cellStyle name="Assumptions Center Number 2 9 4" xfId="9243"/>
    <cellStyle name="Assumptions Center Number 3" xfId="1714"/>
    <cellStyle name="Assumptions Center Number 3 10" xfId="3457"/>
    <cellStyle name="Assumptions Center Number 3 10 2" xfId="5027"/>
    <cellStyle name="Assumptions Center Number 3 10 2 2" xfId="7782"/>
    <cellStyle name="Assumptions Center Number 3 10 3" xfId="9390"/>
    <cellStyle name="Assumptions Center Number 3 11" xfId="3642"/>
    <cellStyle name="Assumptions Center Number 3 11 2" xfId="7377"/>
    <cellStyle name="Assumptions Center Number 3 12" xfId="7495"/>
    <cellStyle name="Assumptions Center Number 3 2" xfId="1704"/>
    <cellStyle name="Assumptions Center Number 3 2 10" xfId="7098"/>
    <cellStyle name="Assumptions Center Number 3 2 2" xfId="2449"/>
    <cellStyle name="Assumptions Center Number 3 2 2 2" xfId="2583"/>
    <cellStyle name="Assumptions Center Number 3 2 2 2 2" xfId="4798"/>
    <cellStyle name="Assumptions Center Number 3 2 2 2 2 2" xfId="9090"/>
    <cellStyle name="Assumptions Center Number 3 2 2 2 3" xfId="9762"/>
    <cellStyle name="Assumptions Center Number 3 2 2 3" xfId="4639"/>
    <cellStyle name="Assumptions Center Number 3 2 2 3 2" xfId="6364"/>
    <cellStyle name="Assumptions Center Number 3 2 2 4" xfId="6441"/>
    <cellStyle name="Assumptions Center Number 3 2 3" xfId="2300"/>
    <cellStyle name="Assumptions Center Number 3 2 3 2" xfId="3185"/>
    <cellStyle name="Assumptions Center Number 3 2 3 2 2" xfId="4197"/>
    <cellStyle name="Assumptions Center Number 3 2 3 2 2 2" xfId="7171"/>
    <cellStyle name="Assumptions Center Number 3 2 3 2 3" xfId="8077"/>
    <cellStyle name="Assumptions Center Number 3 2 3 3" xfId="4704"/>
    <cellStyle name="Assumptions Center Number 3 2 3 3 2" xfId="9702"/>
    <cellStyle name="Assumptions Center Number 3 2 3 4" xfId="5651"/>
    <cellStyle name="Assumptions Center Number 3 2 3 4 2" xfId="7105"/>
    <cellStyle name="Assumptions Center Number 3 2 3 5" xfId="6280"/>
    <cellStyle name="Assumptions Center Number 3 2 4" xfId="2307"/>
    <cellStyle name="Assumptions Center Number 3 2 4 2" xfId="4778"/>
    <cellStyle name="Assumptions Center Number 3 2 4 2 2" xfId="9749"/>
    <cellStyle name="Assumptions Center Number 3 2 4 3" xfId="5655"/>
    <cellStyle name="Assumptions Center Number 3 2 4 3 2" xfId="8179"/>
    <cellStyle name="Assumptions Center Number 3 2 4 4" xfId="7698"/>
    <cellStyle name="Assumptions Center Number 3 2 5" xfId="3253"/>
    <cellStyle name="Assumptions Center Number 3 2 5 2" xfId="4252"/>
    <cellStyle name="Assumptions Center Number 3 2 5 2 2" xfId="8993"/>
    <cellStyle name="Assumptions Center Number 3 2 5 3" xfId="6130"/>
    <cellStyle name="Assumptions Center Number 3 2 5 3 2" xfId="10024"/>
    <cellStyle name="Assumptions Center Number 3 2 5 4" xfId="6797"/>
    <cellStyle name="Assumptions Center Number 3 2 6" xfId="2929"/>
    <cellStyle name="Assumptions Center Number 3 2 6 2" xfId="4151"/>
    <cellStyle name="Assumptions Center Number 3 2 6 2 2" xfId="9742"/>
    <cellStyle name="Assumptions Center Number 3 2 6 3" xfId="5858"/>
    <cellStyle name="Assumptions Center Number 3 2 6 3 2" xfId="6779"/>
    <cellStyle name="Assumptions Center Number 3 2 6 4" xfId="7131"/>
    <cellStyle name="Assumptions Center Number 3 2 7" xfId="3327"/>
    <cellStyle name="Assumptions Center Number 3 2 7 2" xfId="4918"/>
    <cellStyle name="Assumptions Center Number 3 2 7 2 2" xfId="8883"/>
    <cellStyle name="Assumptions Center Number 3 2 7 3" xfId="6194"/>
    <cellStyle name="Assumptions Center Number 3 2 7 3 2" xfId="10088"/>
    <cellStyle name="Assumptions Center Number 3 2 7 4" xfId="6476"/>
    <cellStyle name="Assumptions Center Number 3 2 8" xfId="3448"/>
    <cellStyle name="Assumptions Center Number 3 2 8 2" xfId="5018"/>
    <cellStyle name="Assumptions Center Number 3 2 8 2 2" xfId="9448"/>
    <cellStyle name="Assumptions Center Number 3 2 8 3" xfId="9505"/>
    <cellStyle name="Assumptions Center Number 3 2 9" xfId="3651"/>
    <cellStyle name="Assumptions Center Number 3 2 9 2" xfId="8685"/>
    <cellStyle name="Assumptions Center Number 3 3" xfId="2198"/>
    <cellStyle name="Assumptions Center Number 3 3 2" xfId="2675"/>
    <cellStyle name="Assumptions Center Number 3 3 2 2" xfId="3965"/>
    <cellStyle name="Assumptions Center Number 3 3 2 2 2" xfId="9753"/>
    <cellStyle name="Assumptions Center Number 3 3 2 3" xfId="6605"/>
    <cellStyle name="Assumptions Center Number 3 3 3" xfId="4418"/>
    <cellStyle name="Assumptions Center Number 3 3 3 2" xfId="8354"/>
    <cellStyle name="Assumptions Center Number 3 3 4" xfId="5189"/>
    <cellStyle name="Assumptions Center Number 3 3 4 2" xfId="6705"/>
    <cellStyle name="Assumptions Center Number 3 3 5" xfId="5505"/>
    <cellStyle name="Assumptions Center Number 3 3 5 2" xfId="8472"/>
    <cellStyle name="Assumptions Center Number 3 3 6" xfId="6493"/>
    <cellStyle name="Assumptions Center Number 3 4" xfId="2253"/>
    <cellStyle name="Assumptions Center Number 3 4 2" xfId="4844"/>
    <cellStyle name="Assumptions Center Number 3 4 2 2" xfId="7868"/>
    <cellStyle name="Assumptions Center Number 3 4 3" xfId="5533"/>
    <cellStyle name="Assumptions Center Number 3 4 3 2" xfId="6788"/>
    <cellStyle name="Assumptions Center Number 3 4 4" xfId="9303"/>
    <cellStyle name="Assumptions Center Number 3 5" xfId="2951"/>
    <cellStyle name="Assumptions Center Number 3 5 2" xfId="3833"/>
    <cellStyle name="Assumptions Center Number 3 5 2 2" xfId="9602"/>
    <cellStyle name="Assumptions Center Number 3 5 3" xfId="5871"/>
    <cellStyle name="Assumptions Center Number 3 5 3 2" xfId="6472"/>
    <cellStyle name="Assumptions Center Number 3 5 4" xfId="8420"/>
    <cellStyle name="Assumptions Center Number 3 6" xfId="3055"/>
    <cellStyle name="Assumptions Center Number 3 6 2" xfId="3770"/>
    <cellStyle name="Assumptions Center Number 3 6 2 2" xfId="8990"/>
    <cellStyle name="Assumptions Center Number 3 6 3" xfId="5955"/>
    <cellStyle name="Assumptions Center Number 3 6 3 2" xfId="9849"/>
    <cellStyle name="Assumptions Center Number 3 6 4" xfId="7298"/>
    <cellStyle name="Assumptions Center Number 3 7" xfId="3150"/>
    <cellStyle name="Assumptions Center Number 3 7 2" xfId="4083"/>
    <cellStyle name="Assumptions Center Number 3 7 2 2" xfId="9709"/>
    <cellStyle name="Assumptions Center Number 3 7 3" xfId="6044"/>
    <cellStyle name="Assumptions Center Number 3 7 3 2" xfId="9938"/>
    <cellStyle name="Assumptions Center Number 3 7 4" xfId="6946"/>
    <cellStyle name="Assumptions Center Number 3 8" xfId="3100"/>
    <cellStyle name="Assumptions Center Number 3 8 2" xfId="3751"/>
    <cellStyle name="Assumptions Center Number 3 8 2 2" xfId="8629"/>
    <cellStyle name="Assumptions Center Number 3 8 3" xfId="5997"/>
    <cellStyle name="Assumptions Center Number 3 8 3 2" xfId="9891"/>
    <cellStyle name="Assumptions Center Number 3 8 4" xfId="8724"/>
    <cellStyle name="Assumptions Center Number 3 9" xfId="3340"/>
    <cellStyle name="Assumptions Center Number 3 9 2" xfId="4931"/>
    <cellStyle name="Assumptions Center Number 3 9 2 2" xfId="8533"/>
    <cellStyle name="Assumptions Center Number 3 9 3" xfId="6207"/>
    <cellStyle name="Assumptions Center Number 3 9 3 2" xfId="10101"/>
    <cellStyle name="Assumptions Center Number 3 9 4" xfId="9461"/>
    <cellStyle name="Assumptions Center Number 4" xfId="2362"/>
    <cellStyle name="Assumptions Center Number 4 2" xfId="2645"/>
    <cellStyle name="Assumptions Center Number 4 2 2" xfId="4815"/>
    <cellStyle name="Assumptions Center Number 4 2 2 2" xfId="8572"/>
    <cellStyle name="Assumptions Center Number 4 2 3" xfId="7420"/>
    <cellStyle name="Assumptions Center Number 4 3" xfId="4620"/>
    <cellStyle name="Assumptions Center Number 4 3 2" xfId="7100"/>
    <cellStyle name="Assumptions Center Number 4 4" xfId="5310"/>
    <cellStyle name="Assumptions Center Number 4 4 2" xfId="7757"/>
    <cellStyle name="Assumptions Center Number 4 5" xfId="5476"/>
    <cellStyle name="Assumptions Center Number 4 5 2" xfId="6978"/>
    <cellStyle name="Assumptions Center Number 4 6" xfId="8061"/>
    <cellStyle name="Assumptions Center Number 5" xfId="2109"/>
    <cellStyle name="Assumptions Center Number 5 2" xfId="4715"/>
    <cellStyle name="Assumptions Center Number 5 2 2" xfId="7388"/>
    <cellStyle name="Assumptions Center Number 5 3" xfId="5455"/>
    <cellStyle name="Assumptions Center Number 5 3 2" xfId="7343"/>
    <cellStyle name="Assumptions Center Number 5 4" xfId="7149"/>
    <cellStyle name="Assumptions Center Number 6" xfId="3045"/>
    <cellStyle name="Assumptions Center Number 6 2" xfId="3776"/>
    <cellStyle name="Assumptions Center Number 6 2 2" xfId="6911"/>
    <cellStyle name="Assumptions Center Number 6 3" xfId="5946"/>
    <cellStyle name="Assumptions Center Number 6 3 2" xfId="9840"/>
    <cellStyle name="Assumptions Center Number 6 4" xfId="6453"/>
    <cellStyle name="Assumptions Center Number 7" xfId="2812"/>
    <cellStyle name="Assumptions Center Number 7 2" xfId="3907"/>
    <cellStyle name="Assumptions Center Number 7 2 2" xfId="9320"/>
    <cellStyle name="Assumptions Center Number 7 3" xfId="5746"/>
    <cellStyle name="Assumptions Center Number 7 3 2" xfId="8101"/>
    <cellStyle name="Assumptions Center Number 7 4" xfId="9754"/>
    <cellStyle name="Assumptions Center Number 8" xfId="3316"/>
    <cellStyle name="Assumptions Center Number 8 2" xfId="3539"/>
    <cellStyle name="Assumptions Center Number 8 2 2" xfId="9447"/>
    <cellStyle name="Assumptions Center Number 8 3" xfId="6184"/>
    <cellStyle name="Assumptions Center Number 8 3 2" xfId="10078"/>
    <cellStyle name="Assumptions Center Number 8 4" xfId="9432"/>
    <cellStyle name="Assumptions Center Number 9" xfId="3073"/>
    <cellStyle name="Assumptions Center Number 9 2" xfId="4065"/>
    <cellStyle name="Assumptions Center Number 9 2 2" xfId="9364"/>
    <cellStyle name="Assumptions Center Number 9 3" xfId="5971"/>
    <cellStyle name="Assumptions Center Number 9 3 2" xfId="9865"/>
    <cellStyle name="Assumptions Center Number 9 4" xfId="9272"/>
    <cellStyle name="Assumptions Center Percentage" xfId="955"/>
    <cellStyle name="Assumptions Center Percentage 10" xfId="3030"/>
    <cellStyle name="Assumptions Center Percentage 10 2" xfId="3789"/>
    <cellStyle name="Assumptions Center Percentage 10 2 2" xfId="9460"/>
    <cellStyle name="Assumptions Center Percentage 10 3" xfId="5931"/>
    <cellStyle name="Assumptions Center Percentage 10 3 2" xfId="9825"/>
    <cellStyle name="Assumptions Center Percentage 10 4" xfId="7190"/>
    <cellStyle name="Assumptions Center Percentage 11" xfId="3391"/>
    <cellStyle name="Assumptions Center Percentage 11 2" xfId="4965"/>
    <cellStyle name="Assumptions Center Percentage 11 2 2" xfId="8670"/>
    <cellStyle name="Assumptions Center Percentage 11 3" xfId="8228"/>
    <cellStyle name="Assumptions Center Percentage 12" xfId="4016"/>
    <cellStyle name="Assumptions Center Percentage 12 2" xfId="9732"/>
    <cellStyle name="Assumptions Center Percentage 13" xfId="6974"/>
    <cellStyle name="Assumptions Center Percentage 2" xfId="956"/>
    <cellStyle name="Assumptions Center Percentage 2 10" xfId="3392"/>
    <cellStyle name="Assumptions Center Percentage 2 10 2" xfId="4966"/>
    <cellStyle name="Assumptions Center Percentage 2 10 2 2" xfId="7991"/>
    <cellStyle name="Assumptions Center Percentage 2 10 3" xfId="7451"/>
    <cellStyle name="Assumptions Center Percentage 2 11" xfId="4015"/>
    <cellStyle name="Assumptions Center Percentage 2 11 2" xfId="7189"/>
    <cellStyle name="Assumptions Center Percentage 2 12" xfId="7956"/>
    <cellStyle name="Assumptions Center Percentage 2 2" xfId="1717"/>
    <cellStyle name="Assumptions Center Percentage 2 2 10" xfId="3460"/>
    <cellStyle name="Assumptions Center Percentage 2 2 10 2" xfId="5030"/>
    <cellStyle name="Assumptions Center Percentage 2 2 10 2 2" xfId="6595"/>
    <cellStyle name="Assumptions Center Percentage 2 2 10 3" xfId="9067"/>
    <cellStyle name="Assumptions Center Percentage 2 2 11" xfId="3639"/>
    <cellStyle name="Assumptions Center Percentage 2 2 11 2" xfId="7465"/>
    <cellStyle name="Assumptions Center Percentage 2 2 12" xfId="7305"/>
    <cellStyle name="Assumptions Center Percentage 2 2 2" xfId="1906"/>
    <cellStyle name="Assumptions Center Percentage 2 2 2 10" xfId="7830"/>
    <cellStyle name="Assumptions Center Percentage 2 2 2 2" xfId="2516"/>
    <cellStyle name="Assumptions Center Percentage 2 2 2 2 2" xfId="2617"/>
    <cellStyle name="Assumptions Center Percentage 2 2 2 2 2 2" xfId="4663"/>
    <cellStyle name="Assumptions Center Percentage 2 2 2 2 2 2 2" xfId="7335"/>
    <cellStyle name="Assumptions Center Percentage 2 2 2 2 2 3" xfId="8033"/>
    <cellStyle name="Assumptions Center Percentage 2 2 2 2 3" xfId="4827"/>
    <cellStyle name="Assumptions Center Percentage 2 2 2 2 3 2" xfId="9196"/>
    <cellStyle name="Assumptions Center Percentage 2 2 2 2 4" xfId="7236"/>
    <cellStyle name="Assumptions Center Percentage 2 2 2 3" xfId="2163"/>
    <cellStyle name="Assumptions Center Percentage 2 2 2 3 2" xfId="3248"/>
    <cellStyle name="Assumptions Center Percentage 2 2 2 3 2 2" xfId="3690"/>
    <cellStyle name="Assumptions Center Percentage 2 2 2 3 2 2 2" xfId="9197"/>
    <cellStyle name="Assumptions Center Percentage 2 2 2 3 2 3" xfId="7675"/>
    <cellStyle name="Assumptions Center Percentage 2 2 2 3 3" xfId="4865"/>
    <cellStyle name="Assumptions Center Percentage 2 2 2 3 3 2" xfId="7088"/>
    <cellStyle name="Assumptions Center Percentage 2 2 2 3 4" xfId="5595"/>
    <cellStyle name="Assumptions Center Percentage 2 2 2 3 4 2" xfId="7544"/>
    <cellStyle name="Assumptions Center Percentage 2 2 2 3 5" xfId="6863"/>
    <cellStyle name="Assumptions Center Percentage 2 2 2 4" xfId="2314"/>
    <cellStyle name="Assumptions Center Percentage 2 2 2 4 2" xfId="4885"/>
    <cellStyle name="Assumptions Center Percentage 2 2 2 4 2 2" xfId="8364"/>
    <cellStyle name="Assumptions Center Percentage 2 2 2 4 3" xfId="5658"/>
    <cellStyle name="Assumptions Center Percentage 2 2 2 4 3 2" xfId="7850"/>
    <cellStyle name="Assumptions Center Percentage 2 2 2 4 4" xfId="7496"/>
    <cellStyle name="Assumptions Center Percentage 2 2 2 5" xfId="2788"/>
    <cellStyle name="Assumptions Center Percentage 2 2 2 5 2" xfId="3926"/>
    <cellStyle name="Assumptions Center Percentage 2 2 2 5 2 2" xfId="8154"/>
    <cellStyle name="Assumptions Center Percentage 2 2 2 5 3" xfId="5722"/>
    <cellStyle name="Assumptions Center Percentage 2 2 2 5 3 2" xfId="6778"/>
    <cellStyle name="Assumptions Center Percentage 2 2 2 5 4" xfId="7778"/>
    <cellStyle name="Assumptions Center Percentage 2 2 2 6" xfId="3297"/>
    <cellStyle name="Assumptions Center Percentage 2 2 2 6 2" xfId="3555"/>
    <cellStyle name="Assumptions Center Percentage 2 2 2 6 2 2" xfId="8285"/>
    <cellStyle name="Assumptions Center Percentage 2 2 2 6 3" xfId="6166"/>
    <cellStyle name="Assumptions Center Percentage 2 2 2 6 3 2" xfId="10060"/>
    <cellStyle name="Assumptions Center Percentage 2 2 2 6 4" xfId="8750"/>
    <cellStyle name="Assumptions Center Percentage 2 2 2 7" xfId="3002"/>
    <cellStyle name="Assumptions Center Percentage 2 2 2 7 2" xfId="3588"/>
    <cellStyle name="Assumptions Center Percentage 2 2 2 7 2 2" xfId="9700"/>
    <cellStyle name="Assumptions Center Percentage 2 2 2 7 3" xfId="5905"/>
    <cellStyle name="Assumptions Center Percentage 2 2 2 7 3 2" xfId="9799"/>
    <cellStyle name="Assumptions Center Percentage 2 2 2 7 4" xfId="6349"/>
    <cellStyle name="Assumptions Center Percentage 2 2 2 8" xfId="3509"/>
    <cellStyle name="Assumptions Center Percentage 2 2 2 8 2" xfId="5079"/>
    <cellStyle name="Assumptions Center Percentage 2 2 2 8 2 2" xfId="9413"/>
    <cellStyle name="Assumptions Center Percentage 2 2 2 8 3" xfId="8499"/>
    <cellStyle name="Assumptions Center Percentage 2 2 2 9" xfId="3611"/>
    <cellStyle name="Assumptions Center Percentage 2 2 2 9 2" xfId="6667"/>
    <cellStyle name="Assumptions Center Percentage 2 2 3" xfId="2344"/>
    <cellStyle name="Assumptions Center Percentage 2 2 3 2" xfId="2678"/>
    <cellStyle name="Assumptions Center Percentage 2 2 3 2 2" xfId="4174"/>
    <cellStyle name="Assumptions Center Percentage 2 2 3 2 2 2" xfId="6413"/>
    <cellStyle name="Assumptions Center Percentage 2 2 3 2 3" xfId="6367"/>
    <cellStyle name="Assumptions Center Percentage 2 2 3 3" xfId="4861"/>
    <cellStyle name="Assumptions Center Percentage 2 2 3 3 2" xfId="7681"/>
    <cellStyle name="Assumptions Center Percentage 2 2 3 4" xfId="5203"/>
    <cellStyle name="Assumptions Center Percentage 2 2 3 4 2" xfId="6846"/>
    <cellStyle name="Assumptions Center Percentage 2 2 3 5" xfId="5508"/>
    <cellStyle name="Assumptions Center Percentage 2 2 3 5 2" xfId="8035"/>
    <cellStyle name="Assumptions Center Percentage 2 2 3 6" xfId="7568"/>
    <cellStyle name="Assumptions Center Percentage 2 2 4" xfId="2133"/>
    <cellStyle name="Assumptions Center Percentage 2 2 4 2" xfId="4481"/>
    <cellStyle name="Assumptions Center Percentage 2 2 4 2 2" xfId="9681"/>
    <cellStyle name="Assumptions Center Percentage 2 2 4 3" xfId="5536"/>
    <cellStyle name="Assumptions Center Percentage 2 2 4 3 2" xfId="8078"/>
    <cellStyle name="Assumptions Center Percentage 2 2 4 4" xfId="6251"/>
    <cellStyle name="Assumptions Center Percentage 2 2 5" xfId="2781"/>
    <cellStyle name="Assumptions Center Percentage 2 2 5 2" xfId="3931"/>
    <cellStyle name="Assumptions Center Percentage 2 2 5 2 2" xfId="9269"/>
    <cellStyle name="Assumptions Center Percentage 2 2 5 3" xfId="5717"/>
    <cellStyle name="Assumptions Center Percentage 2 2 5 3 2" xfId="8413"/>
    <cellStyle name="Assumptions Center Percentage 2 2 5 4" xfId="8486"/>
    <cellStyle name="Assumptions Center Percentage 2 2 6" xfId="3196"/>
    <cellStyle name="Assumptions Center Percentage 2 2 6 2" xfId="4125"/>
    <cellStyle name="Assumptions Center Percentage 2 2 6 2 2" xfId="6560"/>
    <cellStyle name="Assumptions Center Percentage 2 2 6 3" xfId="6085"/>
    <cellStyle name="Assumptions Center Percentage 2 2 6 3 2" xfId="9979"/>
    <cellStyle name="Assumptions Center Percentage 2 2 6 4" xfId="7549"/>
    <cellStyle name="Assumptions Center Percentage 2 2 7" xfId="3018"/>
    <cellStyle name="Assumptions Center Percentage 2 2 7 2" xfId="3798"/>
    <cellStyle name="Assumptions Center Percentage 2 2 7 2 2" xfId="6319"/>
    <cellStyle name="Assumptions Center Percentage 2 2 7 3" xfId="5920"/>
    <cellStyle name="Assumptions Center Percentage 2 2 7 3 2" xfId="9814"/>
    <cellStyle name="Assumptions Center Percentage 2 2 7 4" xfId="6811"/>
    <cellStyle name="Assumptions Center Percentage 2 2 8" xfId="3181"/>
    <cellStyle name="Assumptions Center Percentage 2 2 8 2" xfId="3707"/>
    <cellStyle name="Assumptions Center Percentage 2 2 8 2 2" xfId="7587"/>
    <cellStyle name="Assumptions Center Percentage 2 2 8 3" xfId="6072"/>
    <cellStyle name="Assumptions Center Percentage 2 2 8 3 2" xfId="9966"/>
    <cellStyle name="Assumptions Center Percentage 2 2 8 4" xfId="8374"/>
    <cellStyle name="Assumptions Center Percentage 2 2 9" xfId="2830"/>
    <cellStyle name="Assumptions Center Percentage 2 2 9 2" xfId="4070"/>
    <cellStyle name="Assumptions Center Percentage 2 2 9 2 2" xfId="9114"/>
    <cellStyle name="Assumptions Center Percentage 2 2 9 3" xfId="5763"/>
    <cellStyle name="Assumptions Center Percentage 2 2 9 3 2" xfId="7903"/>
    <cellStyle name="Assumptions Center Percentage 2 2 9 4" xfId="9596"/>
    <cellStyle name="Assumptions Center Percentage 2 3" xfId="2351"/>
    <cellStyle name="Assumptions Center Percentage 2 3 2" xfId="2648"/>
    <cellStyle name="Assumptions Center Percentage 2 3 2 2" xfId="4465"/>
    <cellStyle name="Assumptions Center Percentage 2 3 2 2 2" xfId="7324"/>
    <cellStyle name="Assumptions Center Percentage 2 3 2 3" xfId="6754"/>
    <cellStyle name="Assumptions Center Percentage 2 3 3" xfId="4652"/>
    <cellStyle name="Assumptions Center Percentage 2 3 3 2" xfId="9487"/>
    <cellStyle name="Assumptions Center Percentage 2 3 4" xfId="5295"/>
    <cellStyle name="Assumptions Center Percentage 2 3 4 2" xfId="6627"/>
    <cellStyle name="Assumptions Center Percentage 2 3 5" xfId="5479"/>
    <cellStyle name="Assumptions Center Percentage 2 3 5 2" xfId="7172"/>
    <cellStyle name="Assumptions Center Percentage 2 3 6" xfId="7874"/>
    <cellStyle name="Assumptions Center Percentage 2 4" xfId="2274"/>
    <cellStyle name="Assumptions Center Percentage 2 4 2" xfId="4803"/>
    <cellStyle name="Assumptions Center Percentage 2 4 2 2" xfId="8712"/>
    <cellStyle name="Assumptions Center Percentage 2 4 3" xfId="5452"/>
    <cellStyle name="Assumptions Center Percentage 2 4 3 2" xfId="7122"/>
    <cellStyle name="Assumptions Center Percentage 2 4 4" xfId="7641"/>
    <cellStyle name="Assumptions Center Percentage 2 5" xfId="3044"/>
    <cellStyle name="Assumptions Center Percentage 2 5 2" xfId="3777"/>
    <cellStyle name="Assumptions Center Percentage 2 5 2 2" xfId="9495"/>
    <cellStyle name="Assumptions Center Percentage 2 5 3" xfId="5945"/>
    <cellStyle name="Assumptions Center Percentage 2 5 3 2" xfId="9839"/>
    <cellStyle name="Assumptions Center Percentage 2 5 4" xfId="8297"/>
    <cellStyle name="Assumptions Center Percentage 2 6" xfId="3303"/>
    <cellStyle name="Assumptions Center Percentage 2 6 2" xfId="3551"/>
    <cellStyle name="Assumptions Center Percentage 2 6 2 2" xfId="6603"/>
    <cellStyle name="Assumptions Center Percentage 2 6 3" xfId="6172"/>
    <cellStyle name="Assumptions Center Percentage 2 6 3 2" xfId="10066"/>
    <cellStyle name="Assumptions Center Percentage 2 6 4" xfId="6259"/>
    <cellStyle name="Assumptions Center Percentage 2 7" xfId="3119"/>
    <cellStyle name="Assumptions Center Percentage 2 7 2" xfId="3735"/>
    <cellStyle name="Assumptions Center Percentage 2 7 2 2" xfId="9639"/>
    <cellStyle name="Assumptions Center Percentage 2 7 3" xfId="6015"/>
    <cellStyle name="Assumptions Center Percentage 2 7 3 2" xfId="9909"/>
    <cellStyle name="Assumptions Center Percentage 2 7 4" xfId="8438"/>
    <cellStyle name="Assumptions Center Percentage 2 8" xfId="2913"/>
    <cellStyle name="Assumptions Center Percentage 2 8 2" xfId="3852"/>
    <cellStyle name="Assumptions Center Percentage 2 8 2 2" xfId="9159"/>
    <cellStyle name="Assumptions Center Percentage 2 8 3" xfId="5844"/>
    <cellStyle name="Assumptions Center Percentage 2 8 3 2" xfId="7195"/>
    <cellStyle name="Assumptions Center Percentage 2 8 4" xfId="6757"/>
    <cellStyle name="Assumptions Center Percentage 2 9" xfId="2902"/>
    <cellStyle name="Assumptions Center Percentage 2 9 2" xfId="4157"/>
    <cellStyle name="Assumptions Center Percentage 2 9 2 2" xfId="9601"/>
    <cellStyle name="Assumptions Center Percentage 2 9 3" xfId="5833"/>
    <cellStyle name="Assumptions Center Percentage 2 9 3 2" xfId="7799"/>
    <cellStyle name="Assumptions Center Percentage 2 9 4" xfId="9219"/>
    <cellStyle name="Assumptions Center Percentage 3" xfId="1716"/>
    <cellStyle name="Assumptions Center Percentage 3 10" xfId="3459"/>
    <cellStyle name="Assumptions Center Percentage 3 10 2" xfId="5029"/>
    <cellStyle name="Assumptions Center Percentage 3 10 2 2" xfId="9171"/>
    <cellStyle name="Assumptions Center Percentage 3 10 3" xfId="9070"/>
    <cellStyle name="Assumptions Center Percentage 3 11" xfId="3640"/>
    <cellStyle name="Assumptions Center Percentage 3 11 2" xfId="8436"/>
    <cellStyle name="Assumptions Center Percentage 3 12" xfId="6805"/>
    <cellStyle name="Assumptions Center Percentage 3 2" xfId="1703"/>
    <cellStyle name="Assumptions Center Percentage 3 2 10" xfId="6439"/>
    <cellStyle name="Assumptions Center Percentage 3 2 2" xfId="2448"/>
    <cellStyle name="Assumptions Center Percentage 3 2 2 2" xfId="2582"/>
    <cellStyle name="Assumptions Center Percentage 3 2 2 2 2" xfId="4100"/>
    <cellStyle name="Assumptions Center Percentage 3 2 2 2 2 2" xfId="6721"/>
    <cellStyle name="Assumptions Center Percentage 3 2 2 2 3" xfId="9352"/>
    <cellStyle name="Assumptions Center Percentage 3 2 2 3" xfId="4749"/>
    <cellStyle name="Assumptions Center Percentage 3 2 2 3 2" xfId="7849"/>
    <cellStyle name="Assumptions Center Percentage 3 2 2 4" xfId="8302"/>
    <cellStyle name="Assumptions Center Percentage 3 2 3" xfId="2325"/>
    <cellStyle name="Assumptions Center Percentage 3 2 3 2" xfId="3216"/>
    <cellStyle name="Assumptions Center Percentage 3 2 3 2 2" xfId="4257"/>
    <cellStyle name="Assumptions Center Percentage 3 2 3 2 2 2" xfId="8646"/>
    <cellStyle name="Assumptions Center Percentage 3 2 3 2 3" xfId="6643"/>
    <cellStyle name="Assumptions Center Percentage 3 2 3 3" xfId="4791"/>
    <cellStyle name="Assumptions Center Percentage 3 2 3 3 2" xfId="7435"/>
    <cellStyle name="Assumptions Center Percentage 3 2 3 4" xfId="5663"/>
    <cellStyle name="Assumptions Center Percentage 3 2 3 4 2" xfId="6965"/>
    <cellStyle name="Assumptions Center Percentage 3 2 3 5" xfId="6423"/>
    <cellStyle name="Assumptions Center Percentage 3 2 4" xfId="2251"/>
    <cellStyle name="Assumptions Center Percentage 3 2 4 2" xfId="4887"/>
    <cellStyle name="Assumptions Center Percentage 3 2 4 2 2" xfId="9508"/>
    <cellStyle name="Assumptions Center Percentage 3 2 4 3" xfId="5632"/>
    <cellStyle name="Assumptions Center Percentage 3 2 4 3 2" xfId="7182"/>
    <cellStyle name="Assumptions Center Percentage 3 2 4 4" xfId="6245"/>
    <cellStyle name="Assumptions Center Percentage 3 2 5" xfId="3156"/>
    <cellStyle name="Assumptions Center Percentage 3 2 5 2" xfId="3714"/>
    <cellStyle name="Assumptions Center Percentage 3 2 5 2 2" xfId="7045"/>
    <cellStyle name="Assumptions Center Percentage 3 2 5 3" xfId="6050"/>
    <cellStyle name="Assumptions Center Percentage 3 2 5 3 2" xfId="9944"/>
    <cellStyle name="Assumptions Center Percentage 3 2 5 4" xfId="6962"/>
    <cellStyle name="Assumptions Center Percentage 3 2 6" xfId="3023"/>
    <cellStyle name="Assumptions Center Percentage 3 2 6 2" xfId="3793"/>
    <cellStyle name="Assumptions Center Percentage 3 2 6 2 2" xfId="8343"/>
    <cellStyle name="Assumptions Center Percentage 3 2 6 3" xfId="5925"/>
    <cellStyle name="Assumptions Center Percentage 3 2 6 3 2" xfId="9819"/>
    <cellStyle name="Assumptions Center Percentage 3 2 6 4" xfId="7455"/>
    <cellStyle name="Assumptions Center Percentage 3 2 7" xfId="3111"/>
    <cellStyle name="Assumptions Center Percentage 3 2 7 2" xfId="3742"/>
    <cellStyle name="Assumptions Center Percentage 3 2 7 2 2" xfId="9050"/>
    <cellStyle name="Assumptions Center Percentage 3 2 7 3" xfId="6007"/>
    <cellStyle name="Assumptions Center Percentage 3 2 7 3 2" xfId="9901"/>
    <cellStyle name="Assumptions Center Percentage 3 2 7 4" xfId="6536"/>
    <cellStyle name="Assumptions Center Percentage 3 2 8" xfId="3447"/>
    <cellStyle name="Assumptions Center Percentage 3 2 8 2" xfId="5017"/>
    <cellStyle name="Assumptions Center Percentage 3 2 8 2 2" xfId="7519"/>
    <cellStyle name="Assumptions Center Percentage 3 2 8 3" xfId="6648"/>
    <cellStyle name="Assumptions Center Percentage 3 2 9" xfId="3652"/>
    <cellStyle name="Assumptions Center Percentage 3 2 9 2" xfId="6925"/>
    <cellStyle name="Assumptions Center Percentage 3 3" xfId="2104"/>
    <cellStyle name="Assumptions Center Percentage 3 3 2" xfId="2677"/>
    <cellStyle name="Assumptions Center Percentage 3 3 2 2" xfId="4273"/>
    <cellStyle name="Assumptions Center Percentage 3 3 2 2 2" xfId="9074"/>
    <cellStyle name="Assumptions Center Percentage 3 3 2 3" xfId="7535"/>
    <cellStyle name="Assumptions Center Percentage 3 3 3" xfId="4779"/>
    <cellStyle name="Assumptions Center Percentage 3 3 3 2" xfId="9122"/>
    <cellStyle name="Assumptions Center Percentage 3 3 4" xfId="5366"/>
    <cellStyle name="Assumptions Center Percentage 3 3 4 2" xfId="6491"/>
    <cellStyle name="Assumptions Center Percentage 3 3 5" xfId="5507"/>
    <cellStyle name="Assumptions Center Percentage 3 3 5 2" xfId="7196"/>
    <cellStyle name="Assumptions Center Percentage 3 3 6" xfId="8116"/>
    <cellStyle name="Assumptions Center Percentage 3 4" xfId="2333"/>
    <cellStyle name="Assumptions Center Percentage 3 4 2" xfId="4719"/>
    <cellStyle name="Assumptions Center Percentage 3 4 2 2" xfId="9376"/>
    <cellStyle name="Assumptions Center Percentage 3 4 3" xfId="5535"/>
    <cellStyle name="Assumptions Center Percentage 3 4 3 2" xfId="7046"/>
    <cellStyle name="Assumptions Center Percentage 3 4 4" xfId="6600"/>
    <cellStyle name="Assumptions Center Percentage 3 5" xfId="2950"/>
    <cellStyle name="Assumptions Center Percentage 3 5 2" xfId="3834"/>
    <cellStyle name="Assumptions Center Percentage 3 5 2 2" xfId="6775"/>
    <cellStyle name="Assumptions Center Percentage 3 5 3" xfId="5870"/>
    <cellStyle name="Assumptions Center Percentage 3 5 3 2" xfId="7205"/>
    <cellStyle name="Assumptions Center Percentage 3 5 4" xfId="9279"/>
    <cellStyle name="Assumptions Center Percentage 3 6" xfId="2963"/>
    <cellStyle name="Assumptions Center Percentage 3 6 2" xfId="3825"/>
    <cellStyle name="Assumptions Center Percentage 3 6 2 2" xfId="8368"/>
    <cellStyle name="Assumptions Center Percentage 3 6 3" xfId="5880"/>
    <cellStyle name="Assumptions Center Percentage 3 6 3 2" xfId="9774"/>
    <cellStyle name="Assumptions Center Percentage 3 6 4" xfId="7154"/>
    <cellStyle name="Assumptions Center Percentage 3 7" xfId="2890"/>
    <cellStyle name="Assumptions Center Percentage 3 7 2" xfId="4223"/>
    <cellStyle name="Assumptions Center Percentage 3 7 2 2" xfId="6685"/>
    <cellStyle name="Assumptions Center Percentage 3 7 3" xfId="5821"/>
    <cellStyle name="Assumptions Center Percentage 3 7 3 2" xfId="6515"/>
    <cellStyle name="Assumptions Center Percentage 3 7 4" xfId="6420"/>
    <cellStyle name="Assumptions Center Percentage 3 8" xfId="2899"/>
    <cellStyle name="Assumptions Center Percentage 3 8 2" xfId="4158"/>
    <cellStyle name="Assumptions Center Percentage 3 8 2 2" xfId="6740"/>
    <cellStyle name="Assumptions Center Percentage 3 8 3" xfId="5830"/>
    <cellStyle name="Assumptions Center Percentage 3 8 3 2" xfId="6969"/>
    <cellStyle name="Assumptions Center Percentage 3 8 4" xfId="9062"/>
    <cellStyle name="Assumptions Center Percentage 3 9" xfId="3098"/>
    <cellStyle name="Assumptions Center Percentage 3 9 2" xfId="3753"/>
    <cellStyle name="Assumptions Center Percentage 3 9 2 2" xfId="9580"/>
    <cellStyle name="Assumptions Center Percentage 3 9 3" xfId="5995"/>
    <cellStyle name="Assumptions Center Percentage 3 9 3 2" xfId="9889"/>
    <cellStyle name="Assumptions Center Percentage 3 9 4" xfId="8616"/>
    <cellStyle name="Assumptions Center Percentage 4" xfId="2350"/>
    <cellStyle name="Assumptions Center Percentage 4 2" xfId="2647"/>
    <cellStyle name="Assumptions Center Percentage 4 2 2" xfId="4687"/>
    <cellStyle name="Assumptions Center Percentage 4 2 2 2" xfId="6817"/>
    <cellStyle name="Assumptions Center Percentage 4 2 3" xfId="6301"/>
    <cellStyle name="Assumptions Center Percentage 4 3" xfId="4831"/>
    <cellStyle name="Assumptions Center Percentage 4 3 2" xfId="7112"/>
    <cellStyle name="Assumptions Center Percentage 4 4" xfId="5342"/>
    <cellStyle name="Assumptions Center Percentage 4 4 2" xfId="8335"/>
    <cellStyle name="Assumptions Center Percentage 4 5" xfId="5478"/>
    <cellStyle name="Assumptions Center Percentage 4 5 2" xfId="7400"/>
    <cellStyle name="Assumptions Center Percentage 4 6" xfId="6750"/>
    <cellStyle name="Assumptions Center Percentage 5" xfId="2289"/>
    <cellStyle name="Assumptions Center Percentage 5 2" xfId="4686"/>
    <cellStyle name="Assumptions Center Percentage 5 2 2" xfId="7674"/>
    <cellStyle name="Assumptions Center Percentage 5 3" xfId="5453"/>
    <cellStyle name="Assumptions Center Percentage 5 3 2" xfId="6882"/>
    <cellStyle name="Assumptions Center Percentage 5 4" xfId="8500"/>
    <cellStyle name="Assumptions Center Percentage 6" xfId="2917"/>
    <cellStyle name="Assumptions Center Percentage 6 2" xfId="3595"/>
    <cellStyle name="Assumptions Center Percentage 6 2 2" xfId="8735"/>
    <cellStyle name="Assumptions Center Percentage 6 3" xfId="5846"/>
    <cellStyle name="Assumptions Center Percentage 6 3 2" xfId="7360"/>
    <cellStyle name="Assumptions Center Percentage 6 4" xfId="6419"/>
    <cellStyle name="Assumptions Center Percentage 7" xfId="3094"/>
    <cellStyle name="Assumptions Center Percentage 7 2" xfId="3755"/>
    <cellStyle name="Assumptions Center Percentage 7 2 2" xfId="7013"/>
    <cellStyle name="Assumptions Center Percentage 7 3" xfId="5991"/>
    <cellStyle name="Assumptions Center Percentage 7 3 2" xfId="9885"/>
    <cellStyle name="Assumptions Center Percentage 7 4" xfId="8865"/>
    <cellStyle name="Assumptions Center Percentage 8" xfId="3118"/>
    <cellStyle name="Assumptions Center Percentage 8 2" xfId="4206"/>
    <cellStyle name="Assumptions Center Percentage 8 2 2" xfId="8265"/>
    <cellStyle name="Assumptions Center Percentage 8 3" xfId="6014"/>
    <cellStyle name="Assumptions Center Percentage 8 3 2" xfId="9908"/>
    <cellStyle name="Assumptions Center Percentage 8 4" xfId="6783"/>
    <cellStyle name="Assumptions Center Percentage 9" xfId="3010"/>
    <cellStyle name="Assumptions Center Percentage 9 2" xfId="4042"/>
    <cellStyle name="Assumptions Center Percentage 9 2 2" xfId="8604"/>
    <cellStyle name="Assumptions Center Percentage 9 3" xfId="5912"/>
    <cellStyle name="Assumptions Center Percentage 9 3 2" xfId="9806"/>
    <cellStyle name="Assumptions Center Percentage 9 4" xfId="8488"/>
    <cellStyle name="Assumptions Center Year" xfId="957"/>
    <cellStyle name="Assumptions Center Year 10" xfId="3126"/>
    <cellStyle name="Assumptions Center Year 10 2" xfId="3729"/>
    <cellStyle name="Assumptions Center Year 10 2 2" xfId="9579"/>
    <cellStyle name="Assumptions Center Year 10 3" xfId="6022"/>
    <cellStyle name="Assumptions Center Year 10 3 2" xfId="9916"/>
    <cellStyle name="Assumptions Center Year 10 4" xfId="7084"/>
    <cellStyle name="Assumptions Center Year 11" xfId="3393"/>
    <cellStyle name="Assumptions Center Year 11 2" xfId="4967"/>
    <cellStyle name="Assumptions Center Year 11 2 2" xfId="9620"/>
    <cellStyle name="Assumptions Center Year 11 3" xfId="9433"/>
    <cellStyle name="Assumptions Center Year 12" xfId="4014"/>
    <cellStyle name="Assumptions Center Year 12 2" xfId="9189"/>
    <cellStyle name="Assumptions Center Year 13" xfId="8718"/>
    <cellStyle name="Assumptions Center Year 2" xfId="958"/>
    <cellStyle name="Assumptions Center Year 2 10" xfId="3394"/>
    <cellStyle name="Assumptions Center Year 2 10 2" xfId="4968"/>
    <cellStyle name="Assumptions Center Year 2 10 2 2" xfId="7097"/>
    <cellStyle name="Assumptions Center Year 2 10 3" xfId="8875"/>
    <cellStyle name="Assumptions Center Year 2 11" xfId="4013"/>
    <cellStyle name="Assumptions Center Year 2 11 2" xfId="8591"/>
    <cellStyle name="Assumptions Center Year 2 12" xfId="9193"/>
    <cellStyle name="Assumptions Center Year 2 2" xfId="1719"/>
    <cellStyle name="Assumptions Center Year 2 2 10" xfId="3462"/>
    <cellStyle name="Assumptions Center Year 2 2 10 2" xfId="5032"/>
    <cellStyle name="Assumptions Center Year 2 2 10 2 2" xfId="8611"/>
    <cellStyle name="Assumptions Center Year 2 2 10 3" xfId="6892"/>
    <cellStyle name="Assumptions Center Year 2 2 11" xfId="3637"/>
    <cellStyle name="Assumptions Center Year 2 2 11 2" xfId="7202"/>
    <cellStyle name="Assumptions Center Year 2 2 12" xfId="8311"/>
    <cellStyle name="Assumptions Center Year 2 2 2" xfId="1579"/>
    <cellStyle name="Assumptions Center Year 2 2 2 10" xfId="8263"/>
    <cellStyle name="Assumptions Center Year 2 2 2 2" xfId="2432"/>
    <cellStyle name="Assumptions Center Year 2 2 2 2 2" xfId="2566"/>
    <cellStyle name="Assumptions Center Year 2 2 2 2 2 2" xfId="4789"/>
    <cellStyle name="Assumptions Center Year 2 2 2 2 2 2 2" xfId="7497"/>
    <cellStyle name="Assumptions Center Year 2 2 2 2 2 3" xfId="9225"/>
    <cellStyle name="Assumptions Center Year 2 2 2 2 3" xfId="4589"/>
    <cellStyle name="Assumptions Center Year 2 2 2 2 3 2" xfId="7486"/>
    <cellStyle name="Assumptions Center Year 2 2 2 2 4" xfId="7775"/>
    <cellStyle name="Assumptions Center Year 2 2 2 3" xfId="2220"/>
    <cellStyle name="Assumptions Center Year 2 2 2 3 2" xfId="3218"/>
    <cellStyle name="Assumptions Center Year 2 2 2 3 2 2" xfId="4048"/>
    <cellStyle name="Assumptions Center Year 2 2 2 3 2 2 2" xfId="8178"/>
    <cellStyle name="Assumptions Center Year 2 2 2 3 2 3" xfId="6608"/>
    <cellStyle name="Assumptions Center Year 2 2 2 3 3" xfId="4108"/>
    <cellStyle name="Assumptions Center Year 2 2 2 3 3 2" xfId="8630"/>
    <cellStyle name="Assumptions Center Year 2 2 2 3 4" xfId="5626"/>
    <cellStyle name="Assumptions Center Year 2 2 2 3 4 2" xfId="7053"/>
    <cellStyle name="Assumptions Center Year 2 2 2 3 5" xfId="7918"/>
    <cellStyle name="Assumptions Center Year 2 2 2 4" xfId="2293"/>
    <cellStyle name="Assumptions Center Year 2 2 2 4 2" xfId="4605"/>
    <cellStyle name="Assumptions Center Year 2 2 2 4 2 2" xfId="8456"/>
    <cellStyle name="Assumptions Center Year 2 2 2 4 3" xfId="5649"/>
    <cellStyle name="Assumptions Center Year 2 2 2 4 3 2" xfId="8442"/>
    <cellStyle name="Assumptions Center Year 2 2 2 4 4" xfId="8541"/>
    <cellStyle name="Assumptions Center Year 2 2 2 5" xfId="3153"/>
    <cellStyle name="Assumptions Center Year 2 2 2 5 2" xfId="4064"/>
    <cellStyle name="Assumptions Center Year 2 2 2 5 2 2" xfId="8532"/>
    <cellStyle name="Assumptions Center Year 2 2 2 5 3" xfId="6047"/>
    <cellStyle name="Assumptions Center Year 2 2 2 5 3 2" xfId="9941"/>
    <cellStyle name="Assumptions Center Year 2 2 2 5 4" xfId="8542"/>
    <cellStyle name="Assumptions Center Year 2 2 2 6" xfId="3309"/>
    <cellStyle name="Assumptions Center Year 2 2 2 6 2" xfId="3545"/>
    <cellStyle name="Assumptions Center Year 2 2 2 6 2 2" xfId="6542"/>
    <cellStyle name="Assumptions Center Year 2 2 2 6 3" xfId="6178"/>
    <cellStyle name="Assumptions Center Year 2 2 2 6 3 2" xfId="10072"/>
    <cellStyle name="Assumptions Center Year 2 2 2 6 4" xfId="7638"/>
    <cellStyle name="Assumptions Center Year 2 2 2 7" xfId="3294"/>
    <cellStyle name="Assumptions Center Year 2 2 2 7 2" xfId="3675"/>
    <cellStyle name="Assumptions Center Year 2 2 2 7 2 2" xfId="6620"/>
    <cellStyle name="Assumptions Center Year 2 2 2 7 3" xfId="6163"/>
    <cellStyle name="Assumptions Center Year 2 2 2 7 3 2" xfId="10057"/>
    <cellStyle name="Assumptions Center Year 2 2 2 7 4" xfId="8095"/>
    <cellStyle name="Assumptions Center Year 2 2 2 8" xfId="3432"/>
    <cellStyle name="Assumptions Center Year 2 2 2 8 2" xfId="5003"/>
    <cellStyle name="Assumptions Center Year 2 2 2 8 2 2" xfId="8182"/>
    <cellStyle name="Assumptions Center Year 2 2 2 8 3" xfId="9153"/>
    <cellStyle name="Assumptions Center Year 2 2 2 9" xfId="4633"/>
    <cellStyle name="Assumptions Center Year 2 2 2 9 2" xfId="8210"/>
    <cellStyle name="Assumptions Center Year 2 2 3" xfId="2103"/>
    <cellStyle name="Assumptions Center Year 2 2 3 2" xfId="2680"/>
    <cellStyle name="Assumptions Center Year 2 2 3 2 2" xfId="3964"/>
    <cellStyle name="Assumptions Center Year 2 2 3 2 2 2" xfId="7971"/>
    <cellStyle name="Assumptions Center Year 2 2 3 2 3" xfId="7227"/>
    <cellStyle name="Assumptions Center Year 2 2 3 3" xfId="4773"/>
    <cellStyle name="Assumptions Center Year 2 2 3 3 2" xfId="6463"/>
    <cellStyle name="Assumptions Center Year 2 2 3 4" xfId="5104"/>
    <cellStyle name="Assumptions Center Year 2 2 3 4 2" xfId="9113"/>
    <cellStyle name="Assumptions Center Year 2 2 3 5" xfId="5510"/>
    <cellStyle name="Assumptions Center Year 2 2 3 5 2" xfId="8267"/>
    <cellStyle name="Assumptions Center Year 2 2 3 6" xfId="7947"/>
    <cellStyle name="Assumptions Center Year 2 2 4" xfId="2336"/>
    <cellStyle name="Assumptions Center Year 2 2 4 2" xfId="4482"/>
    <cellStyle name="Assumptions Center Year 2 2 4 2 2" xfId="8124"/>
    <cellStyle name="Assumptions Center Year 2 2 4 3" xfId="5538"/>
    <cellStyle name="Assumptions Center Year 2 2 4 3 2" xfId="7888"/>
    <cellStyle name="Assumptions Center Year 2 2 4 4" xfId="8383"/>
    <cellStyle name="Assumptions Center Year 2 2 5" xfId="3174"/>
    <cellStyle name="Assumptions Center Year 2 2 5 2" xfId="3709"/>
    <cellStyle name="Assumptions Center Year 2 2 5 2 2" xfId="8859"/>
    <cellStyle name="Assumptions Center Year 2 2 5 3" xfId="6066"/>
    <cellStyle name="Assumptions Center Year 2 2 5 3 2" xfId="9960"/>
    <cellStyle name="Assumptions Center Year 2 2 5 4" xfId="8011"/>
    <cellStyle name="Assumptions Center Year 2 2 6" xfId="2967"/>
    <cellStyle name="Assumptions Center Year 2 2 6 2" xfId="3821"/>
    <cellStyle name="Assumptions Center Year 2 2 6 2 2" xfId="9387"/>
    <cellStyle name="Assumptions Center Year 2 2 6 3" xfId="5884"/>
    <cellStyle name="Assumptions Center Year 2 2 6 3 2" xfId="9778"/>
    <cellStyle name="Assumptions Center Year 2 2 6 4" xfId="8222"/>
    <cellStyle name="Assumptions Center Year 2 2 7" xfId="3167"/>
    <cellStyle name="Assumptions Center Year 2 2 7 2" xfId="3711"/>
    <cellStyle name="Assumptions Center Year 2 2 7 2 2" xfId="7382"/>
    <cellStyle name="Assumptions Center Year 2 2 7 3" xfId="6059"/>
    <cellStyle name="Assumptions Center Year 2 2 7 3 2" xfId="9953"/>
    <cellStyle name="Assumptions Center Year 2 2 7 4" xfId="7155"/>
    <cellStyle name="Assumptions Center Year 2 2 8" xfId="3225"/>
    <cellStyle name="Assumptions Center Year 2 2 8 2" xfId="3695"/>
    <cellStyle name="Assumptions Center Year 2 2 8 2 2" xfId="9584"/>
    <cellStyle name="Assumptions Center Year 2 2 8 3" xfId="6107"/>
    <cellStyle name="Assumptions Center Year 2 2 8 3 2" xfId="10001"/>
    <cellStyle name="Assumptions Center Year 2 2 8 4" xfId="8344"/>
    <cellStyle name="Assumptions Center Year 2 2 9" xfId="2799"/>
    <cellStyle name="Assumptions Center Year 2 2 9 2" xfId="3917"/>
    <cellStyle name="Assumptions Center Year 2 2 9 2 2" xfId="8528"/>
    <cellStyle name="Assumptions Center Year 2 2 9 3" xfId="5733"/>
    <cellStyle name="Assumptions Center Year 2 2 9 3 2" xfId="8522"/>
    <cellStyle name="Assumptions Center Year 2 2 9 4" xfId="6573"/>
    <cellStyle name="Assumptions Center Year 2 3" xfId="2119"/>
    <cellStyle name="Assumptions Center Year 2 3 2" xfId="2650"/>
    <cellStyle name="Assumptions Center Year 2 3 2 2" xfId="4458"/>
    <cellStyle name="Assumptions Center Year 2 3 2 2 2" xfId="6746"/>
    <cellStyle name="Assumptions Center Year 2 3 2 3" xfId="6551"/>
    <cellStyle name="Assumptions Center Year 2 3 3" xfId="4109"/>
    <cellStyle name="Assumptions Center Year 2 3 3 2" xfId="6553"/>
    <cellStyle name="Assumptions Center Year 2 3 4" xfId="5340"/>
    <cellStyle name="Assumptions Center Year 2 3 4 2" xfId="8408"/>
    <cellStyle name="Assumptions Center Year 2 3 5" xfId="5481"/>
    <cellStyle name="Assumptions Center Year 2 3 5 2" xfId="7857"/>
    <cellStyle name="Assumptions Center Year 2 3 6" xfId="9250"/>
    <cellStyle name="Assumptions Center Year 2 4" xfId="2276"/>
    <cellStyle name="Assumptions Center Year 2 4 2" xfId="4588"/>
    <cellStyle name="Assumptions Center Year 2 4 2 2" xfId="9168"/>
    <cellStyle name="Assumptions Center Year 2 4 3" xfId="5450"/>
    <cellStyle name="Assumptions Center Year 2 4 3 2" xfId="7050"/>
    <cellStyle name="Assumptions Center Year 2 4 4" xfId="7706"/>
    <cellStyle name="Assumptions Center Year 2 5" xfId="3042"/>
    <cellStyle name="Assumptions Center Year 2 5 2" xfId="3779"/>
    <cellStyle name="Assumptions Center Year 2 5 2 2" xfId="6594"/>
    <cellStyle name="Assumptions Center Year 2 5 3" xfId="5943"/>
    <cellStyle name="Assumptions Center Year 2 5 3 2" xfId="9837"/>
    <cellStyle name="Assumptions Center Year 2 5 4" xfId="8012"/>
    <cellStyle name="Assumptions Center Year 2 6" xfId="3273"/>
    <cellStyle name="Assumptions Center Year 2 6 2" xfId="3560"/>
    <cellStyle name="Assumptions Center Year 2 6 2 2" xfId="8600"/>
    <cellStyle name="Assumptions Center Year 2 6 3" xfId="6148"/>
    <cellStyle name="Assumptions Center Year 2 6 3 2" xfId="10042"/>
    <cellStyle name="Assumptions Center Year 2 6 4" xfId="7409"/>
    <cellStyle name="Assumptions Center Year 2 7" xfId="3033"/>
    <cellStyle name="Assumptions Center Year 2 7 2" xfId="3786"/>
    <cellStyle name="Assumptions Center Year 2 7 2 2" xfId="9451"/>
    <cellStyle name="Assumptions Center Year 2 7 3" xfId="5934"/>
    <cellStyle name="Assumptions Center Year 2 7 3 2" xfId="9828"/>
    <cellStyle name="Assumptions Center Year 2 7 4" xfId="8053"/>
    <cellStyle name="Assumptions Center Year 2 8" xfId="3165"/>
    <cellStyle name="Assumptions Center Year 2 8 2" xfId="3712"/>
    <cellStyle name="Assumptions Center Year 2 8 2 2" xfId="7764"/>
    <cellStyle name="Assumptions Center Year 2 8 3" xfId="6057"/>
    <cellStyle name="Assumptions Center Year 2 8 3 2" xfId="9951"/>
    <cellStyle name="Assumptions Center Year 2 8 4" xfId="7953"/>
    <cellStyle name="Assumptions Center Year 2 9" xfId="3352"/>
    <cellStyle name="Assumptions Center Year 2 9 2" xfId="4942"/>
    <cellStyle name="Assumptions Center Year 2 9 2 2" xfId="9015"/>
    <cellStyle name="Assumptions Center Year 2 9 3" xfId="6218"/>
    <cellStyle name="Assumptions Center Year 2 9 3 2" xfId="10112"/>
    <cellStyle name="Assumptions Center Year 2 9 4" xfId="6298"/>
    <cellStyle name="Assumptions Center Year 3" xfId="1718"/>
    <cellStyle name="Assumptions Center Year 3 10" xfId="3461"/>
    <cellStyle name="Assumptions Center Year 3 10 2" xfId="5031"/>
    <cellStyle name="Assumptions Center Year 3 10 2 2" xfId="7806"/>
    <cellStyle name="Assumptions Center Year 3 10 3" xfId="8525"/>
    <cellStyle name="Assumptions Center Year 3 11" xfId="3638"/>
    <cellStyle name="Assumptions Center Year 3 11 2" xfId="9182"/>
    <cellStyle name="Assumptions Center Year 3 12" xfId="7682"/>
    <cellStyle name="Assumptions Center Year 3 2" xfId="1754"/>
    <cellStyle name="Assumptions Center Year 3 2 10" xfId="8042"/>
    <cellStyle name="Assumptions Center Year 3 2 2" xfId="2469"/>
    <cellStyle name="Assumptions Center Year 3 2 2 2" xfId="2592"/>
    <cellStyle name="Assumptions Center Year 3 2 2 2 2" xfId="4761"/>
    <cellStyle name="Assumptions Center Year 3 2 2 2 2 2" xfId="9452"/>
    <cellStyle name="Assumptions Center Year 3 2 2 2 3" xfId="6415"/>
    <cellStyle name="Assumptions Center Year 3 2 2 3" xfId="3980"/>
    <cellStyle name="Assumptions Center Year 3 2 2 3 2" xfId="9361"/>
    <cellStyle name="Assumptions Center Year 3 2 2 4" xfId="7916"/>
    <cellStyle name="Assumptions Center Year 3 2 3" xfId="2186"/>
    <cellStyle name="Assumptions Center Year 3 2 3 2" xfId="2933"/>
    <cellStyle name="Assumptions Center Year 3 2 3 2 2" xfId="4059"/>
    <cellStyle name="Assumptions Center Year 3 2 3 2 2 2" xfId="9721"/>
    <cellStyle name="Assumptions Center Year 3 2 3 2 3" xfId="6250"/>
    <cellStyle name="Assumptions Center Year 3 2 3 3" xfId="4712"/>
    <cellStyle name="Assumptions Center Year 3 2 3 3 2" xfId="7720"/>
    <cellStyle name="Assumptions Center Year 3 2 3 4" xfId="5603"/>
    <cellStyle name="Assumptions Center Year 3 2 3 4 2" xfId="6679"/>
    <cellStyle name="Assumptions Center Year 3 2 3 5" xfId="8218"/>
    <cellStyle name="Assumptions Center Year 3 2 4" xfId="2100"/>
    <cellStyle name="Assumptions Center Year 3 2 4 2" xfId="4806"/>
    <cellStyle name="Assumptions Center Year 3 2 4 2 2" xfId="8730"/>
    <cellStyle name="Assumptions Center Year 3 2 4 3" xfId="5576"/>
    <cellStyle name="Assumptions Center Year 3 2 4 3 2" xfId="6565"/>
    <cellStyle name="Assumptions Center Year 3 2 4 4" xfId="9245"/>
    <cellStyle name="Assumptions Center Year 3 2 5" xfId="3200"/>
    <cellStyle name="Assumptions Center Year 3 2 5 2" xfId="3701"/>
    <cellStyle name="Assumptions Center Year 3 2 5 2 2" xfId="9464"/>
    <cellStyle name="Assumptions Center Year 3 2 5 3" xfId="6089"/>
    <cellStyle name="Assumptions Center Year 3 2 5 3 2" xfId="9983"/>
    <cellStyle name="Assumptions Center Year 3 2 5 4" xfId="8320"/>
    <cellStyle name="Assumptions Center Year 3 2 6" xfId="3187"/>
    <cellStyle name="Assumptions Center Year 3 2 6 2" xfId="3571"/>
    <cellStyle name="Assumptions Center Year 3 2 6 2 2" xfId="6786"/>
    <cellStyle name="Assumptions Center Year 3 2 6 3" xfId="6077"/>
    <cellStyle name="Assumptions Center Year 3 2 6 3 2" xfId="9971"/>
    <cellStyle name="Assumptions Center Year 3 2 6 4" xfId="7862"/>
    <cellStyle name="Assumptions Center Year 3 2 7" xfId="2941"/>
    <cellStyle name="Assumptions Center Year 3 2 7 2" xfId="3841"/>
    <cellStyle name="Assumptions Center Year 3 2 7 2 2" xfId="6632"/>
    <cellStyle name="Assumptions Center Year 3 2 7 3" xfId="5862"/>
    <cellStyle name="Assumptions Center Year 3 2 7 3 2" xfId="8450"/>
    <cellStyle name="Assumptions Center Year 3 2 7 4" xfId="7432"/>
    <cellStyle name="Assumptions Center Year 3 2 8" xfId="3483"/>
    <cellStyle name="Assumptions Center Year 3 2 8 2" xfId="5053"/>
    <cellStyle name="Assumptions Center Year 3 2 8 2 2" xfId="8243"/>
    <cellStyle name="Assumptions Center Year 3 2 8 3" xfId="8884"/>
    <cellStyle name="Assumptions Center Year 3 2 9" xfId="4269"/>
    <cellStyle name="Assumptions Center Year 3 2 9 2" xfId="9688"/>
    <cellStyle name="Assumptions Center Year 3 3" xfId="2196"/>
    <cellStyle name="Assumptions Center Year 3 3 2" xfId="2679"/>
    <cellStyle name="Assumptions Center Year 3 3 2 2" xfId="4082"/>
    <cellStyle name="Assumptions Center Year 3 3 2 2 2" xfId="6554"/>
    <cellStyle name="Assumptions Center Year 3 3 2 3" xfId="6987"/>
    <cellStyle name="Assumptions Center Year 3 3 3" xfId="4654"/>
    <cellStyle name="Assumptions Center Year 3 3 3 2" xfId="6920"/>
    <cellStyle name="Assumptions Center Year 3 3 4" xfId="5110"/>
    <cellStyle name="Assumptions Center Year 3 3 4 2" xfId="7442"/>
    <cellStyle name="Assumptions Center Year 3 3 5" xfId="5509"/>
    <cellStyle name="Assumptions Center Year 3 3 5 2" xfId="8056"/>
    <cellStyle name="Assumptions Center Year 3 3 6" xfId="6985"/>
    <cellStyle name="Assumptions Center Year 3 4" xfId="2134"/>
    <cellStyle name="Assumptions Center Year 3 4 2" xfId="4628"/>
    <cellStyle name="Assumptions Center Year 3 4 2 2" xfId="9555"/>
    <cellStyle name="Assumptions Center Year 3 4 3" xfId="5537"/>
    <cellStyle name="Assumptions Center Year 3 4 3 2" xfId="7089"/>
    <cellStyle name="Assumptions Center Year 3 4 4" xfId="6449"/>
    <cellStyle name="Assumptions Center Year 3 5" xfId="3213"/>
    <cellStyle name="Assumptions Center Year 3 5 2" xfId="4194"/>
    <cellStyle name="Assumptions Center Year 3 5 2 2" xfId="7472"/>
    <cellStyle name="Assumptions Center Year 3 5 3" xfId="6101"/>
    <cellStyle name="Assumptions Center Year 3 5 3 2" xfId="9995"/>
    <cellStyle name="Assumptions Center Year 3 5 4" xfId="8495"/>
    <cellStyle name="Assumptions Center Year 3 6" xfId="2927"/>
    <cellStyle name="Assumptions Center Year 3 6 2" xfId="4050"/>
    <cellStyle name="Assumptions Center Year 3 6 2 2" xfId="9134"/>
    <cellStyle name="Assumptions Center Year 3 6 3" xfId="5856"/>
    <cellStyle name="Assumptions Center Year 3 6 3 2" xfId="7581"/>
    <cellStyle name="Assumptions Center Year 3 6 4" xfId="7139"/>
    <cellStyle name="Assumptions Center Year 3 7" xfId="2870"/>
    <cellStyle name="Assumptions Center Year 3 7 2" xfId="3880"/>
    <cellStyle name="Assumptions Center Year 3 7 2 2" xfId="8603"/>
    <cellStyle name="Assumptions Center Year 3 7 3" xfId="5801"/>
    <cellStyle name="Assumptions Center Year 3 7 3 2" xfId="7225"/>
    <cellStyle name="Assumptions Center Year 3 7 4" xfId="6242"/>
    <cellStyle name="Assumptions Center Year 3 8" xfId="2939"/>
    <cellStyle name="Assumptions Center Year 3 8 2" xfId="3843"/>
    <cellStyle name="Assumptions Center Year 3 8 2 2" xfId="8880"/>
    <cellStyle name="Assumptions Center Year 3 8 3" xfId="5860"/>
    <cellStyle name="Assumptions Center Year 3 8 3 2" xfId="8455"/>
    <cellStyle name="Assumptions Center Year 3 8 4" xfId="7793"/>
    <cellStyle name="Assumptions Center Year 3 9" xfId="3016"/>
    <cellStyle name="Assumptions Center Year 3 9 2" xfId="3799"/>
    <cellStyle name="Assumptions Center Year 3 9 2 2" xfId="7714"/>
    <cellStyle name="Assumptions Center Year 3 9 3" xfId="5918"/>
    <cellStyle name="Assumptions Center Year 3 9 3 2" xfId="9812"/>
    <cellStyle name="Assumptions Center Year 3 9 4" xfId="7731"/>
    <cellStyle name="Assumptions Center Year 4" xfId="2245"/>
    <cellStyle name="Assumptions Center Year 4 2" xfId="2649"/>
    <cellStyle name="Assumptions Center Year 4 2 2" xfId="4601"/>
    <cellStyle name="Assumptions Center Year 4 2 2 2" xfId="6874"/>
    <cellStyle name="Assumptions Center Year 4 2 3" xfId="8141"/>
    <cellStyle name="Assumptions Center Year 4 3" xfId="4411"/>
    <cellStyle name="Assumptions Center Year 4 3 2" xfId="7685"/>
    <cellStyle name="Assumptions Center Year 4 4" xfId="5122"/>
    <cellStyle name="Assumptions Center Year 4 4 2" xfId="6785"/>
    <cellStyle name="Assumptions Center Year 4 5" xfId="5480"/>
    <cellStyle name="Assumptions Center Year 4 5 2" xfId="6881"/>
    <cellStyle name="Assumptions Center Year 4 6" xfId="8359"/>
    <cellStyle name="Assumptions Center Year 5" xfId="2275"/>
    <cellStyle name="Assumptions Center Year 5 2" xfId="4450"/>
    <cellStyle name="Assumptions Center Year 5 2 2" xfId="7299"/>
    <cellStyle name="Assumptions Center Year 5 3" xfId="5451"/>
    <cellStyle name="Assumptions Center Year 5 3 2" xfId="8334"/>
    <cellStyle name="Assumptions Center Year 5 4" xfId="6461"/>
    <cellStyle name="Assumptions Center Year 6" xfId="3043"/>
    <cellStyle name="Assumptions Center Year 6 2" xfId="3778"/>
    <cellStyle name="Assumptions Center Year 6 2 2" xfId="8566"/>
    <cellStyle name="Assumptions Center Year 6 3" xfId="5944"/>
    <cellStyle name="Assumptions Center Year 6 3 2" xfId="9838"/>
    <cellStyle name="Assumptions Center Year 6 4" xfId="8225"/>
    <cellStyle name="Assumptions Center Year 7" xfId="2813"/>
    <cellStyle name="Assumptions Center Year 7 2" xfId="3906"/>
    <cellStyle name="Assumptions Center Year 7 2 2" xfId="9384"/>
    <cellStyle name="Assumptions Center Year 7 3" xfId="5747"/>
    <cellStyle name="Assumptions Center Year 7 3 2" xfId="7524"/>
    <cellStyle name="Assumptions Center Year 7 4" xfId="9127"/>
    <cellStyle name="Assumptions Center Year 8" xfId="3120"/>
    <cellStyle name="Assumptions Center Year 8 2" xfId="3579"/>
    <cellStyle name="Assumptions Center Year 8 2 2" xfId="9358"/>
    <cellStyle name="Assumptions Center Year 8 3" xfId="6016"/>
    <cellStyle name="Assumptions Center Year 8 3 2" xfId="9910"/>
    <cellStyle name="Assumptions Center Year 8 4" xfId="8262"/>
    <cellStyle name="Assumptions Center Year 9" xfId="3186"/>
    <cellStyle name="Assumptions Center Year 9 2" xfId="3705"/>
    <cellStyle name="Assumptions Center Year 9 2 2" xfId="8987"/>
    <cellStyle name="Assumptions Center Year 9 3" xfId="6076"/>
    <cellStyle name="Assumptions Center Year 9 3 2" xfId="9970"/>
    <cellStyle name="Assumptions Center Year 9 4" xfId="6714"/>
    <cellStyle name="Assumptions Heading" xfId="959"/>
    <cellStyle name="Assumptions Heading 10" xfId="3353"/>
    <cellStyle name="Assumptions Heading 10 2" xfId="4943"/>
    <cellStyle name="Assumptions Heading 10 2 2" xfId="8639"/>
    <cellStyle name="Assumptions Heading 10 3" xfId="6219"/>
    <cellStyle name="Assumptions Heading 10 3 2" xfId="10113"/>
    <cellStyle name="Assumptions Heading 10 4" xfId="7926"/>
    <cellStyle name="Assumptions Heading 11" xfId="3395"/>
    <cellStyle name="Assumptions Heading 11 2" xfId="4969"/>
    <cellStyle name="Assumptions Heading 11 2 2" xfId="7779"/>
    <cellStyle name="Assumptions Heading 11 3" xfId="8134"/>
    <cellStyle name="Assumptions Heading 12" xfId="4012"/>
    <cellStyle name="Assumptions Heading 12 2" xfId="6955"/>
    <cellStyle name="Assumptions Heading 13" xfId="7339"/>
    <cellStyle name="Assumptions Heading 2" xfId="960"/>
    <cellStyle name="Assumptions Heading 2 10" xfId="3396"/>
    <cellStyle name="Assumptions Heading 2 10 2" xfId="4970"/>
    <cellStyle name="Assumptions Heading 2 10 2 2" xfId="9370"/>
    <cellStyle name="Assumptions Heading 2 10 3" xfId="9412"/>
    <cellStyle name="Assumptions Heading 2 11" xfId="4011"/>
    <cellStyle name="Assumptions Heading 2 11 2" xfId="7847"/>
    <cellStyle name="Assumptions Heading 2 12" xfId="6649"/>
    <cellStyle name="Assumptions Heading 2 2" xfId="1721"/>
    <cellStyle name="Assumptions Heading 2 2 10" xfId="3464"/>
    <cellStyle name="Assumptions Heading 2 2 10 2" xfId="5034"/>
    <cellStyle name="Assumptions Heading 2 2 10 2 2" xfId="7735"/>
    <cellStyle name="Assumptions Heading 2 2 10 3" xfId="8683"/>
    <cellStyle name="Assumptions Heading 2 2 11" xfId="3635"/>
    <cellStyle name="Assumptions Heading 2 2 11 2" xfId="8385"/>
    <cellStyle name="Assumptions Heading 2 2 12" xfId="7546"/>
    <cellStyle name="Assumptions Heading 2 2 2" xfId="1607"/>
    <cellStyle name="Assumptions Heading 2 2 2 10" xfId="6767"/>
    <cellStyle name="Assumptions Heading 2 2 2 2" xfId="2446"/>
    <cellStyle name="Assumptions Heading 2 2 2 2 2" xfId="2580"/>
    <cellStyle name="Assumptions Heading 2 2 2 2 2 2" xfId="4031"/>
    <cellStyle name="Assumptions Heading 2 2 2 2 2 2 2" xfId="6818"/>
    <cellStyle name="Assumptions Heading 2 2 2 2 2 3" xfId="8087"/>
    <cellStyle name="Assumptions Heading 2 2 2 2 3" xfId="4723"/>
    <cellStyle name="Assumptions Heading 2 2 2 2 3 2" xfId="6396"/>
    <cellStyle name="Assumptions Heading 2 2 2 2 4" xfId="8253"/>
    <cellStyle name="Assumptions Heading 2 2 2 3" xfId="2210"/>
    <cellStyle name="Assumptions Heading 2 2 2 3 2" xfId="2785"/>
    <cellStyle name="Assumptions Heading 2 2 2 3 2 2" xfId="3929"/>
    <cellStyle name="Assumptions Heading 2 2 2 3 2 2 2" xfId="7259"/>
    <cellStyle name="Assumptions Heading 2 2 2 3 2 3" xfId="8128"/>
    <cellStyle name="Assumptions Heading 2 2 2 3 3" xfId="4765"/>
    <cellStyle name="Assumptions Heading 2 2 2 3 3 2" xfId="9024"/>
    <cellStyle name="Assumptions Heading 2 2 2 3 4" xfId="5617"/>
    <cellStyle name="Assumptions Heading 2 2 2 3 4 2" xfId="6351"/>
    <cellStyle name="Assumptions Heading 2 2 2 3 5" xfId="8026"/>
    <cellStyle name="Assumptions Heading 2 2 2 4" xfId="2092"/>
    <cellStyle name="Assumptions Heading 2 2 2 4 2" xfId="3979"/>
    <cellStyle name="Assumptions Heading 2 2 2 4 2 2" xfId="7659"/>
    <cellStyle name="Assumptions Heading 2 2 2 4 3" xfId="5569"/>
    <cellStyle name="Assumptions Heading 2 2 2 4 3 2" xfId="6377"/>
    <cellStyle name="Assumptions Heading 2 2 2 4 4" xfId="9241"/>
    <cellStyle name="Assumptions Heading 2 2 2 5" xfId="3015"/>
    <cellStyle name="Assumptions Heading 2 2 2 5 2" xfId="4214"/>
    <cellStyle name="Assumptions Heading 2 2 2 5 2 2" xfId="6951"/>
    <cellStyle name="Assumptions Heading 2 2 2 5 3" xfId="5917"/>
    <cellStyle name="Assumptions Heading 2 2 2 5 3 2" xfId="9811"/>
    <cellStyle name="Assumptions Heading 2 2 2 5 4" xfId="7229"/>
    <cellStyle name="Assumptions Heading 2 2 2 6" xfId="2791"/>
    <cellStyle name="Assumptions Heading 2 2 2 6 2" xfId="3923"/>
    <cellStyle name="Assumptions Heading 2 2 2 6 2 2" xfId="7004"/>
    <cellStyle name="Assumptions Heading 2 2 2 6 3" xfId="5725"/>
    <cellStyle name="Assumptions Heading 2 2 2 6 3 2" xfId="6275"/>
    <cellStyle name="Assumptions Heading 2 2 2 6 4" xfId="7453"/>
    <cellStyle name="Assumptions Heading 2 2 2 7" xfId="3116"/>
    <cellStyle name="Assumptions Heading 2 2 2 7 2" xfId="3737"/>
    <cellStyle name="Assumptions Heading 2 2 2 7 2 2" xfId="7198"/>
    <cellStyle name="Assumptions Heading 2 2 2 7 3" xfId="6012"/>
    <cellStyle name="Assumptions Heading 2 2 2 7 3 2" xfId="9906"/>
    <cellStyle name="Assumptions Heading 2 2 2 7 4" xfId="6672"/>
    <cellStyle name="Assumptions Heading 2 2 2 8" xfId="3444"/>
    <cellStyle name="Assumptions Heading 2 2 2 8 2" xfId="5015"/>
    <cellStyle name="Assumptions Heading 2 2 2 8 2 2" xfId="9453"/>
    <cellStyle name="Assumptions Heading 2 2 2 8 3" xfId="6693"/>
    <cellStyle name="Assumptions Heading 2 2 2 9" xfId="3653"/>
    <cellStyle name="Assumptions Heading 2 2 2 9 2" xfId="9521"/>
    <cellStyle name="Assumptions Heading 2 2 3" xfId="2195"/>
    <cellStyle name="Assumptions Heading 2 2 3 2" xfId="2682"/>
    <cellStyle name="Assumptions Heading 2 2 3 2 2" xfId="4173"/>
    <cellStyle name="Assumptions Heading 2 2 3 2 2 2" xfId="7722"/>
    <cellStyle name="Assumptions Heading 2 2 3 2 3" xfId="8111"/>
    <cellStyle name="Assumptions Heading 2 2 3 3" xfId="4666"/>
    <cellStyle name="Assumptions Heading 2 2 3 3 2" xfId="6516"/>
    <cellStyle name="Assumptions Heading 2 2 3 4" xfId="5204"/>
    <cellStyle name="Assumptions Heading 2 2 3 4 2" xfId="6949"/>
    <cellStyle name="Assumptions Heading 2 2 3 5" xfId="5512"/>
    <cellStyle name="Assumptions Heading 2 2 3 5 2" xfId="6918"/>
    <cellStyle name="Assumptions Heading 2 2 3 6" xfId="9247"/>
    <cellStyle name="Assumptions Heading 2 2 4" xfId="2254"/>
    <cellStyle name="Assumptions Heading 2 2 4 2" xfId="4783"/>
    <cellStyle name="Assumptions Heading 2 2 4 2 2" xfId="6902"/>
    <cellStyle name="Assumptions Heading 2 2 4 3" xfId="5540"/>
    <cellStyle name="Assumptions Heading 2 2 4 3 2" xfId="7461"/>
    <cellStyle name="Assumptions Heading 2 2 4 4" xfId="7744"/>
    <cellStyle name="Assumptions Heading 2 2 5" xfId="3212"/>
    <cellStyle name="Assumptions Heading 2 2 5 2" xfId="4317"/>
    <cellStyle name="Assumptions Heading 2 2 5 2 2" xfId="7162"/>
    <cellStyle name="Assumptions Heading 2 2 5 3" xfId="6100"/>
    <cellStyle name="Assumptions Heading 2 2 5 3 2" xfId="9994"/>
    <cellStyle name="Assumptions Heading 2 2 5 4" xfId="7804"/>
    <cellStyle name="Assumptions Heading 2 2 6" xfId="2881"/>
    <cellStyle name="Assumptions Heading 2 2 6 2" xfId="3871"/>
    <cellStyle name="Assumptions Heading 2 2 6 2 2" xfId="9027"/>
    <cellStyle name="Assumptions Heading 2 2 6 3" xfId="5812"/>
    <cellStyle name="Assumptions Heading 2 2 6 3 2" xfId="7223"/>
    <cellStyle name="Assumptions Heading 2 2 6 4" xfId="7907"/>
    <cellStyle name="Assumptions Heading 2 2 7" xfId="3019"/>
    <cellStyle name="Assumptions Heading 2 2 7 2" xfId="3797"/>
    <cellStyle name="Assumptions Heading 2 2 7 2 2" xfId="6699"/>
    <cellStyle name="Assumptions Heading 2 2 7 3" xfId="5921"/>
    <cellStyle name="Assumptions Heading 2 2 7 3 2" xfId="9815"/>
    <cellStyle name="Assumptions Heading 2 2 7 4" xfId="7363"/>
    <cellStyle name="Assumptions Heading 2 2 8" xfId="3287"/>
    <cellStyle name="Assumptions Heading 2 2 8 2" xfId="3679"/>
    <cellStyle name="Assumptions Heading 2 2 8 2 2" xfId="7938"/>
    <cellStyle name="Assumptions Heading 2 2 8 3" xfId="6157"/>
    <cellStyle name="Assumptions Heading 2 2 8 3 2" xfId="10051"/>
    <cellStyle name="Assumptions Heading 2 2 8 4" xfId="8650"/>
    <cellStyle name="Assumptions Heading 2 2 9" xfId="3321"/>
    <cellStyle name="Assumptions Heading 2 2 9 2" xfId="3534"/>
    <cellStyle name="Assumptions Heading 2 2 9 2 2" xfId="8716"/>
    <cellStyle name="Assumptions Heading 2 2 9 3" xfId="6189"/>
    <cellStyle name="Assumptions Heading 2 2 9 3 2" xfId="10083"/>
    <cellStyle name="Assumptions Heading 2 2 9 4" xfId="9053"/>
    <cellStyle name="Assumptions Heading 2 3" xfId="2117"/>
    <cellStyle name="Assumptions Heading 2 3 2" xfId="2652"/>
    <cellStyle name="Assumptions Heading 2 3 2 2" xfId="4659"/>
    <cellStyle name="Assumptions Heading 2 3 2 2 2" xfId="9299"/>
    <cellStyle name="Assumptions Heading 2 3 2 3" xfId="6808"/>
    <cellStyle name="Assumptions Heading 2 3 3" xfId="4039"/>
    <cellStyle name="Assumptions Heading 2 3 3 2" xfId="9179"/>
    <cellStyle name="Assumptions Heading 2 3 4" xfId="5374"/>
    <cellStyle name="Assumptions Heading 2 3 4 2" xfId="6816"/>
    <cellStyle name="Assumptions Heading 2 3 5" xfId="5483"/>
    <cellStyle name="Assumptions Heading 2 3 5 2" xfId="7249"/>
    <cellStyle name="Assumptions Heading 2 3 6" xfId="9317"/>
    <cellStyle name="Assumptions Heading 2 4" xfId="2110"/>
    <cellStyle name="Assumptions Heading 2 4 2" xfId="4818"/>
    <cellStyle name="Assumptions Heading 2 4 2 2" xfId="9116"/>
    <cellStyle name="Assumptions Heading 2 4 3" xfId="5448"/>
    <cellStyle name="Assumptions Heading 2 4 3 2" xfId="7002"/>
    <cellStyle name="Assumptions Heading 2 4 4" xfId="7658"/>
    <cellStyle name="Assumptions Heading 2 5" xfId="3040"/>
    <cellStyle name="Assumptions Heading 2 5 2" xfId="3585"/>
    <cellStyle name="Assumptions Heading 2 5 2 2" xfId="8989"/>
    <cellStyle name="Assumptions Heading 2 5 3" xfId="5941"/>
    <cellStyle name="Assumptions Heading 2 5 3 2" xfId="9835"/>
    <cellStyle name="Assumptions Heading 2 5 4" xfId="7657"/>
    <cellStyle name="Assumptions Heading 2 6" xfId="2814"/>
    <cellStyle name="Assumptions Heading 2 6 2" xfId="3905"/>
    <cellStyle name="Assumptions Heading 2 6 2 2" xfId="7364"/>
    <cellStyle name="Assumptions Heading 2 6 3" xfId="5748"/>
    <cellStyle name="Assumptions Heading 2 6 3 2" xfId="8467"/>
    <cellStyle name="Assumptions Heading 2 6 4" xfId="7437"/>
    <cellStyle name="Assumptions Heading 2 7" xfId="2842"/>
    <cellStyle name="Assumptions Heading 2 7 2" xfId="4081"/>
    <cellStyle name="Assumptions Heading 2 7 2 2" xfId="8664"/>
    <cellStyle name="Assumptions Heading 2 7 3" xfId="5774"/>
    <cellStyle name="Assumptions Heading 2 7 3 2" xfId="8184"/>
    <cellStyle name="Assumptions Heading 2 7 4" xfId="9533"/>
    <cellStyle name="Assumptions Heading 2 8" xfId="3304"/>
    <cellStyle name="Assumptions Heading 2 8 2" xfId="3550"/>
    <cellStyle name="Assumptions Heading 2 8 2 2" xfId="8425"/>
    <cellStyle name="Assumptions Heading 2 8 3" xfId="6173"/>
    <cellStyle name="Assumptions Heading 2 8 3 2" xfId="10067"/>
    <cellStyle name="Assumptions Heading 2 8 4" xfId="9484"/>
    <cellStyle name="Assumptions Heading 2 9" xfId="3296"/>
    <cellStyle name="Assumptions Heading 2 9 2" xfId="3673"/>
    <cellStyle name="Assumptions Heading 2 9 2 2" xfId="7287"/>
    <cellStyle name="Assumptions Heading 2 9 3" xfId="6165"/>
    <cellStyle name="Assumptions Heading 2 9 3 2" xfId="10059"/>
    <cellStyle name="Assumptions Heading 2 9 4" xfId="9257"/>
    <cellStyle name="Assumptions Heading 3" xfId="1720"/>
    <cellStyle name="Assumptions Heading 3 10" xfId="3463"/>
    <cellStyle name="Assumptions Heading 3 10 2" xfId="5033"/>
    <cellStyle name="Assumptions Heading 3 10 2 2" xfId="9137"/>
    <cellStyle name="Assumptions Heading 3 10 3" xfId="9510"/>
    <cellStyle name="Assumptions Heading 3 11" xfId="3636"/>
    <cellStyle name="Assumptions Heading 3 11 2" xfId="7452"/>
    <cellStyle name="Assumptions Heading 3 12" xfId="6447"/>
    <cellStyle name="Assumptions Heading 3 2" xfId="1600"/>
    <cellStyle name="Assumptions Heading 3 2 10" xfId="8596"/>
    <cellStyle name="Assumptions Heading 3 2 2" xfId="2440"/>
    <cellStyle name="Assumptions Heading 3 2 2 2" xfId="2574"/>
    <cellStyle name="Assumptions Heading 3 2 2 2 2" xfId="4837"/>
    <cellStyle name="Assumptions Heading 3 2 2 2 2 2" xfId="7781"/>
    <cellStyle name="Assumptions Heading 3 2 2 2 3" xfId="9354"/>
    <cellStyle name="Assumptions Heading 3 2 2 3" xfId="4656"/>
    <cellStyle name="Assumptions Heading 3 2 2 3 2" xfId="8882"/>
    <cellStyle name="Assumptions Heading 3 2 2 4" xfId="8093"/>
    <cellStyle name="Assumptions Heading 3 2 3" xfId="2106"/>
    <cellStyle name="Assumptions Heading 3 2 3 2" xfId="2976"/>
    <cellStyle name="Assumptions Heading 3 2 3 2 2" xfId="3815"/>
    <cellStyle name="Assumptions Heading 3 2 3 2 2 2" xfId="9523"/>
    <cellStyle name="Assumptions Heading 3 2 3 2 3" xfId="9211"/>
    <cellStyle name="Assumptions Heading 3 2 3 3" xfId="4627"/>
    <cellStyle name="Assumptions Heading 3 2 3 3 2" xfId="8266"/>
    <cellStyle name="Assumptions Heading 3 2 3 4" xfId="5578"/>
    <cellStyle name="Assumptions Heading 3 2 3 4 2" xfId="7855"/>
    <cellStyle name="Assumptions Heading 3 2 3 5" xfId="7454"/>
    <cellStyle name="Assumptions Heading 3 2 4" xfId="2250"/>
    <cellStyle name="Assumptions Heading 3 2 4 2" xfId="4115"/>
    <cellStyle name="Assumptions Heading 3 2 4 2 2" xfId="7412"/>
    <cellStyle name="Assumptions Heading 3 2 4 3" xfId="5631"/>
    <cellStyle name="Assumptions Heading 3 2 4 3 2" xfId="7344"/>
    <cellStyle name="Assumptions Heading 3 2 4 4" xfId="8458"/>
    <cellStyle name="Assumptions Heading 3 2 5" xfId="2764"/>
    <cellStyle name="Assumptions Heading 3 2 5 2" xfId="4056"/>
    <cellStyle name="Assumptions Heading 3 2 5 2 2" xfId="9651"/>
    <cellStyle name="Assumptions Heading 3 2 5 3" xfId="5707"/>
    <cellStyle name="Assumptions Heading 3 2 5 3 2" xfId="7972"/>
    <cellStyle name="Assumptions Heading 3 2 5 4" xfId="6724"/>
    <cellStyle name="Assumptions Heading 3 2 6" xfId="2997"/>
    <cellStyle name="Assumptions Heading 3 2 6 2" xfId="4216"/>
    <cellStyle name="Assumptions Heading 3 2 6 2 2" xfId="7807"/>
    <cellStyle name="Assumptions Heading 3 2 6 3" xfId="5900"/>
    <cellStyle name="Assumptions Heading 3 2 6 3 2" xfId="9794"/>
    <cellStyle name="Assumptions Heading 3 2 6 4" xfId="7773"/>
    <cellStyle name="Assumptions Heading 3 2 7" xfId="3311"/>
    <cellStyle name="Assumptions Heading 3 2 7 2" xfId="3543"/>
    <cellStyle name="Assumptions Heading 3 2 7 2 2" xfId="9036"/>
    <cellStyle name="Assumptions Heading 3 2 7 3" xfId="6180"/>
    <cellStyle name="Assumptions Heading 3 2 7 3 2" xfId="10074"/>
    <cellStyle name="Assumptions Heading 3 2 7 4" xfId="8732"/>
    <cellStyle name="Assumptions Heading 3 2 8" xfId="3439"/>
    <cellStyle name="Assumptions Heading 3 2 8 2" xfId="5010"/>
    <cellStyle name="Assumptions Heading 3 2 8 2 2" xfId="8643"/>
    <cellStyle name="Assumptions Heading 3 2 8 3" xfId="8324"/>
    <cellStyle name="Assumptions Heading 3 2 9" xfId="4270"/>
    <cellStyle name="Assumptions Heading 3 2 9 2" xfId="7301"/>
    <cellStyle name="Assumptions Heading 3 3" xfId="2343"/>
    <cellStyle name="Assumptions Heading 3 3 2" xfId="2681"/>
    <cellStyle name="Assumptions Heading 3 3 2 2" xfId="4268"/>
    <cellStyle name="Assumptions Heading 3 3 2 2 2" xfId="8005"/>
    <cellStyle name="Assumptions Heading 3 3 2 3" xfId="6871"/>
    <cellStyle name="Assumptions Heading 3 3 3" xfId="4104"/>
    <cellStyle name="Assumptions Heading 3 3 3 2" xfId="9593"/>
    <cellStyle name="Assumptions Heading 3 3 4" xfId="5260"/>
    <cellStyle name="Assumptions Heading 3 3 4 2" xfId="6836"/>
    <cellStyle name="Assumptions Heading 3 3 5" xfId="5511"/>
    <cellStyle name="Assumptions Heading 3 3 5 2" xfId="6636"/>
    <cellStyle name="Assumptions Heading 3 3 6" xfId="7264"/>
    <cellStyle name="Assumptions Heading 3 4" xfId="2161"/>
    <cellStyle name="Assumptions Heading 3 4 2" xfId="4866"/>
    <cellStyle name="Assumptions Heading 3 4 2 2" xfId="9554"/>
    <cellStyle name="Assumptions Heading 3 4 3" xfId="5539"/>
    <cellStyle name="Assumptions Heading 3 4 3 2" xfId="7531"/>
    <cellStyle name="Assumptions Heading 3 4 4" xfId="8274"/>
    <cellStyle name="Assumptions Heading 3 5" xfId="2949"/>
    <cellStyle name="Assumptions Heading 3 5 2" xfId="3835"/>
    <cellStyle name="Assumptions Heading 3 5 2 2" xfId="6749"/>
    <cellStyle name="Assumptions Heading 3 5 3" xfId="5869"/>
    <cellStyle name="Assumptions Heading 3 5 3 2" xfId="6465"/>
    <cellStyle name="Assumptions Heading 3 5 4" xfId="7038"/>
    <cellStyle name="Assumptions Heading 3 6" xfId="3238"/>
    <cellStyle name="Assumptions Heading 3 6 2" xfId="4121"/>
    <cellStyle name="Assumptions Heading 3 6 2 2" xfId="7591"/>
    <cellStyle name="Assumptions Heading 3 6 3" xfId="6120"/>
    <cellStyle name="Assumptions Heading 3 6 3 2" xfId="10014"/>
    <cellStyle name="Assumptions Heading 3 6 4" xfId="7016"/>
    <cellStyle name="Assumptions Heading 3 7" xfId="3231"/>
    <cellStyle name="Assumptions Heading 3 7 2" xfId="4122"/>
    <cellStyle name="Assumptions Heading 3 7 2 2" xfId="8000"/>
    <cellStyle name="Assumptions Heading 3 7 3" xfId="6113"/>
    <cellStyle name="Assumptions Heading 3 7 3 2" xfId="10007"/>
    <cellStyle name="Assumptions Heading 3 7 4" xfId="7204"/>
    <cellStyle name="Assumptions Heading 3 8" xfId="2999"/>
    <cellStyle name="Assumptions Heading 3 8 2" xfId="3589"/>
    <cellStyle name="Assumptions Heading 3 8 2 2" xfId="8757"/>
    <cellStyle name="Assumptions Heading 3 8 3" xfId="5902"/>
    <cellStyle name="Assumptions Heading 3 8 3 2" xfId="9796"/>
    <cellStyle name="Assumptions Heading 3 8 4" xfId="7814"/>
    <cellStyle name="Assumptions Heading 3 9" xfId="3355"/>
    <cellStyle name="Assumptions Heading 3 9 2" xfId="4945"/>
    <cellStyle name="Assumptions Heading 3 9 2 2" xfId="6376"/>
    <cellStyle name="Assumptions Heading 3 9 3" xfId="6221"/>
    <cellStyle name="Assumptions Heading 3 9 3 2" xfId="10115"/>
    <cellStyle name="Assumptions Heading 3 9 4" xfId="8624"/>
    <cellStyle name="Assumptions Heading 4" xfId="2118"/>
    <cellStyle name="Assumptions Heading 4 2" xfId="2651"/>
    <cellStyle name="Assumptions Heading 4 2 2" xfId="4848"/>
    <cellStyle name="Assumptions Heading 4 2 2 2" xfId="8352"/>
    <cellStyle name="Assumptions Heading 4 2 3" xfId="8305"/>
    <cellStyle name="Assumptions Heading 4 3" xfId="4891"/>
    <cellStyle name="Assumptions Heading 4 3 2" xfId="9125"/>
    <cellStyle name="Assumptions Heading 4 4" xfId="5262"/>
    <cellStyle name="Assumptions Heading 4 4 2" xfId="7449"/>
    <cellStyle name="Assumptions Heading 4 5" xfId="5482"/>
    <cellStyle name="Assumptions Heading 4 5 2" xfId="7067"/>
    <cellStyle name="Assumptions Heading 4 6" xfId="6852"/>
    <cellStyle name="Assumptions Heading 5" xfId="2277"/>
    <cellStyle name="Assumptions Heading 5 2" xfId="4292"/>
    <cellStyle name="Assumptions Heading 5 2 2" xfId="9668"/>
    <cellStyle name="Assumptions Heading 5 3" xfId="5449"/>
    <cellStyle name="Assumptions Heading 5 3 2" xfId="7216"/>
    <cellStyle name="Assumptions Heading 5 4" xfId="6803"/>
    <cellStyle name="Assumptions Heading 6" xfId="3041"/>
    <cellStyle name="Assumptions Heading 6 2" xfId="3780"/>
    <cellStyle name="Assumptions Heading 6 2 2" xfId="9736"/>
    <cellStyle name="Assumptions Heading 6 3" xfId="5942"/>
    <cellStyle name="Assumptions Heading 6 3 2" xfId="9836"/>
    <cellStyle name="Assumptions Heading 6 4" xfId="6338"/>
    <cellStyle name="Assumptions Heading 7" xfId="3274"/>
    <cellStyle name="Assumptions Heading 7 2" xfId="4250"/>
    <cellStyle name="Assumptions Heading 7 2 2" xfId="8411"/>
    <cellStyle name="Assumptions Heading 7 3" xfId="6149"/>
    <cellStyle name="Assumptions Heading 7 3 2" xfId="10043"/>
    <cellStyle name="Assumptions Heading 7 4" xfId="6320"/>
    <cellStyle name="Assumptions Heading 8" xfId="3121"/>
    <cellStyle name="Assumptions Heading 8 2" xfId="3734"/>
    <cellStyle name="Assumptions Heading 8 2 2" xfId="6857"/>
    <cellStyle name="Assumptions Heading 8 3" xfId="6017"/>
    <cellStyle name="Assumptions Heading 8 3 2" xfId="9911"/>
    <cellStyle name="Assumptions Heading 8 4" xfId="6936"/>
    <cellStyle name="Assumptions Heading 9" xfId="3322"/>
    <cellStyle name="Assumptions Heading 9 2" xfId="3533"/>
    <cellStyle name="Assumptions Heading 9 2 2" xfId="9483"/>
    <cellStyle name="Assumptions Heading 9 3" xfId="6190"/>
    <cellStyle name="Assumptions Heading 9 3 2" xfId="10084"/>
    <cellStyle name="Assumptions Heading 9 4" xfId="8189"/>
    <cellStyle name="Assumptions Right Currency" xfId="961"/>
    <cellStyle name="Assumptions Right Currency 10" xfId="3361"/>
    <cellStyle name="Assumptions Right Currency 10 2" xfId="4951"/>
    <cellStyle name="Assumptions Right Currency 10 2 2" xfId="7125"/>
    <cellStyle name="Assumptions Right Currency 10 3" xfId="6227"/>
    <cellStyle name="Assumptions Right Currency 10 3 2" xfId="10121"/>
    <cellStyle name="Assumptions Right Currency 10 4" xfId="6412"/>
    <cellStyle name="Assumptions Right Currency 11" xfId="3397"/>
    <cellStyle name="Assumptions Right Currency 11 2" xfId="4971"/>
    <cellStyle name="Assumptions Right Currency 11 2 2" xfId="9081"/>
    <cellStyle name="Assumptions Right Currency 11 3" xfId="9223"/>
    <cellStyle name="Assumptions Right Currency 12" xfId="4010"/>
    <cellStyle name="Assumptions Right Currency 12 2" xfId="8584"/>
    <cellStyle name="Assumptions Right Currency 13" xfId="8690"/>
    <cellStyle name="Assumptions Right Currency 2" xfId="962"/>
    <cellStyle name="Assumptions Right Currency 2 10" xfId="3398"/>
    <cellStyle name="Assumptions Right Currency 2 10 2" xfId="4972"/>
    <cellStyle name="Assumptions Right Currency 2 10 2 2" xfId="8350"/>
    <cellStyle name="Assumptions Right Currency 2 10 3" xfId="9014"/>
    <cellStyle name="Assumptions Right Currency 2 11" xfId="4009"/>
    <cellStyle name="Assumptions Right Currency 2 11 2" xfId="8874"/>
    <cellStyle name="Assumptions Right Currency 2 12" xfId="9156"/>
    <cellStyle name="Assumptions Right Currency 2 2" xfId="1723"/>
    <cellStyle name="Assumptions Right Currency 2 2 10" xfId="3466"/>
    <cellStyle name="Assumptions Right Currency 2 2 10 2" xfId="5036"/>
    <cellStyle name="Assumptions Right Currency 2 2 10 2 2" xfId="8612"/>
    <cellStyle name="Assumptions Right Currency 2 2 10 3" xfId="9643"/>
    <cellStyle name="Assumptions Right Currency 2 2 11" xfId="3633"/>
    <cellStyle name="Assumptions Right Currency 2 2 11 2" xfId="8866"/>
    <cellStyle name="Assumptions Right Currency 2 2 12" xfId="8292"/>
    <cellStyle name="Assumptions Right Currency 2 2 2" xfId="1753"/>
    <cellStyle name="Assumptions Right Currency 2 2 2 10" xfId="6684"/>
    <cellStyle name="Assumptions Right Currency 2 2 2 2" xfId="2468"/>
    <cellStyle name="Assumptions Right Currency 2 2 2 2 2" xfId="2591"/>
    <cellStyle name="Assumptions Right Currency 2 2 2 2 2 2" xfId="4812"/>
    <cellStyle name="Assumptions Right Currency 2 2 2 2 2 2 2" xfId="8240"/>
    <cellStyle name="Assumptions Right Currency 2 2 2 2 2 3" xfId="8282"/>
    <cellStyle name="Assumptions Right Currency 2 2 2 2 3" xfId="4850"/>
    <cellStyle name="Assumptions Right Currency 2 2 2 2 3 2" xfId="6934"/>
    <cellStyle name="Assumptions Right Currency 2 2 2 2 4" xfId="7422"/>
    <cellStyle name="Assumptions Right Currency 2 2 2 3" xfId="2187"/>
    <cellStyle name="Assumptions Right Currency 2 2 2 3 2" xfId="2934"/>
    <cellStyle name="Assumptions Right Currency 2 2 2 3 2 2" xfId="3846"/>
    <cellStyle name="Assumptions Right Currency 2 2 2 3 2 2 2" xfId="9319"/>
    <cellStyle name="Assumptions Right Currency 2 2 2 3 2 3" xfId="7798"/>
    <cellStyle name="Assumptions Right Currency 2 2 2 3 3" xfId="4416"/>
    <cellStyle name="Assumptions Right Currency 2 2 2 3 3 2" xfId="9420"/>
    <cellStyle name="Assumptions Right Currency 2 2 2 3 4" xfId="5604"/>
    <cellStyle name="Assumptions Right Currency 2 2 2 3 4 2" xfId="8181"/>
    <cellStyle name="Assumptions Right Currency 2 2 2 3 5" xfId="8304"/>
    <cellStyle name="Assumptions Right Currency 2 2 2 4" xfId="2259"/>
    <cellStyle name="Assumptions Right Currency 2 2 2 4 2" xfId="4608"/>
    <cellStyle name="Assumptions Right Currency 2 2 2 4 2 2" xfId="9069"/>
    <cellStyle name="Assumptions Right Currency 2 2 2 4 3" xfId="5633"/>
    <cellStyle name="Assumptions Right Currency 2 2 2 4 3 2" xfId="7880"/>
    <cellStyle name="Assumptions Right Currency 2 2 2 4 4" xfId="8259"/>
    <cellStyle name="Assumptions Right Currency 2 2 2 5" xfId="3109"/>
    <cellStyle name="Assumptions Right Currency 2 2 2 5 2" xfId="3744"/>
    <cellStyle name="Assumptions Right Currency 2 2 2 5 2 2" xfId="9386"/>
    <cellStyle name="Assumptions Right Currency 2 2 2 5 3" xfId="6005"/>
    <cellStyle name="Assumptions Right Currency 2 2 2 5 3 2" xfId="9899"/>
    <cellStyle name="Assumptions Right Currency 2 2 2 5 4" xfId="6526"/>
    <cellStyle name="Assumptions Right Currency 2 2 2 6" xfId="3319"/>
    <cellStyle name="Assumptions Right Currency 2 2 2 6 2" xfId="3536"/>
    <cellStyle name="Assumptions Right Currency 2 2 2 6 2 2" xfId="9735"/>
    <cellStyle name="Assumptions Right Currency 2 2 2 6 3" xfId="6187"/>
    <cellStyle name="Assumptions Right Currency 2 2 2 6 3 2" xfId="10081"/>
    <cellStyle name="Assumptions Right Currency 2 2 2 6 4" xfId="9411"/>
    <cellStyle name="Assumptions Right Currency 2 2 2 7" xfId="3302"/>
    <cellStyle name="Assumptions Right Currency 2 2 2 7 2" xfId="3552"/>
    <cellStyle name="Assumptions Right Currency 2 2 2 7 2 2" xfId="6289"/>
    <cellStyle name="Assumptions Right Currency 2 2 2 7 3" xfId="6171"/>
    <cellStyle name="Assumptions Right Currency 2 2 2 7 3 2" xfId="10065"/>
    <cellStyle name="Assumptions Right Currency 2 2 2 7 4" xfId="8640"/>
    <cellStyle name="Assumptions Right Currency 2 2 2 8" xfId="3482"/>
    <cellStyle name="Assumptions Right Currency 2 2 2 8 2" xfId="5052"/>
    <cellStyle name="Assumptions Right Currency 2 2 2 8 2 2" xfId="9622"/>
    <cellStyle name="Assumptions Right Currency 2 2 2 8 3" xfId="9221"/>
    <cellStyle name="Assumptions Right Currency 2 2 2 9" xfId="3990"/>
    <cellStyle name="Assumptions Right Currency 2 2 2 9 2" xfId="8698"/>
    <cellStyle name="Assumptions Right Currency 2 2 3" xfId="2321"/>
    <cellStyle name="Assumptions Right Currency 2 2 3 2" xfId="2684"/>
    <cellStyle name="Assumptions Right Currency 2 2 3 2 2" xfId="3963"/>
    <cellStyle name="Assumptions Right Currency 2 2 3 2 2 2" xfId="8166"/>
    <cellStyle name="Assumptions Right Currency 2 2 3 2 3" xfId="7723"/>
    <cellStyle name="Assumptions Right Currency 2 2 3 3" xfId="4467"/>
    <cellStyle name="Assumptions Right Currency 2 2 3 3 2" xfId="6870"/>
    <cellStyle name="Assumptions Right Currency 2 2 3 4" xfId="5159"/>
    <cellStyle name="Assumptions Right Currency 2 2 3 4 2" xfId="9393"/>
    <cellStyle name="Assumptions Right Currency 2 2 3 5" xfId="5514"/>
    <cellStyle name="Assumptions Right Currency 2 2 3 5 2" xfId="8474"/>
    <cellStyle name="Assumptions Right Currency 2 2 3 6" xfId="8013"/>
    <cellStyle name="Assumptions Right Currency 2 2 4" xfId="2311"/>
    <cellStyle name="Assumptions Right Currency 2 2 4 2" xfId="4593"/>
    <cellStyle name="Assumptions Right Currency 2 2 4 2 2" xfId="9562"/>
    <cellStyle name="Assumptions Right Currency 2 2 4 3" xfId="5542"/>
    <cellStyle name="Assumptions Right Currency 2 2 4 3 2" xfId="7712"/>
    <cellStyle name="Assumptions Right Currency 2 2 4 4" xfId="7897"/>
    <cellStyle name="Assumptions Right Currency 2 2 5" xfId="2948"/>
    <cellStyle name="Assumptions Right Currency 2 2 5 2" xfId="3836"/>
    <cellStyle name="Assumptions Right Currency 2 2 5 2 2" xfId="9659"/>
    <cellStyle name="Assumptions Right Currency 2 2 5 3" xfId="5868"/>
    <cellStyle name="Assumptions Right Currency 2 2 5 3 2" xfId="7967"/>
    <cellStyle name="Assumptions Right Currency 2 2 5 4" xfId="9333"/>
    <cellStyle name="Assumptions Right Currency 2 2 6" xfId="3259"/>
    <cellStyle name="Assumptions Right Currency 2 2 6 2" xfId="3562"/>
    <cellStyle name="Assumptions Right Currency 2 2 6 2 2" xfId="8088"/>
    <cellStyle name="Assumptions Right Currency 2 2 6 3" xfId="6136"/>
    <cellStyle name="Assumptions Right Currency 2 2 6 3 2" xfId="10030"/>
    <cellStyle name="Assumptions Right Currency 2 2 6 4" xfId="6833"/>
    <cellStyle name="Assumptions Right Currency 2 2 7" xfId="3232"/>
    <cellStyle name="Assumptions Right Currency 2 2 7 2" xfId="4046"/>
    <cellStyle name="Assumptions Right Currency 2 2 7 2 2" xfId="8605"/>
    <cellStyle name="Assumptions Right Currency 2 2 7 3" xfId="6114"/>
    <cellStyle name="Assumptions Right Currency 2 2 7 3 2" xfId="10008"/>
    <cellStyle name="Assumptions Right Currency 2 2 7 4" xfId="8287"/>
    <cellStyle name="Assumptions Right Currency 2 2 8" xfId="3101"/>
    <cellStyle name="Assumptions Right Currency 2 2 8 2" xfId="3750"/>
    <cellStyle name="Assumptions Right Currency 2 2 8 2 2" xfId="9674"/>
    <cellStyle name="Assumptions Right Currency 2 2 8 3" xfId="5998"/>
    <cellStyle name="Assumptions Right Currency 2 2 8 3 2" xfId="9892"/>
    <cellStyle name="Assumptions Right Currency 2 2 8 4" xfId="7439"/>
    <cellStyle name="Assumptions Right Currency 2 2 9" xfId="3221"/>
    <cellStyle name="Assumptions Right Currency 2 2 9 2" xfId="4193"/>
    <cellStyle name="Assumptions Right Currency 2 2 9 2 2" xfId="6700"/>
    <cellStyle name="Assumptions Right Currency 2 2 9 3" xfId="6104"/>
    <cellStyle name="Assumptions Right Currency 2 2 9 3 2" xfId="9998"/>
    <cellStyle name="Assumptions Right Currency 2 2 9 4" xfId="7310"/>
    <cellStyle name="Assumptions Right Currency 2 3" xfId="2243"/>
    <cellStyle name="Assumptions Right Currency 2 3 2" xfId="2654"/>
    <cellStyle name="Assumptions Right Currency 2 3 2 2" xfId="4692"/>
    <cellStyle name="Assumptions Right Currency 2 3 2 2 2" xfId="7027"/>
    <cellStyle name="Assumptions Right Currency 2 3 2 3" xfId="7809"/>
    <cellStyle name="Assumptions Right Currency 2 3 3" xfId="4794"/>
    <cellStyle name="Assumptions Right Currency 2 3 3 2" xfId="9057"/>
    <cellStyle name="Assumptions Right Currency 2 3 4" xfId="5149"/>
    <cellStyle name="Assumptions Right Currency 2 3 4 2" xfId="8339"/>
    <cellStyle name="Assumptions Right Currency 2 3 5" xfId="5485"/>
    <cellStyle name="Assumptions Right Currency 2 3 5 2" xfId="6645"/>
    <cellStyle name="Assumptions Right Currency 2 3 6" xfId="7765"/>
    <cellStyle name="Assumptions Right Currency 2 4" xfId="2111"/>
    <cellStyle name="Assumptions Right Currency 2 4 2" xfId="4772"/>
    <cellStyle name="Assumptions Right Currency 2 4 2 2" xfId="6623"/>
    <cellStyle name="Assumptions Right Currency 2 4 3" xfId="5446"/>
    <cellStyle name="Assumptions Right Currency 2 4 3 2" xfId="7372"/>
    <cellStyle name="Assumptions Right Currency 2 4 4" xfId="6802"/>
    <cellStyle name="Assumptions Right Currency 2 5" xfId="2849"/>
    <cellStyle name="Assumptions Right Currency 2 5 2" xfId="4075"/>
    <cellStyle name="Assumptions Right Currency 2 5 2 2" xfId="9131"/>
    <cellStyle name="Assumptions Right Currency 2 5 3" xfId="5781"/>
    <cellStyle name="Assumptions Right Currency 2 5 3 2" xfId="8025"/>
    <cellStyle name="Assumptions Right Currency 2 5 4" xfId="9334"/>
    <cellStyle name="Assumptions Right Currency 2 6" xfId="3096"/>
    <cellStyle name="Assumptions Right Currency 2 6 2" xfId="3754"/>
    <cellStyle name="Assumptions Right Currency 2 6 2 2" xfId="7727"/>
    <cellStyle name="Assumptions Right Currency 2 6 3" xfId="5993"/>
    <cellStyle name="Assumptions Right Currency 2 6 3 2" xfId="9887"/>
    <cellStyle name="Assumptions Right Currency 2 6 4" xfId="8614"/>
    <cellStyle name="Assumptions Right Currency 2 7" xfId="3317"/>
    <cellStyle name="Assumptions Right Currency 2 7 2" xfId="3538"/>
    <cellStyle name="Assumptions Right Currency 2 7 2 2" xfId="6355"/>
    <cellStyle name="Assumptions Right Currency 2 7 3" xfId="6185"/>
    <cellStyle name="Assumptions Right Currency 2 7 3 2" xfId="10079"/>
    <cellStyle name="Assumptions Right Currency 2 7 4" xfId="9034"/>
    <cellStyle name="Assumptions Right Currency 2 8" xfId="3351"/>
    <cellStyle name="Assumptions Right Currency 2 8 2" xfId="4941"/>
    <cellStyle name="Assumptions Right Currency 2 8 2 2" xfId="9466"/>
    <cellStyle name="Assumptions Right Currency 2 8 3" xfId="6217"/>
    <cellStyle name="Assumptions Right Currency 2 8 3 2" xfId="10111"/>
    <cellStyle name="Assumptions Right Currency 2 8 4" xfId="9186"/>
    <cellStyle name="Assumptions Right Currency 2 9" xfId="3348"/>
    <cellStyle name="Assumptions Right Currency 2 9 2" xfId="4939"/>
    <cellStyle name="Assumptions Right Currency 2 9 2 2" xfId="9051"/>
    <cellStyle name="Assumptions Right Currency 2 9 3" xfId="6215"/>
    <cellStyle name="Assumptions Right Currency 2 9 3 2" xfId="10109"/>
    <cellStyle name="Assumptions Right Currency 2 9 4" xfId="8105"/>
    <cellStyle name="Assumptions Right Currency 3" xfId="1722"/>
    <cellStyle name="Assumptions Right Currency 3 10" xfId="3465"/>
    <cellStyle name="Assumptions Right Currency 3 10 2" xfId="5035"/>
    <cellStyle name="Assumptions Right Currency 3 10 2 2" xfId="6670"/>
    <cellStyle name="Assumptions Right Currency 3 10 3" xfId="6310"/>
    <cellStyle name="Assumptions Right Currency 3 11" xfId="3634"/>
    <cellStyle name="Assumptions Right Currency 3 11 2" xfId="6578"/>
    <cellStyle name="Assumptions Right Currency 3 12" xfId="6489"/>
    <cellStyle name="Assumptions Right Currency 3 2" xfId="1608"/>
    <cellStyle name="Assumptions Right Currency 3 2 10" xfId="9761"/>
    <cellStyle name="Assumptions Right Currency 3 2 2" xfId="2447"/>
    <cellStyle name="Assumptions Right Currency 3 2 2 2" xfId="2581"/>
    <cellStyle name="Assumptions Right Currency 3 2 2 2 2" xfId="4882"/>
    <cellStyle name="Assumptions Right Currency 3 2 2 2 2 2" xfId="9312"/>
    <cellStyle name="Assumptions Right Currency 3 2 2 2 3" xfId="8022"/>
    <cellStyle name="Assumptions Right Currency 3 2 2 3" xfId="4671"/>
    <cellStyle name="Assumptions Right Currency 3 2 2 3 2" xfId="6271"/>
    <cellStyle name="Assumptions Right Currency 3 2 2 4" xfId="6957"/>
    <cellStyle name="Assumptions Right Currency 3 2 3" xfId="2209"/>
    <cellStyle name="Assumptions Right Currency 3 2 3 2" xfId="2971"/>
    <cellStyle name="Assumptions Right Currency 3 2 3 2 2" xfId="4217"/>
    <cellStyle name="Assumptions Right Currency 3 2 3 2 2 2" xfId="7697"/>
    <cellStyle name="Assumptions Right Currency 3 2 3 2 3" xfId="8238"/>
    <cellStyle name="Assumptions Right Currency 3 2 3 3" xfId="4876"/>
    <cellStyle name="Assumptions Right Currency 3 2 3 3 2" xfId="8328"/>
    <cellStyle name="Assumptions Right Currency 3 2 3 4" xfId="5616"/>
    <cellStyle name="Assumptions Right Currency 3 2 3 4 2" xfId="6335"/>
    <cellStyle name="Assumptions Right Currency 3 2 3 5" xfId="7927"/>
    <cellStyle name="Assumptions Right Currency 3 2 4" xfId="2352"/>
    <cellStyle name="Assumptions Right Currency 3 2 4 2" xfId="4744"/>
    <cellStyle name="Assumptions Right Currency 3 2 4 2 2" xfId="9244"/>
    <cellStyle name="Assumptions Right Currency 3 2 4 3" xfId="5677"/>
    <cellStyle name="Assumptions Right Currency 3 2 4 3 2" xfId="6571"/>
    <cellStyle name="Assumptions Right Currency 3 2 4 4" xfId="6696"/>
    <cellStyle name="Assumptions Right Currency 3 2 5" xfId="3128"/>
    <cellStyle name="Assumptions Right Currency 3 2 5 2" xfId="3727"/>
    <cellStyle name="Assumptions Right Currency 3 2 5 2 2" xfId="7843"/>
    <cellStyle name="Assumptions Right Currency 3 2 5 3" xfId="6024"/>
    <cellStyle name="Assumptions Right Currency 3 2 5 3 2" xfId="9918"/>
    <cellStyle name="Assumptions Right Currency 3 2 5 4" xfId="6575"/>
    <cellStyle name="Assumptions Right Currency 3 2 6" xfId="3283"/>
    <cellStyle name="Assumptions Right Currency 3 2 6 2" xfId="4249"/>
    <cellStyle name="Assumptions Right Currency 3 2 6 2 2" xfId="8699"/>
    <cellStyle name="Assumptions Right Currency 3 2 6 3" xfId="6154"/>
    <cellStyle name="Assumptions Right Currency 3 2 6 3 2" xfId="10048"/>
    <cellStyle name="Assumptions Right Currency 3 2 6 4" xfId="9740"/>
    <cellStyle name="Assumptions Right Currency 3 2 7" xfId="2988"/>
    <cellStyle name="Assumptions Right Currency 3 2 7 2" xfId="3809"/>
    <cellStyle name="Assumptions Right Currency 3 2 7 2 2" xfId="9653"/>
    <cellStyle name="Assumptions Right Currency 3 2 7 3" xfId="5892"/>
    <cellStyle name="Assumptions Right Currency 3 2 7 3 2" xfId="9786"/>
    <cellStyle name="Assumptions Right Currency 3 2 7 4" xfId="6499"/>
    <cellStyle name="Assumptions Right Currency 3 2 8" xfId="3445"/>
    <cellStyle name="Assumptions Right Currency 3 2 8 2" xfId="5016"/>
    <cellStyle name="Assumptions Right Currency 3 2 8 2 2" xfId="8861"/>
    <cellStyle name="Assumptions Right Currency 3 2 8 3" xfId="9610"/>
    <cellStyle name="Assumptions Right Currency 3 2 9" xfId="3991"/>
    <cellStyle name="Assumptions Right Currency 3 2 9 2" xfId="7261"/>
    <cellStyle name="Assumptions Right Currency 3 3" xfId="2102"/>
    <cellStyle name="Assumptions Right Currency 3 3 2" xfId="2683"/>
    <cellStyle name="Assumptions Right Currency 3 3 2 2" xfId="4063"/>
    <cellStyle name="Assumptions Right Currency 3 3 2 2 2" xfId="6924"/>
    <cellStyle name="Assumptions Right Currency 3 3 2 3" xfId="6331"/>
    <cellStyle name="Assumptions Right Currency 3 3 3" xfId="4790"/>
    <cellStyle name="Assumptions Right Currency 3 3 3 2" xfId="9618"/>
    <cellStyle name="Assumptions Right Currency 3 3 4" xfId="5223"/>
    <cellStyle name="Assumptions Right Currency 3 3 4 2" xfId="7279"/>
    <cellStyle name="Assumptions Right Currency 3 3 5" xfId="5513"/>
    <cellStyle name="Assumptions Right Currency 3 3 5 2" xfId="6288"/>
    <cellStyle name="Assumptions Right Currency 3 3 6" xfId="7788"/>
    <cellStyle name="Assumptions Right Currency 3 4" xfId="2284"/>
    <cellStyle name="Assumptions Right Currency 3 4 2" xfId="4771"/>
    <cellStyle name="Assumptions Right Currency 3 4 2 2" xfId="6384"/>
    <cellStyle name="Assumptions Right Currency 3 4 3" xfId="5541"/>
    <cellStyle name="Assumptions Right Currency 3 4 3 2" xfId="7177"/>
    <cellStyle name="Assumptions Right Currency 3 4 4" xfId="7860"/>
    <cellStyle name="Assumptions Right Currency 3 5" xfId="3158"/>
    <cellStyle name="Assumptions Right Currency 3 5 2" xfId="4202"/>
    <cellStyle name="Assumptions Right Currency 3 5 2 2" xfId="7679"/>
    <cellStyle name="Assumptions Right Currency 3 5 3" xfId="6052"/>
    <cellStyle name="Assumptions Right Currency 3 5 3 2" xfId="9946"/>
    <cellStyle name="Assumptions Right Currency 3 5 4" xfId="7962"/>
    <cellStyle name="Assumptions Right Currency 3 6" xfId="3135"/>
    <cellStyle name="Assumptions Right Currency 3 6 2" xfId="3723"/>
    <cellStyle name="Assumptions Right Currency 3 6 2 2" xfId="9148"/>
    <cellStyle name="Assumptions Right Currency 3 6 3" xfId="6031"/>
    <cellStyle name="Assumptions Right Currency 3 6 3 2" xfId="9925"/>
    <cellStyle name="Assumptions Right Currency 3 6 4" xfId="6756"/>
    <cellStyle name="Assumptions Right Currency 3 7" xfId="3176"/>
    <cellStyle name="Assumptions Right Currency 3 7 2" xfId="4263"/>
    <cellStyle name="Assumptions Right Currency 3 7 2 2" xfId="9565"/>
    <cellStyle name="Assumptions Right Currency 3 7 3" xfId="6068"/>
    <cellStyle name="Assumptions Right Currency 3 7 3 2" xfId="9962"/>
    <cellStyle name="Assumptions Right Currency 3 7 4" xfId="7648"/>
    <cellStyle name="Assumptions Right Currency 3 8" xfId="3345"/>
    <cellStyle name="Assumptions Right Currency 3 8 2" xfId="4936"/>
    <cellStyle name="Assumptions Right Currency 3 8 2 2" xfId="9120"/>
    <cellStyle name="Assumptions Right Currency 3 8 3" xfId="6212"/>
    <cellStyle name="Assumptions Right Currency 3 8 3 2" xfId="10106"/>
    <cellStyle name="Assumptions Right Currency 3 8 4" xfId="8855"/>
    <cellStyle name="Assumptions Right Currency 3 9" xfId="3227"/>
    <cellStyle name="Assumptions Right Currency 3 9 2" xfId="4192"/>
    <cellStyle name="Assumptions Right Currency 3 9 2 2" xfId="8571"/>
    <cellStyle name="Assumptions Right Currency 3 9 3" xfId="6109"/>
    <cellStyle name="Assumptions Right Currency 3 9 3 2" xfId="10003"/>
    <cellStyle name="Assumptions Right Currency 3 9 4" xfId="6704"/>
    <cellStyle name="Assumptions Right Currency 4" xfId="2244"/>
    <cellStyle name="Assumptions Right Currency 4 2" xfId="2653"/>
    <cellStyle name="Assumptions Right Currency 4 2 2" xfId="4645"/>
    <cellStyle name="Assumptions Right Currency 4 2 2 2" xfId="8273"/>
    <cellStyle name="Assumptions Right Currency 4 2 3" xfId="7774"/>
    <cellStyle name="Assumptions Right Currency 4 3" xfId="4797"/>
    <cellStyle name="Assumptions Right Currency 4 3 2" xfId="9314"/>
    <cellStyle name="Assumptions Right Currency 4 4" xfId="5333"/>
    <cellStyle name="Assumptions Right Currency 4 4 2" xfId="6668"/>
    <cellStyle name="Assumptions Right Currency 4 5" xfId="5484"/>
    <cellStyle name="Assumptions Right Currency 4 5 2" xfId="6293"/>
    <cellStyle name="Assumptions Right Currency 4 6" xfId="9337"/>
    <cellStyle name="Assumptions Right Currency 5" xfId="2368"/>
    <cellStyle name="Assumptions Right Currency 5 2" xfId="4479"/>
    <cellStyle name="Assumptions Right Currency 5 2 2" xfId="8638"/>
    <cellStyle name="Assumptions Right Currency 5 3" xfId="5447"/>
    <cellStyle name="Assumptions Right Currency 5 3 2" xfId="7494"/>
    <cellStyle name="Assumptions Right Currency 5 4" xfId="6981"/>
    <cellStyle name="Assumptions Right Currency 6" xfId="2850"/>
    <cellStyle name="Assumptions Right Currency 6 2" xfId="3893"/>
    <cellStyle name="Assumptions Right Currency 6 2 2" xfId="8215"/>
    <cellStyle name="Assumptions Right Currency 6 3" xfId="5782"/>
    <cellStyle name="Assumptions Right Currency 6 3 2" xfId="8437"/>
    <cellStyle name="Assumptions Right Currency 6 4" xfId="9010"/>
    <cellStyle name="Assumptions Right Currency 7" xfId="3095"/>
    <cellStyle name="Assumptions Right Currency 7 2" xfId="4208"/>
    <cellStyle name="Assumptions Right Currency 7 2 2" xfId="8607"/>
    <cellStyle name="Assumptions Right Currency 7 3" xfId="5992"/>
    <cellStyle name="Assumptions Right Currency 7 3 2" xfId="9886"/>
    <cellStyle name="Assumptions Right Currency 7 4" xfId="8692"/>
    <cellStyle name="Assumptions Right Currency 8" xfId="2912"/>
    <cellStyle name="Assumptions Right Currency 8 2" xfId="4068"/>
    <cellStyle name="Assumptions Right Currency 8 2 2" xfId="9382"/>
    <cellStyle name="Assumptions Right Currency 8 3" xfId="5843"/>
    <cellStyle name="Assumptions Right Currency 8 3 2" xfId="7924"/>
    <cellStyle name="Assumptions Right Currency 8 4" xfId="6635"/>
    <cellStyle name="Assumptions Right Currency 9" xfId="2924"/>
    <cellStyle name="Assumptions Right Currency 9 2" xfId="3849"/>
    <cellStyle name="Assumptions Right Currency 9 2 2" xfId="6537"/>
    <cellStyle name="Assumptions Right Currency 9 3" xfId="5853"/>
    <cellStyle name="Assumptions Right Currency 9 3 2" xfId="6909"/>
    <cellStyle name="Assumptions Right Currency 9 4" xfId="7625"/>
    <cellStyle name="Assumptions Right Date" xfId="963"/>
    <cellStyle name="Assumptions Right Date 10" xfId="3029"/>
    <cellStyle name="Assumptions Right Date 10 2" xfId="3790"/>
    <cellStyle name="Assumptions Right Date 10 2 2" xfId="9102"/>
    <cellStyle name="Assumptions Right Date 10 3" xfId="5930"/>
    <cellStyle name="Assumptions Right Date 10 3 2" xfId="9824"/>
    <cellStyle name="Assumptions Right Date 10 4" xfId="8113"/>
    <cellStyle name="Assumptions Right Date 11" xfId="3399"/>
    <cellStyle name="Assumptions Right Date 11 2" xfId="4973"/>
    <cellStyle name="Assumptions Right Date 11 2 2" xfId="9375"/>
    <cellStyle name="Assumptions Right Date 11 3" xfId="8582"/>
    <cellStyle name="Assumptions Right Date 12" xfId="4245"/>
    <cellStyle name="Assumptions Right Date 12 2" xfId="9561"/>
    <cellStyle name="Assumptions Right Date 13" xfId="8106"/>
    <cellStyle name="Assumptions Right Date 2" xfId="964"/>
    <cellStyle name="Assumptions Right Date 2 10" xfId="3400"/>
    <cellStyle name="Assumptions Right Date 2 10 2" xfId="4974"/>
    <cellStyle name="Assumptions Right Date 2 10 2 2" xfId="9282"/>
    <cellStyle name="Assumptions Right Date 2 10 3" xfId="7070"/>
    <cellStyle name="Assumptions Right Date 2 11" xfId="4008"/>
    <cellStyle name="Assumptions Right Date 2 11 2" xfId="9242"/>
    <cellStyle name="Assumptions Right Date 2 12" xfId="6944"/>
    <cellStyle name="Assumptions Right Date 2 2" xfId="1725"/>
    <cellStyle name="Assumptions Right Date 2 2 10" xfId="3468"/>
    <cellStyle name="Assumptions Right Date 2 2 10 2" xfId="5038"/>
    <cellStyle name="Assumptions Right Date 2 2 10 2 2" xfId="7607"/>
    <cellStyle name="Assumptions Right Date 2 2 10 3" xfId="6933"/>
    <cellStyle name="Assumptions Right Date 2 2 11" xfId="4242"/>
    <cellStyle name="Assumptions Right Date 2 2 11 2" xfId="9531"/>
    <cellStyle name="Assumptions Right Date 2 2 12" xfId="7961"/>
    <cellStyle name="Assumptions Right Date 2 2 2" xfId="1577"/>
    <cellStyle name="Assumptions Right Date 2 2 2 10" xfId="9719"/>
    <cellStyle name="Assumptions Right Date 2 2 2 2" xfId="2430"/>
    <cellStyle name="Assumptions Right Date 2 2 2 2 2" xfId="2564"/>
    <cellStyle name="Assumptions Right Date 2 2 2 2 2 2" xfId="4841"/>
    <cellStyle name="Assumptions Right Date 2 2 2 2 2 2 2" xfId="9445"/>
    <cellStyle name="Assumptions Right Date 2 2 2 2 2 3" xfId="9201"/>
    <cellStyle name="Assumptions Right Date 2 2 2 2 3" xfId="4713"/>
    <cellStyle name="Assumptions Right Date 2 2 2 2 3 2" xfId="9619"/>
    <cellStyle name="Assumptions Right Date 2 2 2 2 4" xfId="7552"/>
    <cellStyle name="Assumptions Right Date 2 2 2 3" xfId="2107"/>
    <cellStyle name="Assumptions Right Date 2 2 2 3 2" xfId="3160"/>
    <cellStyle name="Assumptions Right Date 2 2 2 3 2 2" xfId="3576"/>
    <cellStyle name="Assumptions Right Date 2 2 2 3 2 2 2" xfId="9522"/>
    <cellStyle name="Assumptions Right Date 2 2 2 3 2 3" xfId="7895"/>
    <cellStyle name="Assumptions Right Date 2 2 2 3 3" xfId="4412"/>
    <cellStyle name="Assumptions Right Date 2 2 2 3 3 2" xfId="6590"/>
    <cellStyle name="Assumptions Right Date 2 2 2 3 4" xfId="5579"/>
    <cellStyle name="Assumptions Right Date 2 2 2 3 4 2" xfId="8482"/>
    <cellStyle name="Assumptions Right Date 2 2 2 3 5" xfId="8303"/>
    <cellStyle name="Assumptions Right Date 2 2 2 4" xfId="2167"/>
    <cellStyle name="Assumptions Right Date 2 2 2 4 2" xfId="4769"/>
    <cellStyle name="Assumptions Right Date 2 2 2 4 2 2" xfId="8862"/>
    <cellStyle name="Assumptions Right Date 2 2 2 4 3" xfId="5599"/>
    <cellStyle name="Assumptions Right Date 2 2 2 4 3 2" xfId="6647"/>
    <cellStyle name="Assumptions Right Date 2 2 2 4 4" xfId="9232"/>
    <cellStyle name="Assumptions Right Date 2 2 2 5" xfId="2882"/>
    <cellStyle name="Assumptions Right Date 2 2 2 5 2" xfId="3870"/>
    <cellStyle name="Assumptions Right Date 2 2 2 5 2 2" xfId="6960"/>
    <cellStyle name="Assumptions Right Date 2 2 2 5 3" xfId="5813"/>
    <cellStyle name="Assumptions Right Date 2 2 2 5 3 2" xfId="8224"/>
    <cellStyle name="Assumptions Right Date 2 2 2 5 4" xfId="6410"/>
    <cellStyle name="Assumptions Right Date 2 2 2 6" xfId="3241"/>
    <cellStyle name="Assumptions Right Date 2 2 2 6 2" xfId="4254"/>
    <cellStyle name="Assumptions Right Date 2 2 2 6 2 2" xfId="9401"/>
    <cellStyle name="Assumptions Right Date 2 2 2 6 3" xfId="6123"/>
    <cellStyle name="Assumptions Right Date 2 2 2 6 3 2" xfId="10017"/>
    <cellStyle name="Assumptions Right Date 2 2 2 6 4" xfId="8009"/>
    <cellStyle name="Assumptions Right Date 2 2 2 7" xfId="3066"/>
    <cellStyle name="Assumptions Right Date 2 2 2 7 2" xfId="4139"/>
    <cellStyle name="Assumptions Right Date 2 2 2 7 2 2" xfId="9613"/>
    <cellStyle name="Assumptions Right Date 2 2 2 7 3" xfId="5966"/>
    <cellStyle name="Assumptions Right Date 2 2 2 7 3 2" xfId="9860"/>
    <cellStyle name="Assumptions Right Date 2 2 2 7 4" xfId="9281"/>
    <cellStyle name="Assumptions Right Date 2 2 2 8" xfId="3430"/>
    <cellStyle name="Assumptions Right Date 2 2 2 8 2" xfId="5001"/>
    <cellStyle name="Assumptions Right Date 2 2 2 8 2 2" xfId="7491"/>
    <cellStyle name="Assumptions Right Date 2 2 2 8 3" xfId="7323"/>
    <cellStyle name="Assumptions Right Date 2 2 2 9" xfId="4634"/>
    <cellStyle name="Assumptions Right Date 2 2 2 9 2" xfId="9378"/>
    <cellStyle name="Assumptions Right Date 2 2 3" xfId="2194"/>
    <cellStyle name="Assumptions Right Date 2 2 3 2" xfId="2686"/>
    <cellStyle name="Assumptions Right Date 2 2 3 2 2" xfId="4077"/>
    <cellStyle name="Assumptions Right Date 2 2 3 2 2 2" xfId="9595"/>
    <cellStyle name="Assumptions Right Date 2 2 3 2 3" xfId="7733"/>
    <cellStyle name="Assumptions Right Date 2 2 3 3" xfId="4826"/>
    <cellStyle name="Assumptions Right Date 2 2 3 3 2" xfId="8691"/>
    <cellStyle name="Assumptions Right Date 2 2 3 4" xfId="5330"/>
    <cellStyle name="Assumptions Right Date 2 2 3 4 2" xfId="7120"/>
    <cellStyle name="Assumptions Right Date 2 2 3 5" xfId="5516"/>
    <cellStyle name="Assumptions Right Date 2 2 3 5 2" xfId="8104"/>
    <cellStyle name="Assumptions Right Date 2 2 3 6" xfId="6910"/>
    <cellStyle name="Assumptions Right Date 2 2 4" xfId="2135"/>
    <cellStyle name="Assumptions Right Date 2 2 4 2" xfId="4485"/>
    <cellStyle name="Assumptions Right Date 2 2 4 2 2" xfId="6475"/>
    <cellStyle name="Assumptions Right Date 2 2 4 3" xfId="5544"/>
    <cellStyle name="Assumptions Right Date 2 2 4 3 2" xfId="7771"/>
    <cellStyle name="Assumptions Right Date 2 2 4 4" xfId="7884"/>
    <cellStyle name="Assumptions Right Date 2 2 5" xfId="3157"/>
    <cellStyle name="Assumptions Right Date 2 2 5 2" xfId="3577"/>
    <cellStyle name="Assumptions Right Date 2 2 5 2 2" xfId="8628"/>
    <cellStyle name="Assumptions Right Date 2 2 5 3" xfId="6051"/>
    <cellStyle name="Assumptions Right Date 2 2 5 3 2" xfId="9945"/>
    <cellStyle name="Assumptions Right Date 2 2 5 4" xfId="6473"/>
    <cellStyle name="Assumptions Right Date 2 2 6" xfId="3136"/>
    <cellStyle name="Assumptions Right Date 2 2 6 2" xfId="3722"/>
    <cellStyle name="Assumptions Right Date 2 2 6 2 2" xfId="8602"/>
    <cellStyle name="Assumptions Right Date 2 2 6 3" xfId="6032"/>
    <cellStyle name="Assumptions Right Date 2 2 6 3 2" xfId="9926"/>
    <cellStyle name="Assumptions Right Date 2 2 6 4" xfId="8201"/>
    <cellStyle name="Assumptions Right Date 2 2 7" xfId="3020"/>
    <cellStyle name="Assumptions Right Date 2 2 7 2" xfId="3796"/>
    <cellStyle name="Assumptions Right Date 2 2 7 2 2" xfId="8509"/>
    <cellStyle name="Assumptions Right Date 2 2 7 3" xfId="5922"/>
    <cellStyle name="Assumptions Right Date 2 2 7 3 2" xfId="9816"/>
    <cellStyle name="Assumptions Right Date 2 2 7 4" xfId="7987"/>
    <cellStyle name="Assumptions Right Date 2 2 8" xfId="2883"/>
    <cellStyle name="Assumptions Right Date 2 2 8 2" xfId="3869"/>
    <cellStyle name="Assumptions Right Date 2 2 8 2 2" xfId="6581"/>
    <cellStyle name="Assumptions Right Date 2 2 8 3" xfId="5814"/>
    <cellStyle name="Assumptions Right Date 2 2 8 3 2" xfId="6326"/>
    <cellStyle name="Assumptions Right Date 2 2 8 4" xfId="9509"/>
    <cellStyle name="Assumptions Right Date 2 2 9" xfId="3081"/>
    <cellStyle name="Assumptions Right Date 2 2 9 2" xfId="3759"/>
    <cellStyle name="Assumptions Right Date 2 2 9 2 2" xfId="9623"/>
    <cellStyle name="Assumptions Right Date 2 2 9 3" xfId="5978"/>
    <cellStyle name="Assumptions Right Date 2 2 9 3 2" xfId="9872"/>
    <cellStyle name="Assumptions Right Date 2 2 9 4" xfId="9283"/>
    <cellStyle name="Assumptions Right Date 2 3" xfId="2158"/>
    <cellStyle name="Assumptions Right Date 2 3 2" xfId="2656"/>
    <cellStyle name="Assumptions Right Date 2 3 2 2" xfId="4480"/>
    <cellStyle name="Assumptions Right Date 2 3 2 2 2" xfId="6518"/>
    <cellStyle name="Assumptions Right Date 2 3 2 3" xfId="6315"/>
    <cellStyle name="Assumptions Right Date 2 3 3" xfId="4114"/>
    <cellStyle name="Assumptions Right Date 2 3 3 2" xfId="8992"/>
    <cellStyle name="Assumptions Right Date 2 3 4" xfId="5334"/>
    <cellStyle name="Assumptions Right Date 2 3 4 2" xfId="6529"/>
    <cellStyle name="Assumptions Right Date 2 3 5" xfId="5487"/>
    <cellStyle name="Assumptions Right Date 2 3 5 2" xfId="7266"/>
    <cellStyle name="Assumptions Right Date 2 3 6" xfId="8369"/>
    <cellStyle name="Assumptions Right Date 2 4" xfId="2096"/>
    <cellStyle name="Assumptions Right Date 2 4 2" xfId="4669"/>
    <cellStyle name="Assumptions Right Date 2 4 2 2" xfId="7115"/>
    <cellStyle name="Assumptions Right Date 2 4 3" xfId="5444"/>
    <cellStyle name="Assumptions Right Date 2 4 3 2" xfId="7986"/>
    <cellStyle name="Assumptions Right Date 2 4 4" xfId="6950"/>
    <cellStyle name="Assumptions Right Date 2 5" xfId="2847"/>
    <cellStyle name="Assumptions Right Date 2 5 2" xfId="3894"/>
    <cellStyle name="Assumptions Right Date 2 5 2 2" xfId="9552"/>
    <cellStyle name="Assumptions Right Date 2 5 3" xfId="5779"/>
    <cellStyle name="Assumptions Right Date 2 5 3 2" xfId="7589"/>
    <cellStyle name="Assumptions Right Date 2 5 4" xfId="7474"/>
    <cellStyle name="Assumptions Right Date 2 6" xfId="2815"/>
    <cellStyle name="Assumptions Right Date 2 6 2" xfId="3904"/>
    <cellStyle name="Assumptions Right Date 2 6 2 2" xfId="8877"/>
    <cellStyle name="Assumptions Right Date 2 6 3" xfId="5749"/>
    <cellStyle name="Assumptions Right Date 2 6 3 2" xfId="7302"/>
    <cellStyle name="Assumptions Right Date 2 6 4" xfId="9726"/>
    <cellStyle name="Assumptions Right Date 2 7" xfId="3123"/>
    <cellStyle name="Assumptions Right Date 2 7 2" xfId="3732"/>
    <cellStyle name="Assumptions Right Date 2 7 2 2" xfId="9652"/>
    <cellStyle name="Assumptions Right Date 2 7 3" xfId="6019"/>
    <cellStyle name="Assumptions Right Date 2 7 3 2" xfId="9913"/>
    <cellStyle name="Assumptions Right Date 2 7 4" xfId="7796"/>
    <cellStyle name="Assumptions Right Date 2 8" xfId="2866"/>
    <cellStyle name="Assumptions Right Date 2 8 2" xfId="3598"/>
    <cellStyle name="Assumptions Right Date 2 8 2 2" xfId="7887"/>
    <cellStyle name="Assumptions Right Date 2 8 3" xfId="5797"/>
    <cellStyle name="Assumptions Right Date 2 8 3 2" xfId="8081"/>
    <cellStyle name="Assumptions Right Date 2 8 4" xfId="6541"/>
    <cellStyle name="Assumptions Right Date 2 9" xfId="2970"/>
    <cellStyle name="Assumptions Right Date 2 9 2" xfId="3818"/>
    <cellStyle name="Assumptions Right Date 2 9 2 2" xfId="9359"/>
    <cellStyle name="Assumptions Right Date 2 9 3" xfId="5887"/>
    <cellStyle name="Assumptions Right Date 2 9 3 2" xfId="9781"/>
    <cellStyle name="Assumptions Right Date 2 9 4" xfId="7192"/>
    <cellStyle name="Assumptions Right Date 3" xfId="1724"/>
    <cellStyle name="Assumptions Right Date 3 10" xfId="3467"/>
    <cellStyle name="Assumptions Right Date 3 10 2" xfId="5037"/>
    <cellStyle name="Assumptions Right Date 3 10 2 2" xfId="9136"/>
    <cellStyle name="Assumptions Right Date 3 10 3" xfId="6363"/>
    <cellStyle name="Assumptions Right Date 3 11" xfId="3632"/>
    <cellStyle name="Assumptions Right Date 3 11 2" xfId="9104"/>
    <cellStyle name="Assumptions Right Date 3 12" xfId="6417"/>
    <cellStyle name="Assumptions Right Date 3 2" xfId="1578"/>
    <cellStyle name="Assumptions Right Date 3 2 10" xfId="8695"/>
    <cellStyle name="Assumptions Right Date 3 2 2" xfId="2431"/>
    <cellStyle name="Assumptions Right Date 3 2 2 2" xfId="2565"/>
    <cellStyle name="Assumptions Right Date 3 2 2 2 2" xfId="4646"/>
    <cellStyle name="Assumptions Right Date 3 2 2 2 2 2" xfId="9703"/>
    <cellStyle name="Assumptions Right Date 3 2 2 2 3" xfId="8615"/>
    <cellStyle name="Assumptions Right Date 3 2 2 3" xfId="4449"/>
    <cellStyle name="Assumptions Right Date 3 2 2 3 2" xfId="6323"/>
    <cellStyle name="Assumptions Right Date 3 2 2 4" xfId="7147"/>
    <cellStyle name="Assumptions Right Date 3 2 3" xfId="2221"/>
    <cellStyle name="Assumptions Right Date 3 2 3 2" xfId="2983"/>
    <cellStyle name="Assumptions Right Date 3 2 3 2 2" xfId="4148"/>
    <cellStyle name="Assumptions Right Date 3 2 3 2 2 2" xfId="9008"/>
    <cellStyle name="Assumptions Right Date 3 2 3 2 3" xfId="9343"/>
    <cellStyle name="Assumptions Right Date 3 2 3 3" xfId="4864"/>
    <cellStyle name="Assumptions Right Date 3 2 3 3 2" xfId="7443"/>
    <cellStyle name="Assumptions Right Date 3 2 3 4" xfId="5627"/>
    <cellStyle name="Assumptions Right Date 3 2 3 4 2" xfId="6843"/>
    <cellStyle name="Assumptions Right Date 3 2 3 5" xfId="7824"/>
    <cellStyle name="Assumptions Right Date 3 2 4" xfId="2203"/>
    <cellStyle name="Assumptions Right Date 3 2 4 2" xfId="4728"/>
    <cellStyle name="Assumptions Right Date 3 2 4 2 2" xfId="9482"/>
    <cellStyle name="Assumptions Right Date 3 2 4 3" xfId="5610"/>
    <cellStyle name="Assumptions Right Date 3 2 4 3 2" xfId="6434"/>
    <cellStyle name="Assumptions Right Date 3 2 4 4" xfId="6615"/>
    <cellStyle name="Assumptions Right Date 3 2 5" xfId="3194"/>
    <cellStyle name="Assumptions Right Date 3 2 5 2" xfId="3570"/>
    <cellStyle name="Assumptions Right Date 3 2 5 2 2" xfId="9731"/>
    <cellStyle name="Assumptions Right Date 3 2 5 3" xfId="6083"/>
    <cellStyle name="Assumptions Right Date 3 2 5 3 2" xfId="9977"/>
    <cellStyle name="Assumptions Right Date 3 2 5 4" xfId="6550"/>
    <cellStyle name="Assumptions Right Date 3 2 6" xfId="3310"/>
    <cellStyle name="Assumptions Right Date 3 2 6 2" xfId="3544"/>
    <cellStyle name="Assumptions Right Date 3 2 6 2 2" xfId="6401"/>
    <cellStyle name="Assumptions Right Date 3 2 6 3" xfId="6179"/>
    <cellStyle name="Assumptions Right Date 3 2 6 3 2" xfId="10073"/>
    <cellStyle name="Assumptions Right Date 3 2 6 4" xfId="9691"/>
    <cellStyle name="Assumptions Right Date 3 2 7" xfId="2804"/>
    <cellStyle name="Assumptions Right Date 3 2 7 2" xfId="3912"/>
    <cellStyle name="Assumptions Right Date 3 2 7 2 2" xfId="9701"/>
    <cellStyle name="Assumptions Right Date 3 2 7 3" xfId="5738"/>
    <cellStyle name="Assumptions Right Date 3 2 7 3 2" xfId="6330"/>
    <cellStyle name="Assumptions Right Date 3 2 7 4" xfId="6505"/>
    <cellStyle name="Assumptions Right Date 3 2 8" xfId="3431"/>
    <cellStyle name="Assumptions Right Date 3 2 8 2" xfId="5002"/>
    <cellStyle name="Assumptions Right Date 3 2 8 2 2" xfId="7705"/>
    <cellStyle name="Assumptions Right Date 3 2 8 3" xfId="8597"/>
    <cellStyle name="Assumptions Right Date 3 2 9" xfId="3997"/>
    <cellStyle name="Assumptions Right Date 3 2 9 2" xfId="6344"/>
    <cellStyle name="Assumptions Right Date 3 3" xfId="2302"/>
    <cellStyle name="Assumptions Right Date 3 3 2" xfId="2685"/>
    <cellStyle name="Assumptions Right Date 3 3 2 2" xfId="4172"/>
    <cellStyle name="Assumptions Right Date 3 3 2 2 2" xfId="8688"/>
    <cellStyle name="Assumptions Right Date 3 3 2 3" xfId="7841"/>
    <cellStyle name="Assumptions Right Date 3 3 3" xfId="4621"/>
    <cellStyle name="Assumptions Right Date 3 3 3 2" xfId="8428"/>
    <cellStyle name="Assumptions Right Date 3 3 4" xfId="5130"/>
    <cellStyle name="Assumptions Right Date 3 3 4 2" xfId="8711"/>
    <cellStyle name="Assumptions Right Date 3 3 5" xfId="5515"/>
    <cellStyle name="Assumptions Right Date 3 3 5 2" xfId="8034"/>
    <cellStyle name="Assumptions Right Date 3 3 6" xfId="7663"/>
    <cellStyle name="Assumptions Right Date 3 4" xfId="2334"/>
    <cellStyle name="Assumptions Right Date 3 4 2" xfId="4822"/>
    <cellStyle name="Assumptions Right Date 3 4 2 2" xfId="9025"/>
    <cellStyle name="Assumptions Right Date 3 4 3" xfId="5543"/>
    <cellStyle name="Assumptions Right Date 3 4 3 2" xfId="7913"/>
    <cellStyle name="Assumptions Right Date 3 4 4" xfId="6996"/>
    <cellStyle name="Assumptions Right Date 3 5" xfId="3211"/>
    <cellStyle name="Assumptions Right Date 3 5 2" xfId="3698"/>
    <cellStyle name="Assumptions Right Date 3 5 2 2" xfId="9587"/>
    <cellStyle name="Assumptions Right Date 3 5 3" xfId="6099"/>
    <cellStyle name="Assumptions Right Date 3 5 3 2" xfId="9993"/>
    <cellStyle name="Assumptions Right Date 3 5 4" xfId="7668"/>
    <cellStyle name="Assumptions Right Date 3 6" xfId="3056"/>
    <cellStyle name="Assumptions Right Date 3 6 2" xfId="3769"/>
    <cellStyle name="Assumptions Right Date 3 6 2 2" xfId="9228"/>
    <cellStyle name="Assumptions Right Date 3 6 3" xfId="5956"/>
    <cellStyle name="Assumptions Right Date 3 6 3 2" xfId="9850"/>
    <cellStyle name="Assumptions Right Date 3 6 4" xfId="6418"/>
    <cellStyle name="Assumptions Right Date 3 7" xfId="3278"/>
    <cellStyle name="Assumptions Right Date 3 7 2" xfId="3681"/>
    <cellStyle name="Assumptions Right Date 3 7 2 2" xfId="9078"/>
    <cellStyle name="Assumptions Right Date 3 7 3" xfId="6152"/>
    <cellStyle name="Assumptions Right Date 3 7 3 2" xfId="10046"/>
    <cellStyle name="Assumptions Right Date 3 7 4" xfId="7569"/>
    <cellStyle name="Assumptions Right Date 3 8" xfId="2966"/>
    <cellStyle name="Assumptions Right Date 3 8 2" xfId="3822"/>
    <cellStyle name="Assumptions Right Date 3 8 2 2" xfId="9321"/>
    <cellStyle name="Assumptions Right Date 3 8 3" xfId="5883"/>
    <cellStyle name="Assumptions Right Date 3 8 3 2" xfId="9777"/>
    <cellStyle name="Assumptions Right Date 3 8 4" xfId="9328"/>
    <cellStyle name="Assumptions Right Date 3 9" xfId="3171"/>
    <cellStyle name="Assumptions Right Date 3 9 2" xfId="4055"/>
    <cellStyle name="Assumptions Right Date 3 9 2 2" xfId="7007"/>
    <cellStyle name="Assumptions Right Date 3 9 3" xfId="6063"/>
    <cellStyle name="Assumptions Right Date 3 9 3 2" xfId="9957"/>
    <cellStyle name="Assumptions Right Date 3 9 4" xfId="6414"/>
    <cellStyle name="Assumptions Right Date 4" xfId="2242"/>
    <cellStyle name="Assumptions Right Date 4 2" xfId="2655"/>
    <cellStyle name="Assumptions Right Date 4 2 2" xfId="4801"/>
    <cellStyle name="Assumptions Right Date 4 2 2 2" xfId="7257"/>
    <cellStyle name="Assumptions Right Date 4 2 3" xfId="6502"/>
    <cellStyle name="Assumptions Right Date 4 3" xfId="4699"/>
    <cellStyle name="Assumptions Right Date 4 3 2" xfId="8272"/>
    <cellStyle name="Assumptions Right Date 4 4" xfId="5307"/>
    <cellStyle name="Assumptions Right Date 4 4 2" xfId="6318"/>
    <cellStyle name="Assumptions Right Date 4 5" xfId="5486"/>
    <cellStyle name="Assumptions Right Date 4 5 2" xfId="7584"/>
    <cellStyle name="Assumptions Right Date 4 6" xfId="9338"/>
    <cellStyle name="Assumptions Right Date 5" xfId="2357"/>
    <cellStyle name="Assumptions Right Date 5 2" xfId="4762"/>
    <cellStyle name="Assumptions Right Date 5 2 2" xfId="8871"/>
    <cellStyle name="Assumptions Right Date 5 3" xfId="5445"/>
    <cellStyle name="Assumptions Right Date 5 3 2" xfId="8015"/>
    <cellStyle name="Assumptions Right Date 5 4" xfId="8255"/>
    <cellStyle name="Assumptions Right Date 6" xfId="2848"/>
    <cellStyle name="Assumptions Right Date 6 2" xfId="4160"/>
    <cellStyle name="Assumptions Right Date 6 2 2" xfId="9539"/>
    <cellStyle name="Assumptions Right Date 6 3" xfId="5780"/>
    <cellStyle name="Assumptions Right Date 6 3 2" xfId="7742"/>
    <cellStyle name="Assumptions Right Date 6 4" xfId="6527"/>
    <cellStyle name="Assumptions Right Date 7" xfId="3097"/>
    <cellStyle name="Assumptions Right Date 7 2" xfId="3580"/>
    <cellStyle name="Assumptions Right Date 7 2 2" xfId="8885"/>
    <cellStyle name="Assumptions Right Date 7 3" xfId="5994"/>
    <cellStyle name="Assumptions Right Date 7 3 2" xfId="9888"/>
    <cellStyle name="Assumptions Right Date 7 4" xfId="8994"/>
    <cellStyle name="Assumptions Right Date 8" xfId="3122"/>
    <cellStyle name="Assumptions Right Date 8 2" xfId="3733"/>
    <cellStyle name="Assumptions Right Date 8 2 2" xfId="6286"/>
    <cellStyle name="Assumptions Right Date 8 3" xfId="6018"/>
    <cellStyle name="Assumptions Right Date 8 3 2" xfId="9912"/>
    <cellStyle name="Assumptions Right Date 8 4" xfId="8338"/>
    <cellStyle name="Assumptions Right Date 9" xfId="2965"/>
    <cellStyle name="Assumptions Right Date 9 2" xfId="3823"/>
    <cellStyle name="Assumptions Right Date 9 2 2" xfId="8661"/>
    <cellStyle name="Assumptions Right Date 9 3" xfId="5882"/>
    <cellStyle name="Assumptions Right Date 9 3 2" xfId="9776"/>
    <cellStyle name="Assumptions Right Date 9 4" xfId="7743"/>
    <cellStyle name="Assumptions Right Multiple" xfId="965"/>
    <cellStyle name="Assumptions Right Multiple 10" xfId="3336"/>
    <cellStyle name="Assumptions Right Multiple 10 2" xfId="4927"/>
    <cellStyle name="Assumptions Right Multiple 10 2 2" xfId="9157"/>
    <cellStyle name="Assumptions Right Multiple 10 3" xfId="6203"/>
    <cellStyle name="Assumptions Right Multiple 10 3 2" xfId="10097"/>
    <cellStyle name="Assumptions Right Multiple 10 4" xfId="6422"/>
    <cellStyle name="Assumptions Right Multiple 11" xfId="3401"/>
    <cellStyle name="Assumptions Right Multiple 11 2" xfId="4975"/>
    <cellStyle name="Assumptions Right Multiple 11 2 2" xfId="8860"/>
    <cellStyle name="Assumptions Right Multiple 11 3" xfId="8537"/>
    <cellStyle name="Assumptions Right Multiple 12" xfId="4007"/>
    <cellStyle name="Assumptions Right Multiple 12 2" xfId="9405"/>
    <cellStyle name="Assumptions Right Multiple 13" xfId="7639"/>
    <cellStyle name="Assumptions Right Multiple 2" xfId="966"/>
    <cellStyle name="Assumptions Right Multiple 2 10" xfId="3402"/>
    <cellStyle name="Assumptions Right Multiple 2 10 2" xfId="4976"/>
    <cellStyle name="Assumptions Right Multiple 2 10 2 2" xfId="8654"/>
    <cellStyle name="Assumptions Right Multiple 2 10 3" xfId="8721"/>
    <cellStyle name="Assumptions Right Multiple 2 11" xfId="4006"/>
    <cellStyle name="Assumptions Right Multiple 2 11 2" xfId="8370"/>
    <cellStyle name="Assumptions Right Multiple 2 12" xfId="9155"/>
    <cellStyle name="Assumptions Right Multiple 2 2" xfId="1727"/>
    <cellStyle name="Assumptions Right Multiple 2 2 10" xfId="3470"/>
    <cellStyle name="Assumptions Right Multiple 2 2 10 2" xfId="5040"/>
    <cellStyle name="Assumptions Right Multiple 2 2 10 2 2" xfId="7562"/>
    <cellStyle name="Assumptions Right Multiple 2 2 10 3" xfId="6680"/>
    <cellStyle name="Assumptions Right Multiple 2 2 11" xfId="3630"/>
    <cellStyle name="Assumptions Right Multiple 2 2 11 2" xfId="7558"/>
    <cellStyle name="Assumptions Right Multiple 2 2 12" xfId="6655"/>
    <cellStyle name="Assumptions Right Multiple 2 2 2" xfId="1907"/>
    <cellStyle name="Assumptions Right Multiple 2 2 2 10" xfId="9349"/>
    <cellStyle name="Assumptions Right Multiple 2 2 2 2" xfId="2517"/>
    <cellStyle name="Assumptions Right Multiple 2 2 2 2 2" xfId="2618"/>
    <cellStyle name="Assumptions Right Multiple 2 2 2 2 2 2" xfId="4786"/>
    <cellStyle name="Assumptions Right Multiple 2 2 2 2 2 2 2" xfId="7326"/>
    <cellStyle name="Assumptions Right Multiple 2 2 2 2 2 3" xfId="7631"/>
    <cellStyle name="Assumptions Right Multiple 2 2 2 2 3" xfId="4434"/>
    <cellStyle name="Assumptions Right Multiple 2 2 2 2 3 2" xfId="9664"/>
    <cellStyle name="Assumptions Right Multiple 2 2 2 2 4" xfId="7545"/>
    <cellStyle name="Assumptions Right Multiple 2 2 2 3" xfId="2098"/>
    <cellStyle name="Assumptions Right Multiple 2 2 2 3 2" xfId="3249"/>
    <cellStyle name="Assumptions Right Multiple 2 2 2 3 2 2" xfId="4312"/>
    <cellStyle name="Assumptions Right Multiple 2 2 2 3 2 2 2" xfId="8283"/>
    <cellStyle name="Assumptions Right Multiple 2 2 2 3 2 3" xfId="6853"/>
    <cellStyle name="Assumptions Right Multiple 2 2 2 3 3" xfId="4611"/>
    <cellStyle name="Assumptions Right Multiple 2 2 2 3 3 2" xfId="6508"/>
    <cellStyle name="Assumptions Right Multiple 2 2 2 3 4" xfId="5574"/>
    <cellStyle name="Assumptions Right Multiple 2 2 2 3 4 2" xfId="6435"/>
    <cellStyle name="Assumptions Right Multiple 2 2 2 3 5" xfId="9251"/>
    <cellStyle name="Assumptions Right Multiple 2 2 2 4" xfId="2267"/>
    <cellStyle name="Assumptions Right Multiple 2 2 2 4 2" xfId="4624"/>
    <cellStyle name="Assumptions Right Multiple 2 2 2 4 2 2" xfId="7026"/>
    <cellStyle name="Assumptions Right Multiple 2 2 2 4 3" xfId="5641"/>
    <cellStyle name="Assumptions Right Multiple 2 2 2 4 3 2" xfId="7101"/>
    <cellStyle name="Assumptions Right Multiple 2 2 2 4 4" xfId="9268"/>
    <cellStyle name="Assumptions Right Multiple 2 2 2 5" xfId="2989"/>
    <cellStyle name="Assumptions Right Multiple 2 2 2 5 2" xfId="4147"/>
    <cellStyle name="Assumptions Right Multiple 2 2 2 5 2 2" xfId="8621"/>
    <cellStyle name="Assumptions Right Multiple 2 2 2 5 3" xfId="5893"/>
    <cellStyle name="Assumptions Right Multiple 2 2 2 5 3 2" xfId="9787"/>
    <cellStyle name="Assumptions Right Multiple 2 2 2 5 4" xfId="9060"/>
    <cellStyle name="Assumptions Right Multiple 2 2 2 6" xfId="2981"/>
    <cellStyle name="Assumptions Right Multiple 2 2 2 6 2" xfId="4094"/>
    <cellStyle name="Assumptions Right Multiple 2 2 2 6 2 2" xfId="8656"/>
    <cellStyle name="Assumptions Right Multiple 2 2 2 6 3" xfId="5889"/>
    <cellStyle name="Assumptions Right Multiple 2 2 2 6 3 2" xfId="9783"/>
    <cellStyle name="Assumptions Right Multiple 2 2 2 6 4" xfId="9308"/>
    <cellStyle name="Assumptions Right Multiple 2 2 2 7" xfId="3315"/>
    <cellStyle name="Assumptions Right Multiple 2 2 2 7 2" xfId="3540"/>
    <cellStyle name="Assumptions Right Multiple 2 2 2 7 2 2" xfId="9079"/>
    <cellStyle name="Assumptions Right Multiple 2 2 2 7 3" xfId="6183"/>
    <cellStyle name="Assumptions Right Multiple 2 2 2 7 3 2" xfId="10077"/>
    <cellStyle name="Assumptions Right Multiple 2 2 2 7 4" xfId="8349"/>
    <cellStyle name="Assumptions Right Multiple 2 2 2 8" xfId="3510"/>
    <cellStyle name="Assumptions Right Multiple 2 2 2 8 2" xfId="5080"/>
    <cellStyle name="Assumptions Right Multiple 2 2 2 8 2 2" xfId="9101"/>
    <cellStyle name="Assumptions Right Multiple 2 2 2 8 3" xfId="7379"/>
    <cellStyle name="Assumptions Right Multiple 2 2 2 9" xfId="4290"/>
    <cellStyle name="Assumptions Right Multiple 2 2 2 9 2" xfId="9129"/>
    <cellStyle name="Assumptions Right Multiple 2 2 3" xfId="2296"/>
    <cellStyle name="Assumptions Right Multiple 2 2 3 2" xfId="2688"/>
    <cellStyle name="Assumptions Right Multiple 2 2 3 2 2" xfId="4171"/>
    <cellStyle name="Assumptions Right Multiple 2 2 3 2 2 2" xfId="9009"/>
    <cellStyle name="Assumptions Right Multiple 2 2 3 2 3" xfId="6308"/>
    <cellStyle name="Assumptions Right Multiple 2 2 3 3" xfId="4760"/>
    <cellStyle name="Assumptions Right Multiple 2 2 3 3 2" xfId="6566"/>
    <cellStyle name="Assumptions Right Multiple 2 2 3 4" xfId="5094"/>
    <cellStyle name="Assumptions Right Multiple 2 2 3 4 2" xfId="9750"/>
    <cellStyle name="Assumptions Right Multiple 2 2 3 5" xfId="5518"/>
    <cellStyle name="Assumptions Right Multiple 2 2 3 5 2" xfId="7468"/>
    <cellStyle name="Assumptions Right Multiple 2 2 3 6" xfId="7025"/>
    <cellStyle name="Assumptions Right Multiple 2 2 4" xfId="2256"/>
    <cellStyle name="Assumptions Right Multiple 2 2 4 2" xfId="4816"/>
    <cellStyle name="Assumptions Right Multiple 2 2 4 2 2" xfId="6876"/>
    <cellStyle name="Assumptions Right Multiple 2 2 4 3" xfId="5546"/>
    <cellStyle name="Assumptions Right Multiple 2 2 4 3 2" xfId="8232"/>
    <cellStyle name="Assumptions Right Multiple 2 2 4 4" xfId="7006"/>
    <cellStyle name="Assumptions Right Multiple 2 2 5" xfId="3210"/>
    <cellStyle name="Assumptions Right Multiple 2 2 5 2" xfId="4049"/>
    <cellStyle name="Assumptions Right Multiple 2 2 5 2 2" xfId="9760"/>
    <cellStyle name="Assumptions Right Multiple 2 2 5 3" xfId="6098"/>
    <cellStyle name="Assumptions Right Multiple 2 2 5 3 2" xfId="9992"/>
    <cellStyle name="Assumptions Right Multiple 2 2 5 4" xfId="6824"/>
    <cellStyle name="Assumptions Right Multiple 2 2 6" xfId="3057"/>
    <cellStyle name="Assumptions Right Multiple 2 2 6 2" xfId="3768"/>
    <cellStyle name="Assumptions Right Multiple 2 2 6 2 2" xfId="9406"/>
    <cellStyle name="Assumptions Right Multiple 2 2 6 3" xfId="5957"/>
    <cellStyle name="Assumptions Right Multiple 2 2 6 3 2" xfId="9851"/>
    <cellStyle name="Assumptions Right Multiple 2 2 6 4" xfId="6912"/>
    <cellStyle name="Assumptions Right Multiple 2 2 7" xfId="3233"/>
    <cellStyle name="Assumptions Right Multiple 2 2 7 2" xfId="3693"/>
    <cellStyle name="Assumptions Right Multiple 2 2 7 2 2" xfId="6240"/>
    <cellStyle name="Assumptions Right Multiple 2 2 7 3" xfId="6115"/>
    <cellStyle name="Assumptions Right Multiple 2 2 7 3 2" xfId="10009"/>
    <cellStyle name="Assumptions Right Multiple 2 2 7 4" xfId="7758"/>
    <cellStyle name="Assumptions Right Multiple 2 2 8" xfId="2962"/>
    <cellStyle name="Assumptions Right Multiple 2 2 8 2" xfId="3826"/>
    <cellStyle name="Assumptions Right Multiple 2 2 8 2 2" xfId="8091"/>
    <cellStyle name="Assumptions Right Multiple 2 2 8 3" xfId="5879"/>
    <cellStyle name="Assumptions Right Multiple 2 2 8 3 2" xfId="9773"/>
    <cellStyle name="Assumptions Right Multiple 2 2 8 4" xfId="6639"/>
    <cellStyle name="Assumptions Right Multiple 2 2 9" xfId="3264"/>
    <cellStyle name="Assumptions Right Multiple 2 2 9 2" xfId="4310"/>
    <cellStyle name="Assumptions Right Multiple 2 2 9 2 2" xfId="8868"/>
    <cellStyle name="Assumptions Right Multiple 2 2 9 3" xfId="6139"/>
    <cellStyle name="Assumptions Right Multiple 2 2 9 3 2" xfId="10033"/>
    <cellStyle name="Assumptions Right Multiple 2 2 9 4" xfId="6431"/>
    <cellStyle name="Assumptions Right Multiple 2 3" xfId="2240"/>
    <cellStyle name="Assumptions Right Multiple 2 3 2" xfId="2658"/>
    <cellStyle name="Assumptions Right Multiple 2 3 2 2" xfId="4486"/>
    <cellStyle name="Assumptions Right Multiple 2 3 2 2 2" xfId="6828"/>
    <cellStyle name="Assumptions Right Multiple 2 3 2 3" xfId="7051"/>
    <cellStyle name="Assumptions Right Multiple 2 3 3" xfId="4442"/>
    <cellStyle name="Assumptions Right Multiple 2 3 3 2" xfId="8731"/>
    <cellStyle name="Assumptions Right Multiple 2 3 4" xfId="5182"/>
    <cellStyle name="Assumptions Right Multiple 2 3 4 2" xfId="8322"/>
    <cellStyle name="Assumptions Right Multiple 2 3 5" xfId="5489"/>
    <cellStyle name="Assumptions Right Multiple 2 3 5 2" xfId="8007"/>
    <cellStyle name="Assumptions Right Multiple 2 3 6" xfId="7074"/>
    <cellStyle name="Assumptions Right Multiple 2 4" xfId="2355"/>
    <cellStyle name="Assumptions Right Multiple 2 4 2" xfId="4497"/>
    <cellStyle name="Assumptions Right Multiple 2 4 2 2" xfId="9261"/>
    <cellStyle name="Assumptions Right Multiple 2 4 3" xfId="5442"/>
    <cellStyle name="Assumptions Right Multiple 2 4 3 2" xfId="6865"/>
    <cellStyle name="Assumptions Right Multiple 2 4 4" xfId="8407"/>
    <cellStyle name="Assumptions Right Multiple 2 5" xfId="2845"/>
    <cellStyle name="Assumptions Right Multiple 2 5 2" xfId="4161"/>
    <cellStyle name="Assumptions Right Multiple 2 5 2 2" xfId="7278"/>
    <cellStyle name="Assumptions Right Multiple 2 5 3" xfId="5777"/>
    <cellStyle name="Assumptions Right Multiple 2 5 3 2" xfId="7825"/>
    <cellStyle name="Assumptions Right Multiple 2 5 4" xfId="8988"/>
    <cellStyle name="Assumptions Right Multiple 2 6" xfId="2817"/>
    <cellStyle name="Assumptions Right Multiple 2 6 2" xfId="4167"/>
    <cellStyle name="Assumptions Right Multiple 2 6 2 2" xfId="9061"/>
    <cellStyle name="Assumptions Right Multiple 2 6 3" xfId="5751"/>
    <cellStyle name="Assumptions Right Multiple 2 6 3 2" xfId="7808"/>
    <cellStyle name="Assumptions Right Multiple 2 6 4" xfId="8502"/>
    <cellStyle name="Assumptions Right Multiple 2 7" xfId="2843"/>
    <cellStyle name="Assumptions Right Multiple 2 7 2" xfId="3895"/>
    <cellStyle name="Assumptions Right Multiple 2 7 2 2" xfId="8636"/>
    <cellStyle name="Assumptions Right Multiple 2 7 3" xfId="5775"/>
    <cellStyle name="Assumptions Right Multiple 2 7 3 2" xfId="7499"/>
    <cellStyle name="Assumptions Right Multiple 2 7 4" xfId="7577"/>
    <cellStyle name="Assumptions Right Multiple 2 8" xfId="3298"/>
    <cellStyle name="Assumptions Right Multiple 2 8 2" xfId="3554"/>
    <cellStyle name="Assumptions Right Multiple 2 8 2 2" xfId="7871"/>
    <cellStyle name="Assumptions Right Multiple 2 8 3" xfId="6167"/>
    <cellStyle name="Assumptions Right Multiple 2 8 3 2" xfId="10061"/>
    <cellStyle name="Assumptions Right Multiple 2 8 4" xfId="8851"/>
    <cellStyle name="Assumptions Right Multiple 2 9" xfId="3148"/>
    <cellStyle name="Assumptions Right Multiple 2 9 2" xfId="3717"/>
    <cellStyle name="Assumptions Right Multiple 2 9 2 2" xfId="8402"/>
    <cellStyle name="Assumptions Right Multiple 2 9 3" xfId="6042"/>
    <cellStyle name="Assumptions Right Multiple 2 9 3 2" xfId="9936"/>
    <cellStyle name="Assumptions Right Multiple 2 9 4" xfId="8064"/>
    <cellStyle name="Assumptions Right Multiple 3" xfId="1726"/>
    <cellStyle name="Assumptions Right Multiple 3 10" xfId="3469"/>
    <cellStyle name="Assumptions Right Multiple 3 10 2" xfId="5039"/>
    <cellStyle name="Assumptions Right Multiple 3 10 2 2" xfId="9607"/>
    <cellStyle name="Assumptions Right Multiple 3 10 3" xfId="9679"/>
    <cellStyle name="Assumptions Right Multiple 3 11" xfId="3631"/>
    <cellStyle name="Assumptions Right Multiple 3 11 2" xfId="8284"/>
    <cellStyle name="Assumptions Right Multiple 3 12" xfId="6285"/>
    <cellStyle name="Assumptions Right Multiple 3 2" xfId="1752"/>
    <cellStyle name="Assumptions Right Multiple 3 2 10" xfId="8159"/>
    <cellStyle name="Assumptions Right Multiple 3 2 2" xfId="2467"/>
    <cellStyle name="Assumptions Right Multiple 3 2 2 2" xfId="2590"/>
    <cellStyle name="Assumptions Right Multiple 3 2 2 2 2" xfId="4456"/>
    <cellStyle name="Assumptions Right Multiple 3 2 2 2 2 2" xfId="8183"/>
    <cellStyle name="Assumptions Right Multiple 3 2 2 2 3" xfId="7934"/>
    <cellStyle name="Assumptions Right Multiple 3 2 2 3" xfId="4867"/>
    <cellStyle name="Assumptions Right Multiple 3 2 2 3 2" xfId="7042"/>
    <cellStyle name="Assumptions Right Multiple 3 2 2 4" xfId="7993"/>
    <cellStyle name="Assumptions Right Multiple 3 2 3" xfId="2188"/>
    <cellStyle name="Assumptions Right Multiple 3 2 3 2" xfId="2779"/>
    <cellStyle name="Assumptions Right Multiple 3 2 3 2 2" xfId="3933"/>
    <cellStyle name="Assumptions Right Multiple 3 2 3 2 2 2" xfId="8633"/>
    <cellStyle name="Assumptions Right Multiple 3 2 3 2 3" xfId="6269"/>
    <cellStyle name="Assumptions Right Multiple 3 2 3 3" xfId="4590"/>
    <cellStyle name="Assumptions Right Multiple 3 2 3 3 2" xfId="9745"/>
    <cellStyle name="Assumptions Right Multiple 3 2 3 4" xfId="5605"/>
    <cellStyle name="Assumptions Right Multiple 3 2 3 4 2" xfId="7419"/>
    <cellStyle name="Assumptions Right Multiple 3 2 3 5" xfId="9215"/>
    <cellStyle name="Assumptions Right Multiple 3 2 4" xfId="2345"/>
    <cellStyle name="Assumptions Right Multiple 3 2 4 2" xfId="3972"/>
    <cellStyle name="Assumptions Right Multiple 3 2 4 2 2" xfId="7244"/>
    <cellStyle name="Assumptions Right Multiple 3 2 4 3" xfId="5674"/>
    <cellStyle name="Assumptions Right Multiple 3 2 4 3 2" xfId="6610"/>
    <cellStyle name="Assumptions Right Multiple 3 2 4 4" xfId="6540"/>
    <cellStyle name="Assumptions Right Multiple 3 2 5" xfId="2807"/>
    <cellStyle name="Assumptions Right Multiple 3 2 5 2" xfId="3909"/>
    <cellStyle name="Assumptions Right Multiple 3 2 5 2 2" xfId="9000"/>
    <cellStyle name="Assumptions Right Multiple 3 2 5 3" xfId="5741"/>
    <cellStyle name="Assumptions Right Multiple 3 2 5 3 2" xfId="6369"/>
    <cellStyle name="Assumptions Right Multiple 3 2 5 4" xfId="9198"/>
    <cellStyle name="Assumptions Right Multiple 3 2 6" xfId="3027"/>
    <cellStyle name="Assumptions Right Multiple 3 2 6 2" xfId="3586"/>
    <cellStyle name="Assumptions Right Multiple 3 2 6 2 2" xfId="6617"/>
    <cellStyle name="Assumptions Right Multiple 3 2 6 3" xfId="5928"/>
    <cellStyle name="Assumptions Right Multiple 3 2 6 3 2" xfId="9822"/>
    <cellStyle name="Assumptions Right Multiple 3 2 6 4" xfId="7233"/>
    <cellStyle name="Assumptions Right Multiple 3 2 7" xfId="3155"/>
    <cellStyle name="Assumptions Right Multiple 3 2 7 2" xfId="4203"/>
    <cellStyle name="Assumptions Right Multiple 3 2 7 2 2" xfId="7561"/>
    <cellStyle name="Assumptions Right Multiple 3 2 7 3" xfId="6049"/>
    <cellStyle name="Assumptions Right Multiple 3 2 7 3 2" xfId="9943"/>
    <cellStyle name="Assumptions Right Multiple 3 2 7 4" xfId="7151"/>
    <cellStyle name="Assumptions Right Multiple 3 2 8" xfId="3481"/>
    <cellStyle name="Assumptions Right Multiple 3 2 8 2" xfId="5051"/>
    <cellStyle name="Assumptions Right Multiple 3 2 8 2 2" xfId="7541"/>
    <cellStyle name="Assumptions Right Multiple 3 2 8 3" xfId="9410"/>
    <cellStyle name="Assumptions Right Multiple 3 2 9" xfId="4069"/>
    <cellStyle name="Assumptions Right Multiple 3 2 9 2" xfId="9287"/>
    <cellStyle name="Assumptions Right Multiple 3 3" xfId="2320"/>
    <cellStyle name="Assumptions Right Multiple 3 3 2" xfId="2687"/>
    <cellStyle name="Assumptions Right Multiple 3 3 2 2" xfId="3962"/>
    <cellStyle name="Assumptions Right Multiple 3 3 2 2 2" xfId="9178"/>
    <cellStyle name="Assumptions Right Multiple 3 3 2 3" xfId="6666"/>
    <cellStyle name="Assumptions Right Multiple 3 3 3" xfId="4743"/>
    <cellStyle name="Assumptions Right Multiple 3 3 3 2" xfId="9396"/>
    <cellStyle name="Assumptions Right Multiple 3 3 4" xfId="5302"/>
    <cellStyle name="Assumptions Right Multiple 3 3 4 2" xfId="7159"/>
    <cellStyle name="Assumptions Right Multiple 3 3 5" xfId="5517"/>
    <cellStyle name="Assumptions Right Multiple 3 3 5 2" xfId="6652"/>
    <cellStyle name="Assumptions Right Multiple 3 3 6" xfId="8487"/>
    <cellStyle name="Assumptions Right Multiple 3 4" xfId="2255"/>
    <cellStyle name="Assumptions Right Multiple 3 4 2" xfId="4734"/>
    <cellStyle name="Assumptions Right Multiple 3 4 2 2" xfId="9485"/>
    <cellStyle name="Assumptions Right Multiple 3 4 3" xfId="5545"/>
    <cellStyle name="Assumptions Right Multiple 3 4 3 2" xfId="6562"/>
    <cellStyle name="Assumptions Right Multiple 3 4 4" xfId="9286"/>
    <cellStyle name="Assumptions Right Multiple 3 5" xfId="2947"/>
    <cellStyle name="Assumptions Right Multiple 3 5 2" xfId="3593"/>
    <cellStyle name="Assumptions Right Multiple 3 5 2 2" xfId="6701"/>
    <cellStyle name="Assumptions Right Multiple 3 5 3" xfId="5867"/>
    <cellStyle name="Assumptions Right Multiple 3 5 3 2" xfId="6399"/>
    <cellStyle name="Assumptions Right Multiple 3 5 4" xfId="8045"/>
    <cellStyle name="Assumptions Right Multiple 3 6" xfId="3258"/>
    <cellStyle name="Assumptions Right Multiple 3 6 2" xfId="3687"/>
    <cellStyle name="Assumptions Right Multiple 3 6 2 2" xfId="7812"/>
    <cellStyle name="Assumptions Right Multiple 3 6 3" xfId="6135"/>
    <cellStyle name="Assumptions Right Multiple 3 6 3 2" xfId="10029"/>
    <cellStyle name="Assumptions Right Multiple 3 6 4" xfId="7255"/>
    <cellStyle name="Assumptions Right Multiple 3 7" xfId="3169"/>
    <cellStyle name="Assumptions Right Multiple 3 7 2" xfId="4264"/>
    <cellStyle name="Assumptions Right Multiple 3 7 2 2" xfId="6687"/>
    <cellStyle name="Assumptions Right Multiple 3 7 3" xfId="6061"/>
    <cellStyle name="Assumptions Right Multiple 3 7 3 2" xfId="9955"/>
    <cellStyle name="Assumptions Right Multiple 3 7 4" xfId="6397"/>
    <cellStyle name="Assumptions Right Multiple 3 8" xfId="3102"/>
    <cellStyle name="Assumptions Right Multiple 3 8 2" xfId="3749"/>
    <cellStyle name="Assumptions Right Multiple 3 8 2 2" xfId="8067"/>
    <cellStyle name="Assumptions Right Multiple 3 8 3" xfId="5999"/>
    <cellStyle name="Assumptions Right Multiple 3 8 3 2" xfId="9893"/>
    <cellStyle name="Assumptions Right Multiple 3 8 4" xfId="6813"/>
    <cellStyle name="Assumptions Right Multiple 3 9" xfId="3226"/>
    <cellStyle name="Assumptions Right Multiple 3 9 2" xfId="4315"/>
    <cellStyle name="Assumptions Right Multiple 3 9 2 2" xfId="7970"/>
    <cellStyle name="Assumptions Right Multiple 3 9 3" xfId="6108"/>
    <cellStyle name="Assumptions Right Multiple 3 9 3 2" xfId="10002"/>
    <cellStyle name="Assumptions Right Multiple 3 9 4" xfId="8248"/>
    <cellStyle name="Assumptions Right Multiple 4" xfId="2241"/>
    <cellStyle name="Assumptions Right Multiple 4 2" xfId="2657"/>
    <cellStyle name="Assumptions Right Multiple 4 2 2" xfId="4617"/>
    <cellStyle name="Assumptions Right Multiple 4 2 2 2" xfId="8671"/>
    <cellStyle name="Assumptions Right Multiple 4 2 3" xfId="7395"/>
    <cellStyle name="Assumptions Right Multiple 4 3" xfId="4896"/>
    <cellStyle name="Assumptions Right Multiple 4 3 2" xfId="9676"/>
    <cellStyle name="Assumptions Right Multiple 4 4" xfId="5232"/>
    <cellStyle name="Assumptions Right Multiple 4 4 2" xfId="6393"/>
    <cellStyle name="Assumptions Right Multiple 4 5" xfId="5488"/>
    <cellStyle name="Assumptions Right Multiple 4 5 2" xfId="7560"/>
    <cellStyle name="Assumptions Right Multiple 4 6" xfId="8089"/>
    <cellStyle name="Assumptions Right Multiple 5" xfId="2112"/>
    <cellStyle name="Assumptions Right Multiple 5 2" xfId="4495"/>
    <cellStyle name="Assumptions Right Multiple 5 2 2" xfId="6742"/>
    <cellStyle name="Assumptions Right Multiple 5 3" xfId="5443"/>
    <cellStyle name="Assumptions Right Multiple 5 3 2" xfId="6332"/>
    <cellStyle name="Assumptions Right Multiple 5 4" xfId="9234"/>
    <cellStyle name="Assumptions Right Multiple 6" xfId="2846"/>
    <cellStyle name="Assumptions Right Multiple 6 2" xfId="4053"/>
    <cellStyle name="Assumptions Right Multiple 6 2 2" xfId="9743"/>
    <cellStyle name="Assumptions Right Multiple 6 3" xfId="5778"/>
    <cellStyle name="Assumptions Right Multiple 6 3 2" xfId="6991"/>
    <cellStyle name="Assumptions Right Multiple 6 4" xfId="8876"/>
    <cellStyle name="Assumptions Right Multiple 7" xfId="2816"/>
    <cellStyle name="Assumptions Right Multiple 7 2" xfId="3903"/>
    <cellStyle name="Assumptions Right Multiple 7 2 2" xfId="9362"/>
    <cellStyle name="Assumptions Right Multiple 7 3" xfId="5750"/>
    <cellStyle name="Assumptions Right Multiple 7 3 2" xfId="7861"/>
    <cellStyle name="Assumptions Right Multiple 7 4" xfId="6300"/>
    <cellStyle name="Assumptions Right Multiple 8" xfId="3299"/>
    <cellStyle name="Assumptions Right Multiple 8 2" xfId="3553"/>
    <cellStyle name="Assumptions Right Multiple 8 2 2" xfId="9184"/>
    <cellStyle name="Assumptions Right Multiple 8 3" xfId="6168"/>
    <cellStyle name="Assumptions Right Multiple 8 3 2" xfId="10062"/>
    <cellStyle name="Assumptions Right Multiple 8 4" xfId="6282"/>
    <cellStyle name="Assumptions Right Multiple 9" xfId="3284"/>
    <cellStyle name="Assumptions Right Multiple 9 2" xfId="3558"/>
    <cellStyle name="Assumptions Right Multiple 9 2 2" xfId="7738"/>
    <cellStyle name="Assumptions Right Multiple 9 3" xfId="6155"/>
    <cellStyle name="Assumptions Right Multiple 9 3 2" xfId="10049"/>
    <cellStyle name="Assumptions Right Multiple 9 4" xfId="7741"/>
    <cellStyle name="Assumptions Right Number" xfId="967"/>
    <cellStyle name="Assumptions Right Number 10" xfId="3134"/>
    <cellStyle name="Assumptions Right Number 10 2" xfId="3578"/>
    <cellStyle name="Assumptions Right Number 10 2 2" xfId="7699"/>
    <cellStyle name="Assumptions Right Number 10 3" xfId="6030"/>
    <cellStyle name="Assumptions Right Number 10 3 2" xfId="9924"/>
    <cellStyle name="Assumptions Right Number 10 4" xfId="6408"/>
    <cellStyle name="Assumptions Right Number 11" xfId="3403"/>
    <cellStyle name="Assumptions Right Number 11 2" xfId="4977"/>
    <cellStyle name="Assumptions Right Number 11 2 2" xfId="7402"/>
    <cellStyle name="Assumptions Right Number 11 3" xfId="9163"/>
    <cellStyle name="Assumptions Right Number 12" xfId="4005"/>
    <cellStyle name="Assumptions Right Number 12 2" xfId="8980"/>
    <cellStyle name="Assumptions Right Number 13" xfId="7123"/>
    <cellStyle name="Assumptions Right Number 2" xfId="968"/>
    <cellStyle name="Assumptions Right Number 2 10" xfId="3404"/>
    <cellStyle name="Assumptions Right Number 2 10 2" xfId="4978"/>
    <cellStyle name="Assumptions Right Number 2 10 2 2" xfId="8164"/>
    <cellStyle name="Assumptions Right Number 2 10 3" xfId="7118"/>
    <cellStyle name="Assumptions Right Number 2 11" xfId="4004"/>
    <cellStyle name="Assumptions Right Number 2 11 2" xfId="9426"/>
    <cellStyle name="Assumptions Right Number 2 12" xfId="9671"/>
    <cellStyle name="Assumptions Right Number 2 2" xfId="1729"/>
    <cellStyle name="Assumptions Right Number 2 2 10" xfId="3472"/>
    <cellStyle name="Assumptions Right Number 2 2 10 2" xfId="5042"/>
    <cellStyle name="Assumptions Right Number 2 2 10 2 2" xfId="8100"/>
    <cellStyle name="Assumptions Right Number 2 2 10 3" xfId="9667"/>
    <cellStyle name="Assumptions Right Number 2 2 11" xfId="3628"/>
    <cellStyle name="Assumptions Right Number 2 2 11 2" xfId="8977"/>
    <cellStyle name="Assumptions Right Number 2 2 12" xfId="6806"/>
    <cellStyle name="Assumptions Right Number 2 2 2" xfId="1598"/>
    <cellStyle name="Assumptions Right Number 2 2 2 10" xfId="6737"/>
    <cellStyle name="Assumptions Right Number 2 2 2 2" xfId="2438"/>
    <cellStyle name="Assumptions Right Number 2 2 2 2 2" xfId="2572"/>
    <cellStyle name="Assumptions Right Number 2 2 2 2 2 2" xfId="4649"/>
    <cellStyle name="Assumptions Right Number 2 2 2 2 2 2 2" xfId="9560"/>
    <cellStyle name="Assumptions Right Number 2 2 2 2 2 3" xfId="7333"/>
    <cellStyle name="Assumptions Right Number 2 2 2 2 3" xfId="4722"/>
    <cellStyle name="Assumptions Right Number 2 2 2 2 3 2" xfId="9037"/>
    <cellStyle name="Assumptions Right Number 2 2 2 2 4" xfId="7992"/>
    <cellStyle name="Assumptions Right Number 2 2 2 3" xfId="2347"/>
    <cellStyle name="Assumptions Right Number 2 2 2 3 2" xfId="2978"/>
    <cellStyle name="Assumptions Right Number 2 2 2 3 2 2" xfId="3813"/>
    <cellStyle name="Assumptions Right Number 2 2 2 3 2 2 2" xfId="8561"/>
    <cellStyle name="Assumptions Right Number 2 2 2 3 2 3" xfId="9345"/>
    <cellStyle name="Assumptions Right Number 2 2 2 3 3" xfId="4731"/>
    <cellStyle name="Assumptions Right Number 2 2 2 3 3 2" xfId="9723"/>
    <cellStyle name="Assumptions Right Number 2 2 2 3 4" xfId="5676"/>
    <cellStyle name="Assumptions Right Number 2 2 2 3 4 2" xfId="6265"/>
    <cellStyle name="Assumptions Right Number 2 2 2 3 5" xfId="7082"/>
    <cellStyle name="Assumptions Right Number 2 2 2 4" xfId="2168"/>
    <cellStyle name="Assumptions Right Number 2 2 2 4 2" xfId="4817"/>
    <cellStyle name="Assumptions Right Number 2 2 2 4 2 2" xfId="9418"/>
    <cellStyle name="Assumptions Right Number 2 2 2 4 3" xfId="5600"/>
    <cellStyle name="Assumptions Right Number 2 2 2 4 3 2" xfId="7228"/>
    <cellStyle name="Assumptions Right Number 2 2 2 4 4" xfId="8423"/>
    <cellStyle name="Assumptions Right Number 2 2 2 5" xfId="3306"/>
    <cellStyle name="Assumptions Right Number 2 2 2 5 2" xfId="3548"/>
    <cellStyle name="Assumptions Right Number 2 2 2 5 2 2" xfId="9003"/>
    <cellStyle name="Assumptions Right Number 2 2 2 5 3" xfId="6175"/>
    <cellStyle name="Assumptions Right Number 2 2 2 5 3 2" xfId="10069"/>
    <cellStyle name="Assumptions Right Number 2 2 2 5 4" xfId="7669"/>
    <cellStyle name="Assumptions Right Number 2 2 2 6" xfId="2772"/>
    <cellStyle name="Assumptions Right Number 2 2 2 6 2" xfId="4234"/>
    <cellStyle name="Assumptions Right Number 2 2 2 6 2 2" xfId="7728"/>
    <cellStyle name="Assumptions Right Number 2 2 2 6 3" xfId="5709"/>
    <cellStyle name="Assumptions Right Number 2 2 2 6 3 2" xfId="7695"/>
    <cellStyle name="Assumptions Right Number 2 2 2 6 4" xfId="6673"/>
    <cellStyle name="Assumptions Right Number 2 2 2 7" xfId="2923"/>
    <cellStyle name="Assumptions Right Number 2 2 2 7 2" xfId="4080"/>
    <cellStyle name="Assumptions Right Number 2 2 2 7 2 2" xfId="9704"/>
    <cellStyle name="Assumptions Right Number 2 2 2 7 3" xfId="5852"/>
    <cellStyle name="Assumptions Right Number 2 2 2 7 3 2" xfId="6728"/>
    <cellStyle name="Assumptions Right Number 2 2 2 7 4" xfId="7763"/>
    <cellStyle name="Assumptions Right Number 2 2 2 8" xfId="3437"/>
    <cellStyle name="Assumptions Right Number 2 2 2 8 2" xfId="5008"/>
    <cellStyle name="Assumptions Right Number 2 2 2 8 2 2" xfId="6586"/>
    <cellStyle name="Assumptions Right Number 2 2 2 8 3" xfId="7820"/>
    <cellStyle name="Assumptions Right Number 2 2 2 9" xfId="3656"/>
    <cellStyle name="Assumptions Right Number 2 2 2 9 2" xfId="9357"/>
    <cellStyle name="Assumptions Right Number 2 2 3" xfId="2319"/>
    <cellStyle name="Assumptions Right Number 2 2 3 2" xfId="2690"/>
    <cellStyle name="Assumptions Right Number 2 2 3 2 2" xfId="3961"/>
    <cellStyle name="Assumptions Right Number 2 2 3 2 2 2" xfId="6984"/>
    <cellStyle name="Assumptions Right Number 2 2 3 2 3" xfId="6443"/>
    <cellStyle name="Assumptions Right Number 2 2 3 3" xfId="4825"/>
    <cellStyle name="Assumptions Right Number 2 2 3 3 2" xfId="7036"/>
    <cellStyle name="Assumptions Right Number 2 2 3 4" xfId="5200"/>
    <cellStyle name="Assumptions Right Number 2 2 3 4 2" xfId="8498"/>
    <cellStyle name="Assumptions Right Number 2 2 3 5" xfId="5520"/>
    <cellStyle name="Assumptions Right Number 2 2 3 5 2" xfId="7505"/>
    <cellStyle name="Assumptions Right Number 2 2 3 6" xfId="7879"/>
    <cellStyle name="Assumptions Right Number 2 2 4" xfId="2202"/>
    <cellStyle name="Assumptions Right Number 2 2 4 2" xfId="4819"/>
    <cellStyle name="Assumptions Right Number 2 2 4 2 2" xfId="6713"/>
    <cellStyle name="Assumptions Right Number 2 2 4 3" xfId="5548"/>
    <cellStyle name="Assumptions Right Number 2 2 4 3 2" xfId="6345"/>
    <cellStyle name="Assumptions Right Number 2 2 4 4" xfId="7015"/>
    <cellStyle name="Assumptions Right Number 2 2 5" xfId="2946"/>
    <cellStyle name="Assumptions Right Number 2 2 5 2" xfId="3837"/>
    <cellStyle name="Assumptions Right Number 2 2 5 2 2" xfId="7780"/>
    <cellStyle name="Assumptions Right Number 2 2 5 3" xfId="5866"/>
    <cellStyle name="Assumptions Right Number 2 2 5 3 2" xfId="6848"/>
    <cellStyle name="Assumptions Right Number 2 2 5 4" xfId="8451"/>
    <cellStyle name="Assumptions Right Number 2 2 6" xfId="3161"/>
    <cellStyle name="Assumptions Right Number 2 2 6 2" xfId="4201"/>
    <cellStyle name="Assumptions Right Number 2 2 6 2 2" xfId="9177"/>
    <cellStyle name="Assumptions Right Number 2 2 6 3" xfId="6053"/>
    <cellStyle name="Assumptions Right Number 2 2 6 3 2" xfId="9947"/>
    <cellStyle name="Assumptions Right Number 2 2 6 4" xfId="8548"/>
    <cellStyle name="Assumptions Right Number 2 2 7" xfId="2891"/>
    <cellStyle name="Assumptions Right Number 2 2 7 2" xfId="4224"/>
    <cellStyle name="Assumptions Right Number 2 2 7 2 2" xfId="9616"/>
    <cellStyle name="Assumptions Right Number 2 2 7 3" xfId="5822"/>
    <cellStyle name="Assumptions Right Number 2 2 7 3 2" xfId="8125"/>
    <cellStyle name="Assumptions Right Number 2 2 7 4" xfId="7369"/>
    <cellStyle name="Assumptions Right Number 2 2 8" xfId="2800"/>
    <cellStyle name="Assumptions Right Number 2 2 8 2" xfId="3916"/>
    <cellStyle name="Assumptions Right Number 2 2 8 2 2" xfId="9124"/>
    <cellStyle name="Assumptions Right Number 2 2 8 3" xfId="5734"/>
    <cellStyle name="Assumptions Right Number 2 2 8 3 2" xfId="8099"/>
    <cellStyle name="Assumptions Right Number 2 2 8 4" xfId="7996"/>
    <cellStyle name="Assumptions Right Number 2 2 9" xfId="3008"/>
    <cellStyle name="Assumptions Right Number 2 2 9 2" xfId="3802"/>
    <cellStyle name="Assumptions Right Number 2 2 9 2 2" xfId="8147"/>
    <cellStyle name="Assumptions Right Number 2 2 9 3" xfId="5910"/>
    <cellStyle name="Assumptions Right Number 2 2 9 3 2" xfId="9804"/>
    <cellStyle name="Assumptions Right Number 2 2 9 4" xfId="8107"/>
    <cellStyle name="Assumptions Right Number 2 3" xfId="2238"/>
    <cellStyle name="Assumptions Right Number 2 3 2" xfId="2660"/>
    <cellStyle name="Assumptions Right Number 2 3 2 2" xfId="4851"/>
    <cellStyle name="Assumptions Right Number 2 3 2 2 2" xfId="7501"/>
    <cellStyle name="Assumptions Right Number 2 3 2 3" xfId="7219"/>
    <cellStyle name="Assumptions Right Number 2 3 3" xfId="4428"/>
    <cellStyle name="Assumptions Right Number 2 3 3 2" xfId="9645"/>
    <cellStyle name="Assumptions Right Number 2 3 4" xfId="5276"/>
    <cellStyle name="Assumptions Right Number 2 3 4 2" xfId="8237"/>
    <cellStyle name="Assumptions Right Number 2 3 5" xfId="5491"/>
    <cellStyle name="Assumptions Right Number 2 3 5 2" xfId="6662"/>
    <cellStyle name="Assumptions Right Number 2 3 6" xfId="7207"/>
    <cellStyle name="Assumptions Right Number 2 4" xfId="2279"/>
    <cellStyle name="Assumptions Right Number 2 4 2" xfId="4888"/>
    <cellStyle name="Assumptions Right Number 2 4 2 2" xfId="8652"/>
    <cellStyle name="Assumptions Right Number 2 4 3" xfId="5440"/>
    <cellStyle name="Assumptions Right Number 2 4 3 2" xfId="8158"/>
    <cellStyle name="Assumptions Right Number 2 4 4" xfId="8065"/>
    <cellStyle name="Assumptions Right Number 2 5" xfId="3038"/>
    <cellStyle name="Assumptions Right Number 2 5 2" xfId="4212"/>
    <cellStyle name="Assumptions Right Number 2 5 2 2" xfId="9130"/>
    <cellStyle name="Assumptions Right Number 2 5 3" xfId="5939"/>
    <cellStyle name="Assumptions Right Number 2 5 3 2" xfId="9833"/>
    <cellStyle name="Assumptions Right Number 2 5 4" xfId="7184"/>
    <cellStyle name="Assumptions Right Number 2 6" xfId="2818"/>
    <cellStyle name="Assumptions Right Number 2 6 2" xfId="4096"/>
    <cellStyle name="Assumptions Right Number 2 6 2 2" xfId="8535"/>
    <cellStyle name="Assumptions Right Number 2 6 3" xfId="5752"/>
    <cellStyle name="Assumptions Right Number 2 6 3 2" xfId="7787"/>
    <cellStyle name="Assumptions Right Number 2 6 4" xfId="9543"/>
    <cellStyle name="Assumptions Right Number 2 7" xfId="3268"/>
    <cellStyle name="Assumptions Right Number 2 7 2" xfId="4251"/>
    <cellStyle name="Assumptions Right Number 2 7 2 2" xfId="9422"/>
    <cellStyle name="Assumptions Right Number 2 7 3" xfId="6143"/>
    <cellStyle name="Assumptions Right Number 2 7 3 2" xfId="10037"/>
    <cellStyle name="Assumptions Right Number 2 7 4" xfId="7965"/>
    <cellStyle name="Assumptions Right Number 2 8" xfId="3229"/>
    <cellStyle name="Assumptions Right Number 2 8 2" xfId="3566"/>
    <cellStyle name="Assumptions Right Number 2 8 2 2" xfId="7709"/>
    <cellStyle name="Assumptions Right Number 2 8 3" xfId="6111"/>
    <cellStyle name="Assumptions Right Number 2 8 3 2" xfId="10005"/>
    <cellStyle name="Assumptions Right Number 2 8 4" xfId="6654"/>
    <cellStyle name="Assumptions Right Number 2 9" xfId="3006"/>
    <cellStyle name="Assumptions Right Number 2 9 2" xfId="4144"/>
    <cellStyle name="Assumptions Right Number 2 9 2 2" xfId="6255"/>
    <cellStyle name="Assumptions Right Number 2 9 3" xfId="5908"/>
    <cellStyle name="Assumptions Right Number 2 9 3 2" xfId="9802"/>
    <cellStyle name="Assumptions Right Number 2 9 4" xfId="7389"/>
    <cellStyle name="Assumptions Right Number 3" xfId="1728"/>
    <cellStyle name="Assumptions Right Number 3 10" xfId="3471"/>
    <cellStyle name="Assumptions Right Number 3 10 2" xfId="5041"/>
    <cellStyle name="Assumptions Right Number 3 10 2 2" xfId="8393"/>
    <cellStyle name="Assumptions Right Number 3 10 3" xfId="7011"/>
    <cellStyle name="Assumptions Right Number 3 11" xfId="3629"/>
    <cellStyle name="Assumptions Right Number 3 11 2" xfId="8574"/>
    <cellStyle name="Assumptions Right Number 3 12" xfId="8300"/>
    <cellStyle name="Assumptions Right Number 3 2" xfId="1599"/>
    <cellStyle name="Assumptions Right Number 3 2 10" xfId="7768"/>
    <cellStyle name="Assumptions Right Number 3 2 2" xfId="2439"/>
    <cellStyle name="Assumptions Right Number 3 2 2 2" xfId="2573"/>
    <cellStyle name="Assumptions Right Number 3 2 2 2 2" xfId="4849"/>
    <cellStyle name="Assumptions Right Number 3 2 2 2 2 2" xfId="7311"/>
    <cellStyle name="Assumptions Right Number 3 2 2 2 3" xfId="7121"/>
    <cellStyle name="Assumptions Right Number 3 2 2 3" xfId="4770"/>
    <cellStyle name="Assumptions Right Number 3 2 2 3 2" xfId="9099"/>
    <cellStyle name="Assumptions Right Number 3 2 2 4" xfId="7275"/>
    <cellStyle name="Assumptions Right Number 3 2 3" xfId="2215"/>
    <cellStyle name="Assumptions Right Number 3 2 3 2" xfId="2977"/>
    <cellStyle name="Assumptions Right Number 3 2 3 2 2" xfId="3814"/>
    <cellStyle name="Assumptions Right Number 3 2 3 2 2 2" xfId="6460"/>
    <cellStyle name="Assumptions Right Number 3 2 3 2 3" xfId="9348"/>
    <cellStyle name="Assumptions Right Number 3 2 3 3" xfId="4448"/>
    <cellStyle name="Assumptions Right Number 3 2 3 3 2" xfId="6593"/>
    <cellStyle name="Assumptions Right Number 3 2 3 4" xfId="5621"/>
    <cellStyle name="Assumptions Right Number 3 2 3 4 2" xfId="7319"/>
    <cellStyle name="Assumptions Right Number 3 2 3 5" xfId="7694"/>
    <cellStyle name="Assumptions Right Number 3 2 4" xfId="2346"/>
    <cellStyle name="Assumptions Right Number 3 2 4 2" xfId="4860"/>
    <cellStyle name="Assumptions Right Number 3 2 4 2 2" xfId="9138"/>
    <cellStyle name="Assumptions Right Number 3 2 4 3" xfId="5675"/>
    <cellStyle name="Assumptions Right Number 3 2 4 3 2" xfId="7635"/>
    <cellStyle name="Assumptions Right Number 3 2 4 4" xfId="7831"/>
    <cellStyle name="Assumptions Right Number 3 2 5" xfId="2809"/>
    <cellStyle name="Assumptions Right Number 3 2 5 2" xfId="4231"/>
    <cellStyle name="Assumptions Right Number 3 2 5 2 2" xfId="9222"/>
    <cellStyle name="Assumptions Right Number 3 2 5 3" xfId="5743"/>
    <cellStyle name="Assumptions Right Number 3 2 5 3 2" xfId="7325"/>
    <cellStyle name="Assumptions Right Number 3 2 5 4" xfId="9498"/>
    <cellStyle name="Assumptions Right Number 3 2 6" xfId="2828"/>
    <cellStyle name="Assumptions Right Number 3 2 6 2" xfId="3900"/>
    <cellStyle name="Assumptions Right Number 3 2 6 2 2" xfId="9526"/>
    <cellStyle name="Assumptions Right Number 3 2 6 3" xfId="5761"/>
    <cellStyle name="Assumptions Right Number 3 2 6 3 2" xfId="7567"/>
    <cellStyle name="Assumptions Right Number 3 2 6 4" xfId="8510"/>
    <cellStyle name="Assumptions Right Number 3 2 7" xfId="2897"/>
    <cellStyle name="Assumptions Right Number 3 2 7 2" xfId="3858"/>
    <cellStyle name="Assumptions Right Number 3 2 7 2 2" xfId="8728"/>
    <cellStyle name="Assumptions Right Number 3 2 7 3" xfId="5828"/>
    <cellStyle name="Assumptions Right Number 3 2 7 3 2" xfId="7937"/>
    <cellStyle name="Assumptions Right Number 3 2 7 4" xfId="8171"/>
    <cellStyle name="Assumptions Right Number 3 2 8" xfId="3438"/>
    <cellStyle name="Assumptions Right Number 3 2 8 2" xfId="5009"/>
    <cellStyle name="Assumptions Right Number 3 2 8 2 2" xfId="9630"/>
    <cellStyle name="Assumptions Right Number 3 2 8 3" xfId="9581"/>
    <cellStyle name="Assumptions Right Number 3 2 9" xfId="3655"/>
    <cellStyle name="Assumptions Right Number 3 2 9 2" xfId="8526"/>
    <cellStyle name="Assumptions Right Number 3 3" xfId="2193"/>
    <cellStyle name="Assumptions Right Number 3 3 2" xfId="2689"/>
    <cellStyle name="Assumptions Right Number 3 3 2 2" xfId="4062"/>
    <cellStyle name="Assumptions Right Number 3 3 2 2 2" xfId="9614"/>
    <cellStyle name="Assumptions Right Number 3 3 2 3" xfId="8306"/>
    <cellStyle name="Assumptions Right Number 3 3 3" xfId="4821"/>
    <cellStyle name="Assumptions Right Number 3 3 3 2" xfId="9220"/>
    <cellStyle name="Assumptions Right Number 3 3 4" xfId="5247"/>
    <cellStyle name="Assumptions Right Number 3 3 4 2" xfId="7521"/>
    <cellStyle name="Assumptions Right Number 3 3 5" xfId="5519"/>
    <cellStyle name="Assumptions Right Number 3 3 5 2" xfId="8406"/>
    <cellStyle name="Assumptions Right Number 3 3 6" xfId="9326"/>
    <cellStyle name="Assumptions Right Number 3 4" xfId="2169"/>
    <cellStyle name="Assumptions Right Number 3 4 2" xfId="4740"/>
    <cellStyle name="Assumptions Right Number 3 4 2 2" xfId="9417"/>
    <cellStyle name="Assumptions Right Number 3 4 3" xfId="5547"/>
    <cellStyle name="Assumptions Right Number 3 4 3 2" xfId="8478"/>
    <cellStyle name="Assumptions Right Number 3 4 4" xfId="6864"/>
    <cellStyle name="Assumptions Right Number 3 5" xfId="3162"/>
    <cellStyle name="Assumptions Right Number 3 5 2" xfId="3713"/>
    <cellStyle name="Assumptions Right Number 3 5 2 2" xfId="6976"/>
    <cellStyle name="Assumptions Right Number 3 5 3" xfId="6054"/>
    <cellStyle name="Assumptions Right Number 3 5 3 2" xfId="9948"/>
    <cellStyle name="Assumptions Right Number 3 5 4" xfId="6599"/>
    <cellStyle name="Assumptions Right Number 3 6" xfId="3137"/>
    <cellStyle name="Assumptions Right Number 3 6 2" xfId="3721"/>
    <cellStyle name="Assumptions Right Number 3 6 2 2" xfId="6879"/>
    <cellStyle name="Assumptions Right Number 3 6 3" xfId="6033"/>
    <cellStyle name="Assumptions Right Number 3 6 3 2" xfId="9927"/>
    <cellStyle name="Assumptions Right Number 3 6 4" xfId="8108"/>
    <cellStyle name="Assumptions Right Number 3 7" xfId="3021"/>
    <cellStyle name="Assumptions Right Number 3 7 2" xfId="3795"/>
    <cellStyle name="Assumptions Right Number 3 7 2 2" xfId="9001"/>
    <cellStyle name="Assumptions Right Number 3 7 3" xfId="5923"/>
    <cellStyle name="Assumptions Right Number 3 7 3 2" xfId="9817"/>
    <cellStyle name="Assumptions Right Number 3 7 4" xfId="6456"/>
    <cellStyle name="Assumptions Right Number 3 8" xfId="2906"/>
    <cellStyle name="Assumptions Right Number 3 8 2" xfId="4091"/>
    <cellStyle name="Assumptions Right Number 3 8 2 2" xfId="8233"/>
    <cellStyle name="Assumptions Right Number 3 8 3" xfId="5837"/>
    <cellStyle name="Assumptions Right Number 3 8 3 2" xfId="7251"/>
    <cellStyle name="Assumptions Right Number 3 8 4" xfId="8887"/>
    <cellStyle name="Assumptions Right Number 3 9" xfId="2786"/>
    <cellStyle name="Assumptions Right Number 3 9 2" xfId="3928"/>
    <cellStyle name="Assumptions Right Number 3 9 2 2" xfId="9055"/>
    <cellStyle name="Assumptions Right Number 3 9 3" xfId="5721"/>
    <cellStyle name="Assumptions Right Number 3 9 3 2" xfId="8027"/>
    <cellStyle name="Assumptions Right Number 3 9 4" xfId="8031"/>
    <cellStyle name="Assumptions Right Number 4" xfId="2239"/>
    <cellStyle name="Assumptions Right Number 4 2" xfId="2659"/>
    <cellStyle name="Assumptions Right Number 4 2 2" xfId="4898"/>
    <cellStyle name="Assumptions Right Number 4 2 2 2" xfId="7853"/>
    <cellStyle name="Assumptions Right Number 4 2 3" xfId="7585"/>
    <cellStyle name="Assumptions Right Number 4 3" xfId="4623"/>
    <cellStyle name="Assumptions Right Number 4 3 2" xfId="8682"/>
    <cellStyle name="Assumptions Right Number 4 4" xfId="5293"/>
    <cellStyle name="Assumptions Right Number 4 4 2" xfId="7317"/>
    <cellStyle name="Assumptions Right Number 4 5" xfId="5490"/>
    <cellStyle name="Assumptions Right Number 4 5 2" xfId="6455"/>
    <cellStyle name="Assumptions Right Number 4 6" xfId="8281"/>
    <cellStyle name="Assumptions Right Number 5" xfId="2278"/>
    <cellStyle name="Assumptions Right Number 5 2" xfId="4032"/>
    <cellStyle name="Assumptions Right Number 5 2 2" xfId="6532"/>
    <cellStyle name="Assumptions Right Number 5 3" xfId="5441"/>
    <cellStyle name="Assumptions Right Number 5 3 2" xfId="8041"/>
    <cellStyle name="Assumptions Right Number 5 4" xfId="6509"/>
    <cellStyle name="Assumptions Right Number 6" xfId="3039"/>
    <cellStyle name="Assumptions Right Number 6 2" xfId="3781"/>
    <cellStyle name="Assumptions Right Number 6 2 2" xfId="7794"/>
    <cellStyle name="Assumptions Right Number 6 3" xfId="5940"/>
    <cellStyle name="Assumptions Right Number 6 3 2" xfId="9834"/>
    <cellStyle name="Assumptions Right Number 6 4" xfId="8513"/>
    <cellStyle name="Assumptions Right Number 7" xfId="3067"/>
    <cellStyle name="Assumptions Right Number 7 2" xfId="4089"/>
    <cellStyle name="Assumptions Right Number 7 2 2" xfId="9423"/>
    <cellStyle name="Assumptions Right Number 7 3" xfId="5967"/>
    <cellStyle name="Assumptions Right Number 7 3 2" xfId="9861"/>
    <cellStyle name="Assumptions Right Number 7 4" xfId="8515"/>
    <cellStyle name="Assumptions Right Number 8" xfId="3267"/>
    <cellStyle name="Assumptions Right Number 8 2" xfId="3561"/>
    <cellStyle name="Assumptions Right Number 8 2 2" xfId="9150"/>
    <cellStyle name="Assumptions Right Number 8 3" xfId="6142"/>
    <cellStyle name="Assumptions Right Number 8 3 2" xfId="10036"/>
    <cellStyle name="Assumptions Right Number 8 4" xfId="6303"/>
    <cellStyle name="Assumptions Right Number 9" xfId="2886"/>
    <cellStyle name="Assumptions Right Number 9 2" xfId="3866"/>
    <cellStyle name="Assumptions Right Number 9 2 2" xfId="9440"/>
    <cellStyle name="Assumptions Right Number 9 3" xfId="5817"/>
    <cellStyle name="Assumptions Right Number 9 3 2" xfId="6309"/>
    <cellStyle name="Assumptions Right Number 9 4" xfId="9551"/>
    <cellStyle name="Assumptions Right Percentage" xfId="969"/>
    <cellStyle name="Assumptions Right Percentage 10" xfId="3358"/>
    <cellStyle name="Assumptions Right Percentage 10 2" xfId="4948"/>
    <cellStyle name="Assumptions Right Percentage 10 2 2" xfId="7507"/>
    <cellStyle name="Assumptions Right Percentage 10 3" xfId="6224"/>
    <cellStyle name="Assumptions Right Percentage 10 3 2" xfId="10118"/>
    <cellStyle name="Assumptions Right Percentage 10 4" xfId="8667"/>
    <cellStyle name="Assumptions Right Percentage 11" xfId="3405"/>
    <cellStyle name="Assumptions Right Percentage 11 2" xfId="4979"/>
    <cellStyle name="Assumptions Right Percentage 11 2 2" xfId="9712"/>
    <cellStyle name="Assumptions Right Percentage 11 3" xfId="9685"/>
    <cellStyle name="Assumptions Right Percentage 12" xfId="4003"/>
    <cellStyle name="Assumptions Right Percentage 12 2" xfId="8493"/>
    <cellStyle name="Assumptions Right Percentage 13" xfId="7537"/>
    <cellStyle name="Assumptions Right Percentage 2" xfId="970"/>
    <cellStyle name="Assumptions Right Percentage 2 10" xfId="3406"/>
    <cellStyle name="Assumptions Right Percentage 2 10 2" xfId="4980"/>
    <cellStyle name="Assumptions Right Percentage 2 10 2 2" xfId="6732"/>
    <cellStyle name="Assumptions Right Percentage 2 10 3" xfId="8666"/>
    <cellStyle name="Assumptions Right Percentage 2 11" xfId="4002"/>
    <cellStyle name="Assumptions Right Percentage 2 11 2" xfId="8323"/>
    <cellStyle name="Assumptions Right Percentage 2 12" xfId="8138"/>
    <cellStyle name="Assumptions Right Percentage 2 2" xfId="1731"/>
    <cellStyle name="Assumptions Right Percentage 2 2 10" xfId="3474"/>
    <cellStyle name="Assumptions Right Percentage 2 2 10 2" xfId="5044"/>
    <cellStyle name="Assumptions Right Percentage 2 2 10 2 2" xfId="6861"/>
    <cellStyle name="Assumptions Right Percentage 2 2 10 3" xfId="7810"/>
    <cellStyle name="Assumptions Right Percentage 2 2 11" xfId="3626"/>
    <cellStyle name="Assumptions Right Percentage 2 2 11 2" xfId="7396"/>
    <cellStyle name="Assumptions Right Percentage 2 2 12" xfId="7386"/>
    <cellStyle name="Assumptions Right Percentage 2 2 2" xfId="1706"/>
    <cellStyle name="Assumptions Right Percentage 2 2 2 10" xfId="8310"/>
    <cellStyle name="Assumptions Right Percentage 2 2 2 2" xfId="2451"/>
    <cellStyle name="Assumptions Right Percentage 2 2 2 2 2" xfId="2585"/>
    <cellStyle name="Assumptions Right Percentage 2 2 2 2 2 2" xfId="4665"/>
    <cellStyle name="Assumptions Right Percentage 2 2 2 2 2 2 2" xfId="9164"/>
    <cellStyle name="Assumptions Right Percentage 2 2 2 2 2 3" xfId="7357"/>
    <cellStyle name="Assumptions Right Percentage 2 2 2 2 3" xfId="4631"/>
    <cellStyle name="Assumptions Right Percentage 2 2 2 2 3 2" xfId="9367"/>
    <cellStyle name="Assumptions Right Percentage 2 2 2 2 4" xfId="8191"/>
    <cellStyle name="Assumptions Right Percentage 2 2 2 3" xfId="2324"/>
    <cellStyle name="Assumptions Right Percentage 2 2 2 3 2" xfId="3215"/>
    <cellStyle name="Assumptions Right Percentage 2 2 2 3 2 2" xfId="3568"/>
    <cellStyle name="Assumptions Right Percentage 2 2 2 3 2 2 2" xfId="6922"/>
    <cellStyle name="Assumptions Right Percentage 2 2 2 3 2 3" xfId="7168"/>
    <cellStyle name="Assumptions Right Percentage 2 2 2 3 3" xfId="4661"/>
    <cellStyle name="Assumptions Right Percentage 2 2 2 3 3 2" xfId="7283"/>
    <cellStyle name="Assumptions Right Percentage 2 2 2 3 4" xfId="5662"/>
    <cellStyle name="Assumptions Right Percentage 2 2 2 3 4 2" xfId="7164"/>
    <cellStyle name="Assumptions Right Percentage 2 2 2 3 5" xfId="6772"/>
    <cellStyle name="Assumptions Right Percentage 2 2 2 4" xfId="2097"/>
    <cellStyle name="Assumptions Right Percentage 2 2 2 4 2" xfId="4499"/>
    <cellStyle name="Assumptions Right Percentage 2 2 2 4 2 2" xfId="8689"/>
    <cellStyle name="Assumptions Right Percentage 2 2 2 4 3" xfId="5573"/>
    <cellStyle name="Assumptions Right Percentage 2 2 2 4 3 2" xfId="8475"/>
    <cellStyle name="Assumptions Right Percentage 2 2 2 4 4" xfId="7762"/>
    <cellStyle name="Assumptions Right Percentage 2 2 2 5" xfId="2889"/>
    <cellStyle name="Assumptions Right Percentage 2 2 2 5 2" xfId="3863"/>
    <cellStyle name="Assumptions Right Percentage 2 2 2 5 2 2" xfId="9446"/>
    <cellStyle name="Assumptions Right Percentage 2 2 2 5 3" xfId="5820"/>
    <cellStyle name="Assumptions Right Percentage 2 2 2 5 3 2" xfId="7590"/>
    <cellStyle name="Assumptions Right Percentage 2 2 2 5 4" xfId="9727"/>
    <cellStyle name="Assumptions Right Percentage 2 2 2 6" xfId="2898"/>
    <cellStyle name="Assumptions Right Percentage 2 2 2 6 2" xfId="3857"/>
    <cellStyle name="Assumptions Right Percentage 2 2 2 6 2 2" xfId="9710"/>
    <cellStyle name="Assumptions Right Percentage 2 2 2 6 3" xfId="5829"/>
    <cellStyle name="Assumptions Right Percentage 2 2 2 6 3 2" xfId="7811"/>
    <cellStyle name="Assumptions Right Percentage 2 2 2 6 4" xfId="8747"/>
    <cellStyle name="Assumptions Right Percentage 2 2 2 7" xfId="2973"/>
    <cellStyle name="Assumptions Right Percentage 2 2 2 7 2" xfId="3817"/>
    <cellStyle name="Assumptions Right Percentage 2 2 2 7 2 2" xfId="8024"/>
    <cellStyle name="Assumptions Right Percentage 2 2 2 7 3" xfId="5888"/>
    <cellStyle name="Assumptions Right Percentage 2 2 2 7 3 2" xfId="9782"/>
    <cellStyle name="Assumptions Right Percentage 2 2 2 7 4" xfId="8277"/>
    <cellStyle name="Assumptions Right Percentage 2 2 2 8" xfId="3450"/>
    <cellStyle name="Assumptions Right Percentage 2 2 2 8 2" xfId="5020"/>
    <cellStyle name="Assumptions Right Percentage 2 2 2 8 2 2" xfId="8676"/>
    <cellStyle name="Assumptions Right Percentage 2 2 2 8 3" xfId="8170"/>
    <cellStyle name="Assumptions Right Percentage 2 2 2 9" xfId="3649"/>
    <cellStyle name="Assumptions Right Percentage 2 2 2 9 2" xfId="7448"/>
    <cellStyle name="Assumptions Right Percentage 2 2 3" xfId="2192"/>
    <cellStyle name="Assumptions Right Percentage 2 2 3 2" xfId="2692"/>
    <cellStyle name="Assumptions Right Percentage 2 2 3 2 2" xfId="3960"/>
    <cellStyle name="Assumptions Right Percentage 2 2 3 2 2 2" xfId="8188"/>
    <cellStyle name="Assumptions Right Percentage 2 2 3 2 3" xfId="7393"/>
    <cellStyle name="Assumptions Right Percentage 2 2 3 3" xfId="4107"/>
    <cellStyle name="Assumptions Right Percentage 2 2 3 3 2" xfId="9481"/>
    <cellStyle name="Assumptions Right Percentage 2 2 3 4" xfId="5255"/>
    <cellStyle name="Assumptions Right Percentage 2 2 3 4 2" xfId="8319"/>
    <cellStyle name="Assumptions Right Percentage 2 2 3 5" xfId="5522"/>
    <cellStyle name="Assumptions Right Percentage 2 2 3 5 2" xfId="6798"/>
    <cellStyle name="Assumptions Right Percentage 2 2 3 6" xfId="7485"/>
    <cellStyle name="Assumptions Right Percentage 2 2 4" xfId="2301"/>
    <cellStyle name="Assumptions Right Percentage 2 2 4 2" xfId="4489"/>
    <cellStyle name="Assumptions Right Percentage 2 2 4 2 2" xfId="7415"/>
    <cellStyle name="Assumptions Right Percentage 2 2 4 3" xfId="5550"/>
    <cellStyle name="Assumptions Right Percentage 2 2 4 3 2" xfId="7359"/>
    <cellStyle name="Assumptions Right Percentage 2 2 4 4" xfId="7132"/>
    <cellStyle name="Assumptions Right Percentage 2 2 5" xfId="2780"/>
    <cellStyle name="Assumptions Right Percentage 2 2 5 2" xfId="3932"/>
    <cellStyle name="Assumptions Right Percentage 2 2 5 2 2" xfId="9064"/>
    <cellStyle name="Assumptions Right Percentage 2 2 5 3" xfId="5716"/>
    <cellStyle name="Assumptions Right Percentage 2 2 5 3 2" xfId="8549"/>
    <cellStyle name="Assumptions Right Percentage 2 2 5 4" xfId="6604"/>
    <cellStyle name="Assumptions Right Percentage 2 2 6" xfId="3058"/>
    <cellStyle name="Assumptions Right Percentage 2 2 6 2" xfId="3767"/>
    <cellStyle name="Assumptions Right Percentage 2 2 6 2 2" xfId="8518"/>
    <cellStyle name="Assumptions Right Percentage 2 2 6 3" xfId="5958"/>
    <cellStyle name="Assumptions Right Percentage 2 2 6 3 2" xfId="9852"/>
    <cellStyle name="Assumptions Right Percentage 2 2 6 4" xfId="7294"/>
    <cellStyle name="Assumptions Right Percentage 2 2 7" xfId="2871"/>
    <cellStyle name="Assumptions Right Percentage 2 2 7 2" xfId="3879"/>
    <cellStyle name="Assumptions Right Percentage 2 2 7 2 2" xfId="7136"/>
    <cellStyle name="Assumptions Right Percentage 2 2 7 3" xfId="5802"/>
    <cellStyle name="Assumptions Right Percentage 2 2 7 3 2" xfId="7791"/>
    <cellStyle name="Assumptions Right Percentage 2 2 7 4" xfId="9713"/>
    <cellStyle name="Assumptions Right Percentage 2 2 8" xfId="3013"/>
    <cellStyle name="Assumptions Right Percentage 2 2 8 2" xfId="4058"/>
    <cellStyle name="Assumptions Right Percentage 2 2 8 2 2" xfId="8377"/>
    <cellStyle name="Assumptions Right Percentage 2 2 8 3" xfId="5915"/>
    <cellStyle name="Assumptions Right Percentage 2 2 8 3 2" xfId="9809"/>
    <cellStyle name="Assumptions Right Percentage 2 2 8 4" xfId="6815"/>
    <cellStyle name="Assumptions Right Percentage 2 2 9" xfId="3164"/>
    <cellStyle name="Assumptions Right Percentage 2 2 9 2" xfId="4265"/>
    <cellStyle name="Assumptions Right Percentage 2 2 9 2 2" xfId="6261"/>
    <cellStyle name="Assumptions Right Percentage 2 2 9 3" xfId="6056"/>
    <cellStyle name="Assumptions Right Percentage 2 2 9 3 2" xfId="9950"/>
    <cellStyle name="Assumptions Right Percentage 2 2 9 4" xfId="8155"/>
    <cellStyle name="Assumptions Right Percentage 2 3" xfId="2159"/>
    <cellStyle name="Assumptions Right Percentage 2 3 2" xfId="2662"/>
    <cellStyle name="Assumptions Right Percentage 2 3 2 2" xfId="4650"/>
    <cellStyle name="Assumptions Right Percentage 2 3 2 2 2" xfId="8678"/>
    <cellStyle name="Assumptions Right Percentage 2 3 2 3" xfId="6451"/>
    <cellStyle name="Assumptions Right Percentage 2 3 3" xfId="4892"/>
    <cellStyle name="Assumptions Right Percentage 2 3 3 2" xfId="7199"/>
    <cellStyle name="Assumptions Right Percentage 2 3 4" xfId="5229"/>
    <cellStyle name="Assumptions Right Percentage 2 3 4 2" xfId="7483"/>
    <cellStyle name="Assumptions Right Percentage 2 3 5" xfId="5493"/>
    <cellStyle name="Assumptions Right Percentage 2 3 5 2" xfId="7752"/>
    <cellStyle name="Assumptions Right Percentage 2 3 6" xfId="7408"/>
    <cellStyle name="Assumptions Right Percentage 2 4" xfId="2114"/>
    <cellStyle name="Assumptions Right Percentage 2 4 2" xfId="4447"/>
    <cellStyle name="Assumptions Right Percentage 2 4 2 2" xfId="7922"/>
    <cellStyle name="Assumptions Right Percentage 2 4 3" xfId="5438"/>
    <cellStyle name="Assumptions Right Percentage 2 4 3 2" xfId="8415"/>
    <cellStyle name="Assumptions Right Percentage 2 4 4" xfId="9249"/>
    <cellStyle name="Assumptions Right Percentage 2 5" xfId="3036"/>
    <cellStyle name="Assumptions Right Percentage 2 5 2" xfId="3783"/>
    <cellStyle name="Assumptions Right Percentage 2 5 2 2" xfId="9686"/>
    <cellStyle name="Assumptions Right Percentage 2 5 3" xfId="5937"/>
    <cellStyle name="Assumptions Right Percentage 2 5 3 2" xfId="9831"/>
    <cellStyle name="Assumptions Right Percentage 2 5 4" xfId="7940"/>
    <cellStyle name="Assumptions Right Percentage 2 6" xfId="2820"/>
    <cellStyle name="Assumptions Right Percentage 2 6 2" xfId="4166"/>
    <cellStyle name="Assumptions Right Percentage 2 6 2 2" xfId="9424"/>
    <cellStyle name="Assumptions Right Percentage 2 6 3" xfId="5754"/>
    <cellStyle name="Assumptions Right Percentage 2 6 3 2" xfId="7252"/>
    <cellStyle name="Assumptions Right Percentage 2 6 4" xfId="7963"/>
    <cellStyle name="Assumptions Right Percentage 2 7" xfId="3124"/>
    <cellStyle name="Assumptions Right Percentage 2 7 2" xfId="3731"/>
    <cellStyle name="Assumptions Right Percentage 2 7 2 2" xfId="8527"/>
    <cellStyle name="Assumptions Right Percentage 2 7 3" xfId="6020"/>
    <cellStyle name="Assumptions Right Percentage 2 7 3 2" xfId="9914"/>
    <cellStyle name="Assumptions Right Percentage 2 7 4" xfId="8234"/>
    <cellStyle name="Assumptions Right Percentage 2 8" xfId="3011"/>
    <cellStyle name="Assumptions Right Percentage 2 8 2" xfId="3801"/>
    <cellStyle name="Assumptions Right Percentage 2 8 2 2" xfId="8055"/>
    <cellStyle name="Assumptions Right Percentage 2 8 3" xfId="5913"/>
    <cellStyle name="Assumptions Right Percentage 2 8 3 2" xfId="9807"/>
    <cellStyle name="Assumptions Right Percentage 2 8 4" xfId="6492"/>
    <cellStyle name="Assumptions Right Percentage 2 9" xfId="3354"/>
    <cellStyle name="Assumptions Right Percentage 2 9 2" xfId="4944"/>
    <cellStyle name="Assumptions Right Percentage 2 9 2 2" xfId="8109"/>
    <cellStyle name="Assumptions Right Percentage 2 9 3" xfId="6220"/>
    <cellStyle name="Assumptions Right Percentage 2 9 3 2" xfId="10114"/>
    <cellStyle name="Assumptions Right Percentage 2 9 4" xfId="9632"/>
    <cellStyle name="Assumptions Right Percentage 3" xfId="1730"/>
    <cellStyle name="Assumptions Right Percentage 3 10" xfId="3473"/>
    <cellStyle name="Assumptions Right Percentage 3 10 2" xfId="5043"/>
    <cellStyle name="Assumptions Right Percentage 3 10 2 2" xfId="9545"/>
    <cellStyle name="Assumptions Right Percentage 3 10 3" xfId="6459"/>
    <cellStyle name="Assumptions Right Percentage 3 11" xfId="3627"/>
    <cellStyle name="Assumptions Right Percentage 3 11 2" xfId="9449"/>
    <cellStyle name="Assumptions Right Percentage 3 12" xfId="7043"/>
    <cellStyle name="Assumptions Right Percentage 3 2" xfId="1597"/>
    <cellStyle name="Assumptions Right Percentage 3 2 10" xfId="9192"/>
    <cellStyle name="Assumptions Right Percentage 3 2 2" xfId="2437"/>
    <cellStyle name="Assumptions Right Percentage 3 2 2 2" xfId="2571"/>
    <cellStyle name="Assumptions Right Percentage 3 2 2 2 2" xfId="4871"/>
    <cellStyle name="Assumptions Right Percentage 3 2 2 2 2 2" xfId="6776"/>
    <cellStyle name="Assumptions Right Percentage 3 2 2 2 3" xfId="6305"/>
    <cellStyle name="Assumptions Right Percentage 3 2 2 3" xfId="4846"/>
    <cellStyle name="Assumptions Right Percentage 3 2 2 3 2" xfId="9018"/>
    <cellStyle name="Assumptions Right Percentage 3 2 2 4" xfId="7406"/>
    <cellStyle name="Assumptions Right Percentage 3 2 3" xfId="2216"/>
    <cellStyle name="Assumptions Right Percentage 3 2 3 2" xfId="2979"/>
    <cellStyle name="Assumptions Right Percentage 3 2 3 2 2" xfId="3812"/>
    <cellStyle name="Assumptions Right Percentage 3 2 3 2 2 2" xfId="9502"/>
    <cellStyle name="Assumptions Right Percentage 3 2 3 2 3" xfId="9341"/>
    <cellStyle name="Assumptions Right Percentage 3 2 3 3" xfId="4591"/>
    <cellStyle name="Assumptions Right Percentage 3 2 3 3 2" xfId="9118"/>
    <cellStyle name="Assumptions Right Percentage 3 2 3 4" xfId="5622"/>
    <cellStyle name="Assumptions Right Percentage 3 2 3 4 2" xfId="7482"/>
    <cellStyle name="Assumptions Right Percentage 3 2 3 5" xfId="7150"/>
    <cellStyle name="Assumptions Right Percentage 3 2 4" xfId="2132"/>
    <cellStyle name="Assumptions Right Percentage 3 2 4 2" xfId="4702"/>
    <cellStyle name="Assumptions Right Percentage 3 2 4 2 2" xfId="7565"/>
    <cellStyle name="Assumptions Right Percentage 3 2 4 3" xfId="5589"/>
    <cellStyle name="Assumptions Right Percentage 3 2 4 3 2" xfId="8190"/>
    <cellStyle name="Assumptions Right Percentage 3 2 4 4" xfId="6980"/>
    <cellStyle name="Assumptions Right Percentage 3 2 5" xfId="2793"/>
    <cellStyle name="Assumptions Right Percentage 3 2 5 2" xfId="3921"/>
    <cellStyle name="Assumptions Right Percentage 3 2 5 2 2" xfId="9658"/>
    <cellStyle name="Assumptions Right Percentage 3 2 5 3" xfId="5727"/>
    <cellStyle name="Assumptions Right Percentage 3 2 5 3 2" xfId="6948"/>
    <cellStyle name="Assumptions Right Percentage 3 2 5 4" xfId="6382"/>
    <cellStyle name="Assumptions Right Percentage 3 2 6" xfId="2823"/>
    <cellStyle name="Assumptions Right Percentage 3 2 6 2" xfId="4165"/>
    <cellStyle name="Assumptions Right Percentage 3 2 6 2 2" xfId="7718"/>
    <cellStyle name="Assumptions Right Percentage 3 2 6 3" xfId="5757"/>
    <cellStyle name="Assumptions Right Percentage 3 2 6 3 2" xfId="7551"/>
    <cellStyle name="Assumptions Right Percentage 3 2 6 4" xfId="6932"/>
    <cellStyle name="Assumptions Right Percentage 3 2 7" xfId="3220"/>
    <cellStyle name="Assumptions Right Percentage 3 2 7 2" xfId="4316"/>
    <cellStyle name="Assumptions Right Percentage 3 2 7 2 2" xfId="9699"/>
    <cellStyle name="Assumptions Right Percentage 3 2 7 3" xfId="6103"/>
    <cellStyle name="Assumptions Right Percentage 3 2 7 3 2" xfId="9997"/>
    <cellStyle name="Assumptions Right Percentage 3 2 7 4" xfId="7929"/>
    <cellStyle name="Assumptions Right Percentage 3 2 8" xfId="3436"/>
    <cellStyle name="Assumptions Right Percentage 3 2 8 2" xfId="5007"/>
    <cellStyle name="Assumptions Right Percentage 3 2 8 2 2" xfId="8669"/>
    <cellStyle name="Assumptions Right Percentage 3 2 8 3" xfId="9152"/>
    <cellStyle name="Assumptions Right Percentage 3 2 9" xfId="3994"/>
    <cellStyle name="Assumptions Right Percentage 3 2 9 2" xfId="6421"/>
    <cellStyle name="Assumptions Right Percentage 3 3" xfId="2295"/>
    <cellStyle name="Assumptions Right Percentage 3 3 2" xfId="2691"/>
    <cellStyle name="Assumptions Right Percentage 3 3 2 2" xfId="4236"/>
    <cellStyle name="Assumptions Right Percentage 3 3 2 2 2" xfId="9598"/>
    <cellStyle name="Assumptions Right Percentage 3 3 2 3" xfId="6968"/>
    <cellStyle name="Assumptions Right Percentage 3 3 3" xfId="4493"/>
    <cellStyle name="Assumptions Right Percentage 3 3 3 2" xfId="9421"/>
    <cellStyle name="Assumptions Right Percentage 3 3 4" xfId="5120"/>
    <cellStyle name="Assumptions Right Percentage 3 3 4 2" xfId="9557"/>
    <cellStyle name="Assumptions Right Percentage 3 3 5" xfId="5521"/>
    <cellStyle name="Assumptions Right Percentage 3 3 5 2" xfId="7790"/>
    <cellStyle name="Assumptions Right Percentage 3 3 6" xfId="8169"/>
    <cellStyle name="Assumptions Right Percentage 3 4" xfId="2257"/>
    <cellStyle name="Assumptions Right Percentage 3 4 2" xfId="4741"/>
    <cellStyle name="Assumptions Right Percentage 3 4 2 2" xfId="9072"/>
    <cellStyle name="Assumptions Right Percentage 3 4 3" xfId="5549"/>
    <cellStyle name="Assumptions Right Percentage 3 4 3 2" xfId="7651"/>
    <cellStyle name="Assumptions Right Percentage 3 4 4" xfId="7245"/>
    <cellStyle name="Assumptions Right Percentage 3 5" xfId="2945"/>
    <cellStyle name="Assumptions Right Percentage 3 5 2" xfId="4220"/>
    <cellStyle name="Assumptions Right Percentage 3 5 2 2" xfId="8445"/>
    <cellStyle name="Assumptions Right Percentage 3 5 3" xfId="5865"/>
    <cellStyle name="Assumptions Right Percentage 3 5 3 2" xfId="7691"/>
    <cellStyle name="Assumptions Right Percentage 3 5 4" xfId="7258"/>
    <cellStyle name="Assumptions Right Percentage 3 6" xfId="3163"/>
    <cellStyle name="Assumptions Right Percentage 3 6 2" xfId="3575"/>
    <cellStyle name="Assumptions Right Percentage 3 6 2 2" xfId="6830"/>
    <cellStyle name="Assumptions Right Percentage 3 6 3" xfId="6055"/>
    <cellStyle name="Assumptions Right Percentage 3 6 3 2" xfId="9949"/>
    <cellStyle name="Assumptions Right Percentage 3 6 4" xfId="6801"/>
    <cellStyle name="Assumptions Right Percentage 3 7" xfId="3179"/>
    <cellStyle name="Assumptions Right Percentage 3 7 2" xfId="3708"/>
    <cellStyle name="Assumptions Right Percentage 3 7 2 2" xfId="8539"/>
    <cellStyle name="Assumptions Right Percentage 3 7 3" xfId="6070"/>
    <cellStyle name="Assumptions Right Percentage 3 7 3 2" xfId="9964"/>
    <cellStyle name="Assumptions Right Percentage 3 7 4" xfId="9309"/>
    <cellStyle name="Assumptions Right Percentage 3 8" xfId="3103"/>
    <cellStyle name="Assumptions Right Percentage 3 8 2" xfId="3748"/>
    <cellStyle name="Assumptions Right Percentage 3 8 2 2" xfId="7532"/>
    <cellStyle name="Assumptions Right Percentage 3 8 3" xfId="6000"/>
    <cellStyle name="Assumptions Right Percentage 3 8 3 2" xfId="9894"/>
    <cellStyle name="Assumptions Right Percentage 3 8 4" xfId="8534"/>
    <cellStyle name="Assumptions Right Percentage 3 9" xfId="2829"/>
    <cellStyle name="Assumptions Right Percentage 3 9 2" xfId="4163"/>
    <cellStyle name="Assumptions Right Percentage 3 9 2 2" xfId="9694"/>
    <cellStyle name="Assumptions Right Percentage 3 9 3" xfId="5762"/>
    <cellStyle name="Assumptions Right Percentage 3 9 3 2" xfId="7704"/>
    <cellStyle name="Assumptions Right Percentage 3 9 4" xfId="7309"/>
    <cellStyle name="Assumptions Right Percentage 4" xfId="2237"/>
    <cellStyle name="Assumptions Right Percentage 4 2" xfId="2661"/>
    <cellStyle name="Assumptions Right Percentage 4 2 2" xfId="4795"/>
    <cellStyle name="Assumptions Right Percentage 4 2 2 2" xfId="7516"/>
    <cellStyle name="Assumptions Right Percentage 4 2 3" xfId="8316"/>
    <cellStyle name="Assumptions Right Percentage 4 3" xfId="4800"/>
    <cellStyle name="Assumptions Right Percentage 4 3 2" xfId="6327"/>
    <cellStyle name="Assumptions Right Percentage 4 4" xfId="5117"/>
    <cellStyle name="Assumptions Right Percentage 4 4 2" xfId="9608"/>
    <cellStyle name="Assumptions Right Percentage 4 5" xfId="5492"/>
    <cellStyle name="Assumptions Right Percentage 4 5 2" xfId="8090"/>
    <cellStyle name="Assumptions Right Percentage 4 6" xfId="9276"/>
    <cellStyle name="Assumptions Right Percentage 5" xfId="2113"/>
    <cellStyle name="Assumptions Right Percentage 5 2" xfId="4711"/>
    <cellStyle name="Assumptions Right Percentage 5 2 2" xfId="7943"/>
    <cellStyle name="Assumptions Right Percentage 5 3" xfId="5439"/>
    <cellStyle name="Assumptions Right Percentage 5 3 2" xfId="6539"/>
    <cellStyle name="Assumptions Right Percentage 5 4" xfId="7946"/>
    <cellStyle name="Assumptions Right Percentage 6" xfId="3037"/>
    <cellStyle name="Assumptions Right Percentage 6 2" xfId="3782"/>
    <cellStyle name="Assumptions Right Percentage 6 2 2" xfId="7201"/>
    <cellStyle name="Assumptions Right Percentage 6 3" xfId="5938"/>
    <cellStyle name="Assumptions Right Percentage 6 3 2" xfId="9832"/>
    <cellStyle name="Assumptions Right Percentage 6 4" xfId="7515"/>
    <cellStyle name="Assumptions Right Percentage 7" xfId="2819"/>
    <cellStyle name="Assumptions Right Percentage 7 2" xfId="3902"/>
    <cellStyle name="Assumptions Right Percentage 7 2 2" xfId="7234"/>
    <cellStyle name="Assumptions Right Percentage 7 3" xfId="5753"/>
    <cellStyle name="Assumptions Right Percentage 7 3 2" xfId="8046"/>
    <cellStyle name="Assumptions Right Percentage 7 4" xfId="7446"/>
    <cellStyle name="Assumptions Right Percentage 8" xfId="3034"/>
    <cellStyle name="Assumptions Right Percentage 8 2" xfId="3785"/>
    <cellStyle name="Assumptions Right Percentage 8 2 2" xfId="8126"/>
    <cellStyle name="Assumptions Right Percentage 8 3" xfId="5935"/>
    <cellStyle name="Assumptions Right Percentage 8 3 2" xfId="9829"/>
    <cellStyle name="Assumptions Right Percentage 8 4" xfId="8279"/>
    <cellStyle name="Assumptions Right Percentage 9" xfId="2832"/>
    <cellStyle name="Assumptions Right Percentage 9 2" xfId="4229"/>
    <cellStyle name="Assumptions Right Percentage 9 2 2" xfId="8519"/>
    <cellStyle name="Assumptions Right Percentage 9 3" xfId="5765"/>
    <cellStyle name="Assumptions Right Percentage 9 3 2" xfId="7653"/>
    <cellStyle name="Assumptions Right Percentage 9 4" xfId="6784"/>
    <cellStyle name="Assumptions Right Year" xfId="971"/>
    <cellStyle name="Assumptions Right Year 10" xfId="2968"/>
    <cellStyle name="Assumptions Right Year 10 2" xfId="3820"/>
    <cellStyle name="Assumptions Right Year 10 2 2" xfId="7664"/>
    <cellStyle name="Assumptions Right Year 10 3" xfId="5885"/>
    <cellStyle name="Assumptions Right Year 10 3 2" xfId="9779"/>
    <cellStyle name="Assumptions Right Year 10 4" xfId="7643"/>
    <cellStyle name="Assumptions Right Year 11" xfId="3407"/>
    <cellStyle name="Assumptions Right Year 11 2" xfId="4981"/>
    <cellStyle name="Assumptions Right Year 11 2 2" xfId="6381"/>
    <cellStyle name="Assumptions Right Year 11 3" xfId="7900"/>
    <cellStyle name="Assumptions Right Year 12" xfId="4001"/>
    <cellStyle name="Assumptions Right Year 12 2" xfId="9570"/>
    <cellStyle name="Assumptions Right Year 13" xfId="8356"/>
    <cellStyle name="Assumptions Right Year 2" xfId="972"/>
    <cellStyle name="Assumptions Right Year 2 10" xfId="3408"/>
    <cellStyle name="Assumptions Right Year 2 10 2" xfId="4982"/>
    <cellStyle name="Assumptions Right Year 2 10 2 2" xfId="9640"/>
    <cellStyle name="Assumptions Right Year 2 10 3" xfId="9631"/>
    <cellStyle name="Assumptions Right Year 2 11" xfId="4000"/>
    <cellStyle name="Assumptions Right Year 2 11 2" xfId="6533"/>
    <cellStyle name="Assumptions Right Year 2 12" xfId="6613"/>
    <cellStyle name="Assumptions Right Year 2 2" xfId="1733"/>
    <cellStyle name="Assumptions Right Year 2 2 10" xfId="3476"/>
    <cellStyle name="Assumptions Right Year 2 2 10 2" xfId="5046"/>
    <cellStyle name="Assumptions Right Year 2 2 10 2 2" xfId="9514"/>
    <cellStyle name="Assumptions Right Year 2 2 10 3" xfId="8710"/>
    <cellStyle name="Assumptions Right Year 2 2 11" xfId="3624"/>
    <cellStyle name="Assumptions Right Year 2 2 11 2" xfId="9474"/>
    <cellStyle name="Assumptions Right Year 2 2 12" xfId="8312"/>
    <cellStyle name="Assumptions Right Year 2 2 2" xfId="1602"/>
    <cellStyle name="Assumptions Right Year 2 2 2 10" xfId="6241"/>
    <cellStyle name="Assumptions Right Year 2 2 2 2" xfId="2442"/>
    <cellStyle name="Assumptions Right Year 2 2 2 2 2" xfId="2576"/>
    <cellStyle name="Assumptions Right Year 2 2 2 2 2 2" xfId="4714"/>
    <cellStyle name="Assumptions Right Year 2 2 2 2 2 2 2" xfId="6404"/>
    <cellStyle name="Assumptions Right Year 2 2 2 2 2 3" xfId="7193"/>
    <cellStyle name="Assumptions Right Year 2 2 2 2 3" xfId="4421"/>
    <cellStyle name="Assumptions Right Year 2 2 2 2 3 2" xfId="9059"/>
    <cellStyle name="Assumptions Right Year 2 2 2 2 4" xfId="7660"/>
    <cellStyle name="Assumptions Right Year 2 2 2 3" xfId="2213"/>
    <cellStyle name="Assumptions Right Year 2 2 2 3 2" xfId="2974"/>
    <cellStyle name="Assumptions Right Year 2 2 2 3 2 2" xfId="3591"/>
    <cellStyle name="Assumptions Right Year 2 2 2 3 2 2 2" xfId="9642"/>
    <cellStyle name="Assumptions Right Year 2 2 2 3 2 3" xfId="8123"/>
    <cellStyle name="Assumptions Right Year 2 2 2 3 3" xfId="4410"/>
    <cellStyle name="Assumptions Right Year 2 2 2 3 3 2" xfId="9577"/>
    <cellStyle name="Assumptions Right Year 2 2 2 3 4" xfId="5619"/>
    <cellStyle name="Assumptions Right Year 2 2 2 3 4 2" xfId="7527"/>
    <cellStyle name="Assumptions Right Year 2 2 2 3 5" xfId="9209"/>
    <cellStyle name="Assumptions Right Year 2 2 2 4" xfId="2304"/>
    <cellStyle name="Assumptions Right Year 2 2 2 4 2" xfId="4878"/>
    <cellStyle name="Assumptions Right Year 2 2 2 4 2 2" xfId="9371"/>
    <cellStyle name="Assumptions Right Year 2 2 2 4 3" xfId="5652"/>
    <cellStyle name="Assumptions Right Year 2 2 2 4 3 2" xfId="8186"/>
    <cellStyle name="Assumptions Right Year 2 2 2 4 4" xfId="6916"/>
    <cellStyle name="Assumptions Right Year 2 2 2 5" xfId="2992"/>
    <cellStyle name="Assumptions Right Year 2 2 2 5 2" xfId="4146"/>
    <cellStyle name="Assumptions Right Year 2 2 2 5 2 2" xfId="9340"/>
    <cellStyle name="Assumptions Right Year 2 2 2 5 3" xfId="5895"/>
    <cellStyle name="Assumptions Right Year 2 2 2 5 3 2" xfId="9789"/>
    <cellStyle name="Assumptions Right Year 2 2 2 5 4" xfId="8579"/>
    <cellStyle name="Assumptions Right Year 2 2 2 6" xfId="3085"/>
    <cellStyle name="Assumptions Right Year 2 2 2 6 2" xfId="3758"/>
    <cellStyle name="Assumptions Right Year 2 2 2 6 2 2" xfId="7367"/>
    <cellStyle name="Assumptions Right Year 2 2 2 6 3" xfId="5982"/>
    <cellStyle name="Assumptions Right Year 2 2 2 6 3 2" xfId="9876"/>
    <cellStyle name="Assumptions Right Year 2 2 2 6 4" xfId="9217"/>
    <cellStyle name="Assumptions Right Year 2 2 2 7" xfId="3189"/>
    <cellStyle name="Assumptions Right Year 2 2 2 7 2" xfId="4126"/>
    <cellStyle name="Assumptions Right Year 2 2 2 7 2 2" xfId="7380"/>
    <cellStyle name="Assumptions Right Year 2 2 2 7 3" xfId="6079"/>
    <cellStyle name="Assumptions Right Year 2 2 2 7 3 2" xfId="9973"/>
    <cellStyle name="Assumptions Right Year 2 2 2 7 4" xfId="8016"/>
    <cellStyle name="Assumptions Right Year 2 2 2 8" xfId="3441"/>
    <cellStyle name="Assumptions Right Year 2 2 2 8 2" xfId="5012"/>
    <cellStyle name="Assumptions Right Year 2 2 2 8 2 2" xfId="9588"/>
    <cellStyle name="Assumptions Right Year 2 2 2 8 3" xfId="6703"/>
    <cellStyle name="Assumptions Right Year 2 2 2 9" xfId="4243"/>
    <cellStyle name="Assumptions Right Year 2 2 2 9 2" xfId="8226"/>
    <cellStyle name="Assumptions Right Year 2 2 3" xfId="2298"/>
    <cellStyle name="Assumptions Right Year 2 2 3 2" xfId="2694"/>
    <cellStyle name="Assumptions Right Year 2 2 3 2 2" xfId="3959"/>
    <cellStyle name="Assumptions Right Year 2 2 3 2 2 2" xfId="6277"/>
    <cellStyle name="Assumptions Right Year 2 2 3 2 3" xfId="6659"/>
    <cellStyle name="Assumptions Right Year 2 2 3 3" xfId="4675"/>
    <cellStyle name="Assumptions Right Year 2 2 3 3 2" xfId="8375"/>
    <cellStyle name="Assumptions Right Year 2 2 3 4" xfId="5123"/>
    <cellStyle name="Assumptions Right Year 2 2 3 4 2" xfId="9717"/>
    <cellStyle name="Assumptions Right Year 2 2 3 5" xfId="5524"/>
    <cellStyle name="Assumptions Right Year 2 2 3 5 2" xfId="8471"/>
    <cellStyle name="Assumptions Right Year 2 2 3 6" xfId="8388"/>
    <cellStyle name="Assumptions Right Year 2 2 4" xfId="2258"/>
    <cellStyle name="Assumptions Right Year 2 2 4 2" xfId="4469"/>
    <cellStyle name="Assumptions Right Year 2 2 4 2 2" xfId="9366"/>
    <cellStyle name="Assumptions Right Year 2 2 4 3" xfId="5552"/>
    <cellStyle name="Assumptions Right Year 2 2 4 3 2" xfId="7666"/>
    <cellStyle name="Assumptions Right Year 2 2 4 4" xfId="9293"/>
    <cellStyle name="Assumptions Right Year 2 2 5" xfId="2943"/>
    <cellStyle name="Assumptions Right Year 2 2 5 2" xfId="3839"/>
    <cellStyle name="Assumptions Right Year 2 2 5 2 2" xfId="9665"/>
    <cellStyle name="Assumptions Right Year 2 2 5 3" xfId="5863"/>
    <cellStyle name="Assumptions Right Year 2 2 5 3 2" xfId="7533"/>
    <cellStyle name="Assumptions Right Year 2 2 5 4" xfId="7724"/>
    <cellStyle name="Assumptions Right Year 2 2 6" xfId="2969"/>
    <cellStyle name="Assumptions Right Year 2 2 6 2" xfId="3819"/>
    <cellStyle name="Assumptions Right Year 2 2 6 2 2" xfId="9011"/>
    <cellStyle name="Assumptions Right Year 2 2 6 3" xfId="5886"/>
    <cellStyle name="Assumptions Right Year 2 2 6 3 2" xfId="9780"/>
    <cellStyle name="Assumptions Right Year 2 2 6 4" xfId="7509"/>
    <cellStyle name="Assumptions Right Year 2 2 7" xfId="3022"/>
    <cellStyle name="Assumptions Right Year 2 2 7 2" xfId="3794"/>
    <cellStyle name="Assumptions Right Year 2 2 7 2 2" xfId="8863"/>
    <cellStyle name="Assumptions Right Year 2 2 7 3" xfId="5924"/>
    <cellStyle name="Assumptions Right Year 2 2 7 3 2" xfId="9818"/>
    <cellStyle name="Assumptions Right Year 2 2 7 4" xfId="8150"/>
    <cellStyle name="Assumptions Right Year 2 2 8" xfId="3295"/>
    <cellStyle name="Assumptions Right Year 2 2 8 2" xfId="3674"/>
    <cellStyle name="Assumptions Right Year 2 2 8 2 2" xfId="9624"/>
    <cellStyle name="Assumptions Right Year 2 2 8 3" xfId="6164"/>
    <cellStyle name="Assumptions Right Year 2 2 8 3 2" xfId="10058"/>
    <cellStyle name="Assumptions Right Year 2 2 8 4" xfId="9391"/>
    <cellStyle name="Assumptions Right Year 2 2 9" xfId="3347"/>
    <cellStyle name="Assumptions Right Year 2 2 9 2" xfId="4938"/>
    <cellStyle name="Assumptions Right Year 2 2 9 2 2" xfId="9441"/>
    <cellStyle name="Assumptions Right Year 2 2 9 3" xfId="6214"/>
    <cellStyle name="Assumptions Right Year 2 2 9 3 2" xfId="10108"/>
    <cellStyle name="Assumptions Right Year 2 2 9 4" xfId="6967"/>
    <cellStyle name="Assumptions Right Year 2 3" xfId="2236"/>
    <cellStyle name="Assumptions Right Year 2 3 2" xfId="2664"/>
    <cellStyle name="Assumptions Right Year 2 3 2 2" xfId="4695"/>
    <cellStyle name="Assumptions Right Year 2 3 2 2 2" xfId="6602"/>
    <cellStyle name="Assumptions Right Year 2 3 2 3" xfId="7008"/>
    <cellStyle name="Assumptions Right Year 2 3 3" xfId="4693"/>
    <cellStyle name="Assumptions Right Year 2 3 3 2" xfId="8608"/>
    <cellStyle name="Assumptions Right Year 2 3 4" xfId="5281"/>
    <cellStyle name="Assumptions Right Year 2 3 4 2" xfId="8390"/>
    <cellStyle name="Assumptions Right Year 2 3 5" xfId="5495"/>
    <cellStyle name="Assumptions Right Year 2 3 5 2" xfId="7383"/>
    <cellStyle name="Assumptions Right Year 2 3 6" xfId="7858"/>
    <cellStyle name="Assumptions Right Year 2 4" xfId="2280"/>
    <cellStyle name="Assumptions Right Year 2 4 2" xfId="4106"/>
    <cellStyle name="Assumptions Right Year 2 4 2 2" xfId="7286"/>
    <cellStyle name="Assumptions Right Year 2 4 3" xfId="5436"/>
    <cellStyle name="Assumptions Right Year 2 4 3 2" xfId="6340"/>
    <cellStyle name="Assumptions Right Year 2 4 4" xfId="7277"/>
    <cellStyle name="Assumptions Right Year 2 5" xfId="2844"/>
    <cellStyle name="Assumptions Right Year 2 5 2" xfId="4267"/>
    <cellStyle name="Assumptions Right Year 2 5 2 2" xfId="6694"/>
    <cellStyle name="Assumptions Right Year 2 5 3" xfId="5776"/>
    <cellStyle name="Assumptions Right Year 2 5 3 2" xfId="8175"/>
    <cellStyle name="Assumptions Right Year 2 5 4" xfId="7334"/>
    <cellStyle name="Assumptions Right Year 2 6" xfId="2822"/>
    <cellStyle name="Assumptions Right Year 2 6 2" xfId="3901"/>
    <cellStyle name="Assumptions Right Year 2 6 2 2" xfId="8554"/>
    <cellStyle name="Assumptions Right Year 2 6 3" xfId="5756"/>
    <cellStyle name="Assumptions Right Year 2 6 3 2" xfId="7633"/>
    <cellStyle name="Assumptions Right Year 2 6 4" xfId="9047"/>
    <cellStyle name="Assumptions Right Year 2 7" xfId="3125"/>
    <cellStyle name="Assumptions Right Year 2 7 2" xfId="3730"/>
    <cellStyle name="Assumptions Right Year 2 7 2 2" xfId="6405"/>
    <cellStyle name="Assumptions Right Year 2 7 3" xfId="6021"/>
    <cellStyle name="Assumptions Right Year 2 7 3 2" xfId="9915"/>
    <cellStyle name="Assumptions Right Year 2 7 4" xfId="8211"/>
    <cellStyle name="Assumptions Right Year 2 8" xfId="3177"/>
    <cellStyle name="Assumptions Right Year 2 8 2" xfId="4127"/>
    <cellStyle name="Assumptions Right Year 2 8 2 2" xfId="9729"/>
    <cellStyle name="Assumptions Right Year 2 8 3" xfId="6069"/>
    <cellStyle name="Assumptions Right Year 2 8 3 2" xfId="9963"/>
    <cellStyle name="Assumptions Right Year 2 8 4" xfId="9297"/>
    <cellStyle name="Assumptions Right Year 2 9" xfId="3087"/>
    <cellStyle name="Assumptions Right Year 2 9 2" xfId="4044"/>
    <cellStyle name="Assumptions Right Year 2 9 2 2" xfId="7256"/>
    <cellStyle name="Assumptions Right Year 2 9 3" xfId="5984"/>
    <cellStyle name="Assumptions Right Year 2 9 3 2" xfId="9878"/>
    <cellStyle name="Assumptions Right Year 2 9 4" xfId="9271"/>
    <cellStyle name="Assumptions Right Year 3" xfId="1732"/>
    <cellStyle name="Assumptions Right Year 3 10" xfId="3475"/>
    <cellStyle name="Assumptions Right Year 3 10 2" xfId="5045"/>
    <cellStyle name="Assumptions Right Year 3 10 2 2" xfId="8276"/>
    <cellStyle name="Assumptions Right Year 3 10 3" xfId="9568"/>
    <cellStyle name="Assumptions Right Year 3 11" xfId="3625"/>
    <cellStyle name="Assumptions Right Year 3 11 2" xfId="8587"/>
    <cellStyle name="Assumptions Right Year 3 12" xfId="7725"/>
    <cellStyle name="Assumptions Right Year 3 2" xfId="1576"/>
    <cellStyle name="Assumptions Right Year 3 2 10" xfId="8373"/>
    <cellStyle name="Assumptions Right Year 3 2 2" xfId="2429"/>
    <cellStyle name="Assumptions Right Year 3 2 2 2" xfId="2563"/>
    <cellStyle name="Assumptions Right Year 3 2 2 2 2" xfId="4658"/>
    <cellStyle name="Assumptions Right Year 3 2 2 2 2 2" xfId="9398"/>
    <cellStyle name="Assumptions Right Year 3 2 2 2 3" xfId="7892"/>
    <cellStyle name="Assumptions Right Year 3 2 2 3" xfId="4426"/>
    <cellStyle name="Assumptions Right Year 3 2 2 3 2" xfId="9167"/>
    <cellStyle name="Assumptions Right Year 3 2 2 4" xfId="6898"/>
    <cellStyle name="Assumptions Right Year 3 2 3" xfId="2222"/>
    <cellStyle name="Assumptions Right Year 3 2 3 2" xfId="3219"/>
    <cellStyle name="Assumptions Right Year 3 2 3 2 2" xfId="3696"/>
    <cellStyle name="Assumptions Right Year 3 2 3 2 2 2" xfId="8653"/>
    <cellStyle name="Assumptions Right Year 3 2 3 2 3" xfId="6556"/>
    <cellStyle name="Assumptions Right Year 3 2 3 3" xfId="3976"/>
    <cellStyle name="Assumptions Right Year 3 2 3 3 2" xfId="6640"/>
    <cellStyle name="Assumptions Right Year 3 2 3 4" xfId="5628"/>
    <cellStyle name="Assumptions Right Year 3 2 3 4 2" xfId="7394"/>
    <cellStyle name="Assumptions Right Year 3 2 3 5" xfId="7247"/>
    <cellStyle name="Assumptions Right Year 3 2 4" xfId="2130"/>
    <cellStyle name="Assumptions Right Year 3 2 4 2" xfId="4808"/>
    <cellStyle name="Assumptions Right Year 3 2 4 2 2" xfId="9599"/>
    <cellStyle name="Assumptions Right Year 3 2 4 3" xfId="5587"/>
    <cellStyle name="Assumptions Right Year 3 2 4 3 2" xfId="6436"/>
    <cellStyle name="Assumptions Right Year 3 2 4 4" xfId="7021"/>
    <cellStyle name="Assumptions Right Year 3 2 5" xfId="2876"/>
    <cellStyle name="Assumptions Right Year 3 2 5 2" xfId="3874"/>
    <cellStyle name="Assumptions Right Year 3 2 5 2 2" xfId="6254"/>
    <cellStyle name="Assumptions Right Year 3 2 5 3" xfId="5807"/>
    <cellStyle name="Assumptions Right Year 3 2 5 3 2" xfId="6244"/>
    <cellStyle name="Assumptions Right Year 3 2 5 4" xfId="7222"/>
    <cellStyle name="Assumptions Right Year 3 2 6" xfId="2868"/>
    <cellStyle name="Assumptions Right Year 3 2 6 2" xfId="3882"/>
    <cellStyle name="Assumptions Right Year 3 2 6 2 2" xfId="7576"/>
    <cellStyle name="Assumptions Right Year 3 2 6 3" xfId="5799"/>
    <cellStyle name="Assumptions Right Year 3 2 6 3 2" xfId="6513"/>
    <cellStyle name="Assumptions Right Year 3 2 6 4" xfId="9590"/>
    <cellStyle name="Assumptions Right Year 3 2 7" xfId="2885"/>
    <cellStyle name="Assumptions Right Year 3 2 7 2" xfId="3867"/>
    <cellStyle name="Assumptions Right Year 3 2 7 2 2" xfId="8848"/>
    <cellStyle name="Assumptions Right Year 3 2 7 3" xfId="5816"/>
    <cellStyle name="Assumptions Right Year 3 2 7 3 2" xfId="6601"/>
    <cellStyle name="Assumptions Right Year 3 2 7 4" xfId="7683"/>
    <cellStyle name="Assumptions Right Year 3 2 8" xfId="3429"/>
    <cellStyle name="Assumptions Right Year 3 2 8 2" xfId="5000"/>
    <cellStyle name="Assumptions Right Year 3 2 8 2 2" xfId="8585"/>
    <cellStyle name="Assumptions Right Year 3 2 8 3" xfId="6243"/>
    <cellStyle name="Assumptions Right Year 3 2 9" xfId="4685"/>
    <cellStyle name="Assumptions Right Year 3 2 9 2" xfId="8975"/>
    <cellStyle name="Assumptions Right Year 3 3" xfId="2318"/>
    <cellStyle name="Assumptions Right Year 3 3 2" xfId="2693"/>
    <cellStyle name="Assumptions Right Year 3 3 2 2" xfId="3609"/>
    <cellStyle name="Assumptions Right Year 3 3 2 2 2" xfId="8583"/>
    <cellStyle name="Assumptions Right Year 3 3 2 3" xfId="7186"/>
    <cellStyle name="Assumptions Right Year 3 3 3" xfId="4767"/>
    <cellStyle name="Assumptions Right Year 3 3 3 2" xfId="7368"/>
    <cellStyle name="Assumptions Right Year 3 3 4" xfId="5181"/>
    <cellStyle name="Assumptions Right Year 3 3 4 2" xfId="8693"/>
    <cellStyle name="Assumptions Right Year 3 3 5" xfId="5523"/>
    <cellStyle name="Assumptions Right Year 3 3 5 2" xfId="7030"/>
    <cellStyle name="Assumptions Right Year 3 3 6" xfId="6307"/>
    <cellStyle name="Assumptions Right Year 3 4" xfId="2326"/>
    <cellStyle name="Assumptions Right Year 3 4 2" xfId="4727"/>
    <cellStyle name="Assumptions Right Year 3 4 2 2" xfId="8421"/>
    <cellStyle name="Assumptions Right Year 3 4 3" xfId="5551"/>
    <cellStyle name="Assumptions Right Year 3 4 3 2" xfId="8477"/>
    <cellStyle name="Assumptions Right Year 3 4 4" xfId="6972"/>
    <cellStyle name="Assumptions Right Year 3 5" xfId="2944"/>
    <cellStyle name="Assumptions Right Year 3 5 2" xfId="3838"/>
    <cellStyle name="Assumptions Right Year 3 5 2 2" xfId="8389"/>
    <cellStyle name="Assumptions Right Year 3 5 3" xfId="5864"/>
    <cellStyle name="Assumptions Right Year 3 5 3 2" xfId="6829"/>
    <cellStyle name="Assumptions Right Year 3 5 4" xfId="7637"/>
    <cellStyle name="Assumptions Right Year 3 6" xfId="3208"/>
    <cellStyle name="Assumptions Right Year 3 6 2" xfId="4258"/>
    <cellStyle name="Assumptions Right Year 3 6 2 2" xfId="7445"/>
    <cellStyle name="Assumptions Right Year 3 6 3" xfId="6096"/>
    <cellStyle name="Assumptions Right Year 3 6 3 2" xfId="9990"/>
    <cellStyle name="Assumptions Right Year 3 6 4" xfId="8249"/>
    <cellStyle name="Assumptions Right Year 3 7" xfId="3234"/>
    <cellStyle name="Assumptions Right Year 3 7 2" xfId="4314"/>
    <cellStyle name="Assumptions Right Year 3 7 2 2" xfId="8568"/>
    <cellStyle name="Assumptions Right Year 3 7 3" xfId="6116"/>
    <cellStyle name="Assumptions Right Year 3 7 3 2" xfId="10010"/>
    <cellStyle name="Assumptions Right Year 3 7 4" xfId="7059"/>
    <cellStyle name="Assumptions Right Year 3 8" xfId="2777"/>
    <cellStyle name="Assumptions Right Year 3 8 2" xfId="3935"/>
    <cellStyle name="Assumptions Right Year 3 8 2 2" xfId="8512"/>
    <cellStyle name="Assumptions Right Year 3 8 3" xfId="5714"/>
    <cellStyle name="Assumptions Right Year 3 8 3 2" xfId="6730"/>
    <cellStyle name="Assumptions Right Year 3 8 4" xfId="7542"/>
    <cellStyle name="Assumptions Right Year 3 9" xfId="3147"/>
    <cellStyle name="Assumptions Right Year 3 9 2" xfId="4074"/>
    <cellStyle name="Assumptions Right Year 3 9 2 2" xfId="9758"/>
    <cellStyle name="Assumptions Right Year 3 9 3" xfId="6041"/>
    <cellStyle name="Assumptions Right Year 3 9 3 2" xfId="9935"/>
    <cellStyle name="Assumptions Right Year 3 9 4" xfId="6512"/>
    <cellStyle name="Assumptions Right Year 4" xfId="2157"/>
    <cellStyle name="Assumptions Right Year 4 2" xfId="2663"/>
    <cellStyle name="Assumptions Right Year 4 2 2" xfId="4415"/>
    <cellStyle name="Assumptions Right Year 4 2 2 2" xfId="7391"/>
    <cellStyle name="Assumptions Right Year 4 2 3" xfId="8139"/>
    <cellStyle name="Assumptions Right Year 4 3" xfId="4300"/>
    <cellStyle name="Assumptions Right Year 4 3 2" xfId="7135"/>
    <cellStyle name="Assumptions Right Year 4 4" xfId="5194"/>
    <cellStyle name="Assumptions Right Year 4 4 2" xfId="8613"/>
    <cellStyle name="Assumptions Right Year 4 5" xfId="5494"/>
    <cellStyle name="Assumptions Right Year 4 5 2" xfId="7610"/>
    <cellStyle name="Assumptions Right Year 4 6" xfId="8223"/>
    <cellStyle name="Assumptions Right Year 5" xfId="2115"/>
    <cellStyle name="Assumptions Right Year 5 2" xfId="4592"/>
    <cellStyle name="Assumptions Right Year 5 2 2" xfId="7130"/>
    <cellStyle name="Assumptions Right Year 5 3" xfId="5437"/>
    <cellStyle name="Assumptions Right Year 5 3 2" xfId="7071"/>
    <cellStyle name="Assumptions Right Year 5 4" xfId="8060"/>
    <cellStyle name="Assumptions Right Year 6" xfId="3035"/>
    <cellStyle name="Assumptions Right Year 6 2" xfId="3784"/>
    <cellStyle name="Assumptions Right Year 6 2 2" xfId="6697"/>
    <cellStyle name="Assumptions Right Year 6 3" xfId="5936"/>
    <cellStyle name="Assumptions Right Year 6 3 2" xfId="9830"/>
    <cellStyle name="Assumptions Right Year 6 4" xfId="6669"/>
    <cellStyle name="Assumptions Right Year 7" xfId="2821"/>
    <cellStyle name="Assumptions Right Year 7 2" xfId="4088"/>
    <cellStyle name="Assumptions Right Year 7 2 2" xfId="7370"/>
    <cellStyle name="Assumptions Right Year 7 3" xfId="5755"/>
    <cellStyle name="Assumptions Right Year 7 3 2" xfId="7621"/>
    <cellStyle name="Assumptions Right Year 7 4" xfId="9465"/>
    <cellStyle name="Assumptions Right Year 8" xfId="3318"/>
    <cellStyle name="Assumptions Right Year 8 2" xfId="3537"/>
    <cellStyle name="Assumptions Right Year 8 2 2" xfId="6545"/>
    <cellStyle name="Assumptions Right Year 8 3" xfId="6186"/>
    <cellStyle name="Assumptions Right Year 8 3 2" xfId="10080"/>
    <cellStyle name="Assumptions Right Year 8 4" xfId="7146"/>
    <cellStyle name="Assumptions Right Year 9" xfId="3277"/>
    <cellStyle name="Assumptions Right Year 9 2" xfId="4185"/>
    <cellStyle name="Assumptions Right Year 9 2 2" xfId="8706"/>
    <cellStyle name="Assumptions Right Year 9 3" xfId="6151"/>
    <cellStyle name="Assumptions Right Year 9 3 2" xfId="10045"/>
    <cellStyle name="Assumptions Right Year 9 4" xfId="8331"/>
    <cellStyle name="B79812_.wvu.PrintTitlest" xfId="130"/>
    <cellStyle name="Bad 2" xfId="131"/>
    <cellStyle name="Bad 2 2" xfId="973"/>
    <cellStyle name="Bad 2 2 2" xfId="1970"/>
    <cellStyle name="Bad 2 3" xfId="1969"/>
    <cellStyle name="Bad 3" xfId="974"/>
    <cellStyle name="Bad 3 2" xfId="2072"/>
    <cellStyle name="Black" xfId="132"/>
    <cellStyle name="Blockout" xfId="133"/>
    <cellStyle name="Blockout 2" xfId="37"/>
    <cellStyle name="Blockout 2 2" xfId="975"/>
    <cellStyle name="Blockout 3" xfId="134"/>
    <cellStyle name="Blockout 3 2" xfId="976"/>
    <cellStyle name="Blue" xfId="135"/>
    <cellStyle name="Calculation 2" xfId="136"/>
    <cellStyle name="Calculation 2 2" xfId="137"/>
    <cellStyle name="Calculation 2 2 2" xfId="977"/>
    <cellStyle name="Calculation 2 2 3" xfId="1972"/>
    <cellStyle name="Calculation 2 3" xfId="138"/>
    <cellStyle name="Calculation 2 3 2" xfId="978"/>
    <cellStyle name="Calculation 2 4" xfId="979"/>
    <cellStyle name="Calculation 2 5" xfId="980"/>
    <cellStyle name="Calculation 2 6" xfId="1971"/>
    <cellStyle name="Calculation 3" xfId="981"/>
    <cellStyle name="Calculation 3 2" xfId="2073"/>
    <cellStyle name="Calculation 4" xfId="982"/>
    <cellStyle name="Calculation 5" xfId="983"/>
    <cellStyle name="Calculation 6" xfId="984"/>
    <cellStyle name="CaptionC" xfId="985"/>
    <cellStyle name="CaptionL" xfId="986"/>
    <cellStyle name="Cell Link" xfId="987"/>
    <cellStyle name="Center Currency" xfId="988"/>
    <cellStyle name="Center Date" xfId="989"/>
    <cellStyle name="Center Multiple" xfId="990"/>
    <cellStyle name="Center Number" xfId="991"/>
    <cellStyle name="Center Percentage" xfId="992"/>
    <cellStyle name="Center Year" xfId="993"/>
    <cellStyle name="Check Cell 2" xfId="139"/>
    <cellStyle name="Check Cell 2 2" xfId="994"/>
    <cellStyle name="Check Cell 2 2 2" xfId="1974"/>
    <cellStyle name="Check Cell 2 2 2 2" xfId="140"/>
    <cellStyle name="Check Cell 2 3" xfId="1973"/>
    <cellStyle name="Check Cell 3" xfId="995"/>
    <cellStyle name="Check Cell 3 2" xfId="2074"/>
    <cellStyle name="Comma" xfId="5" builtinId="3"/>
    <cellStyle name="Comma  - Style1" xfId="996"/>
    <cellStyle name="Comma  - Style2" xfId="997"/>
    <cellStyle name="Comma  - Style3" xfId="998"/>
    <cellStyle name="Comma  - Style4" xfId="999"/>
    <cellStyle name="Comma  - Style5" xfId="1000"/>
    <cellStyle name="Comma  - Style6" xfId="1001"/>
    <cellStyle name="Comma  - Style7" xfId="1002"/>
    <cellStyle name="Comma  - Style8" xfId="1003"/>
    <cellStyle name="Comma [0]7Z_87C" xfId="141"/>
    <cellStyle name="Comma [1]" xfId="1004"/>
    <cellStyle name="Comma 0" xfId="142"/>
    <cellStyle name="Comma 1" xfId="143"/>
    <cellStyle name="Comma 1 2" xfId="144"/>
    <cellStyle name="Comma 10" xfId="145"/>
    <cellStyle name="Comma 100" xfId="10213"/>
    <cellStyle name="Comma 101" xfId="12099"/>
    <cellStyle name="Comma 102" xfId="12094"/>
    <cellStyle name="Comma 103" xfId="12098"/>
    <cellStyle name="Comma 104" xfId="12133"/>
    <cellStyle name="Comma 105" xfId="12108"/>
    <cellStyle name="Comma 106" xfId="12124"/>
    <cellStyle name="Comma 107" xfId="12121"/>
    <cellStyle name="Comma 108" xfId="12107"/>
    <cellStyle name="Comma 109" xfId="12130"/>
    <cellStyle name="Comma 11" xfId="146"/>
    <cellStyle name="Comma 110" xfId="12962"/>
    <cellStyle name="Comma 111" xfId="12082"/>
    <cellStyle name="Comma 112" xfId="12102"/>
    <cellStyle name="Comma 113" xfId="12138"/>
    <cellStyle name="Comma 114" xfId="12085"/>
    <cellStyle name="Comma 115" xfId="12127"/>
    <cellStyle name="Comma 116" xfId="12116"/>
    <cellStyle name="Comma 117" xfId="12964"/>
    <cellStyle name="Comma 118" xfId="12090"/>
    <cellStyle name="Comma 119" xfId="12096"/>
    <cellStyle name="Comma 12" xfId="1005"/>
    <cellStyle name="Comma 12 2" xfId="1570"/>
    <cellStyle name="Comma 12 3" xfId="1846"/>
    <cellStyle name="Comma 120" xfId="12963"/>
    <cellStyle name="Comma 121" xfId="12961"/>
    <cellStyle name="Comma 122" xfId="12093"/>
    <cellStyle name="Comma 123" xfId="13854"/>
    <cellStyle name="Comma 124" xfId="10208"/>
    <cellStyle name="Comma 13" xfId="1006"/>
    <cellStyle name="Comma 13 2" xfId="1637"/>
    <cellStyle name="Comma 13 3" xfId="1847"/>
    <cellStyle name="Comma 14" xfId="1007"/>
    <cellStyle name="Comma 14 2" xfId="1658"/>
    <cellStyle name="Comma 14 3" xfId="1848"/>
    <cellStyle name="Comma 15" xfId="1008"/>
    <cellStyle name="Comma 15 2" xfId="1639"/>
    <cellStyle name="Comma 15 3" xfId="1849"/>
    <cellStyle name="Comma 16" xfId="1009"/>
    <cellStyle name="Comma 16 2" xfId="1665"/>
    <cellStyle name="Comma 16 3" xfId="1850"/>
    <cellStyle name="Comma 17" xfId="1010"/>
    <cellStyle name="Comma 17 2" xfId="1649"/>
    <cellStyle name="Comma 17 3" xfId="1851"/>
    <cellStyle name="Comma 18" xfId="1011"/>
    <cellStyle name="Comma 18 10" xfId="10221"/>
    <cellStyle name="Comma 18 2" xfId="1672"/>
    <cellStyle name="Comma 18 2 2" xfId="11934"/>
    <cellStyle name="Comma 18 2 2 2" xfId="13063"/>
    <cellStyle name="Comma 18 3" xfId="1852"/>
    <cellStyle name="Comma 18 3 2" xfId="2487"/>
    <cellStyle name="Comma 18 3 2 2" xfId="4539"/>
    <cellStyle name="Comma 18 3 2 2 2" xfId="8927"/>
    <cellStyle name="Comma 18 3 2 2 2 2" xfId="11871"/>
    <cellStyle name="Comma 18 3 2 2 2 2 2" xfId="13064"/>
    <cellStyle name="Comma 18 3 2 2 2 3" xfId="12909"/>
    <cellStyle name="Comma 18 3 2 2 2 4" xfId="10991"/>
    <cellStyle name="Comma 18 3 2 2 3" xfId="11395"/>
    <cellStyle name="Comma 18 3 2 2 3 2" xfId="13065"/>
    <cellStyle name="Comma 18 3 2 2 4" xfId="12437"/>
    <cellStyle name="Comma 18 3 2 2 5" xfId="10519"/>
    <cellStyle name="Comma 18 3 2 3" xfId="5109"/>
    <cellStyle name="Comma 18 3 2 3 2" xfId="11449"/>
    <cellStyle name="Comma 18 3 2 3 2 2" xfId="13066"/>
    <cellStyle name="Comma 18 3 2 3 3" xfId="12490"/>
    <cellStyle name="Comma 18 3 2 3 4" xfId="10572"/>
    <cellStyle name="Comma 18 3 2 4" xfId="7490"/>
    <cellStyle name="Comma 18 3 2 4 2" xfId="11678"/>
    <cellStyle name="Comma 18 3 2 4 2 2" xfId="13067"/>
    <cellStyle name="Comma 18 3 2 4 3" xfId="12717"/>
    <cellStyle name="Comma 18 3 2 4 4" xfId="10799"/>
    <cellStyle name="Comma 18 3 2 5" xfId="11214"/>
    <cellStyle name="Comma 18 3 2 5 2" xfId="13068"/>
    <cellStyle name="Comma 18 3 2 6" xfId="12245"/>
    <cellStyle name="Comma 18 3 2 7" xfId="10340"/>
    <cellStyle name="Comma 18 3 3" xfId="4362"/>
    <cellStyle name="Comma 18 3 3 2" xfId="8798"/>
    <cellStyle name="Comma 18 3 3 2 2" xfId="11783"/>
    <cellStyle name="Comma 18 3 3 2 2 2" xfId="13069"/>
    <cellStyle name="Comma 18 3 3 2 3" xfId="12821"/>
    <cellStyle name="Comma 18 3 3 2 4" xfId="10903"/>
    <cellStyle name="Comma 18 3 3 3" xfId="11307"/>
    <cellStyle name="Comma 18 3 3 3 2" xfId="13070"/>
    <cellStyle name="Comma 18 3 3 4" xfId="12349"/>
    <cellStyle name="Comma 18 3 3 5" xfId="10431"/>
    <cellStyle name="Comma 18 3 4" xfId="5234"/>
    <cellStyle name="Comma 18 3 4 2" xfId="11497"/>
    <cellStyle name="Comma 18 3 4 2 2" xfId="13071"/>
    <cellStyle name="Comma 18 3 4 3" xfId="12538"/>
    <cellStyle name="Comma 18 3 4 4" xfId="10620"/>
    <cellStyle name="Comma 18 3 5" xfId="7314"/>
    <cellStyle name="Comma 18 3 5 2" xfId="11661"/>
    <cellStyle name="Comma 18 3 5 2 2" xfId="13072"/>
    <cellStyle name="Comma 18 3 5 3" xfId="12700"/>
    <cellStyle name="Comma 18 3 5 4" xfId="10782"/>
    <cellStyle name="Comma 18 3 6" xfId="11128"/>
    <cellStyle name="Comma 18 3 6 2" xfId="13073"/>
    <cellStyle name="Comma 18 3 7" xfId="12179"/>
    <cellStyle name="Comma 18 3 8" xfId="10255"/>
    <cellStyle name="Comma 18 4" xfId="2390"/>
    <cellStyle name="Comma 18 4 2" xfId="4504"/>
    <cellStyle name="Comma 18 4 2 2" xfId="8892"/>
    <cellStyle name="Comma 18 4 2 2 2" xfId="11836"/>
    <cellStyle name="Comma 18 4 2 2 2 2" xfId="13074"/>
    <cellStyle name="Comma 18 4 2 2 3" xfId="12874"/>
    <cellStyle name="Comma 18 4 2 2 4" xfId="10956"/>
    <cellStyle name="Comma 18 4 2 3" xfId="11360"/>
    <cellStyle name="Comma 18 4 2 3 2" xfId="13075"/>
    <cellStyle name="Comma 18 4 2 4" xfId="12402"/>
    <cellStyle name="Comma 18 4 2 5" xfId="10484"/>
    <cellStyle name="Comma 18 4 3" xfId="5316"/>
    <cellStyle name="Comma 18 4 3 2" xfId="11533"/>
    <cellStyle name="Comma 18 4 3 2 2" xfId="13076"/>
    <cellStyle name="Comma 18 4 3 3" xfId="12574"/>
    <cellStyle name="Comma 18 4 3 4" xfId="10656"/>
    <cellStyle name="Comma 18 4 4" xfId="7378"/>
    <cellStyle name="Comma 18 4 4 2" xfId="11667"/>
    <cellStyle name="Comma 18 4 4 2 2" xfId="13077"/>
    <cellStyle name="Comma 18 4 4 3" xfId="12706"/>
    <cellStyle name="Comma 18 4 4 4" xfId="10788"/>
    <cellStyle name="Comma 18 4 5" xfId="11179"/>
    <cellStyle name="Comma 18 4 5 2" xfId="13078"/>
    <cellStyle name="Comma 18 4 6" xfId="12211"/>
    <cellStyle name="Comma 18 4 7" xfId="10305"/>
    <cellStyle name="Comma 18 5" xfId="4326"/>
    <cellStyle name="Comma 18 5 2" xfId="8763"/>
    <cellStyle name="Comma 18 5 2 2" xfId="11748"/>
    <cellStyle name="Comma 18 5 2 2 2" xfId="13079"/>
    <cellStyle name="Comma 18 5 2 3" xfId="12786"/>
    <cellStyle name="Comma 18 5 2 4" xfId="10868"/>
    <cellStyle name="Comma 18 5 3" xfId="11272"/>
    <cellStyle name="Comma 18 5 3 2" xfId="13080"/>
    <cellStyle name="Comma 18 5 4" xfId="12314"/>
    <cellStyle name="Comma 18 5 5" xfId="10396"/>
    <cellStyle name="Comma 18 6" xfId="5219"/>
    <cellStyle name="Comma 18 6 2" xfId="11491"/>
    <cellStyle name="Comma 18 6 2 2" xfId="13081"/>
    <cellStyle name="Comma 18 6 3" xfId="12532"/>
    <cellStyle name="Comma 18 6 4" xfId="10614"/>
    <cellStyle name="Comma 18 7" xfId="7665"/>
    <cellStyle name="Comma 18 7 2" xfId="11690"/>
    <cellStyle name="Comma 18 7 2 2" xfId="13082"/>
    <cellStyle name="Comma 18 7 3" xfId="12729"/>
    <cellStyle name="Comma 18 7 4" xfId="10811"/>
    <cellStyle name="Comma 18 8" xfId="11092"/>
    <cellStyle name="Comma 18 8 2" xfId="13083"/>
    <cellStyle name="Comma 18 9" xfId="13084"/>
    <cellStyle name="Comma 19" xfId="1012"/>
    <cellStyle name="Comma 19 10" xfId="10222"/>
    <cellStyle name="Comma 19 2" xfId="1687"/>
    <cellStyle name="Comma 19 2 2" xfId="11935"/>
    <cellStyle name="Comma 19 2 2 2" xfId="13085"/>
    <cellStyle name="Comma 19 3" xfId="1853"/>
    <cellStyle name="Comma 19 3 2" xfId="2488"/>
    <cellStyle name="Comma 19 3 2 2" xfId="4540"/>
    <cellStyle name="Comma 19 3 2 2 2" xfId="8928"/>
    <cellStyle name="Comma 19 3 2 2 2 2" xfId="11872"/>
    <cellStyle name="Comma 19 3 2 2 2 2 2" xfId="13086"/>
    <cellStyle name="Comma 19 3 2 2 2 3" xfId="12910"/>
    <cellStyle name="Comma 19 3 2 2 2 4" xfId="10992"/>
    <cellStyle name="Comma 19 3 2 2 3" xfId="11396"/>
    <cellStyle name="Comma 19 3 2 2 3 2" xfId="13087"/>
    <cellStyle name="Comma 19 3 2 2 4" xfId="12438"/>
    <cellStyle name="Comma 19 3 2 2 5" xfId="10520"/>
    <cellStyle name="Comma 19 3 2 3" xfId="5218"/>
    <cellStyle name="Comma 19 3 2 3 2" xfId="11490"/>
    <cellStyle name="Comma 19 3 2 3 2 2" xfId="13088"/>
    <cellStyle name="Comma 19 3 2 3 3" xfId="12531"/>
    <cellStyle name="Comma 19 3 2 3 4" xfId="10613"/>
    <cellStyle name="Comma 19 3 2 4" xfId="7237"/>
    <cellStyle name="Comma 19 3 2 4 2" xfId="11656"/>
    <cellStyle name="Comma 19 3 2 4 2 2" xfId="13089"/>
    <cellStyle name="Comma 19 3 2 4 3" xfId="12695"/>
    <cellStyle name="Comma 19 3 2 4 4" xfId="10777"/>
    <cellStyle name="Comma 19 3 2 5" xfId="11215"/>
    <cellStyle name="Comma 19 3 2 5 2" xfId="13090"/>
    <cellStyle name="Comma 19 3 2 6" xfId="12246"/>
    <cellStyle name="Comma 19 3 2 7" xfId="10341"/>
    <cellStyle name="Comma 19 3 3" xfId="4363"/>
    <cellStyle name="Comma 19 3 3 2" xfId="8799"/>
    <cellStyle name="Comma 19 3 3 2 2" xfId="11784"/>
    <cellStyle name="Comma 19 3 3 2 2 2" xfId="13091"/>
    <cellStyle name="Comma 19 3 3 2 3" xfId="12822"/>
    <cellStyle name="Comma 19 3 3 2 4" xfId="10904"/>
    <cellStyle name="Comma 19 3 3 3" xfId="11308"/>
    <cellStyle name="Comma 19 3 3 3 2" xfId="13092"/>
    <cellStyle name="Comma 19 3 3 4" xfId="12350"/>
    <cellStyle name="Comma 19 3 3 5" xfId="10432"/>
    <cellStyle name="Comma 19 3 4" xfId="5268"/>
    <cellStyle name="Comma 19 3 4 2" xfId="11512"/>
    <cellStyle name="Comma 19 3 4 2 2" xfId="13093"/>
    <cellStyle name="Comma 19 3 4 3" xfId="12553"/>
    <cellStyle name="Comma 19 3 4 4" xfId="10635"/>
    <cellStyle name="Comma 19 3 5" xfId="8043"/>
    <cellStyle name="Comma 19 3 5 2" xfId="11724"/>
    <cellStyle name="Comma 19 3 5 2 2" xfId="13094"/>
    <cellStyle name="Comma 19 3 5 3" xfId="12762"/>
    <cellStyle name="Comma 19 3 5 4" xfId="10844"/>
    <cellStyle name="Comma 19 3 6" xfId="11129"/>
    <cellStyle name="Comma 19 3 6 2" xfId="13095"/>
    <cellStyle name="Comma 19 3 7" xfId="12180"/>
    <cellStyle name="Comma 19 3 8" xfId="10256"/>
    <cellStyle name="Comma 19 4" xfId="2391"/>
    <cellStyle name="Comma 19 4 2" xfId="4505"/>
    <cellStyle name="Comma 19 4 2 2" xfId="8893"/>
    <cellStyle name="Comma 19 4 2 2 2" xfId="11837"/>
    <cellStyle name="Comma 19 4 2 2 2 2" xfId="13096"/>
    <cellStyle name="Comma 19 4 2 2 3" xfId="12875"/>
    <cellStyle name="Comma 19 4 2 2 4" xfId="10957"/>
    <cellStyle name="Comma 19 4 2 3" xfId="11361"/>
    <cellStyle name="Comma 19 4 2 3 2" xfId="13097"/>
    <cellStyle name="Comma 19 4 2 4" xfId="12403"/>
    <cellStyle name="Comma 19 4 2 5" xfId="10485"/>
    <cellStyle name="Comma 19 4 3" xfId="5311"/>
    <cellStyle name="Comma 19 4 3 2" xfId="11530"/>
    <cellStyle name="Comma 19 4 3 2 2" xfId="13098"/>
    <cellStyle name="Comma 19 4 3 3" xfId="12571"/>
    <cellStyle name="Comma 19 4 3 4" xfId="10653"/>
    <cellStyle name="Comma 19 4 4" xfId="8069"/>
    <cellStyle name="Comma 19 4 4 2" xfId="11727"/>
    <cellStyle name="Comma 19 4 4 2 2" xfId="13099"/>
    <cellStyle name="Comma 19 4 4 3" xfId="12765"/>
    <cellStyle name="Comma 19 4 4 4" xfId="10847"/>
    <cellStyle name="Comma 19 4 5" xfId="11180"/>
    <cellStyle name="Comma 19 4 5 2" xfId="13100"/>
    <cellStyle name="Comma 19 4 6" xfId="12212"/>
    <cellStyle name="Comma 19 4 7" xfId="10306"/>
    <cellStyle name="Comma 19 5" xfId="4327"/>
    <cellStyle name="Comma 19 5 2" xfId="8764"/>
    <cellStyle name="Comma 19 5 2 2" xfId="11749"/>
    <cellStyle name="Comma 19 5 2 2 2" xfId="13101"/>
    <cellStyle name="Comma 19 5 2 3" xfId="12787"/>
    <cellStyle name="Comma 19 5 2 4" xfId="10869"/>
    <cellStyle name="Comma 19 5 3" xfId="11273"/>
    <cellStyle name="Comma 19 5 3 2" xfId="13102"/>
    <cellStyle name="Comma 19 5 4" xfId="12315"/>
    <cellStyle name="Comma 19 5 5" xfId="10397"/>
    <cellStyle name="Comma 19 6" xfId="5285"/>
    <cellStyle name="Comma 19 6 2" xfId="11520"/>
    <cellStyle name="Comma 19 6 2 2" xfId="13103"/>
    <cellStyle name="Comma 19 6 3" xfId="12561"/>
    <cellStyle name="Comma 19 6 4" xfId="10643"/>
    <cellStyle name="Comma 19 7" xfId="6744"/>
    <cellStyle name="Comma 19 7 2" xfId="11608"/>
    <cellStyle name="Comma 19 7 2 2" xfId="13104"/>
    <cellStyle name="Comma 19 7 3" xfId="12648"/>
    <cellStyle name="Comma 19 7 4" xfId="10730"/>
    <cellStyle name="Comma 19 8" xfId="11093"/>
    <cellStyle name="Comma 19 8 2" xfId="13105"/>
    <cellStyle name="Comma 19 9" xfId="13106"/>
    <cellStyle name="Comma 2" xfId="15"/>
    <cellStyle name="Comma 2 2" xfId="147"/>
    <cellStyle name="Comma 2 2 2" xfId="148"/>
    <cellStyle name="Comma 2 2 2 2" xfId="1013"/>
    <cellStyle name="Comma 2 2 3" xfId="149"/>
    <cellStyle name="Comma 2 3" xfId="150"/>
    <cellStyle name="Comma 2 3 2" xfId="151"/>
    <cellStyle name="Comma 2 4" xfId="152"/>
    <cellStyle name="Comma 2 4 2" xfId="1014"/>
    <cellStyle name="Comma 2 5" xfId="153"/>
    <cellStyle name="Comma 2 5 2" xfId="1015"/>
    <cellStyle name="Comma 2 6" xfId="154"/>
    <cellStyle name="Comma 2 7" xfId="1588"/>
    <cellStyle name="Comma 2 8" xfId="10151"/>
    <cellStyle name="Comma 20" xfId="1683"/>
    <cellStyle name="Comma 20 2" xfId="1776"/>
    <cellStyle name="Comma 21" xfId="1695"/>
    <cellStyle name="Comma 21 2" xfId="1571"/>
    <cellStyle name="Comma 22" xfId="1773"/>
    <cellStyle name="Comma 23" xfId="1575"/>
    <cellStyle name="Comma 24" xfId="1702"/>
    <cellStyle name="Comma 25" xfId="1899"/>
    <cellStyle name="Comma 26" xfId="1900"/>
    <cellStyle name="Comma 27" xfId="34"/>
    <cellStyle name="Comma 27 2" xfId="10196"/>
    <cellStyle name="Comma 28" xfId="2155"/>
    <cellStyle name="Comma 28 2" xfId="10134"/>
    <cellStyle name="Comma 29" xfId="2363"/>
    <cellStyle name="Comma 29 2" xfId="10157"/>
    <cellStyle name="Comma 3" xfId="31"/>
    <cellStyle name="Comma 3 2" xfId="156"/>
    <cellStyle name="Comma 3 2 2" xfId="157"/>
    <cellStyle name="Comma 3 3" xfId="158"/>
    <cellStyle name="Comma 3 3 2" xfId="159"/>
    <cellStyle name="Comma 3 4" xfId="160"/>
    <cellStyle name="Comma 3 5" xfId="161"/>
    <cellStyle name="Comma 3 6" xfId="162"/>
    <cellStyle name="Comma 3 7" xfId="1556"/>
    <cellStyle name="Comma 3 8" xfId="1975"/>
    <cellStyle name="Comma 3 8 2" xfId="2531"/>
    <cellStyle name="Comma 3 8 2 2" xfId="4574"/>
    <cellStyle name="Comma 3 8 2 2 2" xfId="8962"/>
    <cellStyle name="Comma 3 8 2 2 2 2" xfId="11906"/>
    <cellStyle name="Comma 3 8 2 2 2 2 2" xfId="13107"/>
    <cellStyle name="Comma 3 8 2 2 2 3" xfId="12944"/>
    <cellStyle name="Comma 3 8 2 2 2 4" xfId="11026"/>
    <cellStyle name="Comma 3 8 2 2 3" xfId="11430"/>
    <cellStyle name="Comma 3 8 2 2 3 2" xfId="13108"/>
    <cellStyle name="Comma 3 8 2 2 4" xfId="12472"/>
    <cellStyle name="Comma 3 8 2 2 5" xfId="10554"/>
    <cellStyle name="Comma 3 8 2 3" xfId="7676"/>
    <cellStyle name="Comma 3 8 2 3 2" xfId="11692"/>
    <cellStyle name="Comma 3 8 2 3 2 2" xfId="13109"/>
    <cellStyle name="Comma 3 8 2 3 3" xfId="12731"/>
    <cellStyle name="Comma 3 8 2 3 4" xfId="10813"/>
    <cellStyle name="Comma 3 8 2 4" xfId="11249"/>
    <cellStyle name="Comma 3 8 2 4 2" xfId="13110"/>
    <cellStyle name="Comma 3 8 2 5" xfId="12293"/>
    <cellStyle name="Comma 3 8 2 6" xfId="10375"/>
    <cellStyle name="Comma 3 8 3" xfId="2624"/>
    <cellStyle name="Comma 3 8 4" xfId="4397"/>
    <cellStyle name="Comma 3 8 4 2" xfId="8833"/>
    <cellStyle name="Comma 3 8 4 2 2" xfId="11818"/>
    <cellStyle name="Comma 3 8 4 2 2 2" xfId="13111"/>
    <cellStyle name="Comma 3 8 4 2 3" xfId="12856"/>
    <cellStyle name="Comma 3 8 4 2 4" xfId="10938"/>
    <cellStyle name="Comma 3 8 4 3" xfId="11342"/>
    <cellStyle name="Comma 3 8 4 3 2" xfId="13112"/>
    <cellStyle name="Comma 3 8 4 4" xfId="12384"/>
    <cellStyle name="Comma 3 8 4 5" xfId="10466"/>
    <cellStyle name="Comma 3 8 5" xfId="7864"/>
    <cellStyle name="Comma 3 8 5 2" xfId="11708"/>
    <cellStyle name="Comma 3 8 5 2 2" xfId="13113"/>
    <cellStyle name="Comma 3 8 5 3" xfId="12746"/>
    <cellStyle name="Comma 3 8 5 4" xfId="10828"/>
    <cellStyle name="Comma 3 8 6" xfId="11163"/>
    <cellStyle name="Comma 3 8 6 2" xfId="13114"/>
    <cellStyle name="Comma 3 8 7" xfId="12177"/>
    <cellStyle name="Comma 3 8 8" xfId="10290"/>
    <cellStyle name="Comma 3 9" xfId="155"/>
    <cellStyle name="Comma 30" xfId="2722"/>
    <cellStyle name="Comma 30 2" xfId="11931"/>
    <cellStyle name="Comma 31" xfId="2721"/>
    <cellStyle name="Comma 32" xfId="2730"/>
    <cellStyle name="Comma 33" xfId="2742"/>
    <cellStyle name="Comma 34" xfId="2717"/>
    <cellStyle name="Comma 35" xfId="2621"/>
    <cellStyle name="Comma 36" xfId="2731"/>
    <cellStyle name="Comma 37" xfId="2725"/>
    <cellStyle name="Comma 38" xfId="2715"/>
    <cellStyle name="Comma 39" xfId="2750"/>
    <cellStyle name="Comma 4" xfId="163"/>
    <cellStyle name="Comma 4 2" xfId="164"/>
    <cellStyle name="Comma 40" xfId="2753"/>
    <cellStyle name="Comma 41" xfId="2755"/>
    <cellStyle name="Comma 42" xfId="2758"/>
    <cellStyle name="Comma 43" xfId="2760"/>
    <cellStyle name="Comma 44" xfId="2761"/>
    <cellStyle name="Comma 45" xfId="2915"/>
    <cellStyle name="Comma 46" xfId="3290"/>
    <cellStyle name="Comma 47" xfId="3324"/>
    <cellStyle name="Comma 48" xfId="3350"/>
    <cellStyle name="Comma 49" xfId="2956"/>
    <cellStyle name="Comma 5" xfId="165"/>
    <cellStyle name="Comma 5 2" xfId="1016"/>
    <cellStyle name="Comma 50" xfId="3363"/>
    <cellStyle name="Comma 51" xfId="3071"/>
    <cellStyle name="Comma 52" xfId="3368"/>
    <cellStyle name="Comma 53" xfId="3372"/>
    <cellStyle name="Comma 54" xfId="3374"/>
    <cellStyle name="Comma 55" xfId="3379"/>
    <cellStyle name="Comma 56" xfId="3380"/>
    <cellStyle name="Comma 57" xfId="3515"/>
    <cellStyle name="Comma 58" xfId="3525"/>
    <cellStyle name="Comma 59" xfId="2625"/>
    <cellStyle name="Comma 6" xfId="166"/>
    <cellStyle name="Comma 60" xfId="3527"/>
    <cellStyle name="Comma 61" xfId="4248"/>
    <cellStyle name="Comma 62" xfId="3984"/>
    <cellStyle name="Comma 63" xfId="4026"/>
    <cellStyle name="Comma 64" xfId="4632"/>
    <cellStyle name="Comma 65" xfId="4024"/>
    <cellStyle name="Comma 66" xfId="4182"/>
    <cellStyle name="Comma 67" xfId="4451"/>
    <cellStyle name="Comma 68" xfId="4828"/>
    <cellStyle name="Comma 69" xfId="4113"/>
    <cellStyle name="Comma 7" xfId="167"/>
    <cellStyle name="Comma 70" xfId="4271"/>
    <cellStyle name="Comma 71" xfId="5270"/>
    <cellStyle name="Comma 72" xfId="5146"/>
    <cellStyle name="Comma 73" xfId="5225"/>
    <cellStyle name="Comma 74" xfId="5341"/>
    <cellStyle name="Comma 75" xfId="5113"/>
    <cellStyle name="Comma 76" xfId="5297"/>
    <cellStyle name="Comma 77" xfId="5319"/>
    <cellStyle name="Comma 78" xfId="5339"/>
    <cellStyle name="Comma 79" xfId="5256"/>
    <cellStyle name="Comma 8" xfId="168"/>
    <cellStyle name="Comma 80" xfId="5317"/>
    <cellStyle name="Comma 81" xfId="5291"/>
    <cellStyle name="Comma 82" xfId="5386"/>
    <cellStyle name="Comma 83" xfId="5389"/>
    <cellStyle name="Comma 84" xfId="5322"/>
    <cellStyle name="Comma 85" xfId="5257"/>
    <cellStyle name="Comma 86" xfId="5228"/>
    <cellStyle name="Comma 87" xfId="5162"/>
    <cellStyle name="Comma 88" xfId="5241"/>
    <cellStyle name="Comma 89" xfId="5128"/>
    <cellStyle name="Comma 9" xfId="169"/>
    <cellStyle name="Comma 9 2" xfId="170"/>
    <cellStyle name="Comma 9 3" xfId="171"/>
    <cellStyle name="Comma 90" xfId="5250"/>
    <cellStyle name="Comma 91" xfId="5394"/>
    <cellStyle name="Comma 92" xfId="5392"/>
    <cellStyle name="Comma 93" xfId="7308"/>
    <cellStyle name="Comma 94" xfId="7096"/>
    <cellStyle name="Comma 95" xfId="7957"/>
    <cellStyle name="Comma 96" xfId="8251"/>
    <cellStyle name="Comma 97" xfId="10128"/>
    <cellStyle name="Comma 98" xfId="10132"/>
    <cellStyle name="Comma 99" xfId="10199"/>
    <cellStyle name="Comma0" xfId="172"/>
    <cellStyle name="Currency" xfId="14083" builtinId="4"/>
    <cellStyle name="Currency [$0]" xfId="1017"/>
    <cellStyle name="Currency [£0]" xfId="1018"/>
    <cellStyle name="Currency 10" xfId="1561"/>
    <cellStyle name="Currency 10 2" xfId="1891"/>
    <cellStyle name="Currency 10 2 2" xfId="2506"/>
    <cellStyle name="Currency 10 2 2 2" xfId="4558"/>
    <cellStyle name="Currency 10 2 2 2 2" xfId="8946"/>
    <cellStyle name="Currency 10 2 2 2 2 2" xfId="11890"/>
    <cellStyle name="Currency 10 2 2 2 2 2 2" xfId="13115"/>
    <cellStyle name="Currency 10 2 2 2 2 3" xfId="12928"/>
    <cellStyle name="Currency 10 2 2 2 2 4" xfId="11010"/>
    <cellStyle name="Currency 10 2 2 2 3" xfId="11414"/>
    <cellStyle name="Currency 10 2 2 2 3 2" xfId="13116"/>
    <cellStyle name="Currency 10 2 2 2 4" xfId="12456"/>
    <cellStyle name="Currency 10 2 2 2 5" xfId="10538"/>
    <cellStyle name="Currency 10 2 2 3" xfId="6374"/>
    <cellStyle name="Currency 10 2 2 3 2" xfId="11574"/>
    <cellStyle name="Currency 10 2 2 3 2 2" xfId="13117"/>
    <cellStyle name="Currency 10 2 2 3 3" xfId="12614"/>
    <cellStyle name="Currency 10 2 2 3 4" xfId="10696"/>
    <cellStyle name="Currency 10 2 2 4" xfId="11233"/>
    <cellStyle name="Currency 10 2 2 4 2" xfId="13118"/>
    <cellStyle name="Currency 10 2 2 5" xfId="12278"/>
    <cellStyle name="Currency 10 2 2 6" xfId="10359"/>
    <cellStyle name="Currency 10 2 3" xfId="4381"/>
    <cellStyle name="Currency 10 2 3 2" xfId="8817"/>
    <cellStyle name="Currency 10 2 3 2 2" xfId="11802"/>
    <cellStyle name="Currency 10 2 3 2 2 2" xfId="13119"/>
    <cellStyle name="Currency 10 2 3 2 3" xfId="12840"/>
    <cellStyle name="Currency 10 2 3 2 4" xfId="10922"/>
    <cellStyle name="Currency 10 2 3 3" xfId="11326"/>
    <cellStyle name="Currency 10 2 3 3 2" xfId="13120"/>
    <cellStyle name="Currency 10 2 3 4" xfId="12368"/>
    <cellStyle name="Currency 10 2 3 5" xfId="10450"/>
    <cellStyle name="Currency 10 2 4" xfId="5245"/>
    <cellStyle name="Currency 10 2 4 2" xfId="11503"/>
    <cellStyle name="Currency 10 2 4 2 2" xfId="13121"/>
    <cellStyle name="Currency 10 2 4 3" xfId="12544"/>
    <cellStyle name="Currency 10 2 4 4" xfId="10626"/>
    <cellStyle name="Currency 10 2 5" xfId="6762"/>
    <cellStyle name="Currency 10 2 5 2" xfId="11611"/>
    <cellStyle name="Currency 10 2 5 2 2" xfId="13122"/>
    <cellStyle name="Currency 10 2 5 3" xfId="12651"/>
    <cellStyle name="Currency 10 2 5 4" xfId="10733"/>
    <cellStyle name="Currency 10 2 6" xfId="11147"/>
    <cellStyle name="Currency 10 2 6 2" xfId="13123"/>
    <cellStyle name="Currency 10 2 7" xfId="12264"/>
    <cellStyle name="Currency 10 2 8" xfId="10274"/>
    <cellStyle name="Currency 10 3" xfId="2424"/>
    <cellStyle name="Currency 10 3 2" xfId="4525"/>
    <cellStyle name="Currency 10 3 2 2" xfId="8913"/>
    <cellStyle name="Currency 10 3 2 2 2" xfId="11857"/>
    <cellStyle name="Currency 10 3 2 2 2 2" xfId="13124"/>
    <cellStyle name="Currency 10 3 2 2 3" xfId="12895"/>
    <cellStyle name="Currency 10 3 2 2 4" xfId="10977"/>
    <cellStyle name="Currency 10 3 2 3" xfId="11381"/>
    <cellStyle name="Currency 10 3 2 3 2" xfId="13125"/>
    <cellStyle name="Currency 10 3 2 4" xfId="12423"/>
    <cellStyle name="Currency 10 3 2 5" xfId="10505"/>
    <cellStyle name="Currency 10 3 3" xfId="5183"/>
    <cellStyle name="Currency 10 3 3 2" xfId="11478"/>
    <cellStyle name="Currency 10 3 3 2 2" xfId="13126"/>
    <cellStyle name="Currency 10 3 3 3" xfId="12519"/>
    <cellStyle name="Currency 10 3 3 4" xfId="10601"/>
    <cellStyle name="Currency 10 3 4" xfId="6720"/>
    <cellStyle name="Currency 10 3 4 2" xfId="11604"/>
    <cellStyle name="Currency 10 3 4 2 2" xfId="13127"/>
    <cellStyle name="Currency 10 3 4 3" xfId="12644"/>
    <cellStyle name="Currency 10 3 4 4" xfId="10726"/>
    <cellStyle name="Currency 10 3 5" xfId="11200"/>
    <cellStyle name="Currency 10 3 5 2" xfId="13128"/>
    <cellStyle name="Currency 10 3 6" xfId="12231"/>
    <cellStyle name="Currency 10 3 7" xfId="10326"/>
    <cellStyle name="Currency 10 4" xfId="4348"/>
    <cellStyle name="Currency 10 4 2" xfId="8784"/>
    <cellStyle name="Currency 10 4 2 2" xfId="11769"/>
    <cellStyle name="Currency 10 4 2 2 2" xfId="13129"/>
    <cellStyle name="Currency 10 4 2 3" xfId="12807"/>
    <cellStyle name="Currency 10 4 2 4" xfId="10889"/>
    <cellStyle name="Currency 10 4 3" xfId="11293"/>
    <cellStyle name="Currency 10 4 3 2" xfId="13130"/>
    <cellStyle name="Currency 10 4 4" xfId="12335"/>
    <cellStyle name="Currency 10 4 5" xfId="10417"/>
    <cellStyle name="Currency 10 5" xfId="5327"/>
    <cellStyle name="Currency 10 5 2" xfId="11536"/>
    <cellStyle name="Currency 10 5 2 2" xfId="13131"/>
    <cellStyle name="Currency 10 5 3" xfId="12577"/>
    <cellStyle name="Currency 10 5 4" xfId="10659"/>
    <cellStyle name="Currency 10 6" xfId="6743"/>
    <cellStyle name="Currency 10 6 2" xfId="11607"/>
    <cellStyle name="Currency 10 6 2 2" xfId="13132"/>
    <cellStyle name="Currency 10 6 3" xfId="12647"/>
    <cellStyle name="Currency 10 6 4" xfId="10729"/>
    <cellStyle name="Currency 10 7" xfId="11114"/>
    <cellStyle name="Currency 10 7 2" xfId="13133"/>
    <cellStyle name="Currency 10 8" xfId="12199"/>
    <cellStyle name="Currency 10 9" xfId="10241"/>
    <cellStyle name="Currency 11" xfId="173"/>
    <cellStyle name="Currency 11 2" xfId="174"/>
    <cellStyle name="Currency 12" xfId="1895"/>
    <cellStyle name="Currency 13" xfId="1774"/>
    <cellStyle name="Currency 14" xfId="1772"/>
    <cellStyle name="Currency 15" xfId="1593"/>
    <cellStyle name="Currency 16" xfId="1583"/>
    <cellStyle name="Currency 17" xfId="1568"/>
    <cellStyle name="Currency 18" xfId="1569"/>
    <cellStyle name="Currency 19" xfId="1552"/>
    <cellStyle name="Currency 19 2" xfId="10197"/>
    <cellStyle name="Currency 2" xfId="175"/>
    <cellStyle name="Currency 2 2" xfId="176"/>
    <cellStyle name="Currency 2 3" xfId="177"/>
    <cellStyle name="Currency 2 4" xfId="1893"/>
    <cellStyle name="Currency 2 4 2" xfId="2508"/>
    <cellStyle name="Currency 2 4 2 2" xfId="4560"/>
    <cellStyle name="Currency 2 4 2 2 2" xfId="8948"/>
    <cellStyle name="Currency 2 4 2 2 2 2" xfId="11892"/>
    <cellStyle name="Currency 2 4 2 2 2 2 2" xfId="13134"/>
    <cellStyle name="Currency 2 4 2 2 2 3" xfId="12930"/>
    <cellStyle name="Currency 2 4 2 2 2 4" xfId="11012"/>
    <cellStyle name="Currency 2 4 2 2 3" xfId="11416"/>
    <cellStyle name="Currency 2 4 2 2 3 2" xfId="13135"/>
    <cellStyle name="Currency 2 4 2 2 4" xfId="12458"/>
    <cellStyle name="Currency 2 4 2 2 5" xfId="10540"/>
    <cellStyle name="Currency 2 4 2 3" xfId="7440"/>
    <cellStyle name="Currency 2 4 2 3 2" xfId="11671"/>
    <cellStyle name="Currency 2 4 2 3 2 2" xfId="13136"/>
    <cellStyle name="Currency 2 4 2 3 3" xfId="12710"/>
    <cellStyle name="Currency 2 4 2 3 4" xfId="10792"/>
    <cellStyle name="Currency 2 4 2 4" xfId="11235"/>
    <cellStyle name="Currency 2 4 2 4 2" xfId="13137"/>
    <cellStyle name="Currency 2 4 2 5" xfId="12279"/>
    <cellStyle name="Currency 2 4 2 6" xfId="10361"/>
    <cellStyle name="Currency 2 4 3" xfId="4383"/>
    <cellStyle name="Currency 2 4 3 2" xfId="8819"/>
    <cellStyle name="Currency 2 4 3 2 2" xfId="11804"/>
    <cellStyle name="Currency 2 4 3 2 2 2" xfId="13138"/>
    <cellStyle name="Currency 2 4 3 2 3" xfId="12842"/>
    <cellStyle name="Currency 2 4 3 2 4" xfId="10924"/>
    <cellStyle name="Currency 2 4 3 3" xfId="11328"/>
    <cellStyle name="Currency 2 4 3 3 2" xfId="13139"/>
    <cellStyle name="Currency 2 4 3 4" xfId="12370"/>
    <cellStyle name="Currency 2 4 3 5" xfId="10452"/>
    <cellStyle name="Currency 2 4 4" xfId="5167"/>
    <cellStyle name="Currency 2 4 4 2" xfId="11471"/>
    <cellStyle name="Currency 2 4 4 2 2" xfId="13140"/>
    <cellStyle name="Currency 2 4 4 3" xfId="12512"/>
    <cellStyle name="Currency 2 4 4 4" xfId="10594"/>
    <cellStyle name="Currency 2 4 5" xfId="7351"/>
    <cellStyle name="Currency 2 4 5 2" xfId="11664"/>
    <cellStyle name="Currency 2 4 5 2 2" xfId="13141"/>
    <cellStyle name="Currency 2 4 5 3" xfId="12703"/>
    <cellStyle name="Currency 2 4 5 4" xfId="10785"/>
    <cellStyle name="Currency 2 4 6" xfId="11149"/>
    <cellStyle name="Currency 2 4 6 2" xfId="13142"/>
    <cellStyle name="Currency 2 4 7" xfId="12266"/>
    <cellStyle name="Currency 2 4 8" xfId="10276"/>
    <cellStyle name="Currency 2 5" xfId="1976"/>
    <cellStyle name="Currency 2 5 2" xfId="2532"/>
    <cellStyle name="Currency 2 5 2 2" xfId="4575"/>
    <cellStyle name="Currency 2 5 2 2 2" xfId="8963"/>
    <cellStyle name="Currency 2 5 2 2 2 2" xfId="11907"/>
    <cellStyle name="Currency 2 5 2 2 2 2 2" xfId="13143"/>
    <cellStyle name="Currency 2 5 2 2 2 3" xfId="12945"/>
    <cellStyle name="Currency 2 5 2 2 2 4" xfId="11027"/>
    <cellStyle name="Currency 2 5 2 2 3" xfId="11431"/>
    <cellStyle name="Currency 2 5 2 2 3 2" xfId="13144"/>
    <cellStyle name="Currency 2 5 2 2 4" xfId="12473"/>
    <cellStyle name="Currency 2 5 2 2 5" xfId="10555"/>
    <cellStyle name="Currency 2 5 2 3" xfId="6596"/>
    <cellStyle name="Currency 2 5 2 3 2" xfId="11592"/>
    <cellStyle name="Currency 2 5 2 3 2 2" xfId="13145"/>
    <cellStyle name="Currency 2 5 2 3 3" xfId="12632"/>
    <cellStyle name="Currency 2 5 2 3 4" xfId="10714"/>
    <cellStyle name="Currency 2 5 2 4" xfId="11250"/>
    <cellStyle name="Currency 2 5 2 4 2" xfId="13146"/>
    <cellStyle name="Currency 2 5 2 5" xfId="12294"/>
    <cellStyle name="Currency 2 5 2 6" xfId="10376"/>
    <cellStyle name="Currency 2 5 3" xfId="4398"/>
    <cellStyle name="Currency 2 5 3 2" xfId="8834"/>
    <cellStyle name="Currency 2 5 3 2 2" xfId="11819"/>
    <cellStyle name="Currency 2 5 3 2 2 2" xfId="13147"/>
    <cellStyle name="Currency 2 5 3 2 3" xfId="12857"/>
    <cellStyle name="Currency 2 5 3 2 4" xfId="10939"/>
    <cellStyle name="Currency 2 5 3 3" xfId="11343"/>
    <cellStyle name="Currency 2 5 3 3 2" xfId="13148"/>
    <cellStyle name="Currency 2 5 3 4" xfId="12385"/>
    <cellStyle name="Currency 2 5 3 5" xfId="10467"/>
    <cellStyle name="Currency 2 5 4" xfId="7094"/>
    <cellStyle name="Currency 2 5 4 2" xfId="11645"/>
    <cellStyle name="Currency 2 5 4 2 2" xfId="13149"/>
    <cellStyle name="Currency 2 5 4 3" xfId="12684"/>
    <cellStyle name="Currency 2 5 4 4" xfId="10766"/>
    <cellStyle name="Currency 2 5 5" xfId="11164"/>
    <cellStyle name="Currency 2 5 5 2" xfId="13150"/>
    <cellStyle name="Currency 2 5 6" xfId="12156"/>
    <cellStyle name="Currency 2 5 7" xfId="10291"/>
    <cellStyle name="Currency 20" xfId="2290"/>
    <cellStyle name="Currency 20 2" xfId="10156"/>
    <cellStyle name="Currency 21" xfId="2371"/>
    <cellStyle name="Currency 21 2" xfId="3518"/>
    <cellStyle name="Currency 21 2 2" xfId="6886"/>
    <cellStyle name="Currency 21 2 2 2" xfId="11623"/>
    <cellStyle name="Currency 21 2 2 2 2" xfId="13151"/>
    <cellStyle name="Currency 21 2 2 3" xfId="12663"/>
    <cellStyle name="Currency 21 2 2 4" xfId="10745"/>
    <cellStyle name="Currency 21 2 3" xfId="11263"/>
    <cellStyle name="Currency 21 2 3 2" xfId="13152"/>
    <cellStyle name="Currency 21 2 4" xfId="12306"/>
    <cellStyle name="Currency 21 2 5" xfId="10388"/>
    <cellStyle name="Currency 21 3" xfId="2723"/>
    <cellStyle name="Currency 21 4" xfId="4501"/>
    <cellStyle name="Currency 21 4 2" xfId="8889"/>
    <cellStyle name="Currency 21 4 2 2" xfId="11833"/>
    <cellStyle name="Currency 21 4 2 2 2" xfId="13153"/>
    <cellStyle name="Currency 21 4 2 3" xfId="12871"/>
    <cellStyle name="Currency 21 4 2 4" xfId="10953"/>
    <cellStyle name="Currency 21 4 3" xfId="11357"/>
    <cellStyle name="Currency 21 4 3 2" xfId="13154"/>
    <cellStyle name="Currency 21 4 4" xfId="12399"/>
    <cellStyle name="Currency 21 4 5" xfId="10481"/>
    <cellStyle name="Currency 21 5" xfId="6851"/>
    <cellStyle name="Currency 21 5 2" xfId="11619"/>
    <cellStyle name="Currency 21 5 2 2" xfId="13155"/>
    <cellStyle name="Currency 21 5 3" xfId="12659"/>
    <cellStyle name="Currency 21 5 4" xfId="10741"/>
    <cellStyle name="Currency 21 6" xfId="11933"/>
    <cellStyle name="Currency 21 7" xfId="11176"/>
    <cellStyle name="Currency 21 7 2" xfId="13156"/>
    <cellStyle name="Currency 21 8" xfId="12268"/>
    <cellStyle name="Currency 21 9" xfId="10302"/>
    <cellStyle name="Currency 22" xfId="2537"/>
    <cellStyle name="Currency 22 2" xfId="3522"/>
    <cellStyle name="Currency 22 2 2" xfId="7307"/>
    <cellStyle name="Currency 22 2 2 2" xfId="11660"/>
    <cellStyle name="Currency 22 2 2 2 2" xfId="13157"/>
    <cellStyle name="Currency 22 2 2 3" xfId="12699"/>
    <cellStyle name="Currency 22 2 2 4" xfId="10781"/>
    <cellStyle name="Currency 22 2 3" xfId="11267"/>
    <cellStyle name="Currency 22 2 3 2" xfId="13158"/>
    <cellStyle name="Currency 22 2 4" xfId="12310"/>
    <cellStyle name="Currency 22 2 5" xfId="10392"/>
    <cellStyle name="Currency 22 3" xfId="2726"/>
    <cellStyle name="Currency 22 4" xfId="4580"/>
    <cellStyle name="Currency 22 4 2" xfId="8968"/>
    <cellStyle name="Currency 22 4 2 2" xfId="11912"/>
    <cellStyle name="Currency 22 4 2 2 2" xfId="13159"/>
    <cellStyle name="Currency 22 4 2 3" xfId="12950"/>
    <cellStyle name="Currency 22 4 2 4" xfId="11032"/>
    <cellStyle name="Currency 22 4 3" xfId="11436"/>
    <cellStyle name="Currency 22 4 3 2" xfId="13160"/>
    <cellStyle name="Currency 22 4 4" xfId="12478"/>
    <cellStyle name="Currency 22 4 5" xfId="10560"/>
    <cellStyle name="Currency 22 5" xfId="6500"/>
    <cellStyle name="Currency 22 5 2" xfId="11587"/>
    <cellStyle name="Currency 22 5 2 2" xfId="13161"/>
    <cellStyle name="Currency 22 5 3" xfId="12627"/>
    <cellStyle name="Currency 22 5 4" xfId="10709"/>
    <cellStyle name="Currency 22 6" xfId="11932"/>
    <cellStyle name="Currency 22 7" xfId="11255"/>
    <cellStyle name="Currency 22 7 2" xfId="13162"/>
    <cellStyle name="Currency 22 8" xfId="12299"/>
    <cellStyle name="Currency 22 9" xfId="10381"/>
    <cellStyle name="Currency 23" xfId="2223"/>
    <cellStyle name="Currency 24" xfId="2127"/>
    <cellStyle name="Currency 25" xfId="2741"/>
    <cellStyle name="Currency 26" xfId="2727"/>
    <cellStyle name="Currency 27" xfId="2719"/>
    <cellStyle name="Currency 28" xfId="3142"/>
    <cellStyle name="Currency 29" xfId="3222"/>
    <cellStyle name="Currency 3" xfId="178"/>
    <cellStyle name="Currency 3 2" xfId="179"/>
    <cellStyle name="Currency 30" xfId="3159"/>
    <cellStyle name="Currency 31" xfId="3207"/>
    <cellStyle name="Currency 32" xfId="3107"/>
    <cellStyle name="Currency 33" xfId="2762"/>
    <cellStyle name="Currency 34" xfId="2853"/>
    <cellStyle name="Currency 35" xfId="2834"/>
    <cellStyle name="Currency 36" xfId="3077"/>
    <cellStyle name="Currency 37" xfId="3426"/>
    <cellStyle name="Currency 38" xfId="3516"/>
    <cellStyle name="Currency 39" xfId="3382"/>
    <cellStyle name="Currency 4" xfId="180"/>
    <cellStyle name="Currency 4 2" xfId="181"/>
    <cellStyle name="Currency 40" xfId="2665"/>
    <cellStyle name="Currency 41" xfId="4030"/>
    <cellStyle name="Currency 42" xfId="3660"/>
    <cellStyle name="Currency 43" xfId="4027"/>
    <cellStyle name="Currency 44" xfId="3942"/>
    <cellStyle name="Currency 45" xfId="4853"/>
    <cellStyle name="Currency 46" xfId="5092"/>
    <cellStyle name="Currency 47" xfId="4780"/>
    <cellStyle name="Currency 48" xfId="3669"/>
    <cellStyle name="Currency 49" xfId="5348"/>
    <cellStyle name="Currency 5" xfId="182"/>
    <cellStyle name="Currency 50" xfId="5197"/>
    <cellStyle name="Currency 51" xfId="5361"/>
    <cellStyle name="Currency 52" xfId="5387"/>
    <cellStyle name="Currency 53" xfId="5385"/>
    <cellStyle name="Currency 54" xfId="5309"/>
    <cellStyle name="Currency 55" xfId="5148"/>
    <cellStyle name="Currency 56" xfId="5378"/>
    <cellStyle name="Currency 57" xfId="5390"/>
    <cellStyle name="Currency 58" xfId="5395"/>
    <cellStyle name="Currency 59" xfId="5107"/>
    <cellStyle name="Currency 6" xfId="183"/>
    <cellStyle name="Currency 6 2" xfId="184"/>
    <cellStyle name="Currency 6 3" xfId="185"/>
    <cellStyle name="Currency 60" xfId="8484"/>
    <cellStyle name="Currency 61" xfId="9656"/>
    <cellStyle name="Currency 62" xfId="10129"/>
    <cellStyle name="Currency 63" xfId="10131"/>
    <cellStyle name="Currency 64" xfId="10158"/>
    <cellStyle name="Currency 65" xfId="13163"/>
    <cellStyle name="Currency 66" xfId="13164"/>
    <cellStyle name="Currency 67" xfId="13165"/>
    <cellStyle name="Currency 68" xfId="13166"/>
    <cellStyle name="Currency 69" xfId="13167"/>
    <cellStyle name="Currency 7" xfId="186"/>
    <cellStyle name="Currency 70" xfId="13168"/>
    <cellStyle name="Currency 71" xfId="13169"/>
    <cellStyle name="Currency 72" xfId="10209"/>
    <cellStyle name="Currency 8" xfId="1019"/>
    <cellStyle name="Currency 8 10" xfId="10223"/>
    <cellStyle name="Currency 8 2" xfId="1572"/>
    <cellStyle name="Currency 8 3" xfId="1854"/>
    <cellStyle name="Currency 8 3 2" xfId="2489"/>
    <cellStyle name="Currency 8 3 2 2" xfId="4541"/>
    <cellStyle name="Currency 8 3 2 2 2" xfId="8929"/>
    <cellStyle name="Currency 8 3 2 2 2 2" xfId="11873"/>
    <cellStyle name="Currency 8 3 2 2 2 2 2" xfId="13170"/>
    <cellStyle name="Currency 8 3 2 2 2 3" xfId="12911"/>
    <cellStyle name="Currency 8 3 2 2 2 4" xfId="10993"/>
    <cellStyle name="Currency 8 3 2 2 3" xfId="11397"/>
    <cellStyle name="Currency 8 3 2 2 3 2" xfId="13171"/>
    <cellStyle name="Currency 8 3 2 2 4" xfId="12439"/>
    <cellStyle name="Currency 8 3 2 2 5" xfId="10521"/>
    <cellStyle name="Currency 8 3 2 3" xfId="5347"/>
    <cellStyle name="Currency 8 3 2 3 2" xfId="11542"/>
    <cellStyle name="Currency 8 3 2 3 2 2" xfId="13172"/>
    <cellStyle name="Currency 8 3 2 3 3" xfId="12583"/>
    <cellStyle name="Currency 8 3 2 3 4" xfId="10665"/>
    <cellStyle name="Currency 8 3 2 4" xfId="6719"/>
    <cellStyle name="Currency 8 3 2 4 2" xfId="11603"/>
    <cellStyle name="Currency 8 3 2 4 2 2" xfId="13173"/>
    <cellStyle name="Currency 8 3 2 4 3" xfId="12643"/>
    <cellStyle name="Currency 8 3 2 4 4" xfId="10725"/>
    <cellStyle name="Currency 8 3 2 5" xfId="11216"/>
    <cellStyle name="Currency 8 3 2 5 2" xfId="13174"/>
    <cellStyle name="Currency 8 3 2 6" xfId="12247"/>
    <cellStyle name="Currency 8 3 2 7" xfId="10342"/>
    <cellStyle name="Currency 8 3 3" xfId="4364"/>
    <cellStyle name="Currency 8 3 3 2" xfId="8800"/>
    <cellStyle name="Currency 8 3 3 2 2" xfId="11785"/>
    <cellStyle name="Currency 8 3 3 2 2 2" xfId="13175"/>
    <cellStyle name="Currency 8 3 3 2 3" xfId="12823"/>
    <cellStyle name="Currency 8 3 3 2 4" xfId="10905"/>
    <cellStyle name="Currency 8 3 3 3" xfId="11309"/>
    <cellStyle name="Currency 8 3 3 3 2" xfId="13176"/>
    <cellStyle name="Currency 8 3 3 4" xfId="12351"/>
    <cellStyle name="Currency 8 3 3 5" xfId="10433"/>
    <cellStyle name="Currency 8 3 4" xfId="5249"/>
    <cellStyle name="Currency 8 3 4 2" xfId="11505"/>
    <cellStyle name="Currency 8 3 4 2 2" xfId="13177"/>
    <cellStyle name="Currency 8 3 4 3" xfId="12546"/>
    <cellStyle name="Currency 8 3 4 4" xfId="10628"/>
    <cellStyle name="Currency 8 3 5" xfId="7163"/>
    <cellStyle name="Currency 8 3 5 2" xfId="11653"/>
    <cellStyle name="Currency 8 3 5 2 2" xfId="13178"/>
    <cellStyle name="Currency 8 3 5 3" xfId="12692"/>
    <cellStyle name="Currency 8 3 5 4" xfId="10774"/>
    <cellStyle name="Currency 8 3 6" xfId="11130"/>
    <cellStyle name="Currency 8 3 6 2" xfId="13179"/>
    <cellStyle name="Currency 8 3 7" xfId="12181"/>
    <cellStyle name="Currency 8 3 8" xfId="10257"/>
    <cellStyle name="Currency 8 4" xfId="2392"/>
    <cellStyle name="Currency 8 4 2" xfId="4506"/>
    <cellStyle name="Currency 8 4 2 2" xfId="8894"/>
    <cellStyle name="Currency 8 4 2 2 2" xfId="11838"/>
    <cellStyle name="Currency 8 4 2 2 2 2" xfId="13180"/>
    <cellStyle name="Currency 8 4 2 2 3" xfId="12876"/>
    <cellStyle name="Currency 8 4 2 2 4" xfId="10958"/>
    <cellStyle name="Currency 8 4 2 3" xfId="11362"/>
    <cellStyle name="Currency 8 4 2 3 2" xfId="13181"/>
    <cellStyle name="Currency 8 4 2 4" xfId="12404"/>
    <cellStyle name="Currency 8 4 2 5" xfId="10486"/>
    <cellStyle name="Currency 8 4 3" xfId="5161"/>
    <cellStyle name="Currency 8 4 3 2" xfId="11469"/>
    <cellStyle name="Currency 8 4 3 2 2" xfId="13182"/>
    <cellStyle name="Currency 8 4 3 3" xfId="12510"/>
    <cellStyle name="Currency 8 4 3 4" xfId="10592"/>
    <cellStyle name="Currency 8 4 4" xfId="6490"/>
    <cellStyle name="Currency 8 4 4 2" xfId="11586"/>
    <cellStyle name="Currency 8 4 4 2 2" xfId="13183"/>
    <cellStyle name="Currency 8 4 4 3" xfId="12626"/>
    <cellStyle name="Currency 8 4 4 4" xfId="10708"/>
    <cellStyle name="Currency 8 4 5" xfId="11181"/>
    <cellStyle name="Currency 8 4 5 2" xfId="13184"/>
    <cellStyle name="Currency 8 4 6" xfId="12213"/>
    <cellStyle name="Currency 8 4 7" xfId="10307"/>
    <cellStyle name="Currency 8 5" xfId="4328"/>
    <cellStyle name="Currency 8 5 2" xfId="8765"/>
    <cellStyle name="Currency 8 5 2 2" xfId="11750"/>
    <cellStyle name="Currency 8 5 2 2 2" xfId="13185"/>
    <cellStyle name="Currency 8 5 2 3" xfId="12788"/>
    <cellStyle name="Currency 8 5 2 4" xfId="10870"/>
    <cellStyle name="Currency 8 5 3" xfId="11274"/>
    <cellStyle name="Currency 8 5 3 2" xfId="13186"/>
    <cellStyle name="Currency 8 5 4" xfId="12316"/>
    <cellStyle name="Currency 8 5 5" xfId="10398"/>
    <cellStyle name="Currency 8 6" xfId="5170"/>
    <cellStyle name="Currency 8 6 2" xfId="11473"/>
    <cellStyle name="Currency 8 6 2 2" xfId="13187"/>
    <cellStyle name="Currency 8 6 3" xfId="12514"/>
    <cellStyle name="Currency 8 6 4" xfId="10596"/>
    <cellStyle name="Currency 8 7" xfId="6246"/>
    <cellStyle name="Currency 8 7 2" xfId="11562"/>
    <cellStyle name="Currency 8 7 2 2" xfId="13188"/>
    <cellStyle name="Currency 8 7 3" xfId="12603"/>
    <cellStyle name="Currency 8 7 4" xfId="10685"/>
    <cellStyle name="Currency 8 8" xfId="11094"/>
    <cellStyle name="Currency 8 8 2" xfId="13189"/>
    <cellStyle name="Currency 8 9" xfId="13190"/>
    <cellStyle name="Currency 9" xfId="1558"/>
    <cellStyle name="Currency 9 2" xfId="1889"/>
    <cellStyle name="Currency 9 2 2" xfId="2504"/>
    <cellStyle name="Currency 9 2 2 2" xfId="4556"/>
    <cellStyle name="Currency 9 2 2 2 2" xfId="8944"/>
    <cellStyle name="Currency 9 2 2 2 2 2" xfId="11888"/>
    <cellStyle name="Currency 9 2 2 2 2 2 2" xfId="13191"/>
    <cellStyle name="Currency 9 2 2 2 2 3" xfId="12926"/>
    <cellStyle name="Currency 9 2 2 2 2 4" xfId="11008"/>
    <cellStyle name="Currency 9 2 2 2 3" xfId="11412"/>
    <cellStyle name="Currency 9 2 2 2 3 2" xfId="13192"/>
    <cellStyle name="Currency 9 2 2 2 4" xfId="12454"/>
    <cellStyle name="Currency 9 2 2 2 5" xfId="10536"/>
    <cellStyle name="Currency 9 2 2 3" xfId="6428"/>
    <cellStyle name="Currency 9 2 2 3 2" xfId="11580"/>
    <cellStyle name="Currency 9 2 2 3 2 2" xfId="13193"/>
    <cellStyle name="Currency 9 2 2 3 3" xfId="12620"/>
    <cellStyle name="Currency 9 2 2 3 4" xfId="10702"/>
    <cellStyle name="Currency 9 2 2 4" xfId="11231"/>
    <cellStyle name="Currency 9 2 2 4 2" xfId="13194"/>
    <cellStyle name="Currency 9 2 2 5" xfId="12277"/>
    <cellStyle name="Currency 9 2 2 6" xfId="10357"/>
    <cellStyle name="Currency 9 2 3" xfId="4379"/>
    <cellStyle name="Currency 9 2 3 2" xfId="8815"/>
    <cellStyle name="Currency 9 2 3 2 2" xfId="11800"/>
    <cellStyle name="Currency 9 2 3 2 2 2" xfId="13195"/>
    <cellStyle name="Currency 9 2 3 2 3" xfId="12838"/>
    <cellStyle name="Currency 9 2 3 2 4" xfId="10920"/>
    <cellStyle name="Currency 9 2 3 3" xfId="11324"/>
    <cellStyle name="Currency 9 2 3 3 2" xfId="13196"/>
    <cellStyle name="Currency 9 2 3 4" xfId="12366"/>
    <cellStyle name="Currency 9 2 3 5" xfId="10448"/>
    <cellStyle name="Currency 9 2 4" xfId="5207"/>
    <cellStyle name="Currency 9 2 4 2" xfId="11483"/>
    <cellStyle name="Currency 9 2 4 2 2" xfId="13197"/>
    <cellStyle name="Currency 9 2 4 3" xfId="12524"/>
    <cellStyle name="Currency 9 2 4 4" xfId="10606"/>
    <cellStyle name="Currency 9 2 5" xfId="6552"/>
    <cellStyle name="Currency 9 2 5 2" xfId="11590"/>
    <cellStyle name="Currency 9 2 5 2 2" xfId="13198"/>
    <cellStyle name="Currency 9 2 5 3" xfId="12630"/>
    <cellStyle name="Currency 9 2 5 4" xfId="10712"/>
    <cellStyle name="Currency 9 2 6" xfId="11145"/>
    <cellStyle name="Currency 9 2 6 2" xfId="13199"/>
    <cellStyle name="Currency 9 2 7" xfId="12262"/>
    <cellStyle name="Currency 9 2 8" xfId="10272"/>
    <cellStyle name="Currency 9 3" xfId="2422"/>
    <cellStyle name="Currency 9 3 2" xfId="4523"/>
    <cellStyle name="Currency 9 3 2 2" xfId="8911"/>
    <cellStyle name="Currency 9 3 2 2 2" xfId="11855"/>
    <cellStyle name="Currency 9 3 2 2 2 2" xfId="13200"/>
    <cellStyle name="Currency 9 3 2 2 3" xfId="12893"/>
    <cellStyle name="Currency 9 3 2 2 4" xfId="10975"/>
    <cellStyle name="Currency 9 3 2 3" xfId="11379"/>
    <cellStyle name="Currency 9 3 2 3 2" xfId="13201"/>
    <cellStyle name="Currency 9 3 2 4" xfId="12421"/>
    <cellStyle name="Currency 9 3 2 5" xfId="10503"/>
    <cellStyle name="Currency 9 3 3" xfId="5248"/>
    <cellStyle name="Currency 9 3 3 2" xfId="11504"/>
    <cellStyle name="Currency 9 3 3 2 2" xfId="13202"/>
    <cellStyle name="Currency 9 3 3 3" xfId="12545"/>
    <cellStyle name="Currency 9 3 3 4" xfId="10627"/>
    <cellStyle name="Currency 9 3 4" xfId="6398"/>
    <cellStyle name="Currency 9 3 4 2" xfId="11576"/>
    <cellStyle name="Currency 9 3 4 2 2" xfId="13203"/>
    <cellStyle name="Currency 9 3 4 3" xfId="12616"/>
    <cellStyle name="Currency 9 3 4 4" xfId="10698"/>
    <cellStyle name="Currency 9 3 5" xfId="11198"/>
    <cellStyle name="Currency 9 3 5 2" xfId="13204"/>
    <cellStyle name="Currency 9 3 6" xfId="12229"/>
    <cellStyle name="Currency 9 3 7" xfId="10324"/>
    <cellStyle name="Currency 9 4" xfId="4346"/>
    <cellStyle name="Currency 9 4 2" xfId="8782"/>
    <cellStyle name="Currency 9 4 2 2" xfId="11767"/>
    <cellStyle name="Currency 9 4 2 2 2" xfId="13205"/>
    <cellStyle name="Currency 9 4 2 3" xfId="12805"/>
    <cellStyle name="Currency 9 4 2 4" xfId="10887"/>
    <cellStyle name="Currency 9 4 3" xfId="11291"/>
    <cellStyle name="Currency 9 4 3 2" xfId="13206"/>
    <cellStyle name="Currency 9 4 4" xfId="12333"/>
    <cellStyle name="Currency 9 4 5" xfId="10415"/>
    <cellStyle name="Currency 9 5" xfId="5363"/>
    <cellStyle name="Currency 9 5 2" xfId="11551"/>
    <cellStyle name="Currency 9 5 2 2" xfId="13207"/>
    <cellStyle name="Currency 9 5 3" xfId="12592"/>
    <cellStyle name="Currency 9 5 4" xfId="10674"/>
    <cellStyle name="Currency 9 6" xfId="7520"/>
    <cellStyle name="Currency 9 6 2" xfId="11681"/>
    <cellStyle name="Currency 9 6 2 2" xfId="13208"/>
    <cellStyle name="Currency 9 6 3" xfId="12720"/>
    <cellStyle name="Currency 9 6 4" xfId="10802"/>
    <cellStyle name="Currency 9 7" xfId="11112"/>
    <cellStyle name="Currency 9 7 2" xfId="13209"/>
    <cellStyle name="Currency 9 8" xfId="12197"/>
    <cellStyle name="Currency 9 9" xfId="10239"/>
    <cellStyle name="D4_B8B1_005004B79812_.wvu.PrintTitlest" xfId="187"/>
    <cellStyle name="Date" xfId="188"/>
    <cellStyle name="Date 2" xfId="189"/>
    <cellStyle name="dms_Blue_HDR" xfId="190"/>
    <cellStyle name="Emphasis 1" xfId="191"/>
    <cellStyle name="Emphasis 1 2" xfId="1020"/>
    <cellStyle name="Emphasis 1 3" xfId="10152"/>
    <cellStyle name="Emphasis 2" xfId="192"/>
    <cellStyle name="Emphasis 2 2" xfId="1021"/>
    <cellStyle name="Emphasis 2 3" xfId="10153"/>
    <cellStyle name="Emphasis 3" xfId="193"/>
    <cellStyle name="Emphasis 3 2" xfId="1022"/>
    <cellStyle name="Emphasis 3 2 2" xfId="1573"/>
    <cellStyle name="Emphasis 3 2 3" xfId="1855"/>
    <cellStyle name="Emphasis 3 3" xfId="1701"/>
    <cellStyle name="Emphasis 3 4" xfId="10154"/>
    <cellStyle name="Euro" xfId="194"/>
    <cellStyle name="Euro 2" xfId="1023"/>
    <cellStyle name="Euro 3" xfId="1977"/>
    <cellStyle name="Explanatory Text 2" xfId="195"/>
    <cellStyle name="Explanatory Text 2 2" xfId="1024"/>
    <cellStyle name="Explanatory Text 2 3" xfId="1978"/>
    <cellStyle name="Explanatory Text 3" xfId="1025"/>
    <cellStyle name="Explanatory Text 3 2" xfId="2075"/>
    <cellStyle name="Fixed" xfId="196"/>
    <cellStyle name="Fixed 2" xfId="197"/>
    <cellStyle name="fred" xfId="1026"/>
    <cellStyle name="Fred%" xfId="1027"/>
    <cellStyle name="Gilsans" xfId="198"/>
    <cellStyle name="Gilsansl" xfId="199"/>
    <cellStyle name="Good 2" xfId="200"/>
    <cellStyle name="Good 2 2" xfId="1028"/>
    <cellStyle name="Good 2 2 2" xfId="1980"/>
    <cellStyle name="Good 2 3" xfId="1979"/>
    <cellStyle name="Good 3" xfId="1029"/>
    <cellStyle name="Good 3 2" xfId="2076"/>
    <cellStyle name="Grey" xfId="1030"/>
    <cellStyle name="Header1" xfId="1031"/>
    <cellStyle name="Header1 2" xfId="1032"/>
    <cellStyle name="Header1 2 2" xfId="1581"/>
    <cellStyle name="Header1 2 2 2" xfId="2292"/>
    <cellStyle name="Header1 2 2 2 2" xfId="2543"/>
    <cellStyle name="Header1 2 2 2 2 2" xfId="3523"/>
    <cellStyle name="Header1 2 2 2 2 2 2" xfId="5085"/>
    <cellStyle name="Header1 2 2 2 2 2 2 2" xfId="9110"/>
    <cellStyle name="Header1 2 2 2 2 2 3" xfId="6555"/>
    <cellStyle name="Header1 2 2 2 2 3" xfId="4498"/>
    <cellStyle name="Header1 2 2 2 2 3 2" xfId="9100"/>
    <cellStyle name="Header1 2 2 2 2 4" xfId="6869"/>
    <cellStyle name="Header1 2 2 2 3" xfId="2619"/>
    <cellStyle name="Header1 2 2 2 3 2" xfId="4747"/>
    <cellStyle name="Header1 2 2 2 3 2 2" xfId="8068"/>
    <cellStyle name="Header1 2 2 2 3 3" xfId="6878"/>
    <cellStyle name="Header1 2 2 2 4" xfId="4823"/>
    <cellStyle name="Header1 2 2 2 4 2" xfId="9046"/>
    <cellStyle name="Header1 2 2 2 5" xfId="5118"/>
    <cellStyle name="Header1 2 2 2 5 2" xfId="8102"/>
    <cellStyle name="Header1 2 2 2 6" xfId="6939"/>
    <cellStyle name="Header1 2 2 3" xfId="2433"/>
    <cellStyle name="Header1 2 2 3 2" xfId="2567"/>
    <cellStyle name="Header1 2 2 3 2 2" xfId="4784"/>
    <cellStyle name="Header1 2 2 3 2 2 2" xfId="9718"/>
    <cellStyle name="Header1 2 2 3 2 3" xfId="9203"/>
    <cellStyle name="Header1 2 2 3 3" xfId="4293"/>
    <cellStyle name="Header1 2 2 3 3 2" xfId="8059"/>
    <cellStyle name="Header1 2 2 3 4" xfId="7729"/>
    <cellStyle name="Header1 2 2 4" xfId="2874"/>
    <cellStyle name="Header1 2 2 4 2" xfId="3876"/>
    <cellStyle name="Header1 2 2 4 2 2" xfId="8720"/>
    <cellStyle name="Header1 2 2 4 3" xfId="5805"/>
    <cellStyle name="Header1 2 2 4 3 2" xfId="6481"/>
    <cellStyle name="Header1 2 2 4 4" xfId="9470"/>
    <cellStyle name="Header1 2 2 5" xfId="2994"/>
    <cellStyle name="Header1 2 2 5 2" xfId="3807"/>
    <cellStyle name="Header1 2 2 5 2 2" xfId="7816"/>
    <cellStyle name="Header1 2 2 5 3" xfId="5897"/>
    <cellStyle name="Header1 2 2 5 3 2" xfId="9791"/>
    <cellStyle name="Header1 2 2 5 4" xfId="6563"/>
    <cellStyle name="Header1 2 2 6" xfId="3291"/>
    <cellStyle name="Header1 2 2 6 2" xfId="3678"/>
    <cellStyle name="Header1 2 2 6 2 2" xfId="8626"/>
    <cellStyle name="Header1 2 2 6 3" xfId="6160"/>
    <cellStyle name="Header1 2 2 6 3 2" xfId="10054"/>
    <cellStyle name="Header1 2 2 6 4" xfId="8254"/>
    <cellStyle name="Header1 2 2 7" xfId="2910"/>
    <cellStyle name="Header1 2 2 7 2" xfId="3853"/>
    <cellStyle name="Header1 2 2 7 2 2" xfId="6407"/>
    <cellStyle name="Header1 2 2 7 3" xfId="5841"/>
    <cellStyle name="Header1 2 2 7 3 2" xfId="7320"/>
    <cellStyle name="Header1 2 2 7 4" xfId="8351"/>
    <cellStyle name="Header1 2 2 8" xfId="2827"/>
    <cellStyle name="Header1 2 2 8 2" xfId="4086"/>
    <cellStyle name="Header1 2 2 8 2 2" xfId="9571"/>
    <cellStyle name="Header1 2 2 8 3" xfId="5760"/>
    <cellStyle name="Header1 2 2 8 3 2" xfId="7845"/>
    <cellStyle name="Header1 2 2 8 4" xfId="8135"/>
    <cellStyle name="Header1 2 3" xfId="1778"/>
    <cellStyle name="Header1 2 3 10" xfId="8051"/>
    <cellStyle name="Header1 2 3 2" xfId="2171"/>
    <cellStyle name="Header1 2 3 2 2" xfId="2711"/>
    <cellStyle name="Header1 2 3 2 2 2" xfId="3944"/>
    <cellStyle name="Header1 2 3 2 2 2 2" xfId="7717"/>
    <cellStyle name="Header1 2 3 2 2 3" xfId="7583"/>
    <cellStyle name="Header1 2 3 2 3" xfId="4609"/>
    <cellStyle name="Header1 2 3 2 3 2" xfId="6561"/>
    <cellStyle name="Header1 2 3 2 4" xfId="5567"/>
    <cellStyle name="Header1 2 3 2 4 2" xfId="6311"/>
    <cellStyle name="Header1 2 3 2 5" xfId="7902"/>
    <cellStyle name="Header1 2 3 3" xfId="2312"/>
    <cellStyle name="Header1 2 3 3 2" xfId="4297"/>
    <cellStyle name="Header1 2 3 3 2 2" xfId="7049"/>
    <cellStyle name="Header1 2 3 3 3" xfId="5656"/>
    <cellStyle name="Header1 2 3 3 3 2" xfId="6336"/>
    <cellStyle name="Header1 2 3 3 4" xfId="6769"/>
    <cellStyle name="Header1 2 3 4" xfId="3256"/>
    <cellStyle name="Header1 2 3 4 2" xfId="4188"/>
    <cellStyle name="Header1 2 3 4 2 2" xfId="8589"/>
    <cellStyle name="Header1 2 3 4 3" xfId="6133"/>
    <cellStyle name="Header1 2 3 4 3 2" xfId="10027"/>
    <cellStyle name="Header1 2 3 4 4" xfId="7091"/>
    <cellStyle name="Header1 2 3 5" xfId="2993"/>
    <cellStyle name="Header1 2 3 5 2" xfId="4067"/>
    <cellStyle name="Header1 2 3 5 2 2" xfId="6928"/>
    <cellStyle name="Header1 2 3 5 3" xfId="5896"/>
    <cellStyle name="Header1 2 3 5 3 2" xfId="9790"/>
    <cellStyle name="Header1 2 3 5 4" xfId="8617"/>
    <cellStyle name="Header1 2 3 6" xfId="3293"/>
    <cellStyle name="Header1 2 3 6 2" xfId="3676"/>
    <cellStyle name="Header1 2 3 6 2 2" xfId="6316"/>
    <cellStyle name="Header1 2 3 6 3" xfId="6162"/>
    <cellStyle name="Header1 2 3 6 3 2" xfId="10056"/>
    <cellStyle name="Header1 2 3 6 4" xfId="8979"/>
    <cellStyle name="Header1 2 3 7" xfId="2903"/>
    <cellStyle name="Header1 2 3 7 2" xfId="4087"/>
    <cellStyle name="Header1 2 3 7 2 2" xfId="8239"/>
    <cellStyle name="Header1 2 3 7 3" xfId="5834"/>
    <cellStyle name="Header1 2 3 7 3 2" xfId="8204"/>
    <cellStyle name="Header1 2 3 7 4" xfId="9083"/>
    <cellStyle name="Header1 2 3 8" xfId="3500"/>
    <cellStyle name="Header1 2 3 8 2" xfId="5070"/>
    <cellStyle name="Header1 2 3 8 2 2" xfId="9530"/>
    <cellStyle name="Header1 2 3 8 3" xfId="9022"/>
    <cellStyle name="Header1 2 3 9" xfId="4720"/>
    <cellStyle name="Header1 2 3 9 2" xfId="9207"/>
    <cellStyle name="Header1 3" xfId="1603"/>
    <cellStyle name="Header1 3 2" xfId="2294"/>
    <cellStyle name="Header1 3 2 2" xfId="2544"/>
    <cellStyle name="Header1 3 2 2 2" xfId="3524"/>
    <cellStyle name="Header1 3 2 2 2 2" xfId="5086"/>
    <cellStyle name="Header1 3 2 2 2 2 2" xfId="7145"/>
    <cellStyle name="Header1 3 2 2 2 3" xfId="6606"/>
    <cellStyle name="Header1 3 2 2 3" xfId="4636"/>
    <cellStyle name="Header1 3 2 2 3 2" xfId="9020"/>
    <cellStyle name="Header1 3 2 2 4" xfId="8118"/>
    <cellStyle name="Header1 3 2 3" xfId="2620"/>
    <cellStyle name="Header1 3 2 3 2" xfId="4464"/>
    <cellStyle name="Header1 3 2 3 2 2" xfId="7232"/>
    <cellStyle name="Header1 3 2 3 3" xfId="7055"/>
    <cellStyle name="Header1 3 2 4" xfId="4667"/>
    <cellStyle name="Header1 3 2 4 2" xfId="9680"/>
    <cellStyle name="Header1 3 2 5" xfId="5364"/>
    <cellStyle name="Header1 3 2 5 2" xfId="8332"/>
    <cellStyle name="Header1 3 2 6" xfId="9335"/>
    <cellStyle name="Header1 3 3" xfId="2443"/>
    <cellStyle name="Header1 3 3 2" xfId="2577"/>
    <cellStyle name="Header1 3 3 2 2" xfId="4476"/>
    <cellStyle name="Header1 3 3 2 2 2" xfId="7092"/>
    <cellStyle name="Header1 3 3 2 3" xfId="9353"/>
    <cellStyle name="Header1 3 3 3" xfId="4615"/>
    <cellStyle name="Header1 3 3 3 2" xfId="6457"/>
    <cellStyle name="Header1 3 3 4" xfId="7209"/>
    <cellStyle name="Header1 3 4" xfId="2875"/>
    <cellStyle name="Header1 3 4 2" xfId="3875"/>
    <cellStyle name="Header1 3 4 2 2" xfId="6642"/>
    <cellStyle name="Header1 3 4 3" xfId="5806"/>
    <cellStyle name="Header1 3 4 3 2" xfId="8308"/>
    <cellStyle name="Header1 3 4 4" xfId="8748"/>
    <cellStyle name="Header1 3 5" xfId="3078"/>
    <cellStyle name="Header1 3 5 2" xfId="3760"/>
    <cellStyle name="Header1 3 5 2 2" xfId="6899"/>
    <cellStyle name="Header1 3 5 3" xfId="5975"/>
    <cellStyle name="Header1 3 5 3 2" xfId="9869"/>
    <cellStyle name="Header1 3 5 4" xfId="9300"/>
    <cellStyle name="Header1 3 6" xfId="2920"/>
    <cellStyle name="Header1 3 6 2" xfId="3594"/>
    <cellStyle name="Header1 3 6 2 2" xfId="9672"/>
    <cellStyle name="Header1 3 6 3" xfId="5849"/>
    <cellStyle name="Header1 3 6 3 2" xfId="7817"/>
    <cellStyle name="Header1 3 6 4" xfId="8465"/>
    <cellStyle name="Header1 3 7" xfId="2806"/>
    <cellStyle name="Header1 3 7 2" xfId="3910"/>
    <cellStyle name="Header1 3 7 2 2" xfId="6522"/>
    <cellStyle name="Header1 3 7 3" xfId="5740"/>
    <cellStyle name="Header1 3 7 3 2" xfId="6973"/>
    <cellStyle name="Header1 3 7 4" xfId="8752"/>
    <cellStyle name="Header1 3 8" xfId="3005"/>
    <cellStyle name="Header1 3 8 2" xfId="3803"/>
    <cellStyle name="Header1 3 8 2 2" xfId="9583"/>
    <cellStyle name="Header1 3 8 3" xfId="5907"/>
    <cellStyle name="Header1 3 8 3 2" xfId="9801"/>
    <cellStyle name="Header1 3 8 4" xfId="6671"/>
    <cellStyle name="Header1 4" xfId="1908"/>
    <cellStyle name="Header1 4 10" xfId="9351"/>
    <cellStyle name="Header1 4 2" xfId="2358"/>
    <cellStyle name="Header1 4 2 2" xfId="2712"/>
    <cellStyle name="Header1 4 2 2 2" xfId="3943"/>
    <cellStyle name="Header1 4 2 2 2 2" xfId="8725"/>
    <cellStyle name="Header1 4 2 2 3" xfId="7141"/>
    <cellStyle name="Header1 4 2 3" xfId="4776"/>
    <cellStyle name="Header1 4 2 3 2" xfId="6616"/>
    <cellStyle name="Header1 4 2 4" xfId="5568"/>
    <cellStyle name="Header1 4 2 4 2" xfId="8480"/>
    <cellStyle name="Header1 4 2 5" xfId="7647"/>
    <cellStyle name="Header1 4 3" xfId="2288"/>
    <cellStyle name="Header1 4 3 2" xfId="4757"/>
    <cellStyle name="Header1 4 3 2 2" xfId="8207"/>
    <cellStyle name="Header1 4 3 3" xfId="5647"/>
    <cellStyle name="Header1 4 3 3 2" xfId="8162"/>
    <cellStyle name="Header1 4 3 4" xfId="8115"/>
    <cellStyle name="Header1 4 4" xfId="2887"/>
    <cellStyle name="Header1 4 4 2" xfId="3865"/>
    <cellStyle name="Header1 4 4 2 2" xfId="6569"/>
    <cellStyle name="Header1 4 4 3" xfId="5818"/>
    <cellStyle name="Header1 4 4 3 2" xfId="8379"/>
    <cellStyle name="Header1 4 4 4" xfId="7747"/>
    <cellStyle name="Header1 4 5" xfId="3289"/>
    <cellStyle name="Header1 4 5 2" xfId="3556"/>
    <cellStyle name="Header1 4 5 2 2" xfId="8599"/>
    <cellStyle name="Header1 4 5 3" xfId="6159"/>
    <cellStyle name="Header1 4 5 3 2" xfId="10053"/>
    <cellStyle name="Header1 4 5 4" xfId="9611"/>
    <cellStyle name="Header1 4 6" xfId="3349"/>
    <cellStyle name="Header1 4 6 2" xfId="4940"/>
    <cellStyle name="Header1 4 6 2 2" xfId="6433"/>
    <cellStyle name="Header1 4 6 3" xfId="6216"/>
    <cellStyle name="Header1 4 6 3 2" xfId="10110"/>
    <cellStyle name="Header1 4 6 4" xfId="7248"/>
    <cellStyle name="Header1 4 7" xfId="2810"/>
    <cellStyle name="Header1 4 7 2" xfId="3908"/>
    <cellStyle name="Header1 4 7 2 2" xfId="9068"/>
    <cellStyle name="Header1 4 7 3" xfId="5744"/>
    <cellStyle name="Header1 4 7 3 2" xfId="7616"/>
    <cellStyle name="Header1 4 7 4" xfId="8564"/>
    <cellStyle name="Header1 4 8" xfId="3511"/>
    <cellStyle name="Header1 4 8 2" xfId="5081"/>
    <cellStyle name="Header1 4 8 2 2" xfId="8395"/>
    <cellStyle name="Header1 4 8 3" xfId="6715"/>
    <cellStyle name="Header1 4 9" xfId="4305"/>
    <cellStyle name="Header1 4 9 2" xfId="8976"/>
    <cellStyle name="Header2" xfId="1033"/>
    <cellStyle name="Heading 1 2" xfId="201"/>
    <cellStyle name="Heading 1 2 2" xfId="202"/>
    <cellStyle name="Heading 1 2 2 2" xfId="1982"/>
    <cellStyle name="Heading 1 2 3" xfId="1034"/>
    <cellStyle name="Heading 1 2 4" xfId="1981"/>
    <cellStyle name="Heading 1 3" xfId="203"/>
    <cellStyle name="Heading 1 4" xfId="1035"/>
    <cellStyle name="Heading 2 2" xfId="204"/>
    <cellStyle name="Heading 2 2 2" xfId="205"/>
    <cellStyle name="Heading 2 2 2 2" xfId="1984"/>
    <cellStyle name="Heading 2 2 3" xfId="1036"/>
    <cellStyle name="Heading 2 2 4" xfId="1983"/>
    <cellStyle name="Heading 2 3" xfId="206"/>
    <cellStyle name="Heading 2 3 2" xfId="2077"/>
    <cellStyle name="Heading 2 4" xfId="1037"/>
    <cellStyle name="Heading 2 4 2" xfId="1641"/>
    <cellStyle name="Heading 2 4 3" xfId="1856"/>
    <cellStyle name="Heading 3 2" xfId="207"/>
    <cellStyle name="Heading 3 2 2" xfId="208"/>
    <cellStyle name="Heading 3 2 2 2" xfId="209"/>
    <cellStyle name="Heading 3 2 2 2 2" xfId="210"/>
    <cellStyle name="Heading 3 2 2 2 2 2" xfId="211"/>
    <cellStyle name="Heading 3 2 2 2 2 3" xfId="212"/>
    <cellStyle name="Heading 3 2 2 2 2 4" xfId="213"/>
    <cellStyle name="Heading 3 2 2 2 3" xfId="214"/>
    <cellStyle name="Heading 3 2 2 2 4" xfId="215"/>
    <cellStyle name="Heading 3 2 2 2 5" xfId="216"/>
    <cellStyle name="Heading 3 2 2 3" xfId="217"/>
    <cellStyle name="Heading 3 2 2 3 2" xfId="218"/>
    <cellStyle name="Heading 3 2 2 3 2 2" xfId="219"/>
    <cellStyle name="Heading 3 2 2 3 2 3" xfId="220"/>
    <cellStyle name="Heading 3 2 2 3 2 4" xfId="221"/>
    <cellStyle name="Heading 3 2 2 3 3" xfId="222"/>
    <cellStyle name="Heading 3 2 2 3 4" xfId="223"/>
    <cellStyle name="Heading 3 2 2 3 5" xfId="224"/>
    <cellStyle name="Heading 3 2 2 4" xfId="225"/>
    <cellStyle name="Heading 3 2 2 4 2" xfId="226"/>
    <cellStyle name="Heading 3 2 2 4 3" xfId="227"/>
    <cellStyle name="Heading 3 2 2 4 4" xfId="228"/>
    <cellStyle name="Heading 3 2 2 5" xfId="229"/>
    <cellStyle name="Heading 3 2 2 5 2" xfId="230"/>
    <cellStyle name="Heading 3 2 2 5 3" xfId="231"/>
    <cellStyle name="Heading 3 2 2 6" xfId="1986"/>
    <cellStyle name="Heading 3 2 3" xfId="232"/>
    <cellStyle name="Heading 3 2 4" xfId="233"/>
    <cellStyle name="Heading 3 2 4 2" xfId="234"/>
    <cellStyle name="Heading 3 2 4 2 2" xfId="235"/>
    <cellStyle name="Heading 3 2 4 2 3" xfId="236"/>
    <cellStyle name="Heading 3 2 4 2 4" xfId="237"/>
    <cellStyle name="Heading 3 2 4 3" xfId="238"/>
    <cellStyle name="Heading 3 2 4 4" xfId="239"/>
    <cellStyle name="Heading 3 2 4 5" xfId="240"/>
    <cellStyle name="Heading 3 2 5" xfId="241"/>
    <cellStyle name="Heading 3 2 5 2" xfId="242"/>
    <cellStyle name="Heading 3 2 5 2 2" xfId="243"/>
    <cellStyle name="Heading 3 2 5 2 3" xfId="244"/>
    <cellStyle name="Heading 3 2 5 2 4" xfId="245"/>
    <cellStyle name="Heading 3 2 5 3" xfId="246"/>
    <cellStyle name="Heading 3 2 5 4" xfId="247"/>
    <cellStyle name="Heading 3 2 5 5" xfId="248"/>
    <cellStyle name="Heading 3 2 6" xfId="249"/>
    <cellStyle name="Heading 3 2 6 2" xfId="250"/>
    <cellStyle name="Heading 3 2 6 3" xfId="251"/>
    <cellStyle name="Heading 3 2 6 4" xfId="252"/>
    <cellStyle name="Heading 3 2 7" xfId="253"/>
    <cellStyle name="Heading 3 2 7 2" xfId="254"/>
    <cellStyle name="Heading 3 2 7 3" xfId="255"/>
    <cellStyle name="Heading 3 2 8" xfId="1038"/>
    <cellStyle name="Heading 3 2 9" xfId="1985"/>
    <cellStyle name="Heading 3 3" xfId="256"/>
    <cellStyle name="Heading 3 3 2" xfId="2078"/>
    <cellStyle name="Heading 3 4" xfId="1039"/>
    <cellStyle name="Heading 3 4 2" xfId="1642"/>
    <cellStyle name="Heading 3 4 3" xfId="1857"/>
    <cellStyle name="Heading 4 2" xfId="257"/>
    <cellStyle name="Heading 4 2 2" xfId="258"/>
    <cellStyle name="Heading 4 2 3" xfId="1040"/>
    <cellStyle name="Heading 4 2 4" xfId="1987"/>
    <cellStyle name="Heading 4 3" xfId="259"/>
    <cellStyle name="Heading 4 4" xfId="1041"/>
    <cellStyle name="Heading(4)" xfId="260"/>
    <cellStyle name="Heading2" xfId="1042"/>
    <cellStyle name="Hyperlink 2" xfId="261"/>
    <cellStyle name="Hyperlink 2 2" xfId="262"/>
    <cellStyle name="Hyperlink 2 3" xfId="263"/>
    <cellStyle name="Hyperlink 3" xfId="264"/>
    <cellStyle name="Hyperlink 4" xfId="265"/>
    <cellStyle name="Hyperlink Arrow" xfId="266"/>
    <cellStyle name="Hyperlink Text" xfId="267"/>
    <cellStyle name="import" xfId="268"/>
    <cellStyle name="import%" xfId="269"/>
    <cellStyle name="import_AER final decision for EA distribution - RFM" xfId="1043"/>
    <cellStyle name="Input $" xfId="1044"/>
    <cellStyle name="Input %" xfId="1045"/>
    <cellStyle name="Input [yellow]" xfId="1046"/>
    <cellStyle name="Input 10" xfId="2388"/>
    <cellStyle name="Input 11" xfId="4323"/>
    <cellStyle name="Input 12" xfId="4343"/>
    <cellStyle name="Input 13" xfId="4325"/>
    <cellStyle name="Input 14" xfId="4915"/>
    <cellStyle name="Input 15" xfId="5275"/>
    <cellStyle name="Input 16" xfId="5373"/>
    <cellStyle name="Input 17" xfId="5233"/>
    <cellStyle name="Input 18" xfId="7686"/>
    <cellStyle name="Input 19" xfId="6557"/>
    <cellStyle name="Input 2" xfId="270"/>
    <cellStyle name="Input 2 2" xfId="271"/>
    <cellStyle name="Input 2 2 2" xfId="1047"/>
    <cellStyle name="Input 2 2 3" xfId="1989"/>
    <cellStyle name="Input 2 3" xfId="272"/>
    <cellStyle name="Input 2 3 2" xfId="1048"/>
    <cellStyle name="Input 2 4" xfId="1049"/>
    <cellStyle name="Input 2 5" xfId="1050"/>
    <cellStyle name="Input 2 6" xfId="1988"/>
    <cellStyle name="Input 20" xfId="6353"/>
    <cellStyle name="Input 21" xfId="9768"/>
    <cellStyle name="Input 22" xfId="9770"/>
    <cellStyle name="Input 23" xfId="9771"/>
    <cellStyle name="Input 24" xfId="29"/>
    <cellStyle name="Input 25" xfId="10202"/>
    <cellStyle name="Input 26" xfId="10204"/>
    <cellStyle name="Input 27" xfId="11073"/>
    <cellStyle name="Input 28" xfId="11071"/>
    <cellStyle name="Input 29" xfId="11072"/>
    <cellStyle name="Input 3" xfId="1051"/>
    <cellStyle name="Input 3 2" xfId="2079"/>
    <cellStyle name="Input 30" xfId="11057"/>
    <cellStyle name="Input 31" xfId="11081"/>
    <cellStyle name="Input 32" xfId="11068"/>
    <cellStyle name="Input 33" xfId="11054"/>
    <cellStyle name="Input 34" xfId="11058"/>
    <cellStyle name="Input 35" xfId="11082"/>
    <cellStyle name="Input 36" xfId="11065"/>
    <cellStyle name="Input 37" xfId="11053"/>
    <cellStyle name="Input 38" xfId="11066"/>
    <cellStyle name="Input 39" xfId="11086"/>
    <cellStyle name="Input 4" xfId="1052"/>
    <cellStyle name="Input 40" xfId="11076"/>
    <cellStyle name="Input 41" xfId="11090"/>
    <cellStyle name="Input 42" xfId="11109"/>
    <cellStyle name="Input 43" xfId="11261"/>
    <cellStyle name="Input 44" xfId="11626"/>
    <cellStyle name="Input 45" xfId="11108"/>
    <cellStyle name="Input 46" xfId="11941"/>
    <cellStyle name="Input 47" xfId="11944"/>
    <cellStyle name="Input 48" xfId="11966"/>
    <cellStyle name="Input 49" xfId="11949"/>
    <cellStyle name="Input 5" xfId="1053"/>
    <cellStyle name="Input 50" xfId="11965"/>
    <cellStyle name="Input 51" xfId="11969"/>
    <cellStyle name="Input 52" xfId="11943"/>
    <cellStyle name="Input 53" xfId="12011"/>
    <cellStyle name="Input 54" xfId="11942"/>
    <cellStyle name="Input 55" xfId="11946"/>
    <cellStyle name="Input 56" xfId="12002"/>
    <cellStyle name="Input 57" xfId="12062"/>
    <cellStyle name="Input 58" xfId="12067"/>
    <cellStyle name="Input 59" xfId="12061"/>
    <cellStyle name="Input 6" xfId="1054"/>
    <cellStyle name="Input 60" xfId="12081"/>
    <cellStyle name="Input 61" xfId="12155"/>
    <cellStyle name="Input 62" xfId="13851"/>
    <cellStyle name="Input 63" xfId="13859"/>
    <cellStyle name="Input 64" xfId="13975"/>
    <cellStyle name="Input 65" xfId="13887"/>
    <cellStyle name="Input 66" xfId="13857"/>
    <cellStyle name="Input 67" xfId="13863"/>
    <cellStyle name="Input 68" xfId="13977"/>
    <cellStyle name="Input 69" xfId="13865"/>
    <cellStyle name="Input 7" xfId="1560"/>
    <cellStyle name="Input 70" xfId="13882"/>
    <cellStyle name="Input 71" xfId="13978"/>
    <cellStyle name="Input 72" xfId="13883"/>
    <cellStyle name="Input 8" xfId="1563"/>
    <cellStyle name="Input 9" xfId="2373"/>
    <cellStyle name="Input text" xfId="1055"/>
    <cellStyle name="Input1" xfId="8"/>
    <cellStyle name="Input1 2" xfId="273"/>
    <cellStyle name="Input1 2 2" xfId="274"/>
    <cellStyle name="Input1 3" xfId="275"/>
    <cellStyle name="Input1 3 2" xfId="276"/>
    <cellStyle name="Input1 4" xfId="277"/>
    <cellStyle name="Input1 5" xfId="278"/>
    <cellStyle name="Input1 6" xfId="1901"/>
    <cellStyle name="Input1%" xfId="279"/>
    <cellStyle name="Input1_GLOBAL CAPEX model final" xfId="1056"/>
    <cellStyle name="Input1default" xfId="280"/>
    <cellStyle name="Input1default%" xfId="281"/>
    <cellStyle name="Input2" xfId="282"/>
    <cellStyle name="Input2 2" xfId="283"/>
    <cellStyle name="Input2 3" xfId="284"/>
    <cellStyle name="Input2%" xfId="1057"/>
    <cellStyle name="Input3" xfId="285"/>
    <cellStyle name="Input3 2" xfId="286"/>
    <cellStyle name="Input3 2 2" xfId="1058"/>
    <cellStyle name="Input3 3" xfId="287"/>
    <cellStyle name="Input3 3 2" xfId="1059"/>
    <cellStyle name="Input3 4" xfId="1060"/>
    <cellStyle name="Input3%" xfId="1061"/>
    <cellStyle name="InputArea" xfId="1062"/>
    <cellStyle name="InputAreaDotted" xfId="1063"/>
    <cellStyle name="InputCell" xfId="288"/>
    <cellStyle name="InputCell 2" xfId="289"/>
    <cellStyle name="InputCell 3" xfId="290"/>
    <cellStyle name="InputCellText" xfId="291"/>
    <cellStyle name="InputCellText 2" xfId="292"/>
    <cellStyle name="InputCellText 3" xfId="293"/>
    <cellStyle name="K_Banner" xfId="1064"/>
    <cellStyle name="K_BannerBold" xfId="1065"/>
    <cellStyle name="K_BannerGrp1" xfId="1066"/>
    <cellStyle name="K_BannerGrp2" xfId="1067"/>
    <cellStyle name="K_Bps" xfId="1068"/>
    <cellStyle name="K_Check" xfId="612"/>
    <cellStyle name="K_Date" xfId="614"/>
    <cellStyle name="K_DateShort" xfId="1069"/>
    <cellStyle name="K_Days" xfId="1070"/>
    <cellStyle name="K_Millions" xfId="1071"/>
    <cellStyle name="K_Months" xfId="1072"/>
    <cellStyle name="K_Multiple" xfId="1073"/>
    <cellStyle name="K_Number" xfId="613"/>
    <cellStyle name="K_Perc" xfId="1074"/>
    <cellStyle name="K_Thousands" xfId="1075"/>
    <cellStyle name="K_Years" xfId="1076"/>
    <cellStyle name="key result" xfId="294"/>
    <cellStyle name="Lines" xfId="295"/>
    <cellStyle name="Linked Cell 2" xfId="296"/>
    <cellStyle name="Linked Cell 2 2" xfId="1077"/>
    <cellStyle name="Linked Cell 2 2 2" xfId="1991"/>
    <cellStyle name="Linked Cell 2 3" xfId="1990"/>
    <cellStyle name="Linked Cell 3" xfId="1078"/>
    <cellStyle name="Linked Cell 3 2" xfId="2080"/>
    <cellStyle name="Local import" xfId="297"/>
    <cellStyle name="Local import %" xfId="298"/>
    <cellStyle name="Lookup Table Heading" xfId="1079"/>
    <cellStyle name="Lookup Table Label" xfId="1080"/>
    <cellStyle name="Lookup Table Number" xfId="1081"/>
    <cellStyle name="Mine" xfId="299"/>
    <cellStyle name="Model Name" xfId="300"/>
    <cellStyle name="Neutral 2" xfId="301"/>
    <cellStyle name="Neutral 2 2" xfId="1082"/>
    <cellStyle name="Neutral 2 2 2" xfId="1993"/>
    <cellStyle name="Neutral 2 3" xfId="1992"/>
    <cellStyle name="Neutral 3" xfId="1083"/>
    <cellStyle name="Neutral 3 2" xfId="2081"/>
    <cellStyle name="Non crit Input 0.0" xfId="1084"/>
    <cellStyle name="NonInputCell" xfId="302"/>
    <cellStyle name="NonInputCell 2" xfId="303"/>
    <cellStyle name="NonInputCell 3" xfId="304"/>
    <cellStyle name="Normal" xfId="0" builtinId="0"/>
    <cellStyle name="Normal - Style1" xfId="305"/>
    <cellStyle name="Normal 10" xfId="35"/>
    <cellStyle name="Normal 10 2" xfId="306"/>
    <cellStyle name="Normal 100" xfId="2756"/>
    <cellStyle name="Normal 101" xfId="1085"/>
    <cellStyle name="Normal 102" xfId="2759"/>
    <cellStyle name="Normal 103" xfId="2916"/>
    <cellStyle name="Normal 104" xfId="3069"/>
    <cellStyle name="Normal 105" xfId="3276"/>
    <cellStyle name="Normal 106" xfId="3314"/>
    <cellStyle name="Normal 107" xfId="2937"/>
    <cellStyle name="Normal 108" xfId="3026"/>
    <cellStyle name="Normal 109" xfId="3260"/>
    <cellStyle name="Normal 11" xfId="307"/>
    <cellStyle name="Normal 11 2" xfId="308"/>
    <cellStyle name="Normal 11 3" xfId="309"/>
    <cellStyle name="Normal 11 4" xfId="310"/>
    <cellStyle name="Normal 110" xfId="2990"/>
    <cellStyle name="Normal 111" xfId="3369"/>
    <cellStyle name="Normal 112" xfId="3370"/>
    <cellStyle name="Normal 113" xfId="3376"/>
    <cellStyle name="Normal 114" xfId="311"/>
    <cellStyle name="Normal 114 2" xfId="312"/>
    <cellStyle name="Normal 115" xfId="3377"/>
    <cellStyle name="Normal 116" xfId="3381"/>
    <cellStyle name="Normal 117" xfId="3409"/>
    <cellStyle name="Normal 118" xfId="3246"/>
    <cellStyle name="Normal 119" xfId="4321"/>
    <cellStyle name="Normal 119 2" xfId="6233"/>
    <cellStyle name="Normal 119 2 2" xfId="11556"/>
    <cellStyle name="Normal 119 2 2 2" xfId="13210"/>
    <cellStyle name="Normal 119 2 3" xfId="12597"/>
    <cellStyle name="Normal 119 2 4" xfId="10679"/>
    <cellStyle name="Normal 119 3" xfId="5427"/>
    <cellStyle name="Normal 119 4" xfId="8760"/>
    <cellStyle name="Normal 119 4 2" xfId="11745"/>
    <cellStyle name="Normal 119 4 2 2" xfId="13211"/>
    <cellStyle name="Normal 119 4 3" xfId="12783"/>
    <cellStyle name="Normal 119 4 4" xfId="10865"/>
    <cellStyle name="Normal 119 5" xfId="11269"/>
    <cellStyle name="Normal 119 5 2" xfId="13212"/>
    <cellStyle name="Normal 119 6" xfId="12311"/>
    <cellStyle name="Normal 119 7" xfId="10393"/>
    <cellStyle name="Normal 12" xfId="313"/>
    <cellStyle name="Normal 12 2" xfId="314"/>
    <cellStyle name="Normal 120" xfId="4324"/>
    <cellStyle name="Normal 120 2" xfId="6235"/>
    <cellStyle name="Normal 120 2 2" xfId="11558"/>
    <cellStyle name="Normal 120 2 2 2" xfId="13213"/>
    <cellStyle name="Normal 120 2 3" xfId="12599"/>
    <cellStyle name="Normal 120 2 4" xfId="10681"/>
    <cellStyle name="Normal 120 3" xfId="5428"/>
    <cellStyle name="Normal 120 4" xfId="8762"/>
    <cellStyle name="Normal 120 4 2" xfId="11747"/>
    <cellStyle name="Normal 120 4 2 2" xfId="13214"/>
    <cellStyle name="Normal 120 4 3" xfId="12785"/>
    <cellStyle name="Normal 120 4 4" xfId="10867"/>
    <cellStyle name="Normal 120 5" xfId="11271"/>
    <cellStyle name="Normal 120 5 2" xfId="13215"/>
    <cellStyle name="Normal 120 6" xfId="12313"/>
    <cellStyle name="Normal 120 7" xfId="10395"/>
    <cellStyle name="Normal 121" xfId="4429"/>
    <cellStyle name="Normal 121 2" xfId="6238"/>
    <cellStyle name="Normal 121 2 2" xfId="11561"/>
    <cellStyle name="Normal 121 2 2 2" xfId="13216"/>
    <cellStyle name="Normal 121 2 3" xfId="12602"/>
    <cellStyle name="Normal 121 2 4" xfId="10684"/>
    <cellStyle name="Normal 121 3" xfId="5431"/>
    <cellStyle name="Normal 121 4" xfId="8856"/>
    <cellStyle name="Normal 121 4 2" xfId="11831"/>
    <cellStyle name="Normal 121 4 2 2" xfId="13217"/>
    <cellStyle name="Normal 121 4 3" xfId="12869"/>
    <cellStyle name="Normal 121 4 4" xfId="10951"/>
    <cellStyle name="Normal 121 5" xfId="11355"/>
    <cellStyle name="Normal 121 5 2" xfId="13218"/>
    <cellStyle name="Normal 121 6" xfId="12397"/>
    <cellStyle name="Normal 121 7" xfId="10479"/>
    <cellStyle name="Normal 122" xfId="4342"/>
    <cellStyle name="Normal 122 2" xfId="8779"/>
    <cellStyle name="Normal 122 2 2" xfId="11764"/>
    <cellStyle name="Normal 122 2 2 2" xfId="13219"/>
    <cellStyle name="Normal 122 2 3" xfId="12802"/>
    <cellStyle name="Normal 122 2 4" xfId="10884"/>
    <cellStyle name="Normal 122 3" xfId="11288"/>
    <cellStyle name="Normal 122 3 2" xfId="13220"/>
    <cellStyle name="Normal 122 4" xfId="12330"/>
    <cellStyle name="Normal 122 5" xfId="10412"/>
    <cellStyle name="Normal 123" xfId="3526"/>
    <cellStyle name="Normal 124" xfId="3670"/>
    <cellStyle name="Normal 125" xfId="4637"/>
    <cellStyle name="Normal 126" xfId="4586"/>
    <cellStyle name="Normal 126 2" xfId="5240"/>
    <cellStyle name="Normal 126 2 2" xfId="11502"/>
    <cellStyle name="Normal 126 2 2 2" xfId="13221"/>
    <cellStyle name="Normal 126 2 3" xfId="12543"/>
    <cellStyle name="Normal 126 2 4" xfId="10625"/>
    <cellStyle name="Normal 127" xfId="5089"/>
    <cellStyle name="Normal 127 2" xfId="5127"/>
    <cellStyle name="Normal 127 2 2" xfId="11455"/>
    <cellStyle name="Normal 127 2 2 2" xfId="13222"/>
    <cellStyle name="Normal 127 2 3" xfId="12496"/>
    <cellStyle name="Normal 127 2 4" xfId="10578"/>
    <cellStyle name="Normal 128" xfId="4025"/>
    <cellStyle name="Normal 129" xfId="5087"/>
    <cellStyle name="Normal 13" xfId="315"/>
    <cellStyle name="Normal 13 2" xfId="316"/>
    <cellStyle name="Normal 13_29(d) - Gas extensions -tariffs" xfId="317"/>
    <cellStyle name="Normal 130" xfId="5091"/>
    <cellStyle name="Normal 131" xfId="4036"/>
    <cellStyle name="Normal 132" xfId="3667"/>
    <cellStyle name="Normal 133" xfId="5088"/>
    <cellStyle name="Normal 134" xfId="5201"/>
    <cellStyle name="Normal 134 2" xfId="5129"/>
    <cellStyle name="Normal 134 2 2" xfId="11456"/>
    <cellStyle name="Normal 134 2 2 2" xfId="13223"/>
    <cellStyle name="Normal 134 2 3" xfId="12497"/>
    <cellStyle name="Normal 134 2 4" xfId="10579"/>
    <cellStyle name="Normal 134 3" xfId="5406"/>
    <cellStyle name="Normal 135" xfId="5112"/>
    <cellStyle name="Normal 136" xfId="5324"/>
    <cellStyle name="Normal 137" xfId="5346"/>
    <cellStyle name="Normal 138" xfId="5184"/>
    <cellStyle name="Normal 139" xfId="5099"/>
    <cellStyle name="Normal 14" xfId="318"/>
    <cellStyle name="Normal 14 2" xfId="319"/>
    <cellStyle name="Normal 14 3" xfId="320"/>
    <cellStyle name="Normal 14 3 2" xfId="321"/>
    <cellStyle name="Normal 14 3 3" xfId="322"/>
    <cellStyle name="Normal 14 4" xfId="323"/>
    <cellStyle name="Normal 14 5" xfId="324"/>
    <cellStyle name="Normal 14 6" xfId="325"/>
    <cellStyle name="Normal 140" xfId="5198"/>
    <cellStyle name="Normal 141" xfId="5287"/>
    <cellStyle name="Normal 142" xfId="5242"/>
    <cellStyle name="Normal 143" xfId="5185"/>
    <cellStyle name="Normal 144" xfId="5155"/>
    <cellStyle name="Normal 145" xfId="5292"/>
    <cellStyle name="Normal 146" xfId="5379"/>
    <cellStyle name="Normal 147" xfId="5380"/>
    <cellStyle name="Normal 148" xfId="5381"/>
    <cellStyle name="Normal 149" xfId="5259"/>
    <cellStyle name="Normal 149 2" xfId="5202"/>
    <cellStyle name="Normal 149 2 2" xfId="11482"/>
    <cellStyle name="Normal 149 2 2 2" xfId="13224"/>
    <cellStyle name="Normal 149 2 3" xfId="12523"/>
    <cellStyle name="Normal 149 2 4" xfId="10605"/>
    <cellStyle name="Normal 15" xfId="326"/>
    <cellStyle name="Normal 15 2" xfId="327"/>
    <cellStyle name="Normal 150" xfId="5376"/>
    <cellStyle name="Normal 151" xfId="5375"/>
    <cellStyle name="Normal 152" xfId="5115"/>
    <cellStyle name="Normal 153" xfId="5172"/>
    <cellStyle name="Normal 153 2" xfId="6239"/>
    <cellStyle name="Normal 154" xfId="5396"/>
    <cellStyle name="Normal 155" xfId="5393"/>
    <cellStyle name="Normal 156" xfId="7995"/>
    <cellStyle name="Normal 157" xfId="6904"/>
    <cellStyle name="Normal 157 2" xfId="7487"/>
    <cellStyle name="Normal 157 2 2" xfId="11676"/>
    <cellStyle name="Normal 157 2 2 2" xfId="13225"/>
    <cellStyle name="Normal 157 2 3" xfId="12715"/>
    <cellStyle name="Normal 157 2 4" xfId="10797"/>
    <cellStyle name="Normal 158" xfId="7126"/>
    <cellStyle name="Normal 158 2" xfId="11650"/>
    <cellStyle name="Normal 158 2 2" xfId="13226"/>
    <cellStyle name="Normal 158 3" xfId="12689"/>
    <cellStyle name="Normal 158 4" xfId="10771"/>
    <cellStyle name="Normal 159" xfId="6619"/>
    <cellStyle name="Normal 159 2" xfId="11595"/>
    <cellStyle name="Normal 159 2 2" xfId="13227"/>
    <cellStyle name="Normal 159 3" xfId="12635"/>
    <cellStyle name="Normal 159 4" xfId="10717"/>
    <cellStyle name="Normal 16" xfId="328"/>
    <cellStyle name="Normal 16 2" xfId="329"/>
    <cellStyle name="Normal 160" xfId="9766"/>
    <cellStyle name="Normal 160 2" xfId="11920"/>
    <cellStyle name="Normal 160 2 2" xfId="13228"/>
    <cellStyle name="Normal 160 3" xfId="12957"/>
    <cellStyle name="Normal 160 4" xfId="11039"/>
    <cellStyle name="Normal 161" xfId="9772"/>
    <cellStyle name="Normal 161 2" xfId="11923"/>
    <cellStyle name="Normal 161 2 2" xfId="13229"/>
    <cellStyle name="Normal 161 3" xfId="12960"/>
    <cellStyle name="Normal 161 4" xfId="11042"/>
    <cellStyle name="Normal 162" xfId="9769"/>
    <cellStyle name="Normal 162 2" xfId="11922"/>
    <cellStyle name="Normal 162 2 2" xfId="13230"/>
    <cellStyle name="Normal 162 3" xfId="12959"/>
    <cellStyle name="Normal 162 4" xfId="11041"/>
    <cellStyle name="Normal 163" xfId="6832"/>
    <cellStyle name="Normal 164" xfId="8058"/>
    <cellStyle name="Normal 165" xfId="10127"/>
    <cellStyle name="Normal 165 2" xfId="11924"/>
    <cellStyle name="Normal 165 3" xfId="13231"/>
    <cellStyle name="Normal 165 4" xfId="10217"/>
    <cellStyle name="Normal 166" xfId="10133"/>
    <cellStyle name="Normal 166 2" xfId="11926"/>
    <cellStyle name="Normal 166 3" xfId="13232"/>
    <cellStyle name="Normal 166 4" xfId="10219"/>
    <cellStyle name="Normal 167" xfId="10200"/>
    <cellStyle name="Normal 167 2" xfId="11927"/>
    <cellStyle name="Normal 167 3" xfId="13233"/>
    <cellStyle name="Normal 167 4" xfId="11055"/>
    <cellStyle name="Normal 168" xfId="32"/>
    <cellStyle name="Normal 168 2" xfId="13234"/>
    <cellStyle name="Normal 168 3" xfId="11070"/>
    <cellStyle name="Normal 169" xfId="30"/>
    <cellStyle name="Normal 169 2" xfId="13235"/>
    <cellStyle name="Normal 169 3" xfId="11063"/>
    <cellStyle name="Normal 17" xfId="330"/>
    <cellStyle name="Normal 17 2" xfId="331"/>
    <cellStyle name="Normal 17 2 2" xfId="332"/>
    <cellStyle name="Normal 17 2 2 2" xfId="333"/>
    <cellStyle name="Normal 17 2 2 3" xfId="334"/>
    <cellStyle name="Normal 17 2 3" xfId="335"/>
    <cellStyle name="Normal 17 2 4" xfId="336"/>
    <cellStyle name="Normal 17 3" xfId="337"/>
    <cellStyle name="Normal 17 3 2" xfId="338"/>
    <cellStyle name="Normal 17 3 2 2" xfId="339"/>
    <cellStyle name="Normal 17 3 2 3" xfId="340"/>
    <cellStyle name="Normal 17 3 3" xfId="341"/>
    <cellStyle name="Normal 17 3 4" xfId="342"/>
    <cellStyle name="Normal 17 4" xfId="343"/>
    <cellStyle name="Normal 17 4 2" xfId="344"/>
    <cellStyle name="Normal 17 4 3" xfId="345"/>
    <cellStyle name="Normal 17 5" xfId="346"/>
    <cellStyle name="Normal 17 6" xfId="347"/>
    <cellStyle name="Normal 170" xfId="10203"/>
    <cellStyle name="Normal 170 2" xfId="13236"/>
    <cellStyle name="Normal 170 3" xfId="11044"/>
    <cellStyle name="Normal 171" xfId="11075"/>
    <cellStyle name="Normal 171 2" xfId="13237"/>
    <cellStyle name="Normal 172" xfId="11083"/>
    <cellStyle name="Normal 172 2" xfId="13238"/>
    <cellStyle name="Normal 173" xfId="11079"/>
    <cellStyle name="Normal 173 2" xfId="13239"/>
    <cellStyle name="Normal 174" xfId="11048"/>
    <cellStyle name="Normal 174 2" xfId="13240"/>
    <cellStyle name="Normal 175" xfId="11052"/>
    <cellStyle name="Normal 175 2" xfId="13241"/>
    <cellStyle name="Normal 176" xfId="11045"/>
    <cellStyle name="Normal 176 2" xfId="13242"/>
    <cellStyle name="Normal 177" xfId="11049"/>
    <cellStyle name="Normal 177 2" xfId="13243"/>
    <cellStyle name="Normal 178" xfId="11064"/>
    <cellStyle name="Normal 178 2" xfId="13244"/>
    <cellStyle name="Normal 179" xfId="11059"/>
    <cellStyle name="Normal 179 2" xfId="13245"/>
    <cellStyle name="Normal 18" xfId="348"/>
    <cellStyle name="Normal 18 2" xfId="349"/>
    <cellStyle name="Normal 18 2 2" xfId="1086"/>
    <cellStyle name="Normal 18 3" xfId="1565"/>
    <cellStyle name="Normal 180" xfId="11056"/>
    <cellStyle name="Normal 180 2" xfId="13246"/>
    <cellStyle name="Normal 181" xfId="11074"/>
    <cellStyle name="Normal 181 2" xfId="13247"/>
    <cellStyle name="Normal 182" xfId="11088"/>
    <cellStyle name="Normal 182 2" xfId="13248"/>
    <cellStyle name="Normal 183" xfId="11091"/>
    <cellStyle name="Normal 183 2" xfId="13249"/>
    <cellStyle name="Normal 184" xfId="11573"/>
    <cellStyle name="Normal 184 2" xfId="13250"/>
    <cellStyle name="Normal 185" xfId="11442"/>
    <cellStyle name="Normal 185 2" xfId="13251"/>
    <cellStyle name="Normal 186" xfId="11939"/>
    <cellStyle name="Normal 186 2" xfId="13252"/>
    <cellStyle name="Normal 187" xfId="10216"/>
    <cellStyle name="Normal 188" xfId="11947"/>
    <cellStyle name="Normal 189" xfId="12066"/>
    <cellStyle name="Normal 19" xfId="350"/>
    <cellStyle name="Normal 19 2" xfId="1087"/>
    <cellStyle name="Normal 190" xfId="12074"/>
    <cellStyle name="Normal 191" xfId="11971"/>
    <cellStyle name="Normal 192" xfId="12070"/>
    <cellStyle name="Normal 193" xfId="11970"/>
    <cellStyle name="Normal 194" xfId="12072"/>
    <cellStyle name="Normal 195" xfId="12065"/>
    <cellStyle name="Normal 196" xfId="11968"/>
    <cellStyle name="Normal 197" xfId="12071"/>
    <cellStyle name="Normal 198" xfId="12077"/>
    <cellStyle name="Normal 199" xfId="12079"/>
    <cellStyle name="Normal 2" xfId="1"/>
    <cellStyle name="Normal 2 10" xfId="1737"/>
    <cellStyle name="Normal 2 10 2" xfId="2453"/>
    <cellStyle name="Normal 2 10 2 2" xfId="4528"/>
    <cellStyle name="Normal 2 10 2 2 2" xfId="8916"/>
    <cellStyle name="Normal 2 10 2 2 2 2" xfId="11860"/>
    <cellStyle name="Normal 2 10 2 2 2 2 2" xfId="13253"/>
    <cellStyle name="Normal 2 10 2 2 2 3" xfId="12898"/>
    <cellStyle name="Normal 2 10 2 2 2 4" xfId="10980"/>
    <cellStyle name="Normal 2 10 2 2 3" xfId="11384"/>
    <cellStyle name="Normal 2 10 2 2 3 2" xfId="13254"/>
    <cellStyle name="Normal 2 10 2 2 4" xfId="12426"/>
    <cellStyle name="Normal 2 10 2 2 5" xfId="10508"/>
    <cellStyle name="Normal 2 10 2 3" xfId="6574"/>
    <cellStyle name="Normal 2 10 2 3 2" xfId="11591"/>
    <cellStyle name="Normal 2 10 2 3 2 2" xfId="13255"/>
    <cellStyle name="Normal 2 10 2 3 3" xfId="12631"/>
    <cellStyle name="Normal 2 10 2 3 4" xfId="10713"/>
    <cellStyle name="Normal 2 10 2 4" xfId="11203"/>
    <cellStyle name="Normal 2 10 2 4 2" xfId="13256"/>
    <cellStyle name="Normal 2 10 2 5" xfId="12272"/>
    <cellStyle name="Normal 2 10 2 6" xfId="10329"/>
    <cellStyle name="Normal 2 10 3" xfId="4351"/>
    <cellStyle name="Normal 2 10 3 2" xfId="8787"/>
    <cellStyle name="Normal 2 10 3 2 2" xfId="11772"/>
    <cellStyle name="Normal 2 10 3 2 2 2" xfId="13257"/>
    <cellStyle name="Normal 2 10 3 2 3" xfId="12810"/>
    <cellStyle name="Normal 2 10 3 2 4" xfId="10892"/>
    <cellStyle name="Normal 2 10 3 3" xfId="11296"/>
    <cellStyle name="Normal 2 10 3 3 2" xfId="13258"/>
    <cellStyle name="Normal 2 10 3 4" xfId="12338"/>
    <cellStyle name="Normal 2 10 3 5" xfId="10420"/>
    <cellStyle name="Normal 2 10 4" xfId="5136"/>
    <cellStyle name="Normal 2 10 4 2" xfId="11460"/>
    <cellStyle name="Normal 2 10 4 2 2" xfId="13259"/>
    <cellStyle name="Normal 2 10 4 3" xfId="12501"/>
    <cellStyle name="Normal 2 10 4 4" xfId="10583"/>
    <cellStyle name="Normal 2 10 5" xfId="6958"/>
    <cellStyle name="Normal 2 10 5 2" xfId="11630"/>
    <cellStyle name="Normal 2 10 5 2 2" xfId="13260"/>
    <cellStyle name="Normal 2 10 5 3" xfId="12669"/>
    <cellStyle name="Normal 2 10 5 4" xfId="10751"/>
    <cellStyle name="Normal 2 10 6" xfId="11117"/>
    <cellStyle name="Normal 2 10 6 2" xfId="13261"/>
    <cellStyle name="Normal 2 10 7" xfId="12234"/>
    <cellStyle name="Normal 2 10 8" xfId="10244"/>
    <cellStyle name="Normal 2 11" xfId="10135"/>
    <cellStyle name="Normal 2 2" xfId="351"/>
    <cellStyle name="Normal 2 2 2" xfId="352"/>
    <cellStyle name="Normal 2 2 3" xfId="353"/>
    <cellStyle name="Normal 2 2 4" xfId="354"/>
    <cellStyle name="Normal 2 2 5" xfId="355"/>
    <cellStyle name="Normal 2 3" xfId="356"/>
    <cellStyle name="Normal 2 3 2" xfId="357"/>
    <cellStyle name="Normal 2 3 3" xfId="1994"/>
    <cellStyle name="Normal 2 3_29(d) - Gas extensions -tariffs" xfId="358"/>
    <cellStyle name="Normal 2 4" xfId="359"/>
    <cellStyle name="Normal 2 4 2" xfId="360"/>
    <cellStyle name="Normal 2 4 3" xfId="361"/>
    <cellStyle name="Normal 2 5" xfId="362"/>
    <cellStyle name="Normal 2 6" xfId="1088"/>
    <cellStyle name="Normal 2 6 2" xfId="1585"/>
    <cellStyle name="Normal 2 6 3" xfId="1858"/>
    <cellStyle name="Normal 2 7" xfId="1771"/>
    <cellStyle name="Normal 2 8" xfId="1606"/>
    <cellStyle name="Normal 2 9" xfId="1749"/>
    <cellStyle name="Normal 2 9 2" xfId="2464"/>
    <cellStyle name="Normal 2 9 2 2" xfId="4538"/>
    <cellStyle name="Normal 2 9 2 2 2" xfId="8926"/>
    <cellStyle name="Normal 2 9 2 2 2 2" xfId="11870"/>
    <cellStyle name="Normal 2 9 2 2 2 2 2" xfId="13262"/>
    <cellStyle name="Normal 2 9 2 2 2 3" xfId="12908"/>
    <cellStyle name="Normal 2 9 2 2 2 4" xfId="10990"/>
    <cellStyle name="Normal 2 9 2 2 3" xfId="11394"/>
    <cellStyle name="Normal 2 9 2 2 3 2" xfId="13263"/>
    <cellStyle name="Normal 2 9 2 2 4" xfId="12436"/>
    <cellStyle name="Normal 2 9 2 2 5" xfId="10518"/>
    <cellStyle name="Normal 2 9 2 3" xfId="8151"/>
    <cellStyle name="Normal 2 9 2 3 2" xfId="11736"/>
    <cellStyle name="Normal 2 9 2 3 2 2" xfId="13264"/>
    <cellStyle name="Normal 2 9 2 3 3" xfId="12774"/>
    <cellStyle name="Normal 2 9 2 3 4" xfId="10856"/>
    <cellStyle name="Normal 2 9 2 4" xfId="11213"/>
    <cellStyle name="Normal 2 9 2 4 2" xfId="13265"/>
    <cellStyle name="Normal 2 9 2 5" xfId="12273"/>
    <cellStyle name="Normal 2 9 2 6" xfId="10339"/>
    <cellStyle name="Normal 2 9 3" xfId="4361"/>
    <cellStyle name="Normal 2 9 3 2" xfId="8797"/>
    <cellStyle name="Normal 2 9 3 2 2" xfId="11782"/>
    <cellStyle name="Normal 2 9 3 2 2 2" xfId="13266"/>
    <cellStyle name="Normal 2 9 3 2 3" xfId="12820"/>
    <cellStyle name="Normal 2 9 3 2 4" xfId="10902"/>
    <cellStyle name="Normal 2 9 3 3" xfId="11306"/>
    <cellStyle name="Normal 2 9 3 3 2" xfId="13267"/>
    <cellStyle name="Normal 2 9 3 4" xfId="12348"/>
    <cellStyle name="Normal 2 9 3 5" xfId="10430"/>
    <cellStyle name="Normal 2 9 4" xfId="5258"/>
    <cellStyle name="Normal 2 9 4 2" xfId="11508"/>
    <cellStyle name="Normal 2 9 4 2 2" xfId="13268"/>
    <cellStyle name="Normal 2 9 4 3" xfId="12549"/>
    <cellStyle name="Normal 2 9 4 4" xfId="10631"/>
    <cellStyle name="Normal 2 9 5" xfId="7268"/>
    <cellStyle name="Normal 2 9 5 2" xfId="11659"/>
    <cellStyle name="Normal 2 9 5 2 2" xfId="13269"/>
    <cellStyle name="Normal 2 9 5 3" xfId="12698"/>
    <cellStyle name="Normal 2 9 5 4" xfId="10780"/>
    <cellStyle name="Normal 2 9 6" xfId="11127"/>
    <cellStyle name="Normal 2 9 6 2" xfId="13270"/>
    <cellStyle name="Normal 2 9 7" xfId="12244"/>
    <cellStyle name="Normal 2 9 8" xfId="10254"/>
    <cellStyle name="Normal 2_29(d) - Gas extensions -tariffs" xfId="363"/>
    <cellStyle name="Normal 20" xfId="364"/>
    <cellStyle name="Normal 20 2" xfId="365"/>
    <cellStyle name="Normal 20 2 2" xfId="366"/>
    <cellStyle name="Normal 20 3" xfId="367"/>
    <cellStyle name="Normal 20 4" xfId="368"/>
    <cellStyle name="Normal 200" xfId="11948"/>
    <cellStyle name="Normal 201" xfId="11987"/>
    <cellStyle name="Normal 202" xfId="10210"/>
    <cellStyle name="Normal 202 2" xfId="12175"/>
    <cellStyle name="Normal 203" xfId="10211"/>
    <cellStyle name="Normal 204" xfId="12083"/>
    <cellStyle name="Normal 205" xfId="12115"/>
    <cellStyle name="Normal 206" xfId="12122"/>
    <cellStyle name="Normal 207" xfId="12118"/>
    <cellStyle name="Normal 208" xfId="12089"/>
    <cellStyle name="Normal 209" xfId="12139"/>
    <cellStyle name="Normal 21" xfId="369"/>
    <cellStyle name="Normal 21 2" xfId="370"/>
    <cellStyle name="Normal 21 3" xfId="371"/>
    <cellStyle name="Normal 210" xfId="12126"/>
    <cellStyle name="Normal 211" xfId="12101"/>
    <cellStyle name="Normal 212" xfId="12135"/>
    <cellStyle name="Normal 213" xfId="12097"/>
    <cellStyle name="Normal 214" xfId="12106"/>
    <cellStyle name="Normal 215" xfId="12109"/>
    <cellStyle name="Normal 216" xfId="12965"/>
    <cellStyle name="Normal 217" xfId="12125"/>
    <cellStyle name="Normal 218" xfId="12132"/>
    <cellStyle name="Normal 219" xfId="12111"/>
    <cellStyle name="Normal 22" xfId="372"/>
    <cellStyle name="Normal 220" xfId="12100"/>
    <cellStyle name="Normal 221" xfId="12140"/>
    <cellStyle name="Normal 222" xfId="12136"/>
    <cellStyle name="Normal 223" xfId="12966"/>
    <cellStyle name="Normal 224" xfId="12129"/>
    <cellStyle name="Normal 225" xfId="12086"/>
    <cellStyle name="Normal 226" xfId="13856"/>
    <cellStyle name="Normal 227" xfId="10206"/>
    <cellStyle name="Normal 228" xfId="13864"/>
    <cellStyle name="Normal 229" xfId="13972"/>
    <cellStyle name="Normal 23" xfId="373"/>
    <cellStyle name="Normal 23 2" xfId="374"/>
    <cellStyle name="Normal 23 2 2" xfId="375"/>
    <cellStyle name="Normal 23 3" xfId="376"/>
    <cellStyle name="Normal 23 4" xfId="377"/>
    <cellStyle name="Normal 230" xfId="14081"/>
    <cellStyle name="Normal 231" xfId="13881"/>
    <cellStyle name="Normal 232" xfId="13973"/>
    <cellStyle name="Normal 233" xfId="14080"/>
    <cellStyle name="Normal 234" xfId="13981"/>
    <cellStyle name="Normal 235" xfId="13885"/>
    <cellStyle name="Normal 236" xfId="13858"/>
    <cellStyle name="Normal 237" xfId="13861"/>
    <cellStyle name="Normal 24" xfId="378"/>
    <cellStyle name="Normal 24 2" xfId="379"/>
    <cellStyle name="Normal 24 2 2" xfId="380"/>
    <cellStyle name="Normal 24 3" xfId="381"/>
    <cellStyle name="Normal 24 4" xfId="382"/>
    <cellStyle name="Normal 25" xfId="383"/>
    <cellStyle name="Normal 25 2" xfId="384"/>
    <cellStyle name="Normal 25 2 2" xfId="385"/>
    <cellStyle name="Normal 25 3" xfId="386"/>
    <cellStyle name="Normal 25 4" xfId="387"/>
    <cellStyle name="Normal 26" xfId="388"/>
    <cellStyle name="Normal 26 2" xfId="389"/>
    <cellStyle name="Normal 26 2 2" xfId="390"/>
    <cellStyle name="Normal 26 3" xfId="391"/>
    <cellStyle name="Normal 26 4" xfId="392"/>
    <cellStyle name="Normal 27" xfId="393"/>
    <cellStyle name="Normal 28" xfId="394"/>
    <cellStyle name="Normal 28 2" xfId="395"/>
    <cellStyle name="Normal 29" xfId="396"/>
    <cellStyle name="Normal 3" xfId="4"/>
    <cellStyle name="Normal 3 10" xfId="22"/>
    <cellStyle name="Normal 3 2" xfId="33"/>
    <cellStyle name="Normal 3 2 2" xfId="1089"/>
    <cellStyle name="Normal 3 2 3" xfId="397"/>
    <cellStyle name="Normal 3 2 4" xfId="13852"/>
    <cellStyle name="Normal 3 3" xfId="25"/>
    <cellStyle name="Normal 3 3 2" xfId="399"/>
    <cellStyle name="Normal 3 3 3" xfId="400"/>
    <cellStyle name="Normal 3 3 4" xfId="398"/>
    <cellStyle name="Normal 3 3 5" xfId="13853"/>
    <cellStyle name="Normal 3 4" xfId="401"/>
    <cellStyle name="Normal 3 5" xfId="402"/>
    <cellStyle name="Normal 3 5 2" xfId="403"/>
    <cellStyle name="Normal 3 5 3" xfId="404"/>
    <cellStyle name="Normal 3 6" xfId="1090"/>
    <cellStyle name="Normal 3 6 2" xfId="1589"/>
    <cellStyle name="Normal 3 6 3" xfId="1859"/>
    <cellStyle name="Normal 3 7" xfId="1707"/>
    <cellStyle name="Normal 3 8" xfId="10155"/>
    <cellStyle name="Normal 3 8 2" xfId="11930"/>
    <cellStyle name="Normal 3 8 3" xfId="10218"/>
    <cellStyle name="Normal 3 9" xfId="10215"/>
    <cellStyle name="Normal 3_29(d) - Gas extensions -tariffs" xfId="405"/>
    <cellStyle name="Normal 30" xfId="406"/>
    <cellStyle name="Normal 31" xfId="407"/>
    <cellStyle name="Normal 32" xfId="408"/>
    <cellStyle name="Normal 32 2" xfId="409"/>
    <cellStyle name="Normal 33" xfId="410"/>
    <cellStyle name="Normal 34" xfId="411"/>
    <cellStyle name="Normal 35" xfId="412"/>
    <cellStyle name="Normal 35 2" xfId="1590"/>
    <cellStyle name="Normal 36" xfId="413"/>
    <cellStyle name="Normal 36 2" xfId="1591"/>
    <cellStyle name="Normal 37" xfId="414"/>
    <cellStyle name="Normal 38" xfId="415"/>
    <cellStyle name="Normal 38 2" xfId="416"/>
    <cellStyle name="Normal 38_29(d) - Gas extensions -tariffs" xfId="417"/>
    <cellStyle name="Normal 39" xfId="1091"/>
    <cellStyle name="Normal 39 2" xfId="1592"/>
    <cellStyle name="Normal 39 3" xfId="1860"/>
    <cellStyle name="Normal 4" xfId="19"/>
    <cellStyle name="Normal 4 10" xfId="1995"/>
    <cellStyle name="Normal 4 10 2" xfId="2533"/>
    <cellStyle name="Normal 4 10 2 2" xfId="4576"/>
    <cellStyle name="Normal 4 10 2 2 2" xfId="8964"/>
    <cellStyle name="Normal 4 10 2 2 2 2" xfId="11908"/>
    <cellStyle name="Normal 4 10 2 2 2 2 2" xfId="13271"/>
    <cellStyle name="Normal 4 10 2 2 2 3" xfId="12946"/>
    <cellStyle name="Normal 4 10 2 2 2 4" xfId="11028"/>
    <cellStyle name="Normal 4 10 2 2 3" xfId="11432"/>
    <cellStyle name="Normal 4 10 2 2 3 2" xfId="13272"/>
    <cellStyle name="Normal 4 10 2 2 4" xfId="12474"/>
    <cellStyle name="Normal 4 10 2 2 5" xfId="10556"/>
    <cellStyle name="Normal 4 10 2 3" xfId="7622"/>
    <cellStyle name="Normal 4 10 2 3 2" xfId="11688"/>
    <cellStyle name="Normal 4 10 2 3 2 2" xfId="13273"/>
    <cellStyle name="Normal 4 10 2 3 3" xfId="12727"/>
    <cellStyle name="Normal 4 10 2 3 4" xfId="10809"/>
    <cellStyle name="Normal 4 10 2 4" xfId="11251"/>
    <cellStyle name="Normal 4 10 2 4 2" xfId="13274"/>
    <cellStyle name="Normal 4 10 2 5" xfId="12295"/>
    <cellStyle name="Normal 4 10 2 6" xfId="10377"/>
    <cellStyle name="Normal 4 10 3" xfId="2626"/>
    <cellStyle name="Normal 4 10 4" xfId="4399"/>
    <cellStyle name="Normal 4 10 4 2" xfId="8835"/>
    <cellStyle name="Normal 4 10 4 2 2" xfId="11820"/>
    <cellStyle name="Normal 4 10 4 2 2 2" xfId="13275"/>
    <cellStyle name="Normal 4 10 4 2 3" xfId="12858"/>
    <cellStyle name="Normal 4 10 4 2 4" xfId="10940"/>
    <cellStyle name="Normal 4 10 4 3" xfId="11344"/>
    <cellStyle name="Normal 4 10 4 3 2" xfId="13276"/>
    <cellStyle name="Normal 4 10 4 4" xfId="12386"/>
    <cellStyle name="Normal 4 10 4 5" xfId="10468"/>
    <cellStyle name="Normal 4 10 5" xfId="7745"/>
    <cellStyle name="Normal 4 10 5 2" xfId="11697"/>
    <cellStyle name="Normal 4 10 5 2 2" xfId="13277"/>
    <cellStyle name="Normal 4 10 5 3" xfId="12735"/>
    <cellStyle name="Normal 4 10 5 4" xfId="10817"/>
    <cellStyle name="Normal 4 10 6" xfId="11165"/>
    <cellStyle name="Normal 4 10 6 2" xfId="13278"/>
    <cellStyle name="Normal 4 10 7" xfId="12147"/>
    <cellStyle name="Normal 4 10 8" xfId="10292"/>
    <cellStyle name="Normal 4 11" xfId="36"/>
    <cellStyle name="Normal 4 12" xfId="24"/>
    <cellStyle name="Normal 4 2" xfId="418"/>
    <cellStyle name="Normal 4 2 2" xfId="419"/>
    <cellStyle name="Normal 4 2 2 2" xfId="420"/>
    <cellStyle name="Normal 4 2 2 2 2" xfId="421"/>
    <cellStyle name="Normal 4 2 2 2 3" xfId="422"/>
    <cellStyle name="Normal 4 2 2 3" xfId="423"/>
    <cellStyle name="Normal 4 2 2 4" xfId="424"/>
    <cellStyle name="Normal 4 2 3" xfId="425"/>
    <cellStyle name="Normal 4 2 3 2" xfId="426"/>
    <cellStyle name="Normal 4 2 3 2 2" xfId="427"/>
    <cellStyle name="Normal 4 2 3 2 3" xfId="428"/>
    <cellStyle name="Normal 4 2 3 3" xfId="429"/>
    <cellStyle name="Normal 4 2 3 4" xfId="430"/>
    <cellStyle name="Normal 4 3" xfId="431"/>
    <cellStyle name="Normal 4 3 2" xfId="432"/>
    <cellStyle name="Normal 4 3 2 2" xfId="433"/>
    <cellStyle name="Normal 4 3 2 3" xfId="434"/>
    <cellStyle name="Normal 4 3 3" xfId="435"/>
    <cellStyle name="Normal 4 3 3 2" xfId="436"/>
    <cellStyle name="Normal 4 3 4" xfId="437"/>
    <cellStyle name="Normal 4 4" xfId="438"/>
    <cellStyle name="Normal 4 5" xfId="439"/>
    <cellStyle name="Normal 4 6" xfId="440"/>
    <cellStyle name="Normal 4 7" xfId="1092"/>
    <cellStyle name="Normal 4 8" xfId="1554"/>
    <cellStyle name="Normal 4 9" xfId="1781"/>
    <cellStyle name="Normal 4_29(d) - Gas extensions -tariffs" xfId="441"/>
    <cellStyle name="Normal 40" xfId="442"/>
    <cellStyle name="Normal 40 2" xfId="443"/>
    <cellStyle name="Normal 40_29(d) - Gas extensions -tariffs" xfId="444"/>
    <cellStyle name="Normal 41" xfId="1093"/>
    <cellStyle name="Normal 41 2" xfId="1609"/>
    <cellStyle name="Normal 41 3" xfId="1861"/>
    <cellStyle name="Normal 42" xfId="1094"/>
    <cellStyle name="Normal 42 10" xfId="5221"/>
    <cellStyle name="Normal 42 10 2" xfId="11493"/>
    <cellStyle name="Normal 42 10 2 2" xfId="13279"/>
    <cellStyle name="Normal 42 10 3" xfId="12534"/>
    <cellStyle name="Normal 42 10 4" xfId="10616"/>
    <cellStyle name="Normal 42 11" xfId="7080"/>
    <cellStyle name="Normal 42 11 2" xfId="11644"/>
    <cellStyle name="Normal 42 11 2 2" xfId="13280"/>
    <cellStyle name="Normal 42 11 3" xfId="12683"/>
    <cellStyle name="Normal 42 11 4" xfId="10765"/>
    <cellStyle name="Normal 42 12" xfId="11095"/>
    <cellStyle name="Normal 42 12 2" xfId="13281"/>
    <cellStyle name="Normal 42 13" xfId="13282"/>
    <cellStyle name="Normal 42 14" xfId="10224"/>
    <cellStyle name="Normal 42 2" xfId="1095"/>
    <cellStyle name="Normal 42 2 2" xfId="1096"/>
    <cellStyle name="Normal 42 2 2 10" xfId="10225"/>
    <cellStyle name="Normal 42 2 2 2" xfId="1097"/>
    <cellStyle name="Normal 42 2 2 2 2" xfId="1564"/>
    <cellStyle name="Normal 42 2 2 2 2 2" xfId="2426"/>
    <cellStyle name="Normal 42 2 2 2 2 2 2" xfId="4527"/>
    <cellStyle name="Normal 42 2 2 2 2 2 2 2" xfId="8915"/>
    <cellStyle name="Normal 42 2 2 2 2 2 2 2 2" xfId="11859"/>
    <cellStyle name="Normal 42 2 2 2 2 2 2 2 2 2" xfId="13283"/>
    <cellStyle name="Normal 42 2 2 2 2 2 2 2 3" xfId="12897"/>
    <cellStyle name="Normal 42 2 2 2 2 2 2 2 4" xfId="10979"/>
    <cellStyle name="Normal 42 2 2 2 2 2 2 3" xfId="11383"/>
    <cellStyle name="Normal 42 2 2 2 2 2 2 3 2" xfId="13284"/>
    <cellStyle name="Normal 42 2 2 2 2 2 2 4" xfId="12425"/>
    <cellStyle name="Normal 42 2 2 2 2 2 2 5" xfId="10507"/>
    <cellStyle name="Normal 42 2 2 2 2 2 3" xfId="5132"/>
    <cellStyle name="Normal 42 2 2 2 2 2 3 2" xfId="11458"/>
    <cellStyle name="Normal 42 2 2 2 2 2 3 2 2" xfId="13285"/>
    <cellStyle name="Normal 42 2 2 2 2 2 3 3" xfId="12499"/>
    <cellStyle name="Normal 42 2 2 2 2 2 3 4" xfId="10581"/>
    <cellStyle name="Normal 42 2 2 2 2 2 4" xfId="7955"/>
    <cellStyle name="Normal 42 2 2 2 2 2 4 2" xfId="11715"/>
    <cellStyle name="Normal 42 2 2 2 2 2 4 2 2" xfId="13286"/>
    <cellStyle name="Normal 42 2 2 2 2 2 4 3" xfId="12753"/>
    <cellStyle name="Normal 42 2 2 2 2 2 4 4" xfId="10835"/>
    <cellStyle name="Normal 42 2 2 2 2 2 5" xfId="11202"/>
    <cellStyle name="Normal 42 2 2 2 2 2 5 2" xfId="13287"/>
    <cellStyle name="Normal 42 2 2 2 2 2 6" xfId="12233"/>
    <cellStyle name="Normal 42 2 2 2 2 2 7" xfId="10328"/>
    <cellStyle name="Normal 42 2 2 2 2 3" xfId="4350"/>
    <cellStyle name="Normal 42 2 2 2 2 3 2" xfId="8786"/>
    <cellStyle name="Normal 42 2 2 2 2 3 2 2" xfId="11771"/>
    <cellStyle name="Normal 42 2 2 2 2 3 2 2 2" xfId="13288"/>
    <cellStyle name="Normal 42 2 2 2 2 3 2 3" xfId="12809"/>
    <cellStyle name="Normal 42 2 2 2 2 3 2 4" xfId="10891"/>
    <cellStyle name="Normal 42 2 2 2 2 3 3" xfId="11295"/>
    <cellStyle name="Normal 42 2 2 2 2 3 3 2" xfId="13289"/>
    <cellStyle name="Normal 42 2 2 2 2 3 4" xfId="12337"/>
    <cellStyle name="Normal 42 2 2 2 2 3 5" xfId="10419"/>
    <cellStyle name="Normal 42 2 2 2 2 4" xfId="5272"/>
    <cellStyle name="Normal 42 2 2 2 2 4 2" xfId="11513"/>
    <cellStyle name="Normal 42 2 2 2 2 4 2 2" xfId="13290"/>
    <cellStyle name="Normal 42 2 2 2 2 4 3" xfId="12554"/>
    <cellStyle name="Normal 42 2 2 2 2 4 4" xfId="10636"/>
    <cellStyle name="Normal 42 2 2 2 2 5" xfId="7095"/>
    <cellStyle name="Normal 42 2 2 2 2 5 2" xfId="11646"/>
    <cellStyle name="Normal 42 2 2 2 2 5 2 2" xfId="13291"/>
    <cellStyle name="Normal 42 2 2 2 2 5 3" xfId="12685"/>
    <cellStyle name="Normal 42 2 2 2 2 5 4" xfId="10767"/>
    <cellStyle name="Normal 42 2 2 2 2 6" xfId="11116"/>
    <cellStyle name="Normal 42 2 2 2 2 6 2" xfId="13292"/>
    <cellStyle name="Normal 42 2 2 2 2 7" xfId="12201"/>
    <cellStyle name="Normal 42 2 2 2 2 8" xfId="10243"/>
    <cellStyle name="Normal 42 2 2 2 3" xfId="2395"/>
    <cellStyle name="Normal 42 2 2 2 3 2" xfId="4509"/>
    <cellStyle name="Normal 42 2 2 2 3 2 2" xfId="8897"/>
    <cellStyle name="Normal 42 2 2 2 3 2 2 2" xfId="11841"/>
    <cellStyle name="Normal 42 2 2 2 3 2 2 2 2" xfId="13293"/>
    <cellStyle name="Normal 42 2 2 2 3 2 2 3" xfId="12879"/>
    <cellStyle name="Normal 42 2 2 2 3 2 2 4" xfId="10961"/>
    <cellStyle name="Normal 42 2 2 2 3 2 3" xfId="11365"/>
    <cellStyle name="Normal 42 2 2 2 3 2 3 2" xfId="13294"/>
    <cellStyle name="Normal 42 2 2 2 3 2 4" xfId="12407"/>
    <cellStyle name="Normal 42 2 2 2 3 2 5" xfId="10489"/>
    <cellStyle name="Normal 42 2 2 2 3 3" xfId="5261"/>
    <cellStyle name="Normal 42 2 2 2 3 3 2" xfId="11509"/>
    <cellStyle name="Normal 42 2 2 2 3 3 2 2" xfId="13295"/>
    <cellStyle name="Normal 42 2 2 2 3 3 3" xfId="12550"/>
    <cellStyle name="Normal 42 2 2 2 3 3 4" xfId="10632"/>
    <cellStyle name="Normal 42 2 2 2 3 4" xfId="6734"/>
    <cellStyle name="Normal 42 2 2 2 3 4 2" xfId="11606"/>
    <cellStyle name="Normal 42 2 2 2 3 4 2 2" xfId="13296"/>
    <cellStyle name="Normal 42 2 2 2 3 4 3" xfId="12646"/>
    <cellStyle name="Normal 42 2 2 2 3 4 4" xfId="10728"/>
    <cellStyle name="Normal 42 2 2 2 3 5" xfId="11184"/>
    <cellStyle name="Normal 42 2 2 2 3 5 2" xfId="13297"/>
    <cellStyle name="Normal 42 2 2 2 3 6" xfId="12216"/>
    <cellStyle name="Normal 42 2 2 2 3 7" xfId="10310"/>
    <cellStyle name="Normal 42 2 2 2 4" xfId="4331"/>
    <cellStyle name="Normal 42 2 2 2 4 2" xfId="8768"/>
    <cellStyle name="Normal 42 2 2 2 4 2 2" xfId="11753"/>
    <cellStyle name="Normal 42 2 2 2 4 2 2 2" xfId="13298"/>
    <cellStyle name="Normal 42 2 2 2 4 2 3" xfId="12791"/>
    <cellStyle name="Normal 42 2 2 2 4 2 4" xfId="10873"/>
    <cellStyle name="Normal 42 2 2 2 4 3" xfId="11277"/>
    <cellStyle name="Normal 42 2 2 2 4 3 2" xfId="13299"/>
    <cellStyle name="Normal 42 2 2 2 4 4" xfId="12319"/>
    <cellStyle name="Normal 42 2 2 2 4 5" xfId="10401"/>
    <cellStyle name="Normal 42 2 2 2 5" xfId="5298"/>
    <cellStyle name="Normal 42 2 2 2 5 2" xfId="11522"/>
    <cellStyle name="Normal 42 2 2 2 5 2 2" xfId="13300"/>
    <cellStyle name="Normal 42 2 2 2 5 3" xfId="12563"/>
    <cellStyle name="Normal 42 2 2 2 5 4" xfId="10645"/>
    <cellStyle name="Normal 42 2 2 2 6" xfId="6262"/>
    <cellStyle name="Normal 42 2 2 2 6 2" xfId="11564"/>
    <cellStyle name="Normal 42 2 2 2 6 2 2" xfId="13301"/>
    <cellStyle name="Normal 42 2 2 2 6 3" xfId="12605"/>
    <cellStyle name="Normal 42 2 2 2 6 4" xfId="10687"/>
    <cellStyle name="Normal 42 2 2 2 7" xfId="11097"/>
    <cellStyle name="Normal 42 2 2 2 7 2" xfId="13302"/>
    <cellStyle name="Normal 42 2 2 2 8" xfId="12184"/>
    <cellStyle name="Normal 42 2 2 2 9" xfId="10226"/>
    <cellStyle name="Normal 42 2 2 3" xfId="1863"/>
    <cellStyle name="Normal 42 2 2 3 2" xfId="2491"/>
    <cellStyle name="Normal 42 2 2 3 2 2" xfId="4543"/>
    <cellStyle name="Normal 42 2 2 3 2 2 2" xfId="8931"/>
    <cellStyle name="Normal 42 2 2 3 2 2 2 2" xfId="11875"/>
    <cellStyle name="Normal 42 2 2 3 2 2 2 2 2" xfId="13303"/>
    <cellStyle name="Normal 42 2 2 3 2 2 2 3" xfId="12913"/>
    <cellStyle name="Normal 42 2 2 3 2 2 2 4" xfId="10995"/>
    <cellStyle name="Normal 42 2 2 3 2 2 3" xfId="11399"/>
    <cellStyle name="Normal 42 2 2 3 2 2 3 2" xfId="13304"/>
    <cellStyle name="Normal 42 2 2 3 2 2 4" xfId="12441"/>
    <cellStyle name="Normal 42 2 2 3 2 2 5" xfId="10523"/>
    <cellStyle name="Normal 42 2 2 3 2 3" xfId="5274"/>
    <cellStyle name="Normal 42 2 2 3 2 3 2" xfId="11515"/>
    <cellStyle name="Normal 42 2 2 3 2 3 2 2" xfId="13305"/>
    <cellStyle name="Normal 42 2 2 3 2 3 3" xfId="12556"/>
    <cellStyle name="Normal 42 2 2 3 2 3 4" xfId="10638"/>
    <cellStyle name="Normal 42 2 2 3 2 4" xfId="7748"/>
    <cellStyle name="Normal 42 2 2 3 2 4 2" xfId="11698"/>
    <cellStyle name="Normal 42 2 2 3 2 4 2 2" xfId="13306"/>
    <cellStyle name="Normal 42 2 2 3 2 4 3" xfId="12736"/>
    <cellStyle name="Normal 42 2 2 3 2 4 4" xfId="10818"/>
    <cellStyle name="Normal 42 2 2 3 2 5" xfId="11218"/>
    <cellStyle name="Normal 42 2 2 3 2 5 2" xfId="13307"/>
    <cellStyle name="Normal 42 2 2 3 2 6" xfId="12249"/>
    <cellStyle name="Normal 42 2 2 3 2 7" xfId="10344"/>
    <cellStyle name="Normal 42 2 2 3 3" xfId="4366"/>
    <cellStyle name="Normal 42 2 2 3 3 2" xfId="8802"/>
    <cellStyle name="Normal 42 2 2 3 3 2 2" xfId="11787"/>
    <cellStyle name="Normal 42 2 2 3 3 2 2 2" xfId="13308"/>
    <cellStyle name="Normal 42 2 2 3 3 2 3" xfId="12825"/>
    <cellStyle name="Normal 42 2 2 3 3 2 4" xfId="10907"/>
    <cellStyle name="Normal 42 2 2 3 3 3" xfId="11311"/>
    <cellStyle name="Normal 42 2 2 3 3 3 2" xfId="13309"/>
    <cellStyle name="Normal 42 2 2 3 3 4" xfId="12353"/>
    <cellStyle name="Normal 42 2 2 3 3 5" xfId="10435"/>
    <cellStyle name="Normal 42 2 2 3 4" xfId="5150"/>
    <cellStyle name="Normal 42 2 2 3 4 2" xfId="11466"/>
    <cellStyle name="Normal 42 2 2 3 4 2 2" xfId="13310"/>
    <cellStyle name="Normal 42 2 2 3 4 3" xfId="12507"/>
    <cellStyle name="Normal 42 2 2 3 4 4" xfId="10589"/>
    <cellStyle name="Normal 42 2 2 3 5" xfId="7254"/>
    <cellStyle name="Normal 42 2 2 3 5 2" xfId="11657"/>
    <cellStyle name="Normal 42 2 2 3 5 2 2" xfId="13311"/>
    <cellStyle name="Normal 42 2 2 3 5 3" xfId="12696"/>
    <cellStyle name="Normal 42 2 2 3 5 4" xfId="10778"/>
    <cellStyle name="Normal 42 2 2 3 6" xfId="11132"/>
    <cellStyle name="Normal 42 2 2 3 6 2" xfId="13312"/>
    <cellStyle name="Normal 42 2 2 3 7" xfId="12183"/>
    <cellStyle name="Normal 42 2 2 3 8" xfId="10259"/>
    <cellStyle name="Normal 42 2 2 4" xfId="2394"/>
    <cellStyle name="Normal 42 2 2 4 2" xfId="4508"/>
    <cellStyle name="Normal 42 2 2 4 2 2" xfId="8896"/>
    <cellStyle name="Normal 42 2 2 4 2 2 2" xfId="11840"/>
    <cellStyle name="Normal 42 2 2 4 2 2 2 2" xfId="13313"/>
    <cellStyle name="Normal 42 2 2 4 2 2 3" xfId="12878"/>
    <cellStyle name="Normal 42 2 2 4 2 2 4" xfId="10960"/>
    <cellStyle name="Normal 42 2 2 4 2 3" xfId="11364"/>
    <cellStyle name="Normal 42 2 2 4 2 3 2" xfId="13314"/>
    <cellStyle name="Normal 42 2 2 4 2 4" xfId="12406"/>
    <cellStyle name="Normal 42 2 2 4 2 5" xfId="10488"/>
    <cellStyle name="Normal 42 2 2 4 3" xfId="5370"/>
    <cellStyle name="Normal 42 2 2 4 3 2" xfId="11553"/>
    <cellStyle name="Normal 42 2 2 4 3 2 2" xfId="13315"/>
    <cellStyle name="Normal 42 2 2 4 3 3" xfId="12594"/>
    <cellStyle name="Normal 42 2 2 4 3 4" xfId="10676"/>
    <cellStyle name="Normal 42 2 2 4 4" xfId="8185"/>
    <cellStyle name="Normal 42 2 2 4 4 2" xfId="11740"/>
    <cellStyle name="Normal 42 2 2 4 4 2 2" xfId="13316"/>
    <cellStyle name="Normal 42 2 2 4 4 3" xfId="12778"/>
    <cellStyle name="Normal 42 2 2 4 4 4" xfId="10860"/>
    <cellStyle name="Normal 42 2 2 4 5" xfId="11183"/>
    <cellStyle name="Normal 42 2 2 4 5 2" xfId="13317"/>
    <cellStyle name="Normal 42 2 2 4 6" xfId="12215"/>
    <cellStyle name="Normal 42 2 2 4 7" xfId="10309"/>
    <cellStyle name="Normal 42 2 2 5" xfId="4330"/>
    <cellStyle name="Normal 42 2 2 5 2" xfId="8767"/>
    <cellStyle name="Normal 42 2 2 5 2 2" xfId="11752"/>
    <cellStyle name="Normal 42 2 2 5 2 2 2" xfId="13318"/>
    <cellStyle name="Normal 42 2 2 5 2 3" xfId="12790"/>
    <cellStyle name="Normal 42 2 2 5 2 4" xfId="10872"/>
    <cellStyle name="Normal 42 2 2 5 3" xfId="11276"/>
    <cellStyle name="Normal 42 2 2 5 3 2" xfId="13319"/>
    <cellStyle name="Normal 42 2 2 5 4" xfId="12318"/>
    <cellStyle name="Normal 42 2 2 5 5" xfId="10400"/>
    <cellStyle name="Normal 42 2 2 6" xfId="5371"/>
    <cellStyle name="Normal 42 2 2 6 2" xfId="11554"/>
    <cellStyle name="Normal 42 2 2 6 2 2" xfId="13320"/>
    <cellStyle name="Normal 42 2 2 6 3" xfId="12595"/>
    <cellStyle name="Normal 42 2 2 6 4" xfId="10677"/>
    <cellStyle name="Normal 42 2 2 7" xfId="6514"/>
    <cellStyle name="Normal 42 2 2 7 2" xfId="11589"/>
    <cellStyle name="Normal 42 2 2 7 2 2" xfId="13321"/>
    <cellStyle name="Normal 42 2 2 7 3" xfId="12629"/>
    <cellStyle name="Normal 42 2 2 7 4" xfId="10711"/>
    <cellStyle name="Normal 42 2 2 8" xfId="11096"/>
    <cellStyle name="Normal 42 2 2 8 2" xfId="13322"/>
    <cellStyle name="Normal 42 2 2 9" xfId="12160"/>
    <cellStyle name="Normal 42 2 3" xfId="1098"/>
    <cellStyle name="Normal 42 2 3 10" xfId="10227"/>
    <cellStyle name="Normal 42 2 3 2" xfId="1738"/>
    <cellStyle name="Normal 42 2 3 2 2" xfId="2454"/>
    <cellStyle name="Normal 42 2 3 2 2 2" xfId="4529"/>
    <cellStyle name="Normal 42 2 3 2 2 2 2" xfId="8917"/>
    <cellStyle name="Normal 42 2 3 2 2 2 2 2" xfId="11861"/>
    <cellStyle name="Normal 42 2 3 2 2 2 2 2 2" xfId="13323"/>
    <cellStyle name="Normal 42 2 3 2 2 2 2 3" xfId="12899"/>
    <cellStyle name="Normal 42 2 3 2 2 2 2 4" xfId="10981"/>
    <cellStyle name="Normal 42 2 3 2 2 2 3" xfId="11385"/>
    <cellStyle name="Normal 42 2 3 2 2 2 3 2" xfId="13324"/>
    <cellStyle name="Normal 42 2 3 2 2 2 4" xfId="12427"/>
    <cellStyle name="Normal 42 2 3 2 2 2 5" xfId="10509"/>
    <cellStyle name="Normal 42 2 3 2 2 3" xfId="5237"/>
    <cellStyle name="Normal 42 2 3 2 2 3 2" xfId="11499"/>
    <cellStyle name="Normal 42 2 3 2 2 3 2 2" xfId="13325"/>
    <cellStyle name="Normal 42 2 3 2 2 3 3" xfId="12540"/>
    <cellStyle name="Normal 42 2 3 2 2 3 4" xfId="10622"/>
    <cellStyle name="Normal 42 2 3 2 2 4" xfId="8092"/>
    <cellStyle name="Normal 42 2 3 2 2 4 2" xfId="11732"/>
    <cellStyle name="Normal 42 2 3 2 2 4 2 2" xfId="13326"/>
    <cellStyle name="Normal 42 2 3 2 2 4 3" xfId="12770"/>
    <cellStyle name="Normal 42 2 3 2 2 4 4" xfId="10852"/>
    <cellStyle name="Normal 42 2 3 2 2 5" xfId="11204"/>
    <cellStyle name="Normal 42 2 3 2 2 5 2" xfId="13327"/>
    <cellStyle name="Normal 42 2 3 2 2 6" xfId="12235"/>
    <cellStyle name="Normal 42 2 3 2 2 7" xfId="10330"/>
    <cellStyle name="Normal 42 2 3 2 3" xfId="4352"/>
    <cellStyle name="Normal 42 2 3 2 3 2" xfId="8788"/>
    <cellStyle name="Normal 42 2 3 2 3 2 2" xfId="11773"/>
    <cellStyle name="Normal 42 2 3 2 3 2 2 2" xfId="13328"/>
    <cellStyle name="Normal 42 2 3 2 3 2 3" xfId="12811"/>
    <cellStyle name="Normal 42 2 3 2 3 2 4" xfId="10893"/>
    <cellStyle name="Normal 42 2 3 2 3 3" xfId="11297"/>
    <cellStyle name="Normal 42 2 3 2 3 3 2" xfId="13329"/>
    <cellStyle name="Normal 42 2 3 2 3 4" xfId="12339"/>
    <cellStyle name="Normal 42 2 3 2 3 5" xfId="10421"/>
    <cellStyle name="Normal 42 2 3 2 4" xfId="5338"/>
    <cellStyle name="Normal 42 2 3 2 4 2" xfId="11540"/>
    <cellStyle name="Normal 42 2 3 2 4 2 2" xfId="13330"/>
    <cellStyle name="Normal 42 2 3 2 4 3" xfId="12581"/>
    <cellStyle name="Normal 42 2 3 2 4 4" xfId="10663"/>
    <cellStyle name="Normal 42 2 3 2 5" xfId="7387"/>
    <cellStyle name="Normal 42 2 3 2 5 2" xfId="11668"/>
    <cellStyle name="Normal 42 2 3 2 5 2 2" xfId="13331"/>
    <cellStyle name="Normal 42 2 3 2 5 3" xfId="12707"/>
    <cellStyle name="Normal 42 2 3 2 5 4" xfId="10789"/>
    <cellStyle name="Normal 42 2 3 2 6" xfId="11118"/>
    <cellStyle name="Normal 42 2 3 2 6 2" xfId="13332"/>
    <cellStyle name="Normal 42 2 3 2 7" xfId="12202"/>
    <cellStyle name="Normal 42 2 3 2 8" xfId="10245"/>
    <cellStyle name="Normal 42 2 3 3" xfId="1864"/>
    <cellStyle name="Normal 42 2 3 3 2" xfId="2492"/>
    <cellStyle name="Normal 42 2 3 3 2 2" xfId="4544"/>
    <cellStyle name="Normal 42 2 3 3 2 2 2" xfId="8932"/>
    <cellStyle name="Normal 42 2 3 3 2 2 2 2" xfId="11876"/>
    <cellStyle name="Normal 42 2 3 3 2 2 2 2 2" xfId="13333"/>
    <cellStyle name="Normal 42 2 3 3 2 2 2 3" xfId="12914"/>
    <cellStyle name="Normal 42 2 3 3 2 2 2 4" xfId="10996"/>
    <cellStyle name="Normal 42 2 3 3 2 2 3" xfId="11400"/>
    <cellStyle name="Normal 42 2 3 3 2 2 3 2" xfId="13334"/>
    <cellStyle name="Normal 42 2 3 3 2 2 4" xfId="12442"/>
    <cellStyle name="Normal 42 2 3 3 2 2 5" xfId="10524"/>
    <cellStyle name="Normal 42 2 3 3 2 3" xfId="5126"/>
    <cellStyle name="Normal 42 2 3 3 2 3 2" xfId="11454"/>
    <cellStyle name="Normal 42 2 3 3 2 3 2 2" xfId="13335"/>
    <cellStyle name="Normal 42 2 3 3 2 3 3" xfId="12495"/>
    <cellStyle name="Normal 42 2 3 3 2 3 4" xfId="10577"/>
    <cellStyle name="Normal 42 2 3 3 2 4" xfId="7766"/>
    <cellStyle name="Normal 42 2 3 3 2 4 2" xfId="11703"/>
    <cellStyle name="Normal 42 2 3 3 2 4 2 2" xfId="13336"/>
    <cellStyle name="Normal 42 2 3 3 2 4 3" xfId="12741"/>
    <cellStyle name="Normal 42 2 3 3 2 4 4" xfId="10823"/>
    <cellStyle name="Normal 42 2 3 3 2 5" xfId="11219"/>
    <cellStyle name="Normal 42 2 3 3 2 5 2" xfId="13337"/>
    <cellStyle name="Normal 42 2 3 3 2 6" xfId="12250"/>
    <cellStyle name="Normal 42 2 3 3 2 7" xfId="10345"/>
    <cellStyle name="Normal 42 2 3 3 3" xfId="4367"/>
    <cellStyle name="Normal 42 2 3 3 3 2" xfId="8803"/>
    <cellStyle name="Normal 42 2 3 3 3 2 2" xfId="11788"/>
    <cellStyle name="Normal 42 2 3 3 3 2 2 2" xfId="13338"/>
    <cellStyle name="Normal 42 2 3 3 3 2 3" xfId="12826"/>
    <cellStyle name="Normal 42 2 3 3 3 2 4" xfId="10908"/>
    <cellStyle name="Normal 42 2 3 3 3 3" xfId="11312"/>
    <cellStyle name="Normal 42 2 3 3 3 3 2" xfId="13339"/>
    <cellStyle name="Normal 42 2 3 3 3 4" xfId="12354"/>
    <cellStyle name="Normal 42 2 3 3 3 5" xfId="10436"/>
    <cellStyle name="Normal 42 2 3 3 4" xfId="5106"/>
    <cellStyle name="Normal 42 2 3 3 4 2" xfId="11447"/>
    <cellStyle name="Normal 42 2 3 3 4 2 2" xfId="13340"/>
    <cellStyle name="Normal 42 2 3 3 4 3" xfId="12488"/>
    <cellStyle name="Normal 42 2 3 3 4 4" xfId="10570"/>
    <cellStyle name="Normal 42 2 3 3 5" xfId="7667"/>
    <cellStyle name="Normal 42 2 3 3 5 2" xfId="11691"/>
    <cellStyle name="Normal 42 2 3 3 5 2 2" xfId="13341"/>
    <cellStyle name="Normal 42 2 3 3 5 3" xfId="12730"/>
    <cellStyle name="Normal 42 2 3 3 5 4" xfId="10812"/>
    <cellStyle name="Normal 42 2 3 3 6" xfId="11133"/>
    <cellStyle name="Normal 42 2 3 3 6 2" xfId="13342"/>
    <cellStyle name="Normal 42 2 3 3 7" xfId="12185"/>
    <cellStyle name="Normal 42 2 3 3 8" xfId="10260"/>
    <cellStyle name="Normal 42 2 3 4" xfId="2396"/>
    <cellStyle name="Normal 42 2 3 4 2" xfId="4510"/>
    <cellStyle name="Normal 42 2 3 4 2 2" xfId="8898"/>
    <cellStyle name="Normal 42 2 3 4 2 2 2" xfId="11842"/>
    <cellStyle name="Normal 42 2 3 4 2 2 2 2" xfId="13343"/>
    <cellStyle name="Normal 42 2 3 4 2 2 3" xfId="12880"/>
    <cellStyle name="Normal 42 2 3 4 2 2 4" xfId="10962"/>
    <cellStyle name="Normal 42 2 3 4 2 3" xfId="11366"/>
    <cellStyle name="Normal 42 2 3 4 2 3 2" xfId="13344"/>
    <cellStyle name="Normal 42 2 3 4 2 4" xfId="12408"/>
    <cellStyle name="Normal 42 2 3 4 2 5" xfId="10490"/>
    <cellStyle name="Normal 42 2 3 4 3" xfId="5277"/>
    <cellStyle name="Normal 42 2 3 4 3 2" xfId="11516"/>
    <cellStyle name="Normal 42 2 3 4 3 2 2" xfId="13345"/>
    <cellStyle name="Normal 42 2 3 4 3 3" xfId="12557"/>
    <cellStyle name="Normal 42 2 3 4 3 4" xfId="10639"/>
    <cellStyle name="Normal 42 2 3 4 4" xfId="7844"/>
    <cellStyle name="Normal 42 2 3 4 4 2" xfId="11706"/>
    <cellStyle name="Normal 42 2 3 4 4 2 2" xfId="13346"/>
    <cellStyle name="Normal 42 2 3 4 4 3" xfId="12744"/>
    <cellStyle name="Normal 42 2 3 4 4 4" xfId="10826"/>
    <cellStyle name="Normal 42 2 3 4 5" xfId="11185"/>
    <cellStyle name="Normal 42 2 3 4 5 2" xfId="13347"/>
    <cellStyle name="Normal 42 2 3 4 6" xfId="12217"/>
    <cellStyle name="Normal 42 2 3 4 7" xfId="10311"/>
    <cellStyle name="Normal 42 2 3 5" xfId="4332"/>
    <cellStyle name="Normal 42 2 3 5 2" xfId="8769"/>
    <cellStyle name="Normal 42 2 3 5 2 2" xfId="11754"/>
    <cellStyle name="Normal 42 2 3 5 2 2 2" xfId="13348"/>
    <cellStyle name="Normal 42 2 3 5 2 3" xfId="12792"/>
    <cellStyle name="Normal 42 2 3 5 2 4" xfId="10874"/>
    <cellStyle name="Normal 42 2 3 5 3" xfId="11278"/>
    <cellStyle name="Normal 42 2 3 5 3 2" xfId="13349"/>
    <cellStyle name="Normal 42 2 3 5 4" xfId="12320"/>
    <cellStyle name="Normal 42 2 3 5 5" xfId="10402"/>
    <cellStyle name="Normal 42 2 3 6" xfId="5224"/>
    <cellStyle name="Normal 42 2 3 6 2" xfId="11494"/>
    <cellStyle name="Normal 42 2 3 6 2 2" xfId="13350"/>
    <cellStyle name="Normal 42 2 3 6 3" xfId="12535"/>
    <cellStyle name="Normal 42 2 3 6 4" xfId="10617"/>
    <cellStyle name="Normal 42 2 3 7" xfId="7416"/>
    <cellStyle name="Normal 42 2 3 7 2" xfId="11670"/>
    <cellStyle name="Normal 42 2 3 7 2 2" xfId="13351"/>
    <cellStyle name="Normal 42 2 3 7 3" xfId="12709"/>
    <cellStyle name="Normal 42 2 3 7 4" xfId="10791"/>
    <cellStyle name="Normal 42 2 3 8" xfId="11098"/>
    <cellStyle name="Normal 42 2 3 8 2" xfId="13352"/>
    <cellStyle name="Normal 42 2 3 9" xfId="12164"/>
    <cellStyle name="Normal 42 3" xfId="1099"/>
    <cellStyle name="Normal 42 3 10" xfId="10228"/>
    <cellStyle name="Normal 42 3 2" xfId="1739"/>
    <cellStyle name="Normal 42 3 2 2" xfId="2455"/>
    <cellStyle name="Normal 42 3 2 2 2" xfId="4530"/>
    <cellStyle name="Normal 42 3 2 2 2 2" xfId="8918"/>
    <cellStyle name="Normal 42 3 2 2 2 2 2" xfId="11862"/>
    <cellStyle name="Normal 42 3 2 2 2 2 2 2" xfId="13353"/>
    <cellStyle name="Normal 42 3 2 2 2 2 3" xfId="12900"/>
    <cellStyle name="Normal 42 3 2 2 2 2 4" xfId="10982"/>
    <cellStyle name="Normal 42 3 2 2 2 3" xfId="11386"/>
    <cellStyle name="Normal 42 3 2 2 2 3 2" xfId="13354"/>
    <cellStyle name="Normal 42 3 2 2 2 4" xfId="12428"/>
    <cellStyle name="Normal 42 3 2 2 2 5" xfId="10510"/>
    <cellStyle name="Normal 42 3 2 2 3" xfId="5214"/>
    <cellStyle name="Normal 42 3 2 2 3 2" xfId="11487"/>
    <cellStyle name="Normal 42 3 2 2 3 2 2" xfId="13355"/>
    <cellStyle name="Normal 42 3 2 2 3 3" xfId="12528"/>
    <cellStyle name="Normal 42 3 2 2 3 4" xfId="10610"/>
    <cellStyle name="Normal 42 3 2 2 4" xfId="6467"/>
    <cellStyle name="Normal 42 3 2 2 4 2" xfId="11582"/>
    <cellStyle name="Normal 42 3 2 2 4 2 2" xfId="13356"/>
    <cellStyle name="Normal 42 3 2 2 4 3" xfId="12622"/>
    <cellStyle name="Normal 42 3 2 2 4 4" xfId="10704"/>
    <cellStyle name="Normal 42 3 2 2 5" xfId="11205"/>
    <cellStyle name="Normal 42 3 2 2 5 2" xfId="13357"/>
    <cellStyle name="Normal 42 3 2 2 6" xfId="12236"/>
    <cellStyle name="Normal 42 3 2 2 7" xfId="10331"/>
    <cellStyle name="Normal 42 3 2 3" xfId="4353"/>
    <cellStyle name="Normal 42 3 2 3 2" xfId="8789"/>
    <cellStyle name="Normal 42 3 2 3 2 2" xfId="11774"/>
    <cellStyle name="Normal 42 3 2 3 2 2 2" xfId="13358"/>
    <cellStyle name="Normal 42 3 2 3 2 3" xfId="12812"/>
    <cellStyle name="Normal 42 3 2 3 2 4" xfId="10894"/>
    <cellStyle name="Normal 42 3 2 3 3" xfId="11298"/>
    <cellStyle name="Normal 42 3 2 3 3 2" xfId="13359"/>
    <cellStyle name="Normal 42 3 2 3 4" xfId="12340"/>
    <cellStyle name="Normal 42 3 2 3 5" xfId="10422"/>
    <cellStyle name="Normal 42 3 2 4" xfId="5358"/>
    <cellStyle name="Normal 42 3 2 4 2" xfId="11547"/>
    <cellStyle name="Normal 42 3 2 4 2 2" xfId="13360"/>
    <cellStyle name="Normal 42 3 2 4 3" xfId="12588"/>
    <cellStyle name="Normal 42 3 2 4 4" xfId="10670"/>
    <cellStyle name="Normal 42 3 2 5" xfId="7510"/>
    <cellStyle name="Normal 42 3 2 5 2" xfId="11680"/>
    <cellStyle name="Normal 42 3 2 5 2 2" xfId="13361"/>
    <cellStyle name="Normal 42 3 2 5 3" xfId="12719"/>
    <cellStyle name="Normal 42 3 2 5 4" xfId="10801"/>
    <cellStyle name="Normal 42 3 2 6" xfId="11119"/>
    <cellStyle name="Normal 42 3 2 6 2" xfId="13362"/>
    <cellStyle name="Normal 42 3 2 7" xfId="12203"/>
    <cellStyle name="Normal 42 3 2 8" xfId="10246"/>
    <cellStyle name="Normal 42 3 3" xfId="1865"/>
    <cellStyle name="Normal 42 3 3 2" xfId="2493"/>
    <cellStyle name="Normal 42 3 3 2 2" xfId="4545"/>
    <cellStyle name="Normal 42 3 3 2 2 2" xfId="8933"/>
    <cellStyle name="Normal 42 3 3 2 2 2 2" xfId="11877"/>
    <cellStyle name="Normal 42 3 3 2 2 2 2 2" xfId="13363"/>
    <cellStyle name="Normal 42 3 3 2 2 2 3" xfId="12915"/>
    <cellStyle name="Normal 42 3 3 2 2 2 4" xfId="10997"/>
    <cellStyle name="Normal 42 3 3 2 2 3" xfId="11401"/>
    <cellStyle name="Normal 42 3 3 2 2 3 2" xfId="13364"/>
    <cellStyle name="Normal 42 3 3 2 2 4" xfId="12443"/>
    <cellStyle name="Normal 42 3 3 2 2 5" xfId="10525"/>
    <cellStyle name="Normal 42 3 3 2 3" xfId="5103"/>
    <cellStyle name="Normal 42 3 3 2 3 2" xfId="11446"/>
    <cellStyle name="Normal 42 3 3 2 3 2 2" xfId="13365"/>
    <cellStyle name="Normal 42 3 3 2 3 3" xfId="12487"/>
    <cellStyle name="Normal 42 3 3 2 3 4" xfId="10569"/>
    <cellStyle name="Normal 42 3 3 2 4" xfId="6686"/>
    <cellStyle name="Normal 42 3 3 2 4 2" xfId="11600"/>
    <cellStyle name="Normal 42 3 3 2 4 2 2" xfId="13366"/>
    <cellStyle name="Normal 42 3 3 2 4 3" xfId="12640"/>
    <cellStyle name="Normal 42 3 3 2 4 4" xfId="10722"/>
    <cellStyle name="Normal 42 3 3 2 5" xfId="11220"/>
    <cellStyle name="Normal 42 3 3 2 5 2" xfId="13367"/>
    <cellStyle name="Normal 42 3 3 2 6" xfId="12251"/>
    <cellStyle name="Normal 42 3 3 2 7" xfId="10346"/>
    <cellStyle name="Normal 42 3 3 3" xfId="4368"/>
    <cellStyle name="Normal 42 3 3 3 2" xfId="8804"/>
    <cellStyle name="Normal 42 3 3 3 2 2" xfId="11789"/>
    <cellStyle name="Normal 42 3 3 3 2 2 2" xfId="13368"/>
    <cellStyle name="Normal 42 3 3 3 2 3" xfId="12827"/>
    <cellStyle name="Normal 42 3 3 3 2 4" xfId="10909"/>
    <cellStyle name="Normal 42 3 3 3 3" xfId="11313"/>
    <cellStyle name="Normal 42 3 3 3 3 2" xfId="13369"/>
    <cellStyle name="Normal 42 3 3 3 4" xfId="12355"/>
    <cellStyle name="Normal 42 3 3 3 5" xfId="10437"/>
    <cellStyle name="Normal 42 3 3 4" xfId="5154"/>
    <cellStyle name="Normal 42 3 3 4 2" xfId="11467"/>
    <cellStyle name="Normal 42 3 3 4 2 2" xfId="13370"/>
    <cellStyle name="Normal 42 3 3 4 3" xfId="12508"/>
    <cellStyle name="Normal 42 3 3 4 4" xfId="10590"/>
    <cellStyle name="Normal 42 3 3 5" xfId="6379"/>
    <cellStyle name="Normal 42 3 3 5 2" xfId="11575"/>
    <cellStyle name="Normal 42 3 3 5 2 2" xfId="13371"/>
    <cellStyle name="Normal 42 3 3 5 3" xfId="12615"/>
    <cellStyle name="Normal 42 3 3 5 4" xfId="10697"/>
    <cellStyle name="Normal 42 3 3 6" xfId="11134"/>
    <cellStyle name="Normal 42 3 3 6 2" xfId="13372"/>
    <cellStyle name="Normal 42 3 3 7" xfId="12186"/>
    <cellStyle name="Normal 42 3 3 8" xfId="10261"/>
    <cellStyle name="Normal 42 3 4" xfId="2397"/>
    <cellStyle name="Normal 42 3 4 2" xfId="4511"/>
    <cellStyle name="Normal 42 3 4 2 2" xfId="8899"/>
    <cellStyle name="Normal 42 3 4 2 2 2" xfId="11843"/>
    <cellStyle name="Normal 42 3 4 2 2 2 2" xfId="13373"/>
    <cellStyle name="Normal 42 3 4 2 2 3" xfId="12881"/>
    <cellStyle name="Normal 42 3 4 2 2 4" xfId="10963"/>
    <cellStyle name="Normal 42 3 4 2 3" xfId="11367"/>
    <cellStyle name="Normal 42 3 4 2 3 2" xfId="13374"/>
    <cellStyle name="Normal 42 3 4 2 4" xfId="12409"/>
    <cellStyle name="Normal 42 3 4 2 5" xfId="10491"/>
    <cellStyle name="Normal 42 3 4 3" xfId="5145"/>
    <cellStyle name="Normal 42 3 4 3 2" xfId="11464"/>
    <cellStyle name="Normal 42 3 4 3 2 2" xfId="13375"/>
    <cellStyle name="Normal 42 3 4 3 3" xfId="12505"/>
    <cellStyle name="Normal 42 3 4 3 4" xfId="10587"/>
    <cellStyle name="Normal 42 3 4 4" xfId="6365"/>
    <cellStyle name="Normal 42 3 4 4 2" xfId="11571"/>
    <cellStyle name="Normal 42 3 4 4 2 2" xfId="13376"/>
    <cellStyle name="Normal 42 3 4 4 3" xfId="12612"/>
    <cellStyle name="Normal 42 3 4 4 4" xfId="10694"/>
    <cellStyle name="Normal 42 3 4 5" xfId="11186"/>
    <cellStyle name="Normal 42 3 4 5 2" xfId="13377"/>
    <cellStyle name="Normal 42 3 4 6" xfId="12218"/>
    <cellStyle name="Normal 42 3 4 7" xfId="10312"/>
    <cellStyle name="Normal 42 3 5" xfId="4333"/>
    <cellStyle name="Normal 42 3 5 2" xfId="8770"/>
    <cellStyle name="Normal 42 3 5 2 2" xfId="11755"/>
    <cellStyle name="Normal 42 3 5 2 2 2" xfId="13378"/>
    <cellStyle name="Normal 42 3 5 2 3" xfId="12793"/>
    <cellStyle name="Normal 42 3 5 2 4" xfId="10875"/>
    <cellStyle name="Normal 42 3 5 3" xfId="11279"/>
    <cellStyle name="Normal 42 3 5 3 2" xfId="13379"/>
    <cellStyle name="Normal 42 3 5 4" xfId="12321"/>
    <cellStyle name="Normal 42 3 5 5" xfId="10403"/>
    <cellStyle name="Normal 42 3 6" xfId="5199"/>
    <cellStyle name="Normal 42 3 6 2" xfId="11481"/>
    <cellStyle name="Normal 42 3 6 2 2" xfId="13380"/>
    <cellStyle name="Normal 42 3 6 3" xfId="12522"/>
    <cellStyle name="Normal 42 3 6 4" xfId="10604"/>
    <cellStyle name="Normal 42 3 7" xfId="6839"/>
    <cellStyle name="Normal 42 3 7 2" xfId="11618"/>
    <cellStyle name="Normal 42 3 7 2 2" xfId="13381"/>
    <cellStyle name="Normal 42 3 7 3" xfId="12658"/>
    <cellStyle name="Normal 42 3 7 4" xfId="10740"/>
    <cellStyle name="Normal 42 3 8" xfId="11099"/>
    <cellStyle name="Normal 42 3 8 2" xfId="13382"/>
    <cellStyle name="Normal 42 3 9" xfId="12165"/>
    <cellStyle name="Normal 42 4" xfId="1100"/>
    <cellStyle name="Normal 42 4 10" xfId="10229"/>
    <cellStyle name="Normal 42 4 2" xfId="1740"/>
    <cellStyle name="Normal 42 4 2 2" xfId="2456"/>
    <cellStyle name="Normal 42 4 2 2 2" xfId="4531"/>
    <cellStyle name="Normal 42 4 2 2 2 2" xfId="8919"/>
    <cellStyle name="Normal 42 4 2 2 2 2 2" xfId="11863"/>
    <cellStyle name="Normal 42 4 2 2 2 2 2 2" xfId="13383"/>
    <cellStyle name="Normal 42 4 2 2 2 2 3" xfId="12901"/>
    <cellStyle name="Normal 42 4 2 2 2 2 4" xfId="10983"/>
    <cellStyle name="Normal 42 4 2 2 2 3" xfId="11387"/>
    <cellStyle name="Normal 42 4 2 2 2 3 2" xfId="13384"/>
    <cellStyle name="Normal 42 4 2 2 2 4" xfId="12429"/>
    <cellStyle name="Normal 42 4 2 2 2 5" xfId="10511"/>
    <cellStyle name="Normal 42 4 2 2 3" xfId="5131"/>
    <cellStyle name="Normal 42 4 2 2 3 2" xfId="11457"/>
    <cellStyle name="Normal 42 4 2 2 3 2 2" xfId="13385"/>
    <cellStyle name="Normal 42 4 2 2 3 3" xfId="12498"/>
    <cellStyle name="Normal 42 4 2 2 3 4" xfId="10580"/>
    <cellStyle name="Normal 42 4 2 2 4" xfId="8002"/>
    <cellStyle name="Normal 42 4 2 2 4 2" xfId="11720"/>
    <cellStyle name="Normal 42 4 2 2 4 2 2" xfId="13386"/>
    <cellStyle name="Normal 42 4 2 2 4 3" xfId="12758"/>
    <cellStyle name="Normal 42 4 2 2 4 4" xfId="10840"/>
    <cellStyle name="Normal 42 4 2 2 5" xfId="11206"/>
    <cellStyle name="Normal 42 4 2 2 5 2" xfId="13387"/>
    <cellStyle name="Normal 42 4 2 2 6" xfId="12237"/>
    <cellStyle name="Normal 42 4 2 2 7" xfId="10332"/>
    <cellStyle name="Normal 42 4 2 3" xfId="4354"/>
    <cellStyle name="Normal 42 4 2 3 2" xfId="8790"/>
    <cellStyle name="Normal 42 4 2 3 2 2" xfId="11775"/>
    <cellStyle name="Normal 42 4 2 3 2 2 2" xfId="13388"/>
    <cellStyle name="Normal 42 4 2 3 2 3" xfId="12813"/>
    <cellStyle name="Normal 42 4 2 3 2 4" xfId="10895"/>
    <cellStyle name="Normal 42 4 2 3 3" xfId="11299"/>
    <cellStyle name="Normal 42 4 2 3 3 2" xfId="13389"/>
    <cellStyle name="Normal 42 4 2 3 4" xfId="12341"/>
    <cellStyle name="Normal 42 4 2 3 5" xfId="10423"/>
    <cellStyle name="Normal 42 4 2 4" xfId="5108"/>
    <cellStyle name="Normal 42 4 2 4 2" xfId="11448"/>
    <cellStyle name="Normal 42 4 2 4 2 2" xfId="13390"/>
    <cellStyle name="Normal 42 4 2 4 3" xfId="12489"/>
    <cellStyle name="Normal 42 4 2 4 4" xfId="10571"/>
    <cellStyle name="Normal 42 4 2 5" xfId="8084"/>
    <cellStyle name="Normal 42 4 2 5 2" xfId="11729"/>
    <cellStyle name="Normal 42 4 2 5 2 2" xfId="13391"/>
    <cellStyle name="Normal 42 4 2 5 3" xfId="12767"/>
    <cellStyle name="Normal 42 4 2 5 4" xfId="10849"/>
    <cellStyle name="Normal 42 4 2 6" xfId="11120"/>
    <cellStyle name="Normal 42 4 2 6 2" xfId="13392"/>
    <cellStyle name="Normal 42 4 2 7" xfId="12204"/>
    <cellStyle name="Normal 42 4 2 8" xfId="10247"/>
    <cellStyle name="Normal 42 4 3" xfId="1866"/>
    <cellStyle name="Normal 42 4 3 2" xfId="2494"/>
    <cellStyle name="Normal 42 4 3 2 2" xfId="4546"/>
    <cellStyle name="Normal 42 4 3 2 2 2" xfId="8934"/>
    <cellStyle name="Normal 42 4 3 2 2 2 2" xfId="11878"/>
    <cellStyle name="Normal 42 4 3 2 2 2 2 2" xfId="13393"/>
    <cellStyle name="Normal 42 4 3 2 2 2 3" xfId="12916"/>
    <cellStyle name="Normal 42 4 3 2 2 2 4" xfId="10998"/>
    <cellStyle name="Normal 42 4 3 2 2 3" xfId="11402"/>
    <cellStyle name="Normal 42 4 3 2 2 3 2" xfId="13394"/>
    <cellStyle name="Normal 42 4 3 2 2 4" xfId="12444"/>
    <cellStyle name="Normal 42 4 3 2 2 5" xfId="10526"/>
    <cellStyle name="Normal 42 4 3 2 3" xfId="5168"/>
    <cellStyle name="Normal 42 4 3 2 3 2" xfId="11472"/>
    <cellStyle name="Normal 42 4 3 2 3 2 2" xfId="13395"/>
    <cellStyle name="Normal 42 4 3 2 3 3" xfId="12513"/>
    <cellStyle name="Normal 42 4 3 2 3 4" xfId="10595"/>
    <cellStyle name="Normal 42 4 3 2 4" xfId="8143"/>
    <cellStyle name="Normal 42 4 3 2 4 2" xfId="11735"/>
    <cellStyle name="Normal 42 4 3 2 4 2 2" xfId="13396"/>
    <cellStyle name="Normal 42 4 3 2 4 3" xfId="12773"/>
    <cellStyle name="Normal 42 4 3 2 4 4" xfId="10855"/>
    <cellStyle name="Normal 42 4 3 2 5" xfId="11221"/>
    <cellStyle name="Normal 42 4 3 2 5 2" xfId="13397"/>
    <cellStyle name="Normal 42 4 3 2 6" xfId="12252"/>
    <cellStyle name="Normal 42 4 3 2 7" xfId="10347"/>
    <cellStyle name="Normal 42 4 3 3" xfId="4369"/>
    <cellStyle name="Normal 42 4 3 3 2" xfId="8805"/>
    <cellStyle name="Normal 42 4 3 3 2 2" xfId="11790"/>
    <cellStyle name="Normal 42 4 3 3 2 2 2" xfId="13398"/>
    <cellStyle name="Normal 42 4 3 3 2 3" xfId="12828"/>
    <cellStyle name="Normal 42 4 3 3 2 4" xfId="10910"/>
    <cellStyle name="Normal 42 4 3 3 3" xfId="11314"/>
    <cellStyle name="Normal 42 4 3 3 3 2" xfId="13399"/>
    <cellStyle name="Normal 42 4 3 3 4" xfId="12356"/>
    <cellStyle name="Normal 42 4 3 3 5" xfId="10438"/>
    <cellStyle name="Normal 42 4 3 4" xfId="5344"/>
    <cellStyle name="Normal 42 4 3 4 2" xfId="11541"/>
    <cellStyle name="Normal 42 4 3 4 2 2" xfId="13400"/>
    <cellStyle name="Normal 42 4 3 4 3" xfId="12582"/>
    <cellStyle name="Normal 42 4 3 4 4" xfId="10664"/>
    <cellStyle name="Normal 42 4 3 5" xfId="6370"/>
    <cellStyle name="Normal 42 4 3 5 2" xfId="11572"/>
    <cellStyle name="Normal 42 4 3 5 2 2" xfId="13401"/>
    <cellStyle name="Normal 42 4 3 5 3" xfId="12613"/>
    <cellStyle name="Normal 42 4 3 5 4" xfId="10695"/>
    <cellStyle name="Normal 42 4 3 6" xfId="11135"/>
    <cellStyle name="Normal 42 4 3 6 2" xfId="13402"/>
    <cellStyle name="Normal 42 4 3 7" xfId="12187"/>
    <cellStyle name="Normal 42 4 3 8" xfId="10262"/>
    <cellStyle name="Normal 42 4 4" xfId="2398"/>
    <cellStyle name="Normal 42 4 4 2" xfId="4512"/>
    <cellStyle name="Normal 42 4 4 2 2" xfId="8900"/>
    <cellStyle name="Normal 42 4 4 2 2 2" xfId="11844"/>
    <cellStyle name="Normal 42 4 4 2 2 2 2" xfId="13403"/>
    <cellStyle name="Normal 42 4 4 2 2 3" xfId="12882"/>
    <cellStyle name="Normal 42 4 4 2 2 4" xfId="10964"/>
    <cellStyle name="Normal 42 4 4 2 3" xfId="11368"/>
    <cellStyle name="Normal 42 4 4 2 3 2" xfId="13404"/>
    <cellStyle name="Normal 42 4 4 2 4" xfId="12410"/>
    <cellStyle name="Normal 42 4 4 2 5" xfId="10492"/>
    <cellStyle name="Normal 42 4 4 3" xfId="5306"/>
    <cellStyle name="Normal 42 4 4 3 2" xfId="11529"/>
    <cellStyle name="Normal 42 4 4 3 2 2" xfId="13405"/>
    <cellStyle name="Normal 42 4 4 3 3" xfId="12570"/>
    <cellStyle name="Normal 42 4 4 3 4" xfId="10652"/>
    <cellStyle name="Normal 42 4 4 4" xfId="6774"/>
    <cellStyle name="Normal 42 4 4 4 2" xfId="11613"/>
    <cellStyle name="Normal 42 4 4 4 2 2" xfId="13406"/>
    <cellStyle name="Normal 42 4 4 4 3" xfId="12653"/>
    <cellStyle name="Normal 42 4 4 4 4" xfId="10735"/>
    <cellStyle name="Normal 42 4 4 5" xfId="11187"/>
    <cellStyle name="Normal 42 4 4 5 2" xfId="13407"/>
    <cellStyle name="Normal 42 4 4 6" xfId="12219"/>
    <cellStyle name="Normal 42 4 4 7" xfId="10313"/>
    <cellStyle name="Normal 42 4 5" xfId="4334"/>
    <cellStyle name="Normal 42 4 5 2" xfId="8771"/>
    <cellStyle name="Normal 42 4 5 2 2" xfId="11756"/>
    <cellStyle name="Normal 42 4 5 2 2 2" xfId="13408"/>
    <cellStyle name="Normal 42 4 5 2 3" xfId="12794"/>
    <cellStyle name="Normal 42 4 5 2 4" xfId="10876"/>
    <cellStyle name="Normal 42 4 5 3" xfId="11280"/>
    <cellStyle name="Normal 42 4 5 3 2" xfId="13409"/>
    <cellStyle name="Normal 42 4 5 4" xfId="12322"/>
    <cellStyle name="Normal 42 4 5 5" xfId="10404"/>
    <cellStyle name="Normal 42 4 6" xfId="5111"/>
    <cellStyle name="Normal 42 4 6 2" xfId="11450"/>
    <cellStyle name="Normal 42 4 6 2 2" xfId="13410"/>
    <cellStyle name="Normal 42 4 6 3" xfId="12491"/>
    <cellStyle name="Normal 42 4 6 4" xfId="10573"/>
    <cellStyle name="Normal 42 4 7" xfId="8168"/>
    <cellStyle name="Normal 42 4 7 2" xfId="11738"/>
    <cellStyle name="Normal 42 4 7 2 2" xfId="13411"/>
    <cellStyle name="Normal 42 4 7 3" xfId="12776"/>
    <cellStyle name="Normal 42 4 7 4" xfId="10858"/>
    <cellStyle name="Normal 42 4 8" xfId="11100"/>
    <cellStyle name="Normal 42 4 8 2" xfId="13412"/>
    <cellStyle name="Normal 42 4 9" xfId="12166"/>
    <cellStyle name="Normal 42 5" xfId="1101"/>
    <cellStyle name="Normal 42 5 2" xfId="1867"/>
    <cellStyle name="Normal 42 5 2 2" xfId="2495"/>
    <cellStyle name="Normal 42 5 2 2 2" xfId="4547"/>
    <cellStyle name="Normal 42 5 2 2 2 2" xfId="8935"/>
    <cellStyle name="Normal 42 5 2 2 2 2 2" xfId="11879"/>
    <cellStyle name="Normal 42 5 2 2 2 2 2 2" xfId="13413"/>
    <cellStyle name="Normal 42 5 2 2 2 2 3" xfId="12917"/>
    <cellStyle name="Normal 42 5 2 2 2 2 4" xfId="10999"/>
    <cellStyle name="Normal 42 5 2 2 2 3" xfId="11403"/>
    <cellStyle name="Normal 42 5 2 2 2 3 2" xfId="13414"/>
    <cellStyle name="Normal 42 5 2 2 2 4" xfId="12445"/>
    <cellStyle name="Normal 42 5 2 2 2 5" xfId="10527"/>
    <cellStyle name="Normal 42 5 2 2 3" xfId="7613"/>
    <cellStyle name="Normal 42 5 2 2 3 2" xfId="11686"/>
    <cellStyle name="Normal 42 5 2 2 3 2 2" xfId="13415"/>
    <cellStyle name="Normal 42 5 2 2 3 3" xfId="12725"/>
    <cellStyle name="Normal 42 5 2 2 3 4" xfId="10807"/>
    <cellStyle name="Normal 42 5 2 2 4" xfId="11222"/>
    <cellStyle name="Normal 42 5 2 2 4 2" xfId="13416"/>
    <cellStyle name="Normal 42 5 2 2 5" xfId="12274"/>
    <cellStyle name="Normal 42 5 2 2 6" xfId="10348"/>
    <cellStyle name="Normal 42 5 2 3" xfId="4370"/>
    <cellStyle name="Normal 42 5 2 3 2" xfId="8806"/>
    <cellStyle name="Normal 42 5 2 3 2 2" xfId="11791"/>
    <cellStyle name="Normal 42 5 2 3 2 2 2" xfId="13417"/>
    <cellStyle name="Normal 42 5 2 3 2 3" xfId="12829"/>
    <cellStyle name="Normal 42 5 2 3 2 4" xfId="10911"/>
    <cellStyle name="Normal 42 5 2 3 3" xfId="11315"/>
    <cellStyle name="Normal 42 5 2 3 3 2" xfId="13418"/>
    <cellStyle name="Normal 42 5 2 3 4" xfId="12357"/>
    <cellStyle name="Normal 42 5 2 3 5" xfId="10439"/>
    <cellStyle name="Normal 42 5 2 4" xfId="5267"/>
    <cellStyle name="Normal 42 5 2 4 2" xfId="11511"/>
    <cellStyle name="Normal 42 5 2 4 2 2" xfId="13419"/>
    <cellStyle name="Normal 42 5 2 4 3" xfId="12552"/>
    <cellStyle name="Normal 42 5 2 4 4" xfId="10634"/>
    <cellStyle name="Normal 42 5 2 5" xfId="6982"/>
    <cellStyle name="Normal 42 5 2 5 2" xfId="11631"/>
    <cellStyle name="Normal 42 5 2 5 2 2" xfId="13420"/>
    <cellStyle name="Normal 42 5 2 5 3" xfId="12670"/>
    <cellStyle name="Normal 42 5 2 5 4" xfId="10752"/>
    <cellStyle name="Normal 42 5 2 6" xfId="11136"/>
    <cellStyle name="Normal 42 5 2 6 2" xfId="13421"/>
    <cellStyle name="Normal 42 5 2 7" xfId="12253"/>
    <cellStyle name="Normal 42 5 2 8" xfId="10263"/>
    <cellStyle name="Normal 42 5 3" xfId="2399"/>
    <cellStyle name="Normal 42 5 3 2" xfId="4513"/>
    <cellStyle name="Normal 42 5 3 2 2" xfId="8901"/>
    <cellStyle name="Normal 42 5 3 2 2 2" xfId="11845"/>
    <cellStyle name="Normal 42 5 3 2 2 2 2" xfId="13422"/>
    <cellStyle name="Normal 42 5 3 2 2 3" xfId="12883"/>
    <cellStyle name="Normal 42 5 3 2 2 4" xfId="10965"/>
    <cellStyle name="Normal 42 5 3 2 3" xfId="11369"/>
    <cellStyle name="Normal 42 5 3 2 3 2" xfId="13423"/>
    <cellStyle name="Normal 42 5 3 2 4" xfId="12411"/>
    <cellStyle name="Normal 42 5 3 2 5" xfId="10493"/>
    <cellStyle name="Normal 42 5 3 3" xfId="5286"/>
    <cellStyle name="Normal 42 5 3 3 2" xfId="11521"/>
    <cellStyle name="Normal 42 5 3 3 2 2" xfId="13424"/>
    <cellStyle name="Normal 42 5 3 3 3" xfId="12562"/>
    <cellStyle name="Normal 42 5 3 3 4" xfId="10644"/>
    <cellStyle name="Normal 42 5 3 4" xfId="7760"/>
    <cellStyle name="Normal 42 5 3 4 2" xfId="11702"/>
    <cellStyle name="Normal 42 5 3 4 2 2" xfId="13425"/>
    <cellStyle name="Normal 42 5 3 4 3" xfId="12740"/>
    <cellStyle name="Normal 42 5 3 4 4" xfId="10822"/>
    <cellStyle name="Normal 42 5 3 5" xfId="11188"/>
    <cellStyle name="Normal 42 5 3 5 2" xfId="13426"/>
    <cellStyle name="Normal 42 5 3 6" xfId="12220"/>
    <cellStyle name="Normal 42 5 3 7" xfId="10314"/>
    <cellStyle name="Normal 42 5 4" xfId="4335"/>
    <cellStyle name="Normal 42 5 4 2" xfId="8772"/>
    <cellStyle name="Normal 42 5 4 2 2" xfId="11757"/>
    <cellStyle name="Normal 42 5 4 2 2 2" xfId="13427"/>
    <cellStyle name="Normal 42 5 4 2 3" xfId="12795"/>
    <cellStyle name="Normal 42 5 4 2 4" xfId="10877"/>
    <cellStyle name="Normal 42 5 4 3" xfId="11281"/>
    <cellStyle name="Normal 42 5 4 3 2" xfId="13428"/>
    <cellStyle name="Normal 42 5 4 4" xfId="12323"/>
    <cellStyle name="Normal 42 5 4 5" xfId="10405"/>
    <cellStyle name="Normal 42 5 5" xfId="5301"/>
    <cellStyle name="Normal 42 5 5 2" xfId="11525"/>
    <cellStyle name="Normal 42 5 5 2 2" xfId="13429"/>
    <cellStyle name="Normal 42 5 5 3" xfId="12566"/>
    <cellStyle name="Normal 42 5 5 4" xfId="10648"/>
    <cellStyle name="Normal 42 5 6" xfId="7832"/>
    <cellStyle name="Normal 42 5 6 2" xfId="11704"/>
    <cellStyle name="Normal 42 5 6 2 2" xfId="13430"/>
    <cellStyle name="Normal 42 5 6 3" xfId="12742"/>
    <cellStyle name="Normal 42 5 6 4" xfId="10824"/>
    <cellStyle name="Normal 42 5 7" xfId="11101"/>
    <cellStyle name="Normal 42 5 7 2" xfId="13431"/>
    <cellStyle name="Normal 42 5 8" xfId="12188"/>
    <cellStyle name="Normal 42 5 9" xfId="10230"/>
    <cellStyle name="Normal 42 6" xfId="1651"/>
    <cellStyle name="Normal 42 6 2" xfId="11936"/>
    <cellStyle name="Normal 42 6 2 2" xfId="13432"/>
    <cellStyle name="Normal 42 7" xfId="1862"/>
    <cellStyle name="Normal 42 7 2" xfId="2490"/>
    <cellStyle name="Normal 42 7 2 2" xfId="4542"/>
    <cellStyle name="Normal 42 7 2 2 2" xfId="8930"/>
    <cellStyle name="Normal 42 7 2 2 2 2" xfId="11874"/>
    <cellStyle name="Normal 42 7 2 2 2 2 2" xfId="13433"/>
    <cellStyle name="Normal 42 7 2 2 2 3" xfId="12912"/>
    <cellStyle name="Normal 42 7 2 2 2 4" xfId="10994"/>
    <cellStyle name="Normal 42 7 2 2 3" xfId="11398"/>
    <cellStyle name="Normal 42 7 2 2 3 2" xfId="13434"/>
    <cellStyle name="Normal 42 7 2 2 4" xfId="12440"/>
    <cellStyle name="Normal 42 7 2 2 5" xfId="10522"/>
    <cellStyle name="Normal 42 7 2 3" xfId="5147"/>
    <cellStyle name="Normal 42 7 2 3 2" xfId="11465"/>
    <cellStyle name="Normal 42 7 2 3 2 2" xfId="13435"/>
    <cellStyle name="Normal 42 7 2 3 3" xfId="12506"/>
    <cellStyle name="Normal 42 7 2 3 4" xfId="10588"/>
    <cellStyle name="Normal 42 7 2 4" xfId="6896"/>
    <cellStyle name="Normal 42 7 2 4 2" xfId="11624"/>
    <cellStyle name="Normal 42 7 2 4 2 2" xfId="13436"/>
    <cellStyle name="Normal 42 7 2 4 3" xfId="12664"/>
    <cellStyle name="Normal 42 7 2 4 4" xfId="10746"/>
    <cellStyle name="Normal 42 7 2 5" xfId="11217"/>
    <cellStyle name="Normal 42 7 2 5 2" xfId="13437"/>
    <cellStyle name="Normal 42 7 2 6" xfId="12248"/>
    <cellStyle name="Normal 42 7 2 7" xfId="10343"/>
    <cellStyle name="Normal 42 7 3" xfId="4365"/>
    <cellStyle name="Normal 42 7 3 2" xfId="8801"/>
    <cellStyle name="Normal 42 7 3 2 2" xfId="11786"/>
    <cellStyle name="Normal 42 7 3 2 2 2" xfId="13438"/>
    <cellStyle name="Normal 42 7 3 2 3" xfId="12824"/>
    <cellStyle name="Normal 42 7 3 2 4" xfId="10906"/>
    <cellStyle name="Normal 42 7 3 3" xfId="11310"/>
    <cellStyle name="Normal 42 7 3 3 2" xfId="13439"/>
    <cellStyle name="Normal 42 7 3 4" xfId="12352"/>
    <cellStyle name="Normal 42 7 3 5" xfId="10434"/>
    <cellStyle name="Normal 42 7 4" xfId="5265"/>
    <cellStyle name="Normal 42 7 4 2" xfId="11510"/>
    <cellStyle name="Normal 42 7 4 2 2" xfId="13440"/>
    <cellStyle name="Normal 42 7 4 3" xfId="12551"/>
    <cellStyle name="Normal 42 7 4 4" xfId="10633"/>
    <cellStyle name="Normal 42 7 5" xfId="8049"/>
    <cellStyle name="Normal 42 7 5 2" xfId="11725"/>
    <cellStyle name="Normal 42 7 5 2 2" xfId="13441"/>
    <cellStyle name="Normal 42 7 5 3" xfId="12763"/>
    <cellStyle name="Normal 42 7 5 4" xfId="10845"/>
    <cellStyle name="Normal 42 7 6" xfId="11131"/>
    <cellStyle name="Normal 42 7 6 2" xfId="13442"/>
    <cellStyle name="Normal 42 7 7" xfId="12182"/>
    <cellStyle name="Normal 42 7 8" xfId="10258"/>
    <cellStyle name="Normal 42 8" xfId="2393"/>
    <cellStyle name="Normal 42 8 2" xfId="4507"/>
    <cellStyle name="Normal 42 8 2 2" xfId="8895"/>
    <cellStyle name="Normal 42 8 2 2 2" xfId="11839"/>
    <cellStyle name="Normal 42 8 2 2 2 2" xfId="13443"/>
    <cellStyle name="Normal 42 8 2 2 3" xfId="12877"/>
    <cellStyle name="Normal 42 8 2 2 4" xfId="10959"/>
    <cellStyle name="Normal 42 8 2 3" xfId="11363"/>
    <cellStyle name="Normal 42 8 2 3 2" xfId="13444"/>
    <cellStyle name="Normal 42 8 2 4" xfId="12405"/>
    <cellStyle name="Normal 42 8 2 5" xfId="10487"/>
    <cellStyle name="Normal 42 8 3" xfId="5139"/>
    <cellStyle name="Normal 42 8 3 2" xfId="11461"/>
    <cellStyle name="Normal 42 8 3 2 2" xfId="13445"/>
    <cellStyle name="Normal 42 8 3 3" xfId="12502"/>
    <cellStyle name="Normal 42 8 3 4" xfId="10584"/>
    <cellStyle name="Normal 42 8 4" xfId="7759"/>
    <cellStyle name="Normal 42 8 4 2" xfId="11701"/>
    <cellStyle name="Normal 42 8 4 2 2" xfId="13446"/>
    <cellStyle name="Normal 42 8 4 3" xfId="12739"/>
    <cellStyle name="Normal 42 8 4 4" xfId="10821"/>
    <cellStyle name="Normal 42 8 5" xfId="11182"/>
    <cellStyle name="Normal 42 8 5 2" xfId="13447"/>
    <cellStyle name="Normal 42 8 6" xfId="12214"/>
    <cellStyle name="Normal 42 8 7" xfId="10308"/>
    <cellStyle name="Normal 42 9" xfId="4329"/>
    <cellStyle name="Normal 42 9 2" xfId="8766"/>
    <cellStyle name="Normal 42 9 2 2" xfId="11751"/>
    <cellStyle name="Normal 42 9 2 2 2" xfId="13448"/>
    <cellStyle name="Normal 42 9 2 3" xfId="12789"/>
    <cellStyle name="Normal 42 9 2 4" xfId="10871"/>
    <cellStyle name="Normal 42 9 3" xfId="11275"/>
    <cellStyle name="Normal 42 9 3 2" xfId="13449"/>
    <cellStyle name="Normal 42 9 4" xfId="12317"/>
    <cellStyle name="Normal 42 9 5" xfId="10399"/>
    <cellStyle name="Normal 43" xfId="1102"/>
    <cellStyle name="Normal 43 2" xfId="1673"/>
    <cellStyle name="Normal 43 3" xfId="1868"/>
    <cellStyle name="Normal 44" xfId="1103"/>
    <cellStyle name="Normal 44 2" xfId="1682"/>
    <cellStyle name="Normal 44 3" xfId="1869"/>
    <cellStyle name="Normal 45" xfId="1104"/>
    <cellStyle name="Normal 45 2" xfId="1685"/>
    <cellStyle name="Normal 45 3" xfId="1870"/>
    <cellStyle name="Normal 46" xfId="1105"/>
    <cellStyle name="Normal 46 2" xfId="1692"/>
    <cellStyle name="Normal 46 3" xfId="1871"/>
    <cellStyle name="Normal 47" xfId="1106"/>
    <cellStyle name="Normal 47 2" xfId="1693"/>
    <cellStyle name="Normal 47 3" xfId="1872"/>
    <cellStyle name="Normal 48" xfId="1107"/>
    <cellStyle name="Normal 48 2" xfId="1697"/>
    <cellStyle name="Normal 48 3" xfId="1873"/>
    <cellStyle name="Normal 49" xfId="1108"/>
    <cellStyle name="Normal 49 2" xfId="1699"/>
    <cellStyle name="Normal 49 3" xfId="1874"/>
    <cellStyle name="Normal 5" xfId="445"/>
    <cellStyle name="Normal 5 2" xfId="446"/>
    <cellStyle name="Normal 5 2 2" xfId="1109"/>
    <cellStyle name="Normal 5 2 2 10" xfId="10231"/>
    <cellStyle name="Normal 5 2 2 2" xfId="1741"/>
    <cellStyle name="Normal 5 2 2 2 2" xfId="2457"/>
    <cellStyle name="Normal 5 2 2 2 2 2" xfId="4532"/>
    <cellStyle name="Normal 5 2 2 2 2 2 2" xfId="8920"/>
    <cellStyle name="Normal 5 2 2 2 2 2 2 2" xfId="11864"/>
    <cellStyle name="Normal 5 2 2 2 2 2 2 2 2" xfId="13450"/>
    <cellStyle name="Normal 5 2 2 2 2 2 2 3" xfId="12902"/>
    <cellStyle name="Normal 5 2 2 2 2 2 2 4" xfId="10984"/>
    <cellStyle name="Normal 5 2 2 2 2 2 3" xfId="11388"/>
    <cellStyle name="Normal 5 2 2 2 2 2 3 2" xfId="13451"/>
    <cellStyle name="Normal 5 2 2 2 2 2 4" xfId="12430"/>
    <cellStyle name="Normal 5 2 2 2 2 2 5" xfId="10512"/>
    <cellStyle name="Normal 5 2 2 2 2 3" xfId="5135"/>
    <cellStyle name="Normal 5 2 2 2 2 3 2" xfId="11459"/>
    <cellStyle name="Normal 5 2 2 2 2 3 2 2" xfId="13452"/>
    <cellStyle name="Normal 5 2 2 2 2 3 3" xfId="12500"/>
    <cellStyle name="Normal 5 2 2 2 2 3 4" xfId="10582"/>
    <cellStyle name="Normal 5 2 2 2 2 4" xfId="7984"/>
    <cellStyle name="Normal 5 2 2 2 2 4 2" xfId="11718"/>
    <cellStyle name="Normal 5 2 2 2 2 4 2 2" xfId="13453"/>
    <cellStyle name="Normal 5 2 2 2 2 4 3" xfId="12756"/>
    <cellStyle name="Normal 5 2 2 2 2 4 4" xfId="10838"/>
    <cellStyle name="Normal 5 2 2 2 2 5" xfId="11207"/>
    <cellStyle name="Normal 5 2 2 2 2 5 2" xfId="13454"/>
    <cellStyle name="Normal 5 2 2 2 2 6" xfId="12238"/>
    <cellStyle name="Normal 5 2 2 2 2 7" xfId="10333"/>
    <cellStyle name="Normal 5 2 2 2 3" xfId="4355"/>
    <cellStyle name="Normal 5 2 2 2 3 2" xfId="8791"/>
    <cellStyle name="Normal 5 2 2 2 3 2 2" xfId="11776"/>
    <cellStyle name="Normal 5 2 2 2 3 2 2 2" xfId="13455"/>
    <cellStyle name="Normal 5 2 2 2 3 2 3" xfId="12814"/>
    <cellStyle name="Normal 5 2 2 2 3 2 4" xfId="10896"/>
    <cellStyle name="Normal 5 2 2 2 3 3" xfId="11300"/>
    <cellStyle name="Normal 5 2 2 2 3 3 2" xfId="13456"/>
    <cellStyle name="Normal 5 2 2 2 3 4" xfId="12342"/>
    <cellStyle name="Normal 5 2 2 2 3 5" xfId="10424"/>
    <cellStyle name="Normal 5 2 2 2 4" xfId="5187"/>
    <cellStyle name="Normal 5 2 2 2 4 2" xfId="11479"/>
    <cellStyle name="Normal 5 2 2 2 4 2 2" xfId="13457"/>
    <cellStyle name="Normal 5 2 2 2 4 3" xfId="12520"/>
    <cellStyle name="Normal 5 2 2 2 4 4" xfId="10602"/>
    <cellStyle name="Normal 5 2 2 2 5" xfId="6953"/>
    <cellStyle name="Normal 5 2 2 2 5 2" xfId="11628"/>
    <cellStyle name="Normal 5 2 2 2 5 2 2" xfId="13458"/>
    <cellStyle name="Normal 5 2 2 2 5 3" xfId="12667"/>
    <cellStyle name="Normal 5 2 2 2 5 4" xfId="10749"/>
    <cellStyle name="Normal 5 2 2 2 6" xfId="11121"/>
    <cellStyle name="Normal 5 2 2 2 6 2" xfId="13459"/>
    <cellStyle name="Normal 5 2 2 2 7" xfId="12205"/>
    <cellStyle name="Normal 5 2 2 2 8" xfId="10248"/>
    <cellStyle name="Normal 5 2 2 3" xfId="1875"/>
    <cellStyle name="Normal 5 2 2 3 2" xfId="2496"/>
    <cellStyle name="Normal 5 2 2 3 2 2" xfId="4548"/>
    <cellStyle name="Normal 5 2 2 3 2 2 2" xfId="8936"/>
    <cellStyle name="Normal 5 2 2 3 2 2 2 2" xfId="11880"/>
    <cellStyle name="Normal 5 2 2 3 2 2 2 2 2" xfId="13460"/>
    <cellStyle name="Normal 5 2 2 3 2 2 2 3" xfId="12918"/>
    <cellStyle name="Normal 5 2 2 3 2 2 2 4" xfId="11000"/>
    <cellStyle name="Normal 5 2 2 3 2 2 3" xfId="11404"/>
    <cellStyle name="Normal 5 2 2 3 2 2 3 2" xfId="13461"/>
    <cellStyle name="Normal 5 2 2 3 2 2 4" xfId="12446"/>
    <cellStyle name="Normal 5 2 2 3 2 2 5" xfId="10528"/>
    <cellStyle name="Normal 5 2 2 3 2 3" xfId="5175"/>
    <cellStyle name="Normal 5 2 2 3 2 3 2" xfId="11476"/>
    <cellStyle name="Normal 5 2 2 3 2 3 2 2" xfId="13462"/>
    <cellStyle name="Normal 5 2 2 3 2 3 3" xfId="12517"/>
    <cellStyle name="Normal 5 2 2 3 2 3 4" xfId="10599"/>
    <cellStyle name="Normal 5 2 2 3 2 4" xfId="6470"/>
    <cellStyle name="Normal 5 2 2 3 2 4 2" xfId="11584"/>
    <cellStyle name="Normal 5 2 2 3 2 4 2 2" xfId="13463"/>
    <cellStyle name="Normal 5 2 2 3 2 4 3" xfId="12624"/>
    <cellStyle name="Normal 5 2 2 3 2 4 4" xfId="10706"/>
    <cellStyle name="Normal 5 2 2 3 2 5" xfId="11223"/>
    <cellStyle name="Normal 5 2 2 3 2 5 2" xfId="13464"/>
    <cellStyle name="Normal 5 2 2 3 2 6" xfId="12254"/>
    <cellStyle name="Normal 5 2 2 3 2 7" xfId="10349"/>
    <cellStyle name="Normal 5 2 2 3 3" xfId="4371"/>
    <cellStyle name="Normal 5 2 2 3 3 2" xfId="8807"/>
    <cellStyle name="Normal 5 2 2 3 3 2 2" xfId="11792"/>
    <cellStyle name="Normal 5 2 2 3 3 2 2 2" xfId="13465"/>
    <cellStyle name="Normal 5 2 2 3 3 2 3" xfId="12830"/>
    <cellStyle name="Normal 5 2 2 3 3 2 4" xfId="10912"/>
    <cellStyle name="Normal 5 2 2 3 3 3" xfId="11316"/>
    <cellStyle name="Normal 5 2 2 3 3 3 2" xfId="13466"/>
    <cellStyle name="Normal 5 2 2 3 3 4" xfId="12358"/>
    <cellStyle name="Normal 5 2 2 3 3 5" xfId="10440"/>
    <cellStyle name="Normal 5 2 2 3 4" xfId="5326"/>
    <cellStyle name="Normal 5 2 2 3 4 2" xfId="11535"/>
    <cellStyle name="Normal 5 2 2 3 4 2 2" xfId="13467"/>
    <cellStyle name="Normal 5 2 2 3 4 3" xfId="12576"/>
    <cellStyle name="Normal 5 2 2 3 4 4" xfId="10658"/>
    <cellStyle name="Normal 5 2 2 3 5" xfId="6954"/>
    <cellStyle name="Normal 5 2 2 3 5 2" xfId="11629"/>
    <cellStyle name="Normal 5 2 2 3 5 2 2" xfId="13468"/>
    <cellStyle name="Normal 5 2 2 3 5 3" xfId="12668"/>
    <cellStyle name="Normal 5 2 2 3 5 4" xfId="10750"/>
    <cellStyle name="Normal 5 2 2 3 6" xfId="11137"/>
    <cellStyle name="Normal 5 2 2 3 6 2" xfId="13469"/>
    <cellStyle name="Normal 5 2 2 3 7" xfId="12189"/>
    <cellStyle name="Normal 5 2 2 3 8" xfId="10264"/>
    <cellStyle name="Normal 5 2 2 4" xfId="2400"/>
    <cellStyle name="Normal 5 2 2 4 2" xfId="4514"/>
    <cellStyle name="Normal 5 2 2 4 2 2" xfId="8902"/>
    <cellStyle name="Normal 5 2 2 4 2 2 2" xfId="11846"/>
    <cellStyle name="Normal 5 2 2 4 2 2 2 2" xfId="13470"/>
    <cellStyle name="Normal 5 2 2 4 2 2 3" xfId="12884"/>
    <cellStyle name="Normal 5 2 2 4 2 2 4" xfId="10966"/>
    <cellStyle name="Normal 5 2 2 4 2 3" xfId="11370"/>
    <cellStyle name="Normal 5 2 2 4 2 3 2" xfId="13471"/>
    <cellStyle name="Normal 5 2 2 4 2 4" xfId="12412"/>
    <cellStyle name="Normal 5 2 2 4 2 5" xfId="10494"/>
    <cellStyle name="Normal 5 2 2 4 3" xfId="5171"/>
    <cellStyle name="Normal 5 2 2 4 3 2" xfId="11474"/>
    <cellStyle name="Normal 5 2 2 4 3 2 2" xfId="13472"/>
    <cellStyle name="Normal 5 2 2 4 3 3" xfId="12515"/>
    <cellStyle name="Normal 5 2 2 4 3 4" xfId="10597"/>
    <cellStyle name="Normal 5 2 2 4 4" xfId="6927"/>
    <cellStyle name="Normal 5 2 2 4 4 2" xfId="11627"/>
    <cellStyle name="Normal 5 2 2 4 4 2 2" xfId="13473"/>
    <cellStyle name="Normal 5 2 2 4 4 3" xfId="12666"/>
    <cellStyle name="Normal 5 2 2 4 4 4" xfId="10748"/>
    <cellStyle name="Normal 5 2 2 4 5" xfId="11189"/>
    <cellStyle name="Normal 5 2 2 4 5 2" xfId="13474"/>
    <cellStyle name="Normal 5 2 2 4 6" xfId="12221"/>
    <cellStyle name="Normal 5 2 2 4 7" xfId="10315"/>
    <cellStyle name="Normal 5 2 2 5" xfId="4336"/>
    <cellStyle name="Normal 5 2 2 5 2" xfId="8773"/>
    <cellStyle name="Normal 5 2 2 5 2 2" xfId="11758"/>
    <cellStyle name="Normal 5 2 2 5 2 2 2" xfId="13475"/>
    <cellStyle name="Normal 5 2 2 5 2 3" xfId="12796"/>
    <cellStyle name="Normal 5 2 2 5 2 4" xfId="10878"/>
    <cellStyle name="Normal 5 2 2 5 3" xfId="11282"/>
    <cellStyle name="Normal 5 2 2 5 3 2" xfId="13476"/>
    <cellStyle name="Normal 5 2 2 5 4" xfId="12324"/>
    <cellStyle name="Normal 5 2 2 5 5" xfId="10406"/>
    <cellStyle name="Normal 5 2 2 6" xfId="5144"/>
    <cellStyle name="Normal 5 2 2 6 2" xfId="11463"/>
    <cellStyle name="Normal 5 2 2 6 2 2" xfId="13477"/>
    <cellStyle name="Normal 5 2 2 6 3" xfId="12504"/>
    <cellStyle name="Normal 5 2 2 6 4" xfId="10586"/>
    <cellStyle name="Normal 5 2 2 7" xfId="7570"/>
    <cellStyle name="Normal 5 2 2 7 2" xfId="11683"/>
    <cellStyle name="Normal 5 2 2 7 2 2" xfId="13478"/>
    <cellStyle name="Normal 5 2 2 7 3" xfId="12722"/>
    <cellStyle name="Normal 5 2 2 7 4" xfId="10804"/>
    <cellStyle name="Normal 5 2 2 8" xfId="11102"/>
    <cellStyle name="Normal 5 2 2 8 2" xfId="13479"/>
    <cellStyle name="Normal 5 2 2 9" xfId="12167"/>
    <cellStyle name="Normal 5 3" xfId="447"/>
    <cellStyle name="Normal 50" xfId="1110"/>
    <cellStyle name="Normal 51" xfId="1111"/>
    <cellStyle name="Normal 52" xfId="1112"/>
    <cellStyle name="Normal 53" xfId="1113"/>
    <cellStyle name="Normal 54" xfId="1114"/>
    <cellStyle name="Normal 55" xfId="1115"/>
    <cellStyle name="Normal 56" xfId="1116"/>
    <cellStyle name="Normal 56 10" xfId="10232"/>
    <cellStyle name="Normal 56 2" xfId="1742"/>
    <cellStyle name="Normal 56 2 2" xfId="2458"/>
    <cellStyle name="Normal 56 2 2 2" xfId="4533"/>
    <cellStyle name="Normal 56 2 2 2 2" xfId="8921"/>
    <cellStyle name="Normal 56 2 2 2 2 2" xfId="11865"/>
    <cellStyle name="Normal 56 2 2 2 2 2 2" xfId="13480"/>
    <cellStyle name="Normal 56 2 2 2 2 3" xfId="12903"/>
    <cellStyle name="Normal 56 2 2 2 2 4" xfId="10985"/>
    <cellStyle name="Normal 56 2 2 2 3" xfId="11389"/>
    <cellStyle name="Normal 56 2 2 2 3 2" xfId="13481"/>
    <cellStyle name="Normal 56 2 2 2 4" xfId="12431"/>
    <cellStyle name="Normal 56 2 2 2 5" xfId="10513"/>
    <cellStyle name="Normal 56 2 2 3" xfId="5166"/>
    <cellStyle name="Normal 56 2 2 3 2" xfId="11470"/>
    <cellStyle name="Normal 56 2 2 3 2 2" xfId="13482"/>
    <cellStyle name="Normal 56 2 2 3 3" xfId="12511"/>
    <cellStyle name="Normal 56 2 2 3 4" xfId="10593"/>
    <cellStyle name="Normal 56 2 2 4" xfId="7350"/>
    <cellStyle name="Normal 56 2 2 4 2" xfId="11663"/>
    <cellStyle name="Normal 56 2 2 4 2 2" xfId="13483"/>
    <cellStyle name="Normal 56 2 2 4 3" xfId="12702"/>
    <cellStyle name="Normal 56 2 2 4 4" xfId="10784"/>
    <cellStyle name="Normal 56 2 2 5" xfId="11208"/>
    <cellStyle name="Normal 56 2 2 5 2" xfId="13484"/>
    <cellStyle name="Normal 56 2 2 6" xfId="12239"/>
    <cellStyle name="Normal 56 2 2 7" xfId="10334"/>
    <cellStyle name="Normal 56 2 3" xfId="4356"/>
    <cellStyle name="Normal 56 2 3 2" xfId="8792"/>
    <cellStyle name="Normal 56 2 3 2 2" xfId="11777"/>
    <cellStyle name="Normal 56 2 3 2 2 2" xfId="13485"/>
    <cellStyle name="Normal 56 2 3 2 3" xfId="12815"/>
    <cellStyle name="Normal 56 2 3 2 4" xfId="10897"/>
    <cellStyle name="Normal 56 2 3 3" xfId="11301"/>
    <cellStyle name="Normal 56 2 3 3 2" xfId="13486"/>
    <cellStyle name="Normal 56 2 3 4" xfId="12343"/>
    <cellStyle name="Normal 56 2 3 5" xfId="10425"/>
    <cellStyle name="Normal 56 2 4" xfId="5177"/>
    <cellStyle name="Normal 56 2 4 2" xfId="11477"/>
    <cellStyle name="Normal 56 2 4 2 2" xfId="13487"/>
    <cellStyle name="Normal 56 2 4 3" xfId="12518"/>
    <cellStyle name="Normal 56 2 4 4" xfId="10600"/>
    <cellStyle name="Normal 56 2 5" xfId="7919"/>
    <cellStyle name="Normal 56 2 5 2" xfId="11713"/>
    <cellStyle name="Normal 56 2 5 2 2" xfId="13488"/>
    <cellStyle name="Normal 56 2 5 3" xfId="12751"/>
    <cellStyle name="Normal 56 2 5 4" xfId="10833"/>
    <cellStyle name="Normal 56 2 6" xfId="11122"/>
    <cellStyle name="Normal 56 2 6 2" xfId="13489"/>
    <cellStyle name="Normal 56 2 7" xfId="12206"/>
    <cellStyle name="Normal 56 2 8" xfId="10249"/>
    <cellStyle name="Normal 56 3" xfId="1876"/>
    <cellStyle name="Normal 56 3 2" xfId="2497"/>
    <cellStyle name="Normal 56 3 2 2" xfId="4549"/>
    <cellStyle name="Normal 56 3 2 2 2" xfId="8937"/>
    <cellStyle name="Normal 56 3 2 2 2 2" xfId="11881"/>
    <cellStyle name="Normal 56 3 2 2 2 2 2" xfId="13490"/>
    <cellStyle name="Normal 56 3 2 2 2 3" xfId="12919"/>
    <cellStyle name="Normal 56 3 2 2 2 4" xfId="11001"/>
    <cellStyle name="Normal 56 3 2 2 3" xfId="11405"/>
    <cellStyle name="Normal 56 3 2 2 3 2" xfId="13491"/>
    <cellStyle name="Normal 56 3 2 2 4" xfId="12447"/>
    <cellStyle name="Normal 56 3 2 2 5" xfId="10529"/>
    <cellStyle name="Normal 56 3 2 3" xfId="5315"/>
    <cellStyle name="Normal 56 3 2 3 2" xfId="11532"/>
    <cellStyle name="Normal 56 3 2 3 2 2" xfId="13492"/>
    <cellStyle name="Normal 56 3 2 3 3" xfId="12573"/>
    <cellStyle name="Normal 56 3 2 3 4" xfId="10655"/>
    <cellStyle name="Normal 56 3 2 4" xfId="6683"/>
    <cellStyle name="Normal 56 3 2 4 2" xfId="11599"/>
    <cellStyle name="Normal 56 3 2 4 2 2" xfId="13493"/>
    <cellStyle name="Normal 56 3 2 4 3" xfId="12639"/>
    <cellStyle name="Normal 56 3 2 4 4" xfId="10721"/>
    <cellStyle name="Normal 56 3 2 5" xfId="11224"/>
    <cellStyle name="Normal 56 3 2 5 2" xfId="13494"/>
    <cellStyle name="Normal 56 3 2 6" xfId="12255"/>
    <cellStyle name="Normal 56 3 2 7" xfId="10350"/>
    <cellStyle name="Normal 56 3 3" xfId="4372"/>
    <cellStyle name="Normal 56 3 3 2" xfId="8808"/>
    <cellStyle name="Normal 56 3 3 2 2" xfId="11793"/>
    <cellStyle name="Normal 56 3 3 2 2 2" xfId="13495"/>
    <cellStyle name="Normal 56 3 3 2 3" xfId="12831"/>
    <cellStyle name="Normal 56 3 3 2 4" xfId="10913"/>
    <cellStyle name="Normal 56 3 3 3" xfId="11317"/>
    <cellStyle name="Normal 56 3 3 3 2" xfId="13496"/>
    <cellStyle name="Normal 56 3 3 4" xfId="12359"/>
    <cellStyle name="Normal 56 3 3 5" xfId="10441"/>
    <cellStyle name="Normal 56 3 4" xfId="5158"/>
    <cellStyle name="Normal 56 3 4 2" xfId="11468"/>
    <cellStyle name="Normal 56 3 4 2 2" xfId="13497"/>
    <cellStyle name="Normal 56 3 4 3" xfId="12509"/>
    <cellStyle name="Normal 56 3 4 4" xfId="10591"/>
    <cellStyle name="Normal 56 3 5" xfId="7414"/>
    <cellStyle name="Normal 56 3 5 2" xfId="11669"/>
    <cellStyle name="Normal 56 3 5 2 2" xfId="13498"/>
    <cellStyle name="Normal 56 3 5 3" xfId="12708"/>
    <cellStyle name="Normal 56 3 5 4" xfId="10790"/>
    <cellStyle name="Normal 56 3 6" xfId="11138"/>
    <cellStyle name="Normal 56 3 6 2" xfId="13499"/>
    <cellStyle name="Normal 56 3 7" xfId="12190"/>
    <cellStyle name="Normal 56 3 8" xfId="10265"/>
    <cellStyle name="Normal 56 4" xfId="2401"/>
    <cellStyle name="Normal 56 4 2" xfId="4515"/>
    <cellStyle name="Normal 56 4 2 2" xfId="8903"/>
    <cellStyle name="Normal 56 4 2 2 2" xfId="11847"/>
    <cellStyle name="Normal 56 4 2 2 2 2" xfId="13500"/>
    <cellStyle name="Normal 56 4 2 2 3" xfId="12885"/>
    <cellStyle name="Normal 56 4 2 2 4" xfId="10967"/>
    <cellStyle name="Normal 56 4 2 3" xfId="11371"/>
    <cellStyle name="Normal 56 4 2 3 2" xfId="13501"/>
    <cellStyle name="Normal 56 4 2 4" xfId="12413"/>
    <cellStyle name="Normal 56 4 2 5" xfId="10495"/>
    <cellStyle name="Normal 56 4 3" xfId="5236"/>
    <cellStyle name="Normal 56 4 3 2" xfId="11498"/>
    <cellStyle name="Normal 56 4 3 2 2" xfId="13502"/>
    <cellStyle name="Normal 56 4 3 3" xfId="12539"/>
    <cellStyle name="Normal 56 4 3 4" xfId="10621"/>
    <cellStyle name="Normal 56 4 4" xfId="7998"/>
    <cellStyle name="Normal 56 4 4 2" xfId="11719"/>
    <cellStyle name="Normal 56 4 4 2 2" xfId="13503"/>
    <cellStyle name="Normal 56 4 4 3" xfId="12757"/>
    <cellStyle name="Normal 56 4 4 4" xfId="10839"/>
    <cellStyle name="Normal 56 4 5" xfId="11190"/>
    <cellStyle name="Normal 56 4 5 2" xfId="13504"/>
    <cellStyle name="Normal 56 4 6" xfId="12222"/>
    <cellStyle name="Normal 56 4 7" xfId="10316"/>
    <cellStyle name="Normal 56 5" xfId="4337"/>
    <cellStyle name="Normal 56 5 2" xfId="8774"/>
    <cellStyle name="Normal 56 5 2 2" xfId="11759"/>
    <cellStyle name="Normal 56 5 2 2 2" xfId="13505"/>
    <cellStyle name="Normal 56 5 2 3" xfId="12797"/>
    <cellStyle name="Normal 56 5 2 4" xfId="10879"/>
    <cellStyle name="Normal 56 5 3" xfId="11283"/>
    <cellStyle name="Normal 56 5 3 2" xfId="13506"/>
    <cellStyle name="Normal 56 5 4" xfId="12325"/>
    <cellStyle name="Normal 56 5 5" xfId="10407"/>
    <cellStyle name="Normal 56 6" xfId="5362"/>
    <cellStyle name="Normal 56 6 2" xfId="11550"/>
    <cellStyle name="Normal 56 6 2 2" xfId="13507"/>
    <cellStyle name="Normal 56 6 3" xfId="12591"/>
    <cellStyle name="Normal 56 6 4" xfId="10673"/>
    <cellStyle name="Normal 56 7" xfId="7755"/>
    <cellStyle name="Normal 56 7 2" xfId="11700"/>
    <cellStyle name="Normal 56 7 2 2" xfId="13508"/>
    <cellStyle name="Normal 56 7 3" xfId="12738"/>
    <cellStyle name="Normal 56 7 4" xfId="10820"/>
    <cellStyle name="Normal 56 8" xfId="11103"/>
    <cellStyle name="Normal 56 8 2" xfId="13509"/>
    <cellStyle name="Normal 56 9" xfId="12168"/>
    <cellStyle name="Normal 57" xfId="1117"/>
    <cellStyle name="Normal 58" xfId="1118"/>
    <cellStyle name="Normal 59" xfId="1119"/>
    <cellStyle name="Normal 6" xfId="448"/>
    <cellStyle name="Normal 6 2" xfId="449"/>
    <cellStyle name="Normal 6 2 2" xfId="450"/>
    <cellStyle name="Normal 60" xfId="1120"/>
    <cellStyle name="Normal 61" xfId="1121"/>
    <cellStyle name="Normal 62" xfId="1122"/>
    <cellStyle name="Normal 63" xfId="1123"/>
    <cellStyle name="Normal 64" xfId="1124"/>
    <cellStyle name="Normal 65" xfId="1125"/>
    <cellStyle name="Normal 66" xfId="1126"/>
    <cellStyle name="Normal 66 10" xfId="10233"/>
    <cellStyle name="Normal 66 2" xfId="1743"/>
    <cellStyle name="Normal 66 2 2" xfId="2459"/>
    <cellStyle name="Normal 66 2 2 2" xfId="4534"/>
    <cellStyle name="Normal 66 2 2 2 2" xfId="8922"/>
    <cellStyle name="Normal 66 2 2 2 2 2" xfId="11866"/>
    <cellStyle name="Normal 66 2 2 2 2 2 2" xfId="13510"/>
    <cellStyle name="Normal 66 2 2 2 2 3" xfId="12904"/>
    <cellStyle name="Normal 66 2 2 2 2 4" xfId="10986"/>
    <cellStyle name="Normal 66 2 2 2 3" xfId="11390"/>
    <cellStyle name="Normal 66 2 2 2 3 2" xfId="13511"/>
    <cellStyle name="Normal 66 2 2 2 4" xfId="12432"/>
    <cellStyle name="Normal 66 2 2 2 5" xfId="10514"/>
    <cellStyle name="Normal 66 2 2 3" xfId="5231"/>
    <cellStyle name="Normal 66 2 2 3 2" xfId="11496"/>
    <cellStyle name="Normal 66 2 2 3 2 2" xfId="13512"/>
    <cellStyle name="Normal 66 2 2 3 3" xfId="12537"/>
    <cellStyle name="Normal 66 2 2 3 4" xfId="10619"/>
    <cellStyle name="Normal 66 2 2 4" xfId="7466"/>
    <cellStyle name="Normal 66 2 2 4 2" xfId="11673"/>
    <cellStyle name="Normal 66 2 2 4 2 2" xfId="13513"/>
    <cellStyle name="Normal 66 2 2 4 3" xfId="12712"/>
    <cellStyle name="Normal 66 2 2 4 4" xfId="10794"/>
    <cellStyle name="Normal 66 2 2 5" xfId="11209"/>
    <cellStyle name="Normal 66 2 2 5 2" xfId="13514"/>
    <cellStyle name="Normal 66 2 2 6" xfId="12240"/>
    <cellStyle name="Normal 66 2 2 7" xfId="10335"/>
    <cellStyle name="Normal 66 2 3" xfId="4357"/>
    <cellStyle name="Normal 66 2 3 2" xfId="8793"/>
    <cellStyle name="Normal 66 2 3 2 2" xfId="11778"/>
    <cellStyle name="Normal 66 2 3 2 2 2" xfId="13515"/>
    <cellStyle name="Normal 66 2 3 2 3" xfId="12816"/>
    <cellStyle name="Normal 66 2 3 2 4" xfId="10898"/>
    <cellStyle name="Normal 66 2 3 3" xfId="11302"/>
    <cellStyle name="Normal 66 2 3 3 2" xfId="13516"/>
    <cellStyle name="Normal 66 2 3 4" xfId="12344"/>
    <cellStyle name="Normal 66 2 3 5" xfId="10426"/>
    <cellStyle name="Normal 66 2 4" xfId="5125"/>
    <cellStyle name="Normal 66 2 4 2" xfId="11453"/>
    <cellStyle name="Normal 66 2 4 2 2" xfId="13517"/>
    <cellStyle name="Normal 66 2 4 3" xfId="12494"/>
    <cellStyle name="Normal 66 2 4 4" xfId="10576"/>
    <cellStyle name="Normal 66 2 5" xfId="6273"/>
    <cellStyle name="Normal 66 2 5 2" xfId="11567"/>
    <cellStyle name="Normal 66 2 5 2 2" xfId="13518"/>
    <cellStyle name="Normal 66 2 5 3" xfId="12608"/>
    <cellStyle name="Normal 66 2 5 4" xfId="10690"/>
    <cellStyle name="Normal 66 2 6" xfId="11123"/>
    <cellStyle name="Normal 66 2 6 2" xfId="13519"/>
    <cellStyle name="Normal 66 2 7" xfId="12207"/>
    <cellStyle name="Normal 66 2 8" xfId="10250"/>
    <cellStyle name="Normal 66 3" xfId="1877"/>
    <cellStyle name="Normal 66 3 2" xfId="2498"/>
    <cellStyle name="Normal 66 3 2 2" xfId="4550"/>
    <cellStyle name="Normal 66 3 2 2 2" xfId="8938"/>
    <cellStyle name="Normal 66 3 2 2 2 2" xfId="11882"/>
    <cellStyle name="Normal 66 3 2 2 2 2 2" xfId="13520"/>
    <cellStyle name="Normal 66 3 2 2 2 3" xfId="12920"/>
    <cellStyle name="Normal 66 3 2 2 2 4" xfId="11002"/>
    <cellStyle name="Normal 66 3 2 2 3" xfId="11406"/>
    <cellStyle name="Normal 66 3 2 2 3 2" xfId="13521"/>
    <cellStyle name="Normal 66 3 2 2 4" xfId="12448"/>
    <cellStyle name="Normal 66 3 2 2 5" xfId="10530"/>
    <cellStyle name="Normal 66 3 2 3" xfId="5278"/>
    <cellStyle name="Normal 66 3 2 3 2" xfId="11517"/>
    <cellStyle name="Normal 66 3 2 3 2 2" xfId="13522"/>
    <cellStyle name="Normal 66 3 2 3 3" xfId="12558"/>
    <cellStyle name="Normal 66 3 2 3 4" xfId="10640"/>
    <cellStyle name="Normal 66 3 2 4" xfId="7473"/>
    <cellStyle name="Normal 66 3 2 4 2" xfId="11674"/>
    <cellStyle name="Normal 66 3 2 4 2 2" xfId="13523"/>
    <cellStyle name="Normal 66 3 2 4 3" xfId="12713"/>
    <cellStyle name="Normal 66 3 2 4 4" xfId="10795"/>
    <cellStyle name="Normal 66 3 2 5" xfId="11225"/>
    <cellStyle name="Normal 66 3 2 5 2" xfId="13524"/>
    <cellStyle name="Normal 66 3 2 6" xfId="12256"/>
    <cellStyle name="Normal 66 3 2 7" xfId="10351"/>
    <cellStyle name="Normal 66 3 3" xfId="4373"/>
    <cellStyle name="Normal 66 3 3 2" xfId="8809"/>
    <cellStyle name="Normal 66 3 3 2 2" xfId="11794"/>
    <cellStyle name="Normal 66 3 3 2 2 2" xfId="13525"/>
    <cellStyle name="Normal 66 3 3 2 3" xfId="12832"/>
    <cellStyle name="Normal 66 3 3 2 4" xfId="10914"/>
    <cellStyle name="Normal 66 3 3 3" xfId="11318"/>
    <cellStyle name="Normal 66 3 3 3 2" xfId="13526"/>
    <cellStyle name="Normal 66 3 3 4" xfId="12360"/>
    <cellStyle name="Normal 66 3 3 5" xfId="10442"/>
    <cellStyle name="Normal 66 3 4" xfId="5211"/>
    <cellStyle name="Normal 66 3 4 2" xfId="11485"/>
    <cellStyle name="Normal 66 3 4 2 2" xfId="13527"/>
    <cellStyle name="Normal 66 3 4 3" xfId="12526"/>
    <cellStyle name="Normal 66 3 4 4" xfId="10608"/>
    <cellStyle name="Normal 66 3 5" xfId="6361"/>
    <cellStyle name="Normal 66 3 5 2" xfId="11570"/>
    <cellStyle name="Normal 66 3 5 2 2" xfId="13528"/>
    <cellStyle name="Normal 66 3 5 3" xfId="12611"/>
    <cellStyle name="Normal 66 3 5 4" xfId="10693"/>
    <cellStyle name="Normal 66 3 6" xfId="11139"/>
    <cellStyle name="Normal 66 3 6 2" xfId="13529"/>
    <cellStyle name="Normal 66 3 7" xfId="12191"/>
    <cellStyle name="Normal 66 3 8" xfId="10266"/>
    <cellStyle name="Normal 66 4" xfId="2402"/>
    <cellStyle name="Normal 66 4 2" xfId="4516"/>
    <cellStyle name="Normal 66 4 2 2" xfId="8904"/>
    <cellStyle name="Normal 66 4 2 2 2" xfId="11848"/>
    <cellStyle name="Normal 66 4 2 2 2 2" xfId="13530"/>
    <cellStyle name="Normal 66 4 2 2 3" xfId="12886"/>
    <cellStyle name="Normal 66 4 2 2 4" xfId="10968"/>
    <cellStyle name="Normal 66 4 2 3" xfId="11372"/>
    <cellStyle name="Normal 66 4 2 3 2" xfId="13531"/>
    <cellStyle name="Normal 66 4 2 4" xfId="12414"/>
    <cellStyle name="Normal 66 4 2 5" xfId="10496"/>
    <cellStyle name="Normal 66 4 3" xfId="5349"/>
    <cellStyle name="Normal 66 4 3 2" xfId="11543"/>
    <cellStyle name="Normal 66 4 3 2 2" xfId="13532"/>
    <cellStyle name="Normal 66 4 3 3" xfId="12584"/>
    <cellStyle name="Normal 66 4 3 4" xfId="10666"/>
    <cellStyle name="Normal 66 4 4" xfId="8200"/>
    <cellStyle name="Normal 66 4 4 2" xfId="11742"/>
    <cellStyle name="Normal 66 4 4 2 2" xfId="13533"/>
    <cellStyle name="Normal 66 4 4 3" xfId="12780"/>
    <cellStyle name="Normal 66 4 4 4" xfId="10862"/>
    <cellStyle name="Normal 66 4 5" xfId="11191"/>
    <cellStyle name="Normal 66 4 5 2" xfId="13534"/>
    <cellStyle name="Normal 66 4 6" xfId="12223"/>
    <cellStyle name="Normal 66 4 7" xfId="10317"/>
    <cellStyle name="Normal 66 5" xfId="4338"/>
    <cellStyle name="Normal 66 5 2" xfId="8775"/>
    <cellStyle name="Normal 66 5 2 2" xfId="11760"/>
    <cellStyle name="Normal 66 5 2 2 2" xfId="13535"/>
    <cellStyle name="Normal 66 5 2 3" xfId="12798"/>
    <cellStyle name="Normal 66 5 2 4" xfId="10880"/>
    <cellStyle name="Normal 66 5 3" xfId="11284"/>
    <cellStyle name="Normal 66 5 3 2" xfId="13536"/>
    <cellStyle name="Normal 66 5 4" xfId="12326"/>
    <cellStyle name="Normal 66 5 5" xfId="10408"/>
    <cellStyle name="Normal 66 6" xfId="5325"/>
    <cellStyle name="Normal 66 6 2" xfId="11534"/>
    <cellStyle name="Normal 66 6 2 2" xfId="13537"/>
    <cellStyle name="Normal 66 6 3" xfId="12575"/>
    <cellStyle name="Normal 66 6 4" xfId="10657"/>
    <cellStyle name="Normal 66 7" xfId="6322"/>
    <cellStyle name="Normal 66 7 2" xfId="11568"/>
    <cellStyle name="Normal 66 7 2 2" xfId="13538"/>
    <cellStyle name="Normal 66 7 3" xfId="12609"/>
    <cellStyle name="Normal 66 7 4" xfId="10691"/>
    <cellStyle name="Normal 66 8" xfId="11104"/>
    <cellStyle name="Normal 66 8 2" xfId="13539"/>
    <cellStyle name="Normal 66 9" xfId="12169"/>
    <cellStyle name="Normal 67" xfId="1127"/>
    <cellStyle name="Normal 67 10" xfId="10234"/>
    <cellStyle name="Normal 67 2" xfId="1744"/>
    <cellStyle name="Normal 67 2 2" xfId="2460"/>
    <cellStyle name="Normal 67 2 2 2" xfId="4535"/>
    <cellStyle name="Normal 67 2 2 2 2" xfId="8923"/>
    <cellStyle name="Normal 67 2 2 2 2 2" xfId="11867"/>
    <cellStyle name="Normal 67 2 2 2 2 2 2" xfId="13540"/>
    <cellStyle name="Normal 67 2 2 2 2 3" xfId="12905"/>
    <cellStyle name="Normal 67 2 2 2 2 4" xfId="10987"/>
    <cellStyle name="Normal 67 2 2 2 3" xfId="11391"/>
    <cellStyle name="Normal 67 2 2 2 3 2" xfId="13541"/>
    <cellStyle name="Normal 67 2 2 2 4" xfId="12433"/>
    <cellStyle name="Normal 67 2 2 2 5" xfId="10515"/>
    <cellStyle name="Normal 67 2 2 3" xfId="5353"/>
    <cellStyle name="Normal 67 2 2 3 2" xfId="11546"/>
    <cellStyle name="Normal 67 2 2 3 2 2" xfId="13542"/>
    <cellStyle name="Normal 67 2 2 3 3" xfId="12587"/>
    <cellStyle name="Normal 67 2 2 3 4" xfId="10669"/>
    <cellStyle name="Normal 67 2 2 4" xfId="7114"/>
    <cellStyle name="Normal 67 2 2 4 2" xfId="11649"/>
    <cellStyle name="Normal 67 2 2 4 2 2" xfId="13543"/>
    <cellStyle name="Normal 67 2 2 4 3" xfId="12688"/>
    <cellStyle name="Normal 67 2 2 4 4" xfId="10770"/>
    <cellStyle name="Normal 67 2 2 5" xfId="11210"/>
    <cellStyle name="Normal 67 2 2 5 2" xfId="13544"/>
    <cellStyle name="Normal 67 2 2 6" xfId="12241"/>
    <cellStyle name="Normal 67 2 2 7" xfId="10336"/>
    <cellStyle name="Normal 67 2 3" xfId="4358"/>
    <cellStyle name="Normal 67 2 3 2" xfId="8794"/>
    <cellStyle name="Normal 67 2 3 2 2" xfId="11779"/>
    <cellStyle name="Normal 67 2 3 2 2 2" xfId="13545"/>
    <cellStyle name="Normal 67 2 3 2 3" xfId="12817"/>
    <cellStyle name="Normal 67 2 3 2 4" xfId="10899"/>
    <cellStyle name="Normal 67 2 3 3" xfId="11303"/>
    <cellStyle name="Normal 67 2 3 3 2" xfId="13546"/>
    <cellStyle name="Normal 67 2 3 4" xfId="12345"/>
    <cellStyle name="Normal 67 2 3 5" xfId="10427"/>
    <cellStyle name="Normal 67 2 4" xfId="5305"/>
    <cellStyle name="Normal 67 2 4 2" xfId="11528"/>
    <cellStyle name="Normal 67 2 4 2 2" xfId="13547"/>
    <cellStyle name="Normal 67 2 4 3" xfId="12569"/>
    <cellStyle name="Normal 67 2 4 4" xfId="10651"/>
    <cellStyle name="Normal 67 2 5" xfId="7870"/>
    <cellStyle name="Normal 67 2 5 2" xfId="11709"/>
    <cellStyle name="Normal 67 2 5 2 2" xfId="13548"/>
    <cellStyle name="Normal 67 2 5 3" xfId="12747"/>
    <cellStyle name="Normal 67 2 5 4" xfId="10829"/>
    <cellStyle name="Normal 67 2 6" xfId="11124"/>
    <cellStyle name="Normal 67 2 6 2" xfId="13549"/>
    <cellStyle name="Normal 67 2 7" xfId="12208"/>
    <cellStyle name="Normal 67 2 8" xfId="10251"/>
    <cellStyle name="Normal 67 3" xfId="1878"/>
    <cellStyle name="Normal 67 3 2" xfId="2499"/>
    <cellStyle name="Normal 67 3 2 2" xfId="4551"/>
    <cellStyle name="Normal 67 3 2 2 2" xfId="8939"/>
    <cellStyle name="Normal 67 3 2 2 2 2" xfId="11883"/>
    <cellStyle name="Normal 67 3 2 2 2 2 2" xfId="13550"/>
    <cellStyle name="Normal 67 3 2 2 2 3" xfId="12921"/>
    <cellStyle name="Normal 67 3 2 2 2 4" xfId="11003"/>
    <cellStyle name="Normal 67 3 2 2 3" xfId="11407"/>
    <cellStyle name="Normal 67 3 2 2 3 2" xfId="13551"/>
    <cellStyle name="Normal 67 3 2 2 4" xfId="12449"/>
    <cellStyle name="Normal 67 3 2 2 5" xfId="10531"/>
    <cellStyle name="Normal 67 3 2 3" xfId="5220"/>
    <cellStyle name="Normal 67 3 2 3 2" xfId="11492"/>
    <cellStyle name="Normal 67 3 2 3 2 2" xfId="13552"/>
    <cellStyle name="Normal 67 3 2 3 3" xfId="12533"/>
    <cellStyle name="Normal 67 3 2 3 4" xfId="10615"/>
    <cellStyle name="Normal 67 3 2 4" xfId="6718"/>
    <cellStyle name="Normal 67 3 2 4 2" xfId="11602"/>
    <cellStyle name="Normal 67 3 2 4 2 2" xfId="13553"/>
    <cellStyle name="Normal 67 3 2 4 3" xfId="12642"/>
    <cellStyle name="Normal 67 3 2 4 4" xfId="10724"/>
    <cellStyle name="Normal 67 3 2 5" xfId="11226"/>
    <cellStyle name="Normal 67 3 2 5 2" xfId="13554"/>
    <cellStyle name="Normal 67 3 2 6" xfId="12257"/>
    <cellStyle name="Normal 67 3 2 7" xfId="10352"/>
    <cellStyle name="Normal 67 3 3" xfId="4374"/>
    <cellStyle name="Normal 67 3 3 2" xfId="8810"/>
    <cellStyle name="Normal 67 3 3 2 2" xfId="11795"/>
    <cellStyle name="Normal 67 3 3 2 2 2" xfId="13555"/>
    <cellStyle name="Normal 67 3 3 2 3" xfId="12833"/>
    <cellStyle name="Normal 67 3 3 2 4" xfId="10915"/>
    <cellStyle name="Normal 67 3 3 3" xfId="11319"/>
    <cellStyle name="Normal 67 3 3 3 2" xfId="13556"/>
    <cellStyle name="Normal 67 3 3 4" xfId="12361"/>
    <cellStyle name="Normal 67 3 3 5" xfId="10443"/>
    <cellStyle name="Normal 67 3 4" xfId="5273"/>
    <cellStyle name="Normal 67 3 4 2" xfId="11514"/>
    <cellStyle name="Normal 67 3 4 2 2" xfId="13557"/>
    <cellStyle name="Normal 67 3 4 3" xfId="12555"/>
    <cellStyle name="Normal 67 3 4 4" xfId="10637"/>
    <cellStyle name="Normal 67 3 5" xfId="8094"/>
    <cellStyle name="Normal 67 3 5 2" xfId="11733"/>
    <cellStyle name="Normal 67 3 5 2 2" xfId="13558"/>
    <cellStyle name="Normal 67 3 5 3" xfId="12771"/>
    <cellStyle name="Normal 67 3 5 4" xfId="10853"/>
    <cellStyle name="Normal 67 3 6" xfId="11140"/>
    <cellStyle name="Normal 67 3 6 2" xfId="13559"/>
    <cellStyle name="Normal 67 3 7" xfId="12192"/>
    <cellStyle name="Normal 67 3 8" xfId="10267"/>
    <cellStyle name="Normal 67 4" xfId="2403"/>
    <cellStyle name="Normal 67 4 2" xfId="4517"/>
    <cellStyle name="Normal 67 4 2 2" xfId="8905"/>
    <cellStyle name="Normal 67 4 2 2 2" xfId="11849"/>
    <cellStyle name="Normal 67 4 2 2 2 2" xfId="13560"/>
    <cellStyle name="Normal 67 4 2 2 3" xfId="12887"/>
    <cellStyle name="Normal 67 4 2 2 4" xfId="10969"/>
    <cellStyle name="Normal 67 4 2 3" xfId="11373"/>
    <cellStyle name="Normal 67 4 2 3 2" xfId="13561"/>
    <cellStyle name="Normal 67 4 2 4" xfId="12415"/>
    <cellStyle name="Normal 67 4 2 5" xfId="10497"/>
    <cellStyle name="Normal 67 4 3" xfId="5360"/>
    <cellStyle name="Normal 67 4 3 2" xfId="11549"/>
    <cellStyle name="Normal 67 4 3 2 2" xfId="13562"/>
    <cellStyle name="Normal 67 4 3 3" xfId="12590"/>
    <cellStyle name="Normal 67 4 3 4" xfId="10672"/>
    <cellStyle name="Normal 67 4 4" xfId="7458"/>
    <cellStyle name="Normal 67 4 4 2" xfId="11672"/>
    <cellStyle name="Normal 67 4 4 2 2" xfId="13563"/>
    <cellStyle name="Normal 67 4 4 3" xfId="12711"/>
    <cellStyle name="Normal 67 4 4 4" xfId="10793"/>
    <cellStyle name="Normal 67 4 5" xfId="11192"/>
    <cellStyle name="Normal 67 4 5 2" xfId="13564"/>
    <cellStyle name="Normal 67 4 6" xfId="12224"/>
    <cellStyle name="Normal 67 4 7" xfId="10318"/>
    <cellStyle name="Normal 67 5" xfId="4339"/>
    <cellStyle name="Normal 67 5 2" xfId="8776"/>
    <cellStyle name="Normal 67 5 2 2" xfId="11761"/>
    <cellStyle name="Normal 67 5 2 2 2" xfId="13565"/>
    <cellStyle name="Normal 67 5 2 3" xfId="12799"/>
    <cellStyle name="Normal 67 5 2 4" xfId="10881"/>
    <cellStyle name="Normal 67 5 3" xfId="11285"/>
    <cellStyle name="Normal 67 5 3 2" xfId="13566"/>
    <cellStyle name="Normal 67 5 4" xfId="12327"/>
    <cellStyle name="Normal 67 5 5" xfId="10409"/>
    <cellStyle name="Normal 67 6" xfId="5238"/>
    <cellStyle name="Normal 67 6 2" xfId="11500"/>
    <cellStyle name="Normal 67 6 2 2" xfId="13567"/>
    <cellStyle name="Normal 67 6 3" xfId="12541"/>
    <cellStyle name="Normal 67 6 4" xfId="10623"/>
    <cellStyle name="Normal 67 7" xfId="6406"/>
    <cellStyle name="Normal 67 7 2" xfId="11579"/>
    <cellStyle name="Normal 67 7 2 2" xfId="13568"/>
    <cellStyle name="Normal 67 7 3" xfId="12619"/>
    <cellStyle name="Normal 67 7 4" xfId="10701"/>
    <cellStyle name="Normal 67 8" xfId="11105"/>
    <cellStyle name="Normal 67 8 2" xfId="13569"/>
    <cellStyle name="Normal 67 9" xfId="12170"/>
    <cellStyle name="Normal 68" xfId="1553"/>
    <cellStyle name="Normal 68 2" xfId="1887"/>
    <cellStyle name="Normal 68 2 2" xfId="2502"/>
    <cellStyle name="Normal 68 2 2 2" xfId="4554"/>
    <cellStyle name="Normal 68 2 2 2 2" xfId="8942"/>
    <cellStyle name="Normal 68 2 2 2 2 2" xfId="11886"/>
    <cellStyle name="Normal 68 2 2 2 2 2 2" xfId="13570"/>
    <cellStyle name="Normal 68 2 2 2 2 3" xfId="12924"/>
    <cellStyle name="Normal 68 2 2 2 2 4" xfId="11006"/>
    <cellStyle name="Normal 68 2 2 2 3" xfId="11410"/>
    <cellStyle name="Normal 68 2 2 2 3 2" xfId="13571"/>
    <cellStyle name="Normal 68 2 2 2 4" xfId="12452"/>
    <cellStyle name="Normal 68 2 2 2 5" xfId="10534"/>
    <cellStyle name="Normal 68 2 2 3" xfId="7863"/>
    <cellStyle name="Normal 68 2 2 3 2" xfId="11707"/>
    <cellStyle name="Normal 68 2 2 3 2 2" xfId="13572"/>
    <cellStyle name="Normal 68 2 2 3 3" xfId="12745"/>
    <cellStyle name="Normal 68 2 2 3 4" xfId="10827"/>
    <cellStyle name="Normal 68 2 2 4" xfId="11229"/>
    <cellStyle name="Normal 68 2 2 4 2" xfId="13573"/>
    <cellStyle name="Normal 68 2 2 5" xfId="12275"/>
    <cellStyle name="Normal 68 2 2 6" xfId="10355"/>
    <cellStyle name="Normal 68 2 3" xfId="4377"/>
    <cellStyle name="Normal 68 2 3 2" xfId="8813"/>
    <cellStyle name="Normal 68 2 3 2 2" xfId="11798"/>
    <cellStyle name="Normal 68 2 3 2 2 2" xfId="13574"/>
    <cellStyle name="Normal 68 2 3 2 3" xfId="12836"/>
    <cellStyle name="Normal 68 2 3 2 4" xfId="10918"/>
    <cellStyle name="Normal 68 2 3 3" xfId="11322"/>
    <cellStyle name="Normal 68 2 3 3 2" xfId="13575"/>
    <cellStyle name="Normal 68 2 3 4" xfId="12364"/>
    <cellStyle name="Normal 68 2 3 5" xfId="10446"/>
    <cellStyle name="Normal 68 2 4" xfId="5337"/>
    <cellStyle name="Normal 68 2 4 2" xfId="11539"/>
    <cellStyle name="Normal 68 2 4 2 2" xfId="13576"/>
    <cellStyle name="Normal 68 2 4 3" xfId="12580"/>
    <cellStyle name="Normal 68 2 4 4" xfId="10662"/>
    <cellStyle name="Normal 68 2 5" xfId="6782"/>
    <cellStyle name="Normal 68 2 5 2" xfId="11614"/>
    <cellStyle name="Normal 68 2 5 2 2" xfId="13577"/>
    <cellStyle name="Normal 68 2 5 3" xfId="12654"/>
    <cellStyle name="Normal 68 2 5 4" xfId="10736"/>
    <cellStyle name="Normal 68 2 6" xfId="11143"/>
    <cellStyle name="Normal 68 2 6 2" xfId="13578"/>
    <cellStyle name="Normal 68 2 7" xfId="12260"/>
    <cellStyle name="Normal 68 2 8" xfId="10270"/>
    <cellStyle name="Normal 68 3" xfId="2420"/>
    <cellStyle name="Normal 68 3 2" xfId="4521"/>
    <cellStyle name="Normal 68 3 2 2" xfId="8909"/>
    <cellStyle name="Normal 68 3 2 2 2" xfId="11853"/>
    <cellStyle name="Normal 68 3 2 2 2 2" xfId="13579"/>
    <cellStyle name="Normal 68 3 2 2 3" xfId="12891"/>
    <cellStyle name="Normal 68 3 2 2 4" xfId="10973"/>
    <cellStyle name="Normal 68 3 2 3" xfId="11377"/>
    <cellStyle name="Normal 68 3 2 3 2" xfId="13580"/>
    <cellStyle name="Normal 68 3 2 4" xfId="12419"/>
    <cellStyle name="Normal 68 3 2 5" xfId="10501"/>
    <cellStyle name="Normal 68 3 3" xfId="5210"/>
    <cellStyle name="Normal 68 3 3 2" xfId="11484"/>
    <cellStyle name="Normal 68 3 3 2 2" xfId="13581"/>
    <cellStyle name="Normal 68 3 3 3" xfId="12525"/>
    <cellStyle name="Normal 68 3 3 4" xfId="10607"/>
    <cellStyle name="Normal 68 3 4" xfId="7075"/>
    <cellStyle name="Normal 68 3 4 2" xfId="11643"/>
    <cellStyle name="Normal 68 3 4 2 2" xfId="13582"/>
    <cellStyle name="Normal 68 3 4 3" xfId="12682"/>
    <cellStyle name="Normal 68 3 4 4" xfId="10764"/>
    <cellStyle name="Normal 68 3 5" xfId="11196"/>
    <cellStyle name="Normal 68 3 5 2" xfId="13583"/>
    <cellStyle name="Normal 68 3 6" xfId="12227"/>
    <cellStyle name="Normal 68 3 7" xfId="10322"/>
    <cellStyle name="Normal 68 4" xfId="4344"/>
    <cellStyle name="Normal 68 4 2" xfId="8780"/>
    <cellStyle name="Normal 68 4 2 2" xfId="11765"/>
    <cellStyle name="Normal 68 4 2 2 2" xfId="13584"/>
    <cellStyle name="Normal 68 4 2 3" xfId="12803"/>
    <cellStyle name="Normal 68 4 2 4" xfId="10885"/>
    <cellStyle name="Normal 68 4 3" xfId="11289"/>
    <cellStyle name="Normal 68 4 3 2" xfId="13585"/>
    <cellStyle name="Normal 68 4 4" xfId="12331"/>
    <cellStyle name="Normal 68 4 5" xfId="10413"/>
    <cellStyle name="Normal 68 5" xfId="5359"/>
    <cellStyle name="Normal 68 5 2" xfId="11548"/>
    <cellStyle name="Normal 68 5 2 2" xfId="13586"/>
    <cellStyle name="Normal 68 5 3" xfId="12589"/>
    <cellStyle name="Normal 68 5 4" xfId="10671"/>
    <cellStyle name="Normal 68 6" xfId="7029"/>
    <cellStyle name="Normal 68 6 2" xfId="11635"/>
    <cellStyle name="Normal 68 6 2 2" xfId="13587"/>
    <cellStyle name="Normal 68 6 3" xfId="12674"/>
    <cellStyle name="Normal 68 6 4" xfId="10756"/>
    <cellStyle name="Normal 68 7" xfId="11110"/>
    <cellStyle name="Normal 68 7 2" xfId="13588"/>
    <cellStyle name="Normal 68 8" xfId="12195"/>
    <cellStyle name="Normal 68 9" xfId="10237"/>
    <cellStyle name="Normal 69" xfId="1555"/>
    <cellStyle name="Normal 69 2" xfId="1888"/>
    <cellStyle name="Normal 69 2 2" xfId="2503"/>
    <cellStyle name="Normal 69 2 2 2" xfId="4555"/>
    <cellStyle name="Normal 69 2 2 2 2" xfId="8943"/>
    <cellStyle name="Normal 69 2 2 2 2 2" xfId="11887"/>
    <cellStyle name="Normal 69 2 2 2 2 2 2" xfId="13589"/>
    <cellStyle name="Normal 69 2 2 2 2 3" xfId="12925"/>
    <cellStyle name="Normal 69 2 2 2 2 4" xfId="11007"/>
    <cellStyle name="Normal 69 2 2 2 3" xfId="11411"/>
    <cellStyle name="Normal 69 2 2 2 3 2" xfId="13590"/>
    <cellStyle name="Normal 69 2 2 2 4" xfId="12453"/>
    <cellStyle name="Normal 69 2 2 2 5" xfId="10535"/>
    <cellStyle name="Normal 69 2 2 3" xfId="8020"/>
    <cellStyle name="Normal 69 2 2 3 2" xfId="11721"/>
    <cellStyle name="Normal 69 2 2 3 2 2" xfId="13591"/>
    <cellStyle name="Normal 69 2 2 3 3" xfId="12759"/>
    <cellStyle name="Normal 69 2 2 3 4" xfId="10841"/>
    <cellStyle name="Normal 69 2 2 4" xfId="11230"/>
    <cellStyle name="Normal 69 2 2 4 2" xfId="13592"/>
    <cellStyle name="Normal 69 2 2 5" xfId="12276"/>
    <cellStyle name="Normal 69 2 2 6" xfId="10356"/>
    <cellStyle name="Normal 69 2 3" xfId="4378"/>
    <cellStyle name="Normal 69 2 3 2" xfId="8814"/>
    <cellStyle name="Normal 69 2 3 2 2" xfId="11799"/>
    <cellStyle name="Normal 69 2 3 2 2 2" xfId="13593"/>
    <cellStyle name="Normal 69 2 3 2 3" xfId="12837"/>
    <cellStyle name="Normal 69 2 3 2 4" xfId="10919"/>
    <cellStyle name="Normal 69 2 3 3" xfId="11323"/>
    <cellStyle name="Normal 69 2 3 3 2" xfId="13594"/>
    <cellStyle name="Normal 69 2 3 4" xfId="12365"/>
    <cellStyle name="Normal 69 2 3 5" xfId="10447"/>
    <cellStyle name="Normal 69 2 4" xfId="5215"/>
    <cellStyle name="Normal 69 2 4 2" xfId="11488"/>
    <cellStyle name="Normal 69 2 4 2 2" xfId="13595"/>
    <cellStyle name="Normal 69 2 4 3" xfId="12529"/>
    <cellStyle name="Normal 69 2 4 4" xfId="10611"/>
    <cellStyle name="Normal 69 2 5" xfId="8039"/>
    <cellStyle name="Normal 69 2 5 2" xfId="11723"/>
    <cellStyle name="Normal 69 2 5 2 2" xfId="13596"/>
    <cellStyle name="Normal 69 2 5 3" xfId="12761"/>
    <cellStyle name="Normal 69 2 5 4" xfId="10843"/>
    <cellStyle name="Normal 69 2 6" xfId="11144"/>
    <cellStyle name="Normal 69 2 6 2" xfId="13597"/>
    <cellStyle name="Normal 69 2 7" xfId="12261"/>
    <cellStyle name="Normal 69 2 8" xfId="10271"/>
    <cellStyle name="Normal 69 3" xfId="2421"/>
    <cellStyle name="Normal 69 3 2" xfId="4522"/>
    <cellStyle name="Normal 69 3 2 2" xfId="8910"/>
    <cellStyle name="Normal 69 3 2 2 2" xfId="11854"/>
    <cellStyle name="Normal 69 3 2 2 2 2" xfId="13598"/>
    <cellStyle name="Normal 69 3 2 2 3" xfId="12892"/>
    <cellStyle name="Normal 69 3 2 2 4" xfId="10974"/>
    <cellStyle name="Normal 69 3 2 3" xfId="11378"/>
    <cellStyle name="Normal 69 3 2 3 2" xfId="13599"/>
    <cellStyle name="Normal 69 3 2 4" xfId="12420"/>
    <cellStyle name="Normal 69 3 2 5" xfId="10502"/>
    <cellStyle name="Normal 69 3 3" xfId="5251"/>
    <cellStyle name="Normal 69 3 3 2" xfId="11506"/>
    <cellStyle name="Normal 69 3 3 2 2" xfId="13600"/>
    <cellStyle name="Normal 69 3 3 3" xfId="12547"/>
    <cellStyle name="Normal 69 3 3 4" xfId="10629"/>
    <cellStyle name="Normal 69 3 4" xfId="7619"/>
    <cellStyle name="Normal 69 3 4 2" xfId="11687"/>
    <cellStyle name="Normal 69 3 4 2 2" xfId="13601"/>
    <cellStyle name="Normal 69 3 4 3" xfId="12726"/>
    <cellStyle name="Normal 69 3 4 4" xfId="10808"/>
    <cellStyle name="Normal 69 3 5" xfId="11197"/>
    <cellStyle name="Normal 69 3 5 2" xfId="13602"/>
    <cellStyle name="Normal 69 3 6" xfId="12228"/>
    <cellStyle name="Normal 69 3 7" xfId="10323"/>
    <cellStyle name="Normal 69 4" xfId="4345"/>
    <cellStyle name="Normal 69 4 2" xfId="8781"/>
    <cellStyle name="Normal 69 4 2 2" xfId="11766"/>
    <cellStyle name="Normal 69 4 2 2 2" xfId="13603"/>
    <cellStyle name="Normal 69 4 2 3" xfId="12804"/>
    <cellStyle name="Normal 69 4 2 4" xfId="10886"/>
    <cellStyle name="Normal 69 4 3" xfId="11290"/>
    <cellStyle name="Normal 69 4 3 2" xfId="13604"/>
    <cellStyle name="Normal 69 4 4" xfId="12332"/>
    <cellStyle name="Normal 69 4 5" xfId="10414"/>
    <cellStyle name="Normal 69 5" xfId="5143"/>
    <cellStyle name="Normal 69 5 2" xfId="11462"/>
    <cellStyle name="Normal 69 5 2 2" xfId="13605"/>
    <cellStyle name="Normal 69 5 3" xfId="12503"/>
    <cellStyle name="Normal 69 5 4" xfId="10585"/>
    <cellStyle name="Normal 69 6" xfId="7677"/>
    <cellStyle name="Normal 69 6 2" xfId="11693"/>
    <cellStyle name="Normal 69 6 2 2" xfId="13606"/>
    <cellStyle name="Normal 69 6 3" xfId="12732"/>
    <cellStyle name="Normal 69 6 4" xfId="10814"/>
    <cellStyle name="Normal 69 7" xfId="11111"/>
    <cellStyle name="Normal 69 7 2" xfId="13607"/>
    <cellStyle name="Normal 69 8" xfId="12196"/>
    <cellStyle name="Normal 69 9" xfId="10238"/>
    <cellStyle name="Normal 7" xfId="451"/>
    <cellStyle name="Normal 7 2" xfId="452"/>
    <cellStyle name="Normal 7 2 2" xfId="453"/>
    <cellStyle name="Normal 7 2 2 2" xfId="454"/>
    <cellStyle name="Normal 7 2 2 3" xfId="455"/>
    <cellStyle name="Normal 7 2 3" xfId="456"/>
    <cellStyle name="Normal 7 2 4" xfId="457"/>
    <cellStyle name="Normal 7 3" xfId="1128"/>
    <cellStyle name="Normal 7 4" xfId="1129"/>
    <cellStyle name="Normal 7 4 10" xfId="10235"/>
    <cellStyle name="Normal 7 4 2" xfId="1746"/>
    <cellStyle name="Normal 7 4 2 2" xfId="2462"/>
    <cellStyle name="Normal 7 4 2 2 2" xfId="4536"/>
    <cellStyle name="Normal 7 4 2 2 2 2" xfId="8924"/>
    <cellStyle name="Normal 7 4 2 2 2 2 2" xfId="11868"/>
    <cellStyle name="Normal 7 4 2 2 2 2 2 2" xfId="13608"/>
    <cellStyle name="Normal 7 4 2 2 2 2 3" xfId="12906"/>
    <cellStyle name="Normal 7 4 2 2 2 2 4" xfId="10988"/>
    <cellStyle name="Normal 7 4 2 2 2 3" xfId="11392"/>
    <cellStyle name="Normal 7 4 2 2 2 3 2" xfId="13609"/>
    <cellStyle name="Normal 7 4 2 2 2 4" xfId="12434"/>
    <cellStyle name="Normal 7 4 2 2 2 5" xfId="10516"/>
    <cellStyle name="Normal 7 4 2 2 3" xfId="5193"/>
    <cellStyle name="Normal 7 4 2 2 3 2" xfId="11480"/>
    <cellStyle name="Normal 7 4 2 2 3 2 2" xfId="13610"/>
    <cellStyle name="Normal 7 4 2 2 3 3" xfId="12521"/>
    <cellStyle name="Normal 7 4 2 2 3 4" xfId="10603"/>
    <cellStyle name="Normal 7 4 2 2 4" xfId="6825"/>
    <cellStyle name="Normal 7 4 2 2 4 2" xfId="11617"/>
    <cellStyle name="Normal 7 4 2 2 4 2 2" xfId="13611"/>
    <cellStyle name="Normal 7 4 2 2 4 3" xfId="12657"/>
    <cellStyle name="Normal 7 4 2 2 4 4" xfId="10739"/>
    <cellStyle name="Normal 7 4 2 2 5" xfId="11211"/>
    <cellStyle name="Normal 7 4 2 2 5 2" xfId="13612"/>
    <cellStyle name="Normal 7 4 2 2 6" xfId="12242"/>
    <cellStyle name="Normal 7 4 2 2 7" xfId="10337"/>
    <cellStyle name="Normal 7 4 2 3" xfId="4359"/>
    <cellStyle name="Normal 7 4 2 3 2" xfId="8795"/>
    <cellStyle name="Normal 7 4 2 3 2 2" xfId="11780"/>
    <cellStyle name="Normal 7 4 2 3 2 2 2" xfId="13613"/>
    <cellStyle name="Normal 7 4 2 3 2 3" xfId="12818"/>
    <cellStyle name="Normal 7 4 2 3 2 4" xfId="10900"/>
    <cellStyle name="Normal 7 4 2 3 3" xfId="11304"/>
    <cellStyle name="Normal 7 4 2 3 3 2" xfId="13614"/>
    <cellStyle name="Normal 7 4 2 3 4" xfId="12346"/>
    <cellStyle name="Normal 7 4 2 3 5" xfId="10428"/>
    <cellStyle name="Normal 7 4 2 4" xfId="5365"/>
    <cellStyle name="Normal 7 4 2 4 2" xfId="11552"/>
    <cellStyle name="Normal 7 4 2 4 2 2" xfId="13615"/>
    <cellStyle name="Normal 7 4 2 4 3" xfId="12593"/>
    <cellStyle name="Normal 7 4 2 4 4" xfId="10675"/>
    <cellStyle name="Normal 7 4 2 5" xfId="6717"/>
    <cellStyle name="Normal 7 4 2 5 2" xfId="11601"/>
    <cellStyle name="Normal 7 4 2 5 2 2" xfId="13616"/>
    <cellStyle name="Normal 7 4 2 5 3" xfId="12641"/>
    <cellStyle name="Normal 7 4 2 5 4" xfId="10723"/>
    <cellStyle name="Normal 7 4 2 6" xfId="11125"/>
    <cellStyle name="Normal 7 4 2 6 2" xfId="13617"/>
    <cellStyle name="Normal 7 4 2 7" xfId="12209"/>
    <cellStyle name="Normal 7 4 2 8" xfId="10252"/>
    <cellStyle name="Normal 7 4 3" xfId="1879"/>
    <cellStyle name="Normal 7 4 3 2" xfId="2500"/>
    <cellStyle name="Normal 7 4 3 2 2" xfId="4552"/>
    <cellStyle name="Normal 7 4 3 2 2 2" xfId="8940"/>
    <cellStyle name="Normal 7 4 3 2 2 2 2" xfId="11884"/>
    <cellStyle name="Normal 7 4 3 2 2 2 2 2" xfId="13618"/>
    <cellStyle name="Normal 7 4 3 2 2 2 3" xfId="12922"/>
    <cellStyle name="Normal 7 4 3 2 2 2 4" xfId="11004"/>
    <cellStyle name="Normal 7 4 3 2 2 3" xfId="11408"/>
    <cellStyle name="Normal 7 4 3 2 2 3 2" xfId="13619"/>
    <cellStyle name="Normal 7 4 3 2 2 4" xfId="12450"/>
    <cellStyle name="Normal 7 4 3 2 2 5" xfId="10532"/>
    <cellStyle name="Normal 7 4 3 2 3" xfId="5331"/>
    <cellStyle name="Normal 7 4 3 2 3 2" xfId="11538"/>
    <cellStyle name="Normal 7 4 3 2 3 2 2" xfId="13620"/>
    <cellStyle name="Normal 7 4 3 2 3 3" xfId="12579"/>
    <cellStyle name="Normal 7 4 3 2 3 4" xfId="10661"/>
    <cellStyle name="Normal 7 4 3 2 4" xfId="7110"/>
    <cellStyle name="Normal 7 4 3 2 4 2" xfId="11648"/>
    <cellStyle name="Normal 7 4 3 2 4 2 2" xfId="13621"/>
    <cellStyle name="Normal 7 4 3 2 4 3" xfId="12687"/>
    <cellStyle name="Normal 7 4 3 2 4 4" xfId="10769"/>
    <cellStyle name="Normal 7 4 3 2 5" xfId="11227"/>
    <cellStyle name="Normal 7 4 3 2 5 2" xfId="13622"/>
    <cellStyle name="Normal 7 4 3 2 6" xfId="12258"/>
    <cellStyle name="Normal 7 4 3 2 7" xfId="10353"/>
    <cellStyle name="Normal 7 4 3 3" xfId="4375"/>
    <cellStyle name="Normal 7 4 3 3 2" xfId="8811"/>
    <cellStyle name="Normal 7 4 3 3 2 2" xfId="11796"/>
    <cellStyle name="Normal 7 4 3 3 2 2 2" xfId="13623"/>
    <cellStyle name="Normal 7 4 3 3 2 3" xfId="12834"/>
    <cellStyle name="Normal 7 4 3 3 2 4" xfId="10916"/>
    <cellStyle name="Normal 7 4 3 3 3" xfId="11320"/>
    <cellStyle name="Normal 7 4 3 3 3 2" xfId="13624"/>
    <cellStyle name="Normal 7 4 3 3 4" xfId="12362"/>
    <cellStyle name="Normal 7 4 3 3 5" xfId="10444"/>
    <cellStyle name="Normal 7 4 3 4" xfId="5114"/>
    <cellStyle name="Normal 7 4 3 4 2" xfId="11451"/>
    <cellStyle name="Normal 7 4 3 4 2 2" xfId="13625"/>
    <cellStyle name="Normal 7 4 3 4 3" xfId="12492"/>
    <cellStyle name="Normal 7 4 3 4 4" xfId="10574"/>
    <cellStyle name="Normal 7 4 3 5" xfId="7041"/>
    <cellStyle name="Normal 7 4 3 5 2" xfId="11638"/>
    <cellStyle name="Normal 7 4 3 5 2 2" xfId="13626"/>
    <cellStyle name="Normal 7 4 3 5 3" xfId="12677"/>
    <cellStyle name="Normal 7 4 3 5 4" xfId="10759"/>
    <cellStyle name="Normal 7 4 3 6" xfId="11141"/>
    <cellStyle name="Normal 7 4 3 6 2" xfId="13627"/>
    <cellStyle name="Normal 7 4 3 7" xfId="12193"/>
    <cellStyle name="Normal 7 4 3 8" xfId="10268"/>
    <cellStyle name="Normal 7 4 4" xfId="2404"/>
    <cellStyle name="Normal 7 4 4 2" xfId="4518"/>
    <cellStyle name="Normal 7 4 4 2 2" xfId="8906"/>
    <cellStyle name="Normal 7 4 4 2 2 2" xfId="11850"/>
    <cellStyle name="Normal 7 4 4 2 2 2 2" xfId="13628"/>
    <cellStyle name="Normal 7 4 4 2 2 3" xfId="12888"/>
    <cellStyle name="Normal 7 4 4 2 2 4" xfId="10970"/>
    <cellStyle name="Normal 7 4 4 2 3" xfId="11374"/>
    <cellStyle name="Normal 7 4 4 2 3 2" xfId="13629"/>
    <cellStyle name="Normal 7 4 4 2 4" xfId="12416"/>
    <cellStyle name="Normal 7 4 4 2 5" xfId="10498"/>
    <cellStyle name="Normal 7 4 4 3" xfId="5312"/>
    <cellStyle name="Normal 7 4 4 3 2" xfId="11531"/>
    <cellStyle name="Normal 7 4 4 3 2 2" xfId="13630"/>
    <cellStyle name="Normal 7 4 4 3 3" xfId="12572"/>
    <cellStyle name="Normal 7 4 4 3 4" xfId="10654"/>
    <cellStyle name="Normal 7 4 4 4" xfId="7881"/>
    <cellStyle name="Normal 7 4 4 4 2" xfId="11710"/>
    <cellStyle name="Normal 7 4 4 4 2 2" xfId="13631"/>
    <cellStyle name="Normal 7 4 4 4 3" xfId="12748"/>
    <cellStyle name="Normal 7 4 4 4 4" xfId="10830"/>
    <cellStyle name="Normal 7 4 4 5" xfId="11193"/>
    <cellStyle name="Normal 7 4 4 5 2" xfId="13632"/>
    <cellStyle name="Normal 7 4 4 6" xfId="12225"/>
    <cellStyle name="Normal 7 4 4 7" xfId="10319"/>
    <cellStyle name="Normal 7 4 5" xfId="4340"/>
    <cellStyle name="Normal 7 4 5 2" xfId="8777"/>
    <cellStyle name="Normal 7 4 5 2 2" xfId="11762"/>
    <cellStyle name="Normal 7 4 5 2 2 2" xfId="13633"/>
    <cellStyle name="Normal 7 4 5 2 3" xfId="12800"/>
    <cellStyle name="Normal 7 4 5 2 4" xfId="10882"/>
    <cellStyle name="Normal 7 4 5 3" xfId="11286"/>
    <cellStyle name="Normal 7 4 5 3 2" xfId="13634"/>
    <cellStyle name="Normal 7 4 5 4" xfId="12328"/>
    <cellStyle name="Normal 7 4 5 5" xfId="10410"/>
    <cellStyle name="Normal 7 4 6" xfId="5239"/>
    <cellStyle name="Normal 7 4 6 2" xfId="11501"/>
    <cellStyle name="Normal 7 4 6 2 2" xfId="13635"/>
    <cellStyle name="Normal 7 4 6 3" xfId="12542"/>
    <cellStyle name="Normal 7 4 6 4" xfId="10624"/>
    <cellStyle name="Normal 7 4 7" xfId="7484"/>
    <cellStyle name="Normal 7 4 7 2" xfId="11675"/>
    <cellStyle name="Normal 7 4 7 2 2" xfId="13636"/>
    <cellStyle name="Normal 7 4 7 3" xfId="12714"/>
    <cellStyle name="Normal 7 4 7 4" xfId="10796"/>
    <cellStyle name="Normal 7 4 8" xfId="11106"/>
    <cellStyle name="Normal 7 4 8 2" xfId="13637"/>
    <cellStyle name="Normal 7 4 9" xfId="12171"/>
    <cellStyle name="Normal 7 5" xfId="1130"/>
    <cellStyle name="Normal 7 5 10" xfId="10236"/>
    <cellStyle name="Normal 7 5 2" xfId="1747"/>
    <cellStyle name="Normal 7 5 2 2" xfId="2463"/>
    <cellStyle name="Normal 7 5 2 2 2" xfId="4537"/>
    <cellStyle name="Normal 7 5 2 2 2 2" xfId="8925"/>
    <cellStyle name="Normal 7 5 2 2 2 2 2" xfId="11869"/>
    <cellStyle name="Normal 7 5 2 2 2 2 2 2" xfId="13638"/>
    <cellStyle name="Normal 7 5 2 2 2 2 3" xfId="12907"/>
    <cellStyle name="Normal 7 5 2 2 2 2 4" xfId="10989"/>
    <cellStyle name="Normal 7 5 2 2 2 3" xfId="11393"/>
    <cellStyle name="Normal 7 5 2 2 2 3 2" xfId="13639"/>
    <cellStyle name="Normal 7 5 2 2 2 4" xfId="12435"/>
    <cellStyle name="Normal 7 5 2 2 2 5" xfId="10517"/>
    <cellStyle name="Normal 7 5 2 2 3" xfId="5212"/>
    <cellStyle name="Normal 7 5 2 2 3 2" xfId="11486"/>
    <cellStyle name="Normal 7 5 2 2 3 2 2" xfId="13640"/>
    <cellStyle name="Normal 7 5 2 2 3 3" xfId="12527"/>
    <cellStyle name="Normal 7 5 2 2 3 4" xfId="10609"/>
    <cellStyle name="Normal 7 5 2 2 4" xfId="6752"/>
    <cellStyle name="Normal 7 5 2 2 4 2" xfId="11610"/>
    <cellStyle name="Normal 7 5 2 2 4 2 2" xfId="13641"/>
    <cellStyle name="Normal 7 5 2 2 4 3" xfId="12650"/>
    <cellStyle name="Normal 7 5 2 2 4 4" xfId="10732"/>
    <cellStyle name="Normal 7 5 2 2 5" xfId="11212"/>
    <cellStyle name="Normal 7 5 2 2 5 2" xfId="13642"/>
    <cellStyle name="Normal 7 5 2 2 6" xfId="12243"/>
    <cellStyle name="Normal 7 5 2 2 7" xfId="10338"/>
    <cellStyle name="Normal 7 5 2 3" xfId="4360"/>
    <cellStyle name="Normal 7 5 2 3 2" xfId="8796"/>
    <cellStyle name="Normal 7 5 2 3 2 2" xfId="11781"/>
    <cellStyle name="Normal 7 5 2 3 2 2 2" xfId="13643"/>
    <cellStyle name="Normal 7 5 2 3 2 3" xfId="12819"/>
    <cellStyle name="Normal 7 5 2 3 2 4" xfId="10901"/>
    <cellStyle name="Normal 7 5 2 3 3" xfId="11305"/>
    <cellStyle name="Normal 7 5 2 3 3 2" xfId="13644"/>
    <cellStyle name="Normal 7 5 2 3 4" xfId="12347"/>
    <cellStyle name="Normal 7 5 2 3 5" xfId="10429"/>
    <cellStyle name="Normal 7 5 2 4" xfId="5217"/>
    <cellStyle name="Normal 7 5 2 4 2" xfId="11489"/>
    <cellStyle name="Normal 7 5 2 4 2 2" xfId="13645"/>
    <cellStyle name="Normal 7 5 2 4 3" xfId="12530"/>
    <cellStyle name="Normal 7 5 2 4 4" xfId="10612"/>
    <cellStyle name="Normal 7 5 2 5" xfId="7260"/>
    <cellStyle name="Normal 7 5 2 5 2" xfId="11658"/>
    <cellStyle name="Normal 7 5 2 5 2 2" xfId="13646"/>
    <cellStyle name="Normal 7 5 2 5 3" xfId="12697"/>
    <cellStyle name="Normal 7 5 2 5 4" xfId="10779"/>
    <cellStyle name="Normal 7 5 2 6" xfId="11126"/>
    <cellStyle name="Normal 7 5 2 6 2" xfId="13647"/>
    <cellStyle name="Normal 7 5 2 7" xfId="12210"/>
    <cellStyle name="Normal 7 5 2 8" xfId="10253"/>
    <cellStyle name="Normal 7 5 3" xfId="1880"/>
    <cellStyle name="Normal 7 5 3 2" xfId="2501"/>
    <cellStyle name="Normal 7 5 3 2 2" xfId="4553"/>
    <cellStyle name="Normal 7 5 3 2 2 2" xfId="8941"/>
    <cellStyle name="Normal 7 5 3 2 2 2 2" xfId="11885"/>
    <cellStyle name="Normal 7 5 3 2 2 2 2 2" xfId="13648"/>
    <cellStyle name="Normal 7 5 3 2 2 2 3" xfId="12923"/>
    <cellStyle name="Normal 7 5 3 2 2 2 4" xfId="11005"/>
    <cellStyle name="Normal 7 5 3 2 2 3" xfId="11409"/>
    <cellStyle name="Normal 7 5 3 2 2 3 2" xfId="13649"/>
    <cellStyle name="Normal 7 5 3 2 2 4" xfId="12451"/>
    <cellStyle name="Normal 7 5 3 2 2 5" xfId="10533"/>
    <cellStyle name="Normal 7 5 3 2 3" xfId="5304"/>
    <cellStyle name="Normal 7 5 3 2 3 2" xfId="11527"/>
    <cellStyle name="Normal 7 5 3 2 3 2 2" xfId="13650"/>
    <cellStyle name="Normal 7 5 3 2 3 3" xfId="12568"/>
    <cellStyle name="Normal 7 5 3 2 3 4" xfId="10650"/>
    <cellStyle name="Normal 7 5 3 2 4" xfId="7703"/>
    <cellStyle name="Normal 7 5 3 2 4 2" xfId="11695"/>
    <cellStyle name="Normal 7 5 3 2 4 2 2" xfId="13651"/>
    <cellStyle name="Normal 7 5 3 2 4 3" xfId="12733"/>
    <cellStyle name="Normal 7 5 3 2 4 4" xfId="10815"/>
    <cellStyle name="Normal 7 5 3 2 5" xfId="11228"/>
    <cellStyle name="Normal 7 5 3 2 5 2" xfId="13652"/>
    <cellStyle name="Normal 7 5 3 2 6" xfId="12259"/>
    <cellStyle name="Normal 7 5 3 2 7" xfId="10354"/>
    <cellStyle name="Normal 7 5 3 3" xfId="4376"/>
    <cellStyle name="Normal 7 5 3 3 2" xfId="8812"/>
    <cellStyle name="Normal 7 5 3 3 2 2" xfId="11797"/>
    <cellStyle name="Normal 7 5 3 3 2 2 2" xfId="13653"/>
    <cellStyle name="Normal 7 5 3 3 2 3" xfId="12835"/>
    <cellStyle name="Normal 7 5 3 3 2 4" xfId="10917"/>
    <cellStyle name="Normal 7 5 3 3 3" xfId="11321"/>
    <cellStyle name="Normal 7 5 3 3 3 2" xfId="13654"/>
    <cellStyle name="Normal 7 5 3 3 4" xfId="12363"/>
    <cellStyle name="Normal 7 5 3 3 5" xfId="10445"/>
    <cellStyle name="Normal 7 5 3 4" xfId="5299"/>
    <cellStyle name="Normal 7 5 3 4 2" xfId="11523"/>
    <cellStyle name="Normal 7 5 3 4 2 2" xfId="13655"/>
    <cellStyle name="Normal 7 5 3 4 3" xfId="12564"/>
    <cellStyle name="Normal 7 5 3 4 4" xfId="10646"/>
    <cellStyle name="Normal 7 5 3 5" xfId="6403"/>
    <cellStyle name="Normal 7 5 3 5 2" xfId="11578"/>
    <cellStyle name="Normal 7 5 3 5 2 2" xfId="13656"/>
    <cellStyle name="Normal 7 5 3 5 3" xfId="12618"/>
    <cellStyle name="Normal 7 5 3 5 4" xfId="10700"/>
    <cellStyle name="Normal 7 5 3 6" xfId="11142"/>
    <cellStyle name="Normal 7 5 3 6 2" xfId="13657"/>
    <cellStyle name="Normal 7 5 3 7" xfId="12194"/>
    <cellStyle name="Normal 7 5 3 8" xfId="10269"/>
    <cellStyle name="Normal 7 5 4" xfId="2405"/>
    <cellStyle name="Normal 7 5 4 2" xfId="4519"/>
    <cellStyle name="Normal 7 5 4 2 2" xfId="8907"/>
    <cellStyle name="Normal 7 5 4 2 2 2" xfId="11851"/>
    <cellStyle name="Normal 7 5 4 2 2 2 2" xfId="13658"/>
    <cellStyle name="Normal 7 5 4 2 2 3" xfId="12889"/>
    <cellStyle name="Normal 7 5 4 2 2 4" xfId="10971"/>
    <cellStyle name="Normal 7 5 4 2 3" xfId="11375"/>
    <cellStyle name="Normal 7 5 4 2 3 2" xfId="13659"/>
    <cellStyle name="Normal 7 5 4 2 4" xfId="12417"/>
    <cellStyle name="Normal 7 5 4 2 5" xfId="10499"/>
    <cellStyle name="Normal 7 5 4 3" xfId="5351"/>
    <cellStyle name="Normal 7 5 4 3 2" xfId="11545"/>
    <cellStyle name="Normal 7 5 4 3 2 2" xfId="13660"/>
    <cellStyle name="Normal 7 5 4 3 3" xfId="12586"/>
    <cellStyle name="Normal 7 5 4 3 4" xfId="10668"/>
    <cellStyle name="Normal 7 5 4 4" xfId="7356"/>
    <cellStyle name="Normal 7 5 4 4 2" xfId="11666"/>
    <cellStyle name="Normal 7 5 4 4 2 2" xfId="13661"/>
    <cellStyle name="Normal 7 5 4 4 3" xfId="12705"/>
    <cellStyle name="Normal 7 5 4 4 4" xfId="10787"/>
    <cellStyle name="Normal 7 5 4 5" xfId="11194"/>
    <cellStyle name="Normal 7 5 4 5 2" xfId="13662"/>
    <cellStyle name="Normal 7 5 4 6" xfId="12226"/>
    <cellStyle name="Normal 7 5 4 7" xfId="10320"/>
    <cellStyle name="Normal 7 5 5" xfId="4341"/>
    <cellStyle name="Normal 7 5 5 2" xfId="8778"/>
    <cellStyle name="Normal 7 5 5 2 2" xfId="11763"/>
    <cellStyle name="Normal 7 5 5 2 2 2" xfId="13663"/>
    <cellStyle name="Normal 7 5 5 2 3" xfId="12801"/>
    <cellStyle name="Normal 7 5 5 2 4" xfId="10883"/>
    <cellStyle name="Normal 7 5 5 3" xfId="11287"/>
    <cellStyle name="Normal 7 5 5 3 2" xfId="13664"/>
    <cellStyle name="Normal 7 5 5 4" xfId="12329"/>
    <cellStyle name="Normal 7 5 5 5" xfId="10411"/>
    <cellStyle name="Normal 7 5 6" xfId="5283"/>
    <cellStyle name="Normal 7 5 6 2" xfId="11519"/>
    <cellStyle name="Normal 7 5 6 2 2" xfId="13665"/>
    <cellStyle name="Normal 7 5 6 3" xfId="12560"/>
    <cellStyle name="Normal 7 5 6 4" xfId="10642"/>
    <cellStyle name="Normal 7 5 7" xfId="8076"/>
    <cellStyle name="Normal 7 5 7 2" xfId="11728"/>
    <cellStyle name="Normal 7 5 7 2 2" xfId="13666"/>
    <cellStyle name="Normal 7 5 7 3" xfId="12766"/>
    <cellStyle name="Normal 7 5 7 4" xfId="10848"/>
    <cellStyle name="Normal 7 5 8" xfId="11107"/>
    <cellStyle name="Normal 7 5 8 2" xfId="13667"/>
    <cellStyle name="Normal 7 5 9" xfId="12172"/>
    <cellStyle name="Normal 70" xfId="7"/>
    <cellStyle name="Normal 71" xfId="12"/>
    <cellStyle name="Normal 72" xfId="9"/>
    <cellStyle name="Normal 73" xfId="11"/>
    <cellStyle name="Normal 74" xfId="13"/>
    <cellStyle name="Normal 75" xfId="17"/>
    <cellStyle name="Normal 76" xfId="1595"/>
    <cellStyle name="Normal 77" xfId="1587"/>
    <cellStyle name="Normal 78" xfId="1779"/>
    <cellStyle name="Normal 79" xfId="1574"/>
    <cellStyle name="Normal 8" xfId="458"/>
    <cellStyle name="Normal 8 2" xfId="459"/>
    <cellStyle name="Normal 8 2 2" xfId="460"/>
    <cellStyle name="Normal 8 2 3" xfId="461"/>
    <cellStyle name="Normal 8 2 3 2" xfId="462"/>
    <cellStyle name="Normal 8 2 3 3" xfId="463"/>
    <cellStyle name="Normal 8 2 4" xfId="464"/>
    <cellStyle name="Normal 80" xfId="10"/>
    <cellStyle name="Normal 81" xfId="1580"/>
    <cellStyle name="Normal 82" xfId="1898"/>
    <cellStyle name="Normal 83" xfId="1777"/>
    <cellStyle name="Normal 84" xfId="1909"/>
    <cellStyle name="Normal 84 2" xfId="2518"/>
    <cellStyle name="Normal 84 2 2" xfId="4561"/>
    <cellStyle name="Normal 84 2 2 2" xfId="8949"/>
    <cellStyle name="Normal 84 2 2 2 2" xfId="11893"/>
    <cellStyle name="Normal 84 2 2 2 2 2" xfId="13668"/>
    <cellStyle name="Normal 84 2 2 2 3" xfId="12931"/>
    <cellStyle name="Normal 84 2 2 2 4" xfId="11013"/>
    <cellStyle name="Normal 84 2 2 3" xfId="11417"/>
    <cellStyle name="Normal 84 2 2 3 2" xfId="13669"/>
    <cellStyle name="Normal 84 2 2 4" xfId="12459"/>
    <cellStyle name="Normal 84 2 2 5" xfId="10541"/>
    <cellStyle name="Normal 84 2 3" xfId="6751"/>
    <cellStyle name="Normal 84 2 3 2" xfId="11609"/>
    <cellStyle name="Normal 84 2 3 2 2" xfId="13670"/>
    <cellStyle name="Normal 84 2 3 3" xfId="12649"/>
    <cellStyle name="Normal 84 2 3 4" xfId="10731"/>
    <cellStyle name="Normal 84 2 4" xfId="11236"/>
    <cellStyle name="Normal 84 2 4 2" xfId="13671"/>
    <cellStyle name="Normal 84 2 5" xfId="12280"/>
    <cellStyle name="Normal 84 2 6" xfId="10362"/>
    <cellStyle name="Normal 84 3" xfId="2623"/>
    <cellStyle name="Normal 84 4" xfId="4384"/>
    <cellStyle name="Normal 84 4 2" xfId="8820"/>
    <cellStyle name="Normal 84 4 2 2" xfId="11805"/>
    <cellStyle name="Normal 84 4 2 2 2" xfId="13672"/>
    <cellStyle name="Normal 84 4 2 3" xfId="12843"/>
    <cellStyle name="Normal 84 4 2 4" xfId="10925"/>
    <cellStyle name="Normal 84 4 3" xfId="11329"/>
    <cellStyle name="Normal 84 4 3 2" xfId="13673"/>
    <cellStyle name="Normal 84 4 4" xfId="12371"/>
    <cellStyle name="Normal 84 4 5" xfId="10453"/>
    <cellStyle name="Normal 84 5" xfId="7976"/>
    <cellStyle name="Normal 84 5 2" xfId="11717"/>
    <cellStyle name="Normal 84 5 2 2" xfId="13674"/>
    <cellStyle name="Normal 84 5 3" xfId="12755"/>
    <cellStyle name="Normal 84 5 4" xfId="10837"/>
    <cellStyle name="Normal 84 6" xfId="11150"/>
    <cellStyle name="Normal 84 6 2" xfId="13675"/>
    <cellStyle name="Normal 84 7" xfId="12162"/>
    <cellStyle name="Normal 84 8" xfId="10277"/>
    <cellStyle name="Normal 85" xfId="2042"/>
    <cellStyle name="Normal 85 2" xfId="2536"/>
    <cellStyle name="Normal 85 2 2" xfId="4579"/>
    <cellStyle name="Normal 85 2 2 2" xfId="8967"/>
    <cellStyle name="Normal 85 2 2 2 2" xfId="11911"/>
    <cellStyle name="Normal 85 2 2 2 2 2" xfId="13676"/>
    <cellStyle name="Normal 85 2 2 2 3" xfId="12949"/>
    <cellStyle name="Normal 85 2 2 2 4" xfId="11031"/>
    <cellStyle name="Normal 85 2 2 3" xfId="11435"/>
    <cellStyle name="Normal 85 2 2 3 2" xfId="13677"/>
    <cellStyle name="Normal 85 2 2 4" xfId="12477"/>
    <cellStyle name="Normal 85 2 2 5" xfId="10559"/>
    <cellStyle name="Normal 85 2 3" xfId="8209"/>
    <cellStyle name="Normal 85 2 3 2" xfId="11743"/>
    <cellStyle name="Normal 85 2 3 2 2" xfId="13678"/>
    <cellStyle name="Normal 85 2 3 3" xfId="12781"/>
    <cellStyle name="Normal 85 2 3 4" xfId="10863"/>
    <cellStyle name="Normal 85 2 4" xfId="11254"/>
    <cellStyle name="Normal 85 2 4 2" xfId="13679"/>
    <cellStyle name="Normal 85 2 5" xfId="12298"/>
    <cellStyle name="Normal 85 2 6" xfId="10380"/>
    <cellStyle name="Normal 85 3" xfId="2724"/>
    <cellStyle name="Normal 85 4" xfId="4402"/>
    <cellStyle name="Normal 85 4 2" xfId="8838"/>
    <cellStyle name="Normal 85 4 2 2" xfId="11823"/>
    <cellStyle name="Normal 85 4 2 2 2" xfId="13680"/>
    <cellStyle name="Normal 85 4 2 3" xfId="12861"/>
    <cellStyle name="Normal 85 4 2 4" xfId="10943"/>
    <cellStyle name="Normal 85 4 3" xfId="11347"/>
    <cellStyle name="Normal 85 4 3 2" xfId="13681"/>
    <cellStyle name="Normal 85 4 4" xfId="12389"/>
    <cellStyle name="Normal 85 4 5" xfId="10471"/>
    <cellStyle name="Normal 85 5" xfId="6678"/>
    <cellStyle name="Normal 85 5 2" xfId="11598"/>
    <cellStyle name="Normal 85 5 2 2" xfId="13682"/>
    <cellStyle name="Normal 85 5 3" xfId="12638"/>
    <cellStyle name="Normal 85 5 4" xfId="10720"/>
    <cellStyle name="Normal 85 6" xfId="11168"/>
    <cellStyle name="Normal 85 6 2" xfId="13683"/>
    <cellStyle name="Normal 85 7" xfId="12178"/>
    <cellStyle name="Normal 85 8" xfId="10295"/>
    <cellStyle name="Normal 86" xfId="2091"/>
    <cellStyle name="Normal 86 2" xfId="2542"/>
    <cellStyle name="Normal 86 2 2" xfId="4585"/>
    <cellStyle name="Normal 86 2 2 2" xfId="8973"/>
    <cellStyle name="Normal 86 2 2 2 2" xfId="11917"/>
    <cellStyle name="Normal 86 2 2 2 2 2" xfId="13684"/>
    <cellStyle name="Normal 86 2 2 2 3" xfId="12955"/>
    <cellStyle name="Normal 86 2 2 2 4" xfId="11037"/>
    <cellStyle name="Normal 86 2 2 3" xfId="11441"/>
    <cellStyle name="Normal 86 2 2 3 2" xfId="13685"/>
    <cellStyle name="Normal 86 2 2 4" xfId="12483"/>
    <cellStyle name="Normal 86 2 2 5" xfId="10565"/>
    <cellStyle name="Normal 86 2 3" xfId="6796"/>
    <cellStyle name="Normal 86 2 3 2" xfId="11615"/>
    <cellStyle name="Normal 86 2 3 2 2" xfId="13686"/>
    <cellStyle name="Normal 86 2 3 3" xfId="12655"/>
    <cellStyle name="Normal 86 2 3 4" xfId="10737"/>
    <cellStyle name="Normal 86 2 4" xfId="11260"/>
    <cellStyle name="Normal 86 2 4 2" xfId="13687"/>
    <cellStyle name="Normal 86 2 5" xfId="12304"/>
    <cellStyle name="Normal 86 2 6" xfId="10386"/>
    <cellStyle name="Normal 86 3" xfId="2720"/>
    <cellStyle name="Normal 86 4" xfId="4409"/>
    <cellStyle name="Normal 86 4 2" xfId="8845"/>
    <cellStyle name="Normal 86 4 2 2" xfId="11830"/>
    <cellStyle name="Normal 86 4 2 2 2" xfId="13688"/>
    <cellStyle name="Normal 86 4 2 3" xfId="12868"/>
    <cellStyle name="Normal 86 4 2 4" xfId="10950"/>
    <cellStyle name="Normal 86 4 3" xfId="11354"/>
    <cellStyle name="Normal 86 4 3 2" xfId="13689"/>
    <cellStyle name="Normal 86 4 4" xfId="12396"/>
    <cellStyle name="Normal 86 4 5" xfId="10478"/>
    <cellStyle name="Normal 86 5" xfId="6402"/>
    <cellStyle name="Normal 86 5 2" xfId="11577"/>
    <cellStyle name="Normal 86 5 2 2" xfId="13690"/>
    <cellStyle name="Normal 86 5 3" xfId="12617"/>
    <cellStyle name="Normal 86 5 4" xfId="10699"/>
    <cellStyle name="Normal 86 6" xfId="11174"/>
    <cellStyle name="Normal 86 6 2" xfId="13691"/>
    <cellStyle name="Normal 86 7" xfId="12152"/>
    <cellStyle name="Normal 86 8" xfId="10300"/>
    <cellStyle name="Normal 87" xfId="2090"/>
    <cellStyle name="Normal 87 2" xfId="2541"/>
    <cellStyle name="Normal 87 2 2" xfId="4584"/>
    <cellStyle name="Normal 87 2 2 2" xfId="8972"/>
    <cellStyle name="Normal 87 2 2 2 2" xfId="11916"/>
    <cellStyle name="Normal 87 2 2 2 2 2" xfId="13692"/>
    <cellStyle name="Normal 87 2 2 2 3" xfId="12954"/>
    <cellStyle name="Normal 87 2 2 2 4" xfId="11036"/>
    <cellStyle name="Normal 87 2 2 3" xfId="11440"/>
    <cellStyle name="Normal 87 2 2 3 2" xfId="13693"/>
    <cellStyle name="Normal 87 2 2 4" xfId="12482"/>
    <cellStyle name="Normal 87 2 2 5" xfId="10564"/>
    <cellStyle name="Normal 87 2 3" xfId="8192"/>
    <cellStyle name="Normal 87 2 3 2" xfId="11741"/>
    <cellStyle name="Normal 87 2 3 2 2" xfId="13694"/>
    <cellStyle name="Normal 87 2 3 3" xfId="12779"/>
    <cellStyle name="Normal 87 2 3 4" xfId="10861"/>
    <cellStyle name="Normal 87 2 4" xfId="11259"/>
    <cellStyle name="Normal 87 2 4 2" xfId="13695"/>
    <cellStyle name="Normal 87 2 5" xfId="12303"/>
    <cellStyle name="Normal 87 2 6" xfId="10385"/>
    <cellStyle name="Normal 87 3" xfId="2732"/>
    <cellStyle name="Normal 87 4" xfId="4408"/>
    <cellStyle name="Normal 87 4 2" xfId="8844"/>
    <cellStyle name="Normal 87 4 2 2" xfId="11829"/>
    <cellStyle name="Normal 87 4 2 2 2" xfId="13696"/>
    <cellStyle name="Normal 87 4 2 3" xfId="12867"/>
    <cellStyle name="Normal 87 4 2 4" xfId="10949"/>
    <cellStyle name="Normal 87 4 3" xfId="11353"/>
    <cellStyle name="Normal 87 4 3 2" xfId="13697"/>
    <cellStyle name="Normal 87 4 4" xfId="12395"/>
    <cellStyle name="Normal 87 4 5" xfId="10477"/>
    <cellStyle name="Normal 87 5" xfId="7138"/>
    <cellStyle name="Normal 87 5 2" xfId="11651"/>
    <cellStyle name="Normal 87 5 2 2" xfId="13698"/>
    <cellStyle name="Normal 87 5 3" xfId="12690"/>
    <cellStyle name="Normal 87 5 4" xfId="10772"/>
    <cellStyle name="Normal 87 6" xfId="11173"/>
    <cellStyle name="Normal 87 6 2" xfId="13699"/>
    <cellStyle name="Normal 87 7" xfId="12151"/>
    <cellStyle name="Normal 87 8" xfId="10299"/>
    <cellStyle name="Normal 88" xfId="26"/>
    <cellStyle name="Normal 89" xfId="2370"/>
    <cellStyle name="Normal 89 2" xfId="3517"/>
    <cellStyle name="Normal 89 2 2" xfId="6471"/>
    <cellStyle name="Normal 89 2 2 2" xfId="11585"/>
    <cellStyle name="Normal 89 2 2 2 2" xfId="13700"/>
    <cellStyle name="Normal 89 2 2 3" xfId="12625"/>
    <cellStyle name="Normal 89 2 2 4" xfId="10707"/>
    <cellStyle name="Normal 89 2 3" xfId="11262"/>
    <cellStyle name="Normal 89 2 3 2" xfId="13701"/>
    <cellStyle name="Normal 89 2 4" xfId="12305"/>
    <cellStyle name="Normal 89 2 5" xfId="10387"/>
    <cellStyle name="Normal 89 3" xfId="2746"/>
    <cellStyle name="Normal 89 4" xfId="4500"/>
    <cellStyle name="Normal 89 4 2" xfId="8888"/>
    <cellStyle name="Normal 89 4 2 2" xfId="11832"/>
    <cellStyle name="Normal 89 4 2 2 2" xfId="13702"/>
    <cellStyle name="Normal 89 4 2 3" xfId="12870"/>
    <cellStyle name="Normal 89 4 2 4" xfId="10952"/>
    <cellStyle name="Normal 89 4 3" xfId="11356"/>
    <cellStyle name="Normal 89 4 3 2" xfId="13703"/>
    <cellStyle name="Normal 89 4 4" xfId="12398"/>
    <cellStyle name="Normal 89 4 5" xfId="10480"/>
    <cellStyle name="Normal 89 5" xfId="7329"/>
    <cellStyle name="Normal 89 5 2" xfId="11662"/>
    <cellStyle name="Normal 89 5 2 2" xfId="13704"/>
    <cellStyle name="Normal 89 5 3" xfId="12701"/>
    <cellStyle name="Normal 89 5 4" xfId="10783"/>
    <cellStyle name="Normal 89 6" xfId="11175"/>
    <cellStyle name="Normal 89 6 2" xfId="13705"/>
    <cellStyle name="Normal 89 7" xfId="12267"/>
    <cellStyle name="Normal 89 8" xfId="10301"/>
    <cellStyle name="Normal 9" xfId="465"/>
    <cellStyle name="Normal 9 2" xfId="466"/>
    <cellStyle name="Normal 90" xfId="2389"/>
    <cellStyle name="Normal 90 2" xfId="3520"/>
    <cellStyle name="Normal 90 2 2" xfId="8050"/>
    <cellStyle name="Normal 90 2 2 2" xfId="11726"/>
    <cellStyle name="Normal 90 2 2 2 2" xfId="13706"/>
    <cellStyle name="Normal 90 2 2 3" xfId="12764"/>
    <cellStyle name="Normal 90 2 2 4" xfId="10846"/>
    <cellStyle name="Normal 90 2 3" xfId="11265"/>
    <cellStyle name="Normal 90 2 3 2" xfId="13707"/>
    <cellStyle name="Normal 90 2 4" xfId="12308"/>
    <cellStyle name="Normal 90 2 5" xfId="10390"/>
    <cellStyle name="Normal 90 3" xfId="2713"/>
    <cellStyle name="Normal 90 4" xfId="4503"/>
    <cellStyle name="Normal 90 4 2" xfId="8891"/>
    <cellStyle name="Normal 90 4 2 2" xfId="11835"/>
    <cellStyle name="Normal 90 4 2 2 2" xfId="13708"/>
    <cellStyle name="Normal 90 4 2 3" xfId="12873"/>
    <cellStyle name="Normal 90 4 2 4" xfId="10955"/>
    <cellStyle name="Normal 90 4 3" xfId="11359"/>
    <cellStyle name="Normal 90 4 3 2" xfId="13709"/>
    <cellStyle name="Normal 90 4 4" xfId="12401"/>
    <cellStyle name="Normal 90 4 5" xfId="10483"/>
    <cellStyle name="Normal 90 5" xfId="7140"/>
    <cellStyle name="Normal 90 5 2" xfId="11652"/>
    <cellStyle name="Normal 90 5 2 2" xfId="13710"/>
    <cellStyle name="Normal 90 5 3" xfId="12691"/>
    <cellStyle name="Normal 90 5 4" xfId="10773"/>
    <cellStyle name="Normal 90 6" xfId="11178"/>
    <cellStyle name="Normal 90 6 2" xfId="13711"/>
    <cellStyle name="Normal 90 7" xfId="12270"/>
    <cellStyle name="Normal 90 8" xfId="10304"/>
    <cellStyle name="Normal 91" xfId="2156"/>
    <cellStyle name="Normal 92" xfId="2139"/>
    <cellStyle name="Normal 93" xfId="2729"/>
    <cellStyle name="Normal 94" xfId="2748"/>
    <cellStyle name="Normal 95" xfId="2743"/>
    <cellStyle name="Normal 96" xfId="2714"/>
    <cellStyle name="Normal 97" xfId="2736"/>
    <cellStyle name="Normal 98" xfId="2751"/>
    <cellStyle name="Normal 99" xfId="2754"/>
    <cellStyle name="Normal_051020 Meter tariff approval model" xfId="2"/>
    <cellStyle name="Normal_Audit template" xfId="18"/>
    <cellStyle name="Normal_CP Templates 260209 am" xfId="20"/>
    <cellStyle name="Normal_JEM 2011 Tariff Approval mr check v2.0 test code v1.2" xfId="16"/>
    <cellStyle name="Note 2" xfId="467"/>
    <cellStyle name="Note 2 2" xfId="468"/>
    <cellStyle name="Note 2 2 2" xfId="1131"/>
    <cellStyle name="Note 2 2 3" xfId="1997"/>
    <cellStyle name="Note 2 3" xfId="469"/>
    <cellStyle name="Note 2 3 2" xfId="1132"/>
    <cellStyle name="Note 2 4" xfId="1133"/>
    <cellStyle name="Note 2 5" xfId="1134"/>
    <cellStyle name="Note 2 6" xfId="1996"/>
    <cellStyle name="Note 2 6 2" xfId="2534"/>
    <cellStyle name="Note 2 6 2 2" xfId="4577"/>
    <cellStyle name="Note 2 6 2 2 2" xfId="8965"/>
    <cellStyle name="Note 2 6 2 2 2 2" xfId="11909"/>
    <cellStyle name="Note 2 6 2 2 2 2 2" xfId="13712"/>
    <cellStyle name="Note 2 6 2 2 2 3" xfId="12947"/>
    <cellStyle name="Note 2 6 2 2 2 4" xfId="11029"/>
    <cellStyle name="Note 2 6 2 2 3" xfId="11433"/>
    <cellStyle name="Note 2 6 2 2 3 2" xfId="13713"/>
    <cellStyle name="Note 2 6 2 2 4" xfId="12475"/>
    <cellStyle name="Note 2 6 2 2 5" xfId="10557"/>
    <cellStyle name="Note 2 6 2 3" xfId="7710"/>
    <cellStyle name="Note 2 6 2 3 2" xfId="11696"/>
    <cellStyle name="Note 2 6 2 3 2 2" xfId="13714"/>
    <cellStyle name="Note 2 6 2 3 3" xfId="12734"/>
    <cellStyle name="Note 2 6 2 3 4" xfId="10816"/>
    <cellStyle name="Note 2 6 2 4" xfId="11252"/>
    <cellStyle name="Note 2 6 2 4 2" xfId="13715"/>
    <cellStyle name="Note 2 6 2 5" xfId="12296"/>
    <cellStyle name="Note 2 6 2 6" xfId="10378"/>
    <cellStyle name="Note 2 6 3" xfId="4400"/>
    <cellStyle name="Note 2 6 3 2" xfId="8836"/>
    <cellStyle name="Note 2 6 3 2 2" xfId="11821"/>
    <cellStyle name="Note 2 6 3 2 2 2" xfId="13716"/>
    <cellStyle name="Note 2 6 3 2 3" xfId="12859"/>
    <cellStyle name="Note 2 6 3 2 4" xfId="10941"/>
    <cellStyle name="Note 2 6 3 3" xfId="11345"/>
    <cellStyle name="Note 2 6 3 3 2" xfId="13717"/>
    <cellStyle name="Note 2 6 3 4" xfId="12387"/>
    <cellStyle name="Note 2 6 3 5" xfId="10469"/>
    <cellStyle name="Note 2 6 4" xfId="6726"/>
    <cellStyle name="Note 2 6 4 2" xfId="11605"/>
    <cellStyle name="Note 2 6 4 2 2" xfId="13718"/>
    <cellStyle name="Note 2 6 4 3" xfId="12645"/>
    <cellStyle name="Note 2 6 4 4" xfId="10727"/>
    <cellStyle name="Note 2 6 5" xfId="11166"/>
    <cellStyle name="Note 2 6 5 2" xfId="13719"/>
    <cellStyle name="Note 2 6 6" xfId="12148"/>
    <cellStyle name="Note 2 6 7" xfId="10293"/>
    <cellStyle name="Note 3" xfId="470"/>
    <cellStyle name="Note 3 2" xfId="471"/>
    <cellStyle name="Note 3 2 2" xfId="1135"/>
    <cellStyle name="Note 3 3" xfId="472"/>
    <cellStyle name="Note 3 3 2" xfId="1136"/>
    <cellStyle name="Note 3 4" xfId="1137"/>
    <cellStyle name="Note 3 5" xfId="1138"/>
    <cellStyle name="Note 3 6" xfId="2082"/>
    <cellStyle name="Note 4" xfId="473"/>
    <cellStyle name="Note 4 2" xfId="474"/>
    <cellStyle name="Note 4 2 2" xfId="1139"/>
    <cellStyle name="Note 4 3" xfId="475"/>
    <cellStyle name="Note 4 3 2" xfId="1140"/>
    <cellStyle name="Note 4 4" xfId="1141"/>
    <cellStyle name="Note 4 5" xfId="1142"/>
    <cellStyle name="Note 5" xfId="1143"/>
    <cellStyle name="Note 5 2" xfId="1647"/>
    <cellStyle name="Note 5 3" xfId="1881"/>
    <cellStyle name="Note 6" xfId="1144"/>
    <cellStyle name="Note 7" xfId="1145"/>
    <cellStyle name="Note 8" xfId="1146"/>
    <cellStyle name="Output 2" xfId="476"/>
    <cellStyle name="Output 2 2" xfId="477"/>
    <cellStyle name="Output 2 2 2" xfId="1147"/>
    <cellStyle name="Output 2 2 3" xfId="1999"/>
    <cellStyle name="Output 2 3" xfId="478"/>
    <cellStyle name="Output 2 3 2" xfId="1148"/>
    <cellStyle name="Output 2 4" xfId="1149"/>
    <cellStyle name="Output 2 5" xfId="1150"/>
    <cellStyle name="Output 2 6" xfId="1998"/>
    <cellStyle name="Output 3" xfId="1151"/>
    <cellStyle name="Output 3 2" xfId="2083"/>
    <cellStyle name="Output 4" xfId="1152"/>
    <cellStyle name="Output 5" xfId="1153"/>
    <cellStyle name="Output 6" xfId="1154"/>
    <cellStyle name="Percent" xfId="6" builtinId="5"/>
    <cellStyle name="Percent [2]" xfId="479"/>
    <cellStyle name="Percent [2] 2" xfId="480"/>
    <cellStyle name="Percent [2]_29(d) - Gas extensions -tariffs" xfId="481"/>
    <cellStyle name="Percent 10" xfId="482"/>
    <cellStyle name="Percent 100" xfId="9767"/>
    <cellStyle name="Percent 100 2" xfId="11921"/>
    <cellStyle name="Percent 100 2 2" xfId="13720"/>
    <cellStyle name="Percent 100 3" xfId="12958"/>
    <cellStyle name="Percent 100 4" xfId="11040"/>
    <cellStyle name="Percent 101" xfId="7506"/>
    <cellStyle name="Percent 101 2" xfId="11679"/>
    <cellStyle name="Percent 101 2 2" xfId="13721"/>
    <cellStyle name="Percent 101 3" xfId="12718"/>
    <cellStyle name="Percent 101 4" xfId="10800"/>
    <cellStyle name="Percent 102" xfId="7734"/>
    <cellStyle name="Percent 103" xfId="7056"/>
    <cellStyle name="Percent 104" xfId="10130"/>
    <cellStyle name="Percent 104 2" xfId="11925"/>
    <cellStyle name="Percent 104 3" xfId="13722"/>
    <cellStyle name="Percent 104 4" xfId="10220"/>
    <cellStyle name="Percent 105" xfId="10195"/>
    <cellStyle name="Percent 105 2" xfId="11929"/>
    <cellStyle name="Percent 105 3" xfId="13723"/>
    <cellStyle name="Percent 105 4" xfId="11043"/>
    <cellStyle name="Percent 106" xfId="10198"/>
    <cellStyle name="Percent 106 2" xfId="11928"/>
    <cellStyle name="Percent 106 3" xfId="13724"/>
    <cellStyle name="Percent 106 4" xfId="11047"/>
    <cellStyle name="Percent 107" xfId="27"/>
    <cellStyle name="Percent 107 2" xfId="13725"/>
    <cellStyle name="Percent 107 3" xfId="11084"/>
    <cellStyle name="Percent 108" xfId="10201"/>
    <cellStyle name="Percent 108 2" xfId="13726"/>
    <cellStyle name="Percent 108 3" xfId="11051"/>
    <cellStyle name="Percent 109" xfId="10205"/>
    <cellStyle name="Percent 109 2" xfId="13727"/>
    <cellStyle name="Percent 109 3" xfId="11078"/>
    <cellStyle name="Percent 11" xfId="483"/>
    <cellStyle name="Percent 110" xfId="11050"/>
    <cellStyle name="Percent 110 2" xfId="13728"/>
    <cellStyle name="Percent 111" xfId="11067"/>
    <cellStyle name="Percent 111 2" xfId="13729"/>
    <cellStyle name="Percent 112" xfId="11080"/>
    <cellStyle name="Percent 112 2" xfId="13730"/>
    <cellStyle name="Percent 113" xfId="11087"/>
    <cellStyle name="Percent 113 2" xfId="13731"/>
    <cellStyle name="Percent 114" xfId="11069"/>
    <cellStyle name="Percent 114 2" xfId="13732"/>
    <cellStyle name="Percent 115" xfId="11085"/>
    <cellStyle name="Percent 115 2" xfId="13733"/>
    <cellStyle name="Percent 116" xfId="11060"/>
    <cellStyle name="Percent 116 2" xfId="13734"/>
    <cellStyle name="Percent 117" xfId="11046"/>
    <cellStyle name="Percent 117 2" xfId="13735"/>
    <cellStyle name="Percent 118" xfId="11062"/>
    <cellStyle name="Percent 118 2" xfId="13736"/>
    <cellStyle name="Percent 119" xfId="11077"/>
    <cellStyle name="Percent 119 2" xfId="13737"/>
    <cellStyle name="Percent 12" xfId="484"/>
    <cellStyle name="Percent 12 2" xfId="485"/>
    <cellStyle name="Percent 12 2 2" xfId="486"/>
    <cellStyle name="Percent 12 3" xfId="487"/>
    <cellStyle name="Percent 12 4" xfId="488"/>
    <cellStyle name="Percent 120" xfId="11061"/>
    <cellStyle name="Percent 120 2" xfId="13738"/>
    <cellStyle name="Percent 121" xfId="11089"/>
    <cellStyle name="Percent 121 2" xfId="13739"/>
    <cellStyle name="Percent 122" xfId="11169"/>
    <cellStyle name="Percent 122 2" xfId="13740"/>
    <cellStyle name="Percent 123" xfId="11268"/>
    <cellStyle name="Percent 123 2" xfId="13741"/>
    <cellStyle name="Percent 124" xfId="11919"/>
    <cellStyle name="Percent 124 2" xfId="13742"/>
    <cellStyle name="Percent 125" xfId="11694"/>
    <cellStyle name="Percent 125 2" xfId="13743"/>
    <cellStyle name="Percent 126" xfId="11940"/>
    <cellStyle name="Percent 127" xfId="11950"/>
    <cellStyle name="Percent 128" xfId="12076"/>
    <cellStyle name="Percent 129" xfId="12080"/>
    <cellStyle name="Percent 13" xfId="1155"/>
    <cellStyle name="Percent 130" xfId="11945"/>
    <cellStyle name="Percent 131" xfId="11972"/>
    <cellStyle name="Percent 132" xfId="12064"/>
    <cellStyle name="Percent 133" xfId="12075"/>
    <cellStyle name="Percent 134" xfId="12073"/>
    <cellStyle name="Percent 135" xfId="12063"/>
    <cellStyle name="Percent 136" xfId="12069"/>
    <cellStyle name="Percent 137" xfId="12068"/>
    <cellStyle name="Percent 138" xfId="12078"/>
    <cellStyle name="Percent 139" xfId="11967"/>
    <cellStyle name="Percent 14" xfId="1156"/>
    <cellStyle name="Percent 140" xfId="12060"/>
    <cellStyle name="Percent 141" xfId="10212"/>
    <cellStyle name="Percent 141 2" xfId="12154"/>
    <cellStyle name="Percent 142" xfId="10214"/>
    <cellStyle name="Percent 143" xfId="12091"/>
    <cellStyle name="Percent 144" xfId="12105"/>
    <cellStyle name="Percent 145" xfId="12141"/>
    <cellStyle name="Percent 146" xfId="12110"/>
    <cellStyle name="Percent 147" xfId="12128"/>
    <cellStyle name="Percent 148" xfId="12104"/>
    <cellStyle name="Percent 149" xfId="12092"/>
    <cellStyle name="Percent 15" xfId="1157"/>
    <cellStyle name="Percent 15 2" xfId="1679"/>
    <cellStyle name="Percent 15 3" xfId="1882"/>
    <cellStyle name="Percent 150" xfId="12103"/>
    <cellStyle name="Percent 151" xfId="12134"/>
    <cellStyle name="Percent 152" xfId="12119"/>
    <cellStyle name="Percent 153" xfId="12084"/>
    <cellStyle name="Percent 154" xfId="12095"/>
    <cellStyle name="Percent 155" xfId="12117"/>
    <cellStyle name="Percent 156" xfId="12114"/>
    <cellStyle name="Percent 157" xfId="12088"/>
    <cellStyle name="Percent 158" xfId="12087"/>
    <cellStyle name="Percent 159" xfId="12131"/>
    <cellStyle name="Percent 16" xfId="1158"/>
    <cellStyle name="Percent 16 2" xfId="1684"/>
    <cellStyle name="Percent 16 3" xfId="1883"/>
    <cellStyle name="Percent 160" xfId="12120"/>
    <cellStyle name="Percent 161" xfId="12113"/>
    <cellStyle name="Percent 162" xfId="12123"/>
    <cellStyle name="Percent 163" xfId="12137"/>
    <cellStyle name="Percent 164" xfId="12112"/>
    <cellStyle name="Percent 165" xfId="13855"/>
    <cellStyle name="Percent 166" xfId="10207"/>
    <cellStyle name="Percent 167" xfId="13860"/>
    <cellStyle name="Percent 168" xfId="13974"/>
    <cellStyle name="Percent 169" xfId="13979"/>
    <cellStyle name="Percent 17" xfId="1559"/>
    <cellStyle name="Percent 17 10" xfId="10240"/>
    <cellStyle name="Percent 17 2" xfId="1691"/>
    <cellStyle name="Percent 17 2 2" xfId="11937"/>
    <cellStyle name="Percent 17 2 2 2" xfId="13744"/>
    <cellStyle name="Percent 17 3" xfId="1890"/>
    <cellStyle name="Percent 17 3 2" xfId="2505"/>
    <cellStyle name="Percent 17 3 2 2" xfId="4557"/>
    <cellStyle name="Percent 17 3 2 2 2" xfId="8945"/>
    <cellStyle name="Percent 17 3 2 2 2 2" xfId="11889"/>
    <cellStyle name="Percent 17 3 2 2 2 2 2" xfId="13745"/>
    <cellStyle name="Percent 17 3 2 2 2 3" xfId="12927"/>
    <cellStyle name="Percent 17 3 2 2 2 4" xfId="11009"/>
    <cellStyle name="Percent 17 3 2 2 3" xfId="11413"/>
    <cellStyle name="Percent 17 3 2 2 3 2" xfId="13746"/>
    <cellStyle name="Percent 17 3 2 2 4" xfId="12455"/>
    <cellStyle name="Percent 17 3 2 2 5" xfId="10537"/>
    <cellStyle name="Percent 17 3 2 3" xfId="5329"/>
    <cellStyle name="Percent 17 3 2 3 2" xfId="11537"/>
    <cellStyle name="Percent 17 3 2 3 2 2" xfId="13747"/>
    <cellStyle name="Percent 17 3 2 3 3" xfId="12578"/>
    <cellStyle name="Percent 17 3 2 3 4" xfId="10660"/>
    <cellStyle name="Percent 17 3 2 4" xfId="7208"/>
    <cellStyle name="Percent 17 3 2 4 2" xfId="11655"/>
    <cellStyle name="Percent 17 3 2 4 2 2" xfId="13748"/>
    <cellStyle name="Percent 17 3 2 4 3" xfId="12694"/>
    <cellStyle name="Percent 17 3 2 4 4" xfId="10776"/>
    <cellStyle name="Percent 17 3 2 5" xfId="11232"/>
    <cellStyle name="Percent 17 3 2 5 2" xfId="13749"/>
    <cellStyle name="Percent 17 3 2 6" xfId="12263"/>
    <cellStyle name="Percent 17 3 2 7" xfId="10358"/>
    <cellStyle name="Percent 17 3 3" xfId="4380"/>
    <cellStyle name="Percent 17 3 3 2" xfId="8816"/>
    <cellStyle name="Percent 17 3 3 2 2" xfId="11801"/>
    <cellStyle name="Percent 17 3 3 2 2 2" xfId="13750"/>
    <cellStyle name="Percent 17 3 3 2 3" xfId="12839"/>
    <cellStyle name="Percent 17 3 3 2 4" xfId="10921"/>
    <cellStyle name="Percent 17 3 3 3" xfId="11325"/>
    <cellStyle name="Percent 17 3 3 3 2" xfId="13751"/>
    <cellStyle name="Percent 17 3 3 4" xfId="12367"/>
    <cellStyle name="Percent 17 3 3 5" xfId="10449"/>
    <cellStyle name="Percent 17 3 4" xfId="5303"/>
    <cellStyle name="Percent 17 3 4 2" xfId="11526"/>
    <cellStyle name="Percent 17 3 4 2 2" xfId="13752"/>
    <cellStyle name="Percent 17 3 4 3" xfId="12567"/>
    <cellStyle name="Percent 17 3 4 4" xfId="10649"/>
    <cellStyle name="Percent 17 3 5" xfId="7039"/>
    <cellStyle name="Percent 17 3 5 2" xfId="11637"/>
    <cellStyle name="Percent 17 3 5 2 2" xfId="13753"/>
    <cellStyle name="Percent 17 3 5 3" xfId="12676"/>
    <cellStyle name="Percent 17 3 5 4" xfId="10758"/>
    <cellStyle name="Percent 17 3 6" xfId="11146"/>
    <cellStyle name="Percent 17 3 6 2" xfId="13754"/>
    <cellStyle name="Percent 17 3 7" xfId="12198"/>
    <cellStyle name="Percent 17 3 8" xfId="10273"/>
    <cellStyle name="Percent 17 4" xfId="2423"/>
    <cellStyle name="Percent 17 4 2" xfId="4524"/>
    <cellStyle name="Percent 17 4 2 2" xfId="8912"/>
    <cellStyle name="Percent 17 4 2 2 2" xfId="11856"/>
    <cellStyle name="Percent 17 4 2 2 2 2" xfId="13755"/>
    <cellStyle name="Percent 17 4 2 2 3" xfId="12894"/>
    <cellStyle name="Percent 17 4 2 2 4" xfId="10976"/>
    <cellStyle name="Percent 17 4 2 3" xfId="11380"/>
    <cellStyle name="Percent 17 4 2 3 2" xfId="13756"/>
    <cellStyle name="Percent 17 4 2 4" xfId="12422"/>
    <cellStyle name="Percent 17 4 2 5" xfId="10504"/>
    <cellStyle name="Percent 17 4 3" xfId="5173"/>
    <cellStyle name="Percent 17 4 3 2" xfId="11475"/>
    <cellStyle name="Percent 17 4 3 2 2" xfId="13757"/>
    <cellStyle name="Percent 17 4 3 3" xfId="12516"/>
    <cellStyle name="Percent 17 4 3 4" xfId="10598"/>
    <cellStyle name="Percent 17 4 4" xfId="7910"/>
    <cellStyle name="Percent 17 4 4 2" xfId="11712"/>
    <cellStyle name="Percent 17 4 4 2 2" xfId="13758"/>
    <cellStyle name="Percent 17 4 4 3" xfId="12750"/>
    <cellStyle name="Percent 17 4 4 4" xfId="10832"/>
    <cellStyle name="Percent 17 4 5" xfId="11199"/>
    <cellStyle name="Percent 17 4 5 2" xfId="13759"/>
    <cellStyle name="Percent 17 4 6" xfId="12230"/>
    <cellStyle name="Percent 17 4 7" xfId="10325"/>
    <cellStyle name="Percent 17 5" xfId="4347"/>
    <cellStyle name="Percent 17 5 2" xfId="8783"/>
    <cellStyle name="Percent 17 5 2 2" xfId="11768"/>
    <cellStyle name="Percent 17 5 2 2 2" xfId="13760"/>
    <cellStyle name="Percent 17 5 2 3" xfId="12806"/>
    <cellStyle name="Percent 17 5 2 4" xfId="10888"/>
    <cellStyle name="Percent 17 5 3" xfId="11292"/>
    <cellStyle name="Percent 17 5 3 2" xfId="13761"/>
    <cellStyle name="Percent 17 5 4" xfId="12334"/>
    <cellStyle name="Percent 17 5 5" xfId="10416"/>
    <cellStyle name="Percent 17 6" xfId="5102"/>
    <cellStyle name="Percent 17 6 2" xfId="11445"/>
    <cellStyle name="Percent 17 6 2 2" xfId="13762"/>
    <cellStyle name="Percent 17 6 3" xfId="12486"/>
    <cellStyle name="Percent 17 6 4" xfId="10568"/>
    <cellStyle name="Percent 17 7" xfId="6997"/>
    <cellStyle name="Percent 17 7 2" xfId="11633"/>
    <cellStyle name="Percent 17 7 2 2" xfId="13763"/>
    <cellStyle name="Percent 17 7 3" xfId="12672"/>
    <cellStyle name="Percent 17 7 4" xfId="10754"/>
    <cellStyle name="Percent 17 8" xfId="11113"/>
    <cellStyle name="Percent 17 8 2" xfId="13764"/>
    <cellStyle name="Percent 17 9" xfId="13765"/>
    <cellStyle name="Percent 170" xfId="13976"/>
    <cellStyle name="Percent 171" xfId="13866"/>
    <cellStyle name="Percent 172" xfId="13862"/>
    <cellStyle name="Percent 173" xfId="13980"/>
    <cellStyle name="Percent 174" xfId="14082"/>
    <cellStyle name="Percent 175" xfId="13886"/>
    <cellStyle name="Percent 176" xfId="13884"/>
    <cellStyle name="Percent 18" xfId="1562"/>
    <cellStyle name="Percent 18 10" xfId="10242"/>
    <cellStyle name="Percent 18 2" xfId="1694"/>
    <cellStyle name="Percent 18 2 2" xfId="11938"/>
    <cellStyle name="Percent 18 2 2 2" xfId="13766"/>
    <cellStyle name="Percent 18 3" xfId="1892"/>
    <cellStyle name="Percent 18 3 2" xfId="2507"/>
    <cellStyle name="Percent 18 3 2 2" xfId="4559"/>
    <cellStyle name="Percent 18 3 2 2 2" xfId="8947"/>
    <cellStyle name="Percent 18 3 2 2 2 2" xfId="11891"/>
    <cellStyle name="Percent 18 3 2 2 2 2 2" xfId="13767"/>
    <cellStyle name="Percent 18 3 2 2 2 3" xfId="12929"/>
    <cellStyle name="Percent 18 3 2 2 2 4" xfId="11011"/>
    <cellStyle name="Percent 18 3 2 2 3" xfId="11415"/>
    <cellStyle name="Percent 18 3 2 2 3 2" xfId="13768"/>
    <cellStyle name="Percent 18 3 2 2 4" xfId="12457"/>
    <cellStyle name="Percent 18 3 2 2 5" xfId="10539"/>
    <cellStyle name="Percent 18 3 2 3" xfId="5282"/>
    <cellStyle name="Percent 18 3 2 3 2" xfId="11518"/>
    <cellStyle name="Percent 18 3 2 3 2 2" xfId="13769"/>
    <cellStyle name="Percent 18 3 2 3 3" xfId="12559"/>
    <cellStyle name="Percent 18 3 2 3 4" xfId="10641"/>
    <cellStyle name="Percent 18 3 2 4" xfId="8217"/>
    <cellStyle name="Percent 18 3 2 4 2" xfId="11744"/>
    <cellStyle name="Percent 18 3 2 4 2 2" xfId="13770"/>
    <cellStyle name="Percent 18 3 2 4 3" xfId="12782"/>
    <cellStyle name="Percent 18 3 2 4 4" xfId="10864"/>
    <cellStyle name="Percent 18 3 2 5" xfId="11234"/>
    <cellStyle name="Percent 18 3 2 5 2" xfId="13771"/>
    <cellStyle name="Percent 18 3 2 6" xfId="12265"/>
    <cellStyle name="Percent 18 3 2 7" xfId="10360"/>
    <cellStyle name="Percent 18 3 3" xfId="4382"/>
    <cellStyle name="Percent 18 3 3 2" xfId="8818"/>
    <cellStyle name="Percent 18 3 3 2 2" xfId="11803"/>
    <cellStyle name="Percent 18 3 3 2 2 2" xfId="13772"/>
    <cellStyle name="Percent 18 3 3 2 3" xfId="12841"/>
    <cellStyle name="Percent 18 3 3 2 4" xfId="10923"/>
    <cellStyle name="Percent 18 3 3 3" xfId="11327"/>
    <cellStyle name="Percent 18 3 3 3 2" xfId="13773"/>
    <cellStyle name="Percent 18 3 3 4" xfId="12369"/>
    <cellStyle name="Percent 18 3 3 5" xfId="10451"/>
    <cellStyle name="Percent 18 3 4" xfId="5227"/>
    <cellStyle name="Percent 18 3 4 2" xfId="11495"/>
    <cellStyle name="Percent 18 3 4 2 2" xfId="13774"/>
    <cellStyle name="Percent 18 3 4 3" xfId="12536"/>
    <cellStyle name="Percent 18 3 4 4" xfId="10618"/>
    <cellStyle name="Percent 18 3 5" xfId="7035"/>
    <cellStyle name="Percent 18 3 5 2" xfId="11636"/>
    <cellStyle name="Percent 18 3 5 2 2" xfId="13775"/>
    <cellStyle name="Percent 18 3 5 3" xfId="12675"/>
    <cellStyle name="Percent 18 3 5 4" xfId="10757"/>
    <cellStyle name="Percent 18 3 6" xfId="11148"/>
    <cellStyle name="Percent 18 3 6 2" xfId="13776"/>
    <cellStyle name="Percent 18 3 7" xfId="12200"/>
    <cellStyle name="Percent 18 3 8" xfId="10275"/>
    <cellStyle name="Percent 18 4" xfId="2425"/>
    <cellStyle name="Percent 18 4 2" xfId="4526"/>
    <cellStyle name="Percent 18 4 2 2" xfId="8914"/>
    <cellStyle name="Percent 18 4 2 2 2" xfId="11858"/>
    <cellStyle name="Percent 18 4 2 2 2 2" xfId="13777"/>
    <cellStyle name="Percent 18 4 2 2 3" xfId="12896"/>
    <cellStyle name="Percent 18 4 2 2 4" xfId="10978"/>
    <cellStyle name="Percent 18 4 2 3" xfId="11382"/>
    <cellStyle name="Percent 18 4 2 3 2" xfId="13778"/>
    <cellStyle name="Percent 18 4 2 4" xfId="12424"/>
    <cellStyle name="Percent 18 4 2 5" xfId="10506"/>
    <cellStyle name="Percent 18 4 3" xfId="5350"/>
    <cellStyle name="Percent 18 4 3 2" xfId="11544"/>
    <cellStyle name="Percent 18 4 3 2 2" xfId="13779"/>
    <cellStyle name="Percent 18 4 3 3" xfId="12585"/>
    <cellStyle name="Percent 18 4 3 4" xfId="10667"/>
    <cellStyle name="Percent 18 4 4" xfId="6511"/>
    <cellStyle name="Percent 18 4 4 2" xfId="11588"/>
    <cellStyle name="Percent 18 4 4 2 2" xfId="13780"/>
    <cellStyle name="Percent 18 4 4 3" xfId="12628"/>
    <cellStyle name="Percent 18 4 4 4" xfId="10710"/>
    <cellStyle name="Percent 18 4 5" xfId="11201"/>
    <cellStyle name="Percent 18 4 5 2" xfId="13781"/>
    <cellStyle name="Percent 18 4 6" xfId="12232"/>
    <cellStyle name="Percent 18 4 7" xfId="10327"/>
    <cellStyle name="Percent 18 5" xfId="4349"/>
    <cellStyle name="Percent 18 5 2" xfId="8785"/>
    <cellStyle name="Percent 18 5 2 2" xfId="11770"/>
    <cellStyle name="Percent 18 5 2 2 2" xfId="13782"/>
    <cellStyle name="Percent 18 5 2 3" xfId="12808"/>
    <cellStyle name="Percent 18 5 2 4" xfId="10890"/>
    <cellStyle name="Percent 18 5 3" xfId="11294"/>
    <cellStyle name="Percent 18 5 3 2" xfId="13783"/>
    <cellStyle name="Percent 18 5 4" xfId="12336"/>
    <cellStyle name="Percent 18 5 5" xfId="10418"/>
    <cellStyle name="Percent 18 6" xfId="5252"/>
    <cellStyle name="Percent 18 6 2" xfId="11507"/>
    <cellStyle name="Percent 18 6 2 2" xfId="13784"/>
    <cellStyle name="Percent 18 6 3" xfId="12548"/>
    <cellStyle name="Percent 18 6 4" xfId="10630"/>
    <cellStyle name="Percent 18 7" xfId="7102"/>
    <cellStyle name="Percent 18 7 2" xfId="11647"/>
    <cellStyle name="Percent 18 7 2 2" xfId="13785"/>
    <cellStyle name="Percent 18 7 3" xfId="12686"/>
    <cellStyle name="Percent 18 7 4" xfId="10768"/>
    <cellStyle name="Percent 18 8" xfId="11115"/>
    <cellStyle name="Percent 18 8 2" xfId="13786"/>
    <cellStyle name="Percent 18 9" xfId="13787"/>
    <cellStyle name="Percent 19" xfId="1696"/>
    <cellStyle name="Percent 19 2" xfId="1775"/>
    <cellStyle name="Percent 2" xfId="3"/>
    <cellStyle name="Percent 2 2" xfId="489"/>
    <cellStyle name="Percent 2 2 2" xfId="490"/>
    <cellStyle name="Percent 2 2 2 2" xfId="491"/>
    <cellStyle name="Percent 2 2 2 2 2" xfId="492"/>
    <cellStyle name="Percent 2 2 2 2 3" xfId="493"/>
    <cellStyle name="Percent 2 2 2 3" xfId="494"/>
    <cellStyle name="Percent 2 2 2 4" xfId="495"/>
    <cellStyle name="Percent 2 2 3" xfId="496"/>
    <cellStyle name="Percent 2 2 3 2" xfId="497"/>
    <cellStyle name="Percent 2 2 3 2 2" xfId="498"/>
    <cellStyle name="Percent 2 2 3 2 3" xfId="499"/>
    <cellStyle name="Percent 2 2 3 3" xfId="500"/>
    <cellStyle name="Percent 2 2 3 4" xfId="501"/>
    <cellStyle name="Percent 2 3" xfId="502"/>
    <cellStyle name="Percent 2 3 2" xfId="503"/>
    <cellStyle name="Percent 2 3 2 2" xfId="504"/>
    <cellStyle name="Percent 2 3 2 3" xfId="505"/>
    <cellStyle name="Percent 2 3 3" xfId="506"/>
    <cellStyle name="Percent 2 3 4" xfId="507"/>
    <cellStyle name="Percent 2 4" xfId="508"/>
    <cellStyle name="Percent 2 4 2" xfId="509"/>
    <cellStyle name="Percent 2 4 2 2" xfId="510"/>
    <cellStyle name="Percent 2 4 2 3" xfId="511"/>
    <cellStyle name="Percent 2 4 3" xfId="512"/>
    <cellStyle name="Percent 2 4 4" xfId="513"/>
    <cellStyle name="Percent 2 5" xfId="1735"/>
    <cellStyle name="Percent 20" xfId="1698"/>
    <cellStyle name="Percent 20 2" xfId="1748"/>
    <cellStyle name="Percent 21" xfId="1700"/>
    <cellStyle name="Percent 22" xfId="1584"/>
    <cellStyle name="Percent 23" xfId="1594"/>
    <cellStyle name="Percent 24" xfId="1736"/>
    <cellStyle name="Percent 25" xfId="2049"/>
    <cellStyle name="Percent 25 2" xfId="2538"/>
    <cellStyle name="Percent 25 2 2" xfId="4581"/>
    <cellStyle name="Percent 25 2 2 2" xfId="8969"/>
    <cellStyle name="Percent 25 2 2 2 2" xfId="11913"/>
    <cellStyle name="Percent 25 2 2 2 2 2" xfId="13788"/>
    <cellStyle name="Percent 25 2 2 2 3" xfId="12951"/>
    <cellStyle name="Percent 25 2 2 2 4" xfId="11033"/>
    <cellStyle name="Percent 25 2 2 3" xfId="11437"/>
    <cellStyle name="Percent 25 2 2 3 2" xfId="13789"/>
    <cellStyle name="Percent 25 2 2 4" xfId="12479"/>
    <cellStyle name="Percent 25 2 2 5" xfId="10561"/>
    <cellStyle name="Percent 25 2 3" xfId="6773"/>
    <cellStyle name="Percent 25 2 3 2" xfId="11612"/>
    <cellStyle name="Percent 25 2 3 2 2" xfId="13790"/>
    <cellStyle name="Percent 25 2 3 3" xfId="12652"/>
    <cellStyle name="Percent 25 2 3 4" xfId="10734"/>
    <cellStyle name="Percent 25 2 4" xfId="11256"/>
    <cellStyle name="Percent 25 2 4 2" xfId="13791"/>
    <cellStyle name="Percent 25 2 5" xfId="12300"/>
    <cellStyle name="Percent 25 2 6" xfId="10382"/>
    <cellStyle name="Percent 25 3" xfId="2622"/>
    <cellStyle name="Percent 25 4" xfId="4404"/>
    <cellStyle name="Percent 25 4 2" xfId="8840"/>
    <cellStyle name="Percent 25 4 2 2" xfId="11825"/>
    <cellStyle name="Percent 25 4 2 2 2" xfId="13792"/>
    <cellStyle name="Percent 25 4 2 3" xfId="12863"/>
    <cellStyle name="Percent 25 4 2 4" xfId="10945"/>
    <cellStyle name="Percent 25 4 3" xfId="11349"/>
    <cellStyle name="Percent 25 4 3 2" xfId="13793"/>
    <cellStyle name="Percent 25 4 4" xfId="12391"/>
    <cellStyle name="Percent 25 4 5" xfId="10473"/>
    <cellStyle name="Percent 25 5" xfId="8085"/>
    <cellStyle name="Percent 25 5 2" xfId="11730"/>
    <cellStyle name="Percent 25 5 2 2" xfId="13794"/>
    <cellStyle name="Percent 25 5 3" xfId="12768"/>
    <cellStyle name="Percent 25 5 4" xfId="10850"/>
    <cellStyle name="Percent 25 6" xfId="11170"/>
    <cellStyle name="Percent 25 6 2" xfId="13795"/>
    <cellStyle name="Percent 25 7" xfId="12157"/>
    <cellStyle name="Percent 25 8" xfId="10296"/>
    <cellStyle name="Percent 26" xfId="2089"/>
    <cellStyle name="Percent 26 2" xfId="2540"/>
    <cellStyle name="Percent 26 2 2" xfId="4583"/>
    <cellStyle name="Percent 26 2 2 2" xfId="8971"/>
    <cellStyle name="Percent 26 2 2 2 2" xfId="11915"/>
    <cellStyle name="Percent 26 2 2 2 2 2" xfId="13796"/>
    <cellStyle name="Percent 26 2 2 2 3" xfId="12953"/>
    <cellStyle name="Percent 26 2 2 2 4" xfId="11035"/>
    <cellStyle name="Percent 26 2 2 3" xfId="11439"/>
    <cellStyle name="Percent 26 2 2 3 2" xfId="13797"/>
    <cellStyle name="Percent 26 2 2 4" xfId="12481"/>
    <cellStyle name="Percent 26 2 2 5" xfId="10563"/>
    <cellStyle name="Percent 26 2 3" xfId="7649"/>
    <cellStyle name="Percent 26 2 3 2" xfId="11689"/>
    <cellStyle name="Percent 26 2 3 2 2" xfId="13798"/>
    <cellStyle name="Percent 26 2 3 3" xfId="12728"/>
    <cellStyle name="Percent 26 2 3 4" xfId="10810"/>
    <cellStyle name="Percent 26 2 4" xfId="11258"/>
    <cellStyle name="Percent 26 2 4 2" xfId="13799"/>
    <cellStyle name="Percent 26 2 5" xfId="12302"/>
    <cellStyle name="Percent 26 2 6" xfId="10384"/>
    <cellStyle name="Percent 26 3" xfId="2737"/>
    <cellStyle name="Percent 26 4" xfId="4407"/>
    <cellStyle name="Percent 26 4 2" xfId="8843"/>
    <cellStyle name="Percent 26 4 2 2" xfId="11828"/>
    <cellStyle name="Percent 26 4 2 2 2" xfId="13800"/>
    <cellStyle name="Percent 26 4 2 3" xfId="12866"/>
    <cellStyle name="Percent 26 4 2 4" xfId="10948"/>
    <cellStyle name="Percent 26 4 3" xfId="11352"/>
    <cellStyle name="Percent 26 4 3 2" xfId="13801"/>
    <cellStyle name="Percent 26 4 4" xfId="12394"/>
    <cellStyle name="Percent 26 4 5" xfId="10476"/>
    <cellStyle name="Percent 26 5" xfId="7942"/>
    <cellStyle name="Percent 26 5 2" xfId="11714"/>
    <cellStyle name="Percent 26 5 2 2" xfId="13802"/>
    <cellStyle name="Percent 26 5 3" xfId="12752"/>
    <cellStyle name="Percent 26 5 4" xfId="10834"/>
    <cellStyle name="Percent 26 6" xfId="11172"/>
    <cellStyle name="Percent 26 6 2" xfId="13803"/>
    <cellStyle name="Percent 26 7" xfId="12158"/>
    <cellStyle name="Percent 26 8" xfId="10298"/>
    <cellStyle name="Percent 27" xfId="2023"/>
    <cellStyle name="Percent 27 2" xfId="2535"/>
    <cellStyle name="Percent 27 2 2" xfId="4578"/>
    <cellStyle name="Percent 27 2 2 2" xfId="8966"/>
    <cellStyle name="Percent 27 2 2 2 2" xfId="11910"/>
    <cellStyle name="Percent 27 2 2 2 2 2" xfId="13804"/>
    <cellStyle name="Percent 27 2 2 2 3" xfId="12948"/>
    <cellStyle name="Percent 27 2 2 2 4" xfId="11030"/>
    <cellStyle name="Percent 27 2 2 3" xfId="11434"/>
    <cellStyle name="Percent 27 2 2 3 2" xfId="13805"/>
    <cellStyle name="Percent 27 2 2 4" xfId="12476"/>
    <cellStyle name="Percent 27 2 2 5" xfId="10558"/>
    <cellStyle name="Percent 27 2 3" xfId="7883"/>
    <cellStyle name="Percent 27 2 3 2" xfId="11711"/>
    <cellStyle name="Percent 27 2 3 2 2" xfId="13806"/>
    <cellStyle name="Percent 27 2 3 3" xfId="12749"/>
    <cellStyle name="Percent 27 2 3 4" xfId="10831"/>
    <cellStyle name="Percent 27 2 4" xfId="11253"/>
    <cellStyle name="Percent 27 2 4 2" xfId="13807"/>
    <cellStyle name="Percent 27 2 5" xfId="12297"/>
    <cellStyle name="Percent 27 2 6" xfId="10379"/>
    <cellStyle name="Percent 27 3" xfId="2745"/>
    <cellStyle name="Percent 27 4" xfId="4401"/>
    <cellStyle name="Percent 27 4 2" xfId="8837"/>
    <cellStyle name="Percent 27 4 2 2" xfId="11822"/>
    <cellStyle name="Percent 27 4 2 2 2" xfId="13808"/>
    <cellStyle name="Percent 27 4 2 3" xfId="12860"/>
    <cellStyle name="Percent 27 4 2 4" xfId="10942"/>
    <cellStyle name="Percent 27 4 3" xfId="11346"/>
    <cellStyle name="Percent 27 4 3 2" xfId="13809"/>
    <cellStyle name="Percent 27 4 4" xfId="12388"/>
    <cellStyle name="Percent 27 4 5" xfId="10470"/>
    <cellStyle name="Percent 27 5" xfId="6272"/>
    <cellStyle name="Percent 27 5 2" xfId="11566"/>
    <cellStyle name="Percent 27 5 2 2" xfId="13810"/>
    <cellStyle name="Percent 27 5 3" xfId="12607"/>
    <cellStyle name="Percent 27 5 4" xfId="10689"/>
    <cellStyle name="Percent 27 6" xfId="11167"/>
    <cellStyle name="Percent 27 6 2" xfId="13811"/>
    <cellStyle name="Percent 27 7" xfId="12149"/>
    <cellStyle name="Percent 27 8" xfId="10294"/>
    <cellStyle name="Percent 28" xfId="2088"/>
    <cellStyle name="Percent 28 2" xfId="2539"/>
    <cellStyle name="Percent 28 2 2" xfId="4582"/>
    <cellStyle name="Percent 28 2 2 2" xfId="8970"/>
    <cellStyle name="Percent 28 2 2 2 2" xfId="11914"/>
    <cellStyle name="Percent 28 2 2 2 2 2" xfId="13812"/>
    <cellStyle name="Percent 28 2 2 2 3" xfId="12952"/>
    <cellStyle name="Percent 28 2 2 2 4" xfId="11034"/>
    <cellStyle name="Percent 28 2 2 3" xfId="11438"/>
    <cellStyle name="Percent 28 2 2 3 2" xfId="13813"/>
    <cellStyle name="Percent 28 2 2 4" xfId="12480"/>
    <cellStyle name="Percent 28 2 2 5" xfId="10562"/>
    <cellStyle name="Percent 28 2 3" xfId="7073"/>
    <cellStyle name="Percent 28 2 3 2" xfId="11642"/>
    <cellStyle name="Percent 28 2 3 2 2" xfId="13814"/>
    <cellStyle name="Percent 28 2 3 3" xfId="12681"/>
    <cellStyle name="Percent 28 2 3 4" xfId="10763"/>
    <cellStyle name="Percent 28 2 4" xfId="11257"/>
    <cellStyle name="Percent 28 2 4 2" xfId="13815"/>
    <cellStyle name="Percent 28 2 5" xfId="12301"/>
    <cellStyle name="Percent 28 2 6" xfId="10383"/>
    <cellStyle name="Percent 28 3" xfId="2716"/>
    <cellStyle name="Percent 28 4" xfId="4406"/>
    <cellStyle name="Percent 28 4 2" xfId="8842"/>
    <cellStyle name="Percent 28 4 2 2" xfId="11827"/>
    <cellStyle name="Percent 28 4 2 2 2" xfId="13816"/>
    <cellStyle name="Percent 28 4 2 3" xfId="12865"/>
    <cellStyle name="Percent 28 4 2 4" xfId="10947"/>
    <cellStyle name="Percent 28 4 3" xfId="11351"/>
    <cellStyle name="Percent 28 4 3 2" xfId="13817"/>
    <cellStyle name="Percent 28 4 4" xfId="12393"/>
    <cellStyle name="Percent 28 4 5" xfId="10475"/>
    <cellStyle name="Percent 28 5" xfId="6266"/>
    <cellStyle name="Percent 28 5 2" xfId="11565"/>
    <cellStyle name="Percent 28 5 2 2" xfId="13818"/>
    <cellStyle name="Percent 28 5 3" xfId="12606"/>
    <cellStyle name="Percent 28 5 4" xfId="10688"/>
    <cellStyle name="Percent 28 6" xfId="11171"/>
    <cellStyle name="Percent 28 6 2" xfId="13819"/>
    <cellStyle name="Percent 28 7" xfId="12150"/>
    <cellStyle name="Percent 28 8" xfId="10297"/>
    <cellStyle name="Percent 29" xfId="28"/>
    <cellStyle name="Percent 3" xfId="21"/>
    <cellStyle name="Percent 3 2" xfId="515"/>
    <cellStyle name="Percent 3 3" xfId="1159"/>
    <cellStyle name="Percent 3 4" xfId="516"/>
    <cellStyle name="Percent 3 4 2" xfId="517"/>
    <cellStyle name="Percent 3 4 3" xfId="518"/>
    <cellStyle name="Percent 3 5" xfId="1557"/>
    <cellStyle name="Percent 3 6" xfId="514"/>
    <cellStyle name="Percent 3 7" xfId="23"/>
    <cellStyle name="Percent 30" xfId="2372"/>
    <cellStyle name="Percent 30 2" xfId="3519"/>
    <cellStyle name="Percent 30 2 2" xfId="8173"/>
    <cellStyle name="Percent 30 2 2 2" xfId="11739"/>
    <cellStyle name="Percent 30 2 2 2 2" xfId="13820"/>
    <cellStyle name="Percent 30 2 2 3" xfId="12777"/>
    <cellStyle name="Percent 30 2 2 4" xfId="10859"/>
    <cellStyle name="Percent 30 2 3" xfId="11264"/>
    <cellStyle name="Percent 30 2 3 2" xfId="13821"/>
    <cellStyle name="Percent 30 2 4" xfId="12307"/>
    <cellStyle name="Percent 30 2 5" xfId="10389"/>
    <cellStyle name="Percent 30 3" xfId="2740"/>
    <cellStyle name="Percent 30 4" xfId="4502"/>
    <cellStyle name="Percent 30 4 2" xfId="8890"/>
    <cellStyle name="Percent 30 4 2 2" xfId="11834"/>
    <cellStyle name="Percent 30 4 2 2 2" xfId="13822"/>
    <cellStyle name="Percent 30 4 2 3" xfId="12872"/>
    <cellStyle name="Percent 30 4 2 4" xfId="10954"/>
    <cellStyle name="Percent 30 4 3" xfId="11358"/>
    <cellStyle name="Percent 30 4 3 2" xfId="13823"/>
    <cellStyle name="Percent 30 4 4" xfId="12400"/>
    <cellStyle name="Percent 30 4 5" xfId="10482"/>
    <cellStyle name="Percent 30 5" xfId="6988"/>
    <cellStyle name="Percent 30 5 2" xfId="11632"/>
    <cellStyle name="Percent 30 5 2 2" xfId="13824"/>
    <cellStyle name="Percent 30 5 3" xfId="12671"/>
    <cellStyle name="Percent 30 5 4" xfId="10753"/>
    <cellStyle name="Percent 30 6" xfId="11177"/>
    <cellStyle name="Percent 30 6 2" xfId="13825"/>
    <cellStyle name="Percent 30 7" xfId="12269"/>
    <cellStyle name="Percent 30 8" xfId="10303"/>
    <cellStyle name="Percent 31" xfId="2419"/>
    <cellStyle name="Percent 31 2" xfId="3521"/>
    <cellStyle name="Percent 31 2 2" xfId="7058"/>
    <cellStyle name="Percent 31 2 2 2" xfId="11639"/>
    <cellStyle name="Percent 31 2 2 2 2" xfId="13826"/>
    <cellStyle name="Percent 31 2 2 3" xfId="12678"/>
    <cellStyle name="Percent 31 2 2 4" xfId="10760"/>
    <cellStyle name="Percent 31 2 3" xfId="11266"/>
    <cellStyle name="Percent 31 2 3 2" xfId="13827"/>
    <cellStyle name="Percent 31 2 4" xfId="12309"/>
    <cellStyle name="Percent 31 2 5" xfId="10391"/>
    <cellStyle name="Percent 31 3" xfId="2728"/>
    <cellStyle name="Percent 31 4" xfId="4520"/>
    <cellStyle name="Percent 31 4 2" xfId="8908"/>
    <cellStyle name="Percent 31 4 2 2" xfId="11852"/>
    <cellStyle name="Percent 31 4 2 2 2" xfId="13828"/>
    <cellStyle name="Percent 31 4 2 3" xfId="12890"/>
    <cellStyle name="Percent 31 4 2 4" xfId="10972"/>
    <cellStyle name="Percent 31 4 3" xfId="11376"/>
    <cellStyle name="Percent 31 4 3 2" xfId="13829"/>
    <cellStyle name="Percent 31 4 4" xfId="12418"/>
    <cellStyle name="Percent 31 4 5" xfId="10500"/>
    <cellStyle name="Percent 31 5" xfId="6875"/>
    <cellStyle name="Percent 31 5 2" xfId="11620"/>
    <cellStyle name="Percent 31 5 2 2" xfId="13830"/>
    <cellStyle name="Percent 31 5 3" xfId="12660"/>
    <cellStyle name="Percent 31 5 4" xfId="10742"/>
    <cellStyle name="Percent 31 6" xfId="11195"/>
    <cellStyle name="Percent 31 6 2" xfId="13831"/>
    <cellStyle name="Percent 31 7" xfId="12271"/>
    <cellStyle name="Percent 31 8" xfId="10321"/>
    <cellStyle name="Percent 32" xfId="2154"/>
    <cellStyle name="Percent 33" xfId="2328"/>
    <cellStyle name="Percent 34" xfId="2733"/>
    <cellStyle name="Percent 35" xfId="2734"/>
    <cellStyle name="Percent 36" xfId="2739"/>
    <cellStyle name="Percent 37" xfId="2718"/>
    <cellStyle name="Percent 38" xfId="2744"/>
    <cellStyle name="Percent 39" xfId="2747"/>
    <cellStyle name="Percent 4" xfId="519"/>
    <cellStyle name="Percent 4 2" xfId="1160"/>
    <cellStyle name="Percent 40" xfId="2735"/>
    <cellStyle name="Percent 41" xfId="2738"/>
    <cellStyle name="Percent 42" xfId="2749"/>
    <cellStyle name="Percent 43" xfId="3141"/>
    <cellStyle name="Percent 44" xfId="2986"/>
    <cellStyle name="Percent 45" xfId="2961"/>
    <cellStyle name="Percent 46" xfId="3053"/>
    <cellStyle name="Percent 47" xfId="3262"/>
    <cellStyle name="Percent 48" xfId="3280"/>
    <cellStyle name="Percent 49" xfId="3192"/>
    <cellStyle name="Percent 5" xfId="520"/>
    <cellStyle name="Percent 5 2" xfId="521"/>
    <cellStyle name="Percent 5 3" xfId="522"/>
    <cellStyle name="Percent 50" xfId="2825"/>
    <cellStyle name="Percent 51" xfId="3373"/>
    <cellStyle name="Percent 52" xfId="3375"/>
    <cellStyle name="Percent 53" xfId="3378"/>
    <cellStyle name="Percent 54" xfId="3371"/>
    <cellStyle name="Percent 55" xfId="3425"/>
    <cellStyle name="Percent 56" xfId="3446"/>
    <cellStyle name="Percent 57" xfId="2627"/>
    <cellStyle name="Percent 58" xfId="4322"/>
    <cellStyle name="Percent 58 2" xfId="6234"/>
    <cellStyle name="Percent 58 2 2" xfId="11557"/>
    <cellStyle name="Percent 58 2 2 2" xfId="13832"/>
    <cellStyle name="Percent 58 2 3" xfId="12598"/>
    <cellStyle name="Percent 58 2 4" xfId="10680"/>
    <cellStyle name="Percent 58 3" xfId="5429"/>
    <cellStyle name="Percent 58 4" xfId="8761"/>
    <cellStyle name="Percent 58 4 2" xfId="11746"/>
    <cellStyle name="Percent 58 4 2 2" xfId="13833"/>
    <cellStyle name="Percent 58 4 3" xfId="12784"/>
    <cellStyle name="Percent 58 4 4" xfId="10866"/>
    <cellStyle name="Percent 58 5" xfId="11270"/>
    <cellStyle name="Percent 58 5 2" xfId="13834"/>
    <cellStyle name="Percent 58 6" xfId="12312"/>
    <cellStyle name="Percent 58 7" xfId="10394"/>
    <cellStyle name="Percent 59" xfId="4403"/>
    <cellStyle name="Percent 59 2" xfId="6236"/>
    <cellStyle name="Percent 59 2 2" xfId="11559"/>
    <cellStyle name="Percent 59 2 2 2" xfId="13835"/>
    <cellStyle name="Percent 59 2 3" xfId="12600"/>
    <cellStyle name="Percent 59 2 4" xfId="10682"/>
    <cellStyle name="Percent 59 3" xfId="5430"/>
    <cellStyle name="Percent 59 4" xfId="8839"/>
    <cellStyle name="Percent 59 4 2" xfId="11824"/>
    <cellStyle name="Percent 59 4 2 2" xfId="13836"/>
    <cellStyle name="Percent 59 4 3" xfId="12862"/>
    <cellStyle name="Percent 59 4 4" xfId="10944"/>
    <cellStyle name="Percent 59 5" xfId="11348"/>
    <cellStyle name="Percent 59 5 2" xfId="13837"/>
    <cellStyle name="Percent 59 6" xfId="12390"/>
    <cellStyle name="Percent 59 7" xfId="10472"/>
    <cellStyle name="Percent 6" xfId="523"/>
    <cellStyle name="Percent 6 2" xfId="1161"/>
    <cellStyle name="Percent 60" xfId="4405"/>
    <cellStyle name="Percent 60 2" xfId="6237"/>
    <cellStyle name="Percent 60 2 2" xfId="11560"/>
    <cellStyle name="Percent 60 2 2 2" xfId="13838"/>
    <cellStyle name="Percent 60 2 3" xfId="12601"/>
    <cellStyle name="Percent 60 2 4" xfId="10683"/>
    <cellStyle name="Percent 60 3" xfId="5432"/>
    <cellStyle name="Percent 60 4" xfId="8841"/>
    <cellStyle name="Percent 60 4 2" xfId="11826"/>
    <cellStyle name="Percent 60 4 2 2" xfId="13839"/>
    <cellStyle name="Percent 60 4 3" xfId="12864"/>
    <cellStyle name="Percent 60 4 4" xfId="10946"/>
    <cellStyle name="Percent 60 5" xfId="11350"/>
    <cellStyle name="Percent 60 5 2" xfId="13840"/>
    <cellStyle name="Percent 60 6" xfId="12392"/>
    <cellStyle name="Percent 60 7" xfId="10474"/>
    <cellStyle name="Percent 61" xfId="4916"/>
    <cellStyle name="Percent 61 2" xfId="9117"/>
    <cellStyle name="Percent 61 2 2" xfId="11918"/>
    <cellStyle name="Percent 61 2 2 2" xfId="13841"/>
    <cellStyle name="Percent 61 2 3" xfId="12956"/>
    <cellStyle name="Percent 61 2 4" xfId="11038"/>
    <cellStyle name="Percent 61 3" xfId="11443"/>
    <cellStyle name="Percent 61 3 2" xfId="13842"/>
    <cellStyle name="Percent 61 4" xfId="12484"/>
    <cellStyle name="Percent 61 5" xfId="10566"/>
    <cellStyle name="Percent 62" xfId="3528"/>
    <cellStyle name="Percent 63" xfId="4029"/>
    <cellStyle name="Percent 64" xfId="3661"/>
    <cellStyle name="Percent 65" xfId="4179"/>
    <cellStyle name="Percent 65 2" xfId="5121"/>
    <cellStyle name="Percent 65 2 2" xfId="11452"/>
    <cellStyle name="Percent 65 2 2 2" xfId="13843"/>
    <cellStyle name="Percent 65 2 3" xfId="12493"/>
    <cellStyle name="Percent 65 2 4" xfId="10575"/>
    <cellStyle name="Percent 66" xfId="3668"/>
    <cellStyle name="Percent 66 2" xfId="5372"/>
    <cellStyle name="Percent 66 2 2" xfId="11555"/>
    <cellStyle name="Percent 66 2 2 2" xfId="13844"/>
    <cellStyle name="Percent 66 2 3" xfId="12596"/>
    <cellStyle name="Percent 66 2 4" xfId="10678"/>
    <cellStyle name="Percent 67" xfId="4320"/>
    <cellStyle name="Percent 68" xfId="4247"/>
    <cellStyle name="Percent 69" xfId="4304"/>
    <cellStyle name="Percent 7" xfId="524"/>
    <cellStyle name="Percent 70" xfId="5090"/>
    <cellStyle name="Percent 71" xfId="4237"/>
    <cellStyle name="Percent 72" xfId="4028"/>
    <cellStyle name="Percent 73" xfId="5188"/>
    <cellStyle name="Percent 73 2" xfId="5300"/>
    <cellStyle name="Percent 73 2 2" xfId="11524"/>
    <cellStyle name="Percent 73 2 2 2" xfId="13845"/>
    <cellStyle name="Percent 73 2 3" xfId="12565"/>
    <cellStyle name="Percent 73 2 4" xfId="10647"/>
    <cellStyle name="Percent 73 3" xfId="5405"/>
    <cellStyle name="Percent 74" xfId="5192"/>
    <cellStyle name="Percent 75" xfId="5328"/>
    <cellStyle name="Percent 76" xfId="5163"/>
    <cellStyle name="Percent 77" xfId="5142"/>
    <cellStyle name="Percent 78" xfId="5246"/>
    <cellStyle name="Percent 79" xfId="5160"/>
    <cellStyle name="Percent 8" xfId="525"/>
    <cellStyle name="Percent 80" xfId="5263"/>
    <cellStyle name="Percent 81" xfId="5190"/>
    <cellStyle name="Percent 82" xfId="5336"/>
    <cellStyle name="Percent 83" xfId="5141"/>
    <cellStyle name="Percent 84" xfId="5226"/>
    <cellStyle name="Percent 85" xfId="5206"/>
    <cellStyle name="Percent 86" xfId="5391"/>
    <cellStyle name="Percent 87" xfId="5244"/>
    <cellStyle name="Percent 88" xfId="5178"/>
    <cellStyle name="Percent 88 2" xfId="5093"/>
    <cellStyle name="Percent 88 2 2" xfId="11444"/>
    <cellStyle name="Percent 88 2 2 2" xfId="13846"/>
    <cellStyle name="Percent 88 2 3" xfId="12485"/>
    <cellStyle name="Percent 88 2 4" xfId="10567"/>
    <cellStyle name="Percent 89" xfId="5388"/>
    <cellStyle name="Percent 9" xfId="526"/>
    <cellStyle name="Percent 90" xfId="5101"/>
    <cellStyle name="Percent 91" xfId="5186"/>
    <cellStyle name="Percent 92" xfId="5377"/>
    <cellStyle name="Percent 93" xfId="5264"/>
    <cellStyle name="Percent 94" xfId="5383"/>
    <cellStyle name="Percent 95" xfId="6425"/>
    <cellStyle name="Percent 96" xfId="7835"/>
    <cellStyle name="Percent 96 2" xfId="6609"/>
    <cellStyle name="Percent 96 2 2" xfId="11593"/>
    <cellStyle name="Percent 96 2 2 2" xfId="13847"/>
    <cellStyle name="Percent 96 2 3" xfId="12633"/>
    <cellStyle name="Percent 96 2 4" xfId="10715"/>
    <cellStyle name="Percent 97" xfId="6915"/>
    <cellStyle name="Percent 97 2" xfId="11625"/>
    <cellStyle name="Percent 97 2 2" xfId="13848"/>
    <cellStyle name="Percent 97 3" xfId="12665"/>
    <cellStyle name="Percent 97 4" xfId="10747"/>
    <cellStyle name="Percent 98" xfId="8086"/>
    <cellStyle name="Percent 98 2" xfId="11731"/>
    <cellStyle name="Percent 98 2 2" xfId="13849"/>
    <cellStyle name="Percent 98 3" xfId="12769"/>
    <cellStyle name="Percent 98 4" xfId="10851"/>
    <cellStyle name="Percent 99" xfId="6999"/>
    <cellStyle name="Percent 99 2" xfId="11634"/>
    <cellStyle name="Percent 99 2 2" xfId="13850"/>
    <cellStyle name="Percent 99 3" xfId="12673"/>
    <cellStyle name="Percent 99 4" xfId="10755"/>
    <cellStyle name="Percentage" xfId="527"/>
    <cellStyle name="Period Title" xfId="528"/>
    <cellStyle name="PROTECT" xfId="1162"/>
    <cellStyle name="PROTECT 2" xfId="1163"/>
    <cellStyle name="PSChar" xfId="529"/>
    <cellStyle name="PSDate" xfId="530"/>
    <cellStyle name="PSDec" xfId="531"/>
    <cellStyle name="PSDetail" xfId="532"/>
    <cellStyle name="PSHeading" xfId="533"/>
    <cellStyle name="PSHeading 2" xfId="534"/>
    <cellStyle name="PSHeading 2 2" xfId="535"/>
    <cellStyle name="PSHeading 2 2 2" xfId="536"/>
    <cellStyle name="PSHeading 2 2 2 2" xfId="2143"/>
    <cellStyle name="PSHeading 2 2 2 2 2" xfId="11954"/>
    <cellStyle name="PSHeading 2 2 2 2 2 2" xfId="13985"/>
    <cellStyle name="PSHeading 2 2 2 2 3" xfId="13870"/>
    <cellStyle name="PSHeading 2 2 2 3" xfId="2377"/>
    <cellStyle name="PSHeading 2 2 2 3 2" xfId="4904"/>
    <cellStyle name="PSHeading 2 2 2 3 2 2" xfId="11991"/>
    <cellStyle name="PSHeading 2 2 2 3 2 2 2" xfId="14013"/>
    <cellStyle name="PSHeading 2 2 2 3 2 3" xfId="13905"/>
    <cellStyle name="PSHeading 2 2 2 3 3" xfId="4278"/>
    <cellStyle name="PSHeading 2 2 2 3 3 2" xfId="11976"/>
    <cellStyle name="PSHeading 2 2 2 3 3 2 2" xfId="13999"/>
    <cellStyle name="PSHeading 2 2 2 3 3 3" xfId="13891"/>
    <cellStyle name="PSHeading 2 2 2 3 4" xfId="5690"/>
    <cellStyle name="PSHeading 2 2 2 3 4 2" xfId="12049"/>
    <cellStyle name="PSHeading 2 2 2 3 4 2 2" xfId="14069"/>
    <cellStyle name="PSHeading 2 2 2 3 4 3" xfId="13961"/>
    <cellStyle name="PSHeading 2 2 2 4" xfId="5179"/>
    <cellStyle name="PSHeading 2 2 2 4 2" xfId="5266"/>
    <cellStyle name="PSHeading 2 2 2 4 2 2" xfId="5413"/>
    <cellStyle name="PSHeading 2 2 2 4 2 2 2" xfId="12032"/>
    <cellStyle name="PSHeading 2 2 2 4 2 2 2 2" xfId="14052"/>
    <cellStyle name="PSHeading 2 2 2 4 2 2 3" xfId="13944"/>
    <cellStyle name="PSHeading 2 2 2 4 3" xfId="5404"/>
    <cellStyle name="PSHeading 2 2 2 4 3 2" xfId="12025"/>
    <cellStyle name="PSHeading 2 2 2 4 3 2 2" xfId="14045"/>
    <cellStyle name="PSHeading 2 2 2 4 3 3" xfId="13937"/>
    <cellStyle name="PSHeading 2 2 2 4 4" xfId="12007"/>
    <cellStyle name="PSHeading 2 2 2 4 4 2" xfId="14028"/>
    <cellStyle name="PSHeading 2 2 2 4 5" xfId="13920"/>
    <cellStyle name="PSHeading 2 2 3" xfId="2142"/>
    <cellStyle name="PSHeading 2 2 3 2" xfId="11953"/>
    <cellStyle name="PSHeading 2 2 3 2 2" xfId="13984"/>
    <cellStyle name="PSHeading 2 2 3 3" xfId="13869"/>
    <cellStyle name="PSHeading 2 2 4" xfId="2376"/>
    <cellStyle name="PSHeading 2 2 4 2" xfId="4903"/>
    <cellStyle name="PSHeading 2 2 4 2 2" xfId="11990"/>
    <cellStyle name="PSHeading 2 2 4 2 2 2" xfId="14012"/>
    <cellStyle name="PSHeading 2 2 4 2 3" xfId="13904"/>
    <cellStyle name="PSHeading 2 2 4 3" xfId="4277"/>
    <cellStyle name="PSHeading 2 2 4 3 2" xfId="11975"/>
    <cellStyle name="PSHeading 2 2 4 3 2 2" xfId="13998"/>
    <cellStyle name="PSHeading 2 2 4 3 3" xfId="13890"/>
    <cellStyle name="PSHeading 2 2 4 4" xfId="5689"/>
    <cellStyle name="PSHeading 2 2 4 4 2" xfId="12048"/>
    <cellStyle name="PSHeading 2 2 4 4 2 2" xfId="14068"/>
    <cellStyle name="PSHeading 2 2 4 4 3" xfId="13960"/>
    <cellStyle name="PSHeading 2 2 5" xfId="5367"/>
    <cellStyle name="PSHeading 2 2 5 2" xfId="5294"/>
    <cellStyle name="PSHeading 2 2 5 2 2" xfId="5417"/>
    <cellStyle name="PSHeading 2 2 5 2 2 2" xfId="12036"/>
    <cellStyle name="PSHeading 2 2 5 2 2 2 2" xfId="14056"/>
    <cellStyle name="PSHeading 2 2 5 2 2 3" xfId="13948"/>
    <cellStyle name="PSHeading 2 2 5 3" xfId="5422"/>
    <cellStyle name="PSHeading 2 2 5 3 2" xfId="12041"/>
    <cellStyle name="PSHeading 2 2 5 3 2 2" xfId="14061"/>
    <cellStyle name="PSHeading 2 2 5 3 3" xfId="13953"/>
    <cellStyle name="PSHeading 2 2 5 4" xfId="12016"/>
    <cellStyle name="PSHeading 2 2 5 4 2" xfId="14036"/>
    <cellStyle name="PSHeading 2 2 5 5" xfId="13928"/>
    <cellStyle name="PSHeading 2 3" xfId="537"/>
    <cellStyle name="PSHeading 2 3 2" xfId="2144"/>
    <cellStyle name="PSHeading 2 3 2 2" xfId="11955"/>
    <cellStyle name="PSHeading 2 3 2 2 2" xfId="13986"/>
    <cellStyle name="PSHeading 2 3 2 3" xfId="13871"/>
    <cellStyle name="PSHeading 2 3 3" xfId="2378"/>
    <cellStyle name="PSHeading 2 3 3 2" xfId="4905"/>
    <cellStyle name="PSHeading 2 3 3 2 2" xfId="11992"/>
    <cellStyle name="PSHeading 2 3 3 2 2 2" xfId="14014"/>
    <cellStyle name="PSHeading 2 3 3 2 3" xfId="13906"/>
    <cellStyle name="PSHeading 2 3 3 3" xfId="4279"/>
    <cellStyle name="PSHeading 2 3 3 3 2" xfId="11977"/>
    <cellStyle name="PSHeading 2 3 3 3 2 2" xfId="14000"/>
    <cellStyle name="PSHeading 2 3 3 3 3" xfId="13892"/>
    <cellStyle name="PSHeading 2 3 3 4" xfId="5691"/>
    <cellStyle name="PSHeading 2 3 3 4 2" xfId="12050"/>
    <cellStyle name="PSHeading 2 3 3 4 2 2" xfId="14070"/>
    <cellStyle name="PSHeading 2 3 3 4 3" xfId="13962"/>
    <cellStyle name="PSHeading 2 3 4" xfId="5133"/>
    <cellStyle name="PSHeading 2 3 4 2" xfId="5243"/>
    <cellStyle name="PSHeading 2 3 4 2 2" xfId="5411"/>
    <cellStyle name="PSHeading 2 3 4 2 2 2" xfId="12030"/>
    <cellStyle name="PSHeading 2 3 4 2 2 2 2" xfId="14050"/>
    <cellStyle name="PSHeading 2 3 4 2 2 3" xfId="13942"/>
    <cellStyle name="PSHeading 2 3 4 3" xfId="5400"/>
    <cellStyle name="PSHeading 2 3 4 3 2" xfId="12021"/>
    <cellStyle name="PSHeading 2 3 4 3 2 2" xfId="14041"/>
    <cellStyle name="PSHeading 2 3 4 3 3" xfId="13933"/>
    <cellStyle name="PSHeading 2 3 4 4" xfId="12005"/>
    <cellStyle name="PSHeading 2 3 4 4 2" xfId="14026"/>
    <cellStyle name="PSHeading 2 3 4 5" xfId="13918"/>
    <cellStyle name="PSHeading 2 4" xfId="2141"/>
    <cellStyle name="PSHeading 2 4 2" xfId="11952"/>
    <cellStyle name="PSHeading 2 4 2 2" xfId="13983"/>
    <cellStyle name="PSHeading 2 4 3" xfId="13868"/>
    <cellStyle name="PSHeading 2 5" xfId="2375"/>
    <cellStyle name="PSHeading 2 5 2" xfId="4902"/>
    <cellStyle name="PSHeading 2 5 2 2" xfId="11989"/>
    <cellStyle name="PSHeading 2 5 2 2 2" xfId="14011"/>
    <cellStyle name="PSHeading 2 5 2 3" xfId="13903"/>
    <cellStyle name="PSHeading 2 5 3" xfId="4276"/>
    <cellStyle name="PSHeading 2 5 3 2" xfId="11974"/>
    <cellStyle name="PSHeading 2 5 3 2 2" xfId="13997"/>
    <cellStyle name="PSHeading 2 5 3 3" xfId="13889"/>
    <cellStyle name="PSHeading 2 5 4" xfId="5688"/>
    <cellStyle name="PSHeading 2 5 4 2" xfId="12047"/>
    <cellStyle name="PSHeading 2 5 4 2 2" xfId="14067"/>
    <cellStyle name="PSHeading 2 5 4 3" xfId="13959"/>
    <cellStyle name="PSHeading 2 6" xfId="5124"/>
    <cellStyle name="PSHeading 2 6 2" xfId="5321"/>
    <cellStyle name="PSHeading 2 6 2 2" xfId="5419"/>
    <cellStyle name="PSHeading 2 6 2 2 2" xfId="12038"/>
    <cellStyle name="PSHeading 2 6 2 2 2 2" xfId="14058"/>
    <cellStyle name="PSHeading 2 6 2 2 3" xfId="13950"/>
    <cellStyle name="PSHeading 2 6 3" xfId="5399"/>
    <cellStyle name="PSHeading 2 6 3 2" xfId="12020"/>
    <cellStyle name="PSHeading 2 6 3 2 2" xfId="14040"/>
    <cellStyle name="PSHeading 2 6 3 3" xfId="13932"/>
    <cellStyle name="PSHeading 2 6 4" xfId="12004"/>
    <cellStyle name="PSHeading 2 6 4 2" xfId="14025"/>
    <cellStyle name="PSHeading 2 6 5" xfId="13917"/>
    <cellStyle name="PSHeading 3" xfId="538"/>
    <cellStyle name="PSHeading 3 2" xfId="539"/>
    <cellStyle name="PSHeading 3 2 2" xfId="540"/>
    <cellStyle name="PSHeading 3 2 2 2" xfId="541"/>
    <cellStyle name="PSHeading 3 2 2 2 2" xfId="2148"/>
    <cellStyle name="PSHeading 3 2 2 2 2 2" xfId="11959"/>
    <cellStyle name="PSHeading 3 2 2 2 2 2 2" xfId="13990"/>
    <cellStyle name="PSHeading 3 2 2 2 2 3" xfId="13875"/>
    <cellStyle name="PSHeading 3 2 2 2 3" xfId="2382"/>
    <cellStyle name="PSHeading 3 2 2 2 3 2" xfId="4909"/>
    <cellStyle name="PSHeading 3 2 2 2 3 2 2" xfId="11996"/>
    <cellStyle name="PSHeading 3 2 2 2 3 2 2 2" xfId="14018"/>
    <cellStyle name="PSHeading 3 2 2 2 3 2 3" xfId="13910"/>
    <cellStyle name="PSHeading 3 2 2 2 3 3" xfId="4283"/>
    <cellStyle name="PSHeading 3 2 2 2 3 3 2" xfId="11981"/>
    <cellStyle name="PSHeading 3 2 2 2 3 3 2 2" xfId="14004"/>
    <cellStyle name="PSHeading 3 2 2 2 3 3 3" xfId="13896"/>
    <cellStyle name="PSHeading 3 2 2 2 3 4" xfId="5695"/>
    <cellStyle name="PSHeading 3 2 2 2 3 4 2" xfId="12054"/>
    <cellStyle name="PSHeading 3 2 2 2 3 4 2 2" xfId="14074"/>
    <cellStyle name="PSHeading 3 2 2 2 3 4 3" xfId="13966"/>
    <cellStyle name="PSHeading 3 2 2 2 4" xfId="5335"/>
    <cellStyle name="PSHeading 3 2 2 2 4 2" xfId="5382"/>
    <cellStyle name="PSHeading 3 2 2 2 4 2 2" xfId="5425"/>
    <cellStyle name="PSHeading 3 2 2 2 4 2 2 2" xfId="12044"/>
    <cellStyle name="PSHeading 3 2 2 2 4 2 2 2 2" xfId="14064"/>
    <cellStyle name="PSHeading 3 2 2 2 4 2 2 3" xfId="13956"/>
    <cellStyle name="PSHeading 3 2 2 2 4 3" xfId="5420"/>
    <cellStyle name="PSHeading 3 2 2 2 4 3 2" xfId="12039"/>
    <cellStyle name="PSHeading 3 2 2 2 4 3 2 2" xfId="14059"/>
    <cellStyle name="PSHeading 3 2 2 2 4 3 3" xfId="13951"/>
    <cellStyle name="PSHeading 3 2 2 2 4 4" xfId="12014"/>
    <cellStyle name="PSHeading 3 2 2 2 4 4 2" xfId="14034"/>
    <cellStyle name="PSHeading 3 2 2 2 4 5" xfId="13926"/>
    <cellStyle name="PSHeading 3 2 2 3" xfId="2147"/>
    <cellStyle name="PSHeading 3 2 2 3 2" xfId="11958"/>
    <cellStyle name="PSHeading 3 2 2 3 2 2" xfId="13989"/>
    <cellStyle name="PSHeading 3 2 2 3 3" xfId="13874"/>
    <cellStyle name="PSHeading 3 2 2 4" xfId="2381"/>
    <cellStyle name="PSHeading 3 2 2 4 2" xfId="4908"/>
    <cellStyle name="PSHeading 3 2 2 4 2 2" xfId="11995"/>
    <cellStyle name="PSHeading 3 2 2 4 2 2 2" xfId="14017"/>
    <cellStyle name="PSHeading 3 2 2 4 2 3" xfId="13909"/>
    <cellStyle name="PSHeading 3 2 2 4 3" xfId="4282"/>
    <cellStyle name="PSHeading 3 2 2 4 3 2" xfId="11980"/>
    <cellStyle name="PSHeading 3 2 2 4 3 2 2" xfId="14003"/>
    <cellStyle name="PSHeading 3 2 2 4 3 3" xfId="13895"/>
    <cellStyle name="PSHeading 3 2 2 4 4" xfId="5694"/>
    <cellStyle name="PSHeading 3 2 2 4 4 2" xfId="12053"/>
    <cellStyle name="PSHeading 3 2 2 4 4 2 2" xfId="14073"/>
    <cellStyle name="PSHeading 3 2 2 4 4 3" xfId="13965"/>
    <cellStyle name="PSHeading 3 2 2 5" xfId="5368"/>
    <cellStyle name="PSHeading 3 2 2 5 2" xfId="5253"/>
    <cellStyle name="PSHeading 3 2 2 5 2 2" xfId="5412"/>
    <cellStyle name="PSHeading 3 2 2 5 2 2 2" xfId="12031"/>
    <cellStyle name="PSHeading 3 2 2 5 2 2 2 2" xfId="14051"/>
    <cellStyle name="PSHeading 3 2 2 5 2 2 3" xfId="13943"/>
    <cellStyle name="PSHeading 3 2 2 5 3" xfId="5423"/>
    <cellStyle name="PSHeading 3 2 2 5 3 2" xfId="12042"/>
    <cellStyle name="PSHeading 3 2 2 5 3 2 2" xfId="14062"/>
    <cellStyle name="PSHeading 3 2 2 5 3 3" xfId="13954"/>
    <cellStyle name="PSHeading 3 2 2 5 4" xfId="12017"/>
    <cellStyle name="PSHeading 3 2 2 5 4 2" xfId="14037"/>
    <cellStyle name="PSHeading 3 2 2 5 5" xfId="13929"/>
    <cellStyle name="PSHeading 3 2 3" xfId="542"/>
    <cellStyle name="PSHeading 3 2 3 2" xfId="2149"/>
    <cellStyle name="PSHeading 3 2 3 2 2" xfId="11960"/>
    <cellStyle name="PSHeading 3 2 3 2 2 2" xfId="13991"/>
    <cellStyle name="PSHeading 3 2 3 2 3" xfId="13876"/>
    <cellStyle name="PSHeading 3 2 3 3" xfId="2383"/>
    <cellStyle name="PSHeading 3 2 3 3 2" xfId="4910"/>
    <cellStyle name="PSHeading 3 2 3 3 2 2" xfId="11997"/>
    <cellStyle name="PSHeading 3 2 3 3 2 2 2" xfId="14019"/>
    <cellStyle name="PSHeading 3 2 3 3 2 3" xfId="13911"/>
    <cellStyle name="PSHeading 3 2 3 3 3" xfId="4284"/>
    <cellStyle name="PSHeading 3 2 3 3 3 2" xfId="11982"/>
    <cellStyle name="PSHeading 3 2 3 3 3 2 2" xfId="14005"/>
    <cellStyle name="PSHeading 3 2 3 3 3 3" xfId="13897"/>
    <cellStyle name="PSHeading 3 2 3 3 4" xfId="5696"/>
    <cellStyle name="PSHeading 3 2 3 3 4 2" xfId="12055"/>
    <cellStyle name="PSHeading 3 2 3 3 4 2 2" xfId="14075"/>
    <cellStyle name="PSHeading 3 2 3 3 4 3" xfId="13967"/>
    <cellStyle name="PSHeading 3 2 3 4" xfId="5289"/>
    <cellStyle name="PSHeading 3 2 3 4 2" xfId="5384"/>
    <cellStyle name="PSHeading 3 2 3 4 2 2" xfId="5426"/>
    <cellStyle name="PSHeading 3 2 3 4 2 2 2" xfId="12045"/>
    <cellStyle name="PSHeading 3 2 3 4 2 2 2 2" xfId="14065"/>
    <cellStyle name="PSHeading 3 2 3 4 2 2 3" xfId="13957"/>
    <cellStyle name="PSHeading 3 2 3 4 3" xfId="5415"/>
    <cellStyle name="PSHeading 3 2 3 4 3 2" xfId="12034"/>
    <cellStyle name="PSHeading 3 2 3 4 3 2 2" xfId="14054"/>
    <cellStyle name="PSHeading 3 2 3 4 3 3" xfId="13946"/>
    <cellStyle name="PSHeading 3 2 3 4 4" xfId="12012"/>
    <cellStyle name="PSHeading 3 2 3 4 4 2" xfId="14032"/>
    <cellStyle name="PSHeading 3 2 3 4 5" xfId="13924"/>
    <cellStyle name="PSHeading 3 2 4" xfId="2146"/>
    <cellStyle name="PSHeading 3 2 4 2" xfId="11957"/>
    <cellStyle name="PSHeading 3 2 4 2 2" xfId="13988"/>
    <cellStyle name="PSHeading 3 2 4 3" xfId="13873"/>
    <cellStyle name="PSHeading 3 2 5" xfId="2380"/>
    <cellStyle name="PSHeading 3 2 5 2" xfId="4907"/>
    <cellStyle name="PSHeading 3 2 5 2 2" xfId="11994"/>
    <cellStyle name="PSHeading 3 2 5 2 2 2" xfId="14016"/>
    <cellStyle name="PSHeading 3 2 5 2 3" xfId="13908"/>
    <cellStyle name="PSHeading 3 2 5 3" xfId="4281"/>
    <cellStyle name="PSHeading 3 2 5 3 2" xfId="11979"/>
    <cellStyle name="PSHeading 3 2 5 3 2 2" xfId="14002"/>
    <cellStyle name="PSHeading 3 2 5 3 3" xfId="13894"/>
    <cellStyle name="PSHeading 3 2 5 4" xfId="5693"/>
    <cellStyle name="PSHeading 3 2 5 4 2" xfId="12052"/>
    <cellStyle name="PSHeading 3 2 5 4 2 2" xfId="14072"/>
    <cellStyle name="PSHeading 3 2 5 4 3" xfId="13964"/>
    <cellStyle name="PSHeading 3 2 6" xfId="5357"/>
    <cellStyle name="PSHeading 3 2 6 2" xfId="5369"/>
    <cellStyle name="PSHeading 3 2 6 2 2" xfId="5424"/>
    <cellStyle name="PSHeading 3 2 6 2 2 2" xfId="12043"/>
    <cellStyle name="PSHeading 3 2 6 2 2 2 2" xfId="14063"/>
    <cellStyle name="PSHeading 3 2 6 2 2 3" xfId="13955"/>
    <cellStyle name="PSHeading 3 2 6 3" xfId="5421"/>
    <cellStyle name="PSHeading 3 2 6 3 2" xfId="12040"/>
    <cellStyle name="PSHeading 3 2 6 3 2 2" xfId="14060"/>
    <cellStyle name="PSHeading 3 2 6 3 3" xfId="13952"/>
    <cellStyle name="PSHeading 3 2 6 4" xfId="12015"/>
    <cellStyle name="PSHeading 3 2 6 4 2" xfId="14035"/>
    <cellStyle name="PSHeading 3 2 6 5" xfId="13927"/>
    <cellStyle name="PSHeading 3 3" xfId="543"/>
    <cellStyle name="PSHeading 3 3 2" xfId="2150"/>
    <cellStyle name="PSHeading 3 3 2 2" xfId="11961"/>
    <cellStyle name="PSHeading 3 3 2 2 2" xfId="13992"/>
    <cellStyle name="PSHeading 3 3 2 3" xfId="13877"/>
    <cellStyle name="PSHeading 3 3 3" xfId="2384"/>
    <cellStyle name="PSHeading 3 3 3 2" xfId="4911"/>
    <cellStyle name="PSHeading 3 3 3 2 2" xfId="11998"/>
    <cellStyle name="PSHeading 3 3 3 2 2 2" xfId="14020"/>
    <cellStyle name="PSHeading 3 3 3 2 3" xfId="13912"/>
    <cellStyle name="PSHeading 3 3 3 3" xfId="4285"/>
    <cellStyle name="PSHeading 3 3 3 3 2" xfId="11983"/>
    <cellStyle name="PSHeading 3 3 3 3 2 2" xfId="14006"/>
    <cellStyle name="PSHeading 3 3 3 3 3" xfId="13898"/>
    <cellStyle name="PSHeading 3 3 3 4" xfId="5697"/>
    <cellStyle name="PSHeading 3 3 3 4 2" xfId="12056"/>
    <cellStyle name="PSHeading 3 3 3 4 2 2" xfId="14076"/>
    <cellStyle name="PSHeading 3 3 3 4 3" xfId="13968"/>
    <cellStyle name="PSHeading 3 3 4" xfId="5216"/>
    <cellStyle name="PSHeading 3 3 4 2" xfId="5116"/>
    <cellStyle name="PSHeading 3 3 4 2 2" xfId="5398"/>
    <cellStyle name="PSHeading 3 3 4 2 2 2" xfId="12019"/>
    <cellStyle name="PSHeading 3 3 4 2 2 2 2" xfId="14039"/>
    <cellStyle name="PSHeading 3 3 4 2 2 3" xfId="13931"/>
    <cellStyle name="PSHeading 3 3 4 3" xfId="5409"/>
    <cellStyle name="PSHeading 3 3 4 3 2" xfId="12028"/>
    <cellStyle name="PSHeading 3 3 4 3 2 2" xfId="14048"/>
    <cellStyle name="PSHeading 3 3 4 3 3" xfId="13940"/>
    <cellStyle name="PSHeading 3 3 4 4" xfId="12009"/>
    <cellStyle name="PSHeading 3 3 4 4 2" xfId="14030"/>
    <cellStyle name="PSHeading 3 3 4 5" xfId="13922"/>
    <cellStyle name="PSHeading 3 4" xfId="2145"/>
    <cellStyle name="PSHeading 3 4 2" xfId="11956"/>
    <cellStyle name="PSHeading 3 4 2 2" xfId="13987"/>
    <cellStyle name="PSHeading 3 4 3" xfId="13872"/>
    <cellStyle name="PSHeading 3 5" xfId="2379"/>
    <cellStyle name="PSHeading 3 5 2" xfId="4906"/>
    <cellStyle name="PSHeading 3 5 2 2" xfId="11993"/>
    <cellStyle name="PSHeading 3 5 2 2 2" xfId="14015"/>
    <cellStyle name="PSHeading 3 5 2 3" xfId="13907"/>
    <cellStyle name="PSHeading 3 5 3" xfId="4280"/>
    <cellStyle name="PSHeading 3 5 3 2" xfId="11978"/>
    <cellStyle name="PSHeading 3 5 3 2 2" xfId="14001"/>
    <cellStyle name="PSHeading 3 5 3 3" xfId="13893"/>
    <cellStyle name="PSHeading 3 5 4" xfId="5692"/>
    <cellStyle name="PSHeading 3 5 4 2" xfId="12051"/>
    <cellStyle name="PSHeading 3 5 4 2 2" xfId="14071"/>
    <cellStyle name="PSHeading 3 5 4 3" xfId="13963"/>
    <cellStyle name="PSHeading 3 6" xfId="5174"/>
    <cellStyle name="PSHeading 3 6 2" xfId="5138"/>
    <cellStyle name="PSHeading 3 6 2 2" xfId="5401"/>
    <cellStyle name="PSHeading 3 6 2 2 2" xfId="12022"/>
    <cellStyle name="PSHeading 3 6 2 2 2 2" xfId="14042"/>
    <cellStyle name="PSHeading 3 6 2 2 3" xfId="13934"/>
    <cellStyle name="PSHeading 3 6 3" xfId="5403"/>
    <cellStyle name="PSHeading 3 6 3 2" xfId="12024"/>
    <cellStyle name="PSHeading 3 6 3 2 2" xfId="14044"/>
    <cellStyle name="PSHeading 3 6 3 3" xfId="13936"/>
    <cellStyle name="PSHeading 3 6 4" xfId="12006"/>
    <cellStyle name="PSHeading 3 6 4 2" xfId="14027"/>
    <cellStyle name="PSHeading 3 6 5" xfId="13919"/>
    <cellStyle name="PSHeading 4" xfId="544"/>
    <cellStyle name="PSHeading 4 2" xfId="545"/>
    <cellStyle name="PSHeading 4 2 2" xfId="2152"/>
    <cellStyle name="PSHeading 4 2 2 2" xfId="11963"/>
    <cellStyle name="PSHeading 4 2 2 2 2" xfId="13994"/>
    <cellStyle name="PSHeading 4 2 2 3" xfId="13879"/>
    <cellStyle name="PSHeading 4 2 3" xfId="2386"/>
    <cellStyle name="PSHeading 4 2 3 2" xfId="4913"/>
    <cellStyle name="PSHeading 4 2 3 2 2" xfId="12000"/>
    <cellStyle name="PSHeading 4 2 3 2 2 2" xfId="14022"/>
    <cellStyle name="PSHeading 4 2 3 2 3" xfId="13914"/>
    <cellStyle name="PSHeading 4 2 3 3" xfId="4287"/>
    <cellStyle name="PSHeading 4 2 3 3 2" xfId="11985"/>
    <cellStyle name="PSHeading 4 2 3 3 2 2" xfId="14008"/>
    <cellStyle name="PSHeading 4 2 3 3 3" xfId="13900"/>
    <cellStyle name="PSHeading 4 2 3 4" xfId="5699"/>
    <cellStyle name="PSHeading 4 2 3 4 2" xfId="12058"/>
    <cellStyle name="PSHeading 4 2 3 4 2 2" xfId="14078"/>
    <cellStyle name="PSHeading 4 2 3 4 3" xfId="13970"/>
    <cellStyle name="PSHeading 4 2 4" xfId="5209"/>
    <cellStyle name="PSHeading 4 2 4 2" xfId="5205"/>
    <cellStyle name="PSHeading 4 2 4 2 2" xfId="5407"/>
    <cellStyle name="PSHeading 4 2 4 2 2 2" xfId="12026"/>
    <cellStyle name="PSHeading 4 2 4 2 2 2 2" xfId="14046"/>
    <cellStyle name="PSHeading 4 2 4 2 2 3" xfId="13938"/>
    <cellStyle name="PSHeading 4 2 4 3" xfId="5408"/>
    <cellStyle name="PSHeading 4 2 4 3 2" xfId="12027"/>
    <cellStyle name="PSHeading 4 2 4 3 2 2" xfId="14047"/>
    <cellStyle name="PSHeading 4 2 4 3 3" xfId="13939"/>
    <cellStyle name="PSHeading 4 2 4 4" xfId="12008"/>
    <cellStyle name="PSHeading 4 2 4 4 2" xfId="14029"/>
    <cellStyle name="PSHeading 4 2 4 5" xfId="13921"/>
    <cellStyle name="PSHeading 4 3" xfId="2151"/>
    <cellStyle name="PSHeading 4 3 2" xfId="11962"/>
    <cellStyle name="PSHeading 4 3 2 2" xfId="13993"/>
    <cellStyle name="PSHeading 4 3 3" xfId="13878"/>
    <cellStyle name="PSHeading 4 4" xfId="2385"/>
    <cellStyle name="PSHeading 4 4 2" xfId="4912"/>
    <cellStyle name="PSHeading 4 4 2 2" xfId="11999"/>
    <cellStyle name="PSHeading 4 4 2 2 2" xfId="14021"/>
    <cellStyle name="PSHeading 4 4 2 3" xfId="13913"/>
    <cellStyle name="PSHeading 4 4 3" xfId="4286"/>
    <cellStyle name="PSHeading 4 4 3 2" xfId="11984"/>
    <cellStyle name="PSHeading 4 4 3 2 2" xfId="14007"/>
    <cellStyle name="PSHeading 4 4 3 3" xfId="13899"/>
    <cellStyle name="PSHeading 4 4 4" xfId="5698"/>
    <cellStyle name="PSHeading 4 4 4 2" xfId="12057"/>
    <cellStyle name="PSHeading 4 4 4 2 2" xfId="14077"/>
    <cellStyle name="PSHeading 4 4 4 3" xfId="13969"/>
    <cellStyle name="PSHeading 4 5" xfId="5290"/>
    <cellStyle name="PSHeading 4 5 2" xfId="5313"/>
    <cellStyle name="PSHeading 4 5 2 2" xfId="5418"/>
    <cellStyle name="PSHeading 4 5 2 2 2" xfId="12037"/>
    <cellStyle name="PSHeading 4 5 2 2 2 2" xfId="14057"/>
    <cellStyle name="PSHeading 4 5 2 2 3" xfId="13949"/>
    <cellStyle name="PSHeading 4 5 3" xfId="5416"/>
    <cellStyle name="PSHeading 4 5 3 2" xfId="12035"/>
    <cellStyle name="PSHeading 4 5 3 2 2" xfId="14055"/>
    <cellStyle name="PSHeading 4 5 3 3" xfId="13947"/>
    <cellStyle name="PSHeading 4 5 4" xfId="12013"/>
    <cellStyle name="PSHeading 4 5 4 2" xfId="14033"/>
    <cellStyle name="PSHeading 4 5 5" xfId="13925"/>
    <cellStyle name="PSHeading 5" xfId="546"/>
    <cellStyle name="PSHeading 5 2" xfId="2153"/>
    <cellStyle name="PSHeading 5 2 2" xfId="11964"/>
    <cellStyle name="PSHeading 5 2 2 2" xfId="13995"/>
    <cellStyle name="PSHeading 5 2 3" xfId="13880"/>
    <cellStyle name="PSHeading 5 3" xfId="2387"/>
    <cellStyle name="PSHeading 5 3 2" xfId="4914"/>
    <cellStyle name="PSHeading 5 3 2 2" xfId="12001"/>
    <cellStyle name="PSHeading 5 3 2 2 2" xfId="14023"/>
    <cellStyle name="PSHeading 5 3 2 3" xfId="13915"/>
    <cellStyle name="PSHeading 5 3 3" xfId="4288"/>
    <cellStyle name="PSHeading 5 3 3 2" xfId="11986"/>
    <cellStyle name="PSHeading 5 3 3 2 2" xfId="14009"/>
    <cellStyle name="PSHeading 5 3 3 3" xfId="13901"/>
    <cellStyle name="PSHeading 5 3 4" xfId="5700"/>
    <cellStyle name="PSHeading 5 3 4 2" xfId="12059"/>
    <cellStyle name="PSHeading 5 3 4 2 2" xfId="14079"/>
    <cellStyle name="PSHeading 5 3 4 3" xfId="13971"/>
    <cellStyle name="PSHeading 5 4" xfId="5098"/>
    <cellStyle name="PSHeading 5 4 2" xfId="5280"/>
    <cellStyle name="PSHeading 5 4 2 2" xfId="5414"/>
    <cellStyle name="PSHeading 5 4 2 2 2" xfId="12033"/>
    <cellStyle name="PSHeading 5 4 2 2 2 2" xfId="14053"/>
    <cellStyle name="PSHeading 5 4 2 2 3" xfId="13945"/>
    <cellStyle name="PSHeading 5 4 3" xfId="5397"/>
    <cellStyle name="PSHeading 5 4 3 2" xfId="12018"/>
    <cellStyle name="PSHeading 5 4 3 2 2" xfId="14038"/>
    <cellStyle name="PSHeading 5 4 3 3" xfId="13930"/>
    <cellStyle name="PSHeading 5 4 4" xfId="12003"/>
    <cellStyle name="PSHeading 5 4 4 2" xfId="14024"/>
    <cellStyle name="PSHeading 5 4 5" xfId="13916"/>
    <cellStyle name="PSHeading 6" xfId="2140"/>
    <cellStyle name="PSHeading 6 2" xfId="11951"/>
    <cellStyle name="PSHeading 6 2 2" xfId="13982"/>
    <cellStyle name="PSHeading 6 3" xfId="13867"/>
    <cellStyle name="PSHeading 7" xfId="2374"/>
    <cellStyle name="PSHeading 7 2" xfId="4901"/>
    <cellStyle name="PSHeading 7 2 2" xfId="11988"/>
    <cellStyle name="PSHeading 7 2 2 2" xfId="14010"/>
    <cellStyle name="PSHeading 7 2 3" xfId="13902"/>
    <cellStyle name="PSHeading 7 3" xfId="4275"/>
    <cellStyle name="PSHeading 7 3 2" xfId="11973"/>
    <cellStyle name="PSHeading 7 3 2 2" xfId="13996"/>
    <cellStyle name="PSHeading 7 3 3" xfId="13888"/>
    <cellStyle name="PSHeading 7 4" xfId="5687"/>
    <cellStyle name="PSHeading 7 4 2" xfId="12046"/>
    <cellStyle name="PSHeading 7 4 2 2" xfId="14066"/>
    <cellStyle name="PSHeading 7 4 3" xfId="13958"/>
    <cellStyle name="PSHeading 8" xfId="5222"/>
    <cellStyle name="PSHeading 8 2" xfId="5165"/>
    <cellStyle name="PSHeading 8 2 2" xfId="5402"/>
    <cellStyle name="PSHeading 8 2 2 2" xfId="12023"/>
    <cellStyle name="PSHeading 8 2 2 2 2" xfId="14043"/>
    <cellStyle name="PSHeading 8 2 2 3" xfId="13935"/>
    <cellStyle name="PSHeading 8 3" xfId="5410"/>
    <cellStyle name="PSHeading 8 3 2" xfId="12029"/>
    <cellStyle name="PSHeading 8 3 2 2" xfId="14049"/>
    <cellStyle name="PSHeading 8 3 3" xfId="13941"/>
    <cellStyle name="PSHeading 8 4" xfId="12010"/>
    <cellStyle name="PSHeading 8 4 2" xfId="14031"/>
    <cellStyle name="PSHeading 8 5" xfId="13923"/>
    <cellStyle name="PSInt" xfId="547"/>
    <cellStyle name="PSSpacer" xfId="548"/>
    <cellStyle name="R04L" xfId="1164"/>
    <cellStyle name="Ratio" xfId="549"/>
    <cellStyle name="Ratio 2" xfId="550"/>
    <cellStyle name="Ratio_29(d) - Gas extensions -tariffs" xfId="551"/>
    <cellStyle name="Right Currency" xfId="1165"/>
    <cellStyle name="Right Date" xfId="552"/>
    <cellStyle name="Right Multiple" xfId="1166"/>
    <cellStyle name="Right Number" xfId="553"/>
    <cellStyle name="Right Percentage" xfId="1167"/>
    <cellStyle name="Right Year" xfId="554"/>
    <cellStyle name="RIN_Input$_3dp" xfId="555"/>
    <cellStyle name="SAPBEXaggData" xfId="1168"/>
    <cellStyle name="SAPBEXaggData 2" xfId="1169"/>
    <cellStyle name="SAPBEXaggData 2 2" xfId="1170"/>
    <cellStyle name="SAPBEXaggData 2 3" xfId="2000"/>
    <cellStyle name="SAPBEXaggData 3" xfId="1171"/>
    <cellStyle name="SAPBEXaggData 3 2" xfId="1172"/>
    <cellStyle name="SAPBEXaggData 4" xfId="1173"/>
    <cellStyle name="SAPBEXaggData 5" xfId="1174"/>
    <cellStyle name="SAPBEXaggData 6" xfId="1175"/>
    <cellStyle name="SAPBEXaggData 7" xfId="1176"/>
    <cellStyle name="SAPBEXaggData 8" xfId="10159"/>
    <cellStyle name="SAPBEXaggDataEmph" xfId="1177"/>
    <cellStyle name="SAPBEXaggDataEmph 2" xfId="1178"/>
    <cellStyle name="SAPBEXaggDataEmph 2 2" xfId="1179"/>
    <cellStyle name="SAPBEXaggDataEmph 2 3" xfId="2001"/>
    <cellStyle name="SAPBEXaggDataEmph 3" xfId="1180"/>
    <cellStyle name="SAPBEXaggDataEmph 3 2" xfId="1181"/>
    <cellStyle name="SAPBEXaggDataEmph 4" xfId="1182"/>
    <cellStyle name="SAPBEXaggDataEmph 5" xfId="1183"/>
    <cellStyle name="SAPBEXaggDataEmph 6" xfId="1184"/>
    <cellStyle name="SAPBEXaggDataEmph 7" xfId="1185"/>
    <cellStyle name="SAPBEXaggDataEmph 8" xfId="10160"/>
    <cellStyle name="SAPBEXaggItem" xfId="1186"/>
    <cellStyle name="SAPBEXaggItem 2" xfId="1187"/>
    <cellStyle name="SAPBEXaggItem 2 2" xfId="1188"/>
    <cellStyle name="SAPBEXaggItem 2 3" xfId="2002"/>
    <cellStyle name="SAPBEXaggItem 3" xfId="1189"/>
    <cellStyle name="SAPBEXaggItem 3 2" xfId="1190"/>
    <cellStyle name="SAPBEXaggItem 4" xfId="1191"/>
    <cellStyle name="SAPBEXaggItem 5" xfId="1192"/>
    <cellStyle name="SAPBEXaggItem 6" xfId="1193"/>
    <cellStyle name="SAPBEXaggItem 7" xfId="1194"/>
    <cellStyle name="SAPBEXaggItem 8" xfId="10161"/>
    <cellStyle name="SAPBEXaggItemX" xfId="1195"/>
    <cellStyle name="SAPBEXaggItemX 2" xfId="1196"/>
    <cellStyle name="SAPBEXaggItemX 2 2" xfId="1197"/>
    <cellStyle name="SAPBEXaggItemX 2 3" xfId="2003"/>
    <cellStyle name="SAPBEXaggItemX 3" xfId="1198"/>
    <cellStyle name="SAPBEXaggItemX 3 2" xfId="1199"/>
    <cellStyle name="SAPBEXaggItemX 4" xfId="1200"/>
    <cellStyle name="SAPBEXaggItemX 5" xfId="1201"/>
    <cellStyle name="SAPBEXaggItemX 6" xfId="1202"/>
    <cellStyle name="SAPBEXaggItemX 7" xfId="1203"/>
    <cellStyle name="SAPBEXaggItemX 8" xfId="10162"/>
    <cellStyle name="SAPBEXchaText" xfId="1204"/>
    <cellStyle name="SAPBEXchaText 2" xfId="1205"/>
    <cellStyle name="SAPBEXchaText 2 2" xfId="1206"/>
    <cellStyle name="SAPBEXchaText 2 3" xfId="2004"/>
    <cellStyle name="SAPBEXchaText 3" xfId="1207"/>
    <cellStyle name="SAPBEXchaText 3 2" xfId="1208"/>
    <cellStyle name="SAPBEXchaText 4" xfId="1209"/>
    <cellStyle name="SAPBEXchaText 5" xfId="1210"/>
    <cellStyle name="SAPBEXchaText 6" xfId="1211"/>
    <cellStyle name="SAPBEXchaText 7" xfId="10163"/>
    <cellStyle name="SAPBEXchaText_AIMRO_CP" xfId="1212"/>
    <cellStyle name="SAPBEXexcBad7" xfId="1213"/>
    <cellStyle name="SAPBEXexcBad7 2" xfId="1214"/>
    <cellStyle name="SAPBEXexcBad7 2 2" xfId="1215"/>
    <cellStyle name="SAPBEXexcBad7 2 3" xfId="2005"/>
    <cellStyle name="SAPBEXexcBad7 3" xfId="1216"/>
    <cellStyle name="SAPBEXexcBad7 3 2" xfId="1217"/>
    <cellStyle name="SAPBEXexcBad7 4" xfId="1218"/>
    <cellStyle name="SAPBEXexcBad7 5" xfId="1219"/>
    <cellStyle name="SAPBEXexcBad7 6" xfId="1220"/>
    <cellStyle name="SAPBEXexcBad7 7" xfId="1221"/>
    <cellStyle name="SAPBEXexcBad7 8" xfId="10164"/>
    <cellStyle name="SAPBEXexcBad8" xfId="1222"/>
    <cellStyle name="SAPBEXexcBad8 2" xfId="1223"/>
    <cellStyle name="SAPBEXexcBad8 2 2" xfId="1224"/>
    <cellStyle name="SAPBEXexcBad8 2 3" xfId="2006"/>
    <cellStyle name="SAPBEXexcBad8 3" xfId="1225"/>
    <cellStyle name="SAPBEXexcBad8 3 2" xfId="1226"/>
    <cellStyle name="SAPBEXexcBad8 4" xfId="1227"/>
    <cellStyle name="SAPBEXexcBad8 5" xfId="1228"/>
    <cellStyle name="SAPBEXexcBad8 6" xfId="1229"/>
    <cellStyle name="SAPBEXexcBad8 7" xfId="1230"/>
    <cellStyle name="SAPBEXexcBad8 8" xfId="10165"/>
    <cellStyle name="SAPBEXexcBad9" xfId="1231"/>
    <cellStyle name="SAPBEXexcBad9 2" xfId="1232"/>
    <cellStyle name="SAPBEXexcBad9 2 2" xfId="1233"/>
    <cellStyle name="SAPBEXexcBad9 2 3" xfId="2007"/>
    <cellStyle name="SAPBEXexcBad9 3" xfId="1234"/>
    <cellStyle name="SAPBEXexcBad9 3 2" xfId="1235"/>
    <cellStyle name="SAPBEXexcBad9 4" xfId="1236"/>
    <cellStyle name="SAPBEXexcBad9 5" xfId="1237"/>
    <cellStyle name="SAPBEXexcBad9 6" xfId="1238"/>
    <cellStyle name="SAPBEXexcBad9 7" xfId="1239"/>
    <cellStyle name="SAPBEXexcBad9 8" xfId="10166"/>
    <cellStyle name="SAPBEXexcCritical4" xfId="1240"/>
    <cellStyle name="SAPBEXexcCritical4 2" xfId="1241"/>
    <cellStyle name="SAPBEXexcCritical4 2 2" xfId="1242"/>
    <cellStyle name="SAPBEXexcCritical4 2 3" xfId="2008"/>
    <cellStyle name="SAPBEXexcCritical4 3" xfId="1243"/>
    <cellStyle name="SAPBEXexcCritical4 3 2" xfId="1244"/>
    <cellStyle name="SAPBEXexcCritical4 4" xfId="1245"/>
    <cellStyle name="SAPBEXexcCritical4 5" xfId="1246"/>
    <cellStyle name="SAPBEXexcCritical4 6" xfId="1247"/>
    <cellStyle name="SAPBEXexcCritical4 7" xfId="1248"/>
    <cellStyle name="SAPBEXexcCritical4 8" xfId="10167"/>
    <cellStyle name="SAPBEXexcCritical5" xfId="1249"/>
    <cellStyle name="SAPBEXexcCritical5 2" xfId="1250"/>
    <cellStyle name="SAPBEXexcCritical5 2 2" xfId="1251"/>
    <cellStyle name="SAPBEXexcCritical5 2 3" xfId="2009"/>
    <cellStyle name="SAPBEXexcCritical5 3" xfId="1252"/>
    <cellStyle name="SAPBEXexcCritical5 3 2" xfId="1253"/>
    <cellStyle name="SAPBEXexcCritical5 4" xfId="1254"/>
    <cellStyle name="SAPBEXexcCritical5 5" xfId="1255"/>
    <cellStyle name="SAPBEXexcCritical5 6" xfId="1256"/>
    <cellStyle name="SAPBEXexcCritical5 7" xfId="1257"/>
    <cellStyle name="SAPBEXexcCritical5 8" xfId="10168"/>
    <cellStyle name="SAPBEXexcCritical6" xfId="1258"/>
    <cellStyle name="SAPBEXexcCritical6 2" xfId="1259"/>
    <cellStyle name="SAPBEXexcCritical6 2 2" xfId="1260"/>
    <cellStyle name="SAPBEXexcCritical6 2 3" xfId="2010"/>
    <cellStyle name="SAPBEXexcCritical6 3" xfId="1261"/>
    <cellStyle name="SAPBEXexcCritical6 3 2" xfId="1262"/>
    <cellStyle name="SAPBEXexcCritical6 4" xfId="1263"/>
    <cellStyle name="SAPBEXexcCritical6 5" xfId="1264"/>
    <cellStyle name="SAPBEXexcCritical6 6" xfId="1265"/>
    <cellStyle name="SAPBEXexcCritical6 7" xfId="1266"/>
    <cellStyle name="SAPBEXexcCritical6 8" xfId="10169"/>
    <cellStyle name="SAPBEXexcGood1" xfId="1267"/>
    <cellStyle name="SAPBEXexcGood1 2" xfId="1268"/>
    <cellStyle name="SAPBEXexcGood1 2 2" xfId="1269"/>
    <cellStyle name="SAPBEXexcGood1 2 3" xfId="2011"/>
    <cellStyle name="SAPBEXexcGood1 3" xfId="1270"/>
    <cellStyle name="SAPBEXexcGood1 3 2" xfId="1271"/>
    <cellStyle name="SAPBEXexcGood1 4" xfId="1272"/>
    <cellStyle name="SAPBEXexcGood1 5" xfId="1273"/>
    <cellStyle name="SAPBEXexcGood1 6" xfId="1274"/>
    <cellStyle name="SAPBEXexcGood1 7" xfId="1275"/>
    <cellStyle name="SAPBEXexcGood1 8" xfId="10170"/>
    <cellStyle name="SAPBEXexcGood2" xfId="1276"/>
    <cellStyle name="SAPBEXexcGood2 2" xfId="1277"/>
    <cellStyle name="SAPBEXexcGood2 2 2" xfId="1278"/>
    <cellStyle name="SAPBEXexcGood2 2 3" xfId="2012"/>
    <cellStyle name="SAPBEXexcGood2 3" xfId="1279"/>
    <cellStyle name="SAPBEXexcGood2 3 2" xfId="1280"/>
    <cellStyle name="SAPBEXexcGood2 4" xfId="1281"/>
    <cellStyle name="SAPBEXexcGood2 5" xfId="1282"/>
    <cellStyle name="SAPBEXexcGood2 6" xfId="1283"/>
    <cellStyle name="SAPBEXexcGood2 7" xfId="1284"/>
    <cellStyle name="SAPBEXexcGood2 8" xfId="10171"/>
    <cellStyle name="SAPBEXexcGood3" xfId="1285"/>
    <cellStyle name="SAPBEXexcGood3 2" xfId="1286"/>
    <cellStyle name="SAPBEXexcGood3 2 2" xfId="1287"/>
    <cellStyle name="SAPBEXexcGood3 2 3" xfId="2013"/>
    <cellStyle name="SAPBEXexcGood3 3" xfId="1288"/>
    <cellStyle name="SAPBEXexcGood3 3 2" xfId="1289"/>
    <cellStyle name="SAPBEXexcGood3 4" xfId="1290"/>
    <cellStyle name="SAPBEXexcGood3 5" xfId="1291"/>
    <cellStyle name="SAPBEXexcGood3 6" xfId="1292"/>
    <cellStyle name="SAPBEXexcGood3 7" xfId="1293"/>
    <cellStyle name="SAPBEXexcGood3 8" xfId="10172"/>
    <cellStyle name="SAPBEXfilterDrill" xfId="1294"/>
    <cellStyle name="SAPBEXfilterDrill 10" xfId="2116"/>
    <cellStyle name="SAPBEXfilterDrill 10 2" xfId="4296"/>
    <cellStyle name="SAPBEXfilterDrill 10 2 2" xfId="7109"/>
    <cellStyle name="SAPBEXfilterDrill 10 3" xfId="5580"/>
    <cellStyle name="SAPBEXfilterDrill 10 3 2" xfId="6567"/>
    <cellStyle name="SAPBEXfilterDrill 10 4" xfId="7554"/>
    <cellStyle name="SAPBEXfilterDrill 11" xfId="2836"/>
    <cellStyle name="SAPBEXfilterDrill 11 2" xfId="3601"/>
    <cellStyle name="SAPBEXfilterDrill 11 2 2" xfId="7954"/>
    <cellStyle name="SAPBEXfilterDrill 11 3" xfId="5768"/>
    <cellStyle name="SAPBEXfilterDrill 11 3 2" xfId="7000"/>
    <cellStyle name="SAPBEXfilterDrill 11 4" xfId="9556"/>
    <cellStyle name="SAPBEXfilterDrill 12" xfId="2752"/>
    <cellStyle name="SAPBEXfilterDrill 12 2" xfId="3607"/>
    <cellStyle name="SAPBEXfilterDrill 12 2 2" xfId="9305"/>
    <cellStyle name="SAPBEXfilterDrill 12 3" xfId="5704"/>
    <cellStyle name="SAPBEXfilterDrill 12 3 2" xfId="7083"/>
    <cellStyle name="SAPBEXfilterDrill 12 4" xfId="7332"/>
    <cellStyle name="SAPBEXfilterDrill 13" xfId="3070"/>
    <cellStyle name="SAPBEXfilterDrill 13 2" xfId="4084"/>
    <cellStyle name="SAPBEXfilterDrill 13 2 2" xfId="8663"/>
    <cellStyle name="SAPBEXfilterDrill 13 3" xfId="5969"/>
    <cellStyle name="SAPBEXfilterDrill 13 3 2" xfId="9863"/>
    <cellStyle name="SAPBEXfilterDrill 13 4" xfId="9226"/>
    <cellStyle name="SAPBEXfilterDrill 14" xfId="3305"/>
    <cellStyle name="SAPBEXfilterDrill 14 2" xfId="3549"/>
    <cellStyle name="SAPBEXfilterDrill 14 2 2" xfId="7915"/>
    <cellStyle name="SAPBEXfilterDrill 14 3" xfId="6174"/>
    <cellStyle name="SAPBEXfilterDrill 14 3 2" xfId="10068"/>
    <cellStyle name="SAPBEXfilterDrill 14 4" xfId="8576"/>
    <cellStyle name="SAPBEXfilterDrill 15" xfId="3410"/>
    <cellStyle name="SAPBEXfilterDrill 15 2" xfId="4983"/>
    <cellStyle name="SAPBEXfilterDrill 15 2 2" xfId="7655"/>
    <cellStyle name="SAPBEXfilterDrill 15 3" xfId="8550"/>
    <cellStyle name="SAPBEXfilterDrill 16" xfId="4178"/>
    <cellStyle name="SAPBEXfilterDrill 16 2" xfId="9647"/>
    <cellStyle name="SAPBEXfilterDrill 17" xfId="6426"/>
    <cellStyle name="SAPBEXfilterDrill 2" xfId="1295"/>
    <cellStyle name="SAPBEXfilterDrill 2 2" xfId="1296"/>
    <cellStyle name="SAPBEXfilterDrill 2 3" xfId="2015"/>
    <cellStyle name="SAPBEXfilterDrill 2 3 2" xfId="2094"/>
    <cellStyle name="SAPBEXfilterDrill 2 3 2 2" xfId="3282"/>
    <cellStyle name="SAPBEXfilterDrill 2 3 2 2 2" xfId="3680"/>
    <cellStyle name="SAPBEXfilterDrill 2 3 2 2 2 2" xfId="9430"/>
    <cellStyle name="SAPBEXfilterDrill 2 3 2 2 3" xfId="7876"/>
    <cellStyle name="SAPBEXfilterDrill 2 3 2 3" xfId="4682"/>
    <cellStyle name="SAPBEXfilterDrill 2 3 2 3 2" xfId="6564"/>
    <cellStyle name="SAPBEXfilterDrill 2 3 2 4" xfId="5571"/>
    <cellStyle name="SAPBEXfilterDrill 2 3 2 4 2" xfId="7517"/>
    <cellStyle name="SAPBEXfilterDrill 2 3 2 5" xfId="9310"/>
    <cellStyle name="SAPBEXfilterDrill 2 3 3" xfId="2546"/>
    <cellStyle name="SAPBEXfilterDrill 2 3 3 2" xfId="4598"/>
    <cellStyle name="SAPBEXfilterDrill 2 3 3 2 2" xfId="7470"/>
    <cellStyle name="SAPBEXfilterDrill 2 3 3 3" xfId="5702"/>
    <cellStyle name="SAPBEXfilterDrill 2 3 3 3 2" xfId="6943"/>
    <cellStyle name="SAPBEXfilterDrill 2 3 3 4" xfId="6822"/>
    <cellStyle name="SAPBEXfilterDrill 2 3 4" xfId="3110"/>
    <cellStyle name="SAPBEXfilterDrill 2 3 4 2" xfId="3743"/>
    <cellStyle name="SAPBEXfilterDrill 2 3 4 2 2" xfId="6385"/>
    <cellStyle name="SAPBEXfilterDrill 2 3 4 3" xfId="6006"/>
    <cellStyle name="SAPBEXfilterDrill 2 3 4 3 2" xfId="9900"/>
    <cellStyle name="SAPBEXfilterDrill 2 3 4 4" xfId="7459"/>
    <cellStyle name="SAPBEXfilterDrill 2 3 5" xfId="3320"/>
    <cellStyle name="SAPBEXfilterDrill 2 3 5 2" xfId="3535"/>
    <cellStyle name="SAPBEXfilterDrill 2 3 5 2 2" xfId="7327"/>
    <cellStyle name="SAPBEXfilterDrill 2 3 5 3" xfId="6188"/>
    <cellStyle name="SAPBEXfilterDrill 2 3 5 3 2" xfId="10082"/>
    <cellStyle name="SAPBEXfilterDrill 2 3 5 4" xfId="9253"/>
    <cellStyle name="SAPBEXfilterDrill 2 3 6" xfId="3366"/>
    <cellStyle name="SAPBEXfilterDrill 2 3 6 2" xfId="4955"/>
    <cellStyle name="SAPBEXfilterDrill 2 3 6 2 2" xfId="9690"/>
    <cellStyle name="SAPBEXfilterDrill 2 3 6 3" xfId="6231"/>
    <cellStyle name="SAPBEXfilterDrill 2 3 6 3 2" xfId="10125"/>
    <cellStyle name="SAPBEXfilterDrill 2 3 6 4" xfId="9520"/>
    <cellStyle name="SAPBEXfilterDrill 2 3 7" xfId="3513"/>
    <cellStyle name="SAPBEXfilterDrill 2 3 7 2" xfId="5083"/>
    <cellStyle name="SAPBEXfilterDrill 2 3 7 2 2" xfId="9330"/>
    <cellStyle name="SAPBEXfilterDrill 2 3 7 3" xfId="9185"/>
    <cellStyle name="SAPBEXfilterDrill 2 3 8" xfId="4066"/>
    <cellStyle name="SAPBEXfilterDrill 2 3 8 2" xfId="8746"/>
    <cellStyle name="SAPBEXfilterDrill 2 3 9" xfId="7989"/>
    <cellStyle name="SAPBEXfilterDrill 3" xfId="1297"/>
    <cellStyle name="SAPBEXfilterDrill 3 2" xfId="1298"/>
    <cellStyle name="SAPBEXfilterDrill 3 2 10" xfId="3411"/>
    <cellStyle name="SAPBEXfilterDrill 3 2 10 2" xfId="4984"/>
    <cellStyle name="SAPBEXfilterDrill 3 2 10 2 2" xfId="8257"/>
    <cellStyle name="SAPBEXfilterDrill 3 2 10 3" xfId="9589"/>
    <cellStyle name="SAPBEXfilterDrill 3 2 11" xfId="3999"/>
    <cellStyle name="SAPBEXfilterDrill 3 2 11 2" xfId="8004"/>
    <cellStyle name="SAPBEXfilterDrill 3 2 12" xfId="6894"/>
    <cellStyle name="SAPBEXfilterDrill 3 2 2" xfId="1756"/>
    <cellStyle name="SAPBEXfilterDrill 3 2 2 10" xfId="3485"/>
    <cellStyle name="SAPBEXfilterDrill 3 2 2 10 2" xfId="5055"/>
    <cellStyle name="SAPBEXfilterDrill 3 2 2 10 2 2" xfId="9372"/>
    <cellStyle name="SAPBEXfilterDrill 3 2 2 10 3" xfId="8497"/>
    <cellStyle name="SAPBEXfilterDrill 3 2 2 11" xfId="4240"/>
    <cellStyle name="SAPBEXfilterDrill 3 2 2 11 2" xfId="6486"/>
    <cellStyle name="SAPBEXfilterDrill 3 2 2 12" xfId="6448"/>
    <cellStyle name="SAPBEXfilterDrill 3 2 2 2" xfId="1705"/>
    <cellStyle name="SAPBEXfilterDrill 3 2 2 2 10" xfId="6350"/>
    <cellStyle name="SAPBEXfilterDrill 3 2 2 2 2" xfId="2450"/>
    <cellStyle name="SAPBEXfilterDrill 3 2 2 2 2 2" xfId="2584"/>
    <cellStyle name="SAPBEXfilterDrill 3 2 2 2 2 2 2" xfId="4681"/>
    <cellStyle name="SAPBEXfilterDrill 3 2 2 2 2 2 2 2" xfId="8709"/>
    <cellStyle name="SAPBEXfilterDrill 3 2 2 2 2 2 3" xfId="6845"/>
    <cellStyle name="SAPBEXfilterDrill 3 2 2 2 2 3" xfId="4477"/>
    <cellStyle name="SAPBEXfilterDrill 3 2 2 2 2 3 2" xfId="7618"/>
    <cellStyle name="SAPBEXfilterDrill 3 2 2 2 2 4" xfId="6337"/>
    <cellStyle name="SAPBEXfilterDrill 3 2 2 2 3" xfId="2201"/>
    <cellStyle name="SAPBEXfilterDrill 3 2 2 2 3 2" xfId="2955"/>
    <cellStyle name="SAPBEXfilterDrill 3 2 2 2 3 2 2" xfId="3829"/>
    <cellStyle name="SAPBEXfilterDrill 3 2 2 2 3 2 2 2" xfId="8447"/>
    <cellStyle name="SAPBEXfilterDrill 3 2 2 2 3 2 3" xfId="6510"/>
    <cellStyle name="SAPBEXfilterDrill 3 2 2 2 3 3" xfId="4834"/>
    <cellStyle name="SAPBEXfilterDrill 3 2 2 2 3 3 2" xfId="6688"/>
    <cellStyle name="SAPBEXfilterDrill 3 2 2 2 3 4" xfId="5609"/>
    <cellStyle name="SAPBEXfilterDrill 3 2 2 2 3 4 2" xfId="6905"/>
    <cellStyle name="SAPBEXfilterDrill 3 2 2 2 3 5" xfId="9229"/>
    <cellStyle name="SAPBEXfilterDrill 3 2 2 2 4" xfId="2330"/>
    <cellStyle name="SAPBEXfilterDrill 3 2 2 2 4 2" xfId="4622"/>
    <cellStyle name="SAPBEXfilterDrill 3 2 2 2 4 2 2" xfId="9517"/>
    <cellStyle name="SAPBEXfilterDrill 3 2 2 2 4 3" xfId="5666"/>
    <cellStyle name="SAPBEXfilterDrill 3 2 2 2 4 3 2" xfId="7789"/>
    <cellStyle name="SAPBEXfilterDrill 3 2 2 2 4 4" xfId="8341"/>
    <cellStyle name="SAPBEXfilterDrill 3 2 2 2 5" xfId="3313"/>
    <cellStyle name="SAPBEXfilterDrill 3 2 2 2 5 2" xfId="3541"/>
    <cellStyle name="SAPBEXfilterDrill 3 2 2 2 5 2 2" xfId="6278"/>
    <cellStyle name="SAPBEXfilterDrill 3 2 2 2 5 3" xfId="6182"/>
    <cellStyle name="SAPBEXfilterDrill 3 2 2 2 5 3 2" xfId="10076"/>
    <cellStyle name="SAPBEXfilterDrill 3 2 2 2 5 4" xfId="9567"/>
    <cellStyle name="SAPBEXfilterDrill 3 2 2 2 6" xfId="3271"/>
    <cellStyle name="SAPBEXfilterDrill 3 2 2 2 6 2" xfId="4186"/>
    <cellStyle name="SAPBEXfilterDrill 3 2 2 2 6 2 2" xfId="6707"/>
    <cellStyle name="SAPBEXfilterDrill 3 2 2 2 6 3" xfId="6146"/>
    <cellStyle name="SAPBEXfilterDrill 3 2 2 2 6 3 2" xfId="10040"/>
    <cellStyle name="SAPBEXfilterDrill 3 2 2 2 6 4" xfId="6739"/>
    <cellStyle name="SAPBEXfilterDrill 3 2 2 2 7" xfId="3275"/>
    <cellStyle name="SAPBEXfilterDrill 3 2 2 2 7 2" xfId="3682"/>
    <cellStyle name="SAPBEXfilterDrill 3 2 2 2 7 2 2" xfId="6579"/>
    <cellStyle name="SAPBEXfilterDrill 3 2 2 2 7 3" xfId="6150"/>
    <cellStyle name="SAPBEXfilterDrill 3 2 2 2 7 3 2" xfId="10044"/>
    <cellStyle name="SAPBEXfilterDrill 3 2 2 2 7 4" xfId="7597"/>
    <cellStyle name="SAPBEXfilterDrill 3 2 2 2 8" xfId="3449"/>
    <cellStyle name="SAPBEXfilterDrill 3 2 2 2 8 2" xfId="5019"/>
    <cellStyle name="SAPBEXfilterDrill 3 2 2 2 8 2 2" xfId="8869"/>
    <cellStyle name="SAPBEXfilterDrill 3 2 2 2 8 3" xfId="8559"/>
    <cellStyle name="SAPBEXfilterDrill 3 2 2 2 9" xfId="3650"/>
    <cellStyle name="SAPBEXfilterDrill 3 2 2 2 9 2" xfId="9504"/>
    <cellStyle name="SAPBEXfilterDrill 3 2 2 3" xfId="2471"/>
    <cellStyle name="SAPBEXfilterDrill 3 2 2 3 2" xfId="2594"/>
    <cellStyle name="SAPBEXfilterDrill 3 2 2 3 2 2" xfId="4672"/>
    <cellStyle name="SAPBEXfilterDrill 3 2 2 3 2 2 2" xfId="7740"/>
    <cellStyle name="SAPBEXfilterDrill 3 2 2 3 2 3" xfId="6297"/>
    <cellStyle name="SAPBEXfilterDrill 3 2 2 3 3" xfId="4814"/>
    <cellStyle name="SAPBEXfilterDrill 3 2 2 3 3 2" xfId="9488"/>
    <cellStyle name="SAPBEXfilterDrill 3 2 2 3 4" xfId="5180"/>
    <cellStyle name="SAPBEXfilterDrill 3 2 2 3 4 2" xfId="9473"/>
    <cellStyle name="SAPBEXfilterDrill 3 2 2 3 5" xfId="7281"/>
    <cellStyle name="SAPBEXfilterDrill 3 2 2 4" xfId="2184"/>
    <cellStyle name="SAPBEXfilterDrill 3 2 2 4 2" xfId="2697"/>
    <cellStyle name="SAPBEXfilterDrill 3 2 2 4 2 2" xfId="3956"/>
    <cellStyle name="SAPBEXfilterDrill 3 2 2 4 2 2 2" xfId="9012"/>
    <cellStyle name="SAPBEXfilterDrill 3 2 2 4 2 3" xfId="7661"/>
    <cellStyle name="SAPBEXfilterDrill 3 2 2 4 3" xfId="4635"/>
    <cellStyle name="SAPBEXfilterDrill 3 2 2 4 3 2" xfId="9233"/>
    <cellStyle name="SAPBEXfilterDrill 3 2 2 4 4" xfId="5553"/>
    <cellStyle name="SAPBEXfilterDrill 3 2 2 4 4 2" xfId="7047"/>
    <cellStyle name="SAPBEXfilterDrill 3 2 2 4 5" xfId="6544"/>
    <cellStyle name="SAPBEXfilterDrill 3 2 2 5" xfId="2260"/>
    <cellStyle name="SAPBEXfilterDrill 3 2 2 5 2" xfId="4424"/>
    <cellStyle name="SAPBEXfilterDrill 3 2 2 5 2 2" xfId="8072"/>
    <cellStyle name="SAPBEXfilterDrill 3 2 2 5 3" xfId="5634"/>
    <cellStyle name="SAPBEXfilterDrill 3 2 2 5 3 2" xfId="6695"/>
    <cellStyle name="SAPBEXfilterDrill 3 2 2 5 4" xfId="9230"/>
    <cellStyle name="SAPBEXfilterDrill 3 2 2 6" xfId="3060"/>
    <cellStyle name="SAPBEXfilterDrill 3 2 2 6 2" xfId="4141"/>
    <cellStyle name="SAPBEXfilterDrill 3 2 2 6 2 2" xfId="6919"/>
    <cellStyle name="SAPBEXfilterDrill 3 2 2 6 3" xfId="5960"/>
    <cellStyle name="SAPBEXfilterDrill 3 2 2 6 3 2" xfId="9854"/>
    <cellStyle name="SAPBEXfilterDrill 3 2 2 6 4" xfId="6992"/>
    <cellStyle name="SAPBEXfilterDrill 3 2 2 7" xfId="3130"/>
    <cellStyle name="SAPBEXfilterDrill 3 2 2 7 2" xfId="3725"/>
    <cellStyle name="SAPBEXfilterDrill 3 2 2 7 2 2" xfId="9748"/>
    <cellStyle name="SAPBEXfilterDrill 3 2 2 7 3" xfId="6026"/>
    <cellStyle name="SAPBEXfilterDrill 3 2 2 7 3 2" xfId="9920"/>
    <cellStyle name="SAPBEXfilterDrill 3 2 2 7 4" xfId="7767"/>
    <cellStyle name="SAPBEXfilterDrill 3 2 2 8" xfId="3312"/>
    <cellStyle name="SAPBEXfilterDrill 3 2 2 8 2" xfId="3542"/>
    <cellStyle name="SAPBEXfilterDrill 3 2 2 8 2 2" xfId="9475"/>
    <cellStyle name="SAPBEXfilterDrill 3 2 2 8 3" xfId="6181"/>
    <cellStyle name="SAPBEXfilterDrill 3 2 2 8 3 2" xfId="10075"/>
    <cellStyle name="SAPBEXfilterDrill 3 2 2 8 4" xfId="7086"/>
    <cellStyle name="SAPBEXfilterDrill 3 2 2 9" xfId="3052"/>
    <cellStyle name="SAPBEXfilterDrill 3 2 2 9 2" xfId="4211"/>
    <cellStyle name="SAPBEXfilterDrill 3 2 2 9 2 2" xfId="9757"/>
    <cellStyle name="SAPBEXfilterDrill 3 2 2 9 3" xfId="5953"/>
    <cellStyle name="SAPBEXfilterDrill 3 2 2 9 3 2" xfId="9847"/>
    <cellStyle name="SAPBEXfilterDrill 3 2 2 9 4" xfId="7019"/>
    <cellStyle name="SAPBEXfilterDrill 3 2 3" xfId="2406"/>
    <cellStyle name="SAPBEXfilterDrill 3 2 3 2" xfId="2548"/>
    <cellStyle name="SAPBEXfilterDrill 3 2 3 2 2" xfId="4181"/>
    <cellStyle name="SAPBEXfilterDrill 3 2 3 2 2 2" xfId="9489"/>
    <cellStyle name="SAPBEXfilterDrill 3 2 3 2 3" xfId="7060"/>
    <cellStyle name="SAPBEXfilterDrill 3 2 3 3" xfId="4870"/>
    <cellStyle name="SAPBEXfilterDrill 3 2 3 3 2" xfId="7330"/>
    <cellStyle name="SAPBEXfilterDrill 3 2 3 4" xfId="5355"/>
    <cellStyle name="SAPBEXfilterDrill 3 2 3 4 2" xfId="7078"/>
    <cellStyle name="SAPBEXfilterDrill 3 2 3 5" xfId="6814"/>
    <cellStyle name="SAPBEXfilterDrill 3 2 4" xfId="2234"/>
    <cellStyle name="SAPBEXfilterDrill 3 2 4 2" xfId="2637"/>
    <cellStyle name="SAPBEXfilterDrill 3 2 4 2 2" xfId="4438"/>
    <cellStyle name="SAPBEXfilterDrill 3 2 4 2 2 2" xfId="9112"/>
    <cellStyle name="SAPBEXfilterDrill 3 2 4 2 3" xfId="8017"/>
    <cellStyle name="SAPBEXfilterDrill 3 2 4 3" xfId="4698"/>
    <cellStyle name="SAPBEXfilterDrill 3 2 4 3 2" xfId="9140"/>
    <cellStyle name="SAPBEXfilterDrill 3 2 4 4" xfId="5468"/>
    <cellStyle name="SAPBEXfilterDrill 3 2 4 4 2" xfId="7872"/>
    <cellStyle name="SAPBEXfilterDrill 3 2 4 5" xfId="8199"/>
    <cellStyle name="SAPBEXfilterDrill 3 2 5" xfId="2235"/>
    <cellStyle name="SAPBEXfilterDrill 3 2 5 2" xfId="4670"/>
    <cellStyle name="SAPBEXfilterDrill 3 2 5 2 2" xfId="9689"/>
    <cellStyle name="SAPBEXfilterDrill 3 2 5 3" xfId="5630"/>
    <cellStyle name="SAPBEXfilterDrill 3 2 5 3 2" xfId="6766"/>
    <cellStyle name="SAPBEXfilterDrill 3 2 5 4" xfId="9322"/>
    <cellStyle name="SAPBEXfilterDrill 3 2 6" xfId="3300"/>
    <cellStyle name="SAPBEXfilterDrill 3 2 6 2" xfId="3672"/>
    <cellStyle name="SAPBEXfilterDrill 3 2 6 2 2" xfId="7708"/>
    <cellStyle name="SAPBEXfilterDrill 3 2 6 3" xfId="6169"/>
    <cellStyle name="SAPBEXfilterDrill 3 2 6 3 2" xfId="10063"/>
    <cellStyle name="SAPBEXfilterDrill 3 2 6 4" xfId="7033"/>
    <cellStyle name="SAPBEXfilterDrill 3 2 7" xfId="3009"/>
    <cellStyle name="SAPBEXfilterDrill 3 2 7 2" xfId="4143"/>
    <cellStyle name="SAPBEXfilterDrill 3 2 7 2 2" xfId="9080"/>
    <cellStyle name="SAPBEXfilterDrill 3 2 7 3" xfId="5911"/>
    <cellStyle name="SAPBEXfilterDrill 3 2 7 3 2" xfId="9805"/>
    <cellStyle name="SAPBEXfilterDrill 3 2 7 4" xfId="6812"/>
    <cellStyle name="SAPBEXfilterDrill 3 2 8" xfId="3308"/>
    <cellStyle name="SAPBEXfilterDrill 3 2 8 2" xfId="3546"/>
    <cellStyle name="SAPBEXfilterDrill 3 2 8 2 2" xfId="6346"/>
    <cellStyle name="SAPBEXfilterDrill 3 2 8 3" xfId="6177"/>
    <cellStyle name="SAPBEXfilterDrill 3 2 8 3 2" xfId="10071"/>
    <cellStyle name="SAPBEXfilterDrill 3 2 8 4" xfId="8756"/>
    <cellStyle name="SAPBEXfilterDrill 3 2 9" xfId="3080"/>
    <cellStyle name="SAPBEXfilterDrill 3 2 9 2" xfId="4209"/>
    <cellStyle name="SAPBEXfilterDrill 3 2 9 2 2" xfId="9142"/>
    <cellStyle name="SAPBEXfilterDrill 3 2 9 3" xfId="5977"/>
    <cellStyle name="SAPBEXfilterDrill 3 2 9 3 2" xfId="9871"/>
    <cellStyle name="SAPBEXfilterDrill 3 2 9 4" xfId="8006"/>
    <cellStyle name="SAPBEXfilterDrill 4" xfId="1299"/>
    <cellStyle name="SAPBEXfilterDrill 5" xfId="1300"/>
    <cellStyle name="SAPBEXfilterDrill 6" xfId="1301"/>
    <cellStyle name="SAPBEXfilterDrill 6 10" xfId="3412"/>
    <cellStyle name="SAPBEXfilterDrill 6 10 2" xfId="4985"/>
    <cellStyle name="SAPBEXfilterDrill 6 10 2 2" xfId="9492"/>
    <cellStyle name="SAPBEXfilterDrill 6 10 3" xfId="8673"/>
    <cellStyle name="SAPBEXfilterDrill 6 11" xfId="3998"/>
    <cellStyle name="SAPBEXfilterDrill 6 11 2" xfId="9715"/>
    <cellStyle name="SAPBEXfilterDrill 6 12" xfId="6257"/>
    <cellStyle name="SAPBEXfilterDrill 6 2" xfId="1757"/>
    <cellStyle name="SAPBEXfilterDrill 6 2 10" xfId="3486"/>
    <cellStyle name="SAPBEXfilterDrill 6 2 10 2" xfId="5056"/>
    <cellStyle name="SAPBEXfilterDrill 6 2 10 2 2" xfId="8849"/>
    <cellStyle name="SAPBEXfilterDrill 6 2 10 3" xfId="6961"/>
    <cellStyle name="SAPBEXfilterDrill 6 2 11" xfId="3989"/>
    <cellStyle name="SAPBEXfilterDrill 6 2 11 2" xfId="9697"/>
    <cellStyle name="SAPBEXfilterDrill 6 2 12" xfId="7958"/>
    <cellStyle name="SAPBEXfilterDrill 6 2 2" xfId="1745"/>
    <cellStyle name="SAPBEXfilterDrill 6 2 2 10" xfId="6626"/>
    <cellStyle name="SAPBEXfilterDrill 6 2 2 2" xfId="2461"/>
    <cellStyle name="SAPBEXfilterDrill 6 2 2 2 2" xfId="2587"/>
    <cellStyle name="SAPBEXfilterDrill 6 2 2 2 2 2" xfId="4745"/>
    <cellStyle name="SAPBEXfilterDrill 6 2 2 2 2 2 2" xfId="8984"/>
    <cellStyle name="SAPBEXfilterDrill 6 2 2 2 2 3" xfId="8544"/>
    <cellStyle name="SAPBEXfilterDrill 6 2 2 2 3" xfId="4298"/>
    <cellStyle name="SAPBEXfilterDrill 6 2 2 2 3 2" xfId="9720"/>
    <cellStyle name="SAPBEXfilterDrill 6 2 2 2 4" xfId="8037"/>
    <cellStyle name="SAPBEXfilterDrill 6 2 2 3" xfId="2342"/>
    <cellStyle name="SAPBEXfilterDrill 6 2 2 3 2" xfId="2938"/>
    <cellStyle name="SAPBEXfilterDrill 6 2 2 3 2 2" xfId="3844"/>
    <cellStyle name="SAPBEXfilterDrill 6 2 2 3 2 2 2" xfId="8397"/>
    <cellStyle name="SAPBEXfilterDrill 6 2 2 3 2 3" xfId="7447"/>
    <cellStyle name="SAPBEXfilterDrill 6 2 2 3 3" xfId="4886"/>
    <cellStyle name="SAPBEXfilterDrill 6 2 2 3 3 2" xfId="8208"/>
    <cellStyle name="SAPBEXfilterDrill 6 2 2 3 4" xfId="5673"/>
    <cellStyle name="SAPBEXfilterDrill 6 2 2 3 4 2" xfId="6735"/>
    <cellStyle name="SAPBEXfilterDrill 6 2 2 3 5" xfId="6738"/>
    <cellStyle name="SAPBEXfilterDrill 6 2 2 4" xfId="2162"/>
    <cellStyle name="SAPBEXfilterDrill 6 2 2 4 2" xfId="3978"/>
    <cellStyle name="SAPBEXfilterDrill 6 2 2 4 2 2" xfId="8641"/>
    <cellStyle name="SAPBEXfilterDrill 6 2 2 4 3" xfId="5594"/>
    <cellStyle name="SAPBEXfilterDrill 6 2 2 4 3 2" xfId="7571"/>
    <cellStyle name="SAPBEXfilterDrill 6 2 2 4 4" xfId="7602"/>
    <cellStyle name="SAPBEXfilterDrill 6 2 2 5" xfId="2872"/>
    <cellStyle name="SAPBEXfilterDrill 6 2 2 5 2" xfId="3878"/>
    <cellStyle name="SAPBEXfilterDrill 6 2 2 5 2 2" xfId="6794"/>
    <cellStyle name="SAPBEXfilterDrill 6 2 2 5 3" xfId="5803"/>
    <cellStyle name="SAPBEXfilterDrill 6 2 2 5 3 2" xfId="7772"/>
    <cellStyle name="SAPBEXfilterDrill 6 2 2 5 4" xfId="8696"/>
    <cellStyle name="SAPBEXfilterDrill 6 2 2 6" xfId="3191"/>
    <cellStyle name="SAPBEXfilterDrill 6 2 2 6 2" xfId="3704"/>
    <cellStyle name="SAPBEXfilterDrill 6 2 2 6 2 2" xfId="9438"/>
    <cellStyle name="SAPBEXfilterDrill 6 2 2 6 3" xfId="6081"/>
    <cellStyle name="SAPBEXfilterDrill 6 2 2 6 3 2" xfId="9975"/>
    <cellStyle name="SAPBEXfilterDrill 6 2 2 6 4" xfId="6622"/>
    <cellStyle name="SAPBEXfilterDrill 6 2 2 7" xfId="3362"/>
    <cellStyle name="SAPBEXfilterDrill 6 2 2 7 2" xfId="4952"/>
    <cellStyle name="SAPBEXfilterDrill 6 2 2 7 2 2" xfId="9170"/>
    <cellStyle name="SAPBEXfilterDrill 6 2 2 7 3" xfId="6228"/>
    <cellStyle name="SAPBEXfilterDrill 6 2 2 7 3 2" xfId="10122"/>
    <cellStyle name="SAPBEXfilterDrill 6 2 2 7 4" xfId="7438"/>
    <cellStyle name="SAPBEXfilterDrill 6 2 2 8" xfId="3478"/>
    <cellStyle name="SAPBEXfilterDrill 6 2 2 8 2" xfId="5048"/>
    <cellStyle name="SAPBEXfilterDrill 6 2 2 8 2 2" xfId="6587"/>
    <cellStyle name="SAPBEXfilterDrill 6 2 2 8 3" xfId="9431"/>
    <cellStyle name="SAPBEXfilterDrill 6 2 2 9" xfId="3622"/>
    <cellStyle name="SAPBEXfilterDrill 6 2 2 9 2" xfId="8565"/>
    <cellStyle name="SAPBEXfilterDrill 6 2 3" xfId="2472"/>
    <cellStyle name="SAPBEXfilterDrill 6 2 3 2" xfId="2595"/>
    <cellStyle name="SAPBEXfilterDrill 6 2 3 2 2" xfId="4706"/>
    <cellStyle name="SAPBEXfilterDrill 6 2 3 2 2 2" xfId="6360"/>
    <cellStyle name="SAPBEXfilterDrill 6 2 3 2 3" xfId="8206"/>
    <cellStyle name="SAPBEXfilterDrill 6 2 3 3" xfId="4750"/>
    <cellStyle name="SAPBEXfilterDrill 6 2 3 3 2" xfId="9195"/>
    <cellStyle name="SAPBEXfilterDrill 6 2 3 4" xfId="5279"/>
    <cellStyle name="SAPBEXfilterDrill 6 2 3 4 2" xfId="7024"/>
    <cellStyle name="SAPBEXfilterDrill 6 2 3 5" xfId="6324"/>
    <cellStyle name="SAPBEXfilterDrill 6 2 4" xfId="2183"/>
    <cellStyle name="SAPBEXfilterDrill 6 2 4 2" xfId="2698"/>
    <cellStyle name="SAPBEXfilterDrill 6 2 4 2 2" xfId="3955"/>
    <cellStyle name="SAPBEXfilterDrill 6 2 4 2 2 2" xfId="7890"/>
    <cellStyle name="SAPBEXfilterDrill 6 2 4 2 3" xfId="7732"/>
    <cellStyle name="SAPBEXfilterDrill 6 2 4 3" xfId="4717"/>
    <cellStyle name="SAPBEXfilterDrill 6 2 4 3 2" xfId="9086"/>
    <cellStyle name="SAPBEXfilterDrill 6 2 4 4" xfId="5554"/>
    <cellStyle name="SAPBEXfilterDrill 6 2 4 4 2" xfId="7032"/>
    <cellStyle name="SAPBEXfilterDrill 6 2 4 5" xfId="6485"/>
    <cellStyle name="SAPBEXfilterDrill 6 2 5" xfId="2170"/>
    <cellStyle name="SAPBEXfilterDrill 6 2 5 2" xfId="4470"/>
    <cellStyle name="SAPBEXfilterDrill 6 2 5 2 2" xfId="9073"/>
    <cellStyle name="SAPBEXfilterDrill 6 2 5 3" xfId="5601"/>
    <cellStyle name="SAPBEXfilterDrill 6 2 5 3 2" xfId="7650"/>
    <cellStyle name="SAPBEXfilterDrill 6 2 5 4" xfId="9288"/>
    <cellStyle name="SAPBEXfilterDrill 6 2 6" xfId="3061"/>
    <cellStyle name="SAPBEXfilterDrill 6 2 6 2" xfId="4093"/>
    <cellStyle name="SAPBEXfilterDrill 6 2 6 2 2" xfId="9285"/>
    <cellStyle name="SAPBEXfilterDrill 6 2 6 3" xfId="5961"/>
    <cellStyle name="SAPBEXfilterDrill 6 2 6 3 2" xfId="9855"/>
    <cellStyle name="SAPBEXfilterDrill 6 2 6 4" xfId="6329"/>
    <cellStyle name="SAPBEXfilterDrill 6 2 7" xfId="3329"/>
    <cellStyle name="SAPBEXfilterDrill 6 2 7 2" xfId="4920"/>
    <cellStyle name="SAPBEXfilterDrill 6 2 7 2 2" xfId="9394"/>
    <cellStyle name="SAPBEXfilterDrill 6 2 7 3" xfId="6196"/>
    <cellStyle name="SAPBEXfilterDrill 6 2 7 3 2" xfId="10090"/>
    <cellStyle name="SAPBEXfilterDrill 6 2 7 4" xfId="7183"/>
    <cellStyle name="SAPBEXfilterDrill 6 2 8" xfId="2798"/>
    <cellStyle name="SAPBEXfilterDrill 6 2 8 2" xfId="3918"/>
    <cellStyle name="SAPBEXfilterDrill 6 2 8 2 2" xfId="9677"/>
    <cellStyle name="SAPBEXfilterDrill 6 2 8 3" xfId="5732"/>
    <cellStyle name="SAPBEXfilterDrill 6 2 8 3 2" xfId="6328"/>
    <cellStyle name="SAPBEXfilterDrill 6 2 8 4" xfId="6429"/>
    <cellStyle name="SAPBEXfilterDrill 6 2 9" xfId="3051"/>
    <cellStyle name="SAPBEXfilterDrill 6 2 9 2" xfId="4210"/>
    <cellStyle name="SAPBEXfilterDrill 6 2 9 2 2" xfId="8398"/>
    <cellStyle name="SAPBEXfilterDrill 6 2 9 3" xfId="5952"/>
    <cellStyle name="SAPBEXfilterDrill 6 2 9 3 2" xfId="9846"/>
    <cellStyle name="SAPBEXfilterDrill 6 2 9 4" xfId="9254"/>
    <cellStyle name="SAPBEXfilterDrill 6 3" xfId="2407"/>
    <cellStyle name="SAPBEXfilterDrill 6 3 2" xfId="2549"/>
    <cellStyle name="SAPBEXfilterDrill 6 3 2 2" xfId="4884"/>
    <cellStyle name="SAPBEXfilterDrill 6 3 2 2 2" xfId="9109"/>
    <cellStyle name="SAPBEXfilterDrill 6 3 2 3" xfId="9208"/>
    <cellStyle name="SAPBEXfilterDrill 6 3 3" xfId="3983"/>
    <cellStyle name="SAPBEXfilterDrill 6 3 3 2" xfId="9385"/>
    <cellStyle name="SAPBEXfilterDrill 6 3 4" xfId="5343"/>
    <cellStyle name="SAPBEXfilterDrill 6 3 4 2" xfId="7795"/>
    <cellStyle name="SAPBEXfilterDrill 6 3 5" xfId="6956"/>
    <cellStyle name="SAPBEXfilterDrill 6 4" xfId="2349"/>
    <cellStyle name="SAPBEXfilterDrill 6 4 2" xfId="2636"/>
    <cellStyle name="SAPBEXfilterDrill 6 4 2 2" xfId="4700"/>
    <cellStyle name="SAPBEXfilterDrill 6 4 2 2 2" xfId="9633"/>
    <cellStyle name="SAPBEXfilterDrill 6 4 2 3" xfId="8157"/>
    <cellStyle name="SAPBEXfilterDrill 6 4 3" xfId="4751"/>
    <cellStyle name="SAPBEXfilterDrill 6 4 3 2" xfId="7968"/>
    <cellStyle name="SAPBEXfilterDrill 6 4 4" xfId="5467"/>
    <cellStyle name="SAPBEXfilterDrill 6 4 4 2" xfId="6479"/>
    <cellStyle name="SAPBEXfilterDrill 6 4 5" xfId="8492"/>
    <cellStyle name="SAPBEXfilterDrill 6 5" xfId="2367"/>
    <cellStyle name="SAPBEXfilterDrill 6 5 2" xfId="4811"/>
    <cellStyle name="SAPBEXfilterDrill 6 5 2 2" xfId="9576"/>
    <cellStyle name="SAPBEXfilterDrill 6 5 3" xfId="5685"/>
    <cellStyle name="SAPBEXfilterDrill 6 5 3 2" xfId="7133"/>
    <cellStyle name="SAPBEXfilterDrill 6 5 4" xfId="6287"/>
    <cellStyle name="SAPBEXfilterDrill 6 6" xfId="2838"/>
    <cellStyle name="SAPBEXfilterDrill 6 6 2" xfId="3896"/>
    <cellStyle name="SAPBEXfilterDrill 6 6 2 2" xfId="7896"/>
    <cellStyle name="SAPBEXfilterDrill 6 6 3" xfId="5770"/>
    <cellStyle name="SAPBEXfilterDrill 6 6 3 2" xfId="7148"/>
    <cellStyle name="SAPBEXfilterDrill 6 6 4" xfId="7031"/>
    <cellStyle name="SAPBEXfilterDrill 6 7" xfId="3173"/>
    <cellStyle name="SAPBEXfilterDrill 6 7 2" xfId="4199"/>
    <cellStyle name="SAPBEXfilterDrill 6 7 2 2" xfId="7272"/>
    <cellStyle name="SAPBEXfilterDrill 6 7 3" xfId="6065"/>
    <cellStyle name="SAPBEXfilterDrill 6 7 3 2" xfId="9959"/>
    <cellStyle name="SAPBEXfilterDrill 6 7 4" xfId="8145"/>
    <cellStyle name="SAPBEXfilterDrill 6 8" xfId="3223"/>
    <cellStyle name="SAPBEXfilterDrill 6 8 2" xfId="3567"/>
    <cellStyle name="SAPBEXfilterDrill 6 8 2 2" xfId="9724"/>
    <cellStyle name="SAPBEXfilterDrill 6 8 3" xfId="6105"/>
    <cellStyle name="SAPBEXfilterDrill 6 8 3 2" xfId="9999"/>
    <cellStyle name="SAPBEXfilterDrill 6 8 4" xfId="8129"/>
    <cellStyle name="SAPBEXfilterDrill 6 9" xfId="3338"/>
    <cellStyle name="SAPBEXfilterDrill 6 9 2" xfId="4929"/>
    <cellStyle name="SAPBEXfilterDrill 6 9 2 2" xfId="9494"/>
    <cellStyle name="SAPBEXfilterDrill 6 9 3" xfId="6205"/>
    <cellStyle name="SAPBEXfilterDrill 6 9 3 2" xfId="10099"/>
    <cellStyle name="SAPBEXfilterDrill 6 9 4" xfId="9075"/>
    <cellStyle name="SAPBEXfilterDrill 7" xfId="1302"/>
    <cellStyle name="SAPBEXfilterDrill 8" xfId="2014"/>
    <cellStyle name="SAPBEXfilterDrill 8 10" xfId="7113"/>
    <cellStyle name="SAPBEXfilterDrill 8 2" xfId="2095"/>
    <cellStyle name="SAPBEXfilterDrill 8 2 2" xfId="3281"/>
    <cellStyle name="SAPBEXfilterDrill 8 2 2 2" xfId="4040"/>
    <cellStyle name="SAPBEXfilterDrill 8 2 2 2 2" xfId="7606"/>
    <cellStyle name="SAPBEXfilterDrill 8 2 2 3" xfId="8694"/>
    <cellStyle name="SAPBEXfilterDrill 8 2 3" xfId="4758"/>
    <cellStyle name="SAPBEXfilterDrill 8 2 3 2" xfId="9563"/>
    <cellStyle name="SAPBEXfilterDrill 8 2 4" xfId="5572"/>
    <cellStyle name="SAPBEXfilterDrill 8 2 4 2" xfId="6745"/>
    <cellStyle name="SAPBEXfilterDrill 8 2 5" xfId="6764"/>
    <cellStyle name="SAPBEXfilterDrill 8 3" xfId="2545"/>
    <cellStyle name="SAPBEXfilterDrill 8 3 2" xfId="4433"/>
    <cellStyle name="SAPBEXfilterDrill 8 3 2 2" xfId="8212"/>
    <cellStyle name="SAPBEXfilterDrill 8 3 3" xfId="5701"/>
    <cellStyle name="SAPBEXfilterDrill 8 3 3 2" xfId="7425"/>
    <cellStyle name="SAPBEXfilterDrill 8 3 4" xfId="6926"/>
    <cellStyle name="SAPBEXfilterDrill 8 4" xfId="3325"/>
    <cellStyle name="SAPBEXfilterDrill 8 4 2" xfId="3531"/>
    <cellStyle name="SAPBEXfilterDrill 8 4 2 2" xfId="8644"/>
    <cellStyle name="SAPBEXfilterDrill 8 4 3" xfId="6192"/>
    <cellStyle name="SAPBEXfilterDrill 8 4 3 2" xfId="10086"/>
    <cellStyle name="SAPBEXfilterDrill 8 4 4" xfId="9016"/>
    <cellStyle name="SAPBEXfilterDrill 8 5" xfId="3059"/>
    <cellStyle name="SAPBEXfilterDrill 8 5 2" xfId="3766"/>
    <cellStyle name="SAPBEXfilterDrill 8 5 2 2" xfId="9082"/>
    <cellStyle name="SAPBEXfilterDrill 8 5 3" xfId="5959"/>
    <cellStyle name="SAPBEXfilterDrill 8 5 3 2" xfId="9853"/>
    <cellStyle name="SAPBEXfilterDrill 8 5 4" xfId="6650"/>
    <cellStyle name="SAPBEXfilterDrill 8 6" xfId="3365"/>
    <cellStyle name="SAPBEXfilterDrill 8 6 2" xfId="4954"/>
    <cellStyle name="SAPBEXfilterDrill 8 6 2 2" xfId="6430"/>
    <cellStyle name="SAPBEXfilterDrill 8 6 3" xfId="6230"/>
    <cellStyle name="SAPBEXfilterDrill 8 6 3 2" xfId="10124"/>
    <cellStyle name="SAPBEXfilterDrill 8 6 4" xfId="8376"/>
    <cellStyle name="SAPBEXfilterDrill 8 7" xfId="3512"/>
    <cellStyle name="SAPBEXfilterDrill 8 7 2" xfId="5082"/>
    <cellStyle name="SAPBEXfilterDrill 8 7 2 2" xfId="9392"/>
    <cellStyle name="SAPBEXfilterDrill 8 7 3" xfId="6380"/>
    <cellStyle name="SAPBEXfilterDrill 8 8" xfId="4175"/>
    <cellStyle name="SAPBEXfilterDrill 8 8 2" xfId="8136"/>
    <cellStyle name="SAPBEXfilterDrill 8 9" xfId="5095"/>
    <cellStyle name="SAPBEXfilterDrill 8 9 2" xfId="9123"/>
    <cellStyle name="SAPBEXfilterDrill 9" xfId="2361"/>
    <cellStyle name="SAPBEXfilterDrill 9 2" xfId="2638"/>
    <cellStyle name="SAPBEXfilterDrill 9 2 2" xfId="4594"/>
    <cellStyle name="SAPBEXfilterDrill 9 2 2 2" xfId="8677"/>
    <cellStyle name="SAPBEXfilterDrill 9 2 3" xfId="7842"/>
    <cellStyle name="SAPBEXfilterDrill 9 3" xfId="4462"/>
    <cellStyle name="SAPBEXfilterDrill 9 3 2" xfId="7617"/>
    <cellStyle name="SAPBEXfilterDrill 9 4" xfId="5469"/>
    <cellStyle name="SAPBEXfilterDrill 9 4 2" xfId="8246"/>
    <cellStyle name="SAPBEXfilterDrill 9 5" xfId="6538"/>
    <cellStyle name="SAPBEXfilterItem" xfId="1303"/>
    <cellStyle name="SAPBEXfilterItem 2" xfId="1304"/>
    <cellStyle name="SAPBEXfilterItem 2 2" xfId="1305"/>
    <cellStyle name="SAPBEXfilterItem 2 3" xfId="2016"/>
    <cellStyle name="SAPBEXfilterItem 3" xfId="1306"/>
    <cellStyle name="SAPBEXfilterItem 3 2" xfId="1307"/>
    <cellStyle name="SAPBEXfilterItem 4" xfId="1308"/>
    <cellStyle name="SAPBEXfilterItem 5" xfId="1309"/>
    <cellStyle name="SAPBEXfilterItem 6" xfId="1310"/>
    <cellStyle name="SAPBEXfilterItem 7" xfId="10173"/>
    <cellStyle name="SAPBEXfilterText" xfId="1311"/>
    <cellStyle name="SAPBEXfilterText 2" xfId="1312"/>
    <cellStyle name="SAPBEXfilterText 2 2" xfId="1313"/>
    <cellStyle name="SAPBEXfilterText 2 3" xfId="2017"/>
    <cellStyle name="SAPBEXfilterText 3" xfId="1314"/>
    <cellStyle name="SAPBEXfilterText 3 2" xfId="1315"/>
    <cellStyle name="SAPBEXfilterText 4" xfId="1316"/>
    <cellStyle name="SAPBEXfilterText 5" xfId="1317"/>
    <cellStyle name="SAPBEXfilterText 6" xfId="1318"/>
    <cellStyle name="SAPBEXfilterText 7" xfId="10174"/>
    <cellStyle name="SAPBEXformats" xfId="1319"/>
    <cellStyle name="SAPBEXformats 2" xfId="1320"/>
    <cellStyle name="SAPBEXformats 2 2" xfId="1321"/>
    <cellStyle name="SAPBEXformats 2 3" xfId="2018"/>
    <cellStyle name="SAPBEXformats 3" xfId="1322"/>
    <cellStyle name="SAPBEXformats 3 2" xfId="1323"/>
    <cellStyle name="SAPBEXformats 4" xfId="1324"/>
    <cellStyle name="SAPBEXformats 5" xfId="1325"/>
    <cellStyle name="SAPBEXformats 6" xfId="1326"/>
    <cellStyle name="SAPBEXformats 7" xfId="10175"/>
    <cellStyle name="SAPBEXformats_AIMRO_CP" xfId="1327"/>
    <cellStyle name="SAPBEXheaderItem" xfId="1328"/>
    <cellStyle name="SAPBEXheaderItem 2" xfId="1329"/>
    <cellStyle name="SAPBEXheaderItem 2 2" xfId="1330"/>
    <cellStyle name="SAPBEXheaderItem 2 3" xfId="2019"/>
    <cellStyle name="SAPBEXheaderItem 3" xfId="1331"/>
    <cellStyle name="SAPBEXheaderItem 3 2" xfId="1332"/>
    <cellStyle name="SAPBEXheaderItem 4" xfId="1333"/>
    <cellStyle name="SAPBEXheaderItem 5" xfId="1334"/>
    <cellStyle name="SAPBEXheaderItem 6" xfId="1335"/>
    <cellStyle name="SAPBEXheaderItem 7" xfId="10176"/>
    <cellStyle name="SAPBEXheaderText" xfId="1336"/>
    <cellStyle name="SAPBEXheaderText 2" xfId="1337"/>
    <cellStyle name="SAPBEXheaderText 2 2" xfId="1338"/>
    <cellStyle name="SAPBEXheaderText 2 3" xfId="2020"/>
    <cellStyle name="SAPBEXheaderText 3" xfId="1339"/>
    <cellStyle name="SAPBEXheaderText 3 2" xfId="1340"/>
    <cellStyle name="SAPBEXheaderText 4" xfId="1341"/>
    <cellStyle name="SAPBEXheaderText 5" xfId="1342"/>
    <cellStyle name="SAPBEXheaderText 6" xfId="1343"/>
    <cellStyle name="SAPBEXheaderText 7" xfId="10177"/>
    <cellStyle name="SAPBEXHLevel0" xfId="1344"/>
    <cellStyle name="SAPBEXHLevel0 2" xfId="1345"/>
    <cellStyle name="SAPBEXHLevel0 2 2" xfId="1346"/>
    <cellStyle name="SAPBEXHLevel0 2 2 2" xfId="1347"/>
    <cellStyle name="SAPBEXHLevel0 2 3" xfId="2021"/>
    <cellStyle name="SAPBEXHLevel0 3" xfId="1348"/>
    <cellStyle name="SAPBEXHLevel0 3 2" xfId="1349"/>
    <cellStyle name="SAPBEXHLevel0 4" xfId="1350"/>
    <cellStyle name="SAPBEXHLevel0 5" xfId="1351"/>
    <cellStyle name="SAPBEXHLevel0 6" xfId="1352"/>
    <cellStyle name="SAPBEXHLevel0 7" xfId="1353"/>
    <cellStyle name="SAPBEXHLevel0 8" xfId="10178"/>
    <cellStyle name="SAPBEXHLevel0_AIMRO_CP" xfId="1354"/>
    <cellStyle name="SAPBEXHLevel0X" xfId="1355"/>
    <cellStyle name="SAPBEXHLevel0X 2" xfId="1356"/>
    <cellStyle name="SAPBEXHLevel0X 2 2" xfId="1357"/>
    <cellStyle name="SAPBEXHLevel0X 2 3" xfId="2022"/>
    <cellStyle name="SAPBEXHLevel0X 3" xfId="1358"/>
    <cellStyle name="SAPBEXHLevel0X 3 2" xfId="1359"/>
    <cellStyle name="SAPBEXHLevel0X 4" xfId="1360"/>
    <cellStyle name="SAPBEXHLevel0X 5" xfId="1361"/>
    <cellStyle name="SAPBEXHLevel0X 6" xfId="1362"/>
    <cellStyle name="SAPBEXHLevel0X 7" xfId="1363"/>
    <cellStyle name="SAPBEXHLevel0X 8" xfId="10179"/>
    <cellStyle name="SAPBEXHLevel1" xfId="1364"/>
    <cellStyle name="SAPBEXHLevel1 2" xfId="1365"/>
    <cellStyle name="SAPBEXHLevel1 2 2" xfId="1366"/>
    <cellStyle name="SAPBEXHLevel1 2 3" xfId="2024"/>
    <cellStyle name="SAPBEXHLevel1 3" xfId="1367"/>
    <cellStyle name="SAPBEXHLevel1 3 2" xfId="1368"/>
    <cellStyle name="SAPBEXHLevel1 4" xfId="1369"/>
    <cellStyle name="SAPBEXHLevel1 5" xfId="1370"/>
    <cellStyle name="SAPBEXHLevel1 6" xfId="1371"/>
    <cellStyle name="SAPBEXHLevel1 7" xfId="1372"/>
    <cellStyle name="SAPBEXHLevel1 8" xfId="10180"/>
    <cellStyle name="SAPBEXHLevel1_AIMRO_CP" xfId="1373"/>
    <cellStyle name="SAPBEXHLevel1X" xfId="1374"/>
    <cellStyle name="SAPBEXHLevel1X 2" xfId="1375"/>
    <cellStyle name="SAPBEXHLevel1X 2 2" xfId="1376"/>
    <cellStyle name="SAPBEXHLevel1X 2 3" xfId="2025"/>
    <cellStyle name="SAPBEXHLevel1X 3" xfId="1377"/>
    <cellStyle name="SAPBEXHLevel1X 3 2" xfId="1378"/>
    <cellStyle name="SAPBEXHLevel1X 4" xfId="1379"/>
    <cellStyle name="SAPBEXHLevel1X 5" xfId="1380"/>
    <cellStyle name="SAPBEXHLevel1X 6" xfId="1381"/>
    <cellStyle name="SAPBEXHLevel1X 7" xfId="1382"/>
    <cellStyle name="SAPBEXHLevel1X 8" xfId="10181"/>
    <cellStyle name="SAPBEXHLevel2" xfId="1383"/>
    <cellStyle name="SAPBEXHLevel2 2" xfId="1384"/>
    <cellStyle name="SAPBEXHLevel2 2 2" xfId="1385"/>
    <cellStyle name="SAPBEXHLevel2 2 3" xfId="2026"/>
    <cellStyle name="SAPBEXHLevel2 3" xfId="1386"/>
    <cellStyle name="SAPBEXHLevel2 3 2" xfId="1387"/>
    <cellStyle name="SAPBEXHLevel2 4" xfId="1388"/>
    <cellStyle name="SAPBEXHLevel2 5" xfId="1389"/>
    <cellStyle name="SAPBEXHLevel2 6" xfId="1390"/>
    <cellStyle name="SAPBEXHLevel2 7" xfId="1391"/>
    <cellStyle name="SAPBEXHLevel2 8" xfId="10182"/>
    <cellStyle name="SAPBEXHLevel2_AIMRO_CP" xfId="1392"/>
    <cellStyle name="SAPBEXHLevel2X" xfId="1393"/>
    <cellStyle name="SAPBEXHLevel2X 2" xfId="1394"/>
    <cellStyle name="SAPBEXHLevel2X 2 2" xfId="1395"/>
    <cellStyle name="SAPBEXHLevel2X 2 3" xfId="2027"/>
    <cellStyle name="SAPBEXHLevel2X 3" xfId="1396"/>
    <cellStyle name="SAPBEXHLevel2X 3 2" xfId="1397"/>
    <cellStyle name="SAPBEXHLevel2X 4" xfId="1398"/>
    <cellStyle name="SAPBEXHLevel2X 5" xfId="1399"/>
    <cellStyle name="SAPBEXHLevel2X 6" xfId="1400"/>
    <cellStyle name="SAPBEXHLevel2X 7" xfId="1401"/>
    <cellStyle name="SAPBEXHLevel2X 8" xfId="10183"/>
    <cellStyle name="SAPBEXHLevel3" xfId="1402"/>
    <cellStyle name="SAPBEXHLevel3 2" xfId="1403"/>
    <cellStyle name="SAPBEXHLevel3 2 2" xfId="1404"/>
    <cellStyle name="SAPBEXHLevel3 2 3" xfId="2028"/>
    <cellStyle name="SAPBEXHLevel3 3" xfId="1405"/>
    <cellStyle name="SAPBEXHLevel3 3 2" xfId="1406"/>
    <cellStyle name="SAPBEXHLevel3 4" xfId="1407"/>
    <cellStyle name="SAPBEXHLevel3 5" xfId="1408"/>
    <cellStyle name="SAPBEXHLevel3 6" xfId="1409"/>
    <cellStyle name="SAPBEXHLevel3 7" xfId="1410"/>
    <cellStyle name="SAPBEXHLevel3 8" xfId="10184"/>
    <cellStyle name="SAPBEXHLevel3_AIMRO_CP" xfId="1411"/>
    <cellStyle name="SAPBEXHLevel3X" xfId="1412"/>
    <cellStyle name="SAPBEXHLevel3X 2" xfId="1413"/>
    <cellStyle name="SAPBEXHLevel3X 2 2" xfId="1414"/>
    <cellStyle name="SAPBEXHLevel3X 2 3" xfId="2029"/>
    <cellStyle name="SAPBEXHLevel3X 3" xfId="1415"/>
    <cellStyle name="SAPBEXHLevel3X 3 2" xfId="1416"/>
    <cellStyle name="SAPBEXHLevel3X 4" xfId="1417"/>
    <cellStyle name="SAPBEXHLevel3X 5" xfId="1418"/>
    <cellStyle name="SAPBEXHLevel3X 6" xfId="1419"/>
    <cellStyle name="SAPBEXHLevel3X 7" xfId="1420"/>
    <cellStyle name="SAPBEXHLevel3X 8" xfId="10185"/>
    <cellStyle name="SAPBEXinputData" xfId="1421"/>
    <cellStyle name="SAPBEXinputData 10" xfId="1422"/>
    <cellStyle name="SAPBEXinputData 10 10" xfId="3413"/>
    <cellStyle name="SAPBEXinputData 10 10 2" xfId="4986"/>
    <cellStyle name="SAPBEXinputData 10 10 2 2" xfId="7777"/>
    <cellStyle name="SAPBEXinputData 10 10 3" xfId="6378"/>
    <cellStyle name="SAPBEXinputData 10 11" xfId="4600"/>
    <cellStyle name="SAPBEXinputData 10 11 2" xfId="9058"/>
    <cellStyle name="SAPBEXinputData 10 12" xfId="6790"/>
    <cellStyle name="SAPBEXinputData 10 2" xfId="1759"/>
    <cellStyle name="SAPBEXinputData 10 2 10" xfId="3488"/>
    <cellStyle name="SAPBEXinputData 10 2 10 2" xfId="5058"/>
    <cellStyle name="SAPBEXinputData 10 2 10 2 2" xfId="9373"/>
    <cellStyle name="SAPBEXinputData 10 2 10 3" xfId="9161"/>
    <cellStyle name="SAPBEXinputData 10 2 11" xfId="3619"/>
    <cellStyle name="SAPBEXinputData 10 2 11 2" xfId="7746"/>
    <cellStyle name="SAPBEXinputData 10 2 12" xfId="7854"/>
    <cellStyle name="SAPBEXinputData 10 2 2" xfId="1903"/>
    <cellStyle name="SAPBEXinputData 10 2 2 10" xfId="8744"/>
    <cellStyle name="SAPBEXinputData 10 2 2 2" xfId="2513"/>
    <cellStyle name="SAPBEXinputData 10 2 2 2 2" xfId="2614"/>
    <cellStyle name="SAPBEXinputData 10 2 2 2 2 2" xfId="4732"/>
    <cellStyle name="SAPBEXinputData 10 2 2 2 2 2 2" xfId="6791"/>
    <cellStyle name="SAPBEXinputData 10 2 2 2 2 3" xfId="7939"/>
    <cellStyle name="SAPBEXinputData 10 2 2 2 3" xfId="4873"/>
    <cellStyle name="SAPBEXinputData 10 2 2 2 3 2" xfId="6736"/>
    <cellStyle name="SAPBEXinputData 10 2 2 2 4" xfId="6963"/>
    <cellStyle name="SAPBEXinputData 10 2 2 3" xfId="2359"/>
    <cellStyle name="SAPBEXinputData 10 2 2 3 2" xfId="2766"/>
    <cellStyle name="SAPBEXinputData 10 2 2 3 2 2" xfId="4169"/>
    <cellStyle name="SAPBEXinputData 10 2 2 3 2 2 2" xfId="9403"/>
    <cellStyle name="SAPBEXinputData 10 2 2 3 2 3" xfId="6339"/>
    <cellStyle name="SAPBEXinputData 10 2 2 3 3" xfId="4748"/>
    <cellStyle name="SAPBEXinputData 10 2 2 3 3 2" xfId="7273"/>
    <cellStyle name="SAPBEXinputData 10 2 2 3 4" xfId="5680"/>
    <cellStyle name="SAPBEXinputData 10 2 2 3 4 2" xfId="7285"/>
    <cellStyle name="SAPBEXinputData 10 2 2 3 5" xfId="7512"/>
    <cellStyle name="SAPBEXinputData 10 2 2 4" xfId="2266"/>
    <cellStyle name="SAPBEXinputData 10 2 2 4 2" xfId="4490"/>
    <cellStyle name="SAPBEXinputData 10 2 2 4 2 2" xfId="9486"/>
    <cellStyle name="SAPBEXinputData 10 2 2 4 3" xfId="5640"/>
    <cellStyle name="SAPBEXinputData 10 2 2 4 3 2" xfId="6733"/>
    <cellStyle name="SAPBEXinputData 10 2 2 4 4" xfId="7338"/>
    <cellStyle name="SAPBEXinputData 10 2 2 5" xfId="3149"/>
    <cellStyle name="SAPBEXinputData 10 2 2 5 2" xfId="4130"/>
    <cellStyle name="SAPBEXinputData 10 2 2 5 2 2" xfId="9734"/>
    <cellStyle name="SAPBEXinputData 10 2 2 5 3" xfId="6043"/>
    <cellStyle name="SAPBEXinputData 10 2 2 5 3 2" xfId="9937"/>
    <cellStyle name="SAPBEXinputData 10 2 2 5 4" xfId="8462"/>
    <cellStyle name="SAPBEXinputData 10 2 2 6" xfId="3129"/>
    <cellStyle name="SAPBEXinputData 10 2 2 6 2" xfId="3726"/>
    <cellStyle name="SAPBEXinputData 10 2 2 6 2 2" xfId="9121"/>
    <cellStyle name="SAPBEXinputData 10 2 2 6 3" xfId="6025"/>
    <cellStyle name="SAPBEXinputData 10 2 2 6 3 2" xfId="9919"/>
    <cellStyle name="SAPBEXinputData 10 2 2 6 4" xfId="8543"/>
    <cellStyle name="SAPBEXinputData 10 2 2 7" xfId="3326"/>
    <cellStyle name="SAPBEXinputData 10 2 2 7 2" xfId="4917"/>
    <cellStyle name="SAPBEXinputData 10 2 2 7 2 2" xfId="9415"/>
    <cellStyle name="SAPBEXinputData 10 2 2 7 3" xfId="6193"/>
    <cellStyle name="SAPBEXinputData 10 2 2 7 3 2" xfId="10087"/>
    <cellStyle name="SAPBEXinputData 10 2 2 7 4" xfId="9158"/>
    <cellStyle name="SAPBEXinputData 10 2 2 8" xfId="3506"/>
    <cellStyle name="SAPBEXinputData 10 2 2 8 2" xfId="5076"/>
    <cellStyle name="SAPBEXinputData 10 2 2 8 2 2" xfId="9575"/>
    <cellStyle name="SAPBEXinputData 10 2 2 8 3" xfId="8001"/>
    <cellStyle name="SAPBEXinputData 10 2 2 9" xfId="4119"/>
    <cellStyle name="SAPBEXinputData 10 2 2 9 2" xfId="9088"/>
    <cellStyle name="SAPBEXinputData 10 2 3" xfId="2474"/>
    <cellStyle name="SAPBEXinputData 10 2 3 2" xfId="2597"/>
    <cellStyle name="SAPBEXinputData 10 2 3 2 2" xfId="4619"/>
    <cellStyle name="SAPBEXinputData 10 2 3 2 2 2" xfId="9536"/>
    <cellStyle name="SAPBEXinputData 10 2 3 2 3" xfId="6682"/>
    <cellStyle name="SAPBEXinputData 10 2 3 3" xfId="4471"/>
    <cellStyle name="SAPBEXinputData 10 2 3 3 2" xfId="7165"/>
    <cellStyle name="SAPBEXinputData 10 2 3 4" xfId="5134"/>
    <cellStyle name="SAPBEXinputData 10 2 3 4 2" xfId="8080"/>
    <cellStyle name="SAPBEXinputData 10 2 3 5" xfId="8496"/>
    <cellStyle name="SAPBEXinputData 10 2 4" xfId="2182"/>
    <cellStyle name="SAPBEXinputData 10 2 4 2" xfId="2699"/>
    <cellStyle name="SAPBEXinputData 10 2 4 2 2" xfId="3954"/>
    <cellStyle name="SAPBEXinputData 10 2 4 2 2 2" xfId="6352"/>
    <cellStyle name="SAPBEXinputData 10 2 4 2 3" xfId="6641"/>
    <cellStyle name="SAPBEXinputData 10 2 4 3" xfId="4830"/>
    <cellStyle name="SAPBEXinputData 10 2 4 3 2" xfId="8733"/>
    <cellStyle name="SAPBEXinputData 10 2 4 4" xfId="5555"/>
    <cellStyle name="SAPBEXinputData 10 2 4 4 2" xfId="7627"/>
    <cellStyle name="SAPBEXinputData 10 2 4 5" xfId="9289"/>
    <cellStyle name="SAPBEXinputData 10 2 5" xfId="2136"/>
    <cellStyle name="SAPBEXinputData 10 2 5 2" xfId="4895"/>
    <cellStyle name="SAPBEXinputData 10 2 5 2 2" xfId="8419"/>
    <cellStyle name="SAPBEXinputData 10 2 5 3" xfId="5590"/>
    <cellStyle name="SAPBEXinputData 10 2 5 3 2" xfId="8345"/>
    <cellStyle name="SAPBEXinputData 10 2 5 4" xfId="6887"/>
    <cellStyle name="SAPBEXinputData 10 2 6" xfId="3062"/>
    <cellStyle name="SAPBEXinputData 10 2 6 2" xfId="3765"/>
    <cellStyle name="SAPBEXinputData 10 2 6 2 2" xfId="9427"/>
    <cellStyle name="SAPBEXinputData 10 2 6 3" xfId="5962"/>
    <cellStyle name="SAPBEXinputData 10 2 6 3 2" xfId="9856"/>
    <cellStyle name="SAPBEXinputData 10 2 6 4" xfId="6942"/>
    <cellStyle name="SAPBEXinputData 10 2 7" xfId="2884"/>
    <cellStyle name="SAPBEXinputData 10 2 7 2" xfId="3868"/>
    <cellStyle name="SAPBEXinputData 10 2 7 2 2" xfId="7914"/>
    <cellStyle name="SAPBEXinputData 10 2 7 3" xfId="5815"/>
    <cellStyle name="SAPBEXinputData 10 2 7 3 2" xfId="6268"/>
    <cellStyle name="SAPBEXinputData 10 2 7 4" xfId="8648"/>
    <cellStyle name="SAPBEXinputData 10 2 8" xfId="3076"/>
    <cellStyle name="SAPBEXinputData 10 2 8 2" xfId="3583"/>
    <cellStyle name="SAPBEXinputData 10 2 8 2 2" xfId="9273"/>
    <cellStyle name="SAPBEXinputData 10 2 8 3" xfId="5974"/>
    <cellStyle name="SAPBEXinputData 10 2 8 3 2" xfId="9868"/>
    <cellStyle name="SAPBEXinputData 10 2 8 4" xfId="9344"/>
    <cellStyle name="SAPBEXinputData 10 2 9" xfId="3272"/>
    <cellStyle name="SAPBEXinputData 10 2 9 2" xfId="3683"/>
    <cellStyle name="SAPBEXinputData 10 2 9 2 2" xfId="9409"/>
    <cellStyle name="SAPBEXinputData 10 2 9 3" xfId="6147"/>
    <cellStyle name="SAPBEXinputData 10 2 9 3 2" xfId="10041"/>
    <cellStyle name="SAPBEXinputData 10 2 9 4" xfId="7553"/>
    <cellStyle name="SAPBEXinputData 10 3" xfId="2408"/>
    <cellStyle name="SAPBEXinputData 10 3 2" xfId="2550"/>
    <cellStyle name="SAPBEXinputData 10 3 2 2" xfId="4102"/>
    <cellStyle name="SAPBEXinputData 10 3 2 2 2" xfId="7818"/>
    <cellStyle name="SAPBEXinputData 10 3 2 3" xfId="9255"/>
    <cellStyle name="SAPBEXinputData 10 3 3" xfId="4869"/>
    <cellStyle name="SAPBEXinputData 10 3 3 2" xfId="9515"/>
    <cellStyle name="SAPBEXinputData 10 3 4" xfId="5323"/>
    <cellStyle name="SAPBEXinputData 10 3 4 2" xfId="7023"/>
    <cellStyle name="SAPBEXinputData 10 3 5" xfId="8301"/>
    <cellStyle name="SAPBEXinputData 10 4" xfId="2348"/>
    <cellStyle name="SAPBEXinputData 10 4 2" xfId="2635"/>
    <cellStyle name="SAPBEXinputData 10 4 2 2" xfId="4483"/>
    <cellStyle name="SAPBEXinputData 10 4 2 2 2" xfId="7936"/>
    <cellStyle name="SAPBEXinputData 10 4 2 3" xfId="8074"/>
    <cellStyle name="SAPBEXinputData 10 4 3" xfId="3971"/>
    <cellStyle name="SAPBEXinputData 10 4 3 2" xfId="9739"/>
    <cellStyle name="SAPBEXinputData 10 4 4" xfId="5466"/>
    <cellStyle name="SAPBEXinputData 10 4 4 2" xfId="8516"/>
    <cellStyle name="SAPBEXinputData 10 4 5" xfId="6711"/>
    <cellStyle name="SAPBEXinputData 10 5" xfId="2335"/>
    <cellStyle name="SAPBEXinputData 10 5 2" xfId="4642"/>
    <cellStyle name="SAPBEXinputData 10 5 2 2" xfId="7786"/>
    <cellStyle name="SAPBEXinputData 10 5 3" xfId="5667"/>
    <cellStyle name="SAPBEXinputData 10 5 3 2" xfId="7935"/>
    <cellStyle name="SAPBEXinputData 10 5 4" xfId="7398"/>
    <cellStyle name="SAPBEXinputData 10 6" xfId="2857"/>
    <cellStyle name="SAPBEXinputData 10 6 2" xfId="3891"/>
    <cellStyle name="SAPBEXinputData 10 6 2 2" xfId="9559"/>
    <cellStyle name="SAPBEXinputData 10 6 3" xfId="5788"/>
    <cellStyle name="SAPBEXinputData 10 6 3 2" xfId="6438"/>
    <cellStyle name="SAPBEXinputData 10 6 4" xfId="8468"/>
    <cellStyle name="SAPBEXinputData 10 7" xfId="3331"/>
    <cellStyle name="SAPBEXinputData 10 7 2" xfId="4922"/>
    <cellStyle name="SAPBEXinputData 10 7 2 2" xfId="8850"/>
    <cellStyle name="SAPBEXinputData 10 7 3" xfId="6198"/>
    <cellStyle name="SAPBEXinputData 10 7 3 2" xfId="10092"/>
    <cellStyle name="SAPBEXinputData 10 7 4" xfId="9529"/>
    <cellStyle name="SAPBEXinputData 10 8" xfId="3074"/>
    <cellStyle name="SAPBEXinputData 10 8 2" xfId="3762"/>
    <cellStyle name="SAPBEXinputData 10 8 2 2" xfId="9693"/>
    <cellStyle name="SAPBEXinputData 10 8 3" xfId="5972"/>
    <cellStyle name="SAPBEXinputData 10 8 3 2" xfId="9866"/>
    <cellStyle name="SAPBEXinputData 10 8 4" xfId="9284"/>
    <cellStyle name="SAPBEXinputData 10 9" xfId="2784"/>
    <cellStyle name="SAPBEXinputData 10 9 2" xfId="3604"/>
    <cellStyle name="SAPBEXinputData 10 9 2 2" xfId="9038"/>
    <cellStyle name="SAPBEXinputData 10 9 3" xfId="5720"/>
    <cellStyle name="SAPBEXinputData 10 9 3 2" xfId="7726"/>
    <cellStyle name="SAPBEXinputData 10 9 4" xfId="6333"/>
    <cellStyle name="SAPBEXinputData 11" xfId="1423"/>
    <cellStyle name="SAPBEXinputData 11 10" xfId="3414"/>
    <cellStyle name="SAPBEXinputData 11 10 2" xfId="4987"/>
    <cellStyle name="SAPBEXinputData 11 10 2 2" xfId="6838"/>
    <cellStyle name="SAPBEXinputData 11 10 3" xfId="9468"/>
    <cellStyle name="SAPBEXinputData 11 11" xfId="4319"/>
    <cellStyle name="SAPBEXinputData 11 11 2" xfId="9670"/>
    <cellStyle name="SAPBEXinputData 11 12" xfId="9744"/>
    <cellStyle name="SAPBEXinputData 11 2" xfId="1760"/>
    <cellStyle name="SAPBEXinputData 11 2 10" xfId="3489"/>
    <cellStyle name="SAPBEXinputData 11 2 10 2" xfId="5059"/>
    <cellStyle name="SAPBEXinputData 11 2 10 2 2" xfId="9206"/>
    <cellStyle name="SAPBEXinputData 11 2 10 3" xfId="7966"/>
    <cellStyle name="SAPBEXinputData 11 2 11" xfId="3618"/>
    <cellStyle name="SAPBEXinputData 11 2 11 2" xfId="9605"/>
    <cellStyle name="SAPBEXinputData 11 2 12" xfId="7563"/>
    <cellStyle name="SAPBEXinputData 11 2 2" xfId="1582"/>
    <cellStyle name="SAPBEXinputData 11 2 2 10" xfId="7375"/>
    <cellStyle name="SAPBEXinputData 11 2 2 2" xfId="2434"/>
    <cellStyle name="SAPBEXinputData 11 2 2 2 2" xfId="2568"/>
    <cellStyle name="SAPBEXinputData 11 2 2 2 2 2" xfId="4488"/>
    <cellStyle name="SAPBEXinputData 11 2 2 2 2 2 2" xfId="8665"/>
    <cellStyle name="SAPBEXinputData 11 2 2 2 2 3" xfId="9277"/>
    <cellStyle name="SAPBEXinputData 11 2 2 2 3" xfId="4035"/>
    <cellStyle name="SAPBEXinputData 11 2 2 2 3 2" xfId="6317"/>
    <cellStyle name="SAPBEXinputData 11 2 2 2 4" xfId="6292"/>
    <cellStyle name="SAPBEXinputData 11 2 2 3" xfId="2219"/>
    <cellStyle name="SAPBEXinputData 11 2 2 3 2" xfId="3217"/>
    <cellStyle name="SAPBEXinputData 11 2 2 3 2 2" xfId="4123"/>
    <cellStyle name="SAPBEXinputData 11 2 2 3 2 2 2" xfId="8117"/>
    <cellStyle name="SAPBEXinputData 11 2 2 3 2 3" xfId="8336"/>
    <cellStyle name="SAPBEXinputData 11 2 2 3 3" xfId="4890"/>
    <cellStyle name="SAPBEXinputData 11 2 2 3 3 2" xfId="9752"/>
    <cellStyle name="SAPBEXinputData 11 2 2 3 4" xfId="5625"/>
    <cellStyle name="SAPBEXinputData 11 2 2 3 4 2" xfId="8079"/>
    <cellStyle name="SAPBEXinputData 11 2 2 3 5" xfId="9265"/>
    <cellStyle name="SAPBEXinputData 11 2 2 4" xfId="2131"/>
    <cellStyle name="SAPBEXinputData 11 2 2 4 2" xfId="4813"/>
    <cellStyle name="SAPBEXinputData 11 2 2 4 2 2" xfId="7423"/>
    <cellStyle name="SAPBEXinputData 11 2 2 4 3" xfId="5588"/>
    <cellStyle name="SAPBEXinputData 11 2 2 4 3 2" xfId="7014"/>
    <cellStyle name="SAPBEXinputData 11 2 2 4 4" xfId="6709"/>
    <cellStyle name="SAPBEXinputData 11 2 2 5" xfId="3193"/>
    <cellStyle name="SAPBEXinputData 11 2 2 5 2" xfId="3703"/>
    <cellStyle name="SAPBEXinputData 11 2 2 5 2 2" xfId="6588"/>
    <cellStyle name="SAPBEXinputData 11 2 2 5 3" xfId="6082"/>
    <cellStyle name="SAPBEXinputData 11 2 2 5 3 2" xfId="9976"/>
    <cellStyle name="SAPBEXinputData 11 2 2 5 4" xfId="6373"/>
    <cellStyle name="SAPBEXinputData 11 2 2 6" xfId="3068"/>
    <cellStyle name="SAPBEXinputData 11 2 2 6 2" xfId="3763"/>
    <cellStyle name="SAPBEXinputData 11 2 2 6 2 2" xfId="7331"/>
    <cellStyle name="SAPBEXinputData 11 2 2 6 3" xfId="5968"/>
    <cellStyle name="SAPBEXinputData 11 2 2 6 3 2" xfId="9862"/>
    <cellStyle name="SAPBEXinputData 11 2 2 6 4" xfId="6629"/>
    <cellStyle name="SAPBEXinputData 11 2 2 7" xfId="3104"/>
    <cellStyle name="SAPBEXinputData 11 2 2 7 2" xfId="3747"/>
    <cellStyle name="SAPBEXinputData 11 2 2 7 2 2" xfId="9071"/>
    <cellStyle name="SAPBEXinputData 11 2 2 7 3" xfId="6001"/>
    <cellStyle name="SAPBEXinputData 11 2 2 7 3 2" xfId="9895"/>
    <cellStyle name="SAPBEXinputData 11 2 2 7 4" xfId="6304"/>
    <cellStyle name="SAPBEXinputData 11 2 2 8" xfId="3433"/>
    <cellStyle name="SAPBEXinputData 11 2 2 8 2" xfId="5004"/>
    <cellStyle name="SAPBEXinputData 11 2 2 8 2 2" xfId="9191"/>
    <cellStyle name="SAPBEXinputData 11 2 2 8 3" xfId="8167"/>
    <cellStyle name="SAPBEXinputData 11 2 2 9" xfId="3657"/>
    <cellStyle name="SAPBEXinputData 11 2 2 9 2" xfId="8886"/>
    <cellStyle name="SAPBEXinputData 11 2 3" xfId="2475"/>
    <cellStyle name="SAPBEXinputData 11 2 3 2" xfId="2598"/>
    <cellStyle name="SAPBEXinputData 11 2 3 2 2" xfId="4443"/>
    <cellStyle name="SAPBEXinputData 11 2 3 2 2 2" xfId="7178"/>
    <cellStyle name="SAPBEXinputData 11 2 3 2 3" xfId="6761"/>
    <cellStyle name="SAPBEXinputData 11 2 3 3" xfId="4613"/>
    <cellStyle name="SAPBEXinputData 11 2 3 3 2" xfId="9174"/>
    <cellStyle name="SAPBEXinputData 11 2 3 4" xfId="5269"/>
    <cellStyle name="SAPBEXinputData 11 2 3 4 2" xfId="7886"/>
    <cellStyle name="SAPBEXinputData 11 2 3 5" xfId="7851"/>
    <cellStyle name="SAPBEXinputData 11 2 4" xfId="2101"/>
    <cellStyle name="SAPBEXinputData 11 2 4 2" xfId="2700"/>
    <cellStyle name="SAPBEXinputData 11 2 4 2 2" xfId="3953"/>
    <cellStyle name="SAPBEXinputData 11 2 4 2 2 2" xfId="8708"/>
    <cellStyle name="SAPBEXinputData 11 2 4 2 3" xfId="7246"/>
    <cellStyle name="SAPBEXinputData 11 2 4 3" xfId="4840"/>
    <cellStyle name="SAPBEXinputData 11 2 4 3 2" xfId="7815"/>
    <cellStyle name="SAPBEXinputData 11 2 4 4" xfId="5556"/>
    <cellStyle name="SAPBEXinputData 11 2 4 4 2" xfId="6358"/>
    <cellStyle name="SAPBEXinputData 11 2 4 5" xfId="7295"/>
    <cellStyle name="SAPBEXinputData 11 2 5" xfId="2340"/>
    <cellStyle name="SAPBEXinputData 11 2 5 2" xfId="4307"/>
    <cellStyle name="SAPBEXinputData 11 2 5 2 2" xfId="9381"/>
    <cellStyle name="SAPBEXinputData 11 2 5 3" xfId="5671"/>
    <cellStyle name="SAPBEXinputData 11 2 5 3 2" xfId="7340"/>
    <cellStyle name="SAPBEXinputData 11 2 5 4" xfId="7644"/>
    <cellStyle name="SAPBEXinputData 11 2 6" xfId="3063"/>
    <cellStyle name="SAPBEXinputData 11 2 6 2" xfId="4140"/>
    <cellStyle name="SAPBEXinputData 11 2 6 2 2" xfId="7267"/>
    <cellStyle name="SAPBEXinputData 11 2 6 3" xfId="5963"/>
    <cellStyle name="SAPBEXinputData 11 2 6 3 2" xfId="9857"/>
    <cellStyle name="SAPBEXinputData 11 2 6 4" xfId="9765"/>
    <cellStyle name="SAPBEXinputData 11 2 7" xfId="2896"/>
    <cellStyle name="SAPBEXinputData 11 2 7 2" xfId="3859"/>
    <cellStyle name="SAPBEXinputData 11 2 7 2 2" xfId="7090"/>
    <cellStyle name="SAPBEXinputData 11 2 7 3" xfId="5827"/>
    <cellStyle name="SAPBEXinputData 11 2 7 3 2" xfId="7108"/>
    <cellStyle name="SAPBEXinputData 11 2 7 4" xfId="7103"/>
    <cellStyle name="SAPBEXinputData 11 2 8" xfId="3112"/>
    <cellStyle name="SAPBEXinputData 11 2 8 2" xfId="3741"/>
    <cellStyle name="SAPBEXinputData 11 2 8 2 2" xfId="9360"/>
    <cellStyle name="SAPBEXinputData 11 2 8 3" xfId="6008"/>
    <cellStyle name="SAPBEXinputData 11 2 8 3 2" xfId="9902"/>
    <cellStyle name="SAPBEXinputData 11 2 8 4" xfId="7784"/>
    <cellStyle name="SAPBEXinputData 11 2 9" xfId="3131"/>
    <cellStyle name="SAPBEXinputData 11 2 9 2" xfId="4204"/>
    <cellStyle name="SAPBEXinputData 11 2 9 2 2" xfId="8606"/>
    <cellStyle name="SAPBEXinputData 11 2 9 3" xfId="6027"/>
    <cellStyle name="SAPBEXinputData 11 2 9 3 2" xfId="9921"/>
    <cellStyle name="SAPBEXinputData 11 2 9 4" xfId="7979"/>
    <cellStyle name="SAPBEXinputData 11 3" xfId="2409"/>
    <cellStyle name="SAPBEXinputData 11 3 2" xfId="2551"/>
    <cellStyle name="SAPBEXinputData 11 3 2 2" xfId="4859"/>
    <cellStyle name="SAPBEXinputData 11 3 2 2 2" xfId="8610"/>
    <cellStyle name="SAPBEXinputData 11 3 2 3" xfId="9327"/>
    <cellStyle name="SAPBEXinputData 11 3 3" xfId="4710"/>
    <cellStyle name="SAPBEXinputData 11 3 3 2" xfId="9708"/>
    <cellStyle name="SAPBEXinputData 11 3 4" xfId="5196"/>
    <cellStyle name="SAPBEXinputData 11 3 4 2" xfId="7547"/>
    <cellStyle name="SAPBEXinputData 11 3 5" xfId="7028"/>
    <cellStyle name="SAPBEXinputData 11 4" xfId="2233"/>
    <cellStyle name="SAPBEXinputData 11 4 2" xfId="2696"/>
    <cellStyle name="SAPBEXinputData 11 4 2 2" xfId="3957"/>
    <cellStyle name="SAPBEXinputData 11 4 2 2 2" xfId="9111"/>
    <cellStyle name="SAPBEXinputData 11 4 2 3" xfId="6452"/>
    <cellStyle name="SAPBEXinputData 11 4 3" xfId="4726"/>
    <cellStyle name="SAPBEXinputData 11 4 3 2" xfId="8553"/>
    <cellStyle name="SAPBEXinputData 11 4 4" xfId="5526"/>
    <cellStyle name="SAPBEXinputData 11 4 4 2" xfId="6495"/>
    <cellStyle name="SAPBEXinputData 11 4 5" xfId="8258"/>
    <cellStyle name="SAPBEXinputData 11 5" xfId="2123"/>
    <cellStyle name="SAPBEXinputData 11 5 2" xfId="4759"/>
    <cellStyle name="SAPBEXinputData 11 5 2 2" xfId="8623"/>
    <cellStyle name="SAPBEXinputData 11 5 3" xfId="5581"/>
    <cellStyle name="SAPBEXinputData 11 5 3 2" xfId="7211"/>
    <cellStyle name="SAPBEXinputData 11 5 4" xfId="9256"/>
    <cellStyle name="SAPBEXinputData 11 6" xfId="2858"/>
    <cellStyle name="SAPBEXinputData 11 6 2" xfId="3890"/>
    <cellStyle name="SAPBEXinputData 11 6 2 2" xfId="6464"/>
    <cellStyle name="SAPBEXinputData 11 6 3" xfId="5789"/>
    <cellStyle name="SAPBEXinputData 11 6 3 2" xfId="8047"/>
    <cellStyle name="SAPBEXinputData 11 6 4" xfId="7702"/>
    <cellStyle name="SAPBEXinputData 11 7" xfId="3012"/>
    <cellStyle name="SAPBEXinputData 11 7 2" xfId="4142"/>
    <cellStyle name="SAPBEXinputData 11 7 2 2" xfId="9363"/>
    <cellStyle name="SAPBEXinputData 11 7 3" xfId="5914"/>
    <cellStyle name="SAPBEXinputData 11 7 3 2" xfId="9808"/>
    <cellStyle name="SAPBEXinputData 11 7 4" xfId="7776"/>
    <cellStyle name="SAPBEXinputData 11 8" xfId="3089"/>
    <cellStyle name="SAPBEXinputData 11 8 2" xfId="4135"/>
    <cellStyle name="SAPBEXinputData 11 8 2 2" xfId="7210"/>
    <cellStyle name="SAPBEXinputData 11 8 3" xfId="5986"/>
    <cellStyle name="SAPBEXinputData 11 8 3 2" xfId="9880"/>
    <cellStyle name="SAPBEXinputData 11 8 4" xfId="9291"/>
    <cellStyle name="SAPBEXinputData 11 9" xfId="2776"/>
    <cellStyle name="SAPBEXinputData 11 9 2" xfId="3936"/>
    <cellStyle name="SAPBEXinputData 11 9 2 2" xfId="8592"/>
    <cellStyle name="SAPBEXinputData 11 9 3" xfId="5713"/>
    <cellStyle name="SAPBEXinputData 11 9 3 2" xfId="7654"/>
    <cellStyle name="SAPBEXinputData 11 9 4" xfId="6503"/>
    <cellStyle name="SAPBEXinputData 12" xfId="1424"/>
    <cellStyle name="SAPBEXinputData 12 10" xfId="3415"/>
    <cellStyle name="SAPBEXinputData 12 10 2" xfId="4988"/>
    <cellStyle name="SAPBEXinputData 12 10 2 2" xfId="9538"/>
    <cellStyle name="SAPBEXinputData 12 10 3" xfId="9107"/>
    <cellStyle name="SAPBEXinputData 12 11" xfId="4244"/>
    <cellStyle name="SAPBEXinputData 12 11 2" xfId="6858"/>
    <cellStyle name="SAPBEXinputData 12 12" xfId="6478"/>
    <cellStyle name="SAPBEXinputData 12 2" xfId="1761"/>
    <cellStyle name="SAPBEXinputData 12 2 10" xfId="3490"/>
    <cellStyle name="SAPBEXinputData 12 2 10 2" xfId="5060"/>
    <cellStyle name="SAPBEXinputData 12 2 10 2 2" xfId="9087"/>
    <cellStyle name="SAPBEXinputData 12 2 10 3" xfId="9696"/>
    <cellStyle name="SAPBEXinputData 12 2 11" xfId="3988"/>
    <cellStyle name="SAPBEXinputData 12 2 11 2" xfId="6789"/>
    <cellStyle name="SAPBEXinputData 12 2 12" xfId="6995"/>
    <cellStyle name="SAPBEXinputData 12 2 2" xfId="1894"/>
    <cellStyle name="SAPBEXinputData 12 2 2 10" xfId="8514"/>
    <cellStyle name="SAPBEXinputData 12 2 2 2" xfId="2509"/>
    <cellStyle name="SAPBEXinputData 12 2 2 2 2" xfId="2610"/>
    <cellStyle name="SAPBEXinputData 12 2 2 2 2 2" xfId="4101"/>
    <cellStyle name="SAPBEXinputData 12 2 2 2 2 2 2" xfId="9737"/>
    <cellStyle name="SAPBEXinputData 12 2 2 2 2 3" xfId="7144"/>
    <cellStyle name="SAPBEXinputData 12 2 2 2 3" xfId="4701"/>
    <cellStyle name="SAPBEXinputData 12 2 2 2 3 2" xfId="7403"/>
    <cellStyle name="SAPBEXinputData 12 2 2 2 4" xfId="6970"/>
    <cellStyle name="SAPBEXinputData 12 2 2 3" xfId="2165"/>
    <cellStyle name="SAPBEXinputData 12 2 2 3 2" xfId="2771"/>
    <cellStyle name="SAPBEXinputData 12 2 2 3 2 2" xfId="3939"/>
    <cellStyle name="SAPBEXinputData 12 2 2 3 2 2 2" xfId="9586"/>
    <cellStyle name="SAPBEXinputData 12 2 2 3 2 3" xfId="6889"/>
    <cellStyle name="SAPBEXinputData 12 2 2 3 3" xfId="3977"/>
    <cellStyle name="SAPBEXinputData 12 2 2 3 3 2" xfId="9525"/>
    <cellStyle name="SAPBEXinputData 12 2 2 3 4" xfId="5597"/>
    <cellStyle name="SAPBEXinputData 12 2 2 3 4 2" xfId="8483"/>
    <cellStyle name="SAPBEXinputData 12 2 2 3 5" xfId="6913"/>
    <cellStyle name="SAPBEXinputData 12 2 2 4" xfId="2365"/>
    <cellStyle name="SAPBEXinputData 12 2 2 4 2" xfId="4836"/>
    <cellStyle name="SAPBEXinputData 12 2 2 4 2 2" xfId="8651"/>
    <cellStyle name="SAPBEXinputData 12 2 2 4 3" xfId="5683"/>
    <cellStyle name="SAPBEXinputData 12 2 2 4 3 2" xfId="7188"/>
    <cellStyle name="SAPBEXinputData 12 2 2 4 4" xfId="8552"/>
    <cellStyle name="SAPBEXinputData 12 2 2 5" xfId="2835"/>
    <cellStyle name="SAPBEXinputData 12 2 2 5 2" xfId="3897"/>
    <cellStyle name="SAPBEXinputData 12 2 2 5 2 2" xfId="9637"/>
    <cellStyle name="SAPBEXinputData 12 2 2 5 3" xfId="5767"/>
    <cellStyle name="SAPBEXinputData 12 2 2 5 3 2" xfId="7427"/>
    <cellStyle name="SAPBEXinputData 12 2 2 5 4" xfId="7912"/>
    <cellStyle name="SAPBEXinputData 12 2 2 6" xfId="3343"/>
    <cellStyle name="SAPBEXinputData 12 2 2 6 2" xfId="4934"/>
    <cellStyle name="SAPBEXinputData 12 2 2 6 2 2" xfId="7797"/>
    <cellStyle name="SAPBEXinputData 12 2 2 6 3" xfId="6210"/>
    <cellStyle name="SAPBEXinputData 12 2 2 6 3 2" xfId="10104"/>
    <cellStyle name="SAPBEXinputData 12 2 2 6 4" xfId="8358"/>
    <cellStyle name="SAPBEXinputData 12 2 2 7" xfId="3133"/>
    <cellStyle name="SAPBEXinputData 12 2 2 7 2" xfId="3724"/>
    <cellStyle name="SAPBEXinputData 12 2 2 7 2 2" xfId="8529"/>
    <cellStyle name="SAPBEXinputData 12 2 2 7 3" xfId="6029"/>
    <cellStyle name="SAPBEXinputData 12 2 2 7 3 2" xfId="9923"/>
    <cellStyle name="SAPBEXinputData 12 2 2 7 4" xfId="6549"/>
    <cellStyle name="SAPBEXinputData 12 2 2 8" xfId="3502"/>
    <cellStyle name="SAPBEXinputData 12 2 2 8 2" xfId="5072"/>
    <cellStyle name="SAPBEXinputData 12 2 2 8 2 2" xfId="8127"/>
    <cellStyle name="SAPBEXinputData 12 2 2 8 3" xfId="9459"/>
    <cellStyle name="SAPBEXinputData 12 2 2 9" xfId="3614"/>
    <cellStyle name="SAPBEXinputData 12 2 2 9 2" xfId="6348"/>
    <cellStyle name="SAPBEXinputData 12 2 3" xfId="2476"/>
    <cellStyle name="SAPBEXinputData 12 2 3 2" xfId="2599"/>
    <cellStyle name="SAPBEXinputData 12 2 3 2 2" xfId="4897"/>
    <cellStyle name="SAPBEXinputData 12 2 3 2 2 2" xfId="6637"/>
    <cellStyle name="SAPBEXinputData 12 2 3 2 3" xfId="8197"/>
    <cellStyle name="SAPBEXinputData 12 2 3 3" xfId="4453"/>
    <cellStyle name="SAPBEXinputData 12 2 3 3 2" xfId="8036"/>
    <cellStyle name="SAPBEXinputData 12 2 3 4" xfId="5284"/>
    <cellStyle name="SAPBEXinputData 12 2 3 4 2" xfId="7153"/>
    <cellStyle name="SAPBEXinputData 12 2 3 5" xfId="6872"/>
    <cellStyle name="SAPBEXinputData 12 2 4" xfId="2181"/>
    <cellStyle name="SAPBEXinputData 12 2 4 2" xfId="2701"/>
    <cellStyle name="SAPBEXinputData 12 2 4 2 2" xfId="4235"/>
    <cellStyle name="SAPBEXinputData 12 2 4 2 2 2" xfId="7840"/>
    <cellStyle name="SAPBEXinputData 12 2 4 2 3" xfId="7066"/>
    <cellStyle name="SAPBEXinputData 12 2 4 3" xfId="4875"/>
    <cellStyle name="SAPBEXinputData 12 2 4 3 2" xfId="9621"/>
    <cellStyle name="SAPBEXinputData 12 2 4 4" xfId="5557"/>
    <cellStyle name="SAPBEXinputData 12 2 4 4 2" xfId="6844"/>
    <cellStyle name="SAPBEXinputData 12 2 4 5" xfId="6356"/>
    <cellStyle name="SAPBEXinputData 12 2 5" xfId="2205"/>
    <cellStyle name="SAPBEXinputData 12 2 5 2" xfId="4799"/>
    <cellStyle name="SAPBEXinputData 12 2 5 2 2" xfId="9017"/>
    <cellStyle name="SAPBEXinputData 12 2 5 3" xfId="5612"/>
    <cellStyle name="SAPBEXinputData 12 2 5 3 2" xfId="6907"/>
    <cellStyle name="SAPBEXinputData 12 2 5 4" xfId="6807"/>
    <cellStyle name="SAPBEXinputData 12 2 6" xfId="3197"/>
    <cellStyle name="SAPBEXinputData 12 2 6 2" xfId="4051"/>
    <cellStyle name="SAPBEXinputData 12 2 6 2 2" xfId="6945"/>
    <cellStyle name="SAPBEXinputData 12 2 6 3" xfId="6086"/>
    <cellStyle name="SAPBEXinputData 12 2 6 3 2" xfId="9980"/>
    <cellStyle name="SAPBEXinputData 12 2 6 4" xfId="9213"/>
    <cellStyle name="SAPBEXinputData 12 2 7" xfId="3024"/>
    <cellStyle name="SAPBEXinputData 12 2 7 2" xfId="3792"/>
    <cellStyle name="SAPBEXinputData 12 2 7 2 2" xfId="7174"/>
    <cellStyle name="SAPBEXinputData 12 2 7 3" xfId="5926"/>
    <cellStyle name="SAPBEXinputData 12 2 7 3 2" xfId="9820"/>
    <cellStyle name="SAPBEXinputData 12 2 7 4" xfId="7800"/>
    <cellStyle name="SAPBEXinputData 12 2 8" xfId="3003"/>
    <cellStyle name="SAPBEXinputData 12 2 8 2" xfId="4145"/>
    <cellStyle name="SAPBEXinputData 12 2 8 2 2" xfId="9383"/>
    <cellStyle name="SAPBEXinputData 12 2 8 3" xfId="5906"/>
    <cellStyle name="SAPBEXinputData 12 2 8 3 2" xfId="9800"/>
    <cellStyle name="SAPBEXinputData 12 2 8 4" xfId="6597"/>
    <cellStyle name="SAPBEXinputData 12 2 9" xfId="2775"/>
    <cellStyle name="SAPBEXinputData 12 2 9 2" xfId="3937"/>
    <cellStyle name="SAPBEXinputData 12 2 9 2 2" xfId="9166"/>
    <cellStyle name="SAPBEXinputData 12 2 9 3" xfId="5712"/>
    <cellStyle name="SAPBEXinputData 12 2 9 3 2" xfId="7803"/>
    <cellStyle name="SAPBEXinputData 12 2 9 4" xfId="8280"/>
    <cellStyle name="SAPBEXinputData 12 3" xfId="2410"/>
    <cellStyle name="SAPBEXinputData 12 3 2" xfId="2552"/>
    <cellStyle name="SAPBEXinputData 12 3 2 2" xfId="3970"/>
    <cellStyle name="SAPBEXinputData 12 3 2 2 2" xfId="7608"/>
    <cellStyle name="SAPBEXinputData 12 3 2 3" xfId="9316"/>
    <cellStyle name="SAPBEXinputData 12 3 3" xfId="3982"/>
    <cellStyle name="SAPBEXinputData 12 3 3 2" xfId="6274"/>
    <cellStyle name="SAPBEXinputData 12 3 4" xfId="5156"/>
    <cellStyle name="SAPBEXinputData 12 3 4 2" xfId="9414"/>
    <cellStyle name="SAPBEXinputData 12 3 5" xfId="6299"/>
    <cellStyle name="SAPBEXinputData 12 4" xfId="2108"/>
    <cellStyle name="SAPBEXinputData 12 4 2" xfId="2667"/>
    <cellStyle name="SAPBEXinputData 12 4 2 2" xfId="4303"/>
    <cellStyle name="SAPBEXinputData 12 4 2 2 2" xfId="6284"/>
    <cellStyle name="SAPBEXinputData 12 4 2 3" xfId="7894"/>
    <cellStyle name="SAPBEXinputData 12 4 3" xfId="4877"/>
    <cellStyle name="SAPBEXinputData 12 4 3 2" xfId="8505"/>
    <cellStyle name="SAPBEXinputData 12 4 4" xfId="5497"/>
    <cellStyle name="SAPBEXinputData 12 4 4 2" xfId="7687"/>
    <cellStyle name="SAPBEXinputData 12 4 5" xfId="6442"/>
    <cellStyle name="SAPBEXinputData 12 5" xfId="2281"/>
    <cellStyle name="SAPBEXinputData 12 5 2" xfId="4863"/>
    <cellStyle name="SAPBEXinputData 12 5 2 2" xfId="6572"/>
    <cellStyle name="SAPBEXinputData 12 5 3" xfId="5642"/>
    <cellStyle name="SAPBEXinputData 12 5 3 2" xfId="7242"/>
    <cellStyle name="SAPBEXinputData 12 5 4" xfId="8460"/>
    <cellStyle name="SAPBEXinputData 12 6" xfId="2859"/>
    <cellStyle name="SAPBEXinputData 12 6 2" xfId="3889"/>
    <cellStyle name="SAPBEXinputData 12 6 2 2" xfId="7692"/>
    <cellStyle name="SAPBEXinputData 12 6 3" xfId="5790"/>
    <cellStyle name="SAPBEXinputData 12 6 3 2" xfId="7615"/>
    <cellStyle name="SAPBEXinputData 12 6 4" xfId="9030"/>
    <cellStyle name="SAPBEXinputData 12 7" xfId="3184"/>
    <cellStyle name="SAPBEXinputData 12 7 2" xfId="3706"/>
    <cellStyle name="SAPBEXinputData 12 7 2 2" xfId="8755"/>
    <cellStyle name="SAPBEXinputData 12 7 3" xfId="6075"/>
    <cellStyle name="SAPBEXinputData 12 7 3 2" xfId="9969"/>
    <cellStyle name="SAPBEXinputData 12 7 4" xfId="9266"/>
    <cellStyle name="SAPBEXinputData 12 8" xfId="3079"/>
    <cellStyle name="SAPBEXinputData 12 8 2" xfId="3582"/>
    <cellStyle name="SAPBEXinputData 12 8 2 2" xfId="9388"/>
    <cellStyle name="SAPBEXinputData 12 8 3" xfId="5976"/>
    <cellStyle name="SAPBEXinputData 12 8 3 2" xfId="9870"/>
    <cellStyle name="SAPBEXinputData 12 8 4" xfId="9311"/>
    <cellStyle name="SAPBEXinputData 12 9" xfId="3154"/>
    <cellStyle name="SAPBEXinputData 12 9 2" xfId="3715"/>
    <cellStyle name="SAPBEXinputData 12 9 2 2" xfId="9183"/>
    <cellStyle name="SAPBEXinputData 12 9 3" xfId="6048"/>
    <cellStyle name="SAPBEXinputData 12 9 3 2" xfId="9942"/>
    <cellStyle name="SAPBEXinputData 12 9 4" xfId="8131"/>
    <cellStyle name="SAPBEXinputData 13" xfId="1605"/>
    <cellStyle name="SAPBEXinputData 13 10" xfId="3443"/>
    <cellStyle name="SAPBEXinputData 13 10 2" xfId="5014"/>
    <cellStyle name="SAPBEXinputData 13 10 2 2" xfId="7770"/>
    <cellStyle name="SAPBEXinputData 13 10 3" xfId="8714"/>
    <cellStyle name="SAPBEXinputData 13 11" xfId="3654"/>
    <cellStyle name="SAPBEXinputData 13 11 2" xfId="8681"/>
    <cellStyle name="SAPBEXinputData 13 12" xfId="8634"/>
    <cellStyle name="SAPBEXinputData 13 13" xfId="10186"/>
    <cellStyle name="SAPBEXinputData 13 2" xfId="1586"/>
    <cellStyle name="SAPBEXinputData 13 2 10" xfId="9450"/>
    <cellStyle name="SAPBEXinputData 13 2 2" xfId="2435"/>
    <cellStyle name="SAPBEXinputData 13 2 2 2" xfId="2569"/>
    <cellStyle name="SAPBEXinputData 13 2 2 2 2" xfId="4618"/>
    <cellStyle name="SAPBEXinputData 13 2 2 2 2 2" xfId="7313"/>
    <cellStyle name="SAPBEXinputData 13 2 2 2 3" xfId="8974"/>
    <cellStyle name="SAPBEXinputData 13 2 2 3" xfId="4893"/>
    <cellStyle name="SAPBEXinputData 13 2 2 3 2" xfId="9491"/>
    <cellStyle name="SAPBEXinputData 13 2 2 4" xfId="6658"/>
    <cellStyle name="SAPBEXinputData 13 2 3" xfId="2218"/>
    <cellStyle name="SAPBEXinputData 13 2 3 2" xfId="2787"/>
    <cellStyle name="SAPBEXinputData 13 2 3 2 2" xfId="3927"/>
    <cellStyle name="SAPBEXinputData 13 2 3 2 2 2" xfId="9425"/>
    <cellStyle name="SAPBEXinputData 13 2 3 2 3" xfId="8348"/>
    <cellStyle name="SAPBEXinputData 13 2 3 3" xfId="4038"/>
    <cellStyle name="SAPBEXinputData 13 2 3 3 2" xfId="7865"/>
    <cellStyle name="SAPBEXinputData 13 2 3 4" xfId="5624"/>
    <cellStyle name="SAPBEXinputData 13 2 3 4 2" xfId="6777"/>
    <cellStyle name="SAPBEXinputData 13 2 3 5" xfId="7079"/>
    <cellStyle name="SAPBEXinputData 13 2 4" xfId="2356"/>
    <cellStyle name="SAPBEXinputData 13 2 4 2" xfId="4838"/>
    <cellStyle name="SAPBEXinputData 13 2 4 2 2" xfId="9478"/>
    <cellStyle name="SAPBEXinputData 13 2 4 3" xfId="5679"/>
    <cellStyle name="SAPBEXinputData 13 2 4 3 2" xfId="6530"/>
    <cellStyle name="SAPBEXinputData 13 2 4 4" xfId="7215"/>
    <cellStyle name="SAPBEXinputData 13 2 5" xfId="2792"/>
    <cellStyle name="SAPBEXinputData 13 2 5 2" xfId="3922"/>
    <cellStyle name="SAPBEXinputData 13 2 5 2 2" xfId="6546"/>
    <cellStyle name="SAPBEXinputData 13 2 5 3" xfId="5726"/>
    <cellStyle name="SAPBEXinputData 13 2 5 3 2" xfId="7586"/>
    <cellStyle name="SAPBEXinputData 13 2 5 4" xfId="8271"/>
    <cellStyle name="SAPBEXinputData 13 2 6" xfId="2790"/>
    <cellStyle name="SAPBEXinputData 13 2 6 2" xfId="3924"/>
    <cellStyle name="SAPBEXinputData 13 2 6 2 2" xfId="9666"/>
    <cellStyle name="SAPBEXinputData 13 2 6 3" xfId="5724"/>
    <cellStyle name="SAPBEXinputData 13 2 6 3 2" xfId="6498"/>
    <cellStyle name="SAPBEXinputData 13 2 6 4" xfId="6941"/>
    <cellStyle name="SAPBEXinputData 13 2 7" xfId="3115"/>
    <cellStyle name="SAPBEXinputData 13 2 7 2" xfId="3738"/>
    <cellStyle name="SAPBEXinputData 13 2 7 2 2" xfId="9524"/>
    <cellStyle name="SAPBEXinputData 13 2 7 3" xfId="6011"/>
    <cellStyle name="SAPBEXinputData 13 2 7 3 2" xfId="9905"/>
    <cellStyle name="SAPBEXinputData 13 2 7 4" xfId="8177"/>
    <cellStyle name="SAPBEXinputData 13 2 8" xfId="3434"/>
    <cellStyle name="SAPBEXinputData 13 2 8 2" xfId="5005"/>
    <cellStyle name="SAPBEXinputData 13 2 8 2 2" xfId="7336"/>
    <cellStyle name="SAPBEXinputData 13 2 8 3" xfId="8244"/>
    <cellStyle name="SAPBEXinputData 13 2 9" xfId="3996"/>
    <cellStyle name="SAPBEXinputData 13 2 9 2" xfId="8625"/>
    <cellStyle name="SAPBEXinputData 13 3" xfId="2445"/>
    <cellStyle name="SAPBEXinputData 13 3 2" xfId="2579"/>
    <cellStyle name="SAPBEXinputData 13 3 2 2" xfId="4291"/>
    <cellStyle name="SAPBEXinputData 13 3 2 2 2" xfId="7020"/>
    <cellStyle name="SAPBEXinputData 13 3 2 3" xfId="6681"/>
    <cellStyle name="SAPBEXinputData 13 3 3" xfId="4782"/>
    <cellStyle name="SAPBEXinputData 13 3 3 2" xfId="6787"/>
    <cellStyle name="SAPBEXinputData 13 3 4" xfId="5157"/>
    <cellStyle name="SAPBEXinputData 13 3 4 2" xfId="8870"/>
    <cellStyle name="SAPBEXinputData 13 3 5" xfId="6411"/>
    <cellStyle name="SAPBEXinputData 13 4" xfId="2211"/>
    <cellStyle name="SAPBEXinputData 13 4 2" xfId="2631"/>
    <cellStyle name="SAPBEXinputData 13 4 2 2" xfId="4894"/>
    <cellStyle name="SAPBEXinputData 13 4 2 2 2" xfId="8569"/>
    <cellStyle name="SAPBEXinputData 13 4 2 3" xfId="6394"/>
    <cellStyle name="SAPBEXinputData 13 4 3" xfId="4643"/>
    <cellStyle name="SAPBEXinputData 13 4 3 2" xfId="9594"/>
    <cellStyle name="SAPBEXinputData 13 4 4" xfId="5462"/>
    <cellStyle name="SAPBEXinputData 13 4 4 2" xfId="6468"/>
    <cellStyle name="SAPBEXinputData 13 4 5" xfId="9240"/>
    <cellStyle name="SAPBEXinputData 13 5" xfId="2329"/>
    <cellStyle name="SAPBEXinputData 13 5 2" xfId="4427"/>
    <cellStyle name="SAPBEXinputData 13 5 2 2" xfId="7062"/>
    <cellStyle name="SAPBEXinputData 13 5 3" xfId="5665"/>
    <cellStyle name="SAPBEXinputData 13 5 3 2" xfId="6646"/>
    <cellStyle name="SAPBEXinputData 13 5 4" xfId="7882"/>
    <cellStyle name="SAPBEXinputData 13 6" xfId="3261"/>
    <cellStyle name="SAPBEXinputData 13 6 2" xfId="4120"/>
    <cellStyle name="SAPBEXinputData 13 6 2 2" xfId="6621"/>
    <cellStyle name="SAPBEXinputData 13 6 3" xfId="6137"/>
    <cellStyle name="SAPBEXinputData 13 6 3 2" xfId="10031"/>
    <cellStyle name="SAPBEXinputData 13 6 4" xfId="8444"/>
    <cellStyle name="SAPBEXinputData 13 7" xfId="2794"/>
    <cellStyle name="SAPBEXinputData 13 7 2" xfId="3920"/>
    <cellStyle name="SAPBEXinputData 13 7 2 2" xfId="8196"/>
    <cellStyle name="SAPBEXinputData 13 7 3" xfId="5728"/>
    <cellStyle name="SAPBEXinputData 13 7 3 2" xfId="6521"/>
    <cellStyle name="SAPBEXinputData 13 7 4" xfId="7904"/>
    <cellStyle name="SAPBEXinputData 13 8" xfId="3288"/>
    <cellStyle name="SAPBEXinputData 13 8 2" xfId="3557"/>
    <cellStyle name="SAPBEXinputData 13 8 2 2" xfId="9151"/>
    <cellStyle name="SAPBEXinputData 13 8 3" xfId="6158"/>
    <cellStyle name="SAPBEXinputData 13 8 3 2" xfId="10052"/>
    <cellStyle name="SAPBEXinputData 13 8 4" xfId="7405"/>
    <cellStyle name="SAPBEXinputData 13 9" xfId="3364"/>
    <cellStyle name="SAPBEXinputData 13 9 2" xfId="4953"/>
    <cellStyle name="SAPBEXinputData 13 9 2 2" xfId="6531"/>
    <cellStyle name="SAPBEXinputData 13 9 3" xfId="6229"/>
    <cellStyle name="SAPBEXinputData 13 9 3 2" xfId="10123"/>
    <cellStyle name="SAPBEXinputData 13 9 4" xfId="8558"/>
    <cellStyle name="SAPBEXinputData 14" xfId="1884"/>
    <cellStyle name="SAPBEXinputData 2" xfId="1425"/>
    <cellStyle name="SAPBEXinputData 2 10" xfId="3168"/>
    <cellStyle name="SAPBEXinputData 2 10 2" xfId="3574"/>
    <cellStyle name="SAPBEXinputData 2 10 2 2" xfId="8560"/>
    <cellStyle name="SAPBEXinputData 2 10 3" xfId="6060"/>
    <cellStyle name="SAPBEXinputData 2 10 3 2" xfId="9954"/>
    <cellStyle name="SAPBEXinputData 2 10 4" xfId="8245"/>
    <cellStyle name="SAPBEXinputData 2 11" xfId="3416"/>
    <cellStyle name="SAPBEXinputData 2 11 2" xfId="4989"/>
    <cellStyle name="SAPBEXinputData 2 11 2 2" xfId="6249"/>
    <cellStyle name="SAPBEXinputData 2 11 3" xfId="6517"/>
    <cellStyle name="SAPBEXinputData 2 12" xfId="3530"/>
    <cellStyle name="SAPBEXinputData 2 12 2" xfId="9558"/>
    <cellStyle name="SAPBEXinputData 2 13" xfId="8540"/>
    <cellStyle name="SAPBEXinputData 2 2" xfId="1426"/>
    <cellStyle name="SAPBEXinputData 2 2 10" xfId="3417"/>
    <cellStyle name="SAPBEXinputData 2 2 10 2" xfId="4990"/>
    <cellStyle name="SAPBEXinputData 2 2 10 2 2" xfId="8362"/>
    <cellStyle name="SAPBEXinputData 2 2 10 3" xfId="9457"/>
    <cellStyle name="SAPBEXinputData 2 2 11" xfId="4177"/>
    <cellStyle name="SAPBEXinputData 2 2 11 2" xfId="7431"/>
    <cellStyle name="SAPBEXinputData 2 2 12" xfId="9480"/>
    <cellStyle name="SAPBEXinputData 2 2 2" xfId="1763"/>
    <cellStyle name="SAPBEXinputData 2 2 2 10" xfId="3492"/>
    <cellStyle name="SAPBEXinputData 2 2 2 10 2" xfId="5062"/>
    <cellStyle name="SAPBEXinputData 2 2 2 10 2 2" xfId="6598"/>
    <cellStyle name="SAPBEXinputData 2 2 2 10 3" xfId="8261"/>
    <cellStyle name="SAPBEXinputData 2 2 2 11" xfId="4238"/>
    <cellStyle name="SAPBEXinputData 2 2 2 11 2" xfId="8399"/>
    <cellStyle name="SAPBEXinputData 2 2 2 12" xfId="7898"/>
    <cellStyle name="SAPBEXinputData 2 2 2 2" xfId="1601"/>
    <cellStyle name="SAPBEXinputData 2 2 2 2 10" xfId="9154"/>
    <cellStyle name="SAPBEXinputData 2 2 2 2 2" xfId="2441"/>
    <cellStyle name="SAPBEXinputData 2 2 2 2 2 2" xfId="2575"/>
    <cellStyle name="SAPBEXinputData 2 2 2 2 2 2 2" xfId="4425"/>
    <cellStyle name="SAPBEXinputData 2 2 2 2 2 2 2 2" xfId="7418"/>
    <cellStyle name="SAPBEXinputData 2 2 2 2 2 2 3" xfId="9764"/>
    <cellStyle name="SAPBEXinputData 2 2 2 2 2 3" xfId="4736"/>
    <cellStyle name="SAPBEXinputData 2 2 2 2 2 3 2" xfId="6979"/>
    <cellStyle name="SAPBEXinputData 2 2 2 2 2 4" xfId="7263"/>
    <cellStyle name="SAPBEXinputData 2 2 2 2 3" xfId="2214"/>
    <cellStyle name="SAPBEXinputData 2 2 2 2 3 2" xfId="2975"/>
    <cellStyle name="SAPBEXinputData 2 2 2 2 3 2 2" xfId="3816"/>
    <cellStyle name="SAPBEXinputData 2 2 2 2 3 2 2 2" xfId="8555"/>
    <cellStyle name="SAPBEXinputData 2 2 2 2 3 2 3" xfId="7582"/>
    <cellStyle name="SAPBEXinputData 2 2 2 2 3 3" xfId="4640"/>
    <cellStyle name="SAPBEXinputData 2 2 2 2 3 3 2" xfId="9513"/>
    <cellStyle name="SAPBEXinputData 2 2 2 2 3 4" xfId="5620"/>
    <cellStyle name="SAPBEXinputData 2 2 2 2 3 4 2" xfId="6850"/>
    <cellStyle name="SAPBEXinputData 2 2 2 2 3 5" xfId="6612"/>
    <cellStyle name="SAPBEXinputData 2 2 2 2 4" xfId="2338"/>
    <cellStyle name="SAPBEXinputData 2 2 2 2 4 2" xfId="4432"/>
    <cellStyle name="SAPBEXinputData 2 2 2 2 4 2 2" xfId="8326"/>
    <cellStyle name="SAPBEXinputData 2 2 2 2 4 3" xfId="5669"/>
    <cellStyle name="SAPBEXinputData 2 2 2 2 4 3 2" xfId="7365"/>
    <cellStyle name="SAPBEXinputData 2 2 2 2 4 4" xfId="7348"/>
    <cellStyle name="SAPBEXinputData 2 2 2 2 5" xfId="2908"/>
    <cellStyle name="SAPBEXinputData 2 2 2 2 5 2" xfId="4155"/>
    <cellStyle name="SAPBEXinputData 2 2 2 2 5 2 2" xfId="6497"/>
    <cellStyle name="SAPBEXinputData 2 2 2 2 5 3" xfId="5839"/>
    <cellStyle name="SAPBEXinputData 2 2 2 2 5 3 2" xfId="7274"/>
    <cellStyle name="SAPBEXinputData 2 2 2 2 5 4" xfId="7944"/>
    <cellStyle name="SAPBEXinputData 2 2 2 2 6" xfId="2900"/>
    <cellStyle name="SAPBEXinputData 2 2 2 2 6 2" xfId="4095"/>
    <cellStyle name="SAPBEXinputData 2 2 2 2 6 2 2" xfId="8738"/>
    <cellStyle name="SAPBEXinputData 2 2 2 2 6 3" xfId="5831"/>
    <cellStyle name="SAPBEXinputData 2 2 2 2 6 3 2" xfId="6445"/>
    <cellStyle name="SAPBEXinputData 2 2 2 2 6 4" xfId="7620"/>
    <cellStyle name="SAPBEXinputData 2 2 2 2 7" xfId="2911"/>
    <cellStyle name="SAPBEXinputData 2 2 2 2 7 2" xfId="4154"/>
    <cellStyle name="SAPBEXinputData 2 2 2 2 7 2 2" xfId="9725"/>
    <cellStyle name="SAPBEXinputData 2 2 2 2 7 3" xfId="5842"/>
    <cellStyle name="SAPBEXinputData 2 2 2 2 7 3 2" xfId="8110"/>
    <cellStyle name="SAPBEXinputData 2 2 2 2 7 4" xfId="7930"/>
    <cellStyle name="SAPBEXinputData 2 2 2 2 8" xfId="3440"/>
    <cellStyle name="SAPBEXinputData 2 2 2 2 8 2" xfId="5011"/>
    <cellStyle name="SAPBEXinputData 2 2 2 2 8 2 2" xfId="7065"/>
    <cellStyle name="SAPBEXinputData 2 2 2 2 8 3" xfId="7978"/>
    <cellStyle name="SAPBEXinputData 2 2 2 2 9" xfId="3993"/>
    <cellStyle name="SAPBEXinputData 2 2 2 2 9 2" xfId="7464"/>
    <cellStyle name="SAPBEXinputData 2 2 2 3" xfId="2478"/>
    <cellStyle name="SAPBEXinputData 2 2 2 3 2" xfId="2601"/>
    <cellStyle name="SAPBEXinputData 2 2 2 3 2 2" xfId="4753"/>
    <cellStyle name="SAPBEXinputData 2 2 2 3 2 2 2" xfId="6840"/>
    <cellStyle name="SAPBEXinputData 2 2 2 3 2 3" xfId="8193"/>
    <cellStyle name="SAPBEXinputData 2 2 2 3 3" xfId="4680"/>
    <cellStyle name="SAPBEXinputData 2 2 2 3 3 2" xfId="9033"/>
    <cellStyle name="SAPBEXinputData 2 2 2 3 4" xfId="5332"/>
    <cellStyle name="SAPBEXinputData 2 2 2 3 4 2" xfId="6675"/>
    <cellStyle name="SAPBEXinputData 2 2 2 3 5" xfId="7600"/>
    <cellStyle name="SAPBEXinputData 2 2 2 4" xfId="2179"/>
    <cellStyle name="SAPBEXinputData 2 2 2 4 2" xfId="2703"/>
    <cellStyle name="SAPBEXinputData 2 2 2 4 2 2" xfId="3608"/>
    <cellStyle name="SAPBEXinputData 2 2 2 4 2 2 2" xfId="9042"/>
    <cellStyle name="SAPBEXinputData 2 2 2 4 2 3" xfId="9339"/>
    <cellStyle name="SAPBEXinputData 2 2 2 4 3" xfId="4625"/>
    <cellStyle name="SAPBEXinputData 2 2 2 4 3 2" xfId="9636"/>
    <cellStyle name="SAPBEXinputData 2 2 2 4 4" xfId="5559"/>
    <cellStyle name="SAPBEXinputData 2 2 2 4 4 2" xfId="7203"/>
    <cellStyle name="SAPBEXinputData 2 2 2 4 5" xfId="9298"/>
    <cellStyle name="SAPBEXinputData 2 2 2 5" xfId="2313"/>
    <cellStyle name="SAPBEXinputData 2 2 2 5 2" xfId="4097"/>
    <cellStyle name="SAPBEXinputData 2 2 2 5 2 2" xfId="7917"/>
    <cellStyle name="SAPBEXinputData 2 2 2 5 3" xfId="5657"/>
    <cellStyle name="SAPBEXinputData 2 2 2 5 3 2" xfId="7428"/>
    <cellStyle name="SAPBEXinputData 2 2 2 5 4" xfId="6821"/>
    <cellStyle name="SAPBEXinputData 2 2 2 6" xfId="3064"/>
    <cellStyle name="SAPBEXinputData 2 2 2 6 2" xfId="4072"/>
    <cellStyle name="SAPBEXinputData 2 2 2 6 2 2" xfId="6583"/>
    <cellStyle name="SAPBEXinputData 2 2 2 6 3" xfId="5964"/>
    <cellStyle name="SAPBEXinputData 2 2 2 6 3 2" xfId="9858"/>
    <cellStyle name="SAPBEXinputData 2 2 2 6 4" xfId="9346"/>
    <cellStyle name="SAPBEXinputData 2 2 2 7" xfId="3140"/>
    <cellStyle name="SAPBEXinputData 2 2 2 7 2" xfId="4133"/>
    <cellStyle name="SAPBEXinputData 2 2 2 7 2 2" xfId="9518"/>
    <cellStyle name="SAPBEXinputData 2 2 2 7 3" xfId="6036"/>
    <cellStyle name="SAPBEXinputData 2 2 2 7 3 2" xfId="9930"/>
    <cellStyle name="SAPBEXinputData 2 2 2 7 4" xfId="7200"/>
    <cellStyle name="SAPBEXinputData 2 2 2 8" xfId="2773"/>
    <cellStyle name="SAPBEXinputData 2 2 2 8 2" xfId="3938"/>
    <cellStyle name="SAPBEXinputData 2 2 2 8 2 2" xfId="6661"/>
    <cellStyle name="SAPBEXinputData 2 2 2 8 3" xfId="5710"/>
    <cellStyle name="SAPBEXinputData 2 2 2 8 3 2" xfId="6631"/>
    <cellStyle name="SAPBEXinputData 2 2 2 8 4" xfId="8403"/>
    <cellStyle name="SAPBEXinputData 2 2 2 9" xfId="3359"/>
    <cellStyle name="SAPBEXinputData 2 2 2 9 2" xfId="4949"/>
    <cellStyle name="SAPBEXinputData 2 2 2 9 2 2" xfId="7891"/>
    <cellStyle name="SAPBEXinputData 2 2 2 9 3" xfId="6225"/>
    <cellStyle name="SAPBEXinputData 2 2 2 9 3 2" xfId="10119"/>
    <cellStyle name="SAPBEXinputData 2 2 2 9 4" xfId="7052"/>
    <cellStyle name="SAPBEXinputData 2 2 3" xfId="2412"/>
    <cellStyle name="SAPBEXinputData 2 2 3 2" xfId="2554"/>
    <cellStyle name="SAPBEXinputData 2 2 3 2 2" xfId="4708"/>
    <cellStyle name="SAPBEXinputData 2 2 3 2 2 2" xfId="7212"/>
    <cellStyle name="SAPBEXinputData 2 2 3 2 3" xfId="9350"/>
    <cellStyle name="SAPBEXinputData 2 2 3 3" xfId="4735"/>
    <cellStyle name="SAPBEXinputData 2 2 3 3 2" xfId="8575"/>
    <cellStyle name="SAPBEXinputData 2 2 3 4" xfId="5296"/>
    <cellStyle name="SAPBEXinputData 2 2 3 4 2" xfId="7169"/>
    <cellStyle name="SAPBEXinputData 2 2 3 5" xfId="7206"/>
    <cellStyle name="SAPBEXinputData 2 2 4" xfId="2231"/>
    <cellStyle name="SAPBEXinputData 2 2 4 2" xfId="2634"/>
    <cellStyle name="SAPBEXinputData 2 2 4 2 2" xfId="4787"/>
    <cellStyle name="SAPBEXinputData 2 2 4 2 2 2" xfId="9499"/>
    <cellStyle name="SAPBEXinputData 2 2 4 2 3" xfId="6296"/>
    <cellStyle name="SAPBEXinputData 2 2 4 3" xfId="4607"/>
    <cellStyle name="SAPBEXinputData 2 2 4 3 2" xfId="8997"/>
    <cellStyle name="SAPBEXinputData 2 2 4 4" xfId="5465"/>
    <cellStyle name="SAPBEXinputData 2 2 4 4 2" xfId="8214"/>
    <cellStyle name="SAPBEXinputData 2 2 4 5" xfId="9224"/>
    <cellStyle name="SAPBEXinputData 2 2 5" xfId="2282"/>
    <cellStyle name="SAPBEXinputData 2 2 5 2" xfId="3974"/>
    <cellStyle name="SAPBEXinputData 2 2 5 2 2" xfId="9638"/>
    <cellStyle name="SAPBEXinputData 2 2 5 3" xfId="5643"/>
    <cellStyle name="SAPBEXinputData 2 2 5 3 2" xfId="6866"/>
    <cellStyle name="SAPBEXinputData 2 2 5 4" xfId="7756"/>
    <cellStyle name="SAPBEXinputData 2 2 6" xfId="2860"/>
    <cellStyle name="SAPBEXinputData 2 2 6 2" xfId="3888"/>
    <cellStyle name="SAPBEXinputData 2 2 6 2 2" xfId="8142"/>
    <cellStyle name="SAPBEXinputData 2 2 6 3" xfId="5791"/>
    <cellStyle name="SAPBEXinputData 2 2 6 3 2" xfId="6576"/>
    <cellStyle name="SAPBEXinputData 2 2 6 4" xfId="9194"/>
    <cellStyle name="SAPBEXinputData 2 2 7" xfId="2789"/>
    <cellStyle name="SAPBEXinputData 2 2 7 2" xfId="3925"/>
    <cellStyle name="SAPBEXinputData 2 2 7 2 2" xfId="8703"/>
    <cellStyle name="SAPBEXinputData 2 2 7 3" xfId="5723"/>
    <cellStyle name="SAPBEXinputData 2 2 7 3 2" xfId="7129"/>
    <cellStyle name="SAPBEXinputData 2 2 7 4" xfId="8032"/>
    <cellStyle name="SAPBEXinputData 2 2 8" xfId="2805"/>
    <cellStyle name="SAPBEXinputData 2 2 8 2" xfId="3911"/>
    <cellStyle name="SAPBEXinputData 2 2 8 2 2" xfId="6525"/>
    <cellStyle name="SAPBEXinputData 2 2 8 3" xfId="5739"/>
    <cellStyle name="SAPBEXinputData 2 2 8 3 2" xfId="7557"/>
    <cellStyle name="SAPBEXinputData 2 2 8 4" xfId="7848"/>
    <cellStyle name="SAPBEXinputData 2 2 9" xfId="3339"/>
    <cellStyle name="SAPBEXinputData 2 2 9 2" xfId="4930"/>
    <cellStyle name="SAPBEXinputData 2 2 9 2 2" xfId="8567"/>
    <cellStyle name="SAPBEXinputData 2 2 9 3" xfId="6206"/>
    <cellStyle name="SAPBEXinputData 2 2 9 3 2" xfId="10100"/>
    <cellStyle name="SAPBEXinputData 2 2 9 4" xfId="7859"/>
    <cellStyle name="SAPBEXinputData 2 3" xfId="1762"/>
    <cellStyle name="SAPBEXinputData 2 3 10" xfId="3491"/>
    <cellStyle name="SAPBEXinputData 2 3 10 2" xfId="5061"/>
    <cellStyle name="SAPBEXinputData 2 3 10 2 2" xfId="8749"/>
    <cellStyle name="SAPBEXinputData 2 3 10 3" xfId="8758"/>
    <cellStyle name="SAPBEXinputData 2 3 11" xfId="3617"/>
    <cellStyle name="SAPBEXinputData 2 3 11 2" xfId="8378"/>
    <cellStyle name="SAPBEXinputData 2 3 12" xfId="6386"/>
    <cellStyle name="SAPBEXinputData 2 3 2" xfId="1902"/>
    <cellStyle name="SAPBEXinputData 2 3 2 10" xfId="9479"/>
    <cellStyle name="SAPBEXinputData 2 3 2 2" xfId="2512"/>
    <cellStyle name="SAPBEXinputData 2 3 2 2 2" xfId="2613"/>
    <cellStyle name="SAPBEXinputData 2 3 2 2 2 2" xfId="4856"/>
    <cellStyle name="SAPBEXinputData 2 3 2 2 2 2 2" xfId="9139"/>
    <cellStyle name="SAPBEXinputData 2 3 2 2 2 3" xfId="7656"/>
    <cellStyle name="SAPBEXinputData 2 3 2 2 3" xfId="4484"/>
    <cellStyle name="SAPBEXinputData 2 3 2 2 3 2" xfId="9600"/>
    <cellStyle name="SAPBEXinputData 2 3 2 2 4" xfId="7707"/>
    <cellStyle name="SAPBEXinputData 2 3 2 3" xfId="2099"/>
    <cellStyle name="SAPBEXinputData 2 3 2 3 2" xfId="2767"/>
    <cellStyle name="SAPBEXinputData 2 3 2 3 2 2" xfId="4076"/>
    <cellStyle name="SAPBEXinputData 2 3 2 3 2 2 2" xfId="7022"/>
    <cellStyle name="SAPBEXinputData 2 3 2 3 2 3" xfId="6698"/>
    <cellStyle name="SAPBEXinputData 2 3 2 3 3" xfId="4454"/>
    <cellStyle name="SAPBEXinputData 2 3 2 3 3 2" xfId="9547"/>
    <cellStyle name="SAPBEXinputData 2 3 2 3 4" xfId="5575"/>
    <cellStyle name="SAPBEXinputData 2 3 2 3 4 2" xfId="6488"/>
    <cellStyle name="SAPBEXinputData 2 3 2 3 5" xfId="6570"/>
    <cellStyle name="SAPBEXinputData 2 3 2 4" xfId="2207"/>
    <cellStyle name="SAPBEXinputData 2 3 2 4 2" xfId="4626"/>
    <cellStyle name="SAPBEXinputData 2 3 2 4 2 2" xfId="8631"/>
    <cellStyle name="SAPBEXinputData 2 3 2 4 3" xfId="5614"/>
    <cellStyle name="SAPBEXinputData 2 3 2 4 3 2" xfId="7292"/>
    <cellStyle name="SAPBEXinputData 2 3 2 4 4" xfId="8400"/>
    <cellStyle name="SAPBEXinputData 2 3 2 5" xfId="2803"/>
    <cellStyle name="SAPBEXinputData 2 3 2 5 2" xfId="3913"/>
    <cellStyle name="SAPBEXinputData 2 3 2 5 2 2" xfId="8697"/>
    <cellStyle name="SAPBEXinputData 2 3 2 5 3" xfId="5737"/>
    <cellStyle name="SAPBEXinputData 2 3 2 5 3 2" xfId="6325"/>
    <cellStyle name="SAPBEXinputData 2 3 2 5 4" xfId="8439"/>
    <cellStyle name="SAPBEXinputData 2 3 2 6" xfId="3054"/>
    <cellStyle name="SAPBEXinputData 2 3 2 6 2" xfId="3584"/>
    <cellStyle name="SAPBEXinputData 2 3 2 6 2 2" xfId="9115"/>
    <cellStyle name="SAPBEXinputData 2 3 2 6 3" xfId="5954"/>
    <cellStyle name="SAPBEXinputData 2 3 2 6 3 2" xfId="9848"/>
    <cellStyle name="SAPBEXinputData 2 3 2 6 4" xfId="9278"/>
    <cellStyle name="SAPBEXinputData 2 3 2 7" xfId="3201"/>
    <cellStyle name="SAPBEXinputData 2 3 2 7 2" xfId="3569"/>
    <cellStyle name="SAPBEXinputData 2 3 2 7 2 2" xfId="7508"/>
    <cellStyle name="SAPBEXinputData 2 3 2 7 3" xfId="6090"/>
    <cellStyle name="SAPBEXinputData 2 3 2 7 3 2" xfId="9984"/>
    <cellStyle name="SAPBEXinputData 2 3 2 7 4" xfId="7634"/>
    <cellStyle name="SAPBEXinputData 2 3 2 8" xfId="3505"/>
    <cellStyle name="SAPBEXinputData 2 3 2 8 2" xfId="5075"/>
    <cellStyle name="SAPBEXinputData 2 3 2 8 2 2" xfId="6888"/>
    <cellStyle name="SAPBEXinputData 2 3 2 8 3" xfId="8357"/>
    <cellStyle name="SAPBEXinputData 2 3 2 9" xfId="4118"/>
    <cellStyle name="SAPBEXinputData 2 3 2 9 2" xfId="9006"/>
    <cellStyle name="SAPBEXinputData 2 3 3" xfId="2477"/>
    <cellStyle name="SAPBEXinputData 2 3 3 2" xfId="2600"/>
    <cellStyle name="SAPBEXinputData 2 3 3 2 2" xfId="4775"/>
    <cellStyle name="SAPBEXinputData 2 3 3 2 2 2" xfId="9172"/>
    <cellStyle name="SAPBEXinputData 2 3 3 2 3" xfId="7124"/>
    <cellStyle name="SAPBEXinputData 2 3 3 3" xfId="4641"/>
    <cellStyle name="SAPBEXinputData 2 3 3 3 2" xfId="8557"/>
    <cellStyle name="SAPBEXinputData 2 3 3 4" xfId="5151"/>
    <cellStyle name="SAPBEXinputData 2 3 3 4 2" xfId="8736"/>
    <cellStyle name="SAPBEXinputData 2 3 3 5" xfId="6362"/>
    <cellStyle name="SAPBEXinputData 2 3 4" xfId="2180"/>
    <cellStyle name="SAPBEXinputData 2 3 4 2" xfId="2702"/>
    <cellStyle name="SAPBEXinputData 2 3 4 2 2" xfId="3952"/>
    <cellStyle name="SAPBEXinputData 2 3 4 2 2 2" xfId="9106"/>
    <cellStyle name="SAPBEXinputData 2 3 4 2 3" xfId="9274"/>
    <cellStyle name="SAPBEXinputData 2 3 4 3" xfId="4491"/>
    <cellStyle name="SAPBEXinputData 2 3 4 3 2" xfId="8573"/>
    <cellStyle name="SAPBEXinputData 2 3 4 4" xfId="5558"/>
    <cellStyle name="SAPBEXinputData 2 3 4 4 2" xfId="8479"/>
    <cellStyle name="SAPBEXinputData 2 3 4 5" xfId="8494"/>
    <cellStyle name="SAPBEXinputData 2 3 5" xfId="2137"/>
    <cellStyle name="SAPBEXinputData 2 3 5 2" xfId="4824"/>
    <cellStyle name="SAPBEXinputData 2 3 5 2 2" xfId="6826"/>
    <cellStyle name="SAPBEXinputData 2 3 5 3" xfId="5591"/>
    <cellStyle name="SAPBEXinputData 2 3 5 3 2" xfId="8103"/>
    <cellStyle name="SAPBEXinputData 2 3 5 4" xfId="7250"/>
    <cellStyle name="SAPBEXinputData 2 3 6" xfId="3239"/>
    <cellStyle name="SAPBEXinputData 2 3 6 2" xfId="4045"/>
    <cellStyle name="SAPBEXinputData 2 3 6 2 2" xfId="7684"/>
    <cellStyle name="SAPBEXinputData 2 3 6 3" xfId="6121"/>
    <cellStyle name="SAPBEXinputData 2 3 6 3 2" xfId="10015"/>
    <cellStyle name="SAPBEXinputData 2 3 6 4" xfId="6990"/>
    <cellStyle name="SAPBEXinputData 2 3 7" xfId="3202"/>
    <cellStyle name="SAPBEXinputData 2 3 7 2" xfId="4259"/>
    <cellStyle name="SAPBEXinputData 2 3 7 2 2" xfId="7410"/>
    <cellStyle name="SAPBEXinputData 2 3 7 3" xfId="6091"/>
    <cellStyle name="SAPBEXinputData 2 3 7 3 2" xfId="9985"/>
    <cellStyle name="SAPBEXinputData 2 3 7 4" xfId="8337"/>
    <cellStyle name="SAPBEXinputData 2 3 8" xfId="3328"/>
    <cellStyle name="SAPBEXinputData 2 3 8 2" xfId="4919"/>
    <cellStyle name="SAPBEXinputData 2 3 8 2 2" xfId="7401"/>
    <cellStyle name="SAPBEXinputData 2 3 8 3" xfId="6195"/>
    <cellStyle name="SAPBEXinputData 2 3 8 3 2" xfId="10089"/>
    <cellStyle name="SAPBEXinputData 2 3 8 4" xfId="9542"/>
    <cellStyle name="SAPBEXinputData 2 3 9" xfId="2851"/>
    <cellStyle name="SAPBEXinputData 2 3 9 2" xfId="4159"/>
    <cellStyle name="SAPBEXinputData 2 3 9 2 2" xfId="7239"/>
    <cellStyle name="SAPBEXinputData 2 3 9 3" xfId="5783"/>
    <cellStyle name="SAPBEXinputData 2 3 9 3 2" xfId="7601"/>
    <cellStyle name="SAPBEXinputData 2 3 9 4" xfId="8872"/>
    <cellStyle name="SAPBEXinputData 2 4" xfId="2030"/>
    <cellStyle name="SAPBEXinputData 2 4 2" xfId="3245"/>
    <cellStyle name="SAPBEXinputData 2 4 3" xfId="2666"/>
    <cellStyle name="SAPBEXinputData 2 4 3 2" xfId="4597"/>
    <cellStyle name="SAPBEXinputData 2 4 3 2 2" xfId="8727"/>
    <cellStyle name="SAPBEXinputData 2 4 3 3" xfId="6799"/>
    <cellStyle name="SAPBEXinputData 2 4 4" xfId="5308"/>
    <cellStyle name="SAPBEXinputData 2 4 5" xfId="5496"/>
    <cellStyle name="SAPBEXinputData 2 4 5 2" xfId="7827"/>
    <cellStyle name="SAPBEXinputData 2 5" xfId="2411"/>
    <cellStyle name="SAPBEXinputData 2 5 2" xfId="2553"/>
    <cellStyle name="SAPBEXinputData 2 5 2 2" xfId="4858"/>
    <cellStyle name="SAPBEXinputData 2 5 2 2 2" xfId="6947"/>
    <cellStyle name="SAPBEXinputData 2 5 2 3" xfId="9216"/>
    <cellStyle name="SAPBEXinputData 2 5 3" xfId="4662"/>
    <cellStyle name="SAPBEXinputData 2 5 3 2" xfId="7730"/>
    <cellStyle name="SAPBEXinputData 2 5 4" xfId="6501"/>
    <cellStyle name="SAPBEXinputData 2 6" xfId="2232"/>
    <cellStyle name="SAPBEXinputData 2 6 2" xfId="3004"/>
    <cellStyle name="SAPBEXinputData 2 6 2 2" xfId="4079"/>
    <cellStyle name="SAPBEXinputData 2 6 2 2 2" xfId="7701"/>
    <cellStyle name="SAPBEXinputData 2 6 2 3" xfId="8461"/>
    <cellStyle name="SAPBEXinputData 2 6 3" xfId="4455"/>
    <cellStyle name="SAPBEXinputData 2 6 3 2" xfId="8679"/>
    <cellStyle name="SAPBEXinputData 2 6 4" xfId="5629"/>
    <cellStyle name="SAPBEXinputData 2 6 4 2" xfId="8152"/>
    <cellStyle name="SAPBEXinputData 2 6 5" xfId="7373"/>
    <cellStyle name="SAPBEXinputData 2 7" xfId="2124"/>
    <cellStyle name="SAPBEXinputData 2 7 2" xfId="4668"/>
    <cellStyle name="SAPBEXinputData 2 7 2 2" xfId="8701"/>
    <cellStyle name="SAPBEXinputData 2 7 3" xfId="5582"/>
    <cellStyle name="SAPBEXinputData 2 7 3 2" xfId="6653"/>
    <cellStyle name="SAPBEXinputData 2 7 4" xfId="8446"/>
    <cellStyle name="SAPBEXinputData 2 8" xfId="2774"/>
    <cellStyle name="SAPBEXinputData 2 8 2" xfId="3605"/>
    <cellStyle name="SAPBEXinputData 2 8 2 2" xfId="8426"/>
    <cellStyle name="SAPBEXinputData 2 8 3" xfId="5711"/>
    <cellStyle name="SAPBEXinputData 2 8 3 2" xfId="8194"/>
    <cellStyle name="SAPBEXinputData 2 8 4" xfId="7736"/>
    <cellStyle name="SAPBEXinputData 2 9" xfId="3114"/>
    <cellStyle name="SAPBEXinputData 2 9 2" xfId="3739"/>
    <cellStyle name="SAPBEXinputData 2 9 2 2" xfId="8680"/>
    <cellStyle name="SAPBEXinputData 2 9 3" xfId="6010"/>
    <cellStyle name="SAPBEXinputData 2 9 3 2" xfId="9904"/>
    <cellStyle name="SAPBEXinputData 2 9 4" xfId="7040"/>
    <cellStyle name="SAPBEXinputData 3" xfId="1427"/>
    <cellStyle name="SAPBEXinputData 3 10" xfId="2958"/>
    <cellStyle name="SAPBEXinputData 3 10 2" xfId="4219"/>
    <cellStyle name="SAPBEXinputData 3 10 2 2" xfId="6313"/>
    <cellStyle name="SAPBEXinputData 3 10 3" xfId="5876"/>
    <cellStyle name="SAPBEXinputData 3 10 3 2" xfId="7652"/>
    <cellStyle name="SAPBEXinputData 3 10 4" xfId="7626"/>
    <cellStyle name="SAPBEXinputData 3 11" xfId="3418"/>
    <cellStyle name="SAPBEXinputData 3 11 2" xfId="4991"/>
    <cellStyle name="SAPBEXinputData 3 11 2 2" xfId="9574"/>
    <cellStyle name="SAPBEXinputData 3 11 3" xfId="8846"/>
    <cellStyle name="SAPBEXinputData 3 12" xfId="4034"/>
    <cellStyle name="SAPBEXinputData 3 12 2" xfId="9076"/>
    <cellStyle name="SAPBEXinputData 3 13" xfId="8858"/>
    <cellStyle name="SAPBEXinputData 3 2" xfId="1428"/>
    <cellStyle name="SAPBEXinputData 3 3" xfId="1764"/>
    <cellStyle name="SAPBEXinputData 3 3 10" xfId="3493"/>
    <cellStyle name="SAPBEXinputData 3 3 10 2" xfId="5063"/>
    <cellStyle name="SAPBEXinputData 3 3 10 2 2" xfId="8346"/>
    <cellStyle name="SAPBEXinputData 3 3 10 3" xfId="9507"/>
    <cellStyle name="SAPBEXinputData 3 3 11" xfId="3987"/>
    <cellStyle name="SAPBEXinputData 3 3 11 2" xfId="8417"/>
    <cellStyle name="SAPBEXinputData 3 3 12" xfId="8309"/>
    <cellStyle name="SAPBEXinputData 3 3 2" xfId="1897"/>
    <cellStyle name="SAPBEXinputData 3 3 2 10" xfId="7353"/>
    <cellStyle name="SAPBEXinputData 3 3 2 2" xfId="2511"/>
    <cellStyle name="SAPBEXinputData 3 3 2 2 2" xfId="2612"/>
    <cellStyle name="SAPBEXinputData 3 3 2 2 2 2" xfId="3968"/>
    <cellStyle name="SAPBEXinputData 3 3 2 2 2 2 2" xfId="9755"/>
    <cellStyle name="SAPBEXinputData 3 3 2 2 2 3" xfId="6483"/>
    <cellStyle name="SAPBEXinputData 3 3 2 2 3" xfId="4630"/>
    <cellStyle name="SAPBEXinputData 3 3 2 2 3 2" xfId="7678"/>
    <cellStyle name="SAPBEXinputData 3 3 2 2 4" xfId="6835"/>
    <cellStyle name="SAPBEXinputData 3 3 2 3" xfId="2315"/>
    <cellStyle name="SAPBEXinputData 3 3 2 3 2" xfId="2769"/>
    <cellStyle name="SAPBEXinputData 3 3 2 3 2 2" xfId="4168"/>
    <cellStyle name="SAPBEXinputData 3 3 2 3 2 2 2" xfId="8382"/>
    <cellStyle name="SAPBEXinputData 3 3 2 3 2 3" xfId="8453"/>
    <cellStyle name="SAPBEXinputData 3 3 2 3 3" xfId="4103"/>
    <cellStyle name="SAPBEXinputData 3 3 2 3 3 2" xfId="8165"/>
    <cellStyle name="SAPBEXinputData 3 3 2 3 4" xfId="5659"/>
    <cellStyle name="SAPBEXinputData 3 3 2 3 4 2" xfId="6890"/>
    <cellStyle name="SAPBEXinputData 3 3 2 3 5" xfId="8270"/>
    <cellStyle name="SAPBEXinputData 3 3 2 4" xfId="2353"/>
    <cellStyle name="SAPBEXinputData 3 3 2 4 2" xfId="4417"/>
    <cellStyle name="SAPBEXinputData 3 3 2 4 2 2" xfId="9029"/>
    <cellStyle name="SAPBEXinputData 3 3 2 4 3" xfId="5678"/>
    <cellStyle name="SAPBEXinputData 3 3 2 4 3 2" xfId="7611"/>
    <cellStyle name="SAPBEXinputData 3 3 2 4 4" xfId="7005"/>
    <cellStyle name="SAPBEXinputData 3 3 2 5" xfId="3301"/>
    <cellStyle name="SAPBEXinputData 3 3 2 5 2" xfId="3671"/>
    <cellStyle name="SAPBEXinputData 3 3 2 5 2 2" xfId="9706"/>
    <cellStyle name="SAPBEXinputData 3 3 2 5 3" xfId="6170"/>
    <cellStyle name="SAPBEXinputData 3 3 2 5 3 2" xfId="10064"/>
    <cellStyle name="SAPBEXinputData 3 3 2 5 4" xfId="9661"/>
    <cellStyle name="SAPBEXinputData 3 3 2 6" xfId="3266"/>
    <cellStyle name="SAPBEXinputData 3 3 2 6 2" xfId="3685"/>
    <cellStyle name="SAPBEXinputData 3 3 2 6 2 2" xfId="9049"/>
    <cellStyle name="SAPBEXinputData 3 3 2 6 3" xfId="6141"/>
    <cellStyle name="SAPBEXinputData 3 3 2 6 3 2" xfId="10035"/>
    <cellStyle name="SAPBEXinputData 3 3 2 6 4" xfId="8082"/>
    <cellStyle name="SAPBEXinputData 3 3 2 7" xfId="3139"/>
    <cellStyle name="SAPBEXinputData 3 3 2 7 2" xfId="3719"/>
    <cellStyle name="SAPBEXinputData 3 3 2 7 2 2" xfId="9149"/>
    <cellStyle name="SAPBEXinputData 3 3 2 7 3" xfId="6035"/>
    <cellStyle name="SAPBEXinputData 3 3 2 7 3 2" xfId="9929"/>
    <cellStyle name="SAPBEXinputData 3 3 2 7 4" xfId="7525"/>
    <cellStyle name="SAPBEXinputData 3 3 2 8" xfId="3504"/>
    <cellStyle name="SAPBEXinputData 3 3 2 8 2" xfId="5074"/>
    <cellStyle name="SAPBEXinputData 3 3 2 8 2 2" xfId="7526"/>
    <cellStyle name="SAPBEXinputData 3 3 2 8 3" xfId="7785"/>
    <cellStyle name="SAPBEXinputData 3 3 2 9" xfId="4289"/>
    <cellStyle name="SAPBEXinputData 3 3 2 9 2" xfId="9756"/>
    <cellStyle name="SAPBEXinputData 3 3 3" xfId="2479"/>
    <cellStyle name="SAPBEXinputData 3 3 3 2" xfId="2602"/>
    <cellStyle name="SAPBEXinputData 3 3 3 2 2" xfId="4716"/>
    <cellStyle name="SAPBEXinputData 3 3 3 2 2 2" xfId="9369"/>
    <cellStyle name="SAPBEXinputData 3 3 3 2 3" xfId="6877"/>
    <cellStyle name="SAPBEXinputData 3 3 3 3" xfId="4729"/>
    <cellStyle name="SAPBEXinputData 3 3 3 3 2" xfId="8577"/>
    <cellStyle name="SAPBEXinputData 3 3 3 4" xfId="5169"/>
    <cellStyle name="SAPBEXinputData 3 3 3 4 2" xfId="9133"/>
    <cellStyle name="SAPBEXinputData 3 3 3 5" xfId="7361"/>
    <cellStyle name="SAPBEXinputData 3 3 4" xfId="2178"/>
    <cellStyle name="SAPBEXinputData 3 3 4 2" xfId="2704"/>
    <cellStyle name="SAPBEXinputData 3 3 4 2 2" xfId="3951"/>
    <cellStyle name="SAPBEXinputData 3 3 4 2 2 2" xfId="9454"/>
    <cellStyle name="SAPBEXinputData 3 3 4 2 3" xfId="9295"/>
    <cellStyle name="SAPBEXinputData 3 3 4 3" xfId="4431"/>
    <cellStyle name="SAPBEXinputData 3 3 4 3 2" xfId="9604"/>
    <cellStyle name="SAPBEXinputData 3 3 4 4" xfId="5560"/>
    <cellStyle name="SAPBEXinputData 3 3 4 4 2" xfId="7543"/>
    <cellStyle name="SAPBEXinputData 3 3 4 5" xfId="8434"/>
    <cellStyle name="SAPBEXinputData 3 3 5" xfId="2138"/>
    <cellStyle name="SAPBEXinputData 3 3 5 2" xfId="4833"/>
    <cellStyle name="SAPBEXinputData 3 3 5 2 2" xfId="8003"/>
    <cellStyle name="SAPBEXinputData 3 3 5 3" xfId="5592"/>
    <cellStyle name="SAPBEXinputData 3 3 5 3 2" xfId="8213"/>
    <cellStyle name="SAPBEXinputData 3 3 5 4" xfId="6389"/>
    <cellStyle name="SAPBEXinputData 3 3 6" xfId="3257"/>
    <cellStyle name="SAPBEXinputData 3 3 6 2" xfId="3529"/>
    <cellStyle name="SAPBEXinputData 3 3 6 2 2" xfId="6977"/>
    <cellStyle name="SAPBEXinputData 3 3 6 3" xfId="6134"/>
    <cellStyle name="SAPBEXinputData 3 3 6 3 2" xfId="10028"/>
    <cellStyle name="SAPBEXinputData 3 3 6 4" xfId="6849"/>
    <cellStyle name="SAPBEXinputData 3 3 7" xfId="2940"/>
    <cellStyle name="SAPBEXinputData 3 3 7 2" xfId="3842"/>
    <cellStyle name="SAPBEXinputData 3 3 7 2 2" xfId="9428"/>
    <cellStyle name="SAPBEXinputData 3 3 7 3" xfId="5861"/>
    <cellStyle name="SAPBEXinputData 3 3 7 3 2" xfId="6993"/>
    <cellStyle name="SAPBEXinputData 3 3 7 4" xfId="8321"/>
    <cellStyle name="SAPBEXinputData 3 3 8" xfId="3199"/>
    <cellStyle name="SAPBEXinputData 3 3 8 2" xfId="4196"/>
    <cellStyle name="SAPBEXinputData 3 3 8 2 2" xfId="8619"/>
    <cellStyle name="SAPBEXinputData 3 3 8 3" xfId="6088"/>
    <cellStyle name="SAPBEXinputData 3 3 8 3 2" xfId="9982"/>
    <cellStyle name="SAPBEXinputData 3 3 8 4" xfId="6302"/>
    <cellStyle name="SAPBEXinputData 3 3 9" xfId="3182"/>
    <cellStyle name="SAPBEXinputData 3 3 9 2" xfId="3572"/>
    <cellStyle name="SAPBEXinputData 3 3 9 2 2" xfId="7064"/>
    <cellStyle name="SAPBEXinputData 3 3 9 3" xfId="6073"/>
    <cellStyle name="SAPBEXinputData 3 3 9 3 2" xfId="9967"/>
    <cellStyle name="SAPBEXinputData 3 3 9 4" xfId="9290"/>
    <cellStyle name="SAPBEXinputData 3 4" xfId="2031"/>
    <cellStyle name="SAPBEXinputData 3 4 10" xfId="6264"/>
    <cellStyle name="SAPBEXinputData 3 4 2" xfId="2093"/>
    <cellStyle name="SAPBEXinputData 3 4 2 2" xfId="3286"/>
    <cellStyle name="SAPBEXinputData 3 4 2 2 2" xfId="4184"/>
    <cellStyle name="SAPBEXinputData 3 4 2 2 2 2" xfId="9597"/>
    <cellStyle name="SAPBEXinputData 3 4 2 2 3" xfId="9506"/>
    <cellStyle name="SAPBEXinputData 3 4 2 3" xfId="4691"/>
    <cellStyle name="SAPBEXinputData 3 4 2 3 2" xfId="7866"/>
    <cellStyle name="SAPBEXinputData 3 4 2 4" xfId="5570"/>
    <cellStyle name="SAPBEXinputData 3 4 2 4 2" xfId="7176"/>
    <cellStyle name="SAPBEXinputData 3 4 2 5" xfId="7187"/>
    <cellStyle name="SAPBEXinputData 3 4 3" xfId="2547"/>
    <cellStyle name="SAPBEXinputData 3 4 3 2" xfId="4306"/>
    <cellStyle name="SAPBEXinputData 3 4 3 2 2" xfId="6524"/>
    <cellStyle name="SAPBEXinputData 3 4 3 3" xfId="5703"/>
    <cellStyle name="SAPBEXinputData 3 4 3 3 2" xfId="6781"/>
    <cellStyle name="SAPBEXinputData 3 4 3 4" xfId="6592"/>
    <cellStyle name="SAPBEXinputData 3 4 4" xfId="3332"/>
    <cellStyle name="SAPBEXinputData 3 4 4 2" xfId="4923"/>
    <cellStyle name="SAPBEXinputData 3 4 4 2 2" xfId="9098"/>
    <cellStyle name="SAPBEXinputData 3 4 4 3" xfId="6199"/>
    <cellStyle name="SAPBEXinputData 3 4 4 3 2" xfId="10093"/>
    <cellStyle name="SAPBEXinputData 3 4 4 4" xfId="6712"/>
    <cellStyle name="SAPBEXinputData 3 4 5" xfId="2802"/>
    <cellStyle name="SAPBEXinputData 3 4 5 2" xfId="3914"/>
    <cellStyle name="SAPBEXinputData 3 4 5 2 2" xfId="7262"/>
    <cellStyle name="SAPBEXinputData 3 4 5 3" xfId="5736"/>
    <cellStyle name="SAPBEXinputData 3 4 5 3 2" xfId="7413"/>
    <cellStyle name="SAPBEXinputData 3 4 5 4" xfId="6568"/>
    <cellStyle name="SAPBEXinputData 3 4 6" xfId="3367"/>
    <cellStyle name="SAPBEXinputData 3 4 6 2" xfId="4956"/>
    <cellStyle name="SAPBEXinputData 3 4 6 2 2" xfId="7632"/>
    <cellStyle name="SAPBEXinputData 3 4 6 3" xfId="6232"/>
    <cellStyle name="SAPBEXinputData 3 4 6 3 2" xfId="10126"/>
    <cellStyle name="SAPBEXinputData 3 4 6 4" xfId="8737"/>
    <cellStyle name="SAPBEXinputData 3 4 7" xfId="3514"/>
    <cellStyle name="SAPBEXinputData 3 4 7 2" xfId="5084"/>
    <cellStyle name="SAPBEXinputData 3 4 7 2 2" xfId="8853"/>
    <cellStyle name="SAPBEXinputData 3 4 7 3" xfId="7093"/>
    <cellStyle name="SAPBEXinputData 3 4 8" xfId="3985"/>
    <cellStyle name="SAPBEXinputData 3 4 8 2" xfId="9066"/>
    <cellStyle name="SAPBEXinputData 3 4 9" xfId="5137"/>
    <cellStyle name="SAPBEXinputData 3 4 9 2" xfId="8751"/>
    <cellStyle name="SAPBEXinputData 3 5" xfId="2230"/>
    <cellStyle name="SAPBEXinputData 3 5 2" xfId="2630"/>
    <cellStyle name="SAPBEXinputData 3 5 2 2" xfId="4444"/>
    <cellStyle name="SAPBEXinputData 3 5 2 2 2" xfId="6753"/>
    <cellStyle name="SAPBEXinputData 3 5 2 3" xfId="8296"/>
    <cellStyle name="SAPBEXinputData 3 5 3" xfId="4468"/>
    <cellStyle name="SAPBEXinputData 3 5 3 2" xfId="7721"/>
    <cellStyle name="SAPBEXinputData 3 5 4" xfId="5435"/>
    <cellStyle name="SAPBEXinputData 3 5 4 2" xfId="8202"/>
    <cellStyle name="SAPBEXinputData 3 5 5" xfId="7318"/>
    <cellStyle name="SAPBEXinputData 3 6" xfId="2369"/>
    <cellStyle name="SAPBEXinputData 3 6 2" xfId="4792"/>
    <cellStyle name="SAPBEXinputData 3 6 2 2" xfId="6388"/>
    <cellStyle name="SAPBEXinputData 3 6 3" xfId="5686"/>
    <cellStyle name="SAPBEXinputData 3 6 3 2" xfId="7977"/>
    <cellStyle name="SAPBEXinputData 3 6 4" xfId="8340"/>
    <cellStyle name="SAPBEXinputData 3 7" xfId="2861"/>
    <cellStyle name="SAPBEXinputData 3 7 2" xfId="3887"/>
    <cellStyle name="SAPBEXinputData 3 7 2 2" xfId="9606"/>
    <cellStyle name="SAPBEXinputData 3 7 3" xfId="5792"/>
    <cellStyle name="SAPBEXinputData 3 7 3 2" xfId="6770"/>
    <cellStyle name="SAPBEXinputData 3 7 4" xfId="6706"/>
    <cellStyle name="SAPBEXinputData 3 8" xfId="3255"/>
    <cellStyle name="SAPBEXinputData 3 8 2" xfId="4311"/>
    <cellStyle name="SAPBEXinputData 3 8 2 2" xfId="6837"/>
    <cellStyle name="SAPBEXinputData 3 8 3" xfId="6132"/>
    <cellStyle name="SAPBEXinputData 3 8 3 2" xfId="10026"/>
    <cellStyle name="SAPBEXinputData 3 8 4" xfId="7594"/>
    <cellStyle name="SAPBEXinputData 3 9" xfId="2763"/>
    <cellStyle name="SAPBEXinputData 3 9 2" xfId="4170"/>
    <cellStyle name="SAPBEXinputData 3 9 2 2" xfId="9262"/>
    <cellStyle name="SAPBEXinputData 3 9 3" xfId="5706"/>
    <cellStyle name="SAPBEXinputData 3 9 3 2" xfId="6306"/>
    <cellStyle name="SAPBEXinputData 3 9 4" xfId="8545"/>
    <cellStyle name="SAPBEXinputData 4" xfId="1429"/>
    <cellStyle name="SAPBEXinputData 4 10" xfId="3419"/>
    <cellStyle name="SAPBEXinputData 4 10 2" xfId="4992"/>
    <cellStyle name="SAPBEXinputData 4 10 2 2" xfId="8216"/>
    <cellStyle name="SAPBEXinputData 4 10 3" xfId="6989"/>
    <cellStyle name="SAPBEXinputData 4 11" xfId="3666"/>
    <cellStyle name="SAPBEXinputData 4 11 2" xfId="8754"/>
    <cellStyle name="SAPBEXinputData 4 12" xfId="9437"/>
    <cellStyle name="SAPBEXinputData 4 2" xfId="1765"/>
    <cellStyle name="SAPBEXinputData 4 2 10" xfId="3494"/>
    <cellStyle name="SAPBEXinputData 4 2 10 2" xfId="5064"/>
    <cellStyle name="SAPBEXinputData 4 2 10 2 2" xfId="9646"/>
    <cellStyle name="SAPBEXinputData 4 2 10 3" xfId="8684"/>
    <cellStyle name="SAPBEXinputData 4 2 11" xfId="4239"/>
    <cellStyle name="SAPBEXinputData 4 2 11 2" xfId="9564"/>
    <cellStyle name="SAPBEXinputData 4 2 12" xfId="6446"/>
    <cellStyle name="SAPBEXinputData 4 2 2" xfId="1596"/>
    <cellStyle name="SAPBEXinputData 4 2 2 10" xfId="8719"/>
    <cellStyle name="SAPBEXinputData 4 2 2 2" xfId="2436"/>
    <cellStyle name="SAPBEXinputData 4 2 2 2 2" xfId="2570"/>
    <cellStyle name="SAPBEXinputData 4 2 2 2 2 2" xfId="4478"/>
    <cellStyle name="SAPBEXinputData 4 2 2 2 2 2 2" xfId="9511"/>
    <cellStyle name="SAPBEXinputData 4 2 2 2 2 3" xfId="8996"/>
    <cellStyle name="SAPBEXinputData 4 2 2 2 3" xfId="4111"/>
    <cellStyle name="SAPBEXinputData 4 2 2 2 3 2" xfId="8662"/>
    <cellStyle name="SAPBEXinputData 4 2 2 2 4" xfId="6702"/>
    <cellStyle name="SAPBEXinputData 4 2 2 3" xfId="2217"/>
    <cellStyle name="SAPBEXinputData 4 2 2 3 2" xfId="2980"/>
    <cellStyle name="SAPBEXinputData 4 2 2 3 2 2" xfId="4149"/>
    <cellStyle name="SAPBEXinputData 4 2 2 3 2 2 2" xfId="7291"/>
    <cellStyle name="SAPBEXinputData 4 2 2 3 2 3" xfId="9238"/>
    <cellStyle name="SAPBEXinputData 4 2 2 3 3" xfId="4295"/>
    <cellStyle name="SAPBEXinputData 4 2 2 3 3 2" xfId="9609"/>
    <cellStyle name="SAPBEXinputData 4 2 2 3 4" xfId="5623"/>
    <cellStyle name="SAPBEXinputData 4 2 2 3 4 2" xfId="6665"/>
    <cellStyle name="SAPBEXinputData 4 2 2 3 5" xfId="9331"/>
    <cellStyle name="SAPBEXinputData 4 2 2 4" xfId="2306"/>
    <cellStyle name="SAPBEXinputData 4 2 2 4 2" xfId="4730"/>
    <cellStyle name="SAPBEXinputData 4 2 2 4 2 2" xfId="8132"/>
    <cellStyle name="SAPBEXinputData 4 2 2 4 3" xfId="5654"/>
    <cellStyle name="SAPBEXinputData 4 2 2 4 3 2" xfId="7538"/>
    <cellStyle name="SAPBEXinputData 4 2 2 4 4" xfId="6391"/>
    <cellStyle name="SAPBEXinputData 4 2 2 5" xfId="2921"/>
    <cellStyle name="SAPBEXinputData 4 2 2 5 2" xfId="4274"/>
    <cellStyle name="SAPBEXinputData 4 2 2 5 2 2" xfId="7017"/>
    <cellStyle name="SAPBEXinputData 4 2 2 5 3" xfId="5850"/>
    <cellStyle name="SAPBEXinputData 4 2 2 5 3 2" xfId="7173"/>
    <cellStyle name="SAPBEXinputData 4 2 2 5 4" xfId="7534"/>
    <cellStyle name="SAPBEXinputData 4 2 2 6" xfId="3252"/>
    <cellStyle name="SAPBEXinputData 4 2 2 6 2" xfId="3563"/>
    <cellStyle name="SAPBEXinputData 4 2 2 6 2 2" xfId="9657"/>
    <cellStyle name="SAPBEXinputData 4 2 2 6 3" xfId="6129"/>
    <cellStyle name="SAPBEXinputData 4 2 2 6 3 2" xfId="10023"/>
    <cellStyle name="SAPBEXinputData 4 2 2 6 4" xfId="7574"/>
    <cellStyle name="SAPBEXinputData 4 2 2 7" xfId="3236"/>
    <cellStyle name="SAPBEXinputData 4 2 2 7 2" xfId="3692"/>
    <cellStyle name="SAPBEXinputData 4 2 2 7 2 2" xfId="9738"/>
    <cellStyle name="SAPBEXinputData 4 2 2 7 3" xfId="6118"/>
    <cellStyle name="SAPBEXinputData 4 2 2 7 3 2" xfId="10012"/>
    <cellStyle name="SAPBEXinputData 4 2 2 7 4" xfId="7852"/>
    <cellStyle name="SAPBEXinputData 4 2 2 8" xfId="3435"/>
    <cellStyle name="SAPBEXinputData 4 2 2 8 2" xfId="5006"/>
    <cellStyle name="SAPBEXinputData 4 2 2 8 2 2" xfId="9660"/>
    <cellStyle name="SAPBEXinputData 4 2 2 8 3" xfId="8598"/>
    <cellStyle name="SAPBEXinputData 4 2 2 9" xfId="3995"/>
    <cellStyle name="SAPBEXinputData 4 2 2 9 2" xfId="9705"/>
    <cellStyle name="SAPBEXinputData 4 2 3" xfId="2480"/>
    <cellStyle name="SAPBEXinputData 4 2 3 2" xfId="2603"/>
    <cellStyle name="SAPBEXinputData 4 2 3 2 2" xfId="4446"/>
    <cellStyle name="SAPBEXinputData 4 2 3 2 2 2" xfId="8655"/>
    <cellStyle name="SAPBEXinputData 4 2 3 2 3" xfId="8360"/>
    <cellStyle name="SAPBEXinputData 4 2 3 3" xfId="4774"/>
    <cellStyle name="SAPBEXinputData 4 2 3 3 2" xfId="6966"/>
    <cellStyle name="SAPBEXinputData 4 2 3 4" xfId="5176"/>
    <cellStyle name="SAPBEXinputData 4 2 3 4 2" xfId="7805"/>
    <cellStyle name="SAPBEXinputData 4 2 3 5" xfId="7362"/>
    <cellStyle name="SAPBEXinputData 4 2 4" xfId="2177"/>
    <cellStyle name="SAPBEXinputData 4 2 4 2" xfId="2705"/>
    <cellStyle name="SAPBEXinputData 4 2 4 2 2" xfId="3950"/>
    <cellStyle name="SAPBEXinputData 4 2 4 2 2 2" xfId="7672"/>
    <cellStyle name="SAPBEXinputData 4 2 4 2 3" xfId="7392"/>
    <cellStyle name="SAPBEXinputData 4 2 4 3" xfId="4703"/>
    <cellStyle name="SAPBEXinputData 4 2 4 3 2" xfId="7385"/>
    <cellStyle name="SAPBEXinputData 4 2 4 4" xfId="5561"/>
    <cellStyle name="SAPBEXinputData 4 2 4 4 2" xfId="6663"/>
    <cellStyle name="SAPBEXinputData 4 2 4 5" xfId="9304"/>
    <cellStyle name="SAPBEXinputData 4 2 5" xfId="2286"/>
    <cellStyle name="SAPBEXinputData 4 2 5 2" xfId="4721"/>
    <cellStyle name="SAPBEXinputData 4 2 5 2 2" xfId="9091"/>
    <cellStyle name="SAPBEXinputData 4 2 5 3" xfId="5645"/>
    <cellStyle name="SAPBEXinputData 4 2 5 3 2" xfId="7271"/>
    <cellStyle name="SAPBEXinputData 4 2 5 4" xfId="7945"/>
    <cellStyle name="SAPBEXinputData 4 2 6" xfId="3198"/>
    <cellStyle name="SAPBEXinputData 4 2 6 2" xfId="3702"/>
    <cellStyle name="SAPBEXinputData 4 2 6 2 2" xfId="8991"/>
    <cellStyle name="SAPBEXinputData 4 2 6 3" xfId="6087"/>
    <cellStyle name="SAPBEXinputData 4 2 6 3 2" xfId="9981"/>
    <cellStyle name="SAPBEXinputData 4 2 6 4" xfId="7500"/>
    <cellStyle name="SAPBEXinputData 4 2 7" xfId="2928"/>
    <cellStyle name="SAPBEXinputData 4 2 7 2" xfId="3848"/>
    <cellStyle name="SAPBEXinputData 4 2 7 2 2" xfId="8642"/>
    <cellStyle name="SAPBEXinputData 4 2 7 3" xfId="5857"/>
    <cellStyle name="SAPBEXinputData 4 2 7 3 2" xfId="6547"/>
    <cellStyle name="SAPBEXinputData 4 2 7 4" xfId="7575"/>
    <cellStyle name="SAPBEXinputData 4 2 8" xfId="3235"/>
    <cellStyle name="SAPBEXinputData 4 2 8 2" xfId="4191"/>
    <cellStyle name="SAPBEXinputData 4 2 8 2 2" xfId="9052"/>
    <cellStyle name="SAPBEXinputData 4 2 8 3" xfId="6117"/>
    <cellStyle name="SAPBEXinputData 4 2 8 3 2" xfId="10011"/>
    <cellStyle name="SAPBEXinputData 4 2 8 4" xfId="6810"/>
    <cellStyle name="SAPBEXinputData 4 2 9" xfId="3342"/>
    <cellStyle name="SAPBEXinputData 4 2 9 2" xfId="4933"/>
    <cellStyle name="SAPBEXinputData 4 2 9 2 2" xfId="9132"/>
    <cellStyle name="SAPBEXinputData 4 2 9 3" xfId="6209"/>
    <cellStyle name="SAPBEXinputData 4 2 9 3 2" xfId="10103"/>
    <cellStyle name="SAPBEXinputData 4 2 9 4" xfId="7087"/>
    <cellStyle name="SAPBEXinputData 4 3" xfId="2413"/>
    <cellStyle name="SAPBEXinputData 4 3 2" xfId="2555"/>
    <cellStyle name="SAPBEXinputData 4 3 2 2" xfId="3969"/>
    <cellStyle name="SAPBEXinputData 4 3 2 2 2" xfId="9128"/>
    <cellStyle name="SAPBEXinputData 4 3 2 3" xfId="9227"/>
    <cellStyle name="SAPBEXinputData 4 3 3" xfId="4655"/>
    <cellStyle name="SAPBEXinputData 4 3 3 2" xfId="9419"/>
    <cellStyle name="SAPBEXinputData 4 3 4" xfId="5314"/>
    <cellStyle name="SAPBEXinputData 4 3 4 2" xfId="7836"/>
    <cellStyle name="SAPBEXinputData 4 3 5" xfId="8355"/>
    <cellStyle name="SAPBEXinputData 4 4" xfId="2229"/>
    <cellStyle name="SAPBEXinputData 4 4 2" xfId="2629"/>
    <cellStyle name="SAPBEXinputData 4 4 2 2" xfId="4616"/>
    <cellStyle name="SAPBEXinputData 4 4 2 2 2" xfId="9626"/>
    <cellStyle name="SAPBEXinputData 4 4 2 3" xfId="7829"/>
    <cellStyle name="SAPBEXinputData 4 4 3" xfId="4742"/>
    <cellStyle name="SAPBEXinputData 4 4 3 2" xfId="8231"/>
    <cellStyle name="SAPBEXinputData 4 4 4" xfId="5434"/>
    <cellStyle name="SAPBEXinputData 4 4 4 2" xfId="8227"/>
    <cellStyle name="SAPBEXinputData 4 4 5" xfId="9210"/>
    <cellStyle name="SAPBEXinputData 4 5" xfId="2204"/>
    <cellStyle name="SAPBEXinputData 4 5 2" xfId="4673"/>
    <cellStyle name="SAPBEXinputData 4 5 2 2" xfId="9746"/>
    <cellStyle name="SAPBEXinputData 4 5 3" xfId="5611"/>
    <cellStyle name="SAPBEXinputData 4 5 3 2" xfId="7235"/>
    <cellStyle name="SAPBEXinputData 4 5 4" xfId="6759"/>
    <cellStyle name="SAPBEXinputData 4 6" xfId="3265"/>
    <cellStyle name="SAPBEXinputData 4 6 2" xfId="4187"/>
    <cellStyle name="SAPBEXinputData 4 6 2 2" xfId="9436"/>
    <cellStyle name="SAPBEXinputData 4 6 3" xfId="6140"/>
    <cellStyle name="SAPBEXinputData 4 6 3 2" xfId="10034"/>
    <cellStyle name="SAPBEXinputData 4 6 4" xfId="7048"/>
    <cellStyle name="SAPBEXinputData 4 7" xfId="3105"/>
    <cellStyle name="SAPBEXinputData 4 7 2" xfId="4207"/>
    <cellStyle name="SAPBEXinputData 4 7 2 2" xfId="7001"/>
    <cellStyle name="SAPBEXinputData 4 7 3" xfId="6002"/>
    <cellStyle name="SAPBEXinputData 4 7 3 2" xfId="9896"/>
    <cellStyle name="SAPBEXinputData 4 7 4" xfId="7529"/>
    <cellStyle name="SAPBEXinputData 4 8" xfId="3007"/>
    <cellStyle name="SAPBEXinputData 4 8 2" xfId="4047"/>
    <cellStyle name="SAPBEXinputData 4 8 2 2" xfId="9144"/>
    <cellStyle name="SAPBEXinputData 4 8 3" xfId="5909"/>
    <cellStyle name="SAPBEXinputData 4 8 3 2" xfId="9803"/>
    <cellStyle name="SAPBEXinputData 4 8 4" xfId="6279"/>
    <cellStyle name="SAPBEXinputData 4 9" xfId="3285"/>
    <cellStyle name="SAPBEXinputData 4 9 2" xfId="4308"/>
    <cellStyle name="SAPBEXinputData 4 9 2 2" xfId="9324"/>
    <cellStyle name="SAPBEXinputData 4 9 3" xfId="6156"/>
    <cellStyle name="SAPBEXinputData 4 9 3 2" xfId="10050"/>
    <cellStyle name="SAPBEXinputData 4 9 4" xfId="8449"/>
    <cellStyle name="SAPBEXinputData 5" xfId="1430"/>
    <cellStyle name="SAPBEXinputData 5 10" xfId="3420"/>
    <cellStyle name="SAPBEXinputData 5 10 2" xfId="4993"/>
    <cellStyle name="SAPBEXinputData 5 10 2 2" xfId="7054"/>
    <cellStyle name="SAPBEXinputData 5 10 3" xfId="7592"/>
    <cellStyle name="SAPBEXinputData 5 11" xfId="3665"/>
    <cellStyle name="SAPBEXinputData 5 11 2" xfId="9716"/>
    <cellStyle name="SAPBEXinputData 5 12" xfId="9048"/>
    <cellStyle name="SAPBEXinputData 5 2" xfId="1766"/>
    <cellStyle name="SAPBEXinputData 5 2 10" xfId="3495"/>
    <cellStyle name="SAPBEXinputData 5 2 10 2" xfId="5065"/>
    <cellStyle name="SAPBEXinputData 5 2 10 2 2" xfId="7753"/>
    <cellStyle name="SAPBEXinputData 5 2 10 3" xfId="7493"/>
    <cellStyle name="SAPBEXinputData 5 2 11" xfId="3616"/>
    <cellStyle name="SAPBEXinputData 5 2 11 2" xfId="8704"/>
    <cellStyle name="SAPBEXinputData 5 2 12" xfId="7243"/>
    <cellStyle name="SAPBEXinputData 5 2 2" xfId="1566"/>
    <cellStyle name="SAPBEXinputData 5 2 2 10" xfId="9252"/>
    <cellStyle name="SAPBEXinputData 5 2 2 2" xfId="2427"/>
    <cellStyle name="SAPBEXinputData 5 2 2 2 2" xfId="2561"/>
    <cellStyle name="SAPBEXinputData 5 2 2 2 2 2" xfId="4602"/>
    <cellStyle name="SAPBEXinputData 5 2 2 2 2 2 2" xfId="9467"/>
    <cellStyle name="SAPBEXinputData 5 2 2 2 2 3" xfId="6842"/>
    <cellStyle name="SAPBEXinputData 5 2 2 2 3" xfId="4657"/>
    <cellStyle name="SAPBEXinputData 5 2 2 2 3 2" xfId="6747"/>
    <cellStyle name="SAPBEXinputData 5 2 2 2 4" xfId="6440"/>
    <cellStyle name="SAPBEXinputData 5 2 2 3" xfId="2327"/>
    <cellStyle name="SAPBEXinputData 5 2 2 3 2" xfId="2985"/>
    <cellStyle name="SAPBEXinputData 5 2 2 3 2 2" xfId="3810"/>
    <cellStyle name="SAPBEXinputData 5 2 2 3 2 2 2" xfId="7826"/>
    <cellStyle name="SAPBEXinputData 5 2 2 3 2 3" xfId="9258"/>
    <cellStyle name="SAPBEXinputData 5 2 2 3 3" xfId="4796"/>
    <cellStyle name="SAPBEXinputData 5 2 2 3 3 2" xfId="9377"/>
    <cellStyle name="SAPBEXinputData 5 2 2 3 4" xfId="5664"/>
    <cellStyle name="SAPBEXinputData 5 2 2 3 4 2" xfId="8137"/>
    <cellStyle name="SAPBEXinputData 5 2 2 3 5" xfId="6357"/>
    <cellStyle name="SAPBEXinputData 5 2 2 4" xfId="2128"/>
    <cellStyle name="SAPBEXinputData 5 2 2 4 2" xfId="4804"/>
    <cellStyle name="SAPBEXinputData 5 2 2 4 2 2" xfId="7911"/>
    <cellStyle name="SAPBEXinputData 5 2 2 4 3" xfId="5585"/>
    <cellStyle name="SAPBEXinputData 5 2 2 4 3 2" xfId="6543"/>
    <cellStyle name="SAPBEXinputData 5 2 2 4 4" xfId="6885"/>
    <cellStyle name="SAPBEXinputData 5 2 2 5" xfId="3151"/>
    <cellStyle name="SAPBEXinputData 5 2 2 5 2" xfId="3716"/>
    <cellStyle name="SAPBEXinputData 5 2 2 5 2 2" xfId="7312"/>
    <cellStyle name="SAPBEXinputData 5 2 2 5 3" xfId="6045"/>
    <cellStyle name="SAPBEXinputData 5 2 2 5 3 2" xfId="9939"/>
    <cellStyle name="SAPBEXinputData 5 2 2 5 4" xfId="8430"/>
    <cellStyle name="SAPBEXinputData 5 2 2 6" xfId="2996"/>
    <cellStyle name="SAPBEXinputData 5 2 2 6 2" xfId="3590"/>
    <cellStyle name="SAPBEXinputData 5 2 2 6 2 2" xfId="6729"/>
    <cellStyle name="SAPBEXinputData 5 2 2 6 3" xfId="5899"/>
    <cellStyle name="SAPBEXinputData 5 2 2 6 3 2" xfId="9793"/>
    <cellStyle name="SAPBEXinputData 5 2 2 6 4" xfId="7931"/>
    <cellStyle name="SAPBEXinputData 5 2 2 7" xfId="3323"/>
    <cellStyle name="SAPBEXinputData 5 2 2 7 2" xfId="3532"/>
    <cellStyle name="SAPBEXinputData 5 2 2 7 2 2" xfId="7143"/>
    <cellStyle name="SAPBEXinputData 5 2 2 7 3" xfId="6191"/>
    <cellStyle name="SAPBEXinputData 5 2 2 7 3 2" xfId="10085"/>
    <cellStyle name="SAPBEXinputData 5 2 2 7 4" xfId="7689"/>
    <cellStyle name="SAPBEXinputData 5 2 2 8" xfId="3427"/>
    <cellStyle name="SAPBEXinputData 5 2 2 8 2" xfId="4998"/>
    <cellStyle name="SAPBEXinputData 5 2 2 8 2 2" xfId="9292"/>
    <cellStyle name="SAPBEXinputData 5 2 2 8 3" xfId="6930"/>
    <cellStyle name="SAPBEXinputData 5 2 2 9" xfId="3659"/>
    <cellStyle name="SAPBEXinputData 5 2 2 9 2" xfId="9389"/>
    <cellStyle name="SAPBEXinputData 5 2 3" xfId="2481"/>
    <cellStyle name="SAPBEXinputData 5 2 3 2" xfId="2604"/>
    <cellStyle name="SAPBEXinputData 5 2 3 2 2" xfId="4696"/>
    <cellStyle name="SAPBEXinputData 5 2 3 2 2 2" xfId="7673"/>
    <cellStyle name="SAPBEXinputData 5 2 3 2 3" xfId="6820"/>
    <cellStyle name="SAPBEXinputData 5 2 3 3" xfId="4781"/>
    <cellStyle name="SAPBEXinputData 5 2 3 3 2" xfId="9544"/>
    <cellStyle name="SAPBEXinputData 5 2 3 4" xfId="5356"/>
    <cellStyle name="SAPBEXinputData 5 2 3 4 2" xfId="7513"/>
    <cellStyle name="SAPBEXinputData 5 2 3 5" xfId="8269"/>
    <cellStyle name="SAPBEXinputData 5 2 4" xfId="2176"/>
    <cellStyle name="SAPBEXinputData 5 2 4 2" xfId="2706"/>
    <cellStyle name="SAPBEXinputData 5 2 4 2 2" xfId="3949"/>
    <cellStyle name="SAPBEXinputData 5 2 4 2 2 2" xfId="9043"/>
    <cellStyle name="SAPBEXinputData 5 2 4 2 3" xfId="8205"/>
    <cellStyle name="SAPBEXinputData 5 2 4 3" xfId="4809"/>
    <cellStyle name="SAPBEXinputData 5 2 4 3 2" xfId="7417"/>
    <cellStyle name="SAPBEXinputData 5 2 4 4" xfId="5562"/>
    <cellStyle name="SAPBEXinputData 5 2 4 4 2" xfId="8476"/>
    <cellStyle name="SAPBEXinputData 5 2 4 5" xfId="7974"/>
    <cellStyle name="SAPBEXinputData 5 2 5" xfId="2261"/>
    <cellStyle name="SAPBEXinputData 5 2 5 2" xfId="4648"/>
    <cellStyle name="SAPBEXinputData 5 2 5 2 2" xfId="8176"/>
    <cellStyle name="SAPBEXinputData 5 2 5 3" xfId="5635"/>
    <cellStyle name="SAPBEXinputData 5 2 5 3 2" xfId="7345"/>
    <cellStyle name="SAPBEXinputData 5 2 5 4" xfId="7297"/>
    <cellStyle name="SAPBEXinputData 5 2 6" xfId="3138"/>
    <cellStyle name="SAPBEXinputData 5 2 6 2" xfId="3720"/>
    <cellStyle name="SAPBEXinputData 5 2 6 2 2" xfId="7099"/>
    <cellStyle name="SAPBEXinputData 5 2 6 3" xfId="6034"/>
    <cellStyle name="SAPBEXinputData 5 2 6 3 2" xfId="9928"/>
    <cellStyle name="SAPBEXinputData 5 2 6 4" xfId="7106"/>
    <cellStyle name="SAPBEXinputData 5 2 7" xfId="3251"/>
    <cellStyle name="SAPBEXinputData 5 2 7 2" xfId="3689"/>
    <cellStyle name="SAPBEXinputData 5 2 7 2 2" xfId="8745"/>
    <cellStyle name="SAPBEXinputData 5 2 7 3" xfId="6128"/>
    <cellStyle name="SAPBEXinputData 5 2 7 3 2" xfId="10022"/>
    <cellStyle name="SAPBEXinputData 5 2 7 4" xfId="7467"/>
    <cellStyle name="SAPBEXinputData 5 2 8" xfId="3242"/>
    <cellStyle name="SAPBEXinputData 5 2 8 2" xfId="3564"/>
    <cellStyle name="SAPBEXinputData 5 2 8 2 2" xfId="8119"/>
    <cellStyle name="SAPBEXinputData 5 2 8 3" xfId="6124"/>
    <cellStyle name="SAPBEXinputData 5 2 8 3 2" xfId="10018"/>
    <cellStyle name="SAPBEXinputData 5 2 8 4" xfId="6494"/>
    <cellStyle name="SAPBEXinputData 5 2 9" xfId="3001"/>
    <cellStyle name="SAPBEXinputData 5 2 9 2" xfId="3804"/>
    <cellStyle name="SAPBEXinputData 5 2 9 2 2" xfId="7869"/>
    <cellStyle name="SAPBEXinputData 5 2 9 3" xfId="5904"/>
    <cellStyle name="SAPBEXinputData 5 2 9 3 2" xfId="9798"/>
    <cellStyle name="SAPBEXinputData 5 2 9 4" xfId="7012"/>
    <cellStyle name="SAPBEXinputData 5 3" xfId="2414"/>
    <cellStyle name="SAPBEXinputData 5 3 2" xfId="2556"/>
    <cellStyle name="SAPBEXinputData 5 3 2 2" xfId="4684"/>
    <cellStyle name="SAPBEXinputData 5 3 2 2 2" xfId="8857"/>
    <cellStyle name="SAPBEXinputData 5 3 2 3" xfId="9260"/>
    <cellStyle name="SAPBEXinputData 5 3 3" xfId="4737"/>
    <cellStyle name="SAPBEXinputData 5 3 3 2" xfId="9573"/>
    <cellStyle name="SAPBEXinputData 5 3 4" xfId="5105"/>
    <cellStyle name="SAPBEXinputData 5 3 4 2" xfId="7899"/>
    <cellStyle name="SAPBEXinputData 5 3 5" xfId="7528"/>
    <cellStyle name="SAPBEXinputData 5 4" xfId="2228"/>
    <cellStyle name="SAPBEXinputData 5 4 2" xfId="2633"/>
    <cellStyle name="SAPBEXinputData 5 4 2 2" xfId="4839"/>
    <cellStyle name="SAPBEXinputData 5 4 2 2 2" xfId="9108"/>
    <cellStyle name="SAPBEXinputData 5 4 2 3" xfId="7346"/>
    <cellStyle name="SAPBEXinputData 5 4 3" xfId="4653"/>
    <cellStyle name="SAPBEXinputData 5 4 3 2" xfId="8715"/>
    <cellStyle name="SAPBEXinputData 5 4 4" xfId="5464"/>
    <cellStyle name="SAPBEXinputData 5 4 4 2" xfId="6359"/>
    <cellStyle name="SAPBEXinputData 5 4 5" xfId="8523"/>
    <cellStyle name="SAPBEXinputData 5 5" xfId="2125"/>
    <cellStyle name="SAPBEXinputData 5 5 2" xfId="4419"/>
    <cellStyle name="SAPBEXinputData 5 5 2 2" xfId="9399"/>
    <cellStyle name="SAPBEXinputData 5 5 3" xfId="5583"/>
    <cellStyle name="SAPBEXinputData 5 5 3 2" xfId="8384"/>
    <cellStyle name="SAPBEXinputData 5 5 4" xfId="9231"/>
    <cellStyle name="SAPBEXinputData 5 6" xfId="2862"/>
    <cellStyle name="SAPBEXinputData 5 6 2" xfId="3886"/>
    <cellStyle name="SAPBEXinputData 5 6 2 2" xfId="7127"/>
    <cellStyle name="SAPBEXinputData 5 6 3" xfId="5793"/>
    <cellStyle name="SAPBEXinputData 5 6 3 2" xfId="6664"/>
    <cellStyle name="SAPBEXinputData 5 6 4" xfId="9548"/>
    <cellStyle name="SAPBEXinputData 5 7" xfId="3065"/>
    <cellStyle name="SAPBEXinputData 5 7 2" xfId="3764"/>
    <cellStyle name="SAPBEXinputData 5 7 2 2" xfId="8490"/>
    <cellStyle name="SAPBEXinputData 5 7 3" xfId="5965"/>
    <cellStyle name="SAPBEXinputData 5 7 3 2" xfId="9859"/>
    <cellStyle name="SAPBEXinputData 5 7 4" xfId="9347"/>
    <cellStyle name="SAPBEXinputData 5 8" xfId="2893"/>
    <cellStyle name="SAPBEXinputData 5 8 2" xfId="3596"/>
    <cellStyle name="SAPBEXinputData 5 8 2 2" xfId="8503"/>
    <cellStyle name="SAPBEXinputData 5 8 3" xfId="5824"/>
    <cellStyle name="SAPBEXinputData 5 8 3 2" xfId="8130"/>
    <cellStyle name="SAPBEXinputData 5 8 4" xfId="7226"/>
    <cellStyle name="SAPBEXinputData 5 9" xfId="3204"/>
    <cellStyle name="SAPBEXinputData 5 9 2" xfId="4318"/>
    <cellStyle name="SAPBEXinputData 5 9 2 2" xfId="8530"/>
    <cellStyle name="SAPBEXinputData 5 9 3" xfId="6093"/>
    <cellStyle name="SAPBEXinputData 5 9 3 2" xfId="9987"/>
    <cellStyle name="SAPBEXinputData 5 9 4" xfId="7280"/>
    <cellStyle name="SAPBEXinputData 6" xfId="1431"/>
    <cellStyle name="SAPBEXinputData 6 10" xfId="3421"/>
    <cellStyle name="SAPBEXinputData 6 10 2" xfId="4994"/>
    <cellStyle name="SAPBEXinputData 6 10 2 2" xfId="9416"/>
    <cellStyle name="SAPBEXinputData 6 10 3" xfId="6983"/>
    <cellStyle name="SAPBEXinputData 6 11" xfId="3664"/>
    <cellStyle name="SAPBEXinputData 6 11 2" xfId="7424"/>
    <cellStyle name="SAPBEXinputData 6 12" xfId="8622"/>
    <cellStyle name="SAPBEXinputData 6 2" xfId="1767"/>
    <cellStyle name="SAPBEXinputData 6 2 10" xfId="3496"/>
    <cellStyle name="SAPBEXinputData 6 2 10 2" xfId="5066"/>
    <cellStyle name="SAPBEXinputData 6 2 10 2 2" xfId="6708"/>
    <cellStyle name="SAPBEXinputData 6 2 10 3" xfId="9490"/>
    <cellStyle name="SAPBEXinputData 6 2 11" xfId="3615"/>
    <cellStyle name="SAPBEXinputData 6 2 11 2" xfId="9663"/>
    <cellStyle name="SAPBEXinputData 6 2 12" xfId="8290"/>
    <cellStyle name="SAPBEXinputData 6 2 2" xfId="1751"/>
    <cellStyle name="SAPBEXinputData 6 2 2 10" xfId="6283"/>
    <cellStyle name="SAPBEXinputData 6 2 2 2" xfId="2466"/>
    <cellStyle name="SAPBEXinputData 6 2 2 2 2" xfId="2589"/>
    <cellStyle name="SAPBEXinputData 6 2 2 2 2 2" xfId="4603"/>
    <cellStyle name="SAPBEXinputData 6 2 2 2 2 2 2" xfId="9023"/>
    <cellStyle name="SAPBEXinputData 6 2 2 2 2 3" xfId="7269"/>
    <cellStyle name="SAPBEXinputData 6 2 2 2 3" xfId="3981"/>
    <cellStyle name="SAPBEXinputData 6 2 2 2 3 2" xfId="9056"/>
    <cellStyle name="SAPBEXinputData 6 2 2 2 4" xfId="6634"/>
    <cellStyle name="SAPBEXinputData 6 2 2 3" xfId="2189"/>
    <cellStyle name="SAPBEXinputData 6 2 2 3 2" xfId="2935"/>
    <cellStyle name="SAPBEXinputData 6 2 2 3 2 2" xfId="4221"/>
    <cellStyle name="SAPBEXinputData 6 2 2 3 2 2 2" xfId="9500"/>
    <cellStyle name="SAPBEXinputData 6 2 2 3 2 3" xfId="6371"/>
    <cellStyle name="SAPBEXinputData 6 2 2 3 3" xfId="4294"/>
    <cellStyle name="SAPBEXinputData 6 2 2 3 3 2" xfId="8504"/>
    <cellStyle name="SAPBEXinputData 6 2 2 3 4" xfId="5606"/>
    <cellStyle name="SAPBEXinputData 6 2 2 3 4 2" xfId="6725"/>
    <cellStyle name="SAPBEXinputData 6 2 2 3 5" xfId="7315"/>
    <cellStyle name="SAPBEXinputData 6 2 2 4" xfId="2339"/>
    <cellStyle name="SAPBEXinputData 6 2 2 4 2" xfId="4599"/>
    <cellStyle name="SAPBEXinputData 6 2 2 4 2 2" xfId="9469"/>
    <cellStyle name="SAPBEXinputData 6 2 2 4 3" xfId="5670"/>
    <cellStyle name="SAPBEXinputData 6 2 2 4 3 2" xfId="6342"/>
    <cellStyle name="SAPBEXinputData 6 2 2 4 4" xfId="8429"/>
    <cellStyle name="SAPBEXinputData 6 2 2 5" xfId="3144"/>
    <cellStyle name="SAPBEXinputData 6 2 2 5 2" xfId="4073"/>
    <cellStyle name="SAPBEXinputData 6 2 2 5 2 2" xfId="6900"/>
    <cellStyle name="SAPBEXinputData 6 2 2 5 3" xfId="6038"/>
    <cellStyle name="SAPBEXinputData 6 2 2 5 3 2" xfId="9932"/>
    <cellStyle name="SAPBEXinputData 6 2 2 5 4" xfId="8278"/>
    <cellStyle name="SAPBEXinputData 6 2 2 6" xfId="3188"/>
    <cellStyle name="SAPBEXinputData 6 2 2 6 2" xfId="4261"/>
    <cellStyle name="SAPBEXinputData 6 2 2 6 2 2" xfId="9190"/>
    <cellStyle name="SAPBEXinputData 6 2 2 6 3" xfId="6078"/>
    <cellStyle name="SAPBEXinputData 6 2 2 6 3 2" xfId="9972"/>
    <cellStyle name="SAPBEXinputData 6 2 2 6 4" xfId="6400"/>
    <cellStyle name="SAPBEXinputData 6 2 2 7" xfId="3190"/>
    <cellStyle name="SAPBEXinputData 6 2 2 7 2" xfId="4052"/>
    <cellStyle name="SAPBEXinputData 6 2 2 7 2 2" xfId="7511"/>
    <cellStyle name="SAPBEXinputData 6 2 2 7 3" xfId="6080"/>
    <cellStyle name="SAPBEXinputData 6 2 2 7 3 2" xfId="9974"/>
    <cellStyle name="SAPBEXinputData 6 2 2 7 4" xfId="9267"/>
    <cellStyle name="SAPBEXinputData 6 2 2 8" xfId="3480"/>
    <cellStyle name="SAPBEXinputData 6 2 2 8 2" xfId="5050"/>
    <cellStyle name="SAPBEXinputData 6 2 2 8 2 2" xfId="8668"/>
    <cellStyle name="SAPBEXinputData 6 2 2 8 3" xfId="7990"/>
    <cellStyle name="SAPBEXinputData 6 2 2 9" xfId="4176"/>
    <cellStyle name="SAPBEXinputData 6 2 2 9 2" xfId="9165"/>
    <cellStyle name="SAPBEXinputData 6 2 3" xfId="2482"/>
    <cellStyle name="SAPBEXinputData 6 2 3 2" xfId="2605"/>
    <cellStyle name="SAPBEXinputData 6 2 3 2 2" xfId="4436"/>
    <cellStyle name="SAPBEXinputData 6 2 3 2 2 2" xfId="7630"/>
    <cellStyle name="SAPBEXinputData 6 2 3 2 3" xfId="8366"/>
    <cellStyle name="SAPBEXinputData 6 2 3 3" xfId="4435"/>
    <cellStyle name="SAPBEXinputData 6 2 3 3 2" xfId="6458"/>
    <cellStyle name="SAPBEXinputData 6 2 3 4" xfId="5230"/>
    <cellStyle name="SAPBEXinputData 6 2 3 4 2" xfId="7185"/>
    <cellStyle name="SAPBEXinputData 6 2 3 5" xfId="6906"/>
    <cellStyle name="SAPBEXinputData 6 2 4" xfId="2175"/>
    <cellStyle name="SAPBEXinputData 6 2 4 2" xfId="2707"/>
    <cellStyle name="SAPBEXinputData 6 2 4 2 2" xfId="3948"/>
    <cellStyle name="SAPBEXinputData 6 2 4 2 2 2" xfId="9476"/>
    <cellStyle name="SAPBEXinputData 6 2 4 2 3" xfId="6800"/>
    <cellStyle name="SAPBEXinputData 6 2 4 3" xfId="4807"/>
    <cellStyle name="SAPBEXinputData 6 2 4 3 2" xfId="7646"/>
    <cellStyle name="SAPBEXinputData 6 2 4 4" xfId="5563"/>
    <cellStyle name="SAPBEXinputData 6 2 4 4 2" xfId="7293"/>
    <cellStyle name="SAPBEXinputData 6 2 4 5" xfId="7498"/>
    <cellStyle name="SAPBEXinputData 6 2 5" xfId="2262"/>
    <cellStyle name="SAPBEXinputData 6 2 5 2" xfId="4805"/>
    <cellStyle name="SAPBEXinputData 6 2 5 2 2" xfId="9698"/>
    <cellStyle name="SAPBEXinputData 6 2 5 3" xfId="5636"/>
    <cellStyle name="SAPBEXinputData 6 2 5 3 2" xfId="6577"/>
    <cellStyle name="SAPBEXinputData 6 2 5 4" xfId="7975"/>
    <cellStyle name="SAPBEXinputData 6 2 6" xfId="3240"/>
    <cellStyle name="SAPBEXinputData 6 2 6 2" xfId="3691"/>
    <cellStyle name="SAPBEXinputData 6 2 6 2 2" xfId="7220"/>
    <cellStyle name="SAPBEXinputData 6 2 6 3" xfId="6122"/>
    <cellStyle name="SAPBEXinputData 6 2 6 3 2" xfId="10016"/>
    <cellStyle name="SAPBEXinputData 6 2 6 4" xfId="8187"/>
    <cellStyle name="SAPBEXinputData 6 2 7" xfId="3263"/>
    <cellStyle name="SAPBEXinputData 6 2 7 2" xfId="3686"/>
    <cellStyle name="SAPBEXinputData 6 2 7 2 2" xfId="8686"/>
    <cellStyle name="SAPBEXinputData 6 2 7 3" xfId="6138"/>
    <cellStyle name="SAPBEXinputData 6 2 7 3 2" xfId="10032"/>
    <cellStyle name="SAPBEXinputData 6 2 7 4" xfId="6755"/>
    <cellStyle name="SAPBEXinputData 6 2 8" xfId="2867"/>
    <cellStyle name="SAPBEXinputData 6 2 8 2" xfId="3883"/>
    <cellStyle name="SAPBEXinputData 6 2 8 2 2" xfId="7952"/>
    <cellStyle name="SAPBEXinputData 6 2 8 3" xfId="5798"/>
    <cellStyle name="SAPBEXinputData 6 2 8 3 2" xfId="8432"/>
    <cellStyle name="SAPBEXinputData 6 2 8 4" xfId="7908"/>
    <cellStyle name="SAPBEXinputData 6 2 9" xfId="3341"/>
    <cellStyle name="SAPBEXinputData 6 2 9 2" xfId="4932"/>
    <cellStyle name="SAPBEXinputData 6 2 9 2 2" xfId="9759"/>
    <cellStyle name="SAPBEXinputData 6 2 9 3" xfId="6208"/>
    <cellStyle name="SAPBEXinputData 6 2 9 3 2" xfId="10102"/>
    <cellStyle name="SAPBEXinputData 6 2 9 4" xfId="8588"/>
    <cellStyle name="SAPBEXinputData 6 3" xfId="2415"/>
    <cellStyle name="SAPBEXinputData 6 3 2" xfId="2557"/>
    <cellStyle name="SAPBEXinputData 6 3 2 2" xfId="4664"/>
    <cellStyle name="SAPBEXinputData 6 3 2 2 2" xfId="8593"/>
    <cellStyle name="SAPBEXinputData 6 3 2 3" xfId="9202"/>
    <cellStyle name="SAPBEXinputData 6 3 3" xfId="4420"/>
    <cellStyle name="SAPBEXinputData 6 3 3 2" xfId="9336"/>
    <cellStyle name="SAPBEXinputData 6 3 4" xfId="5345"/>
    <cellStyle name="SAPBEXinputData 6 3 4 2" xfId="7623"/>
    <cellStyle name="SAPBEXinputData 6 3 5" xfId="8252"/>
    <cellStyle name="SAPBEXinputData 6 4" xfId="2227"/>
    <cellStyle name="SAPBEXinputData 6 4 2" xfId="2628"/>
    <cellStyle name="SAPBEXinputData 6 4 2 2" xfId="4472"/>
    <cellStyle name="SAPBEXinputData 6 4 2 2 2" xfId="9379"/>
    <cellStyle name="SAPBEXinputData 6 4 2 3" xfId="7932"/>
    <cellStyle name="SAPBEXinputData 6 4 3" xfId="4768"/>
    <cellStyle name="SAPBEXinputData 6 4 3 2" xfId="7376"/>
    <cellStyle name="SAPBEXinputData 6 4 4" xfId="5433"/>
    <cellStyle name="SAPBEXinputData 6 4 4 2" xfId="7197"/>
    <cellStyle name="SAPBEXinputData 6 4 5" xfId="7481"/>
    <cellStyle name="SAPBEXinputData 6 5" xfId="2366"/>
    <cellStyle name="SAPBEXinputData 6 5 2" xfId="4694"/>
    <cellStyle name="SAPBEXinputData 6 5 2 2" xfId="9141"/>
    <cellStyle name="SAPBEXinputData 6 5 3" xfId="5684"/>
    <cellStyle name="SAPBEXinputData 6 5 3 2" xfId="7801"/>
    <cellStyle name="SAPBEXinputData 6 5 4" xfId="6484"/>
    <cellStyle name="SAPBEXinputData 6 6" xfId="3127"/>
    <cellStyle name="SAPBEXinputData 6 6 2" xfId="3728"/>
    <cellStyle name="SAPBEXinputData 6 6 2 2" xfId="6248"/>
    <cellStyle name="SAPBEXinputData 6 6 3" xfId="6023"/>
    <cellStyle name="SAPBEXinputData 6 6 3 2" xfId="9917"/>
    <cellStyle name="SAPBEXinputData 6 6 4" xfId="7837"/>
    <cellStyle name="SAPBEXinputData 6 7" xfId="2757"/>
    <cellStyle name="SAPBEXinputData 6 7 2" xfId="3606"/>
    <cellStyle name="SAPBEXinputData 6 7 2 2" xfId="9408"/>
    <cellStyle name="SAPBEXinputData 6 7 3" xfId="5705"/>
    <cellStyle name="SAPBEXinputData 6 7 3 2" xfId="8021"/>
    <cellStyle name="SAPBEXinputData 6 7 4" xfId="8073"/>
    <cellStyle name="SAPBEXinputData 6 8" xfId="3244"/>
    <cellStyle name="SAPBEXinputData 6 8 2" xfId="4190"/>
    <cellStyle name="SAPBEXinputData 6 8 2 2" xfId="9455"/>
    <cellStyle name="SAPBEXinputData 6 8 3" xfId="6126"/>
    <cellStyle name="SAPBEXinputData 6 8 3 2" xfId="10020"/>
    <cellStyle name="SAPBEXinputData 6 8 4" xfId="7436"/>
    <cellStyle name="SAPBEXinputData 6 9" xfId="3209"/>
    <cellStyle name="SAPBEXinputData 6 9 2" xfId="4124"/>
    <cellStyle name="SAPBEXinputData 6 9 2 2" xfId="9176"/>
    <cellStyle name="SAPBEXinputData 6 9 3" xfId="6097"/>
    <cellStyle name="SAPBEXinputData 6 9 3 2" xfId="9991"/>
    <cellStyle name="SAPBEXinputData 6 9 4" xfId="8298"/>
    <cellStyle name="SAPBEXinputData 7" xfId="1432"/>
    <cellStyle name="SAPBEXinputData 7 10" xfId="3422"/>
    <cellStyle name="SAPBEXinputData 7 10 2" xfId="4995"/>
    <cellStyle name="SAPBEXinputData 7 10 2 2" xfId="8657"/>
    <cellStyle name="SAPBEXinputData 7 10 3" xfId="8852"/>
    <cellStyle name="SAPBEXinputData 7 11" xfId="3663"/>
    <cellStyle name="SAPBEXinputData 7 11 2" xfId="7116"/>
    <cellStyle name="SAPBEXinputData 7 12" xfId="8531"/>
    <cellStyle name="SAPBEXinputData 7 2" xfId="1768"/>
    <cellStyle name="SAPBEXinputData 7 2 10" xfId="3497"/>
    <cellStyle name="SAPBEXinputData 7 2 10 2" xfId="5067"/>
    <cellStyle name="SAPBEXinputData 7 2 10 2 2" xfId="9546"/>
    <cellStyle name="SAPBEXinputData 7 2 10 3" xfId="8570"/>
    <cellStyle name="SAPBEXinputData 7 2 11" xfId="3986"/>
    <cellStyle name="SAPBEXinputData 7 2 11 2" xfId="9019"/>
    <cellStyle name="SAPBEXinputData 7 2 12" xfId="7128"/>
    <cellStyle name="SAPBEXinputData 7 2 2" xfId="1780"/>
    <cellStyle name="SAPBEXinputData 7 2 2 10" xfId="8083"/>
    <cellStyle name="SAPBEXinputData 7 2 2 2" xfId="2486"/>
    <cellStyle name="SAPBEXinputData 7 2 2 2 2" xfId="2609"/>
    <cellStyle name="SAPBEXinputData 7 2 2 2 2 2" xfId="4883"/>
    <cellStyle name="SAPBEXinputData 7 2 2 2 2 2 2" xfId="8981"/>
    <cellStyle name="SAPBEXinputData 7 2 2 2 2 3" xfId="8219"/>
    <cellStyle name="SAPBEXinputData 7 2 2 2 3" xfId="4677"/>
    <cellStyle name="SAPBEXinputData 7 2 2 2 3 2" xfId="8659"/>
    <cellStyle name="SAPBEXinputData 7 2 2 2 4" xfId="7265"/>
    <cellStyle name="SAPBEXinputData 7 2 2 3" xfId="2317"/>
    <cellStyle name="SAPBEXinputData 7 2 2 3 2" xfId="3178"/>
    <cellStyle name="SAPBEXinputData 7 2 2 3 2 2" xfId="4054"/>
    <cellStyle name="SAPBEXinputData 7 2 2 3 2 2 2" xfId="8018"/>
    <cellStyle name="SAPBEXinputData 7 2 2 3 2 3" xfId="6895"/>
    <cellStyle name="SAPBEXinputData 7 2 2 3 3" xfId="4683"/>
    <cellStyle name="SAPBEXinputData 7 2 2 3 3 2" xfId="7450"/>
    <cellStyle name="SAPBEXinputData 7 2 2 3 4" xfId="5661"/>
    <cellStyle name="SAPBEXinputData 7 2 2 3 4 2" xfId="8044"/>
    <cellStyle name="SAPBEXinputData 7 2 2 3 5" xfId="7167"/>
    <cellStyle name="SAPBEXinputData 7 2 2 4" xfId="2291"/>
    <cellStyle name="SAPBEXinputData 7 2 2 4 2" xfId="4474"/>
    <cellStyle name="SAPBEXinputData 7 2 2 4 2 2" xfId="9004"/>
    <cellStyle name="SAPBEXinputData 7 2 2 4 3" xfId="5648"/>
    <cellStyle name="SAPBEXinputData 7 2 2 4 3 2" xfId="6841"/>
    <cellStyle name="SAPBEXinputData 7 2 2 4 4" xfId="6258"/>
    <cellStyle name="SAPBEXinputData 7 2 2 5" xfId="3330"/>
    <cellStyle name="SAPBEXinputData 7 2 2 5 2" xfId="4921"/>
    <cellStyle name="SAPBEXinputData 7 2 2 5 2 2" xfId="9264"/>
    <cellStyle name="SAPBEXinputData 7 2 2 5 3" xfId="6197"/>
    <cellStyle name="SAPBEXinputData 7 2 2 5 3 2" xfId="10091"/>
    <cellStyle name="SAPBEXinputData 7 2 2 5 4" xfId="7476"/>
    <cellStyle name="SAPBEXinputData 7 2 2 6" xfId="2905"/>
    <cellStyle name="SAPBEXinputData 7 2 2 6 2" xfId="4156"/>
    <cellStyle name="SAPBEXinputData 7 2 2 6 2 2" xfId="6343"/>
    <cellStyle name="SAPBEXinputData 7 2 2 6 3" xfId="5836"/>
    <cellStyle name="SAPBEXinputData 7 2 2 6 3 2" xfId="6914"/>
    <cellStyle name="SAPBEXinputData 7 2 2 6 4" xfId="8363"/>
    <cellStyle name="SAPBEXinputData 7 2 2 7" xfId="3000"/>
    <cellStyle name="SAPBEXinputData 7 2 2 7 2" xfId="4215"/>
    <cellStyle name="SAPBEXinputData 7 2 2 7 2 2" xfId="9683"/>
    <cellStyle name="SAPBEXinputData 7 2 2 7 3" xfId="5903"/>
    <cellStyle name="SAPBEXinputData 7 2 2 7 3 2" xfId="9797"/>
    <cellStyle name="SAPBEXinputData 7 2 2 7 4" xfId="7477"/>
    <cellStyle name="SAPBEXinputData 7 2 2 8" xfId="3501"/>
    <cellStyle name="SAPBEXinputData 7 2 2 8 2" xfId="5071"/>
    <cellStyle name="SAPBEXinputData 7 2 2 8 2 2" xfId="6559"/>
    <cellStyle name="SAPBEXinputData 7 2 2 8 3" xfId="7480"/>
    <cellStyle name="SAPBEXinputData 7 2 2 9" xfId="4688"/>
    <cellStyle name="SAPBEXinputData 7 2 2 9 2" xfId="6656"/>
    <cellStyle name="SAPBEXinputData 7 2 3" xfId="2483"/>
    <cellStyle name="SAPBEXinputData 7 2 3 2" xfId="2606"/>
    <cellStyle name="SAPBEXinputData 7 2 3 2 2" xfId="4596"/>
    <cellStyle name="SAPBEXinputData 7 2 3 2 2 2" xfId="9711"/>
    <cellStyle name="SAPBEXinputData 7 2 3 2 3" xfId="8098"/>
    <cellStyle name="SAPBEXinputData 7 2 3 3" xfId="4629"/>
    <cellStyle name="SAPBEXinputData 7 2 3 3 2" xfId="6558"/>
    <cellStyle name="SAPBEXinputData 7 2 3 4" xfId="5354"/>
    <cellStyle name="SAPBEXinputData 7 2 3 4 2" xfId="6689"/>
    <cellStyle name="SAPBEXinputData 7 2 3 5" xfId="8371"/>
    <cellStyle name="SAPBEXinputData 7 2 4" xfId="2174"/>
    <cellStyle name="SAPBEXinputData 7 2 4 2" xfId="2708"/>
    <cellStyle name="SAPBEXinputData 7 2 4 2 2" xfId="3947"/>
    <cellStyle name="SAPBEXinputData 7 2 4 2 2 2" xfId="7662"/>
    <cellStyle name="SAPBEXinputData 7 2 4 2 3" xfId="7566"/>
    <cellStyle name="SAPBEXinputData 7 2 4 3" xfId="4718"/>
    <cellStyle name="SAPBEXinputData 7 2 4 3 2" xfId="6252"/>
    <cellStyle name="SAPBEXinputData 7 2 4 4" xfId="5564"/>
    <cellStyle name="SAPBEXinputData 7 2 4 4 2" xfId="7642"/>
    <cellStyle name="SAPBEXinputData 7 2 4 5" xfId="6692"/>
    <cellStyle name="SAPBEXinputData 7 2 5" xfId="2263"/>
    <cellStyle name="SAPBEXinputData 7 2 5 2" xfId="4785"/>
    <cellStyle name="SAPBEXinputData 7 2 5 2 2" xfId="8753"/>
    <cellStyle name="SAPBEXinputData 7 2 5 3" xfId="5637"/>
    <cellStyle name="SAPBEXinputData 7 2 5 3 2" xfId="6372"/>
    <cellStyle name="SAPBEXinputData 7 2 5 4" xfId="6938"/>
    <cellStyle name="SAPBEXinputData 7 2 6" xfId="3143"/>
    <cellStyle name="SAPBEXinputData 7 2 6 2" xfId="4132"/>
    <cellStyle name="SAPBEXinputData 7 2 6 2 2" xfId="8441"/>
    <cellStyle name="SAPBEXinputData 7 2 6 3" xfId="6037"/>
    <cellStyle name="SAPBEXinputData 7 2 6 3 2" xfId="9931"/>
    <cellStyle name="SAPBEXinputData 7 2 6 4" xfId="7224"/>
    <cellStyle name="SAPBEXinputData 7 2 7" xfId="2892"/>
    <cellStyle name="SAPBEXinputData 7 2 7 2" xfId="3862"/>
    <cellStyle name="SAPBEXinputData 7 2 7 2 2" xfId="7296"/>
    <cellStyle name="SAPBEXinputData 7 2 7 3" xfId="5823"/>
    <cellStyle name="SAPBEXinputData 7 2 7 3 2" xfId="7218"/>
    <cellStyle name="SAPBEXinputData 7 2 7 4" xfId="9591"/>
    <cellStyle name="SAPBEXinputData 7 2 8" xfId="3028"/>
    <cellStyle name="SAPBEXinputData 7 2 8 2" xfId="3791"/>
    <cellStyle name="SAPBEXinputData 7 2 8 2 2" xfId="8675"/>
    <cellStyle name="SAPBEXinputData 7 2 8 3" xfId="5929"/>
    <cellStyle name="SAPBEXinputData 7 2 8 3 2" xfId="9823"/>
    <cellStyle name="SAPBEXinputData 7 2 8 4" xfId="6281"/>
    <cellStyle name="SAPBEXinputData 7 2 9" xfId="3307"/>
    <cellStyle name="SAPBEXinputData 7 2 9 2" xfId="3547"/>
    <cellStyle name="SAPBEXinputData 7 2 9 2 2" xfId="9031"/>
    <cellStyle name="SAPBEXinputData 7 2 9 3" xfId="6176"/>
    <cellStyle name="SAPBEXinputData 7 2 9 3 2" xfId="10070"/>
    <cellStyle name="SAPBEXinputData 7 2 9 4" xfId="9707"/>
    <cellStyle name="SAPBEXinputData 7 3" xfId="2416"/>
    <cellStyle name="SAPBEXinputData 7 3 2" xfId="2558"/>
    <cellStyle name="SAPBEXinputData 7 3 2 2" xfId="4755"/>
    <cellStyle name="SAPBEXinputData 7 3 2 2 2" xfId="9549"/>
    <cellStyle name="SAPBEXinputData 7 3 2 3" xfId="7645"/>
    <cellStyle name="SAPBEXinputData 7 3 3" xfId="4614"/>
    <cellStyle name="SAPBEXinputData 7 3 3 2" xfId="7598"/>
    <cellStyle name="SAPBEXinputData 7 3 4" xfId="5153"/>
    <cellStyle name="SAPBEXinputData 7 3 4 2" xfId="9695"/>
    <cellStyle name="SAPBEXinputData 7 3 5" xfId="7969"/>
    <cellStyle name="SAPBEXinputData 7 4" xfId="2226"/>
    <cellStyle name="SAPBEXinputData 7 4 2" xfId="2695"/>
    <cellStyle name="SAPBEXinputData 7 4 2 2" xfId="3958"/>
    <cellStyle name="SAPBEXinputData 7 4 2 2 2" xfId="6462"/>
    <cellStyle name="SAPBEXinputData 7 4 2 3" xfId="8317"/>
    <cellStyle name="SAPBEXinputData 7 4 3" xfId="4793"/>
    <cellStyle name="SAPBEXinputData 7 4 3 2" xfId="9368"/>
    <cellStyle name="SAPBEXinputData 7 4 4" xfId="5525"/>
    <cellStyle name="SAPBEXinputData 7 4 4 2" xfId="8547"/>
    <cellStyle name="SAPBEXinputData 7 4 5" xfId="9296"/>
    <cellStyle name="SAPBEXinputData 7 5" xfId="2166"/>
    <cellStyle name="SAPBEXinputData 7 5 2" xfId="4835"/>
    <cellStyle name="SAPBEXinputData 7 5 2 2" xfId="9585"/>
    <cellStyle name="SAPBEXinputData 7 5 3" xfId="5598"/>
    <cellStyle name="SAPBEXinputData 7 5 3 2" xfId="6424"/>
    <cellStyle name="SAPBEXinputData 7 5 4" xfId="7503"/>
    <cellStyle name="SAPBEXinputData 7 6" xfId="2863"/>
    <cellStyle name="SAPBEXinputData 7 6 2" xfId="3885"/>
    <cellStyle name="SAPBEXinputData 7 6 2 2" xfId="9146"/>
    <cellStyle name="SAPBEXinputData 7 6 3" xfId="5794"/>
    <cellStyle name="SAPBEXinputData 7 6 3 2" xfId="7390"/>
    <cellStyle name="SAPBEXinputData 7 6 4" xfId="8649"/>
    <cellStyle name="SAPBEXinputData 7 7" xfId="3250"/>
    <cellStyle name="SAPBEXinputData 7 7 2" xfId="4189"/>
    <cellStyle name="SAPBEXinputData 7 7 2 2" xfId="8392"/>
    <cellStyle name="SAPBEXinputData 7 7 3" xfId="6127"/>
    <cellStyle name="SAPBEXinputData 7 7 3 2" xfId="10021"/>
    <cellStyle name="SAPBEXinputData 7 7 4" xfId="7671"/>
    <cellStyle name="SAPBEXinputData 7 8" xfId="3083"/>
    <cellStyle name="SAPBEXinputData 7 8 2" xfId="4137"/>
    <cellStyle name="SAPBEXinputData 7 8 2 2" xfId="8562"/>
    <cellStyle name="SAPBEXinputData 7 8 3" xfId="5980"/>
    <cellStyle name="SAPBEXinputData 7 8 3 2" xfId="9874"/>
    <cellStyle name="SAPBEXinputData 7 8 4" xfId="9313"/>
    <cellStyle name="SAPBEXinputData 7 9" xfId="3205"/>
    <cellStyle name="SAPBEXinputData 7 9 2" xfId="4195"/>
    <cellStyle name="SAPBEXinputData 7 9 2 2" xfId="9032"/>
    <cellStyle name="SAPBEXinputData 7 9 3" xfId="6094"/>
    <cellStyle name="SAPBEXinputData 7 9 3 2" xfId="9988"/>
    <cellStyle name="SAPBEXinputData 7 9 4" xfId="6758"/>
    <cellStyle name="SAPBEXinputData 8" xfId="1433"/>
    <cellStyle name="SAPBEXinputData 8 10" xfId="3423"/>
    <cellStyle name="SAPBEXinputData 8 10 2" xfId="4996"/>
    <cellStyle name="SAPBEXinputData 8 10 2 2" xfId="8410"/>
    <cellStyle name="SAPBEXinputData 8 10 3" xfId="9028"/>
    <cellStyle name="SAPBEXinputData 8 11" xfId="4033"/>
    <cellStyle name="SAPBEXinputData 8 11 2" xfId="9094"/>
    <cellStyle name="SAPBEXinputData 8 12" xfId="7612"/>
    <cellStyle name="SAPBEXinputData 8 2" xfId="1769"/>
    <cellStyle name="SAPBEXinputData 8 2 10" xfId="3498"/>
    <cellStyle name="SAPBEXinputData 8 2 10 2" xfId="5068"/>
    <cellStyle name="SAPBEXinputData 8 2 10 2 2" xfId="7137"/>
    <cellStyle name="SAPBEXinputData 8 2 10 3" xfId="7290"/>
    <cellStyle name="SAPBEXinputData 8 2 11" xfId="4900"/>
    <cellStyle name="SAPBEXinputData 8 2 11 2" xfId="8702"/>
    <cellStyle name="SAPBEXinputData 8 2 12" xfId="7471"/>
    <cellStyle name="SAPBEXinputData 8 2 2" xfId="1750"/>
    <cellStyle name="SAPBEXinputData 8 2 2 10" xfId="7475"/>
    <cellStyle name="SAPBEXinputData 8 2 2 2" xfId="2465"/>
    <cellStyle name="SAPBEXinputData 8 2 2 2 2" xfId="2588"/>
    <cellStyle name="SAPBEXinputData 8 2 2 2 2 2" xfId="4466"/>
    <cellStyle name="SAPBEXinputData 8 2 2 2 2 2 2" xfId="9617"/>
    <cellStyle name="SAPBEXinputData 8 2 2 2 2 3" xfId="6964"/>
    <cellStyle name="SAPBEXinputData 8 2 2 2 3" xfId="4868"/>
    <cellStyle name="SAPBEXinputData 8 2 2 2 3 2" xfId="7463"/>
    <cellStyle name="SAPBEXinputData 8 2 2 2 4" xfId="8381"/>
    <cellStyle name="SAPBEXinputData 8 2 2 3" xfId="2190"/>
    <cellStyle name="SAPBEXinputData 8 2 2 3 2" xfId="2936"/>
    <cellStyle name="SAPBEXinputData 8 2 2 3 2 2" xfId="3845"/>
    <cellStyle name="SAPBEXinputData 8 2 2 3 2 2 2" xfId="9407"/>
    <cellStyle name="SAPBEXinputData 8 2 2 3 2 3" xfId="7107"/>
    <cellStyle name="SAPBEXinputData 8 2 2 3 3" xfId="4037"/>
    <cellStyle name="SAPBEXinputData 8 2 2 3 3 2" xfId="7769"/>
    <cellStyle name="SAPBEXinputData 8 2 2 3 4" xfId="5607"/>
    <cellStyle name="SAPBEXinputData 8 2 2 3 4 2" xfId="8470"/>
    <cellStyle name="SAPBEXinputData 8 2 2 3 5" xfId="9306"/>
    <cellStyle name="SAPBEXinputData 8 2 2 4" xfId="2285"/>
    <cellStyle name="SAPBEXinputData 8 2 2 4 2" xfId="3973"/>
    <cellStyle name="SAPBEXinputData 8 2 2 4 2 2" xfId="7158"/>
    <cellStyle name="SAPBEXinputData 8 2 2 4 3" xfId="5644"/>
    <cellStyle name="SAPBEXinputData 8 2 2 4 3 2" xfId="7284"/>
    <cellStyle name="SAPBEXinputData 8 2 2 4 4" xfId="7605"/>
    <cellStyle name="SAPBEXinputData 8 2 2 5" xfId="3108"/>
    <cellStyle name="SAPBEXinputData 8 2 2 5 2" xfId="3745"/>
    <cellStyle name="SAPBEXinputData 8 2 2 5 2 2" xfId="9307"/>
    <cellStyle name="SAPBEXinputData 8 2 2 5 3" xfId="6004"/>
    <cellStyle name="SAPBEXinputData 8 2 2 5 3 2" xfId="9898"/>
    <cellStyle name="SAPBEXinputData 8 2 2 5 4" xfId="8264"/>
    <cellStyle name="SAPBEXinputData 8 2 2 6" xfId="2854"/>
    <cellStyle name="SAPBEXinputData 8 2 2 6 2" xfId="4227"/>
    <cellStyle name="SAPBEXinputData 8 2 2 6 2 2" xfId="9365"/>
    <cellStyle name="SAPBEXinputData 8 2 2 6 3" xfId="5785"/>
    <cellStyle name="SAPBEXinputData 8 2 2 6 3 2" xfId="8029"/>
    <cellStyle name="SAPBEXinputData 8 2 2 6 4" xfId="9200"/>
    <cellStyle name="SAPBEXinputData 8 2 2 7" xfId="2982"/>
    <cellStyle name="SAPBEXinputData 8 2 2 7 2" xfId="3811"/>
    <cellStyle name="SAPBEXinputData 8 2 2 7 2 2" xfId="8014"/>
    <cellStyle name="SAPBEXinputData 8 2 2 7 3" xfId="5890"/>
    <cellStyle name="SAPBEXinputData 8 2 2 7 3 2" xfId="9784"/>
    <cellStyle name="SAPBEXinputData 8 2 2 7 4" xfId="9342"/>
    <cellStyle name="SAPBEXinputData 8 2 2 8" xfId="3479"/>
    <cellStyle name="SAPBEXinputData 8 2 2 8 2" xfId="5049"/>
    <cellStyle name="SAPBEXinputData 8 2 2 8 2 2" xfId="9673"/>
    <cellStyle name="SAPBEXinputData 8 2 2 8 3" xfId="9041"/>
    <cellStyle name="SAPBEXinputData 8 2 2 9" xfId="3621"/>
    <cellStyle name="SAPBEXinputData 8 2 2 9 2" xfId="9497"/>
    <cellStyle name="SAPBEXinputData 8 2 3" xfId="2484"/>
    <cellStyle name="SAPBEXinputData 8 2 3 2" xfId="2607"/>
    <cellStyle name="SAPBEXinputData 8 2 3 2 2" xfId="4302"/>
    <cellStyle name="SAPBEXinputData 8 2 3 2 2 2" xfId="6482"/>
    <cellStyle name="SAPBEXinputData 8 2 3 2 3" xfId="6804"/>
    <cellStyle name="SAPBEXinputData 8 2 3 3" xfId="4440"/>
    <cellStyle name="SAPBEXinputData 8 2 3 3 2" xfId="9472"/>
    <cellStyle name="SAPBEXinputData 8 2 3 4" xfId="5213"/>
    <cellStyle name="SAPBEXinputData 8 2 3 4 2" xfId="7134"/>
    <cellStyle name="SAPBEXinputData 8 2 3 5" xfId="7085"/>
    <cellStyle name="SAPBEXinputData 8 2 4" xfId="2173"/>
    <cellStyle name="SAPBEXinputData 8 2 4 2" xfId="2709"/>
    <cellStyle name="SAPBEXinputData 8 2 4 2 2" xfId="3946"/>
    <cellStyle name="SAPBEXinputData 8 2 4 2 2 2" xfId="7819"/>
    <cellStyle name="SAPBEXinputData 8 2 4 2 3" xfId="7997"/>
    <cellStyle name="SAPBEXinputData 8 2 4 3" xfId="4847"/>
    <cellStyle name="SAPBEXinputData 8 2 4 3 2" xfId="8586"/>
    <cellStyle name="SAPBEXinputData 8 2 4 4" xfId="5565"/>
    <cellStyle name="SAPBEXinputData 8 2 4 4 2" xfId="6710"/>
    <cellStyle name="SAPBEXinputData 8 2 4 5" xfId="8372"/>
    <cellStyle name="SAPBEXinputData 8 2 5" xfId="2264"/>
    <cellStyle name="SAPBEXinputData 8 2 5 2" xfId="4709"/>
    <cellStyle name="SAPBEXinputData 8 2 5 2 2" xfId="6691"/>
    <cellStyle name="SAPBEXinputData 8 2 5 3" xfId="5638"/>
    <cellStyle name="SAPBEXinputData 8 2 5 3 2" xfId="7941"/>
    <cellStyle name="SAPBEXinputData 8 2 5 4" xfId="8315"/>
    <cellStyle name="SAPBEXinputData 8 2 6" xfId="3243"/>
    <cellStyle name="SAPBEXinputData 8 2 6 2" xfId="4313"/>
    <cellStyle name="SAPBEXinputData 8 2 6 2 2" xfId="9493"/>
    <cellStyle name="SAPBEXinputData 8 2 6 3" xfId="6125"/>
    <cellStyle name="SAPBEXinputData 8 2 6 3 2" xfId="10019"/>
    <cellStyle name="SAPBEXinputData 8 2 6 4" xfId="8288"/>
    <cellStyle name="SAPBEXinputData 8 2 7" xfId="3152"/>
    <cellStyle name="SAPBEXinputData 8 2 7 2" xfId="4129"/>
    <cellStyle name="SAPBEXinputData 8 2 7 2 2" xfId="6614"/>
    <cellStyle name="SAPBEXinputData 8 2 7 3" xfId="6046"/>
    <cellStyle name="SAPBEXinputData 8 2 7 3 2" xfId="9940"/>
    <cellStyle name="SAPBEXinputData 8 2 7 4" xfId="8148"/>
    <cellStyle name="SAPBEXinputData 8 2 8" xfId="3025"/>
    <cellStyle name="SAPBEXinputData 8 2 8 2" xfId="4213"/>
    <cellStyle name="SAPBEXinputData 8 2 8 2 2" xfId="7983"/>
    <cellStyle name="SAPBEXinputData 8 2 8 3" xfId="5927"/>
    <cellStyle name="SAPBEXinputData 8 2 8 3 2" xfId="9821"/>
    <cellStyle name="SAPBEXinputData 8 2 8 4" xfId="7322"/>
    <cellStyle name="SAPBEXinputData 8 2 9" xfId="3292"/>
    <cellStyle name="SAPBEXinputData 8 2 9 2" xfId="3677"/>
    <cellStyle name="SAPBEXinputData 8 2 9 2 2" xfId="9692"/>
    <cellStyle name="SAPBEXinputData 8 2 9 3" xfId="6161"/>
    <cellStyle name="SAPBEXinputData 8 2 9 3 2" xfId="10055"/>
    <cellStyle name="SAPBEXinputData 8 2 9 4" xfId="9355"/>
    <cellStyle name="SAPBEXinputData 8 3" xfId="2417"/>
    <cellStyle name="SAPBEXinputData 8 3 2" xfId="2559"/>
    <cellStyle name="SAPBEXinputData 8 3 2 2" xfId="4746"/>
    <cellStyle name="SAPBEXinputData 8 3 2 2 2" xfId="9097"/>
    <cellStyle name="SAPBEXinputData 8 3 2 3" xfId="8620"/>
    <cellStyle name="SAPBEXinputData 8 3 3" xfId="4452"/>
    <cellStyle name="SAPBEXinputData 8 3 3 2" xfId="7157"/>
    <cellStyle name="SAPBEXinputData 8 3 4" xfId="5195"/>
    <cellStyle name="SAPBEXinputData 8 3 4 2" xfId="9135"/>
    <cellStyle name="SAPBEXinputData 8 3 5" xfId="8229"/>
    <cellStyle name="SAPBEXinputData 8 4" xfId="2225"/>
    <cellStyle name="SAPBEXinputData 8 4 2" xfId="2668"/>
    <cellStyle name="SAPBEXinputData 8 4 2 2" xfId="4117"/>
    <cellStyle name="SAPBEXinputData 8 4 2 2 2" xfId="8511"/>
    <cellStyle name="SAPBEXinputData 8 4 2 3" xfId="7578"/>
    <cellStyle name="SAPBEXinputData 8 4 3" xfId="3975"/>
    <cellStyle name="SAPBEXinputData 8 4 3 2" xfId="8329"/>
    <cellStyle name="SAPBEXinputData 8 4 4" xfId="5498"/>
    <cellStyle name="SAPBEXinputData 8 4 4 2" xfId="8473"/>
    <cellStyle name="SAPBEXinputData 8 4 5" xfId="7802"/>
    <cellStyle name="SAPBEXinputData 8 5" xfId="2305"/>
    <cellStyle name="SAPBEXinputData 8 5 2" xfId="4764"/>
    <cellStyle name="SAPBEXinputData 8 5 2 2" xfId="9477"/>
    <cellStyle name="SAPBEXinputData 8 5 3" xfId="5653"/>
    <cellStyle name="SAPBEXinputData 8 5 3 2" xfId="7604"/>
    <cellStyle name="SAPBEXinputData 8 5 4" xfId="8122"/>
    <cellStyle name="SAPBEXinputData 8 6" xfId="2864"/>
    <cellStyle name="SAPBEXinputData 8 6 2" xfId="4226"/>
    <cellStyle name="SAPBEXinputData 8 6 2 2" xfId="7514"/>
    <cellStyle name="SAPBEXinputData 8 6 3" xfId="5795"/>
    <cellStyle name="SAPBEXinputData 8 6 3 2" xfId="6676"/>
    <cellStyle name="SAPBEXinputData 8 6 4" xfId="7539"/>
    <cellStyle name="SAPBEXinputData 8 7" xfId="3132"/>
    <cellStyle name="SAPBEXinputData 8 7 2" xfId="4205"/>
    <cellStyle name="SAPBEXinputData 8 7 2 2" xfId="9143"/>
    <cellStyle name="SAPBEXinputData 8 7 3" xfId="6028"/>
    <cellStyle name="SAPBEXinputData 8 7 3 2" xfId="9922"/>
    <cellStyle name="SAPBEXinputData 8 7 4" xfId="6366"/>
    <cellStyle name="SAPBEXinputData 8 8" xfId="2957"/>
    <cellStyle name="SAPBEXinputData 8 8 2" xfId="3828"/>
    <cellStyle name="SAPBEXinputData 8 8 2 2" xfId="6903"/>
    <cellStyle name="SAPBEXinputData 8 8 3" xfId="5875"/>
    <cellStyle name="SAPBEXinputData 8 8 3 2" xfId="7119"/>
    <cellStyle name="SAPBEXinputData 8 8 4" xfId="8023"/>
    <cellStyle name="SAPBEXinputData 8 9" xfId="2831"/>
    <cellStyle name="SAPBEXinputData 8 9 2" xfId="3899"/>
    <cellStyle name="SAPBEXinputData 8 9 2 2" xfId="8387"/>
    <cellStyle name="SAPBEXinputData 8 9 3" xfId="5764"/>
    <cellStyle name="SAPBEXinputData 8 9 3 2" xfId="7580"/>
    <cellStyle name="SAPBEXinputData 8 9 4" xfId="7609"/>
    <cellStyle name="SAPBEXinputData 9" xfId="1434"/>
    <cellStyle name="SAPBEXinputData 9 10" xfId="3424"/>
    <cellStyle name="SAPBEXinputData 9 10 2" xfId="4997"/>
    <cellStyle name="SAPBEXinputData 9 10 2 2" xfId="9395"/>
    <cellStyle name="SAPBEXinputData 9 10 3" xfId="8180"/>
    <cellStyle name="SAPBEXinputData 9 11" xfId="3662"/>
    <cellStyle name="SAPBEXinputData 9 11 2" xfId="8881"/>
    <cellStyle name="SAPBEXinputData 9 12" xfId="7680"/>
    <cellStyle name="SAPBEXinputData 9 2" xfId="1770"/>
    <cellStyle name="SAPBEXinputData 9 2 10" xfId="3499"/>
    <cellStyle name="SAPBEXinputData 9 2 10 2" xfId="5069"/>
    <cellStyle name="SAPBEXinputData 9 2 10 2 2" xfId="7548"/>
    <cellStyle name="SAPBEXinputData 9 2 10 3" xfId="9443"/>
    <cellStyle name="SAPBEXinputData 9 2 11" xfId="4651"/>
    <cellStyle name="SAPBEXinputData 9 2 11 2" xfId="6395"/>
    <cellStyle name="SAPBEXinputData 9 2 12" xfId="7429"/>
    <cellStyle name="SAPBEXinputData 9 2 2" xfId="1905"/>
    <cellStyle name="SAPBEXinputData 9 2 2 10" xfId="8380"/>
    <cellStyle name="SAPBEXinputData 9 2 2 2" xfId="2515"/>
    <cellStyle name="SAPBEXinputData 9 2 2 2 2" xfId="2616"/>
    <cellStyle name="SAPBEXinputData 9 2 2 2 2 2" xfId="4676"/>
    <cellStyle name="SAPBEXinputData 9 2 2 2 2 2 2" xfId="9444"/>
    <cellStyle name="SAPBEXinputData 9 2 2 2 2 3" xfId="7180"/>
    <cellStyle name="SAPBEXinputData 9 2 2 2 3" xfId="4638"/>
    <cellStyle name="SAPBEXinputData 9 2 2 2 3 2" xfId="6897"/>
    <cellStyle name="SAPBEXinputData 9 2 2 2 4" xfId="7238"/>
    <cellStyle name="SAPBEXinputData 9 2 2 3" xfId="2337"/>
    <cellStyle name="SAPBEXinputData 9 2 2 3 2" xfId="3247"/>
    <cellStyle name="SAPBEXinputData 9 2 2 3 2 2" xfId="4253"/>
    <cellStyle name="SAPBEXinputData 9 2 2 3 2 2 2" xfId="6657"/>
    <cellStyle name="SAPBEXinputData 9 2 2 3 2 3" xfId="6290"/>
    <cellStyle name="SAPBEXinputData 9 2 2 3 3" xfId="4810"/>
    <cellStyle name="SAPBEXinputData 9 2 2 3 3 2" xfId="6760"/>
    <cellStyle name="SAPBEXinputData 9 2 2 3 4" xfId="5668"/>
    <cellStyle name="SAPBEXinputData 9 2 2 3 4 2" xfId="7076"/>
    <cellStyle name="SAPBEXinputData 9 2 2 3 5" xfId="8405"/>
    <cellStyle name="SAPBEXinputData 9 2 2 4" xfId="2287"/>
    <cellStyle name="SAPBEXinputData 9 2 2 4 2" xfId="4766"/>
    <cellStyle name="SAPBEXinputData 9 2 2 4 2 2" xfId="8632"/>
    <cellStyle name="SAPBEXinputData 9 2 2 4 3" xfId="5646"/>
    <cellStyle name="SAPBEXinputData 9 2 2 4 3 2" xfId="7960"/>
    <cellStyle name="SAPBEXinputData 9 2 2 4 4" xfId="7358"/>
    <cellStyle name="SAPBEXinputData 9 2 2 5" xfId="2904"/>
    <cellStyle name="SAPBEXinputData 9 2 2 5 2" xfId="3855"/>
    <cellStyle name="SAPBEXinputData 9 2 2 5 2 2" xfId="8672"/>
    <cellStyle name="SAPBEXinputData 9 2 2 5 3" xfId="5835"/>
    <cellStyle name="SAPBEXinputData 9 2 2 5 3 2" xfId="7948"/>
    <cellStyle name="SAPBEXinputData 9 2 2 5 4" xfId="9044"/>
    <cellStyle name="SAPBEXinputData 9 2 2 6" xfId="2901"/>
    <cellStyle name="SAPBEXinputData 9 2 2 6 2" xfId="3856"/>
    <cellStyle name="SAPBEXinputData 9 2 2 6 2 2" xfId="6291"/>
    <cellStyle name="SAPBEXinputData 9 2 2 6 3" xfId="5832"/>
    <cellStyle name="SAPBEXinputData 9 2 2 6 3 2" xfId="6722"/>
    <cellStyle name="SAPBEXinputData 9 2 2 6 4" xfId="8038"/>
    <cellStyle name="SAPBEXinputData 9 2 2 7" xfId="2856"/>
    <cellStyle name="SAPBEXinputData 9 2 2 7 2" xfId="3599"/>
    <cellStyle name="SAPBEXinputData 9 2 2 7 2 2" xfId="7009"/>
    <cellStyle name="SAPBEXinputData 9 2 2 7 3" xfId="5787"/>
    <cellStyle name="SAPBEXinputData 9 2 2 7 3 2" xfId="8454"/>
    <cellStyle name="SAPBEXinputData 9 2 2 7 4" xfId="6929"/>
    <cellStyle name="SAPBEXinputData 9 2 2 8" xfId="3508"/>
    <cellStyle name="SAPBEXinputData 9 2 2 8 2" xfId="5078"/>
    <cellStyle name="SAPBEXinputData 9 2 2 8 2 2" xfId="6771"/>
    <cellStyle name="SAPBEXinputData 9 2 2 8 3" xfId="9105"/>
    <cellStyle name="SAPBEXinputData 9 2 2 9" xfId="3612"/>
    <cellStyle name="SAPBEXinputData 9 2 2 9 2" xfId="8637"/>
    <cellStyle name="SAPBEXinputData 9 2 3" xfId="2485"/>
    <cellStyle name="SAPBEXinputData 9 2 3 2" xfId="2608"/>
    <cellStyle name="SAPBEXinputData 9 2 3 2 2" xfId="4116"/>
    <cellStyle name="SAPBEXinputData 9 2 3 2 2 2" xfId="6780"/>
    <cellStyle name="SAPBEXinputData 9 2 3 2 3" xfId="7925"/>
    <cellStyle name="SAPBEXinputData 9 2 3 3" xfId="4874"/>
    <cellStyle name="SAPBEXinputData 9 2 3 3 2" xfId="6768"/>
    <cellStyle name="SAPBEXinputData 9 2 3 4" xfId="5191"/>
    <cellStyle name="SAPBEXinputData 9 2 3 4 2" xfId="9169"/>
    <cellStyle name="SAPBEXinputData 9 2 3 5" xfId="6584"/>
    <cellStyle name="SAPBEXinputData 9 2 4" xfId="2172"/>
    <cellStyle name="SAPBEXinputData 9 2 4 2" xfId="2710"/>
    <cellStyle name="SAPBEXinputData 9 2 4 2 2" xfId="3945"/>
    <cellStyle name="SAPBEXinputData 9 2 4 2 2 2" xfId="9655"/>
    <cellStyle name="SAPBEXinputData 9 2 4 2 3" xfId="8295"/>
    <cellStyle name="SAPBEXinputData 9 2 4 3" xfId="4423"/>
    <cellStyle name="SAPBEXinputData 9 2 4 3 2" xfId="6477"/>
    <cellStyle name="SAPBEXinputData 9 2 4 4" xfId="5566"/>
    <cellStyle name="SAPBEXinputData 9 2 4 4 2" xfId="7933"/>
    <cellStyle name="SAPBEXinputData 9 2 4 5" xfId="9237"/>
    <cellStyle name="SAPBEXinputData 9 2 5" xfId="2265"/>
    <cellStyle name="SAPBEXinputData 9 2 5 2" xfId="4788"/>
    <cellStyle name="SAPBEXinputData 9 2 5 2 2" xfId="7460"/>
    <cellStyle name="SAPBEXinputData 9 2 5 3" xfId="5639"/>
    <cellStyle name="SAPBEXinputData 9 2 5 3 2" xfId="7555"/>
    <cellStyle name="SAPBEXinputData 9 2 5 4" xfId="6450"/>
    <cellStyle name="SAPBEXinputData 9 2 6" xfId="3145"/>
    <cellStyle name="SAPBEXinputData 9 2 6 2" xfId="3718"/>
    <cellStyle name="SAPBEXinputData 9 2 6 2 2" xfId="8601"/>
    <cellStyle name="SAPBEXinputData 9 2 6 3" xfId="6039"/>
    <cellStyle name="SAPBEXinputData 9 2 6 3 2" xfId="9933"/>
    <cellStyle name="SAPBEXinputData 9 2 6 4" xfId="7430"/>
    <cellStyle name="SAPBEXinputData 9 2 7" xfId="2873"/>
    <cellStyle name="SAPBEXinputData 9 2 7 2" xfId="3877"/>
    <cellStyle name="SAPBEXinputData 9 2 7 2 2" xfId="9181"/>
    <cellStyle name="SAPBEXinputData 9 2 7 3" xfId="5804"/>
    <cellStyle name="SAPBEXinputData 9 2 7 3 2" xfId="8424"/>
    <cellStyle name="SAPBEXinputData 9 2 7 4" xfId="8342"/>
    <cellStyle name="SAPBEXinputData 9 2 8" xfId="3335"/>
    <cellStyle name="SAPBEXinputData 9 2 8 2" xfId="4926"/>
    <cellStyle name="SAPBEXinputData 9 2 8 2 2" xfId="6354"/>
    <cellStyle name="SAPBEXinputData 9 2 8 3" xfId="6202"/>
    <cellStyle name="SAPBEXinputData 9 2 8 3 2" xfId="10096"/>
    <cellStyle name="SAPBEXinputData 9 2 8 4" xfId="7160"/>
    <cellStyle name="SAPBEXinputData 9 2 9" xfId="3086"/>
    <cellStyle name="SAPBEXinputData 9 2 9 2" xfId="4136"/>
    <cellStyle name="SAPBEXinputData 9 2 9 2 2" xfId="9501"/>
    <cellStyle name="SAPBEXinputData 9 2 9 3" xfId="5983"/>
    <cellStyle name="SAPBEXinputData 9 2 9 3 2" xfId="9877"/>
    <cellStyle name="SAPBEXinputData 9 2 9 4" xfId="9325"/>
    <cellStyle name="SAPBEXinputData 9 3" xfId="2418"/>
    <cellStyle name="SAPBEXinputData 9 3 2" xfId="2560"/>
    <cellStyle name="SAPBEXinputData 9 3 2 2" xfId="4496"/>
    <cellStyle name="SAPBEXinputData 9 3 2 2 2" xfId="9400"/>
    <cellStyle name="SAPBEXinputData 9 3 2 3" xfId="9204"/>
    <cellStyle name="SAPBEXinputData 9 3 3" xfId="4660"/>
    <cellStyle name="SAPBEXinputData 9 3 3 2" xfId="9040"/>
    <cellStyle name="SAPBEXinputData 9 3 4" xfId="5235"/>
    <cellStyle name="SAPBEXinputData 9 3 4 2" xfId="6741"/>
    <cellStyle name="SAPBEXinputData 9 3 5" xfId="7920"/>
    <cellStyle name="SAPBEXinputData 9 4" xfId="2224"/>
    <cellStyle name="SAPBEXinputData 9 4 2" xfId="2632"/>
    <cellStyle name="SAPBEXinputData 9 4 2 2" xfId="4724"/>
    <cellStyle name="SAPBEXinputData 9 4 2 2 2" xfId="8466"/>
    <cellStyle name="SAPBEXinputData 9 4 2 3" xfId="8195"/>
    <cellStyle name="SAPBEXinputData 9 4 3" xfId="4845"/>
    <cellStyle name="SAPBEXinputData 9 4 3 2" xfId="6847"/>
    <cellStyle name="SAPBEXinputData 9 4 4" xfId="5463"/>
    <cellStyle name="SAPBEXinputData 9 4 4 2" xfId="7214"/>
    <cellStyle name="SAPBEXinputData 9 4 5" xfId="9270"/>
    <cellStyle name="SAPBEXinputData 9 5" xfId="2126"/>
    <cellStyle name="SAPBEXinputData 9 5 2" xfId="4612"/>
    <cellStyle name="SAPBEXinputData 9 5 2 2" xfId="7640"/>
    <cellStyle name="SAPBEXinputData 9 5 3" xfId="5584"/>
    <cellStyle name="SAPBEXinputData 9 5 3 2" xfId="6591"/>
    <cellStyle name="SAPBEXinputData 9 5 4" xfId="6548"/>
    <cellStyle name="SAPBEXinputData 9 6" xfId="2865"/>
    <cellStyle name="SAPBEXinputData 9 6 2" xfId="3884"/>
    <cellStyle name="SAPBEXinputData 9 6 2 2" xfId="8722"/>
    <cellStyle name="SAPBEXinputData 9 6 3" xfId="5796"/>
    <cellStyle name="SAPBEXinputData 9 6 3 2" xfId="6580"/>
    <cellStyle name="SAPBEXinputData 9 6 4" xfId="9728"/>
    <cellStyle name="SAPBEXinputData 9 7" xfId="3106"/>
    <cellStyle name="SAPBEXinputData 9 7 2" xfId="3746"/>
    <cellStyle name="SAPBEXinputData 9 7 2 2" xfId="9021"/>
    <cellStyle name="SAPBEXinputData 9 7 3" xfId="6003"/>
    <cellStyle name="SAPBEXinputData 9 7 3 2" xfId="9897"/>
    <cellStyle name="SAPBEXinputData 9 7 4" xfId="7556"/>
    <cellStyle name="SAPBEXinputData 9 8" xfId="2852"/>
    <cellStyle name="SAPBEXinputData 9 8 2" xfId="4060"/>
    <cellStyle name="SAPBEXinputData 9 8 2 2" xfId="8726"/>
    <cellStyle name="SAPBEXinputData 9 8 3" xfId="5784"/>
    <cellStyle name="SAPBEXinputData 9 8 3 2" xfId="8365"/>
    <cellStyle name="SAPBEXinputData 9 8 4" xfId="8443"/>
    <cellStyle name="SAPBEXinputData 9 9" xfId="2960"/>
    <cellStyle name="SAPBEXinputData 9 9 2" xfId="3592"/>
    <cellStyle name="SAPBEXinputData 9 9 2 2" xfId="6971"/>
    <cellStyle name="SAPBEXinputData 9 9 3" xfId="5878"/>
    <cellStyle name="SAPBEXinputData 9 9 3 2" xfId="8347"/>
    <cellStyle name="SAPBEXinputData 9 9 4" xfId="6793"/>
    <cellStyle name="SAPBEXItemHeader" xfId="1435"/>
    <cellStyle name="SAPBEXItemHeader 2" xfId="1436"/>
    <cellStyle name="SAPBEXItemHeader 3" xfId="1437"/>
    <cellStyle name="SAPBEXItemHeader 4" xfId="1438"/>
    <cellStyle name="SAPBEXItemHeader 5" xfId="1439"/>
    <cellStyle name="SAPBEXresData" xfId="1440"/>
    <cellStyle name="SAPBEXresData 2" xfId="1441"/>
    <cellStyle name="SAPBEXresData 2 2" xfId="1442"/>
    <cellStyle name="SAPBEXresData 2 3" xfId="2032"/>
    <cellStyle name="SAPBEXresData 3" xfId="1443"/>
    <cellStyle name="SAPBEXresData 3 2" xfId="1444"/>
    <cellStyle name="SAPBEXresData 4" xfId="1445"/>
    <cellStyle name="SAPBEXresData 5" xfId="1446"/>
    <cellStyle name="SAPBEXresData 6" xfId="1447"/>
    <cellStyle name="SAPBEXresData 7" xfId="1448"/>
    <cellStyle name="SAPBEXresData 8" xfId="10187"/>
    <cellStyle name="SAPBEXresDataEmph" xfId="1449"/>
    <cellStyle name="SAPBEXresDataEmph 2" xfId="1450"/>
    <cellStyle name="SAPBEXresDataEmph 2 2" xfId="1451"/>
    <cellStyle name="SAPBEXresDataEmph 2 3" xfId="2033"/>
    <cellStyle name="SAPBEXresDataEmph 3" xfId="1452"/>
    <cellStyle name="SAPBEXresDataEmph 3 2" xfId="1453"/>
    <cellStyle name="SAPBEXresDataEmph 3 3" xfId="2034"/>
    <cellStyle name="SAPBEXresDataEmph 4" xfId="1454"/>
    <cellStyle name="SAPBEXresDataEmph 5" xfId="10188"/>
    <cellStyle name="SAPBEXresItem" xfId="1455"/>
    <cellStyle name="SAPBEXresItem 2" xfId="1456"/>
    <cellStyle name="SAPBEXresItem 2 2" xfId="1457"/>
    <cellStyle name="SAPBEXresItem 2 3" xfId="2035"/>
    <cellStyle name="SAPBEXresItem 3" xfId="1458"/>
    <cellStyle name="SAPBEXresItem 3 2" xfId="1459"/>
    <cellStyle name="SAPBEXresItem 4" xfId="1460"/>
    <cellStyle name="SAPBEXresItem 5" xfId="1461"/>
    <cellStyle name="SAPBEXresItem 6" xfId="1462"/>
    <cellStyle name="SAPBEXresItem 7" xfId="1463"/>
    <cellStyle name="SAPBEXresItem 8" xfId="10189"/>
    <cellStyle name="SAPBEXresItem_BI profit and loss" xfId="1464"/>
    <cellStyle name="SAPBEXresItemX" xfId="1465"/>
    <cellStyle name="SAPBEXresItemX 2" xfId="1466"/>
    <cellStyle name="SAPBEXresItemX 2 2" xfId="1467"/>
    <cellStyle name="SAPBEXresItemX 2 3" xfId="2036"/>
    <cellStyle name="SAPBEXresItemX 3" xfId="1468"/>
    <cellStyle name="SAPBEXresItemX 3 2" xfId="1469"/>
    <cellStyle name="SAPBEXresItemX 4" xfId="1470"/>
    <cellStyle name="SAPBEXresItemX 5" xfId="1471"/>
    <cellStyle name="SAPBEXresItemX 6" xfId="1472"/>
    <cellStyle name="SAPBEXresItemX 7" xfId="1473"/>
    <cellStyle name="SAPBEXresItemX 8" xfId="10190"/>
    <cellStyle name="SAPBEXstdData" xfId="1474"/>
    <cellStyle name="SAPBEXstdData 2" xfId="1475"/>
    <cellStyle name="SAPBEXstdData 2 2" xfId="1476"/>
    <cellStyle name="SAPBEXstdData 2 3" xfId="2037"/>
    <cellStyle name="SAPBEXstdData 3" xfId="1477"/>
    <cellStyle name="SAPBEXstdData 3 2" xfId="1478"/>
    <cellStyle name="SAPBEXstdData 4" xfId="1479"/>
    <cellStyle name="SAPBEXstdData 5" xfId="1480"/>
    <cellStyle name="SAPBEXstdData 6" xfId="1481"/>
    <cellStyle name="SAPBEXstdData 7" xfId="1482"/>
    <cellStyle name="SAPBEXstdData 8" xfId="10191"/>
    <cellStyle name="SAPBEXstdData_AIMRO_CP" xfId="1483"/>
    <cellStyle name="SAPBEXstdDataEmph" xfId="1484"/>
    <cellStyle name="SAPBEXstdDataEmph 2" xfId="1485"/>
    <cellStyle name="SAPBEXstdDataEmph 2 2" xfId="1486"/>
    <cellStyle name="SAPBEXstdDataEmph 2 3" xfId="2038"/>
    <cellStyle name="SAPBEXstdDataEmph 3" xfId="1487"/>
    <cellStyle name="SAPBEXstdDataEmph 3 2" xfId="1488"/>
    <cellStyle name="SAPBEXstdDataEmph 4" xfId="1489"/>
    <cellStyle name="SAPBEXstdDataEmph 5" xfId="1490"/>
    <cellStyle name="SAPBEXstdDataEmph 6" xfId="1491"/>
    <cellStyle name="SAPBEXstdDataEmph 7" xfId="1492"/>
    <cellStyle name="SAPBEXstdDataEmph 8" xfId="10192"/>
    <cellStyle name="SAPBEXstdItem" xfId="1493"/>
    <cellStyle name="SAPBEXstdItem 2" xfId="1494"/>
    <cellStyle name="SAPBEXstdItem 2 2" xfId="1495"/>
    <cellStyle name="SAPBEXstdItem 2 3" xfId="2039"/>
    <cellStyle name="SAPBEXstdItem 3" xfId="1496"/>
    <cellStyle name="SAPBEXstdItem 3 2" xfId="1497"/>
    <cellStyle name="SAPBEXstdItem 4" xfId="1498"/>
    <cellStyle name="SAPBEXstdItem 5" xfId="1499"/>
    <cellStyle name="SAPBEXstdItem 6" xfId="1500"/>
    <cellStyle name="SAPBEXstdItem 7" xfId="1501"/>
    <cellStyle name="SAPBEXstdItem 8" xfId="10193"/>
    <cellStyle name="SAPBEXstdItem_AIMRO_CP" xfId="1502"/>
    <cellStyle name="SAPBEXstdItemX" xfId="1503"/>
    <cellStyle name="SAPBEXstdItemX 2" xfId="1504"/>
    <cellStyle name="SAPBEXstdItemX 2 2" xfId="1505"/>
    <cellStyle name="SAPBEXstdItemX 2 3" xfId="2040"/>
    <cellStyle name="SAPBEXstdItemX 3" xfId="1506"/>
    <cellStyle name="SAPBEXstdItemX 3 2" xfId="1507"/>
    <cellStyle name="SAPBEXstdItemX 4" xfId="1508"/>
    <cellStyle name="SAPBEXstdItemX 5" xfId="1509"/>
    <cellStyle name="SAPBEXstdItemX 6" xfId="1510"/>
    <cellStyle name="SAPBEXstdItemX 7" xfId="1885"/>
    <cellStyle name="SAPBEXstdItemX_Sheet1" xfId="1511"/>
    <cellStyle name="SAPBEXtitle" xfId="1512"/>
    <cellStyle name="SAPBEXtitle 2" xfId="1513"/>
    <cellStyle name="SAPBEXtitle 2 2" xfId="1514"/>
    <cellStyle name="SAPBEXtitle 2 3" xfId="2041"/>
    <cellStyle name="SAPBEXtitle 3" xfId="1515"/>
    <cellStyle name="SAPBEXtitle 3 2" xfId="1516"/>
    <cellStyle name="SAPBEXtitle 4" xfId="1517"/>
    <cellStyle name="SAPBEXtitle 5" xfId="1518"/>
    <cellStyle name="SAPBEXtitle 6" xfId="1519"/>
    <cellStyle name="SAPBEXtitle 7" xfId="1886"/>
    <cellStyle name="SAPBEXtitle_Sheet1" xfId="1520"/>
    <cellStyle name="SAPBEXunassignedItem" xfId="1521"/>
    <cellStyle name="SAPBEXunassignedItem 2" xfId="1522"/>
    <cellStyle name="SAPBEXunassignedItem 3" xfId="1523"/>
    <cellStyle name="SAPBEXundefined" xfId="1524"/>
    <cellStyle name="SAPBEXundefined 2" xfId="1525"/>
    <cellStyle name="SAPBEXundefined 2 2" xfId="1526"/>
    <cellStyle name="SAPBEXundefined 2 3" xfId="2043"/>
    <cellStyle name="SAPBEXundefined 3" xfId="1527"/>
    <cellStyle name="SAPBEXundefined 3 2" xfId="1528"/>
    <cellStyle name="SAPBEXundefined 4" xfId="1529"/>
    <cellStyle name="SAPBEXundefined 5" xfId="1530"/>
    <cellStyle name="SAPBEXundefined 6" xfId="1531"/>
    <cellStyle name="SAPBEXundefined 7" xfId="1532"/>
    <cellStyle name="SAPBEXundefined 8" xfId="10194"/>
    <cellStyle name="SAPError" xfId="556"/>
    <cellStyle name="SAPError 2" xfId="557"/>
    <cellStyle name="SAPKey" xfId="558"/>
    <cellStyle name="SAPKey 2" xfId="559"/>
    <cellStyle name="SAPLocked" xfId="560"/>
    <cellStyle name="SAPLocked 2" xfId="561"/>
    <cellStyle name="SAPOutput" xfId="562"/>
    <cellStyle name="SAPOutput 2" xfId="563"/>
    <cellStyle name="SAPSpace" xfId="564"/>
    <cellStyle name="SAPSpace 2" xfId="565"/>
    <cellStyle name="SAPText" xfId="566"/>
    <cellStyle name="SAPText 2" xfId="567"/>
    <cellStyle name="SAPUnLocked" xfId="568"/>
    <cellStyle name="SAPUnLocked 2" xfId="569"/>
    <cellStyle name="Section Number" xfId="1533"/>
    <cellStyle name="SEM-BPS-data" xfId="1534"/>
    <cellStyle name="SEM-BPS-headdata" xfId="1535"/>
    <cellStyle name="SEM-BPS-headkey" xfId="1536"/>
    <cellStyle name="SEM-BPS-key" xfId="1537"/>
    <cellStyle name="Sheet Title" xfId="570"/>
    <cellStyle name="SheetHeader1" xfId="571"/>
    <cellStyle name="Special" xfId="1538"/>
    <cellStyle name="StaticText" xfId="1539"/>
    <cellStyle name="Style 1" xfId="572"/>
    <cellStyle name="Style 1 2" xfId="573"/>
    <cellStyle name="Style 1 2 2" xfId="574"/>
    <cellStyle name="Style 1 3" xfId="575"/>
    <cellStyle name="Style 1 3 2" xfId="576"/>
    <cellStyle name="Style 1 3 3" xfId="577"/>
    <cellStyle name="Style 1 4" xfId="578"/>
    <cellStyle name="Style 1_29(d) - Gas extensions -tariffs" xfId="579"/>
    <cellStyle name="Style 2" xfId="1540"/>
    <cellStyle name="Style2" xfId="580"/>
    <cellStyle name="Style3" xfId="581"/>
    <cellStyle name="Style4" xfId="582"/>
    <cellStyle name="Style4 2" xfId="583"/>
    <cellStyle name="Style4_29(d) - Gas extensions -tariffs" xfId="584"/>
    <cellStyle name="Style5" xfId="585"/>
    <cellStyle name="Style5 2" xfId="586"/>
    <cellStyle name="Style5_29(d) - Gas extensions -tariffs" xfId="587"/>
    <cellStyle name="Table Head Green" xfId="588"/>
    <cellStyle name="Table Head_pldt" xfId="589"/>
    <cellStyle name="Table Source" xfId="590"/>
    <cellStyle name="Table Units" xfId="591"/>
    <cellStyle name="TableLvl2" xfId="592"/>
    <cellStyle name="TableLvl3" xfId="593"/>
    <cellStyle name="Text" xfId="594"/>
    <cellStyle name="Text 2" xfId="595"/>
    <cellStyle name="Text 3" xfId="596"/>
    <cellStyle name="Text Head 1" xfId="597"/>
    <cellStyle name="Text Head 2" xfId="598"/>
    <cellStyle name="Text Indent 2" xfId="599"/>
    <cellStyle name="Theirs" xfId="600"/>
    <cellStyle name="Title 2" xfId="601"/>
    <cellStyle name="Title 2 2" xfId="2044"/>
    <cellStyle name="Title 3" xfId="1541"/>
    <cellStyle name="TOC 1" xfId="602"/>
    <cellStyle name="TOC 2" xfId="603"/>
    <cellStyle name="TOC 3" xfId="604"/>
    <cellStyle name="Total 2" xfId="605"/>
    <cellStyle name="Total 2 2" xfId="606"/>
    <cellStyle name="Total 2 2 2" xfId="1542"/>
    <cellStyle name="Total 2 2 3" xfId="2046"/>
    <cellStyle name="Total 2 3" xfId="607"/>
    <cellStyle name="Total 2 3 2" xfId="1543"/>
    <cellStyle name="Total 2 4" xfId="1544"/>
    <cellStyle name="Total 2 5" xfId="1545"/>
    <cellStyle name="Total 2 6" xfId="2045"/>
    <cellStyle name="Total 3" xfId="1546"/>
    <cellStyle name="Total 4" xfId="1547"/>
    <cellStyle name="Total 5" xfId="1548"/>
    <cellStyle name="Total 6" xfId="1549"/>
    <cellStyle name="Warning Text 2" xfId="608"/>
    <cellStyle name="Warning Text 2 2" xfId="1550"/>
    <cellStyle name="Warning Text 2 2 2" xfId="2048"/>
    <cellStyle name="Warning Text 2 3" xfId="2047"/>
    <cellStyle name="Warning Text 3" xfId="1551"/>
    <cellStyle name="year" xfId="609"/>
    <cellStyle name="year 2" xfId="610"/>
    <cellStyle name="year_29(d) - Gas extensions -tariffs" xfId="611"/>
  </cellStyles>
  <dxfs count="13">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0000FF"/>
      <color rgb="FFFFFFFF"/>
      <color rgb="FFFFFFCC"/>
      <color rgb="FFFFFF99"/>
      <color rgb="FFFF00FF"/>
      <color rgb="FFCCFFFF"/>
      <color rgb="FF00FFFF"/>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512381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5035550"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wmf"/><Relationship Id="rId50" Type="http://schemas.openxmlformats.org/officeDocument/2006/relationships/oleObject" Target="../embeddings/oleObject24.bin"/><Relationship Id="rId55" Type="http://schemas.openxmlformats.org/officeDocument/2006/relationships/oleObject" Target="../embeddings/oleObject27.bin"/><Relationship Id="rId63" Type="http://schemas.openxmlformats.org/officeDocument/2006/relationships/oleObject" Target="../embeddings/oleObject31.bin"/><Relationship Id="rId68" Type="http://schemas.openxmlformats.org/officeDocument/2006/relationships/image" Target="../media/image31.wmf"/><Relationship Id="rId76" Type="http://schemas.openxmlformats.org/officeDocument/2006/relationships/oleObject" Target="../embeddings/oleObject40.bin"/><Relationship Id="rId84" Type="http://schemas.openxmlformats.org/officeDocument/2006/relationships/oleObject" Target="../embeddings/oleObject45.bin"/><Relationship Id="rId89" Type="http://schemas.openxmlformats.org/officeDocument/2006/relationships/oleObject" Target="../embeddings/oleObject48.bin"/><Relationship Id="rId97" Type="http://schemas.openxmlformats.org/officeDocument/2006/relationships/oleObject" Target="../embeddings/oleObject52.bin"/><Relationship Id="rId7" Type="http://schemas.openxmlformats.org/officeDocument/2006/relationships/image" Target="../media/image2.wmf"/><Relationship Id="rId71" Type="http://schemas.openxmlformats.org/officeDocument/2006/relationships/oleObject" Target="../embeddings/oleObject36.bin"/><Relationship Id="rId92" Type="http://schemas.openxmlformats.org/officeDocument/2006/relationships/image" Target="../media/image40.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w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wmf"/><Relationship Id="rId53" Type="http://schemas.openxmlformats.org/officeDocument/2006/relationships/oleObject" Target="../embeddings/oleObject26.bin"/><Relationship Id="rId58" Type="http://schemas.openxmlformats.org/officeDocument/2006/relationships/image" Target="../media/image27.wmf"/><Relationship Id="rId66" Type="http://schemas.openxmlformats.org/officeDocument/2006/relationships/oleObject" Target="../embeddings/oleObject33.bin"/><Relationship Id="rId74" Type="http://schemas.openxmlformats.org/officeDocument/2006/relationships/image" Target="../media/image33.wmf"/><Relationship Id="rId79" Type="http://schemas.openxmlformats.org/officeDocument/2006/relationships/oleObject" Target="../embeddings/oleObject42.bin"/><Relationship Id="rId87" Type="http://schemas.openxmlformats.org/officeDocument/2006/relationships/oleObject" Target="../embeddings/oleObject47.bin"/><Relationship Id="rId5" Type="http://schemas.openxmlformats.org/officeDocument/2006/relationships/image" Target="../media/image1.wmf"/><Relationship Id="rId61" Type="http://schemas.openxmlformats.org/officeDocument/2006/relationships/oleObject" Target="../embeddings/oleObject30.bin"/><Relationship Id="rId82" Type="http://schemas.openxmlformats.org/officeDocument/2006/relationships/image" Target="../media/image36.wmf"/><Relationship Id="rId90" Type="http://schemas.openxmlformats.org/officeDocument/2006/relationships/image" Target="../media/image39.wmf"/><Relationship Id="rId95" Type="http://schemas.openxmlformats.org/officeDocument/2006/relationships/oleObject" Target="../embeddings/oleObject51.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23.bin"/><Relationship Id="rId56" Type="http://schemas.openxmlformats.org/officeDocument/2006/relationships/image" Target="../media/image26.wmf"/><Relationship Id="rId64" Type="http://schemas.openxmlformats.org/officeDocument/2006/relationships/image" Target="../media/image30.wmf"/><Relationship Id="rId69" Type="http://schemas.openxmlformats.org/officeDocument/2006/relationships/oleObject" Target="../embeddings/oleObject35.bin"/><Relationship Id="rId77" Type="http://schemas.openxmlformats.org/officeDocument/2006/relationships/oleObject" Target="../embeddings/oleObject4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7.bin"/><Relationship Id="rId80" Type="http://schemas.openxmlformats.org/officeDocument/2006/relationships/image" Target="../media/image35.wmf"/><Relationship Id="rId85" Type="http://schemas.openxmlformats.org/officeDocument/2006/relationships/oleObject" Target="../embeddings/oleObject46.bin"/><Relationship Id="rId93" Type="http://schemas.openxmlformats.org/officeDocument/2006/relationships/oleObject" Target="../embeddings/oleObject50.bin"/><Relationship Id="rId98" Type="http://schemas.openxmlformats.org/officeDocument/2006/relationships/image" Target="../media/image43.w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oleObject" Target="../embeddings/oleObject29.bin"/><Relationship Id="rId67" Type="http://schemas.openxmlformats.org/officeDocument/2006/relationships/oleObject" Target="../embeddings/oleObject34.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image" Target="../media/image25.wmf"/><Relationship Id="rId62" Type="http://schemas.openxmlformats.org/officeDocument/2006/relationships/image" Target="../media/image29.wmf"/><Relationship Id="rId70" Type="http://schemas.openxmlformats.org/officeDocument/2006/relationships/image" Target="../media/image32.wmf"/><Relationship Id="rId75" Type="http://schemas.openxmlformats.org/officeDocument/2006/relationships/oleObject" Target="../embeddings/oleObject39.bin"/><Relationship Id="rId83" Type="http://schemas.openxmlformats.org/officeDocument/2006/relationships/oleObject" Target="../embeddings/oleObject44.bin"/><Relationship Id="rId88" Type="http://schemas.openxmlformats.org/officeDocument/2006/relationships/image" Target="../media/image38.wmf"/><Relationship Id="rId91" Type="http://schemas.openxmlformats.org/officeDocument/2006/relationships/oleObject" Target="../embeddings/oleObject49.bin"/><Relationship Id="rId96" Type="http://schemas.openxmlformats.org/officeDocument/2006/relationships/image" Target="../media/image42.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wmf"/><Relationship Id="rId57" Type="http://schemas.openxmlformats.org/officeDocument/2006/relationships/oleObject" Target="../embeddings/oleObject28.bin"/><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image" Target="../media/image28.wmf"/><Relationship Id="rId65" Type="http://schemas.openxmlformats.org/officeDocument/2006/relationships/oleObject" Target="../embeddings/oleObject32.bin"/><Relationship Id="rId73" Type="http://schemas.openxmlformats.org/officeDocument/2006/relationships/oleObject" Target="../embeddings/oleObject38.bin"/><Relationship Id="rId78" Type="http://schemas.openxmlformats.org/officeDocument/2006/relationships/image" Target="../media/image34.wmf"/><Relationship Id="rId81" Type="http://schemas.openxmlformats.org/officeDocument/2006/relationships/oleObject" Target="../embeddings/oleObject43.bin"/><Relationship Id="rId86" Type="http://schemas.openxmlformats.org/officeDocument/2006/relationships/image" Target="../media/image37.wmf"/><Relationship Id="rId94" Type="http://schemas.openxmlformats.org/officeDocument/2006/relationships/image" Target="../media/image41.wmf"/><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w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D32"/>
  <sheetViews>
    <sheetView zoomScale="90" zoomScaleNormal="90" workbookViewId="0">
      <selection activeCell="A2" sqref="A2"/>
    </sheetView>
  </sheetViews>
  <sheetFormatPr defaultRowHeight="12.75"/>
  <cols>
    <col min="2" max="2" width="33.140625" customWidth="1"/>
    <col min="3" max="3" width="46.140625" customWidth="1"/>
    <col min="4" max="4" width="44.42578125" customWidth="1"/>
  </cols>
  <sheetData>
    <row r="2" spans="1:4" ht="15">
      <c r="A2" s="726" t="s">
        <v>665</v>
      </c>
      <c r="B2" s="727"/>
      <c r="C2" s="727"/>
    </row>
    <row r="4" spans="1:4">
      <c r="A4" s="728" t="s">
        <v>666</v>
      </c>
      <c r="B4" s="729" t="s">
        <v>667</v>
      </c>
      <c r="C4" s="729" t="s">
        <v>668</v>
      </c>
      <c r="D4" s="729" t="s">
        <v>669</v>
      </c>
    </row>
    <row r="5" spans="1:4">
      <c r="A5" s="730">
        <v>1</v>
      </c>
      <c r="B5" s="731" t="s">
        <v>670</v>
      </c>
      <c r="C5" s="732" t="s">
        <v>418</v>
      </c>
      <c r="D5" t="s">
        <v>775</v>
      </c>
    </row>
    <row r="6" spans="1:4">
      <c r="A6" s="733"/>
      <c r="C6" s="732"/>
    </row>
    <row r="7" spans="1:4">
      <c r="A7" s="730">
        <f>A5+1</f>
        <v>2</v>
      </c>
      <c r="B7" s="731" t="s">
        <v>671</v>
      </c>
      <c r="C7" s="732" t="s">
        <v>672</v>
      </c>
      <c r="D7" t="s">
        <v>775</v>
      </c>
    </row>
    <row r="8" spans="1:4">
      <c r="A8" s="733"/>
      <c r="C8" s="732"/>
    </row>
    <row r="9" spans="1:4">
      <c r="A9" s="730">
        <f>A7+1</f>
        <v>3</v>
      </c>
      <c r="B9" s="731" t="s">
        <v>673</v>
      </c>
      <c r="C9" s="732" t="s">
        <v>674</v>
      </c>
      <c r="D9" t="s">
        <v>775</v>
      </c>
    </row>
    <row r="10" spans="1:4">
      <c r="C10" s="732"/>
    </row>
    <row r="11" spans="1:4">
      <c r="A11" s="730">
        <f>A9+1</f>
        <v>4</v>
      </c>
      <c r="B11" s="731" t="s">
        <v>675</v>
      </c>
      <c r="C11" s="732" t="s">
        <v>694</v>
      </c>
      <c r="D11" t="s">
        <v>776</v>
      </c>
    </row>
    <row r="12" spans="1:4">
      <c r="A12" s="733"/>
      <c r="C12" s="732"/>
    </row>
    <row r="13" spans="1:4">
      <c r="A13" s="730">
        <f>A11+1</f>
        <v>5</v>
      </c>
      <c r="B13" s="731" t="s">
        <v>676</v>
      </c>
      <c r="C13" s="732" t="s">
        <v>695</v>
      </c>
      <c r="D13" t="s">
        <v>775</v>
      </c>
    </row>
    <row r="14" spans="1:4">
      <c r="A14" s="733"/>
      <c r="C14" s="732"/>
    </row>
    <row r="15" spans="1:4">
      <c r="A15" s="730">
        <f>A13+1</f>
        <v>6</v>
      </c>
      <c r="B15" s="731" t="s">
        <v>677</v>
      </c>
      <c r="C15" s="732" t="s">
        <v>696</v>
      </c>
      <c r="D15" t="s">
        <v>777</v>
      </c>
    </row>
    <row r="16" spans="1:4">
      <c r="A16" s="733"/>
    </row>
    <row r="17" spans="1:4" ht="15">
      <c r="A17" s="730">
        <f>A15+1</f>
        <v>7</v>
      </c>
      <c r="B17" s="734" t="s">
        <v>678</v>
      </c>
      <c r="D17" s="674" t="s">
        <v>679</v>
      </c>
    </row>
    <row r="18" spans="1:4">
      <c r="A18" s="733"/>
      <c r="B18" t="s">
        <v>680</v>
      </c>
      <c r="C18" t="s">
        <v>697</v>
      </c>
    </row>
    <row r="19" spans="1:4">
      <c r="A19" s="730"/>
      <c r="B19" s="731" t="s">
        <v>681</v>
      </c>
      <c r="C19" t="s">
        <v>698</v>
      </c>
    </row>
    <row r="20" spans="1:4">
      <c r="A20" s="733"/>
      <c r="B20" t="s">
        <v>682</v>
      </c>
      <c r="C20" t="s">
        <v>699</v>
      </c>
    </row>
    <row r="21" spans="1:4">
      <c r="A21" s="730"/>
      <c r="B21" s="731"/>
    </row>
    <row r="22" spans="1:4">
      <c r="A22" s="733"/>
      <c r="B22" t="s">
        <v>683</v>
      </c>
      <c r="C22" t="s">
        <v>700</v>
      </c>
    </row>
    <row r="23" spans="1:4">
      <c r="A23" s="730"/>
      <c r="B23" s="731" t="s">
        <v>684</v>
      </c>
      <c r="C23" t="s">
        <v>701</v>
      </c>
    </row>
    <row r="24" spans="1:4">
      <c r="A24" s="733"/>
      <c r="B24" t="s">
        <v>685</v>
      </c>
      <c r="C24" t="s">
        <v>702</v>
      </c>
    </row>
    <row r="25" spans="1:4">
      <c r="A25" s="730"/>
      <c r="B25" s="731"/>
    </row>
    <row r="26" spans="1:4">
      <c r="A26" s="733"/>
      <c r="B26" t="s">
        <v>686</v>
      </c>
      <c r="C26" t="s">
        <v>703</v>
      </c>
    </row>
    <row r="27" spans="1:4">
      <c r="A27" s="730"/>
      <c r="B27" s="731" t="s">
        <v>687</v>
      </c>
      <c r="C27" t="s">
        <v>306</v>
      </c>
    </row>
    <row r="28" spans="1:4">
      <c r="A28" s="733"/>
      <c r="B28" s="731" t="s">
        <v>688</v>
      </c>
      <c r="C28" t="s">
        <v>689</v>
      </c>
    </row>
    <row r="29" spans="1:4">
      <c r="A29" s="730"/>
      <c r="B29" s="731"/>
    </row>
    <row r="30" spans="1:4">
      <c r="A30" s="730"/>
      <c r="B30" t="s">
        <v>690</v>
      </c>
      <c r="C30" t="s">
        <v>704</v>
      </c>
    </row>
    <row r="31" spans="1:4">
      <c r="A31" s="730"/>
      <c r="B31" s="731" t="s">
        <v>691</v>
      </c>
      <c r="C31" t="s">
        <v>344</v>
      </c>
    </row>
    <row r="32" spans="1:4">
      <c r="B32" s="731" t="s">
        <v>692</v>
      </c>
      <c r="C32" t="s">
        <v>693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cols>
    <col min="1" max="1" width="5.85546875" style="156" customWidth="1"/>
    <col min="2" max="2" width="9.140625" style="156" customWidth="1"/>
    <col min="3" max="7" width="9.140625" style="156"/>
    <col min="8" max="8" width="44.5703125" style="156" customWidth="1"/>
    <col min="9" max="16384" width="9.140625" style="156"/>
  </cols>
  <sheetData>
    <row r="2" spans="2:8" ht="15.75">
      <c r="B2" s="91" t="s">
        <v>213</v>
      </c>
      <c r="G2" s="579"/>
    </row>
    <row r="3" spans="2:8" ht="15.75">
      <c r="B3" s="1" t="s">
        <v>0</v>
      </c>
    </row>
    <row r="4" spans="2:8" ht="36" customHeight="1">
      <c r="B4" s="2" t="s">
        <v>400</v>
      </c>
      <c r="H4" s="3" t="s">
        <v>1</v>
      </c>
    </row>
    <row r="5" spans="2:8" ht="30" customHeight="1">
      <c r="B5" s="2" t="s">
        <v>401</v>
      </c>
      <c r="H5" s="3" t="s">
        <v>2</v>
      </c>
    </row>
    <row r="6" spans="2:8" ht="24" customHeight="1">
      <c r="B6" s="2" t="s">
        <v>402</v>
      </c>
      <c r="H6" s="3" t="s">
        <v>3</v>
      </c>
    </row>
    <row r="7" spans="2:8" ht="27" customHeight="1">
      <c r="B7" s="2" t="s">
        <v>403</v>
      </c>
      <c r="H7" s="3" t="s">
        <v>4</v>
      </c>
    </row>
    <row r="9" spans="2:8" ht="14.25">
      <c r="B9" s="4" t="s">
        <v>5</v>
      </c>
    </row>
    <row r="10" spans="2:8" ht="14.25">
      <c r="C10" s="4" t="s">
        <v>6</v>
      </c>
    </row>
    <row r="11" spans="2:8" ht="14.25">
      <c r="D11" s="4" t="s">
        <v>7</v>
      </c>
    </row>
    <row r="12" spans="2:8" ht="14.25">
      <c r="D12" s="4" t="s">
        <v>8</v>
      </c>
    </row>
    <row r="13" spans="2:8" ht="14.25">
      <c r="B13" s="4" t="s">
        <v>9</v>
      </c>
      <c r="C13" s="4" t="s">
        <v>10</v>
      </c>
    </row>
    <row r="14" spans="2:8" ht="14.25">
      <c r="B14" s="4" t="s">
        <v>9</v>
      </c>
      <c r="D14" s="4" t="s">
        <v>11</v>
      </c>
    </row>
    <row r="15" spans="2:8" ht="14.25">
      <c r="D15" s="4" t="s">
        <v>12</v>
      </c>
    </row>
    <row r="16" spans="2:8" ht="14.25">
      <c r="B16" s="3" t="s">
        <v>404</v>
      </c>
    </row>
    <row r="17" spans="2:4" ht="14.25">
      <c r="D17" s="4" t="s">
        <v>12</v>
      </c>
    </row>
    <row r="18" spans="2:4" ht="14.25">
      <c r="B18" s="3" t="s">
        <v>405</v>
      </c>
    </row>
    <row r="19" spans="2:4">
      <c r="B19"/>
    </row>
    <row r="20" spans="2:4" ht="14.25">
      <c r="B20" s="5" t="s">
        <v>13</v>
      </c>
    </row>
    <row r="21" spans="2:4" ht="14.25">
      <c r="C21" s="5" t="s">
        <v>377</v>
      </c>
    </row>
    <row r="22" spans="2:4" ht="14.25">
      <c r="C22" s="7" t="s">
        <v>431</v>
      </c>
    </row>
    <row r="23" spans="2:4">
      <c r="C23"/>
    </row>
    <row r="24" spans="2:4" ht="14.25">
      <c r="C24" s="5"/>
    </row>
    <row r="25" spans="2:4" ht="14.25">
      <c r="B25" s="3" t="s">
        <v>406</v>
      </c>
    </row>
    <row r="26" spans="2:4" ht="14.25">
      <c r="B26" s="3" t="s">
        <v>407</v>
      </c>
    </row>
    <row r="27" spans="2:4">
      <c r="C27" s="580" t="s">
        <v>432</v>
      </c>
    </row>
    <row r="28" spans="2:4" ht="14.25">
      <c r="B28" s="4" t="s">
        <v>9</v>
      </c>
      <c r="C28" s="580" t="s">
        <v>433</v>
      </c>
    </row>
    <row r="29" spans="2:4">
      <c r="C29" s="580" t="s">
        <v>434</v>
      </c>
    </row>
    <row r="30" spans="2:4" ht="14.25">
      <c r="B30" s="7" t="s">
        <v>14</v>
      </c>
    </row>
    <row r="31" spans="2:4" ht="14.25">
      <c r="B31" s="7" t="s">
        <v>15</v>
      </c>
    </row>
    <row r="32" spans="2:4" ht="14.25">
      <c r="B32" s="7" t="s">
        <v>16</v>
      </c>
    </row>
    <row r="33" spans="2:3" ht="14.25">
      <c r="B33" s="7" t="s">
        <v>17</v>
      </c>
    </row>
    <row r="34" spans="2:3" ht="14.25">
      <c r="B34" s="4" t="s">
        <v>18</v>
      </c>
    </row>
    <row r="35" spans="2:3" ht="14.25">
      <c r="B35" s="395" t="s">
        <v>9</v>
      </c>
      <c r="C35" s="4" t="s">
        <v>19</v>
      </c>
    </row>
    <row r="36" spans="2:3" ht="14.25">
      <c r="B36" s="4"/>
      <c r="C36" s="4"/>
    </row>
    <row r="37" spans="2:3" ht="14.25">
      <c r="B37" s="4"/>
      <c r="C37" s="4"/>
    </row>
    <row r="38" spans="2:3" ht="14.25">
      <c r="B38" s="581" t="s">
        <v>435</v>
      </c>
      <c r="C38" s="582" t="s">
        <v>31</v>
      </c>
    </row>
    <row r="39" spans="2:3" ht="15.75">
      <c r="B39" s="581" t="s">
        <v>436</v>
      </c>
      <c r="C39" s="582" t="s">
        <v>437</v>
      </c>
    </row>
    <row r="40" spans="2:3" ht="14.25">
      <c r="B40" s="583" t="s">
        <v>438</v>
      </c>
      <c r="C40" s="580" t="s">
        <v>439</v>
      </c>
    </row>
    <row r="41" spans="2:3" ht="14.25">
      <c r="B41" s="4"/>
      <c r="C41" s="4"/>
    </row>
    <row r="42" spans="2:3" ht="14.25">
      <c r="B42" s="4"/>
      <c r="C42" s="4"/>
    </row>
    <row r="43" spans="2:3" ht="14.25">
      <c r="B43" s="4"/>
      <c r="C43" s="4"/>
    </row>
    <row r="44" spans="2:3" ht="15.75">
      <c r="B44" s="1" t="s">
        <v>440</v>
      </c>
    </row>
    <row r="45" spans="2:3" ht="15.75">
      <c r="B45" s="1"/>
    </row>
    <row r="46" spans="2:3" ht="15.75">
      <c r="B46" s="1"/>
    </row>
    <row r="47" spans="2:3" ht="15.75">
      <c r="B47" s="1"/>
    </row>
    <row r="48" spans="2:3" ht="15.75">
      <c r="B48" s="1"/>
    </row>
    <row r="50" spans="2:4" ht="14.25">
      <c r="C50" s="4" t="s">
        <v>20</v>
      </c>
    </row>
    <row r="51" spans="2:4" ht="14.25">
      <c r="D51" s="6" t="s">
        <v>21</v>
      </c>
    </row>
    <row r="52" spans="2:4" ht="14.25">
      <c r="C52" s="6" t="s">
        <v>22</v>
      </c>
    </row>
    <row r="53" spans="2:4" ht="14.25">
      <c r="D53" s="6" t="s">
        <v>23</v>
      </c>
    </row>
    <row r="54" spans="2:4">
      <c r="C54" s="156" t="s">
        <v>24</v>
      </c>
    </row>
    <row r="55" spans="2:4" ht="14.25">
      <c r="C55" s="7" t="s">
        <v>441</v>
      </c>
    </row>
    <row r="56" spans="2:4" ht="14.25">
      <c r="C56" s="7" t="s">
        <v>15</v>
      </c>
    </row>
    <row r="57" spans="2:4" ht="14.25">
      <c r="C57" s="7" t="s">
        <v>16</v>
      </c>
    </row>
    <row r="58" spans="2:4" ht="14.25">
      <c r="C58" s="7" t="s">
        <v>17</v>
      </c>
    </row>
    <row r="59" spans="2:4" ht="14.25">
      <c r="B59" s="4" t="s">
        <v>18</v>
      </c>
    </row>
    <row r="60" spans="2:4" ht="14.25">
      <c r="D60" s="6" t="s">
        <v>25</v>
      </c>
    </row>
    <row r="61" spans="2:4" ht="14.25">
      <c r="B61" s="4" t="s">
        <v>9</v>
      </c>
      <c r="C61" s="156" t="s">
        <v>26</v>
      </c>
    </row>
    <row r="62" spans="2:4" ht="14.25">
      <c r="D62" s="4" t="s">
        <v>27</v>
      </c>
    </row>
    <row r="63" spans="2:4" ht="14.25">
      <c r="D63" s="4" t="s">
        <v>28</v>
      </c>
    </row>
    <row r="64" spans="2:4" ht="14.25">
      <c r="D64" s="4" t="s">
        <v>29</v>
      </c>
    </row>
    <row r="65" spans="2:4" ht="14.25">
      <c r="B65" s="3" t="s">
        <v>405</v>
      </c>
    </row>
    <row r="66" spans="2:4">
      <c r="B66"/>
    </row>
    <row r="67" spans="2:4" ht="14.25">
      <c r="B67" s="5" t="s">
        <v>13</v>
      </c>
    </row>
    <row r="68" spans="2:4" ht="14.25">
      <c r="B68" s="5" t="s">
        <v>378</v>
      </c>
    </row>
    <row r="69" spans="2:4" ht="14.25">
      <c r="B69" s="541" t="s">
        <v>9</v>
      </c>
      <c r="C69" s="7" t="s">
        <v>442</v>
      </c>
    </row>
    <row r="70" spans="2:4" ht="14.25">
      <c r="C70" s="5"/>
    </row>
    <row r="71" spans="2:4" ht="14.25">
      <c r="C71" s="5"/>
    </row>
    <row r="72" spans="2:4" ht="14.25">
      <c r="B72" s="7" t="s">
        <v>443</v>
      </c>
      <c r="C72" s="5"/>
      <c r="D72"/>
    </row>
    <row r="73" spans="2:4" ht="14.25">
      <c r="B73" s="7" t="s">
        <v>444</v>
      </c>
    </row>
    <row r="74" spans="2:4" ht="14.25">
      <c r="B74" s="3" t="s">
        <v>407</v>
      </c>
    </row>
    <row r="75" spans="2:4" ht="14.25">
      <c r="B75" s="4" t="s">
        <v>30</v>
      </c>
    </row>
    <row r="77" spans="2:4" ht="14.25">
      <c r="B77" s="584" t="s">
        <v>445</v>
      </c>
      <c r="C77" s="582" t="s">
        <v>446</v>
      </c>
    </row>
    <row r="78" spans="2:4" ht="14.25">
      <c r="B78" s="584" t="s">
        <v>447</v>
      </c>
      <c r="C78" s="582" t="s">
        <v>32</v>
      </c>
    </row>
    <row r="81" spans="2:11">
      <c r="B81" s="8"/>
    </row>
    <row r="83" spans="2:11" ht="15.75">
      <c r="H83" s="1" t="s">
        <v>448</v>
      </c>
      <c r="I83" s="1" t="s">
        <v>449</v>
      </c>
      <c r="J83"/>
      <c r="K83"/>
    </row>
    <row r="84" spans="2:11">
      <c r="H84" s="801"/>
      <c r="I84" s="10" t="s">
        <v>33</v>
      </c>
      <c r="J84" s="10" t="s">
        <v>450</v>
      </c>
      <c r="K84" s="10" t="s">
        <v>35</v>
      </c>
    </row>
    <row r="85" spans="2:11">
      <c r="H85" s="801"/>
      <c r="I85" s="10" t="s">
        <v>34</v>
      </c>
      <c r="J85" s="10" t="s">
        <v>451</v>
      </c>
      <c r="K85" s="10" t="s">
        <v>36</v>
      </c>
    </row>
    <row r="86" spans="2:11">
      <c r="H86" s="11" t="s">
        <v>37</v>
      </c>
      <c r="I86" s="12" t="s">
        <v>38</v>
      </c>
      <c r="J86" s="12" t="s">
        <v>452</v>
      </c>
      <c r="K86" s="12" t="s">
        <v>453</v>
      </c>
    </row>
    <row r="87" spans="2:11">
      <c r="H87" s="13" t="s">
        <v>39</v>
      </c>
      <c r="I87" s="14" t="s">
        <v>40</v>
      </c>
      <c r="J87" s="14" t="s">
        <v>454</v>
      </c>
      <c r="K87" s="14" t="s">
        <v>455</v>
      </c>
    </row>
    <row r="88" spans="2:11">
      <c r="H88" s="15" t="s">
        <v>456</v>
      </c>
      <c r="I88" s="16" t="s">
        <v>457</v>
      </c>
      <c r="J88" s="16" t="s">
        <v>458</v>
      </c>
      <c r="K88" s="16" t="s">
        <v>41</v>
      </c>
    </row>
    <row r="89" spans="2:11">
      <c r="H89" s="17" t="s">
        <v>459</v>
      </c>
      <c r="I89" s="18" t="s">
        <v>42</v>
      </c>
      <c r="J89" s="18">
        <v>10</v>
      </c>
      <c r="K89" s="18">
        <v>14</v>
      </c>
    </row>
    <row r="90" spans="2:11">
      <c r="H90" s="15" t="s">
        <v>460</v>
      </c>
      <c r="I90" s="16">
        <v>1013</v>
      </c>
      <c r="J90" s="16">
        <v>0</v>
      </c>
      <c r="K90" s="16">
        <v>0</v>
      </c>
    </row>
    <row r="91" spans="2:11">
      <c r="H91" s="17" t="s">
        <v>461</v>
      </c>
      <c r="I91" s="18" t="s">
        <v>462</v>
      </c>
      <c r="J91" s="18">
        <v>24</v>
      </c>
      <c r="K91" s="18">
        <v>22</v>
      </c>
    </row>
    <row r="92" spans="2:11">
      <c r="H92" s="19" t="s">
        <v>43</v>
      </c>
      <c r="I92" s="20">
        <v>25</v>
      </c>
      <c r="J92" s="20">
        <v>24</v>
      </c>
      <c r="K92" s="20">
        <v>22</v>
      </c>
    </row>
    <row r="93" spans="2:11">
      <c r="H93" s="21" t="s">
        <v>44</v>
      </c>
      <c r="I93" s="22">
        <v>1824</v>
      </c>
      <c r="J93" s="22">
        <v>0</v>
      </c>
      <c r="K93" s="22">
        <v>0</v>
      </c>
    </row>
    <row r="94" spans="2:11">
      <c r="H94" s="25"/>
      <c r="I94" s="16"/>
      <c r="J94" s="16"/>
      <c r="K94" s="16"/>
    </row>
    <row r="95" spans="2:11" ht="22.5">
      <c r="H95" s="13" t="s">
        <v>45</v>
      </c>
      <c r="I95" s="14">
        <v>3740</v>
      </c>
      <c r="J95" s="14" t="s">
        <v>463</v>
      </c>
      <c r="K95" s="14" t="s">
        <v>464</v>
      </c>
    </row>
    <row r="96" spans="2:11">
      <c r="H96" s="25"/>
      <c r="I96" s="16"/>
      <c r="J96" s="16"/>
      <c r="K96" s="16"/>
    </row>
    <row r="97" spans="7:11">
      <c r="H97" s="578" t="s">
        <v>46</v>
      </c>
      <c r="I97" s="585"/>
      <c r="J97" s="585"/>
      <c r="K97" s="585"/>
    </row>
    <row r="98" spans="7:11">
      <c r="H98" s="25" t="s">
        <v>465</v>
      </c>
      <c r="I98" s="26">
        <v>0.05</v>
      </c>
      <c r="J98" s="26">
        <v>5.5E-2</v>
      </c>
      <c r="K98" s="26">
        <v>0.06</v>
      </c>
    </row>
    <row r="99" spans="7:11">
      <c r="H99" s="23" t="s">
        <v>47</v>
      </c>
      <c r="I99" s="18">
        <v>1737</v>
      </c>
      <c r="J99" s="18" t="s">
        <v>466</v>
      </c>
      <c r="K99" s="18">
        <v>4778</v>
      </c>
    </row>
    <row r="100" spans="7:11">
      <c r="H100" s="25" t="s">
        <v>467</v>
      </c>
      <c r="I100" s="16">
        <v>87</v>
      </c>
      <c r="J100" s="16">
        <v>311</v>
      </c>
      <c r="K100" s="16">
        <v>287</v>
      </c>
    </row>
    <row r="101" spans="7:11">
      <c r="H101" s="23" t="s">
        <v>48</v>
      </c>
      <c r="I101" s="18">
        <v>3740</v>
      </c>
      <c r="J101" s="18" t="s">
        <v>463</v>
      </c>
      <c r="K101" s="18" t="s">
        <v>464</v>
      </c>
    </row>
    <row r="102" spans="7:11">
      <c r="H102" s="25" t="s">
        <v>468</v>
      </c>
      <c r="I102" s="16">
        <v>92</v>
      </c>
      <c r="J102" s="16" t="s">
        <v>469</v>
      </c>
      <c r="K102" s="16" t="s">
        <v>470</v>
      </c>
    </row>
    <row r="103" spans="7:11" ht="13.5" thickBot="1">
      <c r="H103" s="30" t="s">
        <v>49</v>
      </c>
      <c r="I103" s="31">
        <v>5656</v>
      </c>
      <c r="J103" s="31">
        <v>4778</v>
      </c>
      <c r="K103" s="31" t="s">
        <v>471</v>
      </c>
    </row>
    <row r="104" spans="7:11">
      <c r="G104" s="29" t="s">
        <v>51</v>
      </c>
      <c r="H104" s="156" t="s">
        <v>472</v>
      </c>
      <c r="J104"/>
      <c r="K104"/>
    </row>
    <row r="105" spans="7:11">
      <c r="G105"/>
      <c r="H105" s="156" t="s">
        <v>473</v>
      </c>
      <c r="J105"/>
      <c r="K105"/>
    </row>
    <row r="106" spans="7:11">
      <c r="G106"/>
      <c r="H106" s="156" t="s">
        <v>474</v>
      </c>
      <c r="J106"/>
      <c r="K106"/>
    </row>
    <row r="107" spans="7:11">
      <c r="G107"/>
      <c r="H107" s="580" t="s">
        <v>475</v>
      </c>
      <c r="J107"/>
      <c r="K107"/>
    </row>
    <row r="113" spans="8:11" ht="15.75">
      <c r="H113" s="1" t="s">
        <v>476</v>
      </c>
      <c r="I113" s="1" t="s">
        <v>477</v>
      </c>
      <c r="J113"/>
      <c r="K113"/>
    </row>
    <row r="114" spans="8:11">
      <c r="H114" s="801"/>
      <c r="I114" s="10" t="s">
        <v>33</v>
      </c>
      <c r="J114" s="10" t="s">
        <v>450</v>
      </c>
      <c r="K114" s="10" t="s">
        <v>35</v>
      </c>
    </row>
    <row r="115" spans="8:11">
      <c r="H115" s="801"/>
      <c r="I115" s="10" t="s">
        <v>34</v>
      </c>
      <c r="J115" s="10" t="s">
        <v>451</v>
      </c>
      <c r="K115" s="10" t="s">
        <v>36</v>
      </c>
    </row>
    <row r="116" spans="8:11" ht="22.5">
      <c r="H116" s="11" t="s">
        <v>52</v>
      </c>
      <c r="I116" s="12" t="s">
        <v>53</v>
      </c>
      <c r="J116" s="12" t="s">
        <v>478</v>
      </c>
      <c r="K116" s="12" t="s">
        <v>479</v>
      </c>
    </row>
    <row r="117" spans="8:11">
      <c r="H117" s="13" t="s">
        <v>54</v>
      </c>
      <c r="I117" s="14" t="s">
        <v>480</v>
      </c>
      <c r="J117" s="14" t="s">
        <v>481</v>
      </c>
      <c r="K117" s="14" t="s">
        <v>482</v>
      </c>
    </row>
    <row r="118" spans="8:11">
      <c r="H118" s="15" t="s">
        <v>55</v>
      </c>
      <c r="I118" s="16" t="s">
        <v>483</v>
      </c>
      <c r="J118" s="16" t="s">
        <v>484</v>
      </c>
      <c r="K118" s="16" t="s">
        <v>56</v>
      </c>
    </row>
    <row r="119" spans="8:11">
      <c r="H119" s="17" t="s">
        <v>485</v>
      </c>
      <c r="I119" s="18">
        <v>572</v>
      </c>
      <c r="J119" s="18">
        <v>734</v>
      </c>
      <c r="K119" s="18">
        <v>800</v>
      </c>
    </row>
    <row r="120" spans="8:11">
      <c r="H120" s="15" t="s">
        <v>57</v>
      </c>
      <c r="I120" s="16">
        <v>121</v>
      </c>
      <c r="J120" s="16">
        <v>67</v>
      </c>
      <c r="K120" s="16">
        <v>400</v>
      </c>
    </row>
    <row r="121" spans="8:11">
      <c r="H121" s="23"/>
      <c r="I121" s="18"/>
      <c r="J121" s="18"/>
      <c r="K121" s="18"/>
    </row>
    <row r="122" spans="8:11" ht="22.5">
      <c r="H122" s="11" t="s">
        <v>45</v>
      </c>
      <c r="I122" s="12">
        <v>5712</v>
      </c>
      <c r="J122" s="12" t="s">
        <v>486</v>
      </c>
      <c r="K122" s="12" t="s">
        <v>487</v>
      </c>
    </row>
    <row r="123" spans="8:11">
      <c r="H123" s="23"/>
      <c r="I123" s="18"/>
      <c r="J123" s="18"/>
      <c r="K123" s="18"/>
    </row>
    <row r="124" spans="8:11">
      <c r="H124" s="577" t="s">
        <v>58</v>
      </c>
      <c r="I124" s="586"/>
      <c r="J124" s="586"/>
      <c r="K124" s="586"/>
    </row>
    <row r="125" spans="8:11">
      <c r="H125" s="23" t="s">
        <v>488</v>
      </c>
      <c r="I125" s="24">
        <v>0.05</v>
      </c>
      <c r="J125" s="24">
        <v>5.5E-2</v>
      </c>
      <c r="K125" s="24">
        <v>0.06</v>
      </c>
    </row>
    <row r="126" spans="8:11">
      <c r="H126" s="25" t="s">
        <v>47</v>
      </c>
      <c r="I126" s="16">
        <v>167</v>
      </c>
      <c r="J126" s="16" t="s">
        <v>489</v>
      </c>
      <c r="K126" s="16">
        <v>2467</v>
      </c>
    </row>
    <row r="127" spans="8:11">
      <c r="H127" s="23" t="s">
        <v>467</v>
      </c>
      <c r="I127" s="18">
        <v>8</v>
      </c>
      <c r="J127" s="18">
        <v>332</v>
      </c>
      <c r="K127" s="18">
        <v>148</v>
      </c>
    </row>
    <row r="128" spans="8:11">
      <c r="H128" s="25" t="s">
        <v>48</v>
      </c>
      <c r="I128" s="16">
        <v>5712</v>
      </c>
      <c r="J128" s="16" t="s">
        <v>486</v>
      </c>
      <c r="K128" s="16" t="s">
        <v>487</v>
      </c>
    </row>
    <row r="129" spans="7:11">
      <c r="H129" s="23" t="s">
        <v>468</v>
      </c>
      <c r="I129" s="18">
        <v>141</v>
      </c>
      <c r="J129" s="18" t="s">
        <v>490</v>
      </c>
      <c r="K129" s="18" t="s">
        <v>491</v>
      </c>
    </row>
    <row r="130" spans="7:11" ht="13.5" thickBot="1">
      <c r="H130" s="27" t="s">
        <v>49</v>
      </c>
      <c r="I130" s="28">
        <v>6028</v>
      </c>
      <c r="J130" s="28">
        <v>2467</v>
      </c>
      <c r="K130" s="28" t="s">
        <v>50</v>
      </c>
    </row>
    <row r="131" spans="7:11">
      <c r="G131" s="29" t="s">
        <v>51</v>
      </c>
      <c r="H131" s="156" t="s">
        <v>492</v>
      </c>
      <c r="J131"/>
      <c r="K131"/>
    </row>
    <row r="132" spans="7:11">
      <c r="H132" s="156" t="s">
        <v>493</v>
      </c>
      <c r="J132"/>
      <c r="K132"/>
    </row>
    <row r="133" spans="7:11">
      <c r="H133" s="580" t="s">
        <v>494</v>
      </c>
      <c r="J133"/>
      <c r="K133"/>
    </row>
    <row r="139" spans="7:11" ht="15.75">
      <c r="H139" s="1" t="s">
        <v>495</v>
      </c>
      <c r="I139"/>
      <c r="J139"/>
      <c r="K139"/>
    </row>
    <row r="140" spans="7:11">
      <c r="H140" s="801"/>
      <c r="I140" s="10" t="s">
        <v>33</v>
      </c>
      <c r="J140" s="10" t="s">
        <v>450</v>
      </c>
      <c r="K140" s="10" t="s">
        <v>35</v>
      </c>
    </row>
    <row r="141" spans="7:11">
      <c r="H141" s="801"/>
      <c r="I141" s="10" t="s">
        <v>34</v>
      </c>
      <c r="J141" s="10" t="s">
        <v>451</v>
      </c>
      <c r="K141" s="10" t="s">
        <v>36</v>
      </c>
    </row>
    <row r="142" spans="7:11">
      <c r="H142" s="11" t="s">
        <v>59</v>
      </c>
      <c r="I142" s="12" t="s">
        <v>60</v>
      </c>
      <c r="J142" s="12" t="s">
        <v>496</v>
      </c>
      <c r="K142" s="12" t="s">
        <v>497</v>
      </c>
    </row>
    <row r="143" spans="7:11" ht="22.5">
      <c r="H143" s="13" t="s">
        <v>61</v>
      </c>
      <c r="I143" s="14" t="s">
        <v>498</v>
      </c>
      <c r="J143" s="14" t="s">
        <v>499</v>
      </c>
      <c r="K143" s="14" t="s">
        <v>500</v>
      </c>
    </row>
    <row r="144" spans="7:11">
      <c r="H144" s="15" t="s">
        <v>62</v>
      </c>
      <c r="I144" s="16" t="s">
        <v>63</v>
      </c>
      <c r="J144" s="16" t="s">
        <v>64</v>
      </c>
      <c r="K144" s="16" t="s">
        <v>501</v>
      </c>
    </row>
    <row r="145" spans="7:11">
      <c r="H145" s="17" t="s">
        <v>65</v>
      </c>
      <c r="I145" s="18" t="s">
        <v>66</v>
      </c>
      <c r="J145" s="18">
        <v>7005</v>
      </c>
      <c r="K145" s="18" t="s">
        <v>502</v>
      </c>
    </row>
    <row r="146" spans="7:11">
      <c r="H146" s="25"/>
      <c r="I146" s="16"/>
      <c r="J146" s="16"/>
      <c r="K146" s="16"/>
    </row>
    <row r="147" spans="7:11" ht="22.5">
      <c r="H147" s="13" t="s">
        <v>45</v>
      </c>
      <c r="I147" s="14" t="s">
        <v>503</v>
      </c>
      <c r="J147" s="14">
        <v>2162</v>
      </c>
      <c r="K147" s="14" t="s">
        <v>504</v>
      </c>
    </row>
    <row r="148" spans="7:11">
      <c r="H148" s="25"/>
      <c r="I148" s="16"/>
      <c r="J148" s="16"/>
      <c r="K148" s="16"/>
    </row>
    <row r="149" spans="7:11" ht="21">
      <c r="H149" s="578" t="s">
        <v>67</v>
      </c>
      <c r="I149" s="585"/>
      <c r="J149" s="585"/>
      <c r="K149" s="585"/>
    </row>
    <row r="150" spans="7:11">
      <c r="H150" s="25" t="s">
        <v>488</v>
      </c>
      <c r="I150" s="26">
        <v>0.05</v>
      </c>
      <c r="J150" s="26">
        <v>5.5E-2</v>
      </c>
      <c r="K150" s="26">
        <v>0.06</v>
      </c>
    </row>
    <row r="151" spans="7:11">
      <c r="H151" s="23" t="s">
        <v>47</v>
      </c>
      <c r="I151" s="18" t="s">
        <v>505</v>
      </c>
      <c r="J151" s="18" t="s">
        <v>506</v>
      </c>
      <c r="K151" s="18">
        <v>1628</v>
      </c>
    </row>
    <row r="152" spans="7:11">
      <c r="H152" s="25" t="s">
        <v>467</v>
      </c>
      <c r="I152" s="16" t="s">
        <v>507</v>
      </c>
      <c r="J152" s="16" t="s">
        <v>469</v>
      </c>
      <c r="K152" s="16">
        <v>98</v>
      </c>
    </row>
    <row r="153" spans="7:11">
      <c r="H153" s="23" t="s">
        <v>48</v>
      </c>
      <c r="I153" s="18" t="s">
        <v>503</v>
      </c>
      <c r="J153" s="18">
        <v>2162</v>
      </c>
      <c r="K153" s="18" t="s">
        <v>504</v>
      </c>
    </row>
    <row r="154" spans="7:11">
      <c r="H154" s="25" t="s">
        <v>468</v>
      </c>
      <c r="I154" s="16" t="s">
        <v>42</v>
      </c>
      <c r="J154" s="16">
        <v>59</v>
      </c>
      <c r="K154" s="16" t="s">
        <v>508</v>
      </c>
    </row>
    <row r="155" spans="7:11" ht="13.5" thickBot="1">
      <c r="H155" s="30" t="s">
        <v>49</v>
      </c>
      <c r="I155" s="31" t="s">
        <v>509</v>
      </c>
      <c r="J155" s="31">
        <v>1628</v>
      </c>
      <c r="K155" s="31" t="s">
        <v>50</v>
      </c>
    </row>
    <row r="156" spans="7:11">
      <c r="G156" s="29" t="s">
        <v>51</v>
      </c>
      <c r="H156" s="156" t="s">
        <v>510</v>
      </c>
      <c r="J156"/>
      <c r="K156"/>
    </row>
    <row r="157" spans="7:11">
      <c r="H157" s="156" t="s">
        <v>493</v>
      </c>
      <c r="J157"/>
      <c r="K157"/>
    </row>
    <row r="158" spans="7:11">
      <c r="H158" s="580" t="s">
        <v>511</v>
      </c>
      <c r="J158"/>
      <c r="K158"/>
    </row>
    <row r="166" spans="1:8" ht="15.75">
      <c r="B166" s="91" t="s">
        <v>361</v>
      </c>
    </row>
    <row r="167" spans="1:8" ht="15.75">
      <c r="B167" s="1" t="s">
        <v>362</v>
      </c>
      <c r="C167" s="1" t="s">
        <v>363</v>
      </c>
    </row>
    <row r="168" spans="1:8" ht="41.25" customHeight="1">
      <c r="A168" s="2" t="s">
        <v>400</v>
      </c>
      <c r="B168" s="1"/>
      <c r="C168" s="1"/>
      <c r="H168" s="3" t="s">
        <v>1</v>
      </c>
    </row>
    <row r="170" spans="1:8" ht="27.75" customHeight="1">
      <c r="A170" s="2" t="s">
        <v>401</v>
      </c>
      <c r="H170" s="3" t="s">
        <v>2</v>
      </c>
    </row>
    <row r="172" spans="1:8" ht="27" customHeight="1">
      <c r="A172" s="2" t="s">
        <v>402</v>
      </c>
      <c r="H172" s="3" t="s">
        <v>2</v>
      </c>
    </row>
    <row r="175" spans="1:8" ht="14.25">
      <c r="B175" s="6" t="s">
        <v>5</v>
      </c>
    </row>
    <row r="176" spans="1:8" ht="14.25">
      <c r="B176" s="4" t="s">
        <v>9</v>
      </c>
      <c r="C176" s="4" t="s">
        <v>364</v>
      </c>
    </row>
    <row r="177" spans="2:5" ht="25.5" customHeight="1">
      <c r="E177" s="4" t="s">
        <v>365</v>
      </c>
    </row>
    <row r="178" spans="2:5" ht="24.75" customHeight="1">
      <c r="E178" s="4" t="s">
        <v>366</v>
      </c>
    </row>
    <row r="179" spans="2:5" ht="18" customHeight="1">
      <c r="D179" s="4" t="s">
        <v>367</v>
      </c>
    </row>
    <row r="180" spans="2:5" ht="21.75" customHeight="1">
      <c r="D180" s="4" t="s">
        <v>368</v>
      </c>
    </row>
    <row r="181" spans="2:5" ht="18" customHeight="1">
      <c r="E181" s="4" t="s">
        <v>369</v>
      </c>
    </row>
    <row r="182" spans="2:5" ht="16.5" customHeight="1">
      <c r="E182" s="4" t="s">
        <v>512</v>
      </c>
    </row>
    <row r="184" spans="2:5" ht="22.5" customHeight="1">
      <c r="D184" s="4" t="s">
        <v>370</v>
      </c>
    </row>
    <row r="185" spans="2:5" ht="19.5" customHeight="1">
      <c r="B185" s="4" t="s">
        <v>9</v>
      </c>
      <c r="C185" s="580" t="s">
        <v>513</v>
      </c>
    </row>
    <row r="186" spans="2:5" ht="14.25">
      <c r="B186" s="4" t="s">
        <v>14</v>
      </c>
    </row>
    <row r="187" spans="2:5" ht="14.25">
      <c r="B187" s="4" t="s">
        <v>15</v>
      </c>
    </row>
    <row r="188" spans="2:5" ht="14.25">
      <c r="B188" s="4" t="s">
        <v>16</v>
      </c>
    </row>
    <row r="189" spans="2:5" ht="14.25">
      <c r="B189" s="4" t="s">
        <v>17</v>
      </c>
    </row>
    <row r="190" spans="2:5" ht="14.25">
      <c r="B190" s="4" t="s">
        <v>18</v>
      </c>
    </row>
    <row r="191" spans="2:5" ht="14.25">
      <c r="B191" s="4" t="s">
        <v>9</v>
      </c>
      <c r="D191" s="4" t="s">
        <v>371</v>
      </c>
    </row>
    <row r="193" spans="2:5">
      <c r="B193" s="8"/>
    </row>
    <row r="194" spans="2:5" ht="14.25">
      <c r="B194" s="587" t="s">
        <v>514</v>
      </c>
      <c r="C194" s="580" t="s">
        <v>439</v>
      </c>
    </row>
    <row r="199" spans="2:5" ht="15.75">
      <c r="B199" s="1" t="s">
        <v>372</v>
      </c>
    </row>
    <row r="201" spans="2:5" ht="14.25">
      <c r="B201" s="4" t="s">
        <v>13</v>
      </c>
    </row>
    <row r="202" spans="2:5" ht="14.25">
      <c r="E202" s="4" t="s">
        <v>373</v>
      </c>
    </row>
    <row r="203" spans="2:5" ht="14.25">
      <c r="D203" s="4" t="s">
        <v>374</v>
      </c>
    </row>
    <row r="204" spans="2:5" ht="14.25">
      <c r="B204" s="4" t="s">
        <v>9</v>
      </c>
      <c r="C204" s="580" t="s">
        <v>515</v>
      </c>
    </row>
    <row r="205" spans="2:5" ht="14.25">
      <c r="B205" s="4" t="s">
        <v>516</v>
      </c>
    </row>
    <row r="206" spans="2:5" ht="14.25">
      <c r="B206" s="4" t="s">
        <v>15</v>
      </c>
    </row>
    <row r="207" spans="2:5" ht="14.25">
      <c r="B207" s="4" t="s">
        <v>16</v>
      </c>
    </row>
    <row r="208" spans="2:5" ht="14.25">
      <c r="B208" s="4" t="s">
        <v>17</v>
      </c>
    </row>
    <row r="209" spans="2:11" ht="14.25">
      <c r="B209" s="4" t="s">
        <v>18</v>
      </c>
    </row>
    <row r="210" spans="2:11" ht="14.25">
      <c r="B210" s="4" t="s">
        <v>9</v>
      </c>
      <c r="D210" s="4" t="s">
        <v>371</v>
      </c>
    </row>
    <row r="211" spans="2:11" ht="14.25">
      <c r="E211" s="4" t="s">
        <v>375</v>
      </c>
    </row>
    <row r="212" spans="2:11" ht="14.25">
      <c r="E212" s="4" t="s">
        <v>517</v>
      </c>
    </row>
    <row r="213" spans="2:11" ht="14.25">
      <c r="B213" s="4" t="s">
        <v>376</v>
      </c>
    </row>
    <row r="215" spans="2:11" ht="14.25">
      <c r="B215" s="584" t="s">
        <v>518</v>
      </c>
      <c r="C215" s="582" t="s">
        <v>32</v>
      </c>
    </row>
    <row r="216" spans="2:11">
      <c r="C216" s="9"/>
    </row>
    <row r="220" spans="2:11" ht="15.75">
      <c r="H220" s="1" t="s">
        <v>519</v>
      </c>
      <c r="I220" s="1" t="s">
        <v>520</v>
      </c>
      <c r="J220"/>
      <c r="K220"/>
    </row>
    <row r="221" spans="2:11">
      <c r="H221" s="801"/>
      <c r="I221" s="10" t="s">
        <v>33</v>
      </c>
      <c r="J221" s="10" t="s">
        <v>450</v>
      </c>
      <c r="K221" s="10" t="s">
        <v>35</v>
      </c>
    </row>
    <row r="222" spans="2:11">
      <c r="H222" s="801"/>
      <c r="I222" s="10" t="s">
        <v>34</v>
      </c>
      <c r="J222" s="10" t="s">
        <v>451</v>
      </c>
      <c r="K222" s="10" t="s">
        <v>36</v>
      </c>
    </row>
    <row r="223" spans="2:11">
      <c r="H223" s="11" t="s">
        <v>379</v>
      </c>
      <c r="I223" s="12" t="s">
        <v>521</v>
      </c>
      <c r="J223" s="12" t="s">
        <v>522</v>
      </c>
      <c r="K223" s="12" t="s">
        <v>523</v>
      </c>
    </row>
    <row r="224" spans="2:11">
      <c r="H224" s="13" t="s">
        <v>380</v>
      </c>
      <c r="I224" s="14" t="s">
        <v>524</v>
      </c>
      <c r="J224" s="14" t="s">
        <v>525</v>
      </c>
      <c r="K224" s="14" t="s">
        <v>526</v>
      </c>
    </row>
    <row r="225" spans="7:11">
      <c r="H225" s="15" t="s">
        <v>527</v>
      </c>
      <c r="I225" s="16" t="s">
        <v>528</v>
      </c>
      <c r="J225" s="16" t="s">
        <v>529</v>
      </c>
      <c r="K225" s="16" t="s">
        <v>530</v>
      </c>
    </row>
    <row r="226" spans="7:11" ht="22.5">
      <c r="H226" s="17" t="s">
        <v>531</v>
      </c>
      <c r="I226" s="18" t="s">
        <v>381</v>
      </c>
      <c r="J226" s="18">
        <v>10</v>
      </c>
      <c r="K226" s="18">
        <v>14</v>
      </c>
    </row>
    <row r="227" spans="7:11">
      <c r="H227" s="25"/>
      <c r="I227" s="16"/>
      <c r="J227" s="16"/>
      <c r="K227" s="16"/>
    </row>
    <row r="228" spans="7:11" ht="22.5">
      <c r="H228" s="13" t="s">
        <v>45</v>
      </c>
      <c r="I228" s="14" t="s">
        <v>532</v>
      </c>
      <c r="J228" s="14" t="s">
        <v>533</v>
      </c>
      <c r="K228" s="14" t="s">
        <v>534</v>
      </c>
    </row>
    <row r="229" spans="7:11">
      <c r="H229" s="25"/>
      <c r="I229" s="16"/>
      <c r="J229" s="16"/>
      <c r="K229" s="16"/>
    </row>
    <row r="230" spans="7:11">
      <c r="H230" s="578" t="s">
        <v>382</v>
      </c>
      <c r="I230" s="585"/>
      <c r="J230" s="585"/>
      <c r="K230" s="585"/>
    </row>
    <row r="231" spans="7:11">
      <c r="H231" s="25" t="s">
        <v>465</v>
      </c>
      <c r="I231" s="26">
        <v>0.05</v>
      </c>
      <c r="J231" s="26">
        <v>5.5E-2</v>
      </c>
      <c r="K231" s="26">
        <v>0.06</v>
      </c>
    </row>
    <row r="232" spans="7:11">
      <c r="H232" s="23" t="s">
        <v>47</v>
      </c>
      <c r="I232" s="18" t="s">
        <v>508</v>
      </c>
      <c r="J232" s="18" t="s">
        <v>535</v>
      </c>
      <c r="K232" s="18" t="s">
        <v>536</v>
      </c>
    </row>
    <row r="233" spans="7:11">
      <c r="H233" s="25" t="s">
        <v>467</v>
      </c>
      <c r="I233" s="16" t="s">
        <v>507</v>
      </c>
      <c r="J233" s="16">
        <v>58</v>
      </c>
      <c r="K233" s="16">
        <v>65</v>
      </c>
    </row>
    <row r="234" spans="7:11">
      <c r="H234" s="23" t="s">
        <v>48</v>
      </c>
      <c r="I234" s="18" t="s">
        <v>532</v>
      </c>
      <c r="J234" s="18" t="s">
        <v>533</v>
      </c>
      <c r="K234" s="18" t="s">
        <v>537</v>
      </c>
    </row>
    <row r="235" spans="7:11">
      <c r="H235" s="25" t="s">
        <v>468</v>
      </c>
      <c r="I235" s="16">
        <v>27</v>
      </c>
      <c r="J235" s="16" t="s">
        <v>538</v>
      </c>
      <c r="K235" s="16" t="s">
        <v>533</v>
      </c>
    </row>
    <row r="236" spans="7:11" ht="13.5" thickBot="1">
      <c r="H236" s="30" t="s">
        <v>49</v>
      </c>
      <c r="I236" s="31" t="s">
        <v>539</v>
      </c>
      <c r="J236" s="31" t="s">
        <v>536</v>
      </c>
      <c r="K236" s="31" t="s">
        <v>50</v>
      </c>
    </row>
    <row r="237" spans="7:11">
      <c r="G237" s="29" t="s">
        <v>51</v>
      </c>
      <c r="H237" s="156" t="s">
        <v>540</v>
      </c>
      <c r="J237"/>
      <c r="K237"/>
    </row>
    <row r="238" spans="7:11">
      <c r="H238" s="156" t="s">
        <v>493</v>
      </c>
      <c r="J238"/>
      <c r="K238"/>
    </row>
    <row r="239" spans="7:11">
      <c r="H239" s="580" t="s">
        <v>541</v>
      </c>
      <c r="J239"/>
      <c r="K239"/>
    </row>
  </sheetData>
  <mergeCells count="4">
    <mergeCell ref="H84:H85"/>
    <mergeCell ref="H114:H115"/>
    <mergeCell ref="H140:H141"/>
    <mergeCell ref="H221:H22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78" r:id="rId4">
          <objectPr defaultSize="0" autoPict="0" r:id="rId5">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4"/>
      </mc:Fallback>
    </mc:AlternateContent>
    <mc:AlternateContent xmlns:mc="http://schemas.openxmlformats.org/markup-compatibility/2006">
      <mc:Choice Requires="x14">
        <oleObject progId="Equation.3" shapeId="1079" r:id="rId6">
          <objectPr defaultSize="0" autoPict="0" r:id="rId7">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6"/>
      </mc:Fallback>
    </mc:AlternateContent>
    <mc:AlternateContent xmlns:mc="http://schemas.openxmlformats.org/markup-compatibility/2006">
      <mc:Choice Requires="x14">
        <oleObject progId="Equation.3" shapeId="1080" r:id="rId8">
          <objectPr defaultSize="0" autoPict="0" r:id="rId9">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8"/>
      </mc:Fallback>
    </mc:AlternateContent>
    <mc:AlternateContent xmlns:mc="http://schemas.openxmlformats.org/markup-compatibility/2006">
      <mc:Choice Requires="x14">
        <oleObject progId="Equation.3" shapeId="1081" r:id="rId10">
          <objectPr defaultSize="0" autoPict="0" r:id="rId11">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10"/>
      </mc:Fallback>
    </mc:AlternateContent>
    <mc:AlternateContent xmlns:mc="http://schemas.openxmlformats.org/markup-compatibility/2006">
      <mc:Choice Requires="x14">
        <oleObject progId="Equation.3" shapeId="1082" r:id="rId12">
          <objectPr defaultSize="0" autoPict="0" r:id="rId13">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2"/>
      </mc:Fallback>
    </mc:AlternateContent>
    <mc:AlternateContent xmlns:mc="http://schemas.openxmlformats.org/markup-compatibility/2006">
      <mc:Choice Requires="x14">
        <oleObject progId="Equation.3" shapeId="1083" r:id="rId14">
          <objectPr defaultSize="0" autoPict="0" r:id="rId15">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4"/>
      </mc:Fallback>
    </mc:AlternateContent>
    <mc:AlternateContent xmlns:mc="http://schemas.openxmlformats.org/markup-compatibility/2006">
      <mc:Choice Requires="x14">
        <oleObject progId="Equation.3" shapeId="1084" r:id="rId16">
          <objectPr defaultSize="0" autoPict="0" r:id="rId17">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6"/>
      </mc:Fallback>
    </mc:AlternateContent>
    <mc:AlternateContent xmlns:mc="http://schemas.openxmlformats.org/markup-compatibility/2006">
      <mc:Choice Requires="x14">
        <oleObject progId="Equation.3" shapeId="1085" r:id="rId18">
          <objectPr defaultSize="0" autoPict="0" r:id="rId19">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8"/>
      </mc:Fallback>
    </mc:AlternateContent>
    <mc:AlternateContent xmlns:mc="http://schemas.openxmlformats.org/markup-compatibility/2006">
      <mc:Choice Requires="x14">
        <oleObject progId="Equation.3" shapeId="1086" r:id="rId20">
          <objectPr defaultSize="0" autoPict="0" r:id="rId21">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20"/>
      </mc:Fallback>
    </mc:AlternateContent>
    <mc:AlternateContent xmlns:mc="http://schemas.openxmlformats.org/markup-compatibility/2006">
      <mc:Choice Requires="x14">
        <oleObject progId="Equation.3" shapeId="1087" r:id="rId22">
          <objectPr defaultSize="0" autoPict="0" r:id="rId23">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2"/>
      </mc:Fallback>
    </mc:AlternateContent>
    <mc:AlternateContent xmlns:mc="http://schemas.openxmlformats.org/markup-compatibility/2006">
      <mc:Choice Requires="x14">
        <oleObject progId="Equation.3" shapeId="1088" r:id="rId24">
          <objectPr defaultSize="0" autoPict="0" r:id="rId25">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4"/>
      </mc:Fallback>
    </mc:AlternateContent>
    <mc:AlternateContent xmlns:mc="http://schemas.openxmlformats.org/markup-compatibility/2006">
      <mc:Choice Requires="x14">
        <oleObject progId="Equation.3" shapeId="1089" r:id="rId26">
          <objectPr defaultSize="0" autoPict="0" r:id="rId27">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6"/>
      </mc:Fallback>
    </mc:AlternateContent>
    <mc:AlternateContent xmlns:mc="http://schemas.openxmlformats.org/markup-compatibility/2006">
      <mc:Choice Requires="x14">
        <oleObject progId="Equation.3" shapeId="1090" r:id="rId28">
          <objectPr defaultSize="0" autoPict="0" r:id="rId29">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8"/>
      </mc:Fallback>
    </mc:AlternateContent>
    <mc:AlternateContent xmlns:mc="http://schemas.openxmlformats.org/markup-compatibility/2006">
      <mc:Choice Requires="x14">
        <oleObject progId="Equation.3" shapeId="1091" r:id="rId30">
          <objectPr defaultSize="0" autoPict="0" r:id="rId31">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30"/>
      </mc:Fallback>
    </mc:AlternateContent>
    <mc:AlternateContent xmlns:mc="http://schemas.openxmlformats.org/markup-compatibility/2006">
      <mc:Choice Requires="x14">
        <oleObject progId="Equation.3" shapeId="1092" r:id="rId32">
          <objectPr defaultSize="0" autoPict="0" r:id="rId33">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2"/>
      </mc:Fallback>
    </mc:AlternateContent>
    <mc:AlternateContent xmlns:mc="http://schemas.openxmlformats.org/markup-compatibility/2006">
      <mc:Choice Requires="x14">
        <oleObject progId="Equation.3" shapeId="1093" r:id="rId34">
          <objectPr defaultSize="0" autoPict="0" r:id="rId35">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4"/>
      </mc:Fallback>
    </mc:AlternateContent>
    <mc:AlternateContent xmlns:mc="http://schemas.openxmlformats.org/markup-compatibility/2006">
      <mc:Choice Requires="x14">
        <oleObject progId="Equation.3" shapeId="1094" r:id="rId36">
          <objectPr defaultSize="0" autoPict="0" r:id="rId37">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6"/>
      </mc:Fallback>
    </mc:AlternateContent>
    <mc:AlternateContent xmlns:mc="http://schemas.openxmlformats.org/markup-compatibility/2006">
      <mc:Choice Requires="x14">
        <oleObject progId="Equation.3" shapeId="1095" r:id="rId38">
          <objectPr defaultSize="0" autoPict="0" r:id="rId39">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8"/>
      </mc:Fallback>
    </mc:AlternateContent>
    <mc:AlternateContent xmlns:mc="http://schemas.openxmlformats.org/markup-compatibility/2006">
      <mc:Choice Requires="x14">
        <oleObject progId="Equation.3" shapeId="1096" r:id="rId40">
          <objectPr defaultSize="0" autoPict="0" r:id="rId41">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40"/>
      </mc:Fallback>
    </mc:AlternateContent>
    <mc:AlternateContent xmlns:mc="http://schemas.openxmlformats.org/markup-compatibility/2006">
      <mc:Choice Requires="x14">
        <oleObject progId="Equation.3" shapeId="1097" r:id="rId42">
          <objectPr defaultSize="0" autoPict="0" r:id="rId43">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2"/>
      </mc:Fallback>
    </mc:AlternateContent>
    <mc:AlternateContent xmlns:mc="http://schemas.openxmlformats.org/markup-compatibility/2006">
      <mc:Choice Requires="x14">
        <oleObject progId="Equation.3" shapeId="1098" r:id="rId44">
          <objectPr defaultSize="0" autoPict="0" r:id="rId45">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4"/>
      </mc:Fallback>
    </mc:AlternateContent>
    <mc:AlternateContent xmlns:mc="http://schemas.openxmlformats.org/markup-compatibility/2006">
      <mc:Choice Requires="x14">
        <oleObject progId="Equation.3" shapeId="1099" r:id="rId46">
          <objectPr defaultSize="0" autoPict="0" r:id="rId47">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6"/>
      </mc:Fallback>
    </mc:AlternateContent>
    <mc:AlternateContent xmlns:mc="http://schemas.openxmlformats.org/markup-compatibility/2006">
      <mc:Choice Requires="x14">
        <oleObject progId="Equation.3" shapeId="1100" r:id="rId48">
          <objectPr defaultSize="0" autoPict="0" r:id="rId49">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8"/>
      </mc:Fallback>
    </mc:AlternateContent>
    <mc:AlternateContent xmlns:mc="http://schemas.openxmlformats.org/markup-compatibility/2006">
      <mc:Choice Requires="x14">
        <oleObject progId="Equation.3" shapeId="1101" r:id="rId50">
          <objectPr defaultSize="0" autoPict="0" r:id="rId51">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50"/>
      </mc:Fallback>
    </mc:AlternateContent>
    <mc:AlternateContent xmlns:mc="http://schemas.openxmlformats.org/markup-compatibility/2006">
      <mc:Choice Requires="x14">
        <oleObject progId="Equation.3" shapeId="1102" r:id="rId52">
          <objectPr defaultSize="0" autoPict="0" r:id="rId25">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2"/>
      </mc:Fallback>
    </mc:AlternateContent>
    <mc:AlternateContent xmlns:mc="http://schemas.openxmlformats.org/markup-compatibility/2006">
      <mc:Choice Requires="x14">
        <oleObject progId="Equation.3" shapeId="1103" r:id="rId53">
          <objectPr defaultSize="0" autoPict="0" r:id="rId54">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3"/>
      </mc:Fallback>
    </mc:AlternateContent>
    <mc:AlternateContent xmlns:mc="http://schemas.openxmlformats.org/markup-compatibility/2006">
      <mc:Choice Requires="x14">
        <oleObject progId="Equation.3" shapeId="1104" r:id="rId55">
          <objectPr defaultSize="0" autoPict="0" r:id="rId56">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5"/>
      </mc:Fallback>
    </mc:AlternateContent>
    <mc:AlternateContent xmlns:mc="http://schemas.openxmlformats.org/markup-compatibility/2006">
      <mc:Choice Requires="x14">
        <oleObject progId="Equation.3" shapeId="1105" r:id="rId57">
          <objectPr defaultSize="0" autoPict="0" r:id="rId58">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7"/>
      </mc:Fallback>
    </mc:AlternateContent>
    <mc:AlternateContent xmlns:mc="http://schemas.openxmlformats.org/markup-compatibility/2006">
      <mc:Choice Requires="x14">
        <oleObject progId="Equation.3" shapeId="1106" r:id="rId59">
          <objectPr defaultSize="0" autoPict="0" r:id="rId60">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9"/>
      </mc:Fallback>
    </mc:AlternateContent>
    <mc:AlternateContent xmlns:mc="http://schemas.openxmlformats.org/markup-compatibility/2006">
      <mc:Choice Requires="x14">
        <oleObject progId="Equation.3" shapeId="1107" r:id="rId61">
          <objectPr defaultSize="0" autoPict="0" r:id="rId62">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1"/>
      </mc:Fallback>
    </mc:AlternateContent>
    <mc:AlternateContent xmlns:mc="http://schemas.openxmlformats.org/markup-compatibility/2006">
      <mc:Choice Requires="x14">
        <oleObject progId="Equation.3" shapeId="1108" r:id="rId63">
          <objectPr defaultSize="0" autoPict="0" r:id="rId64">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3"/>
      </mc:Fallback>
    </mc:AlternateContent>
    <mc:AlternateContent xmlns:mc="http://schemas.openxmlformats.org/markup-compatibility/2006">
      <mc:Choice Requires="x14">
        <oleObject progId="Equation.3" shapeId="1109" r:id="rId65">
          <objectPr defaultSize="0" autoPict="0" r:id="rId13">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5"/>
      </mc:Fallback>
    </mc:AlternateContent>
    <mc:AlternateContent xmlns:mc="http://schemas.openxmlformats.org/markup-compatibility/2006">
      <mc:Choice Requires="x14">
        <oleObject progId="Equation.3" shapeId="1110" r:id="rId66">
          <objectPr defaultSize="0" autoPict="0" r:id="rId15">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6"/>
      </mc:Fallback>
    </mc:AlternateContent>
    <mc:AlternateContent xmlns:mc="http://schemas.openxmlformats.org/markup-compatibility/2006">
      <mc:Choice Requires="x14">
        <oleObject progId="Equation.3" shapeId="1111" r:id="rId67">
          <objectPr defaultSize="0" autoPict="0" r:id="rId68">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7"/>
      </mc:Fallback>
    </mc:AlternateContent>
    <mc:AlternateContent xmlns:mc="http://schemas.openxmlformats.org/markup-compatibility/2006">
      <mc:Choice Requires="x14">
        <oleObject progId="Equation.3" shapeId="1112" r:id="rId69">
          <objectPr defaultSize="0" autoPict="0" r:id="rId70">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9"/>
      </mc:Fallback>
    </mc:AlternateContent>
    <mc:AlternateContent xmlns:mc="http://schemas.openxmlformats.org/markup-compatibility/2006">
      <mc:Choice Requires="x14">
        <oleObject progId="Equation.3" shapeId="1113" r:id="rId71">
          <objectPr defaultSize="0" autoPict="0" r:id="rId21">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1"/>
      </mc:Fallback>
    </mc:AlternateContent>
    <mc:AlternateContent xmlns:mc="http://schemas.openxmlformats.org/markup-compatibility/2006">
      <mc:Choice Requires="x14">
        <oleObject progId="Equation.3" shapeId="1114" r:id="rId72">
          <objectPr defaultSize="0" autoPict="0" r:id="rId23">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2"/>
      </mc:Fallback>
    </mc:AlternateContent>
    <mc:AlternateContent xmlns:mc="http://schemas.openxmlformats.org/markup-compatibility/2006">
      <mc:Choice Requires="x14">
        <oleObject progId="Equation.3" shapeId="1115" r:id="rId73">
          <objectPr defaultSize="0" autoPict="0" r:id="rId74">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3"/>
      </mc:Fallback>
    </mc:AlternateContent>
    <mc:AlternateContent xmlns:mc="http://schemas.openxmlformats.org/markup-compatibility/2006">
      <mc:Choice Requires="x14">
        <oleObject progId="Equation.3" shapeId="1116" r:id="rId75">
          <objectPr defaultSize="0" autoPict="0" r:id="rId31">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5"/>
      </mc:Fallback>
    </mc:AlternateContent>
    <mc:AlternateContent xmlns:mc="http://schemas.openxmlformats.org/markup-compatibility/2006">
      <mc:Choice Requires="x14">
        <oleObject progId="Equation.3" shapeId="1117" r:id="rId76">
          <objectPr defaultSize="0" autoPict="0" r:id="rId56">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6"/>
      </mc:Fallback>
    </mc:AlternateContent>
    <mc:AlternateContent xmlns:mc="http://schemas.openxmlformats.org/markup-compatibility/2006">
      <mc:Choice Requires="x14">
        <oleObject progId="Equation.3" shapeId="1118" r:id="rId77">
          <objectPr defaultSize="0" autoPict="0" r:id="rId78">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7"/>
      </mc:Fallback>
    </mc:AlternateContent>
    <mc:AlternateContent xmlns:mc="http://schemas.openxmlformats.org/markup-compatibility/2006">
      <mc:Choice Requires="x14">
        <oleObject progId="Equation.3" shapeId="1119" r:id="rId79">
          <objectPr defaultSize="0" autoPict="0" r:id="rId80">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9"/>
      </mc:Fallback>
    </mc:AlternateContent>
    <mc:AlternateContent xmlns:mc="http://schemas.openxmlformats.org/markup-compatibility/2006">
      <mc:Choice Requires="x14">
        <oleObject progId="Equation.3" shapeId="1120" r:id="rId81">
          <objectPr defaultSize="0" autoPict="0" r:id="rId82">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1"/>
      </mc:Fallback>
    </mc:AlternateContent>
    <mc:AlternateContent xmlns:mc="http://schemas.openxmlformats.org/markup-compatibility/2006">
      <mc:Choice Requires="x14">
        <oleObject progId="Equation.3" shapeId="1121" r:id="rId83">
          <objectPr defaultSize="0" autoPict="0" r:id="rId31">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3"/>
      </mc:Fallback>
    </mc:AlternateContent>
    <mc:AlternateContent xmlns:mc="http://schemas.openxmlformats.org/markup-compatibility/2006">
      <mc:Choice Requires="x14">
        <oleObject progId="Equation.3" shapeId="1122" r:id="rId84">
          <objectPr defaultSize="0" autoPict="0" r:id="rId56">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4"/>
      </mc:Fallback>
    </mc:AlternateContent>
    <mc:AlternateContent xmlns:mc="http://schemas.openxmlformats.org/markup-compatibility/2006">
      <mc:Choice Requires="x14">
        <oleObject progId="Equation.3" shapeId="1123" r:id="rId85">
          <objectPr defaultSize="0" autoPict="0" r:id="rId86">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5"/>
      </mc:Fallback>
    </mc:AlternateContent>
    <mc:AlternateContent xmlns:mc="http://schemas.openxmlformats.org/markup-compatibility/2006">
      <mc:Choice Requires="x14">
        <oleObject progId="Equation.3" shapeId="1124" r:id="rId87">
          <objectPr defaultSize="0" autoPict="0" r:id="rId88">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7"/>
      </mc:Fallback>
    </mc:AlternateContent>
    <mc:AlternateContent xmlns:mc="http://schemas.openxmlformats.org/markup-compatibility/2006">
      <mc:Choice Requires="x14">
        <oleObject progId="Equation.3" shapeId="1125" r:id="rId89">
          <objectPr defaultSize="0" autoPict="0" r:id="rId90">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9"/>
      </mc:Fallback>
    </mc:AlternateContent>
    <mc:AlternateContent xmlns:mc="http://schemas.openxmlformats.org/markup-compatibility/2006">
      <mc:Choice Requires="x14">
        <oleObject progId="Equation.3" shapeId="1126" r:id="rId91">
          <objectPr defaultSize="0" autoPict="0" r:id="rId92">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1"/>
      </mc:Fallback>
    </mc:AlternateContent>
    <mc:AlternateContent xmlns:mc="http://schemas.openxmlformats.org/markup-compatibility/2006">
      <mc:Choice Requires="x14">
        <oleObject progId="Equation.3" shapeId="1127" r:id="rId93">
          <objectPr defaultSize="0" autoPict="0" r:id="rId94">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3"/>
      </mc:Fallback>
    </mc:AlternateContent>
    <mc:AlternateContent xmlns:mc="http://schemas.openxmlformats.org/markup-compatibility/2006">
      <mc:Choice Requires="x14">
        <oleObject progId="Equation.3" shapeId="1128" r:id="rId95">
          <objectPr defaultSize="0" autoPict="0" r:id="rId96">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5"/>
      </mc:Fallback>
    </mc:AlternateContent>
    <mc:AlternateContent xmlns:mc="http://schemas.openxmlformats.org/markup-compatibility/2006">
      <mc:Choice Requires="x14">
        <oleObject progId="Equation.3" shapeId="1129" r:id="rId97">
          <objectPr defaultSize="0" autoPict="0" r:id="rId98">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93"/>
  <sheetViews>
    <sheetView showGridLines="0" topLeftCell="A94" zoomScale="80" zoomScaleNormal="80" workbookViewId="0">
      <selection activeCell="S131" sqref="S131"/>
    </sheetView>
  </sheetViews>
  <sheetFormatPr defaultRowHeight="12.75"/>
  <cols>
    <col min="1" max="1" width="30.28515625" style="397" customWidth="1"/>
    <col min="2" max="2" width="14.28515625" style="397" customWidth="1"/>
    <col min="3" max="3" width="12.85546875" style="397" customWidth="1"/>
    <col min="4" max="8" width="13.5703125" style="397" customWidth="1"/>
    <col min="9" max="9" width="12" style="397" bestFit="1" customWidth="1"/>
    <col min="10" max="10" width="9.7109375" style="397" customWidth="1"/>
    <col min="11" max="11" width="9.140625" style="397"/>
    <col min="12" max="12" width="14.28515625" style="397" bestFit="1" customWidth="1"/>
    <col min="13" max="16384" width="9.140625" style="397"/>
  </cols>
  <sheetData>
    <row r="1" spans="1:10">
      <c r="A1" s="396"/>
    </row>
    <row r="2" spans="1:10">
      <c r="A2" s="396"/>
    </row>
    <row r="3" spans="1:10">
      <c r="A3" s="398" t="s">
        <v>68</v>
      </c>
      <c r="C3" s="399" t="str">
        <f>A55</f>
        <v>CitiPower</v>
      </c>
    </row>
    <row r="5" spans="1:10">
      <c r="A5" s="397" t="s">
        <v>69</v>
      </c>
      <c r="C5" s="400">
        <v>2018</v>
      </c>
    </row>
    <row r="7" spans="1:10">
      <c r="A7" s="397" t="s">
        <v>70</v>
      </c>
      <c r="B7" s="397" t="s">
        <v>71</v>
      </c>
      <c r="C7" s="397">
        <f>C5</f>
        <v>2018</v>
      </c>
    </row>
    <row r="8" spans="1:10">
      <c r="A8" s="397" t="s">
        <v>72</v>
      </c>
      <c r="B8" s="397" t="s">
        <v>71</v>
      </c>
      <c r="C8" s="397">
        <f t="shared" ref="C8:C11" si="0">C7-1</f>
        <v>2017</v>
      </c>
    </row>
    <row r="9" spans="1:10">
      <c r="A9" s="397" t="s">
        <v>73</v>
      </c>
      <c r="B9" s="397" t="s">
        <v>71</v>
      </c>
      <c r="C9" s="397">
        <f t="shared" si="0"/>
        <v>2016</v>
      </c>
    </row>
    <row r="10" spans="1:10">
      <c r="A10" s="397" t="s">
        <v>74</v>
      </c>
      <c r="B10" s="397" t="s">
        <v>71</v>
      </c>
      <c r="C10" s="397">
        <f t="shared" si="0"/>
        <v>2015</v>
      </c>
    </row>
    <row r="11" spans="1:10">
      <c r="A11" s="397" t="s">
        <v>127</v>
      </c>
      <c r="B11" s="397" t="s">
        <v>71</v>
      </c>
      <c r="C11" s="397">
        <f t="shared" si="0"/>
        <v>2014</v>
      </c>
    </row>
    <row r="13" spans="1:10">
      <c r="A13" s="397" t="s">
        <v>75</v>
      </c>
    </row>
    <row r="14" spans="1:10" ht="13.5" thickBot="1"/>
    <row r="15" spans="1:10" ht="24" customHeight="1">
      <c r="A15" s="215" t="s">
        <v>76</v>
      </c>
      <c r="B15" s="221" t="s">
        <v>77</v>
      </c>
      <c r="C15" s="221"/>
      <c r="D15" s="221"/>
      <c r="E15" s="221"/>
      <c r="F15" s="221"/>
      <c r="G15" s="216"/>
    </row>
    <row r="16" spans="1:10">
      <c r="A16" s="401" t="s">
        <v>78</v>
      </c>
      <c r="B16" s="402"/>
      <c r="C16" s="403">
        <v>99.8</v>
      </c>
      <c r="D16" s="222"/>
      <c r="G16" s="218"/>
      <c r="J16" s="404"/>
    </row>
    <row r="17" spans="1:10">
      <c r="A17" s="405" t="s">
        <v>79</v>
      </c>
      <c r="B17" s="222"/>
      <c r="C17" s="406">
        <v>101.8</v>
      </c>
      <c r="E17" s="407" t="s">
        <v>219</v>
      </c>
      <c r="F17" s="408">
        <f>C17/C16-1</f>
        <v>2.0040080160320661E-2</v>
      </c>
      <c r="G17" s="218"/>
      <c r="J17" s="152"/>
    </row>
    <row r="18" spans="1:10">
      <c r="A18" s="405" t="s">
        <v>80</v>
      </c>
      <c r="B18" s="222"/>
      <c r="C18" s="409">
        <v>104</v>
      </c>
      <c r="E18" s="410" t="s">
        <v>220</v>
      </c>
      <c r="F18" s="411">
        <f>C18/C17-1</f>
        <v>2.16110019646365E-2</v>
      </c>
      <c r="G18" s="218"/>
      <c r="J18" s="404"/>
    </row>
    <row r="19" spans="1:10">
      <c r="A19" s="405" t="s">
        <v>81</v>
      </c>
      <c r="B19" s="412"/>
      <c r="C19" s="409">
        <v>106.4</v>
      </c>
      <c r="E19" s="410" t="s">
        <v>221</v>
      </c>
      <c r="F19" s="411">
        <f>C19/C18-1</f>
        <v>2.3076923076923217E-2</v>
      </c>
      <c r="G19" s="218"/>
    </row>
    <row r="20" spans="1:10">
      <c r="A20" s="405" t="s">
        <v>101</v>
      </c>
      <c r="B20" s="412"/>
      <c r="C20" s="409">
        <v>108</v>
      </c>
      <c r="E20" s="410" t="s">
        <v>222</v>
      </c>
      <c r="F20" s="411">
        <f>C20/C19-1</f>
        <v>1.5037593984962294E-2</v>
      </c>
      <c r="G20" s="218"/>
    </row>
    <row r="21" spans="1:10">
      <c r="A21" s="405" t="s">
        <v>218</v>
      </c>
      <c r="B21" s="412"/>
      <c r="C21" s="413">
        <v>107.5</v>
      </c>
      <c r="E21" s="410"/>
      <c r="F21" s="414"/>
      <c r="G21" s="218"/>
    </row>
    <row r="22" spans="1:10">
      <c r="A22" s="405" t="s">
        <v>217</v>
      </c>
      <c r="B22" s="412"/>
      <c r="C22" s="409">
        <v>108.6</v>
      </c>
      <c r="E22" s="410" t="s">
        <v>223</v>
      </c>
      <c r="F22" s="411">
        <f>IF(OR(C21="",C22=""),0,C22/C21-1)</f>
        <v>1.0232558139534831E-2</v>
      </c>
      <c r="G22" s="218"/>
    </row>
    <row r="23" spans="1:10">
      <c r="A23" s="405" t="s">
        <v>216</v>
      </c>
      <c r="B23" s="412"/>
      <c r="C23" s="675">
        <v>110.7</v>
      </c>
      <c r="E23" s="410" t="s">
        <v>224</v>
      </c>
      <c r="F23" s="411">
        <f t="shared" ref="F23:F25" si="1">IF(OR(C22="",C23=""),0,C23/C22-1)</f>
        <v>1.9337016574585641E-2</v>
      </c>
      <c r="G23" s="218"/>
    </row>
    <row r="24" spans="1:10">
      <c r="A24" s="405" t="s">
        <v>215</v>
      </c>
      <c r="B24" s="412"/>
      <c r="C24" s="409"/>
      <c r="E24" s="410" t="s">
        <v>225</v>
      </c>
      <c r="F24" s="411">
        <f t="shared" si="1"/>
        <v>0</v>
      </c>
      <c r="G24" s="218"/>
    </row>
    <row r="25" spans="1:10">
      <c r="A25" s="415" t="s">
        <v>214</v>
      </c>
      <c r="B25" s="416"/>
      <c r="C25" s="409"/>
      <c r="E25" s="417" t="s">
        <v>226</v>
      </c>
      <c r="F25" s="418">
        <f t="shared" si="1"/>
        <v>0</v>
      </c>
      <c r="G25" s="218"/>
    </row>
    <row r="26" spans="1:10">
      <c r="A26" s="217"/>
      <c r="B26" s="222"/>
      <c r="C26" s="419"/>
      <c r="D26" s="222"/>
      <c r="G26" s="218"/>
    </row>
    <row r="27" spans="1:10">
      <c r="A27" s="217"/>
      <c r="B27" s="222"/>
      <c r="C27" s="419"/>
      <c r="D27" s="222"/>
      <c r="G27" s="218"/>
    </row>
    <row r="28" spans="1:10">
      <c r="A28" s="217" t="str">
        <f>"CPI " &amp;$C$9</f>
        <v>CPI 2016</v>
      </c>
      <c r="B28" s="222"/>
      <c r="C28" s="420">
        <f>VLOOKUP(A28,E$17:F$25,2,FALSE)</f>
        <v>1.5037593984962294E-2</v>
      </c>
      <c r="D28" s="442" t="s">
        <v>384</v>
      </c>
      <c r="G28" s="218"/>
    </row>
    <row r="29" spans="1:10">
      <c r="A29" s="217" t="str">
        <f>"CPI " &amp;$C$8</f>
        <v>CPI 2017</v>
      </c>
      <c r="B29" s="222"/>
      <c r="C29" s="420">
        <f t="shared" ref="C29:C30" si="2">VLOOKUP(A29,E$17:F$25,2,FALSE)</f>
        <v>1.0232558139534831E-2</v>
      </c>
      <c r="D29" s="442" t="s">
        <v>383</v>
      </c>
      <c r="G29" s="218"/>
    </row>
    <row r="30" spans="1:10">
      <c r="A30" s="217" t="str">
        <f>"CPI " &amp;$C$5</f>
        <v>CPI 2018</v>
      </c>
      <c r="B30" s="222"/>
      <c r="C30" s="420">
        <f t="shared" si="2"/>
        <v>1.9337016574585641E-2</v>
      </c>
      <c r="D30" s="544" t="s">
        <v>412</v>
      </c>
      <c r="G30" s="218"/>
    </row>
    <row r="31" spans="1:10" ht="13.5" thickBot="1">
      <c r="A31" s="219"/>
      <c r="B31" s="225"/>
      <c r="C31" s="225"/>
      <c r="D31" s="225"/>
      <c r="E31" s="225"/>
      <c r="F31" s="225"/>
      <c r="G31" s="220"/>
    </row>
    <row r="35" spans="1:8">
      <c r="A35" s="421" t="s">
        <v>418</v>
      </c>
      <c r="B35" s="422"/>
      <c r="C35" s="404"/>
      <c r="D35" s="423"/>
      <c r="E35" s="423"/>
      <c r="F35" s="423"/>
      <c r="G35" s="424"/>
      <c r="H35" s="423"/>
    </row>
    <row r="36" spans="1:8">
      <c r="A36" s="425" t="str">
        <f>"rvw for "&amp;C$5</f>
        <v>rvw for 2018</v>
      </c>
      <c r="B36" s="426"/>
      <c r="C36" s="197"/>
      <c r="D36" s="427" t="s">
        <v>413</v>
      </c>
      <c r="E36" s="427" t="s">
        <v>414</v>
      </c>
      <c r="F36" s="427" t="s">
        <v>415</v>
      </c>
      <c r="G36" s="428" t="s">
        <v>416</v>
      </c>
      <c r="H36" s="427" t="s">
        <v>417</v>
      </c>
    </row>
    <row r="37" spans="1:8">
      <c r="A37" s="429" t="str">
        <f>$A$54</f>
        <v>Jemena</v>
      </c>
      <c r="B37" s="430">
        <f>HLOOKUP($A$36,$D$36:$H$41,2,FALSE)</f>
        <v>3.8482708197709714E-2</v>
      </c>
      <c r="C37" s="404"/>
      <c r="D37" s="431">
        <v>3.9596959091813176E-2</v>
      </c>
      <c r="E37" s="672">
        <v>3.8998747434050608E-2</v>
      </c>
      <c r="F37" s="434">
        <v>3.8482708197709714E-2</v>
      </c>
      <c r="G37" s="433">
        <v>3.8482708197709714E-2</v>
      </c>
      <c r="H37" s="434">
        <v>3.8482708197709714E-2</v>
      </c>
    </row>
    <row r="38" spans="1:8">
      <c r="A38" s="429" t="str">
        <f>$A$55</f>
        <v>CitiPower</v>
      </c>
      <c r="B38" s="430">
        <f>HLOOKUP($A$36,$D$36:$H$41,3,FALSE)</f>
        <v>3.5897854460483589E-2</v>
      </c>
      <c r="C38" s="404"/>
      <c r="D38" s="431">
        <v>3.6967675843673664E-2</v>
      </c>
      <c r="E38" s="672">
        <v>3.6395072760831051E-2</v>
      </c>
      <c r="F38" s="434">
        <v>3.5897854460483589E-2</v>
      </c>
      <c r="G38" s="433">
        <v>3.5897854460483589E-2</v>
      </c>
      <c r="H38" s="434">
        <v>3.5897854460483589E-2</v>
      </c>
    </row>
    <row r="39" spans="1:8">
      <c r="A39" s="429" t="str">
        <f>$A$56</f>
        <v>Powercor</v>
      </c>
      <c r="B39" s="430">
        <f>HLOOKUP($A$36,$D$36:$H$41,4,FALSE)</f>
        <v>3.5897854460483589E-2</v>
      </c>
      <c r="C39" s="404"/>
      <c r="D39" s="431">
        <v>3.6967675843673664E-2</v>
      </c>
      <c r="E39" s="672">
        <v>3.6395072760831051E-2</v>
      </c>
      <c r="F39" s="434">
        <v>3.5897854460483589E-2</v>
      </c>
      <c r="G39" s="433">
        <v>3.5897854460483589E-2</v>
      </c>
      <c r="H39" s="434">
        <v>3.5897854460483589E-2</v>
      </c>
    </row>
    <row r="40" spans="1:8">
      <c r="A40" s="429" t="str">
        <f>$A$57</f>
        <v>AusNet Services</v>
      </c>
      <c r="B40" s="430">
        <f>HLOOKUP($A$36,$D$36:$H$41,5,FALSE)</f>
        <v>3.8281275483315946E-2</v>
      </c>
      <c r="C40" s="404"/>
      <c r="D40" s="431">
        <v>3.8984967311635851E-2</v>
      </c>
      <c r="E40" s="672">
        <v>3.8530391286089614E-2</v>
      </c>
      <c r="F40" s="434">
        <v>3.8281275483315946E-2</v>
      </c>
      <c r="G40" s="433">
        <v>3.8281275483315946E-2</v>
      </c>
      <c r="H40" s="434">
        <v>3.8281275483315946E-2</v>
      </c>
    </row>
    <row r="41" spans="1:8">
      <c r="A41" s="429" t="str">
        <f>$A$58</f>
        <v>United Energy</v>
      </c>
      <c r="B41" s="430">
        <f>HLOOKUP($A$36,$D$36:$H$41,6,FALSE)</f>
        <v>3.8391841352995247E-2</v>
      </c>
      <c r="C41" s="404"/>
      <c r="D41" s="431">
        <v>3.9598521188703287E-2</v>
      </c>
      <c r="E41" s="672">
        <v>3.8963198492823106E-2</v>
      </c>
      <c r="F41" s="434">
        <v>3.8391841352995247E-2</v>
      </c>
      <c r="G41" s="433">
        <v>3.8391841352995247E-2</v>
      </c>
      <c r="H41" s="434">
        <v>3.8391841352995247E-2</v>
      </c>
    </row>
    <row r="42" spans="1:8">
      <c r="A42" s="429"/>
      <c r="B42" s="430"/>
      <c r="C42" s="404"/>
      <c r="D42" s="431"/>
      <c r="E42" s="432"/>
      <c r="F42" s="431"/>
      <c r="G42" s="432"/>
      <c r="H42" s="431"/>
    </row>
    <row r="43" spans="1:8" ht="13.5" thickBot="1">
      <c r="A43" s="435" t="str">
        <f>"rvw (t) "&amp;C$5</f>
        <v>rvw (t) 2018</v>
      </c>
      <c r="B43" s="436">
        <f>VLOOKUP(C$3,A37:B41,2,FALSE)</f>
        <v>3.5897854460483589E-2</v>
      </c>
      <c r="C43" s="544" t="s">
        <v>412</v>
      </c>
      <c r="D43" s="437">
        <f>VLOOKUP($C$3,$A$37:$H$41,4,FALSE)</f>
        <v>3.6967675843673664E-2</v>
      </c>
      <c r="E43" s="438">
        <f>VLOOKUP($C$3,$A37:$H$41,5,FALSE)</f>
        <v>3.6395072760831051E-2</v>
      </c>
      <c r="F43" s="437">
        <f>VLOOKUP($C$3,$A$37:$H$41,6,FALSE)</f>
        <v>3.5897854460483589E-2</v>
      </c>
      <c r="G43" s="438">
        <f>VLOOKUP($C$3,$A$37:$H$41,7,FALSE)</f>
        <v>3.5897854460483589E-2</v>
      </c>
      <c r="H43" s="437">
        <f>VLOOKUP($C$3,$A$37:$H$41,8,FALSE)</f>
        <v>3.5897854460483589E-2</v>
      </c>
    </row>
    <row r="44" spans="1:8">
      <c r="B44" s="439"/>
    </row>
    <row r="45" spans="1:8">
      <c r="A45" s="440" t="str">
        <f>"rvw for "&amp;C$5-1</f>
        <v>rvw for 2017</v>
      </c>
      <c r="B45" s="441">
        <f>IF(C$5=2016,F$184,HLOOKUP($A45,D$36:H$43,8,FALSE))</f>
        <v>3.6395072760831051E-2</v>
      </c>
      <c r="C45" s="442" t="s">
        <v>383</v>
      </c>
    </row>
    <row r="46" spans="1:8">
      <c r="A46" s="429"/>
      <c r="B46" s="443"/>
    </row>
    <row r="47" spans="1:8" ht="13.5" thickBot="1">
      <c r="A47" s="444" t="str">
        <f>"rvw for "&amp;C$5-2</f>
        <v>rvw for 2016</v>
      </c>
      <c r="B47" s="445">
        <f>IF(OR(C$5=2016,C$5=2017),F$183,HLOOKUP($A47,D$36:H$43,8,FALSE))</f>
        <v>3.6967675843673664E-2</v>
      </c>
      <c r="C47" s="442" t="s">
        <v>384</v>
      </c>
    </row>
    <row r="52" spans="1:8" ht="13.5" thickBot="1">
      <c r="A52" s="446" t="s">
        <v>360</v>
      </c>
    </row>
    <row r="53" spans="1:8">
      <c r="A53" s="447" t="str">
        <f>"Xt for "&amp;C$5</f>
        <v>Xt for 2018</v>
      </c>
      <c r="B53" s="439"/>
      <c r="D53" s="448" t="s">
        <v>103</v>
      </c>
      <c r="E53" s="449" t="s">
        <v>97</v>
      </c>
      <c r="F53" s="423" t="s">
        <v>98</v>
      </c>
      <c r="G53" s="423" t="s">
        <v>99</v>
      </c>
      <c r="H53" s="449" t="s">
        <v>100</v>
      </c>
    </row>
    <row r="54" spans="1:8">
      <c r="A54" s="429" t="s">
        <v>82</v>
      </c>
      <c r="B54" s="450">
        <f>IF(C$5=2016,"n/a",HLOOKUP($A$53,$E$53:$H$58,2,FALSE))</f>
        <v>2.7000000000000001E-3</v>
      </c>
      <c r="D54" s="451">
        <v>238498758</v>
      </c>
      <c r="E54" s="673">
        <v>-3.2500000000000001E-2</v>
      </c>
      <c r="F54" s="434">
        <v>2.7000000000000001E-3</v>
      </c>
      <c r="G54" s="434">
        <v>-2.0199999999999999E-2</v>
      </c>
      <c r="H54" s="452">
        <v>-0.02</v>
      </c>
    </row>
    <row r="55" spans="1:8">
      <c r="A55" s="429" t="s">
        <v>83</v>
      </c>
      <c r="B55" s="450">
        <f>IF(C$5=2016,"n/a",HLOOKUP($A$53,$E$53:$H$58,3,FALSE))</f>
        <v>-5.0000000000000001E-4</v>
      </c>
      <c r="D55" s="569">
        <v>282881283</v>
      </c>
      <c r="E55" s="673">
        <v>4.0000000000000001E-3</v>
      </c>
      <c r="F55" s="434">
        <v>-5.0000000000000001E-4</v>
      </c>
      <c r="G55" s="434">
        <v>-1.2E-2</v>
      </c>
      <c r="H55" s="452">
        <v>-2.4E-2</v>
      </c>
    </row>
    <row r="56" spans="1:8">
      <c r="A56" s="429" t="s">
        <v>84</v>
      </c>
      <c r="B56" s="450">
        <f>IF(C$5=2016,"n/a",HLOOKUP($A$53,$E$53:$H$58,4,FALSE))</f>
        <v>-8.0999999999999996E-3</v>
      </c>
      <c r="D56" s="451">
        <v>621773294</v>
      </c>
      <c r="E56" s="673">
        <v>4.6800000000000001E-2</v>
      </c>
      <c r="F56" s="434">
        <v>-8.0999999999999996E-3</v>
      </c>
      <c r="G56" s="434">
        <v>-1.7999999999999999E-2</v>
      </c>
      <c r="H56" s="452">
        <v>-2.5999999999999999E-2</v>
      </c>
    </row>
    <row r="57" spans="1:8">
      <c r="A57" s="429" t="s">
        <v>106</v>
      </c>
      <c r="B57" s="450">
        <f>IF(C$5=2016,"n/a",HLOOKUP($A$53,$E$53:$H$58,5,FALSE))</f>
        <v>-1.84E-2</v>
      </c>
      <c r="D57" s="451">
        <v>586045137</v>
      </c>
      <c r="E57" s="673">
        <v>3.0000000000000001E-3</v>
      </c>
      <c r="F57" s="434">
        <v>-1.84E-2</v>
      </c>
      <c r="G57" s="434">
        <v>-2.5000000000000001E-2</v>
      </c>
      <c r="H57" s="452">
        <v>-0.03</v>
      </c>
    </row>
    <row r="58" spans="1:8">
      <c r="A58" s="429" t="s">
        <v>85</v>
      </c>
      <c r="B58" s="450">
        <f>IF(C$5=2016,"n/a",HLOOKUP($A$53,$E$53:$H$58,6,FALSE))</f>
        <v>-3.1600000000000003E-2</v>
      </c>
      <c r="D58" s="451">
        <v>375069867</v>
      </c>
      <c r="E58" s="673">
        <v>-3.8300000000000001E-2</v>
      </c>
      <c r="F58" s="434">
        <v>-3.1600000000000003E-2</v>
      </c>
      <c r="G58" s="434">
        <v>-3.5000000000000003E-2</v>
      </c>
      <c r="H58" s="452">
        <v>0</v>
      </c>
    </row>
    <row r="59" spans="1:8">
      <c r="A59" s="429"/>
      <c r="B59" s="430"/>
      <c r="D59" s="453"/>
      <c r="E59" s="454"/>
      <c r="F59" s="455"/>
      <c r="G59" s="455"/>
      <c r="H59" s="454"/>
    </row>
    <row r="60" spans="1:8" ht="13.5" thickBot="1">
      <c r="A60" s="456" t="str">
        <f>"Xt for"&amp;C$5</f>
        <v>Xt for2018</v>
      </c>
      <c r="B60" s="457">
        <f>VLOOKUP(C$3,A54:B58,2,FALSE)</f>
        <v>-5.0000000000000001E-4</v>
      </c>
      <c r="D60" s="458">
        <f>VLOOKUP($C$3,$A$54:$H$58,4,FALSE)</f>
        <v>282881283</v>
      </c>
      <c r="E60" s="438">
        <f>VLOOKUP($C$3,$A$54:$H$58,5,FALSE)</f>
        <v>4.0000000000000001E-3</v>
      </c>
      <c r="F60" s="437">
        <f>VLOOKUP($C$3,$A$54:$H$58,6,FALSE)</f>
        <v>-5.0000000000000001E-4</v>
      </c>
      <c r="G60" s="438">
        <f>VLOOKUP($C$3,$A$54:$H$58,7,FALSE)</f>
        <v>-1.2E-2</v>
      </c>
      <c r="H60" s="437">
        <f>VLOOKUP($C$3,$A$54:$H$58,8,FALSE)</f>
        <v>-2.4E-2</v>
      </c>
    </row>
    <row r="64" spans="1:8" ht="13.5" thickBot="1">
      <c r="A64" s="446" t="s">
        <v>361</v>
      </c>
    </row>
    <row r="65" spans="1:8">
      <c r="A65" s="447" t="str">
        <f>"Xt for "&amp;C$5</f>
        <v>Xt for 2018</v>
      </c>
      <c r="B65" s="439"/>
      <c r="D65" s="448" t="s">
        <v>103</v>
      </c>
      <c r="E65" s="449" t="s">
        <v>97</v>
      </c>
      <c r="F65" s="423" t="s">
        <v>98</v>
      </c>
      <c r="G65" s="423" t="s">
        <v>99</v>
      </c>
      <c r="H65" s="449" t="s">
        <v>100</v>
      </c>
    </row>
    <row r="66" spans="1:8">
      <c r="A66" s="429" t="s">
        <v>82</v>
      </c>
      <c r="B66" s="450">
        <f>IF(C$5=2016,"n/a",HLOOKUP($A$65,$E$65:$H$70,2,FALSE))</f>
        <v>-1.3599999999999999E-2</v>
      </c>
      <c r="D66" s="451">
        <v>44212949.016624629</v>
      </c>
      <c r="E66" s="673">
        <v>0.3473</v>
      </c>
      <c r="F66" s="434">
        <v>-1.3599999999999999E-2</v>
      </c>
      <c r="G66" s="434">
        <v>-1.4999999999999999E-2</v>
      </c>
      <c r="H66" s="452">
        <v>-1.4999999999999999E-2</v>
      </c>
    </row>
    <row r="67" spans="1:8">
      <c r="A67" s="429" t="s">
        <v>83</v>
      </c>
      <c r="B67" s="450">
        <f>IF(C$5=2016,"n/a",HLOOKUP($A$65,$E$65:$H$70,3,FALSE))</f>
        <v>7.6700000000000004E-2</v>
      </c>
      <c r="D67" s="451">
        <v>32973195.03847561</v>
      </c>
      <c r="E67" s="673">
        <v>0.14019999999999999</v>
      </c>
      <c r="F67" s="434">
        <v>7.6700000000000004E-2</v>
      </c>
      <c r="G67" s="434">
        <v>7.4999999999999997E-2</v>
      </c>
      <c r="H67" s="452">
        <v>7.4999999999999997E-2</v>
      </c>
    </row>
    <row r="68" spans="1:8">
      <c r="A68" s="429" t="s">
        <v>84</v>
      </c>
      <c r="B68" s="450">
        <f>IF(C$5=2016,"n/a",HLOOKUP($A$65,$E$65:$H$70,4,FALSE))</f>
        <v>8.1900000000000001E-2</v>
      </c>
      <c r="D68" s="451">
        <v>79145313.202280506</v>
      </c>
      <c r="E68" s="673">
        <v>0.1096</v>
      </c>
      <c r="F68" s="434">
        <v>8.1900000000000001E-2</v>
      </c>
      <c r="G68" s="434">
        <v>0.08</v>
      </c>
      <c r="H68" s="452">
        <v>0.08</v>
      </c>
    </row>
    <row r="69" spans="1:8">
      <c r="A69" s="429" t="s">
        <v>106</v>
      </c>
      <c r="B69" s="450">
        <f>IF(C$5=2016,"n/a",HLOOKUP($A$65,$E$65:$H$70,5,FALSE))</f>
        <v>0.1658</v>
      </c>
      <c r="D69" s="451">
        <v>92754610.443801105</v>
      </c>
      <c r="E69" s="673">
        <v>2.3099999999999999E-2</v>
      </c>
      <c r="F69" s="434">
        <v>0.1658</v>
      </c>
      <c r="G69" s="434">
        <v>0.16500000000000001</v>
      </c>
      <c r="H69" s="452">
        <v>0.16500000000000001</v>
      </c>
    </row>
    <row r="70" spans="1:8">
      <c r="A70" s="429" t="s">
        <v>85</v>
      </c>
      <c r="B70" s="450">
        <f>IF(C$5=2016,"n/a",HLOOKUP($A$65,$E$65:$H$70,6,FALSE))</f>
        <v>5.7000000000000002E-2</v>
      </c>
      <c r="D70" s="451">
        <v>62733316.946996652</v>
      </c>
      <c r="E70" s="673">
        <v>0.30809999999999998</v>
      </c>
      <c r="F70" s="434">
        <v>5.7000000000000002E-2</v>
      </c>
      <c r="G70" s="434">
        <v>5.5E-2</v>
      </c>
      <c r="H70" s="452">
        <v>5.5E-2</v>
      </c>
    </row>
    <row r="71" spans="1:8">
      <c r="A71" s="429"/>
      <c r="B71" s="430"/>
      <c r="D71" s="453"/>
      <c r="E71" s="454"/>
      <c r="F71" s="455"/>
      <c r="G71" s="455"/>
      <c r="H71" s="454"/>
    </row>
    <row r="72" spans="1:8" ht="13.5" thickBot="1">
      <c r="A72" s="456" t="str">
        <f>"Xt for"&amp;C$5</f>
        <v>Xt for2018</v>
      </c>
      <c r="B72" s="457">
        <f>VLOOKUP(C$3,A66:B70,2,FALSE)</f>
        <v>7.6700000000000004E-2</v>
      </c>
      <c r="D72" s="458">
        <f>VLOOKUP($C$3,$A$66:$H$70,4,FALSE)</f>
        <v>32973195.03847561</v>
      </c>
      <c r="E72" s="438">
        <f>VLOOKUP($C$3,$A$66:$H$70,5,FALSE)</f>
        <v>0.14019999999999999</v>
      </c>
      <c r="F72" s="437">
        <f>VLOOKUP($C$3,$A$66:$H$70,6,FALSE)</f>
        <v>7.6700000000000004E-2</v>
      </c>
      <c r="G72" s="438">
        <f>VLOOKUP($C$3,$A$66:$H$70,7,FALSE)</f>
        <v>7.4999999999999997E-2</v>
      </c>
      <c r="H72" s="437">
        <f>VLOOKUP($C$3,$A$66:$H$70,8,FALSE)</f>
        <v>7.4999999999999997E-2</v>
      </c>
    </row>
    <row r="76" spans="1:8">
      <c r="A76" s="446" t="s">
        <v>360</v>
      </c>
      <c r="D76" s="459"/>
    </row>
    <row r="77" spans="1:8">
      <c r="A77" s="421" t="s">
        <v>335</v>
      </c>
      <c r="B77" s="422"/>
      <c r="C77" s="404"/>
      <c r="D77" s="423"/>
      <c r="E77" s="423"/>
      <c r="F77" s="423"/>
      <c r="G77" s="424"/>
      <c r="H77" s="423"/>
    </row>
    <row r="78" spans="1:8">
      <c r="A78" s="425" t="str">
        <f>"rptw for "&amp;C$5</f>
        <v>rptw for 2018</v>
      </c>
      <c r="B78" s="426"/>
      <c r="C78" s="197"/>
      <c r="D78" s="427" t="s">
        <v>330</v>
      </c>
      <c r="E78" s="427" t="s">
        <v>331</v>
      </c>
      <c r="F78" s="427" t="s">
        <v>332</v>
      </c>
      <c r="G78" s="428" t="s">
        <v>333</v>
      </c>
      <c r="H78" s="427" t="s">
        <v>334</v>
      </c>
    </row>
    <row r="79" spans="1:8">
      <c r="A79" s="429" t="str">
        <f>$A$54</f>
        <v>Jemena</v>
      </c>
      <c r="B79" s="430">
        <f>HLOOKUP($A$78,$D$78:$H$83,2,FALSE)</f>
        <v>4.6119496184403141E-2</v>
      </c>
      <c r="C79" s="404"/>
      <c r="D79" s="431">
        <v>4.7233747078506916E-2</v>
      </c>
      <c r="E79" s="672">
        <v>4.6635535420744167E-2</v>
      </c>
      <c r="F79" s="434">
        <v>4.6119496184403141E-2</v>
      </c>
      <c r="G79" s="625"/>
      <c r="H79" s="624"/>
    </row>
    <row r="80" spans="1:8">
      <c r="A80" s="429" t="str">
        <f>$A$55</f>
        <v>CitiPower</v>
      </c>
      <c r="B80" s="430">
        <f>HLOOKUP($A$78,$D$78:$H$83,3,FALSE)</f>
        <v>4.3398745398363081E-2</v>
      </c>
      <c r="C80" s="404"/>
      <c r="D80" s="431">
        <v>4.4468566781553198E-2</v>
      </c>
      <c r="E80" s="672">
        <v>4.3895963698710627E-2</v>
      </c>
      <c r="F80" s="434">
        <v>4.3398745398363081E-2</v>
      </c>
      <c r="G80" s="625"/>
      <c r="H80" s="624"/>
    </row>
    <row r="81" spans="1:10">
      <c r="A81" s="429" t="str">
        <f>$A$56</f>
        <v>Powercor</v>
      </c>
      <c r="B81" s="430">
        <f>HLOOKUP($A$78,$D$78:$H$83,4,FALSE)</f>
        <v>4.240106689588341E-2</v>
      </c>
      <c r="C81" s="404"/>
      <c r="D81" s="431">
        <v>4.3470888279073527E-2</v>
      </c>
      <c r="E81" s="672">
        <v>4.2898285196230956E-2</v>
      </c>
      <c r="F81" s="434">
        <v>4.240106689588341E-2</v>
      </c>
      <c r="G81" s="625"/>
      <c r="H81" s="624"/>
    </row>
    <row r="82" spans="1:10">
      <c r="A82" s="429" t="str">
        <f>$A$57</f>
        <v>AusNet Services</v>
      </c>
      <c r="B82" s="430">
        <f>HLOOKUP($A$78,$D$78:$H$83,5,FALSE)</f>
        <v>4.4635078632446534E-2</v>
      </c>
      <c r="C82" s="404"/>
      <c r="D82" s="431">
        <v>4.5338770460766176E-2</v>
      </c>
      <c r="E82" s="672">
        <v>4.4884194435220071E-2</v>
      </c>
      <c r="F82" s="434">
        <v>4.4635078632446534E-2</v>
      </c>
      <c r="G82" s="625"/>
      <c r="H82" s="624"/>
    </row>
    <row r="83" spans="1:10">
      <c r="A83" s="429" t="str">
        <f>$A$58</f>
        <v>United Energy</v>
      </c>
      <c r="B83" s="430">
        <f>HLOOKUP($A$78,$D$78:$H$83,6,FALSE)</f>
        <v>4.6985137877234795E-2</v>
      </c>
      <c r="C83" s="404"/>
      <c r="D83" s="431">
        <v>4.8191817712942786E-2</v>
      </c>
      <c r="E83" s="672">
        <v>4.7556495017062606E-2</v>
      </c>
      <c r="F83" s="434">
        <v>4.6985137877234795E-2</v>
      </c>
      <c r="G83" s="625"/>
      <c r="H83" s="624"/>
    </row>
    <row r="84" spans="1:10">
      <c r="A84" s="429"/>
      <c r="B84" s="430"/>
      <c r="C84" s="404"/>
      <c r="D84" s="431"/>
      <c r="E84" s="432"/>
      <c r="F84" s="431"/>
      <c r="G84" s="432"/>
      <c r="H84" s="431"/>
    </row>
    <row r="85" spans="1:10" ht="13.5" thickBot="1">
      <c r="A85" s="435" t="str">
        <f>"rptw (t) "&amp;C$5</f>
        <v>rptw (t) 2018</v>
      </c>
      <c r="B85" s="436">
        <f>VLOOKUP(C$3,A79:B83,2,FALSE)</f>
        <v>4.3398745398363081E-2</v>
      </c>
      <c r="C85" s="544" t="s">
        <v>412</v>
      </c>
      <c r="D85" s="437">
        <f>VLOOKUP($C$3,$A$79:$H$83,4,FALSE)</f>
        <v>4.4468566781553198E-2</v>
      </c>
      <c r="E85" s="438">
        <f>VLOOKUP($C$3,$A79:$H$83,5,FALSE)</f>
        <v>4.3895963698710627E-2</v>
      </c>
      <c r="F85" s="437">
        <f>VLOOKUP($C$3,$A$79:$H$83,6,FALSE)</f>
        <v>4.3398745398363081E-2</v>
      </c>
      <c r="G85" s="438">
        <f>VLOOKUP($C$3,$A$79:$H$83,7,FALSE)</f>
        <v>0</v>
      </c>
      <c r="H85" s="437">
        <f>VLOOKUP($C$3,$A$79:$H$83,8,FALSE)</f>
        <v>0</v>
      </c>
    </row>
    <row r="86" spans="1:10">
      <c r="A86" s="460"/>
      <c r="B86" s="439"/>
      <c r="D86" s="459"/>
    </row>
    <row r="87" spans="1:10">
      <c r="A87" s="440" t="str">
        <f>"rptw for "&amp;C$5-1</f>
        <v>rptw for 2017</v>
      </c>
      <c r="B87" s="461">
        <f>IF(C$5=2016,B$183,HLOOKUP($A87,D$78:H$85,8,FALSE))</f>
        <v>4.3895963698710627E-2</v>
      </c>
      <c r="C87" s="442" t="s">
        <v>383</v>
      </c>
      <c r="D87" s="459"/>
    </row>
    <row r="88" spans="1:10">
      <c r="A88" s="429"/>
      <c r="B88" s="443"/>
      <c r="D88" s="459"/>
    </row>
    <row r="89" spans="1:10" ht="13.5" thickBot="1">
      <c r="A89" s="444" t="str">
        <f>"rptw for "&amp;C$5-2</f>
        <v>rptw for 2016</v>
      </c>
      <c r="B89" s="462">
        <f>IF(OR(C$5=2016,C$5=2017),B$183,HLOOKUP($A89,D$78:H$85,8,FALSE))</f>
        <v>4.4468566781553198E-2</v>
      </c>
      <c r="C89" s="442" t="s">
        <v>384</v>
      </c>
      <c r="D89" s="459"/>
    </row>
    <row r="90" spans="1:10">
      <c r="D90" s="459"/>
    </row>
    <row r="91" spans="1:10">
      <c r="D91" s="459"/>
    </row>
    <row r="92" spans="1:10" ht="13.5" thickBot="1">
      <c r="D92" s="459"/>
    </row>
    <row r="93" spans="1:10">
      <c r="A93" s="463" t="s">
        <v>90</v>
      </c>
      <c r="B93" s="464">
        <f>$C$5</f>
        <v>2018</v>
      </c>
      <c r="C93" s="439"/>
      <c r="D93" s="465">
        <v>2016</v>
      </c>
      <c r="E93" s="466">
        <f>+D93+1</f>
        <v>2017</v>
      </c>
      <c r="F93" s="466">
        <f t="shared" ref="F93:H93" si="3">+E93+1</f>
        <v>2018</v>
      </c>
      <c r="G93" s="466">
        <f t="shared" si="3"/>
        <v>2019</v>
      </c>
      <c r="H93" s="466">
        <f t="shared" si="3"/>
        <v>2020</v>
      </c>
      <c r="I93" s="404"/>
      <c r="J93" s="404"/>
    </row>
    <row r="94" spans="1:10">
      <c r="A94" s="429" t="str">
        <f>$A$54</f>
        <v>Jemena</v>
      </c>
      <c r="B94" s="467">
        <f>HLOOKUP($B$93,$D$93:$H$98,2,FALSE)</f>
        <v>655000</v>
      </c>
      <c r="C94" s="468"/>
      <c r="D94" s="469">
        <v>-680000</v>
      </c>
      <c r="E94" s="470">
        <v>70000</v>
      </c>
      <c r="F94" s="470">
        <v>655000</v>
      </c>
      <c r="G94" s="470"/>
      <c r="H94" s="470"/>
      <c r="I94" s="404"/>
      <c r="J94" s="404"/>
    </row>
    <row r="95" spans="1:10">
      <c r="A95" s="429" t="str">
        <f>$A$55</f>
        <v>CitiPower</v>
      </c>
      <c r="B95" s="467">
        <f>HLOOKUP($B$93,$D$93:$H$98,3,FALSE)</f>
        <v>140000</v>
      </c>
      <c r="C95" s="468"/>
      <c r="D95" s="469">
        <v>-15000</v>
      </c>
      <c r="E95" s="470">
        <v>410000</v>
      </c>
      <c r="F95" s="470">
        <v>140000</v>
      </c>
      <c r="G95" s="470"/>
      <c r="H95" s="470"/>
      <c r="I95" s="404"/>
      <c r="J95" s="404"/>
    </row>
    <row r="96" spans="1:10">
      <c r="A96" s="429" t="str">
        <f>$A$56</f>
        <v>Powercor</v>
      </c>
      <c r="B96" s="467">
        <f>HLOOKUP($B$93,$D$93:$H$98,4,FALSE)</f>
        <v>1755000</v>
      </c>
      <c r="C96" s="468"/>
      <c r="D96" s="469">
        <v>-1530000</v>
      </c>
      <c r="E96" s="470">
        <v>1420000</v>
      </c>
      <c r="F96" s="470">
        <v>1755000</v>
      </c>
      <c r="G96" s="470"/>
      <c r="H96" s="470"/>
      <c r="I96" s="404"/>
      <c r="J96" s="404"/>
    </row>
    <row r="97" spans="1:10">
      <c r="A97" s="429" t="str">
        <f>$A$57</f>
        <v>AusNet Services</v>
      </c>
      <c r="B97" s="467">
        <f>HLOOKUP($B$93,$D$93:$H$98,5,FALSE)</f>
        <v>750000</v>
      </c>
      <c r="C97" s="468"/>
      <c r="D97" s="469">
        <v>1870000</v>
      </c>
      <c r="E97" s="470">
        <v>3420000</v>
      </c>
      <c r="F97" s="470">
        <v>750000</v>
      </c>
      <c r="G97" s="470"/>
      <c r="H97" s="470"/>
      <c r="I97" s="404"/>
      <c r="J97" s="404"/>
    </row>
    <row r="98" spans="1:10">
      <c r="A98" s="429" t="str">
        <f>$A$58</f>
        <v>United Energy</v>
      </c>
      <c r="B98" s="467">
        <f>HLOOKUP($B$93,$D$93:$H$98,6,FALSE)</f>
        <v>1000000</v>
      </c>
      <c r="C98" s="468"/>
      <c r="D98" s="469">
        <v>-2245000</v>
      </c>
      <c r="E98" s="470">
        <v>555000</v>
      </c>
      <c r="F98" s="470">
        <v>1000000</v>
      </c>
      <c r="G98" s="470"/>
      <c r="H98" s="470"/>
      <c r="I98" s="404"/>
      <c r="J98" s="404"/>
    </row>
    <row r="99" spans="1:10">
      <c r="A99" s="429"/>
      <c r="B99" s="404"/>
      <c r="C99" s="468"/>
      <c r="D99" s="471"/>
      <c r="E99" s="430"/>
      <c r="F99" s="430"/>
      <c r="G99" s="430"/>
      <c r="H99" s="430"/>
      <c r="I99" s="404"/>
      <c r="J99" s="404"/>
    </row>
    <row r="100" spans="1:10" ht="13.5" thickBot="1">
      <c r="A100" s="435" t="str">
        <f>"Ifactor (t) "&amp;C$5</f>
        <v>Ifactor (t) 2018</v>
      </c>
      <c r="B100" s="472">
        <f>VLOOKUP(C$3,A94:B98,2,FALSE)</f>
        <v>140000</v>
      </c>
      <c r="C100" s="473"/>
      <c r="D100" s="474">
        <f>VLOOKUP($C$3,$A$94:$H$98,4,FALSE)</f>
        <v>-15000</v>
      </c>
      <c r="E100" s="475">
        <f>VLOOKUP($C$3,$A$94:$H$98,5,FALSE)</f>
        <v>410000</v>
      </c>
      <c r="F100" s="475">
        <f>VLOOKUP($C$3,$A$94:$H$98,6,FALSE)</f>
        <v>140000</v>
      </c>
      <c r="G100" s="475">
        <f>VLOOKUP($C$3,$A$94:$H$98,7,FALSE)</f>
        <v>0</v>
      </c>
      <c r="H100" s="475">
        <f>VLOOKUP($C$3,$A$94:$H$98,8,FALSE)</f>
        <v>0</v>
      </c>
      <c r="I100" s="404"/>
      <c r="J100" s="404"/>
    </row>
    <row r="101" spans="1:10">
      <c r="D101" s="459"/>
    </row>
    <row r="102" spans="1:10">
      <c r="D102" s="459"/>
    </row>
    <row r="103" spans="1:10" ht="13.5" thickBot="1">
      <c r="D103" s="459"/>
    </row>
    <row r="104" spans="1:10">
      <c r="A104" s="463" t="s">
        <v>429</v>
      </c>
      <c r="B104" s="464">
        <f>$C$5</f>
        <v>2018</v>
      </c>
      <c r="C104" s="439"/>
      <c r="D104" s="465">
        <v>2016</v>
      </c>
      <c r="E104" s="466">
        <f>+D104+1</f>
        <v>2017</v>
      </c>
      <c r="F104" s="466">
        <f t="shared" ref="F104:H104" si="4">+E104+1</f>
        <v>2018</v>
      </c>
      <c r="G104" s="466">
        <f t="shared" si="4"/>
        <v>2019</v>
      </c>
      <c r="H104" s="466">
        <f t="shared" si="4"/>
        <v>2020</v>
      </c>
      <c r="I104" s="404"/>
      <c r="J104" s="404"/>
    </row>
    <row r="105" spans="1:10">
      <c r="A105" s="429" t="str">
        <f>$A$54</f>
        <v>Jemena</v>
      </c>
      <c r="B105" s="571">
        <f>HLOOKUP($B$104,$D$104:$H$109,2,FALSE)</f>
        <v>-3.9711537226499671E-2</v>
      </c>
      <c r="C105" s="468"/>
      <c r="D105" s="572">
        <v>3.997406405685925E-2</v>
      </c>
      <c r="E105" s="573">
        <v>1.4883104689629834E-2</v>
      </c>
      <c r="F105" s="573">
        <v>-3.9711537226499671E-2</v>
      </c>
      <c r="G105" s="573"/>
      <c r="H105" s="573"/>
      <c r="I105" s="404"/>
      <c r="J105" s="404"/>
    </row>
    <row r="106" spans="1:10">
      <c r="A106" s="429" t="str">
        <f>$A$55</f>
        <v>CitiPower</v>
      </c>
      <c r="B106" s="571">
        <f>HLOOKUP($B$104,$D$104:$H$109,3,FALSE)</f>
        <v>1.8570526636221274E-2</v>
      </c>
      <c r="C106" s="468"/>
      <c r="D106" s="572">
        <v>-1.2687890034873129E-2</v>
      </c>
      <c r="E106" s="573">
        <v>4.0321456836540648E-3</v>
      </c>
      <c r="F106" s="573">
        <v>1.8570526636221274E-2</v>
      </c>
      <c r="G106" s="573"/>
      <c r="H106" s="573"/>
      <c r="I106" s="404"/>
      <c r="J106" s="404"/>
    </row>
    <row r="107" spans="1:10">
      <c r="A107" s="429" t="str">
        <f>$A$56</f>
        <v>Powercor</v>
      </c>
      <c r="B107" s="571">
        <f>HLOOKUP($B$104,$D$104:$H$109,4,FALSE)</f>
        <v>-1.3841682273256106E-2</v>
      </c>
      <c r="C107" s="468"/>
      <c r="D107" s="572">
        <v>-1.184910821327374E-2</v>
      </c>
      <c r="E107" s="573">
        <v>5.1006485422781411E-2</v>
      </c>
      <c r="F107" s="573">
        <v>-1.3841682273256106E-2</v>
      </c>
      <c r="G107" s="573"/>
      <c r="H107" s="573"/>
      <c r="I107" s="404"/>
      <c r="J107" s="404"/>
    </row>
    <row r="108" spans="1:10">
      <c r="A108" s="429" t="str">
        <f>$A$57</f>
        <v>AusNet Services</v>
      </c>
      <c r="B108" s="571">
        <f>HLOOKUP($B$104,$D$104:$H$109,5,FALSE)</f>
        <v>-6.3433641222553572E-2</v>
      </c>
      <c r="C108" s="468"/>
      <c r="D108" s="572">
        <v>3.3573974889361931E-2</v>
      </c>
      <c r="E108" s="573">
        <v>3.2178765868161374E-2</v>
      </c>
      <c r="F108" s="573">
        <v>-6.3433641222553572E-2</v>
      </c>
      <c r="G108" s="573"/>
      <c r="H108" s="573"/>
      <c r="I108" s="404"/>
      <c r="J108" s="404"/>
    </row>
    <row r="109" spans="1:10">
      <c r="A109" s="429" t="str">
        <f>$A$58</f>
        <v>United Energy</v>
      </c>
      <c r="B109" s="571">
        <f>HLOOKUP($B$104,$D$104:$H$109,6,FALSE)</f>
        <v>2.2767038821999375E-2</v>
      </c>
      <c r="C109" s="468"/>
      <c r="D109" s="572">
        <v>-2.9478704479005153E-2</v>
      </c>
      <c r="E109" s="573">
        <v>2.8366723271978866E-2</v>
      </c>
      <c r="F109" s="573">
        <v>2.2767038821999375E-2</v>
      </c>
      <c r="G109" s="573"/>
      <c r="H109" s="573"/>
      <c r="I109" s="404"/>
      <c r="J109" s="404"/>
    </row>
    <row r="110" spans="1:10">
      <c r="A110" s="429"/>
      <c r="B110" s="574"/>
      <c r="C110" s="468"/>
      <c r="D110" s="471"/>
      <c r="E110" s="430"/>
      <c r="F110" s="430"/>
      <c r="G110" s="430"/>
      <c r="H110" s="430"/>
      <c r="I110" s="404"/>
      <c r="J110" s="404"/>
    </row>
    <row r="111" spans="1:10" ht="13.5" thickBot="1">
      <c r="A111" s="435" t="str">
        <f>"S factor (t) "&amp;C$5</f>
        <v>S factor (t) 2018</v>
      </c>
      <c r="B111" s="575">
        <f>VLOOKUP(C$3,A105:B109,2,FALSE)</f>
        <v>1.8570526636221274E-2</v>
      </c>
      <c r="C111" s="473"/>
      <c r="D111" s="576">
        <f>VLOOKUP($C$3,$A$105:$H$109,4,FALSE)</f>
        <v>-1.2687890034873129E-2</v>
      </c>
      <c r="E111" s="462">
        <f>VLOOKUP($C$3,$A$105:$H$109,5,FALSE)</f>
        <v>4.0321456836540648E-3</v>
      </c>
      <c r="F111" s="462">
        <f>VLOOKUP($C$3,$A$105:$H$109,6,FALSE)</f>
        <v>1.8570526636221274E-2</v>
      </c>
      <c r="G111" s="462">
        <f>VLOOKUP($C$3,$A$105:$H$109,7,FALSE)</f>
        <v>0</v>
      </c>
      <c r="H111" s="462">
        <f>VLOOKUP($C$3,$A$105:$H$109,8,FALSE)</f>
        <v>0</v>
      </c>
      <c r="I111" s="404"/>
      <c r="J111" s="404"/>
    </row>
    <row r="112" spans="1:10">
      <c r="D112" s="459"/>
    </row>
    <row r="113" spans="1:8">
      <c r="D113" s="459"/>
    </row>
    <row r="114" spans="1:8" ht="13.5" thickBot="1">
      <c r="D114" s="459"/>
    </row>
    <row r="115" spans="1:8">
      <c r="A115" s="463" t="s">
        <v>385</v>
      </c>
      <c r="B115" s="464">
        <f>$C$5</f>
        <v>2018</v>
      </c>
      <c r="C115" s="439"/>
      <c r="D115" s="465">
        <v>2016</v>
      </c>
      <c r="E115" s="466">
        <f>+D115+1</f>
        <v>2017</v>
      </c>
      <c r="F115" s="466">
        <f t="shared" ref="F115:H115" si="5">+E115+1</f>
        <v>2018</v>
      </c>
      <c r="G115" s="466">
        <f t="shared" si="5"/>
        <v>2019</v>
      </c>
      <c r="H115" s="466">
        <f t="shared" si="5"/>
        <v>2020</v>
      </c>
    </row>
    <row r="116" spans="1:8">
      <c r="A116" s="429" t="str">
        <f>$A$54</f>
        <v>Jemena</v>
      </c>
      <c r="B116" s="467">
        <f>HLOOKUP($B$115,$D$115:$H$120,2,FALSE)</f>
        <v>0</v>
      </c>
      <c r="C116" s="468"/>
      <c r="D116" s="469">
        <v>0</v>
      </c>
      <c r="E116" s="470">
        <v>0</v>
      </c>
      <c r="F116" s="470">
        <v>0</v>
      </c>
      <c r="G116" s="470"/>
      <c r="H116" s="470"/>
    </row>
    <row r="117" spans="1:8">
      <c r="A117" s="429" t="str">
        <f>$A$55</f>
        <v>CitiPower</v>
      </c>
      <c r="B117" s="467">
        <f>HLOOKUP($B$115,$D$115:$H$120,3,FALSE)</f>
        <v>0</v>
      </c>
      <c r="C117" s="468"/>
      <c r="D117" s="469">
        <v>0</v>
      </c>
      <c r="E117" s="470">
        <v>0</v>
      </c>
      <c r="F117" s="470">
        <v>0</v>
      </c>
      <c r="G117" s="470"/>
      <c r="H117" s="470"/>
    </row>
    <row r="118" spans="1:8">
      <c r="A118" s="429" t="str">
        <f>$A$56</f>
        <v>Powercor</v>
      </c>
      <c r="B118" s="467">
        <f>HLOOKUP($B$115,$D$115:$H$120,4,FALSE)</f>
        <v>0</v>
      </c>
      <c r="C118" s="468"/>
      <c r="D118" s="469">
        <v>0</v>
      </c>
      <c r="E118" s="470">
        <v>0</v>
      </c>
      <c r="F118" s="470">
        <v>0</v>
      </c>
      <c r="G118" s="470"/>
      <c r="H118" s="470"/>
    </row>
    <row r="119" spans="1:8">
      <c r="A119" s="570" t="str">
        <f>$A$57</f>
        <v>AusNet Services</v>
      </c>
      <c r="B119" s="467">
        <f>HLOOKUP($B$115,$D$115:$H$120,5,FALSE)</f>
        <v>0</v>
      </c>
      <c r="C119" s="468"/>
      <c r="D119" s="565">
        <f>-(5723000*(1+0.0975))</f>
        <v>-6280992.5</v>
      </c>
      <c r="E119" s="470">
        <v>0</v>
      </c>
      <c r="F119" s="470">
        <v>0</v>
      </c>
      <c r="G119" s="470"/>
      <c r="H119" s="470"/>
    </row>
    <row r="120" spans="1:8">
      <c r="A120" s="429" t="str">
        <f>$A$58</f>
        <v>United Energy</v>
      </c>
      <c r="B120" s="467">
        <f>HLOOKUP($B$115,$D$115:$H$120,6,FALSE)</f>
        <v>0</v>
      </c>
      <c r="C120" s="468"/>
      <c r="D120" s="469">
        <v>0</v>
      </c>
      <c r="E120" s="470">
        <v>0</v>
      </c>
      <c r="F120" s="470">
        <v>0</v>
      </c>
      <c r="G120" s="470"/>
      <c r="H120" s="470"/>
    </row>
    <row r="121" spans="1:8">
      <c r="A121" s="429"/>
      <c r="B121" s="404"/>
      <c r="C121" s="468"/>
      <c r="D121" s="471"/>
      <c r="E121" s="430"/>
      <c r="F121" s="430"/>
      <c r="G121" s="430"/>
      <c r="H121" s="430"/>
    </row>
    <row r="122" spans="1:8" ht="13.5" thickBot="1">
      <c r="A122" s="456" t="str">
        <f>"Pass through amounts (t) "&amp;C$5</f>
        <v>Pass through amounts (t) 2018</v>
      </c>
      <c r="B122" s="472">
        <f>VLOOKUP(C$3,A116:B120,2,FALSE)</f>
        <v>0</v>
      </c>
      <c r="C122" s="473"/>
      <c r="D122" s="474">
        <f>VLOOKUP($C$3,$A$116:$H$120,4,FALSE)</f>
        <v>0</v>
      </c>
      <c r="E122" s="475">
        <f>VLOOKUP($C$3,$A$116:$H$120,5,FALSE)</f>
        <v>0</v>
      </c>
      <c r="F122" s="475">
        <f>VLOOKUP($C$3,$A$116:$H$120,6,FALSE)</f>
        <v>0</v>
      </c>
      <c r="G122" s="475">
        <f>VLOOKUP($C$3,$A$116:$H$120,7,FALSE)</f>
        <v>0</v>
      </c>
      <c r="H122" s="475">
        <f>VLOOKUP($C$3,$A$116:$H$120,8,FALSE)</f>
        <v>0</v>
      </c>
    </row>
    <row r="123" spans="1:8">
      <c r="D123" s="459"/>
    </row>
    <row r="124" spans="1:8">
      <c r="D124" s="459"/>
    </row>
    <row r="125" spans="1:8" ht="13.5" thickBot="1">
      <c r="C125" s="681" t="s">
        <v>653</v>
      </c>
      <c r="D125" s="682" t="str">
        <f>TEXT(D126-2,"####")&amp;"-"&amp;RIGHT(TEXT(D126-1,"##"),2)</f>
        <v>2014-15</v>
      </c>
      <c r="E125" s="683" t="str">
        <f t="shared" ref="E125:H125" si="6">TEXT(E126-2,"####")&amp;"-"&amp;RIGHT(TEXT(E126-1,"##"),2)</f>
        <v>2015-16</v>
      </c>
      <c r="F125" s="683" t="str">
        <f t="shared" si="6"/>
        <v>2016-17</v>
      </c>
      <c r="G125" s="683" t="str">
        <f t="shared" si="6"/>
        <v>2017-18</v>
      </c>
      <c r="H125" s="683" t="str">
        <f t="shared" si="6"/>
        <v>2018-19</v>
      </c>
    </row>
    <row r="126" spans="1:8">
      <c r="A126" s="463" t="s">
        <v>428</v>
      </c>
      <c r="B126" s="464">
        <f>$C$5</f>
        <v>2018</v>
      </c>
      <c r="C126" s="439"/>
      <c r="D126" s="465">
        <v>2016</v>
      </c>
      <c r="E126" s="466">
        <f>+D126+1</f>
        <v>2017</v>
      </c>
      <c r="F126" s="466">
        <f t="shared" ref="F126:H126" si="7">+E126+1</f>
        <v>2018</v>
      </c>
      <c r="G126" s="466">
        <f t="shared" si="7"/>
        <v>2019</v>
      </c>
      <c r="H126" s="466">
        <f t="shared" si="7"/>
        <v>2020</v>
      </c>
    </row>
    <row r="127" spans="1:8">
      <c r="A127" s="429" t="str">
        <f>$A$54</f>
        <v>Jemena</v>
      </c>
      <c r="B127" s="467">
        <f>HLOOKUP($B$126,$D$126:$H$131,2,FALSE)</f>
        <v>76545</v>
      </c>
      <c r="C127" s="468"/>
      <c r="D127" s="469">
        <v>36033</v>
      </c>
      <c r="E127" s="470">
        <v>39516</v>
      </c>
      <c r="F127" s="470">
        <v>76545</v>
      </c>
      <c r="G127" s="470"/>
      <c r="H127" s="470"/>
    </row>
    <row r="128" spans="1:8">
      <c r="A128" s="429" t="str">
        <f>$A$55</f>
        <v>CitiPower</v>
      </c>
      <c r="B128" s="467">
        <f>HLOOKUP($B$126,$D$126:$H$131,3,FALSE)</f>
        <v>78091</v>
      </c>
      <c r="C128" s="468"/>
      <c r="D128" s="469">
        <v>36475</v>
      </c>
      <c r="E128" s="470">
        <v>40445</v>
      </c>
      <c r="F128" s="470">
        <v>78091</v>
      </c>
      <c r="G128" s="470"/>
      <c r="H128" s="470"/>
    </row>
    <row r="129" spans="1:8">
      <c r="A129" s="429" t="str">
        <f>$A$56</f>
        <v>Powercor</v>
      </c>
      <c r="B129" s="467">
        <f>HLOOKUP($B$126,$D$126:$H$131,4,FALSE)</f>
        <v>185081</v>
      </c>
      <c r="C129" s="468"/>
      <c r="D129" s="469">
        <v>85205</v>
      </c>
      <c r="E129" s="470">
        <v>94964</v>
      </c>
      <c r="F129" s="470">
        <v>185081</v>
      </c>
      <c r="G129" s="470"/>
      <c r="H129" s="470"/>
    </row>
    <row r="130" spans="1:8">
      <c r="A130" s="570" t="str">
        <f>$A$57</f>
        <v>AusNet Services</v>
      </c>
      <c r="B130" s="467">
        <f>HLOOKUP($B$126,$D$126:$H$131,5,FALSE)</f>
        <v>168235</v>
      </c>
      <c r="C130" s="468"/>
      <c r="D130" s="565">
        <v>74811</v>
      </c>
      <c r="E130" s="470">
        <v>85031</v>
      </c>
      <c r="F130" s="470">
        <v>168235</v>
      </c>
      <c r="G130" s="470"/>
      <c r="H130" s="470"/>
    </row>
    <row r="131" spans="1:8">
      <c r="A131" s="429" t="str">
        <f>$A$58</f>
        <v>United Energy</v>
      </c>
      <c r="B131" s="467">
        <f>HLOOKUP($B$126,$D$126:$H$131,6,FALSE)</f>
        <v>158262</v>
      </c>
      <c r="C131" s="468"/>
      <c r="D131" s="469">
        <v>74197</v>
      </c>
      <c r="E131" s="470">
        <v>81712</v>
      </c>
      <c r="F131" s="470">
        <v>158262</v>
      </c>
      <c r="G131" s="470"/>
      <c r="H131" s="470"/>
    </row>
    <row r="132" spans="1:8">
      <c r="A132" s="429"/>
      <c r="B132" s="404"/>
      <c r="C132" s="468"/>
      <c r="D132" s="471"/>
      <c r="E132" s="430"/>
      <c r="F132" s="430"/>
      <c r="G132" s="430"/>
      <c r="H132" s="430"/>
    </row>
    <row r="133" spans="1:8" ht="13.5" thickBot="1">
      <c r="A133" s="456" t="str">
        <f>"Licence Fee (t-1) "&amp;TEXT(C$5-2,"####")&amp;"-"&amp;RIGHT(TEXT(C$5-1,"##"),2)</f>
        <v>Licence Fee (t-1) 2016-17</v>
      </c>
      <c r="B133" s="472">
        <f>VLOOKUP(C$3,A127:B131,2,FALSE)</f>
        <v>78091</v>
      </c>
      <c r="C133" s="473"/>
      <c r="D133" s="474">
        <f>VLOOKUP($C$3,$A$127:$H$131,4,FALSE)</f>
        <v>36475</v>
      </c>
      <c r="E133" s="475">
        <f>VLOOKUP($C$3,$A$127:$H$131,5,FALSE)</f>
        <v>40445</v>
      </c>
      <c r="F133" s="475">
        <f>VLOOKUP($C$3,$A$127:$H$131,6,FALSE)</f>
        <v>78091</v>
      </c>
      <c r="G133" s="475">
        <f>VLOOKUP($C$3,$A$127:$H$131,7,FALSE)</f>
        <v>0</v>
      </c>
      <c r="H133" s="475">
        <f>VLOOKUP($C$3,$A$127:$H$131,8,FALSE)</f>
        <v>0</v>
      </c>
    </row>
    <row r="134" spans="1:8">
      <c r="D134" s="459"/>
    </row>
    <row r="135" spans="1:8">
      <c r="D135" s="459"/>
    </row>
    <row r="136" spans="1:8" ht="13.5" thickBot="1">
      <c r="D136" s="459"/>
    </row>
    <row r="137" spans="1:8">
      <c r="A137" s="463" t="s">
        <v>586</v>
      </c>
      <c r="B137" s="464">
        <f>$C$5</f>
        <v>2018</v>
      </c>
      <c r="C137" s="439"/>
      <c r="D137" s="465">
        <v>2016</v>
      </c>
      <c r="E137" s="466">
        <f>+D137+1</f>
        <v>2017</v>
      </c>
      <c r="F137" s="466">
        <f t="shared" ref="F137:H137" si="8">+E137+1</f>
        <v>2018</v>
      </c>
      <c r="G137" s="466">
        <f t="shared" si="8"/>
        <v>2019</v>
      </c>
      <c r="H137" s="466">
        <f t="shared" si="8"/>
        <v>2020</v>
      </c>
    </row>
    <row r="138" spans="1:8">
      <c r="A138" s="429" t="str">
        <f>$A$54</f>
        <v>Jemena</v>
      </c>
      <c r="B138" s="467">
        <f>HLOOKUP($B$137,$D$137:$H$142,2,FALSE)</f>
        <v>0</v>
      </c>
      <c r="C138" s="468"/>
      <c r="D138" s="626"/>
      <c r="E138" s="627">
        <f>H154</f>
        <v>-91286.962539198226</v>
      </c>
      <c r="F138" s="628"/>
      <c r="G138" s="628"/>
      <c r="H138" s="628"/>
    </row>
    <row r="139" spans="1:8">
      <c r="A139" s="429" t="str">
        <f>$A$55</f>
        <v>CitiPower</v>
      </c>
      <c r="B139" s="467">
        <f>HLOOKUP($B$137,$D$137:$H$142,3,FALSE)</f>
        <v>0</v>
      </c>
      <c r="C139" s="468"/>
      <c r="D139" s="626"/>
      <c r="E139" s="628"/>
      <c r="F139" s="628"/>
      <c r="G139" s="628"/>
      <c r="H139" s="628"/>
    </row>
    <row r="140" spans="1:8">
      <c r="A140" s="429" t="str">
        <f>$A$56</f>
        <v>Powercor</v>
      </c>
      <c r="B140" s="467">
        <f>HLOOKUP($B$137,$D$137:$H$142,4,FALSE)</f>
        <v>0</v>
      </c>
      <c r="C140" s="468"/>
      <c r="D140" s="626"/>
      <c r="E140" s="628"/>
      <c r="F140" s="628"/>
      <c r="G140" s="628"/>
      <c r="H140" s="628"/>
    </row>
    <row r="141" spans="1:8">
      <c r="A141" s="570" t="str">
        <f>$A$57</f>
        <v>AusNet Services</v>
      </c>
      <c r="B141" s="467">
        <f>HLOOKUP($B$137,$D$137:$H$142,5,FALSE)</f>
        <v>0</v>
      </c>
      <c r="C141" s="468"/>
      <c r="D141" s="626"/>
      <c r="E141" s="628"/>
      <c r="F141" s="628"/>
      <c r="G141" s="628"/>
      <c r="H141" s="628"/>
    </row>
    <row r="142" spans="1:8">
      <c r="A142" s="429" t="str">
        <f>$A$58</f>
        <v>United Energy</v>
      </c>
      <c r="B142" s="467">
        <f>HLOOKUP($B$137,$D$137:$H$142,6,FALSE)</f>
        <v>0</v>
      </c>
      <c r="C142" s="468"/>
      <c r="D142" s="626"/>
      <c r="E142" s="470">
        <f>H163</f>
        <v>-479908.40011946909</v>
      </c>
      <c r="F142" s="628"/>
      <c r="G142" s="628"/>
      <c r="H142" s="628"/>
    </row>
    <row r="143" spans="1:8">
      <c r="A143" s="429"/>
      <c r="B143" s="404"/>
      <c r="C143" s="468"/>
      <c r="D143" s="471"/>
      <c r="E143" s="430"/>
      <c r="F143" s="430"/>
      <c r="G143" s="430"/>
      <c r="H143" s="430"/>
    </row>
    <row r="144" spans="1:8" ht="13.5" thickBot="1">
      <c r="A144" s="435" t="str">
        <f>"T factor (t) "&amp;C$5</f>
        <v>T factor (t) 2018</v>
      </c>
      <c r="B144" s="472">
        <f>VLOOKUP(C$3,A138:B142,2,FALSE)</f>
        <v>0</v>
      </c>
      <c r="C144" s="473"/>
      <c r="D144" s="474">
        <f>VLOOKUP($C$3,$A$138:$H$142,4,FALSE)</f>
        <v>0</v>
      </c>
      <c r="E144" s="475">
        <f>VLOOKUP($C$3,$A$138:$H$142,5,FALSE)</f>
        <v>0</v>
      </c>
      <c r="F144" s="475">
        <f>VLOOKUP($C$3,$A$138:$H$142,6,FALSE)</f>
        <v>0</v>
      </c>
      <c r="G144" s="475">
        <f>VLOOKUP($C$3,$A$138:$H$142,7,FALSE)</f>
        <v>0</v>
      </c>
      <c r="H144" s="475">
        <f>VLOOKUP($C$3,$A$138:$H$142,8,FALSE)</f>
        <v>0</v>
      </c>
    </row>
    <row r="145" spans="1:13">
      <c r="D145" s="459"/>
    </row>
    <row r="146" spans="1:13">
      <c r="D146" s="459"/>
    </row>
    <row r="147" spans="1:13" ht="15">
      <c r="A147" s="629" t="s">
        <v>586</v>
      </c>
      <c r="B147" s="404"/>
      <c r="C147" s="404"/>
      <c r="D147" s="536"/>
      <c r="E147" s="404"/>
      <c r="F147" s="404"/>
      <c r="G147" s="404"/>
      <c r="H147" s="404"/>
      <c r="I147" s="404"/>
      <c r="J147" s="404"/>
      <c r="K147" s="404"/>
      <c r="L147" s="404"/>
      <c r="M147" s="404"/>
    </row>
    <row r="148" spans="1:13" ht="15">
      <c r="A148" s="630" t="s">
        <v>82</v>
      </c>
      <c r="B148" s="509"/>
      <c r="C148" s="631" t="s">
        <v>587</v>
      </c>
      <c r="D148" s="632">
        <v>2016</v>
      </c>
      <c r="E148" s="632">
        <v>2017</v>
      </c>
      <c r="F148" s="633"/>
      <c r="G148" s="633"/>
      <c r="H148" s="634"/>
      <c r="J148" s="404"/>
      <c r="K148" s="404"/>
      <c r="L148" s="404"/>
      <c r="M148" s="404"/>
    </row>
    <row r="149" spans="1:13" ht="15">
      <c r="A149" s="635" t="s">
        <v>588</v>
      </c>
      <c r="B149" s="404"/>
      <c r="C149" s="636"/>
      <c r="D149" s="637">
        <v>2.3230798209937155E-2</v>
      </c>
      <c r="E149" s="637">
        <v>2.3230798209937155E-2</v>
      </c>
      <c r="F149" s="638"/>
      <c r="G149" s="638"/>
      <c r="H149" s="639"/>
      <c r="J149" s="404"/>
      <c r="K149" s="404"/>
      <c r="L149" s="404"/>
      <c r="M149" s="404"/>
    </row>
    <row r="150" spans="1:13" ht="15">
      <c r="A150" s="640" t="s">
        <v>589</v>
      </c>
      <c r="B150" s="404"/>
      <c r="C150" s="637">
        <v>0.1033058647680111</v>
      </c>
      <c r="D150" s="641">
        <f>(1+D149)*(1+D37)-1</f>
        <v>6.3747626268139346E-2</v>
      </c>
      <c r="E150" s="641">
        <f>(1+E149)*(1+E37)-1</f>
        <v>6.3135517676068398E-2</v>
      </c>
      <c r="F150" s="638"/>
      <c r="G150" s="638"/>
      <c r="H150" s="639"/>
      <c r="J150" s="404"/>
      <c r="K150" s="404"/>
      <c r="L150" s="404"/>
      <c r="M150" s="404"/>
    </row>
    <row r="151" spans="1:13">
      <c r="A151" s="640"/>
      <c r="B151" s="404"/>
      <c r="C151" s="638"/>
      <c r="D151" s="638"/>
      <c r="E151" s="638"/>
      <c r="F151" s="638"/>
      <c r="G151" s="638"/>
      <c r="H151" s="639"/>
      <c r="J151" s="404"/>
      <c r="K151" s="404"/>
      <c r="L151" s="404"/>
      <c r="M151" s="404"/>
    </row>
    <row r="152" spans="1:13" ht="15">
      <c r="A152" s="640"/>
      <c r="B152" s="404"/>
      <c r="C152" s="632">
        <v>2011</v>
      </c>
      <c r="D152" s="632">
        <v>2012</v>
      </c>
      <c r="E152" s="632">
        <v>2013</v>
      </c>
      <c r="F152" s="632">
        <v>2014</v>
      </c>
      <c r="G152" s="632">
        <v>2015</v>
      </c>
      <c r="H152" s="642" t="s">
        <v>122</v>
      </c>
      <c r="J152" s="404"/>
      <c r="K152" s="404"/>
      <c r="L152" s="404"/>
      <c r="M152" s="404"/>
    </row>
    <row r="153" spans="1:13" ht="15">
      <c r="A153" s="640" t="s">
        <v>590</v>
      </c>
      <c r="B153" s="404"/>
      <c r="C153" s="643">
        <v>-263938</v>
      </c>
      <c r="D153" s="643">
        <v>-16375.399999999965</v>
      </c>
      <c r="E153" s="643">
        <v>163676.67136000004</v>
      </c>
      <c r="F153" s="643">
        <v>153066.62606841602</v>
      </c>
      <c r="G153" s="643">
        <v>125690.58545944223</v>
      </c>
      <c r="H153" s="644">
        <f>SUM(C153:G153)</f>
        <v>162120.48288785832</v>
      </c>
      <c r="J153" s="404"/>
      <c r="K153" s="404"/>
      <c r="L153" s="404"/>
      <c r="M153" s="404"/>
    </row>
    <row r="154" spans="1:13" ht="15">
      <c r="A154" s="640" t="s">
        <v>586</v>
      </c>
      <c r="B154" s="404"/>
      <c r="C154" s="645">
        <f>0-(C153/(1+$C150))*(1+$C150)^5*(1+$D150)*(1+$E150)</f>
        <v>442295.84533796879</v>
      </c>
      <c r="D154" s="645">
        <f>C154-(D153/(1+$C150))*(1+$C150)^4*(1+$D150)*(1+$E150)</f>
        <v>467167.62885189749</v>
      </c>
      <c r="E154" s="645">
        <f>D154-(E153/(1+$C150))*(1+$C150)^3*(1+$D150)*(1+$E150)</f>
        <v>241844.45017688599</v>
      </c>
      <c r="F154" s="645">
        <f>E154-(F153/(1+$C150))*(1+$C150)^2*(1+$D150)*(1+$E150)</f>
        <v>50857.51141715594</v>
      </c>
      <c r="G154" s="645">
        <f>F154-(G153/(1+$C150))*(1+$C150)^1*(1+$D150)*(1+$E150)</f>
        <v>-91286.962539198226</v>
      </c>
      <c r="H154" s="646">
        <f>G154</f>
        <v>-91286.962539198226</v>
      </c>
      <c r="J154" s="647"/>
      <c r="K154" s="404"/>
      <c r="L154" s="404"/>
      <c r="M154" s="404"/>
    </row>
    <row r="155" spans="1:13" ht="15">
      <c r="A155" s="648"/>
      <c r="B155" s="528"/>
      <c r="C155" s="649"/>
      <c r="D155" s="650"/>
      <c r="E155" s="650"/>
      <c r="F155" s="650"/>
      <c r="G155" s="651"/>
      <c r="H155" s="652"/>
      <c r="J155" s="404"/>
      <c r="K155" s="404"/>
      <c r="L155" s="404"/>
      <c r="M155" s="404"/>
    </row>
    <row r="156" spans="1:13">
      <c r="A156" s="640"/>
      <c r="B156" s="404"/>
      <c r="C156" s="536"/>
      <c r="D156" s="404"/>
      <c r="E156" s="404"/>
      <c r="F156" s="404"/>
      <c r="G156" s="404"/>
      <c r="H156" s="404"/>
      <c r="J156" s="404"/>
      <c r="K156" s="404"/>
      <c r="L156" s="404"/>
      <c r="M156" s="404"/>
    </row>
    <row r="157" spans="1:13" ht="15">
      <c r="A157" s="630" t="s">
        <v>591</v>
      </c>
      <c r="B157" s="509"/>
      <c r="C157" s="631" t="s">
        <v>587</v>
      </c>
      <c r="D157" s="632">
        <v>2016</v>
      </c>
      <c r="E157" s="632">
        <v>2017</v>
      </c>
      <c r="F157" s="633"/>
      <c r="G157" s="633"/>
      <c r="H157" s="634"/>
      <c r="J157" s="404"/>
      <c r="K157" s="404"/>
      <c r="L157" s="404"/>
      <c r="M157" s="404"/>
    </row>
    <row r="158" spans="1:13" ht="15">
      <c r="A158" s="635" t="s">
        <v>588</v>
      </c>
      <c r="B158" s="404"/>
      <c r="C158" s="636"/>
      <c r="D158" s="637">
        <v>2.3230798209937155E-2</v>
      </c>
      <c r="E158" s="637">
        <v>2.3230798209937155E-2</v>
      </c>
      <c r="F158" s="638"/>
      <c r="G158" s="638"/>
      <c r="H158" s="639"/>
      <c r="J158" s="404"/>
      <c r="K158" s="404"/>
      <c r="L158" s="404"/>
      <c r="M158" s="404"/>
    </row>
    <row r="159" spans="1:13" ht="15">
      <c r="A159" s="640" t="s">
        <v>589</v>
      </c>
      <c r="B159" s="404"/>
      <c r="C159" s="637">
        <v>9.4897728819182986E-2</v>
      </c>
      <c r="D159" s="641">
        <f>(1+D158)*(1+D41)-1</f>
        <v>6.3749224653787184E-2</v>
      </c>
      <c r="E159" s="641">
        <f>(1+E158)*(1+E41)-1</f>
        <v>6.3099142904560868E-2</v>
      </c>
      <c r="F159" s="638"/>
      <c r="G159" s="638"/>
      <c r="H159" s="639"/>
      <c r="J159" s="404"/>
      <c r="K159" s="404"/>
      <c r="L159" s="404"/>
      <c r="M159" s="404"/>
    </row>
    <row r="160" spans="1:13">
      <c r="A160" s="640"/>
      <c r="B160" s="404"/>
      <c r="C160" s="638"/>
      <c r="D160" s="638"/>
      <c r="E160" s="638"/>
      <c r="F160" s="638"/>
      <c r="G160" s="638"/>
      <c r="H160" s="639"/>
      <c r="J160" s="404"/>
      <c r="K160" s="404"/>
      <c r="L160" s="404"/>
      <c r="M160" s="404"/>
    </row>
    <row r="161" spans="1:13" ht="15">
      <c r="A161" s="640"/>
      <c r="B161" s="404"/>
      <c r="C161" s="632">
        <v>2011</v>
      </c>
      <c r="D161" s="632">
        <v>2012</v>
      </c>
      <c r="E161" s="632">
        <v>2013</v>
      </c>
      <c r="F161" s="632">
        <v>2014</v>
      </c>
      <c r="G161" s="632">
        <v>2015</v>
      </c>
      <c r="H161" s="642" t="s">
        <v>122</v>
      </c>
      <c r="J161" s="404"/>
      <c r="K161" s="404"/>
      <c r="L161" s="404"/>
      <c r="M161" s="404"/>
    </row>
    <row r="162" spans="1:13" ht="15">
      <c r="A162" s="640" t="s">
        <v>590</v>
      </c>
      <c r="B162" s="404"/>
      <c r="C162" s="643">
        <v>406960</v>
      </c>
      <c r="D162" s="643">
        <v>327739.20000000007</v>
      </c>
      <c r="E162" s="643">
        <v>91075.342720000073</v>
      </c>
      <c r="F162" s="643">
        <v>-227853.74786316796</v>
      </c>
      <c r="G162" s="643">
        <v>-450364.82908111555</v>
      </c>
      <c r="H162" s="644">
        <f>SUM(C162:G162)</f>
        <v>147555.96577571658</v>
      </c>
      <c r="J162" s="404"/>
      <c r="K162" s="404"/>
      <c r="L162" s="404"/>
      <c r="M162" s="404"/>
    </row>
    <row r="163" spans="1:13" ht="15">
      <c r="A163" s="640" t="s">
        <v>586</v>
      </c>
      <c r="B163" s="404"/>
      <c r="C163" s="645">
        <f>0-(C162/(1+$C159))*(1+$C159)^5*(1+$D159)*(1+$E159)</f>
        <v>-661392.04760761408</v>
      </c>
      <c r="D163" s="645">
        <f>C163-(D162/(1+$C159))*(1+$C159)^4*(1+$D159)*(1+$E159)</f>
        <v>-1147868.7858490096</v>
      </c>
      <c r="E163" s="645">
        <f>D163-(E162/(1+$C159))*(1+$C159)^3*(1+$D159)*(1+$E159)</f>
        <v>-1271338.6438105071</v>
      </c>
      <c r="F163" s="645">
        <f>E163-(F162/(1+$C159))*(1+$C159)^2*(1+$D159)*(1+$E159)</f>
        <v>-989212.87475443596</v>
      </c>
      <c r="G163" s="645">
        <f>F163-(G162/(1+$C159))*(1+$C159)^1*(1+$D159)*(1+$E159)</f>
        <v>-479908.40011946909</v>
      </c>
      <c r="H163" s="646">
        <f>G163</f>
        <v>-479908.40011946909</v>
      </c>
      <c r="J163" s="647"/>
      <c r="K163" s="404"/>
      <c r="L163" s="404"/>
      <c r="M163" s="404"/>
    </row>
    <row r="164" spans="1:13" ht="15">
      <c r="A164" s="648"/>
      <c r="B164" s="528"/>
      <c r="C164" s="528"/>
      <c r="D164" s="650"/>
      <c r="E164" s="650"/>
      <c r="F164" s="650"/>
      <c r="G164" s="650"/>
      <c r="H164" s="653"/>
      <c r="J164" s="404"/>
      <c r="K164" s="404"/>
      <c r="L164" s="404"/>
      <c r="M164" s="404"/>
    </row>
    <row r="165" spans="1:13">
      <c r="D165" s="459"/>
    </row>
    <row r="166" spans="1:13">
      <c r="D166" s="459"/>
    </row>
    <row r="167" spans="1:13">
      <c r="D167" s="459"/>
    </row>
    <row r="168" spans="1:13">
      <c r="D168" s="459"/>
    </row>
    <row r="169" spans="1:13">
      <c r="D169" s="459"/>
    </row>
    <row r="170" spans="1:13" ht="13.5" thickBot="1">
      <c r="D170" s="459"/>
      <c r="J170" s="404"/>
      <c r="K170" s="404"/>
    </row>
    <row r="171" spans="1:13">
      <c r="A171" s="460"/>
      <c r="B171" s="486"/>
      <c r="C171" s="486"/>
      <c r="D171" s="487"/>
      <c r="E171" s="486"/>
      <c r="F171" s="486"/>
      <c r="G171" s="486"/>
      <c r="H171" s="486"/>
      <c r="I171" s="439"/>
      <c r="J171" s="404"/>
      <c r="K171" s="404"/>
    </row>
    <row r="172" spans="1:13" ht="18">
      <c r="A172" s="540" t="s">
        <v>104</v>
      </c>
      <c r="B172" s="404"/>
      <c r="C172" s="404"/>
      <c r="D172" s="536"/>
      <c r="E172" s="404"/>
      <c r="F172" s="404"/>
      <c r="G172" s="404"/>
      <c r="H172" s="404"/>
      <c r="I172" s="468"/>
      <c r="J172" s="404"/>
      <c r="K172" s="404"/>
    </row>
    <row r="173" spans="1:13">
      <c r="A173" s="429"/>
      <c r="B173" s="404"/>
      <c r="C173" s="404"/>
      <c r="D173" s="536"/>
      <c r="E173" s="404"/>
      <c r="F173" s="404"/>
      <c r="G173" s="404"/>
      <c r="H173" s="404"/>
      <c r="I173" s="468"/>
      <c r="J173" s="404"/>
      <c r="K173" s="404"/>
    </row>
    <row r="174" spans="1:13" ht="13.5" thickBot="1">
      <c r="A174" s="537" t="s">
        <v>360</v>
      </c>
      <c r="B174" s="404"/>
      <c r="C174" s="404"/>
      <c r="D174" s="536"/>
      <c r="E174" s="404"/>
      <c r="F174" s="404"/>
      <c r="G174" s="404"/>
      <c r="H174" s="404"/>
      <c r="I174" s="468"/>
      <c r="J174" s="404"/>
      <c r="K174" s="404"/>
    </row>
    <row r="175" spans="1:13" s="479" customFormat="1">
      <c r="A175" s="476" t="s">
        <v>420</v>
      </c>
      <c r="B175" s="477"/>
      <c r="C175" s="478"/>
      <c r="D175" s="561" t="s">
        <v>419</v>
      </c>
      <c r="E175" s="562"/>
      <c r="F175" s="563"/>
      <c r="G175" s="478"/>
      <c r="H175" s="478"/>
      <c r="I175" s="538"/>
      <c r="J175" s="478"/>
      <c r="K175" s="478"/>
    </row>
    <row r="176" spans="1:13" s="479" customFormat="1">
      <c r="A176" s="480"/>
      <c r="B176" s="481"/>
      <c r="C176" s="482"/>
      <c r="D176" s="484"/>
      <c r="E176" s="478"/>
      <c r="F176" s="538"/>
      <c r="G176" s="478"/>
      <c r="H176" s="478"/>
      <c r="I176" s="538"/>
      <c r="J176" s="478"/>
      <c r="K176" s="478"/>
    </row>
    <row r="177" spans="1:12" s="479" customFormat="1">
      <c r="A177" s="429" t="str">
        <f>$A$54</f>
        <v>Jemena</v>
      </c>
      <c r="B177" s="483">
        <v>8.6999999999999994E-2</v>
      </c>
      <c r="C177" s="404"/>
      <c r="D177" s="429" t="str">
        <f>$A$54</f>
        <v>Jemena</v>
      </c>
      <c r="E177" s="404"/>
      <c r="F177" s="483">
        <v>7.5600000000000001E-2</v>
      </c>
      <c r="G177" s="404"/>
      <c r="H177" s="478"/>
      <c r="I177" s="538"/>
      <c r="J177" s="478"/>
      <c r="K177" s="478"/>
    </row>
    <row r="178" spans="1:12" s="479" customFormat="1">
      <c r="A178" s="429" t="str">
        <f>$A$55</f>
        <v>CitiPower</v>
      </c>
      <c r="B178" s="483">
        <v>7.8600000000000003E-2</v>
      </c>
      <c r="C178" s="478"/>
      <c r="D178" s="429" t="str">
        <f>$A$55</f>
        <v>CitiPower</v>
      </c>
      <c r="E178" s="478"/>
      <c r="F178" s="483">
        <v>6.7400000000000002E-2</v>
      </c>
      <c r="G178" s="478"/>
      <c r="H178" s="478"/>
      <c r="I178" s="538"/>
      <c r="J178" s="478"/>
      <c r="K178" s="478"/>
    </row>
    <row r="179" spans="1:12" s="479" customFormat="1">
      <c r="A179" s="429" t="str">
        <f>$A$56</f>
        <v>Powercor</v>
      </c>
      <c r="B179" s="483">
        <v>7.7600000000000002E-2</v>
      </c>
      <c r="C179" s="478"/>
      <c r="D179" s="429" t="str">
        <f>$A$56</f>
        <v>Powercor</v>
      </c>
      <c r="E179" s="478"/>
      <c r="F179" s="483">
        <v>6.7400000000000002E-2</v>
      </c>
      <c r="G179" s="478"/>
      <c r="H179" s="478"/>
      <c r="I179" s="538"/>
      <c r="J179" s="478"/>
      <c r="K179" s="478"/>
    </row>
    <row r="180" spans="1:12" s="479" customFormat="1">
      <c r="A180" s="429" t="str">
        <f>$A$57</f>
        <v>AusNet Services</v>
      </c>
      <c r="B180" s="483">
        <v>7.8E-2</v>
      </c>
      <c r="C180" s="478"/>
      <c r="D180" s="429" t="str">
        <f>$A$57</f>
        <v>AusNet Services</v>
      </c>
      <c r="E180" s="478"/>
      <c r="F180" s="483">
        <v>6.9900000000000004E-2</v>
      </c>
      <c r="G180" s="478"/>
      <c r="H180" s="478"/>
      <c r="I180" s="538"/>
      <c r="J180" s="478"/>
      <c r="K180" s="478"/>
    </row>
    <row r="181" spans="1:12" s="479" customFormat="1">
      <c r="A181" s="429" t="str">
        <f>$A$58</f>
        <v>United Energy</v>
      </c>
      <c r="B181" s="483">
        <v>7.9100000000000004E-2</v>
      </c>
      <c r="C181" s="478"/>
      <c r="D181" s="429" t="str">
        <f>$A$58</f>
        <v>United Energy</v>
      </c>
      <c r="E181" s="478"/>
      <c r="F181" s="483">
        <v>6.7400000000000002E-2</v>
      </c>
      <c r="G181" s="478"/>
      <c r="H181" s="478"/>
      <c r="I181" s="538"/>
      <c r="J181" s="478"/>
      <c r="K181" s="478"/>
    </row>
    <row r="182" spans="1:12" s="479" customFormat="1">
      <c r="A182" s="484"/>
      <c r="B182" s="430"/>
      <c r="C182" s="478"/>
      <c r="D182" s="484"/>
      <c r="E182" s="478"/>
      <c r="F182" s="430"/>
      <c r="G182" s="478"/>
      <c r="H182" s="478"/>
      <c r="I182" s="538"/>
      <c r="J182" s="478"/>
      <c r="K182" s="478"/>
    </row>
    <row r="183" spans="1:12" s="479" customFormat="1" ht="15" thickBot="1">
      <c r="A183" s="485" t="s">
        <v>408</v>
      </c>
      <c r="B183" s="436">
        <f>VLOOKUP($C$3,A177:B181,2,FALSE)</f>
        <v>7.8600000000000003E-2</v>
      </c>
      <c r="C183" s="478"/>
      <c r="D183" s="560" t="s">
        <v>421</v>
      </c>
      <c r="E183" s="564"/>
      <c r="F183" s="436">
        <f>VLOOKUP($C$3,D177:F181,3,FALSE)</f>
        <v>6.7400000000000002E-2</v>
      </c>
      <c r="G183" s="478"/>
      <c r="H183" s="478"/>
      <c r="I183" s="538"/>
      <c r="J183" s="478"/>
      <c r="K183" s="478"/>
    </row>
    <row r="184" spans="1:12">
      <c r="A184" s="429"/>
      <c r="B184" s="404"/>
      <c r="C184" s="404"/>
      <c r="D184" s="536"/>
      <c r="E184" s="404"/>
      <c r="F184" s="404"/>
      <c r="G184" s="404"/>
      <c r="H184" s="404"/>
      <c r="I184" s="468"/>
      <c r="J184" s="404"/>
      <c r="K184" s="404"/>
    </row>
    <row r="185" spans="1:12">
      <c r="A185" s="429"/>
      <c r="B185" s="404"/>
      <c r="C185" s="404"/>
      <c r="D185" s="536"/>
      <c r="E185" s="404"/>
      <c r="F185" s="404"/>
      <c r="G185" s="404"/>
      <c r="H185" s="404"/>
      <c r="I185" s="468"/>
      <c r="J185" s="404"/>
      <c r="K185" s="404"/>
    </row>
    <row r="186" spans="1:12" ht="13.5" thickBot="1">
      <c r="A186" s="534"/>
      <c r="B186" s="535"/>
      <c r="C186" s="535"/>
      <c r="D186" s="539"/>
      <c r="E186" s="535"/>
      <c r="F186" s="535"/>
      <c r="G186" s="535"/>
      <c r="H186" s="535"/>
      <c r="I186" s="473"/>
      <c r="J186" s="404"/>
      <c r="K186" s="404"/>
    </row>
    <row r="187" spans="1:12">
      <c r="A187" s="460"/>
      <c r="B187" s="486"/>
      <c r="C187" s="486"/>
      <c r="D187" s="487"/>
      <c r="E187" s="486"/>
      <c r="F187" s="486"/>
      <c r="G187" s="486"/>
      <c r="H187" s="486"/>
      <c r="I187" s="439"/>
      <c r="J187" s="404"/>
      <c r="K187" s="404"/>
    </row>
    <row r="188" spans="1:12">
      <c r="A188" s="488" t="s">
        <v>86</v>
      </c>
      <c r="B188" s="404"/>
      <c r="C188" s="404"/>
      <c r="D188" s="404"/>
      <c r="E188" s="489">
        <v>2014</v>
      </c>
      <c r="F188" s="489">
        <v>2015</v>
      </c>
      <c r="G188" s="404"/>
      <c r="H188" s="404"/>
      <c r="I188" s="468"/>
      <c r="J188" s="404"/>
      <c r="K188" s="404"/>
    </row>
    <row r="189" spans="1:12">
      <c r="A189" s="429"/>
      <c r="B189" s="404"/>
      <c r="C189" s="404"/>
      <c r="D189" s="404"/>
      <c r="E189" s="404"/>
      <c r="F189" s="404"/>
      <c r="G189" s="404"/>
      <c r="H189" s="404"/>
      <c r="I189" s="468"/>
      <c r="J189" s="404"/>
      <c r="K189" s="404"/>
    </row>
    <row r="190" spans="1:12">
      <c r="A190" s="490" t="str">
        <f>A204</f>
        <v>F Factor pass through</v>
      </c>
      <c r="B190" s="404"/>
      <c r="C190" s="404"/>
      <c r="D190" s="404"/>
      <c r="E190" s="491">
        <f>B204</f>
        <v>10000</v>
      </c>
      <c r="F190" s="491">
        <f>C204</f>
        <v>-65000</v>
      </c>
      <c r="G190" s="404"/>
      <c r="H190" s="404"/>
      <c r="I190" s="468"/>
      <c r="J190" s="404"/>
      <c r="K190" s="404"/>
      <c r="L190" s="492"/>
    </row>
    <row r="191" spans="1:12">
      <c r="A191" s="490" t="s">
        <v>87</v>
      </c>
      <c r="B191" s="404"/>
      <c r="C191" s="404"/>
      <c r="D191" s="404"/>
      <c r="E191" s="493">
        <f>B215</f>
        <v>0</v>
      </c>
      <c r="F191" s="493">
        <f>C215</f>
        <v>0</v>
      </c>
      <c r="G191" s="404"/>
      <c r="H191" s="404"/>
      <c r="I191" s="468"/>
      <c r="J191" s="404"/>
      <c r="K191" s="404"/>
    </row>
    <row r="192" spans="1:12">
      <c r="A192" s="490" t="s">
        <v>88</v>
      </c>
      <c r="B192" s="404"/>
      <c r="C192" s="404"/>
      <c r="D192" s="404"/>
      <c r="E192" s="493">
        <f>B226</f>
        <v>0</v>
      </c>
      <c r="F192" s="493">
        <f>C226</f>
        <v>0</v>
      </c>
      <c r="G192" s="404"/>
      <c r="H192" s="404"/>
      <c r="I192" s="468"/>
      <c r="J192" s="404"/>
      <c r="K192" s="404"/>
    </row>
    <row r="193" spans="1:12" ht="13.5" thickBot="1">
      <c r="A193" s="494" t="s">
        <v>89</v>
      </c>
      <c r="B193" s="187"/>
      <c r="C193" s="187"/>
      <c r="D193" s="187"/>
      <c r="E193" s="495">
        <f t="shared" ref="E193" si="9">SUM(E190:E192)</f>
        <v>10000</v>
      </c>
      <c r="F193" s="495">
        <f>SUM(F190:F192)</f>
        <v>-65000</v>
      </c>
      <c r="G193" s="404"/>
      <c r="H193" s="404"/>
      <c r="I193" s="468"/>
      <c r="J193" s="404"/>
      <c r="K193" s="404"/>
      <c r="L193" s="496"/>
    </row>
    <row r="194" spans="1:12" s="501" customFormat="1" ht="13.5" thickTop="1">
      <c r="A194" s="497"/>
      <c r="B194" s="498"/>
      <c r="C194" s="498"/>
      <c r="D194" s="498"/>
      <c r="E194" s="499"/>
      <c r="F194" s="499"/>
      <c r="G194" s="499"/>
      <c r="H194" s="498"/>
      <c r="I194" s="500"/>
      <c r="J194" s="498"/>
      <c r="K194" s="498"/>
    </row>
    <row r="195" spans="1:12">
      <c r="A195" s="429"/>
      <c r="B195" s="404"/>
      <c r="C195" s="404"/>
      <c r="D195" s="404"/>
      <c r="E195" s="404"/>
      <c r="F195" s="404"/>
      <c r="G195" s="404"/>
      <c r="H195" s="404"/>
      <c r="I195" s="468"/>
      <c r="J195" s="404"/>
      <c r="K195" s="404"/>
    </row>
    <row r="196" spans="1:12" ht="13.5" thickBot="1">
      <c r="A196" s="429"/>
      <c r="B196" s="404"/>
      <c r="C196" s="404"/>
      <c r="D196" s="404"/>
      <c r="E196" s="404"/>
      <c r="F196" s="404"/>
      <c r="G196" s="404"/>
      <c r="H196" s="404"/>
      <c r="I196" s="468"/>
      <c r="J196" s="404"/>
      <c r="K196" s="404"/>
    </row>
    <row r="197" spans="1:12">
      <c r="A197" s="463" t="s">
        <v>90</v>
      </c>
      <c r="B197" s="502">
        <v>2014</v>
      </c>
      <c r="C197" s="466">
        <v>2015</v>
      </c>
      <c r="D197" s="404"/>
      <c r="E197" s="404"/>
      <c r="F197" s="404"/>
      <c r="G197" s="404"/>
      <c r="H197" s="404"/>
      <c r="I197" s="468"/>
      <c r="J197" s="404"/>
      <c r="K197" s="404"/>
    </row>
    <row r="198" spans="1:12">
      <c r="A198" s="429" t="str">
        <f>$A$54</f>
        <v>Jemena</v>
      </c>
      <c r="B198" s="503">
        <v>370000</v>
      </c>
      <c r="C198" s="470">
        <v>-855000</v>
      </c>
      <c r="D198" s="404"/>
      <c r="E198" s="404"/>
      <c r="F198" s="404"/>
      <c r="G198" s="404"/>
      <c r="H198" s="404"/>
      <c r="I198" s="468"/>
      <c r="J198" s="404"/>
      <c r="K198" s="404"/>
    </row>
    <row r="199" spans="1:12">
      <c r="A199" s="429" t="str">
        <f>$A$55</f>
        <v>CitiPower</v>
      </c>
      <c r="B199" s="503">
        <v>10000</v>
      </c>
      <c r="C199" s="470">
        <v>-65000</v>
      </c>
      <c r="D199" s="404"/>
      <c r="E199" s="404"/>
      <c r="F199" s="404"/>
      <c r="G199" s="404"/>
      <c r="H199" s="404"/>
      <c r="I199" s="468"/>
      <c r="J199" s="404"/>
      <c r="K199" s="404"/>
    </row>
    <row r="200" spans="1:12">
      <c r="A200" s="429" t="str">
        <f>$A$56</f>
        <v>Powercor</v>
      </c>
      <c r="B200" s="503">
        <v>2470000</v>
      </c>
      <c r="C200" s="470">
        <v>-2405000</v>
      </c>
      <c r="D200" s="404"/>
      <c r="E200" s="404"/>
      <c r="F200" s="404"/>
      <c r="G200" s="404"/>
      <c r="H200" s="404"/>
      <c r="I200" s="468"/>
      <c r="J200" s="404"/>
      <c r="K200" s="404"/>
    </row>
    <row r="201" spans="1:12">
      <c r="A201" s="429" t="str">
        <f>$A$57</f>
        <v>AusNet Services</v>
      </c>
      <c r="B201" s="503">
        <v>1970000</v>
      </c>
      <c r="C201" s="470">
        <v>2020000</v>
      </c>
      <c r="D201" s="404"/>
      <c r="E201" s="404"/>
      <c r="F201" s="404"/>
      <c r="G201" s="404"/>
      <c r="H201" s="404"/>
      <c r="I201" s="468"/>
      <c r="J201" s="404"/>
      <c r="K201" s="404"/>
    </row>
    <row r="202" spans="1:12">
      <c r="A202" s="429" t="str">
        <f>$A$58</f>
        <v>United Energy</v>
      </c>
      <c r="B202" s="503">
        <v>980000</v>
      </c>
      <c r="C202" s="470">
        <v>-70000</v>
      </c>
      <c r="D202" s="404"/>
      <c r="E202" s="404"/>
      <c r="F202" s="404"/>
      <c r="G202" s="404"/>
      <c r="H202" s="404"/>
      <c r="I202" s="468"/>
      <c r="J202" s="404"/>
      <c r="K202" s="404"/>
    </row>
    <row r="203" spans="1:12">
      <c r="A203" s="429"/>
      <c r="B203" s="504"/>
      <c r="C203" s="430"/>
      <c r="D203" s="404"/>
      <c r="E203" s="404"/>
      <c r="F203" s="404"/>
      <c r="G203" s="404"/>
      <c r="H203" s="404"/>
      <c r="I203" s="468"/>
      <c r="J203" s="404"/>
      <c r="K203" s="404"/>
    </row>
    <row r="204" spans="1:12" ht="13.5" thickBot="1">
      <c r="A204" s="505" t="s">
        <v>91</v>
      </c>
      <c r="B204" s="506">
        <f>VLOOKUP($C$3,$A$198:$C$202,2,FALSE)</f>
        <v>10000</v>
      </c>
      <c r="C204" s="475">
        <f>VLOOKUP($C$3,$A$198:$C$202,3,FALSE)</f>
        <v>-65000</v>
      </c>
      <c r="D204" s="404"/>
      <c r="E204" s="404"/>
      <c r="F204" s="404"/>
      <c r="G204" s="404"/>
      <c r="H204" s="404"/>
      <c r="I204" s="468"/>
      <c r="J204" s="404"/>
      <c r="K204" s="404"/>
    </row>
    <row r="205" spans="1:12">
      <c r="A205" s="429"/>
      <c r="B205" s="404"/>
      <c r="C205" s="404"/>
      <c r="D205" s="404"/>
      <c r="E205" s="404"/>
      <c r="F205" s="404"/>
      <c r="G205" s="404"/>
      <c r="H205" s="404"/>
      <c r="I205" s="468"/>
      <c r="J205" s="404"/>
      <c r="K205" s="404"/>
    </row>
    <row r="206" spans="1:12">
      <c r="A206" s="429"/>
      <c r="B206" s="404"/>
      <c r="C206" s="404"/>
      <c r="D206" s="404"/>
      <c r="E206" s="404"/>
      <c r="F206" s="404"/>
      <c r="G206" s="404"/>
      <c r="H206" s="404"/>
      <c r="I206" s="468"/>
      <c r="J206" s="404"/>
      <c r="K206" s="404"/>
    </row>
    <row r="207" spans="1:12" ht="13.5" thickBot="1">
      <c r="A207" s="429"/>
      <c r="B207" s="404"/>
      <c r="C207" s="404"/>
      <c r="D207" s="404"/>
      <c r="E207" s="404"/>
      <c r="F207" s="404"/>
      <c r="G207" s="404"/>
      <c r="H207" s="404"/>
      <c r="I207" s="468"/>
      <c r="J207" s="404"/>
      <c r="K207" s="404"/>
    </row>
    <row r="208" spans="1:12">
      <c r="A208" s="463" t="s">
        <v>87</v>
      </c>
      <c r="B208" s="502">
        <v>2014</v>
      </c>
      <c r="C208" s="466">
        <v>2015</v>
      </c>
      <c r="D208" s="404"/>
      <c r="E208" s="404"/>
      <c r="F208" s="404"/>
      <c r="G208" s="404"/>
      <c r="H208" s="404"/>
      <c r="I208" s="468"/>
      <c r="J208" s="404"/>
      <c r="K208" s="404"/>
    </row>
    <row r="209" spans="1:11">
      <c r="A209" s="429" t="str">
        <f>$A$54</f>
        <v>Jemena</v>
      </c>
      <c r="B209" s="503">
        <v>0</v>
      </c>
      <c r="C209" s="470">
        <v>0</v>
      </c>
      <c r="D209" s="404"/>
      <c r="E209" s="404"/>
      <c r="F209" s="404"/>
      <c r="G209" s="404"/>
      <c r="H209" s="404"/>
      <c r="I209" s="468"/>
      <c r="J209" s="404"/>
      <c r="K209" s="404"/>
    </row>
    <row r="210" spans="1:11">
      <c r="A210" s="429" t="str">
        <f>$A$55</f>
        <v>CitiPower</v>
      </c>
      <c r="B210" s="503">
        <v>0</v>
      </c>
      <c r="C210" s="470">
        <v>0</v>
      </c>
      <c r="D210" s="404"/>
      <c r="E210" s="404"/>
      <c r="F210" s="404"/>
      <c r="G210" s="404"/>
      <c r="H210" s="404"/>
      <c r="I210" s="468"/>
      <c r="J210" s="404"/>
      <c r="K210" s="404"/>
    </row>
    <row r="211" spans="1:11">
      <c r="A211" s="429" t="str">
        <f>$A$56</f>
        <v>Powercor</v>
      </c>
      <c r="B211" s="503">
        <f>H245</f>
        <v>7193170.4538582545</v>
      </c>
      <c r="C211" s="470">
        <f>I245</f>
        <v>8768550.3783121537</v>
      </c>
      <c r="D211" s="404"/>
      <c r="E211" s="404"/>
      <c r="F211" s="404"/>
      <c r="G211" s="404"/>
      <c r="H211" s="404"/>
      <c r="I211" s="468"/>
      <c r="J211" s="404"/>
      <c r="K211" s="404"/>
    </row>
    <row r="212" spans="1:11">
      <c r="A212" s="429" t="str">
        <f>$A$57</f>
        <v>AusNet Services</v>
      </c>
      <c r="B212" s="503">
        <f>H262</f>
        <v>6039778.1580883265</v>
      </c>
      <c r="C212" s="470">
        <f>I262</f>
        <v>8341755.2122622114</v>
      </c>
      <c r="D212" s="404"/>
      <c r="E212" s="404"/>
      <c r="F212" s="404"/>
      <c r="G212" s="404"/>
      <c r="H212" s="404"/>
      <c r="I212" s="468"/>
      <c r="J212" s="404"/>
      <c r="K212" s="404"/>
    </row>
    <row r="213" spans="1:11">
      <c r="A213" s="429" t="str">
        <f>$A$58</f>
        <v>United Energy</v>
      </c>
      <c r="B213" s="503">
        <v>0</v>
      </c>
      <c r="C213" s="470">
        <v>0</v>
      </c>
      <c r="D213" s="404"/>
      <c r="E213" s="404"/>
      <c r="F213" s="404"/>
      <c r="G213" s="404"/>
      <c r="H213" s="404"/>
      <c r="I213" s="468"/>
      <c r="J213" s="404"/>
      <c r="K213" s="404"/>
    </row>
    <row r="214" spans="1:11">
      <c r="A214" s="429"/>
      <c r="B214" s="504"/>
      <c r="C214" s="430"/>
      <c r="D214" s="404"/>
      <c r="E214" s="404"/>
      <c r="F214" s="404"/>
      <c r="G214" s="404"/>
      <c r="H214" s="404"/>
      <c r="I214" s="468"/>
      <c r="J214" s="404"/>
      <c r="K214" s="404"/>
    </row>
    <row r="215" spans="1:11" ht="13.5" thickBot="1">
      <c r="A215" s="505" t="s">
        <v>105</v>
      </c>
      <c r="B215" s="506">
        <f>VLOOKUP($C$3,$A$209:$C$213,2,FALSE)</f>
        <v>0</v>
      </c>
      <c r="C215" s="475">
        <f>VLOOKUP($C$3,$A$209:$C$213,3,FALSE)</f>
        <v>0</v>
      </c>
      <c r="D215" s="404"/>
      <c r="E215" s="404"/>
      <c r="F215" s="404"/>
      <c r="G215" s="404"/>
      <c r="H215" s="404"/>
      <c r="I215" s="468"/>
      <c r="J215" s="404"/>
      <c r="K215" s="404"/>
    </row>
    <row r="216" spans="1:11">
      <c r="A216" s="429"/>
      <c r="B216" s="404"/>
      <c r="C216" s="404"/>
      <c r="D216" s="404"/>
      <c r="E216" s="404"/>
      <c r="F216" s="404"/>
      <c r="G216" s="404"/>
      <c r="H216" s="404"/>
      <c r="I216" s="468"/>
      <c r="J216" s="404"/>
      <c r="K216" s="404"/>
    </row>
    <row r="217" spans="1:11">
      <c r="A217" s="429"/>
      <c r="B217" s="404"/>
      <c r="C217" s="404"/>
      <c r="D217" s="404"/>
      <c r="E217" s="404"/>
      <c r="F217" s="404"/>
      <c r="G217" s="404"/>
      <c r="H217" s="404"/>
      <c r="I217" s="468"/>
      <c r="J217" s="404"/>
      <c r="K217" s="404"/>
    </row>
    <row r="218" spans="1:11" ht="13.5" thickBot="1">
      <c r="A218" s="429"/>
      <c r="B218" s="404"/>
      <c r="C218" s="404"/>
      <c r="D218" s="404"/>
      <c r="E218" s="404"/>
      <c r="F218" s="404"/>
      <c r="G218" s="404"/>
      <c r="H218" s="404"/>
      <c r="I218" s="468"/>
      <c r="J218" s="404"/>
      <c r="K218" s="404"/>
    </row>
    <row r="219" spans="1:11" ht="25.5">
      <c r="A219" s="507" t="s">
        <v>88</v>
      </c>
      <c r="B219" s="502">
        <v>2014</v>
      </c>
      <c r="C219" s="466">
        <v>2015</v>
      </c>
      <c r="D219" s="404"/>
      <c r="E219" s="404"/>
      <c r="F219" s="404"/>
      <c r="G219" s="404"/>
      <c r="H219" s="404"/>
      <c r="I219" s="468"/>
      <c r="J219" s="404"/>
      <c r="K219" s="404"/>
    </row>
    <row r="220" spans="1:11">
      <c r="A220" s="429" t="str">
        <f>$A$54</f>
        <v>Jemena</v>
      </c>
      <c r="B220" s="503">
        <v>0</v>
      </c>
      <c r="C220" s="470">
        <v>0</v>
      </c>
      <c r="D220" s="404"/>
      <c r="E220" s="404"/>
      <c r="F220" s="404"/>
      <c r="G220" s="404"/>
      <c r="H220" s="404"/>
      <c r="I220" s="468"/>
      <c r="J220" s="404"/>
      <c r="K220" s="404"/>
    </row>
    <row r="221" spans="1:11">
      <c r="A221" s="429" t="str">
        <f>$A$55</f>
        <v>CitiPower</v>
      </c>
      <c r="B221" s="503">
        <v>0</v>
      </c>
      <c r="C221" s="470">
        <v>0</v>
      </c>
      <c r="D221" s="404"/>
      <c r="E221" s="404"/>
      <c r="F221" s="404"/>
      <c r="G221" s="404"/>
      <c r="H221" s="404"/>
      <c r="I221" s="468"/>
      <c r="J221" s="404"/>
      <c r="K221" s="404"/>
    </row>
    <row r="222" spans="1:11">
      <c r="A222" s="429" t="str">
        <f>$A$56</f>
        <v>Powercor</v>
      </c>
      <c r="B222" s="503">
        <f>H249</f>
        <v>0</v>
      </c>
      <c r="C222" s="470">
        <v>8777690.4553783704</v>
      </c>
      <c r="D222" s="404"/>
      <c r="E222" s="404"/>
      <c r="F222" s="404"/>
      <c r="G222" s="404"/>
      <c r="H222" s="404"/>
      <c r="I222" s="468"/>
      <c r="J222" s="404"/>
      <c r="K222" s="404"/>
    </row>
    <row r="223" spans="1:11">
      <c r="A223" s="429" t="str">
        <f>$A$57</f>
        <v>AusNet Services</v>
      </c>
      <c r="B223" s="503">
        <v>0</v>
      </c>
      <c r="C223" s="470">
        <v>5723419.3099999996</v>
      </c>
      <c r="D223" s="404"/>
      <c r="E223" s="404"/>
      <c r="F223" s="404"/>
      <c r="G223" s="404"/>
      <c r="H223" s="404"/>
      <c r="I223" s="468"/>
      <c r="J223" s="404"/>
      <c r="K223" s="404"/>
    </row>
    <row r="224" spans="1:11">
      <c r="A224" s="429" t="str">
        <f>$A$58</f>
        <v>United Energy</v>
      </c>
      <c r="B224" s="503">
        <v>0</v>
      </c>
      <c r="C224" s="470">
        <v>0</v>
      </c>
      <c r="D224" s="404"/>
      <c r="E224" s="404"/>
      <c r="F224" s="404"/>
      <c r="G224" s="404"/>
      <c r="H224" s="404"/>
      <c r="I224" s="468"/>
      <c r="J224" s="404"/>
      <c r="K224" s="404"/>
    </row>
    <row r="225" spans="1:19">
      <c r="A225" s="429"/>
      <c r="B225" s="504"/>
      <c r="C225" s="430"/>
      <c r="D225" s="404"/>
      <c r="E225" s="404"/>
      <c r="F225" s="404"/>
      <c r="G225" s="404"/>
      <c r="H225" s="404"/>
      <c r="I225" s="468"/>
      <c r="J225" s="404"/>
      <c r="K225" s="404"/>
    </row>
    <row r="226" spans="1:19" ht="26.25" thickBot="1">
      <c r="A226" s="505" t="s">
        <v>88</v>
      </c>
      <c r="B226" s="506">
        <f>VLOOKUP($C$3,$A$219:$C$224,2,FALSE)</f>
        <v>0</v>
      </c>
      <c r="C226" s="475">
        <f>VLOOKUP($C$3,$A$219:$C$224,3,FALSE)</f>
        <v>0</v>
      </c>
      <c r="D226" s="404"/>
      <c r="E226" s="404"/>
      <c r="F226" s="404"/>
      <c r="G226" s="404"/>
      <c r="H226" s="404"/>
      <c r="I226" s="468"/>
      <c r="J226" s="404"/>
      <c r="K226" s="404"/>
    </row>
    <row r="227" spans="1:19">
      <c r="A227" s="429"/>
      <c r="B227" s="404"/>
      <c r="C227" s="404"/>
      <c r="D227" s="404"/>
      <c r="E227" s="404"/>
      <c r="F227" s="404"/>
      <c r="G227" s="404"/>
      <c r="H227" s="404"/>
      <c r="I227" s="468"/>
      <c r="J227" s="404"/>
      <c r="K227" s="404"/>
    </row>
    <row r="228" spans="1:19">
      <c r="A228" s="429"/>
      <c r="B228" s="404"/>
      <c r="C228" s="404"/>
      <c r="D228" s="404"/>
      <c r="E228" s="404"/>
      <c r="F228" s="404"/>
      <c r="G228" s="404"/>
      <c r="H228" s="404"/>
      <c r="I228" s="468"/>
      <c r="J228" s="404"/>
      <c r="K228" s="404"/>
    </row>
    <row r="229" spans="1:19">
      <c r="A229" s="429"/>
      <c r="B229" s="404"/>
      <c r="C229" s="404"/>
      <c r="D229" s="404"/>
      <c r="E229" s="404"/>
      <c r="F229" s="404"/>
      <c r="G229" s="404"/>
      <c r="H229" s="404"/>
      <c r="I229" s="468"/>
      <c r="J229" s="404"/>
      <c r="K229" s="404"/>
    </row>
    <row r="230" spans="1:19">
      <c r="A230" s="429"/>
      <c r="B230" s="404"/>
      <c r="C230" s="404"/>
      <c r="D230" s="404"/>
      <c r="E230" s="404"/>
      <c r="F230" s="404"/>
      <c r="G230" s="404"/>
      <c r="H230" s="404"/>
      <c r="I230" s="468"/>
      <c r="J230" s="404"/>
      <c r="K230" s="404"/>
    </row>
    <row r="231" spans="1:19">
      <c r="A231" s="508" t="s">
        <v>87</v>
      </c>
      <c r="B231" s="509"/>
      <c r="C231" s="509"/>
      <c r="D231" s="509"/>
      <c r="E231" s="509"/>
      <c r="F231" s="509"/>
      <c r="G231" s="509"/>
      <c r="H231" s="509"/>
      <c r="I231" s="510"/>
      <c r="J231" s="404"/>
      <c r="K231" s="404"/>
    </row>
    <row r="232" spans="1:19">
      <c r="A232" s="429"/>
      <c r="B232" s="404"/>
      <c r="C232" s="404"/>
      <c r="D232" s="404"/>
      <c r="E232" s="404"/>
      <c r="F232" s="404"/>
      <c r="G232" s="404"/>
      <c r="H232" s="404"/>
      <c r="I232" s="468"/>
      <c r="J232" s="404"/>
      <c r="K232" s="404"/>
    </row>
    <row r="233" spans="1:19">
      <c r="A233" s="511" t="s">
        <v>84</v>
      </c>
      <c r="B233" s="404"/>
      <c r="C233" s="404"/>
      <c r="D233" s="404"/>
      <c r="E233" s="489">
        <v>2011</v>
      </c>
      <c r="F233" s="489">
        <v>2012</v>
      </c>
      <c r="G233" s="489">
        <v>2013</v>
      </c>
      <c r="H233" s="489">
        <v>2014</v>
      </c>
      <c r="I233" s="512">
        <v>2015</v>
      </c>
      <c r="J233" s="404"/>
      <c r="K233" s="404"/>
    </row>
    <row r="234" spans="1:19">
      <c r="A234" s="513" t="s">
        <v>92</v>
      </c>
      <c r="B234" s="197"/>
      <c r="C234" s="197"/>
      <c r="D234" s="404"/>
      <c r="E234" s="404"/>
      <c r="F234" s="404"/>
      <c r="G234" s="514">
        <v>10270612</v>
      </c>
      <c r="H234" s="514">
        <v>7181525</v>
      </c>
      <c r="I234" s="515">
        <v>8777217</v>
      </c>
      <c r="J234" s="404"/>
      <c r="K234" s="404"/>
      <c r="S234" s="230"/>
    </row>
    <row r="235" spans="1:19">
      <c r="A235" s="516" t="s">
        <v>102</v>
      </c>
      <c r="B235" s="517"/>
      <c r="C235" s="517"/>
      <c r="D235" s="517"/>
      <c r="E235" s="517"/>
      <c r="F235" s="498"/>
      <c r="G235" s="498"/>
      <c r="H235" s="498"/>
      <c r="I235" s="468"/>
      <c r="J235" s="404"/>
      <c r="K235" s="404"/>
    </row>
    <row r="236" spans="1:19">
      <c r="A236" s="429" t="s">
        <v>93</v>
      </c>
      <c r="B236" s="404"/>
      <c r="C236" s="404"/>
      <c r="D236" s="404"/>
      <c r="E236" s="518">
        <v>2.5748753401775293E-2</v>
      </c>
      <c r="F236" s="518">
        <v>2.5748753401775293E-2</v>
      </c>
      <c r="G236" s="518">
        <v>2.5748753401775293E-2</v>
      </c>
      <c r="H236" s="518">
        <v>2.5748753401775293E-2</v>
      </c>
      <c r="I236" s="519">
        <v>2.5748753401775293E-2</v>
      </c>
      <c r="J236" s="404"/>
      <c r="K236" s="404"/>
    </row>
    <row r="237" spans="1:19">
      <c r="A237" s="429"/>
      <c r="B237" s="404"/>
      <c r="C237" s="404"/>
      <c r="D237" s="404"/>
      <c r="E237" s="520">
        <f>1+E236</f>
        <v>1.0257487534017753</v>
      </c>
      <c r="F237" s="520">
        <f>E237*(1+F236)</f>
        <v>1.052160505105296</v>
      </c>
      <c r="G237" s="520">
        <f>F237*(1+G236)</f>
        <v>1.0792523264903395</v>
      </c>
      <c r="H237" s="520">
        <f>G237*(1+H236)</f>
        <v>1.1070417285034315</v>
      </c>
      <c r="I237" s="521">
        <f>H237*(1+I236)</f>
        <v>1.1355466729761414</v>
      </c>
      <c r="J237" s="404"/>
      <c r="K237" s="404"/>
    </row>
    <row r="238" spans="1:19">
      <c r="A238" s="429"/>
      <c r="B238" s="404"/>
      <c r="C238" s="404"/>
      <c r="D238" s="404"/>
      <c r="E238" s="404"/>
      <c r="F238" s="404"/>
      <c r="G238" s="404"/>
      <c r="H238" s="404"/>
      <c r="I238" s="468"/>
      <c r="J238" s="404"/>
      <c r="K238" s="404"/>
    </row>
    <row r="239" spans="1:19">
      <c r="A239" s="513" t="s">
        <v>94</v>
      </c>
      <c r="B239" s="404"/>
      <c r="C239" s="404"/>
      <c r="D239" s="404"/>
      <c r="E239" s="404"/>
      <c r="F239" s="404"/>
      <c r="G239" s="493">
        <f>G234/G237</f>
        <v>9516414.0469350498</v>
      </c>
      <c r="H239" s="493">
        <f>H234/H237</f>
        <v>6487131.257200608</v>
      </c>
      <c r="I239" s="522">
        <f>I234/I237</f>
        <v>7729507.9179756576</v>
      </c>
      <c r="J239" s="404"/>
      <c r="K239" s="404"/>
    </row>
    <row r="240" spans="1:19">
      <c r="A240" s="429"/>
      <c r="B240" s="404"/>
      <c r="C240" s="404"/>
      <c r="D240" s="404"/>
      <c r="E240" s="404"/>
      <c r="F240" s="404"/>
      <c r="G240" s="404"/>
      <c r="H240" s="404"/>
      <c r="I240" s="468"/>
      <c r="J240" s="404"/>
      <c r="K240" s="404"/>
    </row>
    <row r="241" spans="1:11">
      <c r="A241" s="429"/>
      <c r="B241" s="404"/>
      <c r="C241" s="404"/>
      <c r="D241" s="404"/>
      <c r="E241" s="404"/>
      <c r="F241" s="404"/>
      <c r="G241" s="404"/>
      <c r="H241" s="404"/>
      <c r="I241" s="468"/>
      <c r="J241" s="404"/>
      <c r="K241" s="404"/>
    </row>
    <row r="242" spans="1:11">
      <c r="A242" s="429" t="s">
        <v>95</v>
      </c>
      <c r="B242" s="404"/>
      <c r="C242" s="404"/>
      <c r="D242" s="404"/>
      <c r="E242" s="523">
        <f>173.3/168.6-1</f>
        <v>2.7876631079478242E-2</v>
      </c>
      <c r="F242" s="523">
        <f>179.4/173.3-1</f>
        <v>3.5199076745527913E-2</v>
      </c>
      <c r="G242" s="523">
        <f>C17/C16-1</f>
        <v>2.0040080160320661E-2</v>
      </c>
      <c r="H242" s="523">
        <f>C18/C17-1</f>
        <v>2.16110019646365E-2</v>
      </c>
      <c r="I242" s="430">
        <f>C19/C18-1</f>
        <v>2.3076923076923217E-2</v>
      </c>
      <c r="J242" s="404"/>
      <c r="K242" s="404"/>
    </row>
    <row r="243" spans="1:11">
      <c r="A243" s="429"/>
      <c r="B243" s="404"/>
      <c r="C243" s="404"/>
      <c r="D243" s="404"/>
      <c r="E243" s="523">
        <f>1+E242</f>
        <v>1.0278766310794782</v>
      </c>
      <c r="F243" s="523">
        <f>E243*(1+F242)</f>
        <v>1.0640569395017794</v>
      </c>
      <c r="G243" s="523">
        <f>F243*(1+G242)</f>
        <v>1.0853807258645405</v>
      </c>
      <c r="H243" s="523">
        <f t="shared" ref="H243:I243" si="10">G243*(1+H242)</f>
        <v>1.1088368908635777</v>
      </c>
      <c r="I243" s="524">
        <f t="shared" si="10"/>
        <v>1.1344254344988911</v>
      </c>
      <c r="J243" s="404"/>
      <c r="K243" s="404"/>
    </row>
    <row r="244" spans="1:11">
      <c r="A244" s="429"/>
      <c r="B244" s="404"/>
      <c r="C244" s="404"/>
      <c r="D244" s="404"/>
      <c r="E244" s="404"/>
      <c r="F244" s="404"/>
      <c r="G244" s="404"/>
      <c r="H244" s="404"/>
      <c r="I244" s="468"/>
      <c r="J244" s="404"/>
      <c r="K244" s="404"/>
    </row>
    <row r="245" spans="1:11">
      <c r="A245" s="513" t="s">
        <v>96</v>
      </c>
      <c r="B245" s="404"/>
      <c r="C245" s="404"/>
      <c r="D245" s="404"/>
      <c r="E245" s="404"/>
      <c r="F245" s="404"/>
      <c r="G245" s="525">
        <f>G239*G243</f>
        <v>10328932.385889873</v>
      </c>
      <c r="H245" s="525">
        <f>H239*H243</f>
        <v>7193170.4538582545</v>
      </c>
      <c r="I245" s="526">
        <f>I239*I243</f>
        <v>8768550.3783121537</v>
      </c>
      <c r="J245" s="404"/>
      <c r="K245" s="404"/>
    </row>
    <row r="246" spans="1:11">
      <c r="A246" s="429"/>
      <c r="B246" s="404"/>
      <c r="C246" s="404"/>
      <c r="D246" s="404"/>
      <c r="E246" s="404"/>
      <c r="F246" s="404"/>
      <c r="G246" s="404"/>
      <c r="H246" s="404"/>
      <c r="I246" s="468"/>
      <c r="J246" s="404"/>
      <c r="K246" s="404"/>
    </row>
    <row r="247" spans="1:11">
      <c r="A247" s="527"/>
      <c r="B247" s="528"/>
      <c r="C247" s="528"/>
      <c r="D247" s="528"/>
      <c r="E247" s="528"/>
      <c r="F247" s="528"/>
      <c r="G247" s="528"/>
      <c r="H247" s="528"/>
      <c r="I247" s="529"/>
      <c r="J247" s="404"/>
      <c r="K247" s="404"/>
    </row>
    <row r="248" spans="1:11">
      <c r="A248" s="429"/>
      <c r="B248" s="404"/>
      <c r="C248" s="404"/>
      <c r="D248" s="404"/>
      <c r="E248" s="404"/>
      <c r="F248" s="404"/>
      <c r="G248" s="404"/>
      <c r="H248" s="404"/>
      <c r="I248" s="468"/>
      <c r="J248" s="404"/>
      <c r="K248" s="404"/>
    </row>
    <row r="249" spans="1:11" s="479" customFormat="1">
      <c r="A249" s="484"/>
      <c r="B249" s="404"/>
      <c r="C249" s="404"/>
      <c r="D249" s="404"/>
      <c r="E249" s="404"/>
      <c r="F249" s="404"/>
      <c r="G249" s="404"/>
      <c r="H249" s="404"/>
      <c r="I249" s="468"/>
      <c r="J249" s="404"/>
      <c r="K249" s="478"/>
    </row>
    <row r="250" spans="1:11" s="479" customFormat="1">
      <c r="A250" s="511" t="s">
        <v>106</v>
      </c>
      <c r="B250" s="404"/>
      <c r="C250" s="404"/>
      <c r="D250" s="404"/>
      <c r="E250" s="489">
        <v>2011</v>
      </c>
      <c r="F250" s="489">
        <v>2012</v>
      </c>
      <c r="G250" s="489">
        <v>2013</v>
      </c>
      <c r="H250" s="489">
        <v>2014</v>
      </c>
      <c r="I250" s="512">
        <v>2015</v>
      </c>
      <c r="J250" s="404"/>
      <c r="K250" s="478"/>
    </row>
    <row r="251" spans="1:11" s="479" customFormat="1">
      <c r="A251" s="513" t="s">
        <v>92</v>
      </c>
      <c r="B251" s="197"/>
      <c r="C251" s="197"/>
      <c r="D251" s="404"/>
      <c r="E251" s="404"/>
      <c r="F251" s="404"/>
      <c r="G251" s="514">
        <v>5790000</v>
      </c>
      <c r="H251" s="514">
        <v>6030000</v>
      </c>
      <c r="I251" s="515">
        <v>8350000</v>
      </c>
      <c r="J251" s="404"/>
      <c r="K251" s="478"/>
    </row>
    <row r="252" spans="1:11" s="479" customFormat="1">
      <c r="A252" s="530" t="s">
        <v>107</v>
      </c>
      <c r="B252" s="531"/>
      <c r="C252" s="531"/>
      <c r="D252" s="531"/>
      <c r="E252" s="531"/>
      <c r="F252" s="531"/>
      <c r="G252" s="532"/>
      <c r="H252" s="532"/>
      <c r="I252" s="533"/>
      <c r="J252" s="478"/>
      <c r="K252" s="478"/>
    </row>
    <row r="253" spans="1:11" s="479" customFormat="1">
      <c r="A253" s="429" t="s">
        <v>93</v>
      </c>
      <c r="B253" s="404"/>
      <c r="C253" s="404"/>
      <c r="D253" s="404"/>
      <c r="E253" s="518">
        <v>2.5748753401775293E-2</v>
      </c>
      <c r="F253" s="518">
        <v>2.5748753401775293E-2</v>
      </c>
      <c r="G253" s="518">
        <v>2.5748753401775293E-2</v>
      </c>
      <c r="H253" s="518">
        <v>2.5748753401775293E-2</v>
      </c>
      <c r="I253" s="519">
        <v>2.5748753401775293E-2</v>
      </c>
      <c r="J253" s="404"/>
      <c r="K253" s="478"/>
    </row>
    <row r="254" spans="1:11" s="479" customFormat="1">
      <c r="A254" s="429"/>
      <c r="B254" s="404"/>
      <c r="C254" s="404"/>
      <c r="D254" s="404"/>
      <c r="E254" s="520">
        <f>1+E253</f>
        <v>1.0257487534017753</v>
      </c>
      <c r="F254" s="520">
        <f>E254*(1+F253)</f>
        <v>1.052160505105296</v>
      </c>
      <c r="G254" s="520">
        <f>F254*(1+G253)</f>
        <v>1.0792523264903395</v>
      </c>
      <c r="H254" s="520">
        <f>G254*(1+H253)</f>
        <v>1.1070417285034315</v>
      </c>
      <c r="I254" s="521">
        <f>H254*(1+I253)</f>
        <v>1.1355466729761414</v>
      </c>
      <c r="J254" s="404"/>
      <c r="K254" s="478"/>
    </row>
    <row r="255" spans="1:11" s="479" customFormat="1">
      <c r="A255" s="429"/>
      <c r="B255" s="404"/>
      <c r="C255" s="404"/>
      <c r="D255" s="404"/>
      <c r="E255" s="404"/>
      <c r="F255" s="404"/>
      <c r="G255" s="404"/>
      <c r="H255" s="404"/>
      <c r="I255" s="468"/>
      <c r="J255" s="404"/>
      <c r="K255" s="478"/>
    </row>
    <row r="256" spans="1:11" s="479" customFormat="1">
      <c r="A256" s="513" t="s">
        <v>94</v>
      </c>
      <c r="B256" s="404"/>
      <c r="C256" s="404"/>
      <c r="D256" s="404"/>
      <c r="E256" s="404"/>
      <c r="F256" s="404"/>
      <c r="G256" s="493">
        <f>G251/G254</f>
        <v>5364825.1274368009</v>
      </c>
      <c r="H256" s="493">
        <f>H251/H254</f>
        <v>5446949.14811543</v>
      </c>
      <c r="I256" s="522">
        <f>I251/I254</f>
        <v>7353286.4819334811</v>
      </c>
      <c r="J256" s="404"/>
      <c r="K256" s="478"/>
    </row>
    <row r="257" spans="1:14" s="479" customFormat="1">
      <c r="A257" s="429"/>
      <c r="B257" s="404"/>
      <c r="C257" s="404"/>
      <c r="D257" s="404"/>
      <c r="E257" s="404"/>
      <c r="F257" s="404"/>
      <c r="G257" s="404"/>
      <c r="H257" s="404"/>
      <c r="I257" s="468"/>
      <c r="J257" s="404"/>
      <c r="K257" s="478"/>
    </row>
    <row r="258" spans="1:14" s="479" customFormat="1">
      <c r="A258" s="429"/>
      <c r="B258" s="404"/>
      <c r="C258" s="404"/>
      <c r="D258" s="404"/>
      <c r="E258" s="478"/>
      <c r="F258" s="404"/>
      <c r="G258" s="404"/>
      <c r="H258" s="404"/>
      <c r="I258" s="468"/>
      <c r="J258" s="404"/>
      <c r="K258" s="478"/>
    </row>
    <row r="259" spans="1:14" s="479" customFormat="1">
      <c r="A259" s="429" t="s">
        <v>95</v>
      </c>
      <c r="B259" s="404"/>
      <c r="C259" s="404"/>
      <c r="D259" s="404"/>
      <c r="E259" s="523">
        <f>173.3/168.6-1</f>
        <v>2.7876631079478242E-2</v>
      </c>
      <c r="F259" s="523">
        <f>179.4/173.3-1</f>
        <v>3.5199076745527913E-2</v>
      </c>
      <c r="G259" s="523">
        <f>C17/C16-1</f>
        <v>2.0040080160320661E-2</v>
      </c>
      <c r="H259" s="523">
        <f>C18/C17-1</f>
        <v>2.16110019646365E-2</v>
      </c>
      <c r="I259" s="430">
        <f>C19/C18-1</f>
        <v>2.3076923076923217E-2</v>
      </c>
      <c r="J259" s="404"/>
      <c r="K259" s="478"/>
    </row>
    <row r="260" spans="1:14" s="479" customFormat="1">
      <c r="A260" s="429"/>
      <c r="B260" s="404"/>
      <c r="C260" s="404"/>
      <c r="D260" s="404"/>
      <c r="E260" s="523">
        <f>1+E259</f>
        <v>1.0278766310794782</v>
      </c>
      <c r="F260" s="523">
        <f>E260*(1+F259)</f>
        <v>1.0640569395017794</v>
      </c>
      <c r="G260" s="523">
        <f>F260*(1+G259)</f>
        <v>1.0853807258645405</v>
      </c>
      <c r="H260" s="523">
        <f t="shared" ref="H260:I260" si="11">G260*(1+H259)</f>
        <v>1.1088368908635777</v>
      </c>
      <c r="I260" s="524">
        <f t="shared" si="11"/>
        <v>1.1344254344988911</v>
      </c>
      <c r="J260" s="404"/>
      <c r="K260" s="478"/>
    </row>
    <row r="261" spans="1:14" s="479" customFormat="1">
      <c r="A261" s="429"/>
      <c r="B261" s="404"/>
      <c r="C261" s="404"/>
      <c r="D261" s="404"/>
      <c r="E261" s="404"/>
      <c r="F261" s="404"/>
      <c r="G261" s="404"/>
      <c r="H261" s="404"/>
      <c r="I261" s="468"/>
      <c r="J261" s="404"/>
      <c r="K261" s="478"/>
    </row>
    <row r="262" spans="1:14" s="479" customFormat="1">
      <c r="A262" s="513" t="s">
        <v>96</v>
      </c>
      <c r="B262" s="404"/>
      <c r="C262" s="404"/>
      <c r="D262" s="404"/>
      <c r="E262" s="404"/>
      <c r="F262" s="404"/>
      <c r="G262" s="525">
        <f>G256*G260</f>
        <v>5822877.7909536809</v>
      </c>
      <c r="H262" s="525">
        <f>H256*H260</f>
        <v>6039778.1580883265</v>
      </c>
      <c r="I262" s="526">
        <f>I256*I260</f>
        <v>8341755.2122622114</v>
      </c>
      <c r="J262" s="404"/>
      <c r="K262" s="478"/>
    </row>
    <row r="263" spans="1:14">
      <c r="A263" s="429"/>
      <c r="B263" s="404"/>
      <c r="C263" s="404"/>
      <c r="D263" s="404"/>
      <c r="E263" s="404"/>
      <c r="F263" s="404"/>
      <c r="G263" s="404"/>
      <c r="H263" s="404"/>
      <c r="I263" s="468"/>
      <c r="J263" s="404"/>
      <c r="K263" s="404"/>
    </row>
    <row r="264" spans="1:14" ht="13.5" thickBot="1">
      <c r="A264" s="534"/>
      <c r="B264" s="535"/>
      <c r="C264" s="535"/>
      <c r="D264" s="535"/>
      <c r="E264" s="535"/>
      <c r="F264" s="535"/>
      <c r="G264" s="535"/>
      <c r="H264" s="535"/>
      <c r="I264" s="473"/>
      <c r="J264" s="404"/>
      <c r="K264" s="404"/>
    </row>
    <row r="265" spans="1:14">
      <c r="A265" s="429"/>
      <c r="B265" s="404"/>
      <c r="C265" s="404"/>
      <c r="D265" s="404"/>
      <c r="E265" s="404"/>
      <c r="F265" s="404"/>
      <c r="G265" s="404"/>
      <c r="H265" s="404"/>
      <c r="I265" s="404"/>
      <c r="J265" s="404"/>
      <c r="K265" s="404"/>
    </row>
    <row r="266" spans="1:14">
      <c r="A266" s="404"/>
      <c r="B266" s="404"/>
      <c r="C266" s="404"/>
      <c r="D266" s="404"/>
      <c r="E266" s="404"/>
      <c r="F266" s="404"/>
      <c r="G266" s="404"/>
      <c r="H266" s="404"/>
      <c r="I266" s="404"/>
      <c r="J266" s="404"/>
      <c r="K266" s="404"/>
    </row>
    <row r="267" spans="1:14">
      <c r="A267" s="404"/>
      <c r="B267" s="404"/>
      <c r="C267" s="404"/>
      <c r="D267" s="404"/>
      <c r="E267" s="404"/>
      <c r="F267" s="404"/>
      <c r="G267" s="404"/>
      <c r="H267" s="404"/>
      <c r="I267" s="404"/>
      <c r="J267" s="404"/>
      <c r="K267" s="404"/>
    </row>
    <row r="268" spans="1:14">
      <c r="A268" s="404"/>
      <c r="B268" s="404"/>
      <c r="C268" s="404"/>
      <c r="D268" s="404"/>
      <c r="E268" s="404"/>
      <c r="F268" s="404"/>
      <c r="G268" s="404"/>
      <c r="H268" s="404"/>
      <c r="I268" s="404"/>
      <c r="J268" s="404"/>
      <c r="K268" s="404"/>
    </row>
    <row r="269" spans="1:14" ht="13.5" thickBot="1">
      <c r="A269" s="404"/>
      <c r="B269" s="404"/>
      <c r="C269" s="404"/>
      <c r="D269" s="404"/>
      <c r="E269" s="404"/>
      <c r="F269" s="404"/>
      <c r="G269" s="404"/>
      <c r="H269" s="404"/>
      <c r="I269" s="404"/>
      <c r="J269" s="404"/>
      <c r="K269" s="404"/>
      <c r="L269" s="404"/>
      <c r="M269" s="404"/>
      <c r="N269" s="404"/>
    </row>
    <row r="270" spans="1:14" ht="15.75">
      <c r="A270" s="685" t="s">
        <v>654</v>
      </c>
      <c r="B270" s="686"/>
      <c r="C270" s="686"/>
      <c r="D270" s="486"/>
      <c r="E270" s="486"/>
      <c r="F270" s="486"/>
      <c r="G270" s="486"/>
      <c r="H270" s="486"/>
      <c r="I270" s="486"/>
      <c r="J270" s="486"/>
      <c r="K270" s="486"/>
      <c r="L270" s="486"/>
      <c r="M270" s="486"/>
      <c r="N270" s="439"/>
    </row>
    <row r="271" spans="1:14">
      <c r="A271" s="440" t="str">
        <f>C3</f>
        <v>CitiPower</v>
      </c>
      <c r="B271" s="187"/>
      <c r="C271" s="187"/>
      <c r="D271" s="404"/>
      <c r="E271" s="404"/>
      <c r="F271" s="404"/>
      <c r="G271" s="404"/>
      <c r="H271" s="404"/>
      <c r="I271" s="404"/>
      <c r="J271" s="404"/>
      <c r="K271" s="404"/>
      <c r="L271" s="404"/>
      <c r="M271" s="404"/>
      <c r="N271" s="468"/>
    </row>
    <row r="272" spans="1:14" ht="15">
      <c r="A272" s="429"/>
      <c r="B272" s="404"/>
      <c r="C272" s="687">
        <v>2009</v>
      </c>
      <c r="D272" s="687">
        <v>2010</v>
      </c>
      <c r="E272" s="687">
        <v>2011</v>
      </c>
      <c r="F272" s="687">
        <v>2012</v>
      </c>
      <c r="G272" s="688">
        <v>2013</v>
      </c>
      <c r="H272" s="687">
        <v>2014</v>
      </c>
      <c r="I272" s="688">
        <v>2015</v>
      </c>
      <c r="J272" s="689">
        <v>2016</v>
      </c>
      <c r="K272" s="689">
        <v>2017</v>
      </c>
      <c r="L272" s="689">
        <v>2018</v>
      </c>
      <c r="M272" s="689">
        <v>2019</v>
      </c>
      <c r="N272" s="690">
        <v>2020</v>
      </c>
    </row>
    <row r="273" spans="1:14" ht="15">
      <c r="A273" s="691" t="s">
        <v>76</v>
      </c>
      <c r="B273" s="404"/>
      <c r="C273" s="692">
        <v>4.9810844892812067E-2</v>
      </c>
      <c r="D273" s="692">
        <v>1.2612612612612484E-2</v>
      </c>
      <c r="E273" s="692">
        <v>2.7876631079478242E-2</v>
      </c>
      <c r="F273" s="692">
        <v>3.5199076745527913E-2</v>
      </c>
      <c r="G273" s="693">
        <f>$F17</f>
        <v>2.0040080160320661E-2</v>
      </c>
      <c r="H273" s="523">
        <f>$F18</f>
        <v>2.16110019646365E-2</v>
      </c>
      <c r="I273" s="693">
        <f>$F19</f>
        <v>2.3076923076923217E-2</v>
      </c>
      <c r="J273" s="523">
        <f>$F20</f>
        <v>1.5037593984962294E-2</v>
      </c>
      <c r="K273" s="523">
        <f>$F22</f>
        <v>1.0232558139534831E-2</v>
      </c>
      <c r="L273" s="523">
        <f>$F23</f>
        <v>1.9337016574585641E-2</v>
      </c>
      <c r="M273" s="523">
        <f>$F24</f>
        <v>0</v>
      </c>
      <c r="N273" s="524">
        <f>$F25</f>
        <v>0</v>
      </c>
    </row>
    <row r="274" spans="1:14" ht="15">
      <c r="A274" s="694"/>
      <c r="B274" s="197"/>
      <c r="C274" s="695"/>
      <c r="D274" s="695"/>
      <c r="E274" s="695"/>
      <c r="F274" s="695"/>
      <c r="G274" s="696"/>
      <c r="H274" s="697"/>
      <c r="I274" s="696"/>
      <c r="J274" s="697"/>
      <c r="K274" s="697"/>
      <c r="L274" s="697"/>
      <c r="M274" s="697"/>
      <c r="N274" s="698"/>
    </row>
    <row r="275" spans="1:14" ht="15">
      <c r="A275" s="691" t="s">
        <v>655</v>
      </c>
      <c r="B275" s="404"/>
      <c r="C275" s="692">
        <v>6.7716458658346301E-2</v>
      </c>
      <c r="D275" s="523">
        <f>$C275</f>
        <v>6.7716458658346301E-2</v>
      </c>
      <c r="E275" s="523">
        <f t="shared" ref="E275:G275" si="12">$C275</f>
        <v>6.7716458658346301E-2</v>
      </c>
      <c r="F275" s="523">
        <f t="shared" si="12"/>
        <v>6.7716458658346301E-2</v>
      </c>
      <c r="G275" s="693">
        <f t="shared" si="12"/>
        <v>6.7716458658346301E-2</v>
      </c>
      <c r="H275" s="692">
        <v>5.0239094369083762E-2</v>
      </c>
      <c r="I275" s="693">
        <f>H275</f>
        <v>5.0239094369083762E-2</v>
      </c>
      <c r="J275" s="523">
        <f>D43</f>
        <v>3.6967675843673664E-2</v>
      </c>
      <c r="K275" s="523">
        <f>E43</f>
        <v>3.6395072760831051E-2</v>
      </c>
      <c r="L275" s="523">
        <f>F43</f>
        <v>3.5897854460483589E-2</v>
      </c>
      <c r="M275" s="523">
        <f>G43</f>
        <v>3.5897854460483589E-2</v>
      </c>
      <c r="N275" s="524">
        <f>H43</f>
        <v>3.5897854460483589E-2</v>
      </c>
    </row>
    <row r="276" spans="1:14" ht="15">
      <c r="A276" s="691" t="s">
        <v>656</v>
      </c>
      <c r="B276" s="404"/>
      <c r="C276" s="699">
        <f t="shared" ref="C276:N276" si="13">(1+C275)*(1+C273)-1</f>
        <v>0.1209003175700798</v>
      </c>
      <c r="D276" s="699">
        <f t="shared" si="13"/>
        <v>8.1183152731514552E-2</v>
      </c>
      <c r="E276" s="699">
        <f t="shared" si="13"/>
        <v>9.7480796473851994E-2</v>
      </c>
      <c r="F276" s="699">
        <f t="shared" si="13"/>
        <v>0.10529909222912481</v>
      </c>
      <c r="G276" s="700">
        <f t="shared" si="13"/>
        <v>8.9113582078353293E-2</v>
      </c>
      <c r="H276" s="699">
        <f t="shared" si="13"/>
        <v>7.2935813500832225E-2</v>
      </c>
      <c r="I276" s="700">
        <f t="shared" si="13"/>
        <v>7.4475381162216747E-2</v>
      </c>
      <c r="J276" s="699">
        <f t="shared" si="13"/>
        <v>5.2561174728540827E-2</v>
      </c>
      <c r="K276" s="699">
        <f t="shared" si="13"/>
        <v>4.7000045598383666E-2</v>
      </c>
      <c r="L276" s="699">
        <f t="shared" si="13"/>
        <v>5.5929028441763728E-2</v>
      </c>
      <c r="M276" s="699">
        <f t="shared" si="13"/>
        <v>3.5897854460483547E-2</v>
      </c>
      <c r="N276" s="701">
        <f t="shared" si="13"/>
        <v>3.5897854460483547E-2</v>
      </c>
    </row>
    <row r="277" spans="1:14" ht="15">
      <c r="A277" s="691"/>
      <c r="B277" s="404"/>
      <c r="C277" s="404"/>
      <c r="D277" s="404"/>
      <c r="E277" s="404"/>
      <c r="F277" s="404"/>
      <c r="G277" s="454"/>
      <c r="H277" s="404"/>
      <c r="I277" s="454"/>
      <c r="J277" s="404"/>
      <c r="K277" s="404"/>
      <c r="L277" s="404"/>
      <c r="M277" s="404"/>
      <c r="N277" s="468"/>
    </row>
    <row r="278" spans="1:14" ht="15">
      <c r="A278" s="691" t="s">
        <v>657</v>
      </c>
      <c r="B278" s="404"/>
      <c r="C278" s="702">
        <f>(1+C276)^0.5</f>
        <v>1.0587257990481198</v>
      </c>
      <c r="D278" s="703">
        <f t="shared" ref="D278:N278" si="14">C278*(D276+1)</f>
        <v>1.1446764972930381</v>
      </c>
      <c r="E278" s="703">
        <f t="shared" si="14"/>
        <v>1.2562604739540626</v>
      </c>
      <c r="F278" s="703">
        <f t="shared" si="14"/>
        <v>1.3885435614647554</v>
      </c>
      <c r="G278" s="704">
        <f t="shared" si="14"/>
        <v>1.5122816520987139</v>
      </c>
      <c r="H278" s="703">
        <f t="shared" si="14"/>
        <v>1.6225811446369161</v>
      </c>
      <c r="I278" s="704">
        <f t="shared" si="14"/>
        <v>1.7434234938503763</v>
      </c>
      <c r="J278" s="703">
        <f t="shared" si="14"/>
        <v>1.8350598807364891</v>
      </c>
      <c r="K278" s="703">
        <f t="shared" si="14"/>
        <v>1.9213077788068686</v>
      </c>
      <c r="L278" s="703">
        <f t="shared" si="14"/>
        <v>2.0287646562131401</v>
      </c>
      <c r="M278" s="703">
        <f t="shared" si="14"/>
        <v>2.1015929545764522</v>
      </c>
      <c r="N278" s="705">
        <f t="shared" si="14"/>
        <v>2.1770356325950155</v>
      </c>
    </row>
    <row r="279" spans="1:14" ht="15">
      <c r="A279" s="706"/>
      <c r="B279" s="404"/>
      <c r="C279" s="404"/>
      <c r="D279" s="404"/>
      <c r="E279" s="404"/>
      <c r="F279" s="404"/>
      <c r="G279" s="404"/>
      <c r="H279" s="404"/>
      <c r="I279" s="404"/>
      <c r="J279" s="404"/>
      <c r="K279" s="404"/>
      <c r="L279" s="404"/>
      <c r="M279" s="404"/>
      <c r="N279" s="468"/>
    </row>
    <row r="280" spans="1:14" ht="15">
      <c r="A280" s="707" t="s">
        <v>658</v>
      </c>
      <c r="B280" s="404"/>
      <c r="C280" s="404"/>
      <c r="D280" s="404"/>
      <c r="E280" s="404"/>
      <c r="F280" s="404"/>
      <c r="G280" s="404"/>
      <c r="H280" s="404"/>
      <c r="I280" s="404"/>
      <c r="J280" s="404"/>
      <c r="K280" s="404"/>
      <c r="L280" s="404"/>
      <c r="M280" s="404"/>
      <c r="N280" s="468"/>
    </row>
    <row r="281" spans="1:14" ht="15">
      <c r="A281" s="708" t="s">
        <v>659</v>
      </c>
      <c r="B281" s="404"/>
      <c r="C281" s="404"/>
      <c r="D281" s="404"/>
      <c r="E281" s="404"/>
      <c r="F281" s="404"/>
      <c r="G281" s="404"/>
      <c r="H281" s="404"/>
      <c r="I281" s="404"/>
      <c r="J281" s="404"/>
      <c r="K281" s="404"/>
      <c r="L281" s="404"/>
      <c r="M281" s="404"/>
      <c r="N281" s="468"/>
    </row>
    <row r="282" spans="1:14" ht="15">
      <c r="A282" s="709" t="s">
        <v>660</v>
      </c>
      <c r="B282" s="404"/>
      <c r="C282" s="404"/>
      <c r="D282" s="710">
        <v>296.83499067157391</v>
      </c>
      <c r="E282" s="404"/>
      <c r="F282" s="404"/>
      <c r="G282" s="404"/>
      <c r="H282" s="404"/>
      <c r="I282" s="404"/>
      <c r="J282" s="404"/>
      <c r="K282" s="404"/>
      <c r="L282" s="404"/>
      <c r="M282" s="404"/>
      <c r="N282" s="468"/>
    </row>
    <row r="283" spans="1:14" ht="15">
      <c r="A283" s="706"/>
      <c r="B283" s="404"/>
      <c r="C283" s="404"/>
      <c r="D283" s="404"/>
      <c r="E283" s="404"/>
      <c r="F283" s="404"/>
      <c r="G283" s="404"/>
      <c r="H283" s="404"/>
      <c r="I283" s="404"/>
      <c r="J283" s="404"/>
      <c r="K283" s="404"/>
      <c r="L283" s="404"/>
      <c r="M283" s="404"/>
      <c r="N283" s="468"/>
    </row>
    <row r="284" spans="1:14" ht="15">
      <c r="A284" s="709" t="s">
        <v>654</v>
      </c>
      <c r="B284" s="404"/>
      <c r="C284" s="404"/>
      <c r="D284" s="711">
        <f>-D282*L278*10^3</f>
        <v>-602208.33780184621</v>
      </c>
      <c r="E284" s="404"/>
      <c r="F284" s="404"/>
      <c r="G284" s="404"/>
      <c r="H284" s="404"/>
      <c r="I284" s="404"/>
      <c r="J284" s="404"/>
      <c r="K284" s="404"/>
      <c r="L284" s="404"/>
      <c r="M284" s="404"/>
      <c r="N284" s="468"/>
    </row>
    <row r="285" spans="1:14" ht="15">
      <c r="A285" s="706"/>
      <c r="B285" s="404"/>
      <c r="C285" s="404"/>
      <c r="D285" s="404"/>
      <c r="E285" s="404"/>
      <c r="F285" s="404"/>
      <c r="G285" s="404"/>
      <c r="H285" s="404"/>
      <c r="I285" s="404"/>
      <c r="J285" s="404"/>
      <c r="K285" s="404"/>
      <c r="L285" s="404"/>
      <c r="M285" s="404"/>
      <c r="N285" s="468"/>
    </row>
    <row r="286" spans="1:14" ht="15">
      <c r="A286" s="707" t="s">
        <v>661</v>
      </c>
      <c r="B286" s="404"/>
      <c r="C286" s="404"/>
      <c r="D286" s="404"/>
      <c r="E286" s="404"/>
      <c r="F286" s="404"/>
      <c r="G286" s="404"/>
      <c r="H286" s="404"/>
      <c r="I286" s="404"/>
      <c r="J286" s="404"/>
      <c r="K286" s="404"/>
      <c r="L286" s="404"/>
      <c r="M286" s="404"/>
      <c r="N286" s="468"/>
    </row>
    <row r="287" spans="1:14">
      <c r="A287" s="712" t="s">
        <v>662</v>
      </c>
      <c r="B287" s="404"/>
      <c r="C287" s="404"/>
      <c r="D287" s="404"/>
      <c r="E287" s="404"/>
      <c r="F287" s="404"/>
      <c r="G287" s="404"/>
      <c r="H287" s="404"/>
      <c r="I287" s="404"/>
      <c r="J287" s="404"/>
      <c r="K287" s="404"/>
      <c r="L287" s="404"/>
      <c r="M287" s="404"/>
      <c r="N287" s="468"/>
    </row>
    <row r="288" spans="1:14" ht="15">
      <c r="A288" s="709" t="s">
        <v>663</v>
      </c>
      <c r="B288" s="404"/>
      <c r="C288" s="404"/>
      <c r="D288" s="710">
        <v>-1035.5446757456407</v>
      </c>
      <c r="E288" s="404"/>
      <c r="F288" s="404"/>
      <c r="G288" s="404"/>
      <c r="H288" s="404"/>
      <c r="I288" s="404"/>
      <c r="J288" s="404"/>
      <c r="K288" s="404"/>
      <c r="L288" s="404"/>
      <c r="M288" s="404"/>
      <c r="N288" s="468"/>
    </row>
    <row r="289" spans="1:14" ht="15">
      <c r="A289" s="713"/>
      <c r="B289" s="404"/>
      <c r="C289" s="404"/>
      <c r="D289" s="404"/>
      <c r="E289" s="404"/>
      <c r="F289" s="404"/>
      <c r="G289" s="404"/>
      <c r="H289" s="404"/>
      <c r="I289" s="404"/>
      <c r="J289" s="404"/>
      <c r="K289" s="404"/>
      <c r="L289" s="404"/>
      <c r="M289" s="404"/>
      <c r="N289" s="468"/>
    </row>
    <row r="290" spans="1:14" ht="15">
      <c r="A290" s="709" t="s">
        <v>654</v>
      </c>
      <c r="B290" s="404"/>
      <c r="C290" s="404"/>
      <c r="D290" s="711">
        <f>D288*L278/I278*10^3</f>
        <v>-1205029.3262038336</v>
      </c>
      <c r="E290" s="404"/>
      <c r="F290" s="404"/>
      <c r="G290" s="404"/>
      <c r="H290" s="404"/>
      <c r="I290" s="404"/>
      <c r="J290" s="404"/>
      <c r="K290" s="404"/>
      <c r="L290" s="404"/>
      <c r="M290" s="404"/>
      <c r="N290" s="468"/>
    </row>
    <row r="291" spans="1:14" ht="15">
      <c r="A291" s="706"/>
      <c r="B291" s="404"/>
      <c r="C291" s="404"/>
      <c r="D291" s="404"/>
      <c r="E291" s="404"/>
      <c r="F291" s="404"/>
      <c r="G291" s="404"/>
      <c r="H291" s="404"/>
      <c r="I291" s="404"/>
      <c r="J291" s="404"/>
      <c r="K291" s="404"/>
      <c r="L291" s="404"/>
      <c r="M291" s="404"/>
      <c r="N291" s="468"/>
    </row>
    <row r="292" spans="1:14" ht="15.75">
      <c r="A292" s="714" t="s">
        <v>664</v>
      </c>
      <c r="B292" s="715"/>
      <c r="C292" s="404"/>
      <c r="D292" s="716">
        <f>SUM(D284,D290)</f>
        <v>-1807237.6640056798</v>
      </c>
      <c r="E292" s="404"/>
      <c r="F292" s="404"/>
      <c r="G292" s="404"/>
      <c r="H292" s="404"/>
      <c r="I292" s="404"/>
      <c r="J292" s="404"/>
      <c r="K292" s="404"/>
      <c r="L292" s="404"/>
      <c r="M292" s="404"/>
      <c r="N292" s="468"/>
    </row>
    <row r="293" spans="1:14" ht="13.5" thickBot="1">
      <c r="A293" s="534"/>
      <c r="B293" s="535"/>
      <c r="C293" s="535"/>
      <c r="D293" s="535"/>
      <c r="E293" s="535"/>
      <c r="F293" s="535"/>
      <c r="G293" s="535"/>
      <c r="H293" s="535"/>
      <c r="I293" s="535"/>
      <c r="J293" s="535"/>
      <c r="K293" s="535"/>
      <c r="L293" s="535"/>
      <c r="M293" s="535"/>
      <c r="N293" s="473"/>
    </row>
  </sheetData>
  <pageMargins left="0.74803149606299213" right="0.74803149606299213" top="0.98425196850393704" bottom="0.98425196850393704" header="0.51181102362204722" footer="0.51181102362204722"/>
  <pageSetup paperSize="9" scale="12"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topLeftCell="A13" zoomScale="85" zoomScaleNormal="85" workbookViewId="0">
      <selection activeCell="I39" sqref="I39"/>
    </sheetView>
  </sheetViews>
  <sheetFormatPr defaultRowHeight="12.75"/>
  <cols>
    <col min="1" max="1" width="1.85546875" style="199" customWidth="1"/>
    <col min="2" max="2" width="37.28515625" style="199" customWidth="1"/>
    <col min="3" max="3" width="33.42578125" style="199" customWidth="1"/>
    <col min="4" max="4" width="22" style="199" customWidth="1"/>
    <col min="5" max="5" width="20" style="199" customWidth="1"/>
    <col min="6" max="6" width="19.7109375" style="199" customWidth="1"/>
    <col min="7" max="7" width="2.28515625" style="199" customWidth="1"/>
    <col min="8" max="8" width="19.42578125" style="199" customWidth="1"/>
    <col min="9" max="9" width="20.28515625" style="199" customWidth="1"/>
    <col min="10" max="10" width="2.28515625" style="199" customWidth="1"/>
    <col min="11" max="11" width="14.7109375" style="199" customWidth="1"/>
    <col min="12" max="12" width="16.140625" style="199" customWidth="1"/>
    <col min="13" max="13" width="10.28515625" style="199" customWidth="1"/>
    <col min="14" max="16384" width="9.140625" style="199"/>
  </cols>
  <sheetData>
    <row r="1" spans="1:18" s="183" customFormat="1" ht="15">
      <c r="A1" s="248"/>
      <c r="B1" s="182" t="str">
        <f>"Tariff Approval - "&amp;'Model update'!C3</f>
        <v>Tariff Approval - CitiPower</v>
      </c>
      <c r="C1" s="182"/>
      <c r="D1" s="383"/>
      <c r="E1" s="383"/>
      <c r="F1" s="248"/>
      <c r="G1" s="248"/>
      <c r="H1" s="248"/>
      <c r="I1" s="182"/>
      <c r="J1" s="248"/>
      <c r="K1" s="248"/>
      <c r="L1" s="248"/>
      <c r="M1" s="185"/>
      <c r="N1" s="185"/>
      <c r="O1" s="185"/>
      <c r="P1" s="185"/>
      <c r="Q1" s="185"/>
      <c r="R1" s="185"/>
    </row>
    <row r="2" spans="1:18" s="183" customFormat="1">
      <c r="A2" s="248"/>
      <c r="B2" s="248"/>
      <c r="C2" s="248"/>
      <c r="D2" s="248"/>
      <c r="E2" s="248"/>
      <c r="F2" s="248"/>
      <c r="G2" s="248"/>
      <c r="H2" s="383"/>
      <c r="I2" s="248"/>
      <c r="J2" s="248"/>
      <c r="K2" s="248"/>
      <c r="L2" s="248"/>
      <c r="M2" s="185"/>
      <c r="N2" s="185"/>
      <c r="O2" s="185"/>
      <c r="P2" s="185"/>
      <c r="Q2" s="185"/>
      <c r="R2" s="185"/>
    </row>
    <row r="3" spans="1:18" s="183" customFormat="1">
      <c r="A3" s="248"/>
      <c r="B3" s="184" t="str">
        <f>"PROPOSED "&amp;'Model update'!$C$5&amp;" METERING TARIFFS AND REVENUE"</f>
        <v>PROPOSED 2018 METERING TARIFFS AND REVENUE</v>
      </c>
      <c r="C3" s="184"/>
      <c r="D3" s="248"/>
      <c r="E3" s="248"/>
      <c r="F3" s="248"/>
      <c r="G3" s="248"/>
      <c r="H3" s="248"/>
      <c r="I3" s="184"/>
      <c r="J3" s="248"/>
      <c r="K3" s="248"/>
      <c r="L3" s="248"/>
      <c r="M3" s="185"/>
      <c r="N3" s="185"/>
      <c r="O3" s="185"/>
      <c r="P3" s="185"/>
      <c r="Q3" s="185"/>
      <c r="R3" s="185"/>
    </row>
    <row r="4" spans="1:18" s="183" customFormat="1" ht="15.75" thickBot="1">
      <c r="A4" s="248"/>
      <c r="B4" s="182"/>
      <c r="C4" s="182"/>
      <c r="D4" s="248"/>
      <c r="E4" s="248"/>
      <c r="F4" s="248"/>
      <c r="G4" s="248"/>
      <c r="H4" s="248"/>
      <c r="I4" s="182"/>
      <c r="J4" s="248"/>
      <c r="K4" s="248"/>
      <c r="L4" s="248"/>
      <c r="M4" s="185"/>
      <c r="N4" s="185"/>
      <c r="O4" s="185"/>
      <c r="P4" s="185"/>
      <c r="Q4" s="185"/>
      <c r="R4" s="185"/>
    </row>
    <row r="5" spans="1:18" s="183" customFormat="1" ht="26.25" thickBot="1">
      <c r="A5" s="185"/>
      <c r="B5" s="185"/>
      <c r="C5" s="185"/>
      <c r="D5" s="186" t="str">
        <f>"Proposed Metering Tariffs P(t) for " &amp;'Model update'!$C$5</f>
        <v>Proposed Metering Tariffs P(t) for 2018</v>
      </c>
      <c r="E5" s="186" t="str">
        <f>"Current Metering Tariffs P(t-1) for" &amp;'Model update'!$C$8</f>
        <v>Current Metering Tariffs P(t-1) for2017</v>
      </c>
      <c r="F5" s="186" t="str">
        <f>"Forecast Quantities   (Qt) for "&amp;'Model update'!$C$5</f>
        <v>Forecast Quantities   (Qt) for 2018</v>
      </c>
      <c r="G5" s="188"/>
      <c r="H5" s="186" t="str">
        <f>"Forecast Revenue (Pt "&amp;'Model update'!$C$5&amp;")*(Qt " &amp;'Model update'!$C$5&amp;")"</f>
        <v>Forecast Revenue (Pt 2018)*(Qt 2018)</v>
      </c>
      <c r="I5" s="186" t="str">
        <f>"Revenue                    (Pt-1 "&amp;'Model update'!$C$8&amp;")*(Qt " &amp;'Model update'!$C$5&amp;")"</f>
        <v>Revenue                    (Pt-1 2017)*(Qt 2018)</v>
      </c>
      <c r="J5" s="188"/>
      <c r="K5" s="549" t="s">
        <v>232</v>
      </c>
      <c r="L5" s="550" t="s">
        <v>399</v>
      </c>
      <c r="M5" s="185"/>
      <c r="N5" s="185"/>
      <c r="O5" s="185"/>
      <c r="P5" s="185"/>
      <c r="Q5" s="185"/>
      <c r="R5" s="185"/>
    </row>
    <row r="6" spans="1:18" s="183" customFormat="1" ht="25.5">
      <c r="A6" s="185"/>
      <c r="B6" s="189" t="s">
        <v>128</v>
      </c>
      <c r="C6" s="190" t="s">
        <v>129</v>
      </c>
      <c r="D6" s="191" t="s">
        <v>354</v>
      </c>
      <c r="E6" s="191" t="s">
        <v>358</v>
      </c>
      <c r="F6" s="191" t="s">
        <v>359</v>
      </c>
      <c r="G6" s="188"/>
      <c r="H6" s="191" t="s">
        <v>148</v>
      </c>
      <c r="I6" s="191" t="s">
        <v>170</v>
      </c>
      <c r="J6" s="188"/>
      <c r="K6" s="551"/>
      <c r="L6" s="551"/>
      <c r="M6" s="185"/>
      <c r="N6" s="185"/>
      <c r="O6" s="185"/>
      <c r="P6" s="185"/>
      <c r="Q6" s="185"/>
      <c r="R6" s="185"/>
    </row>
    <row r="7" spans="1:18" s="183" customFormat="1">
      <c r="A7" s="185"/>
      <c r="B7" s="192"/>
      <c r="C7" s="193"/>
      <c r="D7" s="384"/>
      <c r="E7" s="384"/>
      <c r="F7" s="194"/>
      <c r="G7" s="188"/>
      <c r="H7" s="545"/>
      <c r="I7" s="546"/>
      <c r="J7" s="188"/>
      <c r="K7" s="552"/>
      <c r="L7" s="553"/>
      <c r="M7" s="185"/>
      <c r="N7" s="185"/>
      <c r="O7" s="185"/>
      <c r="P7" s="185"/>
      <c r="Q7" s="185"/>
      <c r="R7" s="185"/>
    </row>
    <row r="8" spans="1:18" s="183" customFormat="1">
      <c r="A8" s="185"/>
      <c r="B8" s="192" t="s">
        <v>355</v>
      </c>
      <c r="C8" s="193" t="s">
        <v>355</v>
      </c>
      <c r="D8" s="654">
        <v>73</v>
      </c>
      <c r="E8" s="385">
        <v>85.11</v>
      </c>
      <c r="F8" s="655">
        <v>260068</v>
      </c>
      <c r="G8" s="188"/>
      <c r="H8" s="545">
        <f t="shared" ref="H8:H16" si="0">D8*F8</f>
        <v>18984964</v>
      </c>
      <c r="I8" s="545">
        <f t="shared" ref="I8:I16" si="1">E8*F8</f>
        <v>22134387.48</v>
      </c>
      <c r="J8" s="188"/>
      <c r="K8" s="554">
        <f>IFERROR(H8/I8,"")</f>
        <v>0.85771354717424508</v>
      </c>
      <c r="L8" s="555" t="str">
        <f t="shared" ref="L8:L16" si="2">IF(B8="","",IF(K8&lt;$I$30,"COMPLIANT","BREACHED"))</f>
        <v>COMPLIANT</v>
      </c>
      <c r="M8" s="185"/>
      <c r="N8" s="747"/>
      <c r="O8" s="746"/>
      <c r="P8" s="185"/>
      <c r="Q8" s="185"/>
      <c r="R8" s="185"/>
    </row>
    <row r="9" spans="1:18" s="183" customFormat="1">
      <c r="A9" s="185"/>
      <c r="B9" s="192" t="s">
        <v>356</v>
      </c>
      <c r="C9" s="193" t="s">
        <v>356</v>
      </c>
      <c r="D9" s="654">
        <v>91.25</v>
      </c>
      <c r="E9" s="385">
        <v>111.25</v>
      </c>
      <c r="F9" s="655">
        <v>61493</v>
      </c>
      <c r="G9" s="188"/>
      <c r="H9" s="545">
        <f t="shared" si="0"/>
        <v>5611236.25</v>
      </c>
      <c r="I9" s="545">
        <f t="shared" si="1"/>
        <v>6841096.25</v>
      </c>
      <c r="J9" s="188"/>
      <c r="K9" s="554">
        <f t="shared" ref="K9:K16" si="3">IFERROR(H9/I9,"")</f>
        <v>0.8202247191011236</v>
      </c>
      <c r="L9" s="555" t="str">
        <f t="shared" si="2"/>
        <v>COMPLIANT</v>
      </c>
      <c r="M9" s="185"/>
      <c r="N9" s="747"/>
      <c r="O9" s="185"/>
      <c r="P9" s="185"/>
      <c r="Q9" s="185"/>
      <c r="R9" s="185"/>
    </row>
    <row r="10" spans="1:18" s="183" customFormat="1">
      <c r="A10" s="185"/>
      <c r="B10" s="192" t="s">
        <v>357</v>
      </c>
      <c r="C10" s="193" t="s">
        <v>357</v>
      </c>
      <c r="D10" s="654">
        <v>113.15</v>
      </c>
      <c r="E10" s="385">
        <v>140.51</v>
      </c>
      <c r="F10" s="655">
        <v>3041</v>
      </c>
      <c r="G10" s="188"/>
      <c r="H10" s="545">
        <f t="shared" si="0"/>
        <v>344089.15</v>
      </c>
      <c r="I10" s="545">
        <f t="shared" si="1"/>
        <v>427290.91</v>
      </c>
      <c r="J10" s="188"/>
      <c r="K10" s="554">
        <f t="shared" si="3"/>
        <v>0.80528076293502249</v>
      </c>
      <c r="L10" s="555" t="str">
        <f t="shared" si="2"/>
        <v>COMPLIANT</v>
      </c>
      <c r="M10" s="185"/>
      <c r="N10" s="747"/>
      <c r="O10" s="185"/>
      <c r="P10" s="185"/>
      <c r="Q10" s="185"/>
      <c r="R10" s="185"/>
    </row>
    <row r="11" spans="1:18" s="183" customFormat="1">
      <c r="A11" s="185"/>
      <c r="B11" s="192"/>
      <c r="C11" s="193"/>
      <c r="D11" s="386"/>
      <c r="E11" s="386"/>
      <c r="F11" s="387"/>
      <c r="G11" s="188"/>
      <c r="H11" s="545">
        <f t="shared" si="0"/>
        <v>0</v>
      </c>
      <c r="I11" s="545">
        <f t="shared" si="1"/>
        <v>0</v>
      </c>
      <c r="J11" s="188"/>
      <c r="K11" s="556" t="str">
        <f t="shared" si="3"/>
        <v/>
      </c>
      <c r="L11" s="555" t="str">
        <f t="shared" si="2"/>
        <v/>
      </c>
      <c r="M11" s="185"/>
      <c r="N11" s="185"/>
      <c r="O11" s="185"/>
      <c r="P11" s="185"/>
      <c r="Q11" s="185"/>
      <c r="R11" s="185"/>
    </row>
    <row r="12" spans="1:18" s="183" customFormat="1">
      <c r="A12" s="185"/>
      <c r="B12" s="192"/>
      <c r="C12" s="193"/>
      <c r="D12" s="386"/>
      <c r="E12" s="386"/>
      <c r="F12" s="387"/>
      <c r="G12" s="188"/>
      <c r="H12" s="545">
        <f t="shared" si="0"/>
        <v>0</v>
      </c>
      <c r="I12" s="545">
        <f t="shared" si="1"/>
        <v>0</v>
      </c>
      <c r="J12" s="188"/>
      <c r="K12" s="556" t="str">
        <f t="shared" si="3"/>
        <v/>
      </c>
      <c r="L12" s="555" t="str">
        <f t="shared" si="2"/>
        <v/>
      </c>
      <c r="M12" s="185"/>
      <c r="N12" s="185"/>
      <c r="O12" s="185"/>
      <c r="P12" s="185"/>
      <c r="Q12" s="185"/>
      <c r="R12" s="185"/>
    </row>
    <row r="13" spans="1:18" s="183" customFormat="1">
      <c r="A13" s="185"/>
      <c r="B13" s="192"/>
      <c r="C13" s="193"/>
      <c r="D13" s="386"/>
      <c r="E13" s="386"/>
      <c r="F13" s="387"/>
      <c r="G13" s="188"/>
      <c r="H13" s="545">
        <f t="shared" si="0"/>
        <v>0</v>
      </c>
      <c r="I13" s="545">
        <f t="shared" si="1"/>
        <v>0</v>
      </c>
      <c r="J13" s="188"/>
      <c r="K13" s="556" t="str">
        <f t="shared" si="3"/>
        <v/>
      </c>
      <c r="L13" s="555" t="str">
        <f t="shared" si="2"/>
        <v/>
      </c>
      <c r="M13" s="185"/>
      <c r="N13" s="185"/>
      <c r="O13" s="185"/>
      <c r="P13" s="185"/>
      <c r="Q13" s="185"/>
      <c r="R13" s="185"/>
    </row>
    <row r="14" spans="1:18" s="183" customFormat="1">
      <c r="A14" s="185"/>
      <c r="B14" s="192"/>
      <c r="C14" s="193"/>
      <c r="D14" s="386"/>
      <c r="E14" s="386"/>
      <c r="F14" s="387"/>
      <c r="G14" s="188"/>
      <c r="H14" s="545">
        <f t="shared" si="0"/>
        <v>0</v>
      </c>
      <c r="I14" s="545">
        <f t="shared" si="1"/>
        <v>0</v>
      </c>
      <c r="J14" s="188"/>
      <c r="K14" s="556" t="str">
        <f t="shared" si="3"/>
        <v/>
      </c>
      <c r="L14" s="555" t="str">
        <f t="shared" si="2"/>
        <v/>
      </c>
      <c r="M14" s="185"/>
      <c r="N14" s="185"/>
      <c r="O14" s="185"/>
      <c r="P14" s="185"/>
      <c r="Q14" s="185"/>
      <c r="R14" s="185"/>
    </row>
    <row r="15" spans="1:18" s="183" customFormat="1">
      <c r="A15" s="185"/>
      <c r="B15" s="192"/>
      <c r="C15" s="193"/>
      <c r="D15" s="386"/>
      <c r="E15" s="386"/>
      <c r="F15" s="387"/>
      <c r="G15" s="188"/>
      <c r="H15" s="545">
        <f t="shared" si="0"/>
        <v>0</v>
      </c>
      <c r="I15" s="545">
        <f t="shared" si="1"/>
        <v>0</v>
      </c>
      <c r="J15" s="188"/>
      <c r="K15" s="556" t="str">
        <f t="shared" si="3"/>
        <v/>
      </c>
      <c r="L15" s="555" t="str">
        <f t="shared" si="2"/>
        <v/>
      </c>
      <c r="M15" s="185"/>
      <c r="N15" s="185"/>
      <c r="O15" s="185"/>
      <c r="P15" s="185"/>
      <c r="Q15" s="185"/>
      <c r="R15" s="185"/>
    </row>
    <row r="16" spans="1:18" s="183" customFormat="1" ht="13.5" thickBot="1">
      <c r="A16" s="185"/>
      <c r="B16" s="195"/>
      <c r="C16" s="196"/>
      <c r="D16" s="388"/>
      <c r="E16" s="388"/>
      <c r="F16" s="389"/>
      <c r="G16" s="188"/>
      <c r="H16" s="547">
        <f t="shared" si="0"/>
        <v>0</v>
      </c>
      <c r="I16" s="547">
        <f t="shared" si="1"/>
        <v>0</v>
      </c>
      <c r="J16" s="188"/>
      <c r="K16" s="557" t="str">
        <f t="shared" si="3"/>
        <v/>
      </c>
      <c r="L16" s="558" t="str">
        <f t="shared" si="2"/>
        <v/>
      </c>
      <c r="M16" s="185"/>
      <c r="N16" s="185"/>
      <c r="O16" s="185"/>
      <c r="P16" s="185"/>
      <c r="Q16" s="185"/>
      <c r="R16" s="185"/>
    </row>
    <row r="17" spans="1:22" s="197" customFormat="1" ht="13.5" thickBot="1">
      <c r="A17" s="188"/>
      <c r="B17" s="188"/>
      <c r="C17" s="188"/>
      <c r="D17" s="188"/>
      <c r="E17" s="188"/>
      <c r="F17" s="188"/>
      <c r="G17" s="188"/>
      <c r="H17" s="548">
        <f>SUM(H7:H16)</f>
        <v>24940289.399999999</v>
      </c>
      <c r="I17" s="548">
        <f>SUM(I7:I16)</f>
        <v>29402774.640000001</v>
      </c>
      <c r="J17" s="188"/>
      <c r="K17" s="188"/>
      <c r="L17" s="188"/>
      <c r="M17" s="188"/>
      <c r="N17" s="188"/>
      <c r="O17" s="188"/>
      <c r="P17" s="188"/>
      <c r="Q17" s="188"/>
      <c r="R17" s="188"/>
    </row>
    <row r="18" spans="1:22" s="183" customFormat="1" ht="13.5" thickTop="1">
      <c r="A18" s="185"/>
      <c r="B18" s="185"/>
      <c r="C18" s="185"/>
      <c r="D18" s="185"/>
      <c r="E18" s="185"/>
      <c r="F18" s="185"/>
      <c r="G18" s="185"/>
      <c r="H18" s="185"/>
      <c r="I18" s="185"/>
      <c r="J18" s="185"/>
      <c r="K18" s="185"/>
      <c r="L18" s="185"/>
      <c r="M18" s="185"/>
      <c r="N18" s="185"/>
      <c r="O18" s="185"/>
      <c r="P18" s="185"/>
      <c r="Q18" s="185"/>
      <c r="R18" s="185"/>
    </row>
    <row r="19" spans="1:22" s="183" customFormat="1">
      <c r="A19" s="185"/>
      <c r="B19" s="185"/>
      <c r="C19" s="185"/>
      <c r="D19" s="185"/>
      <c r="E19" s="185"/>
      <c r="F19" s="185"/>
      <c r="G19" s="185"/>
      <c r="H19" s="185"/>
      <c r="I19" s="185"/>
      <c r="J19" s="185"/>
      <c r="K19" s="185"/>
      <c r="L19" s="185"/>
      <c r="M19" s="185"/>
      <c r="N19" s="185"/>
      <c r="O19" s="185"/>
      <c r="P19" s="185"/>
      <c r="Q19" s="185"/>
      <c r="R19" s="185"/>
    </row>
    <row r="20" spans="1:22" s="183" customFormat="1">
      <c r="A20" s="185"/>
      <c r="B20" s="185"/>
      <c r="C20" s="185"/>
      <c r="D20" s="185"/>
      <c r="E20" s="185"/>
      <c r="F20" s="185"/>
      <c r="G20" s="185"/>
      <c r="H20" s="185"/>
      <c r="I20" s="185"/>
      <c r="J20" s="185"/>
      <c r="K20" s="185"/>
      <c r="L20" s="185"/>
      <c r="M20" s="185"/>
      <c r="N20" s="185"/>
      <c r="O20" s="185"/>
      <c r="P20" s="185"/>
      <c r="Q20" s="185"/>
      <c r="R20" s="185"/>
    </row>
    <row r="21" spans="1:22" s="183" customFormat="1">
      <c r="A21" s="185"/>
      <c r="B21" s="185"/>
      <c r="C21" s="185"/>
      <c r="D21" s="185"/>
      <c r="E21" s="185"/>
      <c r="F21" s="185"/>
      <c r="G21" s="185"/>
      <c r="H21" s="185"/>
      <c r="I21" s="185"/>
      <c r="J21" s="185"/>
      <c r="K21" s="185"/>
      <c r="L21" s="185"/>
      <c r="M21" s="185"/>
      <c r="N21" s="185"/>
      <c r="O21" s="185"/>
      <c r="P21" s="185"/>
      <c r="Q21" s="185"/>
      <c r="R21" s="185"/>
    </row>
    <row r="22" spans="1:22" s="35" customFormat="1" ht="15">
      <c r="A22" s="32"/>
      <c r="B22" s="74" t="s">
        <v>276</v>
      </c>
      <c r="C22" s="543"/>
      <c r="D22" s="542">
        <f>'Model update'!C5</f>
        <v>2018</v>
      </c>
      <c r="H22" s="76"/>
      <c r="I22" s="76"/>
      <c r="J22" s="76"/>
      <c r="K22" s="76"/>
      <c r="L22" s="76"/>
      <c r="M22" s="183"/>
      <c r="N22" s="78"/>
      <c r="O22" s="78"/>
      <c r="P22" s="78"/>
      <c r="Q22" s="78"/>
      <c r="R22" s="78"/>
    </row>
    <row r="23" spans="1:22" s="35" customFormat="1" ht="15">
      <c r="A23" s="32"/>
      <c r="B23" s="37"/>
      <c r="C23" s="40"/>
      <c r="D23" s="41"/>
      <c r="E23" s="32"/>
      <c r="F23" s="32"/>
      <c r="G23" s="204"/>
      <c r="H23" s="205"/>
      <c r="I23" s="204"/>
      <c r="J23" s="204"/>
      <c r="K23" s="84"/>
      <c r="L23" s="84"/>
      <c r="M23" s="84"/>
      <c r="N23" s="84"/>
      <c r="O23" s="84"/>
      <c r="P23" s="84"/>
      <c r="Q23" s="32"/>
    </row>
    <row r="24" spans="1:22" s="35" customFormat="1" ht="18" customHeight="1">
      <c r="A24" s="43"/>
      <c r="B24" s="44" t="s">
        <v>386</v>
      </c>
      <c r="C24" s="45"/>
      <c r="D24" s="46"/>
      <c r="E24" s="47"/>
      <c r="G24" s="201"/>
      <c r="H24" s="802" t="s">
        <v>398</v>
      </c>
      <c r="I24" s="803"/>
      <c r="J24" s="201"/>
      <c r="K24" s="47"/>
      <c r="L24" s="78"/>
      <c r="M24" s="78"/>
      <c r="N24" s="78"/>
      <c r="O24" s="78"/>
      <c r="P24" s="78"/>
    </row>
    <row r="25" spans="1:22" s="35" customFormat="1" ht="18" customHeight="1">
      <c r="A25" s="43"/>
      <c r="B25" s="167" t="s">
        <v>387</v>
      </c>
      <c r="C25" s="163"/>
      <c r="D25" s="73">
        <f>H17</f>
        <v>24940289.399999999</v>
      </c>
      <c r="E25" s="36"/>
      <c r="G25" s="201"/>
      <c r="H25" s="206" t="str">
        <f>"CPI "&amp;'Model update'!$C$5</f>
        <v>CPI 2018</v>
      </c>
      <c r="I25" s="210">
        <f>D37</f>
        <v>1.9337016574585641E-2</v>
      </c>
      <c r="J25" s="201"/>
      <c r="K25" s="47"/>
      <c r="L25" s="78"/>
      <c r="M25" s="78"/>
      <c r="N25" s="78"/>
      <c r="O25" s="78"/>
      <c r="P25" s="78"/>
    </row>
    <row r="26" spans="1:22" s="35" customFormat="1" ht="18" customHeight="1">
      <c r="A26" s="43"/>
      <c r="B26" s="168" t="s">
        <v>388</v>
      </c>
      <c r="C26" s="164"/>
      <c r="D26" s="86">
        <f>D33</f>
        <v>24940289.399999999</v>
      </c>
      <c r="E26" s="149"/>
      <c r="G26" s="76"/>
      <c r="H26" s="207" t="str">
        <f>"X "&amp; 'Model update'!$C$5</f>
        <v>X 2018</v>
      </c>
      <c r="I26" s="211">
        <f>MIN(D38,0)</f>
        <v>0</v>
      </c>
      <c r="J26" s="76"/>
      <c r="K26" s="47"/>
      <c r="L26" s="78"/>
      <c r="M26" s="78"/>
      <c r="N26" s="78"/>
      <c r="O26" s="78"/>
      <c r="P26" s="78"/>
    </row>
    <row r="27" spans="1:22" s="35" customFormat="1" ht="18" customHeight="1">
      <c r="A27" s="43"/>
      <c r="B27" s="87"/>
      <c r="C27" s="88"/>
      <c r="D27" s="89" t="str">
        <f>IF(D25="","",IF(D26&gt;=D25,"METERING REVENUE CAP FORMULA COMPLIANT","METERING REVENUE CAP FORMULA BREACHED"))</f>
        <v>METERING REVENUE CAP FORMULA COMPLIANT</v>
      </c>
      <c r="E27" s="75" t="str">
        <f>IF(C43=0,"",IF(C42&gt;C43,"MAXIMUM TRANSMISSION REVENUE FORMULA COMPLIANT","MAXIMUM TRANSMISSION REVENUE FORMULA BREACHED"))</f>
        <v/>
      </c>
      <c r="F27" s="76"/>
      <c r="G27" s="76"/>
      <c r="H27" s="207" t="str">
        <f>"Tt "&amp;'Model update'!$C$5</f>
        <v>Tt 2018</v>
      </c>
      <c r="I27" s="211">
        <f>D31/I17</f>
        <v>-6.1464868065447299E-2</v>
      </c>
      <c r="J27" s="76"/>
      <c r="K27" s="47"/>
      <c r="L27" s="78"/>
      <c r="M27" s="78"/>
      <c r="N27" s="78"/>
      <c r="O27" s="78"/>
      <c r="P27" s="78"/>
      <c r="T27" s="51"/>
      <c r="U27" s="51"/>
      <c r="V27" s="51"/>
    </row>
    <row r="28" spans="1:22" s="35" customFormat="1" ht="18" customHeight="1">
      <c r="A28" s="43"/>
      <c r="B28" s="50"/>
      <c r="C28" s="50"/>
      <c r="D28" s="50"/>
      <c r="E28" s="75"/>
      <c r="F28" s="76"/>
      <c r="G28" s="76"/>
      <c r="H28" s="207" t="str">
        <f>"Bt "&amp;'Model update'!$C$5</f>
        <v>Bt 2018</v>
      </c>
      <c r="I28" s="212">
        <f>D32/I17</f>
        <v>-7.058618326497827E-3</v>
      </c>
      <c r="J28" s="76"/>
      <c r="K28" s="47"/>
      <c r="L28" s="78"/>
      <c r="M28" s="78"/>
      <c r="N28" s="78"/>
      <c r="O28" s="78"/>
      <c r="P28" s="78"/>
      <c r="T28" s="51"/>
      <c r="U28" s="51"/>
      <c r="V28" s="51"/>
    </row>
    <row r="29" spans="1:22" s="35" customFormat="1" ht="18" customHeight="1">
      <c r="A29" s="43"/>
      <c r="B29" s="44" t="s">
        <v>390</v>
      </c>
      <c r="C29" s="50"/>
      <c r="D29" s="50"/>
      <c r="E29" s="75"/>
      <c r="F29" s="76"/>
      <c r="G29" s="76"/>
      <c r="H29" s="200"/>
      <c r="I29" s="213"/>
      <c r="J29" s="76"/>
      <c r="K29" s="47"/>
      <c r="L29" s="78"/>
      <c r="M29" s="78"/>
      <c r="N29"/>
      <c r="O29" s="78"/>
      <c r="P29" s="78"/>
      <c r="T29" s="51"/>
      <c r="U29" s="51"/>
      <c r="V29" s="51"/>
    </row>
    <row r="30" spans="1:22" s="35" customFormat="1" ht="18" customHeight="1">
      <c r="A30" s="43"/>
      <c r="B30" s="169" t="s">
        <v>389</v>
      </c>
      <c r="C30" s="52"/>
      <c r="D30" s="64">
        <f>D39</f>
        <v>26955070.027929466</v>
      </c>
      <c r="E30" s="75"/>
      <c r="F30" s="76"/>
      <c r="G30" s="76"/>
      <c r="H30" s="200"/>
      <c r="I30" s="214">
        <f>(1+I25)*(1-I26)*(1+0.02)+SUM(I27:I28)</f>
        <v>0.97120027051413216</v>
      </c>
      <c r="J30" s="76"/>
      <c r="K30" s="47"/>
      <c r="L30" s="78"/>
      <c r="M30" s="823"/>
      <c r="N30"/>
      <c r="O30" s="78"/>
      <c r="P30" s="78"/>
      <c r="T30" s="51"/>
      <c r="U30" s="51"/>
      <c r="V30" s="51"/>
    </row>
    <row r="31" spans="1:22" s="35" customFormat="1" ht="18" customHeight="1">
      <c r="A31" s="43"/>
      <c r="B31" s="170" t="s">
        <v>392</v>
      </c>
      <c r="C31" s="165"/>
      <c r="D31" s="64">
        <f>'Model update'!$D$292</f>
        <v>-1807237.6640056798</v>
      </c>
      <c r="E31" s="684"/>
      <c r="F31" s="76"/>
      <c r="G31" s="76"/>
      <c r="H31" s="202"/>
      <c r="I31" s="203"/>
      <c r="J31" s="76"/>
      <c r="K31" s="47"/>
      <c r="L31" s="78"/>
      <c r="M31" s="78"/>
      <c r="N31"/>
      <c r="O31" s="78"/>
      <c r="P31" s="78"/>
      <c r="T31" s="51"/>
      <c r="U31" s="51"/>
      <c r="V31" s="51"/>
    </row>
    <row r="32" spans="1:22" s="35" customFormat="1" ht="18" customHeight="1">
      <c r="A32" s="43"/>
      <c r="B32" s="170" t="s">
        <v>109</v>
      </c>
      <c r="C32" s="55"/>
      <c r="D32" s="64">
        <f>F57</f>
        <v>-207542.96392378956</v>
      </c>
      <c r="E32" s="75"/>
      <c r="F32" s="76"/>
      <c r="G32" s="201"/>
      <c r="K32" s="78"/>
      <c r="L32" s="778"/>
      <c r="M32" s="779"/>
      <c r="N32"/>
      <c r="O32" s="78"/>
      <c r="P32" s="78"/>
      <c r="T32" s="51"/>
      <c r="U32" s="51"/>
      <c r="V32" s="51"/>
    </row>
    <row r="33" spans="1:22" s="35" customFormat="1" ht="18" customHeight="1">
      <c r="A33" s="43"/>
      <c r="B33" s="167" t="s">
        <v>119</v>
      </c>
      <c r="C33" s="166"/>
      <c r="D33" s="181">
        <f>SUM(D30:D32)</f>
        <v>24940289.399999999</v>
      </c>
      <c r="E33" s="75"/>
      <c r="F33" s="76"/>
      <c r="G33" s="76"/>
      <c r="H33" s="76"/>
      <c r="I33" s="76"/>
      <c r="J33" s="76"/>
      <c r="K33" s="78"/>
      <c r="L33" s="778"/>
      <c r="M33" s="779"/>
      <c r="N33" s="78"/>
      <c r="O33" s="78"/>
      <c r="P33" s="78"/>
      <c r="T33" s="51"/>
      <c r="U33" s="51"/>
      <c r="V33" s="51"/>
    </row>
    <row r="34" spans="1:22" s="35" customFormat="1" ht="18" customHeight="1">
      <c r="A34" s="43"/>
      <c r="B34" s="56"/>
      <c r="C34" s="56"/>
      <c r="D34" s="92"/>
      <c r="E34" s="75"/>
      <c r="F34" s="76"/>
      <c r="G34" s="76"/>
      <c r="H34" s="76"/>
      <c r="I34" s="76"/>
      <c r="J34" s="76"/>
      <c r="K34" s="78"/>
      <c r="L34" s="778"/>
      <c r="M34" s="779"/>
      <c r="N34" s="78"/>
      <c r="O34" s="78"/>
      <c r="P34" s="78"/>
      <c r="T34" s="51"/>
      <c r="U34" s="51"/>
      <c r="V34" s="51"/>
    </row>
    <row r="35" spans="1:22" s="35" customFormat="1" ht="18" customHeight="1">
      <c r="A35" s="43"/>
      <c r="B35" s="44" t="s">
        <v>391</v>
      </c>
      <c r="C35" s="50"/>
      <c r="D35" s="50"/>
      <c r="E35" s="75"/>
      <c r="F35" s="76"/>
      <c r="G35" s="76"/>
      <c r="H35" s="76"/>
      <c r="I35" s="76"/>
      <c r="J35" s="76"/>
      <c r="K35" s="78"/>
      <c r="L35" s="78"/>
      <c r="M35" s="78"/>
      <c r="N35" s="78"/>
      <c r="O35" s="78"/>
      <c r="P35" s="78"/>
      <c r="T35" s="51"/>
      <c r="U35" s="51"/>
      <c r="V35" s="51"/>
    </row>
    <row r="36" spans="1:22" s="35" customFormat="1" ht="18" customHeight="1">
      <c r="A36" s="43"/>
      <c r="B36" s="167" t="s">
        <v>121</v>
      </c>
      <c r="C36" s="164"/>
      <c r="D36" s="66">
        <v>28640449.730392858</v>
      </c>
      <c r="E36" s="75"/>
      <c r="F36" s="76"/>
      <c r="G36" s="76"/>
      <c r="H36" s="76"/>
      <c r="I36" s="76"/>
      <c r="J36" s="76"/>
      <c r="K36" s="78"/>
      <c r="L36" s="78"/>
      <c r="M36" s="780"/>
      <c r="N36" s="78"/>
      <c r="O36" s="78"/>
      <c r="P36" s="78"/>
      <c r="T36" s="51"/>
      <c r="U36" s="51"/>
      <c r="V36" s="51"/>
    </row>
    <row r="37" spans="1:22" s="35" customFormat="1" ht="18" customHeight="1">
      <c r="A37" s="43"/>
      <c r="B37" s="169" t="s">
        <v>110</v>
      </c>
      <c r="C37" s="164"/>
      <c r="D37" s="67">
        <f>'Model update'!C30</f>
        <v>1.9337016574585641E-2</v>
      </c>
      <c r="E37" s="75"/>
      <c r="F37" s="76"/>
      <c r="G37" s="76"/>
      <c r="H37" s="76"/>
      <c r="I37" s="76"/>
      <c r="J37" s="76"/>
      <c r="K37" s="78"/>
      <c r="L37" s="78"/>
      <c r="M37" s="78"/>
      <c r="N37" s="78"/>
      <c r="O37" s="78"/>
      <c r="P37" s="78"/>
      <c r="T37" s="51"/>
      <c r="U37" s="51"/>
      <c r="V37" s="51"/>
    </row>
    <row r="38" spans="1:22" s="35" customFormat="1" ht="18" customHeight="1">
      <c r="A38" s="43"/>
      <c r="B38" s="169" t="s">
        <v>111</v>
      </c>
      <c r="C38" s="165"/>
      <c r="D38" s="67">
        <f>'Model update'!B72</f>
        <v>7.6700000000000004E-2</v>
      </c>
      <c r="E38" s="75"/>
      <c r="F38" s="76"/>
      <c r="G38" s="76"/>
      <c r="H38" s="76"/>
      <c r="I38" s="76"/>
      <c r="J38" s="76"/>
      <c r="K38" s="78"/>
      <c r="L38" s="78"/>
      <c r="M38" s="78"/>
      <c r="N38" s="78"/>
      <c r="O38" s="78"/>
      <c r="P38" s="78"/>
      <c r="T38" s="51"/>
      <c r="U38" s="51"/>
      <c r="V38" s="51"/>
    </row>
    <row r="39" spans="1:22" s="35" customFormat="1" ht="18" customHeight="1">
      <c r="A39" s="43"/>
      <c r="B39" s="167" t="s">
        <v>120</v>
      </c>
      <c r="C39" s="166"/>
      <c r="D39" s="65">
        <f>IF(D22=2016,'Model update'!D72,(D36*(1+D37)*(1-D38)))</f>
        <v>26955070.027929466</v>
      </c>
      <c r="E39" s="75"/>
      <c r="F39" s="76"/>
      <c r="G39" s="76"/>
      <c r="H39" s="76"/>
      <c r="I39" s="76"/>
      <c r="J39" s="76"/>
      <c r="K39" s="78"/>
      <c r="L39" s="78"/>
      <c r="M39" s="78"/>
      <c r="N39" s="78"/>
      <c r="O39" s="78"/>
      <c r="P39" s="78"/>
      <c r="T39" s="51"/>
      <c r="U39" s="51"/>
      <c r="V39" s="51"/>
    </row>
    <row r="40" spans="1:22" s="35" customFormat="1" ht="18" customHeight="1">
      <c r="A40" s="43"/>
      <c r="B40" s="57"/>
      <c r="C40" s="44"/>
      <c r="D40" s="68"/>
      <c r="E40" s="75"/>
      <c r="F40" s="76"/>
      <c r="G40" s="76"/>
      <c r="H40" s="76"/>
      <c r="I40" s="76"/>
      <c r="J40" s="76"/>
      <c r="K40" s="78"/>
      <c r="L40" s="78"/>
      <c r="M40" s="78"/>
      <c r="N40" s="78"/>
      <c r="O40" s="78"/>
      <c r="P40" s="78"/>
      <c r="T40" s="51"/>
      <c r="U40" s="51"/>
      <c r="V40" s="51"/>
    </row>
    <row r="41" spans="1:22" s="35" customFormat="1" ht="14.25">
      <c r="A41" s="32"/>
      <c r="B41" s="119"/>
      <c r="C41" s="33"/>
      <c r="D41" s="34"/>
      <c r="H41" s="36"/>
    </row>
    <row r="42" spans="1:22" s="35" customFormat="1" ht="14.25">
      <c r="A42" s="32"/>
      <c r="B42" s="119"/>
      <c r="C42" s="33"/>
      <c r="D42" s="34"/>
      <c r="H42" s="36"/>
    </row>
    <row r="43" spans="1:22" s="35" customFormat="1" ht="14.25">
      <c r="A43" s="32"/>
      <c r="B43" s="119"/>
      <c r="C43" s="33"/>
      <c r="D43" s="34"/>
      <c r="H43" s="36"/>
    </row>
    <row r="44" spans="1:22" s="35" customFormat="1" ht="15.75">
      <c r="A44" s="32"/>
      <c r="B44" s="208" t="s">
        <v>397</v>
      </c>
      <c r="C44" s="33"/>
      <c r="D44" s="34"/>
      <c r="H44" s="36"/>
    </row>
    <row r="45" spans="1:22" s="35" customFormat="1" ht="15">
      <c r="A45" s="32"/>
      <c r="B45" s="172"/>
      <c r="C45" s="176"/>
      <c r="D45" s="113" t="s">
        <v>275</v>
      </c>
      <c r="E45" s="113" t="s">
        <v>582</v>
      </c>
      <c r="F45" s="113" t="s">
        <v>35</v>
      </c>
      <c r="H45" s="36"/>
    </row>
    <row r="46" spans="1:22" s="35" customFormat="1" ht="15">
      <c r="A46" s="32"/>
      <c r="B46" s="173"/>
      <c r="C46" s="177"/>
      <c r="D46" s="114" t="s">
        <v>34</v>
      </c>
      <c r="E46" s="114" t="s">
        <v>451</v>
      </c>
      <c r="F46" s="114" t="s">
        <v>36</v>
      </c>
      <c r="H46" s="36"/>
    </row>
    <row r="47" spans="1:22" s="35" customFormat="1" ht="15">
      <c r="A47" s="32"/>
      <c r="B47" s="173"/>
      <c r="C47" s="177"/>
      <c r="D47" s="115">
        <f>E47-1</f>
        <v>2016</v>
      </c>
      <c r="E47" s="115">
        <f>F47-1</f>
        <v>2017</v>
      </c>
      <c r="F47" s="115">
        <f>D$22</f>
        <v>2018</v>
      </c>
      <c r="H47" s="36"/>
    </row>
    <row r="48" spans="1:22" s="35" customFormat="1" ht="14.25">
      <c r="A48" s="32"/>
      <c r="B48" s="173"/>
      <c r="C48" s="177"/>
      <c r="D48" s="98"/>
      <c r="E48" s="98"/>
      <c r="F48" s="111"/>
      <c r="H48" s="36"/>
    </row>
    <row r="49" spans="1:8" s="35" customFormat="1" ht="15">
      <c r="A49" s="32"/>
      <c r="B49" s="171" t="s">
        <v>393</v>
      </c>
      <c r="C49" s="177"/>
      <c r="D49" s="97">
        <v>32364241.309999999</v>
      </c>
      <c r="E49" s="608">
        <f>E89</f>
        <v>29291246.370000001</v>
      </c>
      <c r="F49" s="96">
        <f>D25</f>
        <v>24940289.399999999</v>
      </c>
      <c r="H49" s="36"/>
    </row>
    <row r="50" spans="1:8" s="35" customFormat="1" ht="14.25">
      <c r="A50" s="32"/>
      <c r="B50" s="174"/>
      <c r="C50" s="177"/>
      <c r="D50" s="98"/>
      <c r="E50" s="98"/>
      <c r="F50" s="110"/>
      <c r="H50" s="36"/>
    </row>
    <row r="51" spans="1:8" s="35" customFormat="1" ht="14.25">
      <c r="A51" s="32"/>
      <c r="B51" s="174"/>
      <c r="C51" s="177"/>
      <c r="D51" s="98"/>
      <c r="E51" s="98"/>
      <c r="F51" s="110"/>
      <c r="H51" s="36"/>
    </row>
    <row r="52" spans="1:8" s="35" customFormat="1" ht="15">
      <c r="A52" s="32"/>
      <c r="B52" s="175" t="s">
        <v>394</v>
      </c>
      <c r="C52" s="177"/>
      <c r="D52" s="96">
        <f>SUM(D53:D54)</f>
        <v>32973195.03847561</v>
      </c>
      <c r="E52" s="96">
        <f>SUM(E53:E54)</f>
        <v>28640449.730392858</v>
      </c>
      <c r="F52" s="96">
        <f>SUM(F53:F54)</f>
        <v>25147832.363923788</v>
      </c>
      <c r="H52" s="36"/>
    </row>
    <row r="53" spans="1:8" s="35" customFormat="1" ht="14.25">
      <c r="A53" s="32"/>
      <c r="B53" s="147" t="s">
        <v>269</v>
      </c>
      <c r="C53" s="177"/>
      <c r="D53" s="72">
        <v>32973195.03847561</v>
      </c>
      <c r="E53" s="162">
        <f>D36</f>
        <v>28640449.730392858</v>
      </c>
      <c r="F53" s="559">
        <f>D30</f>
        <v>26955070.027929466</v>
      </c>
      <c r="H53" s="36"/>
    </row>
    <row r="54" spans="1:8" s="35" customFormat="1" ht="14.25">
      <c r="A54" s="32"/>
      <c r="B54" s="147" t="s">
        <v>395</v>
      </c>
      <c r="C54" s="177"/>
      <c r="D54" s="120">
        <v>0</v>
      </c>
      <c r="E54" s="120">
        <v>0</v>
      </c>
      <c r="F54" s="121">
        <f>D31</f>
        <v>-1807237.6640056798</v>
      </c>
      <c r="H54" s="36"/>
    </row>
    <row r="55" spans="1:8" s="35" customFormat="1" ht="14.25">
      <c r="A55" s="32"/>
      <c r="B55" s="147"/>
      <c r="C55" s="177"/>
      <c r="D55" s="148"/>
      <c r="E55" s="148"/>
      <c r="F55" s="112"/>
      <c r="H55" s="36"/>
    </row>
    <row r="56" spans="1:8" s="35" customFormat="1" ht="14.25">
      <c r="A56" s="32"/>
      <c r="B56" s="117"/>
      <c r="C56" s="177"/>
      <c r="D56" s="98"/>
      <c r="E56" s="98"/>
      <c r="F56" s="110"/>
      <c r="H56" s="36"/>
    </row>
    <row r="57" spans="1:8" s="35" customFormat="1" ht="15">
      <c r="A57" s="32"/>
      <c r="B57" s="118" t="s">
        <v>45</v>
      </c>
      <c r="C57" s="180"/>
      <c r="D57" s="96">
        <f>D49-D52</f>
        <v>-608953.72847561166</v>
      </c>
      <c r="E57" s="96">
        <f>E49-E52</f>
        <v>650796.63960714266</v>
      </c>
      <c r="F57" s="96">
        <f>F49-F52</f>
        <v>-207542.96392378956</v>
      </c>
      <c r="H57" s="36"/>
    </row>
    <row r="58" spans="1:8" s="35" customFormat="1" ht="14.25">
      <c r="A58" s="32"/>
      <c r="B58" s="209"/>
      <c r="C58" s="33"/>
      <c r="E58" s="34"/>
      <c r="H58" s="36"/>
    </row>
    <row r="59" spans="1:8" s="35" customFormat="1" ht="14.25">
      <c r="A59" s="32"/>
      <c r="B59" s="209"/>
      <c r="C59" s="33"/>
      <c r="E59" s="34"/>
      <c r="H59" s="36"/>
    </row>
    <row r="60" spans="1:8" s="35" customFormat="1" ht="14.25">
      <c r="A60" s="32"/>
      <c r="B60" s="209"/>
      <c r="C60" s="33"/>
      <c r="E60" s="34"/>
      <c r="H60" s="36"/>
    </row>
    <row r="61" spans="1:8" s="35" customFormat="1" ht="15.75">
      <c r="A61" s="32"/>
      <c r="B61" s="208" t="s">
        <v>396</v>
      </c>
      <c r="C61" s="33"/>
      <c r="E61" s="34"/>
      <c r="H61" s="36"/>
    </row>
    <row r="62" spans="1:8" s="35" customFormat="1" ht="15">
      <c r="A62" s="32"/>
      <c r="B62" s="116"/>
      <c r="C62" s="176"/>
      <c r="D62" s="113" t="s">
        <v>275</v>
      </c>
      <c r="E62" s="113" t="s">
        <v>582</v>
      </c>
      <c r="F62" s="113" t="s">
        <v>35</v>
      </c>
      <c r="H62" s="36"/>
    </row>
    <row r="63" spans="1:8" s="35" customFormat="1" ht="15">
      <c r="A63" s="32"/>
      <c r="B63" s="117"/>
      <c r="C63" s="177"/>
      <c r="D63" s="114" t="s">
        <v>34</v>
      </c>
      <c r="E63" s="114" t="s">
        <v>451</v>
      </c>
      <c r="F63" s="114" t="s">
        <v>36</v>
      </c>
      <c r="H63" s="36"/>
    </row>
    <row r="64" spans="1:8" s="35" customFormat="1" ht="15">
      <c r="A64" s="32"/>
      <c r="B64" s="117" t="s">
        <v>277</v>
      </c>
      <c r="C64" s="177"/>
      <c r="D64" s="115">
        <f>E64-1</f>
        <v>2016</v>
      </c>
      <c r="E64" s="115">
        <f>F64-1</f>
        <v>2017</v>
      </c>
      <c r="F64" s="115">
        <f>D$22</f>
        <v>2018</v>
      </c>
      <c r="H64" s="36"/>
    </row>
    <row r="65" spans="1:22" s="35" customFormat="1" ht="14.25">
      <c r="A65" s="32"/>
      <c r="B65" s="178"/>
      <c r="C65" s="176"/>
      <c r="D65" s="109"/>
      <c r="E65" s="109"/>
      <c r="F65" s="179"/>
      <c r="H65" s="36"/>
    </row>
    <row r="66" spans="1:22" s="35" customFormat="1" ht="14.25">
      <c r="A66" s="32"/>
      <c r="B66" s="117" t="s">
        <v>583</v>
      </c>
      <c r="C66" s="177"/>
      <c r="D66" s="609">
        <f>(1+'Model update'!$B$47)*(1+'Model update'!$C$28)-1</f>
        <v>5.2561174728540827E-2</v>
      </c>
      <c r="E66" s="109">
        <f>(1+'Model update'!$B$45)*(1+'Model update'!$C$29)-1</f>
        <v>4.7000045598383666E-2</v>
      </c>
      <c r="F66" s="610">
        <f>(1+'Model update'!$B$43)*(1+'Model update'!$C$30)-1</f>
        <v>5.5929028441763728E-2</v>
      </c>
      <c r="H66" s="36"/>
    </row>
    <row r="67" spans="1:22" s="35" customFormat="1" ht="14.25">
      <c r="A67" s="32"/>
      <c r="B67" s="117"/>
      <c r="C67" s="177"/>
      <c r="D67" s="98"/>
      <c r="E67" s="98"/>
      <c r="F67" s="111"/>
      <c r="H67" s="36"/>
    </row>
    <row r="68" spans="1:22" s="35" customFormat="1" ht="14.25">
      <c r="A68" s="32"/>
      <c r="B68" s="117" t="s">
        <v>47</v>
      </c>
      <c r="C68" s="177"/>
      <c r="D68" s="99">
        <v>0</v>
      </c>
      <c r="E68" s="110">
        <f>D72</f>
        <v>-624752.44881554891</v>
      </c>
      <c r="F68" s="110">
        <f>E72</f>
        <v>11798.934390217182</v>
      </c>
      <c r="H68" s="36"/>
    </row>
    <row r="69" spans="1:22" s="35" customFormat="1" ht="14.25">
      <c r="A69" s="32"/>
      <c r="B69" s="117" t="s">
        <v>584</v>
      </c>
      <c r="C69" s="177"/>
      <c r="D69" s="148">
        <f>D68*D66</f>
        <v>0</v>
      </c>
      <c r="E69" s="148">
        <f>E68*E66</f>
        <v>-29363.393582032655</v>
      </c>
      <c r="F69" s="148">
        <f>F68*F66</f>
        <v>659.902937092961</v>
      </c>
      <c r="H69" s="36"/>
    </row>
    <row r="70" spans="1:22" s="35" customFormat="1" ht="14.25">
      <c r="A70" s="32"/>
      <c r="B70" s="107" t="s">
        <v>48</v>
      </c>
      <c r="C70" s="177"/>
      <c r="D70" s="110">
        <f>D57</f>
        <v>-608953.72847561166</v>
      </c>
      <c r="E70" s="110">
        <f>E57</f>
        <v>650796.63960714266</v>
      </c>
      <c r="F70" s="110">
        <f>F57</f>
        <v>-207542.96392378956</v>
      </c>
      <c r="H70" s="36"/>
    </row>
    <row r="71" spans="1:22" s="35" customFormat="1" ht="14.25">
      <c r="A71" s="32"/>
      <c r="B71" s="107" t="s">
        <v>468</v>
      </c>
      <c r="C71" s="177"/>
      <c r="D71" s="148">
        <f>D70*((1+D66)^0.5-1)</f>
        <v>-15798.720339937281</v>
      </c>
      <c r="E71" s="148">
        <f>E70*((1+E66)^0.5-1)</f>
        <v>15118.137180656078</v>
      </c>
      <c r="F71" s="148">
        <f>F70*((1+F66)^0.5-1)</f>
        <v>-5724.880404698938</v>
      </c>
      <c r="H71" s="36"/>
    </row>
    <row r="72" spans="1:22" s="35" customFormat="1" ht="15">
      <c r="A72" s="32"/>
      <c r="B72" s="118" t="s">
        <v>409</v>
      </c>
      <c r="C72" s="180"/>
      <c r="D72" s="96">
        <f>SUM(D68:D71)</f>
        <v>-624752.44881554891</v>
      </c>
      <c r="E72" s="96">
        <f t="shared" ref="E72:F72" si="4">SUM(E68:E71)</f>
        <v>11798.934390217182</v>
      </c>
      <c r="F72" s="96">
        <f t="shared" si="4"/>
        <v>-200809.00700117834</v>
      </c>
      <c r="H72" s="36"/>
    </row>
    <row r="73" spans="1:22" s="35" customFormat="1" ht="14.25">
      <c r="A73" s="32"/>
      <c r="B73" s="209"/>
      <c r="C73" s="33"/>
      <c r="E73" s="34"/>
      <c r="H73" s="36"/>
      <c r="K73" s="78"/>
      <c r="L73" s="78"/>
      <c r="M73" s="78"/>
      <c r="N73" s="78"/>
      <c r="O73" s="78"/>
      <c r="P73" s="78"/>
      <c r="Q73" s="78"/>
      <c r="R73" s="78"/>
      <c r="S73" s="78"/>
      <c r="T73" s="78"/>
      <c r="U73" s="78"/>
      <c r="V73" s="78"/>
    </row>
    <row r="74" spans="1:22" s="35" customFormat="1" ht="14.25">
      <c r="A74" s="32"/>
      <c r="B74" s="674" t="s">
        <v>592</v>
      </c>
      <c r="C74" s="33"/>
      <c r="E74" s="34"/>
      <c r="H74" s="36"/>
      <c r="K74" s="78"/>
      <c r="L74" s="78"/>
      <c r="M74" s="78"/>
      <c r="N74" s="78"/>
      <c r="O74" s="78"/>
      <c r="P74" s="78"/>
      <c r="Q74" s="78"/>
      <c r="R74" s="78"/>
      <c r="S74" s="78"/>
      <c r="T74" s="78"/>
      <c r="U74" s="78"/>
      <c r="V74" s="78"/>
    </row>
    <row r="75" spans="1:22" s="35" customFormat="1" ht="14.25">
      <c r="A75" s="32"/>
      <c r="B75" s="209"/>
      <c r="C75" s="33"/>
      <c r="E75" s="34"/>
      <c r="H75" s="36"/>
      <c r="K75" s="78"/>
      <c r="L75" s="78"/>
      <c r="M75" s="78"/>
      <c r="N75" s="78"/>
      <c r="O75" s="78"/>
      <c r="P75" s="78"/>
      <c r="Q75" s="78"/>
      <c r="R75" s="78"/>
      <c r="S75" s="78"/>
      <c r="T75" s="78"/>
      <c r="U75" s="78"/>
      <c r="V75" s="78"/>
    </row>
    <row r="76" spans="1:22" s="35" customFormat="1" ht="15" thickBot="1">
      <c r="A76" s="84"/>
      <c r="B76" s="611"/>
      <c r="C76" s="612"/>
      <c r="D76" s="78"/>
      <c r="E76" s="613"/>
      <c r="F76" s="78"/>
      <c r="G76" s="78"/>
      <c r="H76" s="614"/>
      <c r="I76" s="78"/>
      <c r="J76" s="78"/>
      <c r="K76" s="78"/>
      <c r="L76" s="78"/>
      <c r="M76" s="78"/>
      <c r="N76" s="78"/>
      <c r="O76" s="78"/>
      <c r="P76" s="78"/>
      <c r="Q76" s="78"/>
      <c r="R76" s="78"/>
      <c r="S76" s="78"/>
      <c r="T76" s="78"/>
      <c r="U76" s="78"/>
      <c r="V76" s="78"/>
    </row>
    <row r="77" spans="1:22" s="183" customFormat="1" ht="39" thickBot="1">
      <c r="C77" s="186" t="str">
        <f>"Current Metering Tariffs P(t-1) for " &amp;'Model update'!$C$8</f>
        <v>Current Metering Tariffs P(t-1) for 2017</v>
      </c>
      <c r="D77" s="186" t="str">
        <f>"Estimated Quantities   (Qt-1) for "&amp;'Model update'!$C$5-1</f>
        <v>Estimated Quantities   (Qt-1) for 2017</v>
      </c>
      <c r="E77" s="186" t="str">
        <f>"Revenue                    (Pt-1 "&amp;'Model update'!$C$8&amp;")*(Qt-1 " &amp;'Model update'!$C$5-1&amp;")"</f>
        <v>Revenue                    (Pt-1 2017)*(Qt-1 2017)</v>
      </c>
      <c r="G77" s="197"/>
      <c r="H77" s="78"/>
      <c r="J77" s="197"/>
      <c r="K77" s="78"/>
      <c r="L77" s="78"/>
    </row>
    <row r="78" spans="1:22" s="183" customFormat="1" ht="25.5">
      <c r="B78" s="190" t="s">
        <v>129</v>
      </c>
      <c r="C78" s="191" t="s">
        <v>358</v>
      </c>
      <c r="D78" s="191" t="s">
        <v>359</v>
      </c>
      <c r="E78" s="191" t="s">
        <v>170</v>
      </c>
      <c r="G78" s="197"/>
      <c r="H78" s="78"/>
      <c r="J78" s="197"/>
      <c r="K78" s="78"/>
      <c r="L78" s="78"/>
    </row>
    <row r="79" spans="1:22" s="183" customFormat="1" ht="14.25">
      <c r="B79" s="193"/>
      <c r="C79" s="384"/>
      <c r="D79" s="194"/>
      <c r="E79" s="546"/>
      <c r="G79" s="197"/>
      <c r="H79" s="78"/>
      <c r="J79" s="197"/>
      <c r="K79" s="78"/>
      <c r="L79" s="78"/>
    </row>
    <row r="80" spans="1:22" s="183" customFormat="1" ht="14.25">
      <c r="B80" s="193" t="s">
        <v>355</v>
      </c>
      <c r="C80" s="385">
        <f>E8</f>
        <v>85.11</v>
      </c>
      <c r="D80" s="655">
        <v>259419</v>
      </c>
      <c r="E80" s="545">
        <f t="shared" ref="E80:E88" si="5">C80*D80</f>
        <v>22079151.09</v>
      </c>
      <c r="G80" s="197"/>
      <c r="H80"/>
      <c r="J80" s="197"/>
      <c r="K80" s="78"/>
      <c r="L80" s="78"/>
    </row>
    <row r="81" spans="1:22" s="183" customFormat="1" ht="14.25">
      <c r="B81" s="193" t="s">
        <v>356</v>
      </c>
      <c r="C81" s="385">
        <f t="shared" ref="C81:C82" si="6">E9</f>
        <v>111.25</v>
      </c>
      <c r="D81" s="655">
        <v>61035</v>
      </c>
      <c r="E81" s="545">
        <f t="shared" si="5"/>
        <v>6790143.75</v>
      </c>
      <c r="G81" s="197"/>
      <c r="H81"/>
      <c r="I81"/>
      <c r="J81" s="197"/>
      <c r="K81" s="78"/>
      <c r="L81" s="78"/>
    </row>
    <row r="82" spans="1:22" s="183" customFormat="1" ht="14.25">
      <c r="B82" s="193" t="s">
        <v>357</v>
      </c>
      <c r="C82" s="385">
        <f t="shared" si="6"/>
        <v>140.51</v>
      </c>
      <c r="D82" s="655">
        <v>3003</v>
      </c>
      <c r="E82" s="545">
        <f t="shared" si="5"/>
        <v>421951.52999999997</v>
      </c>
      <c r="G82" s="197"/>
      <c r="H82"/>
      <c r="I82"/>
      <c r="J82" s="197"/>
      <c r="K82" s="78"/>
      <c r="L82" s="78"/>
    </row>
    <row r="83" spans="1:22" s="183" customFormat="1" ht="14.25">
      <c r="B83" s="193"/>
      <c r="C83" s="385"/>
      <c r="D83" s="615"/>
      <c r="E83" s="545">
        <f t="shared" si="5"/>
        <v>0</v>
      </c>
      <c r="G83" s="197"/>
      <c r="H83" s="78"/>
      <c r="I83"/>
      <c r="J83" s="197"/>
      <c r="K83" s="78"/>
      <c r="L83" s="78"/>
    </row>
    <row r="84" spans="1:22" s="183" customFormat="1" ht="14.25">
      <c r="B84" s="193"/>
      <c r="C84" s="385"/>
      <c r="D84" s="615"/>
      <c r="E84" s="545">
        <f t="shared" si="5"/>
        <v>0</v>
      </c>
      <c r="G84" s="197"/>
      <c r="H84" s="78"/>
      <c r="J84" s="197"/>
      <c r="K84" s="78"/>
      <c r="L84" s="78"/>
    </row>
    <row r="85" spans="1:22" s="183" customFormat="1" ht="14.25">
      <c r="B85" s="193"/>
      <c r="C85" s="386"/>
      <c r="D85" s="387"/>
      <c r="E85" s="545">
        <f t="shared" si="5"/>
        <v>0</v>
      </c>
      <c r="G85" s="197"/>
      <c r="H85" s="78"/>
      <c r="J85" s="197"/>
      <c r="K85" s="78"/>
      <c r="L85" s="78"/>
    </row>
    <row r="86" spans="1:22" s="183" customFormat="1" ht="14.25">
      <c r="B86" s="193"/>
      <c r="C86" s="386"/>
      <c r="D86" s="387"/>
      <c r="E86" s="545">
        <f t="shared" si="5"/>
        <v>0</v>
      </c>
      <c r="G86" s="197"/>
      <c r="H86" s="78"/>
      <c r="J86" s="197"/>
      <c r="K86" s="78"/>
      <c r="L86" s="78"/>
    </row>
    <row r="87" spans="1:22" s="183" customFormat="1" ht="14.25">
      <c r="B87" s="193"/>
      <c r="C87" s="386"/>
      <c r="D87" s="387"/>
      <c r="E87" s="545">
        <f t="shared" si="5"/>
        <v>0</v>
      </c>
      <c r="G87" s="197"/>
      <c r="H87" s="78"/>
      <c r="J87" s="197"/>
      <c r="K87" s="78"/>
      <c r="L87" s="78"/>
    </row>
    <row r="88" spans="1:22" s="183" customFormat="1" ht="15" thickBot="1">
      <c r="B88" s="196"/>
      <c r="C88" s="388"/>
      <c r="D88" s="389"/>
      <c r="E88" s="547">
        <f t="shared" si="5"/>
        <v>0</v>
      </c>
      <c r="G88" s="197"/>
      <c r="H88" s="78"/>
      <c r="J88" s="197"/>
      <c r="K88" s="78"/>
      <c r="L88" s="78"/>
    </row>
    <row r="89" spans="1:22" s="197" customFormat="1" ht="15" thickBot="1">
      <c r="E89" s="548">
        <f>SUM(E79:E88)</f>
        <v>29291246.370000001</v>
      </c>
      <c r="H89" s="78"/>
    </row>
    <row r="90" spans="1:22" ht="13.5" thickTop="1">
      <c r="A90" s="183"/>
      <c r="B90" s="183"/>
      <c r="C90" s="183"/>
      <c r="D90" s="183"/>
      <c r="E90" s="183"/>
      <c r="F90" s="183"/>
      <c r="G90" s="183"/>
      <c r="H90" s="183"/>
      <c r="I90" s="183"/>
      <c r="J90" s="183"/>
      <c r="K90" s="183"/>
      <c r="L90" s="183"/>
      <c r="M90" s="183"/>
      <c r="N90" s="183"/>
      <c r="O90" s="183"/>
      <c r="P90" s="183"/>
      <c r="Q90" s="183"/>
      <c r="R90" s="183"/>
      <c r="S90" s="183"/>
      <c r="T90" s="183"/>
      <c r="U90" s="183"/>
      <c r="V90" s="183"/>
    </row>
    <row r="91" spans="1:22">
      <c r="A91" s="183"/>
      <c r="B91" s="183"/>
      <c r="C91" s="183"/>
      <c r="D91" s="183"/>
      <c r="E91" s="183"/>
      <c r="F91" s="183"/>
      <c r="G91" s="183"/>
      <c r="H91" s="183"/>
      <c r="I91" s="183"/>
      <c r="J91" s="183"/>
      <c r="K91" s="183"/>
      <c r="L91" s="183"/>
      <c r="M91" s="183"/>
      <c r="N91" s="183"/>
      <c r="O91" s="183"/>
      <c r="P91" s="183"/>
      <c r="Q91" s="183"/>
      <c r="R91" s="183"/>
      <c r="S91" s="183"/>
      <c r="T91" s="183"/>
      <c r="U91" s="183"/>
      <c r="V91" s="183"/>
    </row>
    <row r="92" spans="1:22">
      <c r="A92" s="183"/>
      <c r="B92" s="183"/>
      <c r="C92" s="183"/>
      <c r="D92" s="183"/>
      <c r="E92" s="183"/>
      <c r="F92" s="183"/>
      <c r="G92" s="183"/>
      <c r="H92" s="183"/>
      <c r="I92" s="183"/>
      <c r="J92" s="183"/>
      <c r="K92" s="183"/>
      <c r="L92" s="183"/>
      <c r="M92" s="183"/>
      <c r="N92" s="183"/>
      <c r="O92" s="183"/>
      <c r="P92" s="183"/>
      <c r="Q92" s="183"/>
      <c r="R92" s="183"/>
      <c r="S92" s="183"/>
      <c r="T92" s="183"/>
      <c r="U92" s="183"/>
      <c r="V92" s="183"/>
    </row>
    <row r="93" spans="1:22">
      <c r="A93" s="183"/>
      <c r="B93" s="183"/>
      <c r="C93" s="183"/>
      <c r="D93" s="183"/>
      <c r="E93" s="183"/>
      <c r="F93" s="183"/>
      <c r="G93" s="183"/>
      <c r="H93" s="183"/>
      <c r="I93" s="183"/>
      <c r="J93" s="183"/>
      <c r="K93" s="183"/>
      <c r="L93" s="183"/>
      <c r="M93" s="183"/>
      <c r="N93" s="183"/>
      <c r="O93" s="183"/>
      <c r="P93" s="183"/>
      <c r="Q93" s="183"/>
      <c r="R93" s="183"/>
      <c r="S93" s="183"/>
      <c r="T93" s="183"/>
      <c r="U93" s="183"/>
      <c r="V93" s="183"/>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3"/>
    <pageSetUpPr autoPageBreaks="0"/>
  </sheetPr>
  <dimension ref="A1:DJ105"/>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activeCell="K31" sqref="K31"/>
    </sheetView>
  </sheetViews>
  <sheetFormatPr defaultRowHeight="12.75"/>
  <cols>
    <col min="1" max="1" width="8.7109375" style="199" customWidth="1"/>
    <col min="2" max="3" width="45" style="199" customWidth="1"/>
    <col min="4" max="4" width="14.7109375" style="199" customWidth="1"/>
    <col min="5" max="5" width="11.28515625" style="199" bestFit="1" customWidth="1"/>
    <col min="6" max="6" width="12.42578125" style="199" bestFit="1" customWidth="1"/>
    <col min="7" max="7" width="13.5703125" style="199" customWidth="1"/>
    <col min="8" max="8" width="12.42578125" style="199" bestFit="1" customWidth="1"/>
    <col min="9" max="9" width="11.28515625" style="199" bestFit="1" customWidth="1"/>
    <col min="10" max="11" width="9.140625" style="199"/>
    <col min="12" max="12" width="9.7109375" style="199" customWidth="1"/>
    <col min="13" max="13" width="13.28515625" style="199" customWidth="1"/>
    <col min="14" max="14" width="10.5703125" style="199" customWidth="1"/>
    <col min="15" max="16" width="11" style="199" bestFit="1" customWidth="1"/>
    <col min="17" max="24" width="11" style="199" customWidth="1"/>
    <col min="25" max="25" width="1.85546875" style="199" customWidth="1"/>
    <col min="26" max="26" width="17.42578125" style="199" customWidth="1"/>
    <col min="27" max="30" width="11.28515625" style="199" bestFit="1" customWidth="1"/>
    <col min="31" max="31" width="10" style="199" bestFit="1" customWidth="1"/>
    <col min="32" max="34" width="9.85546875" style="199" bestFit="1" customWidth="1"/>
    <col min="35" max="35" width="12.42578125" style="199" customWidth="1"/>
    <col min="36" max="38" width="10.5703125" style="199" customWidth="1"/>
    <col min="39" max="39" width="11.28515625" style="199" bestFit="1" customWidth="1"/>
    <col min="40" max="40" width="11.7109375" style="199" customWidth="1"/>
    <col min="41" max="41" width="12.7109375" style="199" customWidth="1"/>
    <col min="42" max="42" width="9.140625" style="199"/>
    <col min="43" max="43" width="10.85546875" style="199" customWidth="1"/>
    <col min="44" max="45" width="10" style="199" bestFit="1" customWidth="1"/>
    <col min="46" max="46" width="9.42578125" style="199" bestFit="1" customWidth="1"/>
    <col min="47" max="47" width="2.140625" style="199" customWidth="1"/>
    <col min="48" max="48" width="15.7109375" style="199" bestFit="1" customWidth="1"/>
    <col min="49" max="49" width="19.140625" style="199" bestFit="1" customWidth="1"/>
    <col min="50" max="50" width="17.85546875" style="199" bestFit="1" customWidth="1"/>
    <col min="51" max="51" width="15.7109375" style="199" customWidth="1"/>
    <col min="52" max="52" width="17.85546875" style="199" bestFit="1" customWidth="1"/>
    <col min="53" max="53" width="19.140625" style="199" bestFit="1" customWidth="1"/>
    <col min="54" max="55" width="17.85546875" style="199" bestFit="1" customWidth="1"/>
    <col min="56" max="56" width="10" style="199" bestFit="1" customWidth="1"/>
    <col min="57" max="57" width="13.140625" style="199" bestFit="1" customWidth="1"/>
    <col min="58" max="60" width="10.5703125" style="199" bestFit="1" customWidth="1"/>
    <col min="61" max="63" width="15.7109375" style="199" bestFit="1" customWidth="1"/>
    <col min="64" max="64" width="10.28515625" style="199" customWidth="1"/>
    <col min="65" max="65" width="14.7109375" style="199" customWidth="1"/>
    <col min="66" max="66" width="14.85546875" style="199" bestFit="1" customWidth="1"/>
    <col min="67" max="67" width="14.85546875" style="199" customWidth="1"/>
    <col min="68" max="68" width="10.7109375" style="199" customWidth="1"/>
    <col min="69" max="69" width="17.42578125" style="199" customWidth="1"/>
    <col min="70" max="70" width="14.42578125" style="199" bestFit="1" customWidth="1"/>
    <col min="71" max="71" width="15.7109375" style="199" bestFit="1" customWidth="1"/>
    <col min="72" max="72" width="15.5703125" style="199" customWidth="1"/>
    <col min="73" max="75" width="14.42578125" style="199" bestFit="1" customWidth="1"/>
    <col min="76" max="78" width="9.85546875" style="199" bestFit="1" customWidth="1"/>
    <col min="79" max="79" width="16.28515625" style="199" customWidth="1"/>
    <col min="80" max="80" width="12" style="199" customWidth="1"/>
    <col min="81" max="82" width="10.5703125" style="199" bestFit="1" customWidth="1"/>
    <col min="83" max="84" width="17.85546875" style="199" bestFit="1" customWidth="1"/>
    <col min="85" max="85" width="15.7109375" style="199" bestFit="1" customWidth="1"/>
    <col min="86" max="86" width="10.42578125" style="199" customWidth="1"/>
    <col min="87" max="87" width="14.42578125" style="199" bestFit="1" customWidth="1"/>
    <col min="88" max="88" width="13.140625" style="199" bestFit="1" customWidth="1"/>
    <col min="89" max="89" width="12.42578125" style="199" bestFit="1" customWidth="1"/>
    <col min="90" max="90" width="9.85546875" style="199" bestFit="1" customWidth="1"/>
    <col min="91" max="91" width="17.85546875" style="199" customWidth="1"/>
    <col min="92" max="92" width="10.42578125" style="199" customWidth="1"/>
    <col min="93" max="93" width="14.5703125" style="199" customWidth="1"/>
    <col min="94" max="94" width="15.7109375" style="199" bestFit="1" customWidth="1"/>
    <col min="95" max="95" width="15.85546875" style="199" customWidth="1"/>
    <col min="96" max="97" width="14.42578125" style="199" bestFit="1" customWidth="1"/>
    <col min="98" max="98" width="15.28515625" style="199" customWidth="1"/>
    <col min="99" max="101" width="10" style="199" bestFit="1" customWidth="1"/>
    <col min="102" max="102" width="18.140625" style="199" customWidth="1"/>
    <col min="103" max="103" width="15.28515625" style="199" customWidth="1"/>
    <col min="104" max="105" width="10.5703125" style="199" bestFit="1" customWidth="1"/>
    <col min="106" max="108" width="17.85546875" style="199" bestFit="1" customWidth="1"/>
    <col min="109" max="109" width="9.140625" style="199"/>
    <col min="110" max="110" width="14.42578125" style="199" bestFit="1" customWidth="1"/>
    <col min="111" max="111" width="13.28515625" style="199" customWidth="1"/>
    <col min="112" max="112" width="12.42578125" style="199" bestFit="1" customWidth="1"/>
    <col min="113" max="113" width="10" style="199" bestFit="1" customWidth="1"/>
    <col min="114" max="114" width="17.85546875" style="199" bestFit="1" customWidth="1"/>
    <col min="115" max="16384" width="9.140625" style="199"/>
  </cols>
  <sheetData>
    <row r="1" spans="1:114" ht="15">
      <c r="B1" s="153" t="str">
        <f>"Tariff Approval - "&amp;'Model update'!$C$3</f>
        <v>Tariff Approval - CitiPower</v>
      </c>
      <c r="C1" s="153"/>
      <c r="D1" s="621"/>
      <c r="F1" s="621"/>
      <c r="CO1" s="790" t="s">
        <v>842</v>
      </c>
    </row>
    <row r="2" spans="1:114">
      <c r="CO2" s="789" t="s">
        <v>840</v>
      </c>
    </row>
    <row r="3" spans="1:114">
      <c r="B3" s="227" t="str">
        <f>"PROPOSED "&amp;'Model update'!$C$5&amp;" DISTRIBUTION TARIFFS"</f>
        <v>PROPOSED 2018 DISTRIBUTION TARIFFS</v>
      </c>
      <c r="C3" s="227"/>
      <c r="CO3" s="789" t="s">
        <v>841</v>
      </c>
    </row>
    <row r="4" spans="1:114" ht="13.5" thickBot="1">
      <c r="D4" s="229" t="str">
        <f>"Proposed Distribution Tariffs (Pt) for "&amp;'Model update'!$C$5</f>
        <v>Proposed Distribution Tariffs (Pt) for 2018</v>
      </c>
      <c r="E4" s="230"/>
      <c r="F4" s="230"/>
      <c r="G4" s="230"/>
      <c r="H4" s="230"/>
      <c r="M4" s="369"/>
      <c r="Z4" s="229" t="str">
        <f>"Current Distribution Tariffs (Pt-1) for "&amp;'Model update'!$C$8</f>
        <v>Current Distribution Tariffs (Pt-1) for 2017</v>
      </c>
      <c r="AA4" s="230"/>
      <c r="AB4" s="230"/>
      <c r="AC4" s="230"/>
      <c r="AD4" s="230"/>
      <c r="AV4" s="229" t="str">
        <f>"Forecast Quantities (Qt) for "&amp;'Model update'!$C$5</f>
        <v>Forecast Quantities (Qt) for 2018</v>
      </c>
      <c r="AW4" s="230"/>
      <c r="AX4" s="230"/>
      <c r="AY4" s="230"/>
      <c r="AZ4" s="230"/>
      <c r="BQ4" s="776"/>
      <c r="BR4" s="229" t="str">
        <f>"Forecast Revenue (Pt "&amp;'Model update'!$C$5&amp;")*(Qt " &amp;'Model update'!$C$5&amp;")"</f>
        <v>Forecast Revenue (Pt 2018)*(Qt 2018)</v>
      </c>
      <c r="BS4" s="230"/>
      <c r="BT4" s="230"/>
      <c r="BU4" s="230"/>
      <c r="BV4" s="230"/>
      <c r="CO4" s="229" t="str">
        <f>"Revenue (Pt-1 "&amp;'Model update'!$C$8&amp;")*(Qt " &amp;'Model update'!$C$5&amp;")"</f>
        <v>Revenue (Pt-1 2017)*(Qt 2018)</v>
      </c>
      <c r="CP4" s="230"/>
      <c r="CQ4" s="230"/>
      <c r="CR4" s="230"/>
      <c r="CS4" s="230"/>
    </row>
    <row r="5" spans="1:114" ht="38.25">
      <c r="B5" s="233" t="s">
        <v>128</v>
      </c>
      <c r="C5" s="370" t="s">
        <v>129</v>
      </c>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t="s">
        <v>138</v>
      </c>
      <c r="Z5" s="234" t="s">
        <v>139</v>
      </c>
      <c r="AA5" s="235" t="s">
        <v>619</v>
      </c>
      <c r="AB5" s="235" t="s">
        <v>620</v>
      </c>
      <c r="AC5" s="235"/>
      <c r="AD5" s="235"/>
      <c r="AE5" s="235" t="s">
        <v>140</v>
      </c>
      <c r="AF5" s="235"/>
      <c r="AG5" s="235"/>
      <c r="AH5" s="235"/>
      <c r="AI5" s="235" t="s">
        <v>621</v>
      </c>
      <c r="AJ5" s="235" t="s">
        <v>622</v>
      </c>
      <c r="AK5" s="235" t="s">
        <v>623</v>
      </c>
      <c r="AL5" s="235" t="s">
        <v>624</v>
      </c>
      <c r="AM5" s="236" t="s">
        <v>141</v>
      </c>
      <c r="AN5" s="235" t="s">
        <v>142</v>
      </c>
      <c r="AO5" s="235" t="s">
        <v>143</v>
      </c>
      <c r="AP5" s="235"/>
      <c r="AQ5" s="235" t="s">
        <v>144</v>
      </c>
      <c r="AR5" s="235" t="s">
        <v>145</v>
      </c>
      <c r="AS5" s="235" t="s">
        <v>146</v>
      </c>
      <c r="AT5" s="237" t="s">
        <v>147</v>
      </c>
      <c r="AV5" s="234" t="s">
        <v>192</v>
      </c>
      <c r="AW5" s="235" t="s">
        <v>193</v>
      </c>
      <c r="AX5" s="235" t="s">
        <v>194</v>
      </c>
      <c r="AY5" s="235" t="s">
        <v>195</v>
      </c>
      <c r="AZ5" s="235" t="s">
        <v>196</v>
      </c>
      <c r="BA5" s="235" t="s">
        <v>197</v>
      </c>
      <c r="BB5" s="235" t="s">
        <v>198</v>
      </c>
      <c r="BC5" s="235" t="s">
        <v>199</v>
      </c>
      <c r="BD5" s="235" t="s">
        <v>200</v>
      </c>
      <c r="BE5" s="235" t="s">
        <v>201</v>
      </c>
      <c r="BF5" s="235" t="s">
        <v>202</v>
      </c>
      <c r="BG5" s="235" t="s">
        <v>203</v>
      </c>
      <c r="BH5" s="235" t="s">
        <v>204</v>
      </c>
      <c r="BI5" s="236" t="s">
        <v>205</v>
      </c>
      <c r="BJ5" s="235" t="s">
        <v>206</v>
      </c>
      <c r="BK5" s="235" t="s">
        <v>207</v>
      </c>
      <c r="BL5" s="235" t="s">
        <v>208</v>
      </c>
      <c r="BM5" s="235" t="s">
        <v>209</v>
      </c>
      <c r="BN5" s="235" t="s">
        <v>210</v>
      </c>
      <c r="BO5" s="235" t="s">
        <v>211</v>
      </c>
      <c r="BP5" s="237" t="s">
        <v>212</v>
      </c>
      <c r="BQ5" s="776"/>
      <c r="BR5" s="234" t="s">
        <v>148</v>
      </c>
      <c r="BS5" s="235" t="s">
        <v>149</v>
      </c>
      <c r="BT5" s="235" t="s">
        <v>150</v>
      </c>
      <c r="BU5" s="235" t="s">
        <v>151</v>
      </c>
      <c r="BV5" s="235" t="s">
        <v>152</v>
      </c>
      <c r="BW5" s="235" t="s">
        <v>153</v>
      </c>
      <c r="BX5" s="235" t="s">
        <v>154</v>
      </c>
      <c r="BY5" s="235" t="s">
        <v>155</v>
      </c>
      <c r="BZ5" s="235" t="s">
        <v>156</v>
      </c>
      <c r="CA5" s="235" t="s">
        <v>157</v>
      </c>
      <c r="CB5" s="235" t="s">
        <v>158</v>
      </c>
      <c r="CC5" s="235" t="s">
        <v>159</v>
      </c>
      <c r="CD5" s="235" t="s">
        <v>160</v>
      </c>
      <c r="CE5" s="371" t="s">
        <v>161</v>
      </c>
      <c r="CF5" s="371" t="s">
        <v>162</v>
      </c>
      <c r="CG5" s="371" t="s">
        <v>163</v>
      </c>
      <c r="CH5" s="371" t="s">
        <v>164</v>
      </c>
      <c r="CI5" s="371" t="s">
        <v>165</v>
      </c>
      <c r="CJ5" s="371" t="s">
        <v>166</v>
      </c>
      <c r="CK5" s="371" t="s">
        <v>167</v>
      </c>
      <c r="CL5" s="371" t="s">
        <v>168</v>
      </c>
      <c r="CM5" s="237" t="s">
        <v>169</v>
      </c>
      <c r="CO5" s="234" t="s">
        <v>170</v>
      </c>
      <c r="CP5" s="235" t="s">
        <v>171</v>
      </c>
      <c r="CQ5" s="235" t="s">
        <v>172</v>
      </c>
      <c r="CR5" s="235" t="s">
        <v>173</v>
      </c>
      <c r="CS5" s="235" t="s">
        <v>174</v>
      </c>
      <c r="CT5" s="235" t="s">
        <v>175</v>
      </c>
      <c r="CU5" s="235" t="s">
        <v>176</v>
      </c>
      <c r="CV5" s="235" t="s">
        <v>177</v>
      </c>
      <c r="CW5" s="235" t="s">
        <v>178</v>
      </c>
      <c r="CX5" s="235" t="s">
        <v>179</v>
      </c>
      <c r="CY5" s="235" t="s">
        <v>180</v>
      </c>
      <c r="CZ5" s="235" t="s">
        <v>181</v>
      </c>
      <c r="DA5" s="235" t="s">
        <v>182</v>
      </c>
      <c r="DB5" s="371" t="s">
        <v>183</v>
      </c>
      <c r="DC5" s="371" t="s">
        <v>184</v>
      </c>
      <c r="DD5" s="371" t="s">
        <v>185</v>
      </c>
      <c r="DE5" s="371" t="s">
        <v>186</v>
      </c>
      <c r="DF5" s="371" t="s">
        <v>187</v>
      </c>
      <c r="DG5" s="371" t="s">
        <v>188</v>
      </c>
      <c r="DH5" s="371" t="s">
        <v>189</v>
      </c>
      <c r="DI5" s="371" t="s">
        <v>190</v>
      </c>
      <c r="DJ5" s="237" t="s">
        <v>191</v>
      </c>
    </row>
    <row r="6" spans="1:114">
      <c r="B6" s="238"/>
      <c r="C6" s="238"/>
      <c r="D6" s="300"/>
      <c r="E6" s="284"/>
      <c r="F6" s="284"/>
      <c r="G6" s="284"/>
      <c r="H6" s="284"/>
      <c r="I6" s="284"/>
      <c r="J6" s="284"/>
      <c r="K6" s="284"/>
      <c r="L6" s="284"/>
      <c r="M6" s="284"/>
      <c r="N6" s="284"/>
      <c r="O6" s="284"/>
      <c r="P6" s="284"/>
      <c r="Q6" s="283"/>
      <c r="R6" s="284"/>
      <c r="S6" s="284"/>
      <c r="T6" s="284"/>
      <c r="U6" s="284"/>
      <c r="V6" s="284"/>
      <c r="W6" s="284"/>
      <c r="X6" s="285"/>
      <c r="Z6" s="239"/>
      <c r="AA6" s="240"/>
      <c r="AB6" s="240"/>
      <c r="AC6" s="240"/>
      <c r="AD6" s="240"/>
      <c r="AE6" s="240"/>
      <c r="AF6" s="240"/>
      <c r="AG6" s="240"/>
      <c r="AH6" s="240"/>
      <c r="AI6" s="241"/>
      <c r="AJ6" s="241"/>
      <c r="AK6" s="241"/>
      <c r="AL6" s="241"/>
      <c r="AM6" s="372"/>
      <c r="AN6" s="241"/>
      <c r="AO6" s="241"/>
      <c r="AP6" s="241"/>
      <c r="AQ6" s="241"/>
      <c r="AR6" s="241"/>
      <c r="AS6" s="241"/>
      <c r="AT6" s="242"/>
      <c r="AV6" s="252"/>
      <c r="AW6" s="253"/>
      <c r="AX6" s="253"/>
      <c r="AY6" s="253"/>
      <c r="AZ6" s="253"/>
      <c r="BA6" s="253"/>
      <c r="BB6" s="253"/>
      <c r="BC6" s="253"/>
      <c r="BD6" s="253"/>
      <c r="BE6" s="253"/>
      <c r="BF6" s="253"/>
      <c r="BG6" s="253"/>
      <c r="BH6" s="253"/>
      <c r="BI6" s="373"/>
      <c r="BJ6" s="253"/>
      <c r="BK6" s="253"/>
      <c r="BL6" s="253"/>
      <c r="BM6" s="253"/>
      <c r="BN6" s="253"/>
      <c r="BO6" s="253"/>
      <c r="BP6" s="254"/>
      <c r="BQ6" s="776"/>
      <c r="BR6" s="304">
        <f>D6*AV6</f>
        <v>0</v>
      </c>
      <c r="BS6" s="305">
        <f t="shared" ref="BS6:BZ21" si="0">E6/100*AW6</f>
        <v>0</v>
      </c>
      <c r="BT6" s="305">
        <f t="shared" si="0"/>
        <v>0</v>
      </c>
      <c r="BU6" s="305">
        <f t="shared" si="0"/>
        <v>0</v>
      </c>
      <c r="BV6" s="305">
        <f t="shared" si="0"/>
        <v>0</v>
      </c>
      <c r="BW6" s="305">
        <f t="shared" si="0"/>
        <v>0</v>
      </c>
      <c r="BX6" s="305">
        <f t="shared" si="0"/>
        <v>0</v>
      </c>
      <c r="BY6" s="305">
        <f t="shared" si="0"/>
        <v>0</v>
      </c>
      <c r="BZ6" s="305">
        <f t="shared" si="0"/>
        <v>0</v>
      </c>
      <c r="CA6" s="305">
        <f>M6*BE6</f>
        <v>0</v>
      </c>
      <c r="CB6" s="305">
        <f>N6*BF6</f>
        <v>0</v>
      </c>
      <c r="CC6" s="305">
        <f>O6*BG6</f>
        <v>0</v>
      </c>
      <c r="CD6" s="305">
        <f>P6*BH6</f>
        <v>0</v>
      </c>
      <c r="CE6" s="305">
        <f>Q6/100*BI6</f>
        <v>0</v>
      </c>
      <c r="CF6" s="305">
        <f t="shared" ref="CF6:CL21" si="1">R6/100*BJ6</f>
        <v>0</v>
      </c>
      <c r="CG6" s="305">
        <f t="shared" si="1"/>
        <v>0</v>
      </c>
      <c r="CH6" s="305">
        <f t="shared" si="1"/>
        <v>0</v>
      </c>
      <c r="CI6" s="305">
        <f t="shared" si="1"/>
        <v>0</v>
      </c>
      <c r="CJ6" s="305">
        <f t="shared" si="1"/>
        <v>0</v>
      </c>
      <c r="CK6" s="305">
        <f t="shared" si="1"/>
        <v>0</v>
      </c>
      <c r="CL6" s="305">
        <f t="shared" si="1"/>
        <v>0</v>
      </c>
      <c r="CM6" s="257">
        <f>SUM(BR6:CL6)</f>
        <v>0</v>
      </c>
      <c r="CO6" s="304">
        <f>Z6*AV6</f>
        <v>0</v>
      </c>
      <c r="CP6" s="305">
        <f t="shared" ref="CP6:CW6" si="2">AA6/100*AW6</f>
        <v>0</v>
      </c>
      <c r="CQ6" s="305">
        <f t="shared" si="2"/>
        <v>0</v>
      </c>
      <c r="CR6" s="305">
        <f t="shared" si="2"/>
        <v>0</v>
      </c>
      <c r="CS6" s="305">
        <f t="shared" si="2"/>
        <v>0</v>
      </c>
      <c r="CT6" s="305">
        <f t="shared" si="2"/>
        <v>0</v>
      </c>
      <c r="CU6" s="305">
        <f t="shared" si="2"/>
        <v>0</v>
      </c>
      <c r="CV6" s="305">
        <f t="shared" si="2"/>
        <v>0</v>
      </c>
      <c r="CW6" s="305">
        <f t="shared" si="2"/>
        <v>0</v>
      </c>
      <c r="CX6" s="305">
        <f>AI6*BE6</f>
        <v>0</v>
      </c>
      <c r="CY6" s="305">
        <f>AJ6*BF6</f>
        <v>0</v>
      </c>
      <c r="CZ6" s="305">
        <f>AK6*BG6</f>
        <v>0</v>
      </c>
      <c r="DA6" s="305">
        <f>AL6*BH6</f>
        <v>0</v>
      </c>
      <c r="DB6" s="305">
        <f>AM6/100*BI6</f>
        <v>0</v>
      </c>
      <c r="DC6" s="305">
        <f t="shared" ref="DC6:DI6" si="3">AN6/100*BJ6</f>
        <v>0</v>
      </c>
      <c r="DD6" s="305">
        <f t="shared" si="3"/>
        <v>0</v>
      </c>
      <c r="DE6" s="305">
        <f t="shared" si="3"/>
        <v>0</v>
      </c>
      <c r="DF6" s="305">
        <f t="shared" si="3"/>
        <v>0</v>
      </c>
      <c r="DG6" s="305">
        <f t="shared" si="3"/>
        <v>0</v>
      </c>
      <c r="DH6" s="305">
        <f t="shared" si="3"/>
        <v>0</v>
      </c>
      <c r="DI6" s="305">
        <f t="shared" si="3"/>
        <v>0</v>
      </c>
      <c r="DJ6" s="257">
        <f t="shared" ref="DJ6:DJ42" si="4">SUM(CO6:DI6)</f>
        <v>0</v>
      </c>
    </row>
    <row r="7" spans="1:114" s="748" customFormat="1">
      <c r="A7" s="748" t="s">
        <v>778</v>
      </c>
      <c r="B7" s="750" t="s">
        <v>546</v>
      </c>
      <c r="C7" s="750" t="s">
        <v>546</v>
      </c>
      <c r="D7" s="767">
        <v>85</v>
      </c>
      <c r="E7" s="768">
        <v>4.6100000000000003</v>
      </c>
      <c r="F7" s="768">
        <v>0</v>
      </c>
      <c r="G7" s="768">
        <v>0</v>
      </c>
      <c r="H7" s="768">
        <v>0</v>
      </c>
      <c r="I7" s="768">
        <v>0</v>
      </c>
      <c r="J7" s="768">
        <v>0</v>
      </c>
      <c r="K7" s="768">
        <v>0</v>
      </c>
      <c r="L7" s="768">
        <v>0</v>
      </c>
      <c r="M7" s="768">
        <v>0</v>
      </c>
      <c r="N7" s="768">
        <v>0</v>
      </c>
      <c r="O7" s="768">
        <v>0</v>
      </c>
      <c r="P7" s="768">
        <v>0</v>
      </c>
      <c r="Q7" s="768">
        <v>0</v>
      </c>
      <c r="R7" s="768">
        <v>0</v>
      </c>
      <c r="S7" s="768">
        <v>0</v>
      </c>
      <c r="T7" s="768">
        <v>0</v>
      </c>
      <c r="U7" s="768">
        <v>0</v>
      </c>
      <c r="V7" s="768">
        <v>0</v>
      </c>
      <c r="W7" s="768">
        <v>0</v>
      </c>
      <c r="X7" s="769">
        <v>0</v>
      </c>
      <c r="Z7" s="751">
        <f>IFERROR(INDEX(Est2017DistRev!D:D,MATCH($A7,Est2017DistRev!$A:$A,),1),)</f>
        <v>85</v>
      </c>
      <c r="AA7" s="752">
        <f>IFERROR(INDEX(Est2017DistRev!E:E,MATCH($A7,Est2017DistRev!$A:$A,),1),)</f>
        <v>4.5999999999999996</v>
      </c>
      <c r="AB7" s="752">
        <f>IFERROR(INDEX(Est2017DistRev!F:F,MATCH($A7,Est2017DistRev!$A:$A,),1),)</f>
        <v>0</v>
      </c>
      <c r="AC7" s="752">
        <f>IFERROR(INDEX(Est2017DistRev!G:G,MATCH($A7,Est2017DistRev!$A:$A,),1),)</f>
        <v>0</v>
      </c>
      <c r="AD7" s="752">
        <f>IFERROR(INDEX(Est2017DistRev!H:H,MATCH($A7,Est2017DistRev!$A:$A,),1),)</f>
        <v>0</v>
      </c>
      <c r="AE7" s="752">
        <f>IFERROR(INDEX(Est2017DistRev!I:I,MATCH($A7,Est2017DistRev!$A:$A,),1),)</f>
        <v>0</v>
      </c>
      <c r="AF7" s="752">
        <f>IFERROR(INDEX(Est2017DistRev!J:J,MATCH($A7,Est2017DistRev!$A:$A,),1),)</f>
        <v>0</v>
      </c>
      <c r="AG7" s="752">
        <f>IFERROR(INDEX(Est2017DistRev!K:K,MATCH($A7,Est2017DistRev!$A:$A,),1),)</f>
        <v>0</v>
      </c>
      <c r="AH7" s="752">
        <f>IFERROR(INDEX(Est2017DistRev!L:L,MATCH($A7,Est2017DistRev!$A:$A,),1),)</f>
        <v>0</v>
      </c>
      <c r="AI7" s="752">
        <f>IFERROR(INDEX(Est2017DistRev!M:M,MATCH($A7,Est2017DistRev!$A:$A,),1),)</f>
        <v>0</v>
      </c>
      <c r="AJ7" s="752">
        <f>IFERROR(INDEX(Est2017DistRev!N:N,MATCH($A7,Est2017DistRev!$A:$A,),1),)</f>
        <v>0</v>
      </c>
      <c r="AK7" s="752">
        <f>IFERROR(INDEX(Est2017DistRev!O:O,MATCH($A7,Est2017DistRev!$A:$A,),1),)</f>
        <v>0</v>
      </c>
      <c r="AL7" s="752">
        <f>IFERROR(INDEX(Est2017DistRev!P:P,MATCH($A7,Est2017DistRev!$A:$A,),1),)</f>
        <v>0</v>
      </c>
      <c r="AM7" s="752">
        <f>IFERROR(INDEX(Est2017DistRev!Q:Q,MATCH($A7,Est2017DistRev!$A:$A,),1),)</f>
        <v>0</v>
      </c>
      <c r="AN7" s="752">
        <f>IFERROR(INDEX(Est2017DistRev!R:R,MATCH($A7,Est2017DistRev!$A:$A,),1),)</f>
        <v>0</v>
      </c>
      <c r="AO7" s="752">
        <f>IFERROR(INDEX(Est2017DistRev!S:S,MATCH($A7,Est2017DistRev!$A:$A,),1),)</f>
        <v>0</v>
      </c>
      <c r="AP7" s="752">
        <f>IFERROR(INDEX(Est2017DistRev!T:T,MATCH($A7,Est2017DistRev!$A:$A,),1),)</f>
        <v>0</v>
      </c>
      <c r="AQ7" s="752">
        <f>IFERROR(INDEX(Est2017DistRev!U:U,MATCH($A7,Est2017DistRev!$A:$A,),1),)</f>
        <v>0</v>
      </c>
      <c r="AR7" s="752">
        <f>IFERROR(INDEX(Est2017DistRev!V:V,MATCH($A7,Est2017DistRev!$A:$A,),1),)</f>
        <v>0</v>
      </c>
      <c r="AS7" s="752">
        <f>IFERROR(INDEX(Est2017DistRev!W:W,MATCH($A7,Est2017DistRev!$A:$A,),1),)</f>
        <v>0</v>
      </c>
      <c r="AT7" s="753">
        <f>IFERROR(INDEX(Est2017DistRev!X:X,MATCH($A7,Est2017DistRev!$A:$A,),1),)</f>
        <v>0</v>
      </c>
      <c r="AV7" s="770">
        <v>203567.54384608413</v>
      </c>
      <c r="AW7" s="771">
        <v>837924196.22455716</v>
      </c>
      <c r="AX7" s="771">
        <v>0</v>
      </c>
      <c r="AY7" s="771">
        <v>0</v>
      </c>
      <c r="AZ7" s="771">
        <v>0</v>
      </c>
      <c r="BA7" s="771">
        <v>0</v>
      </c>
      <c r="BB7" s="771">
        <v>0</v>
      </c>
      <c r="BC7" s="771">
        <v>0</v>
      </c>
      <c r="BD7" s="771">
        <v>0</v>
      </c>
      <c r="BE7" s="771">
        <v>0</v>
      </c>
      <c r="BF7" s="771">
        <v>0</v>
      </c>
      <c r="BG7" s="771">
        <v>0</v>
      </c>
      <c r="BH7" s="771">
        <v>0</v>
      </c>
      <c r="BI7" s="771">
        <v>0</v>
      </c>
      <c r="BJ7" s="771">
        <v>0</v>
      </c>
      <c r="BK7" s="771">
        <v>0</v>
      </c>
      <c r="BL7" s="771">
        <v>0</v>
      </c>
      <c r="BM7" s="771">
        <v>0</v>
      </c>
      <c r="BN7" s="771">
        <v>0</v>
      </c>
      <c r="BO7" s="771">
        <v>0</v>
      </c>
      <c r="BP7" s="772">
        <v>0</v>
      </c>
      <c r="BQ7" s="777"/>
      <c r="BR7" s="762">
        <f t="shared" ref="BR7:BR42" si="5">D7*AV7</f>
        <v>17303241.226917151</v>
      </c>
      <c r="BS7" s="763">
        <f t="shared" si="0"/>
        <v>38628305.445952088</v>
      </c>
      <c r="BT7" s="763">
        <f t="shared" si="0"/>
        <v>0</v>
      </c>
      <c r="BU7" s="763">
        <f t="shared" si="0"/>
        <v>0</v>
      </c>
      <c r="BV7" s="763">
        <f t="shared" si="0"/>
        <v>0</v>
      </c>
      <c r="BW7" s="763">
        <f t="shared" si="0"/>
        <v>0</v>
      </c>
      <c r="BX7" s="763">
        <f t="shared" si="0"/>
        <v>0</v>
      </c>
      <c r="BY7" s="763">
        <f t="shared" si="0"/>
        <v>0</v>
      </c>
      <c r="BZ7" s="763">
        <f t="shared" si="0"/>
        <v>0</v>
      </c>
      <c r="CA7" s="763">
        <f t="shared" ref="CA7:CD42" si="6">M7*BE7</f>
        <v>0</v>
      </c>
      <c r="CB7" s="763">
        <f t="shared" si="6"/>
        <v>0</v>
      </c>
      <c r="CC7" s="763">
        <f t="shared" si="6"/>
        <v>0</v>
      </c>
      <c r="CD7" s="763">
        <f t="shared" si="6"/>
        <v>0</v>
      </c>
      <c r="CE7" s="763">
        <f t="shared" ref="CE7:CL42" si="7">Q7/100*BI7</f>
        <v>0</v>
      </c>
      <c r="CF7" s="763">
        <f t="shared" si="1"/>
        <v>0</v>
      </c>
      <c r="CG7" s="763">
        <f t="shared" si="1"/>
        <v>0</v>
      </c>
      <c r="CH7" s="763">
        <f t="shared" si="1"/>
        <v>0</v>
      </c>
      <c r="CI7" s="763">
        <f t="shared" si="1"/>
        <v>0</v>
      </c>
      <c r="CJ7" s="763">
        <f t="shared" si="1"/>
        <v>0</v>
      </c>
      <c r="CK7" s="763">
        <f t="shared" si="1"/>
        <v>0</v>
      </c>
      <c r="CL7" s="763">
        <f t="shared" si="1"/>
        <v>0</v>
      </c>
      <c r="CM7" s="757">
        <f t="shared" ref="CM7:CM42" si="8">SUM(BR7:CL7)</f>
        <v>55931546.672869235</v>
      </c>
      <c r="CN7" s="765"/>
      <c r="CO7" s="762">
        <f>Z7*Vol!D7</f>
        <v>17303241.226917151</v>
      </c>
      <c r="CP7" s="763">
        <f>AA7*Vol!E7/100</f>
        <v>38544513.026329629</v>
      </c>
      <c r="CQ7" s="763">
        <f>AB7*Vol!F7/100</f>
        <v>0</v>
      </c>
      <c r="CR7" s="763">
        <f>AC7*Vol!G7/100</f>
        <v>0</v>
      </c>
      <c r="CS7" s="763">
        <f>AD7*Vol!H7/100</f>
        <v>0</v>
      </c>
      <c r="CT7" s="763">
        <f>AE7*Vol!I7/100</f>
        <v>0</v>
      </c>
      <c r="CU7" s="763">
        <f>AF7*Vol!J7/100</f>
        <v>0</v>
      </c>
      <c r="CV7" s="763">
        <f>AG7*Vol!K7/100</f>
        <v>0</v>
      </c>
      <c r="CW7" s="763">
        <f>AH7*Vol!L7/100</f>
        <v>0</v>
      </c>
      <c r="CX7" s="763">
        <f>AI7*Vol!M7</f>
        <v>0</v>
      </c>
      <c r="CY7" s="763">
        <f>AJ7*Vol!N7</f>
        <v>0</v>
      </c>
      <c r="CZ7" s="763">
        <f>AK7*Vol!O7</f>
        <v>0</v>
      </c>
      <c r="DA7" s="763">
        <f>AL7*Vol!P7</f>
        <v>0</v>
      </c>
      <c r="DB7" s="763">
        <f>AM7*Vol!Q7/100</f>
        <v>0</v>
      </c>
      <c r="DC7" s="763">
        <f>AN7*Vol!R7/100</f>
        <v>0</v>
      </c>
      <c r="DD7" s="763">
        <f>AO7*Vol!S7/100</f>
        <v>0</v>
      </c>
      <c r="DE7" s="763">
        <f>AP7*Vol!T7/100</f>
        <v>0</v>
      </c>
      <c r="DF7" s="763">
        <f>AQ7*Vol!U7/100</f>
        <v>0</v>
      </c>
      <c r="DG7" s="763">
        <f>AR7*Vol!V7/100</f>
        <v>0</v>
      </c>
      <c r="DH7" s="763">
        <f>AS7*Vol!W7/100</f>
        <v>0</v>
      </c>
      <c r="DI7" s="763">
        <f>AT7*Vol!X7/100</f>
        <v>0</v>
      </c>
      <c r="DJ7" s="757">
        <f t="shared" si="4"/>
        <v>55847754.253246784</v>
      </c>
    </row>
    <row r="8" spans="1:114" s="748" customFormat="1">
      <c r="A8" s="748" t="s">
        <v>779</v>
      </c>
      <c r="B8" s="750" t="s">
        <v>547</v>
      </c>
      <c r="C8" s="750" t="s">
        <v>547</v>
      </c>
      <c r="D8" s="767">
        <v>75</v>
      </c>
      <c r="E8" s="768">
        <v>3.95</v>
      </c>
      <c r="F8" s="768">
        <v>0</v>
      </c>
      <c r="G8" s="768">
        <v>0</v>
      </c>
      <c r="H8" s="768">
        <v>0</v>
      </c>
      <c r="I8" s="768">
        <v>0</v>
      </c>
      <c r="J8" s="768">
        <v>0</v>
      </c>
      <c r="K8" s="768">
        <v>0</v>
      </c>
      <c r="L8" s="768">
        <v>0</v>
      </c>
      <c r="M8" s="768">
        <v>0</v>
      </c>
      <c r="N8" s="768">
        <v>0</v>
      </c>
      <c r="O8" s="768">
        <v>0</v>
      </c>
      <c r="P8" s="768">
        <v>0</v>
      </c>
      <c r="Q8" s="768">
        <v>0</v>
      </c>
      <c r="R8" s="768">
        <v>0</v>
      </c>
      <c r="S8" s="768">
        <v>0</v>
      </c>
      <c r="T8" s="768">
        <v>0</v>
      </c>
      <c r="U8" s="768">
        <v>0</v>
      </c>
      <c r="V8" s="768">
        <v>0</v>
      </c>
      <c r="W8" s="768">
        <v>0</v>
      </c>
      <c r="X8" s="769">
        <v>0</v>
      </c>
      <c r="Z8" s="751">
        <f>IFERROR(INDEX(Est2017DistRev!D:D,MATCH($A8,Est2017DistRev!$A:$A,),1),)</f>
        <v>75</v>
      </c>
      <c r="AA8" s="752">
        <f>IFERROR(INDEX(Est2017DistRev!E:E,MATCH($A8,Est2017DistRev!$A:$A,),1),)</f>
        <v>3.18</v>
      </c>
      <c r="AB8" s="752">
        <f>IFERROR(INDEX(Est2017DistRev!F:F,MATCH($A8,Est2017DistRev!$A:$A,),1),)</f>
        <v>0</v>
      </c>
      <c r="AC8" s="752">
        <f>IFERROR(INDEX(Est2017DistRev!G:G,MATCH($A8,Est2017DistRev!$A:$A,),1),)</f>
        <v>0</v>
      </c>
      <c r="AD8" s="752">
        <f>IFERROR(INDEX(Est2017DistRev!H:H,MATCH($A8,Est2017DistRev!$A:$A,),1),)</f>
        <v>0</v>
      </c>
      <c r="AE8" s="752">
        <f>IFERROR(INDEX(Est2017DistRev!I:I,MATCH($A8,Est2017DistRev!$A:$A,),1),)</f>
        <v>0</v>
      </c>
      <c r="AF8" s="752">
        <f>IFERROR(INDEX(Est2017DistRev!J:J,MATCH($A8,Est2017DistRev!$A:$A,),1),)</f>
        <v>0</v>
      </c>
      <c r="AG8" s="752">
        <f>IFERROR(INDEX(Est2017DistRev!K:K,MATCH($A8,Est2017DistRev!$A:$A,),1),)</f>
        <v>0</v>
      </c>
      <c r="AH8" s="752">
        <f>IFERROR(INDEX(Est2017DistRev!L:L,MATCH($A8,Est2017DistRev!$A:$A,),1),)</f>
        <v>0</v>
      </c>
      <c r="AI8" s="752">
        <f>IFERROR(INDEX(Est2017DistRev!M:M,MATCH($A8,Est2017DistRev!$A:$A,),1),)</f>
        <v>0</v>
      </c>
      <c r="AJ8" s="752">
        <f>IFERROR(INDEX(Est2017DistRev!N:N,MATCH($A8,Est2017DistRev!$A:$A,),1),)</f>
        <v>0</v>
      </c>
      <c r="AK8" s="752">
        <f>IFERROR(INDEX(Est2017DistRev!O:O,MATCH($A8,Est2017DistRev!$A:$A,),1),)</f>
        <v>0</v>
      </c>
      <c r="AL8" s="752">
        <f>IFERROR(INDEX(Est2017DistRev!P:P,MATCH($A8,Est2017DistRev!$A:$A,),1),)</f>
        <v>0</v>
      </c>
      <c r="AM8" s="752">
        <f>IFERROR(INDEX(Est2017DistRev!Q:Q,MATCH($A8,Est2017DistRev!$A:$A,),1),)</f>
        <v>0</v>
      </c>
      <c r="AN8" s="752">
        <f>IFERROR(INDEX(Est2017DistRev!R:R,MATCH($A8,Est2017DistRev!$A:$A,),1),)</f>
        <v>0</v>
      </c>
      <c r="AO8" s="752">
        <f>IFERROR(INDEX(Est2017DistRev!S:S,MATCH($A8,Est2017DistRev!$A:$A,),1),)</f>
        <v>0</v>
      </c>
      <c r="AP8" s="752">
        <f>IFERROR(INDEX(Est2017DistRev!T:T,MATCH($A8,Est2017DistRev!$A:$A,),1),)</f>
        <v>0</v>
      </c>
      <c r="AQ8" s="752">
        <f>IFERROR(INDEX(Est2017DistRev!U:U,MATCH($A8,Est2017DistRev!$A:$A,),1),)</f>
        <v>0</v>
      </c>
      <c r="AR8" s="752">
        <f>IFERROR(INDEX(Est2017DistRev!V:V,MATCH($A8,Est2017DistRev!$A:$A,),1),)</f>
        <v>0</v>
      </c>
      <c r="AS8" s="752">
        <f>IFERROR(INDEX(Est2017DistRev!W:W,MATCH($A8,Est2017DistRev!$A:$A,),1),)</f>
        <v>0</v>
      </c>
      <c r="AT8" s="753">
        <f>IFERROR(INDEX(Est2017DistRev!X:X,MATCH($A8,Est2017DistRev!$A:$A,),1),)</f>
        <v>0</v>
      </c>
      <c r="AV8" s="773">
        <v>30796.16529635977</v>
      </c>
      <c r="AW8" s="771">
        <v>103793921.82591532</v>
      </c>
      <c r="AX8" s="771">
        <v>0</v>
      </c>
      <c r="AY8" s="771">
        <v>0</v>
      </c>
      <c r="AZ8" s="771">
        <v>0</v>
      </c>
      <c r="BA8" s="771">
        <v>0</v>
      </c>
      <c r="BB8" s="771">
        <v>0</v>
      </c>
      <c r="BC8" s="771">
        <v>0</v>
      </c>
      <c r="BD8" s="771">
        <v>0</v>
      </c>
      <c r="BE8" s="771">
        <v>0</v>
      </c>
      <c r="BF8" s="771">
        <v>0</v>
      </c>
      <c r="BG8" s="771">
        <v>0</v>
      </c>
      <c r="BH8" s="771">
        <v>0</v>
      </c>
      <c r="BI8" s="771">
        <v>0</v>
      </c>
      <c r="BJ8" s="771">
        <v>0</v>
      </c>
      <c r="BK8" s="771">
        <v>0</v>
      </c>
      <c r="BL8" s="771">
        <v>0</v>
      </c>
      <c r="BM8" s="771">
        <v>0</v>
      </c>
      <c r="BN8" s="771">
        <v>0</v>
      </c>
      <c r="BO8" s="771">
        <v>0</v>
      </c>
      <c r="BP8" s="772">
        <v>0</v>
      </c>
      <c r="BQ8" s="777"/>
      <c r="BR8" s="762">
        <f t="shared" si="5"/>
        <v>2309712.3972269827</v>
      </c>
      <c r="BS8" s="763">
        <f t="shared" si="0"/>
        <v>4099859.9121236554</v>
      </c>
      <c r="BT8" s="763">
        <f t="shared" si="0"/>
        <v>0</v>
      </c>
      <c r="BU8" s="763">
        <f t="shared" si="0"/>
        <v>0</v>
      </c>
      <c r="BV8" s="763">
        <f t="shared" si="0"/>
        <v>0</v>
      </c>
      <c r="BW8" s="763">
        <f t="shared" si="0"/>
        <v>0</v>
      </c>
      <c r="BX8" s="763">
        <f t="shared" si="0"/>
        <v>0</v>
      </c>
      <c r="BY8" s="763">
        <f t="shared" si="0"/>
        <v>0</v>
      </c>
      <c r="BZ8" s="763">
        <f t="shared" si="0"/>
        <v>0</v>
      </c>
      <c r="CA8" s="763">
        <f t="shared" si="6"/>
        <v>0</v>
      </c>
      <c r="CB8" s="763">
        <f t="shared" si="6"/>
        <v>0</v>
      </c>
      <c r="CC8" s="763">
        <f t="shared" si="6"/>
        <v>0</v>
      </c>
      <c r="CD8" s="763">
        <f t="shared" si="6"/>
        <v>0</v>
      </c>
      <c r="CE8" s="763">
        <f t="shared" si="7"/>
        <v>0</v>
      </c>
      <c r="CF8" s="763">
        <f t="shared" si="1"/>
        <v>0</v>
      </c>
      <c r="CG8" s="763">
        <f t="shared" si="1"/>
        <v>0</v>
      </c>
      <c r="CH8" s="763">
        <f t="shared" si="1"/>
        <v>0</v>
      </c>
      <c r="CI8" s="763">
        <f t="shared" si="1"/>
        <v>0</v>
      </c>
      <c r="CJ8" s="763">
        <f t="shared" si="1"/>
        <v>0</v>
      </c>
      <c r="CK8" s="763">
        <f t="shared" si="1"/>
        <v>0</v>
      </c>
      <c r="CL8" s="763">
        <f t="shared" si="1"/>
        <v>0</v>
      </c>
      <c r="CM8" s="757">
        <f t="shared" si="8"/>
        <v>6409572.3093506377</v>
      </c>
      <c r="CO8" s="762">
        <f>Z8*Vol!D8</f>
        <v>2309712.3972269827</v>
      </c>
      <c r="CP8" s="763">
        <f>AA8*Vol!E8/100</f>
        <v>3300646.7140641077</v>
      </c>
      <c r="CQ8" s="763">
        <f>AB8*Vol!F8/100</f>
        <v>0</v>
      </c>
      <c r="CR8" s="763">
        <f>AC8*Vol!G8/100</f>
        <v>0</v>
      </c>
      <c r="CS8" s="763">
        <f>AD8*Vol!H8/100</f>
        <v>0</v>
      </c>
      <c r="CT8" s="763">
        <f>AE8*Vol!I8/100</f>
        <v>0</v>
      </c>
      <c r="CU8" s="763">
        <f>AF8*Vol!J8/100</f>
        <v>0</v>
      </c>
      <c r="CV8" s="763">
        <f>AG8*Vol!K8/100</f>
        <v>0</v>
      </c>
      <c r="CW8" s="763">
        <f>AH8*Vol!L8/100</f>
        <v>0</v>
      </c>
      <c r="CX8" s="763">
        <f>AI8*Vol!M8</f>
        <v>0</v>
      </c>
      <c r="CY8" s="763">
        <f>AJ8*Vol!N8</f>
        <v>0</v>
      </c>
      <c r="CZ8" s="763">
        <f>AK8*Vol!O8</f>
        <v>0</v>
      </c>
      <c r="DA8" s="763">
        <f>AL8*Vol!P8</f>
        <v>0</v>
      </c>
      <c r="DB8" s="763">
        <f>AM8*Vol!Q8/100</f>
        <v>0</v>
      </c>
      <c r="DC8" s="763">
        <f>AN8*Vol!R8/100</f>
        <v>0</v>
      </c>
      <c r="DD8" s="763">
        <f>AO8*Vol!S8/100</f>
        <v>0</v>
      </c>
      <c r="DE8" s="763">
        <f>AP8*Vol!T8/100</f>
        <v>0</v>
      </c>
      <c r="DF8" s="763">
        <f>AQ8*Vol!U8/100</f>
        <v>0</v>
      </c>
      <c r="DG8" s="763">
        <f>AR8*Vol!V8/100</f>
        <v>0</v>
      </c>
      <c r="DH8" s="763">
        <f>AS8*Vol!W8/100</f>
        <v>0</v>
      </c>
      <c r="DI8" s="763">
        <f>AT8*Vol!X8/100</f>
        <v>0</v>
      </c>
      <c r="DJ8" s="757">
        <f t="shared" si="4"/>
        <v>5610359.11129109</v>
      </c>
    </row>
    <row r="9" spans="1:114" s="748" customFormat="1">
      <c r="A9" s="748" t="s">
        <v>780</v>
      </c>
      <c r="B9" s="750" t="s">
        <v>548</v>
      </c>
      <c r="C9" s="750" t="s">
        <v>548</v>
      </c>
      <c r="D9" s="767">
        <v>85</v>
      </c>
      <c r="E9" s="768">
        <v>0</v>
      </c>
      <c r="F9" s="768">
        <v>0</v>
      </c>
      <c r="G9" s="768">
        <v>0</v>
      </c>
      <c r="H9" s="768">
        <v>0</v>
      </c>
      <c r="I9" s="768">
        <v>0</v>
      </c>
      <c r="J9" s="768">
        <v>0</v>
      </c>
      <c r="K9" s="768">
        <v>0</v>
      </c>
      <c r="L9" s="768">
        <v>0</v>
      </c>
      <c r="M9" s="768">
        <v>0</v>
      </c>
      <c r="N9" s="768">
        <v>0</v>
      </c>
      <c r="O9" s="768">
        <v>0</v>
      </c>
      <c r="P9" s="768">
        <v>0</v>
      </c>
      <c r="Q9" s="768">
        <v>10.96</v>
      </c>
      <c r="R9" s="768">
        <v>7.38</v>
      </c>
      <c r="S9" s="768">
        <v>2.9</v>
      </c>
      <c r="T9" s="768">
        <v>0</v>
      </c>
      <c r="U9" s="768">
        <v>10.96</v>
      </c>
      <c r="V9" s="768">
        <v>7.38</v>
      </c>
      <c r="W9" s="768">
        <v>2.9</v>
      </c>
      <c r="X9" s="769">
        <v>0</v>
      </c>
      <c r="Z9" s="751">
        <f>IFERROR(INDEX(Est2017DistRev!D:D,MATCH($A9,Est2017DistRev!$A:$A,),1),)</f>
        <v>85</v>
      </c>
      <c r="AA9" s="752">
        <f>IFERROR(INDEX(Est2017DistRev!E:E,MATCH($A9,Est2017DistRev!$A:$A,),1),)</f>
        <v>0</v>
      </c>
      <c r="AB9" s="752">
        <f>IFERROR(INDEX(Est2017DistRev!F:F,MATCH($A9,Est2017DistRev!$A:$A,),1),)</f>
        <v>0</v>
      </c>
      <c r="AC9" s="752">
        <f>IFERROR(INDEX(Est2017DistRev!G:G,MATCH($A9,Est2017DistRev!$A:$A,),1),)</f>
        <v>0</v>
      </c>
      <c r="AD9" s="752">
        <f>IFERROR(INDEX(Est2017DistRev!H:H,MATCH($A9,Est2017DistRev!$A:$A,),1),)</f>
        <v>0</v>
      </c>
      <c r="AE9" s="752">
        <f>IFERROR(INDEX(Est2017DistRev!I:I,MATCH($A9,Est2017DistRev!$A:$A,),1),)</f>
        <v>0</v>
      </c>
      <c r="AF9" s="752">
        <f>IFERROR(INDEX(Est2017DistRev!J:J,MATCH($A9,Est2017DistRev!$A:$A,),1),)</f>
        <v>0</v>
      </c>
      <c r="AG9" s="752">
        <f>IFERROR(INDEX(Est2017DistRev!K:K,MATCH($A9,Est2017DistRev!$A:$A,),1),)</f>
        <v>0</v>
      </c>
      <c r="AH9" s="752">
        <f>IFERROR(INDEX(Est2017DistRev!L:L,MATCH($A9,Est2017DistRev!$A:$A,),1),)</f>
        <v>0</v>
      </c>
      <c r="AI9" s="752">
        <f>IFERROR(INDEX(Est2017DistRev!M:M,MATCH($A9,Est2017DistRev!$A:$A,),1),)</f>
        <v>0</v>
      </c>
      <c r="AJ9" s="752">
        <f>IFERROR(INDEX(Est2017DistRev!N:N,MATCH($A9,Est2017DistRev!$A:$A,),1),)</f>
        <v>0</v>
      </c>
      <c r="AK9" s="752">
        <f>IFERROR(INDEX(Est2017DistRev!O:O,MATCH($A9,Est2017DistRev!$A:$A,),1),)</f>
        <v>0</v>
      </c>
      <c r="AL9" s="752">
        <f>IFERROR(INDEX(Est2017DistRev!P:P,MATCH($A9,Est2017DistRev!$A:$A,),1),)</f>
        <v>0</v>
      </c>
      <c r="AM9" s="752">
        <f>IFERROR(INDEX(Est2017DistRev!Q:Q,MATCH($A9,Est2017DistRev!$A:$A,),1),)</f>
        <v>9.9700000000000006</v>
      </c>
      <c r="AN9" s="752">
        <f>IFERROR(INDEX(Est2017DistRev!R:R,MATCH($A9,Est2017DistRev!$A:$A,),1),)</f>
        <v>6.72</v>
      </c>
      <c r="AO9" s="752">
        <f>IFERROR(INDEX(Est2017DistRev!S:S,MATCH($A9,Est2017DistRev!$A:$A,),1),)</f>
        <v>2.65</v>
      </c>
      <c r="AP9" s="752">
        <f>IFERROR(INDEX(Est2017DistRev!T:T,MATCH($A9,Est2017DistRev!$A:$A,),1),)</f>
        <v>0</v>
      </c>
      <c r="AQ9" s="752">
        <f>IFERROR(INDEX(Est2017DistRev!U:U,MATCH($A9,Est2017DistRev!$A:$A,),1),)</f>
        <v>9.9700000000000006</v>
      </c>
      <c r="AR9" s="752">
        <f>IFERROR(INDEX(Est2017DistRev!V:V,MATCH($A9,Est2017DistRev!$A:$A,),1),)</f>
        <v>6.72</v>
      </c>
      <c r="AS9" s="752">
        <f>IFERROR(INDEX(Est2017DistRev!W:W,MATCH($A9,Est2017DistRev!$A:$A,),1),)</f>
        <v>2.65</v>
      </c>
      <c r="AT9" s="753">
        <f>IFERROR(INDEX(Est2017DistRev!X:X,MATCH($A9,Est2017DistRev!$A:$A,),1),)</f>
        <v>0</v>
      </c>
      <c r="AV9" s="773">
        <v>692.19902131802507</v>
      </c>
      <c r="AW9" s="771">
        <v>0</v>
      </c>
      <c r="AX9" s="771">
        <v>0</v>
      </c>
      <c r="AY9" s="771">
        <v>0</v>
      </c>
      <c r="AZ9" s="771">
        <v>0</v>
      </c>
      <c r="BA9" s="771">
        <v>0</v>
      </c>
      <c r="BB9" s="771">
        <v>0</v>
      </c>
      <c r="BC9" s="771">
        <v>0</v>
      </c>
      <c r="BD9" s="771">
        <v>0</v>
      </c>
      <c r="BE9" s="771">
        <v>0</v>
      </c>
      <c r="BF9" s="771">
        <v>0</v>
      </c>
      <c r="BG9" s="771">
        <v>0</v>
      </c>
      <c r="BH9" s="771">
        <v>0</v>
      </c>
      <c r="BI9" s="771">
        <v>209399.38859650321</v>
      </c>
      <c r="BJ9" s="771">
        <v>421530.70937171311</v>
      </c>
      <c r="BK9" s="771">
        <v>295381.02379908122</v>
      </c>
      <c r="BL9" s="771">
        <v>0</v>
      </c>
      <c r="BM9" s="771">
        <v>766444.76391363656</v>
      </c>
      <c r="BN9" s="771">
        <v>1512235.2073960255</v>
      </c>
      <c r="BO9" s="771">
        <v>1077906.585130814</v>
      </c>
      <c r="BP9" s="772">
        <v>0</v>
      </c>
      <c r="BQ9" s="777"/>
      <c r="BR9" s="762">
        <f t="shared" si="5"/>
        <v>58836.916812032134</v>
      </c>
      <c r="BS9" s="763">
        <f t="shared" si="0"/>
        <v>0</v>
      </c>
      <c r="BT9" s="763">
        <f t="shared" si="0"/>
        <v>0</v>
      </c>
      <c r="BU9" s="763">
        <f t="shared" si="0"/>
        <v>0</v>
      </c>
      <c r="BV9" s="763">
        <f t="shared" si="0"/>
        <v>0</v>
      </c>
      <c r="BW9" s="763">
        <f t="shared" si="0"/>
        <v>0</v>
      </c>
      <c r="BX9" s="763">
        <f t="shared" si="0"/>
        <v>0</v>
      </c>
      <c r="BY9" s="763">
        <f t="shared" si="0"/>
        <v>0</v>
      </c>
      <c r="BZ9" s="763">
        <f t="shared" si="0"/>
        <v>0</v>
      </c>
      <c r="CA9" s="763">
        <f t="shared" si="6"/>
        <v>0</v>
      </c>
      <c r="CB9" s="763">
        <f t="shared" si="6"/>
        <v>0</v>
      </c>
      <c r="CC9" s="763">
        <f t="shared" si="6"/>
        <v>0</v>
      </c>
      <c r="CD9" s="763">
        <f t="shared" si="6"/>
        <v>0</v>
      </c>
      <c r="CE9" s="763">
        <f t="shared" si="7"/>
        <v>22950.172990176754</v>
      </c>
      <c r="CF9" s="763">
        <f t="shared" si="1"/>
        <v>31108.966351632429</v>
      </c>
      <c r="CG9" s="763">
        <f t="shared" si="1"/>
        <v>8566.049690173355</v>
      </c>
      <c r="CH9" s="763">
        <f t="shared" si="1"/>
        <v>0</v>
      </c>
      <c r="CI9" s="763">
        <f t="shared" si="1"/>
        <v>84002.346124934571</v>
      </c>
      <c r="CJ9" s="763">
        <f t="shared" si="1"/>
        <v>111602.95830582669</v>
      </c>
      <c r="CK9" s="763">
        <f t="shared" si="1"/>
        <v>31259.290968793604</v>
      </c>
      <c r="CL9" s="763">
        <f t="shared" si="1"/>
        <v>0</v>
      </c>
      <c r="CM9" s="757">
        <f t="shared" si="8"/>
        <v>348326.70124356955</v>
      </c>
      <c r="CO9" s="762">
        <f>Z9*Vol!D9</f>
        <v>58836.916812032134</v>
      </c>
      <c r="CP9" s="763">
        <f>AA9*Vol!E9/100</f>
        <v>0</v>
      </c>
      <c r="CQ9" s="763">
        <f>AB9*Vol!F9/100</f>
        <v>0</v>
      </c>
      <c r="CR9" s="763">
        <f>AC9*Vol!G9/100</f>
        <v>0</v>
      </c>
      <c r="CS9" s="763">
        <f>AD9*Vol!H9/100</f>
        <v>0</v>
      </c>
      <c r="CT9" s="763">
        <f>AE9*Vol!I9/100</f>
        <v>0</v>
      </c>
      <c r="CU9" s="763">
        <f>AF9*Vol!J9/100</f>
        <v>0</v>
      </c>
      <c r="CV9" s="763">
        <f>AG9*Vol!K9/100</f>
        <v>0</v>
      </c>
      <c r="CW9" s="763">
        <f>AH9*Vol!L9/100</f>
        <v>0</v>
      </c>
      <c r="CX9" s="763">
        <f>AI9*Vol!M9</f>
        <v>0</v>
      </c>
      <c r="CY9" s="763">
        <f>AJ9*Vol!N9</f>
        <v>0</v>
      </c>
      <c r="CZ9" s="763">
        <f>AK9*Vol!O9</f>
        <v>0</v>
      </c>
      <c r="DA9" s="763">
        <f>AL9*Vol!P9</f>
        <v>0</v>
      </c>
      <c r="DB9" s="763">
        <f>AM9*Vol!Q9/100</f>
        <v>20877.119043071372</v>
      </c>
      <c r="DC9" s="763">
        <f>AN9*Vol!R9/100</f>
        <v>28326.863669779119</v>
      </c>
      <c r="DD9" s="763">
        <f>AO9*Vol!S9/100</f>
        <v>7827.5971306756519</v>
      </c>
      <c r="DE9" s="763">
        <f>AP9*Vol!T9/100</f>
        <v>0</v>
      </c>
      <c r="DF9" s="763">
        <f>AQ9*Vol!U9/100</f>
        <v>76414.542962189575</v>
      </c>
      <c r="DG9" s="763">
        <f>AR9*Vol!V9/100</f>
        <v>101622.20593701291</v>
      </c>
      <c r="DH9" s="763">
        <f>AS9*Vol!W9/100</f>
        <v>28564.524505966572</v>
      </c>
      <c r="DI9" s="763">
        <f>AT9*Vol!X9/100</f>
        <v>0</v>
      </c>
      <c r="DJ9" s="757">
        <f t="shared" si="4"/>
        <v>322469.77006072737</v>
      </c>
    </row>
    <row r="10" spans="1:114" s="748" customFormat="1">
      <c r="A10" s="748" t="s">
        <v>781</v>
      </c>
      <c r="B10" s="750" t="s">
        <v>549</v>
      </c>
      <c r="C10" s="750" t="s">
        <v>549</v>
      </c>
      <c r="D10" s="767">
        <v>75</v>
      </c>
      <c r="E10" s="768">
        <v>0</v>
      </c>
      <c r="F10" s="768">
        <v>0</v>
      </c>
      <c r="G10" s="768">
        <v>0</v>
      </c>
      <c r="H10" s="768">
        <v>0</v>
      </c>
      <c r="I10" s="768">
        <v>0</v>
      </c>
      <c r="J10" s="768">
        <v>0</v>
      </c>
      <c r="K10" s="768">
        <v>0</v>
      </c>
      <c r="L10" s="768">
        <v>0</v>
      </c>
      <c r="M10" s="768">
        <v>0</v>
      </c>
      <c r="N10" s="768">
        <v>0</v>
      </c>
      <c r="O10" s="768">
        <v>0</v>
      </c>
      <c r="P10" s="768">
        <v>0</v>
      </c>
      <c r="Q10" s="768">
        <v>8.76</v>
      </c>
      <c r="R10" s="768">
        <v>5.9</v>
      </c>
      <c r="S10" s="768">
        <v>2.3199999999999998</v>
      </c>
      <c r="T10" s="768">
        <v>0</v>
      </c>
      <c r="U10" s="768">
        <v>8.76</v>
      </c>
      <c r="V10" s="768">
        <v>5.9</v>
      </c>
      <c r="W10" s="768">
        <v>2.3199999999999998</v>
      </c>
      <c r="X10" s="769">
        <v>0</v>
      </c>
      <c r="Z10" s="751">
        <f>IFERROR(INDEX(Est2017DistRev!D:D,MATCH($A10,Est2017DistRev!$A:$A,),1),)</f>
        <v>75</v>
      </c>
      <c r="AA10" s="752">
        <f>IFERROR(INDEX(Est2017DistRev!E:E,MATCH($A10,Est2017DistRev!$A:$A,),1),)</f>
        <v>0</v>
      </c>
      <c r="AB10" s="752">
        <f>IFERROR(INDEX(Est2017DistRev!F:F,MATCH($A10,Est2017DistRev!$A:$A,),1),)</f>
        <v>0</v>
      </c>
      <c r="AC10" s="752">
        <f>IFERROR(INDEX(Est2017DistRev!G:G,MATCH($A10,Est2017DistRev!$A:$A,),1),)</f>
        <v>0</v>
      </c>
      <c r="AD10" s="752">
        <f>IFERROR(INDEX(Est2017DistRev!H:H,MATCH($A10,Est2017DistRev!$A:$A,),1),)</f>
        <v>0</v>
      </c>
      <c r="AE10" s="752">
        <f>IFERROR(INDEX(Est2017DistRev!I:I,MATCH($A10,Est2017DistRev!$A:$A,),1),)</f>
        <v>0</v>
      </c>
      <c r="AF10" s="752">
        <f>IFERROR(INDEX(Est2017DistRev!J:J,MATCH($A10,Est2017DistRev!$A:$A,),1),)</f>
        <v>0</v>
      </c>
      <c r="AG10" s="752">
        <f>IFERROR(INDEX(Est2017DistRev!K:K,MATCH($A10,Est2017DistRev!$A:$A,),1),)</f>
        <v>0</v>
      </c>
      <c r="AH10" s="752">
        <f>IFERROR(INDEX(Est2017DistRev!L:L,MATCH($A10,Est2017DistRev!$A:$A,),1),)</f>
        <v>0</v>
      </c>
      <c r="AI10" s="752">
        <f>IFERROR(INDEX(Est2017DistRev!M:M,MATCH($A10,Est2017DistRev!$A:$A,),1),)</f>
        <v>0</v>
      </c>
      <c r="AJ10" s="752">
        <f>IFERROR(INDEX(Est2017DistRev!N:N,MATCH($A10,Est2017DistRev!$A:$A,),1),)</f>
        <v>0</v>
      </c>
      <c r="AK10" s="752">
        <f>IFERROR(INDEX(Est2017DistRev!O:O,MATCH($A10,Est2017DistRev!$A:$A,),1),)</f>
        <v>0</v>
      </c>
      <c r="AL10" s="752">
        <f>IFERROR(INDEX(Est2017DistRev!P:P,MATCH($A10,Est2017DistRev!$A:$A,),1),)</f>
        <v>0</v>
      </c>
      <c r="AM10" s="752">
        <f>IFERROR(INDEX(Est2017DistRev!Q:Q,MATCH($A10,Est2017DistRev!$A:$A,),1),)</f>
        <v>7.97</v>
      </c>
      <c r="AN10" s="752">
        <f>IFERROR(INDEX(Est2017DistRev!R:R,MATCH($A10,Est2017DistRev!$A:$A,),1),)</f>
        <v>5.37</v>
      </c>
      <c r="AO10" s="752">
        <f>IFERROR(INDEX(Est2017DistRev!S:S,MATCH($A10,Est2017DistRev!$A:$A,),1),)</f>
        <v>2.12</v>
      </c>
      <c r="AP10" s="752">
        <f>IFERROR(INDEX(Est2017DistRev!T:T,MATCH($A10,Est2017DistRev!$A:$A,),1),)</f>
        <v>0</v>
      </c>
      <c r="AQ10" s="752">
        <f>IFERROR(INDEX(Est2017DistRev!U:U,MATCH($A10,Est2017DistRev!$A:$A,),1),)</f>
        <v>7.97</v>
      </c>
      <c r="AR10" s="752">
        <f>IFERROR(INDEX(Est2017DistRev!V:V,MATCH($A10,Est2017DistRev!$A:$A,),1),)</f>
        <v>5.37</v>
      </c>
      <c r="AS10" s="752">
        <f>IFERROR(INDEX(Est2017DistRev!W:W,MATCH($A10,Est2017DistRev!$A:$A,),1),)</f>
        <v>2.12</v>
      </c>
      <c r="AT10" s="753">
        <f>IFERROR(INDEX(Est2017DistRev!X:X,MATCH($A10,Est2017DistRev!$A:$A,),1),)</f>
        <v>0</v>
      </c>
      <c r="AV10" s="773">
        <v>86</v>
      </c>
      <c r="AW10" s="771">
        <v>0</v>
      </c>
      <c r="AX10" s="771">
        <v>0</v>
      </c>
      <c r="AY10" s="771">
        <v>0</v>
      </c>
      <c r="AZ10" s="771">
        <v>0</v>
      </c>
      <c r="BA10" s="771">
        <v>0</v>
      </c>
      <c r="BB10" s="771">
        <v>0</v>
      </c>
      <c r="BC10" s="771">
        <v>0</v>
      </c>
      <c r="BD10" s="771">
        <v>0</v>
      </c>
      <c r="BE10" s="771">
        <v>0</v>
      </c>
      <c r="BF10" s="771">
        <v>0</v>
      </c>
      <c r="BG10" s="771">
        <v>0</v>
      </c>
      <c r="BH10" s="771">
        <v>0</v>
      </c>
      <c r="BI10" s="771">
        <v>14822.463938670589</v>
      </c>
      <c r="BJ10" s="771">
        <v>30911.094070728293</v>
      </c>
      <c r="BK10" s="771">
        <v>25018.291769002386</v>
      </c>
      <c r="BL10" s="771">
        <v>0</v>
      </c>
      <c r="BM10" s="771">
        <v>55723.871652863061</v>
      </c>
      <c r="BN10" s="771">
        <v>110586.63633768729</v>
      </c>
      <c r="BO10" s="771">
        <v>89504.208037036224</v>
      </c>
      <c r="BP10" s="772">
        <v>0</v>
      </c>
      <c r="BQ10" s="777"/>
      <c r="BR10" s="762">
        <f t="shared" si="5"/>
        <v>6450</v>
      </c>
      <c r="BS10" s="763">
        <f t="shared" si="0"/>
        <v>0</v>
      </c>
      <c r="BT10" s="763">
        <f t="shared" si="0"/>
        <v>0</v>
      </c>
      <c r="BU10" s="763">
        <f t="shared" si="0"/>
        <v>0</v>
      </c>
      <c r="BV10" s="763">
        <f t="shared" si="0"/>
        <v>0</v>
      </c>
      <c r="BW10" s="763">
        <f t="shared" si="0"/>
        <v>0</v>
      </c>
      <c r="BX10" s="763">
        <f t="shared" si="0"/>
        <v>0</v>
      </c>
      <c r="BY10" s="763">
        <f t="shared" si="0"/>
        <v>0</v>
      </c>
      <c r="BZ10" s="763">
        <f t="shared" si="0"/>
        <v>0</v>
      </c>
      <c r="CA10" s="763">
        <f t="shared" si="6"/>
        <v>0</v>
      </c>
      <c r="CB10" s="763">
        <f t="shared" si="6"/>
        <v>0</v>
      </c>
      <c r="CC10" s="763">
        <f t="shared" si="6"/>
        <v>0</v>
      </c>
      <c r="CD10" s="763">
        <f t="shared" si="6"/>
        <v>0</v>
      </c>
      <c r="CE10" s="763">
        <f t="shared" si="7"/>
        <v>1298.4478410275435</v>
      </c>
      <c r="CF10" s="763">
        <f t="shared" si="1"/>
        <v>1823.7545501729694</v>
      </c>
      <c r="CG10" s="763">
        <f t="shared" si="1"/>
        <v>580.42436904085537</v>
      </c>
      <c r="CH10" s="763">
        <f t="shared" si="1"/>
        <v>0</v>
      </c>
      <c r="CI10" s="763">
        <f t="shared" si="1"/>
        <v>4881.4111567908039</v>
      </c>
      <c r="CJ10" s="763">
        <f t="shared" si="1"/>
        <v>6524.6115439235509</v>
      </c>
      <c r="CK10" s="763">
        <f t="shared" si="1"/>
        <v>2076.4976264592401</v>
      </c>
      <c r="CL10" s="763">
        <f t="shared" si="1"/>
        <v>0</v>
      </c>
      <c r="CM10" s="757">
        <f t="shared" si="8"/>
        <v>23635.147087414964</v>
      </c>
      <c r="CO10" s="762">
        <f>Z10*Vol!D10</f>
        <v>6450</v>
      </c>
      <c r="CP10" s="763">
        <f>AA10*Vol!E10/100</f>
        <v>0</v>
      </c>
      <c r="CQ10" s="763">
        <f>AB10*Vol!F10/100</f>
        <v>0</v>
      </c>
      <c r="CR10" s="763">
        <f>AC10*Vol!G10/100</f>
        <v>0</v>
      </c>
      <c r="CS10" s="763">
        <f>AD10*Vol!H10/100</f>
        <v>0</v>
      </c>
      <c r="CT10" s="763">
        <f>AE10*Vol!I10/100</f>
        <v>0</v>
      </c>
      <c r="CU10" s="763">
        <f>AF10*Vol!J10/100</f>
        <v>0</v>
      </c>
      <c r="CV10" s="763">
        <f>AG10*Vol!K10/100</f>
        <v>0</v>
      </c>
      <c r="CW10" s="763">
        <f>AH10*Vol!L10/100</f>
        <v>0</v>
      </c>
      <c r="CX10" s="763">
        <f>AI10*Vol!M10</f>
        <v>0</v>
      </c>
      <c r="CY10" s="763">
        <f>AJ10*Vol!N10</f>
        <v>0</v>
      </c>
      <c r="CZ10" s="763">
        <f>AK10*Vol!O10</f>
        <v>0</v>
      </c>
      <c r="DA10" s="763">
        <f>AL10*Vol!P10</f>
        <v>0</v>
      </c>
      <c r="DB10" s="763">
        <f>AM10*Vol!Q10/100</f>
        <v>1181.350375912046</v>
      </c>
      <c r="DC10" s="763">
        <f>AN10*Vol!R10/100</f>
        <v>1659.9257515981094</v>
      </c>
      <c r="DD10" s="763">
        <f>AO10*Vol!S10/100</f>
        <v>530.38778550285065</v>
      </c>
      <c r="DE10" s="763">
        <f>AP10*Vol!T10/100</f>
        <v>0</v>
      </c>
      <c r="DF10" s="763">
        <f>AQ10*Vol!U10/100</f>
        <v>4441.1925707331857</v>
      </c>
      <c r="DG10" s="763">
        <f>AR10*Vol!V10/100</f>
        <v>5938.5023713338069</v>
      </c>
      <c r="DH10" s="763">
        <f>AS10*Vol!W10/100</f>
        <v>1897.489210385168</v>
      </c>
      <c r="DI10" s="763">
        <f>AT10*Vol!X10/100</f>
        <v>0</v>
      </c>
      <c r="DJ10" s="757">
        <f t="shared" si="4"/>
        <v>22098.848065465165</v>
      </c>
    </row>
    <row r="11" spans="1:114" s="748" customFormat="1">
      <c r="A11" s="748" t="s">
        <v>782</v>
      </c>
      <c r="B11" s="750" t="s">
        <v>550</v>
      </c>
      <c r="C11" s="750" t="s">
        <v>550</v>
      </c>
      <c r="D11" s="767">
        <v>85</v>
      </c>
      <c r="E11" s="768">
        <v>0</v>
      </c>
      <c r="F11" s="768">
        <v>9.8800000000000008</v>
      </c>
      <c r="G11" s="768">
        <v>0</v>
      </c>
      <c r="H11" s="768">
        <v>0</v>
      </c>
      <c r="I11" s="768">
        <v>2.11</v>
      </c>
      <c r="J11" s="768">
        <v>0</v>
      </c>
      <c r="K11" s="768">
        <v>0</v>
      </c>
      <c r="L11" s="768">
        <v>0</v>
      </c>
      <c r="M11" s="768">
        <v>0</v>
      </c>
      <c r="N11" s="768">
        <v>0</v>
      </c>
      <c r="O11" s="768">
        <v>0</v>
      </c>
      <c r="P11" s="768">
        <v>0</v>
      </c>
      <c r="Q11" s="768">
        <v>0</v>
      </c>
      <c r="R11" s="768">
        <v>0</v>
      </c>
      <c r="S11" s="768">
        <v>0</v>
      </c>
      <c r="T11" s="768">
        <v>0</v>
      </c>
      <c r="U11" s="768">
        <v>0</v>
      </c>
      <c r="V11" s="768">
        <v>0</v>
      </c>
      <c r="W11" s="768">
        <v>0</v>
      </c>
      <c r="X11" s="769">
        <v>0</v>
      </c>
      <c r="Z11" s="751">
        <f>IFERROR(INDEX(Est2017DistRev!D:D,MATCH($A11,Est2017DistRev!$A:$A,),1),)</f>
        <v>85</v>
      </c>
      <c r="AA11" s="752">
        <f>IFERROR(INDEX(Est2017DistRev!E:E,MATCH($A11,Est2017DistRev!$A:$A,),1),)</f>
        <v>0</v>
      </c>
      <c r="AB11" s="752">
        <f>IFERROR(INDEX(Est2017DistRev!F:F,MATCH($A11,Est2017DistRev!$A:$A,),1),)</f>
        <v>8.5399999999999991</v>
      </c>
      <c r="AC11" s="752">
        <f>IFERROR(INDEX(Est2017DistRev!G:G,MATCH($A11,Est2017DistRev!$A:$A,),1),)</f>
        <v>0</v>
      </c>
      <c r="AD11" s="752">
        <f>IFERROR(INDEX(Est2017DistRev!H:H,MATCH($A11,Est2017DistRev!$A:$A,),1),)</f>
        <v>0</v>
      </c>
      <c r="AE11" s="752">
        <f>IFERROR(INDEX(Est2017DistRev!I:I,MATCH($A11,Est2017DistRev!$A:$A,),1),)</f>
        <v>1.83</v>
      </c>
      <c r="AF11" s="752">
        <f>IFERROR(INDEX(Est2017DistRev!J:J,MATCH($A11,Est2017DistRev!$A:$A,),1),)</f>
        <v>0</v>
      </c>
      <c r="AG11" s="752">
        <f>IFERROR(INDEX(Est2017DistRev!K:K,MATCH($A11,Est2017DistRev!$A:$A,),1),)</f>
        <v>0</v>
      </c>
      <c r="AH11" s="752">
        <f>IFERROR(INDEX(Est2017DistRev!L:L,MATCH($A11,Est2017DistRev!$A:$A,),1),)</f>
        <v>0</v>
      </c>
      <c r="AI11" s="752">
        <f>IFERROR(INDEX(Est2017DistRev!M:M,MATCH($A11,Est2017DistRev!$A:$A,),1),)</f>
        <v>0</v>
      </c>
      <c r="AJ11" s="752">
        <f>IFERROR(INDEX(Est2017DistRev!N:N,MATCH($A11,Est2017DistRev!$A:$A,),1),)</f>
        <v>0</v>
      </c>
      <c r="AK11" s="752">
        <f>IFERROR(INDEX(Est2017DistRev!O:O,MATCH($A11,Est2017DistRev!$A:$A,),1),)</f>
        <v>0</v>
      </c>
      <c r="AL11" s="752">
        <f>IFERROR(INDEX(Est2017DistRev!P:P,MATCH($A11,Est2017DistRev!$A:$A,),1),)</f>
        <v>0</v>
      </c>
      <c r="AM11" s="752">
        <f>IFERROR(INDEX(Est2017DistRev!Q:Q,MATCH($A11,Est2017DistRev!$A:$A,),1),)</f>
        <v>0</v>
      </c>
      <c r="AN11" s="752">
        <f>IFERROR(INDEX(Est2017DistRev!R:R,MATCH($A11,Est2017DistRev!$A:$A,),1),)</f>
        <v>0</v>
      </c>
      <c r="AO11" s="752">
        <f>IFERROR(INDEX(Est2017DistRev!S:S,MATCH($A11,Est2017DistRev!$A:$A,),1),)</f>
        <v>0</v>
      </c>
      <c r="AP11" s="752">
        <f>IFERROR(INDEX(Est2017DistRev!T:T,MATCH($A11,Est2017DistRev!$A:$A,),1),)</f>
        <v>0</v>
      </c>
      <c r="AQ11" s="752">
        <f>IFERROR(INDEX(Est2017DistRev!U:U,MATCH($A11,Est2017DistRev!$A:$A,),1),)</f>
        <v>0</v>
      </c>
      <c r="AR11" s="752">
        <f>IFERROR(INDEX(Est2017DistRev!V:V,MATCH($A11,Est2017DistRev!$A:$A,),1),)</f>
        <v>0</v>
      </c>
      <c r="AS11" s="752">
        <f>IFERROR(INDEX(Est2017DistRev!W:W,MATCH($A11,Est2017DistRev!$A:$A,),1),)</f>
        <v>0</v>
      </c>
      <c r="AT11" s="753">
        <f>IFERROR(INDEX(Est2017DistRev!X:X,MATCH($A11,Est2017DistRev!$A:$A,),1),)</f>
        <v>0</v>
      </c>
      <c r="AV11" s="773">
        <v>10844.918915256892</v>
      </c>
      <c r="AW11" s="771">
        <v>0</v>
      </c>
      <c r="AX11" s="771">
        <v>34303841.218867712</v>
      </c>
      <c r="AY11" s="771">
        <v>0</v>
      </c>
      <c r="AZ11" s="771">
        <v>0</v>
      </c>
      <c r="BA11" s="771">
        <v>29910228.5348082</v>
      </c>
      <c r="BB11" s="771">
        <v>0</v>
      </c>
      <c r="BC11" s="771">
        <v>0</v>
      </c>
      <c r="BD11" s="771">
        <v>0</v>
      </c>
      <c r="BE11" s="771">
        <v>0</v>
      </c>
      <c r="BF11" s="771">
        <v>0</v>
      </c>
      <c r="BG11" s="771">
        <v>0</v>
      </c>
      <c r="BH11" s="771">
        <v>0</v>
      </c>
      <c r="BI11" s="771">
        <v>0</v>
      </c>
      <c r="BJ11" s="771">
        <v>0</v>
      </c>
      <c r="BK11" s="771">
        <v>0</v>
      </c>
      <c r="BL11" s="771">
        <v>0</v>
      </c>
      <c r="BM11" s="771">
        <v>0</v>
      </c>
      <c r="BN11" s="771">
        <v>0</v>
      </c>
      <c r="BO11" s="771">
        <v>0</v>
      </c>
      <c r="BP11" s="772">
        <v>0</v>
      </c>
      <c r="BQ11" s="777"/>
      <c r="BR11" s="762">
        <f t="shared" si="5"/>
        <v>921818.10779683583</v>
      </c>
      <c r="BS11" s="763">
        <f t="shared" si="0"/>
        <v>0</v>
      </c>
      <c r="BT11" s="763">
        <f t="shared" si="0"/>
        <v>3389219.5124241305</v>
      </c>
      <c r="BU11" s="763">
        <f t="shared" si="0"/>
        <v>0</v>
      </c>
      <c r="BV11" s="763">
        <f t="shared" si="0"/>
        <v>0</v>
      </c>
      <c r="BW11" s="763">
        <f t="shared" si="0"/>
        <v>631105.82208445296</v>
      </c>
      <c r="BX11" s="763">
        <f t="shared" si="0"/>
        <v>0</v>
      </c>
      <c r="BY11" s="763">
        <f t="shared" si="0"/>
        <v>0</v>
      </c>
      <c r="BZ11" s="763">
        <f t="shared" si="0"/>
        <v>0</v>
      </c>
      <c r="CA11" s="763">
        <f t="shared" si="6"/>
        <v>0</v>
      </c>
      <c r="CB11" s="763">
        <f t="shared" si="6"/>
        <v>0</v>
      </c>
      <c r="CC11" s="763">
        <f t="shared" si="6"/>
        <v>0</v>
      </c>
      <c r="CD11" s="763">
        <f t="shared" si="6"/>
        <v>0</v>
      </c>
      <c r="CE11" s="763">
        <f t="shared" si="7"/>
        <v>0</v>
      </c>
      <c r="CF11" s="763">
        <f t="shared" si="1"/>
        <v>0</v>
      </c>
      <c r="CG11" s="763">
        <f t="shared" si="1"/>
        <v>0</v>
      </c>
      <c r="CH11" s="763">
        <f t="shared" si="1"/>
        <v>0</v>
      </c>
      <c r="CI11" s="763">
        <f t="shared" si="1"/>
        <v>0</v>
      </c>
      <c r="CJ11" s="763">
        <f t="shared" si="1"/>
        <v>0</v>
      </c>
      <c r="CK11" s="763">
        <f t="shared" si="1"/>
        <v>0</v>
      </c>
      <c r="CL11" s="763">
        <f t="shared" si="1"/>
        <v>0</v>
      </c>
      <c r="CM11" s="757">
        <f t="shared" si="8"/>
        <v>4942143.4423054196</v>
      </c>
      <c r="CO11" s="762">
        <f>Z11*Vol!D11</f>
        <v>921818.10779683583</v>
      </c>
      <c r="CP11" s="763">
        <f>AA11*Vol!E11/100</f>
        <v>0</v>
      </c>
      <c r="CQ11" s="763">
        <f>AB11*Vol!F11/100</f>
        <v>2929548.0400913022</v>
      </c>
      <c r="CR11" s="763">
        <f>AC11*Vol!G11/100</f>
        <v>0</v>
      </c>
      <c r="CS11" s="763">
        <f>AD11*Vol!H11/100</f>
        <v>0</v>
      </c>
      <c r="CT11" s="763">
        <f>AE11*Vol!I11/100</f>
        <v>547357.18218699005</v>
      </c>
      <c r="CU11" s="763">
        <f>AF11*Vol!J11/100</f>
        <v>0</v>
      </c>
      <c r="CV11" s="763">
        <f>AG11*Vol!K11/100</f>
        <v>0</v>
      </c>
      <c r="CW11" s="763">
        <f>AH11*Vol!L11/100</f>
        <v>0</v>
      </c>
      <c r="CX11" s="763">
        <f>AI11*Vol!M11</f>
        <v>0</v>
      </c>
      <c r="CY11" s="763">
        <f>AJ11*Vol!N11</f>
        <v>0</v>
      </c>
      <c r="CZ11" s="763">
        <f>AK11*Vol!O11</f>
        <v>0</v>
      </c>
      <c r="DA11" s="763">
        <f>AL11*Vol!P11</f>
        <v>0</v>
      </c>
      <c r="DB11" s="763">
        <f>AM11*Vol!Q11/100</f>
        <v>0</v>
      </c>
      <c r="DC11" s="763">
        <f>AN11*Vol!R11/100</f>
        <v>0</v>
      </c>
      <c r="DD11" s="763">
        <f>AO11*Vol!S11/100</f>
        <v>0</v>
      </c>
      <c r="DE11" s="763">
        <f>AP11*Vol!T11/100</f>
        <v>0</v>
      </c>
      <c r="DF11" s="763">
        <f>AQ11*Vol!U11/100</f>
        <v>0</v>
      </c>
      <c r="DG11" s="763">
        <f>AR11*Vol!V11/100</f>
        <v>0</v>
      </c>
      <c r="DH11" s="763">
        <f>AS11*Vol!W11/100</f>
        <v>0</v>
      </c>
      <c r="DI11" s="763">
        <f>AT11*Vol!X11/100</f>
        <v>0</v>
      </c>
      <c r="DJ11" s="757">
        <f t="shared" si="4"/>
        <v>4398723.330075128</v>
      </c>
    </row>
    <row r="12" spans="1:114" s="748" customFormat="1">
      <c r="A12" s="748" t="s">
        <v>783</v>
      </c>
      <c r="B12" s="750" t="s">
        <v>551</v>
      </c>
      <c r="C12" s="750" t="s">
        <v>551</v>
      </c>
      <c r="D12" s="767">
        <v>75</v>
      </c>
      <c r="E12" s="768">
        <v>0</v>
      </c>
      <c r="F12" s="768">
        <v>8.41</v>
      </c>
      <c r="G12" s="768">
        <v>0</v>
      </c>
      <c r="H12" s="768">
        <v>0</v>
      </c>
      <c r="I12" s="768">
        <v>1.91</v>
      </c>
      <c r="J12" s="768">
        <v>0</v>
      </c>
      <c r="K12" s="768">
        <v>0</v>
      </c>
      <c r="L12" s="768">
        <v>0</v>
      </c>
      <c r="M12" s="768">
        <v>0</v>
      </c>
      <c r="N12" s="768">
        <v>0</v>
      </c>
      <c r="O12" s="768">
        <v>0</v>
      </c>
      <c r="P12" s="768">
        <v>0</v>
      </c>
      <c r="Q12" s="768">
        <v>0</v>
      </c>
      <c r="R12" s="768">
        <v>0</v>
      </c>
      <c r="S12" s="768">
        <v>0</v>
      </c>
      <c r="T12" s="768">
        <v>0</v>
      </c>
      <c r="U12" s="768">
        <v>0</v>
      </c>
      <c r="V12" s="768">
        <v>0</v>
      </c>
      <c r="W12" s="768">
        <v>0</v>
      </c>
      <c r="X12" s="769">
        <v>0</v>
      </c>
      <c r="Z12" s="751">
        <f>IFERROR(INDEX(Est2017DistRev!D:D,MATCH($A12,Est2017DistRev!$A:$A,),1),)</f>
        <v>75</v>
      </c>
      <c r="AA12" s="752">
        <f>IFERROR(INDEX(Est2017DistRev!E:E,MATCH($A12,Est2017DistRev!$A:$A,),1),)</f>
        <v>0</v>
      </c>
      <c r="AB12" s="752">
        <f>IFERROR(INDEX(Est2017DistRev!F:F,MATCH($A12,Est2017DistRev!$A:$A,),1),)</f>
        <v>6.76</v>
      </c>
      <c r="AC12" s="752">
        <f>IFERROR(INDEX(Est2017DistRev!G:G,MATCH($A12,Est2017DistRev!$A:$A,),1),)</f>
        <v>0</v>
      </c>
      <c r="AD12" s="752">
        <f>IFERROR(INDEX(Est2017DistRev!H:H,MATCH($A12,Est2017DistRev!$A:$A,),1),)</f>
        <v>0</v>
      </c>
      <c r="AE12" s="752">
        <f>IFERROR(INDEX(Est2017DistRev!I:I,MATCH($A12,Est2017DistRev!$A:$A,),1),)</f>
        <v>1.55</v>
      </c>
      <c r="AF12" s="752">
        <f>IFERROR(INDEX(Est2017DistRev!J:J,MATCH($A12,Est2017DistRev!$A:$A,),1),)</f>
        <v>0</v>
      </c>
      <c r="AG12" s="752">
        <f>IFERROR(INDEX(Est2017DistRev!K:K,MATCH($A12,Est2017DistRev!$A:$A,),1),)</f>
        <v>0</v>
      </c>
      <c r="AH12" s="752">
        <f>IFERROR(INDEX(Est2017DistRev!L:L,MATCH($A12,Est2017DistRev!$A:$A,),1),)</f>
        <v>0</v>
      </c>
      <c r="AI12" s="752">
        <f>IFERROR(INDEX(Est2017DistRev!M:M,MATCH($A12,Est2017DistRev!$A:$A,),1),)</f>
        <v>0</v>
      </c>
      <c r="AJ12" s="752">
        <f>IFERROR(INDEX(Est2017DistRev!N:N,MATCH($A12,Est2017DistRev!$A:$A,),1),)</f>
        <v>0</v>
      </c>
      <c r="AK12" s="752">
        <f>IFERROR(INDEX(Est2017DistRev!O:O,MATCH($A12,Est2017DistRev!$A:$A,),1),)</f>
        <v>0</v>
      </c>
      <c r="AL12" s="752">
        <f>IFERROR(INDEX(Est2017DistRev!P:P,MATCH($A12,Est2017DistRev!$A:$A,),1),)</f>
        <v>0</v>
      </c>
      <c r="AM12" s="752">
        <f>IFERROR(INDEX(Est2017DistRev!Q:Q,MATCH($A12,Est2017DistRev!$A:$A,),1),)</f>
        <v>0</v>
      </c>
      <c r="AN12" s="752">
        <f>IFERROR(INDEX(Est2017DistRev!R:R,MATCH($A12,Est2017DistRev!$A:$A,),1),)</f>
        <v>0</v>
      </c>
      <c r="AO12" s="752">
        <f>IFERROR(INDEX(Est2017DistRev!S:S,MATCH($A12,Est2017DistRev!$A:$A,),1),)</f>
        <v>0</v>
      </c>
      <c r="AP12" s="752">
        <f>IFERROR(INDEX(Est2017DistRev!T:T,MATCH($A12,Est2017DistRev!$A:$A,),1),)</f>
        <v>0</v>
      </c>
      <c r="AQ12" s="752">
        <f>IFERROR(INDEX(Est2017DistRev!U:U,MATCH($A12,Est2017DistRev!$A:$A,),1),)</f>
        <v>0</v>
      </c>
      <c r="AR12" s="752">
        <f>IFERROR(INDEX(Est2017DistRev!V:V,MATCH($A12,Est2017DistRev!$A:$A,),1),)</f>
        <v>0</v>
      </c>
      <c r="AS12" s="752">
        <f>IFERROR(INDEX(Est2017DistRev!W:W,MATCH($A12,Est2017DistRev!$A:$A,),1),)</f>
        <v>0</v>
      </c>
      <c r="AT12" s="753">
        <f>IFERROR(INDEX(Est2017DistRev!X:X,MATCH($A12,Est2017DistRev!$A:$A,),1),)</f>
        <v>0</v>
      </c>
      <c r="AV12" s="773">
        <v>4325.4798963063058</v>
      </c>
      <c r="AW12" s="771">
        <v>0</v>
      </c>
      <c r="AX12" s="771">
        <v>11937966.333181802</v>
      </c>
      <c r="AY12" s="771">
        <v>0</v>
      </c>
      <c r="AZ12" s="771">
        <v>0</v>
      </c>
      <c r="BA12" s="771">
        <v>10332699.15836278</v>
      </c>
      <c r="BB12" s="771">
        <v>0</v>
      </c>
      <c r="BC12" s="771">
        <v>0</v>
      </c>
      <c r="BD12" s="771">
        <v>0</v>
      </c>
      <c r="BE12" s="771">
        <v>0</v>
      </c>
      <c r="BF12" s="771">
        <v>0</v>
      </c>
      <c r="BG12" s="771">
        <v>0</v>
      </c>
      <c r="BH12" s="771">
        <v>0</v>
      </c>
      <c r="BI12" s="771">
        <v>0</v>
      </c>
      <c r="BJ12" s="771">
        <v>0</v>
      </c>
      <c r="BK12" s="771">
        <v>0</v>
      </c>
      <c r="BL12" s="771">
        <v>0</v>
      </c>
      <c r="BM12" s="771">
        <v>0</v>
      </c>
      <c r="BN12" s="771">
        <v>0</v>
      </c>
      <c r="BO12" s="771">
        <v>0</v>
      </c>
      <c r="BP12" s="772">
        <v>0</v>
      </c>
      <c r="BQ12" s="777"/>
      <c r="BR12" s="762">
        <f t="shared" si="5"/>
        <v>324410.99222297291</v>
      </c>
      <c r="BS12" s="763">
        <f t="shared" si="0"/>
        <v>0</v>
      </c>
      <c r="BT12" s="763">
        <f t="shared" si="0"/>
        <v>1003982.9686205897</v>
      </c>
      <c r="BU12" s="763">
        <f t="shared" si="0"/>
        <v>0</v>
      </c>
      <c r="BV12" s="763">
        <f t="shared" si="0"/>
        <v>0</v>
      </c>
      <c r="BW12" s="763">
        <f t="shared" si="0"/>
        <v>197354.55392472909</v>
      </c>
      <c r="BX12" s="763">
        <f t="shared" si="0"/>
        <v>0</v>
      </c>
      <c r="BY12" s="763">
        <f t="shared" si="0"/>
        <v>0</v>
      </c>
      <c r="BZ12" s="763">
        <f t="shared" si="0"/>
        <v>0</v>
      </c>
      <c r="CA12" s="763">
        <f t="shared" si="6"/>
        <v>0</v>
      </c>
      <c r="CB12" s="763">
        <f t="shared" si="6"/>
        <v>0</v>
      </c>
      <c r="CC12" s="763">
        <f t="shared" si="6"/>
        <v>0</v>
      </c>
      <c r="CD12" s="763">
        <f t="shared" si="6"/>
        <v>0</v>
      </c>
      <c r="CE12" s="763">
        <f t="shared" si="7"/>
        <v>0</v>
      </c>
      <c r="CF12" s="763">
        <f t="shared" si="1"/>
        <v>0</v>
      </c>
      <c r="CG12" s="763">
        <f t="shared" si="1"/>
        <v>0</v>
      </c>
      <c r="CH12" s="763">
        <f t="shared" si="1"/>
        <v>0</v>
      </c>
      <c r="CI12" s="763">
        <f t="shared" si="1"/>
        <v>0</v>
      </c>
      <c r="CJ12" s="763">
        <f t="shared" si="1"/>
        <v>0</v>
      </c>
      <c r="CK12" s="763">
        <f t="shared" si="1"/>
        <v>0</v>
      </c>
      <c r="CL12" s="763">
        <f t="shared" si="1"/>
        <v>0</v>
      </c>
      <c r="CM12" s="757">
        <f t="shared" si="8"/>
        <v>1525748.5147682917</v>
      </c>
      <c r="CO12" s="762">
        <f>Z12*Vol!D12</f>
        <v>324410.99222297291</v>
      </c>
      <c r="CP12" s="763">
        <f>AA12*Vol!E12/100</f>
        <v>0</v>
      </c>
      <c r="CQ12" s="763">
        <f>AB12*Vol!F12/100</f>
        <v>807006.52412308974</v>
      </c>
      <c r="CR12" s="763">
        <f>AC12*Vol!G12/100</f>
        <v>0</v>
      </c>
      <c r="CS12" s="763">
        <f>AD12*Vol!H12/100</f>
        <v>0</v>
      </c>
      <c r="CT12" s="763">
        <f>AE12*Vol!I12/100</f>
        <v>160156.83695462308</v>
      </c>
      <c r="CU12" s="763">
        <f>AF12*Vol!J12/100</f>
        <v>0</v>
      </c>
      <c r="CV12" s="763">
        <f>AG12*Vol!K12/100</f>
        <v>0</v>
      </c>
      <c r="CW12" s="763">
        <f>AH12*Vol!L12/100</f>
        <v>0</v>
      </c>
      <c r="CX12" s="763">
        <f>AI12*Vol!M12</f>
        <v>0</v>
      </c>
      <c r="CY12" s="763">
        <f>AJ12*Vol!N12</f>
        <v>0</v>
      </c>
      <c r="CZ12" s="763">
        <f>AK12*Vol!O12</f>
        <v>0</v>
      </c>
      <c r="DA12" s="763">
        <f>AL12*Vol!P12</f>
        <v>0</v>
      </c>
      <c r="DB12" s="763">
        <f>AM12*Vol!Q12/100</f>
        <v>0</v>
      </c>
      <c r="DC12" s="763">
        <f>AN12*Vol!R12/100</f>
        <v>0</v>
      </c>
      <c r="DD12" s="763">
        <f>AO12*Vol!S12/100</f>
        <v>0</v>
      </c>
      <c r="DE12" s="763">
        <f>AP12*Vol!T12/100</f>
        <v>0</v>
      </c>
      <c r="DF12" s="763">
        <f>AQ12*Vol!U12/100</f>
        <v>0</v>
      </c>
      <c r="DG12" s="763">
        <f>AR12*Vol!V12/100</f>
        <v>0</v>
      </c>
      <c r="DH12" s="763">
        <f>AS12*Vol!W12/100</f>
        <v>0</v>
      </c>
      <c r="DI12" s="763">
        <f>AT12*Vol!X12/100</f>
        <v>0</v>
      </c>
      <c r="DJ12" s="757">
        <f t="shared" si="4"/>
        <v>1291574.3533006855</v>
      </c>
    </row>
    <row r="13" spans="1:114" s="748" customFormat="1">
      <c r="A13" s="748" t="s">
        <v>784</v>
      </c>
      <c r="B13" s="750" t="s">
        <v>552</v>
      </c>
      <c r="C13" s="750" t="s">
        <v>552</v>
      </c>
      <c r="D13" s="767">
        <v>85</v>
      </c>
      <c r="E13" s="768">
        <v>0</v>
      </c>
      <c r="F13" s="768">
        <v>9.8800000000000008</v>
      </c>
      <c r="G13" s="768">
        <v>0</v>
      </c>
      <c r="H13" s="768">
        <v>0</v>
      </c>
      <c r="I13" s="768">
        <v>2.11</v>
      </c>
      <c r="J13" s="768">
        <v>0</v>
      </c>
      <c r="K13" s="768">
        <v>0</v>
      </c>
      <c r="L13" s="768">
        <v>0</v>
      </c>
      <c r="M13" s="768">
        <v>0</v>
      </c>
      <c r="N13" s="768">
        <v>0</v>
      </c>
      <c r="O13" s="768">
        <v>0</v>
      </c>
      <c r="P13" s="768">
        <v>0</v>
      </c>
      <c r="Q13" s="768">
        <v>0</v>
      </c>
      <c r="R13" s="768">
        <v>0</v>
      </c>
      <c r="S13" s="768">
        <v>0</v>
      </c>
      <c r="T13" s="768">
        <v>0</v>
      </c>
      <c r="U13" s="768">
        <v>0</v>
      </c>
      <c r="V13" s="768">
        <v>0</v>
      </c>
      <c r="W13" s="768">
        <v>0</v>
      </c>
      <c r="X13" s="769">
        <v>0</v>
      </c>
      <c r="Z13" s="751">
        <f>IFERROR(INDEX(Est2017DistRev!D:D,MATCH($A13,Est2017DistRev!$A:$A,),1),)</f>
        <v>85</v>
      </c>
      <c r="AA13" s="752">
        <f>IFERROR(INDEX(Est2017DistRev!E:E,MATCH($A13,Est2017DistRev!$A:$A,),1),)</f>
        <v>0</v>
      </c>
      <c r="AB13" s="752">
        <f>IFERROR(INDEX(Est2017DistRev!F:F,MATCH($A13,Est2017DistRev!$A:$A,),1),)</f>
        <v>8.5399999999999991</v>
      </c>
      <c r="AC13" s="752">
        <f>IFERROR(INDEX(Est2017DistRev!G:G,MATCH($A13,Est2017DistRev!$A:$A,),1),)</f>
        <v>0</v>
      </c>
      <c r="AD13" s="752">
        <f>IFERROR(INDEX(Est2017DistRev!H:H,MATCH($A13,Est2017DistRev!$A:$A,),1),)</f>
        <v>0</v>
      </c>
      <c r="AE13" s="752">
        <f>IFERROR(INDEX(Est2017DistRev!I:I,MATCH($A13,Est2017DistRev!$A:$A,),1),)</f>
        <v>1.83</v>
      </c>
      <c r="AF13" s="752">
        <f>IFERROR(INDEX(Est2017DistRev!J:J,MATCH($A13,Est2017DistRev!$A:$A,),1),)</f>
        <v>0</v>
      </c>
      <c r="AG13" s="752">
        <f>IFERROR(INDEX(Est2017DistRev!K:K,MATCH($A13,Est2017DistRev!$A:$A,),1),)</f>
        <v>0</v>
      </c>
      <c r="AH13" s="752">
        <f>IFERROR(INDEX(Est2017DistRev!L:L,MATCH($A13,Est2017DistRev!$A:$A,),1),)</f>
        <v>0</v>
      </c>
      <c r="AI13" s="752">
        <f>IFERROR(INDEX(Est2017DistRev!M:M,MATCH($A13,Est2017DistRev!$A:$A,),1),)</f>
        <v>0</v>
      </c>
      <c r="AJ13" s="752">
        <f>IFERROR(INDEX(Est2017DistRev!N:N,MATCH($A13,Est2017DistRev!$A:$A,),1),)</f>
        <v>0</v>
      </c>
      <c r="AK13" s="752">
        <f>IFERROR(INDEX(Est2017DistRev!O:O,MATCH($A13,Est2017DistRev!$A:$A,),1),)</f>
        <v>0</v>
      </c>
      <c r="AL13" s="752">
        <f>IFERROR(INDEX(Est2017DistRev!P:P,MATCH($A13,Est2017DistRev!$A:$A,),1),)</f>
        <v>0</v>
      </c>
      <c r="AM13" s="752">
        <f>IFERROR(INDEX(Est2017DistRev!Q:Q,MATCH($A13,Est2017DistRev!$A:$A,),1),)</f>
        <v>0</v>
      </c>
      <c r="AN13" s="752">
        <f>IFERROR(INDEX(Est2017DistRev!R:R,MATCH($A13,Est2017DistRev!$A:$A,),1),)</f>
        <v>0</v>
      </c>
      <c r="AO13" s="752">
        <f>IFERROR(INDEX(Est2017DistRev!S:S,MATCH($A13,Est2017DistRev!$A:$A,),1),)</f>
        <v>0</v>
      </c>
      <c r="AP13" s="752">
        <f>IFERROR(INDEX(Est2017DistRev!T:T,MATCH($A13,Est2017DistRev!$A:$A,),1),)</f>
        <v>0</v>
      </c>
      <c r="AQ13" s="752">
        <f>IFERROR(INDEX(Est2017DistRev!U:U,MATCH($A13,Est2017DistRev!$A:$A,),1),)</f>
        <v>0</v>
      </c>
      <c r="AR13" s="752">
        <f>IFERROR(INDEX(Est2017DistRev!V:V,MATCH($A13,Est2017DistRev!$A:$A,),1),)</f>
        <v>0</v>
      </c>
      <c r="AS13" s="752">
        <f>IFERROR(INDEX(Est2017DistRev!W:W,MATCH($A13,Est2017DistRev!$A:$A,),1),)</f>
        <v>0</v>
      </c>
      <c r="AT13" s="753">
        <f>IFERROR(INDEX(Est2017DistRev!X:X,MATCH($A13,Est2017DistRev!$A:$A,),1),)</f>
        <v>0</v>
      </c>
      <c r="AV13" s="773">
        <v>17220.894511590293</v>
      </c>
      <c r="AW13" s="771">
        <v>0</v>
      </c>
      <c r="AX13" s="771">
        <v>60059088.859664425</v>
      </c>
      <c r="AY13" s="771">
        <v>0</v>
      </c>
      <c r="AZ13" s="771">
        <v>0</v>
      </c>
      <c r="BA13" s="771">
        <v>52811678.164143428</v>
      </c>
      <c r="BB13" s="771">
        <v>0</v>
      </c>
      <c r="BC13" s="771">
        <v>0</v>
      </c>
      <c r="BD13" s="771">
        <v>0</v>
      </c>
      <c r="BE13" s="771">
        <v>0</v>
      </c>
      <c r="BF13" s="771">
        <v>0</v>
      </c>
      <c r="BG13" s="771">
        <v>0</v>
      </c>
      <c r="BH13" s="771">
        <v>0</v>
      </c>
      <c r="BI13" s="771">
        <v>0</v>
      </c>
      <c r="BJ13" s="771">
        <v>0</v>
      </c>
      <c r="BK13" s="771">
        <v>0</v>
      </c>
      <c r="BL13" s="771">
        <v>0</v>
      </c>
      <c r="BM13" s="771">
        <v>0</v>
      </c>
      <c r="BN13" s="771">
        <v>0</v>
      </c>
      <c r="BO13" s="771">
        <v>0</v>
      </c>
      <c r="BP13" s="772">
        <v>0</v>
      </c>
      <c r="BQ13" s="777"/>
      <c r="BR13" s="762">
        <f t="shared" si="5"/>
        <v>1463776.0334851749</v>
      </c>
      <c r="BS13" s="763">
        <f t="shared" si="0"/>
        <v>0</v>
      </c>
      <c r="BT13" s="763">
        <f t="shared" si="0"/>
        <v>5933837.9793348461</v>
      </c>
      <c r="BU13" s="763">
        <f t="shared" si="0"/>
        <v>0</v>
      </c>
      <c r="BV13" s="763">
        <f t="shared" si="0"/>
        <v>0</v>
      </c>
      <c r="BW13" s="763">
        <f t="shared" si="0"/>
        <v>1114326.4092634262</v>
      </c>
      <c r="BX13" s="763">
        <f t="shared" si="0"/>
        <v>0</v>
      </c>
      <c r="BY13" s="763">
        <f t="shared" si="0"/>
        <v>0</v>
      </c>
      <c r="BZ13" s="763">
        <f t="shared" si="0"/>
        <v>0</v>
      </c>
      <c r="CA13" s="763">
        <f t="shared" si="6"/>
        <v>0</v>
      </c>
      <c r="CB13" s="763">
        <f t="shared" si="6"/>
        <v>0</v>
      </c>
      <c r="CC13" s="763">
        <f t="shared" si="6"/>
        <v>0</v>
      </c>
      <c r="CD13" s="763">
        <f t="shared" si="6"/>
        <v>0</v>
      </c>
      <c r="CE13" s="763">
        <f t="shared" si="7"/>
        <v>0</v>
      </c>
      <c r="CF13" s="763">
        <f t="shared" si="1"/>
        <v>0</v>
      </c>
      <c r="CG13" s="763">
        <f t="shared" si="1"/>
        <v>0</v>
      </c>
      <c r="CH13" s="763">
        <f t="shared" si="1"/>
        <v>0</v>
      </c>
      <c r="CI13" s="763">
        <f t="shared" si="1"/>
        <v>0</v>
      </c>
      <c r="CJ13" s="763">
        <f t="shared" si="1"/>
        <v>0</v>
      </c>
      <c r="CK13" s="763">
        <f t="shared" si="1"/>
        <v>0</v>
      </c>
      <c r="CL13" s="763">
        <f t="shared" si="1"/>
        <v>0</v>
      </c>
      <c r="CM13" s="757">
        <f t="shared" si="8"/>
        <v>8511940.4220834468</v>
      </c>
      <c r="CO13" s="762">
        <f>Z13*Vol!D13</f>
        <v>1463776.0334851749</v>
      </c>
      <c r="CP13" s="763">
        <f>AA13*Vol!E13/100</f>
        <v>0</v>
      </c>
      <c r="CQ13" s="763">
        <f>AB13*Vol!F13/100</f>
        <v>5129046.1886153407</v>
      </c>
      <c r="CR13" s="763">
        <f>AC13*Vol!G13/100</f>
        <v>0</v>
      </c>
      <c r="CS13" s="763">
        <f>AD13*Vol!H13/100</f>
        <v>0</v>
      </c>
      <c r="CT13" s="763">
        <f>AE13*Vol!I13/100</f>
        <v>966453.71040382469</v>
      </c>
      <c r="CU13" s="763">
        <f>AF13*Vol!J13/100</f>
        <v>0</v>
      </c>
      <c r="CV13" s="763">
        <f>AG13*Vol!K13/100</f>
        <v>0</v>
      </c>
      <c r="CW13" s="763">
        <f>AH13*Vol!L13/100</f>
        <v>0</v>
      </c>
      <c r="CX13" s="763">
        <f>AI13*Vol!M13</f>
        <v>0</v>
      </c>
      <c r="CY13" s="763">
        <f>AJ13*Vol!N13</f>
        <v>0</v>
      </c>
      <c r="CZ13" s="763">
        <f>AK13*Vol!O13</f>
        <v>0</v>
      </c>
      <c r="DA13" s="763">
        <f>AL13*Vol!P13</f>
        <v>0</v>
      </c>
      <c r="DB13" s="763">
        <f>AM13*Vol!Q13/100</f>
        <v>0</v>
      </c>
      <c r="DC13" s="763">
        <f>AN13*Vol!R13/100</f>
        <v>0</v>
      </c>
      <c r="DD13" s="763">
        <f>AO13*Vol!S13/100</f>
        <v>0</v>
      </c>
      <c r="DE13" s="763">
        <f>AP13*Vol!T13/100</f>
        <v>0</v>
      </c>
      <c r="DF13" s="763">
        <f>AQ13*Vol!U13/100</f>
        <v>0</v>
      </c>
      <c r="DG13" s="763">
        <f>AR13*Vol!V13/100</f>
        <v>0</v>
      </c>
      <c r="DH13" s="763">
        <f>AS13*Vol!W13/100</f>
        <v>0</v>
      </c>
      <c r="DI13" s="763">
        <f>AT13*Vol!X13/100</f>
        <v>0</v>
      </c>
      <c r="DJ13" s="757">
        <f t="shared" si="4"/>
        <v>7559275.932504341</v>
      </c>
    </row>
    <row r="14" spans="1:114" s="748" customFormat="1">
      <c r="A14" s="748" t="s">
        <v>785</v>
      </c>
      <c r="B14" s="750" t="s">
        <v>553</v>
      </c>
      <c r="C14" s="750" t="s">
        <v>553</v>
      </c>
      <c r="D14" s="767">
        <v>75</v>
      </c>
      <c r="E14" s="768">
        <v>0</v>
      </c>
      <c r="F14" s="768">
        <v>8.41</v>
      </c>
      <c r="G14" s="768">
        <v>0</v>
      </c>
      <c r="H14" s="768">
        <v>0</v>
      </c>
      <c r="I14" s="768">
        <v>1.91</v>
      </c>
      <c r="J14" s="768">
        <v>0</v>
      </c>
      <c r="K14" s="768">
        <v>0</v>
      </c>
      <c r="L14" s="768">
        <v>0</v>
      </c>
      <c r="M14" s="768">
        <v>0</v>
      </c>
      <c r="N14" s="768">
        <v>0</v>
      </c>
      <c r="O14" s="768">
        <v>0</v>
      </c>
      <c r="P14" s="768">
        <v>0</v>
      </c>
      <c r="Q14" s="768">
        <v>0</v>
      </c>
      <c r="R14" s="768">
        <v>0</v>
      </c>
      <c r="S14" s="768">
        <v>0</v>
      </c>
      <c r="T14" s="768">
        <v>0</v>
      </c>
      <c r="U14" s="768">
        <v>0</v>
      </c>
      <c r="V14" s="768">
        <v>0</v>
      </c>
      <c r="W14" s="768">
        <v>0</v>
      </c>
      <c r="X14" s="769">
        <v>0</v>
      </c>
      <c r="Z14" s="751">
        <f>IFERROR(INDEX(Est2017DistRev!D:D,MATCH($A14,Est2017DistRev!$A:$A,),1),)</f>
        <v>75</v>
      </c>
      <c r="AA14" s="752">
        <f>IFERROR(INDEX(Est2017DistRev!E:E,MATCH($A14,Est2017DistRev!$A:$A,),1),)</f>
        <v>0</v>
      </c>
      <c r="AB14" s="752">
        <f>IFERROR(INDEX(Est2017DistRev!F:F,MATCH($A14,Est2017DistRev!$A:$A,),1),)</f>
        <v>6.76</v>
      </c>
      <c r="AC14" s="752">
        <f>IFERROR(INDEX(Est2017DistRev!G:G,MATCH($A14,Est2017DistRev!$A:$A,),1),)</f>
        <v>0</v>
      </c>
      <c r="AD14" s="752">
        <f>IFERROR(INDEX(Est2017DistRev!H:H,MATCH($A14,Est2017DistRev!$A:$A,),1),)</f>
        <v>0</v>
      </c>
      <c r="AE14" s="752">
        <f>IFERROR(INDEX(Est2017DistRev!I:I,MATCH($A14,Est2017DistRev!$A:$A,),1),)</f>
        <v>1.55</v>
      </c>
      <c r="AF14" s="752">
        <f>IFERROR(INDEX(Est2017DistRev!J:J,MATCH($A14,Est2017DistRev!$A:$A,),1),)</f>
        <v>0</v>
      </c>
      <c r="AG14" s="752">
        <f>IFERROR(INDEX(Est2017DistRev!K:K,MATCH($A14,Est2017DistRev!$A:$A,),1),)</f>
        <v>0</v>
      </c>
      <c r="AH14" s="752">
        <f>IFERROR(INDEX(Est2017DistRev!L:L,MATCH($A14,Est2017DistRev!$A:$A,),1),)</f>
        <v>0</v>
      </c>
      <c r="AI14" s="752">
        <f>IFERROR(INDEX(Est2017DistRev!M:M,MATCH($A14,Est2017DistRev!$A:$A,),1),)</f>
        <v>0</v>
      </c>
      <c r="AJ14" s="752">
        <f>IFERROR(INDEX(Est2017DistRev!N:N,MATCH($A14,Est2017DistRev!$A:$A,),1),)</f>
        <v>0</v>
      </c>
      <c r="AK14" s="752">
        <f>IFERROR(INDEX(Est2017DistRev!O:O,MATCH($A14,Est2017DistRev!$A:$A,),1),)</f>
        <v>0</v>
      </c>
      <c r="AL14" s="752">
        <f>IFERROR(INDEX(Est2017DistRev!P:P,MATCH($A14,Est2017DistRev!$A:$A,),1),)</f>
        <v>0</v>
      </c>
      <c r="AM14" s="752">
        <f>IFERROR(INDEX(Est2017DistRev!Q:Q,MATCH($A14,Est2017DistRev!$A:$A,),1),)</f>
        <v>0</v>
      </c>
      <c r="AN14" s="752">
        <f>IFERROR(INDEX(Est2017DistRev!R:R,MATCH($A14,Est2017DistRev!$A:$A,),1),)</f>
        <v>0</v>
      </c>
      <c r="AO14" s="752">
        <f>IFERROR(INDEX(Est2017DistRev!S:S,MATCH($A14,Est2017DistRev!$A:$A,),1),)</f>
        <v>0</v>
      </c>
      <c r="AP14" s="752">
        <f>IFERROR(INDEX(Est2017DistRev!T:T,MATCH($A14,Est2017DistRev!$A:$A,),1),)</f>
        <v>0</v>
      </c>
      <c r="AQ14" s="752">
        <f>IFERROR(INDEX(Est2017DistRev!U:U,MATCH($A14,Est2017DistRev!$A:$A,),1),)</f>
        <v>0</v>
      </c>
      <c r="AR14" s="752">
        <f>IFERROR(INDEX(Est2017DistRev!V:V,MATCH($A14,Est2017DistRev!$A:$A,),1),)</f>
        <v>0</v>
      </c>
      <c r="AS14" s="752">
        <f>IFERROR(INDEX(Est2017DistRev!W:W,MATCH($A14,Est2017DistRev!$A:$A,),1),)</f>
        <v>0</v>
      </c>
      <c r="AT14" s="753">
        <f>IFERROR(INDEX(Est2017DistRev!X:X,MATCH($A14,Est2017DistRev!$A:$A,),1),)</f>
        <v>0</v>
      </c>
      <c r="AV14" s="773">
        <v>8720.0761855865894</v>
      </c>
      <c r="AW14" s="771">
        <v>0</v>
      </c>
      <c r="AX14" s="771">
        <v>14985083.090693302</v>
      </c>
      <c r="AY14" s="771">
        <v>0</v>
      </c>
      <c r="AZ14" s="771">
        <v>0</v>
      </c>
      <c r="BA14" s="771">
        <v>14138212.664102102</v>
      </c>
      <c r="BB14" s="771">
        <v>0</v>
      </c>
      <c r="BC14" s="771">
        <v>0</v>
      </c>
      <c r="BD14" s="771">
        <v>0</v>
      </c>
      <c r="BE14" s="771">
        <v>0</v>
      </c>
      <c r="BF14" s="771">
        <v>0</v>
      </c>
      <c r="BG14" s="771">
        <v>0</v>
      </c>
      <c r="BH14" s="771">
        <v>0</v>
      </c>
      <c r="BI14" s="771">
        <v>0</v>
      </c>
      <c r="BJ14" s="771">
        <v>0</v>
      </c>
      <c r="BK14" s="771">
        <v>0</v>
      </c>
      <c r="BL14" s="771">
        <v>0</v>
      </c>
      <c r="BM14" s="771">
        <v>0</v>
      </c>
      <c r="BN14" s="771">
        <v>0</v>
      </c>
      <c r="BO14" s="771">
        <v>0</v>
      </c>
      <c r="BP14" s="772">
        <v>0</v>
      </c>
      <c r="BQ14" s="777"/>
      <c r="BR14" s="762">
        <f t="shared" si="5"/>
        <v>654005.71391899418</v>
      </c>
      <c r="BS14" s="763">
        <f t="shared" si="0"/>
        <v>0</v>
      </c>
      <c r="BT14" s="763">
        <f t="shared" si="0"/>
        <v>1260245.4879273069</v>
      </c>
      <c r="BU14" s="763">
        <f t="shared" si="0"/>
        <v>0</v>
      </c>
      <c r="BV14" s="763">
        <f t="shared" si="0"/>
        <v>0</v>
      </c>
      <c r="BW14" s="763">
        <f t="shared" si="0"/>
        <v>270039.86188435013</v>
      </c>
      <c r="BX14" s="763">
        <f t="shared" si="0"/>
        <v>0</v>
      </c>
      <c r="BY14" s="763">
        <f t="shared" si="0"/>
        <v>0</v>
      </c>
      <c r="BZ14" s="763">
        <f t="shared" si="0"/>
        <v>0</v>
      </c>
      <c r="CA14" s="763">
        <f t="shared" si="6"/>
        <v>0</v>
      </c>
      <c r="CB14" s="763">
        <f t="shared" si="6"/>
        <v>0</v>
      </c>
      <c r="CC14" s="763">
        <f t="shared" si="6"/>
        <v>0</v>
      </c>
      <c r="CD14" s="763">
        <f t="shared" si="6"/>
        <v>0</v>
      </c>
      <c r="CE14" s="763">
        <f t="shared" si="7"/>
        <v>0</v>
      </c>
      <c r="CF14" s="763">
        <f t="shared" si="1"/>
        <v>0</v>
      </c>
      <c r="CG14" s="763">
        <f t="shared" si="1"/>
        <v>0</v>
      </c>
      <c r="CH14" s="763">
        <f t="shared" si="1"/>
        <v>0</v>
      </c>
      <c r="CI14" s="763">
        <f t="shared" si="1"/>
        <v>0</v>
      </c>
      <c r="CJ14" s="763">
        <f t="shared" si="1"/>
        <v>0</v>
      </c>
      <c r="CK14" s="763">
        <f t="shared" si="1"/>
        <v>0</v>
      </c>
      <c r="CL14" s="763">
        <f t="shared" si="1"/>
        <v>0</v>
      </c>
      <c r="CM14" s="757">
        <f t="shared" si="8"/>
        <v>2184291.063730651</v>
      </c>
      <c r="CO14" s="762">
        <f>Z14*Vol!D14</f>
        <v>654005.71391899418</v>
      </c>
      <c r="CP14" s="763">
        <f>AA14*Vol!E14/100</f>
        <v>0</v>
      </c>
      <c r="CQ14" s="763">
        <f>AB14*Vol!F14/100</f>
        <v>1012991.6169308673</v>
      </c>
      <c r="CR14" s="763">
        <f>AC14*Vol!G14/100</f>
        <v>0</v>
      </c>
      <c r="CS14" s="763">
        <f>AD14*Vol!H14/100</f>
        <v>0</v>
      </c>
      <c r="CT14" s="763">
        <f>AE14*Vol!I14/100</f>
        <v>219142.29629358259</v>
      </c>
      <c r="CU14" s="763">
        <f>AF14*Vol!J14/100</f>
        <v>0</v>
      </c>
      <c r="CV14" s="763">
        <f>AG14*Vol!K14/100</f>
        <v>0</v>
      </c>
      <c r="CW14" s="763">
        <f>AH14*Vol!L14/100</f>
        <v>0</v>
      </c>
      <c r="CX14" s="763">
        <f>AI14*Vol!M14</f>
        <v>0</v>
      </c>
      <c r="CY14" s="763">
        <f>AJ14*Vol!N14</f>
        <v>0</v>
      </c>
      <c r="CZ14" s="763">
        <f>AK14*Vol!O14</f>
        <v>0</v>
      </c>
      <c r="DA14" s="763">
        <f>AL14*Vol!P14</f>
        <v>0</v>
      </c>
      <c r="DB14" s="763">
        <f>AM14*Vol!Q14/100</f>
        <v>0</v>
      </c>
      <c r="DC14" s="763">
        <f>AN14*Vol!R14/100</f>
        <v>0</v>
      </c>
      <c r="DD14" s="763">
        <f>AO14*Vol!S14/100</f>
        <v>0</v>
      </c>
      <c r="DE14" s="763">
        <f>AP14*Vol!T14/100</f>
        <v>0</v>
      </c>
      <c r="DF14" s="763">
        <f>AQ14*Vol!U14/100</f>
        <v>0</v>
      </c>
      <c r="DG14" s="763">
        <f>AR14*Vol!V14/100</f>
        <v>0</v>
      </c>
      <c r="DH14" s="763">
        <f>AS14*Vol!W14/100</f>
        <v>0</v>
      </c>
      <c r="DI14" s="763">
        <f>AT14*Vol!X14/100</f>
        <v>0</v>
      </c>
      <c r="DJ14" s="757">
        <f t="shared" si="4"/>
        <v>1886139.627143444</v>
      </c>
    </row>
    <row r="15" spans="1:114" s="748" customFormat="1">
      <c r="A15" s="748" t="s">
        <v>786</v>
      </c>
      <c r="B15" s="750" t="s">
        <v>554</v>
      </c>
      <c r="C15" s="750" t="s">
        <v>554</v>
      </c>
      <c r="D15" s="767">
        <v>0</v>
      </c>
      <c r="E15" s="768">
        <v>0</v>
      </c>
      <c r="F15" s="768">
        <v>0</v>
      </c>
      <c r="G15" s="768">
        <v>0</v>
      </c>
      <c r="H15" s="768">
        <v>0</v>
      </c>
      <c r="I15" s="768">
        <v>1.78</v>
      </c>
      <c r="J15" s="768">
        <v>0</v>
      </c>
      <c r="K15" s="768">
        <v>0</v>
      </c>
      <c r="L15" s="768">
        <v>0</v>
      </c>
      <c r="M15" s="768">
        <v>0</v>
      </c>
      <c r="N15" s="768">
        <v>0</v>
      </c>
      <c r="O15" s="768">
        <v>0</v>
      </c>
      <c r="P15" s="768">
        <v>0</v>
      </c>
      <c r="Q15" s="768">
        <v>0</v>
      </c>
      <c r="R15" s="768">
        <v>0</v>
      </c>
      <c r="S15" s="768">
        <v>0</v>
      </c>
      <c r="T15" s="768">
        <v>0</v>
      </c>
      <c r="U15" s="768">
        <v>0</v>
      </c>
      <c r="V15" s="768">
        <v>0</v>
      </c>
      <c r="W15" s="768">
        <v>0</v>
      </c>
      <c r="X15" s="769">
        <v>0</v>
      </c>
      <c r="Z15" s="751">
        <f>IFERROR(INDEX(Est2017DistRev!D:D,MATCH($A15,Est2017DistRev!$A:$A,),1),)</f>
        <v>0</v>
      </c>
      <c r="AA15" s="752">
        <f>IFERROR(INDEX(Est2017DistRev!E:E,MATCH($A15,Est2017DistRev!$A:$A,),1),)</f>
        <v>0</v>
      </c>
      <c r="AB15" s="752">
        <f>IFERROR(INDEX(Est2017DistRev!F:F,MATCH($A15,Est2017DistRev!$A:$A,),1),)</f>
        <v>0</v>
      </c>
      <c r="AC15" s="752">
        <f>IFERROR(INDEX(Est2017DistRev!G:G,MATCH($A15,Est2017DistRev!$A:$A,),1),)</f>
        <v>0</v>
      </c>
      <c r="AD15" s="752">
        <f>IFERROR(INDEX(Est2017DistRev!H:H,MATCH($A15,Est2017DistRev!$A:$A,),1),)</f>
        <v>0</v>
      </c>
      <c r="AE15" s="752">
        <f>IFERROR(INDEX(Est2017DistRev!I:I,MATCH($A15,Est2017DistRev!$A:$A,),1),)</f>
        <v>1.55</v>
      </c>
      <c r="AF15" s="752">
        <f>IFERROR(INDEX(Est2017DistRev!J:J,MATCH($A15,Est2017DistRev!$A:$A,),1),)</f>
        <v>0</v>
      </c>
      <c r="AG15" s="752">
        <f>IFERROR(INDEX(Est2017DistRev!K:K,MATCH($A15,Est2017DistRev!$A:$A,),1),)</f>
        <v>0</v>
      </c>
      <c r="AH15" s="752">
        <f>IFERROR(INDEX(Est2017DistRev!L:L,MATCH($A15,Est2017DistRev!$A:$A,),1),)</f>
        <v>0</v>
      </c>
      <c r="AI15" s="752">
        <f>IFERROR(INDEX(Est2017DistRev!M:M,MATCH($A15,Est2017DistRev!$A:$A,),1),)</f>
        <v>0</v>
      </c>
      <c r="AJ15" s="752">
        <f>IFERROR(INDEX(Est2017DistRev!N:N,MATCH($A15,Est2017DistRev!$A:$A,),1),)</f>
        <v>0</v>
      </c>
      <c r="AK15" s="752">
        <f>IFERROR(INDEX(Est2017DistRev!O:O,MATCH($A15,Est2017DistRev!$A:$A,),1),)</f>
        <v>0</v>
      </c>
      <c r="AL15" s="752">
        <f>IFERROR(INDEX(Est2017DistRev!P:P,MATCH($A15,Est2017DistRev!$A:$A,),1),)</f>
        <v>0</v>
      </c>
      <c r="AM15" s="752">
        <f>IFERROR(INDEX(Est2017DistRev!Q:Q,MATCH($A15,Est2017DistRev!$A:$A,),1),)</f>
        <v>0</v>
      </c>
      <c r="AN15" s="752">
        <f>IFERROR(INDEX(Est2017DistRev!R:R,MATCH($A15,Est2017DistRev!$A:$A,),1),)</f>
        <v>0</v>
      </c>
      <c r="AO15" s="752">
        <f>IFERROR(INDEX(Est2017DistRev!S:S,MATCH($A15,Est2017DistRev!$A:$A,),1),)</f>
        <v>0</v>
      </c>
      <c r="AP15" s="752">
        <f>IFERROR(INDEX(Est2017DistRev!T:T,MATCH($A15,Est2017DistRev!$A:$A,),1),)</f>
        <v>0</v>
      </c>
      <c r="AQ15" s="752">
        <f>IFERROR(INDEX(Est2017DistRev!U:U,MATCH($A15,Est2017DistRev!$A:$A,),1),)</f>
        <v>0</v>
      </c>
      <c r="AR15" s="752">
        <f>IFERROR(INDEX(Est2017DistRev!V:V,MATCH($A15,Est2017DistRev!$A:$A,),1),)</f>
        <v>0</v>
      </c>
      <c r="AS15" s="752">
        <f>IFERROR(INDEX(Est2017DistRev!W:W,MATCH($A15,Est2017DistRev!$A:$A,),1),)</f>
        <v>0</v>
      </c>
      <c r="AT15" s="753">
        <f>IFERROR(INDEX(Est2017DistRev!X:X,MATCH($A15,Est2017DistRev!$A:$A,),1),)</f>
        <v>0</v>
      </c>
      <c r="AV15" s="773">
        <v>9721.6356157284772</v>
      </c>
      <c r="AW15" s="771">
        <v>0</v>
      </c>
      <c r="AX15" s="771">
        <v>0</v>
      </c>
      <c r="AY15" s="771">
        <v>0</v>
      </c>
      <c r="AZ15" s="771">
        <v>0</v>
      </c>
      <c r="BA15" s="771">
        <v>19909930.707670532</v>
      </c>
      <c r="BB15" s="771">
        <v>0</v>
      </c>
      <c r="BC15" s="771">
        <v>0</v>
      </c>
      <c r="BD15" s="771">
        <v>0</v>
      </c>
      <c r="BE15" s="771">
        <v>0</v>
      </c>
      <c r="BF15" s="771">
        <v>0</v>
      </c>
      <c r="BG15" s="771">
        <v>0</v>
      </c>
      <c r="BH15" s="771">
        <v>0</v>
      </c>
      <c r="BI15" s="771">
        <v>0</v>
      </c>
      <c r="BJ15" s="771">
        <v>0</v>
      </c>
      <c r="BK15" s="771">
        <v>0</v>
      </c>
      <c r="BL15" s="771">
        <v>0</v>
      </c>
      <c r="BM15" s="771">
        <v>0</v>
      </c>
      <c r="BN15" s="771">
        <v>0</v>
      </c>
      <c r="BO15" s="771">
        <v>0</v>
      </c>
      <c r="BP15" s="772">
        <v>0</v>
      </c>
      <c r="BQ15" s="777"/>
      <c r="BR15" s="762">
        <f t="shared" si="5"/>
        <v>0</v>
      </c>
      <c r="BS15" s="763">
        <f t="shared" si="0"/>
        <v>0</v>
      </c>
      <c r="BT15" s="763">
        <f t="shared" si="0"/>
        <v>0</v>
      </c>
      <c r="BU15" s="763">
        <f t="shared" si="0"/>
        <v>0</v>
      </c>
      <c r="BV15" s="763">
        <f t="shared" si="0"/>
        <v>0</v>
      </c>
      <c r="BW15" s="763">
        <f t="shared" si="0"/>
        <v>354396.76659653545</v>
      </c>
      <c r="BX15" s="763">
        <f t="shared" si="0"/>
        <v>0</v>
      </c>
      <c r="BY15" s="763">
        <f t="shared" si="0"/>
        <v>0</v>
      </c>
      <c r="BZ15" s="763">
        <f t="shared" si="0"/>
        <v>0</v>
      </c>
      <c r="CA15" s="763">
        <f t="shared" si="6"/>
        <v>0</v>
      </c>
      <c r="CB15" s="763">
        <f t="shared" si="6"/>
        <v>0</v>
      </c>
      <c r="CC15" s="763">
        <f t="shared" si="6"/>
        <v>0</v>
      </c>
      <c r="CD15" s="763">
        <f t="shared" si="6"/>
        <v>0</v>
      </c>
      <c r="CE15" s="763">
        <f t="shared" si="7"/>
        <v>0</v>
      </c>
      <c r="CF15" s="763">
        <f t="shared" si="1"/>
        <v>0</v>
      </c>
      <c r="CG15" s="763">
        <f t="shared" si="1"/>
        <v>0</v>
      </c>
      <c r="CH15" s="763">
        <f t="shared" si="1"/>
        <v>0</v>
      </c>
      <c r="CI15" s="763">
        <f t="shared" si="1"/>
        <v>0</v>
      </c>
      <c r="CJ15" s="763">
        <f t="shared" si="1"/>
        <v>0</v>
      </c>
      <c r="CK15" s="763">
        <f t="shared" si="1"/>
        <v>0</v>
      </c>
      <c r="CL15" s="763">
        <f t="shared" si="1"/>
        <v>0</v>
      </c>
      <c r="CM15" s="757">
        <f t="shared" si="8"/>
        <v>354396.76659653545</v>
      </c>
      <c r="CO15" s="762">
        <f>Z15*Vol!D15</f>
        <v>0</v>
      </c>
      <c r="CP15" s="763">
        <f>AA15*Vol!E15/100</f>
        <v>0</v>
      </c>
      <c r="CQ15" s="763">
        <f>AB15*Vol!F15/100</f>
        <v>0</v>
      </c>
      <c r="CR15" s="763">
        <f>AC15*Vol!G15/100</f>
        <v>0</v>
      </c>
      <c r="CS15" s="763">
        <f>AD15*Vol!H15/100</f>
        <v>0</v>
      </c>
      <c r="CT15" s="763">
        <f>AE15*Vol!I15/100</f>
        <v>308603.92596889322</v>
      </c>
      <c r="CU15" s="763">
        <f>AF15*Vol!J15/100</f>
        <v>0</v>
      </c>
      <c r="CV15" s="763">
        <f>AG15*Vol!K15/100</f>
        <v>0</v>
      </c>
      <c r="CW15" s="763">
        <f>AH15*Vol!L15/100</f>
        <v>0</v>
      </c>
      <c r="CX15" s="763">
        <f>AI15*Vol!M15</f>
        <v>0</v>
      </c>
      <c r="CY15" s="763">
        <f>AJ15*Vol!N15</f>
        <v>0</v>
      </c>
      <c r="CZ15" s="763">
        <f>AK15*Vol!O15</f>
        <v>0</v>
      </c>
      <c r="DA15" s="763">
        <f>AL15*Vol!P15</f>
        <v>0</v>
      </c>
      <c r="DB15" s="763">
        <f>AM15*Vol!Q15/100</f>
        <v>0</v>
      </c>
      <c r="DC15" s="763">
        <f>AN15*Vol!R15/100</f>
        <v>0</v>
      </c>
      <c r="DD15" s="763">
        <f>AO15*Vol!S15/100</f>
        <v>0</v>
      </c>
      <c r="DE15" s="763">
        <f>AP15*Vol!T15/100</f>
        <v>0</v>
      </c>
      <c r="DF15" s="763">
        <f>AQ15*Vol!U15/100</f>
        <v>0</v>
      </c>
      <c r="DG15" s="763">
        <f>AR15*Vol!V15/100</f>
        <v>0</v>
      </c>
      <c r="DH15" s="763">
        <f>AS15*Vol!W15/100</f>
        <v>0</v>
      </c>
      <c r="DI15" s="763">
        <f>AT15*Vol!X15/100</f>
        <v>0</v>
      </c>
      <c r="DJ15" s="757">
        <f t="shared" si="4"/>
        <v>308603.92596889322</v>
      </c>
    </row>
    <row r="16" spans="1:114" s="748" customFormat="1">
      <c r="A16" s="748" t="s">
        <v>787</v>
      </c>
      <c r="B16" s="750" t="s">
        <v>555</v>
      </c>
      <c r="C16" s="750" t="s">
        <v>555</v>
      </c>
      <c r="D16" s="767">
        <v>0</v>
      </c>
      <c r="E16" s="768">
        <v>0</v>
      </c>
      <c r="F16" s="768">
        <v>0</v>
      </c>
      <c r="G16" s="768">
        <v>0</v>
      </c>
      <c r="H16" s="768">
        <v>0</v>
      </c>
      <c r="I16" s="768">
        <v>1.38</v>
      </c>
      <c r="J16" s="768">
        <v>0</v>
      </c>
      <c r="K16" s="768">
        <v>0</v>
      </c>
      <c r="L16" s="768">
        <v>0</v>
      </c>
      <c r="M16" s="768">
        <v>0</v>
      </c>
      <c r="N16" s="768">
        <v>0</v>
      </c>
      <c r="O16" s="768">
        <v>0</v>
      </c>
      <c r="P16" s="768">
        <v>0</v>
      </c>
      <c r="Q16" s="768">
        <v>0</v>
      </c>
      <c r="R16" s="768">
        <v>0</v>
      </c>
      <c r="S16" s="768">
        <v>0</v>
      </c>
      <c r="T16" s="768">
        <v>0</v>
      </c>
      <c r="U16" s="768">
        <v>0</v>
      </c>
      <c r="V16" s="768">
        <v>0</v>
      </c>
      <c r="W16" s="768">
        <v>0</v>
      </c>
      <c r="X16" s="769">
        <v>0</v>
      </c>
      <c r="Z16" s="751">
        <f>IFERROR(INDEX(Est2017DistRev!D:D,MATCH($A16,Est2017DistRev!$A:$A,),1),)</f>
        <v>0</v>
      </c>
      <c r="AA16" s="752">
        <f>IFERROR(INDEX(Est2017DistRev!E:E,MATCH($A16,Est2017DistRev!$A:$A,),1),)</f>
        <v>0</v>
      </c>
      <c r="AB16" s="752">
        <f>IFERROR(INDEX(Est2017DistRev!F:F,MATCH($A16,Est2017DistRev!$A:$A,),1),)</f>
        <v>0</v>
      </c>
      <c r="AC16" s="752">
        <f>IFERROR(INDEX(Est2017DistRev!G:G,MATCH($A16,Est2017DistRev!$A:$A,),1),)</f>
        <v>0</v>
      </c>
      <c r="AD16" s="752">
        <f>IFERROR(INDEX(Est2017DistRev!H:H,MATCH($A16,Est2017DistRev!$A:$A,),1),)</f>
        <v>0</v>
      </c>
      <c r="AE16" s="752">
        <f>IFERROR(INDEX(Est2017DistRev!I:I,MATCH($A16,Est2017DistRev!$A:$A,),1),)</f>
        <v>1.1100000000000001</v>
      </c>
      <c r="AF16" s="752">
        <f>IFERROR(INDEX(Est2017DistRev!J:J,MATCH($A16,Est2017DistRev!$A:$A,),1),)</f>
        <v>0</v>
      </c>
      <c r="AG16" s="752">
        <f>IFERROR(INDEX(Est2017DistRev!K:K,MATCH($A16,Est2017DistRev!$A:$A,),1),)</f>
        <v>0</v>
      </c>
      <c r="AH16" s="752">
        <f>IFERROR(INDEX(Est2017DistRev!L:L,MATCH($A16,Est2017DistRev!$A:$A,),1),)</f>
        <v>0</v>
      </c>
      <c r="AI16" s="752">
        <f>IFERROR(INDEX(Est2017DistRev!M:M,MATCH($A16,Est2017DistRev!$A:$A,),1),)</f>
        <v>0</v>
      </c>
      <c r="AJ16" s="752">
        <f>IFERROR(INDEX(Est2017DistRev!N:N,MATCH($A16,Est2017DistRev!$A:$A,),1),)</f>
        <v>0</v>
      </c>
      <c r="AK16" s="752">
        <f>IFERROR(INDEX(Est2017DistRev!O:O,MATCH($A16,Est2017DistRev!$A:$A,),1),)</f>
        <v>0</v>
      </c>
      <c r="AL16" s="752">
        <f>IFERROR(INDEX(Est2017DistRev!P:P,MATCH($A16,Est2017DistRev!$A:$A,),1),)</f>
        <v>0</v>
      </c>
      <c r="AM16" s="752">
        <f>IFERROR(INDEX(Est2017DistRev!Q:Q,MATCH($A16,Est2017DistRev!$A:$A,),1),)</f>
        <v>0</v>
      </c>
      <c r="AN16" s="752">
        <f>IFERROR(INDEX(Est2017DistRev!R:R,MATCH($A16,Est2017DistRev!$A:$A,),1),)</f>
        <v>0</v>
      </c>
      <c r="AO16" s="752">
        <f>IFERROR(INDEX(Est2017DistRev!S:S,MATCH($A16,Est2017DistRev!$A:$A,),1),)</f>
        <v>0</v>
      </c>
      <c r="AP16" s="752">
        <f>IFERROR(INDEX(Est2017DistRev!T:T,MATCH($A16,Est2017DistRev!$A:$A,),1),)</f>
        <v>0</v>
      </c>
      <c r="AQ16" s="752">
        <f>IFERROR(INDEX(Est2017DistRev!U:U,MATCH($A16,Est2017DistRev!$A:$A,),1),)</f>
        <v>0</v>
      </c>
      <c r="AR16" s="752">
        <f>IFERROR(INDEX(Est2017DistRev!V:V,MATCH($A16,Est2017DistRev!$A:$A,),1),)</f>
        <v>0</v>
      </c>
      <c r="AS16" s="752">
        <f>IFERROR(INDEX(Est2017DistRev!W:W,MATCH($A16,Est2017DistRev!$A:$A,),1),)</f>
        <v>0</v>
      </c>
      <c r="AT16" s="753">
        <f>IFERROR(INDEX(Est2017DistRev!X:X,MATCH($A16,Est2017DistRev!$A:$A,),1),)</f>
        <v>0</v>
      </c>
      <c r="AV16" s="773">
        <v>3658.6066628568519</v>
      </c>
      <c r="AW16" s="771">
        <v>0</v>
      </c>
      <c r="AX16" s="771">
        <v>0</v>
      </c>
      <c r="AY16" s="771">
        <v>0</v>
      </c>
      <c r="AZ16" s="771">
        <v>0</v>
      </c>
      <c r="BA16" s="771">
        <v>7350471.8260590127</v>
      </c>
      <c r="BB16" s="771">
        <v>0</v>
      </c>
      <c r="BC16" s="771">
        <v>0</v>
      </c>
      <c r="BD16" s="771">
        <v>0</v>
      </c>
      <c r="BE16" s="771">
        <v>0</v>
      </c>
      <c r="BF16" s="771">
        <v>0</v>
      </c>
      <c r="BG16" s="771">
        <v>0</v>
      </c>
      <c r="BH16" s="771">
        <v>0</v>
      </c>
      <c r="BI16" s="771">
        <v>0</v>
      </c>
      <c r="BJ16" s="771">
        <v>0</v>
      </c>
      <c r="BK16" s="771">
        <v>0</v>
      </c>
      <c r="BL16" s="771">
        <v>0</v>
      </c>
      <c r="BM16" s="771">
        <v>0</v>
      </c>
      <c r="BN16" s="771">
        <v>0</v>
      </c>
      <c r="BO16" s="771">
        <v>0</v>
      </c>
      <c r="BP16" s="772">
        <v>0</v>
      </c>
      <c r="BQ16" s="777"/>
      <c r="BR16" s="762">
        <f t="shared" si="5"/>
        <v>0</v>
      </c>
      <c r="BS16" s="763">
        <f t="shared" si="0"/>
        <v>0</v>
      </c>
      <c r="BT16" s="763">
        <f t="shared" si="0"/>
        <v>0</v>
      </c>
      <c r="BU16" s="763">
        <f t="shared" si="0"/>
        <v>0</v>
      </c>
      <c r="BV16" s="763">
        <f t="shared" si="0"/>
        <v>0</v>
      </c>
      <c r="BW16" s="763">
        <f t="shared" si="0"/>
        <v>101436.51119961437</v>
      </c>
      <c r="BX16" s="763">
        <f t="shared" si="0"/>
        <v>0</v>
      </c>
      <c r="BY16" s="763">
        <f t="shared" si="0"/>
        <v>0</v>
      </c>
      <c r="BZ16" s="763">
        <f t="shared" si="0"/>
        <v>0</v>
      </c>
      <c r="CA16" s="763">
        <f t="shared" si="6"/>
        <v>0</v>
      </c>
      <c r="CB16" s="763">
        <f t="shared" si="6"/>
        <v>0</v>
      </c>
      <c r="CC16" s="763">
        <f t="shared" si="6"/>
        <v>0</v>
      </c>
      <c r="CD16" s="763">
        <f t="shared" si="6"/>
        <v>0</v>
      </c>
      <c r="CE16" s="763">
        <f t="shared" si="7"/>
        <v>0</v>
      </c>
      <c r="CF16" s="763">
        <f t="shared" si="1"/>
        <v>0</v>
      </c>
      <c r="CG16" s="763">
        <f t="shared" si="1"/>
        <v>0</v>
      </c>
      <c r="CH16" s="763">
        <f t="shared" si="1"/>
        <v>0</v>
      </c>
      <c r="CI16" s="763">
        <f t="shared" si="1"/>
        <v>0</v>
      </c>
      <c r="CJ16" s="763">
        <f t="shared" si="1"/>
        <v>0</v>
      </c>
      <c r="CK16" s="763">
        <f t="shared" si="1"/>
        <v>0</v>
      </c>
      <c r="CL16" s="763">
        <f t="shared" si="1"/>
        <v>0</v>
      </c>
      <c r="CM16" s="757">
        <f t="shared" si="8"/>
        <v>101436.51119961437</v>
      </c>
      <c r="CO16" s="762">
        <f>Z16*Vol!D16</f>
        <v>0</v>
      </c>
      <c r="CP16" s="763">
        <f>AA16*Vol!E16/100</f>
        <v>0</v>
      </c>
      <c r="CQ16" s="763">
        <f>AB16*Vol!F16/100</f>
        <v>0</v>
      </c>
      <c r="CR16" s="763">
        <f>AC16*Vol!G16/100</f>
        <v>0</v>
      </c>
      <c r="CS16" s="763">
        <f>AD16*Vol!H16/100</f>
        <v>0</v>
      </c>
      <c r="CT16" s="763">
        <f>AE16*Vol!I16/100</f>
        <v>81590.237269255042</v>
      </c>
      <c r="CU16" s="763">
        <f>AF16*Vol!J16/100</f>
        <v>0</v>
      </c>
      <c r="CV16" s="763">
        <f>AG16*Vol!K16/100</f>
        <v>0</v>
      </c>
      <c r="CW16" s="763">
        <f>AH16*Vol!L16/100</f>
        <v>0</v>
      </c>
      <c r="CX16" s="763">
        <f>AI16*Vol!M16</f>
        <v>0</v>
      </c>
      <c r="CY16" s="763">
        <f>AJ16*Vol!N16</f>
        <v>0</v>
      </c>
      <c r="CZ16" s="763">
        <f>AK16*Vol!O16</f>
        <v>0</v>
      </c>
      <c r="DA16" s="763">
        <f>AL16*Vol!P16</f>
        <v>0</v>
      </c>
      <c r="DB16" s="763">
        <f>AM16*Vol!Q16/100</f>
        <v>0</v>
      </c>
      <c r="DC16" s="763">
        <f>AN16*Vol!R16/100</f>
        <v>0</v>
      </c>
      <c r="DD16" s="763">
        <f>AO16*Vol!S16/100</f>
        <v>0</v>
      </c>
      <c r="DE16" s="763">
        <f>AP16*Vol!T16/100</f>
        <v>0</v>
      </c>
      <c r="DF16" s="763">
        <f>AQ16*Vol!U16/100</f>
        <v>0</v>
      </c>
      <c r="DG16" s="763">
        <f>AR16*Vol!V16/100</f>
        <v>0</v>
      </c>
      <c r="DH16" s="763">
        <f>AS16*Vol!W16/100</f>
        <v>0</v>
      </c>
      <c r="DI16" s="763">
        <f>AT16*Vol!X16/100</f>
        <v>0</v>
      </c>
      <c r="DJ16" s="757">
        <f t="shared" si="4"/>
        <v>81590.237269255042</v>
      </c>
    </row>
    <row r="17" spans="1:114" s="748" customFormat="1">
      <c r="A17" s="748" t="s">
        <v>788</v>
      </c>
      <c r="B17" s="750" t="s">
        <v>556</v>
      </c>
      <c r="C17" s="750" t="s">
        <v>556</v>
      </c>
      <c r="D17" s="767">
        <v>0</v>
      </c>
      <c r="E17" s="768">
        <v>0</v>
      </c>
      <c r="F17" s="768">
        <v>0</v>
      </c>
      <c r="G17" s="768">
        <v>0</v>
      </c>
      <c r="H17" s="768">
        <v>0</v>
      </c>
      <c r="I17" s="768">
        <v>1.78</v>
      </c>
      <c r="J17" s="768">
        <v>0</v>
      </c>
      <c r="K17" s="768">
        <v>0</v>
      </c>
      <c r="L17" s="768">
        <v>0</v>
      </c>
      <c r="M17" s="768">
        <v>0</v>
      </c>
      <c r="N17" s="768">
        <v>0</v>
      </c>
      <c r="O17" s="768">
        <v>0</v>
      </c>
      <c r="P17" s="768">
        <v>0</v>
      </c>
      <c r="Q17" s="768">
        <v>0</v>
      </c>
      <c r="R17" s="768">
        <v>0</v>
      </c>
      <c r="S17" s="768">
        <v>0</v>
      </c>
      <c r="T17" s="768">
        <v>0</v>
      </c>
      <c r="U17" s="768">
        <v>0</v>
      </c>
      <c r="V17" s="768">
        <v>0</v>
      </c>
      <c r="W17" s="768">
        <v>0</v>
      </c>
      <c r="X17" s="769">
        <v>0</v>
      </c>
      <c r="Z17" s="751">
        <f>IFERROR(INDEX(Est2017DistRev!D:D,MATCH($A17,Est2017DistRev!$A:$A,),1),)</f>
        <v>0</v>
      </c>
      <c r="AA17" s="752">
        <f>IFERROR(INDEX(Est2017DistRev!E:E,MATCH($A17,Est2017DistRev!$A:$A,),1),)</f>
        <v>0</v>
      </c>
      <c r="AB17" s="752">
        <f>IFERROR(INDEX(Est2017DistRev!F:F,MATCH($A17,Est2017DistRev!$A:$A,),1),)</f>
        <v>0</v>
      </c>
      <c r="AC17" s="752">
        <f>IFERROR(INDEX(Est2017DistRev!G:G,MATCH($A17,Est2017DistRev!$A:$A,),1),)</f>
        <v>0</v>
      </c>
      <c r="AD17" s="752">
        <f>IFERROR(INDEX(Est2017DistRev!H:H,MATCH($A17,Est2017DistRev!$A:$A,),1),)</f>
        <v>0</v>
      </c>
      <c r="AE17" s="752">
        <f>IFERROR(INDEX(Est2017DistRev!I:I,MATCH($A17,Est2017DistRev!$A:$A,),1),)</f>
        <v>1.55</v>
      </c>
      <c r="AF17" s="752">
        <f>IFERROR(INDEX(Est2017DistRev!J:J,MATCH($A17,Est2017DistRev!$A:$A,),1),)</f>
        <v>0</v>
      </c>
      <c r="AG17" s="752">
        <f>IFERROR(INDEX(Est2017DistRev!K:K,MATCH($A17,Est2017DistRev!$A:$A,),1),)</f>
        <v>0</v>
      </c>
      <c r="AH17" s="752">
        <f>IFERROR(INDEX(Est2017DistRev!L:L,MATCH($A17,Est2017DistRev!$A:$A,),1),)</f>
        <v>0</v>
      </c>
      <c r="AI17" s="752">
        <f>IFERROR(INDEX(Est2017DistRev!M:M,MATCH($A17,Est2017DistRev!$A:$A,),1),)</f>
        <v>0</v>
      </c>
      <c r="AJ17" s="752">
        <f>IFERROR(INDEX(Est2017DistRev!N:N,MATCH($A17,Est2017DistRev!$A:$A,),1),)</f>
        <v>0</v>
      </c>
      <c r="AK17" s="752">
        <f>IFERROR(INDEX(Est2017DistRev!O:O,MATCH($A17,Est2017DistRev!$A:$A,),1),)</f>
        <v>0</v>
      </c>
      <c r="AL17" s="752">
        <f>IFERROR(INDEX(Est2017DistRev!P:P,MATCH($A17,Est2017DistRev!$A:$A,),1),)</f>
        <v>0</v>
      </c>
      <c r="AM17" s="752">
        <f>IFERROR(INDEX(Est2017DistRev!Q:Q,MATCH($A17,Est2017DistRev!$A:$A,),1),)</f>
        <v>0</v>
      </c>
      <c r="AN17" s="752">
        <f>IFERROR(INDEX(Est2017DistRev!R:R,MATCH($A17,Est2017DistRev!$A:$A,),1),)</f>
        <v>0</v>
      </c>
      <c r="AO17" s="752">
        <f>IFERROR(INDEX(Est2017DistRev!S:S,MATCH($A17,Est2017DistRev!$A:$A,),1),)</f>
        <v>0</v>
      </c>
      <c r="AP17" s="752">
        <f>IFERROR(INDEX(Est2017DistRev!T:T,MATCH($A17,Est2017DistRev!$A:$A,),1),)</f>
        <v>0</v>
      </c>
      <c r="AQ17" s="752">
        <f>IFERROR(INDEX(Est2017DistRev!U:U,MATCH($A17,Est2017DistRev!$A:$A,),1),)</f>
        <v>0</v>
      </c>
      <c r="AR17" s="752">
        <f>IFERROR(INDEX(Est2017DistRev!V:V,MATCH($A17,Est2017DistRev!$A:$A,),1),)</f>
        <v>0</v>
      </c>
      <c r="AS17" s="752">
        <f>IFERROR(INDEX(Est2017DistRev!W:W,MATCH($A17,Est2017DistRev!$A:$A,),1),)</f>
        <v>0</v>
      </c>
      <c r="AT17" s="753">
        <f>IFERROR(INDEX(Est2017DistRev!X:X,MATCH($A17,Est2017DistRev!$A:$A,),1),)</f>
        <v>0</v>
      </c>
      <c r="AV17" s="773">
        <v>22642.030575507612</v>
      </c>
      <c r="AW17" s="771">
        <v>0</v>
      </c>
      <c r="AX17" s="771">
        <v>0</v>
      </c>
      <c r="AY17" s="771">
        <v>0</v>
      </c>
      <c r="AZ17" s="771">
        <v>0</v>
      </c>
      <c r="BA17" s="771">
        <v>33890069.863411687</v>
      </c>
      <c r="BB17" s="771">
        <v>0</v>
      </c>
      <c r="BC17" s="771">
        <v>0</v>
      </c>
      <c r="BD17" s="771">
        <v>0</v>
      </c>
      <c r="BE17" s="771">
        <v>0</v>
      </c>
      <c r="BF17" s="771">
        <v>0</v>
      </c>
      <c r="BG17" s="771">
        <v>0</v>
      </c>
      <c r="BH17" s="771">
        <v>0</v>
      </c>
      <c r="BI17" s="771">
        <v>0</v>
      </c>
      <c r="BJ17" s="771">
        <v>0</v>
      </c>
      <c r="BK17" s="771">
        <v>0</v>
      </c>
      <c r="BL17" s="771">
        <v>0</v>
      </c>
      <c r="BM17" s="771">
        <v>0</v>
      </c>
      <c r="BN17" s="771">
        <v>0</v>
      </c>
      <c r="BO17" s="771">
        <v>0</v>
      </c>
      <c r="BP17" s="772">
        <v>0</v>
      </c>
      <c r="BQ17" s="777"/>
      <c r="BR17" s="762">
        <f t="shared" si="5"/>
        <v>0</v>
      </c>
      <c r="BS17" s="763">
        <f t="shared" si="0"/>
        <v>0</v>
      </c>
      <c r="BT17" s="763">
        <f t="shared" si="0"/>
        <v>0</v>
      </c>
      <c r="BU17" s="763">
        <f t="shared" si="0"/>
        <v>0</v>
      </c>
      <c r="BV17" s="763">
        <f t="shared" si="0"/>
        <v>0</v>
      </c>
      <c r="BW17" s="763">
        <f t="shared" si="0"/>
        <v>603243.24356872798</v>
      </c>
      <c r="BX17" s="763">
        <f t="shared" si="0"/>
        <v>0</v>
      </c>
      <c r="BY17" s="763">
        <f t="shared" si="0"/>
        <v>0</v>
      </c>
      <c r="BZ17" s="763">
        <f t="shared" si="0"/>
        <v>0</v>
      </c>
      <c r="CA17" s="763">
        <f t="shared" si="6"/>
        <v>0</v>
      </c>
      <c r="CB17" s="763">
        <f t="shared" si="6"/>
        <v>0</v>
      </c>
      <c r="CC17" s="763">
        <f t="shared" si="6"/>
        <v>0</v>
      </c>
      <c r="CD17" s="763">
        <f t="shared" si="6"/>
        <v>0</v>
      </c>
      <c r="CE17" s="763">
        <f t="shared" si="7"/>
        <v>0</v>
      </c>
      <c r="CF17" s="763">
        <f t="shared" si="1"/>
        <v>0</v>
      </c>
      <c r="CG17" s="763">
        <f t="shared" si="1"/>
        <v>0</v>
      </c>
      <c r="CH17" s="763">
        <f t="shared" si="1"/>
        <v>0</v>
      </c>
      <c r="CI17" s="763">
        <f t="shared" si="1"/>
        <v>0</v>
      </c>
      <c r="CJ17" s="763">
        <f t="shared" si="1"/>
        <v>0</v>
      </c>
      <c r="CK17" s="763">
        <f t="shared" si="1"/>
        <v>0</v>
      </c>
      <c r="CL17" s="763">
        <f t="shared" si="1"/>
        <v>0</v>
      </c>
      <c r="CM17" s="757">
        <f t="shared" si="8"/>
        <v>603243.24356872798</v>
      </c>
      <c r="CO17" s="762">
        <f>Z17*Vol!D17</f>
        <v>0</v>
      </c>
      <c r="CP17" s="763">
        <f>AA17*Vol!E17/100</f>
        <v>0</v>
      </c>
      <c r="CQ17" s="763">
        <f>AB17*Vol!F17/100</f>
        <v>0</v>
      </c>
      <c r="CR17" s="763">
        <f>AC17*Vol!G17/100</f>
        <v>0</v>
      </c>
      <c r="CS17" s="763">
        <f>AD17*Vol!H17/100</f>
        <v>0</v>
      </c>
      <c r="CT17" s="763">
        <f>AE17*Vol!I17/100</f>
        <v>525296.08288288116</v>
      </c>
      <c r="CU17" s="763">
        <f>AF17*Vol!J17/100</f>
        <v>0</v>
      </c>
      <c r="CV17" s="763">
        <f>AG17*Vol!K17/100</f>
        <v>0</v>
      </c>
      <c r="CW17" s="763">
        <f>AH17*Vol!L17/100</f>
        <v>0</v>
      </c>
      <c r="CX17" s="763">
        <f>AI17*Vol!M17</f>
        <v>0</v>
      </c>
      <c r="CY17" s="763">
        <f>AJ17*Vol!N17</f>
        <v>0</v>
      </c>
      <c r="CZ17" s="763">
        <f>AK17*Vol!O17</f>
        <v>0</v>
      </c>
      <c r="DA17" s="763">
        <f>AL17*Vol!P17</f>
        <v>0</v>
      </c>
      <c r="DB17" s="763">
        <f>AM17*Vol!Q17/100</f>
        <v>0</v>
      </c>
      <c r="DC17" s="763">
        <f>AN17*Vol!R17/100</f>
        <v>0</v>
      </c>
      <c r="DD17" s="763">
        <f>AO17*Vol!S17/100</f>
        <v>0</v>
      </c>
      <c r="DE17" s="763">
        <f>AP17*Vol!T17/100</f>
        <v>0</v>
      </c>
      <c r="DF17" s="763">
        <f>AQ17*Vol!U17/100</f>
        <v>0</v>
      </c>
      <c r="DG17" s="763">
        <f>AR17*Vol!V17/100</f>
        <v>0</v>
      </c>
      <c r="DH17" s="763">
        <f>AS17*Vol!W17/100</f>
        <v>0</v>
      </c>
      <c r="DI17" s="763">
        <f>AT17*Vol!X17/100</f>
        <v>0</v>
      </c>
      <c r="DJ17" s="757">
        <f t="shared" si="4"/>
        <v>525296.08288288116</v>
      </c>
    </row>
    <row r="18" spans="1:114" s="748" customFormat="1">
      <c r="A18" s="748" t="s">
        <v>789</v>
      </c>
      <c r="B18" s="750" t="s">
        <v>557</v>
      </c>
      <c r="C18" s="750" t="s">
        <v>557</v>
      </c>
      <c r="D18" s="767">
        <v>0</v>
      </c>
      <c r="E18" s="768">
        <v>0</v>
      </c>
      <c r="F18" s="768">
        <v>0</v>
      </c>
      <c r="G18" s="768">
        <v>0</v>
      </c>
      <c r="H18" s="768">
        <v>0</v>
      </c>
      <c r="I18" s="768">
        <v>1.38</v>
      </c>
      <c r="J18" s="768">
        <v>0</v>
      </c>
      <c r="K18" s="768">
        <v>0</v>
      </c>
      <c r="L18" s="768">
        <v>0</v>
      </c>
      <c r="M18" s="768">
        <v>0</v>
      </c>
      <c r="N18" s="768">
        <v>0</v>
      </c>
      <c r="O18" s="768">
        <v>0</v>
      </c>
      <c r="P18" s="768">
        <v>0</v>
      </c>
      <c r="Q18" s="768">
        <v>0</v>
      </c>
      <c r="R18" s="768">
        <v>0</v>
      </c>
      <c r="S18" s="768">
        <v>0</v>
      </c>
      <c r="T18" s="768">
        <v>0</v>
      </c>
      <c r="U18" s="768">
        <v>0</v>
      </c>
      <c r="V18" s="768">
        <v>0</v>
      </c>
      <c r="W18" s="768">
        <v>0</v>
      </c>
      <c r="X18" s="769">
        <v>0</v>
      </c>
      <c r="Z18" s="751">
        <f>IFERROR(INDEX(Est2017DistRev!D:D,MATCH($A18,Est2017DistRev!$A:$A,),1),)</f>
        <v>0</v>
      </c>
      <c r="AA18" s="752">
        <f>IFERROR(INDEX(Est2017DistRev!E:E,MATCH($A18,Est2017DistRev!$A:$A,),1),)</f>
        <v>0</v>
      </c>
      <c r="AB18" s="752">
        <f>IFERROR(INDEX(Est2017DistRev!F:F,MATCH($A18,Est2017DistRev!$A:$A,),1),)</f>
        <v>0</v>
      </c>
      <c r="AC18" s="752">
        <f>IFERROR(INDEX(Est2017DistRev!G:G,MATCH($A18,Est2017DistRev!$A:$A,),1),)</f>
        <v>0</v>
      </c>
      <c r="AD18" s="752">
        <f>IFERROR(INDEX(Est2017DistRev!H:H,MATCH($A18,Est2017DistRev!$A:$A,),1),)</f>
        <v>0</v>
      </c>
      <c r="AE18" s="752">
        <f>IFERROR(INDEX(Est2017DistRev!I:I,MATCH($A18,Est2017DistRev!$A:$A,),1),)</f>
        <v>1.1100000000000001</v>
      </c>
      <c r="AF18" s="752">
        <f>IFERROR(INDEX(Est2017DistRev!J:J,MATCH($A18,Est2017DistRev!$A:$A,),1),)</f>
        <v>0</v>
      </c>
      <c r="AG18" s="752">
        <f>IFERROR(INDEX(Est2017DistRev!K:K,MATCH($A18,Est2017DistRev!$A:$A,),1),)</f>
        <v>0</v>
      </c>
      <c r="AH18" s="752">
        <f>IFERROR(INDEX(Est2017DistRev!L:L,MATCH($A18,Est2017DistRev!$A:$A,),1),)</f>
        <v>0</v>
      </c>
      <c r="AI18" s="752">
        <f>IFERROR(INDEX(Est2017DistRev!M:M,MATCH($A18,Est2017DistRev!$A:$A,),1),)</f>
        <v>0</v>
      </c>
      <c r="AJ18" s="752">
        <f>IFERROR(INDEX(Est2017DistRev!N:N,MATCH($A18,Est2017DistRev!$A:$A,),1),)</f>
        <v>0</v>
      </c>
      <c r="AK18" s="752">
        <f>IFERROR(INDEX(Est2017DistRev!O:O,MATCH($A18,Est2017DistRev!$A:$A,),1),)</f>
        <v>0</v>
      </c>
      <c r="AL18" s="752">
        <f>IFERROR(INDEX(Est2017DistRev!P:P,MATCH($A18,Est2017DistRev!$A:$A,),1),)</f>
        <v>0</v>
      </c>
      <c r="AM18" s="752">
        <f>IFERROR(INDEX(Est2017DistRev!Q:Q,MATCH($A18,Est2017DistRev!$A:$A,),1),)</f>
        <v>0</v>
      </c>
      <c r="AN18" s="752">
        <f>IFERROR(INDEX(Est2017DistRev!R:R,MATCH($A18,Est2017DistRev!$A:$A,),1),)</f>
        <v>0</v>
      </c>
      <c r="AO18" s="752">
        <f>IFERROR(INDEX(Est2017DistRev!S:S,MATCH($A18,Est2017DistRev!$A:$A,),1),)</f>
        <v>0</v>
      </c>
      <c r="AP18" s="752">
        <f>IFERROR(INDEX(Est2017DistRev!T:T,MATCH($A18,Est2017DistRev!$A:$A,),1),)</f>
        <v>0</v>
      </c>
      <c r="AQ18" s="752">
        <f>IFERROR(INDEX(Est2017DistRev!U:U,MATCH($A18,Est2017DistRev!$A:$A,),1),)</f>
        <v>0</v>
      </c>
      <c r="AR18" s="752">
        <f>IFERROR(INDEX(Est2017DistRev!V:V,MATCH($A18,Est2017DistRev!$A:$A,),1),)</f>
        <v>0</v>
      </c>
      <c r="AS18" s="752">
        <f>IFERROR(INDEX(Est2017DistRev!W:W,MATCH($A18,Est2017DistRev!$A:$A,),1),)</f>
        <v>0</v>
      </c>
      <c r="AT18" s="753">
        <f>IFERROR(INDEX(Est2017DistRev!X:X,MATCH($A18,Est2017DistRev!$A:$A,),1),)</f>
        <v>0</v>
      </c>
      <c r="AV18" s="773">
        <v>1081.4792179376586</v>
      </c>
      <c r="AW18" s="771">
        <v>0</v>
      </c>
      <c r="AX18" s="771">
        <v>0</v>
      </c>
      <c r="AY18" s="771">
        <v>0</v>
      </c>
      <c r="AZ18" s="771">
        <v>0</v>
      </c>
      <c r="BA18" s="771">
        <v>2219211.1923869113</v>
      </c>
      <c r="BB18" s="771">
        <v>0</v>
      </c>
      <c r="BC18" s="771">
        <v>0</v>
      </c>
      <c r="BD18" s="771">
        <v>0</v>
      </c>
      <c r="BE18" s="771">
        <v>0</v>
      </c>
      <c r="BF18" s="771">
        <v>0</v>
      </c>
      <c r="BG18" s="771">
        <v>0</v>
      </c>
      <c r="BH18" s="771">
        <v>0</v>
      </c>
      <c r="BI18" s="771">
        <v>0</v>
      </c>
      <c r="BJ18" s="771">
        <v>0</v>
      </c>
      <c r="BK18" s="771">
        <v>0</v>
      </c>
      <c r="BL18" s="771">
        <v>0</v>
      </c>
      <c r="BM18" s="771">
        <v>0</v>
      </c>
      <c r="BN18" s="771">
        <v>0</v>
      </c>
      <c r="BO18" s="771">
        <v>0</v>
      </c>
      <c r="BP18" s="772">
        <v>0</v>
      </c>
      <c r="BQ18" s="777"/>
      <c r="BR18" s="762">
        <f t="shared" si="5"/>
        <v>0</v>
      </c>
      <c r="BS18" s="763">
        <f t="shared" si="0"/>
        <v>0</v>
      </c>
      <c r="BT18" s="763">
        <f t="shared" si="0"/>
        <v>0</v>
      </c>
      <c r="BU18" s="763">
        <f t="shared" si="0"/>
        <v>0</v>
      </c>
      <c r="BV18" s="763">
        <f t="shared" si="0"/>
        <v>0</v>
      </c>
      <c r="BW18" s="763">
        <f t="shared" si="0"/>
        <v>30625.114454939376</v>
      </c>
      <c r="BX18" s="763">
        <f t="shared" si="0"/>
        <v>0</v>
      </c>
      <c r="BY18" s="763">
        <f t="shared" si="0"/>
        <v>0</v>
      </c>
      <c r="BZ18" s="763">
        <f t="shared" si="0"/>
        <v>0</v>
      </c>
      <c r="CA18" s="763">
        <f t="shared" si="6"/>
        <v>0</v>
      </c>
      <c r="CB18" s="763">
        <f t="shared" si="6"/>
        <v>0</v>
      </c>
      <c r="CC18" s="763">
        <f t="shared" si="6"/>
        <v>0</v>
      </c>
      <c r="CD18" s="763">
        <f t="shared" si="6"/>
        <v>0</v>
      </c>
      <c r="CE18" s="763">
        <f t="shared" si="7"/>
        <v>0</v>
      </c>
      <c r="CF18" s="763">
        <f t="shared" si="1"/>
        <v>0</v>
      </c>
      <c r="CG18" s="763">
        <f t="shared" si="1"/>
        <v>0</v>
      </c>
      <c r="CH18" s="763">
        <f t="shared" si="1"/>
        <v>0</v>
      </c>
      <c r="CI18" s="763">
        <f t="shared" si="1"/>
        <v>0</v>
      </c>
      <c r="CJ18" s="763">
        <f t="shared" si="1"/>
        <v>0</v>
      </c>
      <c r="CK18" s="763">
        <f t="shared" si="1"/>
        <v>0</v>
      </c>
      <c r="CL18" s="763">
        <f t="shared" si="1"/>
        <v>0</v>
      </c>
      <c r="CM18" s="757">
        <f t="shared" si="8"/>
        <v>30625.114454939376</v>
      </c>
      <c r="CO18" s="762">
        <f>Z18*Vol!D18</f>
        <v>0</v>
      </c>
      <c r="CP18" s="763">
        <f>AA18*Vol!E18/100</f>
        <v>0</v>
      </c>
      <c r="CQ18" s="763">
        <f>AB18*Vol!F18/100</f>
        <v>0</v>
      </c>
      <c r="CR18" s="763">
        <f>AC18*Vol!G18/100</f>
        <v>0</v>
      </c>
      <c r="CS18" s="763">
        <f>AD18*Vol!H18/100</f>
        <v>0</v>
      </c>
      <c r="CT18" s="763">
        <f>AE18*Vol!I18/100</f>
        <v>24633.24423549472</v>
      </c>
      <c r="CU18" s="763">
        <f>AF18*Vol!J18/100</f>
        <v>0</v>
      </c>
      <c r="CV18" s="763">
        <f>AG18*Vol!K18/100</f>
        <v>0</v>
      </c>
      <c r="CW18" s="763">
        <f>AH18*Vol!L18/100</f>
        <v>0</v>
      </c>
      <c r="CX18" s="763">
        <f>AI18*Vol!M18</f>
        <v>0</v>
      </c>
      <c r="CY18" s="763">
        <f>AJ18*Vol!N18</f>
        <v>0</v>
      </c>
      <c r="CZ18" s="763">
        <f>AK18*Vol!O18</f>
        <v>0</v>
      </c>
      <c r="DA18" s="763">
        <f>AL18*Vol!P18</f>
        <v>0</v>
      </c>
      <c r="DB18" s="763">
        <f>AM18*Vol!Q18/100</f>
        <v>0</v>
      </c>
      <c r="DC18" s="763">
        <f>AN18*Vol!R18/100</f>
        <v>0</v>
      </c>
      <c r="DD18" s="763">
        <f>AO18*Vol!S18/100</f>
        <v>0</v>
      </c>
      <c r="DE18" s="763">
        <f>AP18*Vol!T18/100</f>
        <v>0</v>
      </c>
      <c r="DF18" s="763">
        <f>AQ18*Vol!U18/100</f>
        <v>0</v>
      </c>
      <c r="DG18" s="763">
        <f>AR18*Vol!V18/100</f>
        <v>0</v>
      </c>
      <c r="DH18" s="763">
        <f>AS18*Vol!W18/100</f>
        <v>0</v>
      </c>
      <c r="DI18" s="763">
        <f>AT18*Vol!X18/100</f>
        <v>0</v>
      </c>
      <c r="DJ18" s="757">
        <f t="shared" si="4"/>
        <v>24633.24423549472</v>
      </c>
    </row>
    <row r="19" spans="1:114" s="748" customFormat="1">
      <c r="A19" s="748" t="s">
        <v>790</v>
      </c>
      <c r="B19" s="750" t="s">
        <v>596</v>
      </c>
      <c r="C19" s="750" t="s">
        <v>596</v>
      </c>
      <c r="D19" s="767">
        <v>85</v>
      </c>
      <c r="E19" s="768">
        <v>2.93</v>
      </c>
      <c r="F19" s="768">
        <v>0</v>
      </c>
      <c r="G19" s="768">
        <v>0</v>
      </c>
      <c r="H19" s="768">
        <v>0</v>
      </c>
      <c r="I19" s="768">
        <v>0</v>
      </c>
      <c r="J19" s="768">
        <v>0</v>
      </c>
      <c r="K19" s="768">
        <v>0</v>
      </c>
      <c r="L19" s="768">
        <v>0</v>
      </c>
      <c r="M19" s="768">
        <v>0</v>
      </c>
      <c r="N19" s="768">
        <v>0</v>
      </c>
      <c r="O19" s="768">
        <v>7.16</v>
      </c>
      <c r="P19" s="768">
        <v>2.4500000000000002</v>
      </c>
      <c r="Q19" s="768">
        <v>0</v>
      </c>
      <c r="R19" s="768">
        <v>0</v>
      </c>
      <c r="S19" s="768">
        <v>0</v>
      </c>
      <c r="T19" s="768">
        <v>0</v>
      </c>
      <c r="U19" s="768">
        <v>0</v>
      </c>
      <c r="V19" s="768">
        <v>0</v>
      </c>
      <c r="W19" s="768">
        <v>0</v>
      </c>
      <c r="X19" s="769">
        <v>0</v>
      </c>
      <c r="Z19" s="751">
        <f>IFERROR(INDEX(Est2017DistRev!D:D,MATCH($A19,Est2017DistRev!$A:$A,),1),)</f>
        <v>85</v>
      </c>
      <c r="AA19" s="752">
        <f>IFERROR(INDEX(Est2017DistRev!E:E,MATCH($A19,Est2017DistRev!$A:$A,),1),)</f>
        <v>2.54</v>
      </c>
      <c r="AB19" s="752">
        <f>IFERROR(INDEX(Est2017DistRev!F:F,MATCH($A19,Est2017DistRev!$A:$A,),1),)</f>
        <v>0</v>
      </c>
      <c r="AC19" s="752">
        <f>IFERROR(INDEX(Est2017DistRev!G:G,MATCH($A19,Est2017DistRev!$A:$A,),1),)</f>
        <v>0</v>
      </c>
      <c r="AD19" s="752">
        <f>IFERROR(INDEX(Est2017DistRev!H:H,MATCH($A19,Est2017DistRev!$A:$A,),1),)</f>
        <v>0</v>
      </c>
      <c r="AE19" s="752">
        <f>IFERROR(INDEX(Est2017DistRev!I:I,MATCH($A19,Est2017DistRev!$A:$A,),1),)</f>
        <v>0</v>
      </c>
      <c r="AF19" s="752">
        <f>IFERROR(INDEX(Est2017DistRev!J:J,MATCH($A19,Est2017DistRev!$A:$A,),1),)</f>
        <v>0</v>
      </c>
      <c r="AG19" s="752">
        <f>IFERROR(INDEX(Est2017DistRev!K:K,MATCH($A19,Est2017DistRev!$A:$A,),1),)</f>
        <v>0</v>
      </c>
      <c r="AH19" s="752">
        <f>IFERROR(INDEX(Est2017DistRev!L:L,MATCH($A19,Est2017DistRev!$A:$A,),1),)</f>
        <v>0</v>
      </c>
      <c r="AI19" s="752">
        <f>IFERROR(INDEX(Est2017DistRev!M:M,MATCH($A19,Est2017DistRev!$A:$A,),1),)</f>
        <v>0</v>
      </c>
      <c r="AJ19" s="752">
        <f>IFERROR(INDEX(Est2017DistRev!N:N,MATCH($A19,Est2017DistRev!$A:$A,),1),)</f>
        <v>0</v>
      </c>
      <c r="AK19" s="752">
        <f>IFERROR(INDEX(Est2017DistRev!O:O,MATCH($A19,Est2017DistRev!$A:$A,),1),)</f>
        <v>6.19</v>
      </c>
      <c r="AL19" s="752">
        <f>IFERROR(INDEX(Est2017DistRev!P:P,MATCH($A19,Est2017DistRev!$A:$A,),1),)</f>
        <v>2.12</v>
      </c>
      <c r="AM19" s="752">
        <f>IFERROR(INDEX(Est2017DistRev!Q:Q,MATCH($A19,Est2017DistRev!$A:$A,),1),)</f>
        <v>0</v>
      </c>
      <c r="AN19" s="752">
        <f>IFERROR(INDEX(Est2017DistRev!R:R,MATCH($A19,Est2017DistRev!$A:$A,),1),)</f>
        <v>0</v>
      </c>
      <c r="AO19" s="752">
        <f>IFERROR(INDEX(Est2017DistRev!S:S,MATCH($A19,Est2017DistRev!$A:$A,),1),)</f>
        <v>0</v>
      </c>
      <c r="AP19" s="752">
        <f>IFERROR(INDEX(Est2017DistRev!T:T,MATCH($A19,Est2017DistRev!$A:$A,),1),)</f>
        <v>0</v>
      </c>
      <c r="AQ19" s="752">
        <f>IFERROR(INDEX(Est2017DistRev!U:U,MATCH($A19,Est2017DistRev!$A:$A,),1),)</f>
        <v>0</v>
      </c>
      <c r="AR19" s="752">
        <f>IFERROR(INDEX(Est2017DistRev!V:V,MATCH($A19,Est2017DistRev!$A:$A,),1),)</f>
        <v>0</v>
      </c>
      <c r="AS19" s="752">
        <f>IFERROR(INDEX(Est2017DistRev!W:W,MATCH($A19,Est2017DistRev!$A:$A,),1),)</f>
        <v>0</v>
      </c>
      <c r="AT19" s="753">
        <f>IFERROR(INDEX(Est2017DistRev!X:X,MATCH($A19,Est2017DistRev!$A:$A,),1),)</f>
        <v>0</v>
      </c>
      <c r="AV19" s="773">
        <v>5</v>
      </c>
      <c r="AW19" s="771">
        <v>27500</v>
      </c>
      <c r="AX19" s="771">
        <v>0</v>
      </c>
      <c r="AY19" s="771">
        <v>0</v>
      </c>
      <c r="AZ19" s="771">
        <v>0</v>
      </c>
      <c r="BA19" s="771">
        <v>0</v>
      </c>
      <c r="BB19" s="771">
        <v>0</v>
      </c>
      <c r="BC19" s="771">
        <v>0</v>
      </c>
      <c r="BD19" s="771">
        <v>0</v>
      </c>
      <c r="BE19" s="771">
        <v>0</v>
      </c>
      <c r="BF19" s="771">
        <v>0</v>
      </c>
      <c r="BG19" s="771">
        <v>62.785388127853878</v>
      </c>
      <c r="BH19" s="771">
        <v>100.45662100456622</v>
      </c>
      <c r="BI19" s="771">
        <v>0</v>
      </c>
      <c r="BJ19" s="771">
        <v>0</v>
      </c>
      <c r="BK19" s="771">
        <v>0</v>
      </c>
      <c r="BL19" s="771">
        <v>0</v>
      </c>
      <c r="BM19" s="771">
        <v>0</v>
      </c>
      <c r="BN19" s="771">
        <v>0</v>
      </c>
      <c r="BO19" s="771">
        <v>0</v>
      </c>
      <c r="BP19" s="772">
        <v>0</v>
      </c>
      <c r="BQ19" s="777"/>
      <c r="BR19" s="762">
        <f t="shared" si="5"/>
        <v>425</v>
      </c>
      <c r="BS19" s="763">
        <f t="shared" si="0"/>
        <v>805.75000000000011</v>
      </c>
      <c r="BT19" s="763">
        <f t="shared" si="0"/>
        <v>0</v>
      </c>
      <c r="BU19" s="763">
        <f t="shared" si="0"/>
        <v>0</v>
      </c>
      <c r="BV19" s="763">
        <f t="shared" si="0"/>
        <v>0</v>
      </c>
      <c r="BW19" s="763">
        <f t="shared" si="0"/>
        <v>0</v>
      </c>
      <c r="BX19" s="763">
        <f t="shared" si="0"/>
        <v>0</v>
      </c>
      <c r="BY19" s="763">
        <f t="shared" si="0"/>
        <v>0</v>
      </c>
      <c r="BZ19" s="763">
        <f t="shared" si="0"/>
        <v>0</v>
      </c>
      <c r="CA19" s="763">
        <f t="shared" si="6"/>
        <v>0</v>
      </c>
      <c r="CB19" s="763">
        <f t="shared" si="6"/>
        <v>0</v>
      </c>
      <c r="CC19" s="763">
        <f t="shared" si="6"/>
        <v>449.54337899543378</v>
      </c>
      <c r="CD19" s="763">
        <f t="shared" si="6"/>
        <v>246.11872146118725</v>
      </c>
      <c r="CE19" s="763">
        <f t="shared" si="7"/>
        <v>0</v>
      </c>
      <c r="CF19" s="763">
        <f t="shared" si="1"/>
        <v>0</v>
      </c>
      <c r="CG19" s="763">
        <f t="shared" si="1"/>
        <v>0</v>
      </c>
      <c r="CH19" s="763">
        <f t="shared" si="1"/>
        <v>0</v>
      </c>
      <c r="CI19" s="763">
        <f t="shared" si="1"/>
        <v>0</v>
      </c>
      <c r="CJ19" s="763">
        <f t="shared" si="1"/>
        <v>0</v>
      </c>
      <c r="CK19" s="763">
        <f t="shared" si="1"/>
        <v>0</v>
      </c>
      <c r="CL19" s="763">
        <f t="shared" si="1"/>
        <v>0</v>
      </c>
      <c r="CM19" s="757">
        <f t="shared" si="8"/>
        <v>1926.4121004566211</v>
      </c>
      <c r="CO19" s="762">
        <f>Z19*Vol!D19</f>
        <v>425</v>
      </c>
      <c r="CP19" s="763">
        <f>AA19*Vol!E19/100</f>
        <v>698.5</v>
      </c>
      <c r="CQ19" s="763">
        <f>AB19*Vol!F19/100</f>
        <v>0</v>
      </c>
      <c r="CR19" s="763">
        <f>AC19*Vol!G19/100</f>
        <v>0</v>
      </c>
      <c r="CS19" s="763">
        <f>AD19*Vol!H19/100</f>
        <v>0</v>
      </c>
      <c r="CT19" s="763">
        <f>AE19*Vol!I19/100</f>
        <v>0</v>
      </c>
      <c r="CU19" s="763">
        <f>AF19*Vol!J19/100</f>
        <v>0</v>
      </c>
      <c r="CV19" s="763">
        <f>AG19*Vol!K19/100</f>
        <v>0</v>
      </c>
      <c r="CW19" s="763">
        <f>AH19*Vol!L19/100</f>
        <v>0</v>
      </c>
      <c r="CX19" s="763">
        <f>AI19*Vol!M19</f>
        <v>0</v>
      </c>
      <c r="CY19" s="763">
        <f>AJ19*Vol!N19</f>
        <v>0</v>
      </c>
      <c r="CZ19" s="763">
        <f>AK19*Vol!O19</f>
        <v>388.64155251141551</v>
      </c>
      <c r="DA19" s="763">
        <f>AL19*Vol!P19</f>
        <v>212.96803652968038</v>
      </c>
      <c r="DB19" s="763">
        <f>AM19*Vol!Q19/100</f>
        <v>0</v>
      </c>
      <c r="DC19" s="763">
        <f>AN19*Vol!R19/100</f>
        <v>0</v>
      </c>
      <c r="DD19" s="763">
        <f>AO19*Vol!S19/100</f>
        <v>0</v>
      </c>
      <c r="DE19" s="763">
        <f>AP19*Vol!T19/100</f>
        <v>0</v>
      </c>
      <c r="DF19" s="763">
        <f>AQ19*Vol!U19/100</f>
        <v>0</v>
      </c>
      <c r="DG19" s="763">
        <f>AR19*Vol!V19/100</f>
        <v>0</v>
      </c>
      <c r="DH19" s="763">
        <f>AS19*Vol!W19/100</f>
        <v>0</v>
      </c>
      <c r="DI19" s="763">
        <f>AT19*Vol!X19/100</f>
        <v>0</v>
      </c>
      <c r="DJ19" s="757">
        <f t="shared" si="4"/>
        <v>1725.1095890410959</v>
      </c>
    </row>
    <row r="20" spans="1:114" s="748" customFormat="1">
      <c r="A20" s="748" t="s">
        <v>791</v>
      </c>
      <c r="B20" s="750" t="s">
        <v>597</v>
      </c>
      <c r="C20" s="750" t="s">
        <v>597</v>
      </c>
      <c r="D20" s="767">
        <v>75</v>
      </c>
      <c r="E20" s="768">
        <v>1.85</v>
      </c>
      <c r="F20" s="768">
        <v>0</v>
      </c>
      <c r="G20" s="768">
        <v>0</v>
      </c>
      <c r="H20" s="768">
        <v>0</v>
      </c>
      <c r="I20" s="768">
        <v>0</v>
      </c>
      <c r="J20" s="768">
        <v>0</v>
      </c>
      <c r="K20" s="768">
        <v>0</v>
      </c>
      <c r="L20" s="768">
        <v>0</v>
      </c>
      <c r="M20" s="768">
        <v>0</v>
      </c>
      <c r="N20" s="768">
        <v>0</v>
      </c>
      <c r="O20" s="768">
        <v>5.24</v>
      </c>
      <c r="P20" s="768">
        <v>1.75</v>
      </c>
      <c r="Q20" s="768">
        <v>0</v>
      </c>
      <c r="R20" s="768">
        <v>0</v>
      </c>
      <c r="S20" s="768">
        <v>0</v>
      </c>
      <c r="T20" s="768">
        <v>0</v>
      </c>
      <c r="U20" s="768">
        <v>0</v>
      </c>
      <c r="V20" s="768">
        <v>0</v>
      </c>
      <c r="W20" s="768">
        <v>0</v>
      </c>
      <c r="X20" s="769">
        <v>0</v>
      </c>
      <c r="Z20" s="751">
        <f>IFERROR(INDEX(Est2017DistRev!D:D,MATCH($A20,Est2017DistRev!$A:$A,),1),)</f>
        <v>75</v>
      </c>
      <c r="AA20" s="752">
        <f>IFERROR(INDEX(Est2017DistRev!E:E,MATCH($A20,Est2017DistRev!$A:$A,),1),)</f>
        <v>1.6</v>
      </c>
      <c r="AB20" s="752">
        <f>IFERROR(INDEX(Est2017DistRev!F:F,MATCH($A20,Est2017DistRev!$A:$A,),1),)</f>
        <v>0</v>
      </c>
      <c r="AC20" s="752">
        <f>IFERROR(INDEX(Est2017DistRev!G:G,MATCH($A20,Est2017DistRev!$A:$A,),1),)</f>
        <v>0</v>
      </c>
      <c r="AD20" s="752">
        <f>IFERROR(INDEX(Est2017DistRev!H:H,MATCH($A20,Est2017DistRev!$A:$A,),1),)</f>
        <v>0</v>
      </c>
      <c r="AE20" s="752">
        <f>IFERROR(INDEX(Est2017DistRev!I:I,MATCH($A20,Est2017DistRev!$A:$A,),1),)</f>
        <v>0</v>
      </c>
      <c r="AF20" s="752">
        <f>IFERROR(INDEX(Est2017DistRev!J:J,MATCH($A20,Est2017DistRev!$A:$A,),1),)</f>
        <v>0</v>
      </c>
      <c r="AG20" s="752">
        <f>IFERROR(INDEX(Est2017DistRev!K:K,MATCH($A20,Est2017DistRev!$A:$A,),1),)</f>
        <v>0</v>
      </c>
      <c r="AH20" s="752">
        <f>IFERROR(INDEX(Est2017DistRev!L:L,MATCH($A20,Est2017DistRev!$A:$A,),1),)</f>
        <v>0</v>
      </c>
      <c r="AI20" s="752">
        <f>IFERROR(INDEX(Est2017DistRev!M:M,MATCH($A20,Est2017DistRev!$A:$A,),1),)</f>
        <v>0</v>
      </c>
      <c r="AJ20" s="752">
        <f>IFERROR(INDEX(Est2017DistRev!N:N,MATCH($A20,Est2017DistRev!$A:$A,),1),)</f>
        <v>0</v>
      </c>
      <c r="AK20" s="752">
        <f>IFERROR(INDEX(Est2017DistRev!O:O,MATCH($A20,Est2017DistRev!$A:$A,),1),)</f>
        <v>4.53</v>
      </c>
      <c r="AL20" s="752">
        <f>IFERROR(INDEX(Est2017DistRev!P:P,MATCH($A20,Est2017DistRev!$A:$A,),1),)</f>
        <v>1.51</v>
      </c>
      <c r="AM20" s="752">
        <f>IFERROR(INDEX(Est2017DistRev!Q:Q,MATCH($A20,Est2017DistRev!$A:$A,),1),)</f>
        <v>0</v>
      </c>
      <c r="AN20" s="752">
        <f>IFERROR(INDEX(Est2017DistRev!R:R,MATCH($A20,Est2017DistRev!$A:$A,),1),)</f>
        <v>0</v>
      </c>
      <c r="AO20" s="752">
        <f>IFERROR(INDEX(Est2017DistRev!S:S,MATCH($A20,Est2017DistRev!$A:$A,),1),)</f>
        <v>0</v>
      </c>
      <c r="AP20" s="752">
        <f>IFERROR(INDEX(Est2017DistRev!T:T,MATCH($A20,Est2017DistRev!$A:$A,),1),)</f>
        <v>0</v>
      </c>
      <c r="AQ20" s="752">
        <f>IFERROR(INDEX(Est2017DistRev!U:U,MATCH($A20,Est2017DistRev!$A:$A,),1),)</f>
        <v>0</v>
      </c>
      <c r="AR20" s="752">
        <f>IFERROR(INDEX(Est2017DistRev!V:V,MATCH($A20,Est2017DistRev!$A:$A,),1),)</f>
        <v>0</v>
      </c>
      <c r="AS20" s="752">
        <f>IFERROR(INDEX(Est2017DistRev!W:W,MATCH($A20,Est2017DistRev!$A:$A,),1),)</f>
        <v>0</v>
      </c>
      <c r="AT20" s="753">
        <f>IFERROR(INDEX(Est2017DistRev!X:X,MATCH($A20,Est2017DistRev!$A:$A,),1),)</f>
        <v>0</v>
      </c>
      <c r="AV20" s="773">
        <v>1</v>
      </c>
      <c r="AW20" s="771">
        <v>5500</v>
      </c>
      <c r="AX20" s="771">
        <v>0</v>
      </c>
      <c r="AY20" s="771">
        <v>0</v>
      </c>
      <c r="AZ20" s="771">
        <v>0</v>
      </c>
      <c r="BA20" s="771">
        <v>0</v>
      </c>
      <c r="BB20" s="771">
        <v>0</v>
      </c>
      <c r="BC20" s="771">
        <v>0</v>
      </c>
      <c r="BD20" s="771">
        <v>0</v>
      </c>
      <c r="BE20" s="771">
        <v>0</v>
      </c>
      <c r="BF20" s="771">
        <v>0</v>
      </c>
      <c r="BG20" s="771">
        <v>12.557077625570775</v>
      </c>
      <c r="BH20" s="771">
        <v>20.091324200913242</v>
      </c>
      <c r="BI20" s="771">
        <v>0</v>
      </c>
      <c r="BJ20" s="771">
        <v>0</v>
      </c>
      <c r="BK20" s="771">
        <v>0</v>
      </c>
      <c r="BL20" s="771">
        <v>0</v>
      </c>
      <c r="BM20" s="771">
        <v>0</v>
      </c>
      <c r="BN20" s="771">
        <v>0</v>
      </c>
      <c r="BO20" s="771">
        <v>0</v>
      </c>
      <c r="BP20" s="772">
        <v>0</v>
      </c>
      <c r="BQ20" s="777"/>
      <c r="BR20" s="762">
        <f t="shared" si="5"/>
        <v>75</v>
      </c>
      <c r="BS20" s="763">
        <f t="shared" si="0"/>
        <v>101.75000000000001</v>
      </c>
      <c r="BT20" s="763">
        <f t="shared" si="0"/>
        <v>0</v>
      </c>
      <c r="BU20" s="763">
        <f t="shared" si="0"/>
        <v>0</v>
      </c>
      <c r="BV20" s="763">
        <f t="shared" si="0"/>
        <v>0</v>
      </c>
      <c r="BW20" s="763">
        <f t="shared" si="0"/>
        <v>0</v>
      </c>
      <c r="BX20" s="763">
        <f t="shared" si="0"/>
        <v>0</v>
      </c>
      <c r="BY20" s="763">
        <f t="shared" si="0"/>
        <v>0</v>
      </c>
      <c r="BZ20" s="763">
        <f t="shared" si="0"/>
        <v>0</v>
      </c>
      <c r="CA20" s="763">
        <f t="shared" si="6"/>
        <v>0</v>
      </c>
      <c r="CB20" s="763">
        <f t="shared" si="6"/>
        <v>0</v>
      </c>
      <c r="CC20" s="763">
        <f t="shared" si="6"/>
        <v>65.799086757990864</v>
      </c>
      <c r="CD20" s="763">
        <f t="shared" si="6"/>
        <v>35.159817351598171</v>
      </c>
      <c r="CE20" s="763">
        <f t="shared" si="7"/>
        <v>0</v>
      </c>
      <c r="CF20" s="763">
        <f t="shared" si="1"/>
        <v>0</v>
      </c>
      <c r="CG20" s="763">
        <f t="shared" si="1"/>
        <v>0</v>
      </c>
      <c r="CH20" s="763">
        <f t="shared" si="1"/>
        <v>0</v>
      </c>
      <c r="CI20" s="763">
        <f t="shared" si="1"/>
        <v>0</v>
      </c>
      <c r="CJ20" s="763">
        <f t="shared" si="1"/>
        <v>0</v>
      </c>
      <c r="CK20" s="763">
        <f t="shared" si="1"/>
        <v>0</v>
      </c>
      <c r="CL20" s="763">
        <f t="shared" si="1"/>
        <v>0</v>
      </c>
      <c r="CM20" s="757">
        <f t="shared" si="8"/>
        <v>277.70890410958901</v>
      </c>
      <c r="CO20" s="762">
        <f>Z20*Vol!D20</f>
        <v>75</v>
      </c>
      <c r="CP20" s="763">
        <f>AA20*Vol!E20/100</f>
        <v>88</v>
      </c>
      <c r="CQ20" s="763">
        <f>AB20*Vol!F20/100</f>
        <v>0</v>
      </c>
      <c r="CR20" s="763">
        <f>AC20*Vol!G20/100</f>
        <v>0</v>
      </c>
      <c r="CS20" s="763">
        <f>AD20*Vol!H20/100</f>
        <v>0</v>
      </c>
      <c r="CT20" s="763">
        <f>AE20*Vol!I20/100</f>
        <v>0</v>
      </c>
      <c r="CU20" s="763">
        <f>AF20*Vol!J20/100</f>
        <v>0</v>
      </c>
      <c r="CV20" s="763">
        <f>AG20*Vol!K20/100</f>
        <v>0</v>
      </c>
      <c r="CW20" s="763">
        <f>AH20*Vol!L20/100</f>
        <v>0</v>
      </c>
      <c r="CX20" s="763">
        <f>AI20*Vol!M20</f>
        <v>0</v>
      </c>
      <c r="CY20" s="763">
        <f>AJ20*Vol!N20</f>
        <v>0</v>
      </c>
      <c r="CZ20" s="763">
        <f>AK20*Vol!O20</f>
        <v>56.883561643835613</v>
      </c>
      <c r="DA20" s="763">
        <f>AL20*Vol!P20</f>
        <v>30.337899543378995</v>
      </c>
      <c r="DB20" s="763">
        <f>AM20*Vol!Q20/100</f>
        <v>0</v>
      </c>
      <c r="DC20" s="763">
        <f>AN20*Vol!R20/100</f>
        <v>0</v>
      </c>
      <c r="DD20" s="763">
        <f>AO20*Vol!S20/100</f>
        <v>0</v>
      </c>
      <c r="DE20" s="763">
        <f>AP20*Vol!T20/100</f>
        <v>0</v>
      </c>
      <c r="DF20" s="763">
        <f>AQ20*Vol!U20/100</f>
        <v>0</v>
      </c>
      <c r="DG20" s="763">
        <f>AR20*Vol!V20/100</f>
        <v>0</v>
      </c>
      <c r="DH20" s="763">
        <f>AS20*Vol!W20/100</f>
        <v>0</v>
      </c>
      <c r="DI20" s="763">
        <f>AT20*Vol!X20/100</f>
        <v>0</v>
      </c>
      <c r="DJ20" s="757">
        <f t="shared" si="4"/>
        <v>250.2214611872146</v>
      </c>
    </row>
    <row r="21" spans="1:114" s="748" customFormat="1">
      <c r="A21" s="748" t="s">
        <v>792</v>
      </c>
      <c r="B21" s="750" t="s">
        <v>558</v>
      </c>
      <c r="C21" s="750" t="s">
        <v>558</v>
      </c>
      <c r="D21" s="767">
        <v>145</v>
      </c>
      <c r="E21" s="768">
        <v>6.05</v>
      </c>
      <c r="F21" s="768">
        <v>0</v>
      </c>
      <c r="G21" s="768">
        <v>0</v>
      </c>
      <c r="H21" s="768">
        <v>0</v>
      </c>
      <c r="I21" s="768">
        <v>0</v>
      </c>
      <c r="J21" s="768">
        <v>0</v>
      </c>
      <c r="K21" s="768">
        <v>0</v>
      </c>
      <c r="L21" s="768">
        <v>0</v>
      </c>
      <c r="M21" s="768">
        <v>0</v>
      </c>
      <c r="N21" s="768">
        <v>0</v>
      </c>
      <c r="O21" s="768">
        <v>0</v>
      </c>
      <c r="P21" s="768">
        <v>0</v>
      </c>
      <c r="Q21" s="768">
        <v>0</v>
      </c>
      <c r="R21" s="768">
        <v>0</v>
      </c>
      <c r="S21" s="768">
        <v>0</v>
      </c>
      <c r="T21" s="768">
        <v>0</v>
      </c>
      <c r="U21" s="768">
        <v>0</v>
      </c>
      <c r="V21" s="768">
        <v>0</v>
      </c>
      <c r="W21" s="768">
        <v>0</v>
      </c>
      <c r="X21" s="769">
        <v>0</v>
      </c>
      <c r="Z21" s="751">
        <f>IFERROR(INDEX(Est2017DistRev!D:D,MATCH($A21,Est2017DistRev!$A:$A,),1),)</f>
        <v>140</v>
      </c>
      <c r="AA21" s="752">
        <f>IFERROR(INDEX(Est2017DistRev!E:E,MATCH($A21,Est2017DistRev!$A:$A,),1),)</f>
        <v>5.49</v>
      </c>
      <c r="AB21" s="752">
        <f>IFERROR(INDEX(Est2017DistRev!F:F,MATCH($A21,Est2017DistRev!$A:$A,),1),)</f>
        <v>0</v>
      </c>
      <c r="AC21" s="752">
        <f>IFERROR(INDEX(Est2017DistRev!G:G,MATCH($A21,Est2017DistRev!$A:$A,),1),)</f>
        <v>0</v>
      </c>
      <c r="AD21" s="752">
        <f>IFERROR(INDEX(Est2017DistRev!H:H,MATCH($A21,Est2017DistRev!$A:$A,),1),)</f>
        <v>0</v>
      </c>
      <c r="AE21" s="752">
        <f>IFERROR(INDEX(Est2017DistRev!I:I,MATCH($A21,Est2017DistRev!$A:$A,),1),)</f>
        <v>0</v>
      </c>
      <c r="AF21" s="752">
        <f>IFERROR(INDEX(Est2017DistRev!J:J,MATCH($A21,Est2017DistRev!$A:$A,),1),)</f>
        <v>0</v>
      </c>
      <c r="AG21" s="752">
        <f>IFERROR(INDEX(Est2017DistRev!K:K,MATCH($A21,Est2017DistRev!$A:$A,),1),)</f>
        <v>0</v>
      </c>
      <c r="AH21" s="752">
        <f>IFERROR(INDEX(Est2017DistRev!L:L,MATCH($A21,Est2017DistRev!$A:$A,),1),)</f>
        <v>0</v>
      </c>
      <c r="AI21" s="752">
        <f>IFERROR(INDEX(Est2017DistRev!M:M,MATCH($A21,Est2017DistRev!$A:$A,),1),)</f>
        <v>0</v>
      </c>
      <c r="AJ21" s="752">
        <f>IFERROR(INDEX(Est2017DistRev!N:N,MATCH($A21,Est2017DistRev!$A:$A,),1),)</f>
        <v>0</v>
      </c>
      <c r="AK21" s="752">
        <f>IFERROR(INDEX(Est2017DistRev!O:O,MATCH($A21,Est2017DistRev!$A:$A,),1),)</f>
        <v>0</v>
      </c>
      <c r="AL21" s="752">
        <f>IFERROR(INDEX(Est2017DistRev!P:P,MATCH($A21,Est2017DistRev!$A:$A,),1),)</f>
        <v>0</v>
      </c>
      <c r="AM21" s="752">
        <f>IFERROR(INDEX(Est2017DistRev!Q:Q,MATCH($A21,Est2017DistRev!$A:$A,),1),)</f>
        <v>0</v>
      </c>
      <c r="AN21" s="752">
        <f>IFERROR(INDEX(Est2017DistRev!R:R,MATCH($A21,Est2017DistRev!$A:$A,),1),)</f>
        <v>0</v>
      </c>
      <c r="AO21" s="752">
        <f>IFERROR(INDEX(Est2017DistRev!S:S,MATCH($A21,Est2017DistRev!$A:$A,),1),)</f>
        <v>0</v>
      </c>
      <c r="AP21" s="752">
        <f>IFERROR(INDEX(Est2017DistRev!T:T,MATCH($A21,Est2017DistRev!$A:$A,),1),)</f>
        <v>0</v>
      </c>
      <c r="AQ21" s="752">
        <f>IFERROR(INDEX(Est2017DistRev!U:U,MATCH($A21,Est2017DistRev!$A:$A,),1),)</f>
        <v>0</v>
      </c>
      <c r="AR21" s="752">
        <f>IFERROR(INDEX(Est2017DistRev!V:V,MATCH($A21,Est2017DistRev!$A:$A,),1),)</f>
        <v>0</v>
      </c>
      <c r="AS21" s="752">
        <f>IFERROR(INDEX(Est2017DistRev!W:W,MATCH($A21,Est2017DistRev!$A:$A,),1),)</f>
        <v>0</v>
      </c>
      <c r="AT21" s="753">
        <f>IFERROR(INDEX(Est2017DistRev!X:X,MATCH($A21,Est2017DistRev!$A:$A,),1),)</f>
        <v>0</v>
      </c>
      <c r="AV21" s="773">
        <v>18214.931992410631</v>
      </c>
      <c r="AW21" s="771">
        <v>220224546.95765957</v>
      </c>
      <c r="AX21" s="771">
        <v>0</v>
      </c>
      <c r="AY21" s="771">
        <v>0</v>
      </c>
      <c r="AZ21" s="771">
        <v>0</v>
      </c>
      <c r="BA21" s="771">
        <v>0</v>
      </c>
      <c r="BB21" s="771">
        <v>0</v>
      </c>
      <c r="BC21" s="771">
        <v>0</v>
      </c>
      <c r="BD21" s="771">
        <v>0</v>
      </c>
      <c r="BE21" s="771">
        <v>0</v>
      </c>
      <c r="BF21" s="771">
        <v>0</v>
      </c>
      <c r="BG21" s="771">
        <v>0</v>
      </c>
      <c r="BH21" s="771">
        <v>0</v>
      </c>
      <c r="BI21" s="771">
        <v>0</v>
      </c>
      <c r="BJ21" s="771">
        <v>0</v>
      </c>
      <c r="BK21" s="771">
        <v>0</v>
      </c>
      <c r="BL21" s="771">
        <v>0</v>
      </c>
      <c r="BM21" s="771">
        <v>0</v>
      </c>
      <c r="BN21" s="771">
        <v>0</v>
      </c>
      <c r="BO21" s="771">
        <v>0</v>
      </c>
      <c r="BP21" s="772">
        <v>0</v>
      </c>
      <c r="BQ21" s="777"/>
      <c r="BR21" s="762">
        <f t="shared" si="5"/>
        <v>2641165.1388995415</v>
      </c>
      <c r="BS21" s="763">
        <f t="shared" si="0"/>
        <v>13323585.090938404</v>
      </c>
      <c r="BT21" s="763">
        <f t="shared" si="0"/>
        <v>0</v>
      </c>
      <c r="BU21" s="763">
        <f t="shared" si="0"/>
        <v>0</v>
      </c>
      <c r="BV21" s="763">
        <f t="shared" si="0"/>
        <v>0</v>
      </c>
      <c r="BW21" s="763">
        <f t="shared" si="0"/>
        <v>0</v>
      </c>
      <c r="BX21" s="763">
        <f t="shared" si="0"/>
        <v>0</v>
      </c>
      <c r="BY21" s="763">
        <f t="shared" si="0"/>
        <v>0</v>
      </c>
      <c r="BZ21" s="763">
        <f t="shared" si="0"/>
        <v>0</v>
      </c>
      <c r="CA21" s="763">
        <f t="shared" si="6"/>
        <v>0</v>
      </c>
      <c r="CB21" s="763">
        <f t="shared" si="6"/>
        <v>0</v>
      </c>
      <c r="CC21" s="763">
        <f t="shared" si="6"/>
        <v>0</v>
      </c>
      <c r="CD21" s="763">
        <f t="shared" si="6"/>
        <v>0</v>
      </c>
      <c r="CE21" s="763">
        <f t="shared" si="7"/>
        <v>0</v>
      </c>
      <c r="CF21" s="763">
        <f t="shared" si="1"/>
        <v>0</v>
      </c>
      <c r="CG21" s="763">
        <f t="shared" si="1"/>
        <v>0</v>
      </c>
      <c r="CH21" s="763">
        <f t="shared" si="1"/>
        <v>0</v>
      </c>
      <c r="CI21" s="763">
        <f t="shared" si="1"/>
        <v>0</v>
      </c>
      <c r="CJ21" s="763">
        <f t="shared" si="1"/>
        <v>0</v>
      </c>
      <c r="CK21" s="763">
        <f t="shared" si="1"/>
        <v>0</v>
      </c>
      <c r="CL21" s="763">
        <f t="shared" si="1"/>
        <v>0</v>
      </c>
      <c r="CM21" s="757">
        <f t="shared" si="8"/>
        <v>15964750.229837947</v>
      </c>
      <c r="CO21" s="762">
        <f>Z21*Vol!D21</f>
        <v>2550090.4789374885</v>
      </c>
      <c r="CP21" s="763">
        <f>AA21*Vol!E21/100</f>
        <v>12090327.627975512</v>
      </c>
      <c r="CQ21" s="763">
        <f>AB21*Vol!F21/100</f>
        <v>0</v>
      </c>
      <c r="CR21" s="763">
        <f>AC21*Vol!G21/100</f>
        <v>0</v>
      </c>
      <c r="CS21" s="763">
        <f>AD21*Vol!H21/100</f>
        <v>0</v>
      </c>
      <c r="CT21" s="763">
        <f>AE21*Vol!I21/100</f>
        <v>0</v>
      </c>
      <c r="CU21" s="763">
        <f>AF21*Vol!J21/100</f>
        <v>0</v>
      </c>
      <c r="CV21" s="763">
        <f>AG21*Vol!K21/100</f>
        <v>0</v>
      </c>
      <c r="CW21" s="763">
        <f>AH21*Vol!L21/100</f>
        <v>0</v>
      </c>
      <c r="CX21" s="763">
        <f>AI21*Vol!M21</f>
        <v>0</v>
      </c>
      <c r="CY21" s="763">
        <f>AJ21*Vol!N21</f>
        <v>0</v>
      </c>
      <c r="CZ21" s="763">
        <f>AK21*Vol!O21</f>
        <v>0</v>
      </c>
      <c r="DA21" s="763">
        <f>AL21*Vol!P21</f>
        <v>0</v>
      </c>
      <c r="DB21" s="763">
        <f>AM21*Vol!Q21/100</f>
        <v>0</v>
      </c>
      <c r="DC21" s="763">
        <f>AN21*Vol!R21/100</f>
        <v>0</v>
      </c>
      <c r="DD21" s="763">
        <f>AO21*Vol!S21/100</f>
        <v>0</v>
      </c>
      <c r="DE21" s="763">
        <f>AP21*Vol!T21/100</f>
        <v>0</v>
      </c>
      <c r="DF21" s="763">
        <f>AQ21*Vol!U21/100</f>
        <v>0</v>
      </c>
      <c r="DG21" s="763">
        <f>AR21*Vol!V21/100</f>
        <v>0</v>
      </c>
      <c r="DH21" s="763">
        <f>AS21*Vol!W21/100</f>
        <v>0</v>
      </c>
      <c r="DI21" s="763">
        <f>AT21*Vol!X21/100</f>
        <v>0</v>
      </c>
      <c r="DJ21" s="757">
        <f t="shared" si="4"/>
        <v>14640418.106913</v>
      </c>
    </row>
    <row r="22" spans="1:114" s="748" customFormat="1">
      <c r="A22" s="748" t="s">
        <v>793</v>
      </c>
      <c r="B22" s="750" t="s">
        <v>559</v>
      </c>
      <c r="C22" s="750" t="s">
        <v>559</v>
      </c>
      <c r="D22" s="767">
        <v>125</v>
      </c>
      <c r="E22" s="768">
        <v>4.6399999999999997</v>
      </c>
      <c r="F22" s="768">
        <v>0</v>
      </c>
      <c r="G22" s="768">
        <v>0</v>
      </c>
      <c r="H22" s="768">
        <v>0</v>
      </c>
      <c r="I22" s="768">
        <v>0</v>
      </c>
      <c r="J22" s="768">
        <v>0</v>
      </c>
      <c r="K22" s="768">
        <v>0</v>
      </c>
      <c r="L22" s="768">
        <v>0</v>
      </c>
      <c r="M22" s="768">
        <v>0</v>
      </c>
      <c r="N22" s="768">
        <v>0</v>
      </c>
      <c r="O22" s="768">
        <v>0</v>
      </c>
      <c r="P22" s="768">
        <v>0</v>
      </c>
      <c r="Q22" s="768">
        <v>0</v>
      </c>
      <c r="R22" s="768">
        <v>0</v>
      </c>
      <c r="S22" s="768">
        <v>0</v>
      </c>
      <c r="T22" s="768">
        <v>0</v>
      </c>
      <c r="U22" s="768">
        <v>0</v>
      </c>
      <c r="V22" s="768">
        <v>0</v>
      </c>
      <c r="W22" s="768">
        <v>0</v>
      </c>
      <c r="X22" s="769">
        <v>0</v>
      </c>
      <c r="Z22" s="751">
        <f>IFERROR(INDEX(Est2017DistRev!D:D,MATCH($A22,Est2017DistRev!$A:$A,),1),)</f>
        <v>120</v>
      </c>
      <c r="AA22" s="752">
        <f>IFERROR(INDEX(Est2017DistRev!E:E,MATCH($A22,Est2017DistRev!$A:$A,),1),)</f>
        <v>4.21</v>
      </c>
      <c r="AB22" s="752">
        <f>IFERROR(INDEX(Est2017DistRev!F:F,MATCH($A22,Est2017DistRev!$A:$A,),1),)</f>
        <v>0</v>
      </c>
      <c r="AC22" s="752">
        <f>IFERROR(INDEX(Est2017DistRev!G:G,MATCH($A22,Est2017DistRev!$A:$A,),1),)</f>
        <v>0</v>
      </c>
      <c r="AD22" s="752">
        <f>IFERROR(INDEX(Est2017DistRev!H:H,MATCH($A22,Est2017DistRev!$A:$A,),1),)</f>
        <v>0</v>
      </c>
      <c r="AE22" s="752">
        <f>IFERROR(INDEX(Est2017DistRev!I:I,MATCH($A22,Est2017DistRev!$A:$A,),1),)</f>
        <v>0</v>
      </c>
      <c r="AF22" s="752">
        <f>IFERROR(INDEX(Est2017DistRev!J:J,MATCH($A22,Est2017DistRev!$A:$A,),1),)</f>
        <v>0</v>
      </c>
      <c r="AG22" s="752">
        <f>IFERROR(INDEX(Est2017DistRev!K:K,MATCH($A22,Est2017DistRev!$A:$A,),1),)</f>
        <v>0</v>
      </c>
      <c r="AH22" s="752">
        <f>IFERROR(INDEX(Est2017DistRev!L:L,MATCH($A22,Est2017DistRev!$A:$A,),1),)</f>
        <v>0</v>
      </c>
      <c r="AI22" s="752">
        <f>IFERROR(INDEX(Est2017DistRev!M:M,MATCH($A22,Est2017DistRev!$A:$A,),1),)</f>
        <v>0</v>
      </c>
      <c r="AJ22" s="752">
        <f>IFERROR(INDEX(Est2017DistRev!N:N,MATCH($A22,Est2017DistRev!$A:$A,),1),)</f>
        <v>0</v>
      </c>
      <c r="AK22" s="752">
        <f>IFERROR(INDEX(Est2017DistRev!O:O,MATCH($A22,Est2017DistRev!$A:$A,),1),)</f>
        <v>0</v>
      </c>
      <c r="AL22" s="752">
        <f>IFERROR(INDEX(Est2017DistRev!P:P,MATCH($A22,Est2017DistRev!$A:$A,),1),)</f>
        <v>0</v>
      </c>
      <c r="AM22" s="752">
        <f>IFERROR(INDEX(Est2017DistRev!Q:Q,MATCH($A22,Est2017DistRev!$A:$A,),1),)</f>
        <v>0</v>
      </c>
      <c r="AN22" s="752">
        <f>IFERROR(INDEX(Est2017DistRev!R:R,MATCH($A22,Est2017DistRev!$A:$A,),1),)</f>
        <v>0</v>
      </c>
      <c r="AO22" s="752">
        <f>IFERROR(INDEX(Est2017DistRev!S:S,MATCH($A22,Est2017DistRev!$A:$A,),1),)</f>
        <v>0</v>
      </c>
      <c r="AP22" s="752">
        <f>IFERROR(INDEX(Est2017DistRev!T:T,MATCH($A22,Est2017DistRev!$A:$A,),1),)</f>
        <v>0</v>
      </c>
      <c r="AQ22" s="752">
        <f>IFERROR(INDEX(Est2017DistRev!U:U,MATCH($A22,Est2017DistRev!$A:$A,),1),)</f>
        <v>0</v>
      </c>
      <c r="AR22" s="752">
        <f>IFERROR(INDEX(Est2017DistRev!V:V,MATCH($A22,Est2017DistRev!$A:$A,),1),)</f>
        <v>0</v>
      </c>
      <c r="AS22" s="752">
        <f>IFERROR(INDEX(Est2017DistRev!W:W,MATCH($A22,Est2017DistRev!$A:$A,),1),)</f>
        <v>0</v>
      </c>
      <c r="AT22" s="753">
        <f>IFERROR(INDEX(Est2017DistRev!X:X,MATCH($A22,Est2017DistRev!$A:$A,),1),)</f>
        <v>0</v>
      </c>
      <c r="AV22" s="773">
        <v>5599.0051578270723</v>
      </c>
      <c r="AW22" s="771">
        <v>73848559.175984561</v>
      </c>
      <c r="AX22" s="771">
        <v>0</v>
      </c>
      <c r="AY22" s="771">
        <v>0</v>
      </c>
      <c r="AZ22" s="771">
        <v>0</v>
      </c>
      <c r="BA22" s="771">
        <v>0</v>
      </c>
      <c r="BB22" s="771">
        <v>0</v>
      </c>
      <c r="BC22" s="771">
        <v>0</v>
      </c>
      <c r="BD22" s="771">
        <v>0</v>
      </c>
      <c r="BE22" s="771">
        <v>0</v>
      </c>
      <c r="BF22" s="771">
        <v>0</v>
      </c>
      <c r="BG22" s="771">
        <v>0</v>
      </c>
      <c r="BH22" s="771">
        <v>0</v>
      </c>
      <c r="BI22" s="771">
        <v>0</v>
      </c>
      <c r="BJ22" s="771">
        <v>0</v>
      </c>
      <c r="BK22" s="771">
        <v>0</v>
      </c>
      <c r="BL22" s="771">
        <v>0</v>
      </c>
      <c r="BM22" s="771">
        <v>0</v>
      </c>
      <c r="BN22" s="771">
        <v>0</v>
      </c>
      <c r="BO22" s="771">
        <v>0</v>
      </c>
      <c r="BP22" s="772">
        <v>0</v>
      </c>
      <c r="BQ22" s="777"/>
      <c r="BR22" s="762">
        <f t="shared" si="5"/>
        <v>699875.64472838398</v>
      </c>
      <c r="BS22" s="763">
        <f t="shared" ref="BS22:BZ42" si="9">E22/100*AW22</f>
        <v>3426573.1457656836</v>
      </c>
      <c r="BT22" s="763">
        <f t="shared" si="9"/>
        <v>0</v>
      </c>
      <c r="BU22" s="763">
        <f t="shared" si="9"/>
        <v>0</v>
      </c>
      <c r="BV22" s="763">
        <f t="shared" si="9"/>
        <v>0</v>
      </c>
      <c r="BW22" s="763">
        <f t="shared" si="9"/>
        <v>0</v>
      </c>
      <c r="BX22" s="763">
        <f t="shared" si="9"/>
        <v>0</v>
      </c>
      <c r="BY22" s="763">
        <f t="shared" si="9"/>
        <v>0</v>
      </c>
      <c r="BZ22" s="763">
        <f t="shared" si="9"/>
        <v>0</v>
      </c>
      <c r="CA22" s="763">
        <f t="shared" si="6"/>
        <v>0</v>
      </c>
      <c r="CB22" s="763">
        <f t="shared" si="6"/>
        <v>0</v>
      </c>
      <c r="CC22" s="763">
        <f t="shared" si="6"/>
        <v>0</v>
      </c>
      <c r="CD22" s="763">
        <f t="shared" si="6"/>
        <v>0</v>
      </c>
      <c r="CE22" s="763">
        <f t="shared" si="7"/>
        <v>0</v>
      </c>
      <c r="CF22" s="763">
        <f t="shared" si="7"/>
        <v>0</v>
      </c>
      <c r="CG22" s="763">
        <f t="shared" si="7"/>
        <v>0</v>
      </c>
      <c r="CH22" s="763">
        <f t="shared" si="7"/>
        <v>0</v>
      </c>
      <c r="CI22" s="763">
        <f t="shared" si="7"/>
        <v>0</v>
      </c>
      <c r="CJ22" s="763">
        <f t="shared" si="7"/>
        <v>0</v>
      </c>
      <c r="CK22" s="763">
        <f t="shared" si="7"/>
        <v>0</v>
      </c>
      <c r="CL22" s="763">
        <f t="shared" si="7"/>
        <v>0</v>
      </c>
      <c r="CM22" s="757">
        <f t="shared" si="8"/>
        <v>4126448.7904940676</v>
      </c>
      <c r="CO22" s="762">
        <f>Z22*Vol!D22</f>
        <v>671880.61893924861</v>
      </c>
      <c r="CP22" s="763">
        <f>AA22*Vol!E22/100</f>
        <v>3109024.34130895</v>
      </c>
      <c r="CQ22" s="763">
        <f>AB22*Vol!F22/100</f>
        <v>0</v>
      </c>
      <c r="CR22" s="763">
        <f>AC22*Vol!G22/100</f>
        <v>0</v>
      </c>
      <c r="CS22" s="763">
        <f>AD22*Vol!H22/100</f>
        <v>0</v>
      </c>
      <c r="CT22" s="763">
        <f>AE22*Vol!I22/100</f>
        <v>0</v>
      </c>
      <c r="CU22" s="763">
        <f>AF22*Vol!J22/100</f>
        <v>0</v>
      </c>
      <c r="CV22" s="763">
        <f>AG22*Vol!K22/100</f>
        <v>0</v>
      </c>
      <c r="CW22" s="763">
        <f>AH22*Vol!L22/100</f>
        <v>0</v>
      </c>
      <c r="CX22" s="763">
        <f>AI22*Vol!M22</f>
        <v>0</v>
      </c>
      <c r="CY22" s="763">
        <f>AJ22*Vol!N22</f>
        <v>0</v>
      </c>
      <c r="CZ22" s="763">
        <f>AK22*Vol!O22</f>
        <v>0</v>
      </c>
      <c r="DA22" s="763">
        <f>AL22*Vol!P22</f>
        <v>0</v>
      </c>
      <c r="DB22" s="763">
        <f>AM22*Vol!Q22/100</f>
        <v>0</v>
      </c>
      <c r="DC22" s="763">
        <f>AN22*Vol!R22/100</f>
        <v>0</v>
      </c>
      <c r="DD22" s="763">
        <f>AO22*Vol!S22/100</f>
        <v>0</v>
      </c>
      <c r="DE22" s="763">
        <f>AP22*Vol!T22/100</f>
        <v>0</v>
      </c>
      <c r="DF22" s="763">
        <f>AQ22*Vol!U22/100</f>
        <v>0</v>
      </c>
      <c r="DG22" s="763">
        <f>AR22*Vol!V22/100</f>
        <v>0</v>
      </c>
      <c r="DH22" s="763">
        <f>AS22*Vol!W22/100</f>
        <v>0</v>
      </c>
      <c r="DI22" s="763">
        <f>AT22*Vol!X22/100</f>
        <v>0</v>
      </c>
      <c r="DJ22" s="757">
        <f t="shared" si="4"/>
        <v>3780904.9602481984</v>
      </c>
    </row>
    <row r="23" spans="1:114" s="748" customFormat="1">
      <c r="A23" s="748" t="s">
        <v>794</v>
      </c>
      <c r="B23" s="750" t="s">
        <v>560</v>
      </c>
      <c r="C23" s="750" t="s">
        <v>560</v>
      </c>
      <c r="D23" s="767">
        <v>145</v>
      </c>
      <c r="E23" s="768">
        <v>0</v>
      </c>
      <c r="F23" s="768">
        <v>9.1</v>
      </c>
      <c r="G23" s="768">
        <v>0</v>
      </c>
      <c r="H23" s="768">
        <v>0</v>
      </c>
      <c r="I23" s="768">
        <v>2.41</v>
      </c>
      <c r="J23" s="768">
        <v>0</v>
      </c>
      <c r="K23" s="768">
        <v>0</v>
      </c>
      <c r="L23" s="768">
        <v>0</v>
      </c>
      <c r="M23" s="768">
        <v>0</v>
      </c>
      <c r="N23" s="768">
        <v>0</v>
      </c>
      <c r="O23" s="768">
        <v>0</v>
      </c>
      <c r="P23" s="768">
        <v>0</v>
      </c>
      <c r="Q23" s="768">
        <v>0</v>
      </c>
      <c r="R23" s="768">
        <v>0</v>
      </c>
      <c r="S23" s="768">
        <v>0</v>
      </c>
      <c r="T23" s="768">
        <v>0</v>
      </c>
      <c r="U23" s="768">
        <v>0</v>
      </c>
      <c r="V23" s="768">
        <v>0</v>
      </c>
      <c r="W23" s="768">
        <v>0</v>
      </c>
      <c r="X23" s="769">
        <v>0</v>
      </c>
      <c r="Z23" s="751">
        <f>IFERROR(INDEX(Est2017DistRev!D:D,MATCH($A23,Est2017DistRev!$A:$A,),1),)</f>
        <v>140</v>
      </c>
      <c r="AA23" s="752">
        <f>IFERROR(INDEX(Est2017DistRev!E:E,MATCH($A23,Est2017DistRev!$A:$A,),1),)</f>
        <v>0</v>
      </c>
      <c r="AB23" s="752">
        <f>IFERROR(INDEX(Est2017DistRev!F:F,MATCH($A23,Est2017DistRev!$A:$A,),1),)</f>
        <v>8.27</v>
      </c>
      <c r="AC23" s="752">
        <f>IFERROR(INDEX(Est2017DistRev!G:G,MATCH($A23,Est2017DistRev!$A:$A,),1),)</f>
        <v>0</v>
      </c>
      <c r="AD23" s="752">
        <f>IFERROR(INDEX(Est2017DistRev!H:H,MATCH($A23,Est2017DistRev!$A:$A,),1),)</f>
        <v>0</v>
      </c>
      <c r="AE23" s="752">
        <f>IFERROR(INDEX(Est2017DistRev!I:I,MATCH($A23,Est2017DistRev!$A:$A,),1),)</f>
        <v>2.1800000000000002</v>
      </c>
      <c r="AF23" s="752">
        <f>IFERROR(INDEX(Est2017DistRev!J:J,MATCH($A23,Est2017DistRev!$A:$A,),1),)</f>
        <v>0</v>
      </c>
      <c r="AG23" s="752">
        <f>IFERROR(INDEX(Est2017DistRev!K:K,MATCH($A23,Est2017DistRev!$A:$A,),1),)</f>
        <v>0</v>
      </c>
      <c r="AH23" s="752">
        <f>IFERROR(INDEX(Est2017DistRev!L:L,MATCH($A23,Est2017DistRev!$A:$A,),1),)</f>
        <v>0</v>
      </c>
      <c r="AI23" s="752">
        <f>IFERROR(INDEX(Est2017DistRev!M:M,MATCH($A23,Est2017DistRev!$A:$A,),1),)</f>
        <v>0</v>
      </c>
      <c r="AJ23" s="752">
        <f>IFERROR(INDEX(Est2017DistRev!N:N,MATCH($A23,Est2017DistRev!$A:$A,),1),)</f>
        <v>0</v>
      </c>
      <c r="AK23" s="752">
        <f>IFERROR(INDEX(Est2017DistRev!O:O,MATCH($A23,Est2017DistRev!$A:$A,),1),)</f>
        <v>0</v>
      </c>
      <c r="AL23" s="752">
        <f>IFERROR(INDEX(Est2017DistRev!P:P,MATCH($A23,Est2017DistRev!$A:$A,),1),)</f>
        <v>0</v>
      </c>
      <c r="AM23" s="752">
        <f>IFERROR(INDEX(Est2017DistRev!Q:Q,MATCH($A23,Est2017DistRev!$A:$A,),1),)</f>
        <v>0</v>
      </c>
      <c r="AN23" s="752">
        <f>IFERROR(INDEX(Est2017DistRev!R:R,MATCH($A23,Est2017DistRev!$A:$A,),1),)</f>
        <v>0</v>
      </c>
      <c r="AO23" s="752">
        <f>IFERROR(INDEX(Est2017DistRev!S:S,MATCH($A23,Est2017DistRev!$A:$A,),1),)</f>
        <v>0</v>
      </c>
      <c r="AP23" s="752">
        <f>IFERROR(INDEX(Est2017DistRev!T:T,MATCH($A23,Est2017DistRev!$A:$A,),1),)</f>
        <v>0</v>
      </c>
      <c r="AQ23" s="752">
        <f>IFERROR(INDEX(Est2017DistRev!U:U,MATCH($A23,Est2017DistRev!$A:$A,),1),)</f>
        <v>0</v>
      </c>
      <c r="AR23" s="752">
        <f>IFERROR(INDEX(Est2017DistRev!V:V,MATCH($A23,Est2017DistRev!$A:$A,),1),)</f>
        <v>0</v>
      </c>
      <c r="AS23" s="752">
        <f>IFERROR(INDEX(Est2017DistRev!W:W,MATCH($A23,Est2017DistRev!$A:$A,),1),)</f>
        <v>0</v>
      </c>
      <c r="AT23" s="753">
        <f>IFERROR(INDEX(Est2017DistRev!X:X,MATCH($A23,Est2017DistRev!$A:$A,),1),)</f>
        <v>0</v>
      </c>
      <c r="AV23" s="773">
        <v>6325.9121198712201</v>
      </c>
      <c r="AW23" s="771">
        <v>0</v>
      </c>
      <c r="AX23" s="771">
        <v>90006939.07082431</v>
      </c>
      <c r="AY23" s="771">
        <v>0</v>
      </c>
      <c r="AZ23" s="771">
        <v>0</v>
      </c>
      <c r="BA23" s="771">
        <v>56232415.067280285</v>
      </c>
      <c r="BB23" s="771">
        <v>0</v>
      </c>
      <c r="BC23" s="771">
        <v>0</v>
      </c>
      <c r="BD23" s="771">
        <v>0</v>
      </c>
      <c r="BE23" s="771">
        <v>0</v>
      </c>
      <c r="BF23" s="771">
        <v>0</v>
      </c>
      <c r="BG23" s="771">
        <v>0</v>
      </c>
      <c r="BH23" s="771">
        <v>0</v>
      </c>
      <c r="BI23" s="771">
        <v>0</v>
      </c>
      <c r="BJ23" s="771">
        <v>0</v>
      </c>
      <c r="BK23" s="771">
        <v>0</v>
      </c>
      <c r="BL23" s="771">
        <v>0</v>
      </c>
      <c r="BM23" s="771">
        <v>0</v>
      </c>
      <c r="BN23" s="771">
        <v>0</v>
      </c>
      <c r="BO23" s="771">
        <v>0</v>
      </c>
      <c r="BP23" s="772">
        <v>0</v>
      </c>
      <c r="BQ23" s="777"/>
      <c r="BR23" s="762">
        <f t="shared" si="5"/>
        <v>917257.25738132687</v>
      </c>
      <c r="BS23" s="763">
        <f t="shared" si="9"/>
        <v>0</v>
      </c>
      <c r="BT23" s="763">
        <f t="shared" si="9"/>
        <v>8190631.4554450121</v>
      </c>
      <c r="BU23" s="763">
        <f t="shared" si="9"/>
        <v>0</v>
      </c>
      <c r="BV23" s="763">
        <f t="shared" si="9"/>
        <v>0</v>
      </c>
      <c r="BW23" s="763">
        <f t="shared" si="9"/>
        <v>1355201.2031214549</v>
      </c>
      <c r="BX23" s="763">
        <f t="shared" si="9"/>
        <v>0</v>
      </c>
      <c r="BY23" s="763">
        <f t="shared" si="9"/>
        <v>0</v>
      </c>
      <c r="BZ23" s="763">
        <f t="shared" si="9"/>
        <v>0</v>
      </c>
      <c r="CA23" s="763">
        <f t="shared" si="6"/>
        <v>0</v>
      </c>
      <c r="CB23" s="763">
        <f t="shared" si="6"/>
        <v>0</v>
      </c>
      <c r="CC23" s="763">
        <f t="shared" si="6"/>
        <v>0</v>
      </c>
      <c r="CD23" s="763">
        <f t="shared" si="6"/>
        <v>0</v>
      </c>
      <c r="CE23" s="763">
        <f t="shared" si="7"/>
        <v>0</v>
      </c>
      <c r="CF23" s="763">
        <f t="shared" si="7"/>
        <v>0</v>
      </c>
      <c r="CG23" s="763">
        <f t="shared" si="7"/>
        <v>0</v>
      </c>
      <c r="CH23" s="763">
        <f t="shared" si="7"/>
        <v>0</v>
      </c>
      <c r="CI23" s="763">
        <f t="shared" si="7"/>
        <v>0</v>
      </c>
      <c r="CJ23" s="763">
        <f t="shared" si="7"/>
        <v>0</v>
      </c>
      <c r="CK23" s="763">
        <f t="shared" si="7"/>
        <v>0</v>
      </c>
      <c r="CL23" s="763">
        <f t="shared" si="7"/>
        <v>0</v>
      </c>
      <c r="CM23" s="757">
        <f t="shared" si="8"/>
        <v>10463089.915947795</v>
      </c>
      <c r="CO23" s="762">
        <f>Z23*Vol!D23</f>
        <v>885627.69678197079</v>
      </c>
      <c r="CP23" s="763">
        <f>AA23*Vol!E23/100</f>
        <v>0</v>
      </c>
      <c r="CQ23" s="763">
        <f>AB23*Vol!F23/100</f>
        <v>7443573.8611571705</v>
      </c>
      <c r="CR23" s="763">
        <f>AC23*Vol!G23/100</f>
        <v>0</v>
      </c>
      <c r="CS23" s="763">
        <f>AD23*Vol!H23/100</f>
        <v>0</v>
      </c>
      <c r="CT23" s="763">
        <f>AE23*Vol!I23/100</f>
        <v>1225866.6484667102</v>
      </c>
      <c r="CU23" s="763">
        <f>AF23*Vol!J23/100</f>
        <v>0</v>
      </c>
      <c r="CV23" s="763">
        <f>AG23*Vol!K23/100</f>
        <v>0</v>
      </c>
      <c r="CW23" s="763">
        <f>AH23*Vol!L23/100</f>
        <v>0</v>
      </c>
      <c r="CX23" s="763">
        <f>AI23*Vol!M23</f>
        <v>0</v>
      </c>
      <c r="CY23" s="763">
        <f>AJ23*Vol!N23</f>
        <v>0</v>
      </c>
      <c r="CZ23" s="763">
        <f>AK23*Vol!O23</f>
        <v>0</v>
      </c>
      <c r="DA23" s="763">
        <f>AL23*Vol!P23</f>
        <v>0</v>
      </c>
      <c r="DB23" s="763">
        <f>AM23*Vol!Q23/100</f>
        <v>0</v>
      </c>
      <c r="DC23" s="763">
        <f>AN23*Vol!R23/100</f>
        <v>0</v>
      </c>
      <c r="DD23" s="763">
        <f>AO23*Vol!S23/100</f>
        <v>0</v>
      </c>
      <c r="DE23" s="763">
        <f>AP23*Vol!T23/100</f>
        <v>0</v>
      </c>
      <c r="DF23" s="763">
        <f>AQ23*Vol!U23/100</f>
        <v>0</v>
      </c>
      <c r="DG23" s="763">
        <f>AR23*Vol!V23/100</f>
        <v>0</v>
      </c>
      <c r="DH23" s="763">
        <f>AS23*Vol!W23/100</f>
        <v>0</v>
      </c>
      <c r="DI23" s="763">
        <f>AT23*Vol!X23/100</f>
        <v>0</v>
      </c>
      <c r="DJ23" s="757">
        <f t="shared" si="4"/>
        <v>9555068.206405852</v>
      </c>
    </row>
    <row r="24" spans="1:114" s="748" customFormat="1">
      <c r="A24" s="748" t="s">
        <v>795</v>
      </c>
      <c r="B24" s="750" t="s">
        <v>561</v>
      </c>
      <c r="C24" s="750" t="s">
        <v>561</v>
      </c>
      <c r="D24" s="767">
        <v>125</v>
      </c>
      <c r="E24" s="768">
        <v>0</v>
      </c>
      <c r="F24" s="768">
        <v>6.6</v>
      </c>
      <c r="G24" s="768">
        <v>0</v>
      </c>
      <c r="H24" s="768">
        <v>0</v>
      </c>
      <c r="I24" s="768">
        <v>1.8</v>
      </c>
      <c r="J24" s="768">
        <v>0</v>
      </c>
      <c r="K24" s="768">
        <v>0</v>
      </c>
      <c r="L24" s="768">
        <v>0</v>
      </c>
      <c r="M24" s="768">
        <v>0</v>
      </c>
      <c r="N24" s="768">
        <v>0</v>
      </c>
      <c r="O24" s="768">
        <v>0</v>
      </c>
      <c r="P24" s="768">
        <v>0</v>
      </c>
      <c r="Q24" s="768">
        <v>0</v>
      </c>
      <c r="R24" s="768">
        <v>0</v>
      </c>
      <c r="S24" s="768">
        <v>0</v>
      </c>
      <c r="T24" s="768">
        <v>0</v>
      </c>
      <c r="U24" s="768">
        <v>0</v>
      </c>
      <c r="V24" s="768">
        <v>0</v>
      </c>
      <c r="W24" s="768">
        <v>0</v>
      </c>
      <c r="X24" s="769">
        <v>0</v>
      </c>
      <c r="Z24" s="751">
        <f>IFERROR(INDEX(Est2017DistRev!D:D,MATCH($A24,Est2017DistRev!$A:$A,),1),)</f>
        <v>120</v>
      </c>
      <c r="AA24" s="752">
        <f>IFERROR(INDEX(Est2017DistRev!E:E,MATCH($A24,Est2017DistRev!$A:$A,),1),)</f>
        <v>0</v>
      </c>
      <c r="AB24" s="752">
        <f>IFERROR(INDEX(Est2017DistRev!F:F,MATCH($A24,Est2017DistRev!$A:$A,),1),)</f>
        <v>6</v>
      </c>
      <c r="AC24" s="752">
        <f>IFERROR(INDEX(Est2017DistRev!G:G,MATCH($A24,Est2017DistRev!$A:$A,),1),)</f>
        <v>0</v>
      </c>
      <c r="AD24" s="752">
        <f>IFERROR(INDEX(Est2017DistRev!H:H,MATCH($A24,Est2017DistRev!$A:$A,),1),)</f>
        <v>0</v>
      </c>
      <c r="AE24" s="752">
        <f>IFERROR(INDEX(Est2017DistRev!I:I,MATCH($A24,Est2017DistRev!$A:$A,),1),)</f>
        <v>1.63</v>
      </c>
      <c r="AF24" s="752">
        <f>IFERROR(INDEX(Est2017DistRev!J:J,MATCH($A24,Est2017DistRev!$A:$A,),1),)</f>
        <v>0</v>
      </c>
      <c r="AG24" s="752">
        <f>IFERROR(INDEX(Est2017DistRev!K:K,MATCH($A24,Est2017DistRev!$A:$A,),1),)</f>
        <v>0</v>
      </c>
      <c r="AH24" s="752">
        <f>IFERROR(INDEX(Est2017DistRev!L:L,MATCH($A24,Est2017DistRev!$A:$A,),1),)</f>
        <v>0</v>
      </c>
      <c r="AI24" s="752">
        <f>IFERROR(INDEX(Est2017DistRev!M:M,MATCH($A24,Est2017DistRev!$A:$A,),1),)</f>
        <v>0</v>
      </c>
      <c r="AJ24" s="752">
        <f>IFERROR(INDEX(Est2017DistRev!N:N,MATCH($A24,Est2017DistRev!$A:$A,),1),)</f>
        <v>0</v>
      </c>
      <c r="AK24" s="752">
        <f>IFERROR(INDEX(Est2017DistRev!O:O,MATCH($A24,Est2017DistRev!$A:$A,),1),)</f>
        <v>0</v>
      </c>
      <c r="AL24" s="752">
        <f>IFERROR(INDEX(Est2017DistRev!P:P,MATCH($A24,Est2017DistRev!$A:$A,),1),)</f>
        <v>0</v>
      </c>
      <c r="AM24" s="752">
        <f>IFERROR(INDEX(Est2017DistRev!Q:Q,MATCH($A24,Est2017DistRev!$A:$A,),1),)</f>
        <v>0</v>
      </c>
      <c r="AN24" s="752">
        <f>IFERROR(INDEX(Est2017DistRev!R:R,MATCH($A24,Est2017DistRev!$A:$A,),1),)</f>
        <v>0</v>
      </c>
      <c r="AO24" s="752">
        <f>IFERROR(INDEX(Est2017DistRev!S:S,MATCH($A24,Est2017DistRev!$A:$A,),1),)</f>
        <v>0</v>
      </c>
      <c r="AP24" s="752">
        <f>IFERROR(INDEX(Est2017DistRev!T:T,MATCH($A24,Est2017DistRev!$A:$A,),1),)</f>
        <v>0</v>
      </c>
      <c r="AQ24" s="752">
        <f>IFERROR(INDEX(Est2017DistRev!U:U,MATCH($A24,Est2017DistRev!$A:$A,),1),)</f>
        <v>0</v>
      </c>
      <c r="AR24" s="752">
        <f>IFERROR(INDEX(Est2017DistRev!V:V,MATCH($A24,Est2017DistRev!$A:$A,),1),)</f>
        <v>0</v>
      </c>
      <c r="AS24" s="752">
        <f>IFERROR(INDEX(Est2017DistRev!W:W,MATCH($A24,Est2017DistRev!$A:$A,),1),)</f>
        <v>0</v>
      </c>
      <c r="AT24" s="753">
        <f>IFERROR(INDEX(Est2017DistRev!X:X,MATCH($A24,Est2017DistRev!$A:$A,),1),)</f>
        <v>0</v>
      </c>
      <c r="AV24" s="773">
        <v>1106.5355969893287</v>
      </c>
      <c r="AW24" s="771">
        <v>0</v>
      </c>
      <c r="AX24" s="771">
        <v>16887632.067035981</v>
      </c>
      <c r="AY24" s="771">
        <v>0</v>
      </c>
      <c r="AZ24" s="771">
        <v>0</v>
      </c>
      <c r="BA24" s="771">
        <v>9694170.3462755531</v>
      </c>
      <c r="BB24" s="771">
        <v>0</v>
      </c>
      <c r="BC24" s="771">
        <v>0</v>
      </c>
      <c r="BD24" s="771">
        <v>0</v>
      </c>
      <c r="BE24" s="771">
        <v>0</v>
      </c>
      <c r="BF24" s="771">
        <v>0</v>
      </c>
      <c r="BG24" s="771">
        <v>0</v>
      </c>
      <c r="BH24" s="771">
        <v>0</v>
      </c>
      <c r="BI24" s="771">
        <v>0</v>
      </c>
      <c r="BJ24" s="771">
        <v>0</v>
      </c>
      <c r="BK24" s="771">
        <v>0</v>
      </c>
      <c r="BL24" s="771">
        <v>0</v>
      </c>
      <c r="BM24" s="771">
        <v>0</v>
      </c>
      <c r="BN24" s="771">
        <v>0</v>
      </c>
      <c r="BO24" s="771">
        <v>0</v>
      </c>
      <c r="BP24" s="772">
        <v>0</v>
      </c>
      <c r="BQ24" s="777"/>
      <c r="BR24" s="762">
        <f t="shared" si="5"/>
        <v>138316.94962366609</v>
      </c>
      <c r="BS24" s="763">
        <f t="shared" si="9"/>
        <v>0</v>
      </c>
      <c r="BT24" s="763">
        <f t="shared" si="9"/>
        <v>1114583.7164243748</v>
      </c>
      <c r="BU24" s="763">
        <f t="shared" si="9"/>
        <v>0</v>
      </c>
      <c r="BV24" s="763">
        <f t="shared" si="9"/>
        <v>0</v>
      </c>
      <c r="BW24" s="763">
        <f t="shared" si="9"/>
        <v>174495.06623295997</v>
      </c>
      <c r="BX24" s="763">
        <f t="shared" si="9"/>
        <v>0</v>
      </c>
      <c r="BY24" s="763">
        <f t="shared" si="9"/>
        <v>0</v>
      </c>
      <c r="BZ24" s="763">
        <f t="shared" si="9"/>
        <v>0</v>
      </c>
      <c r="CA24" s="763">
        <f t="shared" si="6"/>
        <v>0</v>
      </c>
      <c r="CB24" s="763">
        <f t="shared" si="6"/>
        <v>0</v>
      </c>
      <c r="CC24" s="763">
        <f t="shared" si="6"/>
        <v>0</v>
      </c>
      <c r="CD24" s="763">
        <f t="shared" si="6"/>
        <v>0</v>
      </c>
      <c r="CE24" s="763">
        <f t="shared" si="7"/>
        <v>0</v>
      </c>
      <c r="CF24" s="763">
        <f t="shared" si="7"/>
        <v>0</v>
      </c>
      <c r="CG24" s="763">
        <f t="shared" si="7"/>
        <v>0</v>
      </c>
      <c r="CH24" s="763">
        <f t="shared" si="7"/>
        <v>0</v>
      </c>
      <c r="CI24" s="763">
        <f t="shared" si="7"/>
        <v>0</v>
      </c>
      <c r="CJ24" s="763">
        <f t="shared" si="7"/>
        <v>0</v>
      </c>
      <c r="CK24" s="763">
        <f t="shared" si="7"/>
        <v>0</v>
      </c>
      <c r="CL24" s="763">
        <f t="shared" si="7"/>
        <v>0</v>
      </c>
      <c r="CM24" s="757">
        <f t="shared" si="8"/>
        <v>1427395.7322810008</v>
      </c>
      <c r="CO24" s="762">
        <f>Z24*Vol!D24</f>
        <v>132784.27163871945</v>
      </c>
      <c r="CP24" s="763">
        <f>AA24*Vol!E24/100</f>
        <v>0</v>
      </c>
      <c r="CQ24" s="763">
        <f>AB24*Vol!F24/100</f>
        <v>1013257.9240221588</v>
      </c>
      <c r="CR24" s="763">
        <f>AC24*Vol!G24/100</f>
        <v>0</v>
      </c>
      <c r="CS24" s="763">
        <f>AD24*Vol!H24/100</f>
        <v>0</v>
      </c>
      <c r="CT24" s="763">
        <f>AE24*Vol!I24/100</f>
        <v>158014.97664429151</v>
      </c>
      <c r="CU24" s="763">
        <f>AF24*Vol!J24/100</f>
        <v>0</v>
      </c>
      <c r="CV24" s="763">
        <f>AG24*Vol!K24/100</f>
        <v>0</v>
      </c>
      <c r="CW24" s="763">
        <f>AH24*Vol!L24/100</f>
        <v>0</v>
      </c>
      <c r="CX24" s="763">
        <f>AI24*Vol!M24</f>
        <v>0</v>
      </c>
      <c r="CY24" s="763">
        <f>AJ24*Vol!N24</f>
        <v>0</v>
      </c>
      <c r="CZ24" s="763">
        <f>AK24*Vol!O24</f>
        <v>0</v>
      </c>
      <c r="DA24" s="763">
        <f>AL24*Vol!P24</f>
        <v>0</v>
      </c>
      <c r="DB24" s="763">
        <f>AM24*Vol!Q24/100</f>
        <v>0</v>
      </c>
      <c r="DC24" s="763">
        <f>AN24*Vol!R24/100</f>
        <v>0</v>
      </c>
      <c r="DD24" s="763">
        <f>AO24*Vol!S24/100</f>
        <v>0</v>
      </c>
      <c r="DE24" s="763">
        <f>AP24*Vol!T24/100</f>
        <v>0</v>
      </c>
      <c r="DF24" s="763">
        <f>AQ24*Vol!U24/100</f>
        <v>0</v>
      </c>
      <c r="DG24" s="763">
        <f>AR24*Vol!V24/100</f>
        <v>0</v>
      </c>
      <c r="DH24" s="763">
        <f>AS24*Vol!W24/100</f>
        <v>0</v>
      </c>
      <c r="DI24" s="763">
        <f>AT24*Vol!X24/100</f>
        <v>0</v>
      </c>
      <c r="DJ24" s="757">
        <f t="shared" si="4"/>
        <v>1304057.1723051697</v>
      </c>
    </row>
    <row r="25" spans="1:114" s="748" customFormat="1">
      <c r="A25" s="748" t="s">
        <v>796</v>
      </c>
      <c r="B25" s="750" t="s">
        <v>562</v>
      </c>
      <c r="C25" s="750" t="s">
        <v>562</v>
      </c>
      <c r="D25" s="767">
        <v>145</v>
      </c>
      <c r="E25" s="768">
        <v>0</v>
      </c>
      <c r="F25" s="768">
        <v>9.1</v>
      </c>
      <c r="G25" s="768">
        <v>0</v>
      </c>
      <c r="H25" s="768">
        <v>0</v>
      </c>
      <c r="I25" s="768">
        <v>2.41</v>
      </c>
      <c r="J25" s="768">
        <v>0</v>
      </c>
      <c r="K25" s="768">
        <v>0</v>
      </c>
      <c r="L25" s="768">
        <v>0</v>
      </c>
      <c r="M25" s="768">
        <v>0</v>
      </c>
      <c r="N25" s="768">
        <v>0</v>
      </c>
      <c r="O25" s="768">
        <v>0</v>
      </c>
      <c r="P25" s="768">
        <v>0</v>
      </c>
      <c r="Q25" s="768">
        <v>0</v>
      </c>
      <c r="R25" s="768">
        <v>0</v>
      </c>
      <c r="S25" s="768">
        <v>0</v>
      </c>
      <c r="T25" s="768">
        <v>0</v>
      </c>
      <c r="U25" s="768">
        <v>0</v>
      </c>
      <c r="V25" s="768">
        <v>0</v>
      </c>
      <c r="W25" s="768">
        <v>0</v>
      </c>
      <c r="X25" s="769">
        <v>0</v>
      </c>
      <c r="Z25" s="751">
        <f>IFERROR(INDEX(Est2017DistRev!D:D,MATCH($A25,Est2017DistRev!$A:$A,),1),)</f>
        <v>140</v>
      </c>
      <c r="AA25" s="752">
        <f>IFERROR(INDEX(Est2017DistRev!E:E,MATCH($A25,Est2017DistRev!$A:$A,),1),)</f>
        <v>0</v>
      </c>
      <c r="AB25" s="752">
        <f>IFERROR(INDEX(Est2017DistRev!F:F,MATCH($A25,Est2017DistRev!$A:$A,),1),)</f>
        <v>8.27</v>
      </c>
      <c r="AC25" s="752">
        <f>IFERROR(INDEX(Est2017DistRev!G:G,MATCH($A25,Est2017DistRev!$A:$A,),1),)</f>
        <v>0</v>
      </c>
      <c r="AD25" s="752">
        <f>IFERROR(INDEX(Est2017DistRev!H:H,MATCH($A25,Est2017DistRev!$A:$A,),1),)</f>
        <v>0</v>
      </c>
      <c r="AE25" s="752">
        <f>IFERROR(INDEX(Est2017DistRev!I:I,MATCH($A25,Est2017DistRev!$A:$A,),1),)</f>
        <v>2.1800000000000002</v>
      </c>
      <c r="AF25" s="752">
        <f>IFERROR(INDEX(Est2017DistRev!J:J,MATCH($A25,Est2017DistRev!$A:$A,),1),)</f>
        <v>0</v>
      </c>
      <c r="AG25" s="752">
        <f>IFERROR(INDEX(Est2017DistRev!K:K,MATCH($A25,Est2017DistRev!$A:$A,),1),)</f>
        <v>0</v>
      </c>
      <c r="AH25" s="752">
        <f>IFERROR(INDEX(Est2017DistRev!L:L,MATCH($A25,Est2017DistRev!$A:$A,),1),)</f>
        <v>0</v>
      </c>
      <c r="AI25" s="752">
        <f>IFERROR(INDEX(Est2017DistRev!M:M,MATCH($A25,Est2017DistRev!$A:$A,),1),)</f>
        <v>0</v>
      </c>
      <c r="AJ25" s="752">
        <f>IFERROR(INDEX(Est2017DistRev!N:N,MATCH($A25,Est2017DistRev!$A:$A,),1),)</f>
        <v>0</v>
      </c>
      <c r="AK25" s="752">
        <f>IFERROR(INDEX(Est2017DistRev!O:O,MATCH($A25,Est2017DistRev!$A:$A,),1),)</f>
        <v>0</v>
      </c>
      <c r="AL25" s="752">
        <f>IFERROR(INDEX(Est2017DistRev!P:P,MATCH($A25,Est2017DistRev!$A:$A,),1),)</f>
        <v>0</v>
      </c>
      <c r="AM25" s="752">
        <f>IFERROR(INDEX(Est2017DistRev!Q:Q,MATCH($A25,Est2017DistRev!$A:$A,),1),)</f>
        <v>0</v>
      </c>
      <c r="AN25" s="752">
        <f>IFERROR(INDEX(Est2017DistRev!R:R,MATCH($A25,Est2017DistRev!$A:$A,),1),)</f>
        <v>0</v>
      </c>
      <c r="AO25" s="752">
        <f>IFERROR(INDEX(Est2017DistRev!S:S,MATCH($A25,Est2017DistRev!$A:$A,),1),)</f>
        <v>0</v>
      </c>
      <c r="AP25" s="752">
        <f>IFERROR(INDEX(Est2017DistRev!T:T,MATCH($A25,Est2017DistRev!$A:$A,),1),)</f>
        <v>0</v>
      </c>
      <c r="AQ25" s="752">
        <f>IFERROR(INDEX(Est2017DistRev!U:U,MATCH($A25,Est2017DistRev!$A:$A,),1),)</f>
        <v>0</v>
      </c>
      <c r="AR25" s="752">
        <f>IFERROR(INDEX(Est2017DistRev!V:V,MATCH($A25,Est2017DistRev!$A:$A,),1),)</f>
        <v>0</v>
      </c>
      <c r="AS25" s="752">
        <f>IFERROR(INDEX(Est2017DistRev!W:W,MATCH($A25,Est2017DistRev!$A:$A,),1),)</f>
        <v>0</v>
      </c>
      <c r="AT25" s="753">
        <f>IFERROR(INDEX(Est2017DistRev!X:X,MATCH($A25,Est2017DistRev!$A:$A,),1),)</f>
        <v>0</v>
      </c>
      <c r="AV25" s="773">
        <v>4011.7924540561471</v>
      </c>
      <c r="AW25" s="771">
        <v>0</v>
      </c>
      <c r="AX25" s="771">
        <v>44315700.538597859</v>
      </c>
      <c r="AY25" s="771">
        <v>0</v>
      </c>
      <c r="AZ25" s="771">
        <v>0</v>
      </c>
      <c r="BA25" s="771">
        <v>25142157.462131292</v>
      </c>
      <c r="BB25" s="771">
        <v>0</v>
      </c>
      <c r="BC25" s="771">
        <v>0</v>
      </c>
      <c r="BD25" s="771">
        <v>0</v>
      </c>
      <c r="BE25" s="771">
        <v>0</v>
      </c>
      <c r="BF25" s="771">
        <v>0</v>
      </c>
      <c r="BG25" s="771">
        <v>0</v>
      </c>
      <c r="BH25" s="771">
        <v>0</v>
      </c>
      <c r="BI25" s="771">
        <v>0</v>
      </c>
      <c r="BJ25" s="771">
        <v>0</v>
      </c>
      <c r="BK25" s="771">
        <v>0</v>
      </c>
      <c r="BL25" s="771">
        <v>0</v>
      </c>
      <c r="BM25" s="771">
        <v>0</v>
      </c>
      <c r="BN25" s="771">
        <v>0</v>
      </c>
      <c r="BO25" s="771">
        <v>0</v>
      </c>
      <c r="BP25" s="772">
        <v>0</v>
      </c>
      <c r="BQ25" s="777"/>
      <c r="BR25" s="762">
        <f t="shared" si="5"/>
        <v>581709.90583814133</v>
      </c>
      <c r="BS25" s="763">
        <f t="shared" si="9"/>
        <v>0</v>
      </c>
      <c r="BT25" s="763">
        <f t="shared" si="9"/>
        <v>4032728.7490124051</v>
      </c>
      <c r="BU25" s="763">
        <f t="shared" si="9"/>
        <v>0</v>
      </c>
      <c r="BV25" s="763">
        <f t="shared" si="9"/>
        <v>0</v>
      </c>
      <c r="BW25" s="763">
        <f t="shared" si="9"/>
        <v>605925.99483736418</v>
      </c>
      <c r="BX25" s="763">
        <f t="shared" si="9"/>
        <v>0</v>
      </c>
      <c r="BY25" s="763">
        <f t="shared" si="9"/>
        <v>0</v>
      </c>
      <c r="BZ25" s="763">
        <f t="shared" si="9"/>
        <v>0</v>
      </c>
      <c r="CA25" s="763">
        <f t="shared" si="6"/>
        <v>0</v>
      </c>
      <c r="CB25" s="763">
        <f t="shared" si="6"/>
        <v>0</v>
      </c>
      <c r="CC25" s="763">
        <f t="shared" si="6"/>
        <v>0</v>
      </c>
      <c r="CD25" s="763">
        <f t="shared" si="6"/>
        <v>0</v>
      </c>
      <c r="CE25" s="763">
        <f t="shared" si="7"/>
        <v>0</v>
      </c>
      <c r="CF25" s="763">
        <f t="shared" si="7"/>
        <v>0</v>
      </c>
      <c r="CG25" s="763">
        <f t="shared" si="7"/>
        <v>0</v>
      </c>
      <c r="CH25" s="763">
        <f t="shared" si="7"/>
        <v>0</v>
      </c>
      <c r="CI25" s="763">
        <f t="shared" si="7"/>
        <v>0</v>
      </c>
      <c r="CJ25" s="763">
        <f t="shared" si="7"/>
        <v>0</v>
      </c>
      <c r="CK25" s="763">
        <f t="shared" si="7"/>
        <v>0</v>
      </c>
      <c r="CL25" s="763">
        <f t="shared" si="7"/>
        <v>0</v>
      </c>
      <c r="CM25" s="757">
        <f t="shared" si="8"/>
        <v>5220364.6496879105</v>
      </c>
      <c r="CO25" s="762">
        <f>Z25*Vol!D25</f>
        <v>561650.94356786064</v>
      </c>
      <c r="CP25" s="763">
        <f>AA25*Vol!E25/100</f>
        <v>0</v>
      </c>
      <c r="CQ25" s="763">
        <f>AB25*Vol!F25/100</f>
        <v>3664908.4345420427</v>
      </c>
      <c r="CR25" s="763">
        <f>AC25*Vol!G25/100</f>
        <v>0</v>
      </c>
      <c r="CS25" s="763">
        <f>AD25*Vol!H25/100</f>
        <v>0</v>
      </c>
      <c r="CT25" s="763">
        <f>AE25*Vol!I25/100</f>
        <v>548099.03267446219</v>
      </c>
      <c r="CU25" s="763">
        <f>AF25*Vol!J25/100</f>
        <v>0</v>
      </c>
      <c r="CV25" s="763">
        <f>AG25*Vol!K25/100</f>
        <v>0</v>
      </c>
      <c r="CW25" s="763">
        <f>AH25*Vol!L25/100</f>
        <v>0</v>
      </c>
      <c r="CX25" s="763">
        <f>AI25*Vol!M25</f>
        <v>0</v>
      </c>
      <c r="CY25" s="763">
        <f>AJ25*Vol!N25</f>
        <v>0</v>
      </c>
      <c r="CZ25" s="763">
        <f>AK25*Vol!O25</f>
        <v>0</v>
      </c>
      <c r="DA25" s="763">
        <f>AL25*Vol!P25</f>
        <v>0</v>
      </c>
      <c r="DB25" s="763">
        <f>AM25*Vol!Q25/100</f>
        <v>0</v>
      </c>
      <c r="DC25" s="763">
        <f>AN25*Vol!R25/100</f>
        <v>0</v>
      </c>
      <c r="DD25" s="763">
        <f>AO25*Vol!S25/100</f>
        <v>0</v>
      </c>
      <c r="DE25" s="763">
        <f>AP25*Vol!T25/100</f>
        <v>0</v>
      </c>
      <c r="DF25" s="763">
        <f>AQ25*Vol!U25/100</f>
        <v>0</v>
      </c>
      <c r="DG25" s="763">
        <f>AR25*Vol!V25/100</f>
        <v>0</v>
      </c>
      <c r="DH25" s="763">
        <f>AS25*Vol!W25/100</f>
        <v>0</v>
      </c>
      <c r="DI25" s="763">
        <f>AT25*Vol!X25/100</f>
        <v>0</v>
      </c>
      <c r="DJ25" s="757">
        <f t="shared" si="4"/>
        <v>4774658.4107843656</v>
      </c>
    </row>
    <row r="26" spans="1:114" s="748" customFormat="1">
      <c r="A26" s="748" t="s">
        <v>797</v>
      </c>
      <c r="B26" s="750" t="s">
        <v>563</v>
      </c>
      <c r="C26" s="750" t="s">
        <v>563</v>
      </c>
      <c r="D26" s="767">
        <v>125</v>
      </c>
      <c r="E26" s="768">
        <v>0</v>
      </c>
      <c r="F26" s="768">
        <v>6.6</v>
      </c>
      <c r="G26" s="768">
        <v>0</v>
      </c>
      <c r="H26" s="768">
        <v>0</v>
      </c>
      <c r="I26" s="768">
        <v>1.8</v>
      </c>
      <c r="J26" s="768">
        <v>0</v>
      </c>
      <c r="K26" s="768">
        <v>0</v>
      </c>
      <c r="L26" s="768">
        <v>0</v>
      </c>
      <c r="M26" s="768">
        <v>0</v>
      </c>
      <c r="N26" s="768">
        <v>0</v>
      </c>
      <c r="O26" s="768">
        <v>0</v>
      </c>
      <c r="P26" s="768">
        <v>0</v>
      </c>
      <c r="Q26" s="768">
        <v>0</v>
      </c>
      <c r="R26" s="768">
        <v>0</v>
      </c>
      <c r="S26" s="768">
        <v>0</v>
      </c>
      <c r="T26" s="768">
        <v>0</v>
      </c>
      <c r="U26" s="768">
        <v>0</v>
      </c>
      <c r="V26" s="768">
        <v>0</v>
      </c>
      <c r="W26" s="768">
        <v>0</v>
      </c>
      <c r="X26" s="769">
        <v>0</v>
      </c>
      <c r="Z26" s="751">
        <f>IFERROR(INDEX(Est2017DistRev!D:D,MATCH($A26,Est2017DistRev!$A:$A,),1),)</f>
        <v>120</v>
      </c>
      <c r="AA26" s="752">
        <f>IFERROR(INDEX(Est2017DistRev!E:E,MATCH($A26,Est2017DistRev!$A:$A,),1),)</f>
        <v>0</v>
      </c>
      <c r="AB26" s="752">
        <f>IFERROR(INDEX(Est2017DistRev!F:F,MATCH($A26,Est2017DistRev!$A:$A,),1),)</f>
        <v>6</v>
      </c>
      <c r="AC26" s="752">
        <f>IFERROR(INDEX(Est2017DistRev!G:G,MATCH($A26,Est2017DistRev!$A:$A,),1),)</f>
        <v>0</v>
      </c>
      <c r="AD26" s="752">
        <f>IFERROR(INDEX(Est2017DistRev!H:H,MATCH($A26,Est2017DistRev!$A:$A,),1),)</f>
        <v>0</v>
      </c>
      <c r="AE26" s="752">
        <f>IFERROR(INDEX(Est2017DistRev!I:I,MATCH($A26,Est2017DistRev!$A:$A,),1),)</f>
        <v>1.63</v>
      </c>
      <c r="AF26" s="752">
        <f>IFERROR(INDEX(Est2017DistRev!J:J,MATCH($A26,Est2017DistRev!$A:$A,),1),)</f>
        <v>0</v>
      </c>
      <c r="AG26" s="752">
        <f>IFERROR(INDEX(Est2017DistRev!K:K,MATCH($A26,Est2017DistRev!$A:$A,),1),)</f>
        <v>0</v>
      </c>
      <c r="AH26" s="752">
        <f>IFERROR(INDEX(Est2017DistRev!L:L,MATCH($A26,Est2017DistRev!$A:$A,),1),)</f>
        <v>0</v>
      </c>
      <c r="AI26" s="752">
        <f>IFERROR(INDEX(Est2017DistRev!M:M,MATCH($A26,Est2017DistRev!$A:$A,),1),)</f>
        <v>0</v>
      </c>
      <c r="AJ26" s="752">
        <f>IFERROR(INDEX(Est2017DistRev!N:N,MATCH($A26,Est2017DistRev!$A:$A,),1),)</f>
        <v>0</v>
      </c>
      <c r="AK26" s="752">
        <f>IFERROR(INDEX(Est2017DistRev!O:O,MATCH($A26,Est2017DistRev!$A:$A,),1),)</f>
        <v>0</v>
      </c>
      <c r="AL26" s="752">
        <f>IFERROR(INDEX(Est2017DistRev!P:P,MATCH($A26,Est2017DistRev!$A:$A,),1),)</f>
        <v>0</v>
      </c>
      <c r="AM26" s="752">
        <f>IFERROR(INDEX(Est2017DistRev!Q:Q,MATCH($A26,Est2017DistRev!$A:$A,),1),)</f>
        <v>0</v>
      </c>
      <c r="AN26" s="752">
        <f>IFERROR(INDEX(Est2017DistRev!R:R,MATCH($A26,Est2017DistRev!$A:$A,),1),)</f>
        <v>0</v>
      </c>
      <c r="AO26" s="752">
        <f>IFERROR(INDEX(Est2017DistRev!S:S,MATCH($A26,Est2017DistRev!$A:$A,),1),)</f>
        <v>0</v>
      </c>
      <c r="AP26" s="752">
        <f>IFERROR(INDEX(Est2017DistRev!T:T,MATCH($A26,Est2017DistRev!$A:$A,),1),)</f>
        <v>0</v>
      </c>
      <c r="AQ26" s="752">
        <f>IFERROR(INDEX(Est2017DistRev!U:U,MATCH($A26,Est2017DistRev!$A:$A,),1),)</f>
        <v>0</v>
      </c>
      <c r="AR26" s="752">
        <f>IFERROR(INDEX(Est2017DistRev!V:V,MATCH($A26,Est2017DistRev!$A:$A,),1),)</f>
        <v>0</v>
      </c>
      <c r="AS26" s="752">
        <f>IFERROR(INDEX(Est2017DistRev!W:W,MATCH($A26,Est2017DistRev!$A:$A,),1),)</f>
        <v>0</v>
      </c>
      <c r="AT26" s="753">
        <f>IFERROR(INDEX(Est2017DistRev!X:X,MATCH($A26,Est2017DistRev!$A:$A,),1),)</f>
        <v>0</v>
      </c>
      <c r="AV26" s="773">
        <v>1947.1728239646436</v>
      </c>
      <c r="AW26" s="771">
        <v>0</v>
      </c>
      <c r="AX26" s="771">
        <v>28963727.791959636</v>
      </c>
      <c r="AY26" s="771">
        <v>0</v>
      </c>
      <c r="AZ26" s="771">
        <v>0</v>
      </c>
      <c r="BA26" s="771">
        <v>15296835.410435298</v>
      </c>
      <c r="BB26" s="771">
        <v>0</v>
      </c>
      <c r="BC26" s="771">
        <v>0</v>
      </c>
      <c r="BD26" s="771">
        <v>0</v>
      </c>
      <c r="BE26" s="771">
        <v>0</v>
      </c>
      <c r="BF26" s="771">
        <v>0</v>
      </c>
      <c r="BG26" s="771">
        <v>0</v>
      </c>
      <c r="BH26" s="771">
        <v>0</v>
      </c>
      <c r="BI26" s="771">
        <v>0</v>
      </c>
      <c r="BJ26" s="771">
        <v>0</v>
      </c>
      <c r="BK26" s="771">
        <v>0</v>
      </c>
      <c r="BL26" s="771">
        <v>0</v>
      </c>
      <c r="BM26" s="771">
        <v>0</v>
      </c>
      <c r="BN26" s="771">
        <v>0</v>
      </c>
      <c r="BO26" s="771">
        <v>0</v>
      </c>
      <c r="BP26" s="772">
        <v>0</v>
      </c>
      <c r="BQ26" s="777"/>
      <c r="BR26" s="762">
        <f t="shared" si="5"/>
        <v>243396.60299558044</v>
      </c>
      <c r="BS26" s="763">
        <f t="shared" si="9"/>
        <v>0</v>
      </c>
      <c r="BT26" s="763">
        <f t="shared" si="9"/>
        <v>1911606.0342693361</v>
      </c>
      <c r="BU26" s="763">
        <f t="shared" si="9"/>
        <v>0</v>
      </c>
      <c r="BV26" s="763">
        <f t="shared" si="9"/>
        <v>0</v>
      </c>
      <c r="BW26" s="763">
        <f t="shared" si="9"/>
        <v>275343.03738783539</v>
      </c>
      <c r="BX26" s="763">
        <f t="shared" si="9"/>
        <v>0</v>
      </c>
      <c r="BY26" s="763">
        <f t="shared" si="9"/>
        <v>0</v>
      </c>
      <c r="BZ26" s="763">
        <f t="shared" si="9"/>
        <v>0</v>
      </c>
      <c r="CA26" s="763">
        <f t="shared" si="6"/>
        <v>0</v>
      </c>
      <c r="CB26" s="763">
        <f t="shared" si="6"/>
        <v>0</v>
      </c>
      <c r="CC26" s="763">
        <f t="shared" si="6"/>
        <v>0</v>
      </c>
      <c r="CD26" s="763">
        <f t="shared" si="6"/>
        <v>0</v>
      </c>
      <c r="CE26" s="763">
        <f t="shared" si="7"/>
        <v>0</v>
      </c>
      <c r="CF26" s="763">
        <f t="shared" si="7"/>
        <v>0</v>
      </c>
      <c r="CG26" s="763">
        <f t="shared" si="7"/>
        <v>0</v>
      </c>
      <c r="CH26" s="763">
        <f t="shared" si="7"/>
        <v>0</v>
      </c>
      <c r="CI26" s="763">
        <f t="shared" si="7"/>
        <v>0</v>
      </c>
      <c r="CJ26" s="763">
        <f t="shared" si="7"/>
        <v>0</v>
      </c>
      <c r="CK26" s="763">
        <f t="shared" si="7"/>
        <v>0</v>
      </c>
      <c r="CL26" s="763">
        <f t="shared" si="7"/>
        <v>0</v>
      </c>
      <c r="CM26" s="757">
        <f t="shared" si="8"/>
        <v>2430345.674652752</v>
      </c>
      <c r="CO26" s="762">
        <f>Z26*Vol!D26</f>
        <v>233660.73887575723</v>
      </c>
      <c r="CP26" s="763">
        <f>AA26*Vol!E26/100</f>
        <v>0</v>
      </c>
      <c r="CQ26" s="763">
        <f>AB26*Vol!F26/100</f>
        <v>1737823.667517578</v>
      </c>
      <c r="CR26" s="763">
        <f>AC26*Vol!G26/100</f>
        <v>0</v>
      </c>
      <c r="CS26" s="763">
        <f>AD26*Vol!H26/100</f>
        <v>0</v>
      </c>
      <c r="CT26" s="763">
        <f>AE26*Vol!I26/100</f>
        <v>249338.41719009532</v>
      </c>
      <c r="CU26" s="763">
        <f>AF26*Vol!J26/100</f>
        <v>0</v>
      </c>
      <c r="CV26" s="763">
        <f>AG26*Vol!K26/100</f>
        <v>0</v>
      </c>
      <c r="CW26" s="763">
        <f>AH26*Vol!L26/100</f>
        <v>0</v>
      </c>
      <c r="CX26" s="763">
        <f>AI26*Vol!M26</f>
        <v>0</v>
      </c>
      <c r="CY26" s="763">
        <f>AJ26*Vol!N26</f>
        <v>0</v>
      </c>
      <c r="CZ26" s="763">
        <f>AK26*Vol!O26</f>
        <v>0</v>
      </c>
      <c r="DA26" s="763">
        <f>AL26*Vol!P26</f>
        <v>0</v>
      </c>
      <c r="DB26" s="763">
        <f>AM26*Vol!Q26/100</f>
        <v>0</v>
      </c>
      <c r="DC26" s="763">
        <f>AN26*Vol!R26/100</f>
        <v>0</v>
      </c>
      <c r="DD26" s="763">
        <f>AO26*Vol!S26/100</f>
        <v>0</v>
      </c>
      <c r="DE26" s="763">
        <f>AP26*Vol!T26/100</f>
        <v>0</v>
      </c>
      <c r="DF26" s="763">
        <f>AQ26*Vol!U26/100</f>
        <v>0</v>
      </c>
      <c r="DG26" s="763">
        <f>AR26*Vol!V26/100</f>
        <v>0</v>
      </c>
      <c r="DH26" s="763">
        <f>AS26*Vol!W26/100</f>
        <v>0</v>
      </c>
      <c r="DI26" s="763">
        <f>AT26*Vol!X26/100</f>
        <v>0</v>
      </c>
      <c r="DJ26" s="757">
        <f t="shared" si="4"/>
        <v>2220822.8235834306</v>
      </c>
    </row>
    <row r="27" spans="1:114" s="748" customFormat="1">
      <c r="A27" s="748" t="s">
        <v>798</v>
      </c>
      <c r="B27" s="750" t="s">
        <v>564</v>
      </c>
      <c r="C27" s="750" t="s">
        <v>564</v>
      </c>
      <c r="D27" s="767">
        <v>145</v>
      </c>
      <c r="E27" s="768">
        <v>0</v>
      </c>
      <c r="F27" s="768">
        <v>0</v>
      </c>
      <c r="G27" s="768">
        <v>0</v>
      </c>
      <c r="H27" s="768">
        <v>0</v>
      </c>
      <c r="I27" s="768">
        <v>0</v>
      </c>
      <c r="J27" s="768">
        <v>0</v>
      </c>
      <c r="K27" s="768">
        <v>0</v>
      </c>
      <c r="L27" s="768">
        <v>0</v>
      </c>
      <c r="M27" s="768">
        <v>0</v>
      </c>
      <c r="N27" s="768">
        <v>0</v>
      </c>
      <c r="O27" s="768">
        <v>0</v>
      </c>
      <c r="P27" s="768">
        <v>0</v>
      </c>
      <c r="Q27" s="768">
        <v>11.09</v>
      </c>
      <c r="R27" s="768">
        <v>7.75</v>
      </c>
      <c r="S27" s="768">
        <v>3.06</v>
      </c>
      <c r="T27" s="768">
        <v>0</v>
      </c>
      <c r="U27" s="768">
        <v>11.09</v>
      </c>
      <c r="V27" s="768">
        <v>7.75</v>
      </c>
      <c r="W27" s="768">
        <v>3.06</v>
      </c>
      <c r="X27" s="769">
        <v>0</v>
      </c>
      <c r="Z27" s="751">
        <f>IFERROR(INDEX(Est2017DistRev!D:D,MATCH($A27,Est2017DistRev!$A:$A,),1),)</f>
        <v>140</v>
      </c>
      <c r="AA27" s="752">
        <f>IFERROR(INDEX(Est2017DistRev!E:E,MATCH($A27,Est2017DistRev!$A:$A,),1),)</f>
        <v>0</v>
      </c>
      <c r="AB27" s="752">
        <f>IFERROR(INDEX(Est2017DistRev!F:F,MATCH($A27,Est2017DistRev!$A:$A,),1),)</f>
        <v>0</v>
      </c>
      <c r="AC27" s="752">
        <f>IFERROR(INDEX(Est2017DistRev!G:G,MATCH($A27,Est2017DistRev!$A:$A,),1),)</f>
        <v>0</v>
      </c>
      <c r="AD27" s="752">
        <f>IFERROR(INDEX(Est2017DistRev!H:H,MATCH($A27,Est2017DistRev!$A:$A,),1),)</f>
        <v>0</v>
      </c>
      <c r="AE27" s="752">
        <f>IFERROR(INDEX(Est2017DistRev!I:I,MATCH($A27,Est2017DistRev!$A:$A,),1),)</f>
        <v>0</v>
      </c>
      <c r="AF27" s="752">
        <f>IFERROR(INDEX(Est2017DistRev!J:J,MATCH($A27,Est2017DistRev!$A:$A,),1),)</f>
        <v>0</v>
      </c>
      <c r="AG27" s="752">
        <f>IFERROR(INDEX(Est2017DistRev!K:K,MATCH($A27,Est2017DistRev!$A:$A,),1),)</f>
        <v>0</v>
      </c>
      <c r="AH27" s="752">
        <f>IFERROR(INDEX(Est2017DistRev!L:L,MATCH($A27,Est2017DistRev!$A:$A,),1),)</f>
        <v>0</v>
      </c>
      <c r="AI27" s="752">
        <f>IFERROR(INDEX(Est2017DistRev!M:M,MATCH($A27,Est2017DistRev!$A:$A,),1),)</f>
        <v>0</v>
      </c>
      <c r="AJ27" s="752">
        <f>IFERROR(INDEX(Est2017DistRev!N:N,MATCH($A27,Est2017DistRev!$A:$A,),1),)</f>
        <v>0</v>
      </c>
      <c r="AK27" s="752">
        <f>IFERROR(INDEX(Est2017DistRev!O:O,MATCH($A27,Est2017DistRev!$A:$A,),1),)</f>
        <v>0</v>
      </c>
      <c r="AL27" s="752">
        <f>IFERROR(INDEX(Est2017DistRev!P:P,MATCH($A27,Est2017DistRev!$A:$A,),1),)</f>
        <v>0</v>
      </c>
      <c r="AM27" s="752">
        <f>IFERROR(INDEX(Est2017DistRev!Q:Q,MATCH($A27,Est2017DistRev!$A:$A,),1),)</f>
        <v>10.08</v>
      </c>
      <c r="AN27" s="752">
        <f>IFERROR(INDEX(Est2017DistRev!R:R,MATCH($A27,Est2017DistRev!$A:$A,),1),)</f>
        <v>7.05</v>
      </c>
      <c r="AO27" s="752">
        <f>IFERROR(INDEX(Est2017DistRev!S:S,MATCH($A27,Est2017DistRev!$A:$A,),1),)</f>
        <v>2.77</v>
      </c>
      <c r="AP27" s="752">
        <f>IFERROR(INDEX(Est2017DistRev!T:T,MATCH($A27,Est2017DistRev!$A:$A,),1),)</f>
        <v>0</v>
      </c>
      <c r="AQ27" s="752">
        <f>IFERROR(INDEX(Est2017DistRev!U:U,MATCH($A27,Est2017DistRev!$A:$A,),1),)</f>
        <v>10.08</v>
      </c>
      <c r="AR27" s="752">
        <f>IFERROR(INDEX(Est2017DistRev!V:V,MATCH($A27,Est2017DistRev!$A:$A,),1),)</f>
        <v>7.05</v>
      </c>
      <c r="AS27" s="752">
        <f>IFERROR(INDEX(Est2017DistRev!W:W,MATCH($A27,Est2017DistRev!$A:$A,),1),)</f>
        <v>2.77</v>
      </c>
      <c r="AT27" s="753">
        <f>IFERROR(INDEX(Est2017DistRev!X:X,MATCH($A27,Est2017DistRev!$A:$A,),1),)</f>
        <v>0</v>
      </c>
      <c r="AV27" s="773">
        <v>21.102227884604787</v>
      </c>
      <c r="AW27" s="771">
        <v>0</v>
      </c>
      <c r="AX27" s="771">
        <v>0</v>
      </c>
      <c r="AY27" s="771">
        <v>0</v>
      </c>
      <c r="AZ27" s="771">
        <v>0</v>
      </c>
      <c r="BA27" s="771">
        <v>0</v>
      </c>
      <c r="BB27" s="771">
        <v>0</v>
      </c>
      <c r="BC27" s="771">
        <v>0</v>
      </c>
      <c r="BD27" s="771">
        <v>0</v>
      </c>
      <c r="BE27" s="771">
        <v>0</v>
      </c>
      <c r="BF27" s="771">
        <v>0</v>
      </c>
      <c r="BG27" s="771">
        <v>0</v>
      </c>
      <c r="BH27" s="771">
        <v>0</v>
      </c>
      <c r="BI27" s="771">
        <v>43821.569362858281</v>
      </c>
      <c r="BJ27" s="771">
        <v>12365.145540133803</v>
      </c>
      <c r="BK27" s="771">
        <v>36868.097137445991</v>
      </c>
      <c r="BL27" s="771">
        <v>0</v>
      </c>
      <c r="BM27" s="771">
        <v>161494.87127302433</v>
      </c>
      <c r="BN27" s="771">
        <v>41032.760510766886</v>
      </c>
      <c r="BO27" s="771">
        <v>110833.91500246867</v>
      </c>
      <c r="BP27" s="772">
        <v>0</v>
      </c>
      <c r="BQ27" s="777"/>
      <c r="BR27" s="762">
        <f t="shared" si="5"/>
        <v>3059.8230432676942</v>
      </c>
      <c r="BS27" s="763">
        <f t="shared" si="9"/>
        <v>0</v>
      </c>
      <c r="BT27" s="763">
        <f t="shared" si="9"/>
        <v>0</v>
      </c>
      <c r="BU27" s="763">
        <f t="shared" si="9"/>
        <v>0</v>
      </c>
      <c r="BV27" s="763">
        <f t="shared" si="9"/>
        <v>0</v>
      </c>
      <c r="BW27" s="763">
        <f t="shared" si="9"/>
        <v>0</v>
      </c>
      <c r="BX27" s="763">
        <f t="shared" si="9"/>
        <v>0</v>
      </c>
      <c r="BY27" s="763">
        <f t="shared" si="9"/>
        <v>0</v>
      </c>
      <c r="BZ27" s="763">
        <f t="shared" si="9"/>
        <v>0</v>
      </c>
      <c r="CA27" s="763">
        <f t="shared" si="6"/>
        <v>0</v>
      </c>
      <c r="CB27" s="763">
        <f t="shared" si="6"/>
        <v>0</v>
      </c>
      <c r="CC27" s="763">
        <f t="shared" si="6"/>
        <v>0</v>
      </c>
      <c r="CD27" s="763">
        <f t="shared" si="6"/>
        <v>0</v>
      </c>
      <c r="CE27" s="763">
        <f t="shared" si="7"/>
        <v>4859.8120423409837</v>
      </c>
      <c r="CF27" s="763">
        <f t="shared" si="7"/>
        <v>958.29877936036974</v>
      </c>
      <c r="CG27" s="763">
        <f t="shared" si="7"/>
        <v>1128.1637724058473</v>
      </c>
      <c r="CH27" s="763">
        <f t="shared" si="7"/>
        <v>0</v>
      </c>
      <c r="CI27" s="763">
        <f t="shared" si="7"/>
        <v>17909.781224178398</v>
      </c>
      <c r="CJ27" s="763">
        <f t="shared" si="7"/>
        <v>3180.0389395844336</v>
      </c>
      <c r="CK27" s="763">
        <f t="shared" si="7"/>
        <v>3391.5177990755415</v>
      </c>
      <c r="CL27" s="763">
        <f t="shared" si="7"/>
        <v>0</v>
      </c>
      <c r="CM27" s="757">
        <f t="shared" si="8"/>
        <v>34487.435600213263</v>
      </c>
      <c r="CO27" s="762">
        <f>Z27*Vol!D27</f>
        <v>2954.3119038446703</v>
      </c>
      <c r="CP27" s="763">
        <f>AA27*Vol!E27/100</f>
        <v>0</v>
      </c>
      <c r="CQ27" s="763">
        <f>AB27*Vol!F27/100</f>
        <v>0</v>
      </c>
      <c r="CR27" s="763">
        <f>AC27*Vol!G27/100</f>
        <v>0</v>
      </c>
      <c r="CS27" s="763">
        <f>AD27*Vol!H27/100</f>
        <v>0</v>
      </c>
      <c r="CT27" s="763">
        <f>AE27*Vol!I27/100</f>
        <v>0</v>
      </c>
      <c r="CU27" s="763">
        <f>AF27*Vol!J27/100</f>
        <v>0</v>
      </c>
      <c r="CV27" s="763">
        <f>AG27*Vol!K27/100</f>
        <v>0</v>
      </c>
      <c r="CW27" s="763">
        <f>AH27*Vol!L27/100</f>
        <v>0</v>
      </c>
      <c r="CX27" s="763">
        <f>AI27*Vol!M27</f>
        <v>0</v>
      </c>
      <c r="CY27" s="763">
        <f>AJ27*Vol!N27</f>
        <v>0</v>
      </c>
      <c r="CZ27" s="763">
        <f>AK27*Vol!O27</f>
        <v>0</v>
      </c>
      <c r="DA27" s="763">
        <f>AL27*Vol!P27</f>
        <v>0</v>
      </c>
      <c r="DB27" s="763">
        <f>AM27*Vol!Q27/100</f>
        <v>4417.2141917761146</v>
      </c>
      <c r="DC27" s="763">
        <f>AN27*Vol!R27/100</f>
        <v>871.74276057943314</v>
      </c>
      <c r="DD27" s="763">
        <f>AO27*Vol!S27/100</f>
        <v>1021.2462907072539</v>
      </c>
      <c r="DE27" s="763">
        <f>AP27*Vol!T27/100</f>
        <v>0</v>
      </c>
      <c r="DF27" s="763">
        <f>AQ27*Vol!U27/100</f>
        <v>16278.683024320851</v>
      </c>
      <c r="DG27" s="763">
        <f>AR27*Vol!V27/100</f>
        <v>2892.8096160090658</v>
      </c>
      <c r="DH27" s="763">
        <f>AS27*Vol!W27/100</f>
        <v>3070.0994455683817</v>
      </c>
      <c r="DI27" s="763">
        <f>AT27*Vol!X27/100</f>
        <v>0</v>
      </c>
      <c r="DJ27" s="757">
        <f t="shared" si="4"/>
        <v>31506.107232805771</v>
      </c>
    </row>
    <row r="28" spans="1:114" s="748" customFormat="1">
      <c r="A28" s="748" t="s">
        <v>799</v>
      </c>
      <c r="B28" s="750" t="s">
        <v>565</v>
      </c>
      <c r="C28" s="750" t="s">
        <v>565</v>
      </c>
      <c r="D28" s="767">
        <v>125</v>
      </c>
      <c r="E28" s="768">
        <v>0</v>
      </c>
      <c r="F28" s="768">
        <v>0</v>
      </c>
      <c r="G28" s="768">
        <v>0</v>
      </c>
      <c r="H28" s="768">
        <v>0</v>
      </c>
      <c r="I28" s="768">
        <v>0</v>
      </c>
      <c r="J28" s="768">
        <v>0</v>
      </c>
      <c r="K28" s="768">
        <v>0</v>
      </c>
      <c r="L28" s="768">
        <v>0</v>
      </c>
      <c r="M28" s="768">
        <v>0</v>
      </c>
      <c r="N28" s="768">
        <v>0</v>
      </c>
      <c r="O28" s="768">
        <v>0</v>
      </c>
      <c r="P28" s="768">
        <v>0</v>
      </c>
      <c r="Q28" s="768">
        <v>9.42</v>
      </c>
      <c r="R28" s="768">
        <v>6.58</v>
      </c>
      <c r="S28" s="768">
        <v>2.59</v>
      </c>
      <c r="T28" s="768">
        <v>0</v>
      </c>
      <c r="U28" s="768">
        <v>9.42</v>
      </c>
      <c r="V28" s="768">
        <v>6.58</v>
      </c>
      <c r="W28" s="768">
        <v>2.59</v>
      </c>
      <c r="X28" s="769">
        <v>0</v>
      </c>
      <c r="Z28" s="751">
        <f>IFERROR(INDEX(Est2017DistRev!D:D,MATCH($A28,Est2017DistRev!$A:$A,),1),)</f>
        <v>120</v>
      </c>
      <c r="AA28" s="752">
        <f>IFERROR(INDEX(Est2017DistRev!E:E,MATCH($A28,Est2017DistRev!$A:$A,),1),)</f>
        <v>0</v>
      </c>
      <c r="AB28" s="752">
        <f>IFERROR(INDEX(Est2017DistRev!F:F,MATCH($A28,Est2017DistRev!$A:$A,),1),)</f>
        <v>0</v>
      </c>
      <c r="AC28" s="752">
        <f>IFERROR(INDEX(Est2017DistRev!G:G,MATCH($A28,Est2017DistRev!$A:$A,),1),)</f>
        <v>0</v>
      </c>
      <c r="AD28" s="752">
        <f>IFERROR(INDEX(Est2017DistRev!H:H,MATCH($A28,Est2017DistRev!$A:$A,),1),)</f>
        <v>0</v>
      </c>
      <c r="AE28" s="752">
        <f>IFERROR(INDEX(Est2017DistRev!I:I,MATCH($A28,Est2017DistRev!$A:$A,),1),)</f>
        <v>0</v>
      </c>
      <c r="AF28" s="752">
        <f>IFERROR(INDEX(Est2017DistRev!J:J,MATCH($A28,Est2017DistRev!$A:$A,),1),)</f>
        <v>0</v>
      </c>
      <c r="AG28" s="752">
        <f>IFERROR(INDEX(Est2017DistRev!K:K,MATCH($A28,Est2017DistRev!$A:$A,),1),)</f>
        <v>0</v>
      </c>
      <c r="AH28" s="752">
        <f>IFERROR(INDEX(Est2017DistRev!L:L,MATCH($A28,Est2017DistRev!$A:$A,),1),)</f>
        <v>0</v>
      </c>
      <c r="AI28" s="752">
        <f>IFERROR(INDEX(Est2017DistRev!M:M,MATCH($A28,Est2017DistRev!$A:$A,),1),)</f>
        <v>0</v>
      </c>
      <c r="AJ28" s="752">
        <f>IFERROR(INDEX(Est2017DistRev!N:N,MATCH($A28,Est2017DistRev!$A:$A,),1),)</f>
        <v>0</v>
      </c>
      <c r="AK28" s="752">
        <f>IFERROR(INDEX(Est2017DistRev!O:O,MATCH($A28,Est2017DistRev!$A:$A,),1),)</f>
        <v>0</v>
      </c>
      <c r="AL28" s="752">
        <f>IFERROR(INDEX(Est2017DistRev!P:P,MATCH($A28,Est2017DistRev!$A:$A,),1),)</f>
        <v>0</v>
      </c>
      <c r="AM28" s="752">
        <f>IFERROR(INDEX(Est2017DistRev!Q:Q,MATCH($A28,Est2017DistRev!$A:$A,),1),)</f>
        <v>8.56</v>
      </c>
      <c r="AN28" s="752">
        <f>IFERROR(INDEX(Est2017DistRev!R:R,MATCH($A28,Est2017DistRev!$A:$A,),1),)</f>
        <v>5.98</v>
      </c>
      <c r="AO28" s="752">
        <f>IFERROR(INDEX(Est2017DistRev!S:S,MATCH($A28,Est2017DistRev!$A:$A,),1),)</f>
        <v>2.35</v>
      </c>
      <c r="AP28" s="752">
        <f>IFERROR(INDEX(Est2017DistRev!T:T,MATCH($A28,Est2017DistRev!$A:$A,),1),)</f>
        <v>0</v>
      </c>
      <c r="AQ28" s="752">
        <f>IFERROR(INDEX(Est2017DistRev!U:U,MATCH($A28,Est2017DistRev!$A:$A,),1),)</f>
        <v>8.56</v>
      </c>
      <c r="AR28" s="752">
        <f>IFERROR(INDEX(Est2017DistRev!V:V,MATCH($A28,Est2017DistRev!$A:$A,),1),)</f>
        <v>5.98</v>
      </c>
      <c r="AS28" s="752">
        <f>IFERROR(INDEX(Est2017DistRev!W:W,MATCH($A28,Est2017DistRev!$A:$A,),1),)</f>
        <v>2.35</v>
      </c>
      <c r="AT28" s="753">
        <f>IFERROR(INDEX(Est2017DistRev!X:X,MATCH($A28,Est2017DistRev!$A:$A,),1),)</f>
        <v>0</v>
      </c>
      <c r="AV28" s="773">
        <v>5</v>
      </c>
      <c r="AW28" s="771">
        <v>0</v>
      </c>
      <c r="AX28" s="771">
        <v>0</v>
      </c>
      <c r="AY28" s="771">
        <v>0</v>
      </c>
      <c r="AZ28" s="771">
        <v>0</v>
      </c>
      <c r="BA28" s="771">
        <v>0</v>
      </c>
      <c r="BB28" s="771">
        <v>0</v>
      </c>
      <c r="BC28" s="771">
        <v>0</v>
      </c>
      <c r="BD28" s="771">
        <v>0</v>
      </c>
      <c r="BE28" s="771">
        <v>0</v>
      </c>
      <c r="BF28" s="771">
        <v>0</v>
      </c>
      <c r="BG28" s="771">
        <v>0</v>
      </c>
      <c r="BH28" s="771">
        <v>0</v>
      </c>
      <c r="BI28" s="771">
        <v>10467.500468311788</v>
      </c>
      <c r="BJ28" s="771">
        <v>2361.8467108005088</v>
      </c>
      <c r="BK28" s="771">
        <v>7699.3201699207311</v>
      </c>
      <c r="BL28" s="771">
        <v>0</v>
      </c>
      <c r="BM28" s="771">
        <v>30024.781573814373</v>
      </c>
      <c r="BN28" s="771">
        <v>6386.5841435979974</v>
      </c>
      <c r="BO28" s="771">
        <v>20918.502315015376</v>
      </c>
      <c r="BP28" s="772">
        <v>0</v>
      </c>
      <c r="BQ28" s="777"/>
      <c r="BR28" s="762">
        <f t="shared" si="5"/>
        <v>625</v>
      </c>
      <c r="BS28" s="763">
        <f t="shared" si="9"/>
        <v>0</v>
      </c>
      <c r="BT28" s="763">
        <f t="shared" si="9"/>
        <v>0</v>
      </c>
      <c r="BU28" s="763">
        <f t="shared" si="9"/>
        <v>0</v>
      </c>
      <c r="BV28" s="763">
        <f t="shared" si="9"/>
        <v>0</v>
      </c>
      <c r="BW28" s="763">
        <f t="shared" si="9"/>
        <v>0</v>
      </c>
      <c r="BX28" s="763">
        <f t="shared" si="9"/>
        <v>0</v>
      </c>
      <c r="BY28" s="763">
        <f t="shared" si="9"/>
        <v>0</v>
      </c>
      <c r="BZ28" s="763">
        <f t="shared" si="9"/>
        <v>0</v>
      </c>
      <c r="CA28" s="763">
        <f t="shared" si="6"/>
        <v>0</v>
      </c>
      <c r="CB28" s="763">
        <f t="shared" si="6"/>
        <v>0</v>
      </c>
      <c r="CC28" s="763">
        <f t="shared" si="6"/>
        <v>0</v>
      </c>
      <c r="CD28" s="763">
        <f t="shared" si="6"/>
        <v>0</v>
      </c>
      <c r="CE28" s="763">
        <f t="shared" si="7"/>
        <v>986.03854411497048</v>
      </c>
      <c r="CF28" s="763">
        <f t="shared" si="7"/>
        <v>155.40951357067348</v>
      </c>
      <c r="CG28" s="763">
        <f t="shared" si="7"/>
        <v>199.41239240094694</v>
      </c>
      <c r="CH28" s="763">
        <f t="shared" si="7"/>
        <v>0</v>
      </c>
      <c r="CI28" s="763">
        <f t="shared" si="7"/>
        <v>2828.334424253314</v>
      </c>
      <c r="CJ28" s="763">
        <f t="shared" si="7"/>
        <v>420.23723664874819</v>
      </c>
      <c r="CK28" s="763">
        <f t="shared" si="7"/>
        <v>541.78920995889825</v>
      </c>
      <c r="CL28" s="763">
        <f t="shared" si="7"/>
        <v>0</v>
      </c>
      <c r="CM28" s="757">
        <f t="shared" si="8"/>
        <v>5756.2213209475503</v>
      </c>
      <c r="CO28" s="762">
        <f>Z28*Vol!D28</f>
        <v>600</v>
      </c>
      <c r="CP28" s="763">
        <f>AA28*Vol!E28/100</f>
        <v>0</v>
      </c>
      <c r="CQ28" s="763">
        <f>AB28*Vol!F28/100</f>
        <v>0</v>
      </c>
      <c r="CR28" s="763">
        <f>AC28*Vol!G28/100</f>
        <v>0</v>
      </c>
      <c r="CS28" s="763">
        <f>AD28*Vol!H28/100</f>
        <v>0</v>
      </c>
      <c r="CT28" s="763">
        <f>AE28*Vol!I28/100</f>
        <v>0</v>
      </c>
      <c r="CU28" s="763">
        <f>AF28*Vol!J28/100</f>
        <v>0</v>
      </c>
      <c r="CV28" s="763">
        <f>AG28*Vol!K28/100</f>
        <v>0</v>
      </c>
      <c r="CW28" s="763">
        <f>AH28*Vol!L28/100</f>
        <v>0</v>
      </c>
      <c r="CX28" s="763">
        <f>AI28*Vol!M28</f>
        <v>0</v>
      </c>
      <c r="CY28" s="763">
        <f>AJ28*Vol!N28</f>
        <v>0</v>
      </c>
      <c r="CZ28" s="763">
        <f>AK28*Vol!O28</f>
        <v>0</v>
      </c>
      <c r="DA28" s="763">
        <f>AL28*Vol!P28</f>
        <v>0</v>
      </c>
      <c r="DB28" s="763">
        <f>AM28*Vol!Q28/100</f>
        <v>896.01804008748911</v>
      </c>
      <c r="DC28" s="763">
        <f>AN28*Vol!R28/100</f>
        <v>141.23843330587044</v>
      </c>
      <c r="DD28" s="763">
        <f>AO28*Vol!S28/100</f>
        <v>180.9340239931372</v>
      </c>
      <c r="DE28" s="763">
        <f>AP28*Vol!T28/100</f>
        <v>0</v>
      </c>
      <c r="DF28" s="763">
        <f>AQ28*Vol!U28/100</f>
        <v>2570.1213027185104</v>
      </c>
      <c r="DG28" s="763">
        <f>AR28*Vol!V28/100</f>
        <v>381.91773178716028</v>
      </c>
      <c r="DH28" s="763">
        <f>AS28*Vol!W28/100</f>
        <v>491.58480440286132</v>
      </c>
      <c r="DI28" s="763">
        <f>AT28*Vol!X28/100</f>
        <v>0</v>
      </c>
      <c r="DJ28" s="757">
        <f t="shared" si="4"/>
        <v>5261.8143362950286</v>
      </c>
    </row>
    <row r="29" spans="1:114" s="748" customFormat="1">
      <c r="A29" s="748" t="s">
        <v>800</v>
      </c>
      <c r="B29" s="750" t="s">
        <v>566</v>
      </c>
      <c r="C29" s="750" t="s">
        <v>566</v>
      </c>
      <c r="D29" s="767">
        <v>145</v>
      </c>
      <c r="E29" s="768">
        <v>0</v>
      </c>
      <c r="F29" s="768">
        <v>7.16</v>
      </c>
      <c r="G29" s="768">
        <v>0</v>
      </c>
      <c r="H29" s="768">
        <v>0</v>
      </c>
      <c r="I29" s="768">
        <v>2.41</v>
      </c>
      <c r="J29" s="768">
        <v>0</v>
      </c>
      <c r="K29" s="768">
        <v>0</v>
      </c>
      <c r="L29" s="768">
        <v>0</v>
      </c>
      <c r="M29" s="768">
        <v>0</v>
      </c>
      <c r="N29" s="768">
        <v>0</v>
      </c>
      <c r="O29" s="768">
        <v>0</v>
      </c>
      <c r="P29" s="768">
        <v>0</v>
      </c>
      <c r="Q29" s="768">
        <v>0</v>
      </c>
      <c r="R29" s="768">
        <v>0</v>
      </c>
      <c r="S29" s="768">
        <v>0</v>
      </c>
      <c r="T29" s="768">
        <v>0</v>
      </c>
      <c r="U29" s="768">
        <v>0</v>
      </c>
      <c r="V29" s="768">
        <v>0</v>
      </c>
      <c r="W29" s="768">
        <v>0</v>
      </c>
      <c r="X29" s="769">
        <v>0</v>
      </c>
      <c r="Z29" s="751">
        <f>IFERROR(INDEX(Est2017DistRev!D:D,MATCH($A29,Est2017DistRev!$A:$A,),1),)</f>
        <v>140</v>
      </c>
      <c r="AA29" s="752">
        <f>IFERROR(INDEX(Est2017DistRev!E:E,MATCH($A29,Est2017DistRev!$A:$A,),1),)</f>
        <v>0</v>
      </c>
      <c r="AB29" s="752">
        <f>IFERROR(INDEX(Est2017DistRev!F:F,MATCH($A29,Est2017DistRev!$A:$A,),1),)</f>
        <v>6.51</v>
      </c>
      <c r="AC29" s="752">
        <f>IFERROR(INDEX(Est2017DistRev!G:G,MATCH($A29,Est2017DistRev!$A:$A,),1),)</f>
        <v>0</v>
      </c>
      <c r="AD29" s="752">
        <f>IFERROR(INDEX(Est2017DistRev!H:H,MATCH($A29,Est2017DistRev!$A:$A,),1),)</f>
        <v>0</v>
      </c>
      <c r="AE29" s="752">
        <f>IFERROR(INDEX(Est2017DistRev!I:I,MATCH($A29,Est2017DistRev!$A:$A,),1),)</f>
        <v>2.1800000000000002</v>
      </c>
      <c r="AF29" s="752">
        <f>IFERROR(INDEX(Est2017DistRev!J:J,MATCH($A29,Est2017DistRev!$A:$A,),1),)</f>
        <v>0</v>
      </c>
      <c r="AG29" s="752">
        <f>IFERROR(INDEX(Est2017DistRev!K:K,MATCH($A29,Est2017DistRev!$A:$A,),1),)</f>
        <v>0</v>
      </c>
      <c r="AH29" s="752">
        <f>IFERROR(INDEX(Est2017DistRev!L:L,MATCH($A29,Est2017DistRev!$A:$A,),1),)</f>
        <v>0</v>
      </c>
      <c r="AI29" s="752">
        <f>IFERROR(INDEX(Est2017DistRev!M:M,MATCH($A29,Est2017DistRev!$A:$A,),1),)</f>
        <v>0</v>
      </c>
      <c r="AJ29" s="752">
        <f>IFERROR(INDEX(Est2017DistRev!N:N,MATCH($A29,Est2017DistRev!$A:$A,),1),)</f>
        <v>0</v>
      </c>
      <c r="AK29" s="752">
        <f>IFERROR(INDEX(Est2017DistRev!O:O,MATCH($A29,Est2017DistRev!$A:$A,),1),)</f>
        <v>0</v>
      </c>
      <c r="AL29" s="752">
        <f>IFERROR(INDEX(Est2017DistRev!P:P,MATCH($A29,Est2017DistRev!$A:$A,),1),)</f>
        <v>0</v>
      </c>
      <c r="AM29" s="752">
        <f>IFERROR(INDEX(Est2017DistRev!Q:Q,MATCH($A29,Est2017DistRev!$A:$A,),1),)</f>
        <v>0</v>
      </c>
      <c r="AN29" s="752">
        <f>IFERROR(INDEX(Est2017DistRev!R:R,MATCH($A29,Est2017DistRev!$A:$A,),1),)</f>
        <v>0</v>
      </c>
      <c r="AO29" s="752">
        <f>IFERROR(INDEX(Est2017DistRev!S:S,MATCH($A29,Est2017DistRev!$A:$A,),1),)</f>
        <v>0</v>
      </c>
      <c r="AP29" s="752">
        <f>IFERROR(INDEX(Est2017DistRev!T:T,MATCH($A29,Est2017DistRev!$A:$A,),1),)</f>
        <v>0</v>
      </c>
      <c r="AQ29" s="752">
        <f>IFERROR(INDEX(Est2017DistRev!U:U,MATCH($A29,Est2017DistRev!$A:$A,),1),)</f>
        <v>0</v>
      </c>
      <c r="AR29" s="752">
        <f>IFERROR(INDEX(Est2017DistRev!V:V,MATCH($A29,Est2017DistRev!$A:$A,),1),)</f>
        <v>0</v>
      </c>
      <c r="AS29" s="752">
        <f>IFERROR(INDEX(Est2017DistRev!W:W,MATCH($A29,Est2017DistRev!$A:$A,),1),)</f>
        <v>0</v>
      </c>
      <c r="AT29" s="753">
        <f>IFERROR(INDEX(Est2017DistRev!X:X,MATCH($A29,Est2017DistRev!$A:$A,),1),)</f>
        <v>0</v>
      </c>
      <c r="AV29" s="773">
        <v>2322.444207091999</v>
      </c>
      <c r="AW29" s="771">
        <v>0</v>
      </c>
      <c r="AX29" s="771">
        <v>37314656.187938549</v>
      </c>
      <c r="AY29" s="771">
        <v>0</v>
      </c>
      <c r="AZ29" s="771">
        <v>0</v>
      </c>
      <c r="BA29" s="771">
        <v>8982959.3015620131</v>
      </c>
      <c r="BB29" s="771">
        <v>0</v>
      </c>
      <c r="BC29" s="771">
        <v>0</v>
      </c>
      <c r="BD29" s="771">
        <v>0</v>
      </c>
      <c r="BE29" s="771">
        <v>0</v>
      </c>
      <c r="BF29" s="771">
        <v>0</v>
      </c>
      <c r="BG29" s="771">
        <v>0</v>
      </c>
      <c r="BH29" s="771">
        <v>0</v>
      </c>
      <c r="BI29" s="771">
        <v>0</v>
      </c>
      <c r="BJ29" s="771">
        <v>0</v>
      </c>
      <c r="BK29" s="771">
        <v>0</v>
      </c>
      <c r="BL29" s="771">
        <v>0</v>
      </c>
      <c r="BM29" s="771">
        <v>0</v>
      </c>
      <c r="BN29" s="771">
        <v>0</v>
      </c>
      <c r="BO29" s="771">
        <v>0</v>
      </c>
      <c r="BP29" s="772">
        <v>0</v>
      </c>
      <c r="BQ29" s="777"/>
      <c r="BR29" s="762">
        <f t="shared" si="5"/>
        <v>336754.41002833989</v>
      </c>
      <c r="BS29" s="763">
        <f t="shared" si="9"/>
        <v>0</v>
      </c>
      <c r="BT29" s="763">
        <f t="shared" si="9"/>
        <v>2671729.3830563999</v>
      </c>
      <c r="BU29" s="763">
        <f t="shared" si="9"/>
        <v>0</v>
      </c>
      <c r="BV29" s="763">
        <f t="shared" si="9"/>
        <v>0</v>
      </c>
      <c r="BW29" s="763">
        <f t="shared" si="9"/>
        <v>216489.31916764451</v>
      </c>
      <c r="BX29" s="763">
        <f t="shared" si="9"/>
        <v>0</v>
      </c>
      <c r="BY29" s="763">
        <f t="shared" si="9"/>
        <v>0</v>
      </c>
      <c r="BZ29" s="763">
        <f t="shared" si="9"/>
        <v>0</v>
      </c>
      <c r="CA29" s="763">
        <f t="shared" si="6"/>
        <v>0</v>
      </c>
      <c r="CB29" s="763">
        <f t="shared" si="6"/>
        <v>0</v>
      </c>
      <c r="CC29" s="763">
        <f t="shared" si="6"/>
        <v>0</v>
      </c>
      <c r="CD29" s="763">
        <f t="shared" si="6"/>
        <v>0</v>
      </c>
      <c r="CE29" s="763">
        <f t="shared" si="7"/>
        <v>0</v>
      </c>
      <c r="CF29" s="763">
        <f t="shared" si="7"/>
        <v>0</v>
      </c>
      <c r="CG29" s="763">
        <f t="shared" si="7"/>
        <v>0</v>
      </c>
      <c r="CH29" s="763">
        <f t="shared" si="7"/>
        <v>0</v>
      </c>
      <c r="CI29" s="763">
        <f t="shared" si="7"/>
        <v>0</v>
      </c>
      <c r="CJ29" s="763">
        <f t="shared" si="7"/>
        <v>0</v>
      </c>
      <c r="CK29" s="763">
        <f t="shared" si="7"/>
        <v>0</v>
      </c>
      <c r="CL29" s="763">
        <f t="shared" si="7"/>
        <v>0</v>
      </c>
      <c r="CM29" s="757">
        <f t="shared" si="8"/>
        <v>3224973.1122523844</v>
      </c>
      <c r="CO29" s="762">
        <f>Z29*Vol!D29</f>
        <v>325142.18899287988</v>
      </c>
      <c r="CP29" s="763">
        <f>AA29*Vol!E29/100</f>
        <v>0</v>
      </c>
      <c r="CQ29" s="763">
        <f>AB29*Vol!F29/100</f>
        <v>2429184.1178347995</v>
      </c>
      <c r="CR29" s="763">
        <f>AC29*Vol!G29/100</f>
        <v>0</v>
      </c>
      <c r="CS29" s="763">
        <f>AD29*Vol!H29/100</f>
        <v>0</v>
      </c>
      <c r="CT29" s="763">
        <f>AE29*Vol!I29/100</f>
        <v>195828.51277405192</v>
      </c>
      <c r="CU29" s="763">
        <f>AF29*Vol!J29/100</f>
        <v>0</v>
      </c>
      <c r="CV29" s="763">
        <f>AG29*Vol!K29/100</f>
        <v>0</v>
      </c>
      <c r="CW29" s="763">
        <f>AH29*Vol!L29/100</f>
        <v>0</v>
      </c>
      <c r="CX29" s="763">
        <f>AI29*Vol!M29</f>
        <v>0</v>
      </c>
      <c r="CY29" s="763">
        <f>AJ29*Vol!N29</f>
        <v>0</v>
      </c>
      <c r="CZ29" s="763">
        <f>AK29*Vol!O29</f>
        <v>0</v>
      </c>
      <c r="DA29" s="763">
        <f>AL29*Vol!P29</f>
        <v>0</v>
      </c>
      <c r="DB29" s="763">
        <f>AM29*Vol!Q29/100</f>
        <v>0</v>
      </c>
      <c r="DC29" s="763">
        <f>AN29*Vol!R29/100</f>
        <v>0</v>
      </c>
      <c r="DD29" s="763">
        <f>AO29*Vol!S29/100</f>
        <v>0</v>
      </c>
      <c r="DE29" s="763">
        <f>AP29*Vol!T29/100</f>
        <v>0</v>
      </c>
      <c r="DF29" s="763">
        <f>AQ29*Vol!U29/100</f>
        <v>0</v>
      </c>
      <c r="DG29" s="763">
        <f>AR29*Vol!V29/100</f>
        <v>0</v>
      </c>
      <c r="DH29" s="763">
        <f>AS29*Vol!W29/100</f>
        <v>0</v>
      </c>
      <c r="DI29" s="763">
        <f>AT29*Vol!X29/100</f>
        <v>0</v>
      </c>
      <c r="DJ29" s="757">
        <f t="shared" si="4"/>
        <v>2950154.8196017314</v>
      </c>
    </row>
    <row r="30" spans="1:114" s="748" customFormat="1">
      <c r="A30" s="748" t="s">
        <v>801</v>
      </c>
      <c r="B30" s="750" t="s">
        <v>567</v>
      </c>
      <c r="C30" s="750" t="s">
        <v>567</v>
      </c>
      <c r="D30" s="767">
        <v>125</v>
      </c>
      <c r="E30" s="768">
        <v>0</v>
      </c>
      <c r="F30" s="768">
        <v>6.17</v>
      </c>
      <c r="G30" s="768">
        <v>0</v>
      </c>
      <c r="H30" s="768">
        <v>0</v>
      </c>
      <c r="I30" s="768">
        <v>1.8</v>
      </c>
      <c r="J30" s="768">
        <v>0</v>
      </c>
      <c r="K30" s="768">
        <v>0</v>
      </c>
      <c r="L30" s="768">
        <v>0</v>
      </c>
      <c r="M30" s="768">
        <v>0</v>
      </c>
      <c r="N30" s="768">
        <v>0</v>
      </c>
      <c r="O30" s="768">
        <v>0</v>
      </c>
      <c r="P30" s="768">
        <v>0</v>
      </c>
      <c r="Q30" s="768">
        <v>0</v>
      </c>
      <c r="R30" s="768">
        <v>0</v>
      </c>
      <c r="S30" s="768">
        <v>0</v>
      </c>
      <c r="T30" s="768">
        <v>0</v>
      </c>
      <c r="U30" s="768">
        <v>0</v>
      </c>
      <c r="V30" s="768">
        <v>0</v>
      </c>
      <c r="W30" s="768">
        <v>0</v>
      </c>
      <c r="X30" s="769">
        <v>0</v>
      </c>
      <c r="Z30" s="751">
        <f>IFERROR(INDEX(Est2017DistRev!D:D,MATCH($A30,Est2017DistRev!$A:$A,),1),)</f>
        <v>120</v>
      </c>
      <c r="AA30" s="752">
        <f>IFERROR(INDEX(Est2017DistRev!E:E,MATCH($A30,Est2017DistRev!$A:$A,),1),)</f>
        <v>0</v>
      </c>
      <c r="AB30" s="752">
        <f>IFERROR(INDEX(Est2017DistRev!F:F,MATCH($A30,Est2017DistRev!$A:$A,),1),)</f>
        <v>5.61</v>
      </c>
      <c r="AC30" s="752">
        <f>IFERROR(INDEX(Est2017DistRev!G:G,MATCH($A30,Est2017DistRev!$A:$A,),1),)</f>
        <v>0</v>
      </c>
      <c r="AD30" s="752">
        <f>IFERROR(INDEX(Est2017DistRev!H:H,MATCH($A30,Est2017DistRev!$A:$A,),1),)</f>
        <v>0</v>
      </c>
      <c r="AE30" s="752">
        <f>IFERROR(INDEX(Est2017DistRev!I:I,MATCH($A30,Est2017DistRev!$A:$A,),1),)</f>
        <v>1.63</v>
      </c>
      <c r="AF30" s="752">
        <f>IFERROR(INDEX(Est2017DistRev!J:J,MATCH($A30,Est2017DistRev!$A:$A,),1),)</f>
        <v>0</v>
      </c>
      <c r="AG30" s="752">
        <f>IFERROR(INDEX(Est2017DistRev!K:K,MATCH($A30,Est2017DistRev!$A:$A,),1),)</f>
        <v>0</v>
      </c>
      <c r="AH30" s="752">
        <f>IFERROR(INDEX(Est2017DistRev!L:L,MATCH($A30,Est2017DistRev!$A:$A,),1),)</f>
        <v>0</v>
      </c>
      <c r="AI30" s="752">
        <f>IFERROR(INDEX(Est2017DistRev!M:M,MATCH($A30,Est2017DistRev!$A:$A,),1),)</f>
        <v>0</v>
      </c>
      <c r="AJ30" s="752">
        <f>IFERROR(INDEX(Est2017DistRev!N:N,MATCH($A30,Est2017DistRev!$A:$A,),1),)</f>
        <v>0</v>
      </c>
      <c r="AK30" s="752">
        <f>IFERROR(INDEX(Est2017DistRev!O:O,MATCH($A30,Est2017DistRev!$A:$A,),1),)</f>
        <v>0</v>
      </c>
      <c r="AL30" s="752">
        <f>IFERROR(INDEX(Est2017DistRev!P:P,MATCH($A30,Est2017DistRev!$A:$A,),1),)</f>
        <v>0</v>
      </c>
      <c r="AM30" s="752">
        <f>IFERROR(INDEX(Est2017DistRev!Q:Q,MATCH($A30,Est2017DistRev!$A:$A,),1),)</f>
        <v>0</v>
      </c>
      <c r="AN30" s="752">
        <f>IFERROR(INDEX(Est2017DistRev!R:R,MATCH($A30,Est2017DistRev!$A:$A,),1),)</f>
        <v>0</v>
      </c>
      <c r="AO30" s="752">
        <f>IFERROR(INDEX(Est2017DistRev!S:S,MATCH($A30,Est2017DistRev!$A:$A,),1),)</f>
        <v>0</v>
      </c>
      <c r="AP30" s="752">
        <f>IFERROR(INDEX(Est2017DistRev!T:T,MATCH($A30,Est2017DistRev!$A:$A,),1),)</f>
        <v>0</v>
      </c>
      <c r="AQ30" s="752">
        <f>IFERROR(INDEX(Est2017DistRev!U:U,MATCH($A30,Est2017DistRev!$A:$A,),1),)</f>
        <v>0</v>
      </c>
      <c r="AR30" s="752">
        <f>IFERROR(INDEX(Est2017DistRev!V:V,MATCH($A30,Est2017DistRev!$A:$A,),1),)</f>
        <v>0</v>
      </c>
      <c r="AS30" s="752">
        <f>IFERROR(INDEX(Est2017DistRev!W:W,MATCH($A30,Est2017DistRev!$A:$A,),1),)</f>
        <v>0</v>
      </c>
      <c r="AT30" s="753">
        <f>IFERROR(INDEX(Est2017DistRev!X:X,MATCH($A30,Est2017DistRev!$A:$A,),1),)</f>
        <v>0</v>
      </c>
      <c r="AV30" s="773">
        <v>251.52691546810573</v>
      </c>
      <c r="AW30" s="771">
        <v>0</v>
      </c>
      <c r="AX30" s="771">
        <v>5172333.90074181</v>
      </c>
      <c r="AY30" s="771">
        <v>0</v>
      </c>
      <c r="AZ30" s="771">
        <v>0</v>
      </c>
      <c r="BA30" s="771">
        <v>1298680.7753647633</v>
      </c>
      <c r="BB30" s="771">
        <v>0</v>
      </c>
      <c r="BC30" s="771">
        <v>0</v>
      </c>
      <c r="BD30" s="771">
        <v>0</v>
      </c>
      <c r="BE30" s="771">
        <v>0</v>
      </c>
      <c r="BF30" s="771">
        <v>0</v>
      </c>
      <c r="BG30" s="771">
        <v>0</v>
      </c>
      <c r="BH30" s="771">
        <v>0</v>
      </c>
      <c r="BI30" s="771">
        <v>0</v>
      </c>
      <c r="BJ30" s="771">
        <v>0</v>
      </c>
      <c r="BK30" s="771">
        <v>0</v>
      </c>
      <c r="BL30" s="771">
        <v>0</v>
      </c>
      <c r="BM30" s="771">
        <v>0</v>
      </c>
      <c r="BN30" s="771">
        <v>0</v>
      </c>
      <c r="BO30" s="771">
        <v>0</v>
      </c>
      <c r="BP30" s="772">
        <v>0</v>
      </c>
      <c r="BQ30" s="777"/>
      <c r="BR30" s="762">
        <f t="shared" si="5"/>
        <v>31440.864433513216</v>
      </c>
      <c r="BS30" s="763">
        <f t="shared" si="9"/>
        <v>0</v>
      </c>
      <c r="BT30" s="763">
        <f t="shared" si="9"/>
        <v>319133.00167576969</v>
      </c>
      <c r="BU30" s="763">
        <f t="shared" si="9"/>
        <v>0</v>
      </c>
      <c r="BV30" s="763">
        <f t="shared" si="9"/>
        <v>0</v>
      </c>
      <c r="BW30" s="763">
        <f t="shared" si="9"/>
        <v>23376.253956565743</v>
      </c>
      <c r="BX30" s="763">
        <f t="shared" si="9"/>
        <v>0</v>
      </c>
      <c r="BY30" s="763">
        <f t="shared" si="9"/>
        <v>0</v>
      </c>
      <c r="BZ30" s="763">
        <f t="shared" si="9"/>
        <v>0</v>
      </c>
      <c r="CA30" s="763">
        <f t="shared" si="6"/>
        <v>0</v>
      </c>
      <c r="CB30" s="763">
        <f t="shared" si="6"/>
        <v>0</v>
      </c>
      <c r="CC30" s="763">
        <f t="shared" si="6"/>
        <v>0</v>
      </c>
      <c r="CD30" s="763">
        <f t="shared" si="6"/>
        <v>0</v>
      </c>
      <c r="CE30" s="763">
        <f t="shared" si="7"/>
        <v>0</v>
      </c>
      <c r="CF30" s="763">
        <f t="shared" si="7"/>
        <v>0</v>
      </c>
      <c r="CG30" s="763">
        <f t="shared" si="7"/>
        <v>0</v>
      </c>
      <c r="CH30" s="763">
        <f t="shared" si="7"/>
        <v>0</v>
      </c>
      <c r="CI30" s="763">
        <f t="shared" si="7"/>
        <v>0</v>
      </c>
      <c r="CJ30" s="763">
        <f t="shared" si="7"/>
        <v>0</v>
      </c>
      <c r="CK30" s="763">
        <f t="shared" si="7"/>
        <v>0</v>
      </c>
      <c r="CL30" s="763">
        <f t="shared" si="7"/>
        <v>0</v>
      </c>
      <c r="CM30" s="757">
        <f t="shared" si="8"/>
        <v>373950.12006584863</v>
      </c>
      <c r="CO30" s="762">
        <f>Z30*Vol!D30</f>
        <v>30183.229856172686</v>
      </c>
      <c r="CP30" s="763">
        <f>AA30*Vol!E30/100</f>
        <v>0</v>
      </c>
      <c r="CQ30" s="763">
        <f>AB30*Vol!F30/100</f>
        <v>290167.93183161557</v>
      </c>
      <c r="CR30" s="763">
        <f>AC30*Vol!G30/100</f>
        <v>0</v>
      </c>
      <c r="CS30" s="763">
        <f>AD30*Vol!H30/100</f>
        <v>0</v>
      </c>
      <c r="CT30" s="763">
        <f>AE30*Vol!I30/100</f>
        <v>21168.496638445638</v>
      </c>
      <c r="CU30" s="763">
        <f>AF30*Vol!J30/100</f>
        <v>0</v>
      </c>
      <c r="CV30" s="763">
        <f>AG30*Vol!K30/100</f>
        <v>0</v>
      </c>
      <c r="CW30" s="763">
        <f>AH30*Vol!L30/100</f>
        <v>0</v>
      </c>
      <c r="CX30" s="763">
        <f>AI30*Vol!M30</f>
        <v>0</v>
      </c>
      <c r="CY30" s="763">
        <f>AJ30*Vol!N30</f>
        <v>0</v>
      </c>
      <c r="CZ30" s="763">
        <f>AK30*Vol!O30</f>
        <v>0</v>
      </c>
      <c r="DA30" s="763">
        <f>AL30*Vol!P30</f>
        <v>0</v>
      </c>
      <c r="DB30" s="763">
        <f>AM30*Vol!Q30/100</f>
        <v>0</v>
      </c>
      <c r="DC30" s="763">
        <f>AN30*Vol!R30/100</f>
        <v>0</v>
      </c>
      <c r="DD30" s="763">
        <f>AO30*Vol!S30/100</f>
        <v>0</v>
      </c>
      <c r="DE30" s="763">
        <f>AP30*Vol!T30/100</f>
        <v>0</v>
      </c>
      <c r="DF30" s="763">
        <f>AQ30*Vol!U30/100</f>
        <v>0</v>
      </c>
      <c r="DG30" s="763">
        <f>AR30*Vol!V30/100</f>
        <v>0</v>
      </c>
      <c r="DH30" s="763">
        <f>AS30*Vol!W30/100</f>
        <v>0</v>
      </c>
      <c r="DI30" s="763">
        <f>AT30*Vol!X30/100</f>
        <v>0</v>
      </c>
      <c r="DJ30" s="757">
        <f t="shared" si="4"/>
        <v>341519.65832623391</v>
      </c>
    </row>
    <row r="31" spans="1:114" s="748" customFormat="1">
      <c r="A31" s="748" t="s">
        <v>802</v>
      </c>
      <c r="B31" s="750" t="s">
        <v>568</v>
      </c>
      <c r="C31" s="750" t="s">
        <v>568</v>
      </c>
      <c r="D31" s="767">
        <v>145</v>
      </c>
      <c r="E31" s="768">
        <v>0</v>
      </c>
      <c r="F31" s="768">
        <v>9.1</v>
      </c>
      <c r="G31" s="768">
        <v>0</v>
      </c>
      <c r="H31" s="768">
        <v>0</v>
      </c>
      <c r="I31" s="768">
        <v>2.41</v>
      </c>
      <c r="J31" s="768">
        <v>0</v>
      </c>
      <c r="K31" s="768">
        <v>0</v>
      </c>
      <c r="L31" s="768">
        <v>0</v>
      </c>
      <c r="M31" s="768">
        <v>0</v>
      </c>
      <c r="N31" s="768">
        <v>0</v>
      </c>
      <c r="O31" s="768">
        <v>0</v>
      </c>
      <c r="P31" s="768">
        <v>0</v>
      </c>
      <c r="Q31" s="768">
        <v>0</v>
      </c>
      <c r="R31" s="768">
        <v>0</v>
      </c>
      <c r="S31" s="768">
        <v>0</v>
      </c>
      <c r="T31" s="768">
        <v>0</v>
      </c>
      <c r="U31" s="768">
        <v>0</v>
      </c>
      <c r="V31" s="768">
        <v>0</v>
      </c>
      <c r="W31" s="768">
        <v>0</v>
      </c>
      <c r="X31" s="769">
        <v>0</v>
      </c>
      <c r="Z31" s="751">
        <f>IFERROR(INDEX(Est2017DistRev!D:D,MATCH($A31,Est2017DistRev!$A:$A,),1),)</f>
        <v>140</v>
      </c>
      <c r="AA31" s="752">
        <f>IFERROR(INDEX(Est2017DistRev!E:E,MATCH($A31,Est2017DistRev!$A:$A,),1),)</f>
        <v>0</v>
      </c>
      <c r="AB31" s="752">
        <f>IFERROR(INDEX(Est2017DistRev!F:F,MATCH($A31,Est2017DistRev!$A:$A,),1),)</f>
        <v>8.27</v>
      </c>
      <c r="AC31" s="752">
        <f>IFERROR(INDEX(Est2017DistRev!G:G,MATCH($A31,Est2017DistRev!$A:$A,),1),)</f>
        <v>0</v>
      </c>
      <c r="AD31" s="752">
        <f>IFERROR(INDEX(Est2017DistRev!H:H,MATCH($A31,Est2017DistRev!$A:$A,),1),)</f>
        <v>0</v>
      </c>
      <c r="AE31" s="752">
        <f>IFERROR(INDEX(Est2017DistRev!I:I,MATCH($A31,Est2017DistRev!$A:$A,),1),)</f>
        <v>2.1800000000000002</v>
      </c>
      <c r="AF31" s="752">
        <f>IFERROR(INDEX(Est2017DistRev!J:J,MATCH($A31,Est2017DistRev!$A:$A,),1),)</f>
        <v>0</v>
      </c>
      <c r="AG31" s="752">
        <f>IFERROR(INDEX(Est2017DistRev!K:K,MATCH($A31,Est2017DistRev!$A:$A,),1),)</f>
        <v>0</v>
      </c>
      <c r="AH31" s="752">
        <f>IFERROR(INDEX(Est2017DistRev!L:L,MATCH($A31,Est2017DistRev!$A:$A,),1),)</f>
        <v>0</v>
      </c>
      <c r="AI31" s="752">
        <f>IFERROR(INDEX(Est2017DistRev!M:M,MATCH($A31,Est2017DistRev!$A:$A,),1),)</f>
        <v>0</v>
      </c>
      <c r="AJ31" s="752">
        <f>IFERROR(INDEX(Est2017DistRev!N:N,MATCH($A31,Est2017DistRev!$A:$A,),1),)</f>
        <v>0</v>
      </c>
      <c r="AK31" s="752">
        <f>IFERROR(INDEX(Est2017DistRev!O:O,MATCH($A31,Est2017DistRev!$A:$A,),1),)</f>
        <v>0</v>
      </c>
      <c r="AL31" s="752">
        <f>IFERROR(INDEX(Est2017DistRev!P:P,MATCH($A31,Est2017DistRev!$A:$A,),1),)</f>
        <v>0</v>
      </c>
      <c r="AM31" s="752">
        <f>IFERROR(INDEX(Est2017DistRev!Q:Q,MATCH($A31,Est2017DistRev!$A:$A,),1),)</f>
        <v>0</v>
      </c>
      <c r="AN31" s="752">
        <f>IFERROR(INDEX(Est2017DistRev!R:R,MATCH($A31,Est2017DistRev!$A:$A,),1),)</f>
        <v>0</v>
      </c>
      <c r="AO31" s="752">
        <f>IFERROR(INDEX(Est2017DistRev!S:S,MATCH($A31,Est2017DistRev!$A:$A,),1),)</f>
        <v>0</v>
      </c>
      <c r="AP31" s="752">
        <f>IFERROR(INDEX(Est2017DistRev!T:T,MATCH($A31,Est2017DistRev!$A:$A,),1),)</f>
        <v>0</v>
      </c>
      <c r="AQ31" s="752">
        <f>IFERROR(INDEX(Est2017DistRev!U:U,MATCH($A31,Est2017DistRev!$A:$A,),1),)</f>
        <v>0</v>
      </c>
      <c r="AR31" s="752">
        <f>IFERROR(INDEX(Est2017DistRev!V:V,MATCH($A31,Est2017DistRev!$A:$A,),1),)</f>
        <v>0</v>
      </c>
      <c r="AS31" s="752">
        <f>IFERROR(INDEX(Est2017DistRev!W:W,MATCH($A31,Est2017DistRev!$A:$A,),1),)</f>
        <v>0</v>
      </c>
      <c r="AT31" s="753">
        <f>IFERROR(INDEX(Est2017DistRev!X:X,MATCH($A31,Est2017DistRev!$A:$A,),1),)</f>
        <v>0</v>
      </c>
      <c r="AV31" s="773">
        <v>4</v>
      </c>
      <c r="AW31" s="771">
        <v>0</v>
      </c>
      <c r="AX31" s="771">
        <v>224820.2679166478</v>
      </c>
      <c r="AY31" s="771">
        <v>0</v>
      </c>
      <c r="AZ31" s="771">
        <v>0</v>
      </c>
      <c r="BA31" s="771">
        <v>61632.40762098199</v>
      </c>
      <c r="BB31" s="771">
        <v>0</v>
      </c>
      <c r="BC31" s="771">
        <v>0</v>
      </c>
      <c r="BD31" s="771">
        <v>0</v>
      </c>
      <c r="BE31" s="771">
        <v>0</v>
      </c>
      <c r="BF31" s="771">
        <v>0</v>
      </c>
      <c r="BG31" s="771">
        <v>0</v>
      </c>
      <c r="BH31" s="771">
        <v>0</v>
      </c>
      <c r="BI31" s="771">
        <v>0</v>
      </c>
      <c r="BJ31" s="771">
        <v>0</v>
      </c>
      <c r="BK31" s="771">
        <v>0</v>
      </c>
      <c r="BL31" s="771">
        <v>0</v>
      </c>
      <c r="BM31" s="771">
        <v>0</v>
      </c>
      <c r="BN31" s="771">
        <v>0</v>
      </c>
      <c r="BO31" s="771">
        <v>0</v>
      </c>
      <c r="BP31" s="772">
        <v>0</v>
      </c>
      <c r="BQ31" s="777"/>
      <c r="BR31" s="762">
        <f t="shared" si="5"/>
        <v>580</v>
      </c>
      <c r="BS31" s="763">
        <f t="shared" si="9"/>
        <v>0</v>
      </c>
      <c r="BT31" s="763">
        <f t="shared" si="9"/>
        <v>20458.644380414949</v>
      </c>
      <c r="BU31" s="763">
        <f t="shared" si="9"/>
        <v>0</v>
      </c>
      <c r="BV31" s="763">
        <f t="shared" si="9"/>
        <v>0</v>
      </c>
      <c r="BW31" s="763">
        <f t="shared" si="9"/>
        <v>1485.3410236656659</v>
      </c>
      <c r="BX31" s="763">
        <f t="shared" si="9"/>
        <v>0</v>
      </c>
      <c r="BY31" s="763">
        <f t="shared" si="9"/>
        <v>0</v>
      </c>
      <c r="BZ31" s="763">
        <f t="shared" si="9"/>
        <v>0</v>
      </c>
      <c r="CA31" s="763">
        <f t="shared" si="6"/>
        <v>0</v>
      </c>
      <c r="CB31" s="763">
        <f t="shared" si="6"/>
        <v>0</v>
      </c>
      <c r="CC31" s="763">
        <f t="shared" si="6"/>
        <v>0</v>
      </c>
      <c r="CD31" s="763">
        <f t="shared" si="6"/>
        <v>0</v>
      </c>
      <c r="CE31" s="763">
        <f t="shared" si="7"/>
        <v>0</v>
      </c>
      <c r="CF31" s="763">
        <f t="shared" si="7"/>
        <v>0</v>
      </c>
      <c r="CG31" s="763">
        <f t="shared" si="7"/>
        <v>0</v>
      </c>
      <c r="CH31" s="763">
        <f t="shared" si="7"/>
        <v>0</v>
      </c>
      <c r="CI31" s="763">
        <f t="shared" si="7"/>
        <v>0</v>
      </c>
      <c r="CJ31" s="763">
        <f t="shared" si="7"/>
        <v>0</v>
      </c>
      <c r="CK31" s="763">
        <f t="shared" si="7"/>
        <v>0</v>
      </c>
      <c r="CL31" s="763">
        <f t="shared" si="7"/>
        <v>0</v>
      </c>
      <c r="CM31" s="757">
        <f t="shared" si="8"/>
        <v>22523.985404080617</v>
      </c>
      <c r="CO31" s="762">
        <f>Z31*Vol!D31</f>
        <v>560</v>
      </c>
      <c r="CP31" s="763">
        <f>AA31*Vol!E31/100</f>
        <v>0</v>
      </c>
      <c r="CQ31" s="763">
        <f>AB31*Vol!F31/100</f>
        <v>18592.636156706772</v>
      </c>
      <c r="CR31" s="763">
        <f>AC31*Vol!G31/100</f>
        <v>0</v>
      </c>
      <c r="CS31" s="763">
        <f>AD31*Vol!H31/100</f>
        <v>0</v>
      </c>
      <c r="CT31" s="763">
        <f>AE31*Vol!I31/100</f>
        <v>1343.5864861374075</v>
      </c>
      <c r="CU31" s="763">
        <f>AF31*Vol!J31/100</f>
        <v>0</v>
      </c>
      <c r="CV31" s="763">
        <f>AG31*Vol!K31/100</f>
        <v>0</v>
      </c>
      <c r="CW31" s="763">
        <f>AH31*Vol!L31/100</f>
        <v>0</v>
      </c>
      <c r="CX31" s="763">
        <f>AI31*Vol!M31</f>
        <v>0</v>
      </c>
      <c r="CY31" s="763">
        <f>AJ31*Vol!N31</f>
        <v>0</v>
      </c>
      <c r="CZ31" s="763">
        <f>AK31*Vol!O31</f>
        <v>0</v>
      </c>
      <c r="DA31" s="763">
        <f>AL31*Vol!P31</f>
        <v>0</v>
      </c>
      <c r="DB31" s="763">
        <f>AM31*Vol!Q31/100</f>
        <v>0</v>
      </c>
      <c r="DC31" s="763">
        <f>AN31*Vol!R31/100</f>
        <v>0</v>
      </c>
      <c r="DD31" s="763">
        <f>AO31*Vol!S31/100</f>
        <v>0</v>
      </c>
      <c r="DE31" s="763">
        <f>AP31*Vol!T31/100</f>
        <v>0</v>
      </c>
      <c r="DF31" s="763">
        <f>AQ31*Vol!U31/100</f>
        <v>0</v>
      </c>
      <c r="DG31" s="763">
        <f>AR31*Vol!V31/100</f>
        <v>0</v>
      </c>
      <c r="DH31" s="763">
        <f>AS31*Vol!W31/100</f>
        <v>0</v>
      </c>
      <c r="DI31" s="763">
        <f>AT31*Vol!X31/100</f>
        <v>0</v>
      </c>
      <c r="DJ31" s="757">
        <f t="shared" si="4"/>
        <v>20496.222642844179</v>
      </c>
    </row>
    <row r="32" spans="1:114" s="748" customFormat="1">
      <c r="A32" s="748" t="s">
        <v>803</v>
      </c>
      <c r="B32" s="750" t="s">
        <v>598</v>
      </c>
      <c r="C32" s="750" t="s">
        <v>598</v>
      </c>
      <c r="D32" s="767">
        <v>145</v>
      </c>
      <c r="E32" s="768">
        <v>3.32</v>
      </c>
      <c r="F32" s="768">
        <v>0</v>
      </c>
      <c r="G32" s="768">
        <v>0</v>
      </c>
      <c r="H32" s="768">
        <v>0</v>
      </c>
      <c r="I32" s="768">
        <v>0</v>
      </c>
      <c r="J32" s="768">
        <v>0</v>
      </c>
      <c r="K32" s="768">
        <v>0</v>
      </c>
      <c r="L32" s="768">
        <v>0</v>
      </c>
      <c r="M32" s="768">
        <v>0</v>
      </c>
      <c r="N32" s="768">
        <v>0</v>
      </c>
      <c r="O32" s="768">
        <v>10.59</v>
      </c>
      <c r="P32" s="768">
        <v>3.53</v>
      </c>
      <c r="Q32" s="768">
        <v>0</v>
      </c>
      <c r="R32" s="768">
        <v>0</v>
      </c>
      <c r="S32" s="768">
        <v>0</v>
      </c>
      <c r="T32" s="768">
        <v>0</v>
      </c>
      <c r="U32" s="768">
        <v>0</v>
      </c>
      <c r="V32" s="768">
        <v>0</v>
      </c>
      <c r="W32" s="768">
        <v>0</v>
      </c>
      <c r="X32" s="769">
        <v>0</v>
      </c>
      <c r="Z32" s="751">
        <f>IFERROR(INDEX(Est2017DistRev!D:D,MATCH($A32,Est2017DistRev!$A:$A,),1),)</f>
        <v>140</v>
      </c>
      <c r="AA32" s="752">
        <f>IFERROR(INDEX(Est2017DistRev!E:E,MATCH($A32,Est2017DistRev!$A:$A,),1),)</f>
        <v>3.01</v>
      </c>
      <c r="AB32" s="752">
        <f>IFERROR(INDEX(Est2017DistRev!F:F,MATCH($A32,Est2017DistRev!$A:$A,),1),)</f>
        <v>0</v>
      </c>
      <c r="AC32" s="752">
        <f>IFERROR(INDEX(Est2017DistRev!G:G,MATCH($A32,Est2017DistRev!$A:$A,),1),)</f>
        <v>0</v>
      </c>
      <c r="AD32" s="752">
        <f>IFERROR(INDEX(Est2017DistRev!H:H,MATCH($A32,Est2017DistRev!$A:$A,),1),)</f>
        <v>0</v>
      </c>
      <c r="AE32" s="752">
        <f>IFERROR(INDEX(Est2017DistRev!I:I,MATCH($A32,Est2017DistRev!$A:$A,),1),)</f>
        <v>0</v>
      </c>
      <c r="AF32" s="752">
        <f>IFERROR(INDEX(Est2017DistRev!J:J,MATCH($A32,Est2017DistRev!$A:$A,),1),)</f>
        <v>0</v>
      </c>
      <c r="AG32" s="752">
        <f>IFERROR(INDEX(Est2017DistRev!K:K,MATCH($A32,Est2017DistRev!$A:$A,),1),)</f>
        <v>0</v>
      </c>
      <c r="AH32" s="752">
        <f>IFERROR(INDEX(Est2017DistRev!L:L,MATCH($A32,Est2017DistRev!$A:$A,),1),)</f>
        <v>0</v>
      </c>
      <c r="AI32" s="752">
        <f>IFERROR(INDEX(Est2017DistRev!M:M,MATCH($A32,Est2017DistRev!$A:$A,),1),)</f>
        <v>0</v>
      </c>
      <c r="AJ32" s="752">
        <f>IFERROR(INDEX(Est2017DistRev!N:N,MATCH($A32,Est2017DistRev!$A:$A,),1),)</f>
        <v>0</v>
      </c>
      <c r="AK32" s="752">
        <f>IFERROR(INDEX(Est2017DistRev!O:O,MATCH($A32,Est2017DistRev!$A:$A,),1),)</f>
        <v>9.64</v>
      </c>
      <c r="AL32" s="752">
        <f>IFERROR(INDEX(Est2017DistRev!P:P,MATCH($A32,Est2017DistRev!$A:$A,),1),)</f>
        <v>3.21</v>
      </c>
      <c r="AM32" s="752">
        <f>IFERROR(INDEX(Est2017DistRev!Q:Q,MATCH($A32,Est2017DistRev!$A:$A,),1),)</f>
        <v>0</v>
      </c>
      <c r="AN32" s="752">
        <f>IFERROR(INDEX(Est2017DistRev!R:R,MATCH($A32,Est2017DistRev!$A:$A,),1),)</f>
        <v>0</v>
      </c>
      <c r="AO32" s="752">
        <f>IFERROR(INDEX(Est2017DistRev!S:S,MATCH($A32,Est2017DistRev!$A:$A,),1),)</f>
        <v>0</v>
      </c>
      <c r="AP32" s="752">
        <f>IFERROR(INDEX(Est2017DistRev!T:T,MATCH($A32,Est2017DistRev!$A:$A,),1),)</f>
        <v>0</v>
      </c>
      <c r="AQ32" s="752">
        <f>IFERROR(INDEX(Est2017DistRev!U:U,MATCH($A32,Est2017DistRev!$A:$A,),1),)</f>
        <v>0</v>
      </c>
      <c r="AR32" s="752">
        <f>IFERROR(INDEX(Est2017DistRev!V:V,MATCH($A32,Est2017DistRev!$A:$A,),1),)</f>
        <v>0</v>
      </c>
      <c r="AS32" s="752">
        <f>IFERROR(INDEX(Est2017DistRev!W:W,MATCH($A32,Est2017DistRev!$A:$A,),1),)</f>
        <v>0</v>
      </c>
      <c r="AT32" s="753">
        <f>IFERROR(INDEX(Est2017DistRev!X:X,MATCH($A32,Est2017DistRev!$A:$A,),1),)</f>
        <v>0</v>
      </c>
      <c r="AV32" s="773">
        <v>5</v>
      </c>
      <c r="AW32" s="771">
        <v>100000</v>
      </c>
      <c r="AX32" s="771">
        <v>0</v>
      </c>
      <c r="AY32" s="771">
        <v>0</v>
      </c>
      <c r="AZ32" s="771">
        <v>0</v>
      </c>
      <c r="BA32" s="771">
        <v>0</v>
      </c>
      <c r="BB32" s="771">
        <v>0</v>
      </c>
      <c r="BC32" s="771">
        <v>0</v>
      </c>
      <c r="BD32" s="771">
        <v>0</v>
      </c>
      <c r="BE32" s="771">
        <v>0</v>
      </c>
      <c r="BF32" s="771">
        <v>0</v>
      </c>
      <c r="BG32" s="771">
        <v>130.46314416177432</v>
      </c>
      <c r="BH32" s="771">
        <v>228.31050228310502</v>
      </c>
      <c r="BI32" s="771">
        <v>0</v>
      </c>
      <c r="BJ32" s="771">
        <v>0</v>
      </c>
      <c r="BK32" s="771">
        <v>0</v>
      </c>
      <c r="BL32" s="771">
        <v>0</v>
      </c>
      <c r="BM32" s="771">
        <v>0</v>
      </c>
      <c r="BN32" s="771">
        <v>0</v>
      </c>
      <c r="BO32" s="771">
        <v>0</v>
      </c>
      <c r="BP32" s="772">
        <v>0</v>
      </c>
      <c r="BQ32" s="777"/>
      <c r="BR32" s="762">
        <f t="shared" si="5"/>
        <v>725</v>
      </c>
      <c r="BS32" s="763">
        <f t="shared" si="9"/>
        <v>3320</v>
      </c>
      <c r="BT32" s="763">
        <f t="shared" si="9"/>
        <v>0</v>
      </c>
      <c r="BU32" s="763">
        <f t="shared" si="9"/>
        <v>0</v>
      </c>
      <c r="BV32" s="763">
        <f t="shared" si="9"/>
        <v>0</v>
      </c>
      <c r="BW32" s="763">
        <f t="shared" si="9"/>
        <v>0</v>
      </c>
      <c r="BX32" s="763">
        <f t="shared" si="9"/>
        <v>0</v>
      </c>
      <c r="BY32" s="763">
        <f t="shared" si="9"/>
        <v>0</v>
      </c>
      <c r="BZ32" s="763">
        <f t="shared" si="9"/>
        <v>0</v>
      </c>
      <c r="CA32" s="763">
        <f t="shared" si="6"/>
        <v>0</v>
      </c>
      <c r="CB32" s="763">
        <f t="shared" si="6"/>
        <v>0</v>
      </c>
      <c r="CC32" s="763">
        <f t="shared" si="6"/>
        <v>1381.6046966731901</v>
      </c>
      <c r="CD32" s="763">
        <f t="shared" si="6"/>
        <v>805.93607305936064</v>
      </c>
      <c r="CE32" s="763">
        <f t="shared" si="7"/>
        <v>0</v>
      </c>
      <c r="CF32" s="763">
        <f t="shared" si="7"/>
        <v>0</v>
      </c>
      <c r="CG32" s="763">
        <f t="shared" si="7"/>
        <v>0</v>
      </c>
      <c r="CH32" s="763">
        <f t="shared" si="7"/>
        <v>0</v>
      </c>
      <c r="CI32" s="763">
        <f t="shared" si="7"/>
        <v>0</v>
      </c>
      <c r="CJ32" s="763">
        <f t="shared" si="7"/>
        <v>0</v>
      </c>
      <c r="CK32" s="763">
        <f t="shared" si="7"/>
        <v>0</v>
      </c>
      <c r="CL32" s="763">
        <f t="shared" si="7"/>
        <v>0</v>
      </c>
      <c r="CM32" s="757">
        <f t="shared" si="8"/>
        <v>6232.5407697325509</v>
      </c>
      <c r="CO32" s="762">
        <f>Z32*Vol!D32</f>
        <v>700</v>
      </c>
      <c r="CP32" s="763">
        <f>AA32*Vol!E32/100</f>
        <v>3010</v>
      </c>
      <c r="CQ32" s="763">
        <f>AB32*Vol!F32/100</f>
        <v>0</v>
      </c>
      <c r="CR32" s="763">
        <f>AC32*Vol!G32/100</f>
        <v>0</v>
      </c>
      <c r="CS32" s="763">
        <f>AD32*Vol!H32/100</f>
        <v>0</v>
      </c>
      <c r="CT32" s="763">
        <f>AE32*Vol!I32/100</f>
        <v>0</v>
      </c>
      <c r="CU32" s="763">
        <f>AF32*Vol!J32/100</f>
        <v>0</v>
      </c>
      <c r="CV32" s="763">
        <f>AG32*Vol!K32/100</f>
        <v>0</v>
      </c>
      <c r="CW32" s="763">
        <f>AH32*Vol!L32/100</f>
        <v>0</v>
      </c>
      <c r="CX32" s="763">
        <f>AI32*Vol!M32</f>
        <v>0</v>
      </c>
      <c r="CY32" s="763">
        <f>AJ32*Vol!N32</f>
        <v>0</v>
      </c>
      <c r="CZ32" s="763">
        <f>AK32*Vol!O32</f>
        <v>1257.6647097195046</v>
      </c>
      <c r="DA32" s="763">
        <f>AL32*Vol!P32</f>
        <v>732.8767123287671</v>
      </c>
      <c r="DB32" s="763">
        <f>AM32*Vol!Q32/100</f>
        <v>0</v>
      </c>
      <c r="DC32" s="763">
        <f>AN32*Vol!R32/100</f>
        <v>0</v>
      </c>
      <c r="DD32" s="763">
        <f>AO32*Vol!S32/100</f>
        <v>0</v>
      </c>
      <c r="DE32" s="763">
        <f>AP32*Vol!T32/100</f>
        <v>0</v>
      </c>
      <c r="DF32" s="763">
        <f>AQ32*Vol!U32/100</f>
        <v>0</v>
      </c>
      <c r="DG32" s="763">
        <f>AR32*Vol!V32/100</f>
        <v>0</v>
      </c>
      <c r="DH32" s="763">
        <f>AS32*Vol!W32/100</f>
        <v>0</v>
      </c>
      <c r="DI32" s="763">
        <f>AT32*Vol!X32/100</f>
        <v>0</v>
      </c>
      <c r="DJ32" s="757">
        <f t="shared" si="4"/>
        <v>5700.5414220482717</v>
      </c>
    </row>
    <row r="33" spans="1:114" s="748" customFormat="1">
      <c r="A33" s="748" t="s">
        <v>804</v>
      </c>
      <c r="B33" s="766" t="s">
        <v>599</v>
      </c>
      <c r="C33" s="750" t="s">
        <v>599</v>
      </c>
      <c r="D33" s="767">
        <v>125</v>
      </c>
      <c r="E33" s="768">
        <v>2.99</v>
      </c>
      <c r="F33" s="768">
        <v>0</v>
      </c>
      <c r="G33" s="768">
        <v>0</v>
      </c>
      <c r="H33" s="768">
        <v>0</v>
      </c>
      <c r="I33" s="768">
        <v>0</v>
      </c>
      <c r="J33" s="768">
        <v>0</v>
      </c>
      <c r="K33" s="768">
        <v>0</v>
      </c>
      <c r="L33" s="768">
        <v>0</v>
      </c>
      <c r="M33" s="768">
        <v>0</v>
      </c>
      <c r="N33" s="768">
        <v>0</v>
      </c>
      <c r="O33" s="768">
        <v>7.94</v>
      </c>
      <c r="P33" s="768">
        <v>2.64</v>
      </c>
      <c r="Q33" s="768">
        <v>0</v>
      </c>
      <c r="R33" s="768">
        <v>0</v>
      </c>
      <c r="S33" s="768">
        <v>0</v>
      </c>
      <c r="T33" s="768">
        <v>0</v>
      </c>
      <c r="U33" s="768">
        <v>0</v>
      </c>
      <c r="V33" s="768">
        <v>0</v>
      </c>
      <c r="W33" s="768">
        <v>0</v>
      </c>
      <c r="X33" s="769">
        <v>0</v>
      </c>
      <c r="Z33" s="751">
        <f>IFERROR(INDEX(Est2017DistRev!D:D,MATCH($A33,Est2017DistRev!$A:$A,),1),)</f>
        <v>120</v>
      </c>
      <c r="AA33" s="752">
        <f>IFERROR(INDEX(Est2017DistRev!E:E,MATCH($A33,Est2017DistRev!$A:$A,),1),)</f>
        <v>2.71</v>
      </c>
      <c r="AB33" s="752">
        <f>IFERROR(INDEX(Est2017DistRev!F:F,MATCH($A33,Est2017DistRev!$A:$A,),1),)</f>
        <v>0</v>
      </c>
      <c r="AC33" s="752">
        <f>IFERROR(INDEX(Est2017DistRev!G:G,MATCH($A33,Est2017DistRev!$A:$A,),1),)</f>
        <v>0</v>
      </c>
      <c r="AD33" s="752">
        <f>IFERROR(INDEX(Est2017DistRev!H:H,MATCH($A33,Est2017DistRev!$A:$A,),1),)</f>
        <v>0</v>
      </c>
      <c r="AE33" s="752">
        <f>IFERROR(INDEX(Est2017DistRev!I:I,MATCH($A33,Est2017DistRev!$A:$A,),1),)</f>
        <v>0</v>
      </c>
      <c r="AF33" s="752">
        <f>IFERROR(INDEX(Est2017DistRev!J:J,MATCH($A33,Est2017DistRev!$A:$A,),1),)</f>
        <v>0</v>
      </c>
      <c r="AG33" s="752">
        <f>IFERROR(INDEX(Est2017DistRev!K:K,MATCH($A33,Est2017DistRev!$A:$A,),1),)</f>
        <v>0</v>
      </c>
      <c r="AH33" s="752">
        <f>IFERROR(INDEX(Est2017DistRev!L:L,MATCH($A33,Est2017DistRev!$A:$A,),1),)</f>
        <v>0</v>
      </c>
      <c r="AI33" s="752">
        <f>IFERROR(INDEX(Est2017DistRev!M:M,MATCH($A33,Est2017DistRev!$A:$A,),1),)</f>
        <v>0</v>
      </c>
      <c r="AJ33" s="752">
        <f>IFERROR(INDEX(Est2017DistRev!N:N,MATCH($A33,Est2017DistRev!$A:$A,),1),)</f>
        <v>0</v>
      </c>
      <c r="AK33" s="752">
        <f>IFERROR(INDEX(Est2017DistRev!O:O,MATCH($A33,Est2017DistRev!$A:$A,),1),)</f>
        <v>7.23</v>
      </c>
      <c r="AL33" s="752">
        <f>IFERROR(INDEX(Est2017DistRev!P:P,MATCH($A33,Est2017DistRev!$A:$A,),1),)</f>
        <v>2.41</v>
      </c>
      <c r="AM33" s="752">
        <f>IFERROR(INDEX(Est2017DistRev!Q:Q,MATCH($A33,Est2017DistRev!$A:$A,),1),)</f>
        <v>0</v>
      </c>
      <c r="AN33" s="752">
        <f>IFERROR(INDEX(Est2017DistRev!R:R,MATCH($A33,Est2017DistRev!$A:$A,),1),)</f>
        <v>0</v>
      </c>
      <c r="AO33" s="752">
        <f>IFERROR(INDEX(Est2017DistRev!S:S,MATCH($A33,Est2017DistRev!$A:$A,),1),)</f>
        <v>0</v>
      </c>
      <c r="AP33" s="752">
        <f>IFERROR(INDEX(Est2017DistRev!T:T,MATCH($A33,Est2017DistRev!$A:$A,),1),)</f>
        <v>0</v>
      </c>
      <c r="AQ33" s="752">
        <f>IFERROR(INDEX(Est2017DistRev!U:U,MATCH($A33,Est2017DistRev!$A:$A,),1),)</f>
        <v>0</v>
      </c>
      <c r="AR33" s="752">
        <f>IFERROR(INDEX(Est2017DistRev!V:V,MATCH($A33,Est2017DistRev!$A:$A,),1),)</f>
        <v>0</v>
      </c>
      <c r="AS33" s="752">
        <f>IFERROR(INDEX(Est2017DistRev!W:W,MATCH($A33,Est2017DistRev!$A:$A,),1),)</f>
        <v>0</v>
      </c>
      <c r="AT33" s="753">
        <f>IFERROR(INDEX(Est2017DistRev!X:X,MATCH($A33,Est2017DistRev!$A:$A,),1),)</f>
        <v>0</v>
      </c>
      <c r="AV33" s="773">
        <v>1</v>
      </c>
      <c r="AW33" s="771">
        <v>16000</v>
      </c>
      <c r="AX33" s="771">
        <v>0</v>
      </c>
      <c r="AY33" s="771">
        <v>0</v>
      </c>
      <c r="AZ33" s="771">
        <v>0</v>
      </c>
      <c r="BA33" s="771">
        <v>0</v>
      </c>
      <c r="BB33" s="771">
        <v>0</v>
      </c>
      <c r="BC33" s="771">
        <v>0</v>
      </c>
      <c r="BD33" s="771">
        <v>0</v>
      </c>
      <c r="BE33" s="771">
        <v>0</v>
      </c>
      <c r="BF33" s="771">
        <v>0</v>
      </c>
      <c r="BG33" s="771">
        <v>20.874103065883887</v>
      </c>
      <c r="BH33" s="771">
        <v>36.529680365296798</v>
      </c>
      <c r="BI33" s="771">
        <v>0</v>
      </c>
      <c r="BJ33" s="771">
        <v>0</v>
      </c>
      <c r="BK33" s="771">
        <v>0</v>
      </c>
      <c r="BL33" s="771">
        <v>0</v>
      </c>
      <c r="BM33" s="771">
        <v>0</v>
      </c>
      <c r="BN33" s="771">
        <v>0</v>
      </c>
      <c r="BO33" s="771">
        <v>0</v>
      </c>
      <c r="BP33" s="772">
        <v>0</v>
      </c>
      <c r="BQ33" s="777"/>
      <c r="BR33" s="762">
        <f t="shared" si="5"/>
        <v>125</v>
      </c>
      <c r="BS33" s="763">
        <f t="shared" si="9"/>
        <v>478.40000000000003</v>
      </c>
      <c r="BT33" s="763">
        <f t="shared" si="9"/>
        <v>0</v>
      </c>
      <c r="BU33" s="763">
        <f t="shared" si="9"/>
        <v>0</v>
      </c>
      <c r="BV33" s="763">
        <f t="shared" si="9"/>
        <v>0</v>
      </c>
      <c r="BW33" s="763">
        <f t="shared" si="9"/>
        <v>0</v>
      </c>
      <c r="BX33" s="763">
        <f t="shared" si="9"/>
        <v>0</v>
      </c>
      <c r="BY33" s="763">
        <f t="shared" si="9"/>
        <v>0</v>
      </c>
      <c r="BZ33" s="763">
        <f t="shared" si="9"/>
        <v>0</v>
      </c>
      <c r="CA33" s="763">
        <f t="shared" si="6"/>
        <v>0</v>
      </c>
      <c r="CB33" s="763">
        <f t="shared" si="6"/>
        <v>0</v>
      </c>
      <c r="CC33" s="763">
        <f t="shared" si="6"/>
        <v>165.74037834311807</v>
      </c>
      <c r="CD33" s="763">
        <f t="shared" si="6"/>
        <v>96.438356164383549</v>
      </c>
      <c r="CE33" s="763">
        <f t="shared" si="7"/>
        <v>0</v>
      </c>
      <c r="CF33" s="763">
        <f t="shared" si="7"/>
        <v>0</v>
      </c>
      <c r="CG33" s="763">
        <f t="shared" si="7"/>
        <v>0</v>
      </c>
      <c r="CH33" s="763">
        <f t="shared" si="7"/>
        <v>0</v>
      </c>
      <c r="CI33" s="763">
        <f t="shared" si="7"/>
        <v>0</v>
      </c>
      <c r="CJ33" s="763">
        <f t="shared" si="7"/>
        <v>0</v>
      </c>
      <c r="CK33" s="763">
        <f t="shared" si="7"/>
        <v>0</v>
      </c>
      <c r="CL33" s="763">
        <f t="shared" si="7"/>
        <v>0</v>
      </c>
      <c r="CM33" s="757">
        <f t="shared" si="8"/>
        <v>865.57873450750174</v>
      </c>
      <c r="CO33" s="762">
        <f>Z33*Vol!D33</f>
        <v>120</v>
      </c>
      <c r="CP33" s="763">
        <f>AA33*Vol!E33/100</f>
        <v>433.6</v>
      </c>
      <c r="CQ33" s="763">
        <f>AB33*Vol!F33/100</f>
        <v>0</v>
      </c>
      <c r="CR33" s="763">
        <f>AC33*Vol!G33/100</f>
        <v>0</v>
      </c>
      <c r="CS33" s="763">
        <f>AD33*Vol!H33/100</f>
        <v>0</v>
      </c>
      <c r="CT33" s="763">
        <f>AE33*Vol!I33/100</f>
        <v>0</v>
      </c>
      <c r="CU33" s="763">
        <f>AF33*Vol!J33/100</f>
        <v>0</v>
      </c>
      <c r="CV33" s="763">
        <f>AG33*Vol!K33/100</f>
        <v>0</v>
      </c>
      <c r="CW33" s="763">
        <f>AH33*Vol!L33/100</f>
        <v>0</v>
      </c>
      <c r="CX33" s="763">
        <f>AI33*Vol!M33</f>
        <v>0</v>
      </c>
      <c r="CY33" s="763">
        <f>AJ33*Vol!N33</f>
        <v>0</v>
      </c>
      <c r="CZ33" s="763">
        <f>AK33*Vol!O33</f>
        <v>150.91976516634051</v>
      </c>
      <c r="DA33" s="763">
        <f>AL33*Vol!P33</f>
        <v>88.036529680365291</v>
      </c>
      <c r="DB33" s="763">
        <f>AM33*Vol!Q33/100</f>
        <v>0</v>
      </c>
      <c r="DC33" s="763">
        <f>AN33*Vol!R33/100</f>
        <v>0</v>
      </c>
      <c r="DD33" s="763">
        <f>AO33*Vol!S33/100</f>
        <v>0</v>
      </c>
      <c r="DE33" s="763">
        <f>AP33*Vol!T33/100</f>
        <v>0</v>
      </c>
      <c r="DF33" s="763">
        <f>AQ33*Vol!U33/100</f>
        <v>0</v>
      </c>
      <c r="DG33" s="763">
        <f>AR33*Vol!V33/100</f>
        <v>0</v>
      </c>
      <c r="DH33" s="763">
        <f>AS33*Vol!W33/100</f>
        <v>0</v>
      </c>
      <c r="DI33" s="763">
        <f>AT33*Vol!X33/100</f>
        <v>0</v>
      </c>
      <c r="DJ33" s="757">
        <f t="shared" si="4"/>
        <v>792.5562948467059</v>
      </c>
    </row>
    <row r="34" spans="1:114" s="748" customFormat="1">
      <c r="A34" s="748" t="s">
        <v>805</v>
      </c>
      <c r="B34" s="750" t="s">
        <v>806</v>
      </c>
      <c r="C34" s="750" t="s">
        <v>806</v>
      </c>
      <c r="D34" s="767">
        <v>800</v>
      </c>
      <c r="E34" s="768">
        <v>0</v>
      </c>
      <c r="F34" s="768">
        <v>5.44</v>
      </c>
      <c r="G34" s="768">
        <v>0</v>
      </c>
      <c r="H34" s="768">
        <v>0</v>
      </c>
      <c r="I34" s="768">
        <v>3.21</v>
      </c>
      <c r="J34" s="768">
        <v>0</v>
      </c>
      <c r="K34" s="768">
        <v>0</v>
      </c>
      <c r="L34" s="768">
        <v>0</v>
      </c>
      <c r="M34" s="768">
        <v>0</v>
      </c>
      <c r="N34" s="768">
        <v>0</v>
      </c>
      <c r="O34" s="768">
        <v>2.73</v>
      </c>
      <c r="P34" s="768">
        <v>1.37</v>
      </c>
      <c r="Q34" s="768">
        <v>0</v>
      </c>
      <c r="R34" s="768">
        <v>0</v>
      </c>
      <c r="S34" s="768">
        <v>0</v>
      </c>
      <c r="T34" s="768">
        <v>0</v>
      </c>
      <c r="U34" s="768">
        <v>0</v>
      </c>
      <c r="V34" s="768">
        <v>0</v>
      </c>
      <c r="W34" s="768">
        <v>0</v>
      </c>
      <c r="X34" s="769">
        <v>0</v>
      </c>
      <c r="Z34" s="751">
        <f>IFERROR(INDEX(Est2017DistRev!D:D,MATCH($A34,Est2017DistRev!$A:$A,),1),)</f>
        <v>800</v>
      </c>
      <c r="AA34" s="752">
        <f>IFERROR(INDEX(Est2017DistRev!E:E,MATCH($A34,Est2017DistRev!$A:$A,),1),)</f>
        <v>0</v>
      </c>
      <c r="AB34" s="752">
        <f>IFERROR(INDEX(Est2017DistRev!F:F,MATCH($A34,Est2017DistRev!$A:$A,),1),)</f>
        <v>6.35</v>
      </c>
      <c r="AC34" s="752">
        <f>IFERROR(INDEX(Est2017DistRev!G:G,MATCH($A34,Est2017DistRev!$A:$A,),1),)</f>
        <v>0</v>
      </c>
      <c r="AD34" s="752">
        <f>IFERROR(INDEX(Est2017DistRev!H:H,MATCH($A34,Est2017DistRev!$A:$A,),1),)</f>
        <v>0</v>
      </c>
      <c r="AE34" s="752">
        <f>IFERROR(INDEX(Est2017DistRev!I:I,MATCH($A34,Est2017DistRev!$A:$A,),1),)</f>
        <v>3.14</v>
      </c>
      <c r="AF34" s="752">
        <f>IFERROR(INDEX(Est2017DistRev!J:J,MATCH($A34,Est2017DistRev!$A:$A,),1),)</f>
        <v>0</v>
      </c>
      <c r="AG34" s="752">
        <f>IFERROR(INDEX(Est2017DistRev!K:K,MATCH($A34,Est2017DistRev!$A:$A,),1),)</f>
        <v>0</v>
      </c>
      <c r="AH34" s="752">
        <f>IFERROR(INDEX(Est2017DistRev!L:L,MATCH($A34,Est2017DistRev!$A:$A,),1),)</f>
        <v>0</v>
      </c>
      <c r="AI34" s="752">
        <f>IFERROR(INDEX(Est2017DistRev!M:M,MATCH($A34,Est2017DistRev!$A:$A,),1),)</f>
        <v>0</v>
      </c>
      <c r="AJ34" s="752">
        <f>IFERROR(INDEX(Est2017DistRev!N:N,MATCH($A34,Est2017DistRev!$A:$A,),1),)</f>
        <v>0</v>
      </c>
      <c r="AK34" s="752">
        <f>IFERROR(INDEX(Est2017DistRev!O:O,MATCH($A34,Est2017DistRev!$A:$A,),1),)</f>
        <v>0</v>
      </c>
      <c r="AL34" s="752">
        <f>IFERROR(INDEX(Est2017DistRev!P:P,MATCH($A34,Est2017DistRev!$A:$A,),1),)</f>
        <v>0</v>
      </c>
      <c r="AM34" s="752">
        <f>IFERROR(INDEX(Est2017DistRev!Q:Q,MATCH($A34,Est2017DistRev!$A:$A,),1),)</f>
        <v>0</v>
      </c>
      <c r="AN34" s="752">
        <f>IFERROR(INDEX(Est2017DistRev!R:R,MATCH($A34,Est2017DistRev!$A:$A,),1),)</f>
        <v>0</v>
      </c>
      <c r="AO34" s="752">
        <f>IFERROR(INDEX(Est2017DistRev!S:S,MATCH($A34,Est2017DistRev!$A:$A,),1),)</f>
        <v>0</v>
      </c>
      <c r="AP34" s="752">
        <f>IFERROR(INDEX(Est2017DistRev!T:T,MATCH($A34,Est2017DistRev!$A:$A,),1),)</f>
        <v>0</v>
      </c>
      <c r="AQ34" s="752">
        <f>IFERROR(INDEX(Est2017DistRev!U:U,MATCH($A34,Est2017DistRev!$A:$A,),1),)</f>
        <v>0</v>
      </c>
      <c r="AR34" s="752">
        <f>IFERROR(INDEX(Est2017DistRev!V:V,MATCH($A34,Est2017DistRev!$A:$A,),1),)</f>
        <v>0</v>
      </c>
      <c r="AS34" s="752">
        <f>IFERROR(INDEX(Est2017DistRev!W:W,MATCH($A34,Est2017DistRev!$A:$A,),1),)</f>
        <v>0</v>
      </c>
      <c r="AT34" s="753">
        <f>IFERROR(INDEX(Est2017DistRev!X:X,MATCH($A34,Est2017DistRev!$A:$A,),1),)</f>
        <v>0</v>
      </c>
      <c r="AV34" s="773">
        <v>4454.7584285325547</v>
      </c>
      <c r="AW34" s="771">
        <v>0</v>
      </c>
      <c r="AX34" s="771">
        <v>385749824.48949713</v>
      </c>
      <c r="AY34" s="771">
        <v>0</v>
      </c>
      <c r="AZ34" s="771">
        <v>0</v>
      </c>
      <c r="BA34" s="771">
        <v>237077602.25050065</v>
      </c>
      <c r="BB34" s="771">
        <v>0</v>
      </c>
      <c r="BC34" s="771">
        <v>0</v>
      </c>
      <c r="BD34" s="771">
        <v>0</v>
      </c>
      <c r="BE34" s="771">
        <v>0</v>
      </c>
      <c r="BF34" s="771">
        <v>0</v>
      </c>
      <c r="BG34" s="771">
        <v>764494.43950180197</v>
      </c>
      <c r="BH34" s="771">
        <v>1326085.1464115628</v>
      </c>
      <c r="BI34" s="771">
        <v>0</v>
      </c>
      <c r="BJ34" s="771">
        <v>0</v>
      </c>
      <c r="BK34" s="771">
        <v>0</v>
      </c>
      <c r="BL34" s="771">
        <v>0</v>
      </c>
      <c r="BM34" s="771">
        <v>0</v>
      </c>
      <c r="BN34" s="771">
        <v>0</v>
      </c>
      <c r="BO34" s="771">
        <v>0</v>
      </c>
      <c r="BP34" s="772">
        <v>0</v>
      </c>
      <c r="BQ34" s="777"/>
      <c r="BR34" s="762">
        <f t="shared" si="5"/>
        <v>3563806.7428260436</v>
      </c>
      <c r="BS34" s="763">
        <f t="shared" si="9"/>
        <v>0</v>
      </c>
      <c r="BT34" s="763">
        <f t="shared" si="9"/>
        <v>20984790.452228647</v>
      </c>
      <c r="BU34" s="763">
        <f t="shared" si="9"/>
        <v>0</v>
      </c>
      <c r="BV34" s="763">
        <f t="shared" si="9"/>
        <v>0</v>
      </c>
      <c r="BW34" s="763">
        <f t="shared" si="9"/>
        <v>7610191.0322410697</v>
      </c>
      <c r="BX34" s="763">
        <f t="shared" si="9"/>
        <v>0</v>
      </c>
      <c r="BY34" s="763">
        <f t="shared" si="9"/>
        <v>0</v>
      </c>
      <c r="BZ34" s="763">
        <f t="shared" si="9"/>
        <v>0</v>
      </c>
      <c r="CA34" s="763">
        <f t="shared" si="6"/>
        <v>0</v>
      </c>
      <c r="CB34" s="763">
        <f t="shared" si="6"/>
        <v>0</v>
      </c>
      <c r="CC34" s="763">
        <f t="shared" si="6"/>
        <v>2087069.8198399195</v>
      </c>
      <c r="CD34" s="763">
        <f t="shared" si="6"/>
        <v>1816736.6505838411</v>
      </c>
      <c r="CE34" s="763">
        <f t="shared" si="7"/>
        <v>0</v>
      </c>
      <c r="CF34" s="763">
        <f t="shared" si="7"/>
        <v>0</v>
      </c>
      <c r="CG34" s="763">
        <f t="shared" si="7"/>
        <v>0</v>
      </c>
      <c r="CH34" s="763">
        <f t="shared" si="7"/>
        <v>0</v>
      </c>
      <c r="CI34" s="763">
        <f t="shared" si="7"/>
        <v>0</v>
      </c>
      <c r="CJ34" s="763">
        <f t="shared" si="7"/>
        <v>0</v>
      </c>
      <c r="CK34" s="763">
        <f t="shared" si="7"/>
        <v>0</v>
      </c>
      <c r="CL34" s="763">
        <f t="shared" si="7"/>
        <v>0</v>
      </c>
      <c r="CM34" s="757">
        <f t="shared" si="8"/>
        <v>36062594.697719522</v>
      </c>
      <c r="CO34" s="762">
        <f>Z34*Vol!D34</f>
        <v>3571006.7428260436</v>
      </c>
      <c r="CP34" s="763">
        <f>AA34*Vol!E34/100</f>
        <v>0</v>
      </c>
      <c r="CQ34" s="763">
        <f>AB34*Vol!F34/100</f>
        <v>24527025.964595232</v>
      </c>
      <c r="CR34" s="763">
        <f>AC34*Vol!G34/100</f>
        <v>0</v>
      </c>
      <c r="CS34" s="763">
        <f>AD34*Vol!H34/100</f>
        <v>0</v>
      </c>
      <c r="CT34" s="763">
        <f>AE34*Vol!I34/100</f>
        <v>7453688.4649301926</v>
      </c>
      <c r="CU34" s="763">
        <f>AF34*Vol!J34/100</f>
        <v>0</v>
      </c>
      <c r="CV34" s="763">
        <f>AG34*Vol!K34/100</f>
        <v>0</v>
      </c>
      <c r="CW34" s="763">
        <f>AH34*Vol!L34/100</f>
        <v>0</v>
      </c>
      <c r="CX34" s="763">
        <f>AI34*Vol!M34</f>
        <v>0</v>
      </c>
      <c r="CY34" s="763">
        <f>AJ34*Vol!N34</f>
        <v>0</v>
      </c>
      <c r="CZ34" s="763">
        <f>AK34*Vol!O34</f>
        <v>0</v>
      </c>
      <c r="DA34" s="763">
        <f>AL34*Vol!P34</f>
        <v>0</v>
      </c>
      <c r="DB34" s="763">
        <f>AM34*Vol!Q34/100</f>
        <v>0</v>
      </c>
      <c r="DC34" s="763">
        <f>AN34*Vol!R34/100</f>
        <v>0</v>
      </c>
      <c r="DD34" s="763">
        <f>AO34*Vol!S34/100</f>
        <v>0</v>
      </c>
      <c r="DE34" s="763">
        <f>AP34*Vol!T34/100</f>
        <v>0</v>
      </c>
      <c r="DF34" s="763">
        <f>AQ34*Vol!U34/100</f>
        <v>0</v>
      </c>
      <c r="DG34" s="763">
        <f>AR34*Vol!V34/100</f>
        <v>0</v>
      </c>
      <c r="DH34" s="763">
        <f>AS34*Vol!W34/100</f>
        <v>0</v>
      </c>
      <c r="DI34" s="763">
        <f>AT34*Vol!X34/100</f>
        <v>0</v>
      </c>
      <c r="DJ34" s="757">
        <f t="shared" si="4"/>
        <v>35551721.172351472</v>
      </c>
    </row>
    <row r="35" spans="1:114" s="748" customFormat="1">
      <c r="A35" s="748" t="s">
        <v>807</v>
      </c>
      <c r="B35" s="750" t="s">
        <v>808</v>
      </c>
      <c r="C35" s="750" t="s">
        <v>808</v>
      </c>
      <c r="D35" s="767">
        <v>800</v>
      </c>
      <c r="E35" s="768">
        <v>0</v>
      </c>
      <c r="F35" s="768">
        <v>3.99</v>
      </c>
      <c r="G35" s="768">
        <v>0</v>
      </c>
      <c r="H35" s="768">
        <v>0</v>
      </c>
      <c r="I35" s="768">
        <v>2.5299999999999998</v>
      </c>
      <c r="J35" s="768">
        <v>0</v>
      </c>
      <c r="K35" s="768">
        <v>0</v>
      </c>
      <c r="L35" s="768">
        <v>0</v>
      </c>
      <c r="M35" s="768">
        <v>0</v>
      </c>
      <c r="N35" s="768">
        <v>0</v>
      </c>
      <c r="O35" s="768">
        <v>2.0499999999999998</v>
      </c>
      <c r="P35" s="768">
        <v>1.03</v>
      </c>
      <c r="Q35" s="768">
        <v>0</v>
      </c>
      <c r="R35" s="768">
        <v>0</v>
      </c>
      <c r="S35" s="768">
        <v>0</v>
      </c>
      <c r="T35" s="768">
        <v>0</v>
      </c>
      <c r="U35" s="768">
        <v>0</v>
      </c>
      <c r="V35" s="768">
        <v>0</v>
      </c>
      <c r="W35" s="768">
        <v>0</v>
      </c>
      <c r="X35" s="769">
        <v>0</v>
      </c>
      <c r="Z35" s="751">
        <f>IFERROR(INDEX(Est2017DistRev!D:D,MATCH($A35,Est2017DistRev!$A:$A,),1),)</f>
        <v>800</v>
      </c>
      <c r="AA35" s="752">
        <f>IFERROR(INDEX(Est2017DistRev!E:E,MATCH($A35,Est2017DistRev!$A:$A,),1),)</f>
        <v>0</v>
      </c>
      <c r="AB35" s="752">
        <f>IFERROR(INDEX(Est2017DistRev!F:F,MATCH($A35,Est2017DistRev!$A:$A,),1),)</f>
        <v>4.6500000000000004</v>
      </c>
      <c r="AC35" s="752">
        <f>IFERROR(INDEX(Est2017DistRev!G:G,MATCH($A35,Est2017DistRev!$A:$A,),1),)</f>
        <v>0</v>
      </c>
      <c r="AD35" s="752">
        <f>IFERROR(INDEX(Est2017DistRev!H:H,MATCH($A35,Est2017DistRev!$A:$A,),1),)</f>
        <v>0</v>
      </c>
      <c r="AE35" s="752">
        <f>IFERROR(INDEX(Est2017DistRev!I:I,MATCH($A35,Est2017DistRev!$A:$A,),1),)</f>
        <v>2.4700000000000002</v>
      </c>
      <c r="AF35" s="752">
        <f>IFERROR(INDEX(Est2017DistRev!J:J,MATCH($A35,Est2017DistRev!$A:$A,),1),)</f>
        <v>0</v>
      </c>
      <c r="AG35" s="752">
        <f>IFERROR(INDEX(Est2017DistRev!K:K,MATCH($A35,Est2017DistRev!$A:$A,),1),)</f>
        <v>0</v>
      </c>
      <c r="AH35" s="752">
        <f>IFERROR(INDEX(Est2017DistRev!L:L,MATCH($A35,Est2017DistRev!$A:$A,),1),)</f>
        <v>0</v>
      </c>
      <c r="AI35" s="752">
        <f>IFERROR(INDEX(Est2017DistRev!M:M,MATCH($A35,Est2017DistRev!$A:$A,),1),)</f>
        <v>0</v>
      </c>
      <c r="AJ35" s="752">
        <f>IFERROR(INDEX(Est2017DistRev!N:N,MATCH($A35,Est2017DistRev!$A:$A,),1),)</f>
        <v>0</v>
      </c>
      <c r="AK35" s="752">
        <f>IFERROR(INDEX(Est2017DistRev!O:O,MATCH($A35,Est2017DistRev!$A:$A,),1),)</f>
        <v>0</v>
      </c>
      <c r="AL35" s="752">
        <f>IFERROR(INDEX(Est2017DistRev!P:P,MATCH($A35,Est2017DistRev!$A:$A,),1),)</f>
        <v>0</v>
      </c>
      <c r="AM35" s="752">
        <f>IFERROR(INDEX(Est2017DistRev!Q:Q,MATCH($A35,Est2017DistRev!$A:$A,),1),)</f>
        <v>0</v>
      </c>
      <c r="AN35" s="752">
        <f>IFERROR(INDEX(Est2017DistRev!R:R,MATCH($A35,Est2017DistRev!$A:$A,),1),)</f>
        <v>0</v>
      </c>
      <c r="AO35" s="752">
        <f>IFERROR(INDEX(Est2017DistRev!S:S,MATCH($A35,Est2017DistRev!$A:$A,),1),)</f>
        <v>0</v>
      </c>
      <c r="AP35" s="752">
        <f>IFERROR(INDEX(Est2017DistRev!T:T,MATCH($A35,Est2017DistRev!$A:$A,),1),)</f>
        <v>0</v>
      </c>
      <c r="AQ35" s="752">
        <f>IFERROR(INDEX(Est2017DistRev!U:U,MATCH($A35,Est2017DistRev!$A:$A,),1),)</f>
        <v>0</v>
      </c>
      <c r="AR35" s="752">
        <f>IFERROR(INDEX(Est2017DistRev!V:V,MATCH($A35,Est2017DistRev!$A:$A,),1),)</f>
        <v>0</v>
      </c>
      <c r="AS35" s="752">
        <f>IFERROR(INDEX(Est2017DistRev!W:W,MATCH($A35,Est2017DistRev!$A:$A,),1),)</f>
        <v>0</v>
      </c>
      <c r="AT35" s="753">
        <f>IFERROR(INDEX(Est2017DistRev!X:X,MATCH($A35,Est2017DistRev!$A:$A,),1),)</f>
        <v>0</v>
      </c>
      <c r="AV35" s="773">
        <v>2142.0682091572939</v>
      </c>
      <c r="AW35" s="771">
        <v>0</v>
      </c>
      <c r="AX35" s="771">
        <v>263482333.82347772</v>
      </c>
      <c r="AY35" s="771">
        <v>0</v>
      </c>
      <c r="AZ35" s="771">
        <v>0</v>
      </c>
      <c r="BA35" s="771">
        <v>158002594.57150719</v>
      </c>
      <c r="BB35" s="771">
        <v>0</v>
      </c>
      <c r="BC35" s="771">
        <v>0</v>
      </c>
      <c r="BD35" s="771">
        <v>0</v>
      </c>
      <c r="BE35" s="771">
        <v>0</v>
      </c>
      <c r="BF35" s="771">
        <v>0</v>
      </c>
      <c r="BG35" s="771">
        <v>523965.08847416606</v>
      </c>
      <c r="BH35" s="771">
        <v>850358.31944324356</v>
      </c>
      <c r="BI35" s="771">
        <v>0</v>
      </c>
      <c r="BJ35" s="771">
        <v>0</v>
      </c>
      <c r="BK35" s="771">
        <v>0</v>
      </c>
      <c r="BL35" s="771">
        <v>0</v>
      </c>
      <c r="BM35" s="771">
        <v>0</v>
      </c>
      <c r="BN35" s="771">
        <v>0</v>
      </c>
      <c r="BO35" s="771">
        <v>0</v>
      </c>
      <c r="BP35" s="772">
        <v>0</v>
      </c>
      <c r="BQ35" s="777"/>
      <c r="BR35" s="762">
        <f t="shared" si="5"/>
        <v>1713654.5673258351</v>
      </c>
      <c r="BS35" s="763">
        <f t="shared" si="9"/>
        <v>0</v>
      </c>
      <c r="BT35" s="763">
        <f t="shared" si="9"/>
        <v>10512945.119556762</v>
      </c>
      <c r="BU35" s="763">
        <f t="shared" si="9"/>
        <v>0</v>
      </c>
      <c r="BV35" s="763">
        <f t="shared" si="9"/>
        <v>0</v>
      </c>
      <c r="BW35" s="763">
        <f t="shared" si="9"/>
        <v>3997465.6426591319</v>
      </c>
      <c r="BX35" s="763">
        <f t="shared" si="9"/>
        <v>0</v>
      </c>
      <c r="BY35" s="763">
        <f t="shared" si="9"/>
        <v>0</v>
      </c>
      <c r="BZ35" s="763">
        <f t="shared" si="9"/>
        <v>0</v>
      </c>
      <c r="CA35" s="763">
        <f t="shared" si="6"/>
        <v>0</v>
      </c>
      <c r="CB35" s="763">
        <f t="shared" si="6"/>
        <v>0</v>
      </c>
      <c r="CC35" s="763">
        <f t="shared" si="6"/>
        <v>1074128.4313720404</v>
      </c>
      <c r="CD35" s="763">
        <f t="shared" si="6"/>
        <v>875869.06902654085</v>
      </c>
      <c r="CE35" s="763">
        <f t="shared" si="7"/>
        <v>0</v>
      </c>
      <c r="CF35" s="763">
        <f t="shared" si="7"/>
        <v>0</v>
      </c>
      <c r="CG35" s="763">
        <f t="shared" si="7"/>
        <v>0</v>
      </c>
      <c r="CH35" s="763">
        <f t="shared" si="7"/>
        <v>0</v>
      </c>
      <c r="CI35" s="763">
        <f t="shared" si="7"/>
        <v>0</v>
      </c>
      <c r="CJ35" s="763">
        <f t="shared" si="7"/>
        <v>0</v>
      </c>
      <c r="CK35" s="763">
        <f t="shared" si="7"/>
        <v>0</v>
      </c>
      <c r="CL35" s="763">
        <f t="shared" si="7"/>
        <v>0</v>
      </c>
      <c r="CM35" s="757">
        <f t="shared" si="8"/>
        <v>18174062.829940308</v>
      </c>
      <c r="CO35" s="762">
        <f>Z35*Vol!D35</f>
        <v>1720854.5673258351</v>
      </c>
      <c r="CP35" s="763">
        <f>AA35*Vol!E35/100</f>
        <v>0</v>
      </c>
      <c r="CQ35" s="763">
        <f>AB35*Vol!F35/100</f>
        <v>12278007.06395747</v>
      </c>
      <c r="CR35" s="763">
        <f>AC35*Vol!G35/100</f>
        <v>0</v>
      </c>
      <c r="CS35" s="763">
        <f>AD35*Vol!H35/100</f>
        <v>0</v>
      </c>
      <c r="CT35" s="763">
        <f>AE35*Vol!I35/100</f>
        <v>3909903.972357356</v>
      </c>
      <c r="CU35" s="763">
        <f>AF35*Vol!J35/100</f>
        <v>0</v>
      </c>
      <c r="CV35" s="763">
        <f>AG35*Vol!K35/100</f>
        <v>0</v>
      </c>
      <c r="CW35" s="763">
        <f>AH35*Vol!L35/100</f>
        <v>0</v>
      </c>
      <c r="CX35" s="763">
        <f>AI35*Vol!M35</f>
        <v>0</v>
      </c>
      <c r="CY35" s="763">
        <f>AJ35*Vol!N35</f>
        <v>0</v>
      </c>
      <c r="CZ35" s="763">
        <f>AK35*Vol!O35</f>
        <v>0</v>
      </c>
      <c r="DA35" s="763">
        <f>AL35*Vol!P35</f>
        <v>0</v>
      </c>
      <c r="DB35" s="763">
        <f>AM35*Vol!Q35/100</f>
        <v>0</v>
      </c>
      <c r="DC35" s="763">
        <f>AN35*Vol!R35/100</f>
        <v>0</v>
      </c>
      <c r="DD35" s="763">
        <f>AO35*Vol!S35/100</f>
        <v>0</v>
      </c>
      <c r="DE35" s="763">
        <f>AP35*Vol!T35/100</f>
        <v>0</v>
      </c>
      <c r="DF35" s="763">
        <f>AQ35*Vol!U35/100</f>
        <v>0</v>
      </c>
      <c r="DG35" s="763">
        <f>AR35*Vol!V35/100</f>
        <v>0</v>
      </c>
      <c r="DH35" s="763">
        <f>AS35*Vol!W35/100</f>
        <v>0</v>
      </c>
      <c r="DI35" s="763">
        <f>AT35*Vol!X35/100</f>
        <v>0</v>
      </c>
      <c r="DJ35" s="757">
        <f t="shared" si="4"/>
        <v>17908765.603640661</v>
      </c>
    </row>
    <row r="36" spans="1:114" s="748" customFormat="1">
      <c r="A36" s="748" t="s">
        <v>809</v>
      </c>
      <c r="B36" s="750" t="s">
        <v>810</v>
      </c>
      <c r="C36" s="775" t="s">
        <v>811</v>
      </c>
      <c r="D36" s="767">
        <v>800</v>
      </c>
      <c r="E36" s="768">
        <v>0</v>
      </c>
      <c r="F36" s="768">
        <v>8.33</v>
      </c>
      <c r="G36" s="768">
        <v>0</v>
      </c>
      <c r="H36" s="768">
        <v>0</v>
      </c>
      <c r="I36" s="768">
        <v>3.34</v>
      </c>
      <c r="J36" s="768">
        <v>0</v>
      </c>
      <c r="K36" s="768">
        <v>0</v>
      </c>
      <c r="L36" s="768">
        <v>0</v>
      </c>
      <c r="M36" s="768">
        <v>0</v>
      </c>
      <c r="N36" s="768">
        <v>0</v>
      </c>
      <c r="O36" s="768">
        <v>0</v>
      </c>
      <c r="P36" s="768">
        <v>0</v>
      </c>
      <c r="Q36" s="768">
        <v>0</v>
      </c>
      <c r="R36" s="768">
        <v>0</v>
      </c>
      <c r="S36" s="768">
        <v>0</v>
      </c>
      <c r="T36" s="768">
        <v>0</v>
      </c>
      <c r="U36" s="768">
        <v>0</v>
      </c>
      <c r="V36" s="768">
        <v>0</v>
      </c>
      <c r="W36" s="768">
        <v>0</v>
      </c>
      <c r="X36" s="769">
        <v>0</v>
      </c>
      <c r="Z36" s="751">
        <f>IFERROR(INDEX(Est2017DistRev!D:D,MATCH($A36,Est2017DistRev!$A:$A,),1),)</f>
        <v>0</v>
      </c>
      <c r="AA36" s="752">
        <f>IFERROR(INDEX(Est2017DistRev!E:E,MATCH($A36,Est2017DistRev!$A:$A,),1),)</f>
        <v>0</v>
      </c>
      <c r="AB36" s="752">
        <f>IFERROR(INDEX(Est2017DistRev!F:F,MATCH($A36,Est2017DistRev!$A:$A,),1),)</f>
        <v>0</v>
      </c>
      <c r="AC36" s="752">
        <f>IFERROR(INDEX(Est2017DistRev!G:G,MATCH($A36,Est2017DistRev!$A:$A,),1),)</f>
        <v>0</v>
      </c>
      <c r="AD36" s="752">
        <f>IFERROR(INDEX(Est2017DistRev!H:H,MATCH($A36,Est2017DistRev!$A:$A,),1),)</f>
        <v>0</v>
      </c>
      <c r="AE36" s="752">
        <f>IFERROR(INDEX(Est2017DistRev!I:I,MATCH($A36,Est2017DistRev!$A:$A,),1),)</f>
        <v>0</v>
      </c>
      <c r="AF36" s="752">
        <f>IFERROR(INDEX(Est2017DistRev!J:J,MATCH($A36,Est2017DistRev!$A:$A,),1),)</f>
        <v>0</v>
      </c>
      <c r="AG36" s="752">
        <f>IFERROR(INDEX(Est2017DistRev!K:K,MATCH($A36,Est2017DistRev!$A:$A,),1),)</f>
        <v>0</v>
      </c>
      <c r="AH36" s="752">
        <f>IFERROR(INDEX(Est2017DistRev!L:L,MATCH($A36,Est2017DistRev!$A:$A,),1),)</f>
        <v>0</v>
      </c>
      <c r="AI36" s="752">
        <f>IFERROR(INDEX(Est2017DistRev!M:M,MATCH($A36,Est2017DistRev!$A:$A,),1),)</f>
        <v>0</v>
      </c>
      <c r="AJ36" s="752">
        <f>IFERROR(INDEX(Est2017DistRev!N:N,MATCH($A36,Est2017DistRev!$A:$A,),1),)</f>
        <v>0</v>
      </c>
      <c r="AK36" s="752">
        <f>IFERROR(INDEX(Est2017DistRev!O:O,MATCH($A36,Est2017DistRev!$A:$A,),1),)</f>
        <v>0</v>
      </c>
      <c r="AL36" s="752">
        <f>IFERROR(INDEX(Est2017DistRev!P:P,MATCH($A36,Est2017DistRev!$A:$A,),1),)</f>
        <v>0</v>
      </c>
      <c r="AM36" s="752">
        <f>IFERROR(INDEX(Est2017DistRev!Q:Q,MATCH($A36,Est2017DistRev!$A:$A,),1),)</f>
        <v>0</v>
      </c>
      <c r="AN36" s="752">
        <f>IFERROR(INDEX(Est2017DistRev!R:R,MATCH($A36,Est2017DistRev!$A:$A,),1),)</f>
        <v>0</v>
      </c>
      <c r="AO36" s="752">
        <f>IFERROR(INDEX(Est2017DistRev!S:S,MATCH($A36,Est2017DistRev!$A:$A,),1),)</f>
        <v>0</v>
      </c>
      <c r="AP36" s="752">
        <f>IFERROR(INDEX(Est2017DistRev!T:T,MATCH($A36,Est2017DistRev!$A:$A,),1),)</f>
        <v>0</v>
      </c>
      <c r="AQ36" s="752">
        <f>IFERROR(INDEX(Est2017DistRev!U:U,MATCH($A36,Est2017DistRev!$A:$A,),1),)</f>
        <v>0</v>
      </c>
      <c r="AR36" s="752">
        <f>IFERROR(INDEX(Est2017DistRev!V:V,MATCH($A36,Est2017DistRev!$A:$A,),1),)</f>
        <v>0</v>
      </c>
      <c r="AS36" s="752">
        <f>IFERROR(INDEX(Est2017DistRev!W:W,MATCH($A36,Est2017DistRev!$A:$A,),1),)</f>
        <v>0</v>
      </c>
      <c r="AT36" s="753">
        <f>IFERROR(INDEX(Est2017DistRev!X:X,MATCH($A36,Est2017DistRev!$A:$A,),1),)</f>
        <v>0</v>
      </c>
      <c r="AV36" s="773">
        <v>9</v>
      </c>
      <c r="AW36" s="771">
        <v>0</v>
      </c>
      <c r="AX36" s="771">
        <v>502552.90570333629</v>
      </c>
      <c r="AY36" s="771">
        <v>0</v>
      </c>
      <c r="AZ36" s="771">
        <v>0</v>
      </c>
      <c r="BA36" s="771">
        <v>301011.28230802208</v>
      </c>
      <c r="BB36" s="771">
        <v>0</v>
      </c>
      <c r="BC36" s="771">
        <v>0</v>
      </c>
      <c r="BD36" s="771">
        <v>0</v>
      </c>
      <c r="BE36" s="771">
        <v>0</v>
      </c>
      <c r="BF36" s="771">
        <v>0</v>
      </c>
      <c r="BG36" s="771">
        <v>0</v>
      </c>
      <c r="BH36" s="771">
        <v>0</v>
      </c>
      <c r="BI36" s="771">
        <v>0</v>
      </c>
      <c r="BJ36" s="771">
        <v>0</v>
      </c>
      <c r="BK36" s="771">
        <v>0</v>
      </c>
      <c r="BL36" s="771">
        <v>0</v>
      </c>
      <c r="BM36" s="771">
        <v>0</v>
      </c>
      <c r="BN36" s="771">
        <v>0</v>
      </c>
      <c r="BO36" s="771">
        <v>0</v>
      </c>
      <c r="BP36" s="772">
        <v>0</v>
      </c>
      <c r="BQ36" s="777"/>
      <c r="BR36" s="762">
        <f t="shared" si="5"/>
        <v>7200</v>
      </c>
      <c r="BS36" s="763">
        <f t="shared" si="9"/>
        <v>0</v>
      </c>
      <c r="BT36" s="763">
        <f t="shared" si="9"/>
        <v>41862.657045087915</v>
      </c>
      <c r="BU36" s="763">
        <f t="shared" si="9"/>
        <v>0</v>
      </c>
      <c r="BV36" s="763">
        <f t="shared" si="9"/>
        <v>0</v>
      </c>
      <c r="BW36" s="763">
        <f t="shared" si="9"/>
        <v>10053.776829087938</v>
      </c>
      <c r="BX36" s="763">
        <f t="shared" si="9"/>
        <v>0</v>
      </c>
      <c r="BY36" s="763">
        <f t="shared" si="9"/>
        <v>0</v>
      </c>
      <c r="BZ36" s="763">
        <f t="shared" si="9"/>
        <v>0</v>
      </c>
      <c r="CA36" s="763">
        <f t="shared" si="6"/>
        <v>0</v>
      </c>
      <c r="CB36" s="763">
        <f t="shared" si="6"/>
        <v>0</v>
      </c>
      <c r="CC36" s="763">
        <f t="shared" si="6"/>
        <v>0</v>
      </c>
      <c r="CD36" s="763">
        <f t="shared" si="6"/>
        <v>0</v>
      </c>
      <c r="CE36" s="763">
        <f t="shared" si="7"/>
        <v>0</v>
      </c>
      <c r="CF36" s="763">
        <f t="shared" si="7"/>
        <v>0</v>
      </c>
      <c r="CG36" s="763">
        <f t="shared" si="7"/>
        <v>0</v>
      </c>
      <c r="CH36" s="763">
        <f t="shared" si="7"/>
        <v>0</v>
      </c>
      <c r="CI36" s="763">
        <f t="shared" si="7"/>
        <v>0</v>
      </c>
      <c r="CJ36" s="763">
        <f t="shared" si="7"/>
        <v>0</v>
      </c>
      <c r="CK36" s="763">
        <f t="shared" si="7"/>
        <v>0</v>
      </c>
      <c r="CL36" s="763">
        <f t="shared" si="7"/>
        <v>0</v>
      </c>
      <c r="CM36" s="757">
        <f t="shared" si="8"/>
        <v>59116.433874175855</v>
      </c>
      <c r="CO36" s="762">
        <f>Z36*Vol!D36</f>
        <v>0</v>
      </c>
      <c r="CP36" s="763">
        <f>AA36*Vol!E36/100</f>
        <v>0</v>
      </c>
      <c r="CQ36" s="763">
        <f>AB36*Vol!F36/100</f>
        <v>0</v>
      </c>
      <c r="CR36" s="763">
        <f>AC36*Vol!G36/100</f>
        <v>0</v>
      </c>
      <c r="CS36" s="763">
        <f>AD36*Vol!H36/100</f>
        <v>0</v>
      </c>
      <c r="CT36" s="763">
        <f>AE36*Vol!I36/100</f>
        <v>0</v>
      </c>
      <c r="CU36" s="763">
        <f>AF36*Vol!J36/100</f>
        <v>0</v>
      </c>
      <c r="CV36" s="763">
        <f>AG36*Vol!K36/100</f>
        <v>0</v>
      </c>
      <c r="CW36" s="763">
        <f>AH36*Vol!L36/100</f>
        <v>0</v>
      </c>
      <c r="CX36" s="763">
        <f>AI36*Vol!M36</f>
        <v>0</v>
      </c>
      <c r="CY36" s="763">
        <f>AJ36*Vol!N36</f>
        <v>0</v>
      </c>
      <c r="CZ36" s="763">
        <f>AK36*Vol!O36</f>
        <v>0</v>
      </c>
      <c r="DA36" s="763">
        <f>AL36*Vol!P36</f>
        <v>0</v>
      </c>
      <c r="DB36" s="763">
        <f>AM36*Vol!Q36/100</f>
        <v>0</v>
      </c>
      <c r="DC36" s="763">
        <f>AN36*Vol!R36/100</f>
        <v>0</v>
      </c>
      <c r="DD36" s="763">
        <f>AO36*Vol!S36/100</f>
        <v>0</v>
      </c>
      <c r="DE36" s="763">
        <f>AP36*Vol!T36/100</f>
        <v>0</v>
      </c>
      <c r="DF36" s="763">
        <f>AQ36*Vol!U36/100</f>
        <v>0</v>
      </c>
      <c r="DG36" s="763">
        <f>AR36*Vol!V36/100</f>
        <v>0</v>
      </c>
      <c r="DH36" s="763">
        <f>AS36*Vol!W36/100</f>
        <v>0</v>
      </c>
      <c r="DI36" s="763">
        <f>AT36*Vol!X36/100</f>
        <v>0</v>
      </c>
      <c r="DJ36" s="757">
        <f t="shared" si="4"/>
        <v>0</v>
      </c>
    </row>
    <row r="37" spans="1:114" s="748" customFormat="1">
      <c r="A37" s="748" t="s">
        <v>812</v>
      </c>
      <c r="B37" s="750" t="s">
        <v>813</v>
      </c>
      <c r="C37" s="775" t="s">
        <v>811</v>
      </c>
      <c r="D37" s="767">
        <v>800</v>
      </c>
      <c r="E37" s="768">
        <v>0</v>
      </c>
      <c r="F37" s="768">
        <v>6.11</v>
      </c>
      <c r="G37" s="768">
        <v>0</v>
      </c>
      <c r="H37" s="768">
        <v>0</v>
      </c>
      <c r="I37" s="768">
        <v>2.62</v>
      </c>
      <c r="J37" s="768">
        <v>0</v>
      </c>
      <c r="K37" s="768">
        <v>0</v>
      </c>
      <c r="L37" s="768">
        <v>0</v>
      </c>
      <c r="M37" s="768">
        <v>0</v>
      </c>
      <c r="N37" s="768">
        <v>0</v>
      </c>
      <c r="O37" s="768">
        <v>0</v>
      </c>
      <c r="P37" s="768">
        <v>0</v>
      </c>
      <c r="Q37" s="768">
        <v>0</v>
      </c>
      <c r="R37" s="768">
        <v>0</v>
      </c>
      <c r="S37" s="768">
        <v>0</v>
      </c>
      <c r="T37" s="768">
        <v>0</v>
      </c>
      <c r="U37" s="768">
        <v>0</v>
      </c>
      <c r="V37" s="768">
        <v>0</v>
      </c>
      <c r="W37" s="768">
        <v>0</v>
      </c>
      <c r="X37" s="769">
        <v>0</v>
      </c>
      <c r="Z37" s="751">
        <f>IFERROR(INDEX(Est2017DistRev!D:D,MATCH($A37,Est2017DistRev!$A:$A,),1),)</f>
        <v>0</v>
      </c>
      <c r="AA37" s="752">
        <f>IFERROR(INDEX(Est2017DistRev!E:E,MATCH($A37,Est2017DistRev!$A:$A,),1),)</f>
        <v>0</v>
      </c>
      <c r="AB37" s="752">
        <f>IFERROR(INDEX(Est2017DistRev!F:F,MATCH($A37,Est2017DistRev!$A:$A,),1),)</f>
        <v>0</v>
      </c>
      <c r="AC37" s="752">
        <f>IFERROR(INDEX(Est2017DistRev!G:G,MATCH($A37,Est2017DistRev!$A:$A,),1),)</f>
        <v>0</v>
      </c>
      <c r="AD37" s="752">
        <f>IFERROR(INDEX(Est2017DistRev!H:H,MATCH($A37,Est2017DistRev!$A:$A,),1),)</f>
        <v>0</v>
      </c>
      <c r="AE37" s="752">
        <f>IFERROR(INDEX(Est2017DistRev!I:I,MATCH($A37,Est2017DistRev!$A:$A,),1),)</f>
        <v>0</v>
      </c>
      <c r="AF37" s="752">
        <f>IFERROR(INDEX(Est2017DistRev!J:J,MATCH($A37,Est2017DistRev!$A:$A,),1),)</f>
        <v>0</v>
      </c>
      <c r="AG37" s="752">
        <f>IFERROR(INDEX(Est2017DistRev!K:K,MATCH($A37,Est2017DistRev!$A:$A,),1),)</f>
        <v>0</v>
      </c>
      <c r="AH37" s="752">
        <f>IFERROR(INDEX(Est2017DistRev!L:L,MATCH($A37,Est2017DistRev!$A:$A,),1),)</f>
        <v>0</v>
      </c>
      <c r="AI37" s="752">
        <f>IFERROR(INDEX(Est2017DistRev!M:M,MATCH($A37,Est2017DistRev!$A:$A,),1),)</f>
        <v>0</v>
      </c>
      <c r="AJ37" s="752">
        <f>IFERROR(INDEX(Est2017DistRev!N:N,MATCH($A37,Est2017DistRev!$A:$A,),1),)</f>
        <v>0</v>
      </c>
      <c r="AK37" s="752">
        <f>IFERROR(INDEX(Est2017DistRev!O:O,MATCH($A37,Est2017DistRev!$A:$A,),1),)</f>
        <v>0</v>
      </c>
      <c r="AL37" s="752">
        <f>IFERROR(INDEX(Est2017DistRev!P:P,MATCH($A37,Est2017DistRev!$A:$A,),1),)</f>
        <v>0</v>
      </c>
      <c r="AM37" s="752">
        <f>IFERROR(INDEX(Est2017DistRev!Q:Q,MATCH($A37,Est2017DistRev!$A:$A,),1),)</f>
        <v>0</v>
      </c>
      <c r="AN37" s="752">
        <f>IFERROR(INDEX(Est2017DistRev!R:R,MATCH($A37,Est2017DistRev!$A:$A,),1),)</f>
        <v>0</v>
      </c>
      <c r="AO37" s="752">
        <f>IFERROR(INDEX(Est2017DistRev!S:S,MATCH($A37,Est2017DistRev!$A:$A,),1),)</f>
        <v>0</v>
      </c>
      <c r="AP37" s="752">
        <f>IFERROR(INDEX(Est2017DistRev!T:T,MATCH($A37,Est2017DistRev!$A:$A,),1),)</f>
        <v>0</v>
      </c>
      <c r="AQ37" s="752">
        <f>IFERROR(INDEX(Est2017DistRev!U:U,MATCH($A37,Est2017DistRev!$A:$A,),1),)</f>
        <v>0</v>
      </c>
      <c r="AR37" s="752">
        <f>IFERROR(INDEX(Est2017DistRev!V:V,MATCH($A37,Est2017DistRev!$A:$A,),1),)</f>
        <v>0</v>
      </c>
      <c r="AS37" s="752">
        <f>IFERROR(INDEX(Est2017DistRev!W:W,MATCH($A37,Est2017DistRev!$A:$A,),1),)</f>
        <v>0</v>
      </c>
      <c r="AT37" s="753">
        <f>IFERROR(INDEX(Est2017DistRev!X:X,MATCH($A37,Est2017DistRev!$A:$A,),1),)</f>
        <v>0</v>
      </c>
      <c r="AV37" s="773">
        <v>9</v>
      </c>
      <c r="AW37" s="771">
        <v>0</v>
      </c>
      <c r="AX37" s="771">
        <v>560828.84227428387</v>
      </c>
      <c r="AY37" s="771">
        <v>0</v>
      </c>
      <c r="AZ37" s="771">
        <v>0</v>
      </c>
      <c r="BA37" s="771">
        <v>293112.81138169364</v>
      </c>
      <c r="BB37" s="771">
        <v>0</v>
      </c>
      <c r="BC37" s="771">
        <v>0</v>
      </c>
      <c r="BD37" s="771">
        <v>0</v>
      </c>
      <c r="BE37" s="771">
        <v>0</v>
      </c>
      <c r="BF37" s="771">
        <v>0</v>
      </c>
      <c r="BG37" s="771">
        <v>0</v>
      </c>
      <c r="BH37" s="771">
        <v>0</v>
      </c>
      <c r="BI37" s="771">
        <v>0</v>
      </c>
      <c r="BJ37" s="771">
        <v>0</v>
      </c>
      <c r="BK37" s="771">
        <v>0</v>
      </c>
      <c r="BL37" s="771">
        <v>0</v>
      </c>
      <c r="BM37" s="771">
        <v>0</v>
      </c>
      <c r="BN37" s="771">
        <v>0</v>
      </c>
      <c r="BO37" s="771">
        <v>0</v>
      </c>
      <c r="BP37" s="772">
        <v>0</v>
      </c>
      <c r="BQ37" s="777"/>
      <c r="BR37" s="762">
        <f t="shared" si="5"/>
        <v>7200</v>
      </c>
      <c r="BS37" s="763">
        <f t="shared" si="9"/>
        <v>0</v>
      </c>
      <c r="BT37" s="763">
        <f t="shared" si="9"/>
        <v>34266.642262958747</v>
      </c>
      <c r="BU37" s="763">
        <f t="shared" si="9"/>
        <v>0</v>
      </c>
      <c r="BV37" s="763">
        <f t="shared" si="9"/>
        <v>0</v>
      </c>
      <c r="BW37" s="763">
        <f t="shared" si="9"/>
        <v>7679.5556582003737</v>
      </c>
      <c r="BX37" s="763">
        <f t="shared" si="9"/>
        <v>0</v>
      </c>
      <c r="BY37" s="763">
        <f t="shared" si="9"/>
        <v>0</v>
      </c>
      <c r="BZ37" s="763">
        <f t="shared" si="9"/>
        <v>0</v>
      </c>
      <c r="CA37" s="763">
        <f t="shared" si="6"/>
        <v>0</v>
      </c>
      <c r="CB37" s="763">
        <f t="shared" si="6"/>
        <v>0</v>
      </c>
      <c r="CC37" s="763">
        <f t="shared" si="6"/>
        <v>0</v>
      </c>
      <c r="CD37" s="763">
        <f t="shared" si="6"/>
        <v>0</v>
      </c>
      <c r="CE37" s="763">
        <f t="shared" si="7"/>
        <v>0</v>
      </c>
      <c r="CF37" s="763">
        <f t="shared" si="7"/>
        <v>0</v>
      </c>
      <c r="CG37" s="763">
        <f t="shared" si="7"/>
        <v>0</v>
      </c>
      <c r="CH37" s="763">
        <f t="shared" si="7"/>
        <v>0</v>
      </c>
      <c r="CI37" s="763">
        <f t="shared" si="7"/>
        <v>0</v>
      </c>
      <c r="CJ37" s="763">
        <f t="shared" si="7"/>
        <v>0</v>
      </c>
      <c r="CK37" s="763">
        <f t="shared" si="7"/>
        <v>0</v>
      </c>
      <c r="CL37" s="763">
        <f t="shared" si="7"/>
        <v>0</v>
      </c>
      <c r="CM37" s="757">
        <f t="shared" si="8"/>
        <v>49146.197921159124</v>
      </c>
      <c r="CO37" s="762">
        <f>Z37*Vol!D37</f>
        <v>0</v>
      </c>
      <c r="CP37" s="763">
        <f>AA37*Vol!E37/100</f>
        <v>0</v>
      </c>
      <c r="CQ37" s="763">
        <f>AB37*Vol!F37/100</f>
        <v>0</v>
      </c>
      <c r="CR37" s="763">
        <f>AC37*Vol!G37/100</f>
        <v>0</v>
      </c>
      <c r="CS37" s="763">
        <f>AD37*Vol!H37/100</f>
        <v>0</v>
      </c>
      <c r="CT37" s="763">
        <f>AE37*Vol!I37/100</f>
        <v>0</v>
      </c>
      <c r="CU37" s="763">
        <f>AF37*Vol!J37/100</f>
        <v>0</v>
      </c>
      <c r="CV37" s="763">
        <f>AG37*Vol!K37/100</f>
        <v>0</v>
      </c>
      <c r="CW37" s="763">
        <f>AH37*Vol!L37/100</f>
        <v>0</v>
      </c>
      <c r="CX37" s="763">
        <f>AI37*Vol!M37</f>
        <v>0</v>
      </c>
      <c r="CY37" s="763">
        <f>AJ37*Vol!N37</f>
        <v>0</v>
      </c>
      <c r="CZ37" s="763">
        <f>AK37*Vol!O37</f>
        <v>0</v>
      </c>
      <c r="DA37" s="763">
        <f>AL37*Vol!P37</f>
        <v>0</v>
      </c>
      <c r="DB37" s="763">
        <f>AM37*Vol!Q37/100</f>
        <v>0</v>
      </c>
      <c r="DC37" s="763">
        <f>AN37*Vol!R37/100</f>
        <v>0</v>
      </c>
      <c r="DD37" s="763">
        <f>AO37*Vol!S37/100</f>
        <v>0</v>
      </c>
      <c r="DE37" s="763">
        <f>AP37*Vol!T37/100</f>
        <v>0</v>
      </c>
      <c r="DF37" s="763">
        <f>AQ37*Vol!U37/100</f>
        <v>0</v>
      </c>
      <c r="DG37" s="763">
        <f>AR37*Vol!V37/100</f>
        <v>0</v>
      </c>
      <c r="DH37" s="763">
        <f>AS37*Vol!W37/100</f>
        <v>0</v>
      </c>
      <c r="DI37" s="763">
        <f>AT37*Vol!X37/100</f>
        <v>0</v>
      </c>
      <c r="DJ37" s="757">
        <f t="shared" si="4"/>
        <v>0</v>
      </c>
    </row>
    <row r="38" spans="1:114" s="748" customFormat="1">
      <c r="A38" s="748" t="s">
        <v>814</v>
      </c>
      <c r="B38" s="750" t="s">
        <v>569</v>
      </c>
      <c r="C38" s="750" t="s">
        <v>569</v>
      </c>
      <c r="D38" s="767">
        <v>0</v>
      </c>
      <c r="E38" s="768">
        <v>0</v>
      </c>
      <c r="F38" s="768">
        <v>8.5299999999999994</v>
      </c>
      <c r="G38" s="768">
        <v>0</v>
      </c>
      <c r="H38" s="768">
        <v>0</v>
      </c>
      <c r="I38" s="768">
        <v>2.36</v>
      </c>
      <c r="J38" s="768">
        <v>0</v>
      </c>
      <c r="K38" s="768">
        <v>0</v>
      </c>
      <c r="L38" s="768">
        <v>0</v>
      </c>
      <c r="M38" s="768">
        <v>0</v>
      </c>
      <c r="N38" s="768">
        <v>0</v>
      </c>
      <c r="O38" s="768">
        <v>0</v>
      </c>
      <c r="P38" s="768">
        <v>0</v>
      </c>
      <c r="Q38" s="768">
        <v>0</v>
      </c>
      <c r="R38" s="768">
        <v>0</v>
      </c>
      <c r="S38" s="768">
        <v>0</v>
      </c>
      <c r="T38" s="768">
        <v>0</v>
      </c>
      <c r="U38" s="768">
        <v>0</v>
      </c>
      <c r="V38" s="768">
        <v>0</v>
      </c>
      <c r="W38" s="768">
        <v>0</v>
      </c>
      <c r="X38" s="769">
        <v>0</v>
      </c>
      <c r="Z38" s="751">
        <f>IFERROR(INDEX(Est2017DistRev!D:D,MATCH($A38,Est2017DistRev!$A:$A,),1),)</f>
        <v>0</v>
      </c>
      <c r="AA38" s="752">
        <f>IFERROR(INDEX(Est2017DistRev!E:E,MATCH($A38,Est2017DistRev!$A:$A,),1),)</f>
        <v>0</v>
      </c>
      <c r="AB38" s="752">
        <f>IFERROR(INDEX(Est2017DistRev!F:F,MATCH($A38,Est2017DistRev!$A:$A,),1),)</f>
        <v>7.75</v>
      </c>
      <c r="AC38" s="752">
        <f>IFERROR(INDEX(Est2017DistRev!G:G,MATCH($A38,Est2017DistRev!$A:$A,),1),)</f>
        <v>0</v>
      </c>
      <c r="AD38" s="752">
        <f>IFERROR(INDEX(Est2017DistRev!H:H,MATCH($A38,Est2017DistRev!$A:$A,),1),)</f>
        <v>0</v>
      </c>
      <c r="AE38" s="752">
        <f>IFERROR(INDEX(Est2017DistRev!I:I,MATCH($A38,Est2017DistRev!$A:$A,),1),)</f>
        <v>2.14</v>
      </c>
      <c r="AF38" s="752">
        <f>IFERROR(INDEX(Est2017DistRev!J:J,MATCH($A38,Est2017DistRev!$A:$A,),1),)</f>
        <v>0</v>
      </c>
      <c r="AG38" s="752">
        <f>IFERROR(INDEX(Est2017DistRev!K:K,MATCH($A38,Est2017DistRev!$A:$A,),1),)</f>
        <v>0</v>
      </c>
      <c r="AH38" s="752">
        <f>IFERROR(INDEX(Est2017DistRev!L:L,MATCH($A38,Est2017DistRev!$A:$A,),1),)</f>
        <v>0</v>
      </c>
      <c r="AI38" s="752">
        <f>IFERROR(INDEX(Est2017DistRev!M:M,MATCH($A38,Est2017DistRev!$A:$A,),1),)</f>
        <v>0</v>
      </c>
      <c r="AJ38" s="752">
        <f>IFERROR(INDEX(Est2017DistRev!N:N,MATCH($A38,Est2017DistRev!$A:$A,),1),)</f>
        <v>0</v>
      </c>
      <c r="AK38" s="752">
        <f>IFERROR(INDEX(Est2017DistRev!O:O,MATCH($A38,Est2017DistRev!$A:$A,),1),)</f>
        <v>0</v>
      </c>
      <c r="AL38" s="752">
        <f>IFERROR(INDEX(Est2017DistRev!P:P,MATCH($A38,Est2017DistRev!$A:$A,),1),)</f>
        <v>0</v>
      </c>
      <c r="AM38" s="752">
        <f>IFERROR(INDEX(Est2017DistRev!Q:Q,MATCH($A38,Est2017DistRev!$A:$A,),1),)</f>
        <v>0</v>
      </c>
      <c r="AN38" s="752">
        <f>IFERROR(INDEX(Est2017DistRev!R:R,MATCH($A38,Est2017DistRev!$A:$A,),1),)</f>
        <v>0</v>
      </c>
      <c r="AO38" s="752">
        <f>IFERROR(INDEX(Est2017DistRev!S:S,MATCH($A38,Est2017DistRev!$A:$A,),1),)</f>
        <v>0</v>
      </c>
      <c r="AP38" s="752">
        <f>IFERROR(INDEX(Est2017DistRev!T:T,MATCH($A38,Est2017DistRev!$A:$A,),1),)</f>
        <v>0</v>
      </c>
      <c r="AQ38" s="752">
        <f>IFERROR(INDEX(Est2017DistRev!U:U,MATCH($A38,Est2017DistRev!$A:$A,),1),)</f>
        <v>0</v>
      </c>
      <c r="AR38" s="752">
        <f>IFERROR(INDEX(Est2017DistRev!V:V,MATCH($A38,Est2017DistRev!$A:$A,),1),)</f>
        <v>0</v>
      </c>
      <c r="AS38" s="752">
        <f>IFERROR(INDEX(Est2017DistRev!W:W,MATCH($A38,Est2017DistRev!$A:$A,),1),)</f>
        <v>0</v>
      </c>
      <c r="AT38" s="753">
        <f>IFERROR(INDEX(Est2017DistRev!X:X,MATCH($A38,Est2017DistRev!$A:$A,),1),)</f>
        <v>0</v>
      </c>
      <c r="AV38" s="773">
        <v>4063</v>
      </c>
      <c r="AW38" s="771">
        <v>0</v>
      </c>
      <c r="AX38" s="771">
        <v>14704755.161692999</v>
      </c>
      <c r="AY38" s="771">
        <v>0</v>
      </c>
      <c r="AZ38" s="771">
        <v>0</v>
      </c>
      <c r="BA38" s="771">
        <v>24328971.636999998</v>
      </c>
      <c r="BB38" s="771">
        <v>0</v>
      </c>
      <c r="BC38" s="771">
        <v>0</v>
      </c>
      <c r="BD38" s="771">
        <v>0</v>
      </c>
      <c r="BE38" s="771">
        <v>0</v>
      </c>
      <c r="BF38" s="771">
        <v>0</v>
      </c>
      <c r="BG38" s="771">
        <v>0</v>
      </c>
      <c r="BH38" s="771">
        <v>0</v>
      </c>
      <c r="BI38" s="771">
        <v>0</v>
      </c>
      <c r="BJ38" s="771">
        <v>0</v>
      </c>
      <c r="BK38" s="771">
        <v>0</v>
      </c>
      <c r="BL38" s="771">
        <v>0</v>
      </c>
      <c r="BM38" s="771">
        <v>0</v>
      </c>
      <c r="BN38" s="771">
        <v>0</v>
      </c>
      <c r="BO38" s="771">
        <v>0</v>
      </c>
      <c r="BP38" s="772">
        <v>0</v>
      </c>
      <c r="BQ38" s="777"/>
      <c r="BR38" s="762">
        <f t="shared" si="5"/>
        <v>0</v>
      </c>
      <c r="BS38" s="763">
        <f t="shared" si="9"/>
        <v>0</v>
      </c>
      <c r="BT38" s="763">
        <f t="shared" si="9"/>
        <v>1254315.6152924127</v>
      </c>
      <c r="BU38" s="763">
        <f t="shared" si="9"/>
        <v>0</v>
      </c>
      <c r="BV38" s="763">
        <f t="shared" si="9"/>
        <v>0</v>
      </c>
      <c r="BW38" s="763">
        <f t="shared" si="9"/>
        <v>574163.73063319991</v>
      </c>
      <c r="BX38" s="763">
        <f t="shared" si="9"/>
        <v>0</v>
      </c>
      <c r="BY38" s="763">
        <f t="shared" si="9"/>
        <v>0</v>
      </c>
      <c r="BZ38" s="763">
        <f t="shared" si="9"/>
        <v>0</v>
      </c>
      <c r="CA38" s="763">
        <f t="shared" si="6"/>
        <v>0</v>
      </c>
      <c r="CB38" s="763">
        <f t="shared" si="6"/>
        <v>0</v>
      </c>
      <c r="CC38" s="763">
        <f t="shared" si="6"/>
        <v>0</v>
      </c>
      <c r="CD38" s="763">
        <f t="shared" si="6"/>
        <v>0</v>
      </c>
      <c r="CE38" s="763">
        <f t="shared" si="7"/>
        <v>0</v>
      </c>
      <c r="CF38" s="763">
        <f t="shared" si="7"/>
        <v>0</v>
      </c>
      <c r="CG38" s="763">
        <f t="shared" si="7"/>
        <v>0</v>
      </c>
      <c r="CH38" s="763">
        <f t="shared" si="7"/>
        <v>0</v>
      </c>
      <c r="CI38" s="763">
        <f t="shared" si="7"/>
        <v>0</v>
      </c>
      <c r="CJ38" s="763">
        <f t="shared" si="7"/>
        <v>0</v>
      </c>
      <c r="CK38" s="763">
        <f t="shared" si="7"/>
        <v>0</v>
      </c>
      <c r="CL38" s="763">
        <f t="shared" si="7"/>
        <v>0</v>
      </c>
      <c r="CM38" s="757">
        <f t="shared" si="8"/>
        <v>1828479.3459256126</v>
      </c>
      <c r="CO38" s="762">
        <f>Z38*Vol!D38</f>
        <v>0</v>
      </c>
      <c r="CP38" s="763">
        <f>AA38*Vol!E38/100</f>
        <v>0</v>
      </c>
      <c r="CQ38" s="763">
        <f>AB38*Vol!F38/100</f>
        <v>1139618.5250312076</v>
      </c>
      <c r="CR38" s="763">
        <f>AC38*Vol!G38/100</f>
        <v>0</v>
      </c>
      <c r="CS38" s="763">
        <f>AD38*Vol!H38/100</f>
        <v>0</v>
      </c>
      <c r="CT38" s="763">
        <f>AE38*Vol!I38/100</f>
        <v>520639.99303180003</v>
      </c>
      <c r="CU38" s="763">
        <f>AF38*Vol!J38/100</f>
        <v>0</v>
      </c>
      <c r="CV38" s="763">
        <f>AG38*Vol!K38/100</f>
        <v>0</v>
      </c>
      <c r="CW38" s="763">
        <f>AH38*Vol!L38/100</f>
        <v>0</v>
      </c>
      <c r="CX38" s="763">
        <f>AI38*Vol!M38</f>
        <v>0</v>
      </c>
      <c r="CY38" s="763">
        <f>AJ38*Vol!N38</f>
        <v>0</v>
      </c>
      <c r="CZ38" s="763">
        <f>AK38*Vol!O38</f>
        <v>0</v>
      </c>
      <c r="DA38" s="763">
        <f>AL38*Vol!P38</f>
        <v>0</v>
      </c>
      <c r="DB38" s="763">
        <f>AM38*Vol!Q38/100</f>
        <v>0</v>
      </c>
      <c r="DC38" s="763">
        <f>AN38*Vol!R38/100</f>
        <v>0</v>
      </c>
      <c r="DD38" s="763">
        <f>AO38*Vol!S38/100</f>
        <v>0</v>
      </c>
      <c r="DE38" s="763">
        <f>AP38*Vol!T38/100</f>
        <v>0</v>
      </c>
      <c r="DF38" s="763">
        <f>AQ38*Vol!U38/100</f>
        <v>0</v>
      </c>
      <c r="DG38" s="763">
        <f>AR38*Vol!V38/100</f>
        <v>0</v>
      </c>
      <c r="DH38" s="763">
        <f>AS38*Vol!W38/100</f>
        <v>0</v>
      </c>
      <c r="DI38" s="763">
        <f>AT38*Vol!X38/100</f>
        <v>0</v>
      </c>
      <c r="DJ38" s="757">
        <f t="shared" si="4"/>
        <v>1660258.5180630076</v>
      </c>
    </row>
    <row r="39" spans="1:114" s="748" customFormat="1">
      <c r="A39" s="748" t="s">
        <v>815</v>
      </c>
      <c r="B39" s="750" t="s">
        <v>602</v>
      </c>
      <c r="C39" s="750" t="s">
        <v>602</v>
      </c>
      <c r="D39" s="767">
        <v>6300</v>
      </c>
      <c r="E39" s="768">
        <v>0</v>
      </c>
      <c r="F39" s="768">
        <v>2.33</v>
      </c>
      <c r="G39" s="768">
        <v>0</v>
      </c>
      <c r="H39" s="768">
        <v>0</v>
      </c>
      <c r="I39" s="768">
        <v>1.41</v>
      </c>
      <c r="J39" s="768">
        <v>0</v>
      </c>
      <c r="K39" s="768">
        <v>0</v>
      </c>
      <c r="L39" s="768">
        <v>0</v>
      </c>
      <c r="M39" s="768">
        <v>72.02</v>
      </c>
      <c r="N39" s="768">
        <v>0</v>
      </c>
      <c r="O39" s="768">
        <v>0</v>
      </c>
      <c r="P39" s="768">
        <v>0</v>
      </c>
      <c r="Q39" s="768">
        <v>0</v>
      </c>
      <c r="R39" s="768">
        <v>0</v>
      </c>
      <c r="S39" s="768">
        <v>0</v>
      </c>
      <c r="T39" s="768">
        <v>0</v>
      </c>
      <c r="U39" s="768">
        <v>0</v>
      </c>
      <c r="V39" s="768">
        <v>0</v>
      </c>
      <c r="W39" s="768">
        <v>0</v>
      </c>
      <c r="X39" s="769">
        <v>0</v>
      </c>
      <c r="Z39" s="751">
        <f>IFERROR(INDEX(Est2017DistRev!D:D,MATCH($A39,Est2017DistRev!$A:$A,),1),)</f>
        <v>5801</v>
      </c>
      <c r="AA39" s="752">
        <f>IFERROR(INDEX(Est2017DistRev!E:E,MATCH($A39,Est2017DistRev!$A:$A,),1),)</f>
        <v>0</v>
      </c>
      <c r="AB39" s="752">
        <f>IFERROR(INDEX(Est2017DistRev!F:F,MATCH($A39,Est2017DistRev!$A:$A,),1),)</f>
        <v>2.1800000000000002</v>
      </c>
      <c r="AC39" s="752">
        <f>IFERROR(INDEX(Est2017DistRev!G:G,MATCH($A39,Est2017DistRev!$A:$A,),1),)</f>
        <v>0</v>
      </c>
      <c r="AD39" s="752">
        <f>IFERROR(INDEX(Est2017DistRev!H:H,MATCH($A39,Est2017DistRev!$A:$A,),1),)</f>
        <v>0</v>
      </c>
      <c r="AE39" s="752">
        <f>IFERROR(INDEX(Est2017DistRev!I:I,MATCH($A39,Est2017DistRev!$A:$A,),1),)</f>
        <v>1.32</v>
      </c>
      <c r="AF39" s="752">
        <f>IFERROR(INDEX(Est2017DistRev!J:J,MATCH($A39,Est2017DistRev!$A:$A,),1),)</f>
        <v>0</v>
      </c>
      <c r="AG39" s="752">
        <f>IFERROR(INDEX(Est2017DistRev!K:K,MATCH($A39,Est2017DistRev!$A:$A,),1),)</f>
        <v>0</v>
      </c>
      <c r="AH39" s="752">
        <f>IFERROR(INDEX(Est2017DistRev!L:L,MATCH($A39,Est2017DistRev!$A:$A,),1),)</f>
        <v>0</v>
      </c>
      <c r="AI39" s="752">
        <f>IFERROR(INDEX(Est2017DistRev!M:M,MATCH($A39,Est2017DistRev!$A:$A,),1),)</f>
        <v>67.650000000000006</v>
      </c>
      <c r="AJ39" s="752">
        <f>IFERROR(INDEX(Est2017DistRev!N:N,MATCH($A39,Est2017DistRev!$A:$A,),1),)</f>
        <v>0</v>
      </c>
      <c r="AK39" s="752">
        <f>IFERROR(INDEX(Est2017DistRev!O:O,MATCH($A39,Est2017DistRev!$A:$A,),1),)</f>
        <v>0</v>
      </c>
      <c r="AL39" s="752">
        <f>IFERROR(INDEX(Est2017DistRev!P:P,MATCH($A39,Est2017DistRev!$A:$A,),1),)</f>
        <v>0</v>
      </c>
      <c r="AM39" s="752">
        <f>IFERROR(INDEX(Est2017DistRev!Q:Q,MATCH($A39,Est2017DistRev!$A:$A,),1),)</f>
        <v>0</v>
      </c>
      <c r="AN39" s="752">
        <f>IFERROR(INDEX(Est2017DistRev!R:R,MATCH($A39,Est2017DistRev!$A:$A,),1),)</f>
        <v>0</v>
      </c>
      <c r="AO39" s="752">
        <f>IFERROR(INDEX(Est2017DistRev!S:S,MATCH($A39,Est2017DistRev!$A:$A,),1),)</f>
        <v>0</v>
      </c>
      <c r="AP39" s="752">
        <f>IFERROR(INDEX(Est2017DistRev!T:T,MATCH($A39,Est2017DistRev!$A:$A,),1),)</f>
        <v>0</v>
      </c>
      <c r="AQ39" s="752">
        <f>IFERROR(INDEX(Est2017DistRev!U:U,MATCH($A39,Est2017DistRev!$A:$A,),1),)</f>
        <v>0</v>
      </c>
      <c r="AR39" s="752">
        <f>IFERROR(INDEX(Est2017DistRev!V:V,MATCH($A39,Est2017DistRev!$A:$A,),1),)</f>
        <v>0</v>
      </c>
      <c r="AS39" s="752">
        <f>IFERROR(INDEX(Est2017DistRev!W:W,MATCH($A39,Est2017DistRev!$A:$A,),1),)</f>
        <v>0</v>
      </c>
      <c r="AT39" s="753">
        <f>IFERROR(INDEX(Est2017DistRev!X:X,MATCH($A39,Est2017DistRev!$A:$A,),1),)</f>
        <v>0</v>
      </c>
      <c r="AV39" s="773">
        <v>330.02895782458518</v>
      </c>
      <c r="AW39" s="771">
        <v>0</v>
      </c>
      <c r="AX39" s="771">
        <v>112861608.3435501</v>
      </c>
      <c r="AY39" s="771">
        <v>0</v>
      </c>
      <c r="AZ39" s="771">
        <v>0</v>
      </c>
      <c r="BA39" s="771">
        <v>88751320.906778917</v>
      </c>
      <c r="BB39" s="771">
        <v>0</v>
      </c>
      <c r="BC39" s="771">
        <v>0</v>
      </c>
      <c r="BD39" s="771">
        <v>0</v>
      </c>
      <c r="BE39" s="771">
        <v>64648.710384258302</v>
      </c>
      <c r="BF39" s="771">
        <v>0</v>
      </c>
      <c r="BG39" s="771">
        <v>0</v>
      </c>
      <c r="BH39" s="771">
        <v>0</v>
      </c>
      <c r="BI39" s="771">
        <v>0</v>
      </c>
      <c r="BJ39" s="771">
        <v>0</v>
      </c>
      <c r="BK39" s="771">
        <v>0</v>
      </c>
      <c r="BL39" s="771">
        <v>0</v>
      </c>
      <c r="BM39" s="771">
        <v>0</v>
      </c>
      <c r="BN39" s="771">
        <v>0</v>
      </c>
      <c r="BO39" s="771">
        <v>0</v>
      </c>
      <c r="BP39" s="772">
        <v>0</v>
      </c>
      <c r="BQ39" s="777"/>
      <c r="BR39" s="762">
        <f t="shared" si="5"/>
        <v>2079182.4342948867</v>
      </c>
      <c r="BS39" s="763">
        <f t="shared" si="9"/>
        <v>0</v>
      </c>
      <c r="BT39" s="763">
        <f t="shared" si="9"/>
        <v>2629675.4744047173</v>
      </c>
      <c r="BU39" s="763">
        <f t="shared" si="9"/>
        <v>0</v>
      </c>
      <c r="BV39" s="763">
        <f t="shared" si="9"/>
        <v>0</v>
      </c>
      <c r="BW39" s="763">
        <f t="shared" si="9"/>
        <v>1251393.6247855828</v>
      </c>
      <c r="BX39" s="763">
        <f t="shared" si="9"/>
        <v>0</v>
      </c>
      <c r="BY39" s="763">
        <f t="shared" si="9"/>
        <v>0</v>
      </c>
      <c r="BZ39" s="763">
        <f t="shared" si="9"/>
        <v>0</v>
      </c>
      <c r="CA39" s="763">
        <f t="shared" si="6"/>
        <v>4656000.1218742831</v>
      </c>
      <c r="CB39" s="763">
        <f t="shared" si="6"/>
        <v>0</v>
      </c>
      <c r="CC39" s="763">
        <f t="shared" si="6"/>
        <v>0</v>
      </c>
      <c r="CD39" s="763">
        <f t="shared" si="6"/>
        <v>0</v>
      </c>
      <c r="CE39" s="763">
        <f t="shared" si="7"/>
        <v>0</v>
      </c>
      <c r="CF39" s="763">
        <f t="shared" si="7"/>
        <v>0</v>
      </c>
      <c r="CG39" s="763">
        <f t="shared" si="7"/>
        <v>0</v>
      </c>
      <c r="CH39" s="763">
        <f t="shared" si="7"/>
        <v>0</v>
      </c>
      <c r="CI39" s="763">
        <f t="shared" si="7"/>
        <v>0</v>
      </c>
      <c r="CJ39" s="763">
        <f t="shared" si="7"/>
        <v>0</v>
      </c>
      <c r="CK39" s="763">
        <f t="shared" si="7"/>
        <v>0</v>
      </c>
      <c r="CL39" s="763">
        <f t="shared" si="7"/>
        <v>0</v>
      </c>
      <c r="CM39" s="757">
        <f t="shared" si="8"/>
        <v>10616251.655359469</v>
      </c>
      <c r="CO39" s="762">
        <f>Z39*Vol!D39</f>
        <v>1914497.9843404186</v>
      </c>
      <c r="CP39" s="763">
        <f>AA39*Vol!E39/100</f>
        <v>0</v>
      </c>
      <c r="CQ39" s="763">
        <f>AB39*Vol!F39/100</f>
        <v>2460383.0618893923</v>
      </c>
      <c r="CR39" s="763">
        <f>AC39*Vol!G39/100</f>
        <v>0</v>
      </c>
      <c r="CS39" s="763">
        <f>AD39*Vol!H39/100</f>
        <v>0</v>
      </c>
      <c r="CT39" s="763">
        <f>AE39*Vol!I39/100</f>
        <v>1171517.4359694817</v>
      </c>
      <c r="CU39" s="763">
        <f>AF39*Vol!J39/100</f>
        <v>0</v>
      </c>
      <c r="CV39" s="763">
        <f>AG39*Vol!K39/100</f>
        <v>0</v>
      </c>
      <c r="CW39" s="763">
        <f>AH39*Vol!L39/100</f>
        <v>0</v>
      </c>
      <c r="CX39" s="763">
        <f>AI39*Vol!M39</f>
        <v>4373485.2574950745</v>
      </c>
      <c r="CY39" s="763">
        <f>AJ39*Vol!N39</f>
        <v>0</v>
      </c>
      <c r="CZ39" s="763">
        <f>AK39*Vol!O39</f>
        <v>0</v>
      </c>
      <c r="DA39" s="763">
        <f>AL39*Vol!P39</f>
        <v>0</v>
      </c>
      <c r="DB39" s="763">
        <f>AM39*Vol!Q39/100</f>
        <v>0</v>
      </c>
      <c r="DC39" s="763">
        <f>AN39*Vol!R39/100</f>
        <v>0</v>
      </c>
      <c r="DD39" s="763">
        <f>AO39*Vol!S39/100</f>
        <v>0</v>
      </c>
      <c r="DE39" s="763">
        <f>AP39*Vol!T39/100</f>
        <v>0</v>
      </c>
      <c r="DF39" s="763">
        <f>AQ39*Vol!U39/100</f>
        <v>0</v>
      </c>
      <c r="DG39" s="763">
        <f>AR39*Vol!V39/100</f>
        <v>0</v>
      </c>
      <c r="DH39" s="763">
        <f>AS39*Vol!W39/100</f>
        <v>0</v>
      </c>
      <c r="DI39" s="763">
        <f>AT39*Vol!X39/100</f>
        <v>0</v>
      </c>
      <c r="DJ39" s="757">
        <f t="shared" si="4"/>
        <v>9919883.7396943681</v>
      </c>
    </row>
    <row r="40" spans="1:114" s="748" customFormat="1">
      <c r="A40" s="748" t="s">
        <v>816</v>
      </c>
      <c r="B40" s="750" t="s">
        <v>603</v>
      </c>
      <c r="C40" s="750" t="s">
        <v>603</v>
      </c>
      <c r="D40" s="767">
        <v>5850</v>
      </c>
      <c r="E40" s="768">
        <v>0</v>
      </c>
      <c r="F40" s="768">
        <v>2.0699999999999998</v>
      </c>
      <c r="G40" s="768">
        <v>0</v>
      </c>
      <c r="H40" s="768">
        <v>0</v>
      </c>
      <c r="I40" s="768">
        <v>1.29</v>
      </c>
      <c r="J40" s="768">
        <v>0</v>
      </c>
      <c r="K40" s="768">
        <v>0</v>
      </c>
      <c r="L40" s="768">
        <v>0</v>
      </c>
      <c r="M40" s="768">
        <v>64.819999999999993</v>
      </c>
      <c r="N40" s="768">
        <v>0</v>
      </c>
      <c r="O40" s="768">
        <v>0</v>
      </c>
      <c r="P40" s="768">
        <v>0</v>
      </c>
      <c r="Q40" s="768">
        <v>0</v>
      </c>
      <c r="R40" s="768">
        <v>0</v>
      </c>
      <c r="S40" s="768">
        <v>0</v>
      </c>
      <c r="T40" s="768">
        <v>0</v>
      </c>
      <c r="U40" s="768">
        <v>0</v>
      </c>
      <c r="V40" s="768">
        <v>0</v>
      </c>
      <c r="W40" s="768">
        <v>0</v>
      </c>
      <c r="X40" s="769">
        <v>0</v>
      </c>
      <c r="Z40" s="751">
        <f>IFERROR(INDEX(Est2017DistRev!D:D,MATCH($A40,Est2017DistRev!$A:$A,),1),)</f>
        <v>5355</v>
      </c>
      <c r="AA40" s="752">
        <f>IFERROR(INDEX(Est2017DistRev!E:E,MATCH($A40,Est2017DistRev!$A:$A,),1),)</f>
        <v>0</v>
      </c>
      <c r="AB40" s="752">
        <f>IFERROR(INDEX(Est2017DistRev!F:F,MATCH($A40,Est2017DistRev!$A:$A,),1),)</f>
        <v>1.94</v>
      </c>
      <c r="AC40" s="752">
        <f>IFERROR(INDEX(Est2017DistRev!G:G,MATCH($A40,Est2017DistRev!$A:$A,),1),)</f>
        <v>0</v>
      </c>
      <c r="AD40" s="752">
        <f>IFERROR(INDEX(Est2017DistRev!H:H,MATCH($A40,Est2017DistRev!$A:$A,),1),)</f>
        <v>0</v>
      </c>
      <c r="AE40" s="752">
        <f>IFERROR(INDEX(Est2017DistRev!I:I,MATCH($A40,Est2017DistRev!$A:$A,),1),)</f>
        <v>1.21</v>
      </c>
      <c r="AF40" s="752">
        <f>IFERROR(INDEX(Est2017DistRev!J:J,MATCH($A40,Est2017DistRev!$A:$A,),1),)</f>
        <v>0</v>
      </c>
      <c r="AG40" s="752">
        <f>IFERROR(INDEX(Est2017DistRev!K:K,MATCH($A40,Est2017DistRev!$A:$A,),1),)</f>
        <v>0</v>
      </c>
      <c r="AH40" s="752">
        <f>IFERROR(INDEX(Est2017DistRev!L:L,MATCH($A40,Est2017DistRev!$A:$A,),1),)</f>
        <v>0</v>
      </c>
      <c r="AI40" s="752">
        <f>IFERROR(INDEX(Est2017DistRev!M:M,MATCH($A40,Est2017DistRev!$A:$A,),1),)</f>
        <v>60.88</v>
      </c>
      <c r="AJ40" s="752">
        <f>IFERROR(INDEX(Est2017DistRev!N:N,MATCH($A40,Est2017DistRev!$A:$A,),1),)</f>
        <v>0</v>
      </c>
      <c r="AK40" s="752">
        <f>IFERROR(INDEX(Est2017DistRev!O:O,MATCH($A40,Est2017DistRev!$A:$A,),1),)</f>
        <v>0</v>
      </c>
      <c r="AL40" s="752">
        <f>IFERROR(INDEX(Est2017DistRev!P:P,MATCH($A40,Est2017DistRev!$A:$A,),1),)</f>
        <v>0</v>
      </c>
      <c r="AM40" s="752">
        <f>IFERROR(INDEX(Est2017DistRev!Q:Q,MATCH($A40,Est2017DistRev!$A:$A,),1),)</f>
        <v>0</v>
      </c>
      <c r="AN40" s="752">
        <f>IFERROR(INDEX(Est2017DistRev!R:R,MATCH($A40,Est2017DistRev!$A:$A,),1),)</f>
        <v>0</v>
      </c>
      <c r="AO40" s="752">
        <f>IFERROR(INDEX(Est2017DistRev!S:S,MATCH($A40,Est2017DistRev!$A:$A,),1),)</f>
        <v>0</v>
      </c>
      <c r="AP40" s="752">
        <f>IFERROR(INDEX(Est2017DistRev!T:T,MATCH($A40,Est2017DistRev!$A:$A,),1),)</f>
        <v>0</v>
      </c>
      <c r="AQ40" s="752">
        <f>IFERROR(INDEX(Est2017DistRev!U:U,MATCH($A40,Est2017DistRev!$A:$A,),1),)</f>
        <v>0</v>
      </c>
      <c r="AR40" s="752">
        <f>IFERROR(INDEX(Est2017DistRev!V:V,MATCH($A40,Est2017DistRev!$A:$A,),1),)</f>
        <v>0</v>
      </c>
      <c r="AS40" s="752">
        <f>IFERROR(INDEX(Est2017DistRev!W:W,MATCH($A40,Est2017DistRev!$A:$A,),1),)</f>
        <v>0</v>
      </c>
      <c r="AT40" s="753">
        <f>IFERROR(INDEX(Est2017DistRev!X:X,MATCH($A40,Est2017DistRev!$A:$A,),1),)</f>
        <v>0</v>
      </c>
      <c r="AV40" s="773">
        <v>1655.625823869291</v>
      </c>
      <c r="AW40" s="771">
        <v>0</v>
      </c>
      <c r="AX40" s="771">
        <v>1130104578.5870445</v>
      </c>
      <c r="AY40" s="771">
        <v>0</v>
      </c>
      <c r="AZ40" s="771">
        <v>0</v>
      </c>
      <c r="BA40" s="771">
        <v>843930303.69004881</v>
      </c>
      <c r="BB40" s="771">
        <v>0</v>
      </c>
      <c r="BC40" s="771">
        <v>0</v>
      </c>
      <c r="BD40" s="771">
        <v>0</v>
      </c>
      <c r="BE40" s="771">
        <v>645709.60805396631</v>
      </c>
      <c r="BF40" s="771">
        <v>0</v>
      </c>
      <c r="BG40" s="771">
        <v>0</v>
      </c>
      <c r="BH40" s="771">
        <v>0</v>
      </c>
      <c r="BI40" s="771">
        <v>0</v>
      </c>
      <c r="BJ40" s="771">
        <v>0</v>
      </c>
      <c r="BK40" s="771">
        <v>0</v>
      </c>
      <c r="BL40" s="771">
        <v>0</v>
      </c>
      <c r="BM40" s="771">
        <v>0</v>
      </c>
      <c r="BN40" s="771">
        <v>0</v>
      </c>
      <c r="BO40" s="771">
        <v>0</v>
      </c>
      <c r="BP40" s="772">
        <v>0</v>
      </c>
      <c r="BQ40" s="777"/>
      <c r="BR40" s="762">
        <f t="shared" si="5"/>
        <v>9685411.0696353521</v>
      </c>
      <c r="BS40" s="763">
        <f t="shared" si="9"/>
        <v>0</v>
      </c>
      <c r="BT40" s="763">
        <f t="shared" si="9"/>
        <v>23393164.77675182</v>
      </c>
      <c r="BU40" s="763">
        <f t="shared" si="9"/>
        <v>0</v>
      </c>
      <c r="BV40" s="763">
        <f t="shared" si="9"/>
        <v>0</v>
      </c>
      <c r="BW40" s="763">
        <f t="shared" si="9"/>
        <v>10886700.91760163</v>
      </c>
      <c r="BX40" s="763">
        <f t="shared" si="9"/>
        <v>0</v>
      </c>
      <c r="BY40" s="763">
        <f t="shared" si="9"/>
        <v>0</v>
      </c>
      <c r="BZ40" s="763">
        <f t="shared" si="9"/>
        <v>0</v>
      </c>
      <c r="CA40" s="763">
        <f t="shared" si="6"/>
        <v>41854896.794058092</v>
      </c>
      <c r="CB40" s="763">
        <f t="shared" si="6"/>
        <v>0</v>
      </c>
      <c r="CC40" s="763">
        <f t="shared" si="6"/>
        <v>0</v>
      </c>
      <c r="CD40" s="763">
        <f t="shared" si="6"/>
        <v>0</v>
      </c>
      <c r="CE40" s="763">
        <f t="shared" si="7"/>
        <v>0</v>
      </c>
      <c r="CF40" s="763">
        <f t="shared" si="7"/>
        <v>0</v>
      </c>
      <c r="CG40" s="763">
        <f t="shared" si="7"/>
        <v>0</v>
      </c>
      <c r="CH40" s="763">
        <f t="shared" si="7"/>
        <v>0</v>
      </c>
      <c r="CI40" s="763">
        <f t="shared" si="7"/>
        <v>0</v>
      </c>
      <c r="CJ40" s="763">
        <f t="shared" si="7"/>
        <v>0</v>
      </c>
      <c r="CK40" s="763">
        <f t="shared" si="7"/>
        <v>0</v>
      </c>
      <c r="CL40" s="763">
        <f t="shared" si="7"/>
        <v>0</v>
      </c>
      <c r="CM40" s="757">
        <f t="shared" si="8"/>
        <v>85820173.558046892</v>
      </c>
      <c r="CO40" s="762">
        <f>Z40*Vol!D40</f>
        <v>8865876.2868200541</v>
      </c>
      <c r="CP40" s="763">
        <f>AA40*Vol!E40/100</f>
        <v>0</v>
      </c>
      <c r="CQ40" s="763">
        <f>AB40*Vol!F40/100</f>
        <v>21924028.82458866</v>
      </c>
      <c r="CR40" s="763">
        <f>AC40*Vol!G40/100</f>
        <v>0</v>
      </c>
      <c r="CS40" s="763">
        <f>AD40*Vol!H40/100</f>
        <v>0</v>
      </c>
      <c r="CT40" s="763">
        <f>AE40*Vol!I40/100</f>
        <v>10211556.674649591</v>
      </c>
      <c r="CU40" s="763">
        <f>AF40*Vol!J40/100</f>
        <v>0</v>
      </c>
      <c r="CV40" s="763">
        <f>AG40*Vol!K40/100</f>
        <v>0</v>
      </c>
      <c r="CW40" s="763">
        <f>AH40*Vol!L40/100</f>
        <v>0</v>
      </c>
      <c r="CX40" s="763">
        <f>AI40*Vol!M40</f>
        <v>39310800.938325472</v>
      </c>
      <c r="CY40" s="763">
        <f>AJ40*Vol!N40</f>
        <v>0</v>
      </c>
      <c r="CZ40" s="763">
        <f>AK40*Vol!O40</f>
        <v>0</v>
      </c>
      <c r="DA40" s="763">
        <f>AL40*Vol!P40</f>
        <v>0</v>
      </c>
      <c r="DB40" s="763">
        <f>AM40*Vol!Q40/100</f>
        <v>0</v>
      </c>
      <c r="DC40" s="763">
        <f>AN40*Vol!R40/100</f>
        <v>0</v>
      </c>
      <c r="DD40" s="763">
        <f>AO40*Vol!S40/100</f>
        <v>0</v>
      </c>
      <c r="DE40" s="763">
        <f>AP40*Vol!T40/100</f>
        <v>0</v>
      </c>
      <c r="DF40" s="763">
        <f>AQ40*Vol!U40/100</f>
        <v>0</v>
      </c>
      <c r="DG40" s="763">
        <f>AR40*Vol!V40/100</f>
        <v>0</v>
      </c>
      <c r="DH40" s="763">
        <f>AS40*Vol!W40/100</f>
        <v>0</v>
      </c>
      <c r="DI40" s="763">
        <f>AT40*Vol!X40/100</f>
        <v>0</v>
      </c>
      <c r="DJ40" s="757">
        <f t="shared" si="4"/>
        <v>80312262.724383771</v>
      </c>
    </row>
    <row r="41" spans="1:114" s="748" customFormat="1">
      <c r="A41" s="748" t="s">
        <v>817</v>
      </c>
      <c r="B41" s="750" t="s">
        <v>580</v>
      </c>
      <c r="C41" s="750" t="s">
        <v>580</v>
      </c>
      <c r="D41" s="767">
        <v>31200</v>
      </c>
      <c r="E41" s="768">
        <v>0</v>
      </c>
      <c r="F41" s="768">
        <v>1.18</v>
      </c>
      <c r="G41" s="768">
        <v>0</v>
      </c>
      <c r="H41" s="768">
        <v>0</v>
      </c>
      <c r="I41" s="768">
        <v>0.61</v>
      </c>
      <c r="J41" s="768">
        <v>0</v>
      </c>
      <c r="K41" s="768">
        <v>0</v>
      </c>
      <c r="L41" s="768">
        <v>0</v>
      </c>
      <c r="M41" s="768">
        <v>33.44</v>
      </c>
      <c r="N41" s="768">
        <v>0</v>
      </c>
      <c r="O41" s="768">
        <v>0</v>
      </c>
      <c r="P41" s="768">
        <v>0</v>
      </c>
      <c r="Q41" s="768">
        <v>0</v>
      </c>
      <c r="R41" s="768">
        <v>0</v>
      </c>
      <c r="S41" s="768">
        <v>0</v>
      </c>
      <c r="T41" s="768">
        <v>0</v>
      </c>
      <c r="U41" s="768">
        <v>0</v>
      </c>
      <c r="V41" s="768">
        <v>0</v>
      </c>
      <c r="W41" s="768">
        <v>0</v>
      </c>
      <c r="X41" s="769">
        <v>0</v>
      </c>
      <c r="Z41" s="751">
        <f>IFERROR(INDEX(Est2017DistRev!D:D,MATCH($A41,Est2017DistRev!$A:$A,),1),)</f>
        <v>28600</v>
      </c>
      <c r="AA41" s="752">
        <f>IFERROR(INDEX(Est2017DistRev!E:E,MATCH($A41,Est2017DistRev!$A:$A,),1),)</f>
        <v>0</v>
      </c>
      <c r="AB41" s="752">
        <f>IFERROR(INDEX(Est2017DistRev!F:F,MATCH($A41,Est2017DistRev!$A:$A,),1),)</f>
        <v>1.1100000000000001</v>
      </c>
      <c r="AC41" s="752">
        <f>IFERROR(INDEX(Est2017DistRev!G:G,MATCH($A41,Est2017DistRev!$A:$A,),1),)</f>
        <v>0</v>
      </c>
      <c r="AD41" s="752">
        <f>IFERROR(INDEX(Est2017DistRev!H:H,MATCH($A41,Est2017DistRev!$A:$A,),1),)</f>
        <v>0</v>
      </c>
      <c r="AE41" s="752">
        <f>IFERROR(INDEX(Est2017DistRev!I:I,MATCH($A41,Est2017DistRev!$A:$A,),1),)</f>
        <v>0.56999999999999995</v>
      </c>
      <c r="AF41" s="752">
        <f>IFERROR(INDEX(Est2017DistRev!J:J,MATCH($A41,Est2017DistRev!$A:$A,),1),)</f>
        <v>0</v>
      </c>
      <c r="AG41" s="752">
        <f>IFERROR(INDEX(Est2017DistRev!K:K,MATCH($A41,Est2017DistRev!$A:$A,),1),)</f>
        <v>0</v>
      </c>
      <c r="AH41" s="752">
        <f>IFERROR(INDEX(Est2017DistRev!L:L,MATCH($A41,Est2017DistRev!$A:$A,),1),)</f>
        <v>0</v>
      </c>
      <c r="AI41" s="752">
        <f>IFERROR(INDEX(Est2017DistRev!M:M,MATCH($A41,Est2017DistRev!$A:$A,),1),)</f>
        <v>31.49</v>
      </c>
      <c r="AJ41" s="752">
        <f>IFERROR(INDEX(Est2017DistRev!N:N,MATCH($A41,Est2017DistRev!$A:$A,),1),)</f>
        <v>0</v>
      </c>
      <c r="AK41" s="752">
        <f>IFERROR(INDEX(Est2017DistRev!O:O,MATCH($A41,Est2017DistRev!$A:$A,),1),)</f>
        <v>0</v>
      </c>
      <c r="AL41" s="752">
        <f>IFERROR(INDEX(Est2017DistRev!P:P,MATCH($A41,Est2017DistRev!$A:$A,),1),)</f>
        <v>0</v>
      </c>
      <c r="AM41" s="752">
        <f>IFERROR(INDEX(Est2017DistRev!Q:Q,MATCH($A41,Est2017DistRev!$A:$A,),1),)</f>
        <v>0</v>
      </c>
      <c r="AN41" s="752">
        <f>IFERROR(INDEX(Est2017DistRev!R:R,MATCH($A41,Est2017DistRev!$A:$A,),1),)</f>
        <v>0</v>
      </c>
      <c r="AO41" s="752">
        <f>IFERROR(INDEX(Est2017DistRev!S:S,MATCH($A41,Est2017DistRev!$A:$A,),1),)</f>
        <v>0</v>
      </c>
      <c r="AP41" s="752">
        <f>IFERROR(INDEX(Est2017DistRev!T:T,MATCH($A41,Est2017DistRev!$A:$A,),1),)</f>
        <v>0</v>
      </c>
      <c r="AQ41" s="752">
        <f>IFERROR(INDEX(Est2017DistRev!U:U,MATCH($A41,Est2017DistRev!$A:$A,),1),)</f>
        <v>0</v>
      </c>
      <c r="AR41" s="752">
        <f>IFERROR(INDEX(Est2017DistRev!V:V,MATCH($A41,Est2017DistRev!$A:$A,),1),)</f>
        <v>0</v>
      </c>
      <c r="AS41" s="752">
        <f>IFERROR(INDEX(Est2017DistRev!W:W,MATCH($A41,Est2017DistRev!$A:$A,),1),)</f>
        <v>0</v>
      </c>
      <c r="AT41" s="753">
        <f>IFERROR(INDEX(Est2017DistRev!X:X,MATCH($A41,Est2017DistRev!$A:$A,),1),)</f>
        <v>0</v>
      </c>
      <c r="AV41" s="773">
        <v>90.982553708010002</v>
      </c>
      <c r="AW41" s="771">
        <v>0</v>
      </c>
      <c r="AX41" s="771">
        <v>343486676.72513288</v>
      </c>
      <c r="AY41" s="771">
        <v>0</v>
      </c>
      <c r="AZ41" s="771">
        <v>0</v>
      </c>
      <c r="BA41" s="771">
        <v>320752044.24805528</v>
      </c>
      <c r="BB41" s="771">
        <v>0</v>
      </c>
      <c r="BC41" s="771">
        <v>0</v>
      </c>
      <c r="BD41" s="771">
        <v>0</v>
      </c>
      <c r="BE41" s="771">
        <v>198974.44614725537</v>
      </c>
      <c r="BF41" s="771">
        <v>0</v>
      </c>
      <c r="BG41" s="771">
        <v>0</v>
      </c>
      <c r="BH41" s="771">
        <v>0</v>
      </c>
      <c r="BI41" s="771">
        <v>0</v>
      </c>
      <c r="BJ41" s="771">
        <v>0</v>
      </c>
      <c r="BK41" s="771">
        <v>0</v>
      </c>
      <c r="BL41" s="771">
        <v>0</v>
      </c>
      <c r="BM41" s="771">
        <v>0</v>
      </c>
      <c r="BN41" s="771">
        <v>0</v>
      </c>
      <c r="BO41" s="771">
        <v>0</v>
      </c>
      <c r="BP41" s="772">
        <v>0</v>
      </c>
      <c r="BQ41" s="777"/>
      <c r="BR41" s="762">
        <f t="shared" si="5"/>
        <v>2838655.6756899119</v>
      </c>
      <c r="BS41" s="763">
        <f t="shared" si="9"/>
        <v>0</v>
      </c>
      <c r="BT41" s="763">
        <f t="shared" si="9"/>
        <v>4053142.7853565677</v>
      </c>
      <c r="BU41" s="763">
        <f t="shared" si="9"/>
        <v>0</v>
      </c>
      <c r="BV41" s="763">
        <f t="shared" si="9"/>
        <v>0</v>
      </c>
      <c r="BW41" s="763">
        <f t="shared" si="9"/>
        <v>1956587.4699131371</v>
      </c>
      <c r="BX41" s="763">
        <f t="shared" si="9"/>
        <v>0</v>
      </c>
      <c r="BY41" s="763">
        <f t="shared" si="9"/>
        <v>0</v>
      </c>
      <c r="BZ41" s="763">
        <f t="shared" si="9"/>
        <v>0</v>
      </c>
      <c r="CA41" s="763">
        <f t="shared" si="6"/>
        <v>6653705.4791642195</v>
      </c>
      <c r="CB41" s="763">
        <f t="shared" si="6"/>
        <v>0</v>
      </c>
      <c r="CC41" s="763">
        <f t="shared" si="6"/>
        <v>0</v>
      </c>
      <c r="CD41" s="763">
        <f t="shared" si="6"/>
        <v>0</v>
      </c>
      <c r="CE41" s="763">
        <f t="shared" si="7"/>
        <v>0</v>
      </c>
      <c r="CF41" s="763">
        <f t="shared" si="7"/>
        <v>0</v>
      </c>
      <c r="CG41" s="763">
        <f t="shared" si="7"/>
        <v>0</v>
      </c>
      <c r="CH41" s="763">
        <f t="shared" si="7"/>
        <v>0</v>
      </c>
      <c r="CI41" s="763">
        <f t="shared" si="7"/>
        <v>0</v>
      </c>
      <c r="CJ41" s="763">
        <f t="shared" si="7"/>
        <v>0</v>
      </c>
      <c r="CK41" s="763">
        <f t="shared" si="7"/>
        <v>0</v>
      </c>
      <c r="CL41" s="763">
        <f t="shared" si="7"/>
        <v>0</v>
      </c>
      <c r="CM41" s="757">
        <f t="shared" si="8"/>
        <v>15502091.410123836</v>
      </c>
      <c r="CO41" s="762">
        <f>Z41*Vol!D41</f>
        <v>2602101.0360490861</v>
      </c>
      <c r="CP41" s="763">
        <f>AA41*Vol!E41/100</f>
        <v>0</v>
      </c>
      <c r="CQ41" s="763">
        <f>AB41*Vol!F41/100</f>
        <v>3812702.1116489754</v>
      </c>
      <c r="CR41" s="763">
        <f>AC41*Vol!G41/100</f>
        <v>0</v>
      </c>
      <c r="CS41" s="763">
        <f>AD41*Vol!H41/100</f>
        <v>0</v>
      </c>
      <c r="CT41" s="763">
        <f>AE41*Vol!I41/100</f>
        <v>1828286.652213915</v>
      </c>
      <c r="CU41" s="763">
        <f>AF41*Vol!J41/100</f>
        <v>0</v>
      </c>
      <c r="CV41" s="763">
        <f>AG41*Vol!K41/100</f>
        <v>0</v>
      </c>
      <c r="CW41" s="763">
        <f>AH41*Vol!L41/100</f>
        <v>0</v>
      </c>
      <c r="CX41" s="763">
        <f>AI41*Vol!M41</f>
        <v>6265705.3091770709</v>
      </c>
      <c r="CY41" s="763">
        <f>AJ41*Vol!N41</f>
        <v>0</v>
      </c>
      <c r="CZ41" s="763">
        <f>AK41*Vol!O41</f>
        <v>0</v>
      </c>
      <c r="DA41" s="763">
        <f>AL41*Vol!P41</f>
        <v>0</v>
      </c>
      <c r="DB41" s="763">
        <f>AM41*Vol!Q41/100</f>
        <v>0</v>
      </c>
      <c r="DC41" s="763">
        <f>AN41*Vol!R41/100</f>
        <v>0</v>
      </c>
      <c r="DD41" s="763">
        <f>AO41*Vol!S41/100</f>
        <v>0</v>
      </c>
      <c r="DE41" s="763">
        <f>AP41*Vol!T41/100</f>
        <v>0</v>
      </c>
      <c r="DF41" s="763">
        <f>AQ41*Vol!U41/100</f>
        <v>0</v>
      </c>
      <c r="DG41" s="763">
        <f>AR41*Vol!V41/100</f>
        <v>0</v>
      </c>
      <c r="DH41" s="763">
        <f>AS41*Vol!W41/100</f>
        <v>0</v>
      </c>
      <c r="DI41" s="763">
        <f>AT41*Vol!X41/100</f>
        <v>0</v>
      </c>
      <c r="DJ41" s="757">
        <f t="shared" si="4"/>
        <v>14508795.109089047</v>
      </c>
    </row>
    <row r="42" spans="1:114" s="748" customFormat="1">
      <c r="A42" s="748" t="s">
        <v>818</v>
      </c>
      <c r="B42" s="750" t="s">
        <v>605</v>
      </c>
      <c r="C42" s="750" t="s">
        <v>605</v>
      </c>
      <c r="D42" s="767">
        <v>144000</v>
      </c>
      <c r="E42" s="768">
        <v>0</v>
      </c>
      <c r="F42" s="768">
        <v>0.1</v>
      </c>
      <c r="G42" s="768">
        <v>0</v>
      </c>
      <c r="H42" s="768">
        <v>0</v>
      </c>
      <c r="I42" s="768">
        <v>0.04</v>
      </c>
      <c r="J42" s="768">
        <v>0</v>
      </c>
      <c r="K42" s="768">
        <v>0</v>
      </c>
      <c r="L42" s="768">
        <v>0</v>
      </c>
      <c r="M42" s="768">
        <v>0.84</v>
      </c>
      <c r="N42" s="768">
        <v>0</v>
      </c>
      <c r="O42" s="768">
        <v>0</v>
      </c>
      <c r="P42" s="768">
        <v>0</v>
      </c>
      <c r="Q42" s="768">
        <v>0</v>
      </c>
      <c r="R42" s="768">
        <v>0</v>
      </c>
      <c r="S42" s="768">
        <v>0</v>
      </c>
      <c r="T42" s="768">
        <v>0</v>
      </c>
      <c r="U42" s="768">
        <v>0</v>
      </c>
      <c r="V42" s="768">
        <v>0</v>
      </c>
      <c r="W42" s="768">
        <v>0</v>
      </c>
      <c r="X42" s="769">
        <v>0</v>
      </c>
      <c r="Z42" s="751">
        <f>IFERROR(INDEX(Est2017DistRev!D:D,MATCH($A42,Est2017DistRev!$A:$A,),1),)</f>
        <v>132000</v>
      </c>
      <c r="AA42" s="752">
        <f>IFERROR(INDEX(Est2017DistRev!E:E,MATCH($A42,Est2017DistRev!$A:$A,),1),)</f>
        <v>0</v>
      </c>
      <c r="AB42" s="752">
        <f>IFERROR(INDEX(Est2017DistRev!F:F,MATCH($A42,Est2017DistRev!$A:$A,),1),)</f>
        <v>0.11</v>
      </c>
      <c r="AC42" s="752">
        <f>IFERROR(INDEX(Est2017DistRev!G:G,MATCH($A42,Est2017DistRev!$A:$A,),1),)</f>
        <v>0</v>
      </c>
      <c r="AD42" s="752">
        <f>IFERROR(INDEX(Est2017DistRev!H:H,MATCH($A42,Est2017DistRev!$A:$A,),1),)</f>
        <v>0</v>
      </c>
      <c r="AE42" s="752">
        <f>IFERROR(INDEX(Est2017DistRev!I:I,MATCH($A42,Est2017DistRev!$A:$A,),1),)</f>
        <v>0.05</v>
      </c>
      <c r="AF42" s="752">
        <f>IFERROR(INDEX(Est2017DistRev!J:J,MATCH($A42,Est2017DistRev!$A:$A,),1),)</f>
        <v>0</v>
      </c>
      <c r="AG42" s="752">
        <f>IFERROR(INDEX(Est2017DistRev!K:K,MATCH($A42,Est2017DistRev!$A:$A,),1),)</f>
        <v>0</v>
      </c>
      <c r="AH42" s="752">
        <f>IFERROR(INDEX(Est2017DistRev!L:L,MATCH($A42,Est2017DistRev!$A:$A,),1),)</f>
        <v>0</v>
      </c>
      <c r="AI42" s="752">
        <f>IFERROR(INDEX(Est2017DistRev!M:M,MATCH($A42,Est2017DistRev!$A:$A,),1),)</f>
        <v>0.92</v>
      </c>
      <c r="AJ42" s="752">
        <f>IFERROR(INDEX(Est2017DistRev!N:N,MATCH($A42,Est2017DistRev!$A:$A,),1),)</f>
        <v>0</v>
      </c>
      <c r="AK42" s="752">
        <f>IFERROR(INDEX(Est2017DistRev!O:O,MATCH($A42,Est2017DistRev!$A:$A,),1),)</f>
        <v>0</v>
      </c>
      <c r="AL42" s="752">
        <f>IFERROR(INDEX(Est2017DistRev!P:P,MATCH($A42,Est2017DistRev!$A:$A,),1),)</f>
        <v>0</v>
      </c>
      <c r="AM42" s="752">
        <f>IFERROR(INDEX(Est2017DistRev!Q:Q,MATCH($A42,Est2017DistRev!$A:$A,),1),)</f>
        <v>0</v>
      </c>
      <c r="AN42" s="752">
        <f>IFERROR(INDEX(Est2017DistRev!R:R,MATCH($A42,Est2017DistRev!$A:$A,),1),)</f>
        <v>0</v>
      </c>
      <c r="AO42" s="752">
        <f>IFERROR(INDEX(Est2017DistRev!S:S,MATCH($A42,Est2017DistRev!$A:$A,),1),)</f>
        <v>0</v>
      </c>
      <c r="AP42" s="752">
        <f>IFERROR(INDEX(Est2017DistRev!T:T,MATCH($A42,Est2017DistRev!$A:$A,),1),)</f>
        <v>0</v>
      </c>
      <c r="AQ42" s="752">
        <f>IFERROR(INDEX(Est2017DistRev!U:U,MATCH($A42,Est2017DistRev!$A:$A,),1),)</f>
        <v>0</v>
      </c>
      <c r="AR42" s="752">
        <f>IFERROR(INDEX(Est2017DistRev!V:V,MATCH($A42,Est2017DistRev!$A:$A,),1),)</f>
        <v>0</v>
      </c>
      <c r="AS42" s="752">
        <f>IFERROR(INDEX(Est2017DistRev!W:W,MATCH($A42,Est2017DistRev!$A:$A,),1),)</f>
        <v>0</v>
      </c>
      <c r="AT42" s="753">
        <f>IFERROR(INDEX(Est2017DistRev!X:X,MATCH($A42,Est2017DistRev!$A:$A,),1),)</f>
        <v>0</v>
      </c>
      <c r="AV42" s="773">
        <v>6</v>
      </c>
      <c r="AW42" s="771">
        <v>0</v>
      </c>
      <c r="AX42" s="771">
        <v>65598744.876000002</v>
      </c>
      <c r="AY42" s="771">
        <v>0</v>
      </c>
      <c r="AZ42" s="771">
        <v>0</v>
      </c>
      <c r="BA42" s="771">
        <v>37964642.608999997</v>
      </c>
      <c r="BB42" s="771">
        <v>0</v>
      </c>
      <c r="BC42" s="771">
        <v>0</v>
      </c>
      <c r="BD42" s="771">
        <v>0</v>
      </c>
      <c r="BE42" s="771">
        <v>37371.68516666667</v>
      </c>
      <c r="BF42" s="771">
        <v>0</v>
      </c>
      <c r="BG42" s="771">
        <v>0</v>
      </c>
      <c r="BH42" s="771">
        <v>0</v>
      </c>
      <c r="BI42" s="771">
        <v>0</v>
      </c>
      <c r="BJ42" s="771">
        <v>0</v>
      </c>
      <c r="BK42" s="771">
        <v>0</v>
      </c>
      <c r="BL42" s="771">
        <v>0</v>
      </c>
      <c r="BM42" s="771">
        <v>0</v>
      </c>
      <c r="BN42" s="771">
        <v>0</v>
      </c>
      <c r="BO42" s="771">
        <v>0</v>
      </c>
      <c r="BP42" s="772">
        <v>0</v>
      </c>
      <c r="BQ42" s="777"/>
      <c r="BR42" s="762">
        <f t="shared" si="5"/>
        <v>864000</v>
      </c>
      <c r="BS42" s="763">
        <f t="shared" si="9"/>
        <v>0</v>
      </c>
      <c r="BT42" s="763">
        <f t="shared" si="9"/>
        <v>65598.744875999997</v>
      </c>
      <c r="BU42" s="763">
        <f t="shared" si="9"/>
        <v>0</v>
      </c>
      <c r="BV42" s="763">
        <f t="shared" si="9"/>
        <v>0</v>
      </c>
      <c r="BW42" s="763">
        <f t="shared" si="9"/>
        <v>15185.857043599999</v>
      </c>
      <c r="BX42" s="763">
        <f t="shared" si="9"/>
        <v>0</v>
      </c>
      <c r="BY42" s="763">
        <f t="shared" si="9"/>
        <v>0</v>
      </c>
      <c r="BZ42" s="763">
        <f t="shared" si="9"/>
        <v>0</v>
      </c>
      <c r="CA42" s="763">
        <f t="shared" si="6"/>
        <v>31392.215540000001</v>
      </c>
      <c r="CB42" s="763">
        <f t="shared" si="6"/>
        <v>0</v>
      </c>
      <c r="CC42" s="763">
        <f t="shared" si="6"/>
        <v>0</v>
      </c>
      <c r="CD42" s="763">
        <f t="shared" si="6"/>
        <v>0</v>
      </c>
      <c r="CE42" s="763">
        <f t="shared" si="7"/>
        <v>0</v>
      </c>
      <c r="CF42" s="763">
        <f t="shared" si="7"/>
        <v>0</v>
      </c>
      <c r="CG42" s="763">
        <f t="shared" si="7"/>
        <v>0</v>
      </c>
      <c r="CH42" s="763">
        <f t="shared" si="7"/>
        <v>0</v>
      </c>
      <c r="CI42" s="763">
        <f t="shared" si="7"/>
        <v>0</v>
      </c>
      <c r="CJ42" s="763">
        <f t="shared" si="7"/>
        <v>0</v>
      </c>
      <c r="CK42" s="763">
        <f t="shared" si="7"/>
        <v>0</v>
      </c>
      <c r="CL42" s="763">
        <f t="shared" si="7"/>
        <v>0</v>
      </c>
      <c r="CM42" s="757">
        <f t="shared" si="8"/>
        <v>976176.81745959993</v>
      </c>
      <c r="CO42" s="762">
        <f>Z42*Vol!D42</f>
        <v>792000</v>
      </c>
      <c r="CP42" s="763">
        <f>AA42*Vol!E42/100</f>
        <v>0</v>
      </c>
      <c r="CQ42" s="763">
        <f>AB42*Vol!F42/100</f>
        <v>72158.61936360001</v>
      </c>
      <c r="CR42" s="763">
        <f>AC42*Vol!G42/100</f>
        <v>0</v>
      </c>
      <c r="CS42" s="763">
        <f>AD42*Vol!H42/100</f>
        <v>0</v>
      </c>
      <c r="CT42" s="763">
        <f>AE42*Vol!I42/100</f>
        <v>18982.321304500001</v>
      </c>
      <c r="CU42" s="763">
        <f>AF42*Vol!J42/100</f>
        <v>0</v>
      </c>
      <c r="CV42" s="763">
        <f>AG42*Vol!K42/100</f>
        <v>0</v>
      </c>
      <c r="CW42" s="763">
        <f>AH42*Vol!L42/100</f>
        <v>0</v>
      </c>
      <c r="CX42" s="763">
        <f>AI42*Vol!M42</f>
        <v>34381.950353333341</v>
      </c>
      <c r="CY42" s="763">
        <f>AJ42*Vol!N42</f>
        <v>0</v>
      </c>
      <c r="CZ42" s="763">
        <f>AK42*Vol!O42</f>
        <v>0</v>
      </c>
      <c r="DA42" s="763">
        <f>AL42*Vol!P42</f>
        <v>0</v>
      </c>
      <c r="DB42" s="763">
        <f>AM42*Vol!Q42/100</f>
        <v>0</v>
      </c>
      <c r="DC42" s="763">
        <f>AN42*Vol!R42/100</f>
        <v>0</v>
      </c>
      <c r="DD42" s="763">
        <f>AO42*Vol!S42/100</f>
        <v>0</v>
      </c>
      <c r="DE42" s="763">
        <f>AP42*Vol!T42/100</f>
        <v>0</v>
      </c>
      <c r="DF42" s="763">
        <f>AQ42*Vol!U42/100</f>
        <v>0</v>
      </c>
      <c r="DG42" s="763">
        <f>AR42*Vol!V42/100</f>
        <v>0</v>
      </c>
      <c r="DH42" s="763">
        <f>AS42*Vol!W42/100</f>
        <v>0</v>
      </c>
      <c r="DI42" s="763">
        <f>AT42*Vol!X42/100</f>
        <v>0</v>
      </c>
      <c r="DJ42" s="757">
        <f t="shared" si="4"/>
        <v>917522.8910214334</v>
      </c>
    </row>
    <row r="43" spans="1:114">
      <c r="B43" s="238"/>
      <c r="C43" s="238"/>
      <c r="D43" s="656"/>
      <c r="E43" s="657"/>
      <c r="F43" s="657"/>
      <c r="G43" s="657"/>
      <c r="H43" s="657"/>
      <c r="I43" s="657"/>
      <c r="J43" s="657"/>
      <c r="K43" s="657"/>
      <c r="L43" s="657"/>
      <c r="M43" s="657"/>
      <c r="N43" s="657"/>
      <c r="O43" s="657"/>
      <c r="P43" s="657"/>
      <c r="Q43" s="657"/>
      <c r="R43" s="657"/>
      <c r="S43" s="657"/>
      <c r="T43" s="657"/>
      <c r="U43" s="657"/>
      <c r="V43" s="657"/>
      <c r="W43" s="657"/>
      <c r="X43" s="658"/>
      <c r="Z43" s="249"/>
      <c r="AA43" s="250"/>
      <c r="AB43" s="250"/>
      <c r="AC43" s="250"/>
      <c r="AD43" s="250"/>
      <c r="AE43" s="250"/>
      <c r="AF43" s="250"/>
      <c r="AG43" s="250"/>
      <c r="AH43" s="250"/>
      <c r="AI43" s="250"/>
      <c r="AJ43" s="250"/>
      <c r="AK43" s="250"/>
      <c r="AL43" s="250"/>
      <c r="AM43" s="250"/>
      <c r="AN43" s="250"/>
      <c r="AO43" s="250"/>
      <c r="AP43" s="250"/>
      <c r="AQ43" s="250"/>
      <c r="AR43" s="250"/>
      <c r="AS43" s="250"/>
      <c r="AT43" s="251"/>
      <c r="AV43" s="662"/>
      <c r="AW43" s="660"/>
      <c r="AX43" s="660"/>
      <c r="AY43" s="660"/>
      <c r="AZ43" s="660"/>
      <c r="BA43" s="660"/>
      <c r="BB43" s="660"/>
      <c r="BC43" s="660"/>
      <c r="BD43" s="660"/>
      <c r="BE43" s="660"/>
      <c r="BF43" s="660"/>
      <c r="BG43" s="660"/>
      <c r="BH43" s="660"/>
      <c r="BI43" s="660"/>
      <c r="BJ43" s="660"/>
      <c r="BK43" s="660"/>
      <c r="BL43" s="660"/>
      <c r="BM43" s="660"/>
      <c r="BN43" s="660"/>
      <c r="BO43" s="660"/>
      <c r="BP43" s="661"/>
      <c r="BR43" s="304"/>
      <c r="BS43" s="305"/>
      <c r="BT43" s="305"/>
      <c r="BU43" s="305"/>
      <c r="BV43" s="305"/>
      <c r="BW43" s="305"/>
      <c r="BX43" s="305"/>
      <c r="BY43" s="305"/>
      <c r="BZ43" s="305"/>
      <c r="CA43" s="305"/>
      <c r="CB43" s="305"/>
      <c r="CC43" s="305"/>
      <c r="CD43" s="305"/>
      <c r="CE43" s="305"/>
      <c r="CF43" s="305"/>
      <c r="CG43" s="305"/>
      <c r="CH43" s="305"/>
      <c r="CI43" s="305"/>
      <c r="CJ43" s="305"/>
      <c r="CK43" s="305"/>
      <c r="CL43" s="305"/>
      <c r="CM43" s="257"/>
      <c r="CO43" s="762">
        <f>Z43*Vol!D43</f>
        <v>0</v>
      </c>
      <c r="CP43" s="763">
        <f>AA43*Vol!E43/100</f>
        <v>0</v>
      </c>
      <c r="CQ43" s="763">
        <f>AB43*Vol!F43/100</f>
        <v>0</v>
      </c>
      <c r="CR43" s="763">
        <f>AC43*Vol!G43/100</f>
        <v>0</v>
      </c>
      <c r="CS43" s="763">
        <f>AD43*Vol!H43/100</f>
        <v>0</v>
      </c>
      <c r="CT43" s="763">
        <f>AE43*Vol!I43/100</f>
        <v>0</v>
      </c>
      <c r="CU43" s="763">
        <f>AF43*Vol!J43/100</f>
        <v>0</v>
      </c>
      <c r="CV43" s="763">
        <f>AG43*Vol!K43/100</f>
        <v>0</v>
      </c>
      <c r="CW43" s="763">
        <f>AH43*Vol!L43/100</f>
        <v>0</v>
      </c>
      <c r="CX43" s="763">
        <f>AI43*Vol!M43</f>
        <v>0</v>
      </c>
      <c r="CY43" s="763">
        <f>AJ43*Vol!N43</f>
        <v>0</v>
      </c>
      <c r="CZ43" s="763">
        <f>AK43*Vol!O43</f>
        <v>0</v>
      </c>
      <c r="DA43" s="763">
        <f>AL43*Vol!P43</f>
        <v>0</v>
      </c>
      <c r="DB43" s="763">
        <f>AM43*Vol!Q43/100</f>
        <v>0</v>
      </c>
      <c r="DC43" s="763">
        <f>AN43*Vol!R43/100</f>
        <v>0</v>
      </c>
      <c r="DD43" s="763">
        <f>AO43*Vol!S43/100</f>
        <v>0</v>
      </c>
      <c r="DE43" s="763">
        <f>AP43*Vol!T43/100</f>
        <v>0</v>
      </c>
      <c r="DF43" s="763">
        <f>AQ43*Vol!U43/100</f>
        <v>0</v>
      </c>
      <c r="DG43" s="763">
        <f>AR43*Vol!V43/100</f>
        <v>0</v>
      </c>
      <c r="DH43" s="763">
        <f>AS43*Vol!W43/100</f>
        <v>0</v>
      </c>
      <c r="DI43" s="763">
        <f>AT43*Vol!X43/100</f>
        <v>0</v>
      </c>
      <c r="DJ43" s="757">
        <f t="shared" ref="DJ43:DJ53" si="10">SUM(CO43:DI43)</f>
        <v>0</v>
      </c>
    </row>
    <row r="44" spans="1:114">
      <c r="B44" s="238"/>
      <c r="C44" s="238"/>
      <c r="D44" s="656"/>
      <c r="E44" s="657"/>
      <c r="F44" s="657"/>
      <c r="G44" s="657"/>
      <c r="H44" s="657"/>
      <c r="I44" s="657"/>
      <c r="J44" s="657"/>
      <c r="K44" s="657"/>
      <c r="L44" s="657"/>
      <c r="M44" s="657"/>
      <c r="N44" s="657"/>
      <c r="O44" s="657"/>
      <c r="P44" s="657"/>
      <c r="Q44" s="657"/>
      <c r="R44" s="657"/>
      <c r="S44" s="657"/>
      <c r="T44" s="657"/>
      <c r="U44" s="657"/>
      <c r="V44" s="657"/>
      <c r="W44" s="657"/>
      <c r="X44" s="658"/>
      <c r="Z44" s="249"/>
      <c r="AA44" s="250"/>
      <c r="AB44" s="250"/>
      <c r="AC44" s="250"/>
      <c r="AD44" s="250"/>
      <c r="AE44" s="250"/>
      <c r="AF44" s="250"/>
      <c r="AG44" s="250"/>
      <c r="AH44" s="250"/>
      <c r="AI44" s="250"/>
      <c r="AJ44" s="250"/>
      <c r="AK44" s="250"/>
      <c r="AL44" s="250"/>
      <c r="AM44" s="250"/>
      <c r="AN44" s="250"/>
      <c r="AO44" s="250"/>
      <c r="AP44" s="250"/>
      <c r="AQ44" s="250"/>
      <c r="AR44" s="250"/>
      <c r="AS44" s="250"/>
      <c r="AT44" s="251"/>
      <c r="AV44" s="662"/>
      <c r="AW44" s="660"/>
      <c r="AX44" s="660"/>
      <c r="AY44" s="660"/>
      <c r="AZ44" s="660"/>
      <c r="BA44" s="660"/>
      <c r="BB44" s="660"/>
      <c r="BC44" s="660"/>
      <c r="BD44" s="660"/>
      <c r="BE44" s="660"/>
      <c r="BF44" s="660"/>
      <c r="BG44" s="660"/>
      <c r="BH44" s="660"/>
      <c r="BI44" s="660"/>
      <c r="BJ44" s="660"/>
      <c r="BK44" s="660"/>
      <c r="BL44" s="660"/>
      <c r="BM44" s="660"/>
      <c r="BN44" s="660"/>
      <c r="BO44" s="660"/>
      <c r="BP44" s="661"/>
      <c r="BR44" s="304"/>
      <c r="BS44" s="305"/>
      <c r="BT44" s="305"/>
      <c r="BU44" s="305"/>
      <c r="BV44" s="305"/>
      <c r="BW44" s="305"/>
      <c r="BX44" s="305"/>
      <c r="BY44" s="305"/>
      <c r="BZ44" s="305"/>
      <c r="CA44" s="305"/>
      <c r="CB44" s="305"/>
      <c r="CC44" s="305"/>
      <c r="CD44" s="305"/>
      <c r="CE44" s="305"/>
      <c r="CF44" s="305"/>
      <c r="CG44" s="305"/>
      <c r="CH44" s="305"/>
      <c r="CI44" s="305"/>
      <c r="CJ44" s="305"/>
      <c r="CK44" s="305"/>
      <c r="CL44" s="305"/>
      <c r="CM44" s="257"/>
      <c r="CO44" s="762">
        <f>Z44*Vol!D44</f>
        <v>0</v>
      </c>
      <c r="CP44" s="763">
        <f>AA44*Vol!E44/100</f>
        <v>0</v>
      </c>
      <c r="CQ44" s="763">
        <f>AB44*Vol!F44/100</f>
        <v>0</v>
      </c>
      <c r="CR44" s="763">
        <f>AC44*Vol!G44/100</f>
        <v>0</v>
      </c>
      <c r="CS44" s="763">
        <f>AD44*Vol!H44/100</f>
        <v>0</v>
      </c>
      <c r="CT44" s="763">
        <f>AE44*Vol!I44/100</f>
        <v>0</v>
      </c>
      <c r="CU44" s="763">
        <f>AF44*Vol!J44/100</f>
        <v>0</v>
      </c>
      <c r="CV44" s="763">
        <f>AG44*Vol!K44/100</f>
        <v>0</v>
      </c>
      <c r="CW44" s="763">
        <f>AH44*Vol!L44/100</f>
        <v>0</v>
      </c>
      <c r="CX44" s="763">
        <f>AI44*Vol!M44</f>
        <v>0</v>
      </c>
      <c r="CY44" s="763">
        <f>AJ44*Vol!N44</f>
        <v>0</v>
      </c>
      <c r="CZ44" s="763">
        <f>AK44*Vol!O44</f>
        <v>0</v>
      </c>
      <c r="DA44" s="763">
        <f>AL44*Vol!P44</f>
        <v>0</v>
      </c>
      <c r="DB44" s="763">
        <f>AM44*Vol!Q44/100</f>
        <v>0</v>
      </c>
      <c r="DC44" s="763">
        <f>AN44*Vol!R44/100</f>
        <v>0</v>
      </c>
      <c r="DD44" s="763">
        <f>AO44*Vol!S44/100</f>
        <v>0</v>
      </c>
      <c r="DE44" s="763">
        <f>AP44*Vol!T44/100</f>
        <v>0</v>
      </c>
      <c r="DF44" s="763">
        <f>AQ44*Vol!U44/100</f>
        <v>0</v>
      </c>
      <c r="DG44" s="763">
        <f>AR44*Vol!V44/100</f>
        <v>0</v>
      </c>
      <c r="DH44" s="763">
        <f>AS44*Vol!W44/100</f>
        <v>0</v>
      </c>
      <c r="DI44" s="763">
        <f>AT44*Vol!X44/100</f>
        <v>0</v>
      </c>
      <c r="DJ44" s="757">
        <f t="shared" si="10"/>
        <v>0</v>
      </c>
    </row>
    <row r="45" spans="1:114">
      <c r="B45" s="238"/>
      <c r="C45" s="238"/>
      <c r="D45" s="656"/>
      <c r="E45" s="657"/>
      <c r="F45" s="657"/>
      <c r="G45" s="657"/>
      <c r="H45" s="657"/>
      <c r="I45" s="657"/>
      <c r="J45" s="657"/>
      <c r="K45" s="657"/>
      <c r="L45" s="657"/>
      <c r="M45" s="657"/>
      <c r="N45" s="657"/>
      <c r="O45" s="657"/>
      <c r="P45" s="657"/>
      <c r="Q45" s="657"/>
      <c r="R45" s="657"/>
      <c r="S45" s="657"/>
      <c r="T45" s="657"/>
      <c r="U45" s="657"/>
      <c r="V45" s="657"/>
      <c r="W45" s="657"/>
      <c r="X45" s="658"/>
      <c r="Z45" s="249"/>
      <c r="AA45" s="250"/>
      <c r="AB45" s="250"/>
      <c r="AC45" s="250"/>
      <c r="AD45" s="250"/>
      <c r="AE45" s="250"/>
      <c r="AF45" s="250"/>
      <c r="AG45" s="250"/>
      <c r="AH45" s="250"/>
      <c r="AI45" s="250"/>
      <c r="AJ45" s="250"/>
      <c r="AK45" s="250"/>
      <c r="AL45" s="250"/>
      <c r="AM45" s="250"/>
      <c r="AN45" s="250"/>
      <c r="AO45" s="250"/>
      <c r="AP45" s="250"/>
      <c r="AQ45" s="250"/>
      <c r="AR45" s="250"/>
      <c r="AS45" s="250"/>
      <c r="AT45" s="251"/>
      <c r="AV45" s="662"/>
      <c r="AW45" s="660"/>
      <c r="AX45" s="660"/>
      <c r="AY45" s="660"/>
      <c r="AZ45" s="660"/>
      <c r="BA45" s="660"/>
      <c r="BB45" s="660"/>
      <c r="BC45" s="660"/>
      <c r="BD45" s="660"/>
      <c r="BE45" s="660"/>
      <c r="BF45" s="660"/>
      <c r="BG45" s="660"/>
      <c r="BH45" s="660"/>
      <c r="BI45" s="660"/>
      <c r="BJ45" s="660"/>
      <c r="BK45" s="660"/>
      <c r="BL45" s="660"/>
      <c r="BM45" s="660"/>
      <c r="BN45" s="660"/>
      <c r="BO45" s="660"/>
      <c r="BP45" s="661"/>
      <c r="BR45" s="304"/>
      <c r="BS45" s="305"/>
      <c r="BT45" s="305"/>
      <c r="BU45" s="305"/>
      <c r="BV45" s="305"/>
      <c r="BW45" s="305"/>
      <c r="BX45" s="305"/>
      <c r="BY45" s="305"/>
      <c r="BZ45" s="305"/>
      <c r="CA45" s="305"/>
      <c r="CB45" s="305"/>
      <c r="CC45" s="305"/>
      <c r="CD45" s="305"/>
      <c r="CE45" s="305"/>
      <c r="CF45" s="305"/>
      <c r="CG45" s="305"/>
      <c r="CH45" s="305"/>
      <c r="CI45" s="305"/>
      <c r="CJ45" s="305"/>
      <c r="CK45" s="305"/>
      <c r="CL45" s="305"/>
      <c r="CM45" s="257"/>
      <c r="CO45" s="762">
        <f>Z45*Vol!D45</f>
        <v>0</v>
      </c>
      <c r="CP45" s="763">
        <f>AA45*Vol!E45/100</f>
        <v>0</v>
      </c>
      <c r="CQ45" s="763">
        <f>AB45*Vol!F45/100</f>
        <v>0</v>
      </c>
      <c r="CR45" s="763">
        <f>AC45*Vol!G45/100</f>
        <v>0</v>
      </c>
      <c r="CS45" s="763">
        <f>AD45*Vol!H45/100</f>
        <v>0</v>
      </c>
      <c r="CT45" s="763">
        <f>AE45*Vol!I45/100</f>
        <v>0</v>
      </c>
      <c r="CU45" s="763">
        <f>AF45*Vol!J45/100</f>
        <v>0</v>
      </c>
      <c r="CV45" s="763">
        <f>AG45*Vol!K45/100</f>
        <v>0</v>
      </c>
      <c r="CW45" s="763">
        <f>AH45*Vol!L45/100</f>
        <v>0</v>
      </c>
      <c r="CX45" s="763">
        <f>AI45*Vol!M45</f>
        <v>0</v>
      </c>
      <c r="CY45" s="763">
        <f>AJ45*Vol!N45</f>
        <v>0</v>
      </c>
      <c r="CZ45" s="763">
        <f>AK45*Vol!O45</f>
        <v>0</v>
      </c>
      <c r="DA45" s="763">
        <f>AL45*Vol!P45</f>
        <v>0</v>
      </c>
      <c r="DB45" s="763">
        <f>AM45*Vol!Q45/100</f>
        <v>0</v>
      </c>
      <c r="DC45" s="763">
        <f>AN45*Vol!R45/100</f>
        <v>0</v>
      </c>
      <c r="DD45" s="763">
        <f>AO45*Vol!S45/100</f>
        <v>0</v>
      </c>
      <c r="DE45" s="763">
        <f>AP45*Vol!T45/100</f>
        <v>0</v>
      </c>
      <c r="DF45" s="763">
        <f>AQ45*Vol!U45/100</f>
        <v>0</v>
      </c>
      <c r="DG45" s="763">
        <f>AR45*Vol!V45/100</f>
        <v>0</v>
      </c>
      <c r="DH45" s="763">
        <f>AS45*Vol!W45/100</f>
        <v>0</v>
      </c>
      <c r="DI45" s="763">
        <f>AT45*Vol!X45/100</f>
        <v>0</v>
      </c>
      <c r="DJ45" s="757">
        <f t="shared" si="10"/>
        <v>0</v>
      </c>
    </row>
    <row r="46" spans="1:114">
      <c r="B46" s="238"/>
      <c r="C46" s="238"/>
      <c r="D46" s="656"/>
      <c r="E46" s="657"/>
      <c r="F46" s="657"/>
      <c r="G46" s="657"/>
      <c r="H46" s="657"/>
      <c r="I46" s="657"/>
      <c r="J46" s="657"/>
      <c r="K46" s="657"/>
      <c r="L46" s="657"/>
      <c r="M46" s="657"/>
      <c r="N46" s="657"/>
      <c r="O46" s="657"/>
      <c r="P46" s="657"/>
      <c r="Q46" s="657"/>
      <c r="R46" s="657"/>
      <c r="S46" s="657"/>
      <c r="T46" s="657"/>
      <c r="U46" s="657"/>
      <c r="V46" s="657"/>
      <c r="W46" s="657"/>
      <c r="X46" s="658"/>
      <c r="Z46" s="249"/>
      <c r="AA46" s="250"/>
      <c r="AB46" s="250"/>
      <c r="AC46" s="250"/>
      <c r="AD46" s="250"/>
      <c r="AE46" s="250"/>
      <c r="AF46" s="250"/>
      <c r="AG46" s="250"/>
      <c r="AH46" s="250"/>
      <c r="AI46" s="250"/>
      <c r="AJ46" s="250"/>
      <c r="AK46" s="250"/>
      <c r="AL46" s="250"/>
      <c r="AM46" s="250"/>
      <c r="AN46" s="250"/>
      <c r="AO46" s="250"/>
      <c r="AP46" s="250"/>
      <c r="AQ46" s="250"/>
      <c r="AR46" s="250"/>
      <c r="AS46" s="250"/>
      <c r="AT46" s="251"/>
      <c r="AV46" s="662"/>
      <c r="AW46" s="660"/>
      <c r="AX46" s="660"/>
      <c r="AY46" s="660"/>
      <c r="AZ46" s="660"/>
      <c r="BA46" s="660"/>
      <c r="BB46" s="660"/>
      <c r="BC46" s="660"/>
      <c r="BD46" s="660"/>
      <c r="BE46" s="660"/>
      <c r="BF46" s="660"/>
      <c r="BG46" s="660"/>
      <c r="BH46" s="660"/>
      <c r="BI46" s="660"/>
      <c r="BJ46" s="660"/>
      <c r="BK46" s="660"/>
      <c r="BL46" s="660"/>
      <c r="BM46" s="660"/>
      <c r="BN46" s="660"/>
      <c r="BO46" s="660"/>
      <c r="BP46" s="661"/>
      <c r="BR46" s="304"/>
      <c r="BS46" s="305"/>
      <c r="BT46" s="305"/>
      <c r="BU46" s="305"/>
      <c r="BV46" s="305"/>
      <c r="BW46" s="305"/>
      <c r="BX46" s="305"/>
      <c r="BY46" s="305"/>
      <c r="BZ46" s="305"/>
      <c r="CA46" s="305"/>
      <c r="CB46" s="305"/>
      <c r="CC46" s="305"/>
      <c r="CD46" s="305"/>
      <c r="CE46" s="305"/>
      <c r="CF46" s="305"/>
      <c r="CG46" s="305"/>
      <c r="CH46" s="305"/>
      <c r="CI46" s="305"/>
      <c r="CJ46" s="305"/>
      <c r="CK46" s="305"/>
      <c r="CL46" s="305"/>
      <c r="CM46" s="257"/>
      <c r="CO46" s="762">
        <f>Z46*Vol!D46</f>
        <v>0</v>
      </c>
      <c r="CP46" s="763">
        <f>AA46*Vol!E46/100</f>
        <v>0</v>
      </c>
      <c r="CQ46" s="763">
        <f>AB46*Vol!F46/100</f>
        <v>0</v>
      </c>
      <c r="CR46" s="763">
        <f>AC46*Vol!G46/100</f>
        <v>0</v>
      </c>
      <c r="CS46" s="763">
        <f>AD46*Vol!H46/100</f>
        <v>0</v>
      </c>
      <c r="CT46" s="763">
        <f>AE46*Vol!I46/100</f>
        <v>0</v>
      </c>
      <c r="CU46" s="763">
        <f>AF46*Vol!J46/100</f>
        <v>0</v>
      </c>
      <c r="CV46" s="763">
        <f>AG46*Vol!K46/100</f>
        <v>0</v>
      </c>
      <c r="CW46" s="763">
        <f>AH46*Vol!L46/100</f>
        <v>0</v>
      </c>
      <c r="CX46" s="763">
        <f>AI46*Vol!M46</f>
        <v>0</v>
      </c>
      <c r="CY46" s="763">
        <f>AJ46*Vol!N46</f>
        <v>0</v>
      </c>
      <c r="CZ46" s="763">
        <f>AK46*Vol!O46</f>
        <v>0</v>
      </c>
      <c r="DA46" s="763">
        <f>AL46*Vol!P46</f>
        <v>0</v>
      </c>
      <c r="DB46" s="763">
        <f>AM46*Vol!Q46/100</f>
        <v>0</v>
      </c>
      <c r="DC46" s="763">
        <f>AN46*Vol!R46/100</f>
        <v>0</v>
      </c>
      <c r="DD46" s="763">
        <f>AO46*Vol!S46/100</f>
        <v>0</v>
      </c>
      <c r="DE46" s="763">
        <f>AP46*Vol!T46/100</f>
        <v>0</v>
      </c>
      <c r="DF46" s="763">
        <f>AQ46*Vol!U46/100</f>
        <v>0</v>
      </c>
      <c r="DG46" s="763">
        <f>AR46*Vol!V46/100</f>
        <v>0</v>
      </c>
      <c r="DH46" s="763">
        <f>AS46*Vol!W46/100</f>
        <v>0</v>
      </c>
      <c r="DI46" s="763">
        <f>AT46*Vol!X46/100</f>
        <v>0</v>
      </c>
      <c r="DJ46" s="757">
        <f t="shared" si="10"/>
        <v>0</v>
      </c>
    </row>
    <row r="47" spans="1:114">
      <c r="B47" s="238"/>
      <c r="C47" s="238"/>
      <c r="D47" s="656"/>
      <c r="E47" s="657"/>
      <c r="F47" s="657"/>
      <c r="G47" s="657"/>
      <c r="H47" s="657"/>
      <c r="I47" s="657"/>
      <c r="J47" s="657"/>
      <c r="K47" s="657"/>
      <c r="L47" s="657"/>
      <c r="M47" s="657"/>
      <c r="N47" s="657"/>
      <c r="O47" s="657"/>
      <c r="P47" s="657"/>
      <c r="Q47" s="657"/>
      <c r="R47" s="657"/>
      <c r="S47" s="657"/>
      <c r="T47" s="657"/>
      <c r="U47" s="657"/>
      <c r="V47" s="657"/>
      <c r="W47" s="657"/>
      <c r="X47" s="658"/>
      <c r="Z47" s="249"/>
      <c r="AA47" s="250"/>
      <c r="AB47" s="250"/>
      <c r="AC47" s="250"/>
      <c r="AD47" s="250"/>
      <c r="AE47" s="250"/>
      <c r="AF47" s="250"/>
      <c r="AG47" s="250"/>
      <c r="AH47" s="250"/>
      <c r="AI47" s="250"/>
      <c r="AJ47" s="250"/>
      <c r="AK47" s="250"/>
      <c r="AL47" s="250"/>
      <c r="AM47" s="250"/>
      <c r="AN47" s="250"/>
      <c r="AO47" s="250"/>
      <c r="AP47" s="250"/>
      <c r="AQ47" s="250"/>
      <c r="AR47" s="250"/>
      <c r="AS47" s="250"/>
      <c r="AT47" s="251"/>
      <c r="AV47" s="662"/>
      <c r="AW47" s="660"/>
      <c r="AX47" s="660"/>
      <c r="AY47" s="660"/>
      <c r="AZ47" s="660"/>
      <c r="BA47" s="660"/>
      <c r="BB47" s="660"/>
      <c r="BC47" s="660"/>
      <c r="BD47" s="660"/>
      <c r="BE47" s="660"/>
      <c r="BF47" s="660"/>
      <c r="BG47" s="660"/>
      <c r="BH47" s="660"/>
      <c r="BI47" s="660"/>
      <c r="BJ47" s="660"/>
      <c r="BK47" s="660"/>
      <c r="BL47" s="660"/>
      <c r="BM47" s="660"/>
      <c r="BN47" s="660"/>
      <c r="BO47" s="660"/>
      <c r="BP47" s="661"/>
      <c r="BR47" s="304"/>
      <c r="BS47" s="305"/>
      <c r="BT47" s="305"/>
      <c r="BU47" s="305"/>
      <c r="BV47" s="305"/>
      <c r="BW47" s="305"/>
      <c r="BX47" s="305"/>
      <c r="BY47" s="305"/>
      <c r="BZ47" s="305"/>
      <c r="CA47" s="305"/>
      <c r="CB47" s="305"/>
      <c r="CC47" s="305"/>
      <c r="CD47" s="305"/>
      <c r="CE47" s="305"/>
      <c r="CF47" s="305"/>
      <c r="CG47" s="305"/>
      <c r="CH47" s="305"/>
      <c r="CI47" s="305"/>
      <c r="CJ47" s="305"/>
      <c r="CK47" s="305"/>
      <c r="CL47" s="305"/>
      <c r="CM47" s="257"/>
      <c r="CO47" s="762">
        <f>Z47*Vol!D47</f>
        <v>0</v>
      </c>
      <c r="CP47" s="763">
        <f>AA47*Vol!E47/100</f>
        <v>0</v>
      </c>
      <c r="CQ47" s="763">
        <f>AB47*Vol!F47/100</f>
        <v>0</v>
      </c>
      <c r="CR47" s="763">
        <f>AC47*Vol!G47/100</f>
        <v>0</v>
      </c>
      <c r="CS47" s="763">
        <f>AD47*Vol!H47/100</f>
        <v>0</v>
      </c>
      <c r="CT47" s="763">
        <f>AE47*Vol!I47/100</f>
        <v>0</v>
      </c>
      <c r="CU47" s="763">
        <f>AF47*Vol!J47/100</f>
        <v>0</v>
      </c>
      <c r="CV47" s="763">
        <f>AG47*Vol!K47/100</f>
        <v>0</v>
      </c>
      <c r="CW47" s="763">
        <f>AH47*Vol!L47/100</f>
        <v>0</v>
      </c>
      <c r="CX47" s="763">
        <f>AI47*Vol!M47</f>
        <v>0</v>
      </c>
      <c r="CY47" s="763">
        <f>AJ47*Vol!N47</f>
        <v>0</v>
      </c>
      <c r="CZ47" s="763">
        <f>AK47*Vol!O47</f>
        <v>0</v>
      </c>
      <c r="DA47" s="763">
        <f>AL47*Vol!P47</f>
        <v>0</v>
      </c>
      <c r="DB47" s="763">
        <f>AM47*Vol!Q47/100</f>
        <v>0</v>
      </c>
      <c r="DC47" s="763">
        <f>AN47*Vol!R47/100</f>
        <v>0</v>
      </c>
      <c r="DD47" s="763">
        <f>AO47*Vol!S47/100</f>
        <v>0</v>
      </c>
      <c r="DE47" s="763">
        <f>AP47*Vol!T47/100</f>
        <v>0</v>
      </c>
      <c r="DF47" s="763">
        <f>AQ47*Vol!U47/100</f>
        <v>0</v>
      </c>
      <c r="DG47" s="763">
        <f>AR47*Vol!V47/100</f>
        <v>0</v>
      </c>
      <c r="DH47" s="763">
        <f>AS47*Vol!W47/100</f>
        <v>0</v>
      </c>
      <c r="DI47" s="763">
        <f>AT47*Vol!X47/100</f>
        <v>0</v>
      </c>
      <c r="DJ47" s="757">
        <f t="shared" si="10"/>
        <v>0</v>
      </c>
    </row>
    <row r="48" spans="1:114">
      <c r="B48" s="238"/>
      <c r="C48" s="238"/>
      <c r="D48" s="666"/>
      <c r="E48" s="657"/>
      <c r="F48" s="657"/>
      <c r="G48" s="657"/>
      <c r="H48" s="657"/>
      <c r="I48" s="657"/>
      <c r="J48" s="657"/>
      <c r="K48" s="657"/>
      <c r="L48" s="657"/>
      <c r="M48" s="657"/>
      <c r="N48" s="657"/>
      <c r="O48" s="657"/>
      <c r="P48" s="657"/>
      <c r="Q48" s="676"/>
      <c r="R48" s="657"/>
      <c r="S48" s="657"/>
      <c r="T48" s="657"/>
      <c r="U48" s="657"/>
      <c r="V48" s="657"/>
      <c r="W48" s="657"/>
      <c r="X48" s="658"/>
      <c r="Z48" s="320"/>
      <c r="AA48" s="250"/>
      <c r="AB48" s="250"/>
      <c r="AC48" s="250"/>
      <c r="AD48" s="250"/>
      <c r="AE48" s="250"/>
      <c r="AF48" s="250"/>
      <c r="AG48" s="250"/>
      <c r="AH48" s="250"/>
      <c r="AI48" s="250"/>
      <c r="AJ48" s="250"/>
      <c r="AK48" s="250"/>
      <c r="AL48" s="250"/>
      <c r="AM48" s="374"/>
      <c r="AN48" s="298"/>
      <c r="AO48" s="298"/>
      <c r="AP48" s="298"/>
      <c r="AQ48" s="298"/>
      <c r="AR48" s="298"/>
      <c r="AS48" s="298"/>
      <c r="AT48" s="299"/>
      <c r="AV48" s="659"/>
      <c r="AW48" s="660"/>
      <c r="AX48" s="660"/>
      <c r="AY48" s="660"/>
      <c r="AZ48" s="660"/>
      <c r="BA48" s="660"/>
      <c r="BB48" s="660"/>
      <c r="BC48" s="660"/>
      <c r="BD48" s="660"/>
      <c r="BE48" s="660"/>
      <c r="BF48" s="660"/>
      <c r="BG48" s="660"/>
      <c r="BH48" s="660"/>
      <c r="BI48" s="677"/>
      <c r="BJ48" s="660"/>
      <c r="BK48" s="660"/>
      <c r="BL48" s="660"/>
      <c r="BM48" s="660"/>
      <c r="BN48" s="660"/>
      <c r="BO48" s="660"/>
      <c r="BP48" s="661"/>
      <c r="BR48" s="304"/>
      <c r="BS48" s="305"/>
      <c r="BT48" s="305"/>
      <c r="BU48" s="305"/>
      <c r="BV48" s="305"/>
      <c r="BW48" s="305"/>
      <c r="BX48" s="305"/>
      <c r="BY48" s="305"/>
      <c r="BZ48" s="305"/>
      <c r="CA48" s="305"/>
      <c r="CB48" s="305"/>
      <c r="CC48" s="305"/>
      <c r="CD48" s="305"/>
      <c r="CE48" s="305"/>
      <c r="CF48" s="305"/>
      <c r="CG48" s="305"/>
      <c r="CH48" s="305"/>
      <c r="CI48" s="305"/>
      <c r="CJ48" s="305"/>
      <c r="CK48" s="305"/>
      <c r="CL48" s="305"/>
      <c r="CM48" s="257"/>
      <c r="CO48" s="762">
        <f>Z48*Vol!D48</f>
        <v>0</v>
      </c>
      <c r="CP48" s="763">
        <f>AA48*Vol!E48/100</f>
        <v>0</v>
      </c>
      <c r="CQ48" s="763">
        <f>AB48*Vol!F48/100</f>
        <v>0</v>
      </c>
      <c r="CR48" s="763">
        <f>AC48*Vol!G48/100</f>
        <v>0</v>
      </c>
      <c r="CS48" s="763">
        <f>AD48*Vol!H48/100</f>
        <v>0</v>
      </c>
      <c r="CT48" s="763">
        <f>AE48*Vol!I48/100</f>
        <v>0</v>
      </c>
      <c r="CU48" s="763">
        <f>AF48*Vol!J48/100</f>
        <v>0</v>
      </c>
      <c r="CV48" s="763">
        <f>AG48*Vol!K48/100</f>
        <v>0</v>
      </c>
      <c r="CW48" s="763">
        <f>AH48*Vol!L48/100</f>
        <v>0</v>
      </c>
      <c r="CX48" s="763">
        <f>AI48*Vol!M48</f>
        <v>0</v>
      </c>
      <c r="CY48" s="763">
        <f>AJ48*Vol!N48</f>
        <v>0</v>
      </c>
      <c r="CZ48" s="763">
        <f>AK48*Vol!O48</f>
        <v>0</v>
      </c>
      <c r="DA48" s="763">
        <f>AL48*Vol!P48</f>
        <v>0</v>
      </c>
      <c r="DB48" s="763">
        <f>AM48*Vol!Q48/100</f>
        <v>0</v>
      </c>
      <c r="DC48" s="763">
        <f>AN48*Vol!R48/100</f>
        <v>0</v>
      </c>
      <c r="DD48" s="763">
        <f>AO48*Vol!S48/100</f>
        <v>0</v>
      </c>
      <c r="DE48" s="763">
        <f>AP48*Vol!T48/100</f>
        <v>0</v>
      </c>
      <c r="DF48" s="763">
        <f>AQ48*Vol!U48/100</f>
        <v>0</v>
      </c>
      <c r="DG48" s="763">
        <f>AR48*Vol!V48/100</f>
        <v>0</v>
      </c>
      <c r="DH48" s="763">
        <f>AS48*Vol!W48/100</f>
        <v>0</v>
      </c>
      <c r="DI48" s="763">
        <f>AT48*Vol!X48/100</f>
        <v>0</v>
      </c>
      <c r="DJ48" s="757">
        <f t="shared" si="10"/>
        <v>0</v>
      </c>
    </row>
    <row r="49" spans="2:114">
      <c r="B49" s="238"/>
      <c r="C49" s="238"/>
      <c r="D49" s="666"/>
      <c r="E49" s="657"/>
      <c r="F49" s="657"/>
      <c r="G49" s="657"/>
      <c r="H49" s="657"/>
      <c r="I49" s="657"/>
      <c r="J49" s="657"/>
      <c r="K49" s="657"/>
      <c r="L49" s="657"/>
      <c r="M49" s="657"/>
      <c r="N49" s="657"/>
      <c r="O49" s="657"/>
      <c r="P49" s="657"/>
      <c r="Q49" s="676"/>
      <c r="R49" s="657"/>
      <c r="S49" s="657"/>
      <c r="T49" s="657"/>
      <c r="U49" s="657"/>
      <c r="V49" s="657"/>
      <c r="W49" s="657"/>
      <c r="X49" s="658"/>
      <c r="Z49" s="320"/>
      <c r="AA49" s="250"/>
      <c r="AB49" s="250"/>
      <c r="AC49" s="250"/>
      <c r="AD49" s="250"/>
      <c r="AE49" s="250"/>
      <c r="AF49" s="250"/>
      <c r="AG49" s="250"/>
      <c r="AH49" s="250"/>
      <c r="AI49" s="250"/>
      <c r="AJ49" s="250"/>
      <c r="AK49" s="250"/>
      <c r="AL49" s="250"/>
      <c r="AM49" s="374"/>
      <c r="AN49" s="298"/>
      <c r="AO49" s="298"/>
      <c r="AP49" s="298"/>
      <c r="AQ49" s="298"/>
      <c r="AR49" s="298"/>
      <c r="AS49" s="298"/>
      <c r="AT49" s="299"/>
      <c r="AV49" s="659"/>
      <c r="AW49" s="660"/>
      <c r="AX49" s="660"/>
      <c r="AY49" s="660"/>
      <c r="AZ49" s="660"/>
      <c r="BA49" s="660"/>
      <c r="BB49" s="660"/>
      <c r="BC49" s="660"/>
      <c r="BD49" s="660"/>
      <c r="BE49" s="660"/>
      <c r="BF49" s="660"/>
      <c r="BG49" s="660"/>
      <c r="BH49" s="660"/>
      <c r="BI49" s="677"/>
      <c r="BJ49" s="660"/>
      <c r="BK49" s="660"/>
      <c r="BL49" s="660"/>
      <c r="BM49" s="660"/>
      <c r="BN49" s="660"/>
      <c r="BO49" s="660"/>
      <c r="BP49" s="661"/>
      <c r="BR49" s="304"/>
      <c r="BS49" s="305"/>
      <c r="BT49" s="305"/>
      <c r="BU49" s="305"/>
      <c r="BV49" s="305"/>
      <c r="BW49" s="305"/>
      <c r="BX49" s="305"/>
      <c r="BY49" s="305"/>
      <c r="BZ49" s="305"/>
      <c r="CA49" s="305"/>
      <c r="CB49" s="305"/>
      <c r="CC49" s="305"/>
      <c r="CD49" s="305"/>
      <c r="CE49" s="305"/>
      <c r="CF49" s="305"/>
      <c r="CG49" s="305"/>
      <c r="CH49" s="305"/>
      <c r="CI49" s="305"/>
      <c r="CJ49" s="305"/>
      <c r="CK49" s="305"/>
      <c r="CL49" s="305"/>
      <c r="CM49" s="257"/>
      <c r="CO49" s="762">
        <f>Z49*Vol!D49</f>
        <v>0</v>
      </c>
      <c r="CP49" s="763">
        <f>AA49*Vol!E49/100</f>
        <v>0</v>
      </c>
      <c r="CQ49" s="763">
        <f>AB49*Vol!F49/100</f>
        <v>0</v>
      </c>
      <c r="CR49" s="763">
        <f>AC49*Vol!G49/100</f>
        <v>0</v>
      </c>
      <c r="CS49" s="763">
        <f>AD49*Vol!H49/100</f>
        <v>0</v>
      </c>
      <c r="CT49" s="763">
        <f>AE49*Vol!I49/100</f>
        <v>0</v>
      </c>
      <c r="CU49" s="763">
        <f>AF49*Vol!J49/100</f>
        <v>0</v>
      </c>
      <c r="CV49" s="763">
        <f>AG49*Vol!K49/100</f>
        <v>0</v>
      </c>
      <c r="CW49" s="763">
        <f>AH49*Vol!L49/100</f>
        <v>0</v>
      </c>
      <c r="CX49" s="763">
        <f>AI49*Vol!M49</f>
        <v>0</v>
      </c>
      <c r="CY49" s="763">
        <f>AJ49*Vol!N49</f>
        <v>0</v>
      </c>
      <c r="CZ49" s="763">
        <f>AK49*Vol!O49</f>
        <v>0</v>
      </c>
      <c r="DA49" s="763">
        <f>AL49*Vol!P49</f>
        <v>0</v>
      </c>
      <c r="DB49" s="763">
        <f>AM49*Vol!Q49/100</f>
        <v>0</v>
      </c>
      <c r="DC49" s="763">
        <f>AN49*Vol!R49/100</f>
        <v>0</v>
      </c>
      <c r="DD49" s="763">
        <f>AO49*Vol!S49/100</f>
        <v>0</v>
      </c>
      <c r="DE49" s="763">
        <f>AP49*Vol!T49/100</f>
        <v>0</v>
      </c>
      <c r="DF49" s="763">
        <f>AQ49*Vol!U49/100</f>
        <v>0</v>
      </c>
      <c r="DG49" s="763">
        <f>AR49*Vol!V49/100</f>
        <v>0</v>
      </c>
      <c r="DH49" s="763">
        <f>AS49*Vol!W49/100</f>
        <v>0</v>
      </c>
      <c r="DI49" s="763">
        <f>AT49*Vol!X49/100</f>
        <v>0</v>
      </c>
      <c r="DJ49" s="757">
        <f t="shared" si="10"/>
        <v>0</v>
      </c>
    </row>
    <row r="50" spans="2:114">
      <c r="B50" s="238"/>
      <c r="C50" s="238"/>
      <c r="D50" s="666"/>
      <c r="E50" s="657"/>
      <c r="F50" s="657"/>
      <c r="G50" s="657"/>
      <c r="H50" s="657"/>
      <c r="I50" s="657"/>
      <c r="J50" s="657"/>
      <c r="K50" s="657"/>
      <c r="L50" s="657"/>
      <c r="M50" s="657"/>
      <c r="N50" s="657"/>
      <c r="O50" s="657"/>
      <c r="P50" s="657"/>
      <c r="Q50" s="676"/>
      <c r="R50" s="657"/>
      <c r="S50" s="657"/>
      <c r="T50" s="657"/>
      <c r="U50" s="657"/>
      <c r="V50" s="657"/>
      <c r="W50" s="657"/>
      <c r="X50" s="658"/>
      <c r="Z50" s="320"/>
      <c r="AA50" s="250"/>
      <c r="AB50" s="250"/>
      <c r="AC50" s="250"/>
      <c r="AD50" s="250"/>
      <c r="AE50" s="250"/>
      <c r="AF50" s="250"/>
      <c r="AG50" s="250"/>
      <c r="AH50" s="250"/>
      <c r="AI50" s="250"/>
      <c r="AJ50" s="250"/>
      <c r="AK50" s="250"/>
      <c r="AL50" s="250"/>
      <c r="AM50" s="374"/>
      <c r="AN50" s="298"/>
      <c r="AO50" s="298"/>
      <c r="AP50" s="298"/>
      <c r="AQ50" s="298"/>
      <c r="AR50" s="298"/>
      <c r="AS50" s="298"/>
      <c r="AT50" s="299"/>
      <c r="AV50" s="659"/>
      <c r="AW50" s="660"/>
      <c r="AX50" s="660"/>
      <c r="AY50" s="660"/>
      <c r="AZ50" s="660"/>
      <c r="BA50" s="660"/>
      <c r="BB50" s="660"/>
      <c r="BC50" s="660"/>
      <c r="BD50" s="660"/>
      <c r="BE50" s="660"/>
      <c r="BF50" s="660"/>
      <c r="BG50" s="660"/>
      <c r="BH50" s="660"/>
      <c r="BI50" s="677"/>
      <c r="BJ50" s="660"/>
      <c r="BK50" s="660"/>
      <c r="BL50" s="660"/>
      <c r="BM50" s="660"/>
      <c r="BN50" s="660"/>
      <c r="BO50" s="660"/>
      <c r="BP50" s="661"/>
      <c r="BR50" s="304"/>
      <c r="BS50" s="305"/>
      <c r="BT50" s="305"/>
      <c r="BU50" s="305"/>
      <c r="BV50" s="305"/>
      <c r="BW50" s="305"/>
      <c r="BX50" s="305"/>
      <c r="BY50" s="305"/>
      <c r="BZ50" s="305"/>
      <c r="CA50" s="305"/>
      <c r="CB50" s="305"/>
      <c r="CC50" s="305"/>
      <c r="CD50" s="305"/>
      <c r="CE50" s="305"/>
      <c r="CF50" s="305"/>
      <c r="CG50" s="305"/>
      <c r="CH50" s="305"/>
      <c r="CI50" s="305"/>
      <c r="CJ50" s="305"/>
      <c r="CK50" s="305"/>
      <c r="CL50" s="305"/>
      <c r="CM50" s="257"/>
      <c r="CO50" s="762">
        <f>Z50*Vol!D50</f>
        <v>0</v>
      </c>
      <c r="CP50" s="763">
        <f>AA50*Vol!E50/100</f>
        <v>0</v>
      </c>
      <c r="CQ50" s="763">
        <f>AB50*Vol!F50/100</f>
        <v>0</v>
      </c>
      <c r="CR50" s="763">
        <f>AC50*Vol!G50/100</f>
        <v>0</v>
      </c>
      <c r="CS50" s="763">
        <f>AD50*Vol!H50/100</f>
        <v>0</v>
      </c>
      <c r="CT50" s="763">
        <f>AE50*Vol!I50/100</f>
        <v>0</v>
      </c>
      <c r="CU50" s="763">
        <f>AF50*Vol!J50/100</f>
        <v>0</v>
      </c>
      <c r="CV50" s="763">
        <f>AG50*Vol!K50/100</f>
        <v>0</v>
      </c>
      <c r="CW50" s="763">
        <f>AH50*Vol!L50/100</f>
        <v>0</v>
      </c>
      <c r="CX50" s="763">
        <f>AI50*Vol!M50</f>
        <v>0</v>
      </c>
      <c r="CY50" s="763">
        <f>AJ50*Vol!N50</f>
        <v>0</v>
      </c>
      <c r="CZ50" s="763">
        <f>AK50*Vol!O50</f>
        <v>0</v>
      </c>
      <c r="DA50" s="763">
        <f>AL50*Vol!P50</f>
        <v>0</v>
      </c>
      <c r="DB50" s="763">
        <f>AM50*Vol!Q50/100</f>
        <v>0</v>
      </c>
      <c r="DC50" s="763">
        <f>AN50*Vol!R50/100</f>
        <v>0</v>
      </c>
      <c r="DD50" s="763">
        <f>AO50*Vol!S50/100</f>
        <v>0</v>
      </c>
      <c r="DE50" s="763">
        <f>AP50*Vol!T50/100</f>
        <v>0</v>
      </c>
      <c r="DF50" s="763">
        <f>AQ50*Vol!U50/100</f>
        <v>0</v>
      </c>
      <c r="DG50" s="763">
        <f>AR50*Vol!V50/100</f>
        <v>0</v>
      </c>
      <c r="DH50" s="763">
        <f>AS50*Vol!W50/100</f>
        <v>0</v>
      </c>
      <c r="DI50" s="763">
        <f>AT50*Vol!X50/100</f>
        <v>0</v>
      </c>
      <c r="DJ50" s="757">
        <f t="shared" si="10"/>
        <v>0</v>
      </c>
    </row>
    <row r="51" spans="2:114">
      <c r="B51" s="238"/>
      <c r="C51" s="238"/>
      <c r="D51" s="666"/>
      <c r="E51" s="657"/>
      <c r="F51" s="657"/>
      <c r="G51" s="657"/>
      <c r="H51" s="657"/>
      <c r="I51" s="657"/>
      <c r="J51" s="657"/>
      <c r="K51" s="657"/>
      <c r="L51" s="657"/>
      <c r="M51" s="657"/>
      <c r="N51" s="657"/>
      <c r="O51" s="657"/>
      <c r="P51" s="657"/>
      <c r="Q51" s="676"/>
      <c r="R51" s="657"/>
      <c r="S51" s="657"/>
      <c r="T51" s="657"/>
      <c r="U51" s="657"/>
      <c r="V51" s="657"/>
      <c r="W51" s="657"/>
      <c r="X51" s="658"/>
      <c r="Z51" s="320"/>
      <c r="AA51" s="250"/>
      <c r="AB51" s="250"/>
      <c r="AC51" s="250"/>
      <c r="AD51" s="250"/>
      <c r="AE51" s="250"/>
      <c r="AF51" s="250"/>
      <c r="AG51" s="250"/>
      <c r="AH51" s="250"/>
      <c r="AI51" s="250"/>
      <c r="AJ51" s="250"/>
      <c r="AK51" s="250"/>
      <c r="AL51" s="250"/>
      <c r="AM51" s="374"/>
      <c r="AN51" s="298"/>
      <c r="AO51" s="298"/>
      <c r="AP51" s="298"/>
      <c r="AQ51" s="298"/>
      <c r="AR51" s="298"/>
      <c r="AS51" s="298"/>
      <c r="AT51" s="299"/>
      <c r="AV51" s="659"/>
      <c r="AW51" s="660"/>
      <c r="AX51" s="660"/>
      <c r="AY51" s="660"/>
      <c r="AZ51" s="660"/>
      <c r="BA51" s="660"/>
      <c r="BB51" s="660"/>
      <c r="BC51" s="660"/>
      <c r="BD51" s="660"/>
      <c r="BE51" s="660"/>
      <c r="BF51" s="660"/>
      <c r="BG51" s="660"/>
      <c r="BH51" s="660"/>
      <c r="BI51" s="677"/>
      <c r="BJ51" s="660"/>
      <c r="BK51" s="660"/>
      <c r="BL51" s="660"/>
      <c r="BM51" s="660"/>
      <c r="BN51" s="660"/>
      <c r="BO51" s="660"/>
      <c r="BP51" s="661"/>
      <c r="BR51" s="304"/>
      <c r="BS51" s="305"/>
      <c r="BT51" s="305"/>
      <c r="BU51" s="305"/>
      <c r="BV51" s="305"/>
      <c r="BW51" s="305"/>
      <c r="BX51" s="305"/>
      <c r="BY51" s="305"/>
      <c r="BZ51" s="305"/>
      <c r="CA51" s="305"/>
      <c r="CB51" s="305"/>
      <c r="CC51" s="305"/>
      <c r="CD51" s="305"/>
      <c r="CE51" s="305"/>
      <c r="CF51" s="305"/>
      <c r="CG51" s="305"/>
      <c r="CH51" s="305"/>
      <c r="CI51" s="305"/>
      <c r="CJ51" s="305"/>
      <c r="CK51" s="305"/>
      <c r="CL51" s="305"/>
      <c r="CM51" s="257"/>
      <c r="CO51" s="762">
        <f>Z51*Vol!D51</f>
        <v>0</v>
      </c>
      <c r="CP51" s="763">
        <f>AA51*Vol!E51/100</f>
        <v>0</v>
      </c>
      <c r="CQ51" s="763">
        <f>AB51*Vol!F51/100</f>
        <v>0</v>
      </c>
      <c r="CR51" s="763">
        <f>AC51*Vol!G51/100</f>
        <v>0</v>
      </c>
      <c r="CS51" s="763">
        <f>AD51*Vol!H51/100</f>
        <v>0</v>
      </c>
      <c r="CT51" s="763">
        <f>AE51*Vol!I51/100</f>
        <v>0</v>
      </c>
      <c r="CU51" s="763">
        <f>AF51*Vol!J51/100</f>
        <v>0</v>
      </c>
      <c r="CV51" s="763">
        <f>AG51*Vol!K51/100</f>
        <v>0</v>
      </c>
      <c r="CW51" s="763">
        <f>AH51*Vol!L51/100</f>
        <v>0</v>
      </c>
      <c r="CX51" s="763">
        <f>AI51*Vol!M51</f>
        <v>0</v>
      </c>
      <c r="CY51" s="763">
        <f>AJ51*Vol!N51</f>
        <v>0</v>
      </c>
      <c r="CZ51" s="763">
        <f>AK51*Vol!O51</f>
        <v>0</v>
      </c>
      <c r="DA51" s="763">
        <f>AL51*Vol!P51</f>
        <v>0</v>
      </c>
      <c r="DB51" s="763">
        <f>AM51*Vol!Q51/100</f>
        <v>0</v>
      </c>
      <c r="DC51" s="763">
        <f>AN51*Vol!R51/100</f>
        <v>0</v>
      </c>
      <c r="DD51" s="763">
        <f>AO51*Vol!S51/100</f>
        <v>0</v>
      </c>
      <c r="DE51" s="763">
        <f>AP51*Vol!T51/100</f>
        <v>0</v>
      </c>
      <c r="DF51" s="763">
        <f>AQ51*Vol!U51/100</f>
        <v>0</v>
      </c>
      <c r="DG51" s="763">
        <f>AR51*Vol!V51/100</f>
        <v>0</v>
      </c>
      <c r="DH51" s="763">
        <f>AS51*Vol!W51/100</f>
        <v>0</v>
      </c>
      <c r="DI51" s="763">
        <f>AT51*Vol!X51/100</f>
        <v>0</v>
      </c>
      <c r="DJ51" s="757">
        <f t="shared" si="10"/>
        <v>0</v>
      </c>
    </row>
    <row r="52" spans="2:114">
      <c r="B52" s="238"/>
      <c r="C52" s="238"/>
      <c r="D52" s="666"/>
      <c r="E52" s="657"/>
      <c r="F52" s="657"/>
      <c r="G52" s="657"/>
      <c r="H52" s="657"/>
      <c r="I52" s="657"/>
      <c r="J52" s="657"/>
      <c r="K52" s="657"/>
      <c r="L52" s="657"/>
      <c r="M52" s="657"/>
      <c r="N52" s="657"/>
      <c r="O52" s="657"/>
      <c r="P52" s="657"/>
      <c r="Q52" s="676"/>
      <c r="R52" s="657"/>
      <c r="S52" s="657"/>
      <c r="T52" s="657"/>
      <c r="U52" s="657"/>
      <c r="V52" s="657"/>
      <c r="W52" s="657"/>
      <c r="X52" s="658"/>
      <c r="Z52" s="320"/>
      <c r="AA52" s="250"/>
      <c r="AB52" s="250"/>
      <c r="AC52" s="250"/>
      <c r="AD52" s="250"/>
      <c r="AE52" s="250"/>
      <c r="AF52" s="250"/>
      <c r="AG52" s="250"/>
      <c r="AH52" s="250"/>
      <c r="AI52" s="250"/>
      <c r="AJ52" s="250"/>
      <c r="AK52" s="250"/>
      <c r="AL52" s="250"/>
      <c r="AM52" s="374"/>
      <c r="AN52" s="298"/>
      <c r="AO52" s="298"/>
      <c r="AP52" s="298"/>
      <c r="AQ52" s="298"/>
      <c r="AR52" s="298"/>
      <c r="AS52" s="298"/>
      <c r="AT52" s="299"/>
      <c r="AV52" s="659"/>
      <c r="AW52" s="660"/>
      <c r="AX52" s="660"/>
      <c r="AY52" s="660"/>
      <c r="AZ52" s="660"/>
      <c r="BA52" s="660"/>
      <c r="BB52" s="660"/>
      <c r="BC52" s="660"/>
      <c r="BD52" s="660"/>
      <c r="BE52" s="660"/>
      <c r="BF52" s="660"/>
      <c r="BG52" s="660"/>
      <c r="BH52" s="660"/>
      <c r="BI52" s="677"/>
      <c r="BJ52" s="660"/>
      <c r="BK52" s="660"/>
      <c r="BL52" s="660"/>
      <c r="BM52" s="660"/>
      <c r="BN52" s="660"/>
      <c r="BO52" s="660"/>
      <c r="BP52" s="661"/>
      <c r="BR52" s="304"/>
      <c r="BS52" s="305"/>
      <c r="BT52" s="305"/>
      <c r="BU52" s="305"/>
      <c r="BV52" s="305"/>
      <c r="BW52" s="305"/>
      <c r="BX52" s="305"/>
      <c r="BY52" s="305"/>
      <c r="BZ52" s="305"/>
      <c r="CA52" s="305"/>
      <c r="CB52" s="305"/>
      <c r="CC52" s="305"/>
      <c r="CD52" s="305"/>
      <c r="CE52" s="305"/>
      <c r="CF52" s="305"/>
      <c r="CG52" s="305"/>
      <c r="CH52" s="305"/>
      <c r="CI52" s="305"/>
      <c r="CJ52" s="305"/>
      <c r="CK52" s="305"/>
      <c r="CL52" s="305"/>
      <c r="CM52" s="257"/>
      <c r="CO52" s="762">
        <f>Z52*Vol!D52</f>
        <v>0</v>
      </c>
      <c r="CP52" s="763">
        <f>AA52*Vol!E52/100</f>
        <v>0</v>
      </c>
      <c r="CQ52" s="763">
        <f>AB52*Vol!F52/100</f>
        <v>0</v>
      </c>
      <c r="CR52" s="763">
        <f>AC52*Vol!G52/100</f>
        <v>0</v>
      </c>
      <c r="CS52" s="763">
        <f>AD52*Vol!H52/100</f>
        <v>0</v>
      </c>
      <c r="CT52" s="763">
        <f>AE52*Vol!I52/100</f>
        <v>0</v>
      </c>
      <c r="CU52" s="763">
        <f>AF52*Vol!J52/100</f>
        <v>0</v>
      </c>
      <c r="CV52" s="763">
        <f>AG52*Vol!K52/100</f>
        <v>0</v>
      </c>
      <c r="CW52" s="763">
        <f>AH52*Vol!L52/100</f>
        <v>0</v>
      </c>
      <c r="CX52" s="763">
        <f>AI52*Vol!M52</f>
        <v>0</v>
      </c>
      <c r="CY52" s="763">
        <f>AJ52*Vol!N52</f>
        <v>0</v>
      </c>
      <c r="CZ52" s="763">
        <f>AK52*Vol!O52</f>
        <v>0</v>
      </c>
      <c r="DA52" s="763">
        <f>AL52*Vol!P52</f>
        <v>0</v>
      </c>
      <c r="DB52" s="763">
        <f>AM52*Vol!Q52/100</f>
        <v>0</v>
      </c>
      <c r="DC52" s="763">
        <f>AN52*Vol!R52/100</f>
        <v>0</v>
      </c>
      <c r="DD52" s="763">
        <f>AO52*Vol!S52/100</f>
        <v>0</v>
      </c>
      <c r="DE52" s="763">
        <f>AP52*Vol!T52/100</f>
        <v>0</v>
      </c>
      <c r="DF52" s="763">
        <f>AQ52*Vol!U52/100</f>
        <v>0</v>
      </c>
      <c r="DG52" s="763">
        <f>AR52*Vol!V52/100</f>
        <v>0</v>
      </c>
      <c r="DH52" s="763">
        <f>AS52*Vol!W52/100</f>
        <v>0</v>
      </c>
      <c r="DI52" s="763">
        <f>AT52*Vol!X52/100</f>
        <v>0</v>
      </c>
      <c r="DJ52" s="757">
        <f t="shared" si="10"/>
        <v>0</v>
      </c>
    </row>
    <row r="53" spans="2:114">
      <c r="B53" s="238"/>
      <c r="C53" s="238"/>
      <c r="D53" s="297"/>
      <c r="E53" s="298"/>
      <c r="F53" s="298"/>
      <c r="G53" s="298"/>
      <c r="H53" s="298"/>
      <c r="I53" s="298"/>
      <c r="J53" s="298"/>
      <c r="K53" s="298"/>
      <c r="L53" s="298"/>
      <c r="M53" s="298"/>
      <c r="N53" s="298"/>
      <c r="O53" s="298"/>
      <c r="P53" s="298"/>
      <c r="Q53" s="374"/>
      <c r="R53" s="298"/>
      <c r="S53" s="298"/>
      <c r="T53" s="298"/>
      <c r="U53" s="298"/>
      <c r="V53" s="298"/>
      <c r="W53" s="298"/>
      <c r="X53" s="299"/>
      <c r="Z53" s="320"/>
      <c r="AA53" s="250"/>
      <c r="AB53" s="250"/>
      <c r="AC53" s="250"/>
      <c r="AD53" s="250"/>
      <c r="AE53" s="250"/>
      <c r="AF53" s="250"/>
      <c r="AG53" s="250"/>
      <c r="AH53" s="250"/>
      <c r="AI53" s="250"/>
      <c r="AJ53" s="250"/>
      <c r="AK53" s="250"/>
      <c r="AL53" s="250"/>
      <c r="AM53" s="374"/>
      <c r="AN53" s="298"/>
      <c r="AO53" s="298"/>
      <c r="AP53" s="298"/>
      <c r="AQ53" s="298"/>
      <c r="AR53" s="298"/>
      <c r="AS53" s="298"/>
      <c r="AT53" s="299"/>
      <c r="AV53" s="252"/>
      <c r="AW53" s="309"/>
      <c r="AX53" s="309"/>
      <c r="AY53" s="309"/>
      <c r="AZ53" s="309"/>
      <c r="BA53" s="309"/>
      <c r="BB53" s="309"/>
      <c r="BC53" s="309"/>
      <c r="BD53" s="309"/>
      <c r="BE53" s="309"/>
      <c r="BF53" s="309"/>
      <c r="BG53" s="309"/>
      <c r="BH53" s="309"/>
      <c r="BI53" s="375"/>
      <c r="BJ53" s="309"/>
      <c r="BK53" s="309"/>
      <c r="BL53" s="309"/>
      <c r="BM53" s="309"/>
      <c r="BN53" s="309"/>
      <c r="BO53" s="309"/>
      <c r="BP53" s="310"/>
      <c r="BR53" s="304">
        <f t="shared" ref="BR53:BR65" si="11">D53*AV53</f>
        <v>0</v>
      </c>
      <c r="BS53" s="305">
        <f t="shared" ref="BS53:BS65" si="12">E53/100*AW53</f>
        <v>0</v>
      </c>
      <c r="BT53" s="305">
        <f t="shared" ref="BT53:BT65" si="13">F53/100*AX53</f>
        <v>0</v>
      </c>
      <c r="BU53" s="305">
        <f t="shared" ref="BU53:BU65" si="14">G53/100*AY53</f>
        <v>0</v>
      </c>
      <c r="BV53" s="305">
        <f t="shared" ref="BV53:BV65" si="15">H53/100*AZ53</f>
        <v>0</v>
      </c>
      <c r="BW53" s="305">
        <f t="shared" ref="BW53:BW65" si="16">I53/100*BA53</f>
        <v>0</v>
      </c>
      <c r="BX53" s="305">
        <f t="shared" ref="BX53:BX65" si="17">J53/100*BB53</f>
        <v>0</v>
      </c>
      <c r="BY53" s="305">
        <f t="shared" ref="BY53:BY65" si="18">K53/100*BC53</f>
        <v>0</v>
      </c>
      <c r="BZ53" s="305">
        <f t="shared" ref="BZ53:BZ65" si="19">L53/100*BD53</f>
        <v>0</v>
      </c>
      <c r="CA53" s="305">
        <f t="shared" ref="CA53:CA65" si="20">M53*BE53</f>
        <v>0</v>
      </c>
      <c r="CB53" s="305">
        <f t="shared" ref="CB53:CB65" si="21">N53*BF53</f>
        <v>0</v>
      </c>
      <c r="CC53" s="305">
        <f t="shared" ref="CC53:CC65" si="22">O53*BG53</f>
        <v>0</v>
      </c>
      <c r="CD53" s="305">
        <f t="shared" ref="CD53:CD65" si="23">P53*BH53</f>
        <v>0</v>
      </c>
      <c r="CE53" s="305">
        <f t="shared" ref="CE53:CE65" si="24">Q53/100*BI53</f>
        <v>0</v>
      </c>
      <c r="CF53" s="305">
        <f t="shared" ref="CF53:CF65" si="25">R53/100*BJ53</f>
        <v>0</v>
      </c>
      <c r="CG53" s="305">
        <f t="shared" ref="CG53:CG65" si="26">S53/100*BK53</f>
        <v>0</v>
      </c>
      <c r="CH53" s="305">
        <f t="shared" ref="CH53:CH65" si="27">T53/100*BL53</f>
        <v>0</v>
      </c>
      <c r="CI53" s="305">
        <f t="shared" ref="CI53:CI65" si="28">U53/100*BM53</f>
        <v>0</v>
      </c>
      <c r="CJ53" s="305">
        <f t="shared" ref="CJ53:CJ65" si="29">V53/100*BN53</f>
        <v>0</v>
      </c>
      <c r="CK53" s="305">
        <f t="shared" ref="CK53:CK65" si="30">W53/100*BO53</f>
        <v>0</v>
      </c>
      <c r="CL53" s="305">
        <f t="shared" ref="CL53:CL65" si="31">X53/100*BP53</f>
        <v>0</v>
      </c>
      <c r="CM53" s="257">
        <f t="shared" ref="CM53:CM65" si="32">SUM(BR53:CL53)</f>
        <v>0</v>
      </c>
      <c r="CO53" s="762">
        <f>Z53*Vol!D53</f>
        <v>0</v>
      </c>
      <c r="CP53" s="763">
        <f>AA53*Vol!E53/100</f>
        <v>0</v>
      </c>
      <c r="CQ53" s="763">
        <f>AB53*Vol!F53/100</f>
        <v>0</v>
      </c>
      <c r="CR53" s="763">
        <f>AC53*Vol!G53/100</f>
        <v>0</v>
      </c>
      <c r="CS53" s="763">
        <f>AD53*Vol!H53/100</f>
        <v>0</v>
      </c>
      <c r="CT53" s="763">
        <f>AE53*Vol!I53/100</f>
        <v>0</v>
      </c>
      <c r="CU53" s="763">
        <f>AF53*Vol!J53/100</f>
        <v>0</v>
      </c>
      <c r="CV53" s="763">
        <f>AG53*Vol!K53/100</f>
        <v>0</v>
      </c>
      <c r="CW53" s="763">
        <f>AH53*Vol!L53/100</f>
        <v>0</v>
      </c>
      <c r="CX53" s="763">
        <f>AI53*Vol!M53</f>
        <v>0</v>
      </c>
      <c r="CY53" s="763">
        <f>AJ53*Vol!N53</f>
        <v>0</v>
      </c>
      <c r="CZ53" s="763">
        <f>AK53*Vol!O53</f>
        <v>0</v>
      </c>
      <c r="DA53" s="763">
        <f>AL53*Vol!P53</f>
        <v>0</v>
      </c>
      <c r="DB53" s="763">
        <f>AM53*Vol!Q53/100</f>
        <v>0</v>
      </c>
      <c r="DC53" s="763">
        <f>AN53*Vol!R53/100</f>
        <v>0</v>
      </c>
      <c r="DD53" s="763">
        <f>AO53*Vol!S53/100</f>
        <v>0</v>
      </c>
      <c r="DE53" s="763">
        <f>AP53*Vol!T53/100</f>
        <v>0</v>
      </c>
      <c r="DF53" s="763">
        <f>AQ53*Vol!U53/100</f>
        <v>0</v>
      </c>
      <c r="DG53" s="763">
        <f>AR53*Vol!V53/100</f>
        <v>0</v>
      </c>
      <c r="DH53" s="763">
        <f>AS53*Vol!W53/100</f>
        <v>0</v>
      </c>
      <c r="DI53" s="763">
        <f>AT53*Vol!X53/100</f>
        <v>0</v>
      </c>
      <c r="DJ53" s="757">
        <f t="shared" si="10"/>
        <v>0</v>
      </c>
    </row>
    <row r="54" spans="2:114">
      <c r="B54" s="238"/>
      <c r="C54" s="238"/>
      <c r="D54" s="297"/>
      <c r="E54" s="298"/>
      <c r="F54" s="298"/>
      <c r="G54" s="298"/>
      <c r="H54" s="298"/>
      <c r="I54" s="298"/>
      <c r="J54" s="298"/>
      <c r="K54" s="298"/>
      <c r="L54" s="298"/>
      <c r="M54" s="298"/>
      <c r="N54" s="298"/>
      <c r="O54" s="298"/>
      <c r="P54" s="298"/>
      <c r="Q54" s="374"/>
      <c r="R54" s="298"/>
      <c r="S54" s="298"/>
      <c r="T54" s="298"/>
      <c r="U54" s="298"/>
      <c r="V54" s="298"/>
      <c r="W54" s="298"/>
      <c r="X54" s="299"/>
      <c r="Z54" s="320"/>
      <c r="AA54" s="250"/>
      <c r="AB54" s="250"/>
      <c r="AC54" s="250"/>
      <c r="AD54" s="250"/>
      <c r="AE54" s="250"/>
      <c r="AF54" s="250"/>
      <c r="AG54" s="250"/>
      <c r="AH54" s="250"/>
      <c r="AI54" s="250"/>
      <c r="AJ54" s="250"/>
      <c r="AK54" s="250"/>
      <c r="AL54" s="250"/>
      <c r="AM54" s="374"/>
      <c r="AN54" s="298"/>
      <c r="AO54" s="298"/>
      <c r="AP54" s="298"/>
      <c r="AQ54" s="298"/>
      <c r="AR54" s="298"/>
      <c r="AS54" s="298"/>
      <c r="AT54" s="299"/>
      <c r="AV54" s="252"/>
      <c r="AW54" s="309"/>
      <c r="AX54" s="309"/>
      <c r="AY54" s="309"/>
      <c r="AZ54" s="309"/>
      <c r="BA54" s="309"/>
      <c r="BB54" s="309"/>
      <c r="BC54" s="309"/>
      <c r="BD54" s="309"/>
      <c r="BE54" s="309"/>
      <c r="BF54" s="309"/>
      <c r="BG54" s="309"/>
      <c r="BH54" s="309"/>
      <c r="BI54" s="375"/>
      <c r="BJ54" s="309"/>
      <c r="BK54" s="309"/>
      <c r="BL54" s="309"/>
      <c r="BM54" s="309"/>
      <c r="BN54" s="309"/>
      <c r="BO54" s="309"/>
      <c r="BP54" s="310"/>
      <c r="BR54" s="304">
        <f t="shared" si="11"/>
        <v>0</v>
      </c>
      <c r="BS54" s="305">
        <f t="shared" si="12"/>
        <v>0</v>
      </c>
      <c r="BT54" s="305">
        <f t="shared" si="13"/>
        <v>0</v>
      </c>
      <c r="BU54" s="305">
        <f t="shared" si="14"/>
        <v>0</v>
      </c>
      <c r="BV54" s="305">
        <f t="shared" si="15"/>
        <v>0</v>
      </c>
      <c r="BW54" s="305">
        <f t="shared" si="16"/>
        <v>0</v>
      </c>
      <c r="BX54" s="305">
        <f t="shared" si="17"/>
        <v>0</v>
      </c>
      <c r="BY54" s="305">
        <f t="shared" si="18"/>
        <v>0</v>
      </c>
      <c r="BZ54" s="305">
        <f t="shared" si="19"/>
        <v>0</v>
      </c>
      <c r="CA54" s="305">
        <f t="shared" si="20"/>
        <v>0</v>
      </c>
      <c r="CB54" s="305">
        <f t="shared" si="21"/>
        <v>0</v>
      </c>
      <c r="CC54" s="305">
        <f t="shared" si="22"/>
        <v>0</v>
      </c>
      <c r="CD54" s="305">
        <f t="shared" si="23"/>
        <v>0</v>
      </c>
      <c r="CE54" s="305">
        <f t="shared" si="24"/>
        <v>0</v>
      </c>
      <c r="CF54" s="305">
        <f t="shared" si="25"/>
        <v>0</v>
      </c>
      <c r="CG54" s="305">
        <f t="shared" si="26"/>
        <v>0</v>
      </c>
      <c r="CH54" s="305">
        <f t="shared" si="27"/>
        <v>0</v>
      </c>
      <c r="CI54" s="305">
        <f t="shared" si="28"/>
        <v>0</v>
      </c>
      <c r="CJ54" s="305">
        <f t="shared" si="29"/>
        <v>0</v>
      </c>
      <c r="CK54" s="305">
        <f t="shared" si="30"/>
        <v>0</v>
      </c>
      <c r="CL54" s="305">
        <f t="shared" si="31"/>
        <v>0</v>
      </c>
      <c r="CM54" s="257">
        <f t="shared" si="32"/>
        <v>0</v>
      </c>
      <c r="CO54" s="304">
        <f t="shared" ref="CO54:CO65" si="33">Z54*AV54</f>
        <v>0</v>
      </c>
      <c r="CP54" s="305">
        <f t="shared" ref="CP54:CP65" si="34">AA54/100*AW54</f>
        <v>0</v>
      </c>
      <c r="CQ54" s="305">
        <f t="shared" ref="CQ54:CQ65" si="35">AB54/100*AX54</f>
        <v>0</v>
      </c>
      <c r="CR54" s="305">
        <f t="shared" ref="CR54:CR65" si="36">AC54/100*AY54</f>
        <v>0</v>
      </c>
      <c r="CS54" s="305">
        <f t="shared" ref="CS54:CS65" si="37">AD54/100*AZ54</f>
        <v>0</v>
      </c>
      <c r="CT54" s="305">
        <f t="shared" ref="CT54:CT65" si="38">AE54/100*BA54</f>
        <v>0</v>
      </c>
      <c r="CU54" s="305">
        <f t="shared" ref="CU54:CU65" si="39">AF54/100*BB54</f>
        <v>0</v>
      </c>
      <c r="CV54" s="305">
        <f t="shared" ref="CV54:CV65" si="40">AG54/100*BC54</f>
        <v>0</v>
      </c>
      <c r="CW54" s="305">
        <f t="shared" ref="CW54:CW65" si="41">AH54/100*BD54</f>
        <v>0</v>
      </c>
      <c r="CX54" s="305">
        <f t="shared" ref="CX54:CX65" si="42">AI54*BE54</f>
        <v>0</v>
      </c>
      <c r="CY54" s="305">
        <f t="shared" ref="CY54:CY65" si="43">AJ54*BF54</f>
        <v>0</v>
      </c>
      <c r="CZ54" s="305">
        <f t="shared" ref="CZ54:CZ65" si="44">AK54*BG54</f>
        <v>0</v>
      </c>
      <c r="DA54" s="305">
        <f t="shared" ref="DA54:DA65" si="45">AL54*BH54</f>
        <v>0</v>
      </c>
      <c r="DB54" s="305">
        <f t="shared" ref="DB54:DB65" si="46">AM54/100*BI54</f>
        <v>0</v>
      </c>
      <c r="DC54" s="305">
        <f t="shared" ref="DC54:DC65" si="47">AN54/100*BJ54</f>
        <v>0</v>
      </c>
      <c r="DD54" s="305">
        <f t="shared" ref="DD54:DD65" si="48">AO54/100*BK54</f>
        <v>0</v>
      </c>
      <c r="DE54" s="305">
        <f t="shared" ref="DE54:DE65" si="49">AP54/100*BL54</f>
        <v>0</v>
      </c>
      <c r="DF54" s="305">
        <f t="shared" ref="DF54:DF65" si="50">AQ54/100*BM54</f>
        <v>0</v>
      </c>
      <c r="DG54" s="305">
        <f t="shared" ref="DG54:DG65" si="51">AR54/100*BN54</f>
        <v>0</v>
      </c>
      <c r="DH54" s="305">
        <f t="shared" ref="DH54:DH65" si="52">AS54/100*BO54</f>
        <v>0</v>
      </c>
      <c r="DI54" s="305">
        <f t="shared" ref="DI54:DI65" si="53">AT54/100*BP54</f>
        <v>0</v>
      </c>
      <c r="DJ54" s="257">
        <f t="shared" ref="DJ54:DJ65" si="54">SUM(CO54:DI54)</f>
        <v>0</v>
      </c>
    </row>
    <row r="55" spans="2:114">
      <c r="B55" s="238"/>
      <c r="C55" s="238"/>
      <c r="D55" s="297"/>
      <c r="E55" s="298"/>
      <c r="F55" s="298"/>
      <c r="G55" s="298"/>
      <c r="H55" s="298"/>
      <c r="I55" s="298"/>
      <c r="J55" s="298"/>
      <c r="K55" s="298"/>
      <c r="L55" s="298"/>
      <c r="M55" s="298"/>
      <c r="N55" s="298"/>
      <c r="O55" s="298"/>
      <c r="P55" s="298"/>
      <c r="Q55" s="374"/>
      <c r="R55" s="298"/>
      <c r="S55" s="298"/>
      <c r="T55" s="298"/>
      <c r="U55" s="298"/>
      <c r="V55" s="298"/>
      <c r="W55" s="298"/>
      <c r="X55" s="299"/>
      <c r="Z55" s="320"/>
      <c r="AA55" s="250"/>
      <c r="AB55" s="250"/>
      <c r="AC55" s="250"/>
      <c r="AD55" s="250"/>
      <c r="AE55" s="250"/>
      <c r="AF55" s="250"/>
      <c r="AG55" s="250"/>
      <c r="AH55" s="250"/>
      <c r="AI55" s="250"/>
      <c r="AJ55" s="250"/>
      <c r="AK55" s="250"/>
      <c r="AL55" s="250"/>
      <c r="AM55" s="374"/>
      <c r="AN55" s="298"/>
      <c r="AO55" s="298"/>
      <c r="AP55" s="298"/>
      <c r="AQ55" s="298"/>
      <c r="AR55" s="298"/>
      <c r="AS55" s="298"/>
      <c r="AT55" s="299"/>
      <c r="AV55" s="252"/>
      <c r="AW55" s="309"/>
      <c r="AX55" s="309"/>
      <c r="AY55" s="309"/>
      <c r="AZ55" s="309"/>
      <c r="BA55" s="309"/>
      <c r="BB55" s="309"/>
      <c r="BC55" s="309"/>
      <c r="BD55" s="309"/>
      <c r="BE55" s="309"/>
      <c r="BF55" s="309"/>
      <c r="BG55" s="309"/>
      <c r="BH55" s="309"/>
      <c r="BI55" s="375"/>
      <c r="BJ55" s="309"/>
      <c r="BK55" s="309"/>
      <c r="BL55" s="309"/>
      <c r="BM55" s="309"/>
      <c r="BN55" s="309"/>
      <c r="BO55" s="309"/>
      <c r="BP55" s="310"/>
      <c r="BR55" s="304">
        <f t="shared" si="11"/>
        <v>0</v>
      </c>
      <c r="BS55" s="305">
        <f t="shared" si="12"/>
        <v>0</v>
      </c>
      <c r="BT55" s="305">
        <f t="shared" si="13"/>
        <v>0</v>
      </c>
      <c r="BU55" s="305">
        <f t="shared" si="14"/>
        <v>0</v>
      </c>
      <c r="BV55" s="305">
        <f t="shared" si="15"/>
        <v>0</v>
      </c>
      <c r="BW55" s="305">
        <f t="shared" si="16"/>
        <v>0</v>
      </c>
      <c r="BX55" s="305">
        <f t="shared" si="17"/>
        <v>0</v>
      </c>
      <c r="BY55" s="305">
        <f t="shared" si="18"/>
        <v>0</v>
      </c>
      <c r="BZ55" s="305">
        <f t="shared" si="19"/>
        <v>0</v>
      </c>
      <c r="CA55" s="305">
        <f t="shared" si="20"/>
        <v>0</v>
      </c>
      <c r="CB55" s="305">
        <f t="shared" si="21"/>
        <v>0</v>
      </c>
      <c r="CC55" s="305">
        <f t="shared" si="22"/>
        <v>0</v>
      </c>
      <c r="CD55" s="305">
        <f t="shared" si="23"/>
        <v>0</v>
      </c>
      <c r="CE55" s="305">
        <f t="shared" si="24"/>
        <v>0</v>
      </c>
      <c r="CF55" s="305">
        <f t="shared" si="25"/>
        <v>0</v>
      </c>
      <c r="CG55" s="305">
        <f t="shared" si="26"/>
        <v>0</v>
      </c>
      <c r="CH55" s="305">
        <f t="shared" si="27"/>
        <v>0</v>
      </c>
      <c r="CI55" s="305">
        <f t="shared" si="28"/>
        <v>0</v>
      </c>
      <c r="CJ55" s="305">
        <f t="shared" si="29"/>
        <v>0</v>
      </c>
      <c r="CK55" s="305">
        <f t="shared" si="30"/>
        <v>0</v>
      </c>
      <c r="CL55" s="305">
        <f t="shared" si="31"/>
        <v>0</v>
      </c>
      <c r="CM55" s="257">
        <f t="shared" si="32"/>
        <v>0</v>
      </c>
      <c r="CO55" s="304">
        <f t="shared" si="33"/>
        <v>0</v>
      </c>
      <c r="CP55" s="305">
        <f t="shared" si="34"/>
        <v>0</v>
      </c>
      <c r="CQ55" s="305">
        <f t="shared" si="35"/>
        <v>0</v>
      </c>
      <c r="CR55" s="305">
        <f t="shared" si="36"/>
        <v>0</v>
      </c>
      <c r="CS55" s="305">
        <f t="shared" si="37"/>
        <v>0</v>
      </c>
      <c r="CT55" s="305">
        <f t="shared" si="38"/>
        <v>0</v>
      </c>
      <c r="CU55" s="305">
        <f t="shared" si="39"/>
        <v>0</v>
      </c>
      <c r="CV55" s="305">
        <f t="shared" si="40"/>
        <v>0</v>
      </c>
      <c r="CW55" s="305">
        <f t="shared" si="41"/>
        <v>0</v>
      </c>
      <c r="CX55" s="305">
        <f t="shared" si="42"/>
        <v>0</v>
      </c>
      <c r="CY55" s="305">
        <f t="shared" si="43"/>
        <v>0</v>
      </c>
      <c r="CZ55" s="305">
        <f t="shared" si="44"/>
        <v>0</v>
      </c>
      <c r="DA55" s="305">
        <f t="shared" si="45"/>
        <v>0</v>
      </c>
      <c r="DB55" s="305">
        <f t="shared" si="46"/>
        <v>0</v>
      </c>
      <c r="DC55" s="305">
        <f t="shared" si="47"/>
        <v>0</v>
      </c>
      <c r="DD55" s="305">
        <f t="shared" si="48"/>
        <v>0</v>
      </c>
      <c r="DE55" s="305">
        <f t="shared" si="49"/>
        <v>0</v>
      </c>
      <c r="DF55" s="305">
        <f t="shared" si="50"/>
        <v>0</v>
      </c>
      <c r="DG55" s="305">
        <f t="shared" si="51"/>
        <v>0</v>
      </c>
      <c r="DH55" s="305">
        <f t="shared" si="52"/>
        <v>0</v>
      </c>
      <c r="DI55" s="305">
        <f t="shared" si="53"/>
        <v>0</v>
      </c>
      <c r="DJ55" s="257">
        <f t="shared" si="54"/>
        <v>0</v>
      </c>
    </row>
    <row r="56" spans="2:114">
      <c r="B56" s="238"/>
      <c r="C56" s="238"/>
      <c r="D56" s="297"/>
      <c r="E56" s="298"/>
      <c r="F56" s="298"/>
      <c r="G56" s="298"/>
      <c r="H56" s="298"/>
      <c r="I56" s="298"/>
      <c r="J56" s="298"/>
      <c r="K56" s="298"/>
      <c r="L56" s="298"/>
      <c r="M56" s="298"/>
      <c r="N56" s="298"/>
      <c r="O56" s="298"/>
      <c r="P56" s="298"/>
      <c r="Q56" s="374"/>
      <c r="R56" s="298"/>
      <c r="S56" s="298"/>
      <c r="T56" s="298"/>
      <c r="U56" s="298"/>
      <c r="V56" s="298"/>
      <c r="W56" s="298"/>
      <c r="X56" s="299"/>
      <c r="Z56" s="320"/>
      <c r="AA56" s="250"/>
      <c r="AB56" s="250"/>
      <c r="AC56" s="250"/>
      <c r="AD56" s="250"/>
      <c r="AE56" s="250"/>
      <c r="AF56" s="250"/>
      <c r="AG56" s="250"/>
      <c r="AH56" s="250"/>
      <c r="AI56" s="250"/>
      <c r="AJ56" s="250"/>
      <c r="AK56" s="250"/>
      <c r="AL56" s="250"/>
      <c r="AM56" s="374"/>
      <c r="AN56" s="298"/>
      <c r="AO56" s="298"/>
      <c r="AP56" s="298"/>
      <c r="AQ56" s="298"/>
      <c r="AR56" s="298"/>
      <c r="AS56" s="298"/>
      <c r="AT56" s="299"/>
      <c r="AV56" s="252"/>
      <c r="AW56" s="309"/>
      <c r="AX56" s="309"/>
      <c r="AY56" s="309"/>
      <c r="AZ56" s="309"/>
      <c r="BA56" s="309"/>
      <c r="BB56" s="309"/>
      <c r="BC56" s="309"/>
      <c r="BD56" s="309"/>
      <c r="BE56" s="309"/>
      <c r="BF56" s="309"/>
      <c r="BG56" s="309"/>
      <c r="BH56" s="309"/>
      <c r="BI56" s="375"/>
      <c r="BJ56" s="309"/>
      <c r="BK56" s="309"/>
      <c r="BL56" s="309"/>
      <c r="BM56" s="309"/>
      <c r="BN56" s="309"/>
      <c r="BO56" s="309"/>
      <c r="BP56" s="310"/>
      <c r="BR56" s="304">
        <f t="shared" si="11"/>
        <v>0</v>
      </c>
      <c r="BS56" s="305">
        <f t="shared" si="12"/>
        <v>0</v>
      </c>
      <c r="BT56" s="305">
        <f t="shared" si="13"/>
        <v>0</v>
      </c>
      <c r="BU56" s="305">
        <f t="shared" si="14"/>
        <v>0</v>
      </c>
      <c r="BV56" s="305">
        <f t="shared" si="15"/>
        <v>0</v>
      </c>
      <c r="BW56" s="305">
        <f t="shared" si="16"/>
        <v>0</v>
      </c>
      <c r="BX56" s="305">
        <f t="shared" si="17"/>
        <v>0</v>
      </c>
      <c r="BY56" s="305">
        <f t="shared" si="18"/>
        <v>0</v>
      </c>
      <c r="BZ56" s="305">
        <f t="shared" si="19"/>
        <v>0</v>
      </c>
      <c r="CA56" s="305">
        <f t="shared" si="20"/>
        <v>0</v>
      </c>
      <c r="CB56" s="305">
        <f t="shared" si="21"/>
        <v>0</v>
      </c>
      <c r="CC56" s="305">
        <f t="shared" si="22"/>
        <v>0</v>
      </c>
      <c r="CD56" s="305">
        <f t="shared" si="23"/>
        <v>0</v>
      </c>
      <c r="CE56" s="305">
        <f t="shared" si="24"/>
        <v>0</v>
      </c>
      <c r="CF56" s="305">
        <f t="shared" si="25"/>
        <v>0</v>
      </c>
      <c r="CG56" s="305">
        <f t="shared" si="26"/>
        <v>0</v>
      </c>
      <c r="CH56" s="305">
        <f t="shared" si="27"/>
        <v>0</v>
      </c>
      <c r="CI56" s="305">
        <f t="shared" si="28"/>
        <v>0</v>
      </c>
      <c r="CJ56" s="305">
        <f t="shared" si="29"/>
        <v>0</v>
      </c>
      <c r="CK56" s="305">
        <f t="shared" si="30"/>
        <v>0</v>
      </c>
      <c r="CL56" s="305">
        <f t="shared" si="31"/>
        <v>0</v>
      </c>
      <c r="CM56" s="257">
        <f t="shared" si="32"/>
        <v>0</v>
      </c>
      <c r="CO56" s="304">
        <f t="shared" si="33"/>
        <v>0</v>
      </c>
      <c r="CP56" s="305">
        <f t="shared" si="34"/>
        <v>0</v>
      </c>
      <c r="CQ56" s="305">
        <f t="shared" si="35"/>
        <v>0</v>
      </c>
      <c r="CR56" s="305">
        <f t="shared" si="36"/>
        <v>0</v>
      </c>
      <c r="CS56" s="305">
        <f t="shared" si="37"/>
        <v>0</v>
      </c>
      <c r="CT56" s="305">
        <f t="shared" si="38"/>
        <v>0</v>
      </c>
      <c r="CU56" s="305">
        <f t="shared" si="39"/>
        <v>0</v>
      </c>
      <c r="CV56" s="305">
        <f t="shared" si="40"/>
        <v>0</v>
      </c>
      <c r="CW56" s="305">
        <f t="shared" si="41"/>
        <v>0</v>
      </c>
      <c r="CX56" s="305">
        <f t="shared" si="42"/>
        <v>0</v>
      </c>
      <c r="CY56" s="305">
        <f t="shared" si="43"/>
        <v>0</v>
      </c>
      <c r="CZ56" s="305">
        <f t="shared" si="44"/>
        <v>0</v>
      </c>
      <c r="DA56" s="305">
        <f t="shared" si="45"/>
        <v>0</v>
      </c>
      <c r="DB56" s="305">
        <f t="shared" si="46"/>
        <v>0</v>
      </c>
      <c r="DC56" s="305">
        <f t="shared" si="47"/>
        <v>0</v>
      </c>
      <c r="DD56" s="305">
        <f t="shared" si="48"/>
        <v>0</v>
      </c>
      <c r="DE56" s="305">
        <f t="shared" si="49"/>
        <v>0</v>
      </c>
      <c r="DF56" s="305">
        <f t="shared" si="50"/>
        <v>0</v>
      </c>
      <c r="DG56" s="305">
        <f t="shared" si="51"/>
        <v>0</v>
      </c>
      <c r="DH56" s="305">
        <f t="shared" si="52"/>
        <v>0</v>
      </c>
      <c r="DI56" s="305">
        <f t="shared" si="53"/>
        <v>0</v>
      </c>
      <c r="DJ56" s="257">
        <f t="shared" si="54"/>
        <v>0</v>
      </c>
    </row>
    <row r="57" spans="2:114">
      <c r="B57" s="238"/>
      <c r="C57" s="238"/>
      <c r="D57" s="297"/>
      <c r="E57" s="298"/>
      <c r="F57" s="298"/>
      <c r="G57" s="298"/>
      <c r="H57" s="298"/>
      <c r="I57" s="298"/>
      <c r="J57" s="298"/>
      <c r="K57" s="298"/>
      <c r="L57" s="298"/>
      <c r="M57" s="298"/>
      <c r="N57" s="298"/>
      <c r="O57" s="298"/>
      <c r="P57" s="298"/>
      <c r="Q57" s="374"/>
      <c r="R57" s="298"/>
      <c r="S57" s="298"/>
      <c r="T57" s="298"/>
      <c r="U57" s="298"/>
      <c r="V57" s="298"/>
      <c r="W57" s="298"/>
      <c r="X57" s="299"/>
      <c r="Z57" s="320"/>
      <c r="AA57" s="250"/>
      <c r="AB57" s="250"/>
      <c r="AC57" s="250"/>
      <c r="AD57" s="250"/>
      <c r="AE57" s="250"/>
      <c r="AF57" s="250"/>
      <c r="AG57" s="250"/>
      <c r="AH57" s="250"/>
      <c r="AI57" s="250"/>
      <c r="AJ57" s="250"/>
      <c r="AK57" s="250"/>
      <c r="AL57" s="250"/>
      <c r="AM57" s="374"/>
      <c r="AN57" s="298"/>
      <c r="AO57" s="298"/>
      <c r="AP57" s="298"/>
      <c r="AQ57" s="298"/>
      <c r="AR57" s="298"/>
      <c r="AS57" s="298"/>
      <c r="AT57" s="299"/>
      <c r="AV57" s="252"/>
      <c r="AW57" s="309"/>
      <c r="AX57" s="309"/>
      <c r="AY57" s="309"/>
      <c r="AZ57" s="309"/>
      <c r="BA57" s="309"/>
      <c r="BB57" s="309"/>
      <c r="BC57" s="309"/>
      <c r="BD57" s="309"/>
      <c r="BE57" s="309"/>
      <c r="BF57" s="309"/>
      <c r="BG57" s="309"/>
      <c r="BH57" s="309"/>
      <c r="BI57" s="375"/>
      <c r="BJ57" s="309"/>
      <c r="BK57" s="309"/>
      <c r="BL57" s="309"/>
      <c r="BM57" s="309"/>
      <c r="BN57" s="309"/>
      <c r="BO57" s="309"/>
      <c r="BP57" s="310"/>
      <c r="BR57" s="304">
        <f t="shared" si="11"/>
        <v>0</v>
      </c>
      <c r="BS57" s="305">
        <f t="shared" si="12"/>
        <v>0</v>
      </c>
      <c r="BT57" s="305">
        <f t="shared" si="13"/>
        <v>0</v>
      </c>
      <c r="BU57" s="305">
        <f t="shared" si="14"/>
        <v>0</v>
      </c>
      <c r="BV57" s="305">
        <f t="shared" si="15"/>
        <v>0</v>
      </c>
      <c r="BW57" s="305">
        <f t="shared" si="16"/>
        <v>0</v>
      </c>
      <c r="BX57" s="305">
        <f t="shared" si="17"/>
        <v>0</v>
      </c>
      <c r="BY57" s="305">
        <f t="shared" si="18"/>
        <v>0</v>
      </c>
      <c r="BZ57" s="305">
        <f t="shared" si="19"/>
        <v>0</v>
      </c>
      <c r="CA57" s="305">
        <f t="shared" si="20"/>
        <v>0</v>
      </c>
      <c r="CB57" s="305">
        <f t="shared" si="21"/>
        <v>0</v>
      </c>
      <c r="CC57" s="305">
        <f t="shared" si="22"/>
        <v>0</v>
      </c>
      <c r="CD57" s="305">
        <f t="shared" si="23"/>
        <v>0</v>
      </c>
      <c r="CE57" s="305">
        <f t="shared" si="24"/>
        <v>0</v>
      </c>
      <c r="CF57" s="305">
        <f t="shared" si="25"/>
        <v>0</v>
      </c>
      <c r="CG57" s="305">
        <f t="shared" si="26"/>
        <v>0</v>
      </c>
      <c r="CH57" s="305">
        <f t="shared" si="27"/>
        <v>0</v>
      </c>
      <c r="CI57" s="305">
        <f t="shared" si="28"/>
        <v>0</v>
      </c>
      <c r="CJ57" s="305">
        <f t="shared" si="29"/>
        <v>0</v>
      </c>
      <c r="CK57" s="305">
        <f t="shared" si="30"/>
        <v>0</v>
      </c>
      <c r="CL57" s="305">
        <f t="shared" si="31"/>
        <v>0</v>
      </c>
      <c r="CM57" s="257">
        <f t="shared" si="32"/>
        <v>0</v>
      </c>
      <c r="CO57" s="304">
        <f t="shared" si="33"/>
        <v>0</v>
      </c>
      <c r="CP57" s="305">
        <f t="shared" si="34"/>
        <v>0</v>
      </c>
      <c r="CQ57" s="305">
        <f t="shared" si="35"/>
        <v>0</v>
      </c>
      <c r="CR57" s="305">
        <f t="shared" si="36"/>
        <v>0</v>
      </c>
      <c r="CS57" s="305">
        <f t="shared" si="37"/>
        <v>0</v>
      </c>
      <c r="CT57" s="305">
        <f t="shared" si="38"/>
        <v>0</v>
      </c>
      <c r="CU57" s="305">
        <f t="shared" si="39"/>
        <v>0</v>
      </c>
      <c r="CV57" s="305">
        <f t="shared" si="40"/>
        <v>0</v>
      </c>
      <c r="CW57" s="305">
        <f t="shared" si="41"/>
        <v>0</v>
      </c>
      <c r="CX57" s="305">
        <f t="shared" si="42"/>
        <v>0</v>
      </c>
      <c r="CY57" s="305">
        <f t="shared" si="43"/>
        <v>0</v>
      </c>
      <c r="CZ57" s="305">
        <f t="shared" si="44"/>
        <v>0</v>
      </c>
      <c r="DA57" s="305">
        <f t="shared" si="45"/>
        <v>0</v>
      </c>
      <c r="DB57" s="305">
        <f t="shared" si="46"/>
        <v>0</v>
      </c>
      <c r="DC57" s="305">
        <f t="shared" si="47"/>
        <v>0</v>
      </c>
      <c r="DD57" s="305">
        <f t="shared" si="48"/>
        <v>0</v>
      </c>
      <c r="DE57" s="305">
        <f t="shared" si="49"/>
        <v>0</v>
      </c>
      <c r="DF57" s="305">
        <f t="shared" si="50"/>
        <v>0</v>
      </c>
      <c r="DG57" s="305">
        <f t="shared" si="51"/>
        <v>0</v>
      </c>
      <c r="DH57" s="305">
        <f t="shared" si="52"/>
        <v>0</v>
      </c>
      <c r="DI57" s="305">
        <f t="shared" si="53"/>
        <v>0</v>
      </c>
      <c r="DJ57" s="257">
        <f t="shared" si="54"/>
        <v>0</v>
      </c>
    </row>
    <row r="58" spans="2:114">
      <c r="B58" s="238"/>
      <c r="C58" s="238"/>
      <c r="D58" s="297"/>
      <c r="E58" s="298"/>
      <c r="F58" s="298"/>
      <c r="G58" s="298"/>
      <c r="H58" s="298"/>
      <c r="I58" s="298"/>
      <c r="J58" s="298"/>
      <c r="K58" s="298"/>
      <c r="L58" s="298"/>
      <c r="M58" s="298"/>
      <c r="N58" s="298"/>
      <c r="O58" s="298"/>
      <c r="P58" s="298"/>
      <c r="Q58" s="374"/>
      <c r="R58" s="298"/>
      <c r="S58" s="298"/>
      <c r="T58" s="298"/>
      <c r="U58" s="298"/>
      <c r="V58" s="298"/>
      <c r="W58" s="298"/>
      <c r="X58" s="299"/>
      <c r="Z58" s="320"/>
      <c r="AA58" s="250"/>
      <c r="AB58" s="250"/>
      <c r="AC58" s="250"/>
      <c r="AD58" s="250"/>
      <c r="AE58" s="250"/>
      <c r="AF58" s="250"/>
      <c r="AG58" s="250"/>
      <c r="AH58" s="250"/>
      <c r="AI58" s="250"/>
      <c r="AJ58" s="250"/>
      <c r="AK58" s="250"/>
      <c r="AL58" s="250"/>
      <c r="AM58" s="374"/>
      <c r="AN58" s="298"/>
      <c r="AO58" s="298"/>
      <c r="AP58" s="298"/>
      <c r="AQ58" s="298"/>
      <c r="AR58" s="298"/>
      <c r="AS58" s="298"/>
      <c r="AT58" s="299"/>
      <c r="AV58" s="252"/>
      <c r="AW58" s="309"/>
      <c r="AX58" s="309"/>
      <c r="AY58" s="309"/>
      <c r="AZ58" s="309"/>
      <c r="BA58" s="309"/>
      <c r="BB58" s="309"/>
      <c r="BC58" s="309"/>
      <c r="BD58" s="309"/>
      <c r="BE58" s="309"/>
      <c r="BF58" s="309"/>
      <c r="BG58" s="309"/>
      <c r="BH58" s="309"/>
      <c r="BI58" s="375"/>
      <c r="BJ58" s="309"/>
      <c r="BK58" s="309"/>
      <c r="BL58" s="309"/>
      <c r="BM58" s="309"/>
      <c r="BN58" s="309"/>
      <c r="BO58" s="309"/>
      <c r="BP58" s="310"/>
      <c r="BR58" s="304">
        <f t="shared" si="11"/>
        <v>0</v>
      </c>
      <c r="BS58" s="305">
        <f t="shared" si="12"/>
        <v>0</v>
      </c>
      <c r="BT58" s="305">
        <f t="shared" si="13"/>
        <v>0</v>
      </c>
      <c r="BU58" s="305">
        <f t="shared" si="14"/>
        <v>0</v>
      </c>
      <c r="BV58" s="305">
        <f t="shared" si="15"/>
        <v>0</v>
      </c>
      <c r="BW58" s="305">
        <f t="shared" si="16"/>
        <v>0</v>
      </c>
      <c r="BX58" s="305">
        <f t="shared" si="17"/>
        <v>0</v>
      </c>
      <c r="BY58" s="305">
        <f t="shared" si="18"/>
        <v>0</v>
      </c>
      <c r="BZ58" s="305">
        <f t="shared" si="19"/>
        <v>0</v>
      </c>
      <c r="CA58" s="305">
        <f t="shared" si="20"/>
        <v>0</v>
      </c>
      <c r="CB58" s="305">
        <f t="shared" si="21"/>
        <v>0</v>
      </c>
      <c r="CC58" s="305">
        <f t="shared" si="22"/>
        <v>0</v>
      </c>
      <c r="CD58" s="305">
        <f t="shared" si="23"/>
        <v>0</v>
      </c>
      <c r="CE58" s="305">
        <f t="shared" si="24"/>
        <v>0</v>
      </c>
      <c r="CF58" s="305">
        <f t="shared" si="25"/>
        <v>0</v>
      </c>
      <c r="CG58" s="305">
        <f t="shared" si="26"/>
        <v>0</v>
      </c>
      <c r="CH58" s="305">
        <f t="shared" si="27"/>
        <v>0</v>
      </c>
      <c r="CI58" s="305">
        <f t="shared" si="28"/>
        <v>0</v>
      </c>
      <c r="CJ58" s="305">
        <f t="shared" si="29"/>
        <v>0</v>
      </c>
      <c r="CK58" s="305">
        <f t="shared" si="30"/>
        <v>0</v>
      </c>
      <c r="CL58" s="305">
        <f t="shared" si="31"/>
        <v>0</v>
      </c>
      <c r="CM58" s="257">
        <f t="shared" si="32"/>
        <v>0</v>
      </c>
      <c r="CO58" s="304">
        <f t="shared" si="33"/>
        <v>0</v>
      </c>
      <c r="CP58" s="305">
        <f t="shared" si="34"/>
        <v>0</v>
      </c>
      <c r="CQ58" s="305">
        <f t="shared" si="35"/>
        <v>0</v>
      </c>
      <c r="CR58" s="305">
        <f t="shared" si="36"/>
        <v>0</v>
      </c>
      <c r="CS58" s="305">
        <f t="shared" si="37"/>
        <v>0</v>
      </c>
      <c r="CT58" s="305">
        <f t="shared" si="38"/>
        <v>0</v>
      </c>
      <c r="CU58" s="305">
        <f t="shared" si="39"/>
        <v>0</v>
      </c>
      <c r="CV58" s="305">
        <f t="shared" si="40"/>
        <v>0</v>
      </c>
      <c r="CW58" s="305">
        <f t="shared" si="41"/>
        <v>0</v>
      </c>
      <c r="CX58" s="305">
        <f t="shared" si="42"/>
        <v>0</v>
      </c>
      <c r="CY58" s="305">
        <f t="shared" si="43"/>
        <v>0</v>
      </c>
      <c r="CZ58" s="305">
        <f t="shared" si="44"/>
        <v>0</v>
      </c>
      <c r="DA58" s="305">
        <f t="shared" si="45"/>
        <v>0</v>
      </c>
      <c r="DB58" s="305">
        <f t="shared" si="46"/>
        <v>0</v>
      </c>
      <c r="DC58" s="305">
        <f t="shared" si="47"/>
        <v>0</v>
      </c>
      <c r="DD58" s="305">
        <f t="shared" si="48"/>
        <v>0</v>
      </c>
      <c r="DE58" s="305">
        <f t="shared" si="49"/>
        <v>0</v>
      </c>
      <c r="DF58" s="305">
        <f t="shared" si="50"/>
        <v>0</v>
      </c>
      <c r="DG58" s="305">
        <f t="shared" si="51"/>
        <v>0</v>
      </c>
      <c r="DH58" s="305">
        <f t="shared" si="52"/>
        <v>0</v>
      </c>
      <c r="DI58" s="305">
        <f t="shared" si="53"/>
        <v>0</v>
      </c>
      <c r="DJ58" s="257">
        <f t="shared" si="54"/>
        <v>0</v>
      </c>
    </row>
    <row r="59" spans="2:114">
      <c r="B59" s="238"/>
      <c r="C59" s="376"/>
      <c r="D59" s="307"/>
      <c r="E59" s="290"/>
      <c r="F59" s="290"/>
      <c r="G59" s="290"/>
      <c r="H59" s="290"/>
      <c r="I59" s="290"/>
      <c r="J59" s="290"/>
      <c r="K59" s="290"/>
      <c r="L59" s="290"/>
      <c r="M59" s="290"/>
      <c r="N59" s="290"/>
      <c r="O59" s="290"/>
      <c r="P59" s="290"/>
      <c r="Q59" s="289"/>
      <c r="R59" s="290"/>
      <c r="S59" s="290"/>
      <c r="T59" s="290"/>
      <c r="U59" s="290"/>
      <c r="V59" s="290"/>
      <c r="W59" s="290"/>
      <c r="X59" s="291"/>
      <c r="Z59" s="258"/>
      <c r="AA59" s="259"/>
      <c r="AB59" s="259"/>
      <c r="AC59" s="259"/>
      <c r="AD59" s="259"/>
      <c r="AE59" s="259"/>
      <c r="AF59" s="259"/>
      <c r="AG59" s="259"/>
      <c r="AH59" s="259"/>
      <c r="AI59" s="260"/>
      <c r="AJ59" s="260"/>
      <c r="AK59" s="260"/>
      <c r="AL59" s="260"/>
      <c r="AM59" s="377"/>
      <c r="AN59" s="260"/>
      <c r="AO59" s="260"/>
      <c r="AP59" s="260"/>
      <c r="AQ59" s="260"/>
      <c r="AR59" s="260"/>
      <c r="AS59" s="260"/>
      <c r="AT59" s="261"/>
      <c r="AV59" s="308"/>
      <c r="AW59" s="309"/>
      <c r="AX59" s="309"/>
      <c r="AY59" s="309"/>
      <c r="AZ59" s="309"/>
      <c r="BA59" s="309"/>
      <c r="BB59" s="309"/>
      <c r="BC59" s="309"/>
      <c r="BD59" s="309"/>
      <c r="BE59" s="309"/>
      <c r="BF59" s="309"/>
      <c r="BG59" s="309"/>
      <c r="BH59" s="309"/>
      <c r="BI59" s="375"/>
      <c r="BJ59" s="309"/>
      <c r="BK59" s="309"/>
      <c r="BL59" s="309"/>
      <c r="BM59" s="309"/>
      <c r="BN59" s="309"/>
      <c r="BO59" s="309"/>
      <c r="BP59" s="310"/>
      <c r="BR59" s="304">
        <f t="shared" si="11"/>
        <v>0</v>
      </c>
      <c r="BS59" s="305">
        <f t="shared" si="12"/>
        <v>0</v>
      </c>
      <c r="BT59" s="305">
        <f t="shared" si="13"/>
        <v>0</v>
      </c>
      <c r="BU59" s="305">
        <f t="shared" si="14"/>
        <v>0</v>
      </c>
      <c r="BV59" s="305">
        <f t="shared" si="15"/>
        <v>0</v>
      </c>
      <c r="BW59" s="305">
        <f t="shared" si="16"/>
        <v>0</v>
      </c>
      <c r="BX59" s="305">
        <f t="shared" si="17"/>
        <v>0</v>
      </c>
      <c r="BY59" s="305">
        <f t="shared" si="18"/>
        <v>0</v>
      </c>
      <c r="BZ59" s="305">
        <f t="shared" si="19"/>
        <v>0</v>
      </c>
      <c r="CA59" s="305">
        <f t="shared" si="20"/>
        <v>0</v>
      </c>
      <c r="CB59" s="305">
        <f t="shared" si="21"/>
        <v>0</v>
      </c>
      <c r="CC59" s="305">
        <f t="shared" si="22"/>
        <v>0</v>
      </c>
      <c r="CD59" s="305">
        <f t="shared" si="23"/>
        <v>0</v>
      </c>
      <c r="CE59" s="305">
        <f t="shared" si="24"/>
        <v>0</v>
      </c>
      <c r="CF59" s="305">
        <f t="shared" si="25"/>
        <v>0</v>
      </c>
      <c r="CG59" s="305">
        <f t="shared" si="26"/>
        <v>0</v>
      </c>
      <c r="CH59" s="305">
        <f t="shared" si="27"/>
        <v>0</v>
      </c>
      <c r="CI59" s="305">
        <f t="shared" si="28"/>
        <v>0</v>
      </c>
      <c r="CJ59" s="305">
        <f t="shared" si="29"/>
        <v>0</v>
      </c>
      <c r="CK59" s="305">
        <f t="shared" si="30"/>
        <v>0</v>
      </c>
      <c r="CL59" s="305">
        <f t="shared" si="31"/>
        <v>0</v>
      </c>
      <c r="CM59" s="257">
        <f t="shared" si="32"/>
        <v>0</v>
      </c>
      <c r="CO59" s="304">
        <f t="shared" si="33"/>
        <v>0</v>
      </c>
      <c r="CP59" s="305">
        <f t="shared" si="34"/>
        <v>0</v>
      </c>
      <c r="CQ59" s="305">
        <f t="shared" si="35"/>
        <v>0</v>
      </c>
      <c r="CR59" s="305">
        <f t="shared" si="36"/>
        <v>0</v>
      </c>
      <c r="CS59" s="305">
        <f t="shared" si="37"/>
        <v>0</v>
      </c>
      <c r="CT59" s="305">
        <f t="shared" si="38"/>
        <v>0</v>
      </c>
      <c r="CU59" s="305">
        <f t="shared" si="39"/>
        <v>0</v>
      </c>
      <c r="CV59" s="305">
        <f t="shared" si="40"/>
        <v>0</v>
      </c>
      <c r="CW59" s="305">
        <f t="shared" si="41"/>
        <v>0</v>
      </c>
      <c r="CX59" s="305">
        <f t="shared" si="42"/>
        <v>0</v>
      </c>
      <c r="CY59" s="305">
        <f t="shared" si="43"/>
        <v>0</v>
      </c>
      <c r="CZ59" s="305">
        <f t="shared" si="44"/>
        <v>0</v>
      </c>
      <c r="DA59" s="305">
        <f t="shared" si="45"/>
        <v>0</v>
      </c>
      <c r="DB59" s="305">
        <f t="shared" si="46"/>
        <v>0</v>
      </c>
      <c r="DC59" s="305">
        <f t="shared" si="47"/>
        <v>0</v>
      </c>
      <c r="DD59" s="305">
        <f t="shared" si="48"/>
        <v>0</v>
      </c>
      <c r="DE59" s="305">
        <f t="shared" si="49"/>
        <v>0</v>
      </c>
      <c r="DF59" s="305">
        <f t="shared" si="50"/>
        <v>0</v>
      </c>
      <c r="DG59" s="305">
        <f t="shared" si="51"/>
        <v>0</v>
      </c>
      <c r="DH59" s="305">
        <f t="shared" si="52"/>
        <v>0</v>
      </c>
      <c r="DI59" s="305">
        <f t="shared" si="53"/>
        <v>0</v>
      </c>
      <c r="DJ59" s="257">
        <f t="shared" si="54"/>
        <v>0</v>
      </c>
    </row>
    <row r="60" spans="2:114">
      <c r="B60" s="238"/>
      <c r="C60" s="376"/>
      <c r="D60" s="307"/>
      <c r="E60" s="290"/>
      <c r="F60" s="290"/>
      <c r="G60" s="290"/>
      <c r="H60" s="290"/>
      <c r="I60" s="290"/>
      <c r="J60" s="290"/>
      <c r="K60" s="290"/>
      <c r="L60" s="290"/>
      <c r="M60" s="290"/>
      <c r="N60" s="290"/>
      <c r="O60" s="290"/>
      <c r="P60" s="290"/>
      <c r="Q60" s="289"/>
      <c r="R60" s="290"/>
      <c r="S60" s="290"/>
      <c r="T60" s="290"/>
      <c r="U60" s="290"/>
      <c r="V60" s="290"/>
      <c r="W60" s="290"/>
      <c r="X60" s="291"/>
      <c r="Z60" s="258"/>
      <c r="AA60" s="259"/>
      <c r="AB60" s="259"/>
      <c r="AC60" s="259"/>
      <c r="AD60" s="259"/>
      <c r="AE60" s="259"/>
      <c r="AF60" s="259"/>
      <c r="AG60" s="259"/>
      <c r="AH60" s="259"/>
      <c r="AI60" s="260"/>
      <c r="AJ60" s="260"/>
      <c r="AK60" s="260"/>
      <c r="AL60" s="260"/>
      <c r="AM60" s="377"/>
      <c r="AN60" s="260"/>
      <c r="AO60" s="260"/>
      <c r="AP60" s="260"/>
      <c r="AQ60" s="260"/>
      <c r="AR60" s="260"/>
      <c r="AS60" s="260"/>
      <c r="AT60" s="261"/>
      <c r="AV60" s="308"/>
      <c r="AW60" s="309"/>
      <c r="AX60" s="309"/>
      <c r="AY60" s="309"/>
      <c r="AZ60" s="309"/>
      <c r="BA60" s="309"/>
      <c r="BB60" s="309"/>
      <c r="BC60" s="309"/>
      <c r="BD60" s="309"/>
      <c r="BE60" s="309"/>
      <c r="BF60" s="309"/>
      <c r="BG60" s="309"/>
      <c r="BH60" s="309"/>
      <c r="BI60" s="375"/>
      <c r="BJ60" s="309"/>
      <c r="BK60" s="309"/>
      <c r="BL60" s="309"/>
      <c r="BM60" s="309"/>
      <c r="BN60" s="309"/>
      <c r="BO60" s="309"/>
      <c r="BP60" s="310"/>
      <c r="BR60" s="304">
        <f t="shared" si="11"/>
        <v>0</v>
      </c>
      <c r="BS60" s="305">
        <f t="shared" si="12"/>
        <v>0</v>
      </c>
      <c r="BT60" s="305">
        <f t="shared" si="13"/>
        <v>0</v>
      </c>
      <c r="BU60" s="305">
        <f t="shared" si="14"/>
        <v>0</v>
      </c>
      <c r="BV60" s="305">
        <f t="shared" si="15"/>
        <v>0</v>
      </c>
      <c r="BW60" s="305">
        <f t="shared" si="16"/>
        <v>0</v>
      </c>
      <c r="BX60" s="305">
        <f t="shared" si="17"/>
        <v>0</v>
      </c>
      <c r="BY60" s="305">
        <f t="shared" si="18"/>
        <v>0</v>
      </c>
      <c r="BZ60" s="305">
        <f t="shared" si="19"/>
        <v>0</v>
      </c>
      <c r="CA60" s="305">
        <f t="shared" si="20"/>
        <v>0</v>
      </c>
      <c r="CB60" s="305">
        <f t="shared" si="21"/>
        <v>0</v>
      </c>
      <c r="CC60" s="305">
        <f t="shared" si="22"/>
        <v>0</v>
      </c>
      <c r="CD60" s="305">
        <f t="shared" si="23"/>
        <v>0</v>
      </c>
      <c r="CE60" s="305">
        <f t="shared" si="24"/>
        <v>0</v>
      </c>
      <c r="CF60" s="305">
        <f t="shared" si="25"/>
        <v>0</v>
      </c>
      <c r="CG60" s="305">
        <f t="shared" si="26"/>
        <v>0</v>
      </c>
      <c r="CH60" s="305">
        <f t="shared" si="27"/>
        <v>0</v>
      </c>
      <c r="CI60" s="305">
        <f t="shared" si="28"/>
        <v>0</v>
      </c>
      <c r="CJ60" s="305">
        <f t="shared" si="29"/>
        <v>0</v>
      </c>
      <c r="CK60" s="305">
        <f t="shared" si="30"/>
        <v>0</v>
      </c>
      <c r="CL60" s="305">
        <f t="shared" si="31"/>
        <v>0</v>
      </c>
      <c r="CM60" s="257">
        <f t="shared" si="32"/>
        <v>0</v>
      </c>
      <c r="CO60" s="304">
        <f t="shared" si="33"/>
        <v>0</v>
      </c>
      <c r="CP60" s="305">
        <f t="shared" si="34"/>
        <v>0</v>
      </c>
      <c r="CQ60" s="305">
        <f t="shared" si="35"/>
        <v>0</v>
      </c>
      <c r="CR60" s="305">
        <f t="shared" si="36"/>
        <v>0</v>
      </c>
      <c r="CS60" s="305">
        <f t="shared" si="37"/>
        <v>0</v>
      </c>
      <c r="CT60" s="305">
        <f t="shared" si="38"/>
        <v>0</v>
      </c>
      <c r="CU60" s="305">
        <f t="shared" si="39"/>
        <v>0</v>
      </c>
      <c r="CV60" s="305">
        <f t="shared" si="40"/>
        <v>0</v>
      </c>
      <c r="CW60" s="305">
        <f t="shared" si="41"/>
        <v>0</v>
      </c>
      <c r="CX60" s="305">
        <f t="shared" si="42"/>
        <v>0</v>
      </c>
      <c r="CY60" s="305">
        <f t="shared" si="43"/>
        <v>0</v>
      </c>
      <c r="CZ60" s="305">
        <f t="shared" si="44"/>
        <v>0</v>
      </c>
      <c r="DA60" s="305">
        <f t="shared" si="45"/>
        <v>0</v>
      </c>
      <c r="DB60" s="305">
        <f t="shared" si="46"/>
        <v>0</v>
      </c>
      <c r="DC60" s="305">
        <f t="shared" si="47"/>
        <v>0</v>
      </c>
      <c r="DD60" s="305">
        <f t="shared" si="48"/>
        <v>0</v>
      </c>
      <c r="DE60" s="305">
        <f t="shared" si="49"/>
        <v>0</v>
      </c>
      <c r="DF60" s="305">
        <f t="shared" si="50"/>
        <v>0</v>
      </c>
      <c r="DG60" s="305">
        <f t="shared" si="51"/>
        <v>0</v>
      </c>
      <c r="DH60" s="305">
        <f t="shared" si="52"/>
        <v>0</v>
      </c>
      <c r="DI60" s="305">
        <f t="shared" si="53"/>
        <v>0</v>
      </c>
      <c r="DJ60" s="257">
        <f t="shared" si="54"/>
        <v>0</v>
      </c>
    </row>
    <row r="61" spans="2:114">
      <c r="B61" s="238"/>
      <c r="C61" s="376"/>
      <c r="D61" s="307"/>
      <c r="E61" s="290"/>
      <c r="F61" s="290"/>
      <c r="G61" s="290"/>
      <c r="H61" s="290"/>
      <c r="I61" s="290"/>
      <c r="J61" s="290"/>
      <c r="K61" s="290"/>
      <c r="L61" s="290"/>
      <c r="M61" s="290"/>
      <c r="N61" s="290"/>
      <c r="O61" s="290"/>
      <c r="P61" s="290"/>
      <c r="Q61" s="289"/>
      <c r="R61" s="290"/>
      <c r="S61" s="290"/>
      <c r="T61" s="290"/>
      <c r="U61" s="290"/>
      <c r="V61" s="290"/>
      <c r="W61" s="290"/>
      <c r="X61" s="291"/>
      <c r="Z61" s="258"/>
      <c r="AA61" s="259"/>
      <c r="AB61" s="259"/>
      <c r="AC61" s="259"/>
      <c r="AD61" s="259"/>
      <c r="AE61" s="259"/>
      <c r="AF61" s="259"/>
      <c r="AG61" s="259"/>
      <c r="AH61" s="259"/>
      <c r="AI61" s="260"/>
      <c r="AJ61" s="260"/>
      <c r="AK61" s="260"/>
      <c r="AL61" s="260"/>
      <c r="AM61" s="377"/>
      <c r="AN61" s="260"/>
      <c r="AO61" s="260"/>
      <c r="AP61" s="260"/>
      <c r="AQ61" s="260"/>
      <c r="AR61" s="260"/>
      <c r="AS61" s="260"/>
      <c r="AT61" s="261"/>
      <c r="AV61" s="308"/>
      <c r="AW61" s="309"/>
      <c r="AX61" s="309"/>
      <c r="AY61" s="309"/>
      <c r="AZ61" s="309"/>
      <c r="BA61" s="309"/>
      <c r="BB61" s="309"/>
      <c r="BC61" s="309"/>
      <c r="BD61" s="309"/>
      <c r="BE61" s="309"/>
      <c r="BF61" s="309"/>
      <c r="BG61" s="309"/>
      <c r="BH61" s="309"/>
      <c r="BI61" s="375"/>
      <c r="BJ61" s="309"/>
      <c r="BK61" s="309"/>
      <c r="BL61" s="309"/>
      <c r="BM61" s="309"/>
      <c r="BN61" s="309"/>
      <c r="BO61" s="309"/>
      <c r="BP61" s="310"/>
      <c r="BR61" s="304">
        <f t="shared" si="11"/>
        <v>0</v>
      </c>
      <c r="BS61" s="305">
        <f t="shared" si="12"/>
        <v>0</v>
      </c>
      <c r="BT61" s="305">
        <f t="shared" si="13"/>
        <v>0</v>
      </c>
      <c r="BU61" s="305">
        <f t="shared" si="14"/>
        <v>0</v>
      </c>
      <c r="BV61" s="305">
        <f t="shared" si="15"/>
        <v>0</v>
      </c>
      <c r="BW61" s="305">
        <f t="shared" si="16"/>
        <v>0</v>
      </c>
      <c r="BX61" s="305">
        <f t="shared" si="17"/>
        <v>0</v>
      </c>
      <c r="BY61" s="305">
        <f t="shared" si="18"/>
        <v>0</v>
      </c>
      <c r="BZ61" s="305">
        <f t="shared" si="19"/>
        <v>0</v>
      </c>
      <c r="CA61" s="305">
        <f t="shared" si="20"/>
        <v>0</v>
      </c>
      <c r="CB61" s="305">
        <f t="shared" si="21"/>
        <v>0</v>
      </c>
      <c r="CC61" s="305">
        <f t="shared" si="22"/>
        <v>0</v>
      </c>
      <c r="CD61" s="305">
        <f t="shared" si="23"/>
        <v>0</v>
      </c>
      <c r="CE61" s="305">
        <f t="shared" si="24"/>
        <v>0</v>
      </c>
      <c r="CF61" s="305">
        <f t="shared" si="25"/>
        <v>0</v>
      </c>
      <c r="CG61" s="305">
        <f t="shared" si="26"/>
        <v>0</v>
      </c>
      <c r="CH61" s="305">
        <f t="shared" si="27"/>
        <v>0</v>
      </c>
      <c r="CI61" s="305">
        <f t="shared" si="28"/>
        <v>0</v>
      </c>
      <c r="CJ61" s="305">
        <f t="shared" si="29"/>
        <v>0</v>
      </c>
      <c r="CK61" s="305">
        <f t="shared" si="30"/>
        <v>0</v>
      </c>
      <c r="CL61" s="305">
        <f t="shared" si="31"/>
        <v>0</v>
      </c>
      <c r="CM61" s="257">
        <f t="shared" si="32"/>
        <v>0</v>
      </c>
      <c r="CO61" s="304">
        <f t="shared" si="33"/>
        <v>0</v>
      </c>
      <c r="CP61" s="305">
        <f t="shared" si="34"/>
        <v>0</v>
      </c>
      <c r="CQ61" s="305">
        <f t="shared" si="35"/>
        <v>0</v>
      </c>
      <c r="CR61" s="305">
        <f t="shared" si="36"/>
        <v>0</v>
      </c>
      <c r="CS61" s="305">
        <f t="shared" si="37"/>
        <v>0</v>
      </c>
      <c r="CT61" s="305">
        <f t="shared" si="38"/>
        <v>0</v>
      </c>
      <c r="CU61" s="305">
        <f t="shared" si="39"/>
        <v>0</v>
      </c>
      <c r="CV61" s="305">
        <f t="shared" si="40"/>
        <v>0</v>
      </c>
      <c r="CW61" s="305">
        <f t="shared" si="41"/>
        <v>0</v>
      </c>
      <c r="CX61" s="305">
        <f t="shared" si="42"/>
        <v>0</v>
      </c>
      <c r="CY61" s="305">
        <f t="shared" si="43"/>
        <v>0</v>
      </c>
      <c r="CZ61" s="305">
        <f t="shared" si="44"/>
        <v>0</v>
      </c>
      <c r="DA61" s="305">
        <f t="shared" si="45"/>
        <v>0</v>
      </c>
      <c r="DB61" s="305">
        <f t="shared" si="46"/>
        <v>0</v>
      </c>
      <c r="DC61" s="305">
        <f t="shared" si="47"/>
        <v>0</v>
      </c>
      <c r="DD61" s="305">
        <f t="shared" si="48"/>
        <v>0</v>
      </c>
      <c r="DE61" s="305">
        <f t="shared" si="49"/>
        <v>0</v>
      </c>
      <c r="DF61" s="305">
        <f t="shared" si="50"/>
        <v>0</v>
      </c>
      <c r="DG61" s="305">
        <f t="shared" si="51"/>
        <v>0</v>
      </c>
      <c r="DH61" s="305">
        <f t="shared" si="52"/>
        <v>0</v>
      </c>
      <c r="DI61" s="305">
        <f t="shared" si="53"/>
        <v>0</v>
      </c>
      <c r="DJ61" s="257">
        <f t="shared" si="54"/>
        <v>0</v>
      </c>
    </row>
    <row r="62" spans="2:114">
      <c r="B62" s="238"/>
      <c r="C62" s="376"/>
      <c r="D62" s="307"/>
      <c r="E62" s="290"/>
      <c r="F62" s="290"/>
      <c r="G62" s="290"/>
      <c r="H62" s="290"/>
      <c r="I62" s="290"/>
      <c r="J62" s="290"/>
      <c r="K62" s="290"/>
      <c r="L62" s="290"/>
      <c r="M62" s="290"/>
      <c r="N62" s="290"/>
      <c r="O62" s="290"/>
      <c r="P62" s="290"/>
      <c r="Q62" s="289"/>
      <c r="R62" s="290"/>
      <c r="S62" s="290"/>
      <c r="T62" s="290"/>
      <c r="U62" s="290"/>
      <c r="V62" s="290"/>
      <c r="W62" s="290"/>
      <c r="X62" s="291"/>
      <c r="Z62" s="258"/>
      <c r="AA62" s="259"/>
      <c r="AB62" s="259"/>
      <c r="AC62" s="259"/>
      <c r="AD62" s="259"/>
      <c r="AE62" s="259"/>
      <c r="AF62" s="259"/>
      <c r="AG62" s="259"/>
      <c r="AH62" s="259"/>
      <c r="AI62" s="260"/>
      <c r="AJ62" s="260"/>
      <c r="AK62" s="260"/>
      <c r="AL62" s="260"/>
      <c r="AM62" s="377"/>
      <c r="AN62" s="260"/>
      <c r="AO62" s="260"/>
      <c r="AP62" s="260"/>
      <c r="AQ62" s="260"/>
      <c r="AR62" s="260"/>
      <c r="AS62" s="260"/>
      <c r="AT62" s="261"/>
      <c r="AV62" s="308"/>
      <c r="AW62" s="309"/>
      <c r="AX62" s="309"/>
      <c r="AY62" s="309"/>
      <c r="AZ62" s="309"/>
      <c r="BA62" s="309"/>
      <c r="BB62" s="309"/>
      <c r="BC62" s="309"/>
      <c r="BD62" s="309"/>
      <c r="BE62" s="309"/>
      <c r="BF62" s="309"/>
      <c r="BG62" s="309"/>
      <c r="BH62" s="309"/>
      <c r="BI62" s="375"/>
      <c r="BJ62" s="309"/>
      <c r="BK62" s="309"/>
      <c r="BL62" s="309"/>
      <c r="BM62" s="309"/>
      <c r="BN62" s="309"/>
      <c r="BO62" s="309"/>
      <c r="BP62" s="310"/>
      <c r="BR62" s="304">
        <f t="shared" si="11"/>
        <v>0</v>
      </c>
      <c r="BS62" s="305">
        <f t="shared" si="12"/>
        <v>0</v>
      </c>
      <c r="BT62" s="305">
        <f t="shared" si="13"/>
        <v>0</v>
      </c>
      <c r="BU62" s="305">
        <f t="shared" si="14"/>
        <v>0</v>
      </c>
      <c r="BV62" s="305">
        <f t="shared" si="15"/>
        <v>0</v>
      </c>
      <c r="BW62" s="305">
        <f t="shared" si="16"/>
        <v>0</v>
      </c>
      <c r="BX62" s="305">
        <f t="shared" si="17"/>
        <v>0</v>
      </c>
      <c r="BY62" s="305">
        <f t="shared" si="18"/>
        <v>0</v>
      </c>
      <c r="BZ62" s="305">
        <f t="shared" si="19"/>
        <v>0</v>
      </c>
      <c r="CA62" s="305">
        <f t="shared" si="20"/>
        <v>0</v>
      </c>
      <c r="CB62" s="305">
        <f t="shared" si="21"/>
        <v>0</v>
      </c>
      <c r="CC62" s="305">
        <f t="shared" si="22"/>
        <v>0</v>
      </c>
      <c r="CD62" s="305">
        <f t="shared" si="23"/>
        <v>0</v>
      </c>
      <c r="CE62" s="305">
        <f t="shared" si="24"/>
        <v>0</v>
      </c>
      <c r="CF62" s="305">
        <f t="shared" si="25"/>
        <v>0</v>
      </c>
      <c r="CG62" s="305">
        <f t="shared" si="26"/>
        <v>0</v>
      </c>
      <c r="CH62" s="305">
        <f t="shared" si="27"/>
        <v>0</v>
      </c>
      <c r="CI62" s="305">
        <f t="shared" si="28"/>
        <v>0</v>
      </c>
      <c r="CJ62" s="305">
        <f t="shared" si="29"/>
        <v>0</v>
      </c>
      <c r="CK62" s="305">
        <f t="shared" si="30"/>
        <v>0</v>
      </c>
      <c r="CL62" s="305">
        <f t="shared" si="31"/>
        <v>0</v>
      </c>
      <c r="CM62" s="257">
        <f t="shared" si="32"/>
        <v>0</v>
      </c>
      <c r="CO62" s="304">
        <f t="shared" si="33"/>
        <v>0</v>
      </c>
      <c r="CP62" s="305">
        <f t="shared" si="34"/>
        <v>0</v>
      </c>
      <c r="CQ62" s="305">
        <f t="shared" si="35"/>
        <v>0</v>
      </c>
      <c r="CR62" s="305">
        <f t="shared" si="36"/>
        <v>0</v>
      </c>
      <c r="CS62" s="305">
        <f t="shared" si="37"/>
        <v>0</v>
      </c>
      <c r="CT62" s="305">
        <f t="shared" si="38"/>
        <v>0</v>
      </c>
      <c r="CU62" s="305">
        <f t="shared" si="39"/>
        <v>0</v>
      </c>
      <c r="CV62" s="305">
        <f t="shared" si="40"/>
        <v>0</v>
      </c>
      <c r="CW62" s="305">
        <f t="shared" si="41"/>
        <v>0</v>
      </c>
      <c r="CX62" s="305">
        <f t="shared" si="42"/>
        <v>0</v>
      </c>
      <c r="CY62" s="305">
        <f t="shared" si="43"/>
        <v>0</v>
      </c>
      <c r="CZ62" s="305">
        <f t="shared" si="44"/>
        <v>0</v>
      </c>
      <c r="DA62" s="305">
        <f t="shared" si="45"/>
        <v>0</v>
      </c>
      <c r="DB62" s="305">
        <f t="shared" si="46"/>
        <v>0</v>
      </c>
      <c r="DC62" s="305">
        <f t="shared" si="47"/>
        <v>0</v>
      </c>
      <c r="DD62" s="305">
        <f t="shared" si="48"/>
        <v>0</v>
      </c>
      <c r="DE62" s="305">
        <f t="shared" si="49"/>
        <v>0</v>
      </c>
      <c r="DF62" s="305">
        <f t="shared" si="50"/>
        <v>0</v>
      </c>
      <c r="DG62" s="305">
        <f t="shared" si="51"/>
        <v>0</v>
      </c>
      <c r="DH62" s="305">
        <f t="shared" si="52"/>
        <v>0</v>
      </c>
      <c r="DI62" s="305">
        <f t="shared" si="53"/>
        <v>0</v>
      </c>
      <c r="DJ62" s="257">
        <f t="shared" si="54"/>
        <v>0</v>
      </c>
    </row>
    <row r="63" spans="2:114">
      <c r="B63" s="238"/>
      <c r="C63" s="376"/>
      <c r="D63" s="307"/>
      <c r="E63" s="290"/>
      <c r="F63" s="290"/>
      <c r="G63" s="290"/>
      <c r="H63" s="290"/>
      <c r="I63" s="290"/>
      <c r="J63" s="290"/>
      <c r="K63" s="290"/>
      <c r="L63" s="290"/>
      <c r="M63" s="290"/>
      <c r="N63" s="290"/>
      <c r="O63" s="290"/>
      <c r="P63" s="290"/>
      <c r="Q63" s="289"/>
      <c r="R63" s="290"/>
      <c r="S63" s="290"/>
      <c r="T63" s="290"/>
      <c r="U63" s="290"/>
      <c r="V63" s="290"/>
      <c r="W63" s="290"/>
      <c r="X63" s="291"/>
      <c r="Z63" s="258"/>
      <c r="AA63" s="259"/>
      <c r="AB63" s="259"/>
      <c r="AC63" s="259"/>
      <c r="AD63" s="259"/>
      <c r="AE63" s="259"/>
      <c r="AF63" s="259"/>
      <c r="AG63" s="259"/>
      <c r="AH63" s="259"/>
      <c r="AI63" s="260"/>
      <c r="AJ63" s="260"/>
      <c r="AK63" s="260"/>
      <c r="AL63" s="260"/>
      <c r="AM63" s="377"/>
      <c r="AN63" s="260"/>
      <c r="AO63" s="260"/>
      <c r="AP63" s="260"/>
      <c r="AQ63" s="260"/>
      <c r="AR63" s="260"/>
      <c r="AS63" s="260"/>
      <c r="AT63" s="261"/>
      <c r="AV63" s="308"/>
      <c r="AW63" s="309"/>
      <c r="AX63" s="309"/>
      <c r="AY63" s="309"/>
      <c r="AZ63" s="309"/>
      <c r="BA63" s="309"/>
      <c r="BB63" s="309"/>
      <c r="BC63" s="309"/>
      <c r="BD63" s="309"/>
      <c r="BE63" s="309"/>
      <c r="BF63" s="309"/>
      <c r="BG63" s="309"/>
      <c r="BH63" s="309"/>
      <c r="BI63" s="375"/>
      <c r="BJ63" s="309"/>
      <c r="BK63" s="309"/>
      <c r="BL63" s="309"/>
      <c r="BM63" s="309"/>
      <c r="BN63" s="309"/>
      <c r="BO63" s="309"/>
      <c r="BP63" s="310"/>
      <c r="BR63" s="304">
        <f t="shared" si="11"/>
        <v>0</v>
      </c>
      <c r="BS63" s="305">
        <f t="shared" si="12"/>
        <v>0</v>
      </c>
      <c r="BT63" s="305">
        <f t="shared" si="13"/>
        <v>0</v>
      </c>
      <c r="BU63" s="305">
        <f t="shared" si="14"/>
        <v>0</v>
      </c>
      <c r="BV63" s="305">
        <f t="shared" si="15"/>
        <v>0</v>
      </c>
      <c r="BW63" s="305">
        <f t="shared" si="16"/>
        <v>0</v>
      </c>
      <c r="BX63" s="305">
        <f t="shared" si="17"/>
        <v>0</v>
      </c>
      <c r="BY63" s="305">
        <f t="shared" si="18"/>
        <v>0</v>
      </c>
      <c r="BZ63" s="305">
        <f t="shared" si="19"/>
        <v>0</v>
      </c>
      <c r="CA63" s="305">
        <f t="shared" si="20"/>
        <v>0</v>
      </c>
      <c r="CB63" s="305">
        <f t="shared" si="21"/>
        <v>0</v>
      </c>
      <c r="CC63" s="305">
        <f t="shared" si="22"/>
        <v>0</v>
      </c>
      <c r="CD63" s="305">
        <f t="shared" si="23"/>
        <v>0</v>
      </c>
      <c r="CE63" s="305">
        <f t="shared" si="24"/>
        <v>0</v>
      </c>
      <c r="CF63" s="305">
        <f t="shared" si="25"/>
        <v>0</v>
      </c>
      <c r="CG63" s="305">
        <f t="shared" si="26"/>
        <v>0</v>
      </c>
      <c r="CH63" s="305">
        <f t="shared" si="27"/>
        <v>0</v>
      </c>
      <c r="CI63" s="305">
        <f t="shared" si="28"/>
        <v>0</v>
      </c>
      <c r="CJ63" s="305">
        <f t="shared" si="29"/>
        <v>0</v>
      </c>
      <c r="CK63" s="305">
        <f t="shared" si="30"/>
        <v>0</v>
      </c>
      <c r="CL63" s="305">
        <f t="shared" si="31"/>
        <v>0</v>
      </c>
      <c r="CM63" s="257">
        <f t="shared" si="32"/>
        <v>0</v>
      </c>
      <c r="CO63" s="304">
        <f t="shared" si="33"/>
        <v>0</v>
      </c>
      <c r="CP63" s="305">
        <f t="shared" si="34"/>
        <v>0</v>
      </c>
      <c r="CQ63" s="305">
        <f t="shared" si="35"/>
        <v>0</v>
      </c>
      <c r="CR63" s="305">
        <f t="shared" si="36"/>
        <v>0</v>
      </c>
      <c r="CS63" s="305">
        <f t="shared" si="37"/>
        <v>0</v>
      </c>
      <c r="CT63" s="305">
        <f t="shared" si="38"/>
        <v>0</v>
      </c>
      <c r="CU63" s="305">
        <f t="shared" si="39"/>
        <v>0</v>
      </c>
      <c r="CV63" s="305">
        <f t="shared" si="40"/>
        <v>0</v>
      </c>
      <c r="CW63" s="305">
        <f t="shared" si="41"/>
        <v>0</v>
      </c>
      <c r="CX63" s="305">
        <f t="shared" si="42"/>
        <v>0</v>
      </c>
      <c r="CY63" s="305">
        <f t="shared" si="43"/>
        <v>0</v>
      </c>
      <c r="CZ63" s="305">
        <f t="shared" si="44"/>
        <v>0</v>
      </c>
      <c r="DA63" s="305">
        <f t="shared" si="45"/>
        <v>0</v>
      </c>
      <c r="DB63" s="305">
        <f t="shared" si="46"/>
        <v>0</v>
      </c>
      <c r="DC63" s="305">
        <f t="shared" si="47"/>
        <v>0</v>
      </c>
      <c r="DD63" s="305">
        <f t="shared" si="48"/>
        <v>0</v>
      </c>
      <c r="DE63" s="305">
        <f t="shared" si="49"/>
        <v>0</v>
      </c>
      <c r="DF63" s="305">
        <f t="shared" si="50"/>
        <v>0</v>
      </c>
      <c r="DG63" s="305">
        <f t="shared" si="51"/>
        <v>0</v>
      </c>
      <c r="DH63" s="305">
        <f t="shared" si="52"/>
        <v>0</v>
      </c>
      <c r="DI63" s="305">
        <f t="shared" si="53"/>
        <v>0</v>
      </c>
      <c r="DJ63" s="257">
        <f t="shared" si="54"/>
        <v>0</v>
      </c>
    </row>
    <row r="64" spans="2:114">
      <c r="B64" s="238"/>
      <c r="C64" s="376"/>
      <c r="D64" s="307"/>
      <c r="E64" s="290"/>
      <c r="F64" s="290"/>
      <c r="G64" s="290"/>
      <c r="H64" s="290"/>
      <c r="I64" s="290"/>
      <c r="J64" s="290"/>
      <c r="K64" s="290"/>
      <c r="L64" s="290"/>
      <c r="M64" s="290"/>
      <c r="N64" s="290"/>
      <c r="O64" s="290"/>
      <c r="P64" s="290"/>
      <c r="Q64" s="289"/>
      <c r="R64" s="290"/>
      <c r="S64" s="290"/>
      <c r="T64" s="290"/>
      <c r="U64" s="290"/>
      <c r="V64" s="290"/>
      <c r="W64" s="290"/>
      <c r="X64" s="291"/>
      <c r="Z64" s="258"/>
      <c r="AA64" s="259"/>
      <c r="AB64" s="259"/>
      <c r="AC64" s="259"/>
      <c r="AD64" s="259"/>
      <c r="AE64" s="259"/>
      <c r="AF64" s="259"/>
      <c r="AG64" s="259"/>
      <c r="AH64" s="259"/>
      <c r="AI64" s="260"/>
      <c r="AJ64" s="260"/>
      <c r="AK64" s="260"/>
      <c r="AL64" s="260"/>
      <c r="AM64" s="377"/>
      <c r="AN64" s="260"/>
      <c r="AO64" s="260"/>
      <c r="AP64" s="260"/>
      <c r="AQ64" s="260"/>
      <c r="AR64" s="260"/>
      <c r="AS64" s="260"/>
      <c r="AT64" s="261"/>
      <c r="AV64" s="308"/>
      <c r="AW64" s="309"/>
      <c r="AX64" s="309"/>
      <c r="AY64" s="309"/>
      <c r="AZ64" s="309"/>
      <c r="BA64" s="309"/>
      <c r="BB64" s="309"/>
      <c r="BC64" s="309"/>
      <c r="BD64" s="309"/>
      <c r="BE64" s="309"/>
      <c r="BF64" s="309"/>
      <c r="BG64" s="309"/>
      <c r="BH64" s="309"/>
      <c r="BI64" s="375"/>
      <c r="BJ64" s="309"/>
      <c r="BK64" s="309"/>
      <c r="BL64" s="309"/>
      <c r="BM64" s="309"/>
      <c r="BN64" s="309"/>
      <c r="BO64" s="309"/>
      <c r="BP64" s="310"/>
      <c r="BR64" s="304">
        <f t="shared" si="11"/>
        <v>0</v>
      </c>
      <c r="BS64" s="305">
        <f t="shared" si="12"/>
        <v>0</v>
      </c>
      <c r="BT64" s="305">
        <f t="shared" si="13"/>
        <v>0</v>
      </c>
      <c r="BU64" s="305">
        <f t="shared" si="14"/>
        <v>0</v>
      </c>
      <c r="BV64" s="305">
        <f t="shared" si="15"/>
        <v>0</v>
      </c>
      <c r="BW64" s="305">
        <f t="shared" si="16"/>
        <v>0</v>
      </c>
      <c r="BX64" s="305">
        <f t="shared" si="17"/>
        <v>0</v>
      </c>
      <c r="BY64" s="305">
        <f t="shared" si="18"/>
        <v>0</v>
      </c>
      <c r="BZ64" s="305">
        <f t="shared" si="19"/>
        <v>0</v>
      </c>
      <c r="CA64" s="305">
        <f t="shared" si="20"/>
        <v>0</v>
      </c>
      <c r="CB64" s="305">
        <f t="shared" si="21"/>
        <v>0</v>
      </c>
      <c r="CC64" s="305">
        <f t="shared" si="22"/>
        <v>0</v>
      </c>
      <c r="CD64" s="305">
        <f t="shared" si="23"/>
        <v>0</v>
      </c>
      <c r="CE64" s="305">
        <f t="shared" si="24"/>
        <v>0</v>
      </c>
      <c r="CF64" s="305">
        <f t="shared" si="25"/>
        <v>0</v>
      </c>
      <c r="CG64" s="305">
        <f t="shared" si="26"/>
        <v>0</v>
      </c>
      <c r="CH64" s="305">
        <f t="shared" si="27"/>
        <v>0</v>
      </c>
      <c r="CI64" s="305">
        <f t="shared" si="28"/>
        <v>0</v>
      </c>
      <c r="CJ64" s="305">
        <f t="shared" si="29"/>
        <v>0</v>
      </c>
      <c r="CK64" s="305">
        <f t="shared" si="30"/>
        <v>0</v>
      </c>
      <c r="CL64" s="305">
        <f t="shared" si="31"/>
        <v>0</v>
      </c>
      <c r="CM64" s="257">
        <f t="shared" si="32"/>
        <v>0</v>
      </c>
      <c r="CO64" s="304">
        <f t="shared" si="33"/>
        <v>0</v>
      </c>
      <c r="CP64" s="305">
        <f t="shared" si="34"/>
        <v>0</v>
      </c>
      <c r="CQ64" s="305">
        <f t="shared" si="35"/>
        <v>0</v>
      </c>
      <c r="CR64" s="305">
        <f t="shared" si="36"/>
        <v>0</v>
      </c>
      <c r="CS64" s="305">
        <f t="shared" si="37"/>
        <v>0</v>
      </c>
      <c r="CT64" s="305">
        <f t="shared" si="38"/>
        <v>0</v>
      </c>
      <c r="CU64" s="305">
        <f t="shared" si="39"/>
        <v>0</v>
      </c>
      <c r="CV64" s="305">
        <f t="shared" si="40"/>
        <v>0</v>
      </c>
      <c r="CW64" s="305">
        <f t="shared" si="41"/>
        <v>0</v>
      </c>
      <c r="CX64" s="305">
        <f t="shared" si="42"/>
        <v>0</v>
      </c>
      <c r="CY64" s="305">
        <f t="shared" si="43"/>
        <v>0</v>
      </c>
      <c r="CZ64" s="305">
        <f t="shared" si="44"/>
        <v>0</v>
      </c>
      <c r="DA64" s="305">
        <f t="shared" si="45"/>
        <v>0</v>
      </c>
      <c r="DB64" s="305">
        <f t="shared" si="46"/>
        <v>0</v>
      </c>
      <c r="DC64" s="305">
        <f t="shared" si="47"/>
        <v>0</v>
      </c>
      <c r="DD64" s="305">
        <f t="shared" si="48"/>
        <v>0</v>
      </c>
      <c r="DE64" s="305">
        <f t="shared" si="49"/>
        <v>0</v>
      </c>
      <c r="DF64" s="305">
        <f t="shared" si="50"/>
        <v>0</v>
      </c>
      <c r="DG64" s="305">
        <f t="shared" si="51"/>
        <v>0</v>
      </c>
      <c r="DH64" s="305">
        <f t="shared" si="52"/>
        <v>0</v>
      </c>
      <c r="DI64" s="305">
        <f t="shared" si="53"/>
        <v>0</v>
      </c>
      <c r="DJ64" s="257">
        <f t="shared" si="54"/>
        <v>0</v>
      </c>
    </row>
    <row r="65" spans="2:114" ht="13.5" thickBot="1">
      <c r="B65" s="262"/>
      <c r="C65" s="378"/>
      <c r="D65" s="311"/>
      <c r="E65" s="295"/>
      <c r="F65" s="295"/>
      <c r="G65" s="295"/>
      <c r="H65" s="295"/>
      <c r="I65" s="295"/>
      <c r="J65" s="295"/>
      <c r="K65" s="295"/>
      <c r="L65" s="295"/>
      <c r="M65" s="295"/>
      <c r="N65" s="295"/>
      <c r="O65" s="295"/>
      <c r="P65" s="295"/>
      <c r="Q65" s="294"/>
      <c r="R65" s="295"/>
      <c r="S65" s="295"/>
      <c r="T65" s="295"/>
      <c r="U65" s="295"/>
      <c r="V65" s="295"/>
      <c r="W65" s="295"/>
      <c r="X65" s="296"/>
      <c r="Z65" s="263"/>
      <c r="AA65" s="264"/>
      <c r="AB65" s="264"/>
      <c r="AC65" s="264"/>
      <c r="AD65" s="264"/>
      <c r="AE65" s="264"/>
      <c r="AF65" s="264"/>
      <c r="AG65" s="264"/>
      <c r="AH65" s="264"/>
      <c r="AI65" s="265"/>
      <c r="AJ65" s="265"/>
      <c r="AK65" s="265"/>
      <c r="AL65" s="265"/>
      <c r="AM65" s="379"/>
      <c r="AN65" s="265"/>
      <c r="AO65" s="265"/>
      <c r="AP65" s="265"/>
      <c r="AQ65" s="265"/>
      <c r="AR65" s="265"/>
      <c r="AS65" s="265"/>
      <c r="AT65" s="266"/>
      <c r="AV65" s="312"/>
      <c r="AW65" s="313"/>
      <c r="AX65" s="313"/>
      <c r="AY65" s="313"/>
      <c r="AZ65" s="313"/>
      <c r="BA65" s="313"/>
      <c r="BB65" s="313"/>
      <c r="BC65" s="313"/>
      <c r="BD65" s="313"/>
      <c r="BE65" s="313"/>
      <c r="BF65" s="313"/>
      <c r="BG65" s="313"/>
      <c r="BH65" s="313"/>
      <c r="BI65" s="380"/>
      <c r="BJ65" s="313"/>
      <c r="BK65" s="313"/>
      <c r="BL65" s="313"/>
      <c r="BM65" s="313"/>
      <c r="BN65" s="313"/>
      <c r="BO65" s="313"/>
      <c r="BP65" s="314"/>
      <c r="BR65" s="315">
        <f t="shared" si="11"/>
        <v>0</v>
      </c>
      <c r="BS65" s="316">
        <f t="shared" si="12"/>
        <v>0</v>
      </c>
      <c r="BT65" s="316">
        <f t="shared" si="13"/>
        <v>0</v>
      </c>
      <c r="BU65" s="316">
        <f t="shared" si="14"/>
        <v>0</v>
      </c>
      <c r="BV65" s="316">
        <f t="shared" si="15"/>
        <v>0</v>
      </c>
      <c r="BW65" s="316">
        <f t="shared" si="16"/>
        <v>0</v>
      </c>
      <c r="BX65" s="316">
        <f t="shared" si="17"/>
        <v>0</v>
      </c>
      <c r="BY65" s="316">
        <f t="shared" si="18"/>
        <v>0</v>
      </c>
      <c r="BZ65" s="316">
        <f t="shared" si="19"/>
        <v>0</v>
      </c>
      <c r="CA65" s="316">
        <f t="shared" si="20"/>
        <v>0</v>
      </c>
      <c r="CB65" s="316">
        <f t="shared" si="21"/>
        <v>0</v>
      </c>
      <c r="CC65" s="316">
        <f t="shared" si="22"/>
        <v>0</v>
      </c>
      <c r="CD65" s="316">
        <f t="shared" si="23"/>
        <v>0</v>
      </c>
      <c r="CE65" s="316">
        <f t="shared" si="24"/>
        <v>0</v>
      </c>
      <c r="CF65" s="316">
        <f t="shared" si="25"/>
        <v>0</v>
      </c>
      <c r="CG65" s="316">
        <f t="shared" si="26"/>
        <v>0</v>
      </c>
      <c r="CH65" s="316">
        <f t="shared" si="27"/>
        <v>0</v>
      </c>
      <c r="CI65" s="316">
        <f t="shared" si="28"/>
        <v>0</v>
      </c>
      <c r="CJ65" s="316">
        <f t="shared" si="29"/>
        <v>0</v>
      </c>
      <c r="CK65" s="316">
        <f t="shared" si="30"/>
        <v>0</v>
      </c>
      <c r="CL65" s="316">
        <f t="shared" si="31"/>
        <v>0</v>
      </c>
      <c r="CM65" s="273">
        <f t="shared" si="32"/>
        <v>0</v>
      </c>
      <c r="CO65" s="315">
        <f t="shared" si="33"/>
        <v>0</v>
      </c>
      <c r="CP65" s="316">
        <f t="shared" si="34"/>
        <v>0</v>
      </c>
      <c r="CQ65" s="316">
        <f t="shared" si="35"/>
        <v>0</v>
      </c>
      <c r="CR65" s="316">
        <f t="shared" si="36"/>
        <v>0</v>
      </c>
      <c r="CS65" s="316">
        <f t="shared" si="37"/>
        <v>0</v>
      </c>
      <c r="CT65" s="316">
        <f t="shared" si="38"/>
        <v>0</v>
      </c>
      <c r="CU65" s="316">
        <f t="shared" si="39"/>
        <v>0</v>
      </c>
      <c r="CV65" s="316">
        <f t="shared" si="40"/>
        <v>0</v>
      </c>
      <c r="CW65" s="316">
        <f t="shared" si="41"/>
        <v>0</v>
      </c>
      <c r="CX65" s="316">
        <f t="shared" si="42"/>
        <v>0</v>
      </c>
      <c r="CY65" s="316">
        <f t="shared" si="43"/>
        <v>0</v>
      </c>
      <c r="CZ65" s="316">
        <f t="shared" si="44"/>
        <v>0</v>
      </c>
      <c r="DA65" s="316">
        <f t="shared" si="45"/>
        <v>0</v>
      </c>
      <c r="DB65" s="316">
        <f t="shared" si="46"/>
        <v>0</v>
      </c>
      <c r="DC65" s="316">
        <f t="shared" si="47"/>
        <v>0</v>
      </c>
      <c r="DD65" s="316">
        <f t="shared" si="48"/>
        <v>0</v>
      </c>
      <c r="DE65" s="316">
        <f t="shared" si="49"/>
        <v>0</v>
      </c>
      <c r="DF65" s="316">
        <f t="shared" si="50"/>
        <v>0</v>
      </c>
      <c r="DG65" s="316">
        <f t="shared" si="51"/>
        <v>0</v>
      </c>
      <c r="DH65" s="316">
        <f t="shared" si="52"/>
        <v>0</v>
      </c>
      <c r="DI65" s="316">
        <f t="shared" si="53"/>
        <v>0</v>
      </c>
      <c r="DJ65" s="273">
        <f t="shared" si="54"/>
        <v>0</v>
      </c>
    </row>
    <row r="66" spans="2:114" s="154" customFormat="1" ht="13.5" thickBot="1">
      <c r="AV66" s="381">
        <f t="shared" ref="AV66:BP66" si="55">SUM(AV6:AV65)</f>
        <v>365938.91721318808</v>
      </c>
      <c r="AW66" s="381">
        <f t="shared" si="55"/>
        <v>1235940224.1841166</v>
      </c>
      <c r="AX66" s="381">
        <f t="shared" si="55"/>
        <v>2661223693.0817952</v>
      </c>
      <c r="AY66" s="382">
        <f t="shared" si="55"/>
        <v>0</v>
      </c>
      <c r="AZ66" s="382">
        <f t="shared" si="55"/>
        <v>0</v>
      </c>
      <c r="BA66" s="381">
        <f t="shared" si="55"/>
        <v>1998672956.8881953</v>
      </c>
      <c r="BB66" s="381">
        <f t="shared" si="55"/>
        <v>0</v>
      </c>
      <c r="BC66" s="381">
        <f t="shared" si="55"/>
        <v>0</v>
      </c>
      <c r="BD66" s="381">
        <f t="shared" si="55"/>
        <v>0</v>
      </c>
      <c r="BE66" s="381">
        <f t="shared" si="55"/>
        <v>946704.44975214661</v>
      </c>
      <c r="BF66" s="381">
        <f t="shared" si="55"/>
        <v>0</v>
      </c>
      <c r="BG66" s="381">
        <f t="shared" si="55"/>
        <v>1288686.2076889491</v>
      </c>
      <c r="BH66" s="381">
        <f t="shared" si="55"/>
        <v>2176828.85398266</v>
      </c>
      <c r="BI66" s="381">
        <f t="shared" si="55"/>
        <v>278510.92236634385</v>
      </c>
      <c r="BJ66" s="381">
        <f t="shared" si="55"/>
        <v>467168.79569337569</v>
      </c>
      <c r="BK66" s="381">
        <f t="shared" si="55"/>
        <v>364966.73287545034</v>
      </c>
      <c r="BL66" s="381">
        <f t="shared" si="55"/>
        <v>0</v>
      </c>
      <c r="BM66" s="381">
        <f t="shared" si="55"/>
        <v>1013688.2884133384</v>
      </c>
      <c r="BN66" s="381">
        <f t="shared" si="55"/>
        <v>1670241.1883880778</v>
      </c>
      <c r="BO66" s="381">
        <f t="shared" si="55"/>
        <v>1299163.2104853343</v>
      </c>
      <c r="BP66" s="381">
        <f t="shared" si="55"/>
        <v>0</v>
      </c>
      <c r="BR66" s="275">
        <f t="shared" ref="BR66:CM66" si="56">SUM(BR6:BR65)</f>
        <v>49396893.475123942</v>
      </c>
      <c r="BS66" s="275">
        <f t="shared" si="56"/>
        <v>59483029.494779833</v>
      </c>
      <c r="BT66" s="275">
        <f t="shared" si="56"/>
        <v>92817919.200345561</v>
      </c>
      <c r="BU66" s="275">
        <f t="shared" si="56"/>
        <v>0</v>
      </c>
      <c r="BV66" s="275">
        <f t="shared" si="56"/>
        <v>0</v>
      </c>
      <c r="BW66" s="275">
        <f t="shared" si="56"/>
        <v>32264266.106068905</v>
      </c>
      <c r="BX66" s="275">
        <f t="shared" si="56"/>
        <v>0</v>
      </c>
      <c r="BY66" s="275">
        <f t="shared" si="56"/>
        <v>0</v>
      </c>
      <c r="BZ66" s="275">
        <f t="shared" si="56"/>
        <v>0</v>
      </c>
      <c r="CA66" s="275">
        <f t="shared" si="56"/>
        <v>53195994.610636592</v>
      </c>
      <c r="CB66" s="275">
        <f t="shared" si="56"/>
        <v>0</v>
      </c>
      <c r="CC66" s="275">
        <f t="shared" si="56"/>
        <v>3163260.9387527294</v>
      </c>
      <c r="CD66" s="275">
        <f t="shared" si="56"/>
        <v>2693789.3725784183</v>
      </c>
      <c r="CE66" s="275">
        <f t="shared" si="56"/>
        <v>30094.47141766025</v>
      </c>
      <c r="CF66" s="275">
        <f t="shared" si="56"/>
        <v>34046.42919473644</v>
      </c>
      <c r="CG66" s="275">
        <f t="shared" si="56"/>
        <v>10474.050224021004</v>
      </c>
      <c r="CH66" s="275">
        <f t="shared" si="56"/>
        <v>0</v>
      </c>
      <c r="CI66" s="275">
        <f t="shared" si="56"/>
        <v>109621.8729301571</v>
      </c>
      <c r="CJ66" s="275">
        <f t="shared" si="56"/>
        <v>121727.84602598342</v>
      </c>
      <c r="CK66" s="275">
        <f t="shared" si="56"/>
        <v>37269.095604287286</v>
      </c>
      <c r="CL66" s="275">
        <f t="shared" si="56"/>
        <v>0</v>
      </c>
      <c r="CM66" s="275">
        <f t="shared" si="56"/>
        <v>293358386.96368277</v>
      </c>
      <c r="CO66" s="275">
        <f t="shared" ref="CO66:DJ66" si="57">SUM(CO6:CO65)</f>
        <v>47905042.485235527</v>
      </c>
      <c r="CP66" s="275">
        <f t="shared" si="57"/>
        <v>57048741.809678204</v>
      </c>
      <c r="CQ66" s="275">
        <f t="shared" si="57"/>
        <v>92690025.113897219</v>
      </c>
      <c r="CR66" s="275">
        <f t="shared" si="57"/>
        <v>0</v>
      </c>
      <c r="CS66" s="275">
        <f t="shared" si="57"/>
        <v>0</v>
      </c>
      <c r="CT66" s="275">
        <f t="shared" si="57"/>
        <v>30347468.701526575</v>
      </c>
      <c r="CU66" s="275">
        <f t="shared" si="57"/>
        <v>0</v>
      </c>
      <c r="CV66" s="275">
        <f t="shared" si="57"/>
        <v>0</v>
      </c>
      <c r="CW66" s="275">
        <f t="shared" si="57"/>
        <v>0</v>
      </c>
      <c r="CX66" s="275">
        <f t="shared" si="57"/>
        <v>49984373.45535095</v>
      </c>
      <c r="CY66" s="275">
        <f t="shared" si="57"/>
        <v>0</v>
      </c>
      <c r="CZ66" s="275">
        <f t="shared" si="57"/>
        <v>1854.1095890410963</v>
      </c>
      <c r="DA66" s="275">
        <f t="shared" si="57"/>
        <v>1064.2191780821918</v>
      </c>
      <c r="DB66" s="275">
        <f t="shared" si="57"/>
        <v>27371.701650847022</v>
      </c>
      <c r="DC66" s="275">
        <f t="shared" si="57"/>
        <v>30999.770615262529</v>
      </c>
      <c r="DD66" s="275">
        <f t="shared" si="57"/>
        <v>9560.1652308788925</v>
      </c>
      <c r="DE66" s="275">
        <f t="shared" si="57"/>
        <v>0</v>
      </c>
      <c r="DF66" s="275">
        <f t="shared" si="57"/>
        <v>99704.539859962126</v>
      </c>
      <c r="DG66" s="275">
        <f t="shared" si="57"/>
        <v>110835.43565614294</v>
      </c>
      <c r="DH66" s="275">
        <f t="shared" si="57"/>
        <v>34023.697966322979</v>
      </c>
      <c r="DI66" s="275">
        <f t="shared" si="57"/>
        <v>0</v>
      </c>
      <c r="DJ66" s="275">
        <f t="shared" si="57"/>
        <v>278291065.20543498</v>
      </c>
    </row>
    <row r="67" spans="2:114" s="154" customFormat="1" ht="13.5" thickTop="1"/>
    <row r="68" spans="2:114" s="154" customFormat="1">
      <c r="CM68" s="588"/>
    </row>
    <row r="69" spans="2:114" s="154" customFormat="1">
      <c r="CM69" s="588"/>
      <c r="DJ69" s="588"/>
    </row>
    <row r="70" spans="2:114" s="154" customFormat="1">
      <c r="DJ70" s="588"/>
    </row>
    <row r="71" spans="2:114" s="154" customFormat="1"/>
    <row r="72" spans="2:114" s="154" customFormat="1"/>
    <row r="73" spans="2:114" s="154" customFormat="1"/>
    <row r="74" spans="2:114" s="154" customFormat="1"/>
    <row r="75" spans="2:114" s="154" customFormat="1"/>
    <row r="76" spans="2:114" s="154" customFormat="1"/>
    <row r="77" spans="2:114" s="154" customFormat="1"/>
    <row r="78" spans="2:114" s="154" customFormat="1"/>
    <row r="79" spans="2:114" s="154" customFormat="1"/>
    <row r="80" spans="2:114" s="154" customFormat="1"/>
    <row r="81" s="154" customFormat="1"/>
    <row r="82" s="154" customFormat="1"/>
    <row r="83" s="154" customFormat="1"/>
    <row r="84" s="154" customFormat="1"/>
    <row r="85" s="154" customFormat="1"/>
    <row r="86" s="154" customFormat="1"/>
    <row r="87" s="154" customFormat="1"/>
    <row r="88" s="154" customFormat="1"/>
    <row r="89" s="154" customFormat="1"/>
    <row r="90" s="154" customFormat="1"/>
    <row r="91" s="154" customFormat="1"/>
    <row r="92" s="154" customFormat="1"/>
    <row r="93" s="154" customFormat="1"/>
    <row r="94" s="154" customFormat="1"/>
    <row r="95" s="154" customFormat="1"/>
    <row r="96" s="154" customFormat="1"/>
    <row r="97" s="154" customFormat="1"/>
    <row r="98" s="154" customFormat="1"/>
    <row r="99" s="154" customFormat="1"/>
    <row r="100" s="154" customFormat="1"/>
    <row r="101" s="154" customFormat="1"/>
    <row r="102" s="154" customFormat="1"/>
    <row r="103" s="154" customFormat="1"/>
    <row r="104" s="154" customFormat="1"/>
    <row r="105" s="154" customFormat="1"/>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autoPageBreaks="0"/>
  </sheetPr>
  <dimension ref="A1:Y102"/>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D35" sqref="D35"/>
    </sheetView>
  </sheetViews>
  <sheetFormatPr defaultRowHeight="12.75"/>
  <cols>
    <col min="1" max="1" width="9.5703125" style="748" bestFit="1" customWidth="1"/>
    <col min="2" max="2" width="45" style="748" customWidth="1"/>
    <col min="3" max="3" width="7.5703125" style="748" customWidth="1"/>
    <col min="4" max="4" width="17.5703125" style="748" customWidth="1"/>
    <col min="5" max="5" width="18.7109375" style="748" bestFit="1" customWidth="1"/>
    <col min="6" max="6" width="18" style="748" customWidth="1"/>
    <col min="7" max="8" width="16.7109375" style="748" bestFit="1" customWidth="1"/>
    <col min="9" max="9" width="18.28515625" style="748" customWidth="1"/>
    <col min="10" max="11" width="16.7109375" style="748" bestFit="1" customWidth="1"/>
    <col min="12" max="12" width="9.42578125" style="748" bestFit="1" customWidth="1"/>
    <col min="13" max="14" width="14.85546875" style="748" bestFit="1" customWidth="1"/>
    <col min="15" max="15" width="12.7109375" style="748" customWidth="1"/>
    <col min="16" max="16" width="12.28515625" style="748" customWidth="1"/>
    <col min="17" max="19" width="14.85546875" style="748" bestFit="1" customWidth="1"/>
    <col min="20" max="20" width="11.28515625" style="748" customWidth="1"/>
    <col min="21" max="21" width="15.85546875" style="748" customWidth="1"/>
    <col min="22" max="23" width="14.85546875" style="748" customWidth="1"/>
    <col min="24" max="24" width="10" style="748" customWidth="1"/>
    <col min="25" max="25" width="19.5703125" style="776" customWidth="1"/>
    <col min="26" max="26" width="13.85546875" style="748" customWidth="1"/>
    <col min="27" max="27" width="15.5703125" style="748" customWidth="1"/>
    <col min="28" max="28" width="15" style="748" customWidth="1"/>
    <col min="29" max="29" width="12.42578125" style="748" bestFit="1" customWidth="1"/>
    <col min="30" max="30" width="13.5703125" style="748" bestFit="1" customWidth="1"/>
    <col min="31" max="32" width="12.42578125" style="748" bestFit="1" customWidth="1"/>
    <col min="33" max="33" width="11.5703125" style="748" customWidth="1"/>
    <col min="34" max="34" width="11.140625" style="748" customWidth="1"/>
    <col min="35" max="35" width="13.5703125" style="748" bestFit="1" customWidth="1"/>
    <col min="36" max="36" width="12.42578125" style="748" bestFit="1" customWidth="1"/>
    <col min="37" max="37" width="11.85546875" style="748" customWidth="1"/>
    <col min="38" max="38" width="11.140625" style="748" customWidth="1"/>
    <col min="39" max="41" width="10.5703125" style="748" bestFit="1" customWidth="1"/>
    <col min="42" max="42" width="9.85546875" style="748" customWidth="1"/>
    <col min="43" max="44" width="10.5703125" style="748" customWidth="1"/>
    <col min="45" max="46" width="9.85546875" style="748" customWidth="1"/>
    <col min="47" max="47" width="15.5703125" style="748" customWidth="1"/>
    <col min="48" max="16384" width="9.140625" style="748"/>
  </cols>
  <sheetData>
    <row r="1" spans="1:25" ht="15">
      <c r="B1" s="153" t="str">
        <f>"Tariff Approval - "&amp;'Model update'!C3</f>
        <v>Tariff Approval - CitiPower</v>
      </c>
      <c r="C1" s="153"/>
    </row>
    <row r="2" spans="1:25">
      <c r="B2" s="788" t="s">
        <v>837</v>
      </c>
    </row>
    <row r="3" spans="1:25">
      <c r="B3" s="227" t="s">
        <v>838</v>
      </c>
      <c r="C3" s="227"/>
    </row>
    <row r="4" spans="1:25" ht="13.5" thickBot="1">
      <c r="B4" s="789" t="s">
        <v>843</v>
      </c>
      <c r="D4" s="229" t="str">
        <f>"Forecast Quantities (Qt) for "&amp;'Model update'!$C$5</f>
        <v>Forecast Quantities (Qt) for 2018</v>
      </c>
      <c r="E4" s="230"/>
      <c r="F4" s="230"/>
      <c r="G4" s="230"/>
      <c r="H4" s="230"/>
    </row>
    <row r="5" spans="1:25" ht="25.5">
      <c r="B5" s="233" t="s">
        <v>839</v>
      </c>
      <c r="C5" s="281"/>
      <c r="D5" s="234" t="s">
        <v>192</v>
      </c>
      <c r="E5" s="235" t="s">
        <v>193</v>
      </c>
      <c r="F5" s="235" t="s">
        <v>194</v>
      </c>
      <c r="G5" s="235" t="s">
        <v>195</v>
      </c>
      <c r="H5" s="235" t="s">
        <v>196</v>
      </c>
      <c r="I5" s="235" t="s">
        <v>197</v>
      </c>
      <c r="J5" s="235" t="s">
        <v>198</v>
      </c>
      <c r="K5" s="235" t="s">
        <v>199</v>
      </c>
      <c r="L5" s="235" t="s">
        <v>200</v>
      </c>
      <c r="M5" s="235" t="s">
        <v>201</v>
      </c>
      <c r="N5" s="235" t="s">
        <v>202</v>
      </c>
      <c r="O5" s="235" t="s">
        <v>203</v>
      </c>
      <c r="P5" s="235" t="s">
        <v>204</v>
      </c>
      <c r="Q5" s="235" t="s">
        <v>205</v>
      </c>
      <c r="R5" s="235" t="s">
        <v>206</v>
      </c>
      <c r="S5" s="235" t="s">
        <v>207</v>
      </c>
      <c r="T5" s="235" t="s">
        <v>208</v>
      </c>
      <c r="U5" s="235" t="s">
        <v>209</v>
      </c>
      <c r="V5" s="235" t="s">
        <v>210</v>
      </c>
      <c r="W5" s="235" t="s">
        <v>211</v>
      </c>
      <c r="X5" s="237" t="s">
        <v>212</v>
      </c>
    </row>
    <row r="6" spans="1:25">
      <c r="B6" s="750"/>
      <c r="C6" s="282"/>
      <c r="D6" s="243"/>
      <c r="E6" s="244"/>
      <c r="F6" s="244"/>
      <c r="G6" s="244"/>
      <c r="H6" s="244"/>
      <c r="I6" s="244"/>
      <c r="J6" s="244"/>
      <c r="K6" s="244"/>
      <c r="L6" s="244"/>
      <c r="M6" s="244"/>
      <c r="N6" s="244"/>
      <c r="O6" s="244"/>
      <c r="P6" s="244"/>
      <c r="Q6" s="244"/>
      <c r="R6" s="244"/>
      <c r="S6" s="244"/>
      <c r="T6" s="244"/>
      <c r="U6" s="244"/>
      <c r="V6" s="244"/>
      <c r="W6" s="244"/>
      <c r="X6" s="245"/>
    </row>
    <row r="7" spans="1:25">
      <c r="A7" s="748" t="str">
        <f>Prop2018DistTar!A7</f>
        <v>C1R</v>
      </c>
      <c r="B7" s="750" t="str">
        <f>Prop2018DistTar!B7</f>
        <v>Residential Single Rate</v>
      </c>
      <c r="C7" s="760"/>
      <c r="D7" s="252">
        <v>203567.54384608413</v>
      </c>
      <c r="E7" s="253">
        <v>837924196.22455716</v>
      </c>
      <c r="F7" s="253">
        <v>0</v>
      </c>
      <c r="G7" s="253">
        <v>0</v>
      </c>
      <c r="H7" s="253">
        <v>0</v>
      </c>
      <c r="I7" s="253">
        <v>0</v>
      </c>
      <c r="J7" s="253">
        <v>0</v>
      </c>
      <c r="K7" s="253">
        <v>0</v>
      </c>
      <c r="L7" s="253">
        <v>0</v>
      </c>
      <c r="M7" s="253">
        <v>0</v>
      </c>
      <c r="N7" s="253">
        <v>0</v>
      </c>
      <c r="O7" s="253">
        <v>0</v>
      </c>
      <c r="P7" s="253">
        <v>0</v>
      </c>
      <c r="Q7" s="253">
        <v>0</v>
      </c>
      <c r="R7" s="253">
        <v>0</v>
      </c>
      <c r="S7" s="253">
        <v>0</v>
      </c>
      <c r="T7" s="253">
        <v>0</v>
      </c>
      <c r="U7" s="253">
        <v>0</v>
      </c>
      <c r="V7" s="253">
        <v>0</v>
      </c>
      <c r="W7" s="253">
        <v>0</v>
      </c>
      <c r="X7" s="754">
        <v>0</v>
      </c>
      <c r="Y7" s="777"/>
    </row>
    <row r="8" spans="1:25">
      <c r="A8" s="748" t="str">
        <f>Prop2018DistTar!A8</f>
        <v>C1RB</v>
      </c>
      <c r="B8" s="750" t="str">
        <f>Prop2018DistTar!B8</f>
        <v>Residential Single Rate - Bulk</v>
      </c>
      <c r="C8" s="760"/>
      <c r="D8" s="252">
        <v>30796.16529635977</v>
      </c>
      <c r="E8" s="253">
        <v>103793921.82591532</v>
      </c>
      <c r="F8" s="253">
        <v>0</v>
      </c>
      <c r="G8" s="253">
        <v>0</v>
      </c>
      <c r="H8" s="253">
        <v>0</v>
      </c>
      <c r="I8" s="253">
        <v>0</v>
      </c>
      <c r="J8" s="253">
        <v>0</v>
      </c>
      <c r="K8" s="253">
        <v>0</v>
      </c>
      <c r="L8" s="253">
        <v>0</v>
      </c>
      <c r="M8" s="253">
        <v>0</v>
      </c>
      <c r="N8" s="253">
        <v>0</v>
      </c>
      <c r="O8" s="253">
        <v>0</v>
      </c>
      <c r="P8" s="253">
        <v>0</v>
      </c>
      <c r="Q8" s="253">
        <v>0</v>
      </c>
      <c r="R8" s="253">
        <v>0</v>
      </c>
      <c r="S8" s="253">
        <v>0</v>
      </c>
      <c r="T8" s="253">
        <v>0</v>
      </c>
      <c r="U8" s="253">
        <v>0</v>
      </c>
      <c r="V8" s="253">
        <v>0</v>
      </c>
      <c r="W8" s="253">
        <v>0</v>
      </c>
      <c r="X8" s="754">
        <v>0</v>
      </c>
      <c r="Y8" s="777"/>
    </row>
    <row r="9" spans="1:25">
      <c r="A9" s="748" t="str">
        <f>Prop2018DistTar!A9</f>
        <v>C13R</v>
      </c>
      <c r="B9" s="750" t="str">
        <f>Prop2018DistTar!B9</f>
        <v>Residential - flexible pricing</v>
      </c>
      <c r="C9" s="760"/>
      <c r="D9" s="252">
        <v>692.19902131802507</v>
      </c>
      <c r="E9" s="253">
        <v>0</v>
      </c>
      <c r="F9" s="253">
        <v>0</v>
      </c>
      <c r="G9" s="253">
        <v>0</v>
      </c>
      <c r="H9" s="253">
        <v>0</v>
      </c>
      <c r="I9" s="253">
        <v>0</v>
      </c>
      <c r="J9" s="253">
        <v>0</v>
      </c>
      <c r="K9" s="253">
        <v>0</v>
      </c>
      <c r="L9" s="253">
        <v>0</v>
      </c>
      <c r="M9" s="253">
        <v>0</v>
      </c>
      <c r="N9" s="253">
        <v>0</v>
      </c>
      <c r="O9" s="253">
        <v>0</v>
      </c>
      <c r="P9" s="253">
        <v>0</v>
      </c>
      <c r="Q9" s="253">
        <v>209399.38859650321</v>
      </c>
      <c r="R9" s="253">
        <v>421530.70937171311</v>
      </c>
      <c r="S9" s="253">
        <v>295381.02379908122</v>
      </c>
      <c r="T9" s="253">
        <v>0</v>
      </c>
      <c r="U9" s="253">
        <v>766444.76391363656</v>
      </c>
      <c r="V9" s="253">
        <v>1512235.2073960255</v>
      </c>
      <c r="W9" s="253">
        <v>1077906.585130814</v>
      </c>
      <c r="X9" s="754">
        <v>0</v>
      </c>
      <c r="Y9" s="777"/>
    </row>
    <row r="10" spans="1:25">
      <c r="A10" s="748" t="str">
        <f>Prop2018DistTar!A10</f>
        <v>C13RB</v>
      </c>
      <c r="B10" s="750" t="str">
        <f>Prop2018DistTar!B10</f>
        <v>Residential - flexible pricing bulk</v>
      </c>
      <c r="C10" s="760"/>
      <c r="D10" s="252">
        <v>86</v>
      </c>
      <c r="E10" s="253">
        <v>0</v>
      </c>
      <c r="F10" s="253">
        <v>0</v>
      </c>
      <c r="G10" s="253">
        <v>0</v>
      </c>
      <c r="H10" s="253">
        <v>0</v>
      </c>
      <c r="I10" s="253">
        <v>0</v>
      </c>
      <c r="J10" s="253">
        <v>0</v>
      </c>
      <c r="K10" s="253">
        <v>0</v>
      </c>
      <c r="L10" s="253">
        <v>0</v>
      </c>
      <c r="M10" s="253">
        <v>0</v>
      </c>
      <c r="N10" s="253">
        <v>0</v>
      </c>
      <c r="O10" s="253">
        <v>0</v>
      </c>
      <c r="P10" s="253">
        <v>0</v>
      </c>
      <c r="Q10" s="253">
        <v>14822.463938670589</v>
      </c>
      <c r="R10" s="253">
        <v>30911.094070728293</v>
      </c>
      <c r="S10" s="253">
        <v>25018.291769002386</v>
      </c>
      <c r="T10" s="253">
        <v>0</v>
      </c>
      <c r="U10" s="253">
        <v>55723.871652863061</v>
      </c>
      <c r="V10" s="253">
        <v>110586.63633768729</v>
      </c>
      <c r="W10" s="253">
        <v>89504.208037036224</v>
      </c>
      <c r="X10" s="754">
        <v>0</v>
      </c>
      <c r="Y10" s="777"/>
    </row>
    <row r="11" spans="1:25">
      <c r="A11" s="748" t="str">
        <f>Prop2018DistTar!A11</f>
        <v>C2R</v>
      </c>
      <c r="B11" s="750" t="str">
        <f>Prop2018DistTar!B11</f>
        <v>Residential Two Rate 5d</v>
      </c>
      <c r="C11" s="760"/>
      <c r="D11" s="252">
        <v>10844.918915256892</v>
      </c>
      <c r="E11" s="253">
        <v>0</v>
      </c>
      <c r="F11" s="253">
        <v>34303841.218867712</v>
      </c>
      <c r="G11" s="253">
        <v>0</v>
      </c>
      <c r="H11" s="253">
        <v>0</v>
      </c>
      <c r="I11" s="253">
        <v>29910228.5348082</v>
      </c>
      <c r="J11" s="253">
        <v>0</v>
      </c>
      <c r="K11" s="253">
        <v>0</v>
      </c>
      <c r="L11" s="253">
        <v>0</v>
      </c>
      <c r="M11" s="253">
        <v>0</v>
      </c>
      <c r="N11" s="253">
        <v>0</v>
      </c>
      <c r="O11" s="253">
        <v>0</v>
      </c>
      <c r="P11" s="253">
        <v>0</v>
      </c>
      <c r="Q11" s="253">
        <v>0</v>
      </c>
      <c r="R11" s="253">
        <v>0</v>
      </c>
      <c r="S11" s="253">
        <v>0</v>
      </c>
      <c r="T11" s="253">
        <v>0</v>
      </c>
      <c r="U11" s="253">
        <v>0</v>
      </c>
      <c r="V11" s="253">
        <v>0</v>
      </c>
      <c r="W11" s="253">
        <v>0</v>
      </c>
      <c r="X11" s="754">
        <v>0</v>
      </c>
      <c r="Y11" s="777"/>
    </row>
    <row r="12" spans="1:25">
      <c r="A12" s="748" t="str">
        <f>Prop2018DistTar!A12</f>
        <v>C2RB</v>
      </c>
      <c r="B12" s="750" t="str">
        <f>Prop2018DistTar!B12</f>
        <v>Residential Two Rate 5d - Bulk</v>
      </c>
      <c r="C12" s="760"/>
      <c r="D12" s="252">
        <v>4325.4798963063058</v>
      </c>
      <c r="E12" s="253">
        <v>0</v>
      </c>
      <c r="F12" s="253">
        <v>11937966.333181802</v>
      </c>
      <c r="G12" s="253">
        <v>0</v>
      </c>
      <c r="H12" s="253">
        <v>0</v>
      </c>
      <c r="I12" s="253">
        <v>10332699.15836278</v>
      </c>
      <c r="J12" s="253">
        <v>0</v>
      </c>
      <c r="K12" s="253">
        <v>0</v>
      </c>
      <c r="L12" s="253">
        <v>0</v>
      </c>
      <c r="M12" s="253">
        <v>0</v>
      </c>
      <c r="N12" s="253">
        <v>0</v>
      </c>
      <c r="O12" s="253">
        <v>0</v>
      </c>
      <c r="P12" s="253">
        <v>0</v>
      </c>
      <c r="Q12" s="253">
        <v>0</v>
      </c>
      <c r="R12" s="253">
        <v>0</v>
      </c>
      <c r="S12" s="253">
        <v>0</v>
      </c>
      <c r="T12" s="253">
        <v>0</v>
      </c>
      <c r="U12" s="253">
        <v>0</v>
      </c>
      <c r="V12" s="253">
        <v>0</v>
      </c>
      <c r="W12" s="253">
        <v>0</v>
      </c>
      <c r="X12" s="754">
        <v>0</v>
      </c>
      <c r="Y12" s="777"/>
    </row>
    <row r="13" spans="1:25">
      <c r="A13" s="748" t="str">
        <f>Prop2018DistTar!A13</f>
        <v>C3R</v>
      </c>
      <c r="B13" s="750" t="str">
        <f>Prop2018DistTar!B13</f>
        <v>Residential Interval</v>
      </c>
      <c r="C13" s="760"/>
      <c r="D13" s="252">
        <v>17220.894511590293</v>
      </c>
      <c r="E13" s="253">
        <v>0</v>
      </c>
      <c r="F13" s="253">
        <v>60059088.859664425</v>
      </c>
      <c r="G13" s="253">
        <v>0</v>
      </c>
      <c r="H13" s="253">
        <v>0</v>
      </c>
      <c r="I13" s="253">
        <v>52811678.164143428</v>
      </c>
      <c r="J13" s="253">
        <v>0</v>
      </c>
      <c r="K13" s="253">
        <v>0</v>
      </c>
      <c r="L13" s="253">
        <v>0</v>
      </c>
      <c r="M13" s="253">
        <v>0</v>
      </c>
      <c r="N13" s="253">
        <v>0</v>
      </c>
      <c r="O13" s="253">
        <v>0</v>
      </c>
      <c r="P13" s="253">
        <v>0</v>
      </c>
      <c r="Q13" s="253">
        <v>0</v>
      </c>
      <c r="R13" s="253">
        <v>0</v>
      </c>
      <c r="S13" s="253">
        <v>0</v>
      </c>
      <c r="T13" s="253">
        <v>0</v>
      </c>
      <c r="U13" s="253">
        <v>0</v>
      </c>
      <c r="V13" s="253">
        <v>0</v>
      </c>
      <c r="W13" s="253">
        <v>0</v>
      </c>
      <c r="X13" s="754">
        <v>0</v>
      </c>
      <c r="Y13" s="777"/>
    </row>
    <row r="14" spans="1:25">
      <c r="A14" s="748" t="str">
        <f>Prop2018DistTar!A14</f>
        <v>C3RB</v>
      </c>
      <c r="B14" s="750" t="str">
        <f>Prop2018DistTar!B14</f>
        <v>Residential Interval - Bulk</v>
      </c>
      <c r="C14" s="760"/>
      <c r="D14" s="252">
        <v>8720.0761855865894</v>
      </c>
      <c r="E14" s="253">
        <v>0</v>
      </c>
      <c r="F14" s="253">
        <v>14985083.090693302</v>
      </c>
      <c r="G14" s="253">
        <v>0</v>
      </c>
      <c r="H14" s="253">
        <v>0</v>
      </c>
      <c r="I14" s="253">
        <v>14138212.664102102</v>
      </c>
      <c r="J14" s="253">
        <v>0</v>
      </c>
      <c r="K14" s="253">
        <v>0</v>
      </c>
      <c r="L14" s="253">
        <v>0</v>
      </c>
      <c r="M14" s="253">
        <v>0</v>
      </c>
      <c r="N14" s="253">
        <v>0</v>
      </c>
      <c r="O14" s="253">
        <v>0</v>
      </c>
      <c r="P14" s="253">
        <v>0</v>
      </c>
      <c r="Q14" s="253">
        <v>0</v>
      </c>
      <c r="R14" s="253">
        <v>0</v>
      </c>
      <c r="S14" s="253">
        <v>0</v>
      </c>
      <c r="T14" s="253">
        <v>0</v>
      </c>
      <c r="U14" s="253">
        <v>0</v>
      </c>
      <c r="V14" s="253">
        <v>0</v>
      </c>
      <c r="W14" s="253">
        <v>0</v>
      </c>
      <c r="X14" s="754">
        <v>0</v>
      </c>
      <c r="Y14" s="777"/>
    </row>
    <row r="15" spans="1:25">
      <c r="A15" s="748" t="str">
        <f>Prop2018DistTar!A15</f>
        <v>C2ROP</v>
      </c>
      <c r="B15" s="750" t="str">
        <f>Prop2018DistTar!B15</f>
        <v>Residential Two Rate 5d - Controlled Load</v>
      </c>
      <c r="C15" s="760"/>
      <c r="D15" s="252">
        <v>9721.6356157284772</v>
      </c>
      <c r="E15" s="253">
        <v>0</v>
      </c>
      <c r="F15" s="253">
        <v>0</v>
      </c>
      <c r="G15" s="253">
        <v>0</v>
      </c>
      <c r="H15" s="253">
        <v>0</v>
      </c>
      <c r="I15" s="253">
        <v>19909930.707670532</v>
      </c>
      <c r="J15" s="253">
        <v>0</v>
      </c>
      <c r="K15" s="253">
        <v>0</v>
      </c>
      <c r="L15" s="253">
        <v>0</v>
      </c>
      <c r="M15" s="253">
        <v>0</v>
      </c>
      <c r="N15" s="253">
        <v>0</v>
      </c>
      <c r="O15" s="253">
        <v>0</v>
      </c>
      <c r="P15" s="253">
        <v>0</v>
      </c>
      <c r="Q15" s="253">
        <v>0</v>
      </c>
      <c r="R15" s="253">
        <v>0</v>
      </c>
      <c r="S15" s="253">
        <v>0</v>
      </c>
      <c r="T15" s="253">
        <v>0</v>
      </c>
      <c r="U15" s="253">
        <v>0</v>
      </c>
      <c r="V15" s="253">
        <v>0</v>
      </c>
      <c r="W15" s="253">
        <v>0</v>
      </c>
      <c r="X15" s="754">
        <v>0</v>
      </c>
      <c r="Y15" s="777"/>
    </row>
    <row r="16" spans="1:25">
      <c r="A16" s="748" t="str">
        <f>Prop2018DistTar!A16</f>
        <v>C2RBOP</v>
      </c>
      <c r="B16" s="750" t="str">
        <f>Prop2018DistTar!B16</f>
        <v>Residential Two Rate 5d - Bulk - Controlled Load</v>
      </c>
      <c r="C16" s="760"/>
      <c r="D16" s="252">
        <v>3658.6066628568519</v>
      </c>
      <c r="E16" s="253">
        <v>0</v>
      </c>
      <c r="F16" s="253">
        <v>0</v>
      </c>
      <c r="G16" s="253">
        <v>0</v>
      </c>
      <c r="H16" s="253">
        <v>0</v>
      </c>
      <c r="I16" s="253">
        <v>7350471.8260590127</v>
      </c>
      <c r="J16" s="253">
        <v>0</v>
      </c>
      <c r="K16" s="253">
        <v>0</v>
      </c>
      <c r="L16" s="253">
        <v>0</v>
      </c>
      <c r="M16" s="253">
        <v>0</v>
      </c>
      <c r="N16" s="253">
        <v>0</v>
      </c>
      <c r="O16" s="253">
        <v>0</v>
      </c>
      <c r="P16" s="253">
        <v>0</v>
      </c>
      <c r="Q16" s="253">
        <v>0</v>
      </c>
      <c r="R16" s="253">
        <v>0</v>
      </c>
      <c r="S16" s="253">
        <v>0</v>
      </c>
      <c r="T16" s="253">
        <v>0</v>
      </c>
      <c r="U16" s="253">
        <v>0</v>
      </c>
      <c r="V16" s="253">
        <v>0</v>
      </c>
      <c r="W16" s="253">
        <v>0</v>
      </c>
      <c r="X16" s="754">
        <v>0</v>
      </c>
      <c r="Y16" s="777"/>
    </row>
    <row r="17" spans="1:25">
      <c r="A17" s="748" t="str">
        <f>Prop2018DistTar!A17</f>
        <v>CDS</v>
      </c>
      <c r="B17" s="750" t="str">
        <f>Prop2018DistTar!B17</f>
        <v>Dedicated Circuit</v>
      </c>
      <c r="C17" s="760"/>
      <c r="D17" s="252">
        <v>22642.030575507612</v>
      </c>
      <c r="E17" s="253">
        <v>0</v>
      </c>
      <c r="F17" s="253">
        <v>0</v>
      </c>
      <c r="G17" s="253">
        <v>0</v>
      </c>
      <c r="H17" s="253">
        <v>0</v>
      </c>
      <c r="I17" s="253">
        <v>33890069.863411687</v>
      </c>
      <c r="J17" s="253">
        <v>0</v>
      </c>
      <c r="K17" s="253">
        <v>0</v>
      </c>
      <c r="L17" s="253">
        <v>0</v>
      </c>
      <c r="M17" s="253">
        <v>0</v>
      </c>
      <c r="N17" s="253">
        <v>0</v>
      </c>
      <c r="O17" s="253">
        <v>0</v>
      </c>
      <c r="P17" s="253">
        <v>0</v>
      </c>
      <c r="Q17" s="253">
        <v>0</v>
      </c>
      <c r="R17" s="253">
        <v>0</v>
      </c>
      <c r="S17" s="253">
        <v>0</v>
      </c>
      <c r="T17" s="253">
        <v>0</v>
      </c>
      <c r="U17" s="253">
        <v>0</v>
      </c>
      <c r="V17" s="253">
        <v>0</v>
      </c>
      <c r="W17" s="253">
        <v>0</v>
      </c>
      <c r="X17" s="754">
        <v>0</v>
      </c>
      <c r="Y17" s="777"/>
    </row>
    <row r="18" spans="1:25">
      <c r="A18" s="748" t="str">
        <f>Prop2018DistTar!A18</f>
        <v>CDSB</v>
      </c>
      <c r="B18" s="750" t="str">
        <f>Prop2018DistTar!B18</f>
        <v>Dedicated Circuit - Bulk</v>
      </c>
      <c r="C18" s="760"/>
      <c r="D18" s="252">
        <v>1081.4792179376586</v>
      </c>
      <c r="E18" s="253">
        <v>0</v>
      </c>
      <c r="F18" s="253">
        <v>0</v>
      </c>
      <c r="G18" s="253">
        <v>0</v>
      </c>
      <c r="H18" s="253">
        <v>0</v>
      </c>
      <c r="I18" s="253">
        <v>2219211.1923869113</v>
      </c>
      <c r="J18" s="253">
        <v>0</v>
      </c>
      <c r="K18" s="253">
        <v>0</v>
      </c>
      <c r="L18" s="253">
        <v>0</v>
      </c>
      <c r="M18" s="253">
        <v>0</v>
      </c>
      <c r="N18" s="253">
        <v>0</v>
      </c>
      <c r="O18" s="253">
        <v>0</v>
      </c>
      <c r="P18" s="253">
        <v>0</v>
      </c>
      <c r="Q18" s="253">
        <v>0</v>
      </c>
      <c r="R18" s="253">
        <v>0</v>
      </c>
      <c r="S18" s="253">
        <v>0</v>
      </c>
      <c r="T18" s="253">
        <v>0</v>
      </c>
      <c r="U18" s="253">
        <v>0</v>
      </c>
      <c r="V18" s="253">
        <v>0</v>
      </c>
      <c r="W18" s="253">
        <v>0</v>
      </c>
      <c r="X18" s="754">
        <v>0</v>
      </c>
      <c r="Y18" s="777"/>
    </row>
    <row r="19" spans="1:25">
      <c r="A19" s="748" t="str">
        <f>Prop2018DistTar!A19</f>
        <v>CR</v>
      </c>
      <c r="B19" s="750" t="str">
        <f>Prop2018DistTar!B19</f>
        <v>Residential Demand</v>
      </c>
      <c r="C19" s="760"/>
      <c r="D19" s="252">
        <v>5</v>
      </c>
      <c r="E19" s="253">
        <v>27500</v>
      </c>
      <c r="F19" s="253">
        <v>0</v>
      </c>
      <c r="G19" s="253">
        <v>0</v>
      </c>
      <c r="H19" s="253">
        <v>0</v>
      </c>
      <c r="I19" s="253">
        <v>0</v>
      </c>
      <c r="J19" s="253">
        <v>0</v>
      </c>
      <c r="K19" s="253">
        <v>0</v>
      </c>
      <c r="L19" s="253">
        <v>0</v>
      </c>
      <c r="M19" s="253">
        <v>0</v>
      </c>
      <c r="N19" s="253">
        <v>0</v>
      </c>
      <c r="O19" s="253">
        <v>62.785388127853878</v>
      </c>
      <c r="P19" s="253">
        <v>100.45662100456622</v>
      </c>
      <c r="Q19" s="253">
        <v>0</v>
      </c>
      <c r="R19" s="253">
        <v>0</v>
      </c>
      <c r="S19" s="253">
        <v>0</v>
      </c>
      <c r="T19" s="253">
        <v>0</v>
      </c>
      <c r="U19" s="253">
        <v>0</v>
      </c>
      <c r="V19" s="253">
        <v>0</v>
      </c>
      <c r="W19" s="253">
        <v>0</v>
      </c>
      <c r="X19" s="754">
        <v>0</v>
      </c>
      <c r="Y19" s="777"/>
    </row>
    <row r="20" spans="1:25">
      <c r="A20" s="748" t="str">
        <f>Prop2018DistTar!A20</f>
        <v>CRB</v>
      </c>
      <c r="B20" s="750" t="str">
        <f>Prop2018DistTar!B20</f>
        <v>Residential Bulk Demand</v>
      </c>
      <c r="C20" s="760"/>
      <c r="D20" s="252">
        <v>1</v>
      </c>
      <c r="E20" s="253">
        <v>5500</v>
      </c>
      <c r="F20" s="253">
        <v>0</v>
      </c>
      <c r="G20" s="253">
        <v>0</v>
      </c>
      <c r="H20" s="253">
        <v>0</v>
      </c>
      <c r="I20" s="253">
        <v>0</v>
      </c>
      <c r="J20" s="253">
        <v>0</v>
      </c>
      <c r="K20" s="253">
        <v>0</v>
      </c>
      <c r="L20" s="253">
        <v>0</v>
      </c>
      <c r="M20" s="253">
        <v>0</v>
      </c>
      <c r="N20" s="253">
        <v>0</v>
      </c>
      <c r="O20" s="253">
        <v>12.557077625570775</v>
      </c>
      <c r="P20" s="253">
        <v>20.091324200913242</v>
      </c>
      <c r="Q20" s="253">
        <v>0</v>
      </c>
      <c r="R20" s="253">
        <v>0</v>
      </c>
      <c r="S20" s="253">
        <v>0</v>
      </c>
      <c r="T20" s="253">
        <v>0</v>
      </c>
      <c r="U20" s="253">
        <v>0</v>
      </c>
      <c r="V20" s="253">
        <v>0</v>
      </c>
      <c r="W20" s="253">
        <v>0</v>
      </c>
      <c r="X20" s="754">
        <v>0</v>
      </c>
      <c r="Y20" s="777"/>
    </row>
    <row r="21" spans="1:25">
      <c r="A21" s="748" t="str">
        <f>Prop2018DistTar!A21</f>
        <v>C1G</v>
      </c>
      <c r="B21" s="750" t="str">
        <f>Prop2018DistTar!B21</f>
        <v>Non-Residential Single Rate</v>
      </c>
      <c r="C21" s="760"/>
      <c r="D21" s="252">
        <v>18214.931992410631</v>
      </c>
      <c r="E21" s="253">
        <v>220224546.95765957</v>
      </c>
      <c r="F21" s="253">
        <v>0</v>
      </c>
      <c r="G21" s="253">
        <v>0</v>
      </c>
      <c r="H21" s="253">
        <v>0</v>
      </c>
      <c r="I21" s="253">
        <v>0</v>
      </c>
      <c r="J21" s="253">
        <v>0</v>
      </c>
      <c r="K21" s="253">
        <v>0</v>
      </c>
      <c r="L21" s="253">
        <v>0</v>
      </c>
      <c r="M21" s="253">
        <v>0</v>
      </c>
      <c r="N21" s="253">
        <v>0</v>
      </c>
      <c r="O21" s="253">
        <v>0</v>
      </c>
      <c r="P21" s="253">
        <v>0</v>
      </c>
      <c r="Q21" s="253">
        <v>0</v>
      </c>
      <c r="R21" s="253">
        <v>0</v>
      </c>
      <c r="S21" s="253">
        <v>0</v>
      </c>
      <c r="T21" s="253">
        <v>0</v>
      </c>
      <c r="U21" s="253">
        <v>0</v>
      </c>
      <c r="V21" s="253">
        <v>0</v>
      </c>
      <c r="W21" s="253">
        <v>0</v>
      </c>
      <c r="X21" s="754">
        <v>0</v>
      </c>
      <c r="Y21" s="777"/>
    </row>
    <row r="22" spans="1:25">
      <c r="A22" s="748" t="str">
        <f>Prop2018DistTar!A22</f>
        <v>C1GB</v>
      </c>
      <c r="B22" s="750" t="str">
        <f>Prop2018DistTar!B22</f>
        <v>Non-Residential Single Rate - Bulk</v>
      </c>
      <c r="C22" s="760"/>
      <c r="D22" s="252">
        <v>5599.0051578270723</v>
      </c>
      <c r="E22" s="253">
        <v>73848559.175984561</v>
      </c>
      <c r="F22" s="253">
        <v>0</v>
      </c>
      <c r="G22" s="253">
        <v>0</v>
      </c>
      <c r="H22" s="253">
        <v>0</v>
      </c>
      <c r="I22" s="253">
        <v>0</v>
      </c>
      <c r="J22" s="253">
        <v>0</v>
      </c>
      <c r="K22" s="253">
        <v>0</v>
      </c>
      <c r="L22" s="253">
        <v>0</v>
      </c>
      <c r="M22" s="253">
        <v>0</v>
      </c>
      <c r="N22" s="253">
        <v>0</v>
      </c>
      <c r="O22" s="253">
        <v>0</v>
      </c>
      <c r="P22" s="253">
        <v>0</v>
      </c>
      <c r="Q22" s="253">
        <v>0</v>
      </c>
      <c r="R22" s="253">
        <v>0</v>
      </c>
      <c r="S22" s="253">
        <v>0</v>
      </c>
      <c r="T22" s="253">
        <v>0</v>
      </c>
      <c r="U22" s="253">
        <v>0</v>
      </c>
      <c r="V22" s="253">
        <v>0</v>
      </c>
      <c r="W22" s="253">
        <v>0</v>
      </c>
      <c r="X22" s="754">
        <v>0</v>
      </c>
      <c r="Y22" s="777"/>
    </row>
    <row r="23" spans="1:25">
      <c r="A23" s="748" t="str">
        <f>Prop2018DistTar!A23</f>
        <v>C2G5</v>
      </c>
      <c r="B23" s="750" t="str">
        <f>Prop2018DistTar!B23</f>
        <v>Non-Residential Two Rate 5d</v>
      </c>
      <c r="C23" s="760"/>
      <c r="D23" s="252">
        <v>6325.9121198712201</v>
      </c>
      <c r="E23" s="253">
        <v>0</v>
      </c>
      <c r="F23" s="253">
        <v>90006939.07082431</v>
      </c>
      <c r="G23" s="253">
        <v>0</v>
      </c>
      <c r="H23" s="253">
        <v>0</v>
      </c>
      <c r="I23" s="253">
        <v>56232415.067280285</v>
      </c>
      <c r="J23" s="253">
        <v>0</v>
      </c>
      <c r="K23" s="253">
        <v>0</v>
      </c>
      <c r="L23" s="253">
        <v>0</v>
      </c>
      <c r="M23" s="253">
        <v>0</v>
      </c>
      <c r="N23" s="253">
        <v>0</v>
      </c>
      <c r="O23" s="253">
        <v>0</v>
      </c>
      <c r="P23" s="253">
        <v>0</v>
      </c>
      <c r="Q23" s="253">
        <v>0</v>
      </c>
      <c r="R23" s="253">
        <v>0</v>
      </c>
      <c r="S23" s="253">
        <v>0</v>
      </c>
      <c r="T23" s="253">
        <v>0</v>
      </c>
      <c r="U23" s="253">
        <v>0</v>
      </c>
      <c r="V23" s="253">
        <v>0</v>
      </c>
      <c r="W23" s="253">
        <v>0</v>
      </c>
      <c r="X23" s="754">
        <v>0</v>
      </c>
      <c r="Y23" s="777"/>
    </row>
    <row r="24" spans="1:25">
      <c r="A24" s="748" t="str">
        <f>Prop2018DistTar!A24</f>
        <v>C2G5B</v>
      </c>
      <c r="B24" s="750" t="str">
        <f>Prop2018DistTar!B24</f>
        <v>Non-Residential Two Rate 5d - Bulk</v>
      </c>
      <c r="C24" s="760"/>
      <c r="D24" s="252">
        <v>1106.5355969893287</v>
      </c>
      <c r="E24" s="253">
        <v>0</v>
      </c>
      <c r="F24" s="253">
        <v>16887632.067035981</v>
      </c>
      <c r="G24" s="253">
        <v>0</v>
      </c>
      <c r="H24" s="253">
        <v>0</v>
      </c>
      <c r="I24" s="253">
        <v>9694170.3462755531</v>
      </c>
      <c r="J24" s="253">
        <v>0</v>
      </c>
      <c r="K24" s="253">
        <v>0</v>
      </c>
      <c r="L24" s="253">
        <v>0</v>
      </c>
      <c r="M24" s="253">
        <v>0</v>
      </c>
      <c r="N24" s="253">
        <v>0</v>
      </c>
      <c r="O24" s="253">
        <v>0</v>
      </c>
      <c r="P24" s="253">
        <v>0</v>
      </c>
      <c r="Q24" s="253">
        <v>0</v>
      </c>
      <c r="R24" s="253">
        <v>0</v>
      </c>
      <c r="S24" s="253">
        <v>0</v>
      </c>
      <c r="T24" s="253">
        <v>0</v>
      </c>
      <c r="U24" s="253">
        <v>0</v>
      </c>
      <c r="V24" s="253">
        <v>0</v>
      </c>
      <c r="W24" s="253">
        <v>0</v>
      </c>
      <c r="X24" s="754">
        <v>0</v>
      </c>
      <c r="Y24" s="777"/>
    </row>
    <row r="25" spans="1:25">
      <c r="A25" s="748" t="str">
        <f>Prop2018DistTar!A25</f>
        <v>C3G</v>
      </c>
      <c r="B25" s="750" t="str">
        <f>Prop2018DistTar!B25</f>
        <v>Non-Residential Interval</v>
      </c>
      <c r="C25" s="760"/>
      <c r="D25" s="252">
        <v>4011.7924540561471</v>
      </c>
      <c r="E25" s="253">
        <v>0</v>
      </c>
      <c r="F25" s="253">
        <v>44315700.538597859</v>
      </c>
      <c r="G25" s="253">
        <v>0</v>
      </c>
      <c r="H25" s="253">
        <v>0</v>
      </c>
      <c r="I25" s="253">
        <v>25142157.462131292</v>
      </c>
      <c r="J25" s="253">
        <v>0</v>
      </c>
      <c r="K25" s="253">
        <v>0</v>
      </c>
      <c r="L25" s="253">
        <v>0</v>
      </c>
      <c r="M25" s="253">
        <v>0</v>
      </c>
      <c r="N25" s="253">
        <v>0</v>
      </c>
      <c r="O25" s="253">
        <v>0</v>
      </c>
      <c r="P25" s="253">
        <v>0</v>
      </c>
      <c r="Q25" s="253">
        <v>0</v>
      </c>
      <c r="R25" s="253">
        <v>0</v>
      </c>
      <c r="S25" s="253">
        <v>0</v>
      </c>
      <c r="T25" s="253">
        <v>0</v>
      </c>
      <c r="U25" s="253">
        <v>0</v>
      </c>
      <c r="V25" s="253">
        <v>0</v>
      </c>
      <c r="W25" s="253">
        <v>0</v>
      </c>
      <c r="X25" s="754">
        <v>0</v>
      </c>
      <c r="Y25" s="777"/>
    </row>
    <row r="26" spans="1:25">
      <c r="A26" s="748" t="str">
        <f>Prop2018DistTar!A26</f>
        <v>C3GB</v>
      </c>
      <c r="B26" s="750" t="str">
        <f>Prop2018DistTar!B26</f>
        <v>Non-Residential Interval - Bulk</v>
      </c>
      <c r="C26" s="760"/>
      <c r="D26" s="252">
        <v>1947.1728239646436</v>
      </c>
      <c r="E26" s="253">
        <v>0</v>
      </c>
      <c r="F26" s="253">
        <v>28963727.791959636</v>
      </c>
      <c r="G26" s="253">
        <v>0</v>
      </c>
      <c r="H26" s="253">
        <v>0</v>
      </c>
      <c r="I26" s="253">
        <v>15296835.410435298</v>
      </c>
      <c r="J26" s="253">
        <v>0</v>
      </c>
      <c r="K26" s="253">
        <v>0</v>
      </c>
      <c r="L26" s="253">
        <v>0</v>
      </c>
      <c r="M26" s="253">
        <v>0</v>
      </c>
      <c r="N26" s="253">
        <v>0</v>
      </c>
      <c r="O26" s="253">
        <v>0</v>
      </c>
      <c r="P26" s="253">
        <v>0</v>
      </c>
      <c r="Q26" s="253">
        <v>0</v>
      </c>
      <c r="R26" s="253">
        <v>0</v>
      </c>
      <c r="S26" s="253">
        <v>0</v>
      </c>
      <c r="T26" s="253">
        <v>0</v>
      </c>
      <c r="U26" s="253">
        <v>0</v>
      </c>
      <c r="V26" s="253">
        <v>0</v>
      </c>
      <c r="W26" s="253">
        <v>0</v>
      </c>
      <c r="X26" s="754">
        <v>0</v>
      </c>
      <c r="Y26" s="777"/>
    </row>
    <row r="27" spans="1:25">
      <c r="A27" s="748" t="str">
        <f>Prop2018DistTar!A27</f>
        <v>C14G</v>
      </c>
      <c r="B27" s="750" t="str">
        <f>Prop2018DistTar!B27</f>
        <v>Non-Residential Flexible Pricing</v>
      </c>
      <c r="C27" s="760"/>
      <c r="D27" s="252">
        <v>21.102227884604787</v>
      </c>
      <c r="E27" s="253">
        <v>0</v>
      </c>
      <c r="F27" s="253">
        <v>0</v>
      </c>
      <c r="G27" s="253">
        <v>0</v>
      </c>
      <c r="H27" s="253">
        <v>0</v>
      </c>
      <c r="I27" s="253">
        <v>0</v>
      </c>
      <c r="J27" s="253">
        <v>0</v>
      </c>
      <c r="K27" s="253">
        <v>0</v>
      </c>
      <c r="L27" s="253">
        <v>0</v>
      </c>
      <c r="M27" s="253">
        <v>0</v>
      </c>
      <c r="N27" s="253">
        <v>0</v>
      </c>
      <c r="O27" s="253">
        <v>0</v>
      </c>
      <c r="P27" s="253">
        <v>0</v>
      </c>
      <c r="Q27" s="253">
        <v>43821.569362858281</v>
      </c>
      <c r="R27" s="253">
        <v>12365.145540133803</v>
      </c>
      <c r="S27" s="253">
        <v>36868.097137445991</v>
      </c>
      <c r="T27" s="253">
        <v>0</v>
      </c>
      <c r="U27" s="253">
        <v>161494.87127302433</v>
      </c>
      <c r="V27" s="253">
        <v>41032.760510766886</v>
      </c>
      <c r="W27" s="253">
        <v>110833.91500246867</v>
      </c>
      <c r="X27" s="754">
        <v>0</v>
      </c>
      <c r="Y27" s="777"/>
    </row>
    <row r="28" spans="1:25">
      <c r="A28" s="748" t="str">
        <f>Prop2018DistTar!A28</f>
        <v>C14GB</v>
      </c>
      <c r="B28" s="750" t="str">
        <f>Prop2018DistTar!B28</f>
        <v>Non-Residential - Flexible Pricing Bulk</v>
      </c>
      <c r="C28" s="760"/>
      <c r="D28" s="252">
        <v>5</v>
      </c>
      <c r="E28" s="253">
        <v>0</v>
      </c>
      <c r="F28" s="253">
        <v>0</v>
      </c>
      <c r="G28" s="253">
        <v>0</v>
      </c>
      <c r="H28" s="253">
        <v>0</v>
      </c>
      <c r="I28" s="253">
        <v>0</v>
      </c>
      <c r="J28" s="253">
        <v>0</v>
      </c>
      <c r="K28" s="253">
        <v>0</v>
      </c>
      <c r="L28" s="253">
        <v>0</v>
      </c>
      <c r="M28" s="253">
        <v>0</v>
      </c>
      <c r="N28" s="253">
        <v>0</v>
      </c>
      <c r="O28" s="253">
        <v>0</v>
      </c>
      <c r="P28" s="253">
        <v>0</v>
      </c>
      <c r="Q28" s="253">
        <v>10467.500468311788</v>
      </c>
      <c r="R28" s="253">
        <v>2361.8467108005088</v>
      </c>
      <c r="S28" s="253">
        <v>7699.3201699207311</v>
      </c>
      <c r="T28" s="253">
        <v>0</v>
      </c>
      <c r="U28" s="253">
        <v>30024.781573814373</v>
      </c>
      <c r="V28" s="253">
        <v>6386.5841435979974</v>
      </c>
      <c r="W28" s="253">
        <v>20918.502315015376</v>
      </c>
      <c r="X28" s="754">
        <v>0</v>
      </c>
      <c r="Y28" s="777"/>
    </row>
    <row r="29" spans="1:25">
      <c r="A29" s="748" t="str">
        <f>Prop2018DistTar!A29</f>
        <v>C2G7</v>
      </c>
      <c r="B29" s="750" t="str">
        <f>Prop2018DistTar!B29</f>
        <v>Non-Residential Two Rate 7d</v>
      </c>
      <c r="C29" s="760"/>
      <c r="D29" s="252">
        <v>2322.444207091999</v>
      </c>
      <c r="E29" s="253">
        <v>0</v>
      </c>
      <c r="F29" s="253">
        <v>37314656.187938549</v>
      </c>
      <c r="G29" s="253">
        <v>0</v>
      </c>
      <c r="H29" s="253">
        <v>0</v>
      </c>
      <c r="I29" s="253">
        <v>8982959.3015620131</v>
      </c>
      <c r="J29" s="253">
        <v>0</v>
      </c>
      <c r="K29" s="253">
        <v>0</v>
      </c>
      <c r="L29" s="253">
        <v>0</v>
      </c>
      <c r="M29" s="253">
        <v>0</v>
      </c>
      <c r="N29" s="253">
        <v>0</v>
      </c>
      <c r="O29" s="253">
        <v>0</v>
      </c>
      <c r="P29" s="253">
        <v>0</v>
      </c>
      <c r="Q29" s="253">
        <v>0</v>
      </c>
      <c r="R29" s="253">
        <v>0</v>
      </c>
      <c r="S29" s="253">
        <v>0</v>
      </c>
      <c r="T29" s="253">
        <v>0</v>
      </c>
      <c r="U29" s="253">
        <v>0</v>
      </c>
      <c r="V29" s="253">
        <v>0</v>
      </c>
      <c r="W29" s="253">
        <v>0</v>
      </c>
      <c r="X29" s="754">
        <v>0</v>
      </c>
      <c r="Y29" s="777"/>
    </row>
    <row r="30" spans="1:25">
      <c r="A30" s="748" t="str">
        <f>Prop2018DistTar!A30</f>
        <v>C2G7B</v>
      </c>
      <c r="B30" s="750" t="str">
        <f>Prop2018DistTar!B30</f>
        <v>Non-Residential Two Rate 7d - Bulk</v>
      </c>
      <c r="C30" s="760"/>
      <c r="D30" s="252">
        <v>251.52691546810573</v>
      </c>
      <c r="E30" s="253">
        <v>0</v>
      </c>
      <c r="F30" s="253">
        <v>5172333.90074181</v>
      </c>
      <c r="G30" s="253">
        <v>0</v>
      </c>
      <c r="H30" s="253">
        <v>0</v>
      </c>
      <c r="I30" s="253">
        <v>1298680.7753647633</v>
      </c>
      <c r="J30" s="253">
        <v>0</v>
      </c>
      <c r="K30" s="253">
        <v>0</v>
      </c>
      <c r="L30" s="253">
        <v>0</v>
      </c>
      <c r="M30" s="253">
        <v>0</v>
      </c>
      <c r="N30" s="253">
        <v>0</v>
      </c>
      <c r="O30" s="253">
        <v>0</v>
      </c>
      <c r="P30" s="253">
        <v>0</v>
      </c>
      <c r="Q30" s="253">
        <v>0</v>
      </c>
      <c r="R30" s="253">
        <v>0</v>
      </c>
      <c r="S30" s="253">
        <v>0</v>
      </c>
      <c r="T30" s="253">
        <v>0</v>
      </c>
      <c r="U30" s="253">
        <v>0</v>
      </c>
      <c r="V30" s="253">
        <v>0</v>
      </c>
      <c r="W30" s="253">
        <v>0</v>
      </c>
      <c r="X30" s="754">
        <v>0</v>
      </c>
      <c r="Y30" s="777"/>
    </row>
    <row r="31" spans="1:25">
      <c r="A31" s="748" t="str">
        <f>Prop2018DistTar!A31</f>
        <v>C2L7</v>
      </c>
      <c r="B31" s="750" t="str">
        <f>Prop2018DistTar!B31</f>
        <v>Large Two Rate 7d</v>
      </c>
      <c r="C31" s="760"/>
      <c r="D31" s="252">
        <v>4</v>
      </c>
      <c r="E31" s="253">
        <v>0</v>
      </c>
      <c r="F31" s="253">
        <v>224820.2679166478</v>
      </c>
      <c r="G31" s="253">
        <v>0</v>
      </c>
      <c r="H31" s="253">
        <v>0</v>
      </c>
      <c r="I31" s="253">
        <v>61632.40762098199</v>
      </c>
      <c r="J31" s="253">
        <v>0</v>
      </c>
      <c r="K31" s="253">
        <v>0</v>
      </c>
      <c r="L31" s="253">
        <v>0</v>
      </c>
      <c r="M31" s="253">
        <v>0</v>
      </c>
      <c r="N31" s="253">
        <v>0</v>
      </c>
      <c r="O31" s="253">
        <v>0</v>
      </c>
      <c r="P31" s="253">
        <v>0</v>
      </c>
      <c r="Q31" s="253">
        <v>0</v>
      </c>
      <c r="R31" s="253">
        <v>0</v>
      </c>
      <c r="S31" s="253">
        <v>0</v>
      </c>
      <c r="T31" s="253">
        <v>0</v>
      </c>
      <c r="U31" s="253">
        <v>0</v>
      </c>
      <c r="V31" s="253">
        <v>0</v>
      </c>
      <c r="W31" s="253">
        <v>0</v>
      </c>
      <c r="X31" s="754">
        <v>0</v>
      </c>
      <c r="Y31" s="777"/>
    </row>
    <row r="32" spans="1:25">
      <c r="A32" s="748" t="str">
        <f>Prop2018DistTar!A32</f>
        <v>CG</v>
      </c>
      <c r="B32" s="750" t="str">
        <f>Prop2018DistTar!B32</f>
        <v>Non-Residential Demand Tariff</v>
      </c>
      <c r="C32" s="760"/>
      <c r="D32" s="252">
        <v>5</v>
      </c>
      <c r="E32" s="253">
        <v>100000</v>
      </c>
      <c r="F32" s="253">
        <v>0</v>
      </c>
      <c r="G32" s="253">
        <v>0</v>
      </c>
      <c r="H32" s="253">
        <v>0</v>
      </c>
      <c r="I32" s="253">
        <v>0</v>
      </c>
      <c r="J32" s="253">
        <v>0</v>
      </c>
      <c r="K32" s="253">
        <v>0</v>
      </c>
      <c r="L32" s="253">
        <v>0</v>
      </c>
      <c r="M32" s="253">
        <v>0</v>
      </c>
      <c r="N32" s="253">
        <v>0</v>
      </c>
      <c r="O32" s="253">
        <v>130.46314416177432</v>
      </c>
      <c r="P32" s="253">
        <v>228.31050228310502</v>
      </c>
      <c r="Q32" s="253">
        <v>0</v>
      </c>
      <c r="R32" s="253">
        <v>0</v>
      </c>
      <c r="S32" s="253">
        <v>0</v>
      </c>
      <c r="T32" s="253">
        <v>0</v>
      </c>
      <c r="U32" s="253">
        <v>0</v>
      </c>
      <c r="V32" s="253">
        <v>0</v>
      </c>
      <c r="W32" s="253">
        <v>0</v>
      </c>
      <c r="X32" s="754">
        <v>0</v>
      </c>
      <c r="Y32" s="777"/>
    </row>
    <row r="33" spans="1:25">
      <c r="A33" s="748" t="str">
        <f>Prop2018DistTar!A33</f>
        <v>CGB</v>
      </c>
      <c r="B33" s="750" t="str">
        <f>Prop2018DistTar!B33</f>
        <v>Non-Residential Bulk Demand Tariff</v>
      </c>
      <c r="C33" s="760"/>
      <c r="D33" s="252">
        <v>1</v>
      </c>
      <c r="E33" s="253">
        <v>16000</v>
      </c>
      <c r="F33" s="253">
        <v>0</v>
      </c>
      <c r="G33" s="253">
        <v>0</v>
      </c>
      <c r="H33" s="253">
        <v>0</v>
      </c>
      <c r="I33" s="253">
        <v>0</v>
      </c>
      <c r="J33" s="253">
        <v>0</v>
      </c>
      <c r="K33" s="253">
        <v>0</v>
      </c>
      <c r="L33" s="253">
        <v>0</v>
      </c>
      <c r="M33" s="253">
        <v>0</v>
      </c>
      <c r="N33" s="253">
        <v>0</v>
      </c>
      <c r="O33" s="253">
        <v>20.874103065883887</v>
      </c>
      <c r="P33" s="253">
        <v>36.529680365296798</v>
      </c>
      <c r="Q33" s="253">
        <v>0</v>
      </c>
      <c r="R33" s="253">
        <v>0</v>
      </c>
      <c r="S33" s="253">
        <v>0</v>
      </c>
      <c r="T33" s="253">
        <v>0</v>
      </c>
      <c r="U33" s="253">
        <v>0</v>
      </c>
      <c r="V33" s="253">
        <v>0</v>
      </c>
      <c r="W33" s="253">
        <v>0</v>
      </c>
      <c r="X33" s="754">
        <v>0</v>
      </c>
      <c r="Y33" s="777"/>
    </row>
    <row r="34" spans="1:25" s="791" customFormat="1">
      <c r="A34" s="791" t="str">
        <f>Prop2018DistTar!A34</f>
        <v>CMG</v>
      </c>
      <c r="B34" s="792" t="str">
        <f>Prop2018DistTar!B34</f>
        <v>Medium Business Demand</v>
      </c>
      <c r="C34" s="793"/>
      <c r="D34" s="794">
        <v>4463.7584285325547</v>
      </c>
      <c r="E34" s="795">
        <v>0</v>
      </c>
      <c r="F34" s="795">
        <v>386252377.39520049</v>
      </c>
      <c r="G34" s="795"/>
      <c r="H34" s="795"/>
      <c r="I34" s="795">
        <v>237378613.53280866</v>
      </c>
      <c r="J34" s="795"/>
      <c r="K34" s="795"/>
      <c r="L34" s="795"/>
      <c r="M34" s="795"/>
      <c r="N34" s="795"/>
      <c r="O34" s="795">
        <v>766038.95646403439</v>
      </c>
      <c r="P34" s="795">
        <v>1328764.2515772351</v>
      </c>
      <c r="Q34" s="795">
        <v>0</v>
      </c>
      <c r="R34" s="795">
        <v>0</v>
      </c>
      <c r="S34" s="795">
        <v>0</v>
      </c>
      <c r="T34" s="795">
        <v>0</v>
      </c>
      <c r="U34" s="795">
        <v>0</v>
      </c>
      <c r="V34" s="795">
        <v>0</v>
      </c>
      <c r="W34" s="795">
        <v>0</v>
      </c>
      <c r="X34" s="796">
        <v>0</v>
      </c>
      <c r="Y34" s="797"/>
    </row>
    <row r="35" spans="1:25" s="791" customFormat="1">
      <c r="A35" s="791" t="str">
        <f>Prop2018DistTar!A35</f>
        <v>CMGB</v>
      </c>
      <c r="B35" s="792" t="str">
        <f>Prop2018DistTar!B35</f>
        <v>Medium Business Bulk Demand</v>
      </c>
      <c r="C35" s="793"/>
      <c r="D35" s="794">
        <v>2151.0682091572939</v>
      </c>
      <c r="E35" s="795">
        <v>0</v>
      </c>
      <c r="F35" s="795">
        <v>264043162.66575199</v>
      </c>
      <c r="G35" s="795"/>
      <c r="H35" s="795"/>
      <c r="I35" s="795">
        <v>158295707.38288888</v>
      </c>
      <c r="J35" s="795"/>
      <c r="K35" s="795"/>
      <c r="L35" s="795"/>
      <c r="M35" s="795"/>
      <c r="N35" s="795"/>
      <c r="O35" s="795">
        <v>526166.5523566457</v>
      </c>
      <c r="P35" s="795">
        <v>853931.13978681236</v>
      </c>
      <c r="Q35" s="795">
        <v>0</v>
      </c>
      <c r="R35" s="795">
        <v>0</v>
      </c>
      <c r="S35" s="795">
        <v>0</v>
      </c>
      <c r="T35" s="795">
        <v>0</v>
      </c>
      <c r="U35" s="795">
        <v>0</v>
      </c>
      <c r="V35" s="795">
        <v>0</v>
      </c>
      <c r="W35" s="795">
        <v>0</v>
      </c>
      <c r="X35" s="796">
        <v>0</v>
      </c>
      <c r="Y35" s="797"/>
    </row>
    <row r="36" spans="1:25">
      <c r="A36" s="748" t="str">
        <f>Prop2018DistTar!A36</f>
        <v>CMGO</v>
      </c>
      <c r="B36" s="750" t="str">
        <f>Prop2018DistTar!B36</f>
        <v>Medium Business Opt-out</v>
      </c>
      <c r="C36" s="760"/>
      <c r="D36" s="252">
        <v>0</v>
      </c>
      <c r="E36" s="253">
        <v>0</v>
      </c>
      <c r="F36" s="253">
        <v>0</v>
      </c>
      <c r="G36" s="253">
        <v>0</v>
      </c>
      <c r="H36" s="253">
        <v>0</v>
      </c>
      <c r="I36" s="253">
        <v>0</v>
      </c>
      <c r="J36" s="253">
        <v>0</v>
      </c>
      <c r="K36" s="253">
        <v>0</v>
      </c>
      <c r="L36" s="253">
        <v>0</v>
      </c>
      <c r="M36" s="253">
        <v>0</v>
      </c>
      <c r="N36" s="253">
        <v>0</v>
      </c>
      <c r="O36" s="253">
        <v>0</v>
      </c>
      <c r="P36" s="253">
        <v>0</v>
      </c>
      <c r="Q36" s="253">
        <v>0</v>
      </c>
      <c r="R36" s="253">
        <v>0</v>
      </c>
      <c r="S36" s="253">
        <v>0</v>
      </c>
      <c r="T36" s="253">
        <v>0</v>
      </c>
      <c r="U36" s="253">
        <v>0</v>
      </c>
      <c r="V36" s="253">
        <v>0</v>
      </c>
      <c r="W36" s="253">
        <v>0</v>
      </c>
      <c r="X36" s="754">
        <v>0</v>
      </c>
      <c r="Y36" s="798"/>
    </row>
    <row r="37" spans="1:25">
      <c r="A37" s="748" t="str">
        <f>Prop2018DistTar!A37</f>
        <v>CMGBO</v>
      </c>
      <c r="B37" s="750" t="str">
        <f>Prop2018DistTar!B37</f>
        <v>Medium Business Bulk Opt-out</v>
      </c>
      <c r="C37" s="760"/>
      <c r="D37" s="252">
        <v>0</v>
      </c>
      <c r="E37" s="253">
        <v>0</v>
      </c>
      <c r="F37" s="253">
        <v>0</v>
      </c>
      <c r="G37" s="253">
        <v>0</v>
      </c>
      <c r="H37" s="253">
        <v>0</v>
      </c>
      <c r="I37" s="253">
        <v>0</v>
      </c>
      <c r="J37" s="253">
        <v>0</v>
      </c>
      <c r="K37" s="253">
        <v>0</v>
      </c>
      <c r="L37" s="253">
        <v>0</v>
      </c>
      <c r="M37" s="253">
        <v>0</v>
      </c>
      <c r="N37" s="253">
        <v>0</v>
      </c>
      <c r="O37" s="253">
        <v>0</v>
      </c>
      <c r="P37" s="253">
        <v>0</v>
      </c>
      <c r="Q37" s="253">
        <v>0</v>
      </c>
      <c r="R37" s="253">
        <v>0</v>
      </c>
      <c r="S37" s="253">
        <v>0</v>
      </c>
      <c r="T37" s="253">
        <v>0</v>
      </c>
      <c r="U37" s="253">
        <v>0</v>
      </c>
      <c r="V37" s="253">
        <v>0</v>
      </c>
      <c r="W37" s="253">
        <v>0</v>
      </c>
      <c r="X37" s="754">
        <v>0</v>
      </c>
      <c r="Y37" s="798"/>
    </row>
    <row r="38" spans="1:25">
      <c r="A38" s="748" t="str">
        <f>Prop2018DistTar!A38</f>
        <v>C2U</v>
      </c>
      <c r="B38" s="750" t="str">
        <f>Prop2018DistTar!B38</f>
        <v>Unmetered Supplies / Public Lighting</v>
      </c>
      <c r="C38" s="760"/>
      <c r="D38" s="252">
        <v>4063</v>
      </c>
      <c r="E38" s="253">
        <v>0</v>
      </c>
      <c r="F38" s="253">
        <v>14704755.161692999</v>
      </c>
      <c r="G38" s="253">
        <v>0</v>
      </c>
      <c r="H38" s="253">
        <v>0</v>
      </c>
      <c r="I38" s="253">
        <v>24328971.636999998</v>
      </c>
      <c r="J38" s="253">
        <v>0</v>
      </c>
      <c r="K38" s="253">
        <v>0</v>
      </c>
      <c r="L38" s="253">
        <v>0</v>
      </c>
      <c r="M38" s="253">
        <v>0</v>
      </c>
      <c r="N38" s="253">
        <v>0</v>
      </c>
      <c r="O38" s="253">
        <v>0</v>
      </c>
      <c r="P38" s="253">
        <v>0</v>
      </c>
      <c r="Q38" s="253">
        <v>0</v>
      </c>
      <c r="R38" s="253">
        <v>0</v>
      </c>
      <c r="S38" s="253">
        <v>0</v>
      </c>
      <c r="T38" s="253">
        <v>0</v>
      </c>
      <c r="U38" s="253">
        <v>0</v>
      </c>
      <c r="V38" s="253">
        <v>0</v>
      </c>
      <c r="W38" s="253">
        <v>0</v>
      </c>
      <c r="X38" s="754">
        <v>0</v>
      </c>
      <c r="Y38" s="777"/>
    </row>
    <row r="39" spans="1:25">
      <c r="A39" s="748" t="str">
        <f>Prop2018DistTar!A39</f>
        <v>CLLV</v>
      </c>
      <c r="B39" s="750" t="str">
        <f>Prop2018DistTar!B39</f>
        <v>Large low Voltage</v>
      </c>
      <c r="C39" s="760"/>
      <c r="D39" s="252">
        <v>330.02895782458518</v>
      </c>
      <c r="E39" s="253">
        <v>0</v>
      </c>
      <c r="F39" s="253">
        <v>112861608.3435501</v>
      </c>
      <c r="G39" s="253">
        <v>0</v>
      </c>
      <c r="H39" s="253">
        <v>0</v>
      </c>
      <c r="I39" s="253">
        <v>88751320.906778917</v>
      </c>
      <c r="J39" s="253">
        <v>0</v>
      </c>
      <c r="K39" s="253">
        <v>0</v>
      </c>
      <c r="L39" s="253">
        <v>0</v>
      </c>
      <c r="M39" s="253">
        <v>64648.710384258302</v>
      </c>
      <c r="N39" s="253">
        <v>0</v>
      </c>
      <c r="O39" s="253">
        <v>0</v>
      </c>
      <c r="P39" s="253">
        <v>0</v>
      </c>
      <c r="Q39" s="253">
        <v>0</v>
      </c>
      <c r="R39" s="253">
        <v>0</v>
      </c>
      <c r="S39" s="253">
        <v>0</v>
      </c>
      <c r="T39" s="253">
        <v>0</v>
      </c>
      <c r="U39" s="253">
        <v>0</v>
      </c>
      <c r="V39" s="253">
        <v>0</v>
      </c>
      <c r="W39" s="253">
        <v>0</v>
      </c>
      <c r="X39" s="754">
        <v>0</v>
      </c>
      <c r="Y39" s="777"/>
    </row>
    <row r="40" spans="1:25">
      <c r="A40" s="748" t="str">
        <f>Prop2018DistTar!A40</f>
        <v>CLLVB</v>
      </c>
      <c r="B40" s="750" t="str">
        <f>Prop2018DistTar!B40</f>
        <v>Large low Voltage Bulk</v>
      </c>
      <c r="C40" s="760"/>
      <c r="D40" s="252">
        <v>1655.625823869291</v>
      </c>
      <c r="E40" s="253">
        <v>0</v>
      </c>
      <c r="F40" s="253">
        <v>1130104578.5870445</v>
      </c>
      <c r="G40" s="253">
        <v>0</v>
      </c>
      <c r="H40" s="253">
        <v>0</v>
      </c>
      <c r="I40" s="253">
        <v>843930303.69004881</v>
      </c>
      <c r="J40" s="253">
        <v>0</v>
      </c>
      <c r="K40" s="253">
        <v>0</v>
      </c>
      <c r="L40" s="253">
        <v>0</v>
      </c>
      <c r="M40" s="253">
        <v>645709.60805396631</v>
      </c>
      <c r="N40" s="253">
        <v>0</v>
      </c>
      <c r="O40" s="253">
        <v>0</v>
      </c>
      <c r="P40" s="253">
        <v>0</v>
      </c>
      <c r="Q40" s="253">
        <v>0</v>
      </c>
      <c r="R40" s="253">
        <v>0</v>
      </c>
      <c r="S40" s="253">
        <v>0</v>
      </c>
      <c r="T40" s="253">
        <v>0</v>
      </c>
      <c r="U40" s="253">
        <v>0</v>
      </c>
      <c r="V40" s="253">
        <v>0</v>
      </c>
      <c r="W40" s="253">
        <v>0</v>
      </c>
      <c r="X40" s="754">
        <v>0</v>
      </c>
      <c r="Y40" s="777"/>
    </row>
    <row r="41" spans="1:25">
      <c r="A41" s="748" t="str">
        <f>Prop2018DistTar!A41</f>
        <v>CHV</v>
      </c>
      <c r="B41" s="750" t="str">
        <f>Prop2018DistTar!B41</f>
        <v>High Voltage</v>
      </c>
      <c r="C41" s="760"/>
      <c r="D41" s="252">
        <v>90.982553708010002</v>
      </c>
      <c r="E41" s="253">
        <v>0</v>
      </c>
      <c r="F41" s="253">
        <v>343486676.72513288</v>
      </c>
      <c r="G41" s="253">
        <v>0</v>
      </c>
      <c r="H41" s="253">
        <v>0</v>
      </c>
      <c r="I41" s="253">
        <v>320752044.24805528</v>
      </c>
      <c r="J41" s="253">
        <v>0</v>
      </c>
      <c r="K41" s="253">
        <v>0</v>
      </c>
      <c r="L41" s="253">
        <v>0</v>
      </c>
      <c r="M41" s="253">
        <v>198974.44614725537</v>
      </c>
      <c r="N41" s="253">
        <v>0</v>
      </c>
      <c r="O41" s="253">
        <v>0</v>
      </c>
      <c r="P41" s="253">
        <v>0</v>
      </c>
      <c r="Q41" s="253">
        <v>0</v>
      </c>
      <c r="R41" s="253">
        <v>0</v>
      </c>
      <c r="S41" s="253">
        <v>0</v>
      </c>
      <c r="T41" s="253">
        <v>0</v>
      </c>
      <c r="U41" s="253">
        <v>0</v>
      </c>
      <c r="V41" s="253">
        <v>0</v>
      </c>
      <c r="W41" s="253">
        <v>0</v>
      </c>
      <c r="X41" s="754">
        <v>0</v>
      </c>
      <c r="Y41" s="777"/>
    </row>
    <row r="42" spans="1:25">
      <c r="A42" s="748" t="str">
        <f>Prop2018DistTar!A42</f>
        <v>CST</v>
      </c>
      <c r="B42" s="750" t="str">
        <f>Prop2018DistTar!B42</f>
        <v>Subtransmission</v>
      </c>
      <c r="C42" s="760"/>
      <c r="D42" s="252">
        <v>6</v>
      </c>
      <c r="E42" s="253">
        <v>0</v>
      </c>
      <c r="F42" s="253">
        <v>65598744.876000002</v>
      </c>
      <c r="G42" s="253">
        <v>0</v>
      </c>
      <c r="H42" s="253">
        <v>0</v>
      </c>
      <c r="I42" s="253">
        <v>37964642.608999997</v>
      </c>
      <c r="J42" s="253">
        <v>0</v>
      </c>
      <c r="K42" s="253">
        <v>0</v>
      </c>
      <c r="L42" s="253">
        <v>0</v>
      </c>
      <c r="M42" s="253">
        <v>37371.68516666667</v>
      </c>
      <c r="N42" s="253">
        <v>0</v>
      </c>
      <c r="O42" s="253">
        <v>0</v>
      </c>
      <c r="P42" s="253">
        <v>0</v>
      </c>
      <c r="Q42" s="253">
        <v>0</v>
      </c>
      <c r="R42" s="253">
        <v>0</v>
      </c>
      <c r="S42" s="253">
        <v>0</v>
      </c>
      <c r="T42" s="253">
        <v>0</v>
      </c>
      <c r="U42" s="253">
        <v>0</v>
      </c>
      <c r="V42" s="253">
        <v>0</v>
      </c>
      <c r="W42" s="253">
        <v>0</v>
      </c>
      <c r="X42" s="754">
        <v>0</v>
      </c>
      <c r="Y42" s="777"/>
    </row>
    <row r="43" spans="1:25">
      <c r="B43" s="750"/>
      <c r="C43" s="760"/>
      <c r="D43" s="252"/>
      <c r="E43" s="253"/>
      <c r="F43" s="253"/>
      <c r="G43" s="253"/>
      <c r="H43" s="253"/>
      <c r="I43" s="253"/>
      <c r="J43" s="253"/>
      <c r="K43" s="253"/>
      <c r="L43" s="253"/>
      <c r="M43" s="253"/>
      <c r="N43" s="253"/>
      <c r="O43" s="253"/>
      <c r="P43" s="253"/>
      <c r="Q43" s="253"/>
      <c r="R43" s="253"/>
      <c r="S43" s="253"/>
      <c r="T43" s="253"/>
      <c r="U43" s="253"/>
      <c r="V43" s="253"/>
      <c r="W43" s="253"/>
      <c r="X43" s="754"/>
      <c r="Y43" s="777"/>
    </row>
    <row r="44" spans="1:25">
      <c r="B44" s="750"/>
      <c r="C44" s="760"/>
      <c r="D44" s="252"/>
      <c r="E44" s="253"/>
      <c r="F44" s="253"/>
      <c r="G44" s="253"/>
      <c r="H44" s="253"/>
      <c r="I44" s="253"/>
      <c r="J44" s="253"/>
      <c r="K44" s="253"/>
      <c r="L44" s="253"/>
      <c r="M44" s="253"/>
      <c r="N44" s="253"/>
      <c r="O44" s="253"/>
      <c r="P44" s="253"/>
      <c r="Q44" s="253"/>
      <c r="R44" s="253"/>
      <c r="S44" s="253"/>
      <c r="T44" s="253"/>
      <c r="U44" s="253"/>
      <c r="V44" s="253"/>
      <c r="W44" s="253"/>
      <c r="X44" s="754"/>
      <c r="Y44" s="777"/>
    </row>
    <row r="45" spans="1:25">
      <c r="B45" s="750"/>
      <c r="C45" s="760"/>
      <c r="D45" s="252"/>
      <c r="E45" s="253"/>
      <c r="F45" s="253"/>
      <c r="G45" s="253"/>
      <c r="H45" s="253"/>
      <c r="I45" s="253"/>
      <c r="J45" s="253"/>
      <c r="K45" s="253"/>
      <c r="L45" s="253"/>
      <c r="M45" s="253"/>
      <c r="N45" s="253"/>
      <c r="O45" s="253"/>
      <c r="P45" s="253"/>
      <c r="Q45" s="253"/>
      <c r="R45" s="253"/>
      <c r="S45" s="253"/>
      <c r="T45" s="253"/>
      <c r="U45" s="253"/>
      <c r="V45" s="253"/>
      <c r="W45" s="253"/>
      <c r="X45" s="754"/>
      <c r="Y45" s="777"/>
    </row>
    <row r="46" spans="1:25">
      <c r="B46" s="750"/>
      <c r="C46" s="760"/>
      <c r="D46" s="252"/>
      <c r="E46" s="253"/>
      <c r="F46" s="253"/>
      <c r="G46" s="253"/>
      <c r="H46" s="253"/>
      <c r="I46" s="253"/>
      <c r="J46" s="253"/>
      <c r="K46" s="253"/>
      <c r="L46" s="253"/>
      <c r="M46" s="253"/>
      <c r="N46" s="253"/>
      <c r="O46" s="253"/>
      <c r="P46" s="253"/>
      <c r="Q46" s="253"/>
      <c r="R46" s="253"/>
      <c r="S46" s="253"/>
      <c r="T46" s="253"/>
      <c r="U46" s="253"/>
      <c r="V46" s="253"/>
      <c r="W46" s="253"/>
      <c r="X46" s="754"/>
      <c r="Y46" s="777"/>
    </row>
    <row r="47" spans="1:25">
      <c r="B47" s="750"/>
      <c r="C47" s="760"/>
      <c r="D47" s="252"/>
      <c r="E47" s="253"/>
      <c r="F47" s="253"/>
      <c r="G47" s="253"/>
      <c r="H47" s="253"/>
      <c r="I47" s="253"/>
      <c r="J47" s="253"/>
      <c r="K47" s="253"/>
      <c r="L47" s="253"/>
      <c r="M47" s="253"/>
      <c r="N47" s="253"/>
      <c r="O47" s="253"/>
      <c r="P47" s="253"/>
      <c r="Q47" s="253"/>
      <c r="R47" s="253"/>
      <c r="S47" s="253"/>
      <c r="T47" s="253"/>
      <c r="U47" s="253"/>
      <c r="V47" s="253"/>
      <c r="W47" s="253"/>
      <c r="X47" s="754"/>
      <c r="Y47" s="777"/>
    </row>
    <row r="48" spans="1:25">
      <c r="B48" s="750"/>
      <c r="C48" s="760"/>
      <c r="D48" s="252"/>
      <c r="E48" s="253"/>
      <c r="F48" s="253"/>
      <c r="G48" s="253"/>
      <c r="H48" s="253"/>
      <c r="I48" s="253"/>
      <c r="J48" s="253"/>
      <c r="K48" s="253"/>
      <c r="L48" s="253"/>
      <c r="M48" s="253"/>
      <c r="N48" s="253"/>
      <c r="O48" s="253"/>
      <c r="P48" s="253"/>
      <c r="Q48" s="253"/>
      <c r="R48" s="253"/>
      <c r="S48" s="253"/>
      <c r="T48" s="253"/>
      <c r="U48" s="253"/>
      <c r="V48" s="253"/>
      <c r="W48" s="253"/>
      <c r="X48" s="754"/>
      <c r="Y48" s="777"/>
    </row>
    <row r="49" spans="2:25">
      <c r="B49" s="750"/>
      <c r="C49" s="760"/>
      <c r="D49" s="252"/>
      <c r="E49" s="253"/>
      <c r="F49" s="253"/>
      <c r="G49" s="253"/>
      <c r="H49" s="253"/>
      <c r="I49" s="253"/>
      <c r="J49" s="253"/>
      <c r="K49" s="253"/>
      <c r="L49" s="253"/>
      <c r="M49" s="253"/>
      <c r="N49" s="253"/>
      <c r="O49" s="253"/>
      <c r="P49" s="253"/>
      <c r="Q49" s="253"/>
      <c r="R49" s="253"/>
      <c r="S49" s="253"/>
      <c r="T49" s="253"/>
      <c r="U49" s="253"/>
      <c r="V49" s="253"/>
      <c r="W49" s="253"/>
      <c r="X49" s="754"/>
      <c r="Y49" s="777"/>
    </row>
    <row r="50" spans="2:25" s="791" customFormat="1">
      <c r="B50" s="792"/>
      <c r="C50" s="793"/>
      <c r="D50" s="794"/>
      <c r="E50" s="795"/>
      <c r="F50" s="795"/>
      <c r="G50" s="795"/>
      <c r="H50" s="795"/>
      <c r="I50" s="795"/>
      <c r="J50" s="795"/>
      <c r="K50" s="795"/>
      <c r="L50" s="795"/>
      <c r="M50" s="795"/>
      <c r="N50" s="795"/>
      <c r="O50" s="795"/>
      <c r="P50" s="795"/>
      <c r="Q50" s="795"/>
      <c r="R50" s="795"/>
      <c r="S50" s="795"/>
      <c r="T50" s="795"/>
      <c r="U50" s="795"/>
      <c r="V50" s="795"/>
      <c r="W50" s="795"/>
      <c r="X50" s="796"/>
      <c r="Y50" s="797"/>
    </row>
    <row r="51" spans="2:25" s="791" customFormat="1">
      <c r="B51" s="792"/>
      <c r="C51" s="793"/>
      <c r="D51" s="794"/>
      <c r="E51" s="795"/>
      <c r="F51" s="795"/>
      <c r="G51" s="795"/>
      <c r="H51" s="795"/>
      <c r="I51" s="795"/>
      <c r="J51" s="795"/>
      <c r="K51" s="795"/>
      <c r="L51" s="795"/>
      <c r="M51" s="795"/>
      <c r="N51" s="795"/>
      <c r="O51" s="795"/>
      <c r="P51" s="795"/>
      <c r="Q51" s="795"/>
      <c r="R51" s="795"/>
      <c r="S51" s="795"/>
      <c r="T51" s="795"/>
      <c r="U51" s="795"/>
      <c r="V51" s="795"/>
      <c r="W51" s="795"/>
      <c r="X51" s="796"/>
      <c r="Y51" s="797"/>
    </row>
    <row r="52" spans="2:25">
      <c r="B52" s="750"/>
      <c r="C52" s="760"/>
      <c r="D52" s="252"/>
      <c r="E52" s="253"/>
      <c r="F52" s="253"/>
      <c r="G52" s="253"/>
      <c r="H52" s="253"/>
      <c r="I52" s="253"/>
      <c r="J52" s="253"/>
      <c r="K52" s="253"/>
      <c r="L52" s="253"/>
      <c r="M52" s="253"/>
      <c r="N52" s="253"/>
      <c r="O52" s="253"/>
      <c r="P52" s="253"/>
      <c r="Q52" s="253"/>
      <c r="R52" s="253"/>
      <c r="S52" s="253"/>
      <c r="T52" s="253"/>
      <c r="U52" s="253"/>
      <c r="V52" s="253"/>
      <c r="W52" s="253"/>
      <c r="X52" s="754"/>
      <c r="Y52" s="777"/>
    </row>
    <row r="53" spans="2:25">
      <c r="B53" s="750"/>
      <c r="C53" s="760"/>
      <c r="D53" s="252"/>
      <c r="E53" s="253"/>
      <c r="F53" s="253"/>
      <c r="G53" s="253"/>
      <c r="H53" s="253"/>
      <c r="I53" s="253"/>
      <c r="J53" s="253"/>
      <c r="K53" s="253"/>
      <c r="L53" s="253"/>
      <c r="M53" s="253"/>
      <c r="N53" s="253"/>
      <c r="O53" s="253"/>
      <c r="P53" s="253"/>
      <c r="Q53" s="253"/>
      <c r="R53" s="253"/>
      <c r="S53" s="253"/>
      <c r="T53" s="253"/>
      <c r="U53" s="253"/>
      <c r="V53" s="253"/>
      <c r="W53" s="253"/>
      <c r="X53" s="754"/>
      <c r="Y53" s="777"/>
    </row>
    <row r="54" spans="2:25">
      <c r="B54" s="750"/>
      <c r="C54" s="760"/>
      <c r="D54" s="252"/>
      <c r="E54" s="253"/>
      <c r="F54" s="253"/>
      <c r="G54" s="253"/>
      <c r="H54" s="253"/>
      <c r="I54" s="253"/>
      <c r="J54" s="253"/>
      <c r="K54" s="253"/>
      <c r="L54" s="253"/>
      <c r="M54" s="253"/>
      <c r="N54" s="253"/>
      <c r="O54" s="253"/>
      <c r="P54" s="253"/>
      <c r="Q54" s="253"/>
      <c r="R54" s="253"/>
      <c r="S54" s="253"/>
      <c r="T54" s="253"/>
      <c r="U54" s="253"/>
      <c r="V54" s="253"/>
      <c r="W54" s="253"/>
      <c r="X54" s="754"/>
      <c r="Y54" s="777"/>
    </row>
    <row r="55" spans="2:25">
      <c r="B55" s="750"/>
      <c r="C55" s="760"/>
      <c r="D55" s="252"/>
      <c r="E55" s="253"/>
      <c r="F55" s="253"/>
      <c r="G55" s="253"/>
      <c r="H55" s="253"/>
      <c r="I55" s="253"/>
      <c r="J55" s="253"/>
      <c r="K55" s="253"/>
      <c r="L55" s="253"/>
      <c r="M55" s="253"/>
      <c r="N55" s="253"/>
      <c r="O55" s="253"/>
      <c r="P55" s="253"/>
      <c r="Q55" s="253"/>
      <c r="R55" s="253"/>
      <c r="S55" s="253"/>
      <c r="T55" s="253"/>
      <c r="U55" s="253"/>
      <c r="V55" s="253"/>
      <c r="W55" s="253"/>
      <c r="X55" s="754"/>
      <c r="Y55" s="777"/>
    </row>
    <row r="56" spans="2:25">
      <c r="B56" s="750"/>
      <c r="C56" s="760"/>
      <c r="D56" s="252"/>
      <c r="E56" s="253"/>
      <c r="F56" s="253"/>
      <c r="G56" s="253"/>
      <c r="H56" s="253"/>
      <c r="I56" s="253"/>
      <c r="J56" s="253"/>
      <c r="K56" s="253"/>
      <c r="L56" s="253"/>
      <c r="M56" s="253"/>
      <c r="N56" s="253"/>
      <c r="O56" s="253"/>
      <c r="P56" s="253"/>
      <c r="Q56" s="253"/>
      <c r="R56" s="253"/>
      <c r="S56" s="253"/>
      <c r="T56" s="253"/>
      <c r="U56" s="253"/>
      <c r="V56" s="253"/>
      <c r="W56" s="253"/>
      <c r="X56" s="754"/>
      <c r="Y56" s="777"/>
    </row>
    <row r="57" spans="2:25">
      <c r="B57" s="750"/>
      <c r="C57" s="760"/>
      <c r="D57" s="252"/>
      <c r="E57" s="253"/>
      <c r="F57" s="253"/>
      <c r="G57" s="253"/>
      <c r="H57" s="253"/>
      <c r="I57" s="253"/>
      <c r="J57" s="253"/>
      <c r="K57" s="253"/>
      <c r="L57" s="253"/>
      <c r="M57" s="253"/>
      <c r="N57" s="253"/>
      <c r="O57" s="253"/>
      <c r="P57" s="253"/>
      <c r="Q57" s="253"/>
      <c r="R57" s="253"/>
      <c r="S57" s="253"/>
      <c r="T57" s="253"/>
      <c r="U57" s="253"/>
      <c r="V57" s="253"/>
      <c r="W57" s="253"/>
      <c r="X57" s="754"/>
      <c r="Y57" s="777"/>
    </row>
    <row r="58" spans="2:25">
      <c r="B58" s="750"/>
      <c r="C58" s="760"/>
      <c r="D58" s="252"/>
      <c r="E58" s="253"/>
      <c r="F58" s="253"/>
      <c r="G58" s="253"/>
      <c r="H58" s="253"/>
      <c r="I58" s="253"/>
      <c r="J58" s="253"/>
      <c r="K58" s="253"/>
      <c r="L58" s="253"/>
      <c r="M58" s="253"/>
      <c r="N58" s="253"/>
      <c r="O58" s="253"/>
      <c r="P58" s="253"/>
      <c r="Q58" s="253"/>
      <c r="R58" s="253"/>
      <c r="S58" s="253"/>
      <c r="T58" s="253"/>
      <c r="U58" s="253"/>
      <c r="V58" s="253"/>
      <c r="W58" s="253"/>
      <c r="X58" s="754"/>
      <c r="Y58" s="777"/>
    </row>
    <row r="59" spans="2:25">
      <c r="B59" s="750"/>
      <c r="C59" s="760"/>
      <c r="D59" s="252"/>
      <c r="E59" s="253"/>
      <c r="F59" s="253"/>
      <c r="G59" s="253"/>
      <c r="H59" s="253"/>
      <c r="I59" s="253"/>
      <c r="J59" s="253"/>
      <c r="K59" s="253"/>
      <c r="L59" s="253"/>
      <c r="M59" s="253"/>
      <c r="N59" s="253"/>
      <c r="O59" s="253"/>
      <c r="P59" s="253"/>
      <c r="Q59" s="253"/>
      <c r="R59" s="253"/>
      <c r="S59" s="253"/>
      <c r="T59" s="253"/>
      <c r="U59" s="253"/>
      <c r="V59" s="253"/>
      <c r="W59" s="253"/>
      <c r="X59" s="754"/>
      <c r="Y59" s="777"/>
    </row>
    <row r="60" spans="2:25">
      <c r="B60" s="750"/>
      <c r="C60" s="760"/>
      <c r="D60" s="252"/>
      <c r="E60" s="253"/>
      <c r="F60" s="253"/>
      <c r="G60" s="253"/>
      <c r="H60" s="253"/>
      <c r="I60" s="253"/>
      <c r="J60" s="253"/>
      <c r="K60" s="253"/>
      <c r="L60" s="253"/>
      <c r="M60" s="253"/>
      <c r="N60" s="253"/>
      <c r="O60" s="253"/>
      <c r="P60" s="253"/>
      <c r="Q60" s="253"/>
      <c r="R60" s="253"/>
      <c r="S60" s="253"/>
      <c r="T60" s="253"/>
      <c r="U60" s="253"/>
      <c r="V60" s="253"/>
      <c r="W60" s="253"/>
      <c r="X60" s="754"/>
      <c r="Y60" s="777"/>
    </row>
    <row r="61" spans="2:25">
      <c r="B61" s="750"/>
      <c r="C61" s="760"/>
      <c r="D61" s="252"/>
      <c r="E61" s="253"/>
      <c r="F61" s="253"/>
      <c r="G61" s="253"/>
      <c r="H61" s="253"/>
      <c r="I61" s="253"/>
      <c r="J61" s="253"/>
      <c r="K61" s="253"/>
      <c r="L61" s="253"/>
      <c r="M61" s="253"/>
      <c r="N61" s="253"/>
      <c r="O61" s="253"/>
      <c r="P61" s="253"/>
      <c r="Q61" s="253"/>
      <c r="R61" s="253"/>
      <c r="S61" s="253"/>
      <c r="T61" s="253"/>
      <c r="U61" s="253"/>
      <c r="V61" s="253"/>
      <c r="W61" s="253"/>
      <c r="X61" s="754"/>
      <c r="Y61" s="777"/>
    </row>
    <row r="62" spans="2:25">
      <c r="B62" s="750"/>
      <c r="C62" s="760"/>
      <c r="D62" s="252"/>
      <c r="E62" s="253"/>
      <c r="F62" s="253"/>
      <c r="G62" s="253"/>
      <c r="H62" s="253"/>
      <c r="I62" s="253"/>
      <c r="J62" s="253"/>
      <c r="K62" s="253"/>
      <c r="L62" s="253"/>
      <c r="M62" s="253"/>
      <c r="N62" s="253"/>
      <c r="O62" s="253"/>
      <c r="P62" s="253"/>
      <c r="Q62" s="253"/>
      <c r="R62" s="253"/>
      <c r="S62" s="253"/>
      <c r="T62" s="253"/>
      <c r="U62" s="253"/>
      <c r="V62" s="253"/>
      <c r="W62" s="253"/>
      <c r="X62" s="754"/>
      <c r="Y62" s="777"/>
    </row>
    <row r="63" spans="2:25">
      <c r="B63" s="750"/>
      <c r="C63" s="760"/>
      <c r="D63" s="252"/>
      <c r="E63" s="253"/>
      <c r="F63" s="253"/>
      <c r="G63" s="253"/>
      <c r="H63" s="253"/>
      <c r="I63" s="253"/>
      <c r="J63" s="253"/>
      <c r="K63" s="253"/>
      <c r="L63" s="253"/>
      <c r="M63" s="253"/>
      <c r="N63" s="253"/>
      <c r="O63" s="253"/>
      <c r="P63" s="253"/>
      <c r="Q63" s="253"/>
      <c r="R63" s="253"/>
      <c r="S63" s="253"/>
      <c r="T63" s="253"/>
      <c r="U63" s="253"/>
      <c r="V63" s="253"/>
      <c r="W63" s="253"/>
      <c r="X63" s="754"/>
      <c r="Y63" s="777"/>
    </row>
    <row r="64" spans="2:25">
      <c r="B64" s="750"/>
      <c r="C64" s="760"/>
      <c r="D64" s="252"/>
      <c r="E64" s="253"/>
      <c r="F64" s="253"/>
      <c r="G64" s="253"/>
      <c r="H64" s="253"/>
      <c r="I64" s="253"/>
      <c r="J64" s="253"/>
      <c r="K64" s="253"/>
      <c r="L64" s="253"/>
      <c r="M64" s="253"/>
      <c r="N64" s="253"/>
      <c r="O64" s="253"/>
      <c r="P64" s="253"/>
      <c r="Q64" s="253"/>
      <c r="R64" s="253"/>
      <c r="S64" s="253"/>
      <c r="T64" s="253"/>
      <c r="U64" s="253"/>
      <c r="V64" s="253"/>
      <c r="W64" s="253"/>
      <c r="X64" s="754"/>
      <c r="Y64" s="777"/>
    </row>
    <row r="65" spans="2:25" ht="13.5" thickBot="1">
      <c r="B65" s="262"/>
      <c r="C65" s="292"/>
      <c r="D65" s="267"/>
      <c r="E65" s="268"/>
      <c r="F65" s="268"/>
      <c r="G65" s="268"/>
      <c r="H65" s="268"/>
      <c r="I65" s="268"/>
      <c r="J65" s="268"/>
      <c r="K65" s="268"/>
      <c r="L65" s="268"/>
      <c r="M65" s="268"/>
      <c r="N65" s="268"/>
      <c r="O65" s="268"/>
      <c r="P65" s="268"/>
      <c r="Q65" s="268"/>
      <c r="R65" s="268"/>
      <c r="S65" s="268"/>
      <c r="T65" s="268"/>
      <c r="U65" s="268"/>
      <c r="V65" s="268"/>
      <c r="W65" s="268"/>
      <c r="X65" s="269"/>
      <c r="Y65" s="777"/>
    </row>
    <row r="66" spans="2:25" ht="13.5" thickBot="1">
      <c r="B66" s="274"/>
      <c r="C66" s="154"/>
      <c r="D66" s="275">
        <f t="shared" ref="D66:X66" si="0">SUM(D6:D65)</f>
        <v>365938.91721318808</v>
      </c>
      <c r="E66" s="275">
        <f t="shared" si="0"/>
        <v>1235940224.1841166</v>
      </c>
      <c r="F66" s="275">
        <f t="shared" si="0"/>
        <v>2661223693.0817952</v>
      </c>
      <c r="G66" s="275">
        <f t="shared" si="0"/>
        <v>0</v>
      </c>
      <c r="H66" s="275">
        <f t="shared" si="0"/>
        <v>0</v>
      </c>
      <c r="I66" s="275">
        <f t="shared" si="0"/>
        <v>1998672956.8881953</v>
      </c>
      <c r="J66" s="275">
        <f t="shared" si="0"/>
        <v>0</v>
      </c>
      <c r="K66" s="275">
        <f t="shared" si="0"/>
        <v>0</v>
      </c>
      <c r="L66" s="275">
        <f t="shared" si="0"/>
        <v>0</v>
      </c>
      <c r="M66" s="275">
        <f t="shared" si="0"/>
        <v>946704.44975214661</v>
      </c>
      <c r="N66" s="275">
        <f t="shared" si="0"/>
        <v>0</v>
      </c>
      <c r="O66" s="275">
        <f t="shared" si="0"/>
        <v>1292432.1885336612</v>
      </c>
      <c r="P66" s="275">
        <f t="shared" si="0"/>
        <v>2183080.7794919014</v>
      </c>
      <c r="Q66" s="275">
        <f t="shared" si="0"/>
        <v>278510.92236634385</v>
      </c>
      <c r="R66" s="275">
        <f t="shared" si="0"/>
        <v>467168.79569337569</v>
      </c>
      <c r="S66" s="275">
        <f t="shared" si="0"/>
        <v>364966.73287545034</v>
      </c>
      <c r="T66" s="275">
        <f t="shared" si="0"/>
        <v>0</v>
      </c>
      <c r="U66" s="275">
        <f t="shared" si="0"/>
        <v>1013688.2884133384</v>
      </c>
      <c r="V66" s="275">
        <f t="shared" si="0"/>
        <v>1670241.1883880778</v>
      </c>
      <c r="W66" s="275">
        <f t="shared" si="0"/>
        <v>1299163.2104853343</v>
      </c>
      <c r="X66" s="275">
        <f t="shared" si="0"/>
        <v>0</v>
      </c>
    </row>
    <row r="67" spans="2:25" ht="13.5" thickTop="1">
      <c r="B67" s="274"/>
      <c r="C67" s="154"/>
    </row>
    <row r="68" spans="2:25">
      <c r="B68" s="274"/>
      <c r="C68" s="154"/>
      <c r="D68" s="765"/>
    </row>
    <row r="69" spans="2:25">
      <c r="B69" s="274"/>
      <c r="C69" s="154"/>
    </row>
    <row r="70" spans="2:25">
      <c r="B70" s="274"/>
      <c r="C70" s="154"/>
    </row>
    <row r="71" spans="2:25">
      <c r="B71" s="274"/>
      <c r="C71" s="154"/>
    </row>
    <row r="72" spans="2:25">
      <c r="B72" s="274"/>
      <c r="C72" s="154"/>
    </row>
    <row r="73" spans="2:25">
      <c r="B73" s="274"/>
      <c r="C73" s="154"/>
    </row>
    <row r="74" spans="2:25">
      <c r="B74" s="274"/>
      <c r="C74" s="154"/>
    </row>
    <row r="75" spans="2:25">
      <c r="B75" s="274"/>
      <c r="C75" s="154"/>
    </row>
    <row r="76" spans="2:25">
      <c r="B76" s="274"/>
      <c r="C76" s="154"/>
    </row>
    <row r="77" spans="2:25">
      <c r="B77" s="274"/>
      <c r="C77" s="154"/>
    </row>
    <row r="78" spans="2:25">
      <c r="B78" s="274"/>
      <c r="C78" s="154"/>
    </row>
    <row r="79" spans="2:25">
      <c r="B79" s="274"/>
      <c r="C79" s="154"/>
    </row>
    <row r="80" spans="2:25">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3" max="1048575" man="1"/>
    <brk id="25" max="1048575"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tabSelected="1" zoomScale="80" zoomScaleNormal="80" workbookViewId="0">
      <selection activeCell="B4" sqref="B4"/>
    </sheetView>
  </sheetViews>
  <sheetFormatPr defaultRowHeight="14.25"/>
  <cols>
    <col min="1" max="1" width="5.42578125" style="32" customWidth="1"/>
    <col min="2" max="2" width="78.42578125" style="33" customWidth="1"/>
    <col min="3" max="3" width="18.5703125" style="34" customWidth="1"/>
    <col min="4" max="5" width="18.5703125" style="35" customWidth="1"/>
    <col min="6" max="6" width="9.140625" style="35" customWidth="1"/>
    <col min="7" max="7" width="18.5703125" style="35" customWidth="1"/>
    <col min="8" max="8" width="18.42578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302</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H6" s="620">
        <f>C6-1</f>
        <v>2017</v>
      </c>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108</v>
      </c>
      <c r="C8" s="46"/>
      <c r="D8" s="47"/>
      <c r="E8" s="47"/>
      <c r="M8" s="78"/>
      <c r="N8" s="78"/>
      <c r="O8" s="78"/>
      <c r="P8" s="78"/>
      <c r="Q8" s="78"/>
      <c r="R8" s="78"/>
    </row>
    <row r="9" spans="1:24" ht="18" customHeight="1">
      <c r="A9" s="43"/>
      <c r="B9" s="48" t="s">
        <v>118</v>
      </c>
      <c r="C9" s="73">
        <f>Prop2018DistTar!CM66</f>
        <v>293358386.96368277</v>
      </c>
      <c r="D9" s="47"/>
      <c r="E9" s="36"/>
      <c r="H9" s="36"/>
      <c r="I9" s="35"/>
      <c r="J9" s="35"/>
      <c r="M9" s="78"/>
      <c r="N9" s="78"/>
      <c r="O9" s="78"/>
      <c r="P9" s="78"/>
      <c r="Q9" s="78"/>
      <c r="R9" s="78"/>
    </row>
    <row r="10" spans="1:24" ht="18" customHeight="1">
      <c r="A10" s="43"/>
      <c r="B10" s="85" t="s">
        <v>119</v>
      </c>
      <c r="C10" s="86">
        <f>C18</f>
        <v>293358386.96368277</v>
      </c>
      <c r="D10" s="49"/>
      <c r="E10" s="36"/>
      <c r="H10" s="36"/>
      <c r="I10" s="35"/>
      <c r="J10" s="35"/>
      <c r="M10" s="78"/>
      <c r="N10" s="78"/>
      <c r="O10" s="78"/>
      <c r="P10" s="78"/>
      <c r="Q10" s="78"/>
      <c r="R10" s="78"/>
    </row>
    <row r="11" spans="1:24" ht="18" customHeight="1">
      <c r="A11" s="43"/>
      <c r="B11" s="87"/>
      <c r="C11" s="89" t="str">
        <f>IF(C9="","",IF(C10&gt;=C9,"DUoS REVENUE CAP FORMULA COMPLIANT","DUoS REVENUE CAP FORMULA BREACHED"))</f>
        <v>DUoS REVENUE CAP FORMULA COMPLIANT</v>
      </c>
      <c r="D11" s="50"/>
      <c r="E11" s="75"/>
      <c r="F11" s="76"/>
      <c r="G11" s="76"/>
      <c r="H11" s="36"/>
      <c r="I11" s="76"/>
      <c r="J11" s="76"/>
      <c r="K11" s="76"/>
      <c r="L11" s="76"/>
      <c r="M11" s="78"/>
      <c r="N11" s="78"/>
      <c r="O11" s="78"/>
      <c r="P11" s="78"/>
      <c r="Q11" s="78"/>
      <c r="R11" s="78"/>
      <c r="V11" s="51"/>
      <c r="W11" s="51"/>
      <c r="X11" s="51"/>
    </row>
    <row r="12" spans="1:24" ht="18" customHeight="1">
      <c r="A12" s="43"/>
      <c r="B12" s="50"/>
      <c r="C12" s="50"/>
      <c r="D12" s="50"/>
      <c r="E12" s="75"/>
      <c r="F12" s="76"/>
      <c r="G12" s="76"/>
      <c r="H12" s="50"/>
      <c r="I12" s="76"/>
      <c r="J12" s="76"/>
      <c r="K12" s="76"/>
      <c r="L12" s="76"/>
      <c r="M12" s="78"/>
      <c r="N12" s="78"/>
      <c r="O12" s="78"/>
      <c r="P12" s="78"/>
      <c r="Q12" s="78"/>
      <c r="R12" s="78"/>
      <c r="V12" s="51"/>
      <c r="W12" s="51"/>
      <c r="X12" s="51"/>
    </row>
    <row r="13" spans="1:24" ht="18" customHeight="1">
      <c r="A13" s="43"/>
      <c r="B13" s="44" t="s">
        <v>115</v>
      </c>
      <c r="C13" s="50"/>
      <c r="D13" s="50"/>
      <c r="E13" s="75"/>
      <c r="F13" s="76"/>
      <c r="G13" s="76"/>
      <c r="H13" s="50"/>
      <c r="I13" s="76"/>
      <c r="J13" s="76"/>
      <c r="K13" s="76"/>
      <c r="L13" s="76"/>
      <c r="M13" s="78"/>
      <c r="N13" s="78"/>
      <c r="O13" s="78"/>
      <c r="P13" s="78"/>
      <c r="Q13" s="78"/>
      <c r="R13" s="78"/>
      <c r="V13" s="51"/>
      <c r="W13" s="51"/>
      <c r="X13" s="51"/>
    </row>
    <row r="14" spans="1:24" ht="18" customHeight="1">
      <c r="A14" s="43"/>
      <c r="B14" s="53" t="s">
        <v>120</v>
      </c>
      <c r="C14" s="64">
        <f>C25</f>
        <v>293098089.74326599</v>
      </c>
      <c r="D14" s="50"/>
      <c r="E14" s="75"/>
      <c r="F14" s="76"/>
      <c r="G14" s="76"/>
      <c r="H14" s="64">
        <f>H25</f>
        <v>282154508.43208152</v>
      </c>
      <c r="I14" s="76"/>
      <c r="J14" s="76"/>
      <c r="K14" s="76"/>
      <c r="L14" s="76"/>
      <c r="M14" s="78"/>
      <c r="N14" s="78"/>
      <c r="O14" s="78"/>
      <c r="P14" s="78"/>
      <c r="Q14" s="78"/>
      <c r="R14" s="78"/>
      <c r="V14" s="51"/>
      <c r="W14" s="51"/>
      <c r="X14" s="51"/>
    </row>
    <row r="15" spans="1:24" ht="18" customHeight="1">
      <c r="A15" s="43"/>
      <c r="B15" s="54" t="s">
        <v>117</v>
      </c>
      <c r="C15" s="162">
        <f>'Model update'!B$100</f>
        <v>140000</v>
      </c>
      <c r="D15" s="50"/>
      <c r="E15" s="75"/>
      <c r="F15" s="76"/>
      <c r="G15" s="76"/>
      <c r="H15" s="162">
        <f>INDEX('Model update'!$D$100:$H$100,1,MATCH('2018DistRevCapForm'!$H$6,'Model update'!$D$93:$H$93,0))</f>
        <v>410000</v>
      </c>
      <c r="I15" s="76"/>
      <c r="J15" s="76"/>
      <c r="K15" s="76"/>
      <c r="L15" s="76"/>
      <c r="M15" s="78"/>
      <c r="N15" s="78"/>
      <c r="O15" s="78"/>
      <c r="P15" s="78"/>
      <c r="Q15" s="78"/>
      <c r="R15" s="78"/>
      <c r="V15" s="51"/>
      <c r="W15" s="51"/>
      <c r="X15" s="51"/>
    </row>
    <row r="16" spans="1:24" ht="18" customHeight="1">
      <c r="A16" s="43"/>
      <c r="B16" s="54" t="s">
        <v>116</v>
      </c>
      <c r="C16" s="64">
        <f>'Model update'!B144</f>
        <v>0</v>
      </c>
      <c r="D16" s="50"/>
      <c r="E16" s="75"/>
      <c r="F16" s="76"/>
      <c r="G16" s="76"/>
      <c r="H16" s="64">
        <f>INDEX('Model update'!$D$144:$H$144,1,MATCH('2018DistRevCapForm'!$H$6,'Model update'!$D$137:$H$137,0))</f>
        <v>0</v>
      </c>
      <c r="I16" s="76"/>
      <c r="J16" s="76"/>
      <c r="K16" s="76"/>
      <c r="L16" s="76"/>
      <c r="M16" s="78"/>
      <c r="N16" s="78"/>
      <c r="O16" s="78"/>
      <c r="P16" s="78"/>
      <c r="Q16" s="78"/>
      <c r="R16" s="78"/>
      <c r="V16" s="51"/>
      <c r="W16" s="51"/>
      <c r="X16" s="51"/>
    </row>
    <row r="17" spans="1:29" ht="18" customHeight="1">
      <c r="A17" s="43"/>
      <c r="B17" s="54" t="s">
        <v>109</v>
      </c>
      <c r="C17" s="64">
        <f>C32</f>
        <v>120297.22041679439</v>
      </c>
      <c r="D17" s="50"/>
      <c r="E17" s="75"/>
      <c r="F17" s="76"/>
      <c r="G17" s="76"/>
      <c r="H17" s="64">
        <f>H32</f>
        <v>-2876661.8936005062</v>
      </c>
      <c r="I17" s="76"/>
      <c r="J17" s="76"/>
      <c r="K17" s="76"/>
      <c r="L17" s="76"/>
      <c r="M17" s="78"/>
      <c r="N17" s="78"/>
      <c r="O17" s="78"/>
      <c r="P17" s="78"/>
      <c r="Q17" s="78"/>
      <c r="R17" s="78"/>
      <c r="V17" s="51"/>
      <c r="W17" s="51"/>
      <c r="X17" s="51"/>
    </row>
    <row r="18" spans="1:29" ht="18" customHeight="1">
      <c r="A18" s="43"/>
      <c r="B18" s="48" t="s">
        <v>119</v>
      </c>
      <c r="C18" s="65">
        <f>C14+C15+C16+C17</f>
        <v>293358386.96368277</v>
      </c>
      <c r="D18" s="50"/>
      <c r="E18" s="75"/>
      <c r="F18" s="76"/>
      <c r="G18" s="76"/>
      <c r="H18" s="65">
        <f>H14+H15+H16+H17</f>
        <v>279687846.538481</v>
      </c>
      <c r="I18" s="76"/>
      <c r="J18" s="76"/>
      <c r="K18" s="76"/>
      <c r="L18" s="76"/>
      <c r="M18" s="78"/>
      <c r="N18" s="78"/>
      <c r="O18" s="78"/>
      <c r="P18" s="78"/>
      <c r="Q18" s="78"/>
      <c r="R18" s="78"/>
      <c r="V18" s="51"/>
      <c r="W18" s="51"/>
      <c r="X18" s="51"/>
    </row>
    <row r="19" spans="1:29" ht="18" customHeight="1">
      <c r="A19" s="43"/>
      <c r="B19" s="56"/>
      <c r="C19" s="92"/>
      <c r="D19" s="50"/>
      <c r="E19" s="75"/>
      <c r="F19" s="76"/>
      <c r="G19" s="76"/>
      <c r="H19" s="92"/>
      <c r="I19" s="76"/>
      <c r="J19" s="76"/>
      <c r="K19" s="76"/>
      <c r="L19" s="76"/>
      <c r="M19" s="78"/>
      <c r="N19" s="78"/>
      <c r="O19" s="78"/>
      <c r="P19" s="78"/>
      <c r="Q19" s="78"/>
      <c r="R19" s="78"/>
      <c r="V19" s="51"/>
      <c r="W19" s="51"/>
      <c r="X19" s="51"/>
    </row>
    <row r="20" spans="1:29" ht="18" customHeight="1">
      <c r="A20" s="43"/>
      <c r="B20" s="44" t="s">
        <v>114</v>
      </c>
      <c r="C20" s="93"/>
      <c r="D20" s="50"/>
      <c r="E20" s="75"/>
      <c r="F20" s="76"/>
      <c r="G20" s="76"/>
      <c r="H20" s="93"/>
      <c r="I20" s="76"/>
      <c r="J20" s="76"/>
      <c r="K20" s="76"/>
      <c r="L20" s="76"/>
      <c r="M20" s="78"/>
      <c r="N20" s="78"/>
      <c r="O20" s="78"/>
      <c r="P20" s="78"/>
      <c r="Q20" s="78"/>
      <c r="R20" s="78"/>
      <c r="V20" s="51"/>
      <c r="W20" s="51"/>
      <c r="X20" s="51"/>
    </row>
    <row r="21" spans="1:29" ht="18" customHeight="1">
      <c r="A21" s="43"/>
      <c r="B21" s="48" t="s">
        <v>121</v>
      </c>
      <c r="C21" s="722">
        <f>H25</f>
        <v>282154508.43208152</v>
      </c>
      <c r="D21" s="50"/>
      <c r="E21" s="75"/>
      <c r="F21" s="76"/>
      <c r="G21" s="76"/>
      <c r="H21" s="66">
        <v>279292116.38837218</v>
      </c>
      <c r="I21" s="76"/>
      <c r="J21" s="76"/>
      <c r="K21" s="76"/>
      <c r="L21" s="76"/>
      <c r="M21" s="78"/>
      <c r="N21" s="78"/>
      <c r="O21" s="78"/>
      <c r="P21" s="78"/>
      <c r="Q21" s="78"/>
      <c r="R21" s="78"/>
      <c r="V21" s="51"/>
      <c r="W21" s="51"/>
      <c r="X21" s="51"/>
    </row>
    <row r="22" spans="1:29" ht="18" customHeight="1">
      <c r="A22" s="43"/>
      <c r="B22" s="53" t="s">
        <v>110</v>
      </c>
      <c r="C22" s="67">
        <f>'Model update'!C30</f>
        <v>1.9337016574585641E-2</v>
      </c>
      <c r="D22" s="50"/>
      <c r="E22" s="566"/>
      <c r="F22" s="567"/>
      <c r="G22" s="76"/>
      <c r="H22" s="67">
        <f>'Model update'!C29</f>
        <v>1.0232558139534831E-2</v>
      </c>
      <c r="I22" s="76"/>
      <c r="J22" s="76"/>
      <c r="K22" s="76"/>
      <c r="L22" s="76"/>
      <c r="M22" s="78"/>
      <c r="N22" s="78"/>
      <c r="O22" s="78"/>
      <c r="P22" s="78"/>
      <c r="Q22" s="78"/>
      <c r="R22" s="78"/>
      <c r="V22" s="51"/>
      <c r="W22" s="51"/>
      <c r="X22" s="51"/>
    </row>
    <row r="23" spans="1:29" ht="18" customHeight="1">
      <c r="A23" s="43"/>
      <c r="B23" s="53" t="s">
        <v>111</v>
      </c>
      <c r="C23" s="67">
        <f>'Model update'!B60</f>
        <v>-5.0000000000000001E-4</v>
      </c>
      <c r="D23" s="50"/>
      <c r="E23" s="75"/>
      <c r="F23" s="76"/>
      <c r="G23" s="76"/>
      <c r="H23" s="67">
        <f>INDEX('Model update'!$E$60:$H$60,1,MATCH("Xt for "&amp;'2018DistRevCapForm'!$H$6,'Model update'!$E$53:$H$53,0))</f>
        <v>4.0000000000000001E-3</v>
      </c>
      <c r="I23" s="76"/>
      <c r="J23" s="76"/>
      <c r="K23" s="76"/>
      <c r="L23" s="76"/>
      <c r="M23" s="78"/>
      <c r="N23" s="78"/>
      <c r="O23" s="78"/>
      <c r="P23" s="78"/>
      <c r="Q23" s="78"/>
      <c r="R23" s="78"/>
      <c r="V23" s="51"/>
      <c r="W23" s="51"/>
      <c r="X23" s="51"/>
    </row>
    <row r="24" spans="1:29" ht="18" customHeight="1">
      <c r="A24" s="43"/>
      <c r="B24" s="53" t="s">
        <v>112</v>
      </c>
      <c r="C24" s="67">
        <f>'Model update'!B111</f>
        <v>1.8570526636221274E-2</v>
      </c>
      <c r="D24" s="50"/>
      <c r="E24" s="566"/>
      <c r="F24" s="567"/>
      <c r="G24" s="76"/>
      <c r="H24" s="67">
        <f>INDEX('Model update'!$D$111:$H$111,1,MATCH('2018DistRevCapForm'!$H$6,'Model update'!$D$104:$H$104,0))</f>
        <v>4.0321456836540648E-3</v>
      </c>
      <c r="I24" s="76"/>
      <c r="J24" s="76"/>
      <c r="K24" s="76"/>
      <c r="L24" s="76"/>
      <c r="M24" s="78"/>
      <c r="N24" s="78"/>
      <c r="O24" s="78"/>
      <c r="P24" s="78"/>
      <c r="Q24" s="78"/>
      <c r="R24" s="78"/>
      <c r="V24" s="51"/>
      <c r="W24" s="51"/>
      <c r="X24" s="51"/>
    </row>
    <row r="25" spans="1:29" ht="18" customHeight="1">
      <c r="A25" s="43"/>
      <c r="B25" s="53" t="s">
        <v>120</v>
      </c>
      <c r="C25" s="65">
        <f>IF(C6=2016,'Model update'!D60*(1+C24),(C21*(1+C22)*(1-C23)*(1+C24)))</f>
        <v>293098089.74326599</v>
      </c>
      <c r="D25" s="50"/>
      <c r="E25" s="75"/>
      <c r="F25" s="76"/>
      <c r="G25" s="76"/>
      <c r="H25" s="65">
        <f>IF(H6=2016,'Model update'!D60*(1+H24),(H21*(1+H22)*(1-H23)*(1+H24)))</f>
        <v>282154508.43208152</v>
      </c>
      <c r="I25" s="76"/>
      <c r="J25" s="76"/>
      <c r="K25" s="76"/>
      <c r="L25" s="76"/>
      <c r="M25" s="78"/>
      <c r="N25" s="78"/>
      <c r="O25" s="78"/>
      <c r="P25" s="78"/>
      <c r="Q25" s="78"/>
      <c r="R25" s="78"/>
      <c r="V25" s="51"/>
      <c r="W25" s="51"/>
      <c r="X25" s="51"/>
    </row>
    <row r="26" spans="1:29" ht="18" customHeight="1">
      <c r="A26" s="43"/>
      <c r="B26" s="57"/>
      <c r="C26" s="68"/>
      <c r="D26" s="50"/>
      <c r="E26" s="75"/>
      <c r="F26" s="568"/>
      <c r="G26" s="76"/>
      <c r="H26" s="68"/>
      <c r="I26" s="76"/>
      <c r="J26" s="76"/>
      <c r="K26" s="76"/>
      <c r="L26" s="76"/>
      <c r="M26" s="78"/>
      <c r="N26" s="78"/>
      <c r="O26" s="78"/>
      <c r="P26" s="78"/>
      <c r="Q26" s="78"/>
      <c r="R26" s="78"/>
      <c r="V26" s="51"/>
      <c r="W26" s="51"/>
      <c r="X26" s="51"/>
    </row>
    <row r="27" spans="1:29" ht="18" customHeight="1">
      <c r="A27" s="57"/>
      <c r="B27" s="58" t="s">
        <v>425</v>
      </c>
      <c r="C27" s="69"/>
      <c r="D27" s="50"/>
      <c r="E27" s="75"/>
      <c r="F27" s="76"/>
      <c r="G27" s="76"/>
      <c r="H27" s="69"/>
      <c r="I27" s="76"/>
      <c r="J27" s="76"/>
      <c r="K27" s="76"/>
      <c r="L27" s="76"/>
      <c r="M27" s="78"/>
      <c r="N27" s="78"/>
      <c r="O27" s="78"/>
      <c r="P27" s="78"/>
      <c r="Q27" s="78"/>
      <c r="R27" s="78"/>
      <c r="V27" s="51"/>
      <c r="W27" s="51"/>
      <c r="X27" s="51"/>
    </row>
    <row r="28" spans="1:29" ht="18" customHeight="1">
      <c r="A28" s="43"/>
      <c r="B28" s="60" t="s">
        <v>113</v>
      </c>
      <c r="C28" s="70">
        <f>E60</f>
        <v>35923.137823939323</v>
      </c>
      <c r="D28" s="50"/>
      <c r="E28" s="75"/>
      <c r="F28" s="76"/>
      <c r="G28" s="76"/>
      <c r="H28" s="724">
        <v>-2920680.9240999818</v>
      </c>
      <c r="I28" s="76"/>
      <c r="J28" s="76"/>
      <c r="K28" s="76"/>
      <c r="L28" s="76"/>
      <c r="M28" s="78"/>
      <c r="N28" s="78"/>
      <c r="O28" s="78"/>
      <c r="P28" s="78"/>
      <c r="Q28" s="78"/>
      <c r="R28" s="78"/>
      <c r="V28" s="51"/>
      <c r="W28" s="51"/>
      <c r="X28" s="51"/>
    </row>
    <row r="29" spans="1:29" ht="18" customHeight="1">
      <c r="A29" s="43"/>
      <c r="B29" s="60" t="s">
        <v>123</v>
      </c>
      <c r="C29" s="70">
        <f>C38</f>
        <v>84374.082592855062</v>
      </c>
      <c r="D29" s="50"/>
      <c r="E29" s="75"/>
      <c r="F29" s="75"/>
      <c r="G29" s="75"/>
      <c r="H29" s="70">
        <f>H38</f>
        <v>43444.541035977469</v>
      </c>
      <c r="I29" s="75"/>
      <c r="J29" s="75"/>
      <c r="K29" s="76"/>
      <c r="L29" s="76"/>
      <c r="M29" s="76"/>
      <c r="N29" s="76"/>
      <c r="O29" s="76"/>
      <c r="P29" s="76"/>
      <c r="Q29" s="76"/>
      <c r="R29" s="78"/>
      <c r="AA29" s="51"/>
      <c r="AB29" s="51"/>
      <c r="AC29" s="51"/>
    </row>
    <row r="30" spans="1:29" ht="18" customHeight="1">
      <c r="A30" s="43"/>
      <c r="B30" s="60" t="s">
        <v>124</v>
      </c>
      <c r="C30" s="70">
        <f>'Model update'!B122</f>
        <v>0</v>
      </c>
      <c r="D30" s="50"/>
      <c r="E30" s="75"/>
      <c r="F30" s="76"/>
      <c r="G30" s="75"/>
      <c r="H30" s="70">
        <f>INDEX('Model update'!$D$122:$H$122,1,MATCH($H$6,'Model update'!$D$115:$H$115,0))</f>
        <v>0</v>
      </c>
      <c r="I30" s="75"/>
      <c r="J30" s="75"/>
      <c r="K30" s="76"/>
      <c r="L30" s="76"/>
      <c r="M30" s="76"/>
      <c r="N30" s="76"/>
      <c r="O30" s="76"/>
      <c r="P30" s="76"/>
      <c r="Q30" s="76"/>
      <c r="R30" s="78"/>
      <c r="AA30" s="51"/>
      <c r="AB30" s="51"/>
      <c r="AC30" s="51"/>
    </row>
    <row r="31" spans="1:29" ht="18" customHeight="1">
      <c r="A31" s="43"/>
      <c r="B31" s="60" t="s">
        <v>423</v>
      </c>
      <c r="C31" s="720"/>
      <c r="D31" s="50"/>
      <c r="E31" s="75"/>
      <c r="F31" s="76"/>
      <c r="G31" s="75"/>
      <c r="H31" s="725">
        <v>574.48946349772928</v>
      </c>
      <c r="I31" s="75"/>
      <c r="J31" s="75"/>
      <c r="K31" s="76"/>
      <c r="L31" s="76"/>
      <c r="M31" s="76"/>
      <c r="N31" s="76"/>
      <c r="O31" s="76"/>
      <c r="P31" s="76"/>
      <c r="Q31" s="76"/>
      <c r="R31" s="78"/>
      <c r="AA31" s="51"/>
      <c r="AB31" s="51"/>
      <c r="AC31" s="51"/>
    </row>
    <row r="32" spans="1:29" ht="18" customHeight="1">
      <c r="A32" s="43"/>
      <c r="B32" s="59" t="s">
        <v>109</v>
      </c>
      <c r="C32" s="71">
        <f>SUM(C28:C31)</f>
        <v>120297.22041679439</v>
      </c>
      <c r="D32" s="50"/>
      <c r="E32" s="76"/>
      <c r="F32" s="76"/>
      <c r="G32" s="76"/>
      <c r="H32" s="71">
        <f>SUM(H28:H31)</f>
        <v>-2876661.8936005062</v>
      </c>
      <c r="I32" s="75"/>
      <c r="J32" s="76"/>
      <c r="K32" s="76"/>
      <c r="L32" s="76"/>
      <c r="M32" s="76"/>
      <c r="N32" s="76"/>
      <c r="O32" s="76"/>
      <c r="P32" s="76"/>
      <c r="Q32" s="78"/>
      <c r="R32" s="78"/>
      <c r="Z32" s="51"/>
      <c r="AA32" s="51"/>
      <c r="AB32" s="51"/>
    </row>
    <row r="33" spans="1:28" ht="18" customHeight="1">
      <c r="A33" s="43"/>
      <c r="B33" s="44"/>
      <c r="C33" s="93"/>
      <c r="D33" s="50"/>
      <c r="E33" s="76"/>
      <c r="F33" s="76"/>
      <c r="G33" s="76"/>
      <c r="H33" s="93"/>
      <c r="I33" s="75"/>
      <c r="J33" s="76"/>
      <c r="K33" s="76"/>
      <c r="L33" s="76"/>
      <c r="M33" s="76"/>
      <c r="N33" s="76"/>
      <c r="O33" s="76"/>
      <c r="P33" s="76"/>
      <c r="Q33" s="78"/>
      <c r="R33" s="78"/>
      <c r="Z33" s="51"/>
      <c r="AA33" s="51"/>
      <c r="AB33" s="51"/>
    </row>
    <row r="34" spans="1:28" ht="15">
      <c r="A34" s="61"/>
      <c r="B34" s="58" t="s">
        <v>426</v>
      </c>
      <c r="C34" s="62"/>
      <c r="D34" s="61"/>
      <c r="E34" s="77"/>
      <c r="F34" s="77"/>
      <c r="G34" s="77"/>
      <c r="H34" s="62"/>
      <c r="I34" s="77"/>
      <c r="J34" s="77"/>
      <c r="K34" s="77"/>
      <c r="L34" s="77"/>
      <c r="M34" s="77"/>
      <c r="N34" s="77"/>
      <c r="O34" s="77"/>
      <c r="P34" s="77"/>
      <c r="Q34" s="77"/>
      <c r="R34" s="78"/>
    </row>
    <row r="35" spans="1:28">
      <c r="A35" s="61"/>
      <c r="B35" s="79" t="s">
        <v>125</v>
      </c>
      <c r="C35" s="162">
        <f>'Model update'!B133</f>
        <v>78091</v>
      </c>
      <c r="D35" s="61"/>
      <c r="E35" s="77"/>
      <c r="F35" s="77"/>
      <c r="G35" s="77"/>
      <c r="H35" s="162">
        <f>INDEX('Model update'!$D$133:$H$133,1,MATCH($H$6,'Model update'!$D$126:$H$126,0))</f>
        <v>40445</v>
      </c>
      <c r="I35" s="77"/>
      <c r="J35" s="77"/>
      <c r="K35" s="77"/>
      <c r="L35" s="77"/>
      <c r="M35" s="77"/>
      <c r="N35" s="77"/>
      <c r="O35" s="77"/>
      <c r="P35" s="77"/>
      <c r="Q35" s="77"/>
      <c r="R35" s="78"/>
    </row>
    <row r="36" spans="1:28">
      <c r="A36" s="35"/>
      <c r="B36" s="80" t="s">
        <v>430</v>
      </c>
      <c r="C36" s="81">
        <f>(1+'Model update'!$B$43)*(1+'Model update'!$C$30)-1</f>
        <v>5.5929028441763728E-2</v>
      </c>
      <c r="E36" s="78"/>
      <c r="F36" s="78"/>
      <c r="G36" s="78"/>
      <c r="H36" s="81">
        <f>(1+'Model update'!$B$45)*(1+'Model update'!$C$29)-1</f>
        <v>4.7000045598383666E-2</v>
      </c>
      <c r="I36" s="78"/>
      <c r="J36" s="78"/>
      <c r="K36" s="78"/>
      <c r="L36" s="78"/>
      <c r="M36" s="78"/>
      <c r="N36" s="78"/>
      <c r="O36" s="78"/>
      <c r="P36" s="78"/>
      <c r="Q36" s="78"/>
      <c r="R36" s="78"/>
    </row>
    <row r="37" spans="1:28">
      <c r="A37" s="35"/>
      <c r="B37" s="80" t="s">
        <v>126</v>
      </c>
      <c r="C37" s="81">
        <f>(1+'Model update'!$B$45)*(1+'Model update'!$C$29)-1</f>
        <v>4.7000045598383666E-2</v>
      </c>
      <c r="H37" s="81">
        <f>(1+'Model update'!$B$47)*(1+'Model update'!$C$28)-1</f>
        <v>5.2561174728540827E-2</v>
      </c>
      <c r="I37" s="35"/>
      <c r="J37" s="35"/>
      <c r="M37" s="78"/>
      <c r="N37" s="78"/>
      <c r="O37" s="78"/>
      <c r="P37" s="78"/>
      <c r="Q37" s="78"/>
      <c r="R37" s="78"/>
    </row>
    <row r="38" spans="1:28" ht="15">
      <c r="B38" s="82" t="s">
        <v>123</v>
      </c>
      <c r="C38" s="83">
        <f>C35*(1+C36)*(1+C37)^0.5</f>
        <v>84374.082592855062</v>
      </c>
      <c r="H38" s="83">
        <f>H35*(1+H36)*(1+H37)^0.5</f>
        <v>43444.541035977469</v>
      </c>
      <c r="M38" s="78"/>
      <c r="N38" s="78"/>
      <c r="O38" s="78"/>
      <c r="P38" s="78"/>
      <c r="Q38" s="78"/>
      <c r="R38" s="78"/>
    </row>
    <row r="41" spans="1:28">
      <c r="D41"/>
    </row>
    <row r="42" spans="1:28" ht="15.75">
      <c r="B42" s="108" t="s">
        <v>427</v>
      </c>
    </row>
    <row r="43" spans="1:28" ht="15">
      <c r="B43" s="100"/>
      <c r="C43" s="113" t="s">
        <v>275</v>
      </c>
      <c r="D43" s="113" t="s">
        <v>582</v>
      </c>
      <c r="E43" s="113" t="s">
        <v>35</v>
      </c>
    </row>
    <row r="44" spans="1:28" ht="15">
      <c r="B44" s="101"/>
      <c r="C44" s="114" t="s">
        <v>34</v>
      </c>
      <c r="D44" s="114" t="s">
        <v>451</v>
      </c>
      <c r="E44" s="114" t="s">
        <v>36</v>
      </c>
    </row>
    <row r="45" spans="1:28" ht="15">
      <c r="B45" s="101"/>
      <c r="C45" s="115">
        <f>D45-1</f>
        <v>2016</v>
      </c>
      <c r="D45" s="115">
        <f>E45-1</f>
        <v>2017</v>
      </c>
      <c r="E45" s="115">
        <f>C$6</f>
        <v>2018</v>
      </c>
    </row>
    <row r="46" spans="1:28">
      <c r="B46" s="101"/>
      <c r="C46" s="98"/>
      <c r="D46" s="98"/>
      <c r="E46" s="111"/>
    </row>
    <row r="47" spans="1:28" ht="15">
      <c r="B47" s="616" t="s">
        <v>268</v>
      </c>
      <c r="C47" s="97">
        <v>279326173.29999995</v>
      </c>
      <c r="D47" s="97">
        <f>Est2017DistRev!BQ66</f>
        <v>282526250.25317425</v>
      </c>
      <c r="E47" s="97">
        <f>C9</f>
        <v>293358386.96368277</v>
      </c>
      <c r="G47"/>
    </row>
    <row r="48" spans="1:28">
      <c r="B48" s="102"/>
      <c r="C48" s="98"/>
      <c r="D48" s="98"/>
      <c r="E48" s="110"/>
    </row>
    <row r="49" spans="1:10">
      <c r="A49" s="35"/>
      <c r="B49" s="102"/>
      <c r="C49" s="98"/>
      <c r="D49" s="98"/>
      <c r="E49" s="110"/>
      <c r="I49" s="35"/>
      <c r="J49" s="35"/>
    </row>
    <row r="50" spans="1:10" ht="15">
      <c r="A50" s="35"/>
      <c r="B50" s="103" t="s">
        <v>312</v>
      </c>
      <c r="C50" s="96">
        <f>SUM(C51:C54)</f>
        <v>279321607.45584375</v>
      </c>
      <c r="D50" s="96">
        <f>SUM(D51:D54)</f>
        <v>282608527.46258098</v>
      </c>
      <c r="E50" s="96">
        <f>SUM(E51:E54)</f>
        <v>293322463.82585883</v>
      </c>
      <c r="H50" s="149"/>
      <c r="I50" s="35"/>
      <c r="J50" s="35"/>
    </row>
    <row r="51" spans="1:10">
      <c r="A51" s="35"/>
      <c r="B51" s="104" t="s">
        <v>269</v>
      </c>
      <c r="C51" s="148">
        <f>H21</f>
        <v>279292116.38837218</v>
      </c>
      <c r="D51" s="148">
        <f>C21</f>
        <v>282154508.43208152</v>
      </c>
      <c r="E51" s="110">
        <f>C14</f>
        <v>293098089.74326599</v>
      </c>
      <c r="I51" s="35"/>
      <c r="J51" s="35"/>
    </row>
    <row r="52" spans="1:10">
      <c r="A52" s="35"/>
      <c r="B52" s="104" t="s">
        <v>270</v>
      </c>
      <c r="C52" s="148">
        <f>INDEX('Model update'!$D$100:$H$100,1,MATCH($C$45,'Model update'!$D$93:$H$93,0))</f>
        <v>-15000</v>
      </c>
      <c r="D52" s="148">
        <f>H15</f>
        <v>410000</v>
      </c>
      <c r="E52" s="110">
        <f>C15</f>
        <v>140000</v>
      </c>
      <c r="I52" s="35"/>
      <c r="J52" s="35"/>
    </row>
    <row r="53" spans="1:10">
      <c r="A53" s="35"/>
      <c r="B53" s="104" t="s">
        <v>271</v>
      </c>
      <c r="C53" s="723">
        <f>INDEX('Model update'!$D$144:$H$144,1,MATCH($C$45,'Model update'!$D$137:$H$137,0))</f>
        <v>0</v>
      </c>
      <c r="D53" s="148">
        <f>H16</f>
        <v>0</v>
      </c>
      <c r="E53" s="110">
        <f>C16</f>
        <v>0</v>
      </c>
      <c r="I53" s="35"/>
      <c r="J53" s="35"/>
    </row>
    <row r="54" spans="1:10">
      <c r="A54" s="35"/>
      <c r="B54" s="104" t="s">
        <v>272</v>
      </c>
      <c r="C54" s="95">
        <f>SUM(C55:C57)</f>
        <v>44491.067471582835</v>
      </c>
      <c r="D54" s="95">
        <f>SUM(D55:D57)</f>
        <v>44019.0304994752</v>
      </c>
      <c r="E54" s="95">
        <f>SUM(E55:E57)</f>
        <v>84374.082592855062</v>
      </c>
      <c r="I54" s="35"/>
      <c r="J54" s="35"/>
    </row>
    <row r="55" spans="1:10">
      <c r="A55" s="35"/>
      <c r="B55" s="105" t="s">
        <v>273</v>
      </c>
      <c r="C55" s="99">
        <v>39867.309407357512</v>
      </c>
      <c r="D55" s="148">
        <f>H29</f>
        <v>43444.541035977469</v>
      </c>
      <c r="E55" s="110">
        <f>C29</f>
        <v>84374.082592855062</v>
      </c>
      <c r="I55" s="35"/>
      <c r="J55" s="35"/>
    </row>
    <row r="56" spans="1:10">
      <c r="A56" s="35"/>
      <c r="B56" s="105" t="s">
        <v>274</v>
      </c>
      <c r="C56" s="148">
        <f>INDEX('Model update'!$D$122:$H$122,1,MATCH($C$45,'Model update'!$D$115:$H$115,0))</f>
        <v>0</v>
      </c>
      <c r="D56" s="148">
        <f t="shared" ref="D56" si="0">H30</f>
        <v>0</v>
      </c>
      <c r="E56" s="110">
        <f>C30</f>
        <v>0</v>
      </c>
      <c r="I56" s="35"/>
      <c r="J56" s="35"/>
    </row>
    <row r="57" spans="1:10">
      <c r="A57" s="35"/>
      <c r="B57" s="105" t="s">
        <v>424</v>
      </c>
      <c r="C57" s="120">
        <v>4623.7580642253224</v>
      </c>
      <c r="D57" s="623">
        <f>H31</f>
        <v>574.48946349772928</v>
      </c>
      <c r="E57" s="121">
        <f>C31</f>
        <v>0</v>
      </c>
      <c r="I57" s="35"/>
      <c r="J57" s="35"/>
    </row>
    <row r="58" spans="1:10" ht="15">
      <c r="A58" s="35"/>
      <c r="B58" s="106"/>
      <c r="C58" s="98"/>
      <c r="D58" s="98"/>
      <c r="E58" s="110"/>
      <c r="I58" s="35"/>
      <c r="J58" s="35"/>
    </row>
    <row r="59" spans="1:10">
      <c r="A59" s="35"/>
      <c r="B59" s="107"/>
      <c r="C59" s="98"/>
      <c r="D59" s="98"/>
      <c r="E59" s="110"/>
      <c r="I59" s="35"/>
      <c r="J59" s="35"/>
    </row>
    <row r="60" spans="1:10" ht="15">
      <c r="A60" s="35"/>
      <c r="B60" s="617" t="s">
        <v>45</v>
      </c>
      <c r="C60" s="96">
        <f>C47-C50</f>
        <v>4565.8441562056541</v>
      </c>
      <c r="D60" s="96">
        <f>D47-D50</f>
        <v>-82277.209406733513</v>
      </c>
      <c r="E60" s="96">
        <f>E47-E50</f>
        <v>35923.137823939323</v>
      </c>
      <c r="I60" s="35"/>
      <c r="J60" s="35"/>
    </row>
    <row r="61" spans="1:10">
      <c r="A61" s="35"/>
      <c r="B61" s="40"/>
      <c r="I61" s="35"/>
      <c r="J61" s="35"/>
    </row>
    <row r="62" spans="1:10">
      <c r="A62" s="35"/>
      <c r="B62" s="40"/>
      <c r="I62" s="35"/>
      <c r="J62" s="35"/>
    </row>
    <row r="63" spans="1:10">
      <c r="A63" s="35"/>
      <c r="B63" s="40"/>
      <c r="I63" s="35"/>
      <c r="J63" s="35"/>
    </row>
    <row r="64" spans="1:10" ht="15.75">
      <c r="A64" s="35"/>
      <c r="B64" s="108" t="s">
        <v>279</v>
      </c>
      <c r="I64" s="35"/>
      <c r="J64" s="35"/>
    </row>
    <row r="65" spans="1:10" ht="15">
      <c r="A65" s="35"/>
      <c r="B65" s="618"/>
      <c r="C65" s="113" t="s">
        <v>275</v>
      </c>
      <c r="D65" s="113" t="s">
        <v>582</v>
      </c>
      <c r="E65" s="113" t="s">
        <v>35</v>
      </c>
      <c r="I65" s="35"/>
      <c r="J65" s="35"/>
    </row>
    <row r="66" spans="1:10" ht="15">
      <c r="A66" s="35"/>
      <c r="B66" s="107"/>
      <c r="C66" s="114" t="s">
        <v>34</v>
      </c>
      <c r="D66" s="114" t="s">
        <v>451</v>
      </c>
      <c r="E66" s="114" t="s">
        <v>36</v>
      </c>
      <c r="I66" s="35"/>
      <c r="J66" s="35"/>
    </row>
    <row r="67" spans="1:10" ht="15">
      <c r="A67" s="35"/>
      <c r="B67" s="619" t="s">
        <v>277</v>
      </c>
      <c r="C67" s="115">
        <f>D67-1</f>
        <v>2016</v>
      </c>
      <c r="D67" s="115">
        <f>E67-1</f>
        <v>2017</v>
      </c>
      <c r="E67" s="115">
        <f>C$6</f>
        <v>2018</v>
      </c>
      <c r="I67" s="35"/>
      <c r="J67" s="35"/>
    </row>
    <row r="68" spans="1:10">
      <c r="A68" s="35"/>
      <c r="B68" s="107"/>
      <c r="C68" s="109"/>
      <c r="D68" s="109"/>
      <c r="E68" s="111"/>
      <c r="I68" s="35"/>
      <c r="J68" s="35"/>
    </row>
    <row r="69" spans="1:10">
      <c r="A69" s="35"/>
      <c r="B69" s="107" t="s">
        <v>583</v>
      </c>
      <c r="C69" s="609">
        <f>(1+'Model update'!$B$47)*(1+'Model update'!$C$28)-1</f>
        <v>5.2561174728540827E-2</v>
      </c>
      <c r="D69" s="109">
        <f>(1+'Model update'!$B$45)*(1+'Model update'!$C$29)-1</f>
        <v>4.7000045598383666E-2</v>
      </c>
      <c r="E69" s="610">
        <f>(1+'Model update'!$B$43)*(1+'Model update'!$C$30)-1</f>
        <v>5.5929028441763728E-2</v>
      </c>
      <c r="I69" s="35"/>
      <c r="J69" s="35"/>
    </row>
    <row r="70" spans="1:10">
      <c r="A70" s="35"/>
      <c r="B70" s="107"/>
      <c r="C70" s="98"/>
      <c r="D70" s="98"/>
      <c r="E70" s="111"/>
      <c r="I70" s="35"/>
      <c r="J70" s="35"/>
    </row>
    <row r="71" spans="1:10">
      <c r="A71" s="35"/>
      <c r="B71" s="107" t="s">
        <v>47</v>
      </c>
      <c r="C71" s="99">
        <v>0</v>
      </c>
      <c r="D71" s="110">
        <f>C75</f>
        <v>4684.3006030036786</v>
      </c>
      <c r="E71" s="110">
        <f>D75</f>
        <v>-79284.06262870325</v>
      </c>
      <c r="I71" s="35"/>
      <c r="J71" s="35"/>
    </row>
    <row r="72" spans="1:10">
      <c r="A72" s="35"/>
      <c r="B72" s="107" t="s">
        <v>584</v>
      </c>
      <c r="C72" s="148">
        <f>C71*C69</f>
        <v>0</v>
      </c>
      <c r="D72" s="148">
        <f>D71*D69</f>
        <v>220.16234193770899</v>
      </c>
      <c r="E72" s="148">
        <f>E71*E69</f>
        <v>-4434.2805937393205</v>
      </c>
      <c r="I72" s="35"/>
      <c r="J72" s="35"/>
    </row>
    <row r="73" spans="1:10">
      <c r="A73" s="35"/>
      <c r="B73" s="107" t="s">
        <v>48</v>
      </c>
      <c r="C73" s="110">
        <f>C60</f>
        <v>4565.8441562056541</v>
      </c>
      <c r="D73" s="110">
        <f>D60</f>
        <v>-82277.209406733513</v>
      </c>
      <c r="E73" s="110">
        <f>E60</f>
        <v>35923.137823939323</v>
      </c>
      <c r="I73" s="35"/>
      <c r="J73" s="35"/>
    </row>
    <row r="74" spans="1:10">
      <c r="A74" s="35"/>
      <c r="B74" s="107" t="s">
        <v>468</v>
      </c>
      <c r="C74" s="148">
        <f>C73*((1+C69)^0.5-1)</f>
        <v>118.45644679802466</v>
      </c>
      <c r="D74" s="148">
        <f>D73*((1+D69)^0.5-1)</f>
        <v>-1911.3161669111237</v>
      </c>
      <c r="E74" s="148">
        <f>E73*((1+E69)^0.5-1)</f>
        <v>990.90647987029274</v>
      </c>
      <c r="I74" s="35"/>
      <c r="J74" s="35"/>
    </row>
    <row r="75" spans="1:10" ht="15">
      <c r="A75" s="35"/>
      <c r="B75" s="617" t="s">
        <v>278</v>
      </c>
      <c r="C75" s="96">
        <f>SUM(C71:C74)</f>
        <v>4684.3006030036786</v>
      </c>
      <c r="D75" s="96">
        <f t="shared" ref="D75:E75" si="1">SUM(D71:D74)</f>
        <v>-79284.06262870325</v>
      </c>
      <c r="E75" s="96">
        <f t="shared" si="1"/>
        <v>-46804.298918632965</v>
      </c>
      <c r="F75" s="149"/>
      <c r="G75" s="149"/>
      <c r="I75" s="35"/>
      <c r="J75" s="35"/>
    </row>
    <row r="76" spans="1:10">
      <c r="A76" s="35"/>
      <c r="I76" s="35"/>
      <c r="J76" s="35"/>
    </row>
    <row r="77" spans="1:10">
      <c r="A77" s="35"/>
      <c r="B77" s="674" t="s">
        <v>593</v>
      </c>
      <c r="I77" s="35"/>
      <c r="J77" s="35"/>
    </row>
    <row r="78" spans="1:10">
      <c r="A78" s="35"/>
      <c r="I78" s="35"/>
      <c r="J78" s="35"/>
    </row>
  </sheetData>
  <conditionalFormatting sqref="C29:C30">
    <cfRule type="cellIs" dxfId="12" priority="13" stopIfTrue="1" operator="equal">
      <formula>"YES"</formula>
    </cfRule>
    <cfRule type="cellIs" dxfId="11" priority="14" stopIfTrue="1" operator="equal">
      <formula>"NO"</formula>
    </cfRule>
  </conditionalFormatting>
  <conditionalFormatting sqref="H29 H31">
    <cfRule type="cellIs" dxfId="10" priority="5" stopIfTrue="1" operator="equal">
      <formula>"YES"</formula>
    </cfRule>
    <cfRule type="cellIs" dxfId="9" priority="6" stopIfTrue="1" operator="equal">
      <formula>"NO"</formula>
    </cfRule>
  </conditionalFormatting>
  <conditionalFormatting sqref="C28">
    <cfRule type="cellIs" dxfId="8" priority="3" stopIfTrue="1" operator="equal">
      <formula>"YES"</formula>
    </cfRule>
    <cfRule type="cellIs" dxfId="7" priority="4" stopIfTrue="1" operator="equal">
      <formula>"NO"</formula>
    </cfRule>
  </conditionalFormatting>
  <conditionalFormatting sqref="H30">
    <cfRule type="cellIs" dxfId="6" priority="1" stopIfTrue="1" operator="equal">
      <formula>"YES"</formula>
    </cfRule>
    <cfRule type="cellIs" dxfId="5" priority="2" stopIfTrue="1" operator="equal">
      <formula>"NO"</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L138"/>
  <sheetViews>
    <sheetView zoomScale="80" zoomScaleNormal="80" zoomScaleSheetLayoutView="85" workbookViewId="0">
      <selection activeCell="K29" sqref="K29"/>
    </sheetView>
  </sheetViews>
  <sheetFormatPr defaultRowHeight="12.75"/>
  <cols>
    <col min="1" max="1" width="11.5703125" style="199" customWidth="1"/>
    <col min="2" max="2" width="35.85546875" style="327" customWidth="1"/>
    <col min="3" max="3" width="25" style="327" customWidth="1"/>
    <col min="4" max="5" width="37.140625" style="327" customWidth="1"/>
    <col min="6" max="6" width="18.42578125" style="327" customWidth="1"/>
    <col min="7" max="7" width="11.7109375" style="327" customWidth="1"/>
    <col min="8" max="8" width="7.7109375" style="327" customWidth="1"/>
    <col min="9" max="9" width="17" style="327" customWidth="1"/>
    <col min="10" max="10" width="13.85546875" style="327" customWidth="1"/>
    <col min="11" max="11" width="12.5703125" style="327" customWidth="1"/>
    <col min="12" max="13" width="10" style="327" bestFit="1" customWidth="1"/>
    <col min="14" max="14" width="9.7109375" style="327" customWidth="1"/>
    <col min="15" max="15" width="10.85546875" style="327" customWidth="1"/>
    <col min="16" max="16" width="11" style="327" customWidth="1"/>
    <col min="17" max="18" width="10.7109375" style="327" bestFit="1" customWidth="1"/>
    <col min="19" max="19" width="11.28515625" style="327" customWidth="1"/>
    <col min="20" max="22" width="10.5703125" style="327" customWidth="1"/>
    <col min="23" max="23" width="11.140625" style="327" customWidth="1"/>
    <col min="24" max="25" width="10.5703125" style="327" customWidth="1"/>
    <col min="26" max="26" width="18.28515625" style="327" customWidth="1"/>
    <col min="27" max="27" width="1.85546875" style="327" customWidth="1"/>
    <col min="28" max="28" width="14.42578125" style="327" customWidth="1"/>
    <col min="29" max="32" width="12" style="327" customWidth="1"/>
    <col min="33" max="36" width="10.5703125" style="327" customWidth="1"/>
    <col min="37" max="37" width="11.85546875" style="327" customWidth="1"/>
    <col min="38" max="40" width="10.5703125" style="327" customWidth="1"/>
    <col min="41" max="41" width="11.28515625" style="327" bestFit="1" customWidth="1"/>
    <col min="42" max="44" width="10.5703125" style="327" customWidth="1"/>
    <col min="45" max="45" width="11.28515625" style="327" bestFit="1" customWidth="1"/>
    <col min="46" max="48" width="10.5703125" style="327" customWidth="1"/>
    <col min="49" max="49" width="1.85546875" style="327" customWidth="1"/>
    <col min="50" max="50" width="15.7109375" style="327" bestFit="1" customWidth="1"/>
    <col min="51" max="51" width="19.140625" style="327" bestFit="1" customWidth="1"/>
    <col min="52" max="52" width="17.85546875" style="327" bestFit="1" customWidth="1"/>
    <col min="53" max="53" width="15.7109375" style="327" customWidth="1"/>
    <col min="54" max="54" width="17.85546875" style="327" bestFit="1" customWidth="1"/>
    <col min="55" max="55" width="19.140625" style="327" bestFit="1" customWidth="1"/>
    <col min="56" max="57" width="17.85546875" style="327" bestFit="1" customWidth="1"/>
    <col min="58" max="58" width="10" style="327" bestFit="1" customWidth="1"/>
    <col min="59" max="60" width="15.7109375" style="327" bestFit="1" customWidth="1"/>
    <col min="61" max="62" width="10.7109375" style="327" bestFit="1" customWidth="1"/>
    <col min="63" max="65" width="15.7109375" style="327" bestFit="1" customWidth="1"/>
    <col min="66" max="66" width="9.140625" style="327"/>
    <col min="67" max="67" width="14.5703125" style="327" customWidth="1"/>
    <col min="68" max="69" width="14.85546875" style="327" bestFit="1" customWidth="1"/>
    <col min="70" max="70" width="10.7109375" style="327" customWidth="1"/>
    <col min="71" max="71" width="1.85546875" style="327" customWidth="1"/>
    <col min="72" max="72" width="14.42578125" style="327" bestFit="1" customWidth="1"/>
    <col min="73" max="74" width="15.7109375" style="327" bestFit="1" customWidth="1"/>
    <col min="75" max="79" width="14.42578125" style="327" bestFit="1" customWidth="1"/>
    <col min="80" max="80" width="9.85546875" style="327" bestFit="1" customWidth="1"/>
    <col min="81" max="82" width="14.42578125" style="327" bestFit="1" customWidth="1"/>
    <col min="83" max="84" width="10.5703125" style="327" bestFit="1" customWidth="1"/>
    <col min="85" max="86" width="14.42578125" style="327" bestFit="1" customWidth="1"/>
    <col min="87" max="87" width="13.140625" style="327" bestFit="1" customWidth="1"/>
    <col min="88" max="88" width="9.140625" style="327"/>
    <col min="89" max="89" width="13.5703125" style="327" customWidth="1"/>
    <col min="90" max="90" width="13.85546875" style="327" customWidth="1"/>
    <col min="91" max="91" width="12.7109375" style="327" customWidth="1"/>
    <col min="92" max="92" width="10.5703125" style="327" customWidth="1"/>
    <col min="93" max="93" width="15.7109375" style="327" bestFit="1" customWidth="1"/>
    <col min="94" max="94" width="1.85546875" style="327" customWidth="1"/>
    <col min="95" max="95" width="14.42578125" style="327" customWidth="1"/>
    <col min="96" max="96" width="15.7109375" style="327" bestFit="1" customWidth="1"/>
    <col min="97" max="102" width="14.42578125" style="327" bestFit="1" customWidth="1"/>
    <col min="103" max="103" width="10" style="327" bestFit="1" customWidth="1"/>
    <col min="104" max="105" width="14.42578125" style="327" bestFit="1" customWidth="1"/>
    <col min="106" max="107" width="10.5703125" style="327" bestFit="1" customWidth="1"/>
    <col min="108" max="110" width="14.42578125" style="327" bestFit="1" customWidth="1"/>
    <col min="111" max="111" width="9.140625" style="327"/>
    <col min="112" max="114" width="13.5703125" style="327" customWidth="1"/>
    <col min="115" max="115" width="10.5703125" style="327" customWidth="1"/>
    <col min="116" max="116" width="15.7109375" style="327" bestFit="1" customWidth="1"/>
    <col min="117" max="16384" width="9.140625" style="327"/>
  </cols>
  <sheetData>
    <row r="1" spans="2:4" ht="15">
      <c r="B1" s="325" t="str">
        <f>"Tariff Approval - "&amp;'Model update'!C3</f>
        <v>Tariff Approval - CitiPower</v>
      </c>
    </row>
    <row r="3" spans="2:4">
      <c r="B3" s="150" t="str">
        <f>'Model update'!C5&amp;" DISTRIBUTION TARIFF REBALANCING CONTROL"</f>
        <v>2018 DISTRIBUTION TARIFF REBALANCING CONTROL</v>
      </c>
    </row>
    <row r="4" spans="2:4" ht="6" customHeight="1" thickBot="1">
      <c r="B4" s="150"/>
    </row>
    <row r="5" spans="2:4" ht="6" customHeight="1">
      <c r="B5" s="328"/>
      <c r="C5" s="329"/>
      <c r="D5" s="330"/>
    </row>
    <row r="6" spans="2:4">
      <c r="B6" s="331" t="s">
        <v>227</v>
      </c>
      <c r="C6" s="198"/>
      <c r="D6" s="332"/>
    </row>
    <row r="7" spans="2:4" ht="6" customHeight="1">
      <c r="B7" s="333"/>
      <c r="C7" s="198"/>
      <c r="D7" s="332"/>
    </row>
    <row r="8" spans="2:4">
      <c r="B8" s="333" t="str">
        <f>"CPI "&amp;'Model update'!$C$5</f>
        <v>CPI 2018</v>
      </c>
      <c r="C8" s="781">
        <f>'2018DistRevCapForm'!C22</f>
        <v>1.9337016574585641E-2</v>
      </c>
      <c r="D8" s="332"/>
    </row>
    <row r="9" spans="2:4">
      <c r="B9" s="333" t="str">
        <f>"X "&amp; 'Model update'!$C$5</f>
        <v>X 2018</v>
      </c>
      <c r="C9" s="782">
        <f>MIN('2018DistRevCapForm'!C23,0)</f>
        <v>-5.0000000000000001E-4</v>
      </c>
      <c r="D9" s="332"/>
    </row>
    <row r="10" spans="2:4">
      <c r="B10" s="333" t="str">
        <f>"St "&amp;'Model update'!$C$5</f>
        <v>St 2018</v>
      </c>
      <c r="C10" s="782">
        <f>'2018DistRevCapForm'!C24</f>
        <v>1.8570526636221274E-2</v>
      </c>
      <c r="D10" s="332"/>
    </row>
    <row r="11" spans="2:4">
      <c r="B11" s="333" t="str">
        <f>"It "&amp;'Model update'!$C$5</f>
        <v>It 2018</v>
      </c>
      <c r="C11" s="782">
        <f>('2018DistRevCapForm'!C15-'2018DistRevCapForm'!H15)/Prop2018DistTar!DJ$66</f>
        <v>-9.7020721739911233E-4</v>
      </c>
      <c r="D11" s="332"/>
    </row>
    <row r="12" spans="2:4">
      <c r="B12" s="333" t="str">
        <f>"Tt "&amp;'Model update'!$C$5</f>
        <v>Tt 2018</v>
      </c>
      <c r="C12" s="782">
        <f>('2018DistRevCapForm'!C16-'2018DistRevCapForm'!H16)/Prop2018DistTar!DJ$66</f>
        <v>0</v>
      </c>
      <c r="D12" s="332"/>
    </row>
    <row r="13" spans="2:4">
      <c r="B13" s="333" t="str">
        <f>"Bt "&amp;'Model update'!$C$5</f>
        <v>Bt 2018</v>
      </c>
      <c r="C13" s="783">
        <f>('2018DistRevCapForm'!C17-'2018DistRevCapForm'!H17)/Prop2018DistTar!DJ$66</f>
        <v>1.076915319507272E-2</v>
      </c>
      <c r="D13" s="332"/>
    </row>
    <row r="14" spans="2:4" ht="6" customHeight="1">
      <c r="B14" s="333"/>
      <c r="C14" s="198"/>
      <c r="D14" s="332"/>
    </row>
    <row r="15" spans="2:4" ht="6" customHeight="1">
      <c r="B15" s="333"/>
      <c r="C15" s="198"/>
      <c r="D15" s="332"/>
    </row>
    <row r="16" spans="2:4">
      <c r="B16" s="335"/>
      <c r="C16" s="336">
        <f>(1+C8)*(1-C9)*(1+0.02)*(1+C10)+SUM(C11:C13)</f>
        <v>1.0693604365930012</v>
      </c>
      <c r="D16" s="332"/>
    </row>
    <row r="17" spans="1:11" ht="6" customHeight="1" thickBot="1">
      <c r="B17" s="337"/>
      <c r="C17" s="338"/>
      <c r="D17" s="339"/>
    </row>
    <row r="18" spans="1:11" ht="6" customHeight="1" thickBot="1">
      <c r="B18" s="340"/>
      <c r="C18" s="340"/>
      <c r="D18" s="340"/>
    </row>
    <row r="19" spans="1:11" s="603" customFormat="1">
      <c r="A19" s="599"/>
      <c r="B19" s="600"/>
      <c r="C19" s="601"/>
      <c r="D19" s="601"/>
      <c r="E19" s="601"/>
      <c r="F19" s="602"/>
    </row>
    <row r="20" spans="1:11" s="603" customFormat="1">
      <c r="A20" s="599"/>
      <c r="B20" s="604" t="s">
        <v>228</v>
      </c>
      <c r="C20" s="605" t="str">
        <f>"Pt-1*(Qt " &amp;'Model update'!$C$5&amp;")"</f>
        <v>Pt-1*(Qt 2018)</v>
      </c>
      <c r="D20" s="605" t="str">
        <f>"Pt*(Qt " &amp;'Model update'!$C$5&amp;")"</f>
        <v>Pt*(Qt 2018)</v>
      </c>
      <c r="E20" s="606"/>
      <c r="F20" s="607"/>
    </row>
    <row r="21" spans="1:11">
      <c r="B21" s="341" t="s">
        <v>229</v>
      </c>
      <c r="C21" s="342" t="s">
        <v>230</v>
      </c>
      <c r="D21" s="342" t="s">
        <v>231</v>
      </c>
      <c r="E21" s="342" t="s">
        <v>232</v>
      </c>
      <c r="F21" s="343"/>
    </row>
    <row r="22" spans="1:11" ht="12.75" customHeight="1">
      <c r="B22" s="344" t="s">
        <v>233</v>
      </c>
      <c r="C22" s="345">
        <f t="shared" ref="C22:C33" si="0">IF(B22="","",SUMIF($B$39:$B$98,$B22,$I$39:$I$98))</f>
        <v>77880494.047094434</v>
      </c>
      <c r="D22" s="345">
        <f>IF(B22="","",SUMIF($B$39:$B$98,$B22,$F$39:$F$98))</f>
        <v>80969110.030263051</v>
      </c>
      <c r="E22" s="334">
        <f t="shared" ref="E22:E33" si="1">IF(B22="","",D22/C22)</f>
        <v>1.0396584025430158</v>
      </c>
      <c r="F22" s="343" t="str">
        <f>IF(B22="","",IF(E22&lt;$C$16,"COMPLIANT","BREACHED"))</f>
        <v>COMPLIANT</v>
      </c>
      <c r="I22" s="799"/>
      <c r="J22" s="799"/>
      <c r="K22" s="800"/>
    </row>
    <row r="23" spans="1:11" ht="12.75" customHeight="1">
      <c r="B23" s="346" t="s">
        <v>234</v>
      </c>
      <c r="C23" s="347">
        <f t="shared" si="0"/>
        <v>94752106.694151953</v>
      </c>
      <c r="D23" s="347">
        <f>IF(B23="","",SUMIF($B$39:$B$98,$B23,$F$39:$F$98))</f>
        <v>99474583.492429957</v>
      </c>
      <c r="E23" s="151">
        <f t="shared" si="1"/>
        <v>1.0498403356193606</v>
      </c>
      <c r="F23" s="343" t="str">
        <f t="shared" ref="F23:F33" si="2">IF(B23="","",IF(E23&lt;$C$16,"COMPLIANT","BREACHED"))</f>
        <v>COMPLIANT</v>
      </c>
      <c r="I23" s="799"/>
      <c r="J23" s="799"/>
      <c r="K23" s="800"/>
    </row>
    <row r="24" spans="1:11">
      <c r="B24" s="346" t="s">
        <v>235</v>
      </c>
      <c r="C24" s="347">
        <f t="shared" si="0"/>
        <v>90232146.464078143</v>
      </c>
      <c r="D24" s="347">
        <f>IF(B24="","",SUMIF($B$39:$B$98,$B24,$F$39:$F$98))</f>
        <v>96436425.213406354</v>
      </c>
      <c r="E24" s="151">
        <f t="shared" si="1"/>
        <v>1.0687590730405396</v>
      </c>
      <c r="F24" s="343" t="str">
        <f t="shared" si="2"/>
        <v>COMPLIANT</v>
      </c>
      <c r="I24" s="799"/>
      <c r="J24" s="799"/>
      <c r="K24" s="800"/>
    </row>
    <row r="25" spans="1:11">
      <c r="B25" s="346" t="s">
        <v>236</v>
      </c>
      <c r="C25" s="347">
        <f t="shared" si="0"/>
        <v>14508795.109089047</v>
      </c>
      <c r="D25" s="347">
        <f>IF(B25="","",SUMIF($B$39:$B$98,$B25,$F$39:$F$98))</f>
        <v>15502091.410123836</v>
      </c>
      <c r="E25" s="151">
        <f t="shared" si="1"/>
        <v>1.0684616671175222</v>
      </c>
      <c r="F25" s="343" t="str">
        <f t="shared" si="2"/>
        <v>COMPLIANT</v>
      </c>
      <c r="I25" s="799"/>
      <c r="J25" s="799"/>
      <c r="K25" s="800"/>
    </row>
    <row r="26" spans="1:11">
      <c r="B26" s="346" t="s">
        <v>237</v>
      </c>
      <c r="C26" s="347">
        <f t="shared" si="0"/>
        <v>917522.8910214334</v>
      </c>
      <c r="D26" s="347">
        <f>IF(B26="","",SUMIF($B$39:$B$98,$B26,$F$39:$F$98))</f>
        <v>976176.81745959993</v>
      </c>
      <c r="E26" s="151">
        <f t="shared" si="1"/>
        <v>1.0639263902973255</v>
      </c>
      <c r="F26" s="343" t="str">
        <f t="shared" si="2"/>
        <v>COMPLIANT</v>
      </c>
      <c r="I26" s="799"/>
      <c r="J26" s="799"/>
      <c r="K26" s="800"/>
    </row>
    <row r="27" spans="1:11">
      <c r="B27" s="348"/>
      <c r="C27" s="347" t="str">
        <f t="shared" si="0"/>
        <v/>
      </c>
      <c r="D27" s="347" t="str">
        <f t="shared" ref="D27:D33" si="3">IF(B27="","",SUMIF($B$39:$B$98,$B27,$CO$39:$CO$98))</f>
        <v/>
      </c>
      <c r="E27" s="151" t="str">
        <f t="shared" si="1"/>
        <v/>
      </c>
      <c r="F27" s="343" t="str">
        <f t="shared" si="2"/>
        <v/>
      </c>
    </row>
    <row r="28" spans="1:11">
      <c r="B28" s="348"/>
      <c r="C28" s="347" t="str">
        <f t="shared" si="0"/>
        <v/>
      </c>
      <c r="D28" s="347" t="str">
        <f t="shared" si="3"/>
        <v/>
      </c>
      <c r="E28" s="151" t="str">
        <f t="shared" si="1"/>
        <v/>
      </c>
      <c r="F28" s="343" t="str">
        <f t="shared" si="2"/>
        <v/>
      </c>
    </row>
    <row r="29" spans="1:11">
      <c r="B29" s="348"/>
      <c r="C29" s="347" t="str">
        <f t="shared" si="0"/>
        <v/>
      </c>
      <c r="D29" s="347" t="str">
        <f t="shared" si="3"/>
        <v/>
      </c>
      <c r="E29" s="151" t="str">
        <f t="shared" si="1"/>
        <v/>
      </c>
      <c r="F29" s="343" t="str">
        <f t="shared" si="2"/>
        <v/>
      </c>
    </row>
    <row r="30" spans="1:11">
      <c r="B30" s="348"/>
      <c r="C30" s="347" t="str">
        <f t="shared" si="0"/>
        <v/>
      </c>
      <c r="D30" s="347" t="str">
        <f t="shared" si="3"/>
        <v/>
      </c>
      <c r="E30" s="151" t="str">
        <f t="shared" si="1"/>
        <v/>
      </c>
      <c r="F30" s="343" t="str">
        <f t="shared" si="2"/>
        <v/>
      </c>
    </row>
    <row r="31" spans="1:11">
      <c r="B31" s="348"/>
      <c r="C31" s="347" t="str">
        <f t="shared" si="0"/>
        <v/>
      </c>
      <c r="D31" s="347" t="str">
        <f t="shared" si="3"/>
        <v/>
      </c>
      <c r="E31" s="151" t="str">
        <f t="shared" si="1"/>
        <v/>
      </c>
      <c r="F31" s="343" t="str">
        <f t="shared" si="2"/>
        <v/>
      </c>
    </row>
    <row r="32" spans="1:11">
      <c r="B32" s="348"/>
      <c r="C32" s="347" t="str">
        <f t="shared" si="0"/>
        <v/>
      </c>
      <c r="D32" s="347" t="str">
        <f t="shared" si="3"/>
        <v/>
      </c>
      <c r="E32" s="151" t="str">
        <f t="shared" si="1"/>
        <v/>
      </c>
      <c r="F32" s="343" t="str">
        <f t="shared" si="2"/>
        <v/>
      </c>
    </row>
    <row r="33" spans="1:15" ht="13.5" thickBot="1">
      <c r="B33" s="394"/>
      <c r="C33" s="350" t="str">
        <f t="shared" si="0"/>
        <v/>
      </c>
      <c r="D33" s="350" t="str">
        <f t="shared" si="3"/>
        <v/>
      </c>
      <c r="E33" s="351" t="str">
        <f t="shared" si="1"/>
        <v/>
      </c>
      <c r="F33" s="352" t="str">
        <f t="shared" si="2"/>
        <v/>
      </c>
    </row>
    <row r="34" spans="1:15">
      <c r="B34" s="353" t="s">
        <v>238</v>
      </c>
      <c r="C34" s="354" t="str">
        <f>IF(ABS(SUM(C22:C33)-I99)&lt;0.01,"Ok","Error")</f>
        <v>Ok</v>
      </c>
      <c r="D34" s="355" t="str">
        <f>IF(ABS(SUM(D22:D33)-F99)&lt;0.01,"Ok","Error")</f>
        <v>Ok</v>
      </c>
      <c r="E34" s="150"/>
    </row>
    <row r="35" spans="1:15">
      <c r="B35" s="356"/>
      <c r="C35" s="357" t="str">
        <f>IF(ABS(SUM(C22:C33)-Prop2018DistTar!DJ66)&lt;0.01,"Ok","Error")</f>
        <v>Ok</v>
      </c>
      <c r="D35" s="357" t="str">
        <f>IF(ABS(SUM(D22:D33)-Prop2018DistTar!CM66)&lt;0.01,"Ok","Error")</f>
        <v>Ok</v>
      </c>
      <c r="E35" s="150"/>
    </row>
    <row r="36" spans="1:15">
      <c r="B36" s="358"/>
      <c r="C36" s="358"/>
      <c r="D36" s="358"/>
      <c r="E36" s="358"/>
    </row>
    <row r="37" spans="1:15" ht="13.5" thickBot="1">
      <c r="F37" s="359" t="str">
        <f>"Revenue (Pt "&amp;'Model update'!$C$5&amp;")*(Qt " &amp;'Model update'!$C$5&amp;")"</f>
        <v>Revenue (Pt 2018)*(Qt 2018)</v>
      </c>
      <c r="G37" s="326"/>
      <c r="I37" s="590" t="str">
        <f>"Revenue (Pt-1 "&amp;'Model update'!$C$8&amp;")*(Qt " &amp;'Model update'!$C$5&amp;")"</f>
        <v>Revenue (Pt-1 2017)*(Qt 2018)</v>
      </c>
      <c r="J37" s="591"/>
      <c r="O37" s="360"/>
    </row>
    <row r="38" spans="1:15" ht="30" customHeight="1" thickBot="1">
      <c r="A38" s="361" t="s">
        <v>239</v>
      </c>
      <c r="B38" s="362" t="s">
        <v>240</v>
      </c>
      <c r="C38" s="362" t="s">
        <v>241</v>
      </c>
      <c r="D38" s="362" t="s">
        <v>128</v>
      </c>
      <c r="E38" s="363" t="s">
        <v>129</v>
      </c>
      <c r="F38" s="597" t="s">
        <v>169</v>
      </c>
      <c r="I38" s="597" t="s">
        <v>191</v>
      </c>
    </row>
    <row r="39" spans="1:15">
      <c r="A39" s="364" t="b">
        <f t="array" ref="A39">OR(EXACT(D39,Prop2018DistTar!C$6:C$65))</f>
        <v>1</v>
      </c>
      <c r="B39" s="348"/>
      <c r="C39" s="348"/>
      <c r="D39" s="365" t="str">
        <f>IF(Prop2018DistTar!B6="","",Prop2018DistTar!B6)</f>
        <v/>
      </c>
      <c r="E39" s="333" t="str">
        <f>IF(Prop2018DistTar!C6="","",Prop2018DistTar!C6)</f>
        <v/>
      </c>
      <c r="F39" s="596">
        <f>Prop2018DistTar!CM6</f>
        <v>0</v>
      </c>
      <c r="I39" s="593">
        <f>Prop2018DistTar!DJ6</f>
        <v>0</v>
      </c>
    </row>
    <row r="40" spans="1:15">
      <c r="A40" s="364" t="b">
        <f t="array" ref="A40">OR(EXACT(D40,Prop2018DistTar!C$6:C$65))</f>
        <v>1</v>
      </c>
      <c r="B40" s="598" t="s">
        <v>233</v>
      </c>
      <c r="C40" s="598" t="s">
        <v>233</v>
      </c>
      <c r="D40" s="365" t="str">
        <f>IF(Prop2018DistTar!B7="","",Prop2018DistTar!B7)</f>
        <v>Residential Single Rate</v>
      </c>
      <c r="E40" s="333" t="str">
        <f>IF(Prop2018DistTar!C7="","",Prop2018DistTar!C7)</f>
        <v>Residential Single Rate</v>
      </c>
      <c r="F40" s="595">
        <f>Prop2018DistTar!CM7</f>
        <v>55931546.672869235</v>
      </c>
      <c r="I40" s="593">
        <f>Prop2018DistTar!DJ7</f>
        <v>55847754.253246784</v>
      </c>
    </row>
    <row r="41" spans="1:15">
      <c r="A41" s="364" t="b">
        <f t="array" ref="A41">OR(EXACT(D41,Prop2018DistTar!C$6:C$65))</f>
        <v>1</v>
      </c>
      <c r="B41" s="598" t="s">
        <v>233</v>
      </c>
      <c r="C41" s="598" t="s">
        <v>233</v>
      </c>
      <c r="D41" s="365" t="str">
        <f>IF(Prop2018DistTar!B8="","",Prop2018DistTar!B8)</f>
        <v>Residential Single Rate - Bulk</v>
      </c>
      <c r="E41" s="333" t="str">
        <f>IF(Prop2018DistTar!C8="","",Prop2018DistTar!C8)</f>
        <v>Residential Single Rate - Bulk</v>
      </c>
      <c r="F41" s="595">
        <f>Prop2018DistTar!CM8</f>
        <v>6409572.3093506377</v>
      </c>
      <c r="I41" s="593">
        <f>Prop2018DistTar!DJ8</f>
        <v>5610359.11129109</v>
      </c>
    </row>
    <row r="42" spans="1:15">
      <c r="A42" s="364" t="b">
        <f t="array" ref="A42">OR(EXACT(D42,Prop2018DistTar!C$6:C$65))</f>
        <v>1</v>
      </c>
      <c r="B42" s="598" t="s">
        <v>233</v>
      </c>
      <c r="C42" s="598" t="s">
        <v>233</v>
      </c>
      <c r="D42" s="365" t="str">
        <f>IF(Prop2018DistTar!B9="","",Prop2018DistTar!B9)</f>
        <v>Residential - flexible pricing</v>
      </c>
      <c r="E42" s="333" t="str">
        <f>IF(Prop2018DistTar!C9="","",Prop2018DistTar!C9)</f>
        <v>Residential - flexible pricing</v>
      </c>
      <c r="F42" s="595">
        <f>Prop2018DistTar!CM9</f>
        <v>348326.70124356955</v>
      </c>
      <c r="I42" s="593">
        <f>Prop2018DistTar!DJ9</f>
        <v>322469.77006072737</v>
      </c>
    </row>
    <row r="43" spans="1:15">
      <c r="A43" s="364" t="b">
        <f t="array" ref="A43">OR(EXACT(D43,Prop2018DistTar!C$6:C$65))</f>
        <v>1</v>
      </c>
      <c r="B43" s="598" t="s">
        <v>233</v>
      </c>
      <c r="C43" s="598" t="s">
        <v>233</v>
      </c>
      <c r="D43" s="365" t="str">
        <f>IF(Prop2018DistTar!B10="","",Prop2018DistTar!B10)</f>
        <v>Residential - flexible pricing bulk</v>
      </c>
      <c r="E43" s="333" t="str">
        <f>IF(Prop2018DistTar!C10="","",Prop2018DistTar!C10)</f>
        <v>Residential - flexible pricing bulk</v>
      </c>
      <c r="F43" s="595">
        <f>Prop2018DistTar!CM10</f>
        <v>23635.147087414964</v>
      </c>
      <c r="I43" s="593">
        <f>Prop2018DistTar!DJ10</f>
        <v>22098.848065465165</v>
      </c>
    </row>
    <row r="44" spans="1:15">
      <c r="A44" s="364" t="b">
        <f t="array" ref="A44">OR(EXACT(D44,Prop2018DistTar!C$6:C$65))</f>
        <v>1</v>
      </c>
      <c r="B44" s="598" t="s">
        <v>233</v>
      </c>
      <c r="C44" s="598" t="s">
        <v>233</v>
      </c>
      <c r="D44" s="365" t="str">
        <f>IF(Prop2018DistTar!B11="","",Prop2018DistTar!B11)</f>
        <v>Residential Two Rate 5d</v>
      </c>
      <c r="E44" s="333" t="str">
        <f>IF(Prop2018DistTar!C11="","",Prop2018DistTar!C11)</f>
        <v>Residential Two Rate 5d</v>
      </c>
      <c r="F44" s="595">
        <f>Prop2018DistTar!CM11</f>
        <v>4942143.4423054196</v>
      </c>
      <c r="I44" s="593">
        <f>Prop2018DistTar!DJ11</f>
        <v>4398723.330075128</v>
      </c>
    </row>
    <row r="45" spans="1:15">
      <c r="A45" s="364" t="b">
        <f t="array" ref="A45">OR(EXACT(D45,Prop2018DistTar!C$6:C$65))</f>
        <v>1</v>
      </c>
      <c r="B45" s="598" t="s">
        <v>233</v>
      </c>
      <c r="C45" s="598" t="s">
        <v>233</v>
      </c>
      <c r="D45" s="365" t="str">
        <f>IF(Prop2018DistTar!B12="","",Prop2018DistTar!B12)</f>
        <v>Residential Two Rate 5d - Bulk</v>
      </c>
      <c r="E45" s="333" t="str">
        <f>IF(Prop2018DistTar!C12="","",Prop2018DistTar!C12)</f>
        <v>Residential Two Rate 5d - Bulk</v>
      </c>
      <c r="F45" s="595">
        <f>Prop2018DistTar!CM12</f>
        <v>1525748.5147682917</v>
      </c>
      <c r="I45" s="593">
        <f>Prop2018DistTar!DJ12</f>
        <v>1291574.3533006855</v>
      </c>
    </row>
    <row r="46" spans="1:15">
      <c r="A46" s="364" t="b">
        <f t="array" ref="A46">OR(EXACT(D46,Prop2018DistTar!C$6:C$65))</f>
        <v>1</v>
      </c>
      <c r="B46" s="598" t="s">
        <v>233</v>
      </c>
      <c r="C46" s="598" t="s">
        <v>233</v>
      </c>
      <c r="D46" s="365" t="str">
        <f>IF(Prop2018DistTar!B13="","",Prop2018DistTar!B13)</f>
        <v>Residential Interval</v>
      </c>
      <c r="E46" s="333" t="str">
        <f>IF(Prop2018DistTar!C13="","",Prop2018DistTar!C13)</f>
        <v>Residential Interval</v>
      </c>
      <c r="F46" s="595">
        <f>Prop2018DistTar!CM13</f>
        <v>8511940.4220834468</v>
      </c>
      <c r="I46" s="593">
        <f>Prop2018DistTar!DJ13</f>
        <v>7559275.932504341</v>
      </c>
    </row>
    <row r="47" spans="1:15">
      <c r="A47" s="364" t="b">
        <f t="array" ref="A47">OR(EXACT(D47,Prop2018DistTar!C$6:C$65))</f>
        <v>1</v>
      </c>
      <c r="B47" s="598" t="s">
        <v>233</v>
      </c>
      <c r="C47" s="598" t="s">
        <v>233</v>
      </c>
      <c r="D47" s="365" t="str">
        <f>IF(Prop2018DistTar!B14="","",Prop2018DistTar!B14)</f>
        <v>Residential Interval - Bulk</v>
      </c>
      <c r="E47" s="333" t="str">
        <f>IF(Prop2018DistTar!C14="","",Prop2018DistTar!C14)</f>
        <v>Residential Interval - Bulk</v>
      </c>
      <c r="F47" s="595">
        <f>Prop2018DistTar!CM14</f>
        <v>2184291.063730651</v>
      </c>
      <c r="I47" s="593">
        <f>Prop2018DistTar!DJ14</f>
        <v>1886139.627143444</v>
      </c>
    </row>
    <row r="48" spans="1:15">
      <c r="A48" s="364" t="b">
        <f t="array" ref="A48">OR(EXACT(D48,Prop2018DistTar!C$6:C$65))</f>
        <v>1</v>
      </c>
      <c r="B48" s="598" t="s">
        <v>233</v>
      </c>
      <c r="C48" s="598" t="s">
        <v>233</v>
      </c>
      <c r="D48" s="365" t="str">
        <f>IF(Prop2018DistTar!B15="","",Prop2018DistTar!B15)</f>
        <v>Residential Two Rate 5d - Controlled Load</v>
      </c>
      <c r="E48" s="333" t="str">
        <f>IF(Prop2018DistTar!C15="","",Prop2018DistTar!C15)</f>
        <v>Residential Two Rate 5d - Controlled Load</v>
      </c>
      <c r="F48" s="595">
        <f>Prop2018DistTar!CM15</f>
        <v>354396.76659653545</v>
      </c>
      <c r="I48" s="593">
        <f>Prop2018DistTar!DJ15</f>
        <v>308603.92596889322</v>
      </c>
    </row>
    <row r="49" spans="1:9">
      <c r="A49" s="364" t="b">
        <f t="array" ref="A49">OR(EXACT(D49,Prop2018DistTar!C$6:C$65))</f>
        <v>1</v>
      </c>
      <c r="B49" s="598" t="s">
        <v>233</v>
      </c>
      <c r="C49" s="598" t="s">
        <v>233</v>
      </c>
      <c r="D49" s="365" t="str">
        <f>IF(Prop2018DistTar!B16="","",Prop2018DistTar!B16)</f>
        <v>Residential Two Rate 5d - Bulk - Controlled Load</v>
      </c>
      <c r="E49" s="333" t="str">
        <f>IF(Prop2018DistTar!C16="","",Prop2018DistTar!C16)</f>
        <v>Residential Two Rate 5d - Bulk - Controlled Load</v>
      </c>
      <c r="F49" s="595">
        <f>Prop2018DistTar!CM16</f>
        <v>101436.51119961437</v>
      </c>
      <c r="I49" s="593">
        <f>Prop2018DistTar!DJ16</f>
        <v>81590.237269255042</v>
      </c>
    </row>
    <row r="50" spans="1:9">
      <c r="A50" s="364" t="b">
        <f t="array" ref="A50">OR(EXACT(D50,Prop2018DistTar!C$6:C$65))</f>
        <v>1</v>
      </c>
      <c r="B50" s="598" t="s">
        <v>233</v>
      </c>
      <c r="C50" s="598" t="s">
        <v>233</v>
      </c>
      <c r="D50" s="365" t="str">
        <f>IF(Prop2018DistTar!B17="","",Prop2018DistTar!B17)</f>
        <v>Dedicated Circuit</v>
      </c>
      <c r="E50" s="333" t="str">
        <f>IF(Prop2018DistTar!C17="","",Prop2018DistTar!C17)</f>
        <v>Dedicated Circuit</v>
      </c>
      <c r="F50" s="595">
        <f>Prop2018DistTar!CM17</f>
        <v>603243.24356872798</v>
      </c>
      <c r="I50" s="593">
        <f>Prop2018DistTar!DJ17</f>
        <v>525296.08288288116</v>
      </c>
    </row>
    <row r="51" spans="1:9">
      <c r="A51" s="364" t="b">
        <f t="array" ref="A51">OR(EXACT(D51,Prop2018DistTar!C$6:C$65))</f>
        <v>1</v>
      </c>
      <c r="B51" s="598" t="s">
        <v>233</v>
      </c>
      <c r="C51" s="598" t="s">
        <v>233</v>
      </c>
      <c r="D51" s="365" t="str">
        <f>IF(Prop2018DistTar!B18="","",Prop2018DistTar!B18)</f>
        <v>Dedicated Circuit - Bulk</v>
      </c>
      <c r="E51" s="333" t="str">
        <f>IF(Prop2018DistTar!C18="","",Prop2018DistTar!C18)</f>
        <v>Dedicated Circuit - Bulk</v>
      </c>
      <c r="F51" s="595">
        <f>Prop2018DistTar!CM18</f>
        <v>30625.114454939376</v>
      </c>
      <c r="I51" s="593">
        <f>Prop2018DistTar!DJ18</f>
        <v>24633.24423549472</v>
      </c>
    </row>
    <row r="52" spans="1:9">
      <c r="A52" s="364" t="b">
        <f t="array" ref="A52">OR(EXACT(D52,Prop2018DistTar!C$6:C$65))</f>
        <v>1</v>
      </c>
      <c r="B52" s="598" t="s">
        <v>233</v>
      </c>
      <c r="C52" s="598" t="s">
        <v>233</v>
      </c>
      <c r="D52" s="365" t="str">
        <f>IF(Prop2018DistTar!B19="","",Prop2018DistTar!B19)</f>
        <v>Residential Demand</v>
      </c>
      <c r="E52" s="333" t="str">
        <f>IF(Prop2018DistTar!C19="","",Prop2018DistTar!C19)</f>
        <v>Residential Demand</v>
      </c>
      <c r="F52" s="595">
        <f>Prop2018DistTar!CM19</f>
        <v>1926.4121004566211</v>
      </c>
      <c r="I52" s="593">
        <f>Prop2018DistTar!DJ19</f>
        <v>1725.1095890410959</v>
      </c>
    </row>
    <row r="53" spans="1:9">
      <c r="A53" s="364" t="b">
        <f t="array" ref="A53">OR(EXACT(D53,Prop2018DistTar!C$6:C$65))</f>
        <v>1</v>
      </c>
      <c r="B53" s="598" t="s">
        <v>233</v>
      </c>
      <c r="C53" s="598" t="s">
        <v>233</v>
      </c>
      <c r="D53" s="365" t="str">
        <f>IF(Prop2018DistTar!B20="","",Prop2018DistTar!B20)</f>
        <v>Residential Bulk Demand</v>
      </c>
      <c r="E53" s="333" t="str">
        <f>IF(Prop2018DistTar!C20="","",Prop2018DistTar!C20)</f>
        <v>Residential Bulk Demand</v>
      </c>
      <c r="F53" s="595">
        <f>Prop2018DistTar!CM20</f>
        <v>277.70890410958901</v>
      </c>
      <c r="I53" s="593">
        <f>Prop2018DistTar!DJ20</f>
        <v>250.2214611872146</v>
      </c>
    </row>
    <row r="54" spans="1:9">
      <c r="A54" s="364" t="b">
        <f t="array" ref="A54">OR(EXACT(D54,Prop2018DistTar!C$6:C$65))</f>
        <v>1</v>
      </c>
      <c r="B54" s="598" t="s">
        <v>234</v>
      </c>
      <c r="C54" s="598" t="s">
        <v>234</v>
      </c>
      <c r="D54" s="365" t="str">
        <f>IF(Prop2018DistTar!B21="","",Prop2018DistTar!B21)</f>
        <v>Non-Residential Single Rate</v>
      </c>
      <c r="E54" s="333" t="str">
        <f>IF(Prop2018DistTar!C21="","",Prop2018DistTar!C21)</f>
        <v>Non-Residential Single Rate</v>
      </c>
      <c r="F54" s="595">
        <f>Prop2018DistTar!CM21</f>
        <v>15964750.229837947</v>
      </c>
      <c r="I54" s="593">
        <f>Prop2018DistTar!DJ21</f>
        <v>14640418.106913</v>
      </c>
    </row>
    <row r="55" spans="1:9">
      <c r="A55" s="364" t="b">
        <f t="array" ref="A55">OR(EXACT(D55,Prop2018DistTar!C$6:C$65))</f>
        <v>1</v>
      </c>
      <c r="B55" s="598" t="s">
        <v>234</v>
      </c>
      <c r="C55" s="598" t="s">
        <v>234</v>
      </c>
      <c r="D55" s="365" t="str">
        <f>IF(Prop2018DistTar!B22="","",Prop2018DistTar!B22)</f>
        <v>Non-Residential Single Rate - Bulk</v>
      </c>
      <c r="E55" s="333" t="str">
        <f>IF(Prop2018DistTar!C22="","",Prop2018DistTar!C22)</f>
        <v>Non-Residential Single Rate - Bulk</v>
      </c>
      <c r="F55" s="595">
        <f>Prop2018DistTar!CM22</f>
        <v>4126448.7904940676</v>
      </c>
      <c r="I55" s="593">
        <f>Prop2018DistTar!DJ22</f>
        <v>3780904.9602481984</v>
      </c>
    </row>
    <row r="56" spans="1:9">
      <c r="A56" s="364" t="b">
        <f t="array" ref="A56">OR(EXACT(D56,Prop2018DistTar!C$6:C$65))</f>
        <v>1</v>
      </c>
      <c r="B56" s="598" t="s">
        <v>234</v>
      </c>
      <c r="C56" s="598" t="s">
        <v>234</v>
      </c>
      <c r="D56" s="365" t="str">
        <f>IF(Prop2018DistTar!B23="","",Prop2018DistTar!B23)</f>
        <v>Non-Residential Two Rate 5d</v>
      </c>
      <c r="E56" s="333" t="str">
        <f>IF(Prop2018DistTar!C23="","",Prop2018DistTar!C23)</f>
        <v>Non-Residential Two Rate 5d</v>
      </c>
      <c r="F56" s="595">
        <f>Prop2018DistTar!CM23</f>
        <v>10463089.915947795</v>
      </c>
      <c r="I56" s="593">
        <f>Prop2018DistTar!DJ23</f>
        <v>9555068.206405852</v>
      </c>
    </row>
    <row r="57" spans="1:9">
      <c r="A57" s="364" t="b">
        <f t="array" ref="A57">OR(EXACT(D57,Prop2018DistTar!C$6:C$65))</f>
        <v>1</v>
      </c>
      <c r="B57" s="598" t="s">
        <v>234</v>
      </c>
      <c r="C57" s="598" t="s">
        <v>234</v>
      </c>
      <c r="D57" s="365" t="str">
        <f>IF(Prop2018DistTar!B24="","",Prop2018DistTar!B24)</f>
        <v>Non-Residential Two Rate 5d - Bulk</v>
      </c>
      <c r="E57" s="333" t="str">
        <f>IF(Prop2018DistTar!C24="","",Prop2018DistTar!C24)</f>
        <v>Non-Residential Two Rate 5d - Bulk</v>
      </c>
      <c r="F57" s="595">
        <f>Prop2018DistTar!CM24</f>
        <v>1427395.7322810008</v>
      </c>
      <c r="I57" s="593">
        <f>Prop2018DistTar!DJ24</f>
        <v>1304057.1723051697</v>
      </c>
    </row>
    <row r="58" spans="1:9">
      <c r="A58" s="364" t="b">
        <f t="array" ref="A58">OR(EXACT(D58,Prop2018DistTar!C$6:C$65))</f>
        <v>1</v>
      </c>
      <c r="B58" s="598" t="s">
        <v>234</v>
      </c>
      <c r="C58" s="598" t="s">
        <v>234</v>
      </c>
      <c r="D58" s="365" t="str">
        <f>IF(Prop2018DistTar!B25="","",Prop2018DistTar!B25)</f>
        <v>Non-Residential Interval</v>
      </c>
      <c r="E58" s="333" t="str">
        <f>IF(Prop2018DistTar!C25="","",Prop2018DistTar!C25)</f>
        <v>Non-Residential Interval</v>
      </c>
      <c r="F58" s="595">
        <f>Prop2018DistTar!CM25</f>
        <v>5220364.6496879105</v>
      </c>
      <c r="I58" s="593">
        <f>Prop2018DistTar!DJ25</f>
        <v>4774658.4107843656</v>
      </c>
    </row>
    <row r="59" spans="1:9">
      <c r="A59" s="364" t="b">
        <f t="array" ref="A59">OR(EXACT(D59,Prop2018DistTar!C$6:C$65))</f>
        <v>1</v>
      </c>
      <c r="B59" s="598" t="s">
        <v>234</v>
      </c>
      <c r="C59" s="598" t="s">
        <v>234</v>
      </c>
      <c r="D59" s="365" t="str">
        <f>IF(Prop2018DistTar!B26="","",Prop2018DistTar!B26)</f>
        <v>Non-Residential Interval - Bulk</v>
      </c>
      <c r="E59" s="333" t="str">
        <f>IF(Prop2018DistTar!C26="","",Prop2018DistTar!C26)</f>
        <v>Non-Residential Interval - Bulk</v>
      </c>
      <c r="F59" s="595">
        <f>Prop2018DistTar!CM26</f>
        <v>2430345.674652752</v>
      </c>
      <c r="I59" s="593">
        <f>Prop2018DistTar!DJ26</f>
        <v>2220822.8235834306</v>
      </c>
    </row>
    <row r="60" spans="1:9">
      <c r="A60" s="364" t="b">
        <f t="array" ref="A60">OR(EXACT(D60,Prop2018DistTar!C$6:C$65))</f>
        <v>1</v>
      </c>
      <c r="B60" s="598" t="s">
        <v>234</v>
      </c>
      <c r="C60" s="598" t="s">
        <v>234</v>
      </c>
      <c r="D60" s="365" t="str">
        <f>IF(Prop2018DistTar!B27="","",Prop2018DistTar!B27)</f>
        <v>Non-Residential Flexible Pricing</v>
      </c>
      <c r="E60" s="333" t="str">
        <f>IF(Prop2018DistTar!C27="","",Prop2018DistTar!C27)</f>
        <v>Non-Residential Flexible Pricing</v>
      </c>
      <c r="F60" s="595">
        <f>Prop2018DistTar!CM27</f>
        <v>34487.435600213263</v>
      </c>
      <c r="I60" s="593">
        <f>Prop2018DistTar!DJ27</f>
        <v>31506.107232805771</v>
      </c>
    </row>
    <row r="61" spans="1:9">
      <c r="A61" s="364" t="b">
        <f t="array" ref="A61">OR(EXACT(D61,Prop2018DistTar!C$6:C$65))</f>
        <v>1</v>
      </c>
      <c r="B61" s="598" t="s">
        <v>234</v>
      </c>
      <c r="C61" s="598" t="s">
        <v>234</v>
      </c>
      <c r="D61" s="365" t="str">
        <f>IF(Prop2018DistTar!B28="","",Prop2018DistTar!B28)</f>
        <v>Non-Residential - Flexible Pricing Bulk</v>
      </c>
      <c r="E61" s="333" t="str">
        <f>IF(Prop2018DistTar!C28="","",Prop2018DistTar!C28)</f>
        <v>Non-Residential - Flexible Pricing Bulk</v>
      </c>
      <c r="F61" s="595">
        <f>Prop2018DistTar!CM28</f>
        <v>5756.2213209475503</v>
      </c>
      <c r="I61" s="593">
        <f>Prop2018DistTar!DJ28</f>
        <v>5261.8143362950286</v>
      </c>
    </row>
    <row r="62" spans="1:9">
      <c r="A62" s="364" t="b">
        <f t="array" ref="A62">OR(EXACT(D62,Prop2018DistTar!C$6:C$65))</f>
        <v>1</v>
      </c>
      <c r="B62" s="598" t="s">
        <v>234</v>
      </c>
      <c r="C62" s="598" t="s">
        <v>234</v>
      </c>
      <c r="D62" s="365" t="str">
        <f>IF(Prop2018DistTar!B29="","",Prop2018DistTar!B29)</f>
        <v>Non-Residential Two Rate 7d</v>
      </c>
      <c r="E62" s="333" t="str">
        <f>IF(Prop2018DistTar!C29="","",Prop2018DistTar!C29)</f>
        <v>Non-Residential Two Rate 7d</v>
      </c>
      <c r="F62" s="595">
        <f>Prop2018DistTar!CM29</f>
        <v>3224973.1122523844</v>
      </c>
      <c r="I62" s="593">
        <f>Prop2018DistTar!DJ29</f>
        <v>2950154.8196017314</v>
      </c>
    </row>
    <row r="63" spans="1:9">
      <c r="A63" s="364" t="b">
        <f t="array" ref="A63">OR(EXACT(D63,Prop2018DistTar!C$6:C$65))</f>
        <v>1</v>
      </c>
      <c r="B63" s="598" t="s">
        <v>234</v>
      </c>
      <c r="C63" s="598" t="s">
        <v>234</v>
      </c>
      <c r="D63" s="365" t="str">
        <f>IF(Prop2018DistTar!B30="","",Prop2018DistTar!B30)</f>
        <v>Non-Residential Two Rate 7d - Bulk</v>
      </c>
      <c r="E63" s="333" t="str">
        <f>IF(Prop2018DistTar!C30="","",Prop2018DistTar!C30)</f>
        <v>Non-Residential Two Rate 7d - Bulk</v>
      </c>
      <c r="F63" s="595">
        <f>Prop2018DistTar!CM30</f>
        <v>373950.12006584863</v>
      </c>
      <c r="I63" s="593">
        <f>Prop2018DistTar!DJ30</f>
        <v>341519.65832623391</v>
      </c>
    </row>
    <row r="64" spans="1:9">
      <c r="A64" s="364" t="b">
        <f t="array" ref="A64">OR(EXACT(D64,Prop2018DistTar!C$6:C$65))</f>
        <v>1</v>
      </c>
      <c r="B64" s="598" t="s">
        <v>234</v>
      </c>
      <c r="C64" s="598" t="s">
        <v>234</v>
      </c>
      <c r="D64" s="365" t="str">
        <f>IF(Prop2018DistTar!B31="","",Prop2018DistTar!B31)</f>
        <v>Large Two Rate 7d</v>
      </c>
      <c r="E64" s="333" t="str">
        <f>IF(Prop2018DistTar!C31="","",Prop2018DistTar!C31)</f>
        <v>Large Two Rate 7d</v>
      </c>
      <c r="F64" s="595">
        <f>Prop2018DistTar!CM31</f>
        <v>22523.985404080617</v>
      </c>
      <c r="I64" s="593">
        <f>Prop2018DistTar!DJ31</f>
        <v>20496.222642844179</v>
      </c>
    </row>
    <row r="65" spans="1:9">
      <c r="A65" s="364" t="b">
        <f t="array" ref="A65">OR(EXACT(D65,Prop2018DistTar!C$6:C$65))</f>
        <v>1</v>
      </c>
      <c r="B65" s="598" t="s">
        <v>234</v>
      </c>
      <c r="C65" s="598" t="s">
        <v>234</v>
      </c>
      <c r="D65" s="365" t="str">
        <f>IF(Prop2018DistTar!B32="","",Prop2018DistTar!B32)</f>
        <v>Non-Residential Demand Tariff</v>
      </c>
      <c r="E65" s="333" t="str">
        <f>IF(Prop2018DistTar!C32="","",Prop2018DistTar!C32)</f>
        <v>Non-Residential Demand Tariff</v>
      </c>
      <c r="F65" s="595">
        <f>Prop2018DistTar!CM32</f>
        <v>6232.5407697325509</v>
      </c>
      <c r="I65" s="593">
        <f>Prop2018DistTar!DJ32</f>
        <v>5700.5414220482717</v>
      </c>
    </row>
    <row r="66" spans="1:9">
      <c r="A66" s="364" t="b">
        <f t="array" ref="A66">OR(EXACT(D66,Prop2018DistTar!C$6:C$65))</f>
        <v>1</v>
      </c>
      <c r="B66" s="598" t="s">
        <v>234</v>
      </c>
      <c r="C66" s="598" t="s">
        <v>234</v>
      </c>
      <c r="D66" s="365" t="str">
        <f>IF(Prop2018DistTar!B33="","",Prop2018DistTar!B33)</f>
        <v>Non-Residential Bulk Demand Tariff</v>
      </c>
      <c r="E66" s="333" t="str">
        <f>IF(Prop2018DistTar!C33="","",Prop2018DistTar!C33)</f>
        <v>Non-Residential Bulk Demand Tariff</v>
      </c>
      <c r="F66" s="595">
        <f>Prop2018DistTar!CM33</f>
        <v>865.57873450750174</v>
      </c>
      <c r="I66" s="593">
        <f>Prop2018DistTar!DJ33</f>
        <v>792.5562948467059</v>
      </c>
    </row>
    <row r="67" spans="1:9">
      <c r="A67" s="364" t="b">
        <f t="array" ref="A67">OR(EXACT(D67,Prop2018DistTar!C$6:C$65))</f>
        <v>1</v>
      </c>
      <c r="B67" s="598" t="s">
        <v>234</v>
      </c>
      <c r="C67" s="598" t="s">
        <v>234</v>
      </c>
      <c r="D67" s="365" t="str">
        <f>IF(Prop2018DistTar!B34="","",Prop2018DistTar!B34)</f>
        <v>Medium Business Demand</v>
      </c>
      <c r="E67" s="333" t="str">
        <f>IF(Prop2018DistTar!C34="","",Prop2018DistTar!C34)</f>
        <v>Medium Business Demand</v>
      </c>
      <c r="F67" s="595">
        <f>Prop2018DistTar!CM34</f>
        <v>36062594.697719522</v>
      </c>
      <c r="I67" s="593">
        <f>Prop2018DistTar!DJ34</f>
        <v>35551721.172351472</v>
      </c>
    </row>
    <row r="68" spans="1:9">
      <c r="A68" s="364" t="b">
        <f t="array" ref="A68">OR(EXACT(D68,Prop2018DistTar!C$6:C$65))</f>
        <v>1</v>
      </c>
      <c r="B68" s="598" t="s">
        <v>234</v>
      </c>
      <c r="C68" s="598" t="s">
        <v>234</v>
      </c>
      <c r="D68" s="365" t="str">
        <f>IF(Prop2018DistTar!B35="","",Prop2018DistTar!B35)</f>
        <v>Medium Business Bulk Demand</v>
      </c>
      <c r="E68" s="333" t="str">
        <f>IF(Prop2018DistTar!C35="","",Prop2018DistTar!C35)</f>
        <v>Medium Business Bulk Demand</v>
      </c>
      <c r="F68" s="595">
        <f>Prop2018DistTar!CM35</f>
        <v>18174062.829940308</v>
      </c>
      <c r="I68" s="593">
        <f>Prop2018DistTar!DJ35</f>
        <v>17908765.603640661</v>
      </c>
    </row>
    <row r="69" spans="1:9">
      <c r="A69" s="364" t="b">
        <f t="array" ref="A69">OR(EXACT(D69,Prop2018DistTar!C$6:C$65))</f>
        <v>0</v>
      </c>
      <c r="B69" s="598" t="s">
        <v>234</v>
      </c>
      <c r="C69" s="598" t="s">
        <v>234</v>
      </c>
      <c r="D69" s="365" t="str">
        <f>IF(Prop2018DistTar!B36="","",Prop2018DistTar!B36)</f>
        <v>Medium Business Opt-out</v>
      </c>
      <c r="E69" s="333" t="str">
        <f>IF(Prop2018DistTar!C36="","",Prop2018DistTar!C36)</f>
        <v>-</v>
      </c>
      <c r="F69" s="595">
        <f>Prop2018DistTar!CM36</f>
        <v>59116.433874175855</v>
      </c>
      <c r="I69" s="593">
        <f>Prop2018DistTar!DJ36</f>
        <v>0</v>
      </c>
    </row>
    <row r="70" spans="1:9">
      <c r="A70" s="364" t="b">
        <f t="array" ref="A70">OR(EXACT(D70,Prop2018DistTar!C$6:C$65))</f>
        <v>0</v>
      </c>
      <c r="B70" s="598" t="s">
        <v>234</v>
      </c>
      <c r="C70" s="598" t="s">
        <v>234</v>
      </c>
      <c r="D70" s="365" t="str">
        <f>IF(Prop2018DistTar!B37="","",Prop2018DistTar!B37)</f>
        <v>Medium Business Bulk Opt-out</v>
      </c>
      <c r="E70" s="333" t="str">
        <f>IF(Prop2018DistTar!C37="","",Prop2018DistTar!C37)</f>
        <v>-</v>
      </c>
      <c r="F70" s="595">
        <f>Prop2018DistTar!CM37</f>
        <v>49146.197921159124</v>
      </c>
      <c r="I70" s="593">
        <f>Prop2018DistTar!DJ37</f>
        <v>0</v>
      </c>
    </row>
    <row r="71" spans="1:9">
      <c r="A71" s="364" t="b">
        <f t="array" ref="A71">OR(EXACT(D71,Prop2018DistTar!C$6:C$65))</f>
        <v>1</v>
      </c>
      <c r="B71" s="598" t="s">
        <v>234</v>
      </c>
      <c r="C71" s="598" t="s">
        <v>234</v>
      </c>
      <c r="D71" s="365" t="str">
        <f>IF(Prop2018DistTar!B38="","",Prop2018DistTar!B38)</f>
        <v>Unmetered Supplies / Public Lighting</v>
      </c>
      <c r="E71" s="333" t="str">
        <f>IF(Prop2018DistTar!C38="","",Prop2018DistTar!C38)</f>
        <v>Unmetered Supplies / Public Lighting</v>
      </c>
      <c r="F71" s="595">
        <f>Prop2018DistTar!CM38</f>
        <v>1828479.3459256126</v>
      </c>
      <c r="I71" s="593">
        <f>Prop2018DistTar!DJ38</f>
        <v>1660258.5180630076</v>
      </c>
    </row>
    <row r="72" spans="1:9">
      <c r="A72" s="364" t="b">
        <f t="array" ref="A72">OR(EXACT(D72,Prop2018DistTar!C$6:C$65))</f>
        <v>1</v>
      </c>
      <c r="B72" s="598" t="s">
        <v>235</v>
      </c>
      <c r="C72" s="598" t="s">
        <v>235</v>
      </c>
      <c r="D72" s="365" t="str">
        <f>IF(Prop2018DistTar!B39="","",Prop2018DistTar!B39)</f>
        <v>Large low Voltage</v>
      </c>
      <c r="E72" s="333" t="str">
        <f>IF(Prop2018DistTar!C39="","",Prop2018DistTar!C39)</f>
        <v>Large low Voltage</v>
      </c>
      <c r="F72" s="595">
        <f>Prop2018DistTar!CM39</f>
        <v>10616251.655359469</v>
      </c>
      <c r="I72" s="593">
        <f>Prop2018DistTar!DJ39</f>
        <v>9919883.7396943681</v>
      </c>
    </row>
    <row r="73" spans="1:9">
      <c r="A73" s="364" t="b">
        <f t="array" ref="A73">OR(EXACT(D73,Prop2018DistTar!C$6:C$65))</f>
        <v>1</v>
      </c>
      <c r="B73" s="598" t="s">
        <v>235</v>
      </c>
      <c r="C73" s="598" t="s">
        <v>235</v>
      </c>
      <c r="D73" s="365" t="str">
        <f>IF(Prop2018DistTar!B40="","",Prop2018DistTar!B40)</f>
        <v>Large low Voltage Bulk</v>
      </c>
      <c r="E73" s="333" t="str">
        <f>IF(Prop2018DistTar!C40="","",Prop2018DistTar!C40)</f>
        <v>Large low Voltage Bulk</v>
      </c>
      <c r="F73" s="595">
        <f>Prop2018DistTar!CM40</f>
        <v>85820173.558046892</v>
      </c>
      <c r="I73" s="593">
        <f>Prop2018DistTar!DJ40</f>
        <v>80312262.724383771</v>
      </c>
    </row>
    <row r="74" spans="1:9">
      <c r="A74" s="364" t="b">
        <f t="array" ref="A74">OR(EXACT(D74,Prop2018DistTar!C$6:C$65))</f>
        <v>1</v>
      </c>
      <c r="B74" s="598" t="s">
        <v>236</v>
      </c>
      <c r="C74" s="598" t="s">
        <v>236</v>
      </c>
      <c r="D74" s="365" t="str">
        <f>IF(Prop2018DistTar!B41="","",Prop2018DistTar!B41)</f>
        <v>High Voltage</v>
      </c>
      <c r="E74" s="333" t="str">
        <f>IF(Prop2018DistTar!C41="","",Prop2018DistTar!C41)</f>
        <v>High Voltage</v>
      </c>
      <c r="F74" s="595">
        <f>Prop2018DistTar!CM41</f>
        <v>15502091.410123836</v>
      </c>
      <c r="I74" s="593">
        <f>Prop2018DistTar!DJ41</f>
        <v>14508795.109089047</v>
      </c>
    </row>
    <row r="75" spans="1:9">
      <c r="A75" s="364" t="b">
        <f t="array" ref="A75">OR(EXACT(D75,Prop2018DistTar!C$6:C$65))</f>
        <v>1</v>
      </c>
      <c r="B75" s="678" t="s">
        <v>237</v>
      </c>
      <c r="C75" s="678" t="s">
        <v>237</v>
      </c>
      <c r="D75" s="365" t="str">
        <f>IF(Prop2018DistTar!B42="","",Prop2018DistTar!B42)</f>
        <v>Subtransmission</v>
      </c>
      <c r="E75" s="333" t="str">
        <f>IF(Prop2018DistTar!C42="","",Prop2018DistTar!C42)</f>
        <v>Subtransmission</v>
      </c>
      <c r="F75" s="595">
        <f>Prop2018DistTar!CM42</f>
        <v>976176.81745959993</v>
      </c>
      <c r="I75" s="593">
        <f>Prop2018DistTar!DJ42</f>
        <v>917522.8910214334</v>
      </c>
    </row>
    <row r="76" spans="1:9">
      <c r="A76" s="364" t="b">
        <f t="array" ref="A76">OR(EXACT(D76,Prop2018DistTar!C$6:C$65))</f>
        <v>1</v>
      </c>
      <c r="B76" s="598"/>
      <c r="C76" s="598"/>
      <c r="D76" s="365" t="str">
        <f>IF(Prop2018DistTar!B43="","",Prop2018DistTar!B43)</f>
        <v/>
      </c>
      <c r="E76" s="333" t="str">
        <f>IF(Prop2018DistTar!C43="","",Prop2018DistTar!C43)</f>
        <v/>
      </c>
      <c r="F76" s="595">
        <f>Prop2018DistTar!CM43</f>
        <v>0</v>
      </c>
      <c r="I76" s="593">
        <f>Prop2018DistTar!DJ43</f>
        <v>0</v>
      </c>
    </row>
    <row r="77" spans="1:9">
      <c r="A77" s="364" t="b">
        <f t="array" ref="A77">OR(EXACT(D77,Prop2018DistTar!C$6:C$65))</f>
        <v>1</v>
      </c>
      <c r="B77" s="598"/>
      <c r="C77" s="598"/>
      <c r="D77" s="365" t="str">
        <f>IF(Prop2018DistTar!B44="","",Prop2018DistTar!B44)</f>
        <v/>
      </c>
      <c r="E77" s="333" t="str">
        <f>IF(Prop2018DistTar!C44="","",Prop2018DistTar!C44)</f>
        <v/>
      </c>
      <c r="F77" s="595">
        <f>Prop2018DistTar!CM44</f>
        <v>0</v>
      </c>
      <c r="I77" s="593">
        <f>Prop2018DistTar!DJ44</f>
        <v>0</v>
      </c>
    </row>
    <row r="78" spans="1:9">
      <c r="A78" s="364" t="b">
        <f t="array" ref="A78">OR(EXACT(D78,Prop2018DistTar!C$6:C$65))</f>
        <v>1</v>
      </c>
      <c r="B78" s="598"/>
      <c r="C78" s="598"/>
      <c r="D78" s="365" t="str">
        <f>IF(Prop2018DistTar!B45="","",Prop2018DistTar!B45)</f>
        <v/>
      </c>
      <c r="E78" s="333" t="str">
        <f>IF(Prop2018DistTar!C45="","",Prop2018DistTar!C45)</f>
        <v/>
      </c>
      <c r="F78" s="595">
        <f>Prop2018DistTar!CM45</f>
        <v>0</v>
      </c>
      <c r="I78" s="593">
        <f>Prop2018DistTar!DJ45</f>
        <v>0</v>
      </c>
    </row>
    <row r="79" spans="1:9">
      <c r="A79" s="364" t="b">
        <f t="array" ref="A79">OR(EXACT(D79,Prop2018DistTar!C$6:C$65))</f>
        <v>1</v>
      </c>
      <c r="B79" s="678"/>
      <c r="C79" s="678"/>
      <c r="D79" s="365" t="str">
        <f>IF(Prop2018DistTar!B46="","",Prop2018DistTar!B46)</f>
        <v/>
      </c>
      <c r="E79" s="333" t="str">
        <f>IF(Prop2018DistTar!C46="","",Prop2018DistTar!C46)</f>
        <v/>
      </c>
      <c r="F79" s="595">
        <f>Prop2018DistTar!CM46</f>
        <v>0</v>
      </c>
      <c r="I79" s="593">
        <f>Prop2018DistTar!DJ46</f>
        <v>0</v>
      </c>
    </row>
    <row r="80" spans="1:9">
      <c r="A80" s="364" t="b">
        <f t="array" ref="A80">OR(EXACT(D80,Prop2018DistTar!C$6:C$65))</f>
        <v>1</v>
      </c>
      <c r="B80" s="678"/>
      <c r="C80" s="678"/>
      <c r="D80" s="365" t="str">
        <f>IF(Prop2018DistTar!B47="","",Prop2018DistTar!B47)</f>
        <v/>
      </c>
      <c r="E80" s="333" t="str">
        <f>IF(Prop2018DistTar!C47="","",Prop2018DistTar!C47)</f>
        <v/>
      </c>
      <c r="F80" s="595">
        <f>Prop2018DistTar!CM47</f>
        <v>0</v>
      </c>
      <c r="I80" s="593">
        <f>Prop2018DistTar!DJ47</f>
        <v>0</v>
      </c>
    </row>
    <row r="81" spans="1:9">
      <c r="A81" s="364" t="b">
        <f t="array" ref="A81">OR(EXACT(D81,Prop2018DistTar!C$6:C$65))</f>
        <v>1</v>
      </c>
      <c r="B81" s="678"/>
      <c r="C81" s="678"/>
      <c r="D81" s="365" t="str">
        <f>IF(Prop2018DistTar!B48="","",Prop2018DistTar!B48)</f>
        <v/>
      </c>
      <c r="E81" s="333" t="str">
        <f>IF(Prop2018DistTar!C48="","",Prop2018DistTar!C48)</f>
        <v/>
      </c>
      <c r="F81" s="595">
        <f>Prop2018DistTar!CM48</f>
        <v>0</v>
      </c>
      <c r="I81" s="593">
        <f>Prop2018DistTar!DJ48</f>
        <v>0</v>
      </c>
    </row>
    <row r="82" spans="1:9">
      <c r="A82" s="364" t="b">
        <f t="array" ref="A82">OR(EXACT(D82,Prop2018DistTar!C$6:C$65))</f>
        <v>1</v>
      </c>
      <c r="B82" s="678"/>
      <c r="C82" s="678"/>
      <c r="D82" s="365" t="str">
        <f>IF(Prop2018DistTar!B49="","",Prop2018DistTar!B49)</f>
        <v/>
      </c>
      <c r="E82" s="333" t="str">
        <f>IF(Prop2018DistTar!C49="","",Prop2018DistTar!C49)</f>
        <v/>
      </c>
      <c r="F82" s="595">
        <f>Prop2018DistTar!CM49</f>
        <v>0</v>
      </c>
      <c r="I82" s="593">
        <f>Prop2018DistTar!DJ49</f>
        <v>0</v>
      </c>
    </row>
    <row r="83" spans="1:9">
      <c r="A83" s="364" t="b">
        <f t="array" ref="A83">OR(EXACT(D83,Prop2018DistTar!C$6:C$65))</f>
        <v>1</v>
      </c>
      <c r="B83" s="678"/>
      <c r="C83" s="678"/>
      <c r="D83" s="365" t="str">
        <f>IF(Prop2018DistTar!B50="","",Prop2018DistTar!B50)</f>
        <v/>
      </c>
      <c r="E83" s="333" t="str">
        <f>IF(Prop2018DistTar!C50="","",Prop2018DistTar!C50)</f>
        <v/>
      </c>
      <c r="F83" s="595">
        <f>Prop2018DistTar!CM50</f>
        <v>0</v>
      </c>
      <c r="I83" s="593">
        <f>Prop2018DistTar!DJ50</f>
        <v>0</v>
      </c>
    </row>
    <row r="84" spans="1:9">
      <c r="A84" s="364" t="b">
        <f t="array" ref="A84">OR(EXACT(D84,Prop2018DistTar!C$6:C$65))</f>
        <v>1</v>
      </c>
      <c r="B84" s="678"/>
      <c r="C84" s="678"/>
      <c r="D84" s="365" t="str">
        <f>IF(Prop2018DistTar!B51="","",Prop2018DistTar!B51)</f>
        <v/>
      </c>
      <c r="E84" s="333" t="str">
        <f>IF(Prop2018DistTar!C51="","",Prop2018DistTar!C51)</f>
        <v/>
      </c>
      <c r="F84" s="595">
        <f>Prop2018DistTar!CM51</f>
        <v>0</v>
      </c>
      <c r="I84" s="593">
        <f>Prop2018DistTar!DJ51</f>
        <v>0</v>
      </c>
    </row>
    <row r="85" spans="1:9">
      <c r="A85" s="364" t="b">
        <f t="array" ref="A85">OR(EXACT(D85,Prop2018DistTar!C$6:C$65))</f>
        <v>1</v>
      </c>
      <c r="B85" s="678"/>
      <c r="C85" s="678"/>
      <c r="D85" s="365" t="str">
        <f>IF(Prop2018DistTar!B52="","",Prop2018DistTar!B52)</f>
        <v/>
      </c>
      <c r="E85" s="333" t="str">
        <f>IF(Prop2018DistTar!C52="","",Prop2018DistTar!C52)</f>
        <v/>
      </c>
      <c r="F85" s="595">
        <f>Prop2018DistTar!CM52</f>
        <v>0</v>
      </c>
      <c r="I85" s="593">
        <f>Prop2018DistTar!DJ52</f>
        <v>0</v>
      </c>
    </row>
    <row r="86" spans="1:9">
      <c r="A86" s="364" t="b">
        <f t="array" ref="A86">OR(EXACT(D86,Prop2018DistTar!C$6:C$65))</f>
        <v>1</v>
      </c>
      <c r="B86" s="348"/>
      <c r="C86" s="348"/>
      <c r="D86" s="365" t="str">
        <f>IF(Prop2018DistTar!B53="","",Prop2018DistTar!B53)</f>
        <v/>
      </c>
      <c r="E86" s="333" t="str">
        <f>IF(Prop2018DistTar!C53="","",Prop2018DistTar!C53)</f>
        <v/>
      </c>
      <c r="F86" s="595">
        <f>Prop2018DistTar!CM53</f>
        <v>0</v>
      </c>
      <c r="I86" s="593">
        <f>Prop2018DistTar!DJ53</f>
        <v>0</v>
      </c>
    </row>
    <row r="87" spans="1:9">
      <c r="A87" s="364" t="b">
        <f t="array" ref="A87">OR(EXACT(D87,Prop2018DistTar!C$6:C$65))</f>
        <v>1</v>
      </c>
      <c r="B87" s="348"/>
      <c r="C87" s="348"/>
      <c r="D87" s="365" t="str">
        <f>IF(Prop2018DistTar!B54="","",Prop2018DistTar!B54)</f>
        <v/>
      </c>
      <c r="E87" s="333" t="str">
        <f>IF(Prop2018DistTar!C54="","",Prop2018DistTar!C54)</f>
        <v/>
      </c>
      <c r="F87" s="595">
        <f>Prop2018DistTar!CM54</f>
        <v>0</v>
      </c>
      <c r="I87" s="593">
        <f>Prop2018DistTar!DJ54</f>
        <v>0</v>
      </c>
    </row>
    <row r="88" spans="1:9">
      <c r="A88" s="364" t="b">
        <f t="array" ref="A88">OR(EXACT(D88,Prop2018DistTar!C$6:C$65))</f>
        <v>1</v>
      </c>
      <c r="B88" s="348"/>
      <c r="C88" s="348"/>
      <c r="D88" s="365" t="str">
        <f>IF(Prop2018DistTar!B55="","",Prop2018DistTar!B55)</f>
        <v/>
      </c>
      <c r="E88" s="333" t="str">
        <f>IF(Prop2018DistTar!C55="","",Prop2018DistTar!C55)</f>
        <v/>
      </c>
      <c r="F88" s="595">
        <f>Prop2018DistTar!CM55</f>
        <v>0</v>
      </c>
      <c r="I88" s="593">
        <f>Prop2018DistTar!DJ55</f>
        <v>0</v>
      </c>
    </row>
    <row r="89" spans="1:9">
      <c r="A89" s="364" t="b">
        <f t="array" ref="A89">OR(EXACT(D89,Prop2018DistTar!C$6:C$65))</f>
        <v>1</v>
      </c>
      <c r="B89" s="348"/>
      <c r="C89" s="348"/>
      <c r="D89" s="365" t="str">
        <f>IF(Prop2018DistTar!B56="","",Prop2018DistTar!B56)</f>
        <v/>
      </c>
      <c r="E89" s="333" t="str">
        <f>IF(Prop2018DistTar!C56="","",Prop2018DistTar!C56)</f>
        <v/>
      </c>
      <c r="F89" s="595">
        <f>Prop2018DistTar!CM56</f>
        <v>0</v>
      </c>
      <c r="I89" s="593">
        <f>Prop2018DistTar!DJ56</f>
        <v>0</v>
      </c>
    </row>
    <row r="90" spans="1:9">
      <c r="A90" s="364" t="b">
        <f t="array" ref="A90">OR(EXACT(D90,Prop2018DistTar!C$6:C$65))</f>
        <v>1</v>
      </c>
      <c r="B90" s="348"/>
      <c r="C90" s="348"/>
      <c r="D90" s="365" t="str">
        <f>IF(Prop2018DistTar!B57="","",Prop2018DistTar!B57)</f>
        <v/>
      </c>
      <c r="E90" s="333" t="str">
        <f>IF(Prop2018DistTar!C57="","",Prop2018DistTar!C57)</f>
        <v/>
      </c>
      <c r="F90" s="595">
        <f>Prop2018DistTar!CM57</f>
        <v>0</v>
      </c>
      <c r="I90" s="593">
        <f>Prop2018DistTar!DJ57</f>
        <v>0</v>
      </c>
    </row>
    <row r="91" spans="1:9">
      <c r="A91" s="364" t="b">
        <f t="array" ref="A91">OR(EXACT(D91,Prop2018DistTar!C$6:C$65))</f>
        <v>1</v>
      </c>
      <c r="B91" s="348"/>
      <c r="C91" s="348"/>
      <c r="D91" s="365" t="str">
        <f>IF(Prop2018DistTar!B58="","",Prop2018DistTar!B58)</f>
        <v/>
      </c>
      <c r="E91" s="333" t="str">
        <f>IF(Prop2018DistTar!C58="","",Prop2018DistTar!C58)</f>
        <v/>
      </c>
      <c r="F91" s="595">
        <f>Prop2018DistTar!CM58</f>
        <v>0</v>
      </c>
      <c r="I91" s="593">
        <f>Prop2018DistTar!DJ58</f>
        <v>0</v>
      </c>
    </row>
    <row r="92" spans="1:9">
      <c r="A92" s="364" t="b">
        <f t="array" ref="A92">OR(EXACT(D92,Prop2018DistTar!C$6:C$65))</f>
        <v>1</v>
      </c>
      <c r="B92" s="348"/>
      <c r="C92" s="348"/>
      <c r="D92" s="365" t="str">
        <f>IF(Prop2018DistTar!B59="","",Prop2018DistTar!B59)</f>
        <v/>
      </c>
      <c r="E92" s="333" t="str">
        <f>IF(Prop2018DistTar!C59="","",Prop2018DistTar!C59)</f>
        <v/>
      </c>
      <c r="F92" s="595">
        <f>Prop2018DistTar!CM59</f>
        <v>0</v>
      </c>
      <c r="I92" s="593">
        <f>Prop2018DistTar!DJ59</f>
        <v>0</v>
      </c>
    </row>
    <row r="93" spans="1:9">
      <c r="A93" s="364" t="b">
        <f t="array" ref="A93">OR(EXACT(D93,Prop2018DistTar!C$6:C$65))</f>
        <v>1</v>
      </c>
      <c r="B93" s="348"/>
      <c r="C93" s="348"/>
      <c r="D93" s="365" t="str">
        <f>IF(Prop2018DistTar!B60="","",Prop2018DistTar!B60)</f>
        <v/>
      </c>
      <c r="E93" s="333" t="str">
        <f>IF(Prop2018DistTar!C60="","",Prop2018DistTar!C60)</f>
        <v/>
      </c>
      <c r="F93" s="595">
        <f>Prop2018DistTar!CM60</f>
        <v>0</v>
      </c>
      <c r="I93" s="593">
        <f>Prop2018DistTar!DJ60</f>
        <v>0</v>
      </c>
    </row>
    <row r="94" spans="1:9">
      <c r="A94" s="364" t="b">
        <f t="array" ref="A94">OR(EXACT(D94,Prop2018DistTar!C$6:C$65))</f>
        <v>1</v>
      </c>
      <c r="B94" s="348"/>
      <c r="C94" s="348"/>
      <c r="D94" s="365" t="str">
        <f>IF(Prop2018DistTar!B61="","",Prop2018DistTar!B61)</f>
        <v/>
      </c>
      <c r="E94" s="333" t="str">
        <f>IF(Prop2018DistTar!C61="","",Prop2018DistTar!C61)</f>
        <v/>
      </c>
      <c r="F94" s="595">
        <f>Prop2018DistTar!CM61</f>
        <v>0</v>
      </c>
      <c r="I94" s="593">
        <f>Prop2018DistTar!DJ61</f>
        <v>0</v>
      </c>
    </row>
    <row r="95" spans="1:9">
      <c r="A95" s="364" t="b">
        <f t="array" ref="A95">OR(EXACT(D95,Prop2018DistTar!C$6:C$65))</f>
        <v>1</v>
      </c>
      <c r="B95" s="348"/>
      <c r="C95" s="348"/>
      <c r="D95" s="365" t="str">
        <f>IF(Prop2018DistTar!B62="","",Prop2018DistTar!B62)</f>
        <v/>
      </c>
      <c r="E95" s="333" t="str">
        <f>IF(Prop2018DistTar!C62="","",Prop2018DistTar!C62)</f>
        <v/>
      </c>
      <c r="F95" s="595">
        <f>Prop2018DistTar!CM62</f>
        <v>0</v>
      </c>
      <c r="I95" s="593">
        <f>Prop2018DistTar!DJ62</f>
        <v>0</v>
      </c>
    </row>
    <row r="96" spans="1:9">
      <c r="A96" s="364" t="b">
        <f t="array" ref="A96">OR(EXACT(D96,Prop2018DistTar!C$6:C$65))</f>
        <v>1</v>
      </c>
      <c r="B96" s="348"/>
      <c r="C96" s="348"/>
      <c r="D96" s="365" t="str">
        <f>IF(Prop2018DistTar!B63="","",Prop2018DistTar!B63)</f>
        <v/>
      </c>
      <c r="E96" s="333" t="str">
        <f>IF(Prop2018DistTar!C63="","",Prop2018DistTar!C63)</f>
        <v/>
      </c>
      <c r="F96" s="595">
        <f>Prop2018DistTar!CM63</f>
        <v>0</v>
      </c>
      <c r="I96" s="593">
        <f>Prop2018DistTar!DJ63</f>
        <v>0</v>
      </c>
    </row>
    <row r="97" spans="1:116">
      <c r="A97" s="364" t="b">
        <f t="array" ref="A97">OR(EXACT(D97,Prop2018DistTar!C$6:C$65))</f>
        <v>1</v>
      </c>
      <c r="B97" s="348"/>
      <c r="C97" s="348"/>
      <c r="D97" s="365" t="str">
        <f>IF(Prop2018DistTar!B64="","",Prop2018DistTar!B64)</f>
        <v/>
      </c>
      <c r="E97" s="333" t="str">
        <f>IF(Prop2018DistTar!C64="","",Prop2018DistTar!C64)</f>
        <v/>
      </c>
      <c r="F97" s="595">
        <f>Prop2018DistTar!CM64</f>
        <v>0</v>
      </c>
      <c r="I97" s="593">
        <f>Prop2018DistTar!DJ64</f>
        <v>0</v>
      </c>
    </row>
    <row r="98" spans="1:116" ht="13.5" thickBot="1">
      <c r="A98" s="155" t="b">
        <f t="array" ref="A98">OR(EXACT(D98,Prop2018DistTar!C$6:C$65))</f>
        <v>1</v>
      </c>
      <c r="B98" s="349"/>
      <c r="C98" s="366"/>
      <c r="D98" s="367" t="str">
        <f>IF(Prop2018DistTar!B65="","",Prop2018DistTar!B65)</f>
        <v/>
      </c>
      <c r="E98" s="337" t="str">
        <f>IF(Prop2018DistTar!C65="","",Prop2018DistTar!C65)</f>
        <v/>
      </c>
      <c r="F98" s="594">
        <f>Prop2018DistTar!CM65</f>
        <v>0</v>
      </c>
      <c r="I98" s="592">
        <f>Prop2018DistTar!DJ65</f>
        <v>0</v>
      </c>
    </row>
    <row r="99" spans="1:116" s="340" customFormat="1" ht="13.5" thickBot="1">
      <c r="A99" s="154"/>
      <c r="F99" s="589">
        <f>SUM(F39:F98)</f>
        <v>293358386.96368277</v>
      </c>
      <c r="G99" s="327"/>
      <c r="H99" s="327"/>
      <c r="I99" s="368">
        <f>SUM(I39:I98)</f>
        <v>278291065.20543498</v>
      </c>
      <c r="J99" s="327"/>
      <c r="K99" s="327"/>
      <c r="L99" s="327"/>
      <c r="M99" s="327"/>
      <c r="N99" s="327"/>
      <c r="O99" s="327"/>
      <c r="P99" s="327"/>
      <c r="Q99" s="327"/>
      <c r="R99" s="327"/>
      <c r="S99" s="327"/>
      <c r="T99" s="327"/>
      <c r="U99" s="327"/>
      <c r="V99" s="327"/>
      <c r="W99" s="327"/>
      <c r="X99" s="327"/>
      <c r="Y99" s="327"/>
      <c r="Z99" s="327"/>
      <c r="AA99" s="327"/>
      <c r="AB99" s="327"/>
      <c r="AC99" s="327"/>
      <c r="AD99" s="327"/>
      <c r="AE99" s="327"/>
      <c r="AF99" s="327"/>
      <c r="AG99" s="327"/>
      <c r="AH99" s="327"/>
      <c r="AI99" s="327"/>
      <c r="AJ99" s="327"/>
      <c r="AK99" s="327"/>
      <c r="AL99" s="327"/>
      <c r="AM99" s="327"/>
      <c r="AN99" s="327"/>
      <c r="AO99" s="327"/>
      <c r="AP99" s="327"/>
      <c r="AQ99" s="327"/>
      <c r="AR99" s="327"/>
      <c r="AS99" s="327"/>
      <c r="AT99" s="327"/>
      <c r="AU99" s="327"/>
      <c r="AV99" s="327"/>
      <c r="AW99" s="327"/>
      <c r="AX99" s="327"/>
      <c r="AY99" s="327"/>
      <c r="AZ99" s="327"/>
      <c r="BA99" s="327"/>
      <c r="BB99" s="327"/>
      <c r="BC99" s="327"/>
      <c r="BD99" s="327"/>
      <c r="BE99" s="327"/>
      <c r="BF99" s="327"/>
      <c r="BG99" s="327"/>
      <c r="BH99" s="327"/>
      <c r="BI99" s="327"/>
      <c r="BJ99" s="327"/>
      <c r="BK99" s="327"/>
      <c r="BL99" s="327"/>
      <c r="BM99" s="327"/>
      <c r="BN99" s="327"/>
      <c r="BO99" s="327"/>
      <c r="BP99" s="327"/>
      <c r="BQ99" s="327"/>
      <c r="BR99" s="327"/>
      <c r="BS99" s="327"/>
      <c r="BT99" s="327"/>
      <c r="BU99" s="327"/>
      <c r="BV99" s="327"/>
      <c r="BW99" s="327"/>
      <c r="BX99" s="327"/>
      <c r="BY99" s="327"/>
      <c r="BZ99" s="327"/>
      <c r="CA99" s="327"/>
      <c r="CB99" s="327"/>
      <c r="CC99" s="327"/>
      <c r="CD99" s="327"/>
      <c r="CE99" s="327"/>
      <c r="CF99" s="327"/>
      <c r="CG99" s="327"/>
      <c r="CH99" s="327"/>
      <c r="CI99" s="327"/>
      <c r="CJ99" s="327"/>
      <c r="CK99" s="327"/>
      <c r="CL99" s="327"/>
      <c r="CM99" s="327"/>
      <c r="CN99" s="327"/>
      <c r="CO99" s="327"/>
      <c r="CP99" s="327"/>
      <c r="CQ99" s="327"/>
      <c r="CR99" s="327"/>
      <c r="CS99" s="327"/>
      <c r="CT99" s="327"/>
      <c r="CU99" s="327"/>
      <c r="CV99" s="327"/>
      <c r="CW99" s="327"/>
      <c r="CX99" s="327"/>
      <c r="CY99" s="327"/>
      <c r="CZ99" s="327"/>
      <c r="DA99" s="327"/>
      <c r="DB99" s="327"/>
      <c r="DC99" s="327"/>
      <c r="DD99" s="327"/>
      <c r="DE99" s="327"/>
      <c r="DF99" s="327"/>
      <c r="DG99" s="327"/>
      <c r="DH99" s="327"/>
      <c r="DI99" s="327"/>
      <c r="DJ99" s="327"/>
      <c r="DK99" s="327"/>
      <c r="DL99" s="327"/>
    </row>
    <row r="100" spans="1:116" s="340" customFormat="1" ht="13.5" thickTop="1">
      <c r="A100" s="154"/>
      <c r="G100" s="327"/>
      <c r="H100" s="327"/>
      <c r="I100" s="327"/>
      <c r="J100" s="327"/>
      <c r="K100" s="327"/>
      <c r="L100" s="327"/>
      <c r="M100" s="327"/>
      <c r="N100" s="327"/>
      <c r="O100" s="327"/>
      <c r="P100" s="327"/>
      <c r="Q100" s="327"/>
      <c r="R100" s="327"/>
      <c r="S100" s="327"/>
      <c r="T100" s="327"/>
      <c r="U100" s="327"/>
      <c r="V100" s="327"/>
      <c r="W100" s="327"/>
      <c r="X100" s="327"/>
      <c r="Y100" s="327"/>
      <c r="Z100" s="327"/>
      <c r="AA100" s="327"/>
      <c r="AB100" s="327"/>
      <c r="AC100" s="327"/>
      <c r="AD100" s="327"/>
      <c r="AE100" s="327"/>
      <c r="AF100" s="327"/>
      <c r="AG100" s="327"/>
      <c r="AH100" s="327"/>
      <c r="AI100" s="327"/>
      <c r="AJ100" s="327"/>
      <c r="AK100" s="327"/>
      <c r="AL100" s="327"/>
      <c r="AM100" s="327"/>
      <c r="AN100" s="327"/>
      <c r="AO100" s="327"/>
      <c r="AP100" s="327"/>
      <c r="AQ100" s="327"/>
      <c r="AR100" s="327"/>
      <c r="AS100" s="327"/>
      <c r="AT100" s="327"/>
      <c r="AU100" s="327"/>
      <c r="AV100" s="327"/>
      <c r="AW100" s="327"/>
      <c r="AX100" s="327"/>
      <c r="AY100" s="327"/>
      <c r="AZ100" s="327"/>
      <c r="BA100" s="327"/>
      <c r="BB100" s="327"/>
      <c r="BC100" s="327"/>
      <c r="BD100" s="327"/>
      <c r="BE100" s="327"/>
      <c r="BF100" s="327"/>
      <c r="BG100" s="327"/>
      <c r="BH100" s="327"/>
      <c r="BI100" s="327"/>
      <c r="BJ100" s="327"/>
      <c r="BK100" s="327"/>
      <c r="BL100" s="327"/>
      <c r="BM100" s="327"/>
      <c r="BN100" s="327"/>
      <c r="BO100" s="327"/>
      <c r="BP100" s="327"/>
      <c r="BQ100" s="327"/>
      <c r="BR100" s="327"/>
      <c r="BS100" s="327"/>
      <c r="BT100" s="327"/>
      <c r="BU100" s="327"/>
      <c r="BV100" s="327"/>
      <c r="BW100" s="327"/>
      <c r="BX100" s="327"/>
      <c r="BY100" s="327"/>
      <c r="BZ100" s="327"/>
      <c r="CA100" s="327"/>
      <c r="CB100" s="327"/>
      <c r="CC100" s="327"/>
      <c r="CD100" s="327"/>
      <c r="CE100" s="327"/>
      <c r="CF100" s="327"/>
      <c r="CG100" s="327"/>
      <c r="CH100" s="327"/>
      <c r="CI100" s="327"/>
      <c r="CJ100" s="327"/>
      <c r="CK100" s="327"/>
      <c r="CL100" s="327"/>
      <c r="CM100" s="327"/>
      <c r="CN100" s="327"/>
      <c r="CO100" s="327"/>
      <c r="CP100" s="327"/>
      <c r="CQ100" s="327"/>
      <c r="CR100" s="327"/>
      <c r="CS100" s="327"/>
      <c r="CT100" s="327"/>
      <c r="CU100" s="327"/>
      <c r="CV100" s="327"/>
      <c r="CW100" s="327"/>
      <c r="CX100" s="327"/>
      <c r="CY100" s="327"/>
      <c r="CZ100" s="327"/>
      <c r="DA100" s="327"/>
      <c r="DB100" s="327"/>
      <c r="DC100" s="327"/>
      <c r="DD100" s="327"/>
      <c r="DE100" s="327"/>
      <c r="DF100" s="327"/>
      <c r="DG100" s="327"/>
      <c r="DH100" s="327"/>
      <c r="DI100" s="327"/>
      <c r="DJ100" s="327"/>
      <c r="DK100" s="327"/>
      <c r="DL100" s="327"/>
    </row>
    <row r="101" spans="1:116" s="340" customFormat="1">
      <c r="A101" s="154"/>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7"/>
      <c r="BK101" s="327"/>
      <c r="BL101" s="327"/>
      <c r="BM101" s="327"/>
      <c r="BN101" s="327"/>
      <c r="BO101" s="327"/>
      <c r="BP101" s="327"/>
      <c r="BQ101" s="327"/>
      <c r="BR101" s="327"/>
      <c r="BS101" s="327"/>
      <c r="BT101" s="327"/>
      <c r="BU101" s="327"/>
      <c r="BV101" s="327"/>
      <c r="BW101" s="327"/>
      <c r="BX101" s="327"/>
      <c r="BY101" s="327"/>
      <c r="BZ101" s="327"/>
      <c r="CA101" s="327"/>
      <c r="CB101" s="327"/>
      <c r="CC101" s="327"/>
      <c r="CD101" s="327"/>
      <c r="CE101" s="327"/>
      <c r="CF101" s="327"/>
      <c r="CG101" s="327"/>
      <c r="CH101" s="327"/>
      <c r="CI101" s="327"/>
      <c r="CJ101" s="327"/>
      <c r="CK101" s="327"/>
      <c r="CL101" s="327"/>
      <c r="CM101" s="327"/>
      <c r="CN101" s="327"/>
      <c r="CO101" s="327"/>
      <c r="CP101" s="327"/>
      <c r="CQ101" s="327"/>
      <c r="CR101" s="327"/>
      <c r="CS101" s="327"/>
      <c r="CT101" s="327"/>
      <c r="CU101" s="327"/>
      <c r="CV101" s="327"/>
      <c r="CW101" s="327"/>
      <c r="CX101" s="327"/>
      <c r="CY101" s="327"/>
      <c r="CZ101" s="327"/>
      <c r="DA101" s="327"/>
      <c r="DB101" s="327"/>
      <c r="DC101" s="327"/>
      <c r="DD101" s="327"/>
      <c r="DE101" s="327"/>
      <c r="DF101" s="327"/>
      <c r="DG101" s="327"/>
      <c r="DH101" s="327"/>
      <c r="DI101" s="327"/>
      <c r="DJ101" s="327"/>
      <c r="DK101" s="327"/>
      <c r="DL101" s="327"/>
    </row>
    <row r="102" spans="1:116" s="340" customFormat="1">
      <c r="A102" s="154"/>
      <c r="G102" s="327"/>
      <c r="H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7"/>
      <c r="BK102" s="327"/>
      <c r="BL102" s="327"/>
      <c r="BM102" s="327"/>
      <c r="BN102" s="327"/>
      <c r="BO102" s="327"/>
      <c r="BP102" s="327"/>
      <c r="BQ102" s="327"/>
      <c r="BR102" s="327"/>
      <c r="BS102" s="327"/>
      <c r="BT102" s="327"/>
      <c r="BU102" s="327"/>
      <c r="BV102" s="327"/>
      <c r="BW102" s="327"/>
      <c r="BX102" s="327"/>
      <c r="BY102" s="327"/>
      <c r="BZ102" s="327"/>
      <c r="CA102" s="327"/>
      <c r="CB102" s="327"/>
      <c r="CC102" s="327"/>
      <c r="CD102" s="327"/>
      <c r="CE102" s="327"/>
      <c r="CF102" s="327"/>
      <c r="CG102" s="327"/>
      <c r="CH102" s="327"/>
      <c r="CI102" s="327"/>
      <c r="CJ102" s="327"/>
      <c r="CK102" s="327"/>
      <c r="CL102" s="327"/>
      <c r="CM102" s="327"/>
      <c r="CN102" s="327"/>
      <c r="CO102" s="327"/>
      <c r="CP102" s="327"/>
      <c r="CQ102" s="327"/>
      <c r="CR102" s="327"/>
      <c r="CS102" s="327"/>
      <c r="CT102" s="327"/>
      <c r="CU102" s="327"/>
      <c r="CV102" s="327"/>
      <c r="CW102" s="327"/>
      <c r="CX102" s="327"/>
      <c r="CY102" s="327"/>
      <c r="CZ102" s="327"/>
      <c r="DA102" s="327"/>
      <c r="DB102" s="327"/>
      <c r="DC102" s="327"/>
      <c r="DD102" s="327"/>
      <c r="DE102" s="327"/>
      <c r="DF102" s="327"/>
      <c r="DG102" s="327"/>
      <c r="DH102" s="327"/>
      <c r="DI102" s="327"/>
      <c r="DJ102" s="327"/>
      <c r="DK102" s="327"/>
      <c r="DL102" s="327"/>
    </row>
    <row r="103" spans="1:116" s="340" customFormat="1">
      <c r="A103" s="154"/>
      <c r="Z103" s="327"/>
      <c r="AA103" s="327"/>
      <c r="AB103" s="327"/>
      <c r="AC103" s="327"/>
      <c r="AD103" s="327"/>
      <c r="AE103" s="327"/>
      <c r="AF103" s="327"/>
      <c r="AG103" s="327"/>
      <c r="AH103" s="327"/>
      <c r="AI103" s="327"/>
      <c r="AJ103" s="327"/>
      <c r="AK103" s="327"/>
      <c r="AL103" s="327"/>
      <c r="AM103" s="327"/>
      <c r="AN103" s="327"/>
      <c r="AO103" s="327"/>
      <c r="AP103" s="327"/>
      <c r="AQ103" s="327"/>
      <c r="AR103" s="327"/>
      <c r="AS103" s="327"/>
      <c r="AT103" s="327"/>
      <c r="AU103" s="327"/>
      <c r="AV103" s="327"/>
      <c r="AW103" s="327"/>
      <c r="AX103" s="327"/>
      <c r="AY103" s="327"/>
      <c r="AZ103" s="327"/>
      <c r="BA103" s="327"/>
      <c r="BB103" s="327"/>
      <c r="BC103" s="327"/>
      <c r="BD103" s="327"/>
      <c r="BE103" s="327"/>
      <c r="BF103" s="327"/>
      <c r="BG103" s="327"/>
      <c r="BH103" s="327"/>
      <c r="BI103" s="327"/>
      <c r="BJ103" s="327"/>
      <c r="BK103" s="327"/>
      <c r="BL103" s="327"/>
      <c r="BM103" s="327"/>
      <c r="BN103" s="327"/>
      <c r="BO103" s="327"/>
      <c r="BP103" s="327"/>
      <c r="BQ103" s="327"/>
      <c r="BR103" s="327"/>
      <c r="BS103" s="327"/>
      <c r="BT103" s="327"/>
      <c r="BU103" s="327"/>
      <c r="BV103" s="327"/>
      <c r="BW103" s="327"/>
      <c r="BX103" s="327"/>
      <c r="BY103" s="327"/>
      <c r="BZ103" s="327"/>
      <c r="CA103" s="327"/>
      <c r="CB103" s="327"/>
      <c r="CC103" s="327"/>
      <c r="CD103" s="327"/>
      <c r="CE103" s="327"/>
      <c r="CF103" s="327"/>
      <c r="CG103" s="327"/>
      <c r="CH103" s="327"/>
      <c r="CI103" s="327"/>
      <c r="CJ103" s="327"/>
      <c r="CK103" s="327"/>
      <c r="CL103" s="327"/>
      <c r="CM103" s="327"/>
      <c r="CN103" s="327"/>
      <c r="CO103" s="327"/>
      <c r="CP103" s="327"/>
      <c r="CQ103" s="327"/>
      <c r="CR103" s="327"/>
      <c r="CS103" s="327"/>
      <c r="CT103" s="327"/>
      <c r="CU103" s="327"/>
      <c r="CV103" s="327"/>
      <c r="CW103" s="327"/>
      <c r="CX103" s="327"/>
      <c r="CY103" s="327"/>
      <c r="CZ103" s="327"/>
      <c r="DA103" s="327"/>
      <c r="DB103" s="327"/>
      <c r="DC103" s="327"/>
      <c r="DD103" s="327"/>
      <c r="DE103" s="327"/>
      <c r="DF103" s="327"/>
      <c r="DG103" s="327"/>
      <c r="DH103" s="327"/>
      <c r="DI103" s="327"/>
      <c r="DJ103" s="327"/>
      <c r="DK103" s="327"/>
      <c r="DL103" s="327"/>
    </row>
    <row r="104" spans="1:116" s="340" customFormat="1">
      <c r="A104" s="154"/>
      <c r="Z104" s="327"/>
      <c r="AA104" s="327"/>
      <c r="AB104" s="327"/>
      <c r="AC104" s="327"/>
      <c r="AD104" s="327"/>
      <c r="AE104" s="327"/>
      <c r="AF104" s="327"/>
      <c r="AG104" s="327"/>
      <c r="AH104" s="327"/>
      <c r="AI104" s="327"/>
      <c r="AJ104" s="327"/>
      <c r="AK104" s="327"/>
      <c r="AL104" s="327"/>
      <c r="AM104" s="327"/>
      <c r="AN104" s="327"/>
      <c r="AO104" s="327"/>
      <c r="AP104" s="327"/>
      <c r="AQ104" s="327"/>
      <c r="AR104" s="327"/>
      <c r="AS104" s="327"/>
      <c r="AT104" s="327"/>
      <c r="AU104" s="327"/>
      <c r="AV104" s="327"/>
      <c r="AW104" s="327"/>
      <c r="AX104" s="327"/>
      <c r="AY104" s="327"/>
      <c r="AZ104" s="327"/>
      <c r="BA104" s="327"/>
      <c r="BB104" s="327"/>
      <c r="BC104" s="327"/>
      <c r="BD104" s="327"/>
      <c r="BE104" s="327"/>
      <c r="BF104" s="327"/>
      <c r="BG104" s="327"/>
      <c r="BH104" s="327"/>
      <c r="BI104" s="327"/>
      <c r="BJ104" s="327"/>
      <c r="BK104" s="327"/>
      <c r="BL104" s="327"/>
      <c r="BM104" s="327"/>
      <c r="BN104" s="327"/>
      <c r="BO104" s="327"/>
      <c r="BP104" s="327"/>
      <c r="BQ104" s="327"/>
      <c r="BR104" s="327"/>
      <c r="BS104" s="327"/>
      <c r="BT104" s="327"/>
      <c r="BU104" s="327"/>
      <c r="BV104" s="327"/>
      <c r="BW104" s="327"/>
      <c r="BX104" s="327"/>
      <c r="BY104" s="327"/>
      <c r="BZ104" s="327"/>
      <c r="CA104" s="327"/>
      <c r="CB104" s="327"/>
      <c r="CC104" s="327"/>
      <c r="CD104" s="327"/>
      <c r="CE104" s="327"/>
      <c r="CF104" s="327"/>
      <c r="CG104" s="327"/>
      <c r="CH104" s="327"/>
      <c r="CI104" s="327"/>
      <c r="CJ104" s="327"/>
      <c r="CK104" s="327"/>
      <c r="CL104" s="327"/>
      <c r="CM104" s="327"/>
      <c r="CN104" s="327"/>
      <c r="CO104" s="327"/>
      <c r="CP104" s="327"/>
      <c r="CQ104" s="327"/>
      <c r="CR104" s="327"/>
      <c r="CS104" s="327"/>
      <c r="CT104" s="327"/>
      <c r="CU104" s="327"/>
      <c r="CV104" s="327"/>
      <c r="CW104" s="327"/>
      <c r="CX104" s="327"/>
      <c r="CY104" s="327"/>
      <c r="CZ104" s="327"/>
      <c r="DA104" s="327"/>
      <c r="DB104" s="327"/>
      <c r="DC104" s="327"/>
      <c r="DD104" s="327"/>
      <c r="DE104" s="327"/>
      <c r="DF104" s="327"/>
      <c r="DG104" s="327"/>
      <c r="DH104" s="327"/>
      <c r="DI104" s="327"/>
      <c r="DJ104" s="327"/>
      <c r="DK104" s="327"/>
      <c r="DL104" s="327"/>
    </row>
    <row r="105" spans="1:116" s="340" customFormat="1">
      <c r="A105" s="154"/>
      <c r="Z105" s="327"/>
      <c r="AA105" s="327"/>
      <c r="AB105" s="327"/>
      <c r="AC105" s="327"/>
      <c r="AD105" s="327"/>
      <c r="AE105" s="327"/>
      <c r="AF105" s="327"/>
      <c r="AG105" s="327"/>
      <c r="AH105" s="327"/>
      <c r="AI105" s="327"/>
      <c r="AJ105" s="327"/>
      <c r="AK105" s="327"/>
      <c r="AL105" s="327"/>
      <c r="AM105" s="327"/>
      <c r="AN105" s="327"/>
      <c r="AO105" s="327"/>
      <c r="AP105" s="327"/>
      <c r="AQ105" s="327"/>
      <c r="AR105" s="327"/>
      <c r="AS105" s="327"/>
      <c r="AT105" s="327"/>
      <c r="AU105" s="327"/>
      <c r="AV105" s="327"/>
      <c r="AW105" s="327"/>
      <c r="AX105" s="327"/>
      <c r="AY105" s="327"/>
      <c r="AZ105" s="327"/>
      <c r="BA105" s="327"/>
      <c r="BB105" s="327"/>
      <c r="BC105" s="327"/>
      <c r="BD105" s="327"/>
      <c r="BE105" s="327"/>
      <c r="BF105" s="327"/>
      <c r="BG105" s="327"/>
      <c r="BH105" s="327"/>
      <c r="BI105" s="327"/>
      <c r="BJ105" s="327"/>
      <c r="BK105" s="327"/>
      <c r="BL105" s="327"/>
      <c r="BM105" s="327"/>
      <c r="BN105" s="327"/>
      <c r="BO105" s="327"/>
      <c r="BP105" s="327"/>
      <c r="BQ105" s="327"/>
      <c r="BR105" s="327"/>
      <c r="BS105" s="327"/>
      <c r="BT105" s="327"/>
      <c r="BU105" s="327"/>
      <c r="BV105" s="327"/>
      <c r="BW105" s="327"/>
      <c r="BX105" s="327"/>
      <c r="BY105" s="327"/>
      <c r="BZ105" s="327"/>
      <c r="CA105" s="327"/>
      <c r="CB105" s="327"/>
      <c r="CC105" s="327"/>
      <c r="CD105" s="327"/>
      <c r="CE105" s="327"/>
      <c r="CF105" s="327"/>
      <c r="CG105" s="327"/>
      <c r="CH105" s="327"/>
      <c r="CI105" s="327"/>
      <c r="CJ105" s="327"/>
      <c r="CK105" s="327"/>
      <c r="CL105" s="327"/>
      <c r="CM105" s="327"/>
      <c r="CN105" s="327"/>
      <c r="CO105" s="327"/>
      <c r="CP105" s="327"/>
      <c r="CQ105" s="327"/>
      <c r="CR105" s="327"/>
      <c r="CS105" s="327"/>
      <c r="CT105" s="327"/>
      <c r="CU105" s="327"/>
      <c r="CV105" s="327"/>
      <c r="CW105" s="327"/>
      <c r="CX105" s="327"/>
      <c r="CY105" s="327"/>
      <c r="CZ105" s="327"/>
      <c r="DA105" s="327"/>
      <c r="DB105" s="327"/>
      <c r="DC105" s="327"/>
      <c r="DD105" s="327"/>
      <c r="DE105" s="327"/>
      <c r="DF105" s="327"/>
      <c r="DG105" s="327"/>
      <c r="DH105" s="327"/>
      <c r="DI105" s="327"/>
      <c r="DJ105" s="327"/>
      <c r="DK105" s="327"/>
      <c r="DL105" s="327"/>
    </row>
    <row r="106" spans="1:116" s="340" customFormat="1">
      <c r="A106" s="154"/>
      <c r="Z106" s="327"/>
      <c r="AA106" s="327"/>
      <c r="AB106" s="327"/>
      <c r="AC106" s="327"/>
      <c r="AD106" s="327"/>
      <c r="AE106" s="327"/>
      <c r="AF106" s="327"/>
      <c r="AG106" s="327"/>
      <c r="AH106" s="327"/>
      <c r="AI106" s="327"/>
      <c r="AJ106" s="327"/>
      <c r="AK106" s="327"/>
      <c r="AL106" s="327"/>
      <c r="AM106" s="327"/>
      <c r="AN106" s="327"/>
      <c r="AO106" s="327"/>
      <c r="AP106" s="327"/>
      <c r="AQ106" s="327"/>
      <c r="AR106" s="327"/>
      <c r="AS106" s="327"/>
      <c r="AT106" s="327"/>
      <c r="AU106" s="327"/>
      <c r="AV106" s="327"/>
      <c r="AW106" s="327"/>
      <c r="AX106" s="327"/>
      <c r="AY106" s="327"/>
      <c r="AZ106" s="327"/>
      <c r="BA106" s="327"/>
      <c r="BB106" s="327"/>
      <c r="BC106" s="327"/>
      <c r="BD106" s="327"/>
      <c r="BE106" s="327"/>
      <c r="BF106" s="327"/>
      <c r="BG106" s="327"/>
      <c r="BH106" s="327"/>
      <c r="BI106" s="327"/>
      <c r="BJ106" s="327"/>
      <c r="BK106" s="327"/>
      <c r="BL106" s="327"/>
      <c r="BM106" s="327"/>
      <c r="BN106" s="327"/>
      <c r="BO106" s="327"/>
      <c r="BP106" s="327"/>
      <c r="BQ106" s="327"/>
      <c r="BR106" s="327"/>
      <c r="BS106" s="327"/>
      <c r="BT106" s="327"/>
      <c r="BU106" s="327"/>
      <c r="BV106" s="327"/>
      <c r="BW106" s="327"/>
      <c r="BX106" s="327"/>
      <c r="BY106" s="327"/>
      <c r="BZ106" s="327"/>
      <c r="CA106" s="327"/>
      <c r="CB106" s="327"/>
      <c r="CC106" s="327"/>
      <c r="CD106" s="327"/>
      <c r="CE106" s="327"/>
      <c r="CF106" s="327"/>
      <c r="CG106" s="327"/>
      <c r="CH106" s="327"/>
      <c r="CI106" s="327"/>
      <c r="CJ106" s="327"/>
      <c r="CK106" s="327"/>
      <c r="CL106" s="327"/>
      <c r="CM106" s="327"/>
      <c r="CN106" s="327"/>
      <c r="CO106" s="327"/>
      <c r="CP106" s="327"/>
      <c r="CQ106" s="327"/>
      <c r="CR106" s="327"/>
      <c r="CS106" s="327"/>
      <c r="CT106" s="327"/>
      <c r="CU106" s="327"/>
      <c r="CV106" s="327"/>
      <c r="CW106" s="327"/>
      <c r="CX106" s="327"/>
      <c r="CY106" s="327"/>
      <c r="CZ106" s="327"/>
      <c r="DA106" s="327"/>
      <c r="DB106" s="327"/>
      <c r="DC106" s="327"/>
      <c r="DD106" s="327"/>
      <c r="DE106" s="327"/>
      <c r="DF106" s="327"/>
      <c r="DG106" s="327"/>
      <c r="DH106" s="327"/>
      <c r="DI106" s="327"/>
      <c r="DJ106" s="327"/>
      <c r="DK106" s="327"/>
      <c r="DL106" s="327"/>
    </row>
    <row r="107" spans="1:116" s="340" customFormat="1">
      <c r="A107" s="154"/>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c r="BA107" s="327"/>
      <c r="BB107" s="327"/>
      <c r="BC107" s="327"/>
      <c r="BD107" s="327"/>
      <c r="BE107" s="327"/>
      <c r="BF107" s="327"/>
      <c r="BG107" s="327"/>
      <c r="BH107" s="327"/>
      <c r="BI107" s="327"/>
      <c r="BJ107" s="327"/>
      <c r="BK107" s="327"/>
      <c r="BL107" s="327"/>
      <c r="BM107" s="327"/>
      <c r="BN107" s="327"/>
      <c r="BO107" s="327"/>
      <c r="BP107" s="327"/>
      <c r="BQ107" s="327"/>
      <c r="BR107" s="327"/>
      <c r="BS107" s="327"/>
      <c r="BT107" s="327"/>
      <c r="BU107" s="327"/>
      <c r="BV107" s="327"/>
      <c r="BW107" s="327"/>
      <c r="BX107" s="327"/>
      <c r="BY107" s="327"/>
      <c r="BZ107" s="327"/>
      <c r="CA107" s="327"/>
      <c r="CB107" s="327"/>
      <c r="CC107" s="327"/>
      <c r="CD107" s="327"/>
      <c r="CE107" s="327"/>
      <c r="CF107" s="327"/>
      <c r="CG107" s="327"/>
      <c r="CH107" s="327"/>
      <c r="CI107" s="327"/>
      <c r="CJ107" s="327"/>
      <c r="CK107" s="327"/>
      <c r="CL107" s="327"/>
      <c r="CM107" s="327"/>
      <c r="CN107" s="327"/>
      <c r="CO107" s="327"/>
      <c r="CP107" s="327"/>
      <c r="CQ107" s="327"/>
      <c r="CR107" s="327"/>
      <c r="CS107" s="327"/>
      <c r="CT107" s="327"/>
      <c r="CU107" s="327"/>
      <c r="CV107" s="327"/>
      <c r="CW107" s="327"/>
      <c r="CX107" s="327"/>
      <c r="CY107" s="327"/>
      <c r="CZ107" s="327"/>
      <c r="DA107" s="327"/>
      <c r="DB107" s="327"/>
      <c r="DC107" s="327"/>
      <c r="DD107" s="327"/>
      <c r="DE107" s="327"/>
      <c r="DF107" s="327"/>
      <c r="DG107" s="327"/>
      <c r="DH107" s="327"/>
      <c r="DI107" s="327"/>
      <c r="DJ107" s="327"/>
      <c r="DK107" s="327"/>
      <c r="DL107" s="327"/>
    </row>
    <row r="108" spans="1:116" s="340" customFormat="1">
      <c r="A108" s="154"/>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c r="BA108" s="327"/>
      <c r="BB108" s="327"/>
      <c r="BC108" s="327"/>
      <c r="BD108" s="327"/>
      <c r="BE108" s="327"/>
      <c r="BF108" s="327"/>
      <c r="BG108" s="327"/>
      <c r="BH108" s="327"/>
      <c r="BI108" s="327"/>
      <c r="BJ108" s="327"/>
      <c r="BK108" s="327"/>
      <c r="BL108" s="327"/>
      <c r="BM108" s="327"/>
      <c r="BN108" s="327"/>
      <c r="BO108" s="327"/>
      <c r="BP108" s="327"/>
      <c r="BQ108" s="327"/>
      <c r="BR108" s="327"/>
      <c r="BS108" s="327"/>
      <c r="BT108" s="327"/>
      <c r="BU108" s="327"/>
      <c r="BV108" s="327"/>
      <c r="BW108" s="327"/>
      <c r="BX108" s="327"/>
      <c r="BY108" s="327"/>
      <c r="BZ108" s="327"/>
      <c r="CA108" s="327"/>
      <c r="CB108" s="327"/>
      <c r="CC108" s="327"/>
      <c r="CD108" s="327"/>
      <c r="CE108" s="327"/>
      <c r="CF108" s="327"/>
      <c r="CG108" s="327"/>
      <c r="CH108" s="327"/>
      <c r="CI108" s="327"/>
      <c r="CJ108" s="327"/>
      <c r="CK108" s="327"/>
      <c r="CL108" s="327"/>
      <c r="CM108" s="327"/>
      <c r="CN108" s="327"/>
      <c r="CO108" s="327"/>
      <c r="CP108" s="327"/>
      <c r="CQ108" s="327"/>
      <c r="CR108" s="327"/>
      <c r="CS108" s="327"/>
      <c r="CT108" s="327"/>
      <c r="CU108" s="327"/>
      <c r="CV108" s="327"/>
      <c r="CW108" s="327"/>
      <c r="CX108" s="327"/>
      <c r="CY108" s="327"/>
      <c r="CZ108" s="327"/>
      <c r="DA108" s="327"/>
      <c r="DB108" s="327"/>
      <c r="DC108" s="327"/>
      <c r="DD108" s="327"/>
      <c r="DE108" s="327"/>
      <c r="DF108" s="327"/>
      <c r="DG108" s="327"/>
      <c r="DH108" s="327"/>
      <c r="DI108" s="327"/>
      <c r="DJ108" s="327"/>
      <c r="DK108" s="327"/>
      <c r="DL108" s="327"/>
    </row>
    <row r="109" spans="1:116" s="340" customFormat="1">
      <c r="A109" s="154"/>
    </row>
    <row r="110" spans="1:116" s="340" customFormat="1">
      <c r="A110" s="154"/>
    </row>
    <row r="111" spans="1:116" s="340" customFormat="1">
      <c r="A111" s="154"/>
    </row>
    <row r="112" spans="1:116" s="340" customFormat="1">
      <c r="A112" s="154"/>
    </row>
    <row r="113" spans="1:1" s="340" customFormat="1">
      <c r="A113" s="154"/>
    </row>
    <row r="114" spans="1:1" s="340" customFormat="1">
      <c r="A114" s="154"/>
    </row>
    <row r="115" spans="1:1" s="340" customFormat="1">
      <c r="A115" s="154"/>
    </row>
    <row r="116" spans="1:1" s="340" customFormat="1">
      <c r="A116" s="154"/>
    </row>
    <row r="117" spans="1:1" s="340" customFormat="1">
      <c r="A117" s="154"/>
    </row>
    <row r="118" spans="1:1" s="340" customFormat="1">
      <c r="A118" s="154"/>
    </row>
    <row r="119" spans="1:1" s="340" customFormat="1">
      <c r="A119" s="154"/>
    </row>
    <row r="120" spans="1:1" s="340" customFormat="1">
      <c r="A120" s="154"/>
    </row>
    <row r="121" spans="1:1" s="340" customFormat="1">
      <c r="A121" s="154"/>
    </row>
    <row r="122" spans="1:1" s="340" customFormat="1">
      <c r="A122" s="154"/>
    </row>
    <row r="123" spans="1:1" s="340" customFormat="1">
      <c r="A123" s="154"/>
    </row>
    <row r="124" spans="1:1" s="340" customFormat="1">
      <c r="A124" s="154"/>
    </row>
    <row r="125" spans="1:1" s="340" customFormat="1">
      <c r="A125" s="154"/>
    </row>
    <row r="126" spans="1:1" s="340" customFormat="1">
      <c r="A126" s="154"/>
    </row>
    <row r="127" spans="1:1" s="340" customFormat="1">
      <c r="A127" s="154"/>
    </row>
    <row r="128" spans="1:1" s="340" customFormat="1">
      <c r="A128" s="154"/>
    </row>
    <row r="129" spans="1:1" s="340" customFormat="1">
      <c r="A129" s="154"/>
    </row>
    <row r="130" spans="1:1" s="340" customFormat="1">
      <c r="A130" s="154"/>
    </row>
    <row r="131" spans="1:1" s="340" customFormat="1">
      <c r="A131" s="154"/>
    </row>
    <row r="132" spans="1:1" s="340" customFormat="1">
      <c r="A132" s="154"/>
    </row>
    <row r="133" spans="1:1" s="340" customFormat="1">
      <c r="A133" s="154"/>
    </row>
    <row r="134" spans="1:1" s="340" customFormat="1">
      <c r="A134" s="154"/>
    </row>
    <row r="135" spans="1:1" s="340" customFormat="1">
      <c r="A135" s="154"/>
    </row>
    <row r="136" spans="1:1" s="340" customFormat="1">
      <c r="A136" s="154"/>
    </row>
    <row r="137" spans="1:1" s="340" customFormat="1">
      <c r="A137" s="154"/>
    </row>
    <row r="138" spans="1:1" s="340" customFormat="1">
      <c r="A138" s="154"/>
    </row>
  </sheetData>
  <conditionalFormatting sqref="F22:F33">
    <cfRule type="cellIs" dxfId="4" priority="2" stopIfTrue="1" operator="equal">
      <formula>"BREACHED"</formula>
    </cfRule>
  </conditionalFormatting>
  <conditionalFormatting sqref="A39:A98">
    <cfRule type="cellIs" dxfId="3" priority="3" stopIfTrue="1" operator="equal">
      <formula>FALSE</formula>
    </cfRule>
  </conditionalFormatting>
  <conditionalFormatting sqref="C34:D34 D35">
    <cfRule type="cellIs" dxfId="2" priority="4" stopIfTrue="1" operator="equal">
      <formula>"Error"</formula>
    </cfRule>
  </conditionalFormatting>
  <conditionalFormatting sqref="C35">
    <cfRule type="cellIs" dxfId="1"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pageSetUpPr autoPageBreaks="0"/>
  </sheetPr>
  <dimension ref="A1:BQ102"/>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A19" sqref="A19:XFD19"/>
    </sheetView>
  </sheetViews>
  <sheetFormatPr defaultRowHeight="12.75"/>
  <cols>
    <col min="1" max="1" width="9.5703125" style="199" bestFit="1" customWidth="1"/>
    <col min="2" max="2" width="45" style="199" customWidth="1"/>
    <col min="3" max="3" width="2.85546875" style="199" customWidth="1"/>
    <col min="4" max="4" width="15.85546875" style="199" customWidth="1"/>
    <col min="5" max="10" width="11.5703125" style="199" customWidth="1"/>
    <col min="11" max="19" width="12.28515625" style="199" customWidth="1"/>
    <col min="20" max="20" width="14.28515625" style="199" customWidth="1"/>
    <col min="21" max="24" width="12.2851562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28515625" style="199" customWidth="1"/>
    <col min="32" max="33" width="16.7109375" style="199" bestFit="1" customWidth="1"/>
    <col min="34" max="34" width="9.42578125" style="199" bestFit="1" customWidth="1"/>
    <col min="35" max="36" width="14.85546875" style="199" bestFit="1" customWidth="1"/>
    <col min="37" max="37" width="12.7109375" style="199" customWidth="1"/>
    <col min="38" max="38" width="12.28515625" style="199" customWidth="1"/>
    <col min="39" max="41" width="14.85546875" style="199" bestFit="1" customWidth="1"/>
    <col min="42" max="42" width="11.28515625" style="199" customWidth="1"/>
    <col min="43" max="43" width="15.85546875" style="199" customWidth="1"/>
    <col min="44" max="45" width="14.85546875" style="199" customWidth="1"/>
    <col min="46" max="46" width="10" style="199" customWidth="1"/>
    <col min="47" max="47" width="19.5703125" style="776" customWidth="1"/>
    <col min="48" max="48" width="13.85546875" style="199" customWidth="1"/>
    <col min="49" max="49" width="15.5703125" style="199" customWidth="1"/>
    <col min="50" max="50" width="15" style="199" customWidth="1"/>
    <col min="51" max="51" width="12.42578125" style="199" bestFit="1" customWidth="1"/>
    <col min="52" max="52" width="13.5703125" style="199" bestFit="1" customWidth="1"/>
    <col min="53" max="54" width="12.42578125" style="199" bestFit="1" customWidth="1"/>
    <col min="55" max="55" width="11.5703125" style="199" customWidth="1"/>
    <col min="56" max="56" width="11.140625" style="199" customWidth="1"/>
    <col min="57" max="57" width="13.5703125" style="199" bestFit="1" customWidth="1"/>
    <col min="58" max="58" width="12.42578125" style="199" bestFit="1" customWidth="1"/>
    <col min="59" max="59" width="11.85546875" style="199" customWidth="1"/>
    <col min="60" max="60" width="11.140625" style="199" customWidth="1"/>
    <col min="61" max="63" width="10.5703125" style="199" bestFit="1" customWidth="1"/>
    <col min="64" max="64" width="9.85546875" style="199" customWidth="1"/>
    <col min="65" max="66" width="10.5703125" style="199" customWidth="1"/>
    <col min="67" max="68" width="9.85546875" style="199" customWidth="1"/>
    <col min="69" max="69" width="15.5703125" style="199" customWidth="1"/>
    <col min="70" max="16384" width="9.140625" style="199"/>
  </cols>
  <sheetData>
    <row r="1" spans="1:69" ht="15">
      <c r="B1" s="153" t="str">
        <f>"Tariff Approval - "&amp;'Model update'!C3</f>
        <v>Tariff Approval - CitiPower</v>
      </c>
      <c r="C1" s="153"/>
    </row>
    <row r="3" spans="1:69">
      <c r="B3" s="227" t="str">
        <f>"ESTIMATED "&amp;'Model update'!$C$8&amp;" Distribution Revenue"</f>
        <v>ESTIMATED 2017 Distribution Revenue</v>
      </c>
      <c r="C3" s="227"/>
    </row>
    <row r="4" spans="1:69" ht="13.5" thickBot="1">
      <c r="D4" s="229" t="str">
        <f>"Current Distribution Tariffs (Pt-1) for "&amp;'Model update'!$C$8</f>
        <v>Current Distribution Tariffs (Pt-1) for 2017</v>
      </c>
      <c r="E4" s="230"/>
      <c r="F4" s="230"/>
      <c r="G4" s="230"/>
      <c r="H4" s="230"/>
      <c r="I4" s="230"/>
      <c r="J4" s="230"/>
      <c r="Z4" s="229" t="str">
        <f>" Estimated Distribution Quantities for "&amp;'Model update'!$C$8&amp;" (Qt-1)"</f>
        <v xml:space="preserve"> Estimated Distribution Quantities for 2017 (Qt-1)</v>
      </c>
      <c r="AA4" s="230"/>
      <c r="AB4" s="230"/>
      <c r="AC4" s="230"/>
      <c r="AD4" s="230"/>
      <c r="AV4" s="229" t="str">
        <f>"Estimated Revenue (Pt-1 "&amp;'Model update'!$C$8&amp;")*(Qt-1 " &amp;'Model update'!$C$8&amp;")"</f>
        <v>Estimated Revenue (Pt-1 2017)*(Qt-1 2017)</v>
      </c>
      <c r="AW4" s="230"/>
      <c r="AX4" s="230"/>
      <c r="AY4" s="230"/>
    </row>
    <row r="5" spans="1:69" ht="38.25">
      <c r="B5" s="233" t="str">
        <f>"Tariffs "&amp;'Model update'!C8</f>
        <v>Tariffs 2017</v>
      </c>
      <c r="C5" s="281"/>
      <c r="D5" s="234" t="s">
        <v>242</v>
      </c>
      <c r="E5" s="235" t="s">
        <v>625</v>
      </c>
      <c r="F5" s="235" t="s">
        <v>626</v>
      </c>
      <c r="G5" s="235"/>
      <c r="H5" s="235"/>
      <c r="I5" s="235" t="s">
        <v>259</v>
      </c>
      <c r="J5" s="235"/>
      <c r="K5" s="235"/>
      <c r="L5" s="235"/>
      <c r="M5" s="235" t="s">
        <v>627</v>
      </c>
      <c r="N5" s="235" t="s">
        <v>628</v>
      </c>
      <c r="O5" s="235" t="s">
        <v>629</v>
      </c>
      <c r="P5" s="235" t="s">
        <v>630</v>
      </c>
      <c r="Q5" s="235" t="s">
        <v>243</v>
      </c>
      <c r="R5" s="235" t="s">
        <v>244</v>
      </c>
      <c r="S5" s="235" t="s">
        <v>245</v>
      </c>
      <c r="T5" s="235"/>
      <c r="U5" s="235" t="s">
        <v>246</v>
      </c>
      <c r="V5" s="235" t="s">
        <v>247</v>
      </c>
      <c r="W5" s="235" t="s">
        <v>248</v>
      </c>
      <c r="X5" s="237"/>
      <c r="Z5" s="234" t="s">
        <v>260</v>
      </c>
      <c r="AA5" s="235" t="s">
        <v>631</v>
      </c>
      <c r="AB5" s="235" t="s">
        <v>632</v>
      </c>
      <c r="AC5" s="235"/>
      <c r="AD5" s="235"/>
      <c r="AE5" s="235" t="s">
        <v>261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250</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t="s">
        <v>257</v>
      </c>
      <c r="BQ5" s="237" t="s">
        <v>258</v>
      </c>
    </row>
    <row r="6" spans="1:69">
      <c r="B6" s="238"/>
      <c r="C6" s="282"/>
      <c r="D6" s="239"/>
      <c r="E6" s="240"/>
      <c r="F6" s="240"/>
      <c r="G6" s="240"/>
      <c r="H6" s="240"/>
      <c r="I6" s="240"/>
      <c r="J6" s="240"/>
      <c r="K6" s="240"/>
      <c r="L6" s="240"/>
      <c r="M6" s="240"/>
      <c r="N6" s="240"/>
      <c r="O6" s="240"/>
      <c r="P6" s="240"/>
      <c r="Q6" s="240"/>
      <c r="R6" s="240"/>
      <c r="S6" s="240"/>
      <c r="T6" s="240"/>
      <c r="U6" s="240"/>
      <c r="V6" s="240"/>
      <c r="W6" s="240"/>
      <c r="X6" s="321"/>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AV52" si="0">D6*Z6</f>
        <v>0</v>
      </c>
      <c r="AW6" s="223">
        <f t="shared" ref="AW6:BD21" si="1">E6/100*AA6</f>
        <v>0</v>
      </c>
      <c r="AX6" s="223">
        <f t="shared" si="1"/>
        <v>0</v>
      </c>
      <c r="AY6" s="223">
        <f t="shared" si="1"/>
        <v>0</v>
      </c>
      <c r="AZ6" s="223">
        <f t="shared" si="1"/>
        <v>0</v>
      </c>
      <c r="BA6" s="223">
        <f t="shared" si="1"/>
        <v>0</v>
      </c>
      <c r="BB6" s="223">
        <f t="shared" si="1"/>
        <v>0</v>
      </c>
      <c r="BC6" s="223">
        <f t="shared" si="1"/>
        <v>0</v>
      </c>
      <c r="BD6" s="223">
        <f t="shared" si="1"/>
        <v>0</v>
      </c>
      <c r="BE6" s="223">
        <f t="shared" ref="BE6:BH21" si="2">M6*AI6</f>
        <v>0</v>
      </c>
      <c r="BF6" s="223">
        <f t="shared" si="2"/>
        <v>0</v>
      </c>
      <c r="BG6" s="223">
        <f t="shared" si="2"/>
        <v>0</v>
      </c>
      <c r="BH6" s="223">
        <f t="shared" si="2"/>
        <v>0</v>
      </c>
      <c r="BI6" s="246">
        <f t="shared" ref="BI6:BP21"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1:69" s="748" customFormat="1">
      <c r="A7" s="748" t="s">
        <v>778</v>
      </c>
      <c r="B7" s="750" t="s">
        <v>546</v>
      </c>
      <c r="C7" s="760"/>
      <c r="D7" s="751">
        <v>85</v>
      </c>
      <c r="E7" s="752">
        <v>4.5999999999999996</v>
      </c>
      <c r="F7" s="752">
        <v>0</v>
      </c>
      <c r="G7" s="752"/>
      <c r="H7" s="752"/>
      <c r="I7" s="752">
        <v>0</v>
      </c>
      <c r="J7" s="752"/>
      <c r="K7" s="752"/>
      <c r="L7" s="752"/>
      <c r="M7" s="752">
        <v>0</v>
      </c>
      <c r="N7" s="752"/>
      <c r="O7" s="752">
        <v>0</v>
      </c>
      <c r="P7" s="752">
        <v>0</v>
      </c>
      <c r="Q7" s="752">
        <v>0</v>
      </c>
      <c r="R7" s="752">
        <v>0</v>
      </c>
      <c r="S7" s="752">
        <v>0</v>
      </c>
      <c r="T7" s="752"/>
      <c r="U7" s="752">
        <v>0</v>
      </c>
      <c r="V7" s="752">
        <v>0</v>
      </c>
      <c r="W7" s="752">
        <v>0</v>
      </c>
      <c r="X7" s="759">
        <v>0</v>
      </c>
      <c r="Z7" s="770">
        <v>203103.28638840039</v>
      </c>
      <c r="AA7" s="771">
        <v>816843244.44685483</v>
      </c>
      <c r="AB7" s="771">
        <v>0</v>
      </c>
      <c r="AC7" s="771">
        <v>0</v>
      </c>
      <c r="AD7" s="771">
        <v>0</v>
      </c>
      <c r="AE7" s="771">
        <v>0</v>
      </c>
      <c r="AF7" s="771">
        <v>0</v>
      </c>
      <c r="AG7" s="771">
        <v>0</v>
      </c>
      <c r="AH7" s="771">
        <v>0</v>
      </c>
      <c r="AI7" s="771">
        <v>0</v>
      </c>
      <c r="AJ7" s="771">
        <v>0</v>
      </c>
      <c r="AK7" s="771">
        <v>0</v>
      </c>
      <c r="AL7" s="771">
        <v>0</v>
      </c>
      <c r="AM7" s="771">
        <v>0</v>
      </c>
      <c r="AN7" s="771">
        <v>0</v>
      </c>
      <c r="AO7" s="771">
        <v>0</v>
      </c>
      <c r="AP7" s="771">
        <v>0</v>
      </c>
      <c r="AQ7" s="771">
        <v>0</v>
      </c>
      <c r="AR7" s="771">
        <v>0</v>
      </c>
      <c r="AS7" s="771">
        <v>0</v>
      </c>
      <c r="AT7" s="772">
        <v>0</v>
      </c>
      <c r="AU7" s="777"/>
      <c r="AV7" s="755">
        <f t="shared" si="0"/>
        <v>17263779.343014032</v>
      </c>
      <c r="AW7" s="749">
        <f t="shared" si="1"/>
        <v>37574789.244555324</v>
      </c>
      <c r="AX7" s="749">
        <f t="shared" si="1"/>
        <v>0</v>
      </c>
      <c r="AY7" s="749">
        <f t="shared" si="1"/>
        <v>0</v>
      </c>
      <c r="AZ7" s="749">
        <f t="shared" si="1"/>
        <v>0</v>
      </c>
      <c r="BA7" s="749">
        <f t="shared" si="1"/>
        <v>0</v>
      </c>
      <c r="BB7" s="749">
        <f t="shared" si="1"/>
        <v>0</v>
      </c>
      <c r="BC7" s="749">
        <f t="shared" si="1"/>
        <v>0</v>
      </c>
      <c r="BD7" s="749">
        <f t="shared" si="1"/>
        <v>0</v>
      </c>
      <c r="BE7" s="749">
        <f t="shared" si="2"/>
        <v>0</v>
      </c>
      <c r="BF7" s="749">
        <f t="shared" si="2"/>
        <v>0</v>
      </c>
      <c r="BG7" s="749">
        <f t="shared" si="2"/>
        <v>0</v>
      </c>
      <c r="BH7" s="749">
        <f t="shared" si="2"/>
        <v>0</v>
      </c>
      <c r="BI7" s="756">
        <f t="shared" si="3"/>
        <v>0</v>
      </c>
      <c r="BJ7" s="756">
        <f t="shared" si="3"/>
        <v>0</v>
      </c>
      <c r="BK7" s="756">
        <f t="shared" si="3"/>
        <v>0</v>
      </c>
      <c r="BL7" s="756">
        <f t="shared" si="3"/>
        <v>0</v>
      </c>
      <c r="BM7" s="756">
        <f t="shared" si="3"/>
        <v>0</v>
      </c>
      <c r="BN7" s="756">
        <f t="shared" si="3"/>
        <v>0</v>
      </c>
      <c r="BO7" s="756">
        <f t="shared" si="3"/>
        <v>0</v>
      </c>
      <c r="BP7" s="756">
        <f t="shared" si="3"/>
        <v>0</v>
      </c>
      <c r="BQ7" s="757">
        <f t="shared" ref="BQ7:BQ52" si="4">SUM(AV7:BP7)</f>
        <v>54838568.587569356</v>
      </c>
    </row>
    <row r="8" spans="1:69" s="748" customFormat="1">
      <c r="A8" s="748" t="s">
        <v>779</v>
      </c>
      <c r="B8" s="750" t="s">
        <v>547</v>
      </c>
      <c r="C8" s="760"/>
      <c r="D8" s="751">
        <v>75</v>
      </c>
      <c r="E8" s="752">
        <v>3.18</v>
      </c>
      <c r="F8" s="752">
        <v>0</v>
      </c>
      <c r="G8" s="752"/>
      <c r="H8" s="752"/>
      <c r="I8" s="752">
        <v>0</v>
      </c>
      <c r="J8" s="752"/>
      <c r="K8" s="752"/>
      <c r="L8" s="752"/>
      <c r="M8" s="752">
        <v>0</v>
      </c>
      <c r="N8" s="752"/>
      <c r="O8" s="752">
        <v>0</v>
      </c>
      <c r="P8" s="752">
        <v>0</v>
      </c>
      <c r="Q8" s="752">
        <v>0</v>
      </c>
      <c r="R8" s="752">
        <v>0</v>
      </c>
      <c r="S8" s="752">
        <v>0</v>
      </c>
      <c r="T8" s="752"/>
      <c r="U8" s="752">
        <v>0</v>
      </c>
      <c r="V8" s="752">
        <v>0</v>
      </c>
      <c r="W8" s="752">
        <v>0</v>
      </c>
      <c r="X8" s="759">
        <v>0</v>
      </c>
      <c r="Z8" s="773">
        <v>30973.485625911526</v>
      </c>
      <c r="AA8" s="771">
        <v>103150672.29569083</v>
      </c>
      <c r="AB8" s="771">
        <v>0</v>
      </c>
      <c r="AC8" s="771">
        <v>0</v>
      </c>
      <c r="AD8" s="771">
        <v>0</v>
      </c>
      <c r="AE8" s="771">
        <v>0</v>
      </c>
      <c r="AF8" s="771">
        <v>0</v>
      </c>
      <c r="AG8" s="771">
        <v>0</v>
      </c>
      <c r="AH8" s="771">
        <v>0</v>
      </c>
      <c r="AI8" s="771">
        <v>0</v>
      </c>
      <c r="AJ8" s="771">
        <v>0</v>
      </c>
      <c r="AK8" s="771">
        <v>0</v>
      </c>
      <c r="AL8" s="771">
        <v>0</v>
      </c>
      <c r="AM8" s="771">
        <v>0</v>
      </c>
      <c r="AN8" s="771">
        <v>0</v>
      </c>
      <c r="AO8" s="771">
        <v>0</v>
      </c>
      <c r="AP8" s="771">
        <v>0</v>
      </c>
      <c r="AQ8" s="771">
        <v>0</v>
      </c>
      <c r="AR8" s="771">
        <v>0</v>
      </c>
      <c r="AS8" s="771">
        <v>0</v>
      </c>
      <c r="AT8" s="772">
        <v>0</v>
      </c>
      <c r="AU8" s="777"/>
      <c r="AV8" s="755">
        <f t="shared" si="0"/>
        <v>2323011.4219433647</v>
      </c>
      <c r="AW8" s="749">
        <f t="shared" si="1"/>
        <v>3280191.3790029688</v>
      </c>
      <c r="AX8" s="749">
        <f t="shared" si="1"/>
        <v>0</v>
      </c>
      <c r="AY8" s="749">
        <f t="shared" si="1"/>
        <v>0</v>
      </c>
      <c r="AZ8" s="749">
        <f t="shared" si="1"/>
        <v>0</v>
      </c>
      <c r="BA8" s="749">
        <f t="shared" si="1"/>
        <v>0</v>
      </c>
      <c r="BB8" s="749">
        <f t="shared" si="1"/>
        <v>0</v>
      </c>
      <c r="BC8" s="749">
        <f t="shared" si="1"/>
        <v>0</v>
      </c>
      <c r="BD8" s="749">
        <f t="shared" si="1"/>
        <v>0</v>
      </c>
      <c r="BE8" s="749">
        <f t="shared" si="2"/>
        <v>0</v>
      </c>
      <c r="BF8" s="749">
        <f t="shared" si="2"/>
        <v>0</v>
      </c>
      <c r="BG8" s="749">
        <f t="shared" si="2"/>
        <v>0</v>
      </c>
      <c r="BH8" s="749">
        <f t="shared" si="2"/>
        <v>0</v>
      </c>
      <c r="BI8" s="756">
        <f t="shared" si="3"/>
        <v>0</v>
      </c>
      <c r="BJ8" s="756">
        <f t="shared" si="3"/>
        <v>0</v>
      </c>
      <c r="BK8" s="756">
        <f t="shared" si="3"/>
        <v>0</v>
      </c>
      <c r="BL8" s="756">
        <f t="shared" si="3"/>
        <v>0</v>
      </c>
      <c r="BM8" s="756">
        <f t="shared" si="3"/>
        <v>0</v>
      </c>
      <c r="BN8" s="756">
        <f t="shared" si="3"/>
        <v>0</v>
      </c>
      <c r="BO8" s="756">
        <f t="shared" si="3"/>
        <v>0</v>
      </c>
      <c r="BP8" s="756">
        <f t="shared" si="3"/>
        <v>0</v>
      </c>
      <c r="BQ8" s="757">
        <f t="shared" si="4"/>
        <v>5603202.8009463334</v>
      </c>
    </row>
    <row r="9" spans="1:69" s="748" customFormat="1">
      <c r="A9" s="748" t="s">
        <v>780</v>
      </c>
      <c r="B9" s="750" t="s">
        <v>548</v>
      </c>
      <c r="C9" s="760"/>
      <c r="D9" s="751">
        <v>85</v>
      </c>
      <c r="E9" s="752">
        <v>0</v>
      </c>
      <c r="F9" s="752">
        <v>0</v>
      </c>
      <c r="G9" s="752"/>
      <c r="H9" s="752"/>
      <c r="I9" s="752">
        <v>0</v>
      </c>
      <c r="J9" s="752"/>
      <c r="K9" s="752"/>
      <c r="L9" s="752"/>
      <c r="M9" s="752">
        <v>0</v>
      </c>
      <c r="N9" s="752"/>
      <c r="O9" s="752">
        <v>0</v>
      </c>
      <c r="P9" s="752">
        <v>0</v>
      </c>
      <c r="Q9" s="752">
        <v>9.9700000000000006</v>
      </c>
      <c r="R9" s="752">
        <v>6.72</v>
      </c>
      <c r="S9" s="752">
        <v>2.65</v>
      </c>
      <c r="T9" s="752"/>
      <c r="U9" s="752">
        <v>9.9700000000000006</v>
      </c>
      <c r="V9" s="752">
        <v>6.72</v>
      </c>
      <c r="W9" s="752">
        <v>2.65</v>
      </c>
      <c r="X9" s="759">
        <v>0</v>
      </c>
      <c r="Z9" s="773">
        <v>686.15047014732033</v>
      </c>
      <c r="AA9" s="771">
        <v>0</v>
      </c>
      <c r="AB9" s="771">
        <v>0</v>
      </c>
      <c r="AC9" s="771">
        <v>0</v>
      </c>
      <c r="AD9" s="771">
        <v>0</v>
      </c>
      <c r="AE9" s="771">
        <v>0</v>
      </c>
      <c r="AF9" s="771">
        <v>0</v>
      </c>
      <c r="AG9" s="771">
        <v>0</v>
      </c>
      <c r="AH9" s="771">
        <v>0</v>
      </c>
      <c r="AI9" s="771">
        <v>0</v>
      </c>
      <c r="AJ9" s="771">
        <v>0</v>
      </c>
      <c r="AK9" s="771">
        <v>0</v>
      </c>
      <c r="AL9" s="771">
        <v>0</v>
      </c>
      <c r="AM9" s="771">
        <v>613112.2927184531</v>
      </c>
      <c r="AN9" s="771">
        <v>1019088.4572577983</v>
      </c>
      <c r="AO9" s="771">
        <v>1354084.1381026416</v>
      </c>
      <c r="AP9" s="771">
        <v>0</v>
      </c>
      <c r="AQ9" s="771">
        <v>912417.22340044903</v>
      </c>
      <c r="AR9" s="771">
        <v>1605132.6982495736</v>
      </c>
      <c r="AS9" s="771">
        <v>1774541.3742083055</v>
      </c>
      <c r="AT9" s="772">
        <v>0</v>
      </c>
      <c r="AU9" s="777"/>
      <c r="AV9" s="755">
        <f t="shared" si="0"/>
        <v>58322.789962522227</v>
      </c>
      <c r="AW9" s="749">
        <f t="shared" si="1"/>
        <v>0</v>
      </c>
      <c r="AX9" s="749">
        <f t="shared" si="1"/>
        <v>0</v>
      </c>
      <c r="AY9" s="749">
        <f t="shared" si="1"/>
        <v>0</v>
      </c>
      <c r="AZ9" s="749">
        <f t="shared" si="1"/>
        <v>0</v>
      </c>
      <c r="BA9" s="749">
        <f t="shared" si="1"/>
        <v>0</v>
      </c>
      <c r="BB9" s="749">
        <f t="shared" si="1"/>
        <v>0</v>
      </c>
      <c r="BC9" s="749">
        <f t="shared" si="1"/>
        <v>0</v>
      </c>
      <c r="BD9" s="749">
        <f t="shared" si="1"/>
        <v>0</v>
      </c>
      <c r="BE9" s="749">
        <f t="shared" si="2"/>
        <v>0</v>
      </c>
      <c r="BF9" s="749">
        <f t="shared" si="2"/>
        <v>0</v>
      </c>
      <c r="BG9" s="749">
        <f t="shared" si="2"/>
        <v>0</v>
      </c>
      <c r="BH9" s="749">
        <f t="shared" si="2"/>
        <v>0</v>
      </c>
      <c r="BI9" s="756">
        <f t="shared" si="3"/>
        <v>61127.29558402978</v>
      </c>
      <c r="BJ9" s="756">
        <f t="shared" si="3"/>
        <v>68482.744327724038</v>
      </c>
      <c r="BK9" s="756">
        <f t="shared" si="3"/>
        <v>35883.229659720004</v>
      </c>
      <c r="BL9" s="756">
        <f t="shared" si="3"/>
        <v>0</v>
      </c>
      <c r="BM9" s="756">
        <f t="shared" si="3"/>
        <v>90967.997173024778</v>
      </c>
      <c r="BN9" s="756">
        <f t="shared" si="3"/>
        <v>107864.91732237134</v>
      </c>
      <c r="BO9" s="756">
        <f t="shared" si="3"/>
        <v>47025.346416520093</v>
      </c>
      <c r="BP9" s="756">
        <f t="shared" si="3"/>
        <v>0</v>
      </c>
      <c r="BQ9" s="757">
        <f t="shared" si="4"/>
        <v>469674.32044591225</v>
      </c>
    </row>
    <row r="10" spans="1:69" s="748" customFormat="1">
      <c r="A10" s="748" t="s">
        <v>781</v>
      </c>
      <c r="B10" s="750" t="s">
        <v>549</v>
      </c>
      <c r="C10" s="760"/>
      <c r="D10" s="751">
        <v>75</v>
      </c>
      <c r="E10" s="752">
        <v>0</v>
      </c>
      <c r="F10" s="752">
        <v>0</v>
      </c>
      <c r="G10" s="752"/>
      <c r="H10" s="752"/>
      <c r="I10" s="752">
        <v>0</v>
      </c>
      <c r="J10" s="752"/>
      <c r="K10" s="752"/>
      <c r="L10" s="752"/>
      <c r="M10" s="752">
        <v>0</v>
      </c>
      <c r="N10" s="752"/>
      <c r="O10" s="752">
        <v>0</v>
      </c>
      <c r="P10" s="752">
        <v>0</v>
      </c>
      <c r="Q10" s="752">
        <v>7.97</v>
      </c>
      <c r="R10" s="752">
        <v>5.37</v>
      </c>
      <c r="S10" s="752">
        <v>2.12</v>
      </c>
      <c r="T10" s="752"/>
      <c r="U10" s="752">
        <v>7.97</v>
      </c>
      <c r="V10" s="752">
        <v>5.37</v>
      </c>
      <c r="W10" s="752">
        <v>2.12</v>
      </c>
      <c r="X10" s="759">
        <v>0</v>
      </c>
      <c r="Z10" s="773">
        <v>86.713471080163117</v>
      </c>
      <c r="AA10" s="771">
        <v>0</v>
      </c>
      <c r="AB10" s="771">
        <v>0</v>
      </c>
      <c r="AC10" s="771">
        <v>0</v>
      </c>
      <c r="AD10" s="771">
        <v>0</v>
      </c>
      <c r="AE10" s="771">
        <v>0</v>
      </c>
      <c r="AF10" s="771">
        <v>0</v>
      </c>
      <c r="AG10" s="771">
        <v>0</v>
      </c>
      <c r="AH10" s="771">
        <v>0</v>
      </c>
      <c r="AI10" s="771">
        <v>0</v>
      </c>
      <c r="AJ10" s="771">
        <v>0</v>
      </c>
      <c r="AK10" s="771">
        <v>0</v>
      </c>
      <c r="AL10" s="771">
        <v>0</v>
      </c>
      <c r="AM10" s="771">
        <v>39544.135143470819</v>
      </c>
      <c r="AN10" s="771">
        <v>85152.124455447716</v>
      </c>
      <c r="AO10" s="771">
        <v>65541.547412092608</v>
      </c>
      <c r="AP10" s="771">
        <v>0</v>
      </c>
      <c r="AQ10" s="771">
        <v>61520.788290843069</v>
      </c>
      <c r="AR10" s="771">
        <v>127962.42988467065</v>
      </c>
      <c r="AS10" s="771">
        <v>100190.34543430145</v>
      </c>
      <c r="AT10" s="772">
        <v>0</v>
      </c>
      <c r="AU10" s="777"/>
      <c r="AV10" s="755">
        <f t="shared" si="0"/>
        <v>6503.510331012234</v>
      </c>
      <c r="AW10" s="749">
        <f t="shared" si="1"/>
        <v>0</v>
      </c>
      <c r="AX10" s="749">
        <f t="shared" si="1"/>
        <v>0</v>
      </c>
      <c r="AY10" s="749">
        <f t="shared" si="1"/>
        <v>0</v>
      </c>
      <c r="AZ10" s="749">
        <f t="shared" si="1"/>
        <v>0</v>
      </c>
      <c r="BA10" s="749">
        <f t="shared" si="1"/>
        <v>0</v>
      </c>
      <c r="BB10" s="749">
        <f t="shared" si="1"/>
        <v>0</v>
      </c>
      <c r="BC10" s="749">
        <f t="shared" si="1"/>
        <v>0</v>
      </c>
      <c r="BD10" s="749">
        <f t="shared" si="1"/>
        <v>0</v>
      </c>
      <c r="BE10" s="749">
        <f t="shared" si="2"/>
        <v>0</v>
      </c>
      <c r="BF10" s="749">
        <f t="shared" si="2"/>
        <v>0</v>
      </c>
      <c r="BG10" s="749">
        <f t="shared" si="2"/>
        <v>0</v>
      </c>
      <c r="BH10" s="749">
        <f t="shared" si="2"/>
        <v>0</v>
      </c>
      <c r="BI10" s="756">
        <f t="shared" si="3"/>
        <v>3151.6675709346241</v>
      </c>
      <c r="BJ10" s="756">
        <f t="shared" si="3"/>
        <v>4572.6690832575423</v>
      </c>
      <c r="BK10" s="756">
        <f t="shared" si="3"/>
        <v>1389.4808051363634</v>
      </c>
      <c r="BL10" s="756">
        <f t="shared" si="3"/>
        <v>0</v>
      </c>
      <c r="BM10" s="756">
        <f t="shared" si="3"/>
        <v>4903.2068267801924</v>
      </c>
      <c r="BN10" s="756">
        <f t="shared" si="3"/>
        <v>6871.5824848068141</v>
      </c>
      <c r="BO10" s="756">
        <f t="shared" si="3"/>
        <v>2124.0353232071907</v>
      </c>
      <c r="BP10" s="756">
        <f t="shared" si="3"/>
        <v>0</v>
      </c>
      <c r="BQ10" s="757">
        <f t="shared" si="4"/>
        <v>29516.152425134962</v>
      </c>
    </row>
    <row r="11" spans="1:69" s="748" customFormat="1">
      <c r="A11" s="748" t="s">
        <v>782</v>
      </c>
      <c r="B11" s="750" t="s">
        <v>550</v>
      </c>
      <c r="C11" s="760"/>
      <c r="D11" s="751">
        <v>85</v>
      </c>
      <c r="E11" s="752">
        <v>0</v>
      </c>
      <c r="F11" s="752">
        <v>8.5399999999999991</v>
      </c>
      <c r="G11" s="752"/>
      <c r="H11" s="752"/>
      <c r="I11" s="752">
        <v>1.83</v>
      </c>
      <c r="J11" s="752"/>
      <c r="K11" s="752"/>
      <c r="L11" s="752"/>
      <c r="M11" s="752">
        <v>0</v>
      </c>
      <c r="N11" s="752"/>
      <c r="O11" s="752">
        <v>0</v>
      </c>
      <c r="P11" s="752">
        <v>0</v>
      </c>
      <c r="Q11" s="752">
        <v>0</v>
      </c>
      <c r="R11" s="752">
        <v>0</v>
      </c>
      <c r="S11" s="752">
        <v>0</v>
      </c>
      <c r="T11" s="752"/>
      <c r="U11" s="752">
        <v>0</v>
      </c>
      <c r="V11" s="752">
        <v>0</v>
      </c>
      <c r="W11" s="752">
        <v>0</v>
      </c>
      <c r="X11" s="759">
        <v>0</v>
      </c>
      <c r="Z11" s="773">
        <v>11014.749131530216</v>
      </c>
      <c r="AA11" s="771">
        <v>0</v>
      </c>
      <c r="AB11" s="771">
        <v>33935307.571711652</v>
      </c>
      <c r="AC11" s="771">
        <v>0</v>
      </c>
      <c r="AD11" s="771">
        <v>0</v>
      </c>
      <c r="AE11" s="771">
        <v>28095960.830560345</v>
      </c>
      <c r="AF11" s="771">
        <v>0</v>
      </c>
      <c r="AG11" s="771">
        <v>0</v>
      </c>
      <c r="AH11" s="771">
        <v>0</v>
      </c>
      <c r="AI11" s="771">
        <v>0</v>
      </c>
      <c r="AJ11" s="771">
        <v>0</v>
      </c>
      <c r="AK11" s="771">
        <v>0</v>
      </c>
      <c r="AL11" s="771">
        <v>0</v>
      </c>
      <c r="AM11" s="771">
        <v>0</v>
      </c>
      <c r="AN11" s="771">
        <v>0</v>
      </c>
      <c r="AO11" s="771">
        <v>0</v>
      </c>
      <c r="AP11" s="771">
        <v>0</v>
      </c>
      <c r="AQ11" s="771">
        <v>0</v>
      </c>
      <c r="AR11" s="771">
        <v>0</v>
      </c>
      <c r="AS11" s="771">
        <v>0</v>
      </c>
      <c r="AT11" s="772">
        <v>0</v>
      </c>
      <c r="AU11" s="777"/>
      <c r="AV11" s="755">
        <f t="shared" si="0"/>
        <v>936253.6761800684</v>
      </c>
      <c r="AW11" s="749">
        <f t="shared" si="1"/>
        <v>0</v>
      </c>
      <c r="AX11" s="749">
        <f t="shared" si="1"/>
        <v>2898075.2666241745</v>
      </c>
      <c r="AY11" s="749">
        <f t="shared" si="1"/>
        <v>0</v>
      </c>
      <c r="AZ11" s="749">
        <f t="shared" si="1"/>
        <v>0</v>
      </c>
      <c r="BA11" s="749">
        <f t="shared" si="1"/>
        <v>514156.08319925435</v>
      </c>
      <c r="BB11" s="749">
        <f t="shared" si="1"/>
        <v>0</v>
      </c>
      <c r="BC11" s="749">
        <f t="shared" si="1"/>
        <v>0</v>
      </c>
      <c r="BD11" s="749">
        <f t="shared" si="1"/>
        <v>0</v>
      </c>
      <c r="BE11" s="749">
        <f t="shared" si="2"/>
        <v>0</v>
      </c>
      <c r="BF11" s="749">
        <f t="shared" si="2"/>
        <v>0</v>
      </c>
      <c r="BG11" s="749">
        <f t="shared" si="2"/>
        <v>0</v>
      </c>
      <c r="BH11" s="749">
        <f t="shared" si="2"/>
        <v>0</v>
      </c>
      <c r="BI11" s="756">
        <f t="shared" si="3"/>
        <v>0</v>
      </c>
      <c r="BJ11" s="756">
        <f t="shared" si="3"/>
        <v>0</v>
      </c>
      <c r="BK11" s="756">
        <f t="shared" si="3"/>
        <v>0</v>
      </c>
      <c r="BL11" s="756">
        <f t="shared" si="3"/>
        <v>0</v>
      </c>
      <c r="BM11" s="756">
        <f t="shared" si="3"/>
        <v>0</v>
      </c>
      <c r="BN11" s="756">
        <f t="shared" si="3"/>
        <v>0</v>
      </c>
      <c r="BO11" s="756">
        <f t="shared" si="3"/>
        <v>0</v>
      </c>
      <c r="BP11" s="756">
        <f t="shared" si="3"/>
        <v>0</v>
      </c>
      <c r="BQ11" s="757">
        <f t="shared" si="4"/>
        <v>4348485.0260034977</v>
      </c>
    </row>
    <row r="12" spans="1:69" s="748" customFormat="1">
      <c r="A12" s="748" t="s">
        <v>783</v>
      </c>
      <c r="B12" s="750" t="s">
        <v>551</v>
      </c>
      <c r="C12" s="760"/>
      <c r="D12" s="751">
        <v>75</v>
      </c>
      <c r="E12" s="752">
        <v>0</v>
      </c>
      <c r="F12" s="752">
        <v>6.76</v>
      </c>
      <c r="G12" s="752"/>
      <c r="H12" s="752"/>
      <c r="I12" s="752">
        <v>1.55</v>
      </c>
      <c r="J12" s="752"/>
      <c r="K12" s="752"/>
      <c r="L12" s="752"/>
      <c r="M12" s="752">
        <v>0</v>
      </c>
      <c r="N12" s="752"/>
      <c r="O12" s="752">
        <v>0</v>
      </c>
      <c r="P12" s="752">
        <v>0</v>
      </c>
      <c r="Q12" s="752">
        <v>0</v>
      </c>
      <c r="R12" s="752">
        <v>0</v>
      </c>
      <c r="S12" s="752">
        <v>0</v>
      </c>
      <c r="T12" s="752"/>
      <c r="U12" s="752">
        <v>0</v>
      </c>
      <c r="V12" s="752">
        <v>0</v>
      </c>
      <c r="W12" s="752">
        <v>0</v>
      </c>
      <c r="X12" s="759">
        <v>0</v>
      </c>
      <c r="Z12" s="773">
        <v>4381.6195226463469</v>
      </c>
      <c r="AA12" s="771">
        <v>0</v>
      </c>
      <c r="AB12" s="771">
        <v>11832075.647953285</v>
      </c>
      <c r="AC12" s="771">
        <v>0</v>
      </c>
      <c r="AD12" s="771">
        <v>0</v>
      </c>
      <c r="AE12" s="771">
        <v>9272614.9214595798</v>
      </c>
      <c r="AF12" s="771">
        <v>0</v>
      </c>
      <c r="AG12" s="771">
        <v>0</v>
      </c>
      <c r="AH12" s="771">
        <v>0</v>
      </c>
      <c r="AI12" s="771">
        <v>0</v>
      </c>
      <c r="AJ12" s="771">
        <v>0</v>
      </c>
      <c r="AK12" s="771">
        <v>0</v>
      </c>
      <c r="AL12" s="771">
        <v>0</v>
      </c>
      <c r="AM12" s="771">
        <v>0</v>
      </c>
      <c r="AN12" s="771">
        <v>0</v>
      </c>
      <c r="AO12" s="771">
        <v>0</v>
      </c>
      <c r="AP12" s="771">
        <v>0</v>
      </c>
      <c r="AQ12" s="771">
        <v>0</v>
      </c>
      <c r="AR12" s="771">
        <v>0</v>
      </c>
      <c r="AS12" s="771">
        <v>0</v>
      </c>
      <c r="AT12" s="772">
        <v>0</v>
      </c>
      <c r="AU12" s="777"/>
      <c r="AV12" s="755">
        <f t="shared" si="0"/>
        <v>328621.46419847599</v>
      </c>
      <c r="AW12" s="749">
        <f t="shared" si="1"/>
        <v>0</v>
      </c>
      <c r="AX12" s="749">
        <f t="shared" si="1"/>
        <v>799848.31380164193</v>
      </c>
      <c r="AY12" s="749">
        <f t="shared" si="1"/>
        <v>0</v>
      </c>
      <c r="AZ12" s="749">
        <f t="shared" si="1"/>
        <v>0</v>
      </c>
      <c r="BA12" s="749">
        <f t="shared" si="1"/>
        <v>143725.53128262347</v>
      </c>
      <c r="BB12" s="749">
        <f t="shared" si="1"/>
        <v>0</v>
      </c>
      <c r="BC12" s="749">
        <f t="shared" si="1"/>
        <v>0</v>
      </c>
      <c r="BD12" s="749">
        <f t="shared" si="1"/>
        <v>0</v>
      </c>
      <c r="BE12" s="749">
        <f t="shared" si="2"/>
        <v>0</v>
      </c>
      <c r="BF12" s="749">
        <f t="shared" si="2"/>
        <v>0</v>
      </c>
      <c r="BG12" s="749">
        <f t="shared" si="2"/>
        <v>0</v>
      </c>
      <c r="BH12" s="749">
        <f t="shared" si="2"/>
        <v>0</v>
      </c>
      <c r="BI12" s="756">
        <f t="shared" si="3"/>
        <v>0</v>
      </c>
      <c r="BJ12" s="756">
        <f t="shared" si="3"/>
        <v>0</v>
      </c>
      <c r="BK12" s="756">
        <f t="shared" si="3"/>
        <v>0</v>
      </c>
      <c r="BL12" s="756">
        <f t="shared" si="3"/>
        <v>0</v>
      </c>
      <c r="BM12" s="756">
        <f t="shared" si="3"/>
        <v>0</v>
      </c>
      <c r="BN12" s="756">
        <f t="shared" si="3"/>
        <v>0</v>
      </c>
      <c r="BO12" s="756">
        <f t="shared" si="3"/>
        <v>0</v>
      </c>
      <c r="BP12" s="756">
        <f t="shared" si="3"/>
        <v>0</v>
      </c>
      <c r="BQ12" s="757">
        <f t="shared" si="4"/>
        <v>1272195.3092827415</v>
      </c>
    </row>
    <row r="13" spans="1:69" s="748" customFormat="1">
      <c r="A13" s="748" t="s">
        <v>784</v>
      </c>
      <c r="B13" s="750" t="s">
        <v>552</v>
      </c>
      <c r="C13" s="760"/>
      <c r="D13" s="751">
        <v>85</v>
      </c>
      <c r="E13" s="752">
        <v>0</v>
      </c>
      <c r="F13" s="752">
        <v>8.5399999999999991</v>
      </c>
      <c r="G13" s="752"/>
      <c r="H13" s="752"/>
      <c r="I13" s="752">
        <v>1.83</v>
      </c>
      <c r="J13" s="752"/>
      <c r="K13" s="752"/>
      <c r="L13" s="752"/>
      <c r="M13" s="752">
        <v>0</v>
      </c>
      <c r="N13" s="752"/>
      <c r="O13" s="752">
        <v>0</v>
      </c>
      <c r="P13" s="752">
        <v>0</v>
      </c>
      <c r="Q13" s="752">
        <v>0</v>
      </c>
      <c r="R13" s="752">
        <v>0</v>
      </c>
      <c r="S13" s="752">
        <v>0</v>
      </c>
      <c r="T13" s="752"/>
      <c r="U13" s="752">
        <v>0</v>
      </c>
      <c r="V13" s="752">
        <v>0</v>
      </c>
      <c r="W13" s="752">
        <v>0</v>
      </c>
      <c r="X13" s="759">
        <v>0</v>
      </c>
      <c r="Z13" s="773">
        <v>17389.147828919202</v>
      </c>
      <c r="AA13" s="771">
        <v>0</v>
      </c>
      <c r="AB13" s="771">
        <v>59576789.514969781</v>
      </c>
      <c r="AC13" s="771">
        <v>0</v>
      </c>
      <c r="AD13" s="771">
        <v>0</v>
      </c>
      <c r="AE13" s="771">
        <v>53241167.131964095</v>
      </c>
      <c r="AF13" s="771">
        <v>0</v>
      </c>
      <c r="AG13" s="771">
        <v>0</v>
      </c>
      <c r="AH13" s="771">
        <v>0</v>
      </c>
      <c r="AI13" s="771">
        <v>0</v>
      </c>
      <c r="AJ13" s="771">
        <v>0</v>
      </c>
      <c r="AK13" s="771">
        <v>0</v>
      </c>
      <c r="AL13" s="771">
        <v>0</v>
      </c>
      <c r="AM13" s="771">
        <v>0</v>
      </c>
      <c r="AN13" s="771">
        <v>0</v>
      </c>
      <c r="AO13" s="771">
        <v>0</v>
      </c>
      <c r="AP13" s="771">
        <v>0</v>
      </c>
      <c r="AQ13" s="771">
        <v>0</v>
      </c>
      <c r="AR13" s="771">
        <v>0</v>
      </c>
      <c r="AS13" s="771">
        <v>0</v>
      </c>
      <c r="AT13" s="772">
        <v>0</v>
      </c>
      <c r="AU13" s="777"/>
      <c r="AV13" s="755">
        <f t="shared" si="0"/>
        <v>1478077.5654581322</v>
      </c>
      <c r="AW13" s="749">
        <f t="shared" si="1"/>
        <v>0</v>
      </c>
      <c r="AX13" s="749">
        <f t="shared" si="1"/>
        <v>5087857.8245784184</v>
      </c>
      <c r="AY13" s="749">
        <f t="shared" si="1"/>
        <v>0</v>
      </c>
      <c r="AZ13" s="749">
        <f t="shared" si="1"/>
        <v>0</v>
      </c>
      <c r="BA13" s="749">
        <f t="shared" si="1"/>
        <v>974313.35851494293</v>
      </c>
      <c r="BB13" s="749">
        <f t="shared" si="1"/>
        <v>0</v>
      </c>
      <c r="BC13" s="749">
        <f t="shared" si="1"/>
        <v>0</v>
      </c>
      <c r="BD13" s="749">
        <f t="shared" si="1"/>
        <v>0</v>
      </c>
      <c r="BE13" s="749">
        <f t="shared" si="2"/>
        <v>0</v>
      </c>
      <c r="BF13" s="749">
        <f t="shared" si="2"/>
        <v>0</v>
      </c>
      <c r="BG13" s="749">
        <f t="shared" si="2"/>
        <v>0</v>
      </c>
      <c r="BH13" s="749">
        <f t="shared" si="2"/>
        <v>0</v>
      </c>
      <c r="BI13" s="756">
        <f t="shared" si="3"/>
        <v>0</v>
      </c>
      <c r="BJ13" s="756">
        <f t="shared" si="3"/>
        <v>0</v>
      </c>
      <c r="BK13" s="756">
        <f t="shared" si="3"/>
        <v>0</v>
      </c>
      <c r="BL13" s="756">
        <f t="shared" si="3"/>
        <v>0</v>
      </c>
      <c r="BM13" s="756">
        <f t="shared" si="3"/>
        <v>0</v>
      </c>
      <c r="BN13" s="756">
        <f t="shared" si="3"/>
        <v>0</v>
      </c>
      <c r="BO13" s="756">
        <f t="shared" si="3"/>
        <v>0</v>
      </c>
      <c r="BP13" s="756">
        <f t="shared" si="3"/>
        <v>0</v>
      </c>
      <c r="BQ13" s="757">
        <f t="shared" si="4"/>
        <v>7540248.7485514935</v>
      </c>
    </row>
    <row r="14" spans="1:69" s="748" customFormat="1">
      <c r="A14" s="748" t="s">
        <v>785</v>
      </c>
      <c r="B14" s="750" t="s">
        <v>553</v>
      </c>
      <c r="C14" s="760"/>
      <c r="D14" s="751">
        <v>75</v>
      </c>
      <c r="E14" s="752">
        <v>0</v>
      </c>
      <c r="F14" s="752">
        <v>6.76</v>
      </c>
      <c r="G14" s="752"/>
      <c r="H14" s="752"/>
      <c r="I14" s="752">
        <v>1.55</v>
      </c>
      <c r="J14" s="752"/>
      <c r="K14" s="752"/>
      <c r="L14" s="752"/>
      <c r="M14" s="752">
        <v>0</v>
      </c>
      <c r="N14" s="752"/>
      <c r="O14" s="752">
        <v>0</v>
      </c>
      <c r="P14" s="752">
        <v>0</v>
      </c>
      <c r="Q14" s="752">
        <v>0</v>
      </c>
      <c r="R14" s="752">
        <v>0</v>
      </c>
      <c r="S14" s="752">
        <v>0</v>
      </c>
      <c r="T14" s="752"/>
      <c r="U14" s="752">
        <v>0</v>
      </c>
      <c r="V14" s="752">
        <v>0</v>
      </c>
      <c r="W14" s="752">
        <v>0</v>
      </c>
      <c r="X14" s="759">
        <v>0</v>
      </c>
      <c r="Z14" s="773">
        <v>8919.7013287955069</v>
      </c>
      <c r="AA14" s="771">
        <v>0</v>
      </c>
      <c r="AB14" s="771">
        <v>15283595.676380193</v>
      </c>
      <c r="AC14" s="771">
        <v>0</v>
      </c>
      <c r="AD14" s="771">
        <v>0</v>
      </c>
      <c r="AE14" s="771">
        <v>14525020.059684802</v>
      </c>
      <c r="AF14" s="771">
        <v>0</v>
      </c>
      <c r="AG14" s="771">
        <v>0</v>
      </c>
      <c r="AH14" s="771">
        <v>0</v>
      </c>
      <c r="AI14" s="771">
        <v>0</v>
      </c>
      <c r="AJ14" s="771">
        <v>0</v>
      </c>
      <c r="AK14" s="771">
        <v>0</v>
      </c>
      <c r="AL14" s="771">
        <v>0</v>
      </c>
      <c r="AM14" s="771">
        <v>0</v>
      </c>
      <c r="AN14" s="771">
        <v>0</v>
      </c>
      <c r="AO14" s="771">
        <v>0</v>
      </c>
      <c r="AP14" s="771">
        <v>0</v>
      </c>
      <c r="AQ14" s="771">
        <v>0</v>
      </c>
      <c r="AR14" s="771">
        <v>0</v>
      </c>
      <c r="AS14" s="771">
        <v>0</v>
      </c>
      <c r="AT14" s="772">
        <v>0</v>
      </c>
      <c r="AU14" s="777"/>
      <c r="AV14" s="755">
        <f t="shared" si="0"/>
        <v>668977.59965966304</v>
      </c>
      <c r="AW14" s="749">
        <f t="shared" si="1"/>
        <v>0</v>
      </c>
      <c r="AX14" s="749">
        <f t="shared" si="1"/>
        <v>1033171.0677233009</v>
      </c>
      <c r="AY14" s="749">
        <f t="shared" si="1"/>
        <v>0</v>
      </c>
      <c r="AZ14" s="749">
        <f t="shared" si="1"/>
        <v>0</v>
      </c>
      <c r="BA14" s="749">
        <f t="shared" si="1"/>
        <v>225137.81092511443</v>
      </c>
      <c r="BB14" s="749">
        <f t="shared" si="1"/>
        <v>0</v>
      </c>
      <c r="BC14" s="749">
        <f t="shared" si="1"/>
        <v>0</v>
      </c>
      <c r="BD14" s="749">
        <f t="shared" si="1"/>
        <v>0</v>
      </c>
      <c r="BE14" s="749">
        <f t="shared" si="2"/>
        <v>0</v>
      </c>
      <c r="BF14" s="749">
        <f t="shared" si="2"/>
        <v>0</v>
      </c>
      <c r="BG14" s="749">
        <f t="shared" si="2"/>
        <v>0</v>
      </c>
      <c r="BH14" s="749">
        <f t="shared" si="2"/>
        <v>0</v>
      </c>
      <c r="BI14" s="756">
        <f t="shared" si="3"/>
        <v>0</v>
      </c>
      <c r="BJ14" s="756">
        <f t="shared" si="3"/>
        <v>0</v>
      </c>
      <c r="BK14" s="756">
        <f t="shared" si="3"/>
        <v>0</v>
      </c>
      <c r="BL14" s="756">
        <f t="shared" si="3"/>
        <v>0</v>
      </c>
      <c r="BM14" s="756">
        <f t="shared" si="3"/>
        <v>0</v>
      </c>
      <c r="BN14" s="756">
        <f t="shared" si="3"/>
        <v>0</v>
      </c>
      <c r="BO14" s="756">
        <f t="shared" si="3"/>
        <v>0</v>
      </c>
      <c r="BP14" s="756">
        <f t="shared" si="3"/>
        <v>0</v>
      </c>
      <c r="BQ14" s="757">
        <f t="shared" si="4"/>
        <v>1927286.4783080784</v>
      </c>
    </row>
    <row r="15" spans="1:69" s="748" customFormat="1">
      <c r="A15" s="748" t="s">
        <v>786</v>
      </c>
      <c r="B15" s="750" t="s">
        <v>554</v>
      </c>
      <c r="C15" s="760"/>
      <c r="D15" s="751">
        <v>0</v>
      </c>
      <c r="E15" s="752">
        <v>0</v>
      </c>
      <c r="F15" s="752">
        <v>0</v>
      </c>
      <c r="G15" s="752"/>
      <c r="H15" s="752"/>
      <c r="I15" s="752">
        <v>1.55</v>
      </c>
      <c r="J15" s="752"/>
      <c r="K15" s="752"/>
      <c r="L15" s="752"/>
      <c r="M15" s="752">
        <v>0</v>
      </c>
      <c r="N15" s="752"/>
      <c r="O15" s="752">
        <v>0</v>
      </c>
      <c r="P15" s="752">
        <v>0</v>
      </c>
      <c r="Q15" s="752">
        <v>0</v>
      </c>
      <c r="R15" s="752">
        <v>0</v>
      </c>
      <c r="S15" s="752">
        <v>0</v>
      </c>
      <c r="T15" s="752"/>
      <c r="U15" s="752">
        <v>0</v>
      </c>
      <c r="V15" s="752">
        <v>0</v>
      </c>
      <c r="W15" s="752">
        <v>0</v>
      </c>
      <c r="X15" s="759">
        <v>0</v>
      </c>
      <c r="Z15" s="773">
        <v>9702.4868219820364</v>
      </c>
      <c r="AA15" s="771">
        <v>0</v>
      </c>
      <c r="AB15" s="771">
        <v>0</v>
      </c>
      <c r="AC15" s="771">
        <v>0</v>
      </c>
      <c r="AD15" s="771">
        <v>0</v>
      </c>
      <c r="AE15" s="771">
        <v>22272717.328201722</v>
      </c>
      <c r="AF15" s="771">
        <v>0</v>
      </c>
      <c r="AG15" s="771">
        <v>0</v>
      </c>
      <c r="AH15" s="771">
        <v>0</v>
      </c>
      <c r="AI15" s="771">
        <v>0</v>
      </c>
      <c r="AJ15" s="771">
        <v>0</v>
      </c>
      <c r="AK15" s="771">
        <v>0</v>
      </c>
      <c r="AL15" s="771">
        <v>0</v>
      </c>
      <c r="AM15" s="771">
        <v>0</v>
      </c>
      <c r="AN15" s="771">
        <v>0</v>
      </c>
      <c r="AO15" s="771">
        <v>0</v>
      </c>
      <c r="AP15" s="771">
        <v>0</v>
      </c>
      <c r="AQ15" s="771">
        <v>0</v>
      </c>
      <c r="AR15" s="771">
        <v>0</v>
      </c>
      <c r="AS15" s="771">
        <v>0</v>
      </c>
      <c r="AT15" s="772">
        <v>0</v>
      </c>
      <c r="AU15" s="777"/>
      <c r="AV15" s="755">
        <f t="shared" si="0"/>
        <v>0</v>
      </c>
      <c r="AW15" s="749">
        <f t="shared" si="1"/>
        <v>0</v>
      </c>
      <c r="AX15" s="749">
        <f t="shared" si="1"/>
        <v>0</v>
      </c>
      <c r="AY15" s="749">
        <f t="shared" si="1"/>
        <v>0</v>
      </c>
      <c r="AZ15" s="749">
        <f t="shared" si="1"/>
        <v>0</v>
      </c>
      <c r="BA15" s="749">
        <f t="shared" si="1"/>
        <v>345227.11858712672</v>
      </c>
      <c r="BB15" s="749">
        <f t="shared" si="1"/>
        <v>0</v>
      </c>
      <c r="BC15" s="749">
        <f t="shared" si="1"/>
        <v>0</v>
      </c>
      <c r="BD15" s="749">
        <f t="shared" si="1"/>
        <v>0</v>
      </c>
      <c r="BE15" s="749">
        <f t="shared" si="2"/>
        <v>0</v>
      </c>
      <c r="BF15" s="749">
        <f t="shared" si="2"/>
        <v>0</v>
      </c>
      <c r="BG15" s="749">
        <f t="shared" si="2"/>
        <v>0</v>
      </c>
      <c r="BH15" s="749">
        <f t="shared" si="2"/>
        <v>0</v>
      </c>
      <c r="BI15" s="756">
        <f t="shared" si="3"/>
        <v>0</v>
      </c>
      <c r="BJ15" s="756">
        <f t="shared" si="3"/>
        <v>0</v>
      </c>
      <c r="BK15" s="756">
        <f t="shared" si="3"/>
        <v>0</v>
      </c>
      <c r="BL15" s="756">
        <f t="shared" si="3"/>
        <v>0</v>
      </c>
      <c r="BM15" s="756">
        <f t="shared" si="3"/>
        <v>0</v>
      </c>
      <c r="BN15" s="756">
        <f t="shared" si="3"/>
        <v>0</v>
      </c>
      <c r="BO15" s="756">
        <f t="shared" si="3"/>
        <v>0</v>
      </c>
      <c r="BP15" s="756">
        <f t="shared" si="3"/>
        <v>0</v>
      </c>
      <c r="BQ15" s="757">
        <f t="shared" si="4"/>
        <v>345227.11858712672</v>
      </c>
    </row>
    <row r="16" spans="1:69" s="748" customFormat="1">
      <c r="A16" s="748" t="s">
        <v>787</v>
      </c>
      <c r="B16" s="750" t="s">
        <v>555</v>
      </c>
      <c r="C16" s="760"/>
      <c r="D16" s="751">
        <v>0</v>
      </c>
      <c r="E16" s="752">
        <v>0</v>
      </c>
      <c r="F16" s="752">
        <v>0</v>
      </c>
      <c r="G16" s="752"/>
      <c r="H16" s="752"/>
      <c r="I16" s="752">
        <v>1.1100000000000001</v>
      </c>
      <c r="J16" s="752"/>
      <c r="K16" s="752"/>
      <c r="L16" s="752"/>
      <c r="M16" s="752">
        <v>0</v>
      </c>
      <c r="N16" s="752"/>
      <c r="O16" s="752">
        <v>0</v>
      </c>
      <c r="P16" s="752">
        <v>0</v>
      </c>
      <c r="Q16" s="752">
        <v>0</v>
      </c>
      <c r="R16" s="752">
        <v>0</v>
      </c>
      <c r="S16" s="752">
        <v>0</v>
      </c>
      <c r="T16" s="752"/>
      <c r="U16" s="752">
        <v>0</v>
      </c>
      <c r="V16" s="752">
        <v>0</v>
      </c>
      <c r="W16" s="752">
        <v>0</v>
      </c>
      <c r="X16" s="759">
        <v>0</v>
      </c>
      <c r="Z16" s="773">
        <v>3672.0139367766869</v>
      </c>
      <c r="AA16" s="771">
        <v>0</v>
      </c>
      <c r="AB16" s="771">
        <v>0</v>
      </c>
      <c r="AC16" s="771">
        <v>0</v>
      </c>
      <c r="AD16" s="771">
        <v>0</v>
      </c>
      <c r="AE16" s="771">
        <v>7671612.21176631</v>
      </c>
      <c r="AF16" s="771">
        <v>0</v>
      </c>
      <c r="AG16" s="771">
        <v>0</v>
      </c>
      <c r="AH16" s="771">
        <v>0</v>
      </c>
      <c r="AI16" s="771">
        <v>0</v>
      </c>
      <c r="AJ16" s="771">
        <v>0</v>
      </c>
      <c r="AK16" s="771">
        <v>0</v>
      </c>
      <c r="AL16" s="771">
        <v>0</v>
      </c>
      <c r="AM16" s="771">
        <v>0</v>
      </c>
      <c r="AN16" s="771">
        <v>0</v>
      </c>
      <c r="AO16" s="771">
        <v>0</v>
      </c>
      <c r="AP16" s="771">
        <v>0</v>
      </c>
      <c r="AQ16" s="771">
        <v>0</v>
      </c>
      <c r="AR16" s="771">
        <v>0</v>
      </c>
      <c r="AS16" s="771">
        <v>0</v>
      </c>
      <c r="AT16" s="772">
        <v>0</v>
      </c>
      <c r="AU16" s="777"/>
      <c r="AV16" s="755">
        <f t="shared" si="0"/>
        <v>0</v>
      </c>
      <c r="AW16" s="749">
        <f t="shared" si="1"/>
        <v>0</v>
      </c>
      <c r="AX16" s="749">
        <f t="shared" si="1"/>
        <v>0</v>
      </c>
      <c r="AY16" s="749">
        <f t="shared" si="1"/>
        <v>0</v>
      </c>
      <c r="AZ16" s="749">
        <f t="shared" si="1"/>
        <v>0</v>
      </c>
      <c r="BA16" s="749">
        <f t="shared" si="1"/>
        <v>85154.895550606045</v>
      </c>
      <c r="BB16" s="749">
        <f t="shared" si="1"/>
        <v>0</v>
      </c>
      <c r="BC16" s="749">
        <f t="shared" si="1"/>
        <v>0</v>
      </c>
      <c r="BD16" s="749">
        <f t="shared" si="1"/>
        <v>0</v>
      </c>
      <c r="BE16" s="749">
        <f t="shared" si="2"/>
        <v>0</v>
      </c>
      <c r="BF16" s="749">
        <f t="shared" si="2"/>
        <v>0</v>
      </c>
      <c r="BG16" s="749">
        <f t="shared" si="2"/>
        <v>0</v>
      </c>
      <c r="BH16" s="749">
        <f t="shared" si="2"/>
        <v>0</v>
      </c>
      <c r="BI16" s="756">
        <f t="shared" si="3"/>
        <v>0</v>
      </c>
      <c r="BJ16" s="756">
        <f t="shared" si="3"/>
        <v>0</v>
      </c>
      <c r="BK16" s="756">
        <f t="shared" si="3"/>
        <v>0</v>
      </c>
      <c r="BL16" s="756">
        <f t="shared" si="3"/>
        <v>0</v>
      </c>
      <c r="BM16" s="756">
        <f t="shared" si="3"/>
        <v>0</v>
      </c>
      <c r="BN16" s="756">
        <f t="shared" si="3"/>
        <v>0</v>
      </c>
      <c r="BO16" s="756">
        <f t="shared" si="3"/>
        <v>0</v>
      </c>
      <c r="BP16" s="756">
        <f t="shared" si="3"/>
        <v>0</v>
      </c>
      <c r="BQ16" s="757">
        <f t="shared" si="4"/>
        <v>85154.895550606045</v>
      </c>
    </row>
    <row r="17" spans="1:69" s="748" customFormat="1">
      <c r="A17" s="748" t="s">
        <v>788</v>
      </c>
      <c r="B17" s="750" t="s">
        <v>556</v>
      </c>
      <c r="C17" s="760"/>
      <c r="D17" s="751">
        <v>0</v>
      </c>
      <c r="E17" s="752">
        <v>0</v>
      </c>
      <c r="F17" s="752">
        <v>0</v>
      </c>
      <c r="G17" s="752"/>
      <c r="H17" s="752"/>
      <c r="I17" s="752">
        <v>1.55</v>
      </c>
      <c r="J17" s="752"/>
      <c r="K17" s="752"/>
      <c r="L17" s="752"/>
      <c r="M17" s="752">
        <v>0</v>
      </c>
      <c r="N17" s="752"/>
      <c r="O17" s="752">
        <v>0</v>
      </c>
      <c r="P17" s="752">
        <v>0</v>
      </c>
      <c r="Q17" s="752">
        <v>0</v>
      </c>
      <c r="R17" s="752">
        <v>0</v>
      </c>
      <c r="S17" s="752">
        <v>0</v>
      </c>
      <c r="T17" s="752"/>
      <c r="U17" s="752">
        <v>0</v>
      </c>
      <c r="V17" s="752">
        <v>0</v>
      </c>
      <c r="W17" s="752">
        <v>0</v>
      </c>
      <c r="X17" s="759">
        <v>0</v>
      </c>
      <c r="Z17" s="773">
        <v>23277.215443521112</v>
      </c>
      <c r="AA17" s="771">
        <v>0</v>
      </c>
      <c r="AB17" s="771">
        <v>0</v>
      </c>
      <c r="AC17" s="771">
        <v>0</v>
      </c>
      <c r="AD17" s="771">
        <v>0</v>
      </c>
      <c r="AE17" s="771">
        <v>34551430.843353778</v>
      </c>
      <c r="AF17" s="771">
        <v>0</v>
      </c>
      <c r="AG17" s="771">
        <v>0</v>
      </c>
      <c r="AH17" s="771">
        <v>0</v>
      </c>
      <c r="AI17" s="771">
        <v>0</v>
      </c>
      <c r="AJ17" s="771">
        <v>0</v>
      </c>
      <c r="AK17" s="771">
        <v>0</v>
      </c>
      <c r="AL17" s="771">
        <v>0</v>
      </c>
      <c r="AM17" s="771">
        <v>0</v>
      </c>
      <c r="AN17" s="771">
        <v>0</v>
      </c>
      <c r="AO17" s="771">
        <v>0</v>
      </c>
      <c r="AP17" s="771">
        <v>0</v>
      </c>
      <c r="AQ17" s="771">
        <v>0</v>
      </c>
      <c r="AR17" s="771">
        <v>0</v>
      </c>
      <c r="AS17" s="771">
        <v>0</v>
      </c>
      <c r="AT17" s="772">
        <v>0</v>
      </c>
      <c r="AU17" s="777"/>
      <c r="AV17" s="755">
        <f t="shared" si="0"/>
        <v>0</v>
      </c>
      <c r="AW17" s="749">
        <f t="shared" si="1"/>
        <v>0</v>
      </c>
      <c r="AX17" s="749">
        <f t="shared" si="1"/>
        <v>0</v>
      </c>
      <c r="AY17" s="749">
        <f t="shared" si="1"/>
        <v>0</v>
      </c>
      <c r="AZ17" s="749">
        <f t="shared" si="1"/>
        <v>0</v>
      </c>
      <c r="BA17" s="749">
        <f t="shared" si="1"/>
        <v>535547.17807198351</v>
      </c>
      <c r="BB17" s="749">
        <f t="shared" si="1"/>
        <v>0</v>
      </c>
      <c r="BC17" s="749">
        <f t="shared" si="1"/>
        <v>0</v>
      </c>
      <c r="BD17" s="749">
        <f t="shared" si="1"/>
        <v>0</v>
      </c>
      <c r="BE17" s="749">
        <f t="shared" si="2"/>
        <v>0</v>
      </c>
      <c r="BF17" s="749">
        <f t="shared" si="2"/>
        <v>0</v>
      </c>
      <c r="BG17" s="749">
        <f t="shared" si="2"/>
        <v>0</v>
      </c>
      <c r="BH17" s="749">
        <f t="shared" si="2"/>
        <v>0</v>
      </c>
      <c r="BI17" s="756">
        <f t="shared" si="3"/>
        <v>0</v>
      </c>
      <c r="BJ17" s="756">
        <f t="shared" si="3"/>
        <v>0</v>
      </c>
      <c r="BK17" s="756">
        <f t="shared" si="3"/>
        <v>0</v>
      </c>
      <c r="BL17" s="756">
        <f t="shared" si="3"/>
        <v>0</v>
      </c>
      <c r="BM17" s="756">
        <f t="shared" si="3"/>
        <v>0</v>
      </c>
      <c r="BN17" s="756">
        <f t="shared" si="3"/>
        <v>0</v>
      </c>
      <c r="BO17" s="756">
        <f t="shared" si="3"/>
        <v>0</v>
      </c>
      <c r="BP17" s="756">
        <f t="shared" si="3"/>
        <v>0</v>
      </c>
      <c r="BQ17" s="757">
        <f t="shared" si="4"/>
        <v>535547.17807198351</v>
      </c>
    </row>
    <row r="18" spans="1:69" s="748" customFormat="1">
      <c r="A18" s="748" t="s">
        <v>789</v>
      </c>
      <c r="B18" s="750" t="s">
        <v>557</v>
      </c>
      <c r="C18" s="760"/>
      <c r="D18" s="751">
        <v>0</v>
      </c>
      <c r="E18" s="752">
        <v>0</v>
      </c>
      <c r="F18" s="752">
        <v>0</v>
      </c>
      <c r="G18" s="752"/>
      <c r="H18" s="752"/>
      <c r="I18" s="752">
        <v>1.1100000000000001</v>
      </c>
      <c r="J18" s="752"/>
      <c r="K18" s="752"/>
      <c r="L18" s="752"/>
      <c r="M18" s="752">
        <v>0</v>
      </c>
      <c r="N18" s="752"/>
      <c r="O18" s="752">
        <v>0</v>
      </c>
      <c r="P18" s="752">
        <v>0</v>
      </c>
      <c r="Q18" s="752">
        <v>0</v>
      </c>
      <c r="R18" s="752">
        <v>0</v>
      </c>
      <c r="S18" s="752">
        <v>0</v>
      </c>
      <c r="T18" s="752"/>
      <c r="U18" s="752">
        <v>0</v>
      </c>
      <c r="V18" s="752">
        <v>0</v>
      </c>
      <c r="W18" s="752">
        <v>0</v>
      </c>
      <c r="X18" s="759">
        <v>0</v>
      </c>
      <c r="Z18" s="773">
        <v>1123.2853452453983</v>
      </c>
      <c r="AA18" s="771">
        <v>0</v>
      </c>
      <c r="AB18" s="771">
        <v>0</v>
      </c>
      <c r="AC18" s="771">
        <v>0</v>
      </c>
      <c r="AD18" s="771">
        <v>0</v>
      </c>
      <c r="AE18" s="771">
        <v>2356017.402376994</v>
      </c>
      <c r="AF18" s="771">
        <v>0</v>
      </c>
      <c r="AG18" s="771">
        <v>0</v>
      </c>
      <c r="AH18" s="771">
        <v>0</v>
      </c>
      <c r="AI18" s="771">
        <v>0</v>
      </c>
      <c r="AJ18" s="771">
        <v>0</v>
      </c>
      <c r="AK18" s="771">
        <v>0</v>
      </c>
      <c r="AL18" s="771">
        <v>0</v>
      </c>
      <c r="AM18" s="771">
        <v>0</v>
      </c>
      <c r="AN18" s="771">
        <v>0</v>
      </c>
      <c r="AO18" s="771">
        <v>0</v>
      </c>
      <c r="AP18" s="771">
        <v>0</v>
      </c>
      <c r="AQ18" s="771">
        <v>0</v>
      </c>
      <c r="AR18" s="771">
        <v>0</v>
      </c>
      <c r="AS18" s="771">
        <v>0</v>
      </c>
      <c r="AT18" s="772">
        <v>0</v>
      </c>
      <c r="AU18" s="777"/>
      <c r="AV18" s="755">
        <f t="shared" si="0"/>
        <v>0</v>
      </c>
      <c r="AW18" s="749">
        <f t="shared" si="1"/>
        <v>0</v>
      </c>
      <c r="AX18" s="749">
        <f t="shared" si="1"/>
        <v>0</v>
      </c>
      <c r="AY18" s="749">
        <f t="shared" si="1"/>
        <v>0</v>
      </c>
      <c r="AZ18" s="749">
        <f t="shared" si="1"/>
        <v>0</v>
      </c>
      <c r="BA18" s="749">
        <f t="shared" si="1"/>
        <v>26151.793166384636</v>
      </c>
      <c r="BB18" s="749">
        <f t="shared" si="1"/>
        <v>0</v>
      </c>
      <c r="BC18" s="749">
        <f t="shared" si="1"/>
        <v>0</v>
      </c>
      <c r="BD18" s="749">
        <f t="shared" si="1"/>
        <v>0</v>
      </c>
      <c r="BE18" s="749">
        <f t="shared" si="2"/>
        <v>0</v>
      </c>
      <c r="BF18" s="749">
        <f t="shared" si="2"/>
        <v>0</v>
      </c>
      <c r="BG18" s="749">
        <f t="shared" si="2"/>
        <v>0</v>
      </c>
      <c r="BH18" s="749">
        <f t="shared" si="2"/>
        <v>0</v>
      </c>
      <c r="BI18" s="756">
        <f t="shared" si="3"/>
        <v>0</v>
      </c>
      <c r="BJ18" s="756">
        <f t="shared" si="3"/>
        <v>0</v>
      </c>
      <c r="BK18" s="756">
        <f t="shared" si="3"/>
        <v>0</v>
      </c>
      <c r="BL18" s="756">
        <f t="shared" si="3"/>
        <v>0</v>
      </c>
      <c r="BM18" s="756">
        <f t="shared" si="3"/>
        <v>0</v>
      </c>
      <c r="BN18" s="756">
        <f t="shared" si="3"/>
        <v>0</v>
      </c>
      <c r="BO18" s="756">
        <f t="shared" si="3"/>
        <v>0</v>
      </c>
      <c r="BP18" s="756">
        <f t="shared" si="3"/>
        <v>0</v>
      </c>
      <c r="BQ18" s="757">
        <f t="shared" si="4"/>
        <v>26151.793166384636</v>
      </c>
    </row>
    <row r="19" spans="1:69" s="748" customFormat="1">
      <c r="A19" s="748" t="s">
        <v>790</v>
      </c>
      <c r="B19" s="750" t="s">
        <v>596</v>
      </c>
      <c r="C19" s="760"/>
      <c r="D19" s="751">
        <v>85</v>
      </c>
      <c r="E19" s="752">
        <v>2.54</v>
      </c>
      <c r="F19" s="752">
        <v>0</v>
      </c>
      <c r="G19" s="752"/>
      <c r="H19" s="752"/>
      <c r="I19" s="752">
        <v>0</v>
      </c>
      <c r="J19" s="752"/>
      <c r="K19" s="752"/>
      <c r="L19" s="752"/>
      <c r="M19" s="752">
        <v>0</v>
      </c>
      <c r="N19" s="752"/>
      <c r="O19" s="752">
        <v>6.19</v>
      </c>
      <c r="P19" s="752">
        <v>2.12</v>
      </c>
      <c r="Q19" s="752">
        <v>0</v>
      </c>
      <c r="R19" s="752">
        <v>0</v>
      </c>
      <c r="S19" s="752">
        <v>0</v>
      </c>
      <c r="T19" s="752"/>
      <c r="U19" s="752">
        <v>0</v>
      </c>
      <c r="V19" s="752">
        <v>0</v>
      </c>
      <c r="W19" s="752">
        <v>0</v>
      </c>
      <c r="X19" s="759">
        <v>0</v>
      </c>
      <c r="Z19" s="773">
        <v>5</v>
      </c>
      <c r="AA19" s="771">
        <v>27500</v>
      </c>
      <c r="AB19" s="771">
        <v>0</v>
      </c>
      <c r="AC19" s="771">
        <v>0</v>
      </c>
      <c r="AD19" s="771">
        <v>0</v>
      </c>
      <c r="AE19" s="771">
        <v>0</v>
      </c>
      <c r="AF19" s="771">
        <v>0</v>
      </c>
      <c r="AG19" s="771">
        <v>0</v>
      </c>
      <c r="AH19" s="771">
        <v>0</v>
      </c>
      <c r="AI19" s="771">
        <v>0</v>
      </c>
      <c r="AJ19" s="771">
        <v>0</v>
      </c>
      <c r="AK19" s="771">
        <v>62.785388127853878</v>
      </c>
      <c r="AL19" s="771">
        <v>100.45662100456622</v>
      </c>
      <c r="AM19" s="771">
        <v>0</v>
      </c>
      <c r="AN19" s="771">
        <v>0</v>
      </c>
      <c r="AO19" s="771">
        <v>0</v>
      </c>
      <c r="AP19" s="771">
        <v>0</v>
      </c>
      <c r="AQ19" s="771">
        <v>0</v>
      </c>
      <c r="AR19" s="771">
        <v>0</v>
      </c>
      <c r="AS19" s="771">
        <v>0</v>
      </c>
      <c r="AT19" s="772">
        <v>0</v>
      </c>
      <c r="AU19" s="777"/>
      <c r="AV19" s="755">
        <f t="shared" si="0"/>
        <v>425</v>
      </c>
      <c r="AW19" s="749">
        <f t="shared" si="1"/>
        <v>698.5</v>
      </c>
      <c r="AX19" s="749">
        <f t="shared" si="1"/>
        <v>0</v>
      </c>
      <c r="AY19" s="749">
        <f t="shared" si="1"/>
        <v>0</v>
      </c>
      <c r="AZ19" s="749">
        <f t="shared" si="1"/>
        <v>0</v>
      </c>
      <c r="BA19" s="749">
        <f t="shared" si="1"/>
        <v>0</v>
      </c>
      <c r="BB19" s="749">
        <f t="shared" si="1"/>
        <v>0</v>
      </c>
      <c r="BC19" s="749">
        <f t="shared" si="1"/>
        <v>0</v>
      </c>
      <c r="BD19" s="749">
        <f t="shared" si="1"/>
        <v>0</v>
      </c>
      <c r="BE19" s="749">
        <f t="shared" si="2"/>
        <v>0</v>
      </c>
      <c r="BF19" s="749">
        <f t="shared" si="2"/>
        <v>0</v>
      </c>
      <c r="BG19" s="749">
        <f t="shared" si="2"/>
        <v>388.64155251141551</v>
      </c>
      <c r="BH19" s="749">
        <f t="shared" si="2"/>
        <v>212.96803652968038</v>
      </c>
      <c r="BI19" s="756">
        <f t="shared" si="3"/>
        <v>0</v>
      </c>
      <c r="BJ19" s="756">
        <f t="shared" si="3"/>
        <v>0</v>
      </c>
      <c r="BK19" s="756">
        <f t="shared" si="3"/>
        <v>0</v>
      </c>
      <c r="BL19" s="756">
        <f t="shared" si="3"/>
        <v>0</v>
      </c>
      <c r="BM19" s="756">
        <f t="shared" si="3"/>
        <v>0</v>
      </c>
      <c r="BN19" s="756">
        <f t="shared" si="3"/>
        <v>0</v>
      </c>
      <c r="BO19" s="756">
        <f t="shared" si="3"/>
        <v>0</v>
      </c>
      <c r="BP19" s="756">
        <f t="shared" si="3"/>
        <v>0</v>
      </c>
      <c r="BQ19" s="757">
        <f t="shared" si="4"/>
        <v>1725.1095890410959</v>
      </c>
    </row>
    <row r="20" spans="1:69" s="748" customFormat="1">
      <c r="A20" s="748" t="s">
        <v>791</v>
      </c>
      <c r="B20" s="750" t="s">
        <v>597</v>
      </c>
      <c r="C20" s="760"/>
      <c r="D20" s="751">
        <v>75</v>
      </c>
      <c r="E20" s="752">
        <v>1.6</v>
      </c>
      <c r="F20" s="752">
        <v>0</v>
      </c>
      <c r="G20" s="752"/>
      <c r="H20" s="752"/>
      <c r="I20" s="752">
        <v>0</v>
      </c>
      <c r="J20" s="752"/>
      <c r="K20" s="752"/>
      <c r="L20" s="752"/>
      <c r="M20" s="752">
        <v>0</v>
      </c>
      <c r="N20" s="752"/>
      <c r="O20" s="752">
        <v>4.53</v>
      </c>
      <c r="P20" s="752">
        <v>1.51</v>
      </c>
      <c r="Q20" s="752">
        <v>0</v>
      </c>
      <c r="R20" s="752">
        <v>0</v>
      </c>
      <c r="S20" s="752">
        <v>0</v>
      </c>
      <c r="T20" s="752"/>
      <c r="U20" s="752">
        <v>0</v>
      </c>
      <c r="V20" s="752">
        <v>0</v>
      </c>
      <c r="W20" s="752">
        <v>0</v>
      </c>
      <c r="X20" s="759">
        <v>0</v>
      </c>
      <c r="Z20" s="773">
        <v>1</v>
      </c>
      <c r="AA20" s="771">
        <v>5500</v>
      </c>
      <c r="AB20" s="771">
        <v>0</v>
      </c>
      <c r="AC20" s="771">
        <v>0</v>
      </c>
      <c r="AD20" s="771">
        <v>0</v>
      </c>
      <c r="AE20" s="771">
        <v>0</v>
      </c>
      <c r="AF20" s="771">
        <v>0</v>
      </c>
      <c r="AG20" s="771">
        <v>0</v>
      </c>
      <c r="AH20" s="771">
        <v>0</v>
      </c>
      <c r="AI20" s="771">
        <v>0</v>
      </c>
      <c r="AJ20" s="771">
        <v>0</v>
      </c>
      <c r="AK20" s="771">
        <v>12.557077625570775</v>
      </c>
      <c r="AL20" s="771">
        <v>20.091324200913242</v>
      </c>
      <c r="AM20" s="771">
        <v>0</v>
      </c>
      <c r="AN20" s="771">
        <v>0</v>
      </c>
      <c r="AO20" s="771">
        <v>0</v>
      </c>
      <c r="AP20" s="771">
        <v>0</v>
      </c>
      <c r="AQ20" s="771">
        <v>0</v>
      </c>
      <c r="AR20" s="771">
        <v>0</v>
      </c>
      <c r="AS20" s="771">
        <v>0</v>
      </c>
      <c r="AT20" s="772">
        <v>0</v>
      </c>
      <c r="AU20" s="777"/>
      <c r="AV20" s="755">
        <f t="shared" si="0"/>
        <v>75</v>
      </c>
      <c r="AW20" s="749">
        <f t="shared" si="1"/>
        <v>88</v>
      </c>
      <c r="AX20" s="749">
        <f t="shared" si="1"/>
        <v>0</v>
      </c>
      <c r="AY20" s="749">
        <f t="shared" si="1"/>
        <v>0</v>
      </c>
      <c r="AZ20" s="749">
        <f t="shared" si="1"/>
        <v>0</v>
      </c>
      <c r="BA20" s="749">
        <f t="shared" si="1"/>
        <v>0</v>
      </c>
      <c r="BB20" s="749">
        <f t="shared" si="1"/>
        <v>0</v>
      </c>
      <c r="BC20" s="749">
        <f t="shared" si="1"/>
        <v>0</v>
      </c>
      <c r="BD20" s="749">
        <f t="shared" si="1"/>
        <v>0</v>
      </c>
      <c r="BE20" s="749">
        <f t="shared" si="2"/>
        <v>0</v>
      </c>
      <c r="BF20" s="749">
        <f t="shared" si="2"/>
        <v>0</v>
      </c>
      <c r="BG20" s="749">
        <f t="shared" si="2"/>
        <v>56.883561643835613</v>
      </c>
      <c r="BH20" s="749">
        <f t="shared" si="2"/>
        <v>30.337899543378995</v>
      </c>
      <c r="BI20" s="756">
        <f t="shared" si="3"/>
        <v>0</v>
      </c>
      <c r="BJ20" s="756">
        <f t="shared" si="3"/>
        <v>0</v>
      </c>
      <c r="BK20" s="756">
        <f t="shared" si="3"/>
        <v>0</v>
      </c>
      <c r="BL20" s="756">
        <f t="shared" si="3"/>
        <v>0</v>
      </c>
      <c r="BM20" s="756">
        <f t="shared" si="3"/>
        <v>0</v>
      </c>
      <c r="BN20" s="756">
        <f t="shared" si="3"/>
        <v>0</v>
      </c>
      <c r="BO20" s="756">
        <f t="shared" si="3"/>
        <v>0</v>
      </c>
      <c r="BP20" s="756">
        <f t="shared" si="3"/>
        <v>0</v>
      </c>
      <c r="BQ20" s="757">
        <f t="shared" si="4"/>
        <v>250.2214611872146</v>
      </c>
    </row>
    <row r="21" spans="1:69" s="748" customFormat="1">
      <c r="A21" s="748" t="s">
        <v>792</v>
      </c>
      <c r="B21" s="750" t="s">
        <v>558</v>
      </c>
      <c r="C21" s="760"/>
      <c r="D21" s="751">
        <v>140</v>
      </c>
      <c r="E21" s="752">
        <v>5.49</v>
      </c>
      <c r="F21" s="752">
        <v>0</v>
      </c>
      <c r="G21" s="752"/>
      <c r="H21" s="752"/>
      <c r="I21" s="752">
        <v>0</v>
      </c>
      <c r="J21" s="752"/>
      <c r="K21" s="752"/>
      <c r="L21" s="752"/>
      <c r="M21" s="752">
        <v>0</v>
      </c>
      <c r="N21" s="752"/>
      <c r="O21" s="752">
        <v>0</v>
      </c>
      <c r="P21" s="752">
        <v>0</v>
      </c>
      <c r="Q21" s="752">
        <v>0</v>
      </c>
      <c r="R21" s="752">
        <v>0</v>
      </c>
      <c r="S21" s="752">
        <v>0</v>
      </c>
      <c r="T21" s="752"/>
      <c r="U21" s="752">
        <v>0</v>
      </c>
      <c r="V21" s="752">
        <v>0</v>
      </c>
      <c r="W21" s="752">
        <v>0</v>
      </c>
      <c r="X21" s="759">
        <v>0</v>
      </c>
      <c r="Z21" s="773">
        <v>18642.443749999995</v>
      </c>
      <c r="AA21" s="771">
        <v>204987603.1812824</v>
      </c>
      <c r="AB21" s="771">
        <v>0</v>
      </c>
      <c r="AC21" s="771">
        <v>0</v>
      </c>
      <c r="AD21" s="771">
        <v>0</v>
      </c>
      <c r="AE21" s="771">
        <v>0</v>
      </c>
      <c r="AF21" s="771">
        <v>0</v>
      </c>
      <c r="AG21" s="771">
        <v>0</v>
      </c>
      <c r="AH21" s="771">
        <v>0</v>
      </c>
      <c r="AI21" s="771">
        <v>0</v>
      </c>
      <c r="AJ21" s="771">
        <v>0</v>
      </c>
      <c r="AK21" s="771">
        <v>0</v>
      </c>
      <c r="AL21" s="771">
        <v>0</v>
      </c>
      <c r="AM21" s="771">
        <v>0</v>
      </c>
      <c r="AN21" s="771">
        <v>0</v>
      </c>
      <c r="AO21" s="771">
        <v>0</v>
      </c>
      <c r="AP21" s="771">
        <v>0</v>
      </c>
      <c r="AQ21" s="771">
        <v>0</v>
      </c>
      <c r="AR21" s="771">
        <v>0</v>
      </c>
      <c r="AS21" s="771">
        <v>0</v>
      </c>
      <c r="AT21" s="772">
        <v>0</v>
      </c>
      <c r="AU21" s="777"/>
      <c r="AV21" s="755">
        <f t="shared" si="0"/>
        <v>2609942.1249999991</v>
      </c>
      <c r="AW21" s="749">
        <f t="shared" si="1"/>
        <v>11253819.414652405</v>
      </c>
      <c r="AX21" s="749">
        <f t="shared" si="1"/>
        <v>0</v>
      </c>
      <c r="AY21" s="749">
        <f t="shared" si="1"/>
        <v>0</v>
      </c>
      <c r="AZ21" s="749">
        <f t="shared" si="1"/>
        <v>0</v>
      </c>
      <c r="BA21" s="749">
        <f t="shared" si="1"/>
        <v>0</v>
      </c>
      <c r="BB21" s="749">
        <f t="shared" si="1"/>
        <v>0</v>
      </c>
      <c r="BC21" s="749">
        <f t="shared" si="1"/>
        <v>0</v>
      </c>
      <c r="BD21" s="749">
        <f t="shared" si="1"/>
        <v>0</v>
      </c>
      <c r="BE21" s="749">
        <f t="shared" si="2"/>
        <v>0</v>
      </c>
      <c r="BF21" s="749">
        <f t="shared" si="2"/>
        <v>0</v>
      </c>
      <c r="BG21" s="749">
        <f t="shared" si="2"/>
        <v>0</v>
      </c>
      <c r="BH21" s="749">
        <f t="shared" si="2"/>
        <v>0</v>
      </c>
      <c r="BI21" s="756">
        <f t="shared" si="3"/>
        <v>0</v>
      </c>
      <c r="BJ21" s="756">
        <f t="shared" si="3"/>
        <v>0</v>
      </c>
      <c r="BK21" s="756">
        <f t="shared" si="3"/>
        <v>0</v>
      </c>
      <c r="BL21" s="756">
        <f t="shared" si="3"/>
        <v>0</v>
      </c>
      <c r="BM21" s="756">
        <f t="shared" si="3"/>
        <v>0</v>
      </c>
      <c r="BN21" s="756">
        <f t="shared" si="3"/>
        <v>0</v>
      </c>
      <c r="BO21" s="756">
        <f t="shared" si="3"/>
        <v>0</v>
      </c>
      <c r="BP21" s="756">
        <f t="shared" si="3"/>
        <v>0</v>
      </c>
      <c r="BQ21" s="757">
        <f t="shared" si="4"/>
        <v>13863761.539652403</v>
      </c>
    </row>
    <row r="22" spans="1:69" s="748" customFormat="1">
      <c r="A22" s="748" t="s">
        <v>793</v>
      </c>
      <c r="B22" s="750" t="s">
        <v>559</v>
      </c>
      <c r="C22" s="760"/>
      <c r="D22" s="751">
        <v>120</v>
      </c>
      <c r="E22" s="752">
        <v>4.21</v>
      </c>
      <c r="F22" s="752">
        <v>0</v>
      </c>
      <c r="G22" s="752"/>
      <c r="H22" s="752"/>
      <c r="I22" s="752">
        <v>0</v>
      </c>
      <c r="J22" s="752"/>
      <c r="K22" s="752"/>
      <c r="L22" s="752"/>
      <c r="M22" s="752">
        <v>0</v>
      </c>
      <c r="N22" s="752"/>
      <c r="O22" s="752">
        <v>0</v>
      </c>
      <c r="P22" s="752">
        <v>0</v>
      </c>
      <c r="Q22" s="752">
        <v>0</v>
      </c>
      <c r="R22" s="752">
        <v>0</v>
      </c>
      <c r="S22" s="752">
        <v>0</v>
      </c>
      <c r="T22" s="752"/>
      <c r="U22" s="752">
        <v>0</v>
      </c>
      <c r="V22" s="752">
        <v>0</v>
      </c>
      <c r="W22" s="752">
        <v>0</v>
      </c>
      <c r="X22" s="759">
        <v>0</v>
      </c>
      <c r="Z22" s="773">
        <v>5552.5974999999989</v>
      </c>
      <c r="AA22" s="771">
        <v>75430097.002991974</v>
      </c>
      <c r="AB22" s="771">
        <v>0</v>
      </c>
      <c r="AC22" s="771">
        <v>0</v>
      </c>
      <c r="AD22" s="771">
        <v>0</v>
      </c>
      <c r="AE22" s="771">
        <v>0</v>
      </c>
      <c r="AF22" s="771">
        <v>0</v>
      </c>
      <c r="AG22" s="771">
        <v>0</v>
      </c>
      <c r="AH22" s="771">
        <v>0</v>
      </c>
      <c r="AI22" s="771">
        <v>0</v>
      </c>
      <c r="AJ22" s="771">
        <v>0</v>
      </c>
      <c r="AK22" s="771">
        <v>0</v>
      </c>
      <c r="AL22" s="771">
        <v>0</v>
      </c>
      <c r="AM22" s="771">
        <v>0</v>
      </c>
      <c r="AN22" s="771">
        <v>0</v>
      </c>
      <c r="AO22" s="771">
        <v>0</v>
      </c>
      <c r="AP22" s="771">
        <v>0</v>
      </c>
      <c r="AQ22" s="771">
        <v>0</v>
      </c>
      <c r="AR22" s="771">
        <v>0</v>
      </c>
      <c r="AS22" s="771">
        <v>0</v>
      </c>
      <c r="AT22" s="772">
        <v>0</v>
      </c>
      <c r="AU22" s="777"/>
      <c r="AV22" s="755">
        <f t="shared" si="0"/>
        <v>666311.69999999984</v>
      </c>
      <c r="AW22" s="749">
        <f t="shared" ref="AW22:BD52" si="5">E22/100*AA22</f>
        <v>3175607.0838259622</v>
      </c>
      <c r="AX22" s="749">
        <f t="shared" si="5"/>
        <v>0</v>
      </c>
      <c r="AY22" s="749">
        <f t="shared" si="5"/>
        <v>0</v>
      </c>
      <c r="AZ22" s="749">
        <f t="shared" si="5"/>
        <v>0</v>
      </c>
      <c r="BA22" s="749">
        <f t="shared" si="5"/>
        <v>0</v>
      </c>
      <c r="BB22" s="749">
        <f t="shared" si="5"/>
        <v>0</v>
      </c>
      <c r="BC22" s="749">
        <f t="shared" si="5"/>
        <v>0</v>
      </c>
      <c r="BD22" s="749">
        <f t="shared" si="5"/>
        <v>0</v>
      </c>
      <c r="BE22" s="749">
        <f t="shared" ref="BE22:BH52" si="6">M22*AI22</f>
        <v>0</v>
      </c>
      <c r="BF22" s="749">
        <f t="shared" si="6"/>
        <v>0</v>
      </c>
      <c r="BG22" s="749">
        <f t="shared" si="6"/>
        <v>0</v>
      </c>
      <c r="BH22" s="749">
        <f t="shared" si="6"/>
        <v>0</v>
      </c>
      <c r="BI22" s="756">
        <f t="shared" ref="BI22:BP52" si="7">Q22/100*AM22</f>
        <v>0</v>
      </c>
      <c r="BJ22" s="756">
        <f t="shared" si="7"/>
        <v>0</v>
      </c>
      <c r="BK22" s="756">
        <f t="shared" si="7"/>
        <v>0</v>
      </c>
      <c r="BL22" s="756">
        <f t="shared" si="7"/>
        <v>0</v>
      </c>
      <c r="BM22" s="756">
        <f t="shared" si="7"/>
        <v>0</v>
      </c>
      <c r="BN22" s="756">
        <f t="shared" si="7"/>
        <v>0</v>
      </c>
      <c r="BO22" s="756">
        <f t="shared" si="7"/>
        <v>0</v>
      </c>
      <c r="BP22" s="756">
        <f t="shared" si="7"/>
        <v>0</v>
      </c>
      <c r="BQ22" s="757">
        <f t="shared" si="4"/>
        <v>3841918.7838259619</v>
      </c>
    </row>
    <row r="23" spans="1:69" s="748" customFormat="1">
      <c r="A23" s="748" t="s">
        <v>794</v>
      </c>
      <c r="B23" s="750" t="s">
        <v>560</v>
      </c>
      <c r="C23" s="760"/>
      <c r="D23" s="751">
        <v>140</v>
      </c>
      <c r="E23" s="752">
        <v>0</v>
      </c>
      <c r="F23" s="752">
        <v>8.27</v>
      </c>
      <c r="G23" s="752"/>
      <c r="H23" s="752"/>
      <c r="I23" s="752">
        <v>2.1800000000000002</v>
      </c>
      <c r="J23" s="752"/>
      <c r="K23" s="752"/>
      <c r="L23" s="752"/>
      <c r="M23" s="752">
        <v>0</v>
      </c>
      <c r="N23" s="752"/>
      <c r="O23" s="752">
        <v>0</v>
      </c>
      <c r="P23" s="752">
        <v>0</v>
      </c>
      <c r="Q23" s="752">
        <v>0</v>
      </c>
      <c r="R23" s="752">
        <v>0</v>
      </c>
      <c r="S23" s="752">
        <v>0</v>
      </c>
      <c r="T23" s="752"/>
      <c r="U23" s="752">
        <v>0</v>
      </c>
      <c r="V23" s="752">
        <v>0</v>
      </c>
      <c r="W23" s="752">
        <v>0</v>
      </c>
      <c r="X23" s="759">
        <v>0</v>
      </c>
      <c r="Z23" s="773">
        <v>8807.8333333333339</v>
      </c>
      <c r="AA23" s="771">
        <v>0</v>
      </c>
      <c r="AB23" s="771">
        <v>75569056.506655067</v>
      </c>
      <c r="AC23" s="771">
        <v>0</v>
      </c>
      <c r="AD23" s="771">
        <v>0</v>
      </c>
      <c r="AE23" s="771">
        <v>53627319.140604436</v>
      </c>
      <c r="AF23" s="771">
        <v>0</v>
      </c>
      <c r="AG23" s="771">
        <v>0</v>
      </c>
      <c r="AH23" s="771">
        <v>0</v>
      </c>
      <c r="AI23" s="771">
        <v>0</v>
      </c>
      <c r="AJ23" s="771">
        <v>0</v>
      </c>
      <c r="AK23" s="771">
        <v>0</v>
      </c>
      <c r="AL23" s="771">
        <v>0</v>
      </c>
      <c r="AM23" s="771">
        <v>0</v>
      </c>
      <c r="AN23" s="771">
        <v>0</v>
      </c>
      <c r="AO23" s="771">
        <v>0</v>
      </c>
      <c r="AP23" s="771">
        <v>0</v>
      </c>
      <c r="AQ23" s="771">
        <v>0</v>
      </c>
      <c r="AR23" s="771">
        <v>0</v>
      </c>
      <c r="AS23" s="771">
        <v>0</v>
      </c>
      <c r="AT23" s="772">
        <v>0</v>
      </c>
      <c r="AU23" s="777"/>
      <c r="AV23" s="755">
        <f t="shared" si="0"/>
        <v>1233096.6666666667</v>
      </c>
      <c r="AW23" s="749">
        <f t="shared" si="5"/>
        <v>0</v>
      </c>
      <c r="AX23" s="749">
        <f t="shared" si="5"/>
        <v>6249560.9731003735</v>
      </c>
      <c r="AY23" s="749">
        <f t="shared" si="5"/>
        <v>0</v>
      </c>
      <c r="AZ23" s="749">
        <f t="shared" si="5"/>
        <v>0</v>
      </c>
      <c r="BA23" s="749">
        <f t="shared" si="5"/>
        <v>1169075.5572651767</v>
      </c>
      <c r="BB23" s="749">
        <f t="shared" si="5"/>
        <v>0</v>
      </c>
      <c r="BC23" s="749">
        <f t="shared" si="5"/>
        <v>0</v>
      </c>
      <c r="BD23" s="749">
        <f t="shared" si="5"/>
        <v>0</v>
      </c>
      <c r="BE23" s="749">
        <f t="shared" si="6"/>
        <v>0</v>
      </c>
      <c r="BF23" s="749">
        <f t="shared" si="6"/>
        <v>0</v>
      </c>
      <c r="BG23" s="749">
        <f t="shared" si="6"/>
        <v>0</v>
      </c>
      <c r="BH23" s="749">
        <f t="shared" si="6"/>
        <v>0</v>
      </c>
      <c r="BI23" s="756">
        <f t="shared" si="7"/>
        <v>0</v>
      </c>
      <c r="BJ23" s="756">
        <f t="shared" si="7"/>
        <v>0</v>
      </c>
      <c r="BK23" s="756">
        <f t="shared" si="7"/>
        <v>0</v>
      </c>
      <c r="BL23" s="756">
        <f t="shared" si="7"/>
        <v>0</v>
      </c>
      <c r="BM23" s="756">
        <f t="shared" si="7"/>
        <v>0</v>
      </c>
      <c r="BN23" s="756">
        <f t="shared" si="7"/>
        <v>0</v>
      </c>
      <c r="BO23" s="756">
        <f t="shared" si="7"/>
        <v>0</v>
      </c>
      <c r="BP23" s="756">
        <f t="shared" si="7"/>
        <v>0</v>
      </c>
      <c r="BQ23" s="757">
        <f t="shared" si="4"/>
        <v>8651733.1970322169</v>
      </c>
    </row>
    <row r="24" spans="1:69" s="748" customFormat="1">
      <c r="A24" s="748" t="s">
        <v>795</v>
      </c>
      <c r="B24" s="750" t="s">
        <v>561</v>
      </c>
      <c r="C24" s="760"/>
      <c r="D24" s="751">
        <v>120</v>
      </c>
      <c r="E24" s="752">
        <v>0</v>
      </c>
      <c r="F24" s="752">
        <v>6</v>
      </c>
      <c r="G24" s="752"/>
      <c r="H24" s="752"/>
      <c r="I24" s="752">
        <v>1.63</v>
      </c>
      <c r="J24" s="752"/>
      <c r="K24" s="752"/>
      <c r="L24" s="752"/>
      <c r="M24" s="752">
        <v>0</v>
      </c>
      <c r="N24" s="752"/>
      <c r="O24" s="752">
        <v>0</v>
      </c>
      <c r="P24" s="752">
        <v>0</v>
      </c>
      <c r="Q24" s="752">
        <v>0</v>
      </c>
      <c r="R24" s="752">
        <v>0</v>
      </c>
      <c r="S24" s="752">
        <v>0</v>
      </c>
      <c r="T24" s="752"/>
      <c r="U24" s="752">
        <v>0</v>
      </c>
      <c r="V24" s="752">
        <v>0</v>
      </c>
      <c r="W24" s="752">
        <v>0</v>
      </c>
      <c r="X24" s="759">
        <v>0</v>
      </c>
      <c r="Z24" s="773">
        <v>1236.5833333333333</v>
      </c>
      <c r="AA24" s="771">
        <v>0</v>
      </c>
      <c r="AB24" s="771">
        <v>12370078.123355791</v>
      </c>
      <c r="AC24" s="771">
        <v>0</v>
      </c>
      <c r="AD24" s="771">
        <v>0</v>
      </c>
      <c r="AE24" s="771">
        <v>7203723.8271791339</v>
      </c>
      <c r="AF24" s="771">
        <v>0</v>
      </c>
      <c r="AG24" s="771">
        <v>0</v>
      </c>
      <c r="AH24" s="771">
        <v>0</v>
      </c>
      <c r="AI24" s="771">
        <v>0</v>
      </c>
      <c r="AJ24" s="771">
        <v>0</v>
      </c>
      <c r="AK24" s="771">
        <v>0</v>
      </c>
      <c r="AL24" s="771">
        <v>0</v>
      </c>
      <c r="AM24" s="771">
        <v>0</v>
      </c>
      <c r="AN24" s="771">
        <v>0</v>
      </c>
      <c r="AO24" s="771">
        <v>0</v>
      </c>
      <c r="AP24" s="771">
        <v>0</v>
      </c>
      <c r="AQ24" s="771">
        <v>0</v>
      </c>
      <c r="AR24" s="771">
        <v>0</v>
      </c>
      <c r="AS24" s="771">
        <v>0</v>
      </c>
      <c r="AT24" s="772">
        <v>0</v>
      </c>
      <c r="AU24" s="777"/>
      <c r="AV24" s="755">
        <f t="shared" si="0"/>
        <v>148390</v>
      </c>
      <c r="AW24" s="749">
        <f t="shared" si="5"/>
        <v>0</v>
      </c>
      <c r="AX24" s="749">
        <f t="shared" si="5"/>
        <v>742204.68740134744</v>
      </c>
      <c r="AY24" s="749">
        <f t="shared" si="5"/>
        <v>0</v>
      </c>
      <c r="AZ24" s="749">
        <f t="shared" si="5"/>
        <v>0</v>
      </c>
      <c r="BA24" s="749">
        <f t="shared" si="5"/>
        <v>117420.69838301987</v>
      </c>
      <c r="BB24" s="749">
        <f t="shared" si="5"/>
        <v>0</v>
      </c>
      <c r="BC24" s="749">
        <f t="shared" si="5"/>
        <v>0</v>
      </c>
      <c r="BD24" s="749">
        <f t="shared" si="5"/>
        <v>0</v>
      </c>
      <c r="BE24" s="749">
        <f t="shared" si="6"/>
        <v>0</v>
      </c>
      <c r="BF24" s="749">
        <f t="shared" si="6"/>
        <v>0</v>
      </c>
      <c r="BG24" s="749">
        <f t="shared" si="6"/>
        <v>0</v>
      </c>
      <c r="BH24" s="749">
        <f t="shared" si="6"/>
        <v>0</v>
      </c>
      <c r="BI24" s="756">
        <f t="shared" si="7"/>
        <v>0</v>
      </c>
      <c r="BJ24" s="756">
        <f t="shared" si="7"/>
        <v>0</v>
      </c>
      <c r="BK24" s="756">
        <f t="shared" si="7"/>
        <v>0</v>
      </c>
      <c r="BL24" s="756">
        <f t="shared" si="7"/>
        <v>0</v>
      </c>
      <c r="BM24" s="756">
        <f t="shared" si="7"/>
        <v>0</v>
      </c>
      <c r="BN24" s="756">
        <f t="shared" si="7"/>
        <v>0</v>
      </c>
      <c r="BO24" s="756">
        <f t="shared" si="7"/>
        <v>0</v>
      </c>
      <c r="BP24" s="756">
        <f t="shared" si="7"/>
        <v>0</v>
      </c>
      <c r="BQ24" s="757">
        <f t="shared" si="4"/>
        <v>1008015.3857843673</v>
      </c>
    </row>
    <row r="25" spans="1:69" s="748" customFormat="1">
      <c r="A25" s="748" t="s">
        <v>796</v>
      </c>
      <c r="B25" s="750" t="s">
        <v>562</v>
      </c>
      <c r="C25" s="760"/>
      <c r="D25" s="751">
        <v>140</v>
      </c>
      <c r="E25" s="752">
        <v>0</v>
      </c>
      <c r="F25" s="752">
        <v>8.27</v>
      </c>
      <c r="G25" s="752"/>
      <c r="H25" s="752"/>
      <c r="I25" s="752">
        <v>2.1800000000000002</v>
      </c>
      <c r="J25" s="752"/>
      <c r="K25" s="752"/>
      <c r="L25" s="752"/>
      <c r="M25" s="752">
        <v>0</v>
      </c>
      <c r="N25" s="752"/>
      <c r="O25" s="752">
        <v>0</v>
      </c>
      <c r="P25" s="752">
        <v>0</v>
      </c>
      <c r="Q25" s="752">
        <v>0</v>
      </c>
      <c r="R25" s="752">
        <v>0</v>
      </c>
      <c r="S25" s="752">
        <v>0</v>
      </c>
      <c r="T25" s="752"/>
      <c r="U25" s="752">
        <v>0</v>
      </c>
      <c r="V25" s="752">
        <v>0</v>
      </c>
      <c r="W25" s="752">
        <v>0</v>
      </c>
      <c r="X25" s="759">
        <v>0</v>
      </c>
      <c r="Z25" s="773">
        <v>4039.833333333333</v>
      </c>
      <c r="AA25" s="771">
        <v>0</v>
      </c>
      <c r="AB25" s="771">
        <v>36456058.908441335</v>
      </c>
      <c r="AC25" s="771">
        <v>0</v>
      </c>
      <c r="AD25" s="771">
        <v>0</v>
      </c>
      <c r="AE25" s="771">
        <v>21872712.50958392</v>
      </c>
      <c r="AF25" s="771">
        <v>0</v>
      </c>
      <c r="AG25" s="771">
        <v>0</v>
      </c>
      <c r="AH25" s="771">
        <v>0</v>
      </c>
      <c r="AI25" s="771">
        <v>0</v>
      </c>
      <c r="AJ25" s="771">
        <v>0</v>
      </c>
      <c r="AK25" s="771">
        <v>0</v>
      </c>
      <c r="AL25" s="771">
        <v>0</v>
      </c>
      <c r="AM25" s="771">
        <v>0</v>
      </c>
      <c r="AN25" s="771">
        <v>0</v>
      </c>
      <c r="AO25" s="771">
        <v>0</v>
      </c>
      <c r="AP25" s="771">
        <v>0</v>
      </c>
      <c r="AQ25" s="771">
        <v>0</v>
      </c>
      <c r="AR25" s="771">
        <v>0</v>
      </c>
      <c r="AS25" s="771">
        <v>0</v>
      </c>
      <c r="AT25" s="772">
        <v>0</v>
      </c>
      <c r="AU25" s="777"/>
      <c r="AV25" s="755">
        <f t="shared" si="0"/>
        <v>565576.66666666663</v>
      </c>
      <c r="AW25" s="749">
        <f t="shared" si="5"/>
        <v>0</v>
      </c>
      <c r="AX25" s="749">
        <f t="shared" si="5"/>
        <v>3014916.0717280982</v>
      </c>
      <c r="AY25" s="749">
        <f t="shared" si="5"/>
        <v>0</v>
      </c>
      <c r="AZ25" s="749">
        <f t="shared" si="5"/>
        <v>0</v>
      </c>
      <c r="BA25" s="749">
        <f t="shared" si="5"/>
        <v>476825.13270892948</v>
      </c>
      <c r="BB25" s="749">
        <f t="shared" si="5"/>
        <v>0</v>
      </c>
      <c r="BC25" s="749">
        <f t="shared" si="5"/>
        <v>0</v>
      </c>
      <c r="BD25" s="749">
        <f t="shared" si="5"/>
        <v>0</v>
      </c>
      <c r="BE25" s="749">
        <f t="shared" si="6"/>
        <v>0</v>
      </c>
      <c r="BF25" s="749">
        <f t="shared" si="6"/>
        <v>0</v>
      </c>
      <c r="BG25" s="749">
        <f t="shared" si="6"/>
        <v>0</v>
      </c>
      <c r="BH25" s="749">
        <f t="shared" si="6"/>
        <v>0</v>
      </c>
      <c r="BI25" s="756">
        <f t="shared" si="7"/>
        <v>0</v>
      </c>
      <c r="BJ25" s="756">
        <f t="shared" si="7"/>
        <v>0</v>
      </c>
      <c r="BK25" s="756">
        <f t="shared" si="7"/>
        <v>0</v>
      </c>
      <c r="BL25" s="756">
        <f t="shared" si="7"/>
        <v>0</v>
      </c>
      <c r="BM25" s="756">
        <f t="shared" si="7"/>
        <v>0</v>
      </c>
      <c r="BN25" s="756">
        <f t="shared" si="7"/>
        <v>0</v>
      </c>
      <c r="BO25" s="756">
        <f t="shared" si="7"/>
        <v>0</v>
      </c>
      <c r="BP25" s="756">
        <f t="shared" si="7"/>
        <v>0</v>
      </c>
      <c r="BQ25" s="757">
        <f t="shared" si="4"/>
        <v>4057317.8711036942</v>
      </c>
    </row>
    <row r="26" spans="1:69" s="748" customFormat="1">
      <c r="A26" s="748" t="s">
        <v>797</v>
      </c>
      <c r="B26" s="750" t="s">
        <v>563</v>
      </c>
      <c r="C26" s="760"/>
      <c r="D26" s="751">
        <v>120</v>
      </c>
      <c r="E26" s="752">
        <v>0</v>
      </c>
      <c r="F26" s="752">
        <v>6</v>
      </c>
      <c r="G26" s="752"/>
      <c r="H26" s="752"/>
      <c r="I26" s="752">
        <v>1.63</v>
      </c>
      <c r="J26" s="752"/>
      <c r="K26" s="752"/>
      <c r="L26" s="752"/>
      <c r="M26" s="752">
        <v>0</v>
      </c>
      <c r="N26" s="752"/>
      <c r="O26" s="752">
        <v>0</v>
      </c>
      <c r="P26" s="752">
        <v>0</v>
      </c>
      <c r="Q26" s="752">
        <v>0</v>
      </c>
      <c r="R26" s="752">
        <v>0</v>
      </c>
      <c r="S26" s="752">
        <v>0</v>
      </c>
      <c r="T26" s="752"/>
      <c r="U26" s="752">
        <v>0</v>
      </c>
      <c r="V26" s="752">
        <v>0</v>
      </c>
      <c r="W26" s="752">
        <v>0</v>
      </c>
      <c r="X26" s="759">
        <v>0</v>
      </c>
      <c r="Z26" s="773">
        <v>2063.0833333333335</v>
      </c>
      <c r="AA26" s="771">
        <v>0</v>
      </c>
      <c r="AB26" s="771">
        <v>24804874.755798846</v>
      </c>
      <c r="AC26" s="771">
        <v>0</v>
      </c>
      <c r="AD26" s="771">
        <v>0</v>
      </c>
      <c r="AE26" s="771">
        <v>13941606.916480899</v>
      </c>
      <c r="AF26" s="771">
        <v>0</v>
      </c>
      <c r="AG26" s="771">
        <v>0</v>
      </c>
      <c r="AH26" s="771">
        <v>0</v>
      </c>
      <c r="AI26" s="771">
        <v>0</v>
      </c>
      <c r="AJ26" s="771">
        <v>0</v>
      </c>
      <c r="AK26" s="771">
        <v>0</v>
      </c>
      <c r="AL26" s="771">
        <v>0</v>
      </c>
      <c r="AM26" s="771">
        <v>0</v>
      </c>
      <c r="AN26" s="771">
        <v>0</v>
      </c>
      <c r="AO26" s="771">
        <v>0</v>
      </c>
      <c r="AP26" s="771">
        <v>0</v>
      </c>
      <c r="AQ26" s="771">
        <v>0</v>
      </c>
      <c r="AR26" s="771">
        <v>0</v>
      </c>
      <c r="AS26" s="771">
        <v>0</v>
      </c>
      <c r="AT26" s="772">
        <v>0</v>
      </c>
      <c r="AU26" s="777"/>
      <c r="AV26" s="755">
        <f t="shared" si="0"/>
        <v>247570.00000000003</v>
      </c>
      <c r="AW26" s="749">
        <f t="shared" si="5"/>
        <v>0</v>
      </c>
      <c r="AX26" s="749">
        <f t="shared" si="5"/>
        <v>1488292.4853479308</v>
      </c>
      <c r="AY26" s="749">
        <f t="shared" si="5"/>
        <v>0</v>
      </c>
      <c r="AZ26" s="749">
        <f t="shared" si="5"/>
        <v>0</v>
      </c>
      <c r="BA26" s="749">
        <f t="shared" si="5"/>
        <v>227248.19273863864</v>
      </c>
      <c r="BB26" s="749">
        <f t="shared" si="5"/>
        <v>0</v>
      </c>
      <c r="BC26" s="749">
        <f t="shared" si="5"/>
        <v>0</v>
      </c>
      <c r="BD26" s="749">
        <f t="shared" si="5"/>
        <v>0</v>
      </c>
      <c r="BE26" s="749">
        <f t="shared" si="6"/>
        <v>0</v>
      </c>
      <c r="BF26" s="749">
        <f t="shared" si="6"/>
        <v>0</v>
      </c>
      <c r="BG26" s="749">
        <f t="shared" si="6"/>
        <v>0</v>
      </c>
      <c r="BH26" s="749">
        <f t="shared" si="6"/>
        <v>0</v>
      </c>
      <c r="BI26" s="756">
        <f t="shared" si="7"/>
        <v>0</v>
      </c>
      <c r="BJ26" s="756">
        <f t="shared" si="7"/>
        <v>0</v>
      </c>
      <c r="BK26" s="756">
        <f t="shared" si="7"/>
        <v>0</v>
      </c>
      <c r="BL26" s="756">
        <f t="shared" si="7"/>
        <v>0</v>
      </c>
      <c r="BM26" s="756">
        <f t="shared" si="7"/>
        <v>0</v>
      </c>
      <c r="BN26" s="756">
        <f t="shared" si="7"/>
        <v>0</v>
      </c>
      <c r="BO26" s="756">
        <f t="shared" si="7"/>
        <v>0</v>
      </c>
      <c r="BP26" s="756">
        <f t="shared" si="7"/>
        <v>0</v>
      </c>
      <c r="BQ26" s="757">
        <f t="shared" si="4"/>
        <v>1963110.6780865695</v>
      </c>
    </row>
    <row r="27" spans="1:69" s="748" customFormat="1">
      <c r="A27" s="748" t="s">
        <v>798</v>
      </c>
      <c r="B27" s="750" t="s">
        <v>564</v>
      </c>
      <c r="C27" s="760"/>
      <c r="D27" s="751">
        <v>140</v>
      </c>
      <c r="E27" s="752">
        <v>0</v>
      </c>
      <c r="F27" s="752">
        <v>0</v>
      </c>
      <c r="G27" s="752"/>
      <c r="H27" s="752"/>
      <c r="I27" s="752">
        <v>0</v>
      </c>
      <c r="J27" s="752"/>
      <c r="K27" s="752"/>
      <c r="L27" s="752"/>
      <c r="M27" s="752">
        <v>0</v>
      </c>
      <c r="N27" s="752"/>
      <c r="O27" s="752">
        <v>0</v>
      </c>
      <c r="P27" s="752">
        <v>0</v>
      </c>
      <c r="Q27" s="752">
        <v>10.08</v>
      </c>
      <c r="R27" s="752">
        <v>7.05</v>
      </c>
      <c r="S27" s="752">
        <v>2.77</v>
      </c>
      <c r="T27" s="752"/>
      <c r="U27" s="752">
        <v>10.08</v>
      </c>
      <c r="V27" s="752">
        <v>7.05</v>
      </c>
      <c r="W27" s="752">
        <v>2.77</v>
      </c>
      <c r="X27" s="759">
        <v>0</v>
      </c>
      <c r="Z27" s="773">
        <v>23.083333333333336</v>
      </c>
      <c r="AA27" s="771">
        <v>0</v>
      </c>
      <c r="AB27" s="771">
        <v>0</v>
      </c>
      <c r="AC27" s="771">
        <v>0</v>
      </c>
      <c r="AD27" s="771">
        <v>0</v>
      </c>
      <c r="AE27" s="771">
        <v>0</v>
      </c>
      <c r="AF27" s="771">
        <v>0</v>
      </c>
      <c r="AG27" s="771">
        <v>0</v>
      </c>
      <c r="AH27" s="771">
        <v>0</v>
      </c>
      <c r="AI27" s="771">
        <v>0</v>
      </c>
      <c r="AJ27" s="771">
        <v>0</v>
      </c>
      <c r="AK27" s="771">
        <v>0</v>
      </c>
      <c r="AL27" s="771">
        <v>0</v>
      </c>
      <c r="AM27" s="771">
        <v>674566.29681080917</v>
      </c>
      <c r="AN27" s="771">
        <v>271194.09257587208</v>
      </c>
      <c r="AO27" s="771">
        <v>779954.60715799429</v>
      </c>
      <c r="AP27" s="771">
        <v>0</v>
      </c>
      <c r="AQ27" s="771">
        <v>674566.29681080917</v>
      </c>
      <c r="AR27" s="771">
        <v>271194.09257587208</v>
      </c>
      <c r="AS27" s="771">
        <v>779954.60715799429</v>
      </c>
      <c r="AT27" s="772">
        <v>0</v>
      </c>
      <c r="AU27" s="777"/>
      <c r="AV27" s="755">
        <f t="shared" si="0"/>
        <v>3231.666666666667</v>
      </c>
      <c r="AW27" s="749">
        <f t="shared" si="5"/>
        <v>0</v>
      </c>
      <c r="AX27" s="749">
        <f t="shared" si="5"/>
        <v>0</v>
      </c>
      <c r="AY27" s="749">
        <f t="shared" si="5"/>
        <v>0</v>
      </c>
      <c r="AZ27" s="749">
        <f t="shared" si="5"/>
        <v>0</v>
      </c>
      <c r="BA27" s="749">
        <f t="shared" si="5"/>
        <v>0</v>
      </c>
      <c r="BB27" s="749">
        <f t="shared" si="5"/>
        <v>0</v>
      </c>
      <c r="BC27" s="749">
        <f t="shared" si="5"/>
        <v>0</v>
      </c>
      <c r="BD27" s="749">
        <f t="shared" si="5"/>
        <v>0</v>
      </c>
      <c r="BE27" s="749">
        <f t="shared" si="6"/>
        <v>0</v>
      </c>
      <c r="BF27" s="749">
        <f t="shared" si="6"/>
        <v>0</v>
      </c>
      <c r="BG27" s="749">
        <f t="shared" si="6"/>
        <v>0</v>
      </c>
      <c r="BH27" s="749">
        <f t="shared" si="6"/>
        <v>0</v>
      </c>
      <c r="BI27" s="756">
        <f t="shared" si="7"/>
        <v>67996.282718529561</v>
      </c>
      <c r="BJ27" s="756">
        <f t="shared" si="7"/>
        <v>19119.183526598979</v>
      </c>
      <c r="BK27" s="756">
        <f t="shared" si="7"/>
        <v>21604.742618276439</v>
      </c>
      <c r="BL27" s="756">
        <f t="shared" si="7"/>
        <v>0</v>
      </c>
      <c r="BM27" s="756">
        <f t="shared" si="7"/>
        <v>67996.282718529561</v>
      </c>
      <c r="BN27" s="756">
        <f t="shared" si="7"/>
        <v>19119.183526598979</v>
      </c>
      <c r="BO27" s="756">
        <f t="shared" si="7"/>
        <v>21604.742618276439</v>
      </c>
      <c r="BP27" s="756">
        <f t="shared" si="7"/>
        <v>0</v>
      </c>
      <c r="BQ27" s="757">
        <f t="shared" si="4"/>
        <v>220672.0843934766</v>
      </c>
    </row>
    <row r="28" spans="1:69" s="748" customFormat="1">
      <c r="A28" s="748" t="s">
        <v>799</v>
      </c>
      <c r="B28" s="750" t="s">
        <v>565</v>
      </c>
      <c r="C28" s="760"/>
      <c r="D28" s="751">
        <v>120</v>
      </c>
      <c r="E28" s="752">
        <v>0</v>
      </c>
      <c r="F28" s="752">
        <v>0</v>
      </c>
      <c r="G28" s="752"/>
      <c r="H28" s="752"/>
      <c r="I28" s="752">
        <v>0</v>
      </c>
      <c r="J28" s="752"/>
      <c r="K28" s="752"/>
      <c r="L28" s="752"/>
      <c r="M28" s="752">
        <v>0</v>
      </c>
      <c r="N28" s="752"/>
      <c r="O28" s="752">
        <v>0</v>
      </c>
      <c r="P28" s="752">
        <v>0</v>
      </c>
      <c r="Q28" s="752">
        <v>8.56</v>
      </c>
      <c r="R28" s="752">
        <v>5.98</v>
      </c>
      <c r="S28" s="752">
        <v>2.35</v>
      </c>
      <c r="T28" s="752"/>
      <c r="U28" s="752">
        <v>8.56</v>
      </c>
      <c r="V28" s="752">
        <v>5.98</v>
      </c>
      <c r="W28" s="752">
        <v>2.35</v>
      </c>
      <c r="X28" s="759">
        <v>0</v>
      </c>
      <c r="Z28" s="773">
        <v>6.75</v>
      </c>
      <c r="AA28" s="771">
        <v>0</v>
      </c>
      <c r="AB28" s="771">
        <v>0</v>
      </c>
      <c r="AC28" s="771">
        <v>0</v>
      </c>
      <c r="AD28" s="771">
        <v>0</v>
      </c>
      <c r="AE28" s="771">
        <v>0</v>
      </c>
      <c r="AF28" s="771">
        <v>0</v>
      </c>
      <c r="AG28" s="771">
        <v>0</v>
      </c>
      <c r="AH28" s="771">
        <v>0</v>
      </c>
      <c r="AI28" s="771">
        <v>0</v>
      </c>
      <c r="AJ28" s="771">
        <v>0</v>
      </c>
      <c r="AK28" s="771">
        <v>0</v>
      </c>
      <c r="AL28" s="771">
        <v>0</v>
      </c>
      <c r="AM28" s="771">
        <v>1234354.331992253</v>
      </c>
      <c r="AN28" s="771">
        <v>612698.16696252231</v>
      </c>
      <c r="AO28" s="771">
        <v>1202221.7449883474</v>
      </c>
      <c r="AP28" s="771">
        <v>0</v>
      </c>
      <c r="AQ28" s="771">
        <v>1234354.331992253</v>
      </c>
      <c r="AR28" s="771">
        <v>612698.16696252231</v>
      </c>
      <c r="AS28" s="771">
        <v>1202221.7449883474</v>
      </c>
      <c r="AT28" s="772">
        <v>0</v>
      </c>
      <c r="AU28" s="777"/>
      <c r="AV28" s="755">
        <f t="shared" si="0"/>
        <v>810</v>
      </c>
      <c r="AW28" s="749">
        <f t="shared" si="5"/>
        <v>0</v>
      </c>
      <c r="AX28" s="749">
        <f t="shared" si="5"/>
        <v>0</v>
      </c>
      <c r="AY28" s="749">
        <f t="shared" si="5"/>
        <v>0</v>
      </c>
      <c r="AZ28" s="749">
        <f t="shared" si="5"/>
        <v>0</v>
      </c>
      <c r="BA28" s="749">
        <f t="shared" si="5"/>
        <v>0</v>
      </c>
      <c r="BB28" s="749">
        <f t="shared" si="5"/>
        <v>0</v>
      </c>
      <c r="BC28" s="749">
        <f t="shared" si="5"/>
        <v>0</v>
      </c>
      <c r="BD28" s="749">
        <f t="shared" si="5"/>
        <v>0</v>
      </c>
      <c r="BE28" s="749">
        <f t="shared" si="6"/>
        <v>0</v>
      </c>
      <c r="BF28" s="749">
        <f t="shared" si="6"/>
        <v>0</v>
      </c>
      <c r="BG28" s="749">
        <f t="shared" si="6"/>
        <v>0</v>
      </c>
      <c r="BH28" s="749">
        <f t="shared" si="6"/>
        <v>0</v>
      </c>
      <c r="BI28" s="756">
        <f t="shared" si="7"/>
        <v>105660.73081853686</v>
      </c>
      <c r="BJ28" s="756">
        <f t="shared" si="7"/>
        <v>36639.350384358841</v>
      </c>
      <c r="BK28" s="756">
        <f t="shared" si="7"/>
        <v>28252.211007226164</v>
      </c>
      <c r="BL28" s="756">
        <f t="shared" si="7"/>
        <v>0</v>
      </c>
      <c r="BM28" s="756">
        <f t="shared" si="7"/>
        <v>105660.73081853686</v>
      </c>
      <c r="BN28" s="756">
        <f t="shared" si="7"/>
        <v>36639.350384358841</v>
      </c>
      <c r="BO28" s="756">
        <f t="shared" si="7"/>
        <v>28252.211007226164</v>
      </c>
      <c r="BP28" s="756">
        <f t="shared" si="7"/>
        <v>0</v>
      </c>
      <c r="BQ28" s="757">
        <f t="shared" si="4"/>
        <v>341914.58442024369</v>
      </c>
    </row>
    <row r="29" spans="1:69" s="748" customFormat="1">
      <c r="A29" s="748" t="s">
        <v>800</v>
      </c>
      <c r="B29" s="750" t="s">
        <v>566</v>
      </c>
      <c r="C29" s="760"/>
      <c r="D29" s="751">
        <v>140</v>
      </c>
      <c r="E29" s="752">
        <v>0</v>
      </c>
      <c r="F29" s="752">
        <v>6.51</v>
      </c>
      <c r="G29" s="752"/>
      <c r="H29" s="752"/>
      <c r="I29" s="752">
        <v>2.1800000000000002</v>
      </c>
      <c r="J29" s="752"/>
      <c r="K29" s="752"/>
      <c r="L29" s="752"/>
      <c r="M29" s="752">
        <v>0</v>
      </c>
      <c r="N29" s="752"/>
      <c r="O29" s="752">
        <v>0</v>
      </c>
      <c r="P29" s="752">
        <v>0</v>
      </c>
      <c r="Q29" s="752">
        <v>0</v>
      </c>
      <c r="R29" s="752">
        <v>0</v>
      </c>
      <c r="S29" s="752">
        <v>0</v>
      </c>
      <c r="T29" s="752"/>
      <c r="U29" s="752">
        <v>0</v>
      </c>
      <c r="V29" s="752">
        <v>0</v>
      </c>
      <c r="W29" s="752">
        <v>0</v>
      </c>
      <c r="X29" s="759">
        <v>0</v>
      </c>
      <c r="Z29" s="773">
        <v>2567.1666666666665</v>
      </c>
      <c r="AA29" s="771">
        <v>0</v>
      </c>
      <c r="AB29" s="771">
        <v>38974041.355899416</v>
      </c>
      <c r="AC29" s="771">
        <v>0</v>
      </c>
      <c r="AD29" s="771">
        <v>0</v>
      </c>
      <c r="AE29" s="771">
        <v>8891067.1033335403</v>
      </c>
      <c r="AF29" s="771">
        <v>0</v>
      </c>
      <c r="AG29" s="771">
        <v>0</v>
      </c>
      <c r="AH29" s="771">
        <v>0</v>
      </c>
      <c r="AI29" s="771">
        <v>0</v>
      </c>
      <c r="AJ29" s="771">
        <v>0</v>
      </c>
      <c r="AK29" s="771">
        <v>0</v>
      </c>
      <c r="AL29" s="771">
        <v>0</v>
      </c>
      <c r="AM29" s="771">
        <v>0</v>
      </c>
      <c r="AN29" s="771">
        <v>0</v>
      </c>
      <c r="AO29" s="771">
        <v>0</v>
      </c>
      <c r="AP29" s="771">
        <v>0</v>
      </c>
      <c r="AQ29" s="771">
        <v>0</v>
      </c>
      <c r="AR29" s="771">
        <v>0</v>
      </c>
      <c r="AS29" s="771">
        <v>0</v>
      </c>
      <c r="AT29" s="772">
        <v>0</v>
      </c>
      <c r="AU29" s="777"/>
      <c r="AV29" s="755">
        <f t="shared" si="0"/>
        <v>359403.33333333331</v>
      </c>
      <c r="AW29" s="749">
        <f t="shared" si="5"/>
        <v>0</v>
      </c>
      <c r="AX29" s="749">
        <f t="shared" si="5"/>
        <v>2537210.0922690518</v>
      </c>
      <c r="AY29" s="749">
        <f t="shared" si="5"/>
        <v>0</v>
      </c>
      <c r="AZ29" s="749">
        <f t="shared" si="5"/>
        <v>0</v>
      </c>
      <c r="BA29" s="749">
        <f t="shared" si="5"/>
        <v>193825.26285267118</v>
      </c>
      <c r="BB29" s="749">
        <f t="shared" si="5"/>
        <v>0</v>
      </c>
      <c r="BC29" s="749">
        <f t="shared" si="5"/>
        <v>0</v>
      </c>
      <c r="BD29" s="749">
        <f t="shared" si="5"/>
        <v>0</v>
      </c>
      <c r="BE29" s="749">
        <f t="shared" si="6"/>
        <v>0</v>
      </c>
      <c r="BF29" s="749">
        <f t="shared" si="6"/>
        <v>0</v>
      </c>
      <c r="BG29" s="749">
        <f t="shared" si="6"/>
        <v>0</v>
      </c>
      <c r="BH29" s="749">
        <f t="shared" si="6"/>
        <v>0</v>
      </c>
      <c r="BI29" s="756">
        <f t="shared" si="7"/>
        <v>0</v>
      </c>
      <c r="BJ29" s="756">
        <f t="shared" si="7"/>
        <v>0</v>
      </c>
      <c r="BK29" s="756">
        <f t="shared" si="7"/>
        <v>0</v>
      </c>
      <c r="BL29" s="756">
        <f t="shared" si="7"/>
        <v>0</v>
      </c>
      <c r="BM29" s="756">
        <f t="shared" si="7"/>
        <v>0</v>
      </c>
      <c r="BN29" s="756">
        <f t="shared" si="7"/>
        <v>0</v>
      </c>
      <c r="BO29" s="756">
        <f t="shared" si="7"/>
        <v>0</v>
      </c>
      <c r="BP29" s="756">
        <f t="shared" si="7"/>
        <v>0</v>
      </c>
      <c r="BQ29" s="757">
        <f t="shared" si="4"/>
        <v>3090438.6884550564</v>
      </c>
    </row>
    <row r="30" spans="1:69" s="748" customFormat="1">
      <c r="A30" s="748" t="s">
        <v>801</v>
      </c>
      <c r="B30" s="750" t="s">
        <v>567</v>
      </c>
      <c r="C30" s="760"/>
      <c r="D30" s="751">
        <v>120</v>
      </c>
      <c r="E30" s="752">
        <v>0</v>
      </c>
      <c r="F30" s="752">
        <v>5.61</v>
      </c>
      <c r="G30" s="752"/>
      <c r="H30" s="752"/>
      <c r="I30" s="752">
        <v>1.63</v>
      </c>
      <c r="J30" s="752"/>
      <c r="K30" s="752"/>
      <c r="L30" s="752"/>
      <c r="M30" s="752">
        <v>0</v>
      </c>
      <c r="N30" s="752"/>
      <c r="O30" s="752">
        <v>0</v>
      </c>
      <c r="P30" s="752">
        <v>0</v>
      </c>
      <c r="Q30" s="752">
        <v>0</v>
      </c>
      <c r="R30" s="752">
        <v>0</v>
      </c>
      <c r="S30" s="752">
        <v>0</v>
      </c>
      <c r="T30" s="752"/>
      <c r="U30" s="752">
        <v>0</v>
      </c>
      <c r="V30" s="752">
        <v>0</v>
      </c>
      <c r="W30" s="752">
        <v>0</v>
      </c>
      <c r="X30" s="759">
        <v>0</v>
      </c>
      <c r="Z30" s="773">
        <v>294.41666666666669</v>
      </c>
      <c r="AA30" s="771">
        <v>0</v>
      </c>
      <c r="AB30" s="771">
        <v>5947325.8894274719</v>
      </c>
      <c r="AC30" s="771">
        <v>0</v>
      </c>
      <c r="AD30" s="771">
        <v>0</v>
      </c>
      <c r="AE30" s="771">
        <v>1526111.0416527959</v>
      </c>
      <c r="AF30" s="771">
        <v>0</v>
      </c>
      <c r="AG30" s="771">
        <v>0</v>
      </c>
      <c r="AH30" s="771">
        <v>0</v>
      </c>
      <c r="AI30" s="771">
        <v>0</v>
      </c>
      <c r="AJ30" s="771">
        <v>0</v>
      </c>
      <c r="AK30" s="771">
        <v>0</v>
      </c>
      <c r="AL30" s="771">
        <v>0</v>
      </c>
      <c r="AM30" s="771">
        <v>0</v>
      </c>
      <c r="AN30" s="771">
        <v>0</v>
      </c>
      <c r="AO30" s="771">
        <v>0</v>
      </c>
      <c r="AP30" s="771">
        <v>0</v>
      </c>
      <c r="AQ30" s="771">
        <v>0</v>
      </c>
      <c r="AR30" s="771">
        <v>0</v>
      </c>
      <c r="AS30" s="771">
        <v>0</v>
      </c>
      <c r="AT30" s="772">
        <v>0</v>
      </c>
      <c r="AU30" s="777"/>
      <c r="AV30" s="755">
        <f t="shared" si="0"/>
        <v>35330</v>
      </c>
      <c r="AW30" s="749">
        <f t="shared" si="5"/>
        <v>0</v>
      </c>
      <c r="AX30" s="749">
        <f t="shared" si="5"/>
        <v>333644.98239688121</v>
      </c>
      <c r="AY30" s="749">
        <f t="shared" si="5"/>
        <v>0</v>
      </c>
      <c r="AZ30" s="749">
        <f t="shared" si="5"/>
        <v>0</v>
      </c>
      <c r="BA30" s="749">
        <f t="shared" si="5"/>
        <v>24875.609978940571</v>
      </c>
      <c r="BB30" s="749">
        <f t="shared" si="5"/>
        <v>0</v>
      </c>
      <c r="BC30" s="749">
        <f t="shared" si="5"/>
        <v>0</v>
      </c>
      <c r="BD30" s="749">
        <f t="shared" si="5"/>
        <v>0</v>
      </c>
      <c r="BE30" s="749">
        <f t="shared" si="6"/>
        <v>0</v>
      </c>
      <c r="BF30" s="749">
        <f t="shared" si="6"/>
        <v>0</v>
      </c>
      <c r="BG30" s="749">
        <f t="shared" si="6"/>
        <v>0</v>
      </c>
      <c r="BH30" s="749">
        <f t="shared" si="6"/>
        <v>0</v>
      </c>
      <c r="BI30" s="756">
        <f t="shared" si="7"/>
        <v>0</v>
      </c>
      <c r="BJ30" s="756">
        <f t="shared" si="7"/>
        <v>0</v>
      </c>
      <c r="BK30" s="756">
        <f t="shared" si="7"/>
        <v>0</v>
      </c>
      <c r="BL30" s="756">
        <f t="shared" si="7"/>
        <v>0</v>
      </c>
      <c r="BM30" s="756">
        <f t="shared" si="7"/>
        <v>0</v>
      </c>
      <c r="BN30" s="756">
        <f t="shared" si="7"/>
        <v>0</v>
      </c>
      <c r="BO30" s="756">
        <f t="shared" si="7"/>
        <v>0</v>
      </c>
      <c r="BP30" s="756">
        <f t="shared" si="7"/>
        <v>0</v>
      </c>
      <c r="BQ30" s="757">
        <f t="shared" si="4"/>
        <v>393850.59237582178</v>
      </c>
    </row>
    <row r="31" spans="1:69" s="748" customFormat="1">
      <c r="A31" s="748" t="s">
        <v>802</v>
      </c>
      <c r="B31" s="750" t="s">
        <v>568</v>
      </c>
      <c r="C31" s="760"/>
      <c r="D31" s="751">
        <v>140</v>
      </c>
      <c r="E31" s="752">
        <v>0</v>
      </c>
      <c r="F31" s="752">
        <v>8.27</v>
      </c>
      <c r="G31" s="752"/>
      <c r="H31" s="752"/>
      <c r="I31" s="752">
        <v>2.1800000000000002</v>
      </c>
      <c r="J31" s="752"/>
      <c r="K31" s="752"/>
      <c r="L31" s="752"/>
      <c r="M31" s="752">
        <v>0</v>
      </c>
      <c r="N31" s="752"/>
      <c r="O31" s="752">
        <v>0</v>
      </c>
      <c r="P31" s="752">
        <v>0</v>
      </c>
      <c r="Q31" s="752">
        <v>0</v>
      </c>
      <c r="R31" s="752">
        <v>0</v>
      </c>
      <c r="S31" s="752">
        <v>0</v>
      </c>
      <c r="T31" s="752"/>
      <c r="U31" s="752">
        <v>0</v>
      </c>
      <c r="V31" s="752">
        <v>0</v>
      </c>
      <c r="W31" s="752">
        <v>0</v>
      </c>
      <c r="X31" s="759">
        <v>0</v>
      </c>
      <c r="Z31" s="773">
        <v>2</v>
      </c>
      <c r="AA31" s="771">
        <v>0</v>
      </c>
      <c r="AB31" s="771">
        <v>1028007.8666707557</v>
      </c>
      <c r="AC31" s="771">
        <v>0</v>
      </c>
      <c r="AD31" s="771">
        <v>0</v>
      </c>
      <c r="AE31" s="771">
        <v>1384520.1941069397</v>
      </c>
      <c r="AF31" s="771">
        <v>0</v>
      </c>
      <c r="AG31" s="771">
        <v>0</v>
      </c>
      <c r="AH31" s="771">
        <v>0</v>
      </c>
      <c r="AI31" s="771">
        <v>0</v>
      </c>
      <c r="AJ31" s="771">
        <v>0</v>
      </c>
      <c r="AK31" s="771">
        <v>0</v>
      </c>
      <c r="AL31" s="771">
        <v>0</v>
      </c>
      <c r="AM31" s="771">
        <v>0</v>
      </c>
      <c r="AN31" s="771">
        <v>0</v>
      </c>
      <c r="AO31" s="771">
        <v>0</v>
      </c>
      <c r="AP31" s="771">
        <v>0</v>
      </c>
      <c r="AQ31" s="771">
        <v>0</v>
      </c>
      <c r="AR31" s="771">
        <v>0</v>
      </c>
      <c r="AS31" s="771">
        <v>0</v>
      </c>
      <c r="AT31" s="772">
        <v>0</v>
      </c>
      <c r="AU31" s="777"/>
      <c r="AV31" s="755">
        <f t="shared" si="0"/>
        <v>280</v>
      </c>
      <c r="AW31" s="749">
        <f t="shared" si="5"/>
        <v>0</v>
      </c>
      <c r="AX31" s="749">
        <f t="shared" si="5"/>
        <v>85016.250573671496</v>
      </c>
      <c r="AY31" s="749">
        <f t="shared" si="5"/>
        <v>0</v>
      </c>
      <c r="AZ31" s="749">
        <f t="shared" si="5"/>
        <v>0</v>
      </c>
      <c r="BA31" s="749">
        <f t="shared" si="5"/>
        <v>30182.540231531286</v>
      </c>
      <c r="BB31" s="749">
        <f t="shared" si="5"/>
        <v>0</v>
      </c>
      <c r="BC31" s="749">
        <f t="shared" si="5"/>
        <v>0</v>
      </c>
      <c r="BD31" s="749">
        <f t="shared" si="5"/>
        <v>0</v>
      </c>
      <c r="BE31" s="749">
        <f t="shared" si="6"/>
        <v>0</v>
      </c>
      <c r="BF31" s="749">
        <f t="shared" si="6"/>
        <v>0</v>
      </c>
      <c r="BG31" s="749">
        <f t="shared" si="6"/>
        <v>0</v>
      </c>
      <c r="BH31" s="749">
        <f t="shared" si="6"/>
        <v>0</v>
      </c>
      <c r="BI31" s="756">
        <f t="shared" si="7"/>
        <v>0</v>
      </c>
      <c r="BJ31" s="756">
        <f t="shared" si="7"/>
        <v>0</v>
      </c>
      <c r="BK31" s="756">
        <f t="shared" si="7"/>
        <v>0</v>
      </c>
      <c r="BL31" s="756">
        <f t="shared" si="7"/>
        <v>0</v>
      </c>
      <c r="BM31" s="756">
        <f t="shared" si="7"/>
        <v>0</v>
      </c>
      <c r="BN31" s="756">
        <f t="shared" si="7"/>
        <v>0</v>
      </c>
      <c r="BO31" s="756">
        <f t="shared" si="7"/>
        <v>0</v>
      </c>
      <c r="BP31" s="756">
        <f t="shared" si="7"/>
        <v>0</v>
      </c>
      <c r="BQ31" s="757">
        <f t="shared" si="4"/>
        <v>115478.79080520278</v>
      </c>
    </row>
    <row r="32" spans="1:69" s="748" customFormat="1">
      <c r="A32" s="748" t="s">
        <v>803</v>
      </c>
      <c r="B32" s="750" t="s">
        <v>598</v>
      </c>
      <c r="C32" s="760"/>
      <c r="D32" s="751">
        <v>140</v>
      </c>
      <c r="E32" s="752">
        <v>3.01</v>
      </c>
      <c r="F32" s="752">
        <v>0</v>
      </c>
      <c r="G32" s="752"/>
      <c r="H32" s="752"/>
      <c r="I32" s="752">
        <v>0</v>
      </c>
      <c r="J32" s="752"/>
      <c r="K32" s="752"/>
      <c r="L32" s="752"/>
      <c r="M32" s="752">
        <v>0</v>
      </c>
      <c r="N32" s="752"/>
      <c r="O32" s="752">
        <v>9.64</v>
      </c>
      <c r="P32" s="752">
        <v>3.21</v>
      </c>
      <c r="Q32" s="752">
        <v>0</v>
      </c>
      <c r="R32" s="752">
        <v>0</v>
      </c>
      <c r="S32" s="752">
        <v>0</v>
      </c>
      <c r="T32" s="752"/>
      <c r="U32" s="752">
        <v>0</v>
      </c>
      <c r="V32" s="752">
        <v>0</v>
      </c>
      <c r="W32" s="752">
        <v>0</v>
      </c>
      <c r="X32" s="759">
        <v>0</v>
      </c>
      <c r="Z32" s="773">
        <v>943</v>
      </c>
      <c r="AA32" s="771">
        <v>44038820.922569022</v>
      </c>
      <c r="AB32" s="771">
        <v>0</v>
      </c>
      <c r="AC32" s="771">
        <v>0</v>
      </c>
      <c r="AD32" s="771">
        <v>0</v>
      </c>
      <c r="AE32" s="771">
        <v>0</v>
      </c>
      <c r="AF32" s="771">
        <v>0</v>
      </c>
      <c r="AG32" s="771">
        <v>0</v>
      </c>
      <c r="AH32" s="771">
        <v>0</v>
      </c>
      <c r="AI32" s="771">
        <v>0</v>
      </c>
      <c r="AJ32" s="771">
        <v>0</v>
      </c>
      <c r="AK32" s="771">
        <v>55402.938758333337</v>
      </c>
      <c r="AL32" s="771">
        <v>114884.40078000007</v>
      </c>
      <c r="AM32" s="771">
        <v>0</v>
      </c>
      <c r="AN32" s="771">
        <v>0</v>
      </c>
      <c r="AO32" s="771">
        <v>0</v>
      </c>
      <c r="AP32" s="771">
        <v>0</v>
      </c>
      <c r="AQ32" s="771">
        <v>0</v>
      </c>
      <c r="AR32" s="771">
        <v>0</v>
      </c>
      <c r="AS32" s="771">
        <v>0</v>
      </c>
      <c r="AT32" s="772">
        <v>0</v>
      </c>
      <c r="AU32" s="777"/>
      <c r="AV32" s="755">
        <f t="shared" si="0"/>
        <v>132020</v>
      </c>
      <c r="AW32" s="749">
        <f t="shared" si="5"/>
        <v>1325568.5097693275</v>
      </c>
      <c r="AX32" s="749">
        <f t="shared" si="5"/>
        <v>0</v>
      </c>
      <c r="AY32" s="749">
        <f t="shared" si="5"/>
        <v>0</v>
      </c>
      <c r="AZ32" s="749">
        <f t="shared" si="5"/>
        <v>0</v>
      </c>
      <c r="BA32" s="749">
        <f t="shared" si="5"/>
        <v>0</v>
      </c>
      <c r="BB32" s="749">
        <f t="shared" si="5"/>
        <v>0</v>
      </c>
      <c r="BC32" s="749">
        <f t="shared" si="5"/>
        <v>0</v>
      </c>
      <c r="BD32" s="749">
        <f t="shared" si="5"/>
        <v>0</v>
      </c>
      <c r="BE32" s="749">
        <f t="shared" si="6"/>
        <v>0</v>
      </c>
      <c r="BF32" s="749">
        <f t="shared" si="6"/>
        <v>0</v>
      </c>
      <c r="BG32" s="749">
        <f t="shared" si="6"/>
        <v>534084.32963033335</v>
      </c>
      <c r="BH32" s="749">
        <f t="shared" si="6"/>
        <v>368778.9265038002</v>
      </c>
      <c r="BI32" s="756">
        <f t="shared" si="7"/>
        <v>0</v>
      </c>
      <c r="BJ32" s="756">
        <f t="shared" si="7"/>
        <v>0</v>
      </c>
      <c r="BK32" s="756">
        <f t="shared" si="7"/>
        <v>0</v>
      </c>
      <c r="BL32" s="756">
        <f t="shared" si="7"/>
        <v>0</v>
      </c>
      <c r="BM32" s="756">
        <f t="shared" si="7"/>
        <v>0</v>
      </c>
      <c r="BN32" s="756">
        <f t="shared" si="7"/>
        <v>0</v>
      </c>
      <c r="BO32" s="756">
        <f t="shared" si="7"/>
        <v>0</v>
      </c>
      <c r="BP32" s="756">
        <f t="shared" si="7"/>
        <v>0</v>
      </c>
      <c r="BQ32" s="757">
        <f t="shared" si="4"/>
        <v>2360451.7659034613</v>
      </c>
    </row>
    <row r="33" spans="1:69" s="748" customFormat="1">
      <c r="A33" s="748" t="s">
        <v>804</v>
      </c>
      <c r="B33" s="750" t="s">
        <v>599</v>
      </c>
      <c r="C33" s="760"/>
      <c r="D33" s="751">
        <v>120</v>
      </c>
      <c r="E33" s="752">
        <v>2.71</v>
      </c>
      <c r="F33" s="752">
        <v>0</v>
      </c>
      <c r="G33" s="752"/>
      <c r="H33" s="752"/>
      <c r="I33" s="752">
        <v>0</v>
      </c>
      <c r="J33" s="752"/>
      <c r="K33" s="752"/>
      <c r="L33" s="752"/>
      <c r="M33" s="752">
        <v>0</v>
      </c>
      <c r="N33" s="752"/>
      <c r="O33" s="752">
        <v>7.23</v>
      </c>
      <c r="P33" s="752">
        <v>2.41</v>
      </c>
      <c r="Q33" s="752">
        <v>0</v>
      </c>
      <c r="R33" s="752">
        <v>0</v>
      </c>
      <c r="S33" s="752">
        <v>0</v>
      </c>
      <c r="T33" s="752"/>
      <c r="U33" s="752">
        <v>0</v>
      </c>
      <c r="V33" s="752">
        <v>0</v>
      </c>
      <c r="W33" s="752">
        <v>0</v>
      </c>
      <c r="X33" s="759">
        <v>0</v>
      </c>
      <c r="Z33" s="773">
        <v>0</v>
      </c>
      <c r="AA33" s="771">
        <v>0</v>
      </c>
      <c r="AB33" s="771">
        <v>0</v>
      </c>
      <c r="AC33" s="771">
        <v>0</v>
      </c>
      <c r="AD33" s="771">
        <v>0</v>
      </c>
      <c r="AE33" s="771">
        <v>0</v>
      </c>
      <c r="AF33" s="771">
        <v>0</v>
      </c>
      <c r="AG33" s="771">
        <v>0</v>
      </c>
      <c r="AH33" s="771">
        <v>0</v>
      </c>
      <c r="AI33" s="771">
        <v>0</v>
      </c>
      <c r="AJ33" s="771">
        <v>0</v>
      </c>
      <c r="AK33" s="771">
        <v>0</v>
      </c>
      <c r="AL33" s="771">
        <v>0</v>
      </c>
      <c r="AM33" s="771">
        <v>0</v>
      </c>
      <c r="AN33" s="771">
        <v>0</v>
      </c>
      <c r="AO33" s="771">
        <v>0</v>
      </c>
      <c r="AP33" s="771">
        <v>0</v>
      </c>
      <c r="AQ33" s="771">
        <v>0</v>
      </c>
      <c r="AR33" s="771">
        <v>0</v>
      </c>
      <c r="AS33" s="771">
        <v>0</v>
      </c>
      <c r="AT33" s="772">
        <v>0</v>
      </c>
      <c r="AU33" s="777"/>
      <c r="AV33" s="755">
        <f t="shared" si="0"/>
        <v>0</v>
      </c>
      <c r="AW33" s="749">
        <f t="shared" si="5"/>
        <v>0</v>
      </c>
      <c r="AX33" s="749">
        <f t="shared" si="5"/>
        <v>0</v>
      </c>
      <c r="AY33" s="749">
        <f t="shared" si="5"/>
        <v>0</v>
      </c>
      <c r="AZ33" s="749">
        <f t="shared" si="5"/>
        <v>0</v>
      </c>
      <c r="BA33" s="749">
        <f t="shared" si="5"/>
        <v>0</v>
      </c>
      <c r="BB33" s="749">
        <f t="shared" si="5"/>
        <v>0</v>
      </c>
      <c r="BC33" s="749">
        <f t="shared" si="5"/>
        <v>0</v>
      </c>
      <c r="BD33" s="749">
        <f t="shared" si="5"/>
        <v>0</v>
      </c>
      <c r="BE33" s="749">
        <f t="shared" si="6"/>
        <v>0</v>
      </c>
      <c r="BF33" s="749">
        <f t="shared" si="6"/>
        <v>0</v>
      </c>
      <c r="BG33" s="749">
        <f t="shared" si="6"/>
        <v>0</v>
      </c>
      <c r="BH33" s="749">
        <f t="shared" si="6"/>
        <v>0</v>
      </c>
      <c r="BI33" s="756">
        <f t="shared" si="7"/>
        <v>0</v>
      </c>
      <c r="BJ33" s="756">
        <f t="shared" si="7"/>
        <v>0</v>
      </c>
      <c r="BK33" s="756">
        <f t="shared" si="7"/>
        <v>0</v>
      </c>
      <c r="BL33" s="756">
        <f t="shared" si="7"/>
        <v>0</v>
      </c>
      <c r="BM33" s="756">
        <f t="shared" si="7"/>
        <v>0</v>
      </c>
      <c r="BN33" s="756">
        <f t="shared" si="7"/>
        <v>0</v>
      </c>
      <c r="BO33" s="756">
        <f t="shared" si="7"/>
        <v>0</v>
      </c>
      <c r="BP33" s="756">
        <f t="shared" si="7"/>
        <v>0</v>
      </c>
      <c r="BQ33" s="757">
        <f t="shared" si="4"/>
        <v>0</v>
      </c>
    </row>
    <row r="34" spans="1:69" s="748" customFormat="1">
      <c r="A34" s="748" t="s">
        <v>805</v>
      </c>
      <c r="B34" s="750" t="s">
        <v>600</v>
      </c>
      <c r="C34" s="760"/>
      <c r="D34" s="751">
        <v>800</v>
      </c>
      <c r="E34" s="752">
        <v>0</v>
      </c>
      <c r="F34" s="752">
        <v>6.35</v>
      </c>
      <c r="G34" s="752"/>
      <c r="H34" s="752"/>
      <c r="I34" s="752">
        <v>3.14</v>
      </c>
      <c r="J34" s="752"/>
      <c r="K34" s="752"/>
      <c r="L34" s="752"/>
      <c r="M34" s="752">
        <v>0</v>
      </c>
      <c r="N34" s="752"/>
      <c r="O34" s="752">
        <v>0</v>
      </c>
      <c r="P34" s="752">
        <v>0</v>
      </c>
      <c r="Q34" s="752">
        <v>0</v>
      </c>
      <c r="R34" s="752">
        <v>0</v>
      </c>
      <c r="S34" s="752">
        <v>0</v>
      </c>
      <c r="T34" s="752"/>
      <c r="U34" s="752">
        <v>0</v>
      </c>
      <c r="V34" s="752">
        <v>0</v>
      </c>
      <c r="W34" s="752">
        <v>0</v>
      </c>
      <c r="X34" s="759">
        <v>0</v>
      </c>
      <c r="Z34" s="773">
        <v>4648</v>
      </c>
      <c r="AA34" s="771">
        <v>0</v>
      </c>
      <c r="AB34" s="771">
        <v>458603853.62653899</v>
      </c>
      <c r="AC34" s="771">
        <v>0</v>
      </c>
      <c r="AD34" s="771">
        <v>0</v>
      </c>
      <c r="AE34" s="771">
        <v>223355008.38813099</v>
      </c>
      <c r="AF34" s="771">
        <v>0</v>
      </c>
      <c r="AG34" s="771">
        <v>0</v>
      </c>
      <c r="AH34" s="771">
        <v>0</v>
      </c>
      <c r="AI34" s="771">
        <v>0</v>
      </c>
      <c r="AJ34" s="771">
        <v>0</v>
      </c>
      <c r="AK34" s="771">
        <v>777697.71506800002</v>
      </c>
      <c r="AL34" s="771">
        <v>1436797.9229680002</v>
      </c>
      <c r="AM34" s="771">
        <v>0</v>
      </c>
      <c r="AN34" s="771">
        <v>0</v>
      </c>
      <c r="AO34" s="771">
        <v>0</v>
      </c>
      <c r="AP34" s="771">
        <v>0</v>
      </c>
      <c r="AQ34" s="771">
        <v>0</v>
      </c>
      <c r="AR34" s="771">
        <v>0</v>
      </c>
      <c r="AS34" s="771">
        <v>0</v>
      </c>
      <c r="AT34" s="772">
        <v>0</v>
      </c>
      <c r="AU34" s="777"/>
      <c r="AV34" s="755">
        <f t="shared" si="0"/>
        <v>3718400</v>
      </c>
      <c r="AW34" s="749">
        <f t="shared" si="5"/>
        <v>0</v>
      </c>
      <c r="AX34" s="749">
        <f t="shared" si="5"/>
        <v>29121344.705285225</v>
      </c>
      <c r="AY34" s="749">
        <f t="shared" si="5"/>
        <v>0</v>
      </c>
      <c r="AZ34" s="749">
        <f t="shared" si="5"/>
        <v>0</v>
      </c>
      <c r="BA34" s="749">
        <f t="shared" si="5"/>
        <v>7013347.263387314</v>
      </c>
      <c r="BB34" s="749">
        <f t="shared" si="5"/>
        <v>0</v>
      </c>
      <c r="BC34" s="749">
        <f t="shared" si="5"/>
        <v>0</v>
      </c>
      <c r="BD34" s="749">
        <f t="shared" si="5"/>
        <v>0</v>
      </c>
      <c r="BE34" s="749">
        <f t="shared" si="6"/>
        <v>0</v>
      </c>
      <c r="BF34" s="749">
        <f t="shared" si="6"/>
        <v>0</v>
      </c>
      <c r="BG34" s="749">
        <f t="shared" si="6"/>
        <v>0</v>
      </c>
      <c r="BH34" s="749">
        <f t="shared" si="6"/>
        <v>0</v>
      </c>
      <c r="BI34" s="756">
        <f t="shared" si="7"/>
        <v>0</v>
      </c>
      <c r="BJ34" s="756">
        <f t="shared" si="7"/>
        <v>0</v>
      </c>
      <c r="BK34" s="756">
        <f t="shared" si="7"/>
        <v>0</v>
      </c>
      <c r="BL34" s="756">
        <f t="shared" si="7"/>
        <v>0</v>
      </c>
      <c r="BM34" s="756">
        <f t="shared" si="7"/>
        <v>0</v>
      </c>
      <c r="BN34" s="756">
        <f t="shared" si="7"/>
        <v>0</v>
      </c>
      <c r="BO34" s="756">
        <f t="shared" si="7"/>
        <v>0</v>
      </c>
      <c r="BP34" s="756">
        <f t="shared" si="7"/>
        <v>0</v>
      </c>
      <c r="BQ34" s="757">
        <f t="shared" si="4"/>
        <v>39853091.968672536</v>
      </c>
    </row>
    <row r="35" spans="1:69" s="748" customFormat="1">
      <c r="A35" s="748" t="s">
        <v>807</v>
      </c>
      <c r="B35" s="750" t="s">
        <v>601</v>
      </c>
      <c r="C35" s="760"/>
      <c r="D35" s="751">
        <v>800</v>
      </c>
      <c r="E35" s="752">
        <v>0</v>
      </c>
      <c r="F35" s="752">
        <v>4.6500000000000004</v>
      </c>
      <c r="G35" s="752"/>
      <c r="H35" s="752"/>
      <c r="I35" s="752">
        <v>2.4700000000000002</v>
      </c>
      <c r="J35" s="752"/>
      <c r="K35" s="752"/>
      <c r="L35" s="752"/>
      <c r="M35" s="752">
        <v>0</v>
      </c>
      <c r="N35" s="752"/>
      <c r="O35" s="752">
        <v>0</v>
      </c>
      <c r="P35" s="752">
        <v>0</v>
      </c>
      <c r="Q35" s="752">
        <v>0</v>
      </c>
      <c r="R35" s="752">
        <v>0</v>
      </c>
      <c r="S35" s="752">
        <v>0</v>
      </c>
      <c r="T35" s="752"/>
      <c r="U35" s="752">
        <v>0</v>
      </c>
      <c r="V35" s="752">
        <v>0</v>
      </c>
      <c r="W35" s="752">
        <v>0</v>
      </c>
      <c r="X35" s="759">
        <v>0</v>
      </c>
      <c r="Z35" s="773">
        <v>2249</v>
      </c>
      <c r="AA35" s="771">
        <v>0</v>
      </c>
      <c r="AB35" s="771">
        <v>305307951.20099998</v>
      </c>
      <c r="AC35" s="771">
        <v>0</v>
      </c>
      <c r="AD35" s="771">
        <v>0</v>
      </c>
      <c r="AE35" s="771">
        <v>157474786.73719999</v>
      </c>
      <c r="AF35" s="771">
        <v>0</v>
      </c>
      <c r="AG35" s="771">
        <v>0</v>
      </c>
      <c r="AH35" s="771">
        <v>0</v>
      </c>
      <c r="AI35" s="771">
        <v>0</v>
      </c>
      <c r="AJ35" s="771">
        <v>0</v>
      </c>
      <c r="AK35" s="771">
        <v>527296.244022</v>
      </c>
      <c r="AL35" s="771">
        <v>921016.40462399996</v>
      </c>
      <c r="AM35" s="771">
        <v>0</v>
      </c>
      <c r="AN35" s="771">
        <v>0</v>
      </c>
      <c r="AO35" s="771">
        <v>0</v>
      </c>
      <c r="AP35" s="771">
        <v>0</v>
      </c>
      <c r="AQ35" s="771">
        <v>0</v>
      </c>
      <c r="AR35" s="771">
        <v>0</v>
      </c>
      <c r="AS35" s="771">
        <v>0</v>
      </c>
      <c r="AT35" s="772">
        <v>0</v>
      </c>
      <c r="AU35" s="777"/>
      <c r="AV35" s="755">
        <f t="shared" si="0"/>
        <v>1799200</v>
      </c>
      <c r="AW35" s="749">
        <f t="shared" si="5"/>
        <v>0</v>
      </c>
      <c r="AX35" s="749">
        <f t="shared" si="5"/>
        <v>14196819.7308465</v>
      </c>
      <c r="AY35" s="749">
        <f t="shared" si="5"/>
        <v>0</v>
      </c>
      <c r="AZ35" s="749">
        <f t="shared" si="5"/>
        <v>0</v>
      </c>
      <c r="BA35" s="749">
        <f t="shared" si="5"/>
        <v>3889627.2324088402</v>
      </c>
      <c r="BB35" s="749">
        <f t="shared" si="5"/>
        <v>0</v>
      </c>
      <c r="BC35" s="749">
        <f t="shared" si="5"/>
        <v>0</v>
      </c>
      <c r="BD35" s="749">
        <f t="shared" si="5"/>
        <v>0</v>
      </c>
      <c r="BE35" s="749">
        <f t="shared" si="6"/>
        <v>0</v>
      </c>
      <c r="BF35" s="749">
        <f t="shared" si="6"/>
        <v>0</v>
      </c>
      <c r="BG35" s="749">
        <f t="shared" si="6"/>
        <v>0</v>
      </c>
      <c r="BH35" s="749">
        <f t="shared" si="6"/>
        <v>0</v>
      </c>
      <c r="BI35" s="756">
        <f t="shared" si="7"/>
        <v>0</v>
      </c>
      <c r="BJ35" s="756">
        <f t="shared" si="7"/>
        <v>0</v>
      </c>
      <c r="BK35" s="756">
        <f t="shared" si="7"/>
        <v>0</v>
      </c>
      <c r="BL35" s="756">
        <f t="shared" si="7"/>
        <v>0</v>
      </c>
      <c r="BM35" s="756">
        <f t="shared" si="7"/>
        <v>0</v>
      </c>
      <c r="BN35" s="756">
        <f t="shared" si="7"/>
        <v>0</v>
      </c>
      <c r="BO35" s="756">
        <f t="shared" si="7"/>
        <v>0</v>
      </c>
      <c r="BP35" s="756">
        <f t="shared" si="7"/>
        <v>0</v>
      </c>
      <c r="BQ35" s="757">
        <f t="shared" si="4"/>
        <v>19885646.963255338</v>
      </c>
    </row>
    <row r="36" spans="1:69" s="748" customFormat="1">
      <c r="A36" s="748" t="s">
        <v>814</v>
      </c>
      <c r="B36" s="750" t="s">
        <v>569</v>
      </c>
      <c r="C36" s="760"/>
      <c r="D36" s="751">
        <v>0</v>
      </c>
      <c r="E36" s="752">
        <v>0</v>
      </c>
      <c r="F36" s="752">
        <v>7.75</v>
      </c>
      <c r="G36" s="752"/>
      <c r="H36" s="752"/>
      <c r="I36" s="752">
        <v>2.14</v>
      </c>
      <c r="J36" s="752"/>
      <c r="K36" s="752"/>
      <c r="L36" s="752"/>
      <c r="M36" s="752">
        <v>0</v>
      </c>
      <c r="N36" s="752"/>
      <c r="O36" s="752">
        <v>0</v>
      </c>
      <c r="P36" s="752">
        <v>0</v>
      </c>
      <c r="Q36" s="752">
        <v>0</v>
      </c>
      <c r="R36" s="752">
        <v>0</v>
      </c>
      <c r="S36" s="752">
        <v>0</v>
      </c>
      <c r="T36" s="752"/>
      <c r="U36" s="752">
        <v>0</v>
      </c>
      <c r="V36" s="752">
        <v>0</v>
      </c>
      <c r="W36" s="752">
        <v>0</v>
      </c>
      <c r="X36" s="759">
        <v>0</v>
      </c>
      <c r="Z36" s="773">
        <v>1140.5</v>
      </c>
      <c r="AA36" s="771">
        <v>0</v>
      </c>
      <c r="AB36" s="771">
        <v>14051779.544074081</v>
      </c>
      <c r="AC36" s="771">
        <v>0</v>
      </c>
      <c r="AD36" s="771">
        <v>0</v>
      </c>
      <c r="AE36" s="771">
        <v>23479971.058964424</v>
      </c>
      <c r="AF36" s="771">
        <v>0</v>
      </c>
      <c r="AG36" s="771">
        <v>0</v>
      </c>
      <c r="AH36" s="771">
        <v>0</v>
      </c>
      <c r="AI36" s="771">
        <v>0</v>
      </c>
      <c r="AJ36" s="771">
        <v>0</v>
      </c>
      <c r="AK36" s="771">
        <v>0</v>
      </c>
      <c r="AL36" s="771">
        <v>0</v>
      </c>
      <c r="AM36" s="771">
        <v>0</v>
      </c>
      <c r="AN36" s="771">
        <v>0</v>
      </c>
      <c r="AO36" s="771">
        <v>0</v>
      </c>
      <c r="AP36" s="771">
        <v>0</v>
      </c>
      <c r="AQ36" s="771">
        <v>0</v>
      </c>
      <c r="AR36" s="771">
        <v>0</v>
      </c>
      <c r="AS36" s="771">
        <v>0</v>
      </c>
      <c r="AT36" s="772">
        <v>0</v>
      </c>
      <c r="AU36" s="777"/>
      <c r="AV36" s="755">
        <f t="shared" si="0"/>
        <v>0</v>
      </c>
      <c r="AW36" s="749">
        <f t="shared" si="5"/>
        <v>0</v>
      </c>
      <c r="AX36" s="749">
        <f t="shared" si="5"/>
        <v>1089012.9146657411</v>
      </c>
      <c r="AY36" s="749">
        <f t="shared" si="5"/>
        <v>0</v>
      </c>
      <c r="AZ36" s="749">
        <f t="shared" si="5"/>
        <v>0</v>
      </c>
      <c r="BA36" s="749">
        <f t="shared" si="5"/>
        <v>502471.38066183875</v>
      </c>
      <c r="BB36" s="749">
        <f t="shared" si="5"/>
        <v>0</v>
      </c>
      <c r="BC36" s="749">
        <f t="shared" si="5"/>
        <v>0</v>
      </c>
      <c r="BD36" s="749">
        <f t="shared" si="5"/>
        <v>0</v>
      </c>
      <c r="BE36" s="749">
        <f t="shared" si="6"/>
        <v>0</v>
      </c>
      <c r="BF36" s="749">
        <f t="shared" si="6"/>
        <v>0</v>
      </c>
      <c r="BG36" s="749">
        <f t="shared" si="6"/>
        <v>0</v>
      </c>
      <c r="BH36" s="749">
        <f t="shared" si="6"/>
        <v>0</v>
      </c>
      <c r="BI36" s="756">
        <f t="shared" si="7"/>
        <v>0</v>
      </c>
      <c r="BJ36" s="756">
        <f t="shared" si="7"/>
        <v>0</v>
      </c>
      <c r="BK36" s="756">
        <f t="shared" si="7"/>
        <v>0</v>
      </c>
      <c r="BL36" s="756">
        <f t="shared" si="7"/>
        <v>0</v>
      </c>
      <c r="BM36" s="756">
        <f t="shared" si="7"/>
        <v>0</v>
      </c>
      <c r="BN36" s="756">
        <f t="shared" si="7"/>
        <v>0</v>
      </c>
      <c r="BO36" s="756">
        <f t="shared" si="7"/>
        <v>0</v>
      </c>
      <c r="BP36" s="756">
        <f t="shared" si="7"/>
        <v>0</v>
      </c>
      <c r="BQ36" s="757">
        <f t="shared" si="4"/>
        <v>1591484.2953275798</v>
      </c>
    </row>
    <row r="37" spans="1:69" s="748" customFormat="1">
      <c r="A37" s="748" t="s">
        <v>820</v>
      </c>
      <c r="B37" s="750" t="s">
        <v>570</v>
      </c>
      <c r="C37" s="760"/>
      <c r="D37" s="751">
        <v>0</v>
      </c>
      <c r="E37" s="752">
        <v>0</v>
      </c>
      <c r="F37" s="752">
        <v>0</v>
      </c>
      <c r="G37" s="752"/>
      <c r="H37" s="752"/>
      <c r="I37" s="752">
        <v>0</v>
      </c>
      <c r="J37" s="752"/>
      <c r="K37" s="752"/>
      <c r="L37" s="752"/>
      <c r="M37" s="752">
        <v>0</v>
      </c>
      <c r="N37" s="752"/>
      <c r="O37" s="752">
        <v>0</v>
      </c>
      <c r="P37" s="752">
        <v>0</v>
      </c>
      <c r="Q37" s="752">
        <v>0</v>
      </c>
      <c r="R37" s="752">
        <v>0</v>
      </c>
      <c r="S37" s="752">
        <v>0</v>
      </c>
      <c r="T37" s="752"/>
      <c r="U37" s="752">
        <v>0</v>
      </c>
      <c r="V37" s="752">
        <v>0</v>
      </c>
      <c r="W37" s="752">
        <v>0</v>
      </c>
      <c r="X37" s="759">
        <v>0</v>
      </c>
      <c r="Z37" s="773">
        <v>0</v>
      </c>
      <c r="AA37" s="771">
        <v>0</v>
      </c>
      <c r="AB37" s="771">
        <v>0</v>
      </c>
      <c r="AC37" s="771">
        <v>0</v>
      </c>
      <c r="AD37" s="771">
        <v>0</v>
      </c>
      <c r="AE37" s="771">
        <v>0</v>
      </c>
      <c r="AF37" s="771">
        <v>0</v>
      </c>
      <c r="AG37" s="771">
        <v>0</v>
      </c>
      <c r="AH37" s="771">
        <v>0</v>
      </c>
      <c r="AI37" s="771">
        <v>0</v>
      </c>
      <c r="AJ37" s="771">
        <v>0</v>
      </c>
      <c r="AK37" s="771">
        <v>0</v>
      </c>
      <c r="AL37" s="771">
        <v>0</v>
      </c>
      <c r="AM37" s="771">
        <v>0</v>
      </c>
      <c r="AN37" s="771">
        <v>0</v>
      </c>
      <c r="AO37" s="771">
        <v>0</v>
      </c>
      <c r="AP37" s="771">
        <v>0</v>
      </c>
      <c r="AQ37" s="771">
        <v>0</v>
      </c>
      <c r="AR37" s="771">
        <v>0</v>
      </c>
      <c r="AS37" s="771">
        <v>0</v>
      </c>
      <c r="AT37" s="772">
        <v>0</v>
      </c>
      <c r="AU37" s="777"/>
      <c r="AV37" s="755">
        <f t="shared" si="0"/>
        <v>0</v>
      </c>
      <c r="AW37" s="749">
        <f t="shared" si="5"/>
        <v>0</v>
      </c>
      <c r="AX37" s="749">
        <f t="shared" si="5"/>
        <v>0</v>
      </c>
      <c r="AY37" s="749">
        <f t="shared" si="5"/>
        <v>0</v>
      </c>
      <c r="AZ37" s="749">
        <f t="shared" si="5"/>
        <v>0</v>
      </c>
      <c r="BA37" s="749">
        <f t="shared" si="5"/>
        <v>0</v>
      </c>
      <c r="BB37" s="749">
        <f t="shared" si="5"/>
        <v>0</v>
      </c>
      <c r="BC37" s="749">
        <f t="shared" si="5"/>
        <v>0</v>
      </c>
      <c r="BD37" s="749">
        <f t="shared" si="5"/>
        <v>0</v>
      </c>
      <c r="BE37" s="749">
        <f t="shared" si="6"/>
        <v>0</v>
      </c>
      <c r="BF37" s="749">
        <f t="shared" si="6"/>
        <v>0</v>
      </c>
      <c r="BG37" s="749">
        <f t="shared" si="6"/>
        <v>0</v>
      </c>
      <c r="BH37" s="749">
        <f t="shared" si="6"/>
        <v>0</v>
      </c>
      <c r="BI37" s="756">
        <f t="shared" si="7"/>
        <v>0</v>
      </c>
      <c r="BJ37" s="756">
        <f t="shared" si="7"/>
        <v>0</v>
      </c>
      <c r="BK37" s="756">
        <f t="shared" si="7"/>
        <v>0</v>
      </c>
      <c r="BL37" s="756">
        <f t="shared" si="7"/>
        <v>0</v>
      </c>
      <c r="BM37" s="756">
        <f t="shared" si="7"/>
        <v>0</v>
      </c>
      <c r="BN37" s="756">
        <f t="shared" si="7"/>
        <v>0</v>
      </c>
      <c r="BO37" s="756">
        <f t="shared" si="7"/>
        <v>0</v>
      </c>
      <c r="BP37" s="756">
        <f t="shared" si="7"/>
        <v>0</v>
      </c>
      <c r="BQ37" s="757">
        <f t="shared" si="4"/>
        <v>0</v>
      </c>
    </row>
    <row r="38" spans="1:69" s="748" customFormat="1">
      <c r="A38" s="748" t="s">
        <v>821</v>
      </c>
      <c r="B38" s="750" t="s">
        <v>571</v>
      </c>
      <c r="C38" s="760"/>
      <c r="D38" s="751">
        <v>0</v>
      </c>
      <c r="E38" s="752">
        <v>0</v>
      </c>
      <c r="F38" s="752">
        <v>0</v>
      </c>
      <c r="G38" s="752"/>
      <c r="H38" s="752"/>
      <c r="I38" s="752">
        <v>0</v>
      </c>
      <c r="J38" s="752"/>
      <c r="K38" s="752"/>
      <c r="L38" s="752"/>
      <c r="M38" s="752">
        <v>0</v>
      </c>
      <c r="N38" s="752"/>
      <c r="O38" s="752">
        <v>0</v>
      </c>
      <c r="P38" s="752">
        <v>0</v>
      </c>
      <c r="Q38" s="752">
        <v>0</v>
      </c>
      <c r="R38" s="752">
        <v>0</v>
      </c>
      <c r="S38" s="752">
        <v>0</v>
      </c>
      <c r="T38" s="752"/>
      <c r="U38" s="752">
        <v>0</v>
      </c>
      <c r="V38" s="752">
        <v>0</v>
      </c>
      <c r="W38" s="752">
        <v>0</v>
      </c>
      <c r="X38" s="759">
        <v>0</v>
      </c>
      <c r="Z38" s="773">
        <v>0</v>
      </c>
      <c r="AA38" s="771">
        <v>0</v>
      </c>
      <c r="AB38" s="771">
        <v>0</v>
      </c>
      <c r="AC38" s="771">
        <v>0</v>
      </c>
      <c r="AD38" s="771">
        <v>0</v>
      </c>
      <c r="AE38" s="771">
        <v>0</v>
      </c>
      <c r="AF38" s="771">
        <v>0</v>
      </c>
      <c r="AG38" s="771">
        <v>0</v>
      </c>
      <c r="AH38" s="771">
        <v>0</v>
      </c>
      <c r="AI38" s="771">
        <v>0</v>
      </c>
      <c r="AJ38" s="771">
        <v>0</v>
      </c>
      <c r="AK38" s="771">
        <v>0</v>
      </c>
      <c r="AL38" s="771">
        <v>0</v>
      </c>
      <c r="AM38" s="771">
        <v>0</v>
      </c>
      <c r="AN38" s="771">
        <v>0</v>
      </c>
      <c r="AO38" s="771">
        <v>0</v>
      </c>
      <c r="AP38" s="771">
        <v>0</v>
      </c>
      <c r="AQ38" s="771">
        <v>0</v>
      </c>
      <c r="AR38" s="771">
        <v>0</v>
      </c>
      <c r="AS38" s="771">
        <v>0</v>
      </c>
      <c r="AT38" s="772">
        <v>0</v>
      </c>
      <c r="AU38" s="777"/>
      <c r="AV38" s="755">
        <f t="shared" si="0"/>
        <v>0</v>
      </c>
      <c r="AW38" s="749">
        <f t="shared" si="5"/>
        <v>0</v>
      </c>
      <c r="AX38" s="749">
        <f t="shared" si="5"/>
        <v>0</v>
      </c>
      <c r="AY38" s="749">
        <f t="shared" si="5"/>
        <v>0</v>
      </c>
      <c r="AZ38" s="749">
        <f t="shared" si="5"/>
        <v>0</v>
      </c>
      <c r="BA38" s="749">
        <f t="shared" si="5"/>
        <v>0</v>
      </c>
      <c r="BB38" s="749">
        <f t="shared" si="5"/>
        <v>0</v>
      </c>
      <c r="BC38" s="749">
        <f t="shared" si="5"/>
        <v>0</v>
      </c>
      <c r="BD38" s="749">
        <f t="shared" si="5"/>
        <v>0</v>
      </c>
      <c r="BE38" s="749">
        <f t="shared" si="6"/>
        <v>0</v>
      </c>
      <c r="BF38" s="749">
        <f t="shared" si="6"/>
        <v>0</v>
      </c>
      <c r="BG38" s="749">
        <f t="shared" si="6"/>
        <v>0</v>
      </c>
      <c r="BH38" s="749">
        <f t="shared" si="6"/>
        <v>0</v>
      </c>
      <c r="BI38" s="756">
        <f t="shared" si="7"/>
        <v>0</v>
      </c>
      <c r="BJ38" s="756">
        <f t="shared" si="7"/>
        <v>0</v>
      </c>
      <c r="BK38" s="756">
        <f t="shared" si="7"/>
        <v>0</v>
      </c>
      <c r="BL38" s="756">
        <f t="shared" si="7"/>
        <v>0</v>
      </c>
      <c r="BM38" s="756">
        <f t="shared" si="7"/>
        <v>0</v>
      </c>
      <c r="BN38" s="756">
        <f t="shared" si="7"/>
        <v>0</v>
      </c>
      <c r="BO38" s="756">
        <f t="shared" si="7"/>
        <v>0</v>
      </c>
      <c r="BP38" s="756">
        <f t="shared" si="7"/>
        <v>0</v>
      </c>
      <c r="BQ38" s="757">
        <f t="shared" si="4"/>
        <v>0</v>
      </c>
    </row>
    <row r="39" spans="1:69" s="748" customFormat="1">
      <c r="A39" s="748" t="s">
        <v>822</v>
      </c>
      <c r="B39" s="750" t="s">
        <v>572</v>
      </c>
      <c r="C39" s="760"/>
      <c r="D39" s="751">
        <v>0</v>
      </c>
      <c r="E39" s="752">
        <v>0</v>
      </c>
      <c r="F39" s="752">
        <v>0</v>
      </c>
      <c r="G39" s="752"/>
      <c r="H39" s="752"/>
      <c r="I39" s="752">
        <v>0</v>
      </c>
      <c r="J39" s="752"/>
      <c r="K39" s="752"/>
      <c r="L39" s="752"/>
      <c r="M39" s="752">
        <v>0</v>
      </c>
      <c r="N39" s="752"/>
      <c r="O39" s="752">
        <v>0</v>
      </c>
      <c r="P39" s="752">
        <v>0</v>
      </c>
      <c r="Q39" s="752">
        <v>0</v>
      </c>
      <c r="R39" s="752">
        <v>0</v>
      </c>
      <c r="S39" s="752">
        <v>0</v>
      </c>
      <c r="T39" s="752"/>
      <c r="U39" s="752">
        <v>0</v>
      </c>
      <c r="V39" s="752">
        <v>0</v>
      </c>
      <c r="W39" s="752">
        <v>0</v>
      </c>
      <c r="X39" s="759">
        <v>0</v>
      </c>
      <c r="Z39" s="773">
        <v>0</v>
      </c>
      <c r="AA39" s="771">
        <v>0</v>
      </c>
      <c r="AB39" s="771">
        <v>0</v>
      </c>
      <c r="AC39" s="771">
        <v>0</v>
      </c>
      <c r="AD39" s="771">
        <v>0</v>
      </c>
      <c r="AE39" s="771">
        <v>0</v>
      </c>
      <c r="AF39" s="771">
        <v>0</v>
      </c>
      <c r="AG39" s="771">
        <v>0</v>
      </c>
      <c r="AH39" s="771">
        <v>0</v>
      </c>
      <c r="AI39" s="771">
        <v>0</v>
      </c>
      <c r="AJ39" s="771">
        <v>0</v>
      </c>
      <c r="AK39" s="771">
        <v>0</v>
      </c>
      <c r="AL39" s="771">
        <v>0</v>
      </c>
      <c r="AM39" s="771">
        <v>0</v>
      </c>
      <c r="AN39" s="771">
        <v>0</v>
      </c>
      <c r="AO39" s="771">
        <v>0</v>
      </c>
      <c r="AP39" s="771">
        <v>0</v>
      </c>
      <c r="AQ39" s="771">
        <v>0</v>
      </c>
      <c r="AR39" s="771">
        <v>0</v>
      </c>
      <c r="AS39" s="771">
        <v>0</v>
      </c>
      <c r="AT39" s="772">
        <v>0</v>
      </c>
      <c r="AU39" s="777"/>
      <c r="AV39" s="755">
        <f t="shared" si="0"/>
        <v>0</v>
      </c>
      <c r="AW39" s="749">
        <f t="shared" si="5"/>
        <v>0</v>
      </c>
      <c r="AX39" s="749">
        <f t="shared" si="5"/>
        <v>0</v>
      </c>
      <c r="AY39" s="749">
        <f t="shared" si="5"/>
        <v>0</v>
      </c>
      <c r="AZ39" s="749">
        <f t="shared" si="5"/>
        <v>0</v>
      </c>
      <c r="BA39" s="749">
        <f t="shared" si="5"/>
        <v>0</v>
      </c>
      <c r="BB39" s="749">
        <f t="shared" si="5"/>
        <v>0</v>
      </c>
      <c r="BC39" s="749">
        <f t="shared" si="5"/>
        <v>0</v>
      </c>
      <c r="BD39" s="749">
        <f t="shared" si="5"/>
        <v>0</v>
      </c>
      <c r="BE39" s="749">
        <f t="shared" si="6"/>
        <v>0</v>
      </c>
      <c r="BF39" s="749">
        <f t="shared" si="6"/>
        <v>0</v>
      </c>
      <c r="BG39" s="749">
        <f t="shared" si="6"/>
        <v>0</v>
      </c>
      <c r="BH39" s="749">
        <f t="shared" si="6"/>
        <v>0</v>
      </c>
      <c r="BI39" s="756">
        <f t="shared" si="7"/>
        <v>0</v>
      </c>
      <c r="BJ39" s="756">
        <f t="shared" si="7"/>
        <v>0</v>
      </c>
      <c r="BK39" s="756">
        <f t="shared" si="7"/>
        <v>0</v>
      </c>
      <c r="BL39" s="756">
        <f t="shared" si="7"/>
        <v>0</v>
      </c>
      <c r="BM39" s="756">
        <f t="shared" si="7"/>
        <v>0</v>
      </c>
      <c r="BN39" s="756">
        <f t="shared" si="7"/>
        <v>0</v>
      </c>
      <c r="BO39" s="756">
        <f t="shared" si="7"/>
        <v>0</v>
      </c>
      <c r="BP39" s="756">
        <f t="shared" si="7"/>
        <v>0</v>
      </c>
      <c r="BQ39" s="757">
        <f t="shared" si="4"/>
        <v>0</v>
      </c>
    </row>
    <row r="40" spans="1:69" s="748" customFormat="1">
      <c r="A40" s="748" t="s">
        <v>823</v>
      </c>
      <c r="B40" s="750" t="s">
        <v>573</v>
      </c>
      <c r="C40" s="760"/>
      <c r="D40" s="751">
        <v>0</v>
      </c>
      <c r="E40" s="752">
        <v>0</v>
      </c>
      <c r="F40" s="752">
        <v>0</v>
      </c>
      <c r="G40" s="752"/>
      <c r="H40" s="752"/>
      <c r="I40" s="752">
        <v>0</v>
      </c>
      <c r="J40" s="752"/>
      <c r="K40" s="752"/>
      <c r="L40" s="752"/>
      <c r="M40" s="752">
        <v>0</v>
      </c>
      <c r="N40" s="752"/>
      <c r="O40" s="752">
        <v>0</v>
      </c>
      <c r="P40" s="752">
        <v>0</v>
      </c>
      <c r="Q40" s="752">
        <v>0</v>
      </c>
      <c r="R40" s="752">
        <v>0</v>
      </c>
      <c r="S40" s="752">
        <v>0</v>
      </c>
      <c r="T40" s="752"/>
      <c r="U40" s="752">
        <v>0</v>
      </c>
      <c r="V40" s="752">
        <v>0</v>
      </c>
      <c r="W40" s="752">
        <v>0</v>
      </c>
      <c r="X40" s="759">
        <v>0</v>
      </c>
      <c r="Z40" s="773">
        <v>0</v>
      </c>
      <c r="AA40" s="771">
        <v>0</v>
      </c>
      <c r="AB40" s="771">
        <v>0</v>
      </c>
      <c r="AC40" s="771">
        <v>0</v>
      </c>
      <c r="AD40" s="771">
        <v>0</v>
      </c>
      <c r="AE40" s="771">
        <v>0</v>
      </c>
      <c r="AF40" s="771">
        <v>0</v>
      </c>
      <c r="AG40" s="771">
        <v>0</v>
      </c>
      <c r="AH40" s="771">
        <v>0</v>
      </c>
      <c r="AI40" s="771">
        <v>0</v>
      </c>
      <c r="AJ40" s="771">
        <v>0</v>
      </c>
      <c r="AK40" s="771">
        <v>0</v>
      </c>
      <c r="AL40" s="771">
        <v>0</v>
      </c>
      <c r="AM40" s="771">
        <v>0</v>
      </c>
      <c r="AN40" s="771">
        <v>0</v>
      </c>
      <c r="AO40" s="771">
        <v>0</v>
      </c>
      <c r="AP40" s="771">
        <v>0</v>
      </c>
      <c r="AQ40" s="771">
        <v>0</v>
      </c>
      <c r="AR40" s="771">
        <v>0</v>
      </c>
      <c r="AS40" s="771">
        <v>0</v>
      </c>
      <c r="AT40" s="772">
        <v>0</v>
      </c>
      <c r="AU40" s="777"/>
      <c r="AV40" s="755">
        <f t="shared" si="0"/>
        <v>0</v>
      </c>
      <c r="AW40" s="749">
        <f t="shared" si="5"/>
        <v>0</v>
      </c>
      <c r="AX40" s="749">
        <f t="shared" si="5"/>
        <v>0</v>
      </c>
      <c r="AY40" s="749">
        <f t="shared" si="5"/>
        <v>0</v>
      </c>
      <c r="AZ40" s="749">
        <f t="shared" si="5"/>
        <v>0</v>
      </c>
      <c r="BA40" s="749">
        <f t="shared" si="5"/>
        <v>0</v>
      </c>
      <c r="BB40" s="749">
        <f t="shared" si="5"/>
        <v>0</v>
      </c>
      <c r="BC40" s="749">
        <f t="shared" si="5"/>
        <v>0</v>
      </c>
      <c r="BD40" s="749">
        <f t="shared" si="5"/>
        <v>0</v>
      </c>
      <c r="BE40" s="749">
        <f t="shared" si="6"/>
        <v>0</v>
      </c>
      <c r="BF40" s="749">
        <f t="shared" si="6"/>
        <v>0</v>
      </c>
      <c r="BG40" s="749">
        <f t="shared" si="6"/>
        <v>0</v>
      </c>
      <c r="BH40" s="749">
        <f t="shared" si="6"/>
        <v>0</v>
      </c>
      <c r="BI40" s="756">
        <f t="shared" si="7"/>
        <v>0</v>
      </c>
      <c r="BJ40" s="756">
        <f t="shared" si="7"/>
        <v>0</v>
      </c>
      <c r="BK40" s="756">
        <f t="shared" si="7"/>
        <v>0</v>
      </c>
      <c r="BL40" s="756">
        <f t="shared" si="7"/>
        <v>0</v>
      </c>
      <c r="BM40" s="756">
        <f t="shared" si="7"/>
        <v>0</v>
      </c>
      <c r="BN40" s="756">
        <f t="shared" si="7"/>
        <v>0</v>
      </c>
      <c r="BO40" s="756">
        <f t="shared" si="7"/>
        <v>0</v>
      </c>
      <c r="BP40" s="756">
        <f t="shared" si="7"/>
        <v>0</v>
      </c>
      <c r="BQ40" s="757">
        <f t="shared" si="4"/>
        <v>0</v>
      </c>
    </row>
    <row r="41" spans="1:69" s="748" customFormat="1">
      <c r="A41" s="748" t="s">
        <v>824</v>
      </c>
      <c r="B41" s="750" t="s">
        <v>574</v>
      </c>
      <c r="C41" s="760"/>
      <c r="D41" s="751">
        <v>0</v>
      </c>
      <c r="E41" s="752">
        <v>0</v>
      </c>
      <c r="F41" s="752">
        <v>0</v>
      </c>
      <c r="G41" s="752"/>
      <c r="H41" s="752"/>
      <c r="I41" s="752">
        <v>0</v>
      </c>
      <c r="J41" s="752"/>
      <c r="K41" s="752"/>
      <c r="L41" s="752"/>
      <c r="M41" s="752">
        <v>0</v>
      </c>
      <c r="N41" s="752"/>
      <c r="O41" s="752">
        <v>0</v>
      </c>
      <c r="P41" s="752">
        <v>0</v>
      </c>
      <c r="Q41" s="752">
        <v>0</v>
      </c>
      <c r="R41" s="752">
        <v>0</v>
      </c>
      <c r="S41" s="752">
        <v>0</v>
      </c>
      <c r="T41" s="752"/>
      <c r="U41" s="752">
        <v>0</v>
      </c>
      <c r="V41" s="752">
        <v>0</v>
      </c>
      <c r="W41" s="752">
        <v>0</v>
      </c>
      <c r="X41" s="759">
        <v>0</v>
      </c>
      <c r="Z41" s="773">
        <v>0</v>
      </c>
      <c r="AA41" s="771">
        <v>0</v>
      </c>
      <c r="AB41" s="771">
        <v>0</v>
      </c>
      <c r="AC41" s="771">
        <v>0</v>
      </c>
      <c r="AD41" s="771">
        <v>0</v>
      </c>
      <c r="AE41" s="771">
        <v>0</v>
      </c>
      <c r="AF41" s="771">
        <v>0</v>
      </c>
      <c r="AG41" s="771">
        <v>0</v>
      </c>
      <c r="AH41" s="771">
        <v>0</v>
      </c>
      <c r="AI41" s="771">
        <v>0</v>
      </c>
      <c r="AJ41" s="771">
        <v>0</v>
      </c>
      <c r="AK41" s="771">
        <v>0</v>
      </c>
      <c r="AL41" s="771">
        <v>0</v>
      </c>
      <c r="AM41" s="771">
        <v>0</v>
      </c>
      <c r="AN41" s="771">
        <v>0</v>
      </c>
      <c r="AO41" s="771">
        <v>0</v>
      </c>
      <c r="AP41" s="771">
        <v>0</v>
      </c>
      <c r="AQ41" s="771">
        <v>0</v>
      </c>
      <c r="AR41" s="771">
        <v>0</v>
      </c>
      <c r="AS41" s="771">
        <v>0</v>
      </c>
      <c r="AT41" s="772">
        <v>0</v>
      </c>
      <c r="AU41" s="777"/>
      <c r="AV41" s="755">
        <f t="shared" si="0"/>
        <v>0</v>
      </c>
      <c r="AW41" s="749">
        <f t="shared" si="5"/>
        <v>0</v>
      </c>
      <c r="AX41" s="749">
        <f t="shared" si="5"/>
        <v>0</v>
      </c>
      <c r="AY41" s="749">
        <f t="shared" si="5"/>
        <v>0</v>
      </c>
      <c r="AZ41" s="749">
        <f t="shared" si="5"/>
        <v>0</v>
      </c>
      <c r="BA41" s="749">
        <f t="shared" si="5"/>
        <v>0</v>
      </c>
      <c r="BB41" s="749">
        <f t="shared" si="5"/>
        <v>0</v>
      </c>
      <c r="BC41" s="749">
        <f t="shared" si="5"/>
        <v>0</v>
      </c>
      <c r="BD41" s="749">
        <f t="shared" si="5"/>
        <v>0</v>
      </c>
      <c r="BE41" s="749">
        <f t="shared" si="6"/>
        <v>0</v>
      </c>
      <c r="BF41" s="749">
        <f t="shared" si="6"/>
        <v>0</v>
      </c>
      <c r="BG41" s="749">
        <f t="shared" si="6"/>
        <v>0</v>
      </c>
      <c r="BH41" s="749">
        <f t="shared" si="6"/>
        <v>0</v>
      </c>
      <c r="BI41" s="756">
        <f t="shared" si="7"/>
        <v>0</v>
      </c>
      <c r="BJ41" s="756">
        <f t="shared" si="7"/>
        <v>0</v>
      </c>
      <c r="BK41" s="756">
        <f t="shared" si="7"/>
        <v>0</v>
      </c>
      <c r="BL41" s="756">
        <f t="shared" si="7"/>
        <v>0</v>
      </c>
      <c r="BM41" s="756">
        <f t="shared" si="7"/>
        <v>0</v>
      </c>
      <c r="BN41" s="756">
        <f t="shared" si="7"/>
        <v>0</v>
      </c>
      <c r="BO41" s="756">
        <f t="shared" si="7"/>
        <v>0</v>
      </c>
      <c r="BP41" s="756">
        <f t="shared" si="7"/>
        <v>0</v>
      </c>
      <c r="BQ41" s="757">
        <f t="shared" si="4"/>
        <v>0</v>
      </c>
    </row>
    <row r="42" spans="1:69" s="748" customFormat="1">
      <c r="A42" s="748" t="s">
        <v>825</v>
      </c>
      <c r="B42" s="750" t="s">
        <v>575</v>
      </c>
      <c r="C42" s="760"/>
      <c r="D42" s="751">
        <v>0</v>
      </c>
      <c r="E42" s="752">
        <v>0</v>
      </c>
      <c r="F42" s="752">
        <v>0</v>
      </c>
      <c r="G42" s="752"/>
      <c r="H42" s="752"/>
      <c r="I42" s="752">
        <v>0</v>
      </c>
      <c r="J42" s="752"/>
      <c r="K42" s="752"/>
      <c r="L42" s="752"/>
      <c r="M42" s="752">
        <v>0</v>
      </c>
      <c r="N42" s="752"/>
      <c r="O42" s="752">
        <v>0</v>
      </c>
      <c r="P42" s="752">
        <v>0</v>
      </c>
      <c r="Q42" s="752">
        <v>0</v>
      </c>
      <c r="R42" s="752">
        <v>0</v>
      </c>
      <c r="S42" s="752">
        <v>0</v>
      </c>
      <c r="T42" s="752"/>
      <c r="U42" s="752">
        <v>0</v>
      </c>
      <c r="V42" s="752">
        <v>0</v>
      </c>
      <c r="W42" s="752">
        <v>0</v>
      </c>
      <c r="X42" s="759">
        <v>0</v>
      </c>
      <c r="Z42" s="773">
        <v>0</v>
      </c>
      <c r="AA42" s="771">
        <v>0</v>
      </c>
      <c r="AB42" s="771">
        <v>0</v>
      </c>
      <c r="AC42" s="771">
        <v>0</v>
      </c>
      <c r="AD42" s="771">
        <v>0</v>
      </c>
      <c r="AE42" s="771">
        <v>0</v>
      </c>
      <c r="AF42" s="771">
        <v>0</v>
      </c>
      <c r="AG42" s="771">
        <v>0</v>
      </c>
      <c r="AH42" s="771">
        <v>0</v>
      </c>
      <c r="AI42" s="771">
        <v>0</v>
      </c>
      <c r="AJ42" s="771">
        <v>0</v>
      </c>
      <c r="AK42" s="771">
        <v>0</v>
      </c>
      <c r="AL42" s="771">
        <v>0</v>
      </c>
      <c r="AM42" s="771">
        <v>0</v>
      </c>
      <c r="AN42" s="771">
        <v>0</v>
      </c>
      <c r="AO42" s="771">
        <v>0</v>
      </c>
      <c r="AP42" s="771">
        <v>0</v>
      </c>
      <c r="AQ42" s="771">
        <v>0</v>
      </c>
      <c r="AR42" s="771">
        <v>0</v>
      </c>
      <c r="AS42" s="771">
        <v>0</v>
      </c>
      <c r="AT42" s="772">
        <v>0</v>
      </c>
      <c r="AU42" s="777"/>
      <c r="AV42" s="755">
        <f t="shared" si="0"/>
        <v>0</v>
      </c>
      <c r="AW42" s="749">
        <f t="shared" si="5"/>
        <v>0</v>
      </c>
      <c r="AX42" s="749">
        <f t="shared" si="5"/>
        <v>0</v>
      </c>
      <c r="AY42" s="749">
        <f t="shared" si="5"/>
        <v>0</v>
      </c>
      <c r="AZ42" s="749">
        <f t="shared" si="5"/>
        <v>0</v>
      </c>
      <c r="BA42" s="749">
        <f t="shared" si="5"/>
        <v>0</v>
      </c>
      <c r="BB42" s="749">
        <f t="shared" si="5"/>
        <v>0</v>
      </c>
      <c r="BC42" s="749">
        <f t="shared" si="5"/>
        <v>0</v>
      </c>
      <c r="BD42" s="749">
        <f t="shared" si="5"/>
        <v>0</v>
      </c>
      <c r="BE42" s="749">
        <f t="shared" si="6"/>
        <v>0</v>
      </c>
      <c r="BF42" s="749">
        <f t="shared" si="6"/>
        <v>0</v>
      </c>
      <c r="BG42" s="749">
        <f t="shared" si="6"/>
        <v>0</v>
      </c>
      <c r="BH42" s="749">
        <f t="shared" si="6"/>
        <v>0</v>
      </c>
      <c r="BI42" s="756">
        <f t="shared" si="7"/>
        <v>0</v>
      </c>
      <c r="BJ42" s="756">
        <f t="shared" si="7"/>
        <v>0</v>
      </c>
      <c r="BK42" s="756">
        <f t="shared" si="7"/>
        <v>0</v>
      </c>
      <c r="BL42" s="756">
        <f t="shared" si="7"/>
        <v>0</v>
      </c>
      <c r="BM42" s="756">
        <f t="shared" si="7"/>
        <v>0</v>
      </c>
      <c r="BN42" s="756">
        <f t="shared" si="7"/>
        <v>0</v>
      </c>
      <c r="BO42" s="756">
        <f t="shared" si="7"/>
        <v>0</v>
      </c>
      <c r="BP42" s="756">
        <f t="shared" si="7"/>
        <v>0</v>
      </c>
      <c r="BQ42" s="757">
        <f t="shared" si="4"/>
        <v>0</v>
      </c>
    </row>
    <row r="43" spans="1:69" s="748" customFormat="1">
      <c r="A43" s="748" t="s">
        <v>815</v>
      </c>
      <c r="B43" s="750" t="s">
        <v>602</v>
      </c>
      <c r="C43" s="760"/>
      <c r="D43" s="751">
        <v>5801</v>
      </c>
      <c r="E43" s="752">
        <v>0</v>
      </c>
      <c r="F43" s="752">
        <v>2.1800000000000002</v>
      </c>
      <c r="G43" s="752"/>
      <c r="H43" s="752"/>
      <c r="I43" s="752">
        <v>1.32</v>
      </c>
      <c r="J43" s="752"/>
      <c r="K43" s="752"/>
      <c r="L43" s="752"/>
      <c r="M43" s="752">
        <v>67.650000000000006</v>
      </c>
      <c r="N43" s="752"/>
      <c r="O43" s="752">
        <v>0</v>
      </c>
      <c r="P43" s="752">
        <v>0</v>
      </c>
      <c r="Q43" s="752">
        <v>0</v>
      </c>
      <c r="R43" s="752">
        <v>0</v>
      </c>
      <c r="S43" s="752">
        <v>0</v>
      </c>
      <c r="T43" s="752"/>
      <c r="U43" s="752">
        <v>0</v>
      </c>
      <c r="V43" s="752">
        <v>0</v>
      </c>
      <c r="W43" s="752">
        <v>0</v>
      </c>
      <c r="X43" s="759">
        <v>0</v>
      </c>
      <c r="Z43" s="773">
        <v>298.7522312755965</v>
      </c>
      <c r="AA43" s="771">
        <v>0</v>
      </c>
      <c r="AB43" s="771">
        <v>108710418.90768468</v>
      </c>
      <c r="AC43" s="771">
        <v>0</v>
      </c>
      <c r="AD43" s="771">
        <v>0</v>
      </c>
      <c r="AE43" s="771">
        <v>83655115.919262469</v>
      </c>
      <c r="AF43" s="771">
        <v>0</v>
      </c>
      <c r="AG43" s="771">
        <v>0</v>
      </c>
      <c r="AH43" s="771">
        <v>0</v>
      </c>
      <c r="AI43" s="771">
        <v>60926.089727361323</v>
      </c>
      <c r="AJ43" s="771">
        <v>0</v>
      </c>
      <c r="AK43" s="771">
        <v>0</v>
      </c>
      <c r="AL43" s="771">
        <v>0</v>
      </c>
      <c r="AM43" s="771">
        <v>0</v>
      </c>
      <c r="AN43" s="771">
        <v>0</v>
      </c>
      <c r="AO43" s="771">
        <v>0</v>
      </c>
      <c r="AP43" s="771">
        <v>0</v>
      </c>
      <c r="AQ43" s="771">
        <v>0</v>
      </c>
      <c r="AR43" s="771">
        <v>0</v>
      </c>
      <c r="AS43" s="771">
        <v>0</v>
      </c>
      <c r="AT43" s="772">
        <v>0</v>
      </c>
      <c r="AU43" s="777"/>
      <c r="AV43" s="755">
        <f t="shared" si="0"/>
        <v>1733061.6936297354</v>
      </c>
      <c r="AW43" s="749">
        <f t="shared" si="5"/>
        <v>0</v>
      </c>
      <c r="AX43" s="749">
        <f t="shared" si="5"/>
        <v>2369887.1321875262</v>
      </c>
      <c r="AY43" s="749">
        <f t="shared" si="5"/>
        <v>0</v>
      </c>
      <c r="AZ43" s="749">
        <f t="shared" si="5"/>
        <v>0</v>
      </c>
      <c r="BA43" s="749">
        <f t="shared" si="5"/>
        <v>1104247.5301342646</v>
      </c>
      <c r="BB43" s="749">
        <f t="shared" si="5"/>
        <v>0</v>
      </c>
      <c r="BC43" s="749">
        <f t="shared" si="5"/>
        <v>0</v>
      </c>
      <c r="BD43" s="749">
        <f t="shared" si="5"/>
        <v>0</v>
      </c>
      <c r="BE43" s="749">
        <f t="shared" si="6"/>
        <v>4121649.9700559936</v>
      </c>
      <c r="BF43" s="749">
        <f t="shared" si="6"/>
        <v>0</v>
      </c>
      <c r="BG43" s="749">
        <f t="shared" si="6"/>
        <v>0</v>
      </c>
      <c r="BH43" s="749">
        <f t="shared" si="6"/>
        <v>0</v>
      </c>
      <c r="BI43" s="756">
        <f t="shared" si="7"/>
        <v>0</v>
      </c>
      <c r="BJ43" s="756">
        <f t="shared" si="7"/>
        <v>0</v>
      </c>
      <c r="BK43" s="756">
        <f t="shared" si="7"/>
        <v>0</v>
      </c>
      <c r="BL43" s="756">
        <f t="shared" si="7"/>
        <v>0</v>
      </c>
      <c r="BM43" s="756">
        <f t="shared" si="7"/>
        <v>0</v>
      </c>
      <c r="BN43" s="756">
        <f t="shared" si="7"/>
        <v>0</v>
      </c>
      <c r="BO43" s="756">
        <f t="shared" si="7"/>
        <v>0</v>
      </c>
      <c r="BP43" s="756">
        <f t="shared" si="7"/>
        <v>0</v>
      </c>
      <c r="BQ43" s="757">
        <f t="shared" si="4"/>
        <v>9328846.3260075189</v>
      </c>
    </row>
    <row r="44" spans="1:69" s="748" customFormat="1">
      <c r="A44" s="748" t="s">
        <v>816</v>
      </c>
      <c r="B44" s="750" t="s">
        <v>603</v>
      </c>
      <c r="C44" s="760"/>
      <c r="D44" s="751">
        <v>5355</v>
      </c>
      <c r="E44" s="752">
        <v>0</v>
      </c>
      <c r="F44" s="752">
        <v>1.94</v>
      </c>
      <c r="G44" s="752"/>
      <c r="H44" s="752"/>
      <c r="I44" s="752">
        <v>1.21</v>
      </c>
      <c r="J44" s="752"/>
      <c r="K44" s="752"/>
      <c r="L44" s="752"/>
      <c r="M44" s="752">
        <v>60.88</v>
      </c>
      <c r="N44" s="752"/>
      <c r="O44" s="752">
        <v>0</v>
      </c>
      <c r="P44" s="752">
        <v>0</v>
      </c>
      <c r="Q44" s="752">
        <v>0</v>
      </c>
      <c r="R44" s="752">
        <v>0</v>
      </c>
      <c r="S44" s="752">
        <v>0</v>
      </c>
      <c r="T44" s="752"/>
      <c r="U44" s="752">
        <v>0</v>
      </c>
      <c r="V44" s="752">
        <v>0</v>
      </c>
      <c r="W44" s="752">
        <v>0</v>
      </c>
      <c r="X44" s="759">
        <v>0</v>
      </c>
      <c r="Z44" s="773">
        <v>1604.8126060804286</v>
      </c>
      <c r="AA44" s="771">
        <v>0</v>
      </c>
      <c r="AB44" s="771">
        <v>1135850755.9746237</v>
      </c>
      <c r="AC44" s="771">
        <v>0</v>
      </c>
      <c r="AD44" s="771">
        <v>0</v>
      </c>
      <c r="AE44" s="771">
        <v>836627917.92770362</v>
      </c>
      <c r="AF44" s="771">
        <v>0</v>
      </c>
      <c r="AG44" s="771">
        <v>0</v>
      </c>
      <c r="AH44" s="771">
        <v>0</v>
      </c>
      <c r="AI44" s="771">
        <v>641555.68425959919</v>
      </c>
      <c r="AJ44" s="771">
        <v>0</v>
      </c>
      <c r="AK44" s="771">
        <v>0</v>
      </c>
      <c r="AL44" s="771">
        <v>0</v>
      </c>
      <c r="AM44" s="771">
        <v>0</v>
      </c>
      <c r="AN44" s="771">
        <v>0</v>
      </c>
      <c r="AO44" s="771">
        <v>0</v>
      </c>
      <c r="AP44" s="771">
        <v>0</v>
      </c>
      <c r="AQ44" s="771">
        <v>0</v>
      </c>
      <c r="AR44" s="771">
        <v>0</v>
      </c>
      <c r="AS44" s="771">
        <v>0</v>
      </c>
      <c r="AT44" s="772">
        <v>0</v>
      </c>
      <c r="AU44" s="777"/>
      <c r="AV44" s="755">
        <f t="shared" si="0"/>
        <v>8593771.5055606961</v>
      </c>
      <c r="AW44" s="749">
        <f t="shared" si="5"/>
        <v>0</v>
      </c>
      <c r="AX44" s="749">
        <f t="shared" si="5"/>
        <v>22035504.6659077</v>
      </c>
      <c r="AY44" s="749">
        <f t="shared" si="5"/>
        <v>0</v>
      </c>
      <c r="AZ44" s="749">
        <f t="shared" si="5"/>
        <v>0</v>
      </c>
      <c r="BA44" s="749">
        <f t="shared" si="5"/>
        <v>10123197.806925213</v>
      </c>
      <c r="BB44" s="749">
        <f t="shared" si="5"/>
        <v>0</v>
      </c>
      <c r="BC44" s="749">
        <f t="shared" si="5"/>
        <v>0</v>
      </c>
      <c r="BD44" s="749">
        <f t="shared" si="5"/>
        <v>0</v>
      </c>
      <c r="BE44" s="749">
        <f t="shared" si="6"/>
        <v>39057910.057724401</v>
      </c>
      <c r="BF44" s="749">
        <f t="shared" si="6"/>
        <v>0</v>
      </c>
      <c r="BG44" s="749">
        <f t="shared" si="6"/>
        <v>0</v>
      </c>
      <c r="BH44" s="749">
        <f t="shared" si="6"/>
        <v>0</v>
      </c>
      <c r="BI44" s="756">
        <f t="shared" si="7"/>
        <v>0</v>
      </c>
      <c r="BJ44" s="756">
        <f t="shared" si="7"/>
        <v>0</v>
      </c>
      <c r="BK44" s="756">
        <f t="shared" si="7"/>
        <v>0</v>
      </c>
      <c r="BL44" s="756">
        <f t="shared" si="7"/>
        <v>0</v>
      </c>
      <c r="BM44" s="756">
        <f t="shared" si="7"/>
        <v>0</v>
      </c>
      <c r="BN44" s="756">
        <f t="shared" si="7"/>
        <v>0</v>
      </c>
      <c r="BO44" s="756">
        <f t="shared" si="7"/>
        <v>0</v>
      </c>
      <c r="BP44" s="756">
        <f t="shared" si="7"/>
        <v>0</v>
      </c>
      <c r="BQ44" s="757">
        <f t="shared" si="4"/>
        <v>79810384.036118001</v>
      </c>
    </row>
    <row r="45" spans="1:69" s="748" customFormat="1">
      <c r="A45" s="748" t="s">
        <v>826</v>
      </c>
      <c r="B45" s="750" t="s">
        <v>576</v>
      </c>
      <c r="C45" s="760"/>
      <c r="D45" s="751">
        <v>0</v>
      </c>
      <c r="E45" s="752">
        <v>0</v>
      </c>
      <c r="F45" s="752">
        <v>0</v>
      </c>
      <c r="G45" s="752"/>
      <c r="H45" s="752"/>
      <c r="I45" s="752">
        <v>0</v>
      </c>
      <c r="J45" s="752"/>
      <c r="K45" s="752"/>
      <c r="L45" s="752"/>
      <c r="M45" s="752">
        <v>0</v>
      </c>
      <c r="N45" s="752"/>
      <c r="O45" s="752">
        <v>0</v>
      </c>
      <c r="P45" s="752">
        <v>0</v>
      </c>
      <c r="Q45" s="752">
        <v>0</v>
      </c>
      <c r="R45" s="752">
        <v>0</v>
      </c>
      <c r="S45" s="752">
        <v>0</v>
      </c>
      <c r="T45" s="752"/>
      <c r="U45" s="752">
        <v>0</v>
      </c>
      <c r="V45" s="752">
        <v>0</v>
      </c>
      <c r="W45" s="752">
        <v>0</v>
      </c>
      <c r="X45" s="759">
        <v>0</v>
      </c>
      <c r="Z45" s="773">
        <v>0</v>
      </c>
      <c r="AA45" s="771">
        <v>0</v>
      </c>
      <c r="AB45" s="771">
        <v>0</v>
      </c>
      <c r="AC45" s="771">
        <v>0</v>
      </c>
      <c r="AD45" s="771">
        <v>0</v>
      </c>
      <c r="AE45" s="771">
        <v>0</v>
      </c>
      <c r="AF45" s="771">
        <v>0</v>
      </c>
      <c r="AG45" s="771">
        <v>0</v>
      </c>
      <c r="AH45" s="771">
        <v>0</v>
      </c>
      <c r="AI45" s="771">
        <v>0</v>
      </c>
      <c r="AJ45" s="771">
        <v>0</v>
      </c>
      <c r="AK45" s="771">
        <v>0</v>
      </c>
      <c r="AL45" s="771">
        <v>0</v>
      </c>
      <c r="AM45" s="771">
        <v>0</v>
      </c>
      <c r="AN45" s="771">
        <v>0</v>
      </c>
      <c r="AO45" s="771">
        <v>0</v>
      </c>
      <c r="AP45" s="771">
        <v>0</v>
      </c>
      <c r="AQ45" s="771">
        <v>0</v>
      </c>
      <c r="AR45" s="771">
        <v>0</v>
      </c>
      <c r="AS45" s="771">
        <v>0</v>
      </c>
      <c r="AT45" s="772">
        <v>0</v>
      </c>
      <c r="AU45" s="777"/>
      <c r="AV45" s="755">
        <f t="shared" si="0"/>
        <v>0</v>
      </c>
      <c r="AW45" s="749">
        <f t="shared" si="5"/>
        <v>0</v>
      </c>
      <c r="AX45" s="749">
        <f t="shared" si="5"/>
        <v>0</v>
      </c>
      <c r="AY45" s="749">
        <f t="shared" si="5"/>
        <v>0</v>
      </c>
      <c r="AZ45" s="749">
        <f t="shared" si="5"/>
        <v>0</v>
      </c>
      <c r="BA45" s="749">
        <f t="shared" si="5"/>
        <v>0</v>
      </c>
      <c r="BB45" s="749">
        <f t="shared" si="5"/>
        <v>0</v>
      </c>
      <c r="BC45" s="749">
        <f t="shared" si="5"/>
        <v>0</v>
      </c>
      <c r="BD45" s="749">
        <f t="shared" si="5"/>
        <v>0</v>
      </c>
      <c r="BE45" s="749">
        <f t="shared" si="6"/>
        <v>0</v>
      </c>
      <c r="BF45" s="749">
        <f t="shared" si="6"/>
        <v>0</v>
      </c>
      <c r="BG45" s="749">
        <f t="shared" si="6"/>
        <v>0</v>
      </c>
      <c r="BH45" s="749">
        <f t="shared" si="6"/>
        <v>0</v>
      </c>
      <c r="BI45" s="756">
        <f t="shared" si="7"/>
        <v>0</v>
      </c>
      <c r="BJ45" s="756">
        <f t="shared" si="7"/>
        <v>0</v>
      </c>
      <c r="BK45" s="756">
        <f t="shared" si="7"/>
        <v>0</v>
      </c>
      <c r="BL45" s="756">
        <f t="shared" si="7"/>
        <v>0</v>
      </c>
      <c r="BM45" s="756">
        <f t="shared" si="7"/>
        <v>0</v>
      </c>
      <c r="BN45" s="756">
        <f t="shared" si="7"/>
        <v>0</v>
      </c>
      <c r="BO45" s="756">
        <f t="shared" si="7"/>
        <v>0</v>
      </c>
      <c r="BP45" s="756">
        <f t="shared" si="7"/>
        <v>0</v>
      </c>
      <c r="BQ45" s="757">
        <f t="shared" si="4"/>
        <v>0</v>
      </c>
    </row>
    <row r="46" spans="1:69" s="748" customFormat="1">
      <c r="A46" s="748" t="s">
        <v>827</v>
      </c>
      <c r="B46" s="750" t="s">
        <v>577</v>
      </c>
      <c r="C46" s="760"/>
      <c r="D46" s="751">
        <v>0</v>
      </c>
      <c r="E46" s="752">
        <v>0</v>
      </c>
      <c r="F46" s="752">
        <v>0</v>
      </c>
      <c r="G46" s="752"/>
      <c r="H46" s="752"/>
      <c r="I46" s="752">
        <v>0</v>
      </c>
      <c r="J46" s="752"/>
      <c r="K46" s="752"/>
      <c r="L46" s="752"/>
      <c r="M46" s="752">
        <v>0</v>
      </c>
      <c r="N46" s="752"/>
      <c r="O46" s="752">
        <v>0</v>
      </c>
      <c r="P46" s="752">
        <v>0</v>
      </c>
      <c r="Q46" s="752">
        <v>0</v>
      </c>
      <c r="R46" s="752">
        <v>0</v>
      </c>
      <c r="S46" s="752">
        <v>0</v>
      </c>
      <c r="T46" s="752"/>
      <c r="U46" s="752">
        <v>0</v>
      </c>
      <c r="V46" s="752">
        <v>0</v>
      </c>
      <c r="W46" s="752">
        <v>0</v>
      </c>
      <c r="X46" s="759">
        <v>0</v>
      </c>
      <c r="Z46" s="773">
        <v>0</v>
      </c>
      <c r="AA46" s="771">
        <v>0</v>
      </c>
      <c r="AB46" s="771">
        <v>0</v>
      </c>
      <c r="AC46" s="771">
        <v>0</v>
      </c>
      <c r="AD46" s="771">
        <v>0</v>
      </c>
      <c r="AE46" s="771">
        <v>0</v>
      </c>
      <c r="AF46" s="771">
        <v>0</v>
      </c>
      <c r="AG46" s="771">
        <v>0</v>
      </c>
      <c r="AH46" s="771">
        <v>0</v>
      </c>
      <c r="AI46" s="771">
        <v>0</v>
      </c>
      <c r="AJ46" s="771">
        <v>0</v>
      </c>
      <c r="AK46" s="771">
        <v>0</v>
      </c>
      <c r="AL46" s="771">
        <v>0</v>
      </c>
      <c r="AM46" s="771">
        <v>0</v>
      </c>
      <c r="AN46" s="771">
        <v>0</v>
      </c>
      <c r="AO46" s="771">
        <v>0</v>
      </c>
      <c r="AP46" s="771">
        <v>0</v>
      </c>
      <c r="AQ46" s="771">
        <v>0</v>
      </c>
      <c r="AR46" s="771">
        <v>0</v>
      </c>
      <c r="AS46" s="771">
        <v>0</v>
      </c>
      <c r="AT46" s="754">
        <v>0</v>
      </c>
      <c r="AU46" s="777"/>
      <c r="AV46" s="755">
        <f t="shared" si="0"/>
        <v>0</v>
      </c>
      <c r="AW46" s="749">
        <f t="shared" si="5"/>
        <v>0</v>
      </c>
      <c r="AX46" s="749">
        <f t="shared" si="5"/>
        <v>0</v>
      </c>
      <c r="AY46" s="749">
        <f t="shared" si="5"/>
        <v>0</v>
      </c>
      <c r="AZ46" s="749">
        <f t="shared" si="5"/>
        <v>0</v>
      </c>
      <c r="BA46" s="749">
        <f t="shared" si="5"/>
        <v>0</v>
      </c>
      <c r="BB46" s="749">
        <f t="shared" si="5"/>
        <v>0</v>
      </c>
      <c r="BC46" s="749">
        <f t="shared" si="5"/>
        <v>0</v>
      </c>
      <c r="BD46" s="749">
        <f t="shared" si="5"/>
        <v>0</v>
      </c>
      <c r="BE46" s="749">
        <f t="shared" si="6"/>
        <v>0</v>
      </c>
      <c r="BF46" s="749">
        <f t="shared" si="6"/>
        <v>0</v>
      </c>
      <c r="BG46" s="749">
        <f t="shared" si="6"/>
        <v>0</v>
      </c>
      <c r="BH46" s="749">
        <f t="shared" si="6"/>
        <v>0</v>
      </c>
      <c r="BI46" s="756">
        <f t="shared" si="7"/>
        <v>0</v>
      </c>
      <c r="BJ46" s="756">
        <f t="shared" si="7"/>
        <v>0</v>
      </c>
      <c r="BK46" s="756">
        <f t="shared" si="7"/>
        <v>0</v>
      </c>
      <c r="BL46" s="756">
        <f t="shared" si="7"/>
        <v>0</v>
      </c>
      <c r="BM46" s="756">
        <f t="shared" si="7"/>
        <v>0</v>
      </c>
      <c r="BN46" s="756">
        <f t="shared" si="7"/>
        <v>0</v>
      </c>
      <c r="BO46" s="756">
        <f t="shared" si="7"/>
        <v>0</v>
      </c>
      <c r="BP46" s="756">
        <f t="shared" si="7"/>
        <v>0</v>
      </c>
      <c r="BQ46" s="757">
        <f t="shared" si="4"/>
        <v>0</v>
      </c>
    </row>
    <row r="47" spans="1:69" s="748" customFormat="1">
      <c r="A47" s="748" t="s">
        <v>828</v>
      </c>
      <c r="B47" s="750" t="s">
        <v>578</v>
      </c>
      <c r="C47" s="760"/>
      <c r="D47" s="751">
        <v>0</v>
      </c>
      <c r="E47" s="752">
        <v>0</v>
      </c>
      <c r="F47" s="752">
        <v>0</v>
      </c>
      <c r="G47" s="752"/>
      <c r="H47" s="752"/>
      <c r="I47" s="752">
        <v>0</v>
      </c>
      <c r="J47" s="752"/>
      <c r="K47" s="752"/>
      <c r="L47" s="752"/>
      <c r="M47" s="752">
        <v>0</v>
      </c>
      <c r="N47" s="752"/>
      <c r="O47" s="752">
        <v>0</v>
      </c>
      <c r="P47" s="752">
        <v>0</v>
      </c>
      <c r="Q47" s="752">
        <v>0</v>
      </c>
      <c r="R47" s="752">
        <v>0</v>
      </c>
      <c r="S47" s="752">
        <v>0</v>
      </c>
      <c r="T47" s="752"/>
      <c r="U47" s="752">
        <v>0</v>
      </c>
      <c r="V47" s="752">
        <v>0</v>
      </c>
      <c r="W47" s="752">
        <v>0</v>
      </c>
      <c r="X47" s="759">
        <v>0</v>
      </c>
      <c r="Z47" s="773">
        <v>0</v>
      </c>
      <c r="AA47" s="771">
        <v>0</v>
      </c>
      <c r="AB47" s="771">
        <v>0</v>
      </c>
      <c r="AC47" s="771">
        <v>0</v>
      </c>
      <c r="AD47" s="771">
        <v>0</v>
      </c>
      <c r="AE47" s="771">
        <v>0</v>
      </c>
      <c r="AF47" s="771">
        <v>0</v>
      </c>
      <c r="AG47" s="771">
        <v>0</v>
      </c>
      <c r="AH47" s="771">
        <v>0</v>
      </c>
      <c r="AI47" s="771">
        <v>0</v>
      </c>
      <c r="AJ47" s="771">
        <v>0</v>
      </c>
      <c r="AK47" s="771">
        <v>0</v>
      </c>
      <c r="AL47" s="771">
        <v>0</v>
      </c>
      <c r="AM47" s="771">
        <v>0</v>
      </c>
      <c r="AN47" s="771">
        <v>0</v>
      </c>
      <c r="AO47" s="771">
        <v>0</v>
      </c>
      <c r="AP47" s="771">
        <v>0</v>
      </c>
      <c r="AQ47" s="771">
        <v>0</v>
      </c>
      <c r="AR47" s="771">
        <v>0</v>
      </c>
      <c r="AS47" s="771">
        <v>0</v>
      </c>
      <c r="AT47" s="754">
        <v>0</v>
      </c>
      <c r="AU47" s="777"/>
      <c r="AV47" s="755">
        <f t="shared" si="0"/>
        <v>0</v>
      </c>
      <c r="AW47" s="749">
        <f t="shared" si="5"/>
        <v>0</v>
      </c>
      <c r="AX47" s="749">
        <f t="shared" si="5"/>
        <v>0</v>
      </c>
      <c r="AY47" s="749">
        <f t="shared" si="5"/>
        <v>0</v>
      </c>
      <c r="AZ47" s="749">
        <f t="shared" si="5"/>
        <v>0</v>
      </c>
      <c r="BA47" s="749">
        <f t="shared" si="5"/>
        <v>0</v>
      </c>
      <c r="BB47" s="749">
        <f t="shared" si="5"/>
        <v>0</v>
      </c>
      <c r="BC47" s="749">
        <f t="shared" si="5"/>
        <v>0</v>
      </c>
      <c r="BD47" s="749">
        <f t="shared" si="5"/>
        <v>0</v>
      </c>
      <c r="BE47" s="749">
        <f t="shared" si="6"/>
        <v>0</v>
      </c>
      <c r="BF47" s="749">
        <f t="shared" si="6"/>
        <v>0</v>
      </c>
      <c r="BG47" s="749">
        <f t="shared" si="6"/>
        <v>0</v>
      </c>
      <c r="BH47" s="749">
        <f t="shared" si="6"/>
        <v>0</v>
      </c>
      <c r="BI47" s="756">
        <f t="shared" si="7"/>
        <v>0</v>
      </c>
      <c r="BJ47" s="756">
        <f t="shared" si="7"/>
        <v>0</v>
      </c>
      <c r="BK47" s="756">
        <f t="shared" si="7"/>
        <v>0</v>
      </c>
      <c r="BL47" s="756">
        <f t="shared" si="7"/>
        <v>0</v>
      </c>
      <c r="BM47" s="756">
        <f t="shared" si="7"/>
        <v>0</v>
      </c>
      <c r="BN47" s="756">
        <f t="shared" si="7"/>
        <v>0</v>
      </c>
      <c r="BO47" s="756">
        <f t="shared" si="7"/>
        <v>0</v>
      </c>
      <c r="BP47" s="756">
        <f t="shared" si="7"/>
        <v>0</v>
      </c>
      <c r="BQ47" s="757">
        <f t="shared" si="4"/>
        <v>0</v>
      </c>
    </row>
    <row r="48" spans="1:69" s="748" customFormat="1">
      <c r="A48" s="748" t="s">
        <v>829</v>
      </c>
      <c r="B48" s="750" t="s">
        <v>579</v>
      </c>
      <c r="C48" s="760"/>
      <c r="D48" s="761">
        <v>0</v>
      </c>
      <c r="E48" s="758">
        <v>0</v>
      </c>
      <c r="F48" s="758">
        <v>0</v>
      </c>
      <c r="G48" s="758"/>
      <c r="H48" s="758"/>
      <c r="I48" s="758">
        <v>0</v>
      </c>
      <c r="J48" s="758"/>
      <c r="K48" s="758"/>
      <c r="L48" s="758"/>
      <c r="M48" s="758">
        <v>0</v>
      </c>
      <c r="N48" s="758"/>
      <c r="O48" s="758">
        <v>0</v>
      </c>
      <c r="P48" s="758">
        <v>0</v>
      </c>
      <c r="Q48" s="758">
        <v>0</v>
      </c>
      <c r="R48" s="758">
        <v>0</v>
      </c>
      <c r="S48" s="758">
        <v>0</v>
      </c>
      <c r="T48" s="758"/>
      <c r="U48" s="758">
        <v>0</v>
      </c>
      <c r="V48" s="758">
        <v>0</v>
      </c>
      <c r="W48" s="758">
        <v>0</v>
      </c>
      <c r="X48" s="764">
        <v>0</v>
      </c>
      <c r="Z48" s="770">
        <v>0</v>
      </c>
      <c r="AA48" s="771">
        <v>0</v>
      </c>
      <c r="AB48" s="771">
        <v>0</v>
      </c>
      <c r="AC48" s="771">
        <v>0</v>
      </c>
      <c r="AD48" s="771">
        <v>0</v>
      </c>
      <c r="AE48" s="771">
        <v>0</v>
      </c>
      <c r="AF48" s="771">
        <v>0</v>
      </c>
      <c r="AG48" s="771">
        <v>0</v>
      </c>
      <c r="AH48" s="771">
        <v>0</v>
      </c>
      <c r="AI48" s="771">
        <v>0</v>
      </c>
      <c r="AJ48" s="771">
        <v>0</v>
      </c>
      <c r="AK48" s="771">
        <v>0</v>
      </c>
      <c r="AL48" s="771">
        <v>0</v>
      </c>
      <c r="AM48" s="771">
        <v>0</v>
      </c>
      <c r="AN48" s="771">
        <v>0</v>
      </c>
      <c r="AO48" s="771">
        <v>0</v>
      </c>
      <c r="AP48" s="771">
        <v>0</v>
      </c>
      <c r="AQ48" s="771">
        <v>0</v>
      </c>
      <c r="AR48" s="771">
        <v>0</v>
      </c>
      <c r="AS48" s="771">
        <v>0</v>
      </c>
      <c r="AT48" s="754">
        <v>0</v>
      </c>
      <c r="AU48" s="777"/>
      <c r="AV48" s="755">
        <f t="shared" si="0"/>
        <v>0</v>
      </c>
      <c r="AW48" s="749">
        <f t="shared" si="5"/>
        <v>0</v>
      </c>
      <c r="AX48" s="749">
        <f t="shared" si="5"/>
        <v>0</v>
      </c>
      <c r="AY48" s="749">
        <f t="shared" si="5"/>
        <v>0</v>
      </c>
      <c r="AZ48" s="749">
        <f t="shared" si="5"/>
        <v>0</v>
      </c>
      <c r="BA48" s="749">
        <f t="shared" si="5"/>
        <v>0</v>
      </c>
      <c r="BB48" s="749">
        <f t="shared" si="5"/>
        <v>0</v>
      </c>
      <c r="BC48" s="749">
        <f t="shared" si="5"/>
        <v>0</v>
      </c>
      <c r="BD48" s="749">
        <f t="shared" si="5"/>
        <v>0</v>
      </c>
      <c r="BE48" s="749">
        <f t="shared" si="6"/>
        <v>0</v>
      </c>
      <c r="BF48" s="749">
        <f t="shared" si="6"/>
        <v>0</v>
      </c>
      <c r="BG48" s="749">
        <f t="shared" si="6"/>
        <v>0</v>
      </c>
      <c r="BH48" s="749">
        <f t="shared" si="6"/>
        <v>0</v>
      </c>
      <c r="BI48" s="756">
        <f t="shared" si="7"/>
        <v>0</v>
      </c>
      <c r="BJ48" s="756">
        <f t="shared" si="7"/>
        <v>0</v>
      </c>
      <c r="BK48" s="756">
        <f t="shared" si="7"/>
        <v>0</v>
      </c>
      <c r="BL48" s="756">
        <f t="shared" si="7"/>
        <v>0</v>
      </c>
      <c r="BM48" s="756">
        <f t="shared" si="7"/>
        <v>0</v>
      </c>
      <c r="BN48" s="756">
        <f t="shared" si="7"/>
        <v>0</v>
      </c>
      <c r="BO48" s="756">
        <f t="shared" si="7"/>
        <v>0</v>
      </c>
      <c r="BP48" s="756">
        <f t="shared" si="7"/>
        <v>0</v>
      </c>
      <c r="BQ48" s="757">
        <f t="shared" si="4"/>
        <v>0</v>
      </c>
    </row>
    <row r="49" spans="1:69" s="748" customFormat="1">
      <c r="A49" s="748" t="s">
        <v>817</v>
      </c>
      <c r="B49" s="750" t="s">
        <v>580</v>
      </c>
      <c r="C49" s="760"/>
      <c r="D49" s="761">
        <v>28600</v>
      </c>
      <c r="E49" s="758">
        <v>0</v>
      </c>
      <c r="F49" s="758">
        <v>1.1100000000000001</v>
      </c>
      <c r="G49" s="758"/>
      <c r="H49" s="758"/>
      <c r="I49" s="758">
        <v>0.56999999999999995</v>
      </c>
      <c r="J49" s="758"/>
      <c r="K49" s="758"/>
      <c r="L49" s="758"/>
      <c r="M49" s="758">
        <v>31.49</v>
      </c>
      <c r="N49" s="758"/>
      <c r="O49" s="758">
        <v>0</v>
      </c>
      <c r="P49" s="758">
        <v>0</v>
      </c>
      <c r="Q49" s="758">
        <v>0</v>
      </c>
      <c r="R49" s="758">
        <v>0</v>
      </c>
      <c r="S49" s="758">
        <v>0</v>
      </c>
      <c r="T49" s="758"/>
      <c r="U49" s="758">
        <v>0</v>
      </c>
      <c r="V49" s="758">
        <v>0</v>
      </c>
      <c r="W49" s="758">
        <v>0</v>
      </c>
      <c r="X49" s="764">
        <v>0</v>
      </c>
      <c r="Z49" s="770">
        <v>87.634181008555416</v>
      </c>
      <c r="AA49" s="771">
        <v>0</v>
      </c>
      <c r="AB49" s="771">
        <v>333095732.74128711</v>
      </c>
      <c r="AC49" s="771">
        <v>0</v>
      </c>
      <c r="AD49" s="771">
        <v>0</v>
      </c>
      <c r="AE49" s="771">
        <v>312746391.4920069</v>
      </c>
      <c r="AF49" s="771">
        <v>0</v>
      </c>
      <c r="AG49" s="771">
        <v>0</v>
      </c>
      <c r="AH49" s="771">
        <v>0</v>
      </c>
      <c r="AI49" s="771">
        <v>193029.51255495954</v>
      </c>
      <c r="AJ49" s="771">
        <v>0</v>
      </c>
      <c r="AK49" s="771">
        <v>0</v>
      </c>
      <c r="AL49" s="771">
        <v>0</v>
      </c>
      <c r="AM49" s="771">
        <v>0</v>
      </c>
      <c r="AN49" s="771">
        <v>0</v>
      </c>
      <c r="AO49" s="771">
        <v>0</v>
      </c>
      <c r="AP49" s="771">
        <v>0</v>
      </c>
      <c r="AQ49" s="771">
        <v>0</v>
      </c>
      <c r="AR49" s="771">
        <v>0</v>
      </c>
      <c r="AS49" s="771">
        <v>0</v>
      </c>
      <c r="AT49" s="754">
        <v>0</v>
      </c>
      <c r="AU49" s="777"/>
      <c r="AV49" s="755">
        <f t="shared" si="0"/>
        <v>2506337.5768446848</v>
      </c>
      <c r="AW49" s="749">
        <f t="shared" si="5"/>
        <v>0</v>
      </c>
      <c r="AX49" s="749">
        <f t="shared" si="5"/>
        <v>3697362.6334282872</v>
      </c>
      <c r="AY49" s="749">
        <f t="shared" si="5"/>
        <v>0</v>
      </c>
      <c r="AZ49" s="749">
        <f t="shared" si="5"/>
        <v>0</v>
      </c>
      <c r="BA49" s="749">
        <f t="shared" si="5"/>
        <v>1782654.4315044391</v>
      </c>
      <c r="BB49" s="749">
        <f t="shared" si="5"/>
        <v>0</v>
      </c>
      <c r="BC49" s="749">
        <f t="shared" si="5"/>
        <v>0</v>
      </c>
      <c r="BD49" s="749">
        <f t="shared" si="5"/>
        <v>0</v>
      </c>
      <c r="BE49" s="749">
        <f t="shared" si="6"/>
        <v>6078499.3503556754</v>
      </c>
      <c r="BF49" s="749">
        <f t="shared" si="6"/>
        <v>0</v>
      </c>
      <c r="BG49" s="749">
        <f t="shared" si="6"/>
        <v>0</v>
      </c>
      <c r="BH49" s="749">
        <f t="shared" si="6"/>
        <v>0</v>
      </c>
      <c r="BI49" s="756">
        <f t="shared" si="7"/>
        <v>0</v>
      </c>
      <c r="BJ49" s="756">
        <f t="shared" si="7"/>
        <v>0</v>
      </c>
      <c r="BK49" s="756">
        <f t="shared" si="7"/>
        <v>0</v>
      </c>
      <c r="BL49" s="756">
        <f t="shared" si="7"/>
        <v>0</v>
      </c>
      <c r="BM49" s="756">
        <f t="shared" si="7"/>
        <v>0</v>
      </c>
      <c r="BN49" s="756">
        <f t="shared" si="7"/>
        <v>0</v>
      </c>
      <c r="BO49" s="756">
        <f t="shared" si="7"/>
        <v>0</v>
      </c>
      <c r="BP49" s="756">
        <f t="shared" si="7"/>
        <v>0</v>
      </c>
      <c r="BQ49" s="757">
        <f t="shared" si="4"/>
        <v>14064853.992133087</v>
      </c>
    </row>
    <row r="50" spans="1:69" s="748" customFormat="1">
      <c r="A50" s="748" t="s">
        <v>830</v>
      </c>
      <c r="B50" s="750" t="s">
        <v>604</v>
      </c>
      <c r="C50" s="760"/>
      <c r="D50" s="761">
        <v>0</v>
      </c>
      <c r="E50" s="758">
        <v>0</v>
      </c>
      <c r="F50" s="758">
        <v>0</v>
      </c>
      <c r="G50" s="758"/>
      <c r="H50" s="758"/>
      <c r="I50" s="758">
        <v>0</v>
      </c>
      <c r="J50" s="758"/>
      <c r="K50" s="758"/>
      <c r="L50" s="758"/>
      <c r="M50" s="758">
        <v>0</v>
      </c>
      <c r="N50" s="758"/>
      <c r="O50" s="758">
        <v>0</v>
      </c>
      <c r="P50" s="758">
        <v>0</v>
      </c>
      <c r="Q50" s="758">
        <v>0</v>
      </c>
      <c r="R50" s="758">
        <v>0</v>
      </c>
      <c r="S50" s="758">
        <v>0</v>
      </c>
      <c r="T50" s="758"/>
      <c r="U50" s="758">
        <v>0</v>
      </c>
      <c r="V50" s="758">
        <v>0</v>
      </c>
      <c r="W50" s="758">
        <v>0</v>
      </c>
      <c r="X50" s="764">
        <v>0</v>
      </c>
      <c r="Z50" s="770">
        <v>0</v>
      </c>
      <c r="AA50" s="771">
        <v>0</v>
      </c>
      <c r="AB50" s="771">
        <v>0</v>
      </c>
      <c r="AC50" s="771">
        <v>0</v>
      </c>
      <c r="AD50" s="771">
        <v>0</v>
      </c>
      <c r="AE50" s="771">
        <v>0</v>
      </c>
      <c r="AF50" s="771">
        <v>0</v>
      </c>
      <c r="AG50" s="771">
        <v>0</v>
      </c>
      <c r="AH50" s="771">
        <v>0</v>
      </c>
      <c r="AI50" s="771">
        <v>0</v>
      </c>
      <c r="AJ50" s="771">
        <v>0</v>
      </c>
      <c r="AK50" s="771">
        <v>0</v>
      </c>
      <c r="AL50" s="771">
        <v>0</v>
      </c>
      <c r="AM50" s="771">
        <v>0</v>
      </c>
      <c r="AN50" s="771">
        <v>0</v>
      </c>
      <c r="AO50" s="771">
        <v>0</v>
      </c>
      <c r="AP50" s="771">
        <v>0</v>
      </c>
      <c r="AQ50" s="771">
        <v>0</v>
      </c>
      <c r="AR50" s="771">
        <v>0</v>
      </c>
      <c r="AS50" s="771">
        <v>0</v>
      </c>
      <c r="AT50" s="754">
        <v>0</v>
      </c>
      <c r="AU50" s="777"/>
      <c r="AV50" s="755">
        <f t="shared" si="0"/>
        <v>0</v>
      </c>
      <c r="AW50" s="749">
        <f t="shared" si="5"/>
        <v>0</v>
      </c>
      <c r="AX50" s="749">
        <f t="shared" si="5"/>
        <v>0</v>
      </c>
      <c r="AY50" s="749">
        <f t="shared" si="5"/>
        <v>0</v>
      </c>
      <c r="AZ50" s="749">
        <f t="shared" si="5"/>
        <v>0</v>
      </c>
      <c r="BA50" s="749">
        <f t="shared" si="5"/>
        <v>0</v>
      </c>
      <c r="BB50" s="749">
        <f t="shared" si="5"/>
        <v>0</v>
      </c>
      <c r="BC50" s="749">
        <f t="shared" si="5"/>
        <v>0</v>
      </c>
      <c r="BD50" s="749">
        <f t="shared" si="5"/>
        <v>0</v>
      </c>
      <c r="BE50" s="749">
        <f t="shared" si="6"/>
        <v>0</v>
      </c>
      <c r="BF50" s="749">
        <f t="shared" si="6"/>
        <v>0</v>
      </c>
      <c r="BG50" s="749">
        <f t="shared" si="6"/>
        <v>0</v>
      </c>
      <c r="BH50" s="749">
        <f t="shared" si="6"/>
        <v>0</v>
      </c>
      <c r="BI50" s="756">
        <f t="shared" si="7"/>
        <v>0</v>
      </c>
      <c r="BJ50" s="756">
        <f t="shared" si="7"/>
        <v>0</v>
      </c>
      <c r="BK50" s="756">
        <f t="shared" si="7"/>
        <v>0</v>
      </c>
      <c r="BL50" s="756">
        <f t="shared" si="7"/>
        <v>0</v>
      </c>
      <c r="BM50" s="756">
        <f t="shared" si="7"/>
        <v>0</v>
      </c>
      <c r="BN50" s="756">
        <f t="shared" si="7"/>
        <v>0</v>
      </c>
      <c r="BO50" s="756">
        <f t="shared" si="7"/>
        <v>0</v>
      </c>
      <c r="BP50" s="756">
        <f t="shared" si="7"/>
        <v>0</v>
      </c>
      <c r="BQ50" s="757">
        <f t="shared" si="4"/>
        <v>0</v>
      </c>
    </row>
    <row r="51" spans="1:69" s="748" customFormat="1">
      <c r="A51" s="748" t="s">
        <v>831</v>
      </c>
      <c r="B51" s="750" t="s">
        <v>581</v>
      </c>
      <c r="C51" s="760"/>
      <c r="D51" s="761">
        <v>0</v>
      </c>
      <c r="E51" s="758">
        <v>0</v>
      </c>
      <c r="F51" s="758">
        <v>0</v>
      </c>
      <c r="G51" s="758"/>
      <c r="H51" s="758"/>
      <c r="I51" s="758">
        <v>0</v>
      </c>
      <c r="J51" s="758"/>
      <c r="K51" s="758"/>
      <c r="L51" s="758"/>
      <c r="M51" s="758">
        <v>0</v>
      </c>
      <c r="N51" s="758"/>
      <c r="O51" s="758">
        <v>0</v>
      </c>
      <c r="P51" s="758">
        <v>0</v>
      </c>
      <c r="Q51" s="758">
        <v>0</v>
      </c>
      <c r="R51" s="758">
        <v>0</v>
      </c>
      <c r="S51" s="758">
        <v>0</v>
      </c>
      <c r="T51" s="758"/>
      <c r="U51" s="758">
        <v>0</v>
      </c>
      <c r="V51" s="758">
        <v>0</v>
      </c>
      <c r="W51" s="758">
        <v>0</v>
      </c>
      <c r="X51" s="764">
        <v>0</v>
      </c>
      <c r="Z51" s="770">
        <v>0</v>
      </c>
      <c r="AA51" s="771">
        <v>0</v>
      </c>
      <c r="AB51" s="771">
        <v>0</v>
      </c>
      <c r="AC51" s="771">
        <v>0</v>
      </c>
      <c r="AD51" s="771">
        <v>0</v>
      </c>
      <c r="AE51" s="771">
        <v>0</v>
      </c>
      <c r="AF51" s="771">
        <v>0</v>
      </c>
      <c r="AG51" s="771">
        <v>0</v>
      </c>
      <c r="AH51" s="771">
        <v>0</v>
      </c>
      <c r="AI51" s="771">
        <v>0</v>
      </c>
      <c r="AJ51" s="771">
        <v>0</v>
      </c>
      <c r="AK51" s="771">
        <v>0</v>
      </c>
      <c r="AL51" s="771">
        <v>0</v>
      </c>
      <c r="AM51" s="771">
        <v>0</v>
      </c>
      <c r="AN51" s="771">
        <v>0</v>
      </c>
      <c r="AO51" s="771">
        <v>0</v>
      </c>
      <c r="AP51" s="771">
        <v>0</v>
      </c>
      <c r="AQ51" s="771">
        <v>0</v>
      </c>
      <c r="AR51" s="771">
        <v>0</v>
      </c>
      <c r="AS51" s="771">
        <v>0</v>
      </c>
      <c r="AT51" s="754">
        <v>0</v>
      </c>
      <c r="AU51" s="777"/>
      <c r="AV51" s="755">
        <f t="shared" si="0"/>
        <v>0</v>
      </c>
      <c r="AW51" s="749">
        <f t="shared" si="5"/>
        <v>0</v>
      </c>
      <c r="AX51" s="749">
        <f t="shared" si="5"/>
        <v>0</v>
      </c>
      <c r="AY51" s="749">
        <f t="shared" si="5"/>
        <v>0</v>
      </c>
      <c r="AZ51" s="749">
        <f t="shared" si="5"/>
        <v>0</v>
      </c>
      <c r="BA51" s="749">
        <f t="shared" si="5"/>
        <v>0</v>
      </c>
      <c r="BB51" s="749">
        <f t="shared" si="5"/>
        <v>0</v>
      </c>
      <c r="BC51" s="749">
        <f t="shared" si="5"/>
        <v>0</v>
      </c>
      <c r="BD51" s="749">
        <f t="shared" si="5"/>
        <v>0</v>
      </c>
      <c r="BE51" s="749">
        <f t="shared" si="6"/>
        <v>0</v>
      </c>
      <c r="BF51" s="749">
        <f t="shared" si="6"/>
        <v>0</v>
      </c>
      <c r="BG51" s="749">
        <f t="shared" si="6"/>
        <v>0</v>
      </c>
      <c r="BH51" s="749">
        <f t="shared" si="6"/>
        <v>0</v>
      </c>
      <c r="BI51" s="756">
        <f t="shared" si="7"/>
        <v>0</v>
      </c>
      <c r="BJ51" s="756">
        <f t="shared" si="7"/>
        <v>0</v>
      </c>
      <c r="BK51" s="756">
        <f t="shared" si="7"/>
        <v>0</v>
      </c>
      <c r="BL51" s="756">
        <f t="shared" si="7"/>
        <v>0</v>
      </c>
      <c r="BM51" s="756">
        <f t="shared" si="7"/>
        <v>0</v>
      </c>
      <c r="BN51" s="756">
        <f t="shared" si="7"/>
        <v>0</v>
      </c>
      <c r="BO51" s="756">
        <f t="shared" si="7"/>
        <v>0</v>
      </c>
      <c r="BP51" s="756">
        <f t="shared" si="7"/>
        <v>0</v>
      </c>
      <c r="BQ51" s="757">
        <f t="shared" si="4"/>
        <v>0</v>
      </c>
    </row>
    <row r="52" spans="1:69" s="748" customFormat="1">
      <c r="A52" s="748" t="s">
        <v>818</v>
      </c>
      <c r="B52" s="750" t="s">
        <v>605</v>
      </c>
      <c r="C52" s="760"/>
      <c r="D52" s="761">
        <v>132000</v>
      </c>
      <c r="E52" s="758">
        <v>0</v>
      </c>
      <c r="F52" s="758">
        <v>0.11</v>
      </c>
      <c r="G52" s="758"/>
      <c r="H52" s="758"/>
      <c r="I52" s="758">
        <v>0.05</v>
      </c>
      <c r="J52" s="758"/>
      <c r="K52" s="758"/>
      <c r="L52" s="758"/>
      <c r="M52" s="758">
        <v>0.92</v>
      </c>
      <c r="N52" s="758"/>
      <c r="O52" s="758">
        <v>0</v>
      </c>
      <c r="P52" s="758">
        <v>0</v>
      </c>
      <c r="Q52" s="758">
        <v>0</v>
      </c>
      <c r="R52" s="758">
        <v>0</v>
      </c>
      <c r="S52" s="758">
        <v>0</v>
      </c>
      <c r="T52" s="758"/>
      <c r="U52" s="758">
        <v>0</v>
      </c>
      <c r="V52" s="758">
        <v>0</v>
      </c>
      <c r="W52" s="758">
        <v>0</v>
      </c>
      <c r="X52" s="764">
        <v>0</v>
      </c>
      <c r="Z52" s="770">
        <v>7</v>
      </c>
      <c r="AA52" s="771">
        <v>0</v>
      </c>
      <c r="AB52" s="771">
        <v>69561287.835062638</v>
      </c>
      <c r="AC52" s="771">
        <v>0</v>
      </c>
      <c r="AD52" s="771">
        <v>0</v>
      </c>
      <c r="AE52" s="771">
        <v>38922335.566263989</v>
      </c>
      <c r="AF52" s="771">
        <v>0</v>
      </c>
      <c r="AG52" s="771">
        <v>0</v>
      </c>
      <c r="AH52" s="771">
        <v>0</v>
      </c>
      <c r="AI52" s="771">
        <v>43550.418979469236</v>
      </c>
      <c r="AJ52" s="771">
        <v>0</v>
      </c>
      <c r="AK52" s="771">
        <v>0</v>
      </c>
      <c r="AL52" s="771">
        <v>0</v>
      </c>
      <c r="AM52" s="771">
        <v>0</v>
      </c>
      <c r="AN52" s="771">
        <v>0</v>
      </c>
      <c r="AO52" s="771">
        <v>0</v>
      </c>
      <c r="AP52" s="771">
        <v>0</v>
      </c>
      <c r="AQ52" s="771">
        <v>0</v>
      </c>
      <c r="AR52" s="771">
        <v>0</v>
      </c>
      <c r="AS52" s="771">
        <v>0</v>
      </c>
      <c r="AT52" s="754">
        <v>0</v>
      </c>
      <c r="AU52" s="777"/>
      <c r="AV52" s="755">
        <f t="shared" si="0"/>
        <v>924000</v>
      </c>
      <c r="AW52" s="749">
        <f t="shared" si="5"/>
        <v>0</v>
      </c>
      <c r="AX52" s="749">
        <f t="shared" si="5"/>
        <v>76517.41661856891</v>
      </c>
      <c r="AY52" s="749">
        <f t="shared" si="5"/>
        <v>0</v>
      </c>
      <c r="AZ52" s="749">
        <f t="shared" si="5"/>
        <v>0</v>
      </c>
      <c r="BA52" s="749">
        <f t="shared" si="5"/>
        <v>19461.167783131994</v>
      </c>
      <c r="BB52" s="749">
        <f t="shared" si="5"/>
        <v>0</v>
      </c>
      <c r="BC52" s="749">
        <f t="shared" si="5"/>
        <v>0</v>
      </c>
      <c r="BD52" s="749">
        <f t="shared" si="5"/>
        <v>0</v>
      </c>
      <c r="BE52" s="749">
        <f t="shared" si="6"/>
        <v>40066.385461111699</v>
      </c>
      <c r="BF52" s="749">
        <f t="shared" si="6"/>
        <v>0</v>
      </c>
      <c r="BG52" s="749">
        <f t="shared" si="6"/>
        <v>0</v>
      </c>
      <c r="BH52" s="749">
        <f t="shared" si="6"/>
        <v>0</v>
      </c>
      <c r="BI52" s="756">
        <f t="shared" si="7"/>
        <v>0</v>
      </c>
      <c r="BJ52" s="756">
        <f t="shared" si="7"/>
        <v>0</v>
      </c>
      <c r="BK52" s="756">
        <f t="shared" si="7"/>
        <v>0</v>
      </c>
      <c r="BL52" s="756">
        <f t="shared" si="7"/>
        <v>0</v>
      </c>
      <c r="BM52" s="756">
        <f t="shared" si="7"/>
        <v>0</v>
      </c>
      <c r="BN52" s="756">
        <f t="shared" si="7"/>
        <v>0</v>
      </c>
      <c r="BO52" s="756">
        <f t="shared" si="7"/>
        <v>0</v>
      </c>
      <c r="BP52" s="756">
        <f t="shared" si="7"/>
        <v>0</v>
      </c>
      <c r="BQ52" s="757">
        <f t="shared" si="4"/>
        <v>1060044.9698628127</v>
      </c>
    </row>
    <row r="53" spans="1:69">
      <c r="B53" s="238"/>
      <c r="C53" s="287"/>
      <c r="D53" s="288"/>
      <c r="E53" s="259"/>
      <c r="F53" s="259"/>
      <c r="G53" s="259"/>
      <c r="H53" s="259"/>
      <c r="I53" s="259"/>
      <c r="J53" s="259"/>
      <c r="K53" s="259"/>
      <c r="L53" s="259"/>
      <c r="M53" s="259"/>
      <c r="N53" s="259"/>
      <c r="O53" s="259"/>
      <c r="P53" s="259"/>
      <c r="Q53" s="259"/>
      <c r="R53" s="259"/>
      <c r="S53" s="259"/>
      <c r="T53" s="259"/>
      <c r="U53" s="259"/>
      <c r="V53" s="259"/>
      <c r="W53" s="259"/>
      <c r="X53" s="322"/>
      <c r="Z53" s="252"/>
      <c r="AA53" s="253"/>
      <c r="AB53" s="253"/>
      <c r="AC53" s="253"/>
      <c r="AD53" s="253"/>
      <c r="AE53" s="253"/>
      <c r="AF53" s="253"/>
      <c r="AG53" s="253"/>
      <c r="AH53" s="253"/>
      <c r="AI53" s="253"/>
      <c r="AJ53" s="253"/>
      <c r="AK53" s="253"/>
      <c r="AL53" s="253"/>
      <c r="AM53" s="253"/>
      <c r="AN53" s="253"/>
      <c r="AO53" s="253"/>
      <c r="AP53" s="253"/>
      <c r="AQ53" s="253"/>
      <c r="AR53" s="253"/>
      <c r="AS53" s="253"/>
      <c r="AT53" s="254"/>
      <c r="AU53" s="777"/>
      <c r="AV53" s="255">
        <f t="shared" ref="AV53:AV65" si="8">D53*Z53</f>
        <v>0</v>
      </c>
      <c r="AW53" s="224">
        <f t="shared" ref="AW53:AW65" si="9">E53/100*AA53</f>
        <v>0</v>
      </c>
      <c r="AX53" s="224">
        <f t="shared" ref="AX53:AX65" si="10">F53/100*AB53</f>
        <v>0</v>
      </c>
      <c r="AY53" s="224">
        <f t="shared" ref="AY53:AY65" si="11">G53/100*AC53</f>
        <v>0</v>
      </c>
      <c r="AZ53" s="224">
        <f t="shared" ref="AZ53:AZ65" si="12">H53/100*AD53</f>
        <v>0</v>
      </c>
      <c r="BA53" s="224">
        <f t="shared" ref="BA53:BA65" si="13">I53/100*AE53</f>
        <v>0</v>
      </c>
      <c r="BB53" s="224">
        <f t="shared" ref="BB53:BB65" si="14">J53/100*AF53</f>
        <v>0</v>
      </c>
      <c r="BC53" s="224">
        <f t="shared" ref="BC53:BC65" si="15">K53/100*AG53</f>
        <v>0</v>
      </c>
      <c r="BD53" s="224">
        <f t="shared" ref="BD53:BD65" si="16">L53/100*AH53</f>
        <v>0</v>
      </c>
      <c r="BE53" s="224">
        <f t="shared" ref="BE53:BE65" si="17">M53*AI53</f>
        <v>0</v>
      </c>
      <c r="BF53" s="224">
        <f t="shared" ref="BF53:BF65" si="18">N53*AJ53</f>
        <v>0</v>
      </c>
      <c r="BG53" s="224">
        <f t="shared" ref="BG53:BG65" si="19">O53*AK53</f>
        <v>0</v>
      </c>
      <c r="BH53" s="224">
        <f t="shared" ref="BH53:BH65" si="20">P53*AL53</f>
        <v>0</v>
      </c>
      <c r="BI53" s="256">
        <f t="shared" ref="BI53:BI65" si="21">Q53/100*AM53</f>
        <v>0</v>
      </c>
      <c r="BJ53" s="256">
        <f t="shared" ref="BJ53:BJ65" si="22">R53/100*AN53</f>
        <v>0</v>
      </c>
      <c r="BK53" s="256">
        <f t="shared" ref="BK53:BK65" si="23">S53/100*AO53</f>
        <v>0</v>
      </c>
      <c r="BL53" s="256">
        <f t="shared" ref="BL53:BL65" si="24">T53/100*AP53</f>
        <v>0</v>
      </c>
      <c r="BM53" s="256">
        <f t="shared" ref="BM53:BM65" si="25">U53/100*AQ53</f>
        <v>0</v>
      </c>
      <c r="BN53" s="256">
        <f t="shared" ref="BN53:BN65" si="26">V53/100*AR53</f>
        <v>0</v>
      </c>
      <c r="BO53" s="256">
        <f t="shared" ref="BO53:BO65" si="27">W53/100*AS53</f>
        <v>0</v>
      </c>
      <c r="BP53" s="256">
        <f t="shared" ref="BP53:BP65" si="28">X53/100*AT53</f>
        <v>0</v>
      </c>
      <c r="BQ53" s="257">
        <f t="shared" ref="BQ53:BQ65" si="29">SUM(AV53:BP53)</f>
        <v>0</v>
      </c>
    </row>
    <row r="54" spans="1:69">
      <c r="B54" s="238"/>
      <c r="C54" s="287"/>
      <c r="D54" s="288"/>
      <c r="E54" s="259"/>
      <c r="F54" s="259"/>
      <c r="G54" s="259"/>
      <c r="H54" s="259"/>
      <c r="I54" s="259"/>
      <c r="J54" s="259"/>
      <c r="K54" s="259"/>
      <c r="L54" s="259"/>
      <c r="M54" s="259"/>
      <c r="N54" s="259"/>
      <c r="O54" s="259"/>
      <c r="P54" s="259"/>
      <c r="Q54" s="259"/>
      <c r="R54" s="259"/>
      <c r="S54" s="259"/>
      <c r="T54" s="259"/>
      <c r="U54" s="259"/>
      <c r="V54" s="259"/>
      <c r="W54" s="259"/>
      <c r="X54" s="322"/>
      <c r="Z54" s="252"/>
      <c r="AA54" s="253"/>
      <c r="AB54" s="253"/>
      <c r="AC54" s="253"/>
      <c r="AD54" s="253"/>
      <c r="AE54" s="253"/>
      <c r="AF54" s="253"/>
      <c r="AG54" s="253"/>
      <c r="AH54" s="253"/>
      <c r="AI54" s="253"/>
      <c r="AJ54" s="253"/>
      <c r="AK54" s="253"/>
      <c r="AL54" s="253"/>
      <c r="AM54" s="253"/>
      <c r="AN54" s="253"/>
      <c r="AO54" s="253"/>
      <c r="AP54" s="253"/>
      <c r="AQ54" s="253"/>
      <c r="AR54" s="253"/>
      <c r="AS54" s="253"/>
      <c r="AT54" s="254"/>
      <c r="AU54" s="777"/>
      <c r="AV54" s="255">
        <f t="shared" si="8"/>
        <v>0</v>
      </c>
      <c r="AW54" s="224">
        <f t="shared" si="9"/>
        <v>0</v>
      </c>
      <c r="AX54" s="224">
        <f t="shared" si="10"/>
        <v>0</v>
      </c>
      <c r="AY54" s="224">
        <f t="shared" si="11"/>
        <v>0</v>
      </c>
      <c r="AZ54" s="224">
        <f t="shared" si="12"/>
        <v>0</v>
      </c>
      <c r="BA54" s="224">
        <f t="shared" si="13"/>
        <v>0</v>
      </c>
      <c r="BB54" s="224">
        <f t="shared" si="14"/>
        <v>0</v>
      </c>
      <c r="BC54" s="224">
        <f t="shared" si="15"/>
        <v>0</v>
      </c>
      <c r="BD54" s="224">
        <f t="shared" si="16"/>
        <v>0</v>
      </c>
      <c r="BE54" s="224">
        <f t="shared" si="17"/>
        <v>0</v>
      </c>
      <c r="BF54" s="224">
        <f t="shared" si="18"/>
        <v>0</v>
      </c>
      <c r="BG54" s="224">
        <f t="shared" si="19"/>
        <v>0</v>
      </c>
      <c r="BH54" s="224">
        <f t="shared" si="20"/>
        <v>0</v>
      </c>
      <c r="BI54" s="256">
        <f t="shared" si="21"/>
        <v>0</v>
      </c>
      <c r="BJ54" s="256">
        <f t="shared" si="22"/>
        <v>0</v>
      </c>
      <c r="BK54" s="256">
        <f t="shared" si="23"/>
        <v>0</v>
      </c>
      <c r="BL54" s="256">
        <f t="shared" si="24"/>
        <v>0</v>
      </c>
      <c r="BM54" s="256">
        <f t="shared" si="25"/>
        <v>0</v>
      </c>
      <c r="BN54" s="256">
        <f t="shared" si="26"/>
        <v>0</v>
      </c>
      <c r="BO54" s="256">
        <f t="shared" si="27"/>
        <v>0</v>
      </c>
      <c r="BP54" s="256">
        <f t="shared" si="28"/>
        <v>0</v>
      </c>
      <c r="BQ54" s="257">
        <f t="shared" si="29"/>
        <v>0</v>
      </c>
    </row>
    <row r="55" spans="1:69">
      <c r="B55" s="238"/>
      <c r="C55" s="287"/>
      <c r="D55" s="288"/>
      <c r="E55" s="259"/>
      <c r="F55" s="259"/>
      <c r="G55" s="259"/>
      <c r="H55" s="259"/>
      <c r="I55" s="259"/>
      <c r="J55" s="259"/>
      <c r="K55" s="259"/>
      <c r="L55" s="259"/>
      <c r="M55" s="259"/>
      <c r="N55" s="259"/>
      <c r="O55" s="259"/>
      <c r="P55" s="259"/>
      <c r="Q55" s="259"/>
      <c r="R55" s="259"/>
      <c r="S55" s="259"/>
      <c r="T55" s="259"/>
      <c r="U55" s="259"/>
      <c r="V55" s="259"/>
      <c r="W55" s="259"/>
      <c r="X55" s="322"/>
      <c r="Z55" s="252"/>
      <c r="AA55" s="253"/>
      <c r="AB55" s="253"/>
      <c r="AC55" s="253"/>
      <c r="AD55" s="253"/>
      <c r="AE55" s="253"/>
      <c r="AF55" s="253"/>
      <c r="AG55" s="253"/>
      <c r="AH55" s="253"/>
      <c r="AI55" s="253"/>
      <c r="AJ55" s="253"/>
      <c r="AK55" s="253"/>
      <c r="AL55" s="253"/>
      <c r="AM55" s="253"/>
      <c r="AN55" s="253"/>
      <c r="AO55" s="253"/>
      <c r="AP55" s="253"/>
      <c r="AQ55" s="253"/>
      <c r="AR55" s="253"/>
      <c r="AS55" s="253"/>
      <c r="AT55" s="254"/>
      <c r="AU55" s="777"/>
      <c r="AV55" s="255">
        <f t="shared" si="8"/>
        <v>0</v>
      </c>
      <c r="AW55" s="224">
        <f t="shared" si="9"/>
        <v>0</v>
      </c>
      <c r="AX55" s="224">
        <f t="shared" si="10"/>
        <v>0</v>
      </c>
      <c r="AY55" s="224">
        <f t="shared" si="11"/>
        <v>0</v>
      </c>
      <c r="AZ55" s="224">
        <f t="shared" si="12"/>
        <v>0</v>
      </c>
      <c r="BA55" s="224">
        <f t="shared" si="13"/>
        <v>0</v>
      </c>
      <c r="BB55" s="224">
        <f t="shared" si="14"/>
        <v>0</v>
      </c>
      <c r="BC55" s="224">
        <f t="shared" si="15"/>
        <v>0</v>
      </c>
      <c r="BD55" s="224">
        <f t="shared" si="16"/>
        <v>0</v>
      </c>
      <c r="BE55" s="224">
        <f t="shared" si="17"/>
        <v>0</v>
      </c>
      <c r="BF55" s="224">
        <f t="shared" si="18"/>
        <v>0</v>
      </c>
      <c r="BG55" s="224">
        <f t="shared" si="19"/>
        <v>0</v>
      </c>
      <c r="BH55" s="224">
        <f t="shared" si="20"/>
        <v>0</v>
      </c>
      <c r="BI55" s="256">
        <f t="shared" si="21"/>
        <v>0</v>
      </c>
      <c r="BJ55" s="256">
        <f t="shared" si="22"/>
        <v>0</v>
      </c>
      <c r="BK55" s="256">
        <f t="shared" si="23"/>
        <v>0</v>
      </c>
      <c r="BL55" s="256">
        <f t="shared" si="24"/>
        <v>0</v>
      </c>
      <c r="BM55" s="256">
        <f t="shared" si="25"/>
        <v>0</v>
      </c>
      <c r="BN55" s="256">
        <f t="shared" si="26"/>
        <v>0</v>
      </c>
      <c r="BO55" s="256">
        <f t="shared" si="27"/>
        <v>0</v>
      </c>
      <c r="BP55" s="256">
        <f t="shared" si="28"/>
        <v>0</v>
      </c>
      <c r="BQ55" s="257">
        <f t="shared" si="29"/>
        <v>0</v>
      </c>
    </row>
    <row r="56" spans="1:69">
      <c r="B56" s="238"/>
      <c r="C56" s="287"/>
      <c r="D56" s="288"/>
      <c r="E56" s="259"/>
      <c r="F56" s="259"/>
      <c r="G56" s="259"/>
      <c r="H56" s="259"/>
      <c r="I56" s="259"/>
      <c r="J56" s="259"/>
      <c r="K56" s="259"/>
      <c r="L56" s="259"/>
      <c r="M56" s="259"/>
      <c r="N56" s="259"/>
      <c r="O56" s="259"/>
      <c r="P56" s="259"/>
      <c r="Q56" s="259"/>
      <c r="R56" s="259"/>
      <c r="S56" s="259"/>
      <c r="T56" s="259"/>
      <c r="U56" s="259"/>
      <c r="V56" s="259"/>
      <c r="W56" s="259"/>
      <c r="X56" s="322"/>
      <c r="Z56" s="252"/>
      <c r="AA56" s="253"/>
      <c r="AB56" s="253"/>
      <c r="AC56" s="253"/>
      <c r="AD56" s="253"/>
      <c r="AE56" s="253"/>
      <c r="AF56" s="253"/>
      <c r="AG56" s="253"/>
      <c r="AH56" s="253"/>
      <c r="AI56" s="253"/>
      <c r="AJ56" s="253"/>
      <c r="AK56" s="253"/>
      <c r="AL56" s="253"/>
      <c r="AM56" s="253"/>
      <c r="AN56" s="253"/>
      <c r="AO56" s="253"/>
      <c r="AP56" s="253"/>
      <c r="AQ56" s="253"/>
      <c r="AR56" s="253"/>
      <c r="AS56" s="253"/>
      <c r="AT56" s="254"/>
      <c r="AU56" s="777"/>
      <c r="AV56" s="255">
        <f t="shared" si="8"/>
        <v>0</v>
      </c>
      <c r="AW56" s="224">
        <f t="shared" si="9"/>
        <v>0</v>
      </c>
      <c r="AX56" s="224">
        <f t="shared" si="10"/>
        <v>0</v>
      </c>
      <c r="AY56" s="224">
        <f t="shared" si="11"/>
        <v>0</v>
      </c>
      <c r="AZ56" s="224">
        <f t="shared" si="12"/>
        <v>0</v>
      </c>
      <c r="BA56" s="224">
        <f t="shared" si="13"/>
        <v>0</v>
      </c>
      <c r="BB56" s="224">
        <f t="shared" si="14"/>
        <v>0</v>
      </c>
      <c r="BC56" s="224">
        <f t="shared" si="15"/>
        <v>0</v>
      </c>
      <c r="BD56" s="224">
        <f t="shared" si="16"/>
        <v>0</v>
      </c>
      <c r="BE56" s="224">
        <f t="shared" si="17"/>
        <v>0</v>
      </c>
      <c r="BF56" s="224">
        <f t="shared" si="18"/>
        <v>0</v>
      </c>
      <c r="BG56" s="224">
        <f t="shared" si="19"/>
        <v>0</v>
      </c>
      <c r="BH56" s="224">
        <f t="shared" si="20"/>
        <v>0</v>
      </c>
      <c r="BI56" s="256">
        <f t="shared" si="21"/>
        <v>0</v>
      </c>
      <c r="BJ56" s="256">
        <f t="shared" si="22"/>
        <v>0</v>
      </c>
      <c r="BK56" s="256">
        <f t="shared" si="23"/>
        <v>0</v>
      </c>
      <c r="BL56" s="256">
        <f t="shared" si="24"/>
        <v>0</v>
      </c>
      <c r="BM56" s="256">
        <f t="shared" si="25"/>
        <v>0</v>
      </c>
      <c r="BN56" s="256">
        <f t="shared" si="26"/>
        <v>0</v>
      </c>
      <c r="BO56" s="256">
        <f t="shared" si="27"/>
        <v>0</v>
      </c>
      <c r="BP56" s="256">
        <f t="shared" si="28"/>
        <v>0</v>
      </c>
      <c r="BQ56" s="257">
        <f t="shared" si="29"/>
        <v>0</v>
      </c>
    </row>
    <row r="57" spans="1:69">
      <c r="B57" s="238"/>
      <c r="C57" s="287"/>
      <c r="D57" s="288"/>
      <c r="E57" s="259"/>
      <c r="F57" s="259"/>
      <c r="G57" s="259"/>
      <c r="H57" s="259"/>
      <c r="I57" s="259"/>
      <c r="J57" s="259"/>
      <c r="K57" s="259"/>
      <c r="L57" s="259"/>
      <c r="M57" s="259"/>
      <c r="N57" s="259"/>
      <c r="O57" s="259"/>
      <c r="P57" s="259"/>
      <c r="Q57" s="259"/>
      <c r="R57" s="259"/>
      <c r="S57" s="259"/>
      <c r="T57" s="259"/>
      <c r="U57" s="259"/>
      <c r="V57" s="259"/>
      <c r="W57" s="259"/>
      <c r="X57" s="322"/>
      <c r="Z57" s="252"/>
      <c r="AA57" s="253"/>
      <c r="AB57" s="253"/>
      <c r="AC57" s="253"/>
      <c r="AD57" s="253"/>
      <c r="AE57" s="253"/>
      <c r="AF57" s="253"/>
      <c r="AG57" s="253"/>
      <c r="AH57" s="253"/>
      <c r="AI57" s="253"/>
      <c r="AJ57" s="253"/>
      <c r="AK57" s="253"/>
      <c r="AL57" s="253"/>
      <c r="AM57" s="253"/>
      <c r="AN57" s="253"/>
      <c r="AO57" s="253"/>
      <c r="AP57" s="253"/>
      <c r="AQ57" s="253"/>
      <c r="AR57" s="253"/>
      <c r="AS57" s="253"/>
      <c r="AT57" s="254"/>
      <c r="AU57" s="777"/>
      <c r="AV57" s="255">
        <f t="shared" si="8"/>
        <v>0</v>
      </c>
      <c r="AW57" s="224">
        <f t="shared" si="9"/>
        <v>0</v>
      </c>
      <c r="AX57" s="224">
        <f t="shared" si="10"/>
        <v>0</v>
      </c>
      <c r="AY57" s="224">
        <f t="shared" si="11"/>
        <v>0</v>
      </c>
      <c r="AZ57" s="224">
        <f t="shared" si="12"/>
        <v>0</v>
      </c>
      <c r="BA57" s="224">
        <f t="shared" si="13"/>
        <v>0</v>
      </c>
      <c r="BB57" s="224">
        <f t="shared" si="14"/>
        <v>0</v>
      </c>
      <c r="BC57" s="224">
        <f t="shared" si="15"/>
        <v>0</v>
      </c>
      <c r="BD57" s="224">
        <f t="shared" si="16"/>
        <v>0</v>
      </c>
      <c r="BE57" s="224">
        <f t="shared" si="17"/>
        <v>0</v>
      </c>
      <c r="BF57" s="224">
        <f t="shared" si="18"/>
        <v>0</v>
      </c>
      <c r="BG57" s="224">
        <f t="shared" si="19"/>
        <v>0</v>
      </c>
      <c r="BH57" s="224">
        <f t="shared" si="20"/>
        <v>0</v>
      </c>
      <c r="BI57" s="256">
        <f t="shared" si="21"/>
        <v>0</v>
      </c>
      <c r="BJ57" s="256">
        <f t="shared" si="22"/>
        <v>0</v>
      </c>
      <c r="BK57" s="256">
        <f t="shared" si="23"/>
        <v>0</v>
      </c>
      <c r="BL57" s="256">
        <f t="shared" si="24"/>
        <v>0</v>
      </c>
      <c r="BM57" s="256">
        <f t="shared" si="25"/>
        <v>0</v>
      </c>
      <c r="BN57" s="256">
        <f t="shared" si="26"/>
        <v>0</v>
      </c>
      <c r="BO57" s="256">
        <f t="shared" si="27"/>
        <v>0</v>
      </c>
      <c r="BP57" s="256">
        <f t="shared" si="28"/>
        <v>0</v>
      </c>
      <c r="BQ57" s="257">
        <f t="shared" si="29"/>
        <v>0</v>
      </c>
    </row>
    <row r="58" spans="1:69">
      <c r="B58" s="238"/>
      <c r="C58" s="287"/>
      <c r="D58" s="288"/>
      <c r="E58" s="259"/>
      <c r="F58" s="259"/>
      <c r="G58" s="259"/>
      <c r="H58" s="259"/>
      <c r="I58" s="259"/>
      <c r="J58" s="259"/>
      <c r="K58" s="259"/>
      <c r="L58" s="259"/>
      <c r="M58" s="259"/>
      <c r="N58" s="259"/>
      <c r="O58" s="259"/>
      <c r="P58" s="259"/>
      <c r="Q58" s="259"/>
      <c r="R58" s="259"/>
      <c r="S58" s="259"/>
      <c r="T58" s="259"/>
      <c r="U58" s="259"/>
      <c r="V58" s="259"/>
      <c r="W58" s="259"/>
      <c r="X58" s="322"/>
      <c r="Z58" s="252"/>
      <c r="AA58" s="253"/>
      <c r="AB58" s="253"/>
      <c r="AC58" s="253"/>
      <c r="AD58" s="253"/>
      <c r="AE58" s="253"/>
      <c r="AF58" s="253"/>
      <c r="AG58" s="253"/>
      <c r="AH58" s="253"/>
      <c r="AI58" s="253"/>
      <c r="AJ58" s="253"/>
      <c r="AK58" s="253"/>
      <c r="AL58" s="253"/>
      <c r="AM58" s="253"/>
      <c r="AN58" s="253"/>
      <c r="AO58" s="253"/>
      <c r="AP58" s="253"/>
      <c r="AQ58" s="253"/>
      <c r="AR58" s="253"/>
      <c r="AS58" s="253"/>
      <c r="AT58" s="254"/>
      <c r="AU58" s="777"/>
      <c r="AV58" s="255">
        <f t="shared" si="8"/>
        <v>0</v>
      </c>
      <c r="AW58" s="224">
        <f t="shared" si="9"/>
        <v>0</v>
      </c>
      <c r="AX58" s="224">
        <f t="shared" si="10"/>
        <v>0</v>
      </c>
      <c r="AY58" s="224">
        <f t="shared" si="11"/>
        <v>0</v>
      </c>
      <c r="AZ58" s="224">
        <f t="shared" si="12"/>
        <v>0</v>
      </c>
      <c r="BA58" s="224">
        <f t="shared" si="13"/>
        <v>0</v>
      </c>
      <c r="BB58" s="224">
        <f t="shared" si="14"/>
        <v>0</v>
      </c>
      <c r="BC58" s="224">
        <f t="shared" si="15"/>
        <v>0</v>
      </c>
      <c r="BD58" s="224">
        <f t="shared" si="16"/>
        <v>0</v>
      </c>
      <c r="BE58" s="224">
        <f t="shared" si="17"/>
        <v>0</v>
      </c>
      <c r="BF58" s="224">
        <f t="shared" si="18"/>
        <v>0</v>
      </c>
      <c r="BG58" s="224">
        <f t="shared" si="19"/>
        <v>0</v>
      </c>
      <c r="BH58" s="224">
        <f t="shared" si="20"/>
        <v>0</v>
      </c>
      <c r="BI58" s="256">
        <f t="shared" si="21"/>
        <v>0</v>
      </c>
      <c r="BJ58" s="256">
        <f t="shared" si="22"/>
        <v>0</v>
      </c>
      <c r="BK58" s="256">
        <f t="shared" si="23"/>
        <v>0</v>
      </c>
      <c r="BL58" s="256">
        <f t="shared" si="24"/>
        <v>0</v>
      </c>
      <c r="BM58" s="256">
        <f t="shared" si="25"/>
        <v>0</v>
      </c>
      <c r="BN58" s="256">
        <f t="shared" si="26"/>
        <v>0</v>
      </c>
      <c r="BO58" s="256">
        <f t="shared" si="27"/>
        <v>0</v>
      </c>
      <c r="BP58" s="256">
        <f t="shared" si="28"/>
        <v>0</v>
      </c>
      <c r="BQ58" s="257">
        <f t="shared" si="29"/>
        <v>0</v>
      </c>
    </row>
    <row r="59" spans="1:69">
      <c r="B59" s="238"/>
      <c r="C59" s="287"/>
      <c r="D59" s="288"/>
      <c r="E59" s="259"/>
      <c r="F59" s="259"/>
      <c r="G59" s="259"/>
      <c r="H59" s="259"/>
      <c r="I59" s="259"/>
      <c r="J59" s="259"/>
      <c r="K59" s="259"/>
      <c r="L59" s="259"/>
      <c r="M59" s="259"/>
      <c r="N59" s="259"/>
      <c r="O59" s="259"/>
      <c r="P59" s="259"/>
      <c r="Q59" s="259"/>
      <c r="R59" s="259"/>
      <c r="S59" s="259"/>
      <c r="T59" s="259"/>
      <c r="U59" s="259"/>
      <c r="V59" s="259"/>
      <c r="W59" s="259"/>
      <c r="X59" s="322"/>
      <c r="Z59" s="252"/>
      <c r="AA59" s="253"/>
      <c r="AB59" s="253"/>
      <c r="AC59" s="253"/>
      <c r="AD59" s="253"/>
      <c r="AE59" s="253"/>
      <c r="AF59" s="253"/>
      <c r="AG59" s="253"/>
      <c r="AH59" s="253"/>
      <c r="AI59" s="253"/>
      <c r="AJ59" s="253"/>
      <c r="AK59" s="253"/>
      <c r="AL59" s="253"/>
      <c r="AM59" s="253"/>
      <c r="AN59" s="253"/>
      <c r="AO59" s="253"/>
      <c r="AP59" s="253"/>
      <c r="AQ59" s="253"/>
      <c r="AR59" s="253"/>
      <c r="AS59" s="253"/>
      <c r="AT59" s="254"/>
      <c r="AU59" s="777"/>
      <c r="AV59" s="255">
        <f t="shared" si="8"/>
        <v>0</v>
      </c>
      <c r="AW59" s="224">
        <f t="shared" si="9"/>
        <v>0</v>
      </c>
      <c r="AX59" s="224">
        <f t="shared" si="10"/>
        <v>0</v>
      </c>
      <c r="AY59" s="224">
        <f t="shared" si="11"/>
        <v>0</v>
      </c>
      <c r="AZ59" s="224">
        <f t="shared" si="12"/>
        <v>0</v>
      </c>
      <c r="BA59" s="224">
        <f t="shared" si="13"/>
        <v>0</v>
      </c>
      <c r="BB59" s="224">
        <f t="shared" si="14"/>
        <v>0</v>
      </c>
      <c r="BC59" s="224">
        <f t="shared" si="15"/>
        <v>0</v>
      </c>
      <c r="BD59" s="224">
        <f t="shared" si="16"/>
        <v>0</v>
      </c>
      <c r="BE59" s="224">
        <f t="shared" si="17"/>
        <v>0</v>
      </c>
      <c r="BF59" s="224">
        <f t="shared" si="18"/>
        <v>0</v>
      </c>
      <c r="BG59" s="224">
        <f t="shared" si="19"/>
        <v>0</v>
      </c>
      <c r="BH59" s="224">
        <f t="shared" si="20"/>
        <v>0</v>
      </c>
      <c r="BI59" s="256">
        <f t="shared" si="21"/>
        <v>0</v>
      </c>
      <c r="BJ59" s="256">
        <f t="shared" si="22"/>
        <v>0</v>
      </c>
      <c r="BK59" s="256">
        <f t="shared" si="23"/>
        <v>0</v>
      </c>
      <c r="BL59" s="256">
        <f t="shared" si="24"/>
        <v>0</v>
      </c>
      <c r="BM59" s="256">
        <f t="shared" si="25"/>
        <v>0</v>
      </c>
      <c r="BN59" s="256">
        <f t="shared" si="26"/>
        <v>0</v>
      </c>
      <c r="BO59" s="256">
        <f t="shared" si="27"/>
        <v>0</v>
      </c>
      <c r="BP59" s="256">
        <f t="shared" si="28"/>
        <v>0</v>
      </c>
      <c r="BQ59" s="257">
        <f t="shared" si="29"/>
        <v>0</v>
      </c>
    </row>
    <row r="60" spans="1:69">
      <c r="B60" s="238"/>
      <c r="C60" s="287"/>
      <c r="D60" s="288"/>
      <c r="E60" s="259"/>
      <c r="F60" s="259"/>
      <c r="G60" s="259"/>
      <c r="H60" s="259"/>
      <c r="I60" s="259"/>
      <c r="J60" s="259"/>
      <c r="K60" s="259"/>
      <c r="L60" s="259"/>
      <c r="M60" s="259"/>
      <c r="N60" s="259"/>
      <c r="O60" s="259"/>
      <c r="P60" s="259"/>
      <c r="Q60" s="259"/>
      <c r="R60" s="259"/>
      <c r="S60" s="259"/>
      <c r="T60" s="259"/>
      <c r="U60" s="259"/>
      <c r="V60" s="259"/>
      <c r="W60" s="259"/>
      <c r="X60" s="322"/>
      <c r="Z60" s="252"/>
      <c r="AA60" s="253"/>
      <c r="AB60" s="253"/>
      <c r="AC60" s="253"/>
      <c r="AD60" s="253"/>
      <c r="AE60" s="253"/>
      <c r="AF60" s="253"/>
      <c r="AG60" s="253"/>
      <c r="AH60" s="253"/>
      <c r="AI60" s="253"/>
      <c r="AJ60" s="253"/>
      <c r="AK60" s="253"/>
      <c r="AL60" s="253"/>
      <c r="AM60" s="253"/>
      <c r="AN60" s="253"/>
      <c r="AO60" s="253"/>
      <c r="AP60" s="253"/>
      <c r="AQ60" s="253"/>
      <c r="AR60" s="253"/>
      <c r="AS60" s="253"/>
      <c r="AT60" s="254"/>
      <c r="AU60" s="777"/>
      <c r="AV60" s="255">
        <f t="shared" si="8"/>
        <v>0</v>
      </c>
      <c r="AW60" s="224">
        <f t="shared" si="9"/>
        <v>0</v>
      </c>
      <c r="AX60" s="224">
        <f t="shared" si="10"/>
        <v>0</v>
      </c>
      <c r="AY60" s="224">
        <f t="shared" si="11"/>
        <v>0</v>
      </c>
      <c r="AZ60" s="224">
        <f t="shared" si="12"/>
        <v>0</v>
      </c>
      <c r="BA60" s="224">
        <f t="shared" si="13"/>
        <v>0</v>
      </c>
      <c r="BB60" s="224">
        <f t="shared" si="14"/>
        <v>0</v>
      </c>
      <c r="BC60" s="224">
        <f t="shared" si="15"/>
        <v>0</v>
      </c>
      <c r="BD60" s="224">
        <f t="shared" si="16"/>
        <v>0</v>
      </c>
      <c r="BE60" s="224">
        <f t="shared" si="17"/>
        <v>0</v>
      </c>
      <c r="BF60" s="224">
        <f t="shared" si="18"/>
        <v>0</v>
      </c>
      <c r="BG60" s="224">
        <f t="shared" si="19"/>
        <v>0</v>
      </c>
      <c r="BH60" s="224">
        <f t="shared" si="20"/>
        <v>0</v>
      </c>
      <c r="BI60" s="256">
        <f t="shared" si="21"/>
        <v>0</v>
      </c>
      <c r="BJ60" s="256">
        <f t="shared" si="22"/>
        <v>0</v>
      </c>
      <c r="BK60" s="256">
        <f t="shared" si="23"/>
        <v>0</v>
      </c>
      <c r="BL60" s="256">
        <f t="shared" si="24"/>
        <v>0</v>
      </c>
      <c r="BM60" s="256">
        <f t="shared" si="25"/>
        <v>0</v>
      </c>
      <c r="BN60" s="256">
        <f t="shared" si="26"/>
        <v>0</v>
      </c>
      <c r="BO60" s="256">
        <f t="shared" si="27"/>
        <v>0</v>
      </c>
      <c r="BP60" s="256">
        <f t="shared" si="28"/>
        <v>0</v>
      </c>
      <c r="BQ60" s="257">
        <f t="shared" si="29"/>
        <v>0</v>
      </c>
    </row>
    <row r="61" spans="1:69">
      <c r="B61" s="238"/>
      <c r="C61" s="287"/>
      <c r="D61" s="288"/>
      <c r="E61" s="259"/>
      <c r="F61" s="259"/>
      <c r="G61" s="259"/>
      <c r="H61" s="259"/>
      <c r="I61" s="259"/>
      <c r="J61" s="259"/>
      <c r="K61" s="259"/>
      <c r="L61" s="259"/>
      <c r="M61" s="259"/>
      <c r="N61" s="259"/>
      <c r="O61" s="259"/>
      <c r="P61" s="259"/>
      <c r="Q61" s="259"/>
      <c r="R61" s="259"/>
      <c r="S61" s="259"/>
      <c r="T61" s="259"/>
      <c r="U61" s="259"/>
      <c r="V61" s="259"/>
      <c r="W61" s="259"/>
      <c r="X61" s="322"/>
      <c r="Z61" s="252"/>
      <c r="AA61" s="253"/>
      <c r="AB61" s="253"/>
      <c r="AC61" s="253"/>
      <c r="AD61" s="253"/>
      <c r="AE61" s="253"/>
      <c r="AF61" s="253"/>
      <c r="AG61" s="253"/>
      <c r="AH61" s="253"/>
      <c r="AI61" s="253"/>
      <c r="AJ61" s="253"/>
      <c r="AK61" s="253"/>
      <c r="AL61" s="253"/>
      <c r="AM61" s="253"/>
      <c r="AN61" s="253"/>
      <c r="AO61" s="253"/>
      <c r="AP61" s="253"/>
      <c r="AQ61" s="253"/>
      <c r="AR61" s="253"/>
      <c r="AS61" s="253"/>
      <c r="AT61" s="254"/>
      <c r="AU61" s="777"/>
      <c r="AV61" s="255">
        <f t="shared" si="8"/>
        <v>0</v>
      </c>
      <c r="AW61" s="224">
        <f t="shared" si="9"/>
        <v>0</v>
      </c>
      <c r="AX61" s="224">
        <f t="shared" si="10"/>
        <v>0</v>
      </c>
      <c r="AY61" s="224">
        <f t="shared" si="11"/>
        <v>0</v>
      </c>
      <c r="AZ61" s="224">
        <f t="shared" si="12"/>
        <v>0</v>
      </c>
      <c r="BA61" s="224">
        <f t="shared" si="13"/>
        <v>0</v>
      </c>
      <c r="BB61" s="224">
        <f t="shared" si="14"/>
        <v>0</v>
      </c>
      <c r="BC61" s="224">
        <f t="shared" si="15"/>
        <v>0</v>
      </c>
      <c r="BD61" s="224">
        <f t="shared" si="16"/>
        <v>0</v>
      </c>
      <c r="BE61" s="224">
        <f t="shared" si="17"/>
        <v>0</v>
      </c>
      <c r="BF61" s="224">
        <f t="shared" si="18"/>
        <v>0</v>
      </c>
      <c r="BG61" s="224">
        <f t="shared" si="19"/>
        <v>0</v>
      </c>
      <c r="BH61" s="224">
        <f t="shared" si="20"/>
        <v>0</v>
      </c>
      <c r="BI61" s="256">
        <f t="shared" si="21"/>
        <v>0</v>
      </c>
      <c r="BJ61" s="256">
        <f t="shared" si="22"/>
        <v>0</v>
      </c>
      <c r="BK61" s="256">
        <f t="shared" si="23"/>
        <v>0</v>
      </c>
      <c r="BL61" s="256">
        <f t="shared" si="24"/>
        <v>0</v>
      </c>
      <c r="BM61" s="256">
        <f t="shared" si="25"/>
        <v>0</v>
      </c>
      <c r="BN61" s="256">
        <f t="shared" si="26"/>
        <v>0</v>
      </c>
      <c r="BO61" s="256">
        <f t="shared" si="27"/>
        <v>0</v>
      </c>
      <c r="BP61" s="256">
        <f t="shared" si="28"/>
        <v>0</v>
      </c>
      <c r="BQ61" s="257">
        <f t="shared" si="29"/>
        <v>0</v>
      </c>
    </row>
    <row r="62" spans="1:69">
      <c r="B62" s="238"/>
      <c r="C62" s="287"/>
      <c r="D62" s="288"/>
      <c r="E62" s="259"/>
      <c r="F62" s="259"/>
      <c r="G62" s="259"/>
      <c r="H62" s="259"/>
      <c r="I62" s="259"/>
      <c r="J62" s="259"/>
      <c r="K62" s="259"/>
      <c r="L62" s="259"/>
      <c r="M62" s="259"/>
      <c r="N62" s="259"/>
      <c r="O62" s="259"/>
      <c r="P62" s="259"/>
      <c r="Q62" s="259"/>
      <c r="R62" s="259"/>
      <c r="S62" s="259"/>
      <c r="T62" s="259"/>
      <c r="U62" s="259"/>
      <c r="V62" s="259"/>
      <c r="W62" s="259"/>
      <c r="X62" s="322"/>
      <c r="Z62" s="252"/>
      <c r="AA62" s="253"/>
      <c r="AB62" s="253"/>
      <c r="AC62" s="253"/>
      <c r="AD62" s="253"/>
      <c r="AE62" s="253"/>
      <c r="AF62" s="253"/>
      <c r="AG62" s="253"/>
      <c r="AH62" s="253"/>
      <c r="AI62" s="253"/>
      <c r="AJ62" s="253"/>
      <c r="AK62" s="253"/>
      <c r="AL62" s="253"/>
      <c r="AM62" s="253"/>
      <c r="AN62" s="253"/>
      <c r="AO62" s="253"/>
      <c r="AP62" s="253"/>
      <c r="AQ62" s="253"/>
      <c r="AR62" s="253"/>
      <c r="AS62" s="253"/>
      <c r="AT62" s="254"/>
      <c r="AU62" s="777"/>
      <c r="AV62" s="255">
        <f t="shared" si="8"/>
        <v>0</v>
      </c>
      <c r="AW62" s="224">
        <f t="shared" si="9"/>
        <v>0</v>
      </c>
      <c r="AX62" s="224">
        <f t="shared" si="10"/>
        <v>0</v>
      </c>
      <c r="AY62" s="224">
        <f t="shared" si="11"/>
        <v>0</v>
      </c>
      <c r="AZ62" s="224">
        <f t="shared" si="12"/>
        <v>0</v>
      </c>
      <c r="BA62" s="224">
        <f t="shared" si="13"/>
        <v>0</v>
      </c>
      <c r="BB62" s="224">
        <f t="shared" si="14"/>
        <v>0</v>
      </c>
      <c r="BC62" s="224">
        <f t="shared" si="15"/>
        <v>0</v>
      </c>
      <c r="BD62" s="224">
        <f t="shared" si="16"/>
        <v>0</v>
      </c>
      <c r="BE62" s="224">
        <f t="shared" si="17"/>
        <v>0</v>
      </c>
      <c r="BF62" s="224">
        <f t="shared" si="18"/>
        <v>0</v>
      </c>
      <c r="BG62" s="224">
        <f t="shared" si="19"/>
        <v>0</v>
      </c>
      <c r="BH62" s="224">
        <f t="shared" si="20"/>
        <v>0</v>
      </c>
      <c r="BI62" s="256">
        <f t="shared" si="21"/>
        <v>0</v>
      </c>
      <c r="BJ62" s="256">
        <f t="shared" si="22"/>
        <v>0</v>
      </c>
      <c r="BK62" s="256">
        <f t="shared" si="23"/>
        <v>0</v>
      </c>
      <c r="BL62" s="256">
        <f t="shared" si="24"/>
        <v>0</v>
      </c>
      <c r="BM62" s="256">
        <f t="shared" si="25"/>
        <v>0</v>
      </c>
      <c r="BN62" s="256">
        <f t="shared" si="26"/>
        <v>0</v>
      </c>
      <c r="BO62" s="256">
        <f t="shared" si="27"/>
        <v>0</v>
      </c>
      <c r="BP62" s="256">
        <f t="shared" si="28"/>
        <v>0</v>
      </c>
      <c r="BQ62" s="257">
        <f t="shared" si="29"/>
        <v>0</v>
      </c>
    </row>
    <row r="63" spans="1:69">
      <c r="B63" s="238"/>
      <c r="C63" s="287"/>
      <c r="D63" s="288"/>
      <c r="E63" s="259"/>
      <c r="F63" s="259"/>
      <c r="G63" s="259"/>
      <c r="H63" s="259"/>
      <c r="I63" s="259"/>
      <c r="J63" s="259"/>
      <c r="K63" s="259"/>
      <c r="L63" s="259"/>
      <c r="M63" s="259"/>
      <c r="N63" s="259"/>
      <c r="O63" s="259"/>
      <c r="P63" s="259"/>
      <c r="Q63" s="259"/>
      <c r="R63" s="259"/>
      <c r="S63" s="259"/>
      <c r="T63" s="259"/>
      <c r="U63" s="259"/>
      <c r="V63" s="259"/>
      <c r="W63" s="259"/>
      <c r="X63" s="322"/>
      <c r="Z63" s="252"/>
      <c r="AA63" s="253"/>
      <c r="AB63" s="253"/>
      <c r="AC63" s="253"/>
      <c r="AD63" s="253"/>
      <c r="AE63" s="253"/>
      <c r="AF63" s="253"/>
      <c r="AG63" s="253"/>
      <c r="AH63" s="253"/>
      <c r="AI63" s="253"/>
      <c r="AJ63" s="253"/>
      <c r="AK63" s="253"/>
      <c r="AL63" s="253"/>
      <c r="AM63" s="253"/>
      <c r="AN63" s="253"/>
      <c r="AO63" s="253"/>
      <c r="AP63" s="253"/>
      <c r="AQ63" s="253"/>
      <c r="AR63" s="253"/>
      <c r="AS63" s="253"/>
      <c r="AT63" s="254"/>
      <c r="AU63" s="777"/>
      <c r="AV63" s="255">
        <f t="shared" si="8"/>
        <v>0</v>
      </c>
      <c r="AW63" s="224">
        <f t="shared" si="9"/>
        <v>0</v>
      </c>
      <c r="AX63" s="224">
        <f t="shared" si="10"/>
        <v>0</v>
      </c>
      <c r="AY63" s="224">
        <f t="shared" si="11"/>
        <v>0</v>
      </c>
      <c r="AZ63" s="224">
        <f t="shared" si="12"/>
        <v>0</v>
      </c>
      <c r="BA63" s="224">
        <f t="shared" si="13"/>
        <v>0</v>
      </c>
      <c r="BB63" s="224">
        <f t="shared" si="14"/>
        <v>0</v>
      </c>
      <c r="BC63" s="224">
        <f t="shared" si="15"/>
        <v>0</v>
      </c>
      <c r="BD63" s="224">
        <f t="shared" si="16"/>
        <v>0</v>
      </c>
      <c r="BE63" s="224">
        <f t="shared" si="17"/>
        <v>0</v>
      </c>
      <c r="BF63" s="224">
        <f t="shared" si="18"/>
        <v>0</v>
      </c>
      <c r="BG63" s="224">
        <f t="shared" si="19"/>
        <v>0</v>
      </c>
      <c r="BH63" s="224">
        <f t="shared" si="20"/>
        <v>0</v>
      </c>
      <c r="BI63" s="256">
        <f t="shared" si="21"/>
        <v>0</v>
      </c>
      <c r="BJ63" s="256">
        <f t="shared" si="22"/>
        <v>0</v>
      </c>
      <c r="BK63" s="256">
        <f t="shared" si="23"/>
        <v>0</v>
      </c>
      <c r="BL63" s="256">
        <f t="shared" si="24"/>
        <v>0</v>
      </c>
      <c r="BM63" s="256">
        <f t="shared" si="25"/>
        <v>0</v>
      </c>
      <c r="BN63" s="256">
        <f t="shared" si="26"/>
        <v>0</v>
      </c>
      <c r="BO63" s="256">
        <f t="shared" si="27"/>
        <v>0</v>
      </c>
      <c r="BP63" s="256">
        <f t="shared" si="28"/>
        <v>0</v>
      </c>
      <c r="BQ63" s="257">
        <f t="shared" si="29"/>
        <v>0</v>
      </c>
    </row>
    <row r="64" spans="1:69">
      <c r="B64" s="238"/>
      <c r="C64" s="287"/>
      <c r="D64" s="288"/>
      <c r="E64" s="259"/>
      <c r="F64" s="259"/>
      <c r="G64" s="259"/>
      <c r="H64" s="259"/>
      <c r="I64" s="259"/>
      <c r="J64" s="259"/>
      <c r="K64" s="259"/>
      <c r="L64" s="259"/>
      <c r="M64" s="259"/>
      <c r="N64" s="259"/>
      <c r="O64" s="259"/>
      <c r="P64" s="259"/>
      <c r="Q64" s="259"/>
      <c r="R64" s="259"/>
      <c r="S64" s="259"/>
      <c r="T64" s="259"/>
      <c r="U64" s="259"/>
      <c r="V64" s="259"/>
      <c r="W64" s="259"/>
      <c r="X64" s="322"/>
      <c r="Z64" s="252"/>
      <c r="AA64" s="253"/>
      <c r="AB64" s="253"/>
      <c r="AC64" s="253"/>
      <c r="AD64" s="253"/>
      <c r="AE64" s="253"/>
      <c r="AF64" s="253"/>
      <c r="AG64" s="253"/>
      <c r="AH64" s="253"/>
      <c r="AI64" s="253"/>
      <c r="AJ64" s="253"/>
      <c r="AK64" s="253"/>
      <c r="AL64" s="253"/>
      <c r="AM64" s="253"/>
      <c r="AN64" s="253"/>
      <c r="AO64" s="253"/>
      <c r="AP64" s="253"/>
      <c r="AQ64" s="253"/>
      <c r="AR64" s="253"/>
      <c r="AS64" s="253"/>
      <c r="AT64" s="254"/>
      <c r="AU64" s="777"/>
      <c r="AV64" s="255">
        <f t="shared" si="8"/>
        <v>0</v>
      </c>
      <c r="AW64" s="224">
        <f t="shared" si="9"/>
        <v>0</v>
      </c>
      <c r="AX64" s="224">
        <f t="shared" si="10"/>
        <v>0</v>
      </c>
      <c r="AY64" s="224">
        <f t="shared" si="11"/>
        <v>0</v>
      </c>
      <c r="AZ64" s="224">
        <f t="shared" si="12"/>
        <v>0</v>
      </c>
      <c r="BA64" s="224">
        <f t="shared" si="13"/>
        <v>0</v>
      </c>
      <c r="BB64" s="224">
        <f t="shared" si="14"/>
        <v>0</v>
      </c>
      <c r="BC64" s="224">
        <f t="shared" si="15"/>
        <v>0</v>
      </c>
      <c r="BD64" s="224">
        <f t="shared" si="16"/>
        <v>0</v>
      </c>
      <c r="BE64" s="224">
        <f t="shared" si="17"/>
        <v>0</v>
      </c>
      <c r="BF64" s="224">
        <f t="shared" si="18"/>
        <v>0</v>
      </c>
      <c r="BG64" s="224">
        <f t="shared" si="19"/>
        <v>0</v>
      </c>
      <c r="BH64" s="224">
        <f t="shared" si="20"/>
        <v>0</v>
      </c>
      <c r="BI64" s="256">
        <f t="shared" si="21"/>
        <v>0</v>
      </c>
      <c r="BJ64" s="256">
        <f t="shared" si="22"/>
        <v>0</v>
      </c>
      <c r="BK64" s="256">
        <f t="shared" si="23"/>
        <v>0</v>
      </c>
      <c r="BL64" s="256">
        <f t="shared" si="24"/>
        <v>0</v>
      </c>
      <c r="BM64" s="256">
        <f t="shared" si="25"/>
        <v>0</v>
      </c>
      <c r="BN64" s="256">
        <f t="shared" si="26"/>
        <v>0</v>
      </c>
      <c r="BO64" s="256">
        <f t="shared" si="27"/>
        <v>0</v>
      </c>
      <c r="BP64" s="256">
        <f t="shared" si="28"/>
        <v>0</v>
      </c>
      <c r="BQ64" s="257">
        <f t="shared" si="29"/>
        <v>0</v>
      </c>
    </row>
    <row r="65" spans="2:69" ht="13.5" thickBot="1">
      <c r="B65" s="262"/>
      <c r="C65" s="292"/>
      <c r="D65" s="293"/>
      <c r="E65" s="264"/>
      <c r="F65" s="264"/>
      <c r="G65" s="264"/>
      <c r="H65" s="264"/>
      <c r="I65" s="264"/>
      <c r="J65" s="264"/>
      <c r="K65" s="264"/>
      <c r="L65" s="264"/>
      <c r="M65" s="264"/>
      <c r="N65" s="264"/>
      <c r="O65" s="264"/>
      <c r="P65" s="264"/>
      <c r="Q65" s="264"/>
      <c r="R65" s="264"/>
      <c r="S65" s="264"/>
      <c r="T65" s="264"/>
      <c r="U65" s="264"/>
      <c r="V65" s="264"/>
      <c r="W65" s="264"/>
      <c r="X65" s="323"/>
      <c r="Z65" s="267"/>
      <c r="AA65" s="268"/>
      <c r="AB65" s="268"/>
      <c r="AC65" s="268"/>
      <c r="AD65" s="268"/>
      <c r="AE65" s="268"/>
      <c r="AF65" s="268"/>
      <c r="AG65" s="268"/>
      <c r="AH65" s="268"/>
      <c r="AI65" s="268"/>
      <c r="AJ65" s="268"/>
      <c r="AK65" s="268"/>
      <c r="AL65" s="268"/>
      <c r="AM65" s="268"/>
      <c r="AN65" s="268"/>
      <c r="AO65" s="268"/>
      <c r="AP65" s="268"/>
      <c r="AQ65" s="268"/>
      <c r="AR65" s="268"/>
      <c r="AS65" s="268"/>
      <c r="AT65" s="269"/>
      <c r="AU65" s="777"/>
      <c r="AV65" s="270">
        <f t="shared" si="8"/>
        <v>0</v>
      </c>
      <c r="AW65" s="271">
        <f t="shared" si="9"/>
        <v>0</v>
      </c>
      <c r="AX65" s="271">
        <f t="shared" si="10"/>
        <v>0</v>
      </c>
      <c r="AY65" s="271">
        <f t="shared" si="11"/>
        <v>0</v>
      </c>
      <c r="AZ65" s="271">
        <f t="shared" si="12"/>
        <v>0</v>
      </c>
      <c r="BA65" s="271">
        <f t="shared" si="13"/>
        <v>0</v>
      </c>
      <c r="BB65" s="271">
        <f t="shared" si="14"/>
        <v>0</v>
      </c>
      <c r="BC65" s="271">
        <f t="shared" si="15"/>
        <v>0</v>
      </c>
      <c r="BD65" s="271">
        <f t="shared" si="16"/>
        <v>0</v>
      </c>
      <c r="BE65" s="271">
        <f t="shared" si="17"/>
        <v>0</v>
      </c>
      <c r="BF65" s="271">
        <f t="shared" si="18"/>
        <v>0</v>
      </c>
      <c r="BG65" s="271">
        <f t="shared" si="19"/>
        <v>0</v>
      </c>
      <c r="BH65" s="271">
        <f t="shared" si="20"/>
        <v>0</v>
      </c>
      <c r="BI65" s="272">
        <f t="shared" si="21"/>
        <v>0</v>
      </c>
      <c r="BJ65" s="272">
        <f t="shared" si="22"/>
        <v>0</v>
      </c>
      <c r="BK65" s="272">
        <f t="shared" si="23"/>
        <v>0</v>
      </c>
      <c r="BL65" s="272">
        <f t="shared" si="24"/>
        <v>0</v>
      </c>
      <c r="BM65" s="272">
        <f t="shared" si="25"/>
        <v>0</v>
      </c>
      <c r="BN65" s="272">
        <f t="shared" si="26"/>
        <v>0</v>
      </c>
      <c r="BO65" s="272">
        <f t="shared" si="27"/>
        <v>0</v>
      </c>
      <c r="BP65" s="272">
        <f t="shared" si="28"/>
        <v>0</v>
      </c>
      <c r="BQ65" s="273">
        <f t="shared" si="29"/>
        <v>0</v>
      </c>
    </row>
    <row r="66" spans="2:69" ht="13.5" thickBot="1">
      <c r="B66" s="274"/>
      <c r="C66" s="154"/>
      <c r="Z66" s="275">
        <f t="shared" ref="Z66:AL66" si="30">SUM(Z6:Z65)</f>
        <v>368550.34558332036</v>
      </c>
      <c r="AA66" s="275">
        <f t="shared" si="30"/>
        <v>1244483437.8493891</v>
      </c>
      <c r="AB66" s="275">
        <f t="shared" si="30"/>
        <v>2740958991.6475348</v>
      </c>
      <c r="AC66" s="275">
        <f t="shared" si="30"/>
        <v>0</v>
      </c>
      <c r="AD66" s="275">
        <f t="shared" si="30"/>
        <v>0</v>
      </c>
      <c r="AE66" s="275">
        <f t="shared" si="30"/>
        <v>1956695128.5518415</v>
      </c>
      <c r="AF66" s="275">
        <f t="shared" si="30"/>
        <v>0</v>
      </c>
      <c r="AG66" s="275">
        <f t="shared" si="30"/>
        <v>0</v>
      </c>
      <c r="AH66" s="275">
        <f t="shared" si="30"/>
        <v>0</v>
      </c>
      <c r="AI66" s="275">
        <f t="shared" si="30"/>
        <v>939061.70552138926</v>
      </c>
      <c r="AJ66" s="275">
        <f t="shared" si="30"/>
        <v>0</v>
      </c>
      <c r="AK66" s="275">
        <f t="shared" si="30"/>
        <v>1360472.2403140869</v>
      </c>
      <c r="AL66" s="275">
        <f t="shared" si="30"/>
        <v>2472819.2763172057</v>
      </c>
      <c r="AM66" s="275">
        <f t="shared" ref="AM66:AT66" si="31">SUM(AM6:AM65)</f>
        <v>2561577.0566649861</v>
      </c>
      <c r="AN66" s="275">
        <f t="shared" si="31"/>
        <v>1988132.8412516403</v>
      </c>
      <c r="AO66" s="275">
        <f t="shared" si="31"/>
        <v>3401802.0376610756</v>
      </c>
      <c r="AP66" s="275">
        <f t="shared" si="31"/>
        <v>0</v>
      </c>
      <c r="AQ66" s="275">
        <f t="shared" si="31"/>
        <v>2882858.6404943541</v>
      </c>
      <c r="AR66" s="275">
        <f t="shared" si="31"/>
        <v>2616987.3876726385</v>
      </c>
      <c r="AS66" s="275">
        <f t="shared" si="31"/>
        <v>3856908.071788949</v>
      </c>
      <c r="AT66" s="275">
        <f t="shared" si="31"/>
        <v>0</v>
      </c>
      <c r="AV66" s="276">
        <f t="shared" ref="AV66:BQ66" si="32">SUM(AV6:AV65)</f>
        <v>48340780.30511573</v>
      </c>
      <c r="AW66" s="275">
        <f t="shared" si="32"/>
        <v>56610762.131805986</v>
      </c>
      <c r="AX66" s="275">
        <f t="shared" si="32"/>
        <v>96856247.214484438</v>
      </c>
      <c r="AY66" s="275">
        <f t="shared" si="32"/>
        <v>0</v>
      </c>
      <c r="AZ66" s="275">
        <f t="shared" si="32"/>
        <v>0</v>
      </c>
      <c r="BA66" s="275">
        <f t="shared" si="32"/>
        <v>29523873.576261986</v>
      </c>
      <c r="BB66" s="275">
        <f t="shared" si="32"/>
        <v>0</v>
      </c>
      <c r="BC66" s="275">
        <f t="shared" si="32"/>
        <v>0</v>
      </c>
      <c r="BD66" s="275">
        <f t="shared" si="32"/>
        <v>0</v>
      </c>
      <c r="BE66" s="275">
        <f t="shared" si="32"/>
        <v>49298125.76359719</v>
      </c>
      <c r="BF66" s="275">
        <f t="shared" si="32"/>
        <v>0</v>
      </c>
      <c r="BG66" s="275">
        <f t="shared" si="32"/>
        <v>534529.85474448861</v>
      </c>
      <c r="BH66" s="275">
        <f t="shared" si="32"/>
        <v>369022.23243987327</v>
      </c>
      <c r="BI66" s="275">
        <f t="shared" si="32"/>
        <v>237935.97669203082</v>
      </c>
      <c r="BJ66" s="275">
        <f t="shared" si="32"/>
        <v>128813.9473219394</v>
      </c>
      <c r="BK66" s="275">
        <f t="shared" si="32"/>
        <v>87129.664090358972</v>
      </c>
      <c r="BL66" s="275">
        <f t="shared" si="32"/>
        <v>0</v>
      </c>
      <c r="BM66" s="275">
        <f t="shared" si="32"/>
        <v>269528.21753687144</v>
      </c>
      <c r="BN66" s="275">
        <f t="shared" si="32"/>
        <v>170495.03371813596</v>
      </c>
      <c r="BO66" s="275">
        <f t="shared" si="32"/>
        <v>99006.335365229897</v>
      </c>
      <c r="BP66" s="275">
        <f t="shared" si="32"/>
        <v>0</v>
      </c>
      <c r="BQ66" s="275">
        <f t="shared" si="32"/>
        <v>282526250.25317425</v>
      </c>
    </row>
    <row r="67" spans="2:69" ht="13.5" thickTop="1">
      <c r="B67" s="274"/>
      <c r="C67" s="154"/>
    </row>
    <row r="68" spans="2:69">
      <c r="B68" s="274"/>
      <c r="C68" s="154"/>
      <c r="Z68" s="324"/>
      <c r="BQ68" s="324"/>
    </row>
    <row r="69" spans="2:69">
      <c r="B69" s="274"/>
      <c r="C69" s="154"/>
    </row>
    <row r="70" spans="2:69">
      <c r="B70" s="274"/>
      <c r="C70" s="154"/>
      <c r="BQ70" s="324"/>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A19" sqref="A19:XFD19"/>
    </sheetView>
  </sheetViews>
  <sheetFormatPr defaultRowHeight="12.75"/>
  <cols>
    <col min="1" max="1" width="9.42578125" style="199" customWidth="1"/>
    <col min="2" max="2" width="45" style="199" customWidth="1"/>
    <col min="3" max="3" width="2.85546875" style="199" customWidth="1"/>
    <col min="4" max="4" width="12.7109375" style="199" bestFit="1" customWidth="1"/>
    <col min="5" max="6" width="10.5703125" style="199" bestFit="1" customWidth="1"/>
    <col min="7" max="7" width="18" style="199" customWidth="1"/>
    <col min="8" max="9" width="10.5703125" style="199" bestFit="1" customWidth="1"/>
    <col min="10" max="12" width="9.5703125" style="199" bestFit="1" customWidth="1"/>
    <col min="13" max="13" width="11.7109375" style="199" bestFit="1" customWidth="1"/>
    <col min="14" max="14" width="11.28515625" style="199" bestFit="1" customWidth="1"/>
    <col min="15" max="16" width="10.140625" style="199" bestFit="1" customWidth="1"/>
    <col min="17" max="22" width="10.140625" style="199" customWidth="1"/>
    <col min="23" max="23" width="12.28515625" style="199" customWidth="1"/>
    <col min="24" max="24" width="10.140625" style="199" customWidth="1"/>
    <col min="25" max="25" width="1.85546875" style="199" customWidth="1"/>
    <col min="26" max="26" width="17.5703125" style="199" customWidth="1"/>
    <col min="27" max="27" width="18.7109375" style="199" bestFit="1" customWidth="1"/>
    <col min="28" max="28" width="19.42578125" style="199" customWidth="1"/>
    <col min="29" max="30" width="16.7109375" style="199" bestFit="1" customWidth="1"/>
    <col min="31" max="31" width="19.57031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bestFit="1" customWidth="1"/>
    <col min="42" max="42" width="10" style="199" customWidth="1"/>
    <col min="43" max="43" width="14.85546875" style="199" bestFit="1" customWidth="1"/>
    <col min="44" max="45" width="14.85546875" style="199" customWidth="1"/>
    <col min="46" max="46" width="10" style="199" customWidth="1"/>
    <col min="47" max="47" width="5.5703125" style="199" customWidth="1"/>
    <col min="48" max="48" width="14.28515625" style="199" customWidth="1"/>
    <col min="49" max="49" width="16.42578125" style="199" customWidth="1"/>
    <col min="50" max="50" width="16.28515625" style="199" customWidth="1"/>
    <col min="51" max="51" width="14.7109375" style="199" customWidth="1"/>
    <col min="52" max="52" width="13.5703125" style="199" bestFit="1" customWidth="1"/>
    <col min="53" max="53" width="14.28515625" style="199" customWidth="1"/>
    <col min="54" max="54" width="12.42578125" style="199" bestFit="1" customWidth="1"/>
    <col min="55" max="55" width="10.5703125" style="199" customWidth="1"/>
    <col min="56" max="56" width="10.85546875" style="199" customWidth="1"/>
    <col min="57" max="57" width="15.42578125" style="199" customWidth="1"/>
    <col min="58" max="58" width="12.42578125" style="199" bestFit="1" customWidth="1"/>
    <col min="59" max="60" width="9.85546875" style="199" bestFit="1" customWidth="1"/>
    <col min="61" max="63" width="12.42578125" style="199" bestFit="1" customWidth="1"/>
    <col min="64" max="64" width="9.85546875" style="199" customWidth="1"/>
    <col min="65" max="67" width="12.42578125" style="199" customWidth="1"/>
    <col min="68" max="68" width="9.85546875" style="199" customWidth="1"/>
    <col min="69" max="69" width="16.85546875" style="199" customWidth="1"/>
    <col min="70" max="16384" width="9.140625" style="199"/>
  </cols>
  <sheetData>
    <row r="1" spans="1:69" ht="15">
      <c r="B1" s="153" t="str">
        <f>"Tariff Approval - "&amp;'Model update'!C3</f>
        <v>Tariff Approval - CitiPower</v>
      </c>
      <c r="C1" s="153"/>
      <c r="D1" s="621"/>
      <c r="F1" s="621"/>
    </row>
    <row r="3" spans="1:69">
      <c r="B3" s="227" t="str">
        <f>"PROPOSED "&amp;'Model update'!$C$5&amp;" TRANSMISSION TARIFFS"</f>
        <v>PROPOSED 2018 TRANSMISSION TARIFFS</v>
      </c>
      <c r="C3" s="227"/>
    </row>
    <row r="4" spans="1:69" ht="13.5" thickBot="1">
      <c r="B4" s="621"/>
      <c r="D4" s="229" t="str">
        <f>"Proposed Transmission Tariffs (Pt) for "&amp;'Model update'!$C$5</f>
        <v>Proposed Transmission Tariffs (Pt) for 2018</v>
      </c>
      <c r="E4" s="230"/>
      <c r="F4" s="230"/>
      <c r="G4" s="230"/>
      <c r="H4" s="230"/>
      <c r="I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1"/>
      <c r="D5" s="234" t="s">
        <v>130</v>
      </c>
      <c r="E5" s="235" t="s">
        <v>606</v>
      </c>
      <c r="F5" s="235" t="s">
        <v>607</v>
      </c>
      <c r="G5" s="235"/>
      <c r="H5" s="235"/>
      <c r="I5" s="235" t="s">
        <v>131</v>
      </c>
      <c r="J5" s="235"/>
      <c r="K5" s="235"/>
      <c r="L5" s="235"/>
      <c r="M5" s="235" t="s">
        <v>608</v>
      </c>
      <c r="N5" s="235" t="s">
        <v>609</v>
      </c>
      <c r="O5" s="235" t="s">
        <v>610</v>
      </c>
      <c r="P5" s="235" t="s">
        <v>611</v>
      </c>
      <c r="Q5" s="235" t="s">
        <v>132</v>
      </c>
      <c r="R5" s="235" t="s">
        <v>133</v>
      </c>
      <c r="S5" s="235" t="s">
        <v>134</v>
      </c>
      <c r="T5" s="235"/>
      <c r="U5" s="235" t="s">
        <v>135</v>
      </c>
      <c r="V5" s="235" t="s">
        <v>136</v>
      </c>
      <c r="W5" s="235" t="s">
        <v>137</v>
      </c>
      <c r="X5" s="237"/>
      <c r="Z5" s="234" t="s">
        <v>192</v>
      </c>
      <c r="AA5" s="235" t="s">
        <v>612</v>
      </c>
      <c r="AB5" s="235" t="s">
        <v>613</v>
      </c>
      <c r="AC5" s="235"/>
      <c r="AD5" s="235"/>
      <c r="AE5" s="235" t="s">
        <v>614</v>
      </c>
      <c r="AF5" s="235"/>
      <c r="AG5" s="235"/>
      <c r="AH5" s="235"/>
      <c r="AI5" s="235" t="s">
        <v>615</v>
      </c>
      <c r="AJ5" s="235" t="s">
        <v>616</v>
      </c>
      <c r="AK5" s="235" t="s">
        <v>617</v>
      </c>
      <c r="AL5" s="235" t="s">
        <v>618</v>
      </c>
      <c r="AM5" s="235" t="s">
        <v>205</v>
      </c>
      <c r="AN5" s="235" t="s">
        <v>206</v>
      </c>
      <c r="AO5" s="235" t="s">
        <v>207</v>
      </c>
      <c r="AP5" s="235"/>
      <c r="AQ5" s="235" t="s">
        <v>209</v>
      </c>
      <c r="AR5" s="235" t="s">
        <v>210</v>
      </c>
      <c r="AS5" s="235" t="s">
        <v>211</v>
      </c>
      <c r="AT5" s="237"/>
      <c r="AV5" s="234" t="s">
        <v>148</v>
      </c>
      <c r="AW5" s="235" t="s">
        <v>643</v>
      </c>
      <c r="AX5" s="235" t="s">
        <v>644</v>
      </c>
      <c r="AY5" s="235"/>
      <c r="AZ5" s="235"/>
      <c r="BA5" s="235" t="s">
        <v>645</v>
      </c>
      <c r="BB5" s="235"/>
      <c r="BC5" s="235"/>
      <c r="BD5" s="235"/>
      <c r="BE5" s="235" t="s">
        <v>646</v>
      </c>
      <c r="BF5" s="235" t="s">
        <v>647</v>
      </c>
      <c r="BG5" s="235" t="s">
        <v>648</v>
      </c>
      <c r="BH5" s="235" t="s">
        <v>649</v>
      </c>
      <c r="BI5" s="235" t="s">
        <v>161</v>
      </c>
      <c r="BJ5" s="235" t="s">
        <v>162</v>
      </c>
      <c r="BK5" s="235" t="s">
        <v>163</v>
      </c>
      <c r="BL5" s="235"/>
      <c r="BM5" s="235" t="s">
        <v>165</v>
      </c>
      <c r="BN5" s="235" t="s">
        <v>166</v>
      </c>
      <c r="BO5" s="235" t="s">
        <v>167</v>
      </c>
      <c r="BP5" s="235"/>
      <c r="BQ5" s="237" t="s">
        <v>169</v>
      </c>
    </row>
    <row r="6" spans="1:69">
      <c r="B6" s="238"/>
      <c r="C6" s="282"/>
      <c r="D6" s="663"/>
      <c r="E6" s="664"/>
      <c r="F6" s="664"/>
      <c r="G6" s="664"/>
      <c r="H6" s="664"/>
      <c r="I6" s="664"/>
      <c r="J6" s="664"/>
      <c r="K6" s="664"/>
      <c r="L6" s="664"/>
      <c r="M6" s="664"/>
      <c r="N6" s="664"/>
      <c r="O6" s="664"/>
      <c r="P6" s="664"/>
      <c r="Q6" s="664"/>
      <c r="R6" s="664"/>
      <c r="S6" s="664"/>
      <c r="T6" s="664"/>
      <c r="U6" s="664"/>
      <c r="V6" s="664"/>
      <c r="W6" s="664"/>
      <c r="X6" s="665"/>
      <c r="Z6" s="243"/>
      <c r="AA6" s="244"/>
      <c r="AB6" s="244"/>
      <c r="AC6" s="244"/>
      <c r="AD6" s="244"/>
      <c r="AE6" s="244"/>
      <c r="AF6" s="244"/>
      <c r="AG6" s="244"/>
      <c r="AH6" s="244"/>
      <c r="AI6" s="244"/>
      <c r="AJ6" s="244"/>
      <c r="AK6" s="244"/>
      <c r="AL6" s="244"/>
      <c r="AM6" s="244"/>
      <c r="AN6" s="244"/>
      <c r="AO6" s="244"/>
      <c r="AP6" s="244"/>
      <c r="AQ6" s="244"/>
      <c r="AR6" s="244"/>
      <c r="AS6" s="244"/>
      <c r="AT6" s="245"/>
      <c r="AV6" s="301">
        <f t="shared" ref="AV6" si="0">D6*Z6</f>
        <v>0</v>
      </c>
      <c r="AW6" s="302">
        <f t="shared" ref="AW6:BD6" si="1">E6/100*AA6</f>
        <v>0</v>
      </c>
      <c r="AX6" s="302">
        <f t="shared" si="1"/>
        <v>0</v>
      </c>
      <c r="AY6" s="302">
        <f t="shared" si="1"/>
        <v>0</v>
      </c>
      <c r="AZ6" s="302">
        <f t="shared" si="1"/>
        <v>0</v>
      </c>
      <c r="BA6" s="302">
        <f t="shared" si="1"/>
        <v>0</v>
      </c>
      <c r="BB6" s="302">
        <f t="shared" si="1"/>
        <v>0</v>
      </c>
      <c r="BC6" s="302">
        <f t="shared" si="1"/>
        <v>0</v>
      </c>
      <c r="BD6" s="302">
        <f t="shared" si="1"/>
        <v>0</v>
      </c>
      <c r="BE6" s="302">
        <f t="shared" ref="BE6:BH6" si="2">M6*AI6</f>
        <v>0</v>
      </c>
      <c r="BF6" s="302">
        <f t="shared" si="2"/>
        <v>0</v>
      </c>
      <c r="BG6" s="302">
        <f t="shared" si="2"/>
        <v>0</v>
      </c>
      <c r="BH6" s="302">
        <f t="shared" si="2"/>
        <v>0</v>
      </c>
      <c r="BI6" s="303">
        <f t="shared" ref="BI6:BP6" si="3">Q6/100*AM6</f>
        <v>0</v>
      </c>
      <c r="BJ6" s="303">
        <f t="shared" si="3"/>
        <v>0</v>
      </c>
      <c r="BK6" s="303">
        <f t="shared" si="3"/>
        <v>0</v>
      </c>
      <c r="BL6" s="303">
        <f t="shared" si="3"/>
        <v>0</v>
      </c>
      <c r="BM6" s="303">
        <f t="shared" si="3"/>
        <v>0</v>
      </c>
      <c r="BN6" s="303">
        <f t="shared" si="3"/>
        <v>0</v>
      </c>
      <c r="BO6" s="303">
        <f t="shared" si="3"/>
        <v>0</v>
      </c>
      <c r="BP6" s="303">
        <f t="shared" si="3"/>
        <v>0</v>
      </c>
      <c r="BQ6" s="247">
        <f>SUM(AV6:BP6)</f>
        <v>0</v>
      </c>
    </row>
    <row r="7" spans="1:69">
      <c r="A7" s="199" t="str">
        <f>Prop2018DistTar!A7</f>
        <v>C1R</v>
      </c>
      <c r="B7" s="238" t="str">
        <f>Prop2018DistTar!B7</f>
        <v>Residential Single Rate</v>
      </c>
      <c r="C7" s="287"/>
      <c r="D7" s="774">
        <v>0</v>
      </c>
      <c r="E7" s="768">
        <v>1.75</v>
      </c>
      <c r="F7" s="768">
        <v>0</v>
      </c>
      <c r="G7" s="768">
        <v>0</v>
      </c>
      <c r="H7" s="768">
        <v>0</v>
      </c>
      <c r="I7" s="768">
        <v>0</v>
      </c>
      <c r="J7" s="768">
        <v>0</v>
      </c>
      <c r="K7" s="768">
        <v>0</v>
      </c>
      <c r="L7" s="768">
        <v>0</v>
      </c>
      <c r="M7" s="768">
        <v>0</v>
      </c>
      <c r="N7" s="768">
        <v>0</v>
      </c>
      <c r="O7" s="768">
        <v>0</v>
      </c>
      <c r="P7" s="768">
        <v>0</v>
      </c>
      <c r="Q7" s="768">
        <v>0</v>
      </c>
      <c r="R7" s="768">
        <v>0</v>
      </c>
      <c r="S7" s="768">
        <v>0</v>
      </c>
      <c r="T7" s="768">
        <v>0</v>
      </c>
      <c r="U7" s="768">
        <v>0</v>
      </c>
      <c r="V7" s="768">
        <v>0</v>
      </c>
      <c r="W7" s="768">
        <v>0</v>
      </c>
      <c r="X7" s="769">
        <v>0</v>
      </c>
      <c r="Z7" s="252">
        <f>Prop2018DistTar!AV7</f>
        <v>203567.54384608413</v>
      </c>
      <c r="AA7" s="253">
        <f>Prop2018DistTar!AW7</f>
        <v>837924196.22455716</v>
      </c>
      <c r="AB7" s="253">
        <f>Prop2018DistTar!AX7</f>
        <v>0</v>
      </c>
      <c r="AC7" s="253">
        <f>Prop2018DistTar!AY7</f>
        <v>0</v>
      </c>
      <c r="AD7" s="253">
        <f>Prop2018DistTar!AZ7</f>
        <v>0</v>
      </c>
      <c r="AE7" s="253">
        <f>Prop2018DistTar!BA7</f>
        <v>0</v>
      </c>
      <c r="AF7" s="253">
        <f>Prop2018DistTar!BB7</f>
        <v>0</v>
      </c>
      <c r="AG7" s="253">
        <f>Prop2018DistTar!BC7</f>
        <v>0</v>
      </c>
      <c r="AH7" s="253">
        <f>Prop2018DistTar!BD7</f>
        <v>0</v>
      </c>
      <c r="AI7" s="253">
        <f>Prop2018DistTar!BE7</f>
        <v>0</v>
      </c>
      <c r="AJ7" s="253">
        <f>Prop2018DistTar!BF7</f>
        <v>0</v>
      </c>
      <c r="AK7" s="253">
        <f>Prop2018DistTar!BG7</f>
        <v>0</v>
      </c>
      <c r="AL7" s="253">
        <f>Prop2018DistTar!BH7</f>
        <v>0</v>
      </c>
      <c r="AM7" s="253">
        <f>Prop2018DistTar!BI7</f>
        <v>0</v>
      </c>
      <c r="AN7" s="253">
        <f>Prop2018DistTar!BJ7</f>
        <v>0</v>
      </c>
      <c r="AO7" s="253">
        <f>Prop2018DistTar!BK7</f>
        <v>0</v>
      </c>
      <c r="AP7" s="253">
        <f>Prop2018DistTar!BL7</f>
        <v>0</v>
      </c>
      <c r="AQ7" s="253">
        <f>Prop2018DistTar!BM7</f>
        <v>0</v>
      </c>
      <c r="AR7" s="253">
        <f>Prop2018DistTar!BN7</f>
        <v>0</v>
      </c>
      <c r="AS7" s="253">
        <f>Prop2018DistTar!BO7</f>
        <v>0</v>
      </c>
      <c r="AT7" s="254">
        <f>Prop2018DistTar!BP7</f>
        <v>0</v>
      </c>
      <c r="AV7" s="304">
        <f t="shared" ref="AV7:AV65" si="4">D7*Z7</f>
        <v>0</v>
      </c>
      <c r="AW7" s="305">
        <f t="shared" ref="AW7:AW65" si="5">E7/100*AA7</f>
        <v>14663673.433929753</v>
      </c>
      <c r="AX7" s="305">
        <f t="shared" ref="AX7:AX65" si="6">F7/100*AB7</f>
        <v>0</v>
      </c>
      <c r="AY7" s="305">
        <f t="shared" ref="AY7:AY65" si="7">G7/100*AC7</f>
        <v>0</v>
      </c>
      <c r="AZ7" s="305">
        <f t="shared" ref="AZ7:AZ65" si="8">H7/100*AD7</f>
        <v>0</v>
      </c>
      <c r="BA7" s="305">
        <f t="shared" ref="BA7:BA65" si="9">I7/100*AE7</f>
        <v>0</v>
      </c>
      <c r="BB7" s="305">
        <f t="shared" ref="BB7:BB65" si="10">J7/100*AF7</f>
        <v>0</v>
      </c>
      <c r="BC7" s="305">
        <f t="shared" ref="BC7:BC65" si="11">K7/100*AG7</f>
        <v>0</v>
      </c>
      <c r="BD7" s="305">
        <f t="shared" ref="BD7:BD65" si="12">L7/100*AH7</f>
        <v>0</v>
      </c>
      <c r="BE7" s="305">
        <f t="shared" ref="BE7:BE65" si="13">M7*AI7</f>
        <v>0</v>
      </c>
      <c r="BF7" s="305">
        <f t="shared" ref="BF7:BF65" si="14">N7*AJ7</f>
        <v>0</v>
      </c>
      <c r="BG7" s="305">
        <f t="shared" ref="BG7:BG65" si="15">O7*AK7</f>
        <v>0</v>
      </c>
      <c r="BH7" s="305">
        <f t="shared" ref="BH7:BH65" si="16">P7*AL7</f>
        <v>0</v>
      </c>
      <c r="BI7" s="306">
        <f t="shared" ref="BI7:BI65" si="17">Q7/100*AM7</f>
        <v>0</v>
      </c>
      <c r="BJ7" s="306">
        <f t="shared" ref="BJ7:BJ65" si="18">R7/100*AN7</f>
        <v>0</v>
      </c>
      <c r="BK7" s="306">
        <f t="shared" ref="BK7:BK65" si="19">S7/100*AO7</f>
        <v>0</v>
      </c>
      <c r="BL7" s="306">
        <f t="shared" ref="BL7:BL65" si="20">T7/100*AP7</f>
        <v>0</v>
      </c>
      <c r="BM7" s="306">
        <f t="shared" ref="BM7:BM65" si="21">U7/100*AQ7</f>
        <v>0</v>
      </c>
      <c r="BN7" s="306">
        <f t="shared" ref="BN7:BN65" si="22">V7/100*AR7</f>
        <v>0</v>
      </c>
      <c r="BO7" s="306">
        <f t="shared" ref="BO7:BO65" si="23">W7/100*AS7</f>
        <v>0</v>
      </c>
      <c r="BP7" s="306">
        <f t="shared" ref="BP7:BP65" si="24">X7/100*AT7</f>
        <v>0</v>
      </c>
      <c r="BQ7" s="257">
        <f t="shared" ref="BQ7:BQ65" si="25">SUM(AV7:BP7)</f>
        <v>14663673.433929753</v>
      </c>
    </row>
    <row r="8" spans="1:69">
      <c r="A8" s="748" t="str">
        <f>Prop2018DistTar!A8</f>
        <v>C1RB</v>
      </c>
      <c r="B8" s="750" t="str">
        <f>Prop2018DistTar!B8</f>
        <v>Residential Single Rate - Bulk</v>
      </c>
      <c r="C8" s="287"/>
      <c r="D8" s="774">
        <v>0</v>
      </c>
      <c r="E8" s="768">
        <v>0.78</v>
      </c>
      <c r="F8" s="768">
        <v>0</v>
      </c>
      <c r="G8" s="768">
        <v>0</v>
      </c>
      <c r="H8" s="768">
        <v>0</v>
      </c>
      <c r="I8" s="768">
        <v>0</v>
      </c>
      <c r="J8" s="768">
        <v>0</v>
      </c>
      <c r="K8" s="768">
        <v>0</v>
      </c>
      <c r="L8" s="768">
        <v>0</v>
      </c>
      <c r="M8" s="768">
        <v>0</v>
      </c>
      <c r="N8" s="768">
        <v>0</v>
      </c>
      <c r="O8" s="768">
        <v>0</v>
      </c>
      <c r="P8" s="768">
        <v>0</v>
      </c>
      <c r="Q8" s="768">
        <v>0</v>
      </c>
      <c r="R8" s="768">
        <v>0</v>
      </c>
      <c r="S8" s="768">
        <v>0</v>
      </c>
      <c r="T8" s="768">
        <v>0</v>
      </c>
      <c r="U8" s="768">
        <v>0</v>
      </c>
      <c r="V8" s="768">
        <v>0</v>
      </c>
      <c r="W8" s="768">
        <v>0</v>
      </c>
      <c r="X8" s="769">
        <v>0</v>
      </c>
      <c r="Z8" s="279">
        <f>Prop2018DistTar!AV8</f>
        <v>30796.16529635977</v>
      </c>
      <c r="AA8" s="253">
        <f>Prop2018DistTar!AW8</f>
        <v>103793921.82591532</v>
      </c>
      <c r="AB8" s="253">
        <f>Prop2018DistTar!AX8</f>
        <v>0</v>
      </c>
      <c r="AC8" s="253">
        <f>Prop2018DistTar!AY8</f>
        <v>0</v>
      </c>
      <c r="AD8" s="253">
        <f>Prop2018DistTar!AZ8</f>
        <v>0</v>
      </c>
      <c r="AE8" s="253">
        <f>Prop2018DistTar!BA8</f>
        <v>0</v>
      </c>
      <c r="AF8" s="253">
        <f>Prop2018DistTar!BB8</f>
        <v>0</v>
      </c>
      <c r="AG8" s="253">
        <f>Prop2018DistTar!BC8</f>
        <v>0</v>
      </c>
      <c r="AH8" s="253">
        <f>Prop2018DistTar!BD8</f>
        <v>0</v>
      </c>
      <c r="AI8" s="253">
        <f>Prop2018DistTar!BE8</f>
        <v>0</v>
      </c>
      <c r="AJ8" s="253">
        <f>Prop2018DistTar!BF8</f>
        <v>0</v>
      </c>
      <c r="AK8" s="253">
        <f>Prop2018DistTar!BG8</f>
        <v>0</v>
      </c>
      <c r="AL8" s="253">
        <f>Prop2018DistTar!BH8</f>
        <v>0</v>
      </c>
      <c r="AM8" s="253">
        <f>Prop2018DistTar!BI8</f>
        <v>0</v>
      </c>
      <c r="AN8" s="253">
        <f>Prop2018DistTar!BJ8</f>
        <v>0</v>
      </c>
      <c r="AO8" s="253">
        <f>Prop2018DistTar!BK8</f>
        <v>0</v>
      </c>
      <c r="AP8" s="253">
        <f>Prop2018DistTar!BL8</f>
        <v>0</v>
      </c>
      <c r="AQ8" s="253">
        <f>Prop2018DistTar!BM8</f>
        <v>0</v>
      </c>
      <c r="AR8" s="253">
        <f>Prop2018DistTar!BN8</f>
        <v>0</v>
      </c>
      <c r="AS8" s="253">
        <f>Prop2018DistTar!BO8</f>
        <v>0</v>
      </c>
      <c r="AT8" s="254">
        <f>Prop2018DistTar!BP8</f>
        <v>0</v>
      </c>
      <c r="AV8" s="304">
        <f t="shared" si="4"/>
        <v>0</v>
      </c>
      <c r="AW8" s="305">
        <f t="shared" si="5"/>
        <v>809592.59024213953</v>
      </c>
      <c r="AX8" s="305">
        <f t="shared" si="6"/>
        <v>0</v>
      </c>
      <c r="AY8" s="305">
        <f t="shared" si="7"/>
        <v>0</v>
      </c>
      <c r="AZ8" s="305">
        <f t="shared" si="8"/>
        <v>0</v>
      </c>
      <c r="BA8" s="305">
        <f t="shared" si="9"/>
        <v>0</v>
      </c>
      <c r="BB8" s="305">
        <f t="shared" si="10"/>
        <v>0</v>
      </c>
      <c r="BC8" s="305">
        <f t="shared" si="11"/>
        <v>0</v>
      </c>
      <c r="BD8" s="305">
        <f t="shared" si="12"/>
        <v>0</v>
      </c>
      <c r="BE8" s="305">
        <f t="shared" si="13"/>
        <v>0</v>
      </c>
      <c r="BF8" s="305">
        <f t="shared" si="14"/>
        <v>0</v>
      </c>
      <c r="BG8" s="305">
        <f t="shared" si="15"/>
        <v>0</v>
      </c>
      <c r="BH8" s="305">
        <f t="shared" si="16"/>
        <v>0</v>
      </c>
      <c r="BI8" s="306">
        <f t="shared" si="17"/>
        <v>0</v>
      </c>
      <c r="BJ8" s="306">
        <f t="shared" si="18"/>
        <v>0</v>
      </c>
      <c r="BK8" s="306">
        <f t="shared" si="19"/>
        <v>0</v>
      </c>
      <c r="BL8" s="306">
        <f t="shared" si="20"/>
        <v>0</v>
      </c>
      <c r="BM8" s="306">
        <f t="shared" si="21"/>
        <v>0</v>
      </c>
      <c r="BN8" s="306">
        <f t="shared" si="22"/>
        <v>0</v>
      </c>
      <c r="BO8" s="306">
        <f t="shared" si="23"/>
        <v>0</v>
      </c>
      <c r="BP8" s="306">
        <f t="shared" si="24"/>
        <v>0</v>
      </c>
      <c r="BQ8" s="257">
        <f t="shared" si="25"/>
        <v>809592.59024213953</v>
      </c>
    </row>
    <row r="9" spans="1:69">
      <c r="A9" s="748" t="str">
        <f>Prop2018DistTar!A9</f>
        <v>C13R</v>
      </c>
      <c r="B9" s="750" t="str">
        <f>Prop2018DistTar!B9</f>
        <v>Residential - flexible pricing</v>
      </c>
      <c r="C9" s="287"/>
      <c r="D9" s="774">
        <v>0</v>
      </c>
      <c r="E9" s="768">
        <v>0</v>
      </c>
      <c r="F9" s="768">
        <v>0</v>
      </c>
      <c r="G9" s="768">
        <v>0</v>
      </c>
      <c r="H9" s="768">
        <v>0</v>
      </c>
      <c r="I9" s="768">
        <v>0</v>
      </c>
      <c r="J9" s="768">
        <v>0</v>
      </c>
      <c r="K9" s="768">
        <v>0</v>
      </c>
      <c r="L9" s="768">
        <v>0</v>
      </c>
      <c r="M9" s="768">
        <v>0</v>
      </c>
      <c r="N9" s="768">
        <v>0</v>
      </c>
      <c r="O9" s="768">
        <v>0</v>
      </c>
      <c r="P9" s="768">
        <v>0</v>
      </c>
      <c r="Q9" s="768">
        <v>2.15</v>
      </c>
      <c r="R9" s="768">
        <v>1.45</v>
      </c>
      <c r="S9" s="768">
        <v>0.56999999999999995</v>
      </c>
      <c r="T9" s="768">
        <v>0</v>
      </c>
      <c r="U9" s="768">
        <v>2.15</v>
      </c>
      <c r="V9" s="768">
        <v>1.45</v>
      </c>
      <c r="W9" s="768">
        <v>0.56999999999999995</v>
      </c>
      <c r="X9" s="769">
        <v>0</v>
      </c>
      <c r="Z9" s="279">
        <f>Prop2018DistTar!AV9</f>
        <v>692.19902131802507</v>
      </c>
      <c r="AA9" s="253">
        <f>Prop2018DistTar!AW9</f>
        <v>0</v>
      </c>
      <c r="AB9" s="253">
        <f>Prop2018DistTar!AX9</f>
        <v>0</v>
      </c>
      <c r="AC9" s="253">
        <f>Prop2018DistTar!AY9</f>
        <v>0</v>
      </c>
      <c r="AD9" s="253">
        <f>Prop2018DistTar!AZ9</f>
        <v>0</v>
      </c>
      <c r="AE9" s="253">
        <f>Prop2018DistTar!BA9</f>
        <v>0</v>
      </c>
      <c r="AF9" s="253">
        <f>Prop2018DistTar!BB9</f>
        <v>0</v>
      </c>
      <c r="AG9" s="253">
        <f>Prop2018DistTar!BC9</f>
        <v>0</v>
      </c>
      <c r="AH9" s="253">
        <f>Prop2018DistTar!BD9</f>
        <v>0</v>
      </c>
      <c r="AI9" s="253">
        <f>Prop2018DistTar!BE9</f>
        <v>0</v>
      </c>
      <c r="AJ9" s="253">
        <f>Prop2018DistTar!BF9</f>
        <v>0</v>
      </c>
      <c r="AK9" s="253">
        <f>Prop2018DistTar!BG9</f>
        <v>0</v>
      </c>
      <c r="AL9" s="253">
        <f>Prop2018DistTar!BH9</f>
        <v>0</v>
      </c>
      <c r="AM9" s="253">
        <f>Prop2018DistTar!BI9</f>
        <v>209399.38859650321</v>
      </c>
      <c r="AN9" s="253">
        <f>Prop2018DistTar!BJ9</f>
        <v>421530.70937171311</v>
      </c>
      <c r="AO9" s="253">
        <f>Prop2018DistTar!BK9</f>
        <v>295381.02379908122</v>
      </c>
      <c r="AP9" s="253">
        <f>Prop2018DistTar!BL9</f>
        <v>0</v>
      </c>
      <c r="AQ9" s="253">
        <f>Prop2018DistTar!BM9</f>
        <v>766444.76391363656</v>
      </c>
      <c r="AR9" s="253">
        <f>Prop2018DistTar!BN9</f>
        <v>1512235.2073960255</v>
      </c>
      <c r="AS9" s="253">
        <f>Prop2018DistTar!BO9</f>
        <v>1077906.585130814</v>
      </c>
      <c r="AT9" s="254">
        <f>Prop2018DistTar!BP9</f>
        <v>0</v>
      </c>
      <c r="AV9" s="304">
        <f t="shared" si="4"/>
        <v>0</v>
      </c>
      <c r="AW9" s="305">
        <f t="shared" si="5"/>
        <v>0</v>
      </c>
      <c r="AX9" s="305">
        <f t="shared" si="6"/>
        <v>0</v>
      </c>
      <c r="AY9" s="305">
        <f t="shared" si="7"/>
        <v>0</v>
      </c>
      <c r="AZ9" s="305">
        <f t="shared" si="8"/>
        <v>0</v>
      </c>
      <c r="BA9" s="305">
        <f t="shared" si="9"/>
        <v>0</v>
      </c>
      <c r="BB9" s="305">
        <f t="shared" si="10"/>
        <v>0</v>
      </c>
      <c r="BC9" s="305">
        <f t="shared" si="11"/>
        <v>0</v>
      </c>
      <c r="BD9" s="305">
        <f t="shared" si="12"/>
        <v>0</v>
      </c>
      <c r="BE9" s="305">
        <f t="shared" si="13"/>
        <v>0</v>
      </c>
      <c r="BF9" s="305">
        <f t="shared" si="14"/>
        <v>0</v>
      </c>
      <c r="BG9" s="305">
        <f t="shared" si="15"/>
        <v>0</v>
      </c>
      <c r="BH9" s="305">
        <f t="shared" si="16"/>
        <v>0</v>
      </c>
      <c r="BI9" s="306">
        <f t="shared" si="17"/>
        <v>4502.0868548248191</v>
      </c>
      <c r="BJ9" s="306">
        <f t="shared" si="18"/>
        <v>6112.1952858898394</v>
      </c>
      <c r="BK9" s="306">
        <f t="shared" si="19"/>
        <v>1683.6718356547628</v>
      </c>
      <c r="BL9" s="306">
        <f t="shared" si="20"/>
        <v>0</v>
      </c>
      <c r="BM9" s="306">
        <f t="shared" si="21"/>
        <v>16478.562424143183</v>
      </c>
      <c r="BN9" s="306">
        <f t="shared" si="22"/>
        <v>21927.41050724237</v>
      </c>
      <c r="BO9" s="306">
        <f t="shared" si="23"/>
        <v>6144.0675352456392</v>
      </c>
      <c r="BP9" s="306">
        <f t="shared" si="24"/>
        <v>0</v>
      </c>
      <c r="BQ9" s="257">
        <f t="shared" si="25"/>
        <v>56847.994443000614</v>
      </c>
    </row>
    <row r="10" spans="1:69">
      <c r="A10" s="748" t="str">
        <f>Prop2018DistTar!A10</f>
        <v>C13RB</v>
      </c>
      <c r="B10" s="750" t="str">
        <f>Prop2018DistTar!B10</f>
        <v>Residential - flexible pricing bulk</v>
      </c>
      <c r="C10" s="287"/>
      <c r="D10" s="774">
        <v>0</v>
      </c>
      <c r="E10" s="768">
        <v>0</v>
      </c>
      <c r="F10" s="768">
        <v>0</v>
      </c>
      <c r="G10" s="768">
        <v>0</v>
      </c>
      <c r="H10" s="768">
        <v>0</v>
      </c>
      <c r="I10" s="768">
        <v>0</v>
      </c>
      <c r="J10" s="768">
        <v>0</v>
      </c>
      <c r="K10" s="768">
        <v>0</v>
      </c>
      <c r="L10" s="768">
        <v>0</v>
      </c>
      <c r="M10" s="768">
        <v>0</v>
      </c>
      <c r="N10" s="768">
        <v>0</v>
      </c>
      <c r="O10" s="768">
        <v>0</v>
      </c>
      <c r="P10" s="768">
        <v>0</v>
      </c>
      <c r="Q10" s="768">
        <v>1.72</v>
      </c>
      <c r="R10" s="768">
        <v>1.1599999999999999</v>
      </c>
      <c r="S10" s="768">
        <v>0.45</v>
      </c>
      <c r="T10" s="768">
        <v>0</v>
      </c>
      <c r="U10" s="768">
        <v>1.72</v>
      </c>
      <c r="V10" s="768">
        <v>1.1599999999999999</v>
      </c>
      <c r="W10" s="768">
        <v>0.45</v>
      </c>
      <c r="X10" s="769">
        <v>0</v>
      </c>
      <c r="Z10" s="279">
        <f>Prop2018DistTar!AV10</f>
        <v>86</v>
      </c>
      <c r="AA10" s="253">
        <f>Prop2018DistTar!AW10</f>
        <v>0</v>
      </c>
      <c r="AB10" s="253">
        <f>Prop2018DistTar!AX10</f>
        <v>0</v>
      </c>
      <c r="AC10" s="253">
        <f>Prop2018DistTar!AY10</f>
        <v>0</v>
      </c>
      <c r="AD10" s="253">
        <f>Prop2018DistTar!AZ10</f>
        <v>0</v>
      </c>
      <c r="AE10" s="253">
        <f>Prop2018DistTar!BA10</f>
        <v>0</v>
      </c>
      <c r="AF10" s="253">
        <f>Prop2018DistTar!BB10</f>
        <v>0</v>
      </c>
      <c r="AG10" s="253">
        <f>Prop2018DistTar!BC10</f>
        <v>0</v>
      </c>
      <c r="AH10" s="253">
        <f>Prop2018DistTar!BD10</f>
        <v>0</v>
      </c>
      <c r="AI10" s="253">
        <f>Prop2018DistTar!BE10</f>
        <v>0</v>
      </c>
      <c r="AJ10" s="253">
        <f>Prop2018DistTar!BF10</f>
        <v>0</v>
      </c>
      <c r="AK10" s="253">
        <f>Prop2018DistTar!BG10</f>
        <v>0</v>
      </c>
      <c r="AL10" s="253">
        <f>Prop2018DistTar!BH10</f>
        <v>0</v>
      </c>
      <c r="AM10" s="253">
        <f>Prop2018DistTar!BI10</f>
        <v>14822.463938670589</v>
      </c>
      <c r="AN10" s="253">
        <f>Prop2018DistTar!BJ10</f>
        <v>30911.094070728293</v>
      </c>
      <c r="AO10" s="253">
        <f>Prop2018DistTar!BK10</f>
        <v>25018.291769002386</v>
      </c>
      <c r="AP10" s="253">
        <f>Prop2018DistTar!BL10</f>
        <v>0</v>
      </c>
      <c r="AQ10" s="253">
        <f>Prop2018DistTar!BM10</f>
        <v>55723.871652863061</v>
      </c>
      <c r="AR10" s="253">
        <f>Prop2018DistTar!BN10</f>
        <v>110586.63633768729</v>
      </c>
      <c r="AS10" s="253">
        <f>Prop2018DistTar!BO10</f>
        <v>89504.208037036224</v>
      </c>
      <c r="AT10" s="254">
        <f>Prop2018DistTar!BP10</f>
        <v>0</v>
      </c>
      <c r="AV10" s="304">
        <f t="shared" si="4"/>
        <v>0</v>
      </c>
      <c r="AW10" s="305">
        <f t="shared" si="5"/>
        <v>0</v>
      </c>
      <c r="AX10" s="305">
        <f t="shared" si="6"/>
        <v>0</v>
      </c>
      <c r="AY10" s="305">
        <f t="shared" si="7"/>
        <v>0</v>
      </c>
      <c r="AZ10" s="305">
        <f t="shared" si="8"/>
        <v>0</v>
      </c>
      <c r="BA10" s="305">
        <f t="shared" si="9"/>
        <v>0</v>
      </c>
      <c r="BB10" s="305">
        <f t="shared" si="10"/>
        <v>0</v>
      </c>
      <c r="BC10" s="305">
        <f t="shared" si="11"/>
        <v>0</v>
      </c>
      <c r="BD10" s="305">
        <f t="shared" si="12"/>
        <v>0</v>
      </c>
      <c r="BE10" s="305">
        <f t="shared" si="13"/>
        <v>0</v>
      </c>
      <c r="BF10" s="305">
        <f t="shared" si="14"/>
        <v>0</v>
      </c>
      <c r="BG10" s="305">
        <f t="shared" si="15"/>
        <v>0</v>
      </c>
      <c r="BH10" s="305">
        <f t="shared" si="16"/>
        <v>0</v>
      </c>
      <c r="BI10" s="306">
        <f t="shared" si="17"/>
        <v>254.94637974513415</v>
      </c>
      <c r="BJ10" s="306">
        <f t="shared" si="18"/>
        <v>358.56869122044816</v>
      </c>
      <c r="BK10" s="306">
        <f t="shared" si="19"/>
        <v>112.58231296051075</v>
      </c>
      <c r="BL10" s="306">
        <f t="shared" si="20"/>
        <v>0</v>
      </c>
      <c r="BM10" s="306">
        <f t="shared" si="21"/>
        <v>958.45059242924469</v>
      </c>
      <c r="BN10" s="306">
        <f t="shared" si="22"/>
        <v>1282.8049815171726</v>
      </c>
      <c r="BO10" s="306">
        <f t="shared" si="23"/>
        <v>402.76893616666308</v>
      </c>
      <c r="BP10" s="306">
        <f t="shared" si="24"/>
        <v>0</v>
      </c>
      <c r="BQ10" s="257">
        <f t="shared" si="25"/>
        <v>3370.1218940391732</v>
      </c>
    </row>
    <row r="11" spans="1:69">
      <c r="A11" s="748" t="str">
        <f>Prop2018DistTar!A11</f>
        <v>C2R</v>
      </c>
      <c r="B11" s="750" t="str">
        <f>Prop2018DistTar!B11</f>
        <v>Residential Two Rate 5d</v>
      </c>
      <c r="C11" s="287"/>
      <c r="D11" s="774">
        <v>0</v>
      </c>
      <c r="E11" s="768">
        <v>0</v>
      </c>
      <c r="F11" s="768">
        <v>1.94</v>
      </c>
      <c r="G11" s="768">
        <v>0</v>
      </c>
      <c r="H11" s="768">
        <v>0</v>
      </c>
      <c r="I11" s="768">
        <v>0.41</v>
      </c>
      <c r="J11" s="768">
        <v>0</v>
      </c>
      <c r="K11" s="768">
        <v>0</v>
      </c>
      <c r="L11" s="768">
        <v>0</v>
      </c>
      <c r="M11" s="768">
        <v>0</v>
      </c>
      <c r="N11" s="768">
        <v>0</v>
      </c>
      <c r="O11" s="768">
        <v>0</v>
      </c>
      <c r="P11" s="768">
        <v>0</v>
      </c>
      <c r="Q11" s="768">
        <v>0</v>
      </c>
      <c r="R11" s="768">
        <v>0</v>
      </c>
      <c r="S11" s="768">
        <v>0</v>
      </c>
      <c r="T11" s="768">
        <v>0</v>
      </c>
      <c r="U11" s="768">
        <v>0</v>
      </c>
      <c r="V11" s="768">
        <v>0</v>
      </c>
      <c r="W11" s="768">
        <v>0</v>
      </c>
      <c r="X11" s="769">
        <v>0</v>
      </c>
      <c r="Z11" s="279">
        <f>Prop2018DistTar!AV11</f>
        <v>10844.918915256892</v>
      </c>
      <c r="AA11" s="253">
        <f>Prop2018DistTar!AW11</f>
        <v>0</v>
      </c>
      <c r="AB11" s="253">
        <f>Prop2018DistTar!AX11</f>
        <v>34303841.218867712</v>
      </c>
      <c r="AC11" s="253">
        <f>Prop2018DistTar!AY11</f>
        <v>0</v>
      </c>
      <c r="AD11" s="253">
        <f>Prop2018DistTar!AZ11</f>
        <v>0</v>
      </c>
      <c r="AE11" s="253">
        <f>Prop2018DistTar!BA11</f>
        <v>29910228.5348082</v>
      </c>
      <c r="AF11" s="253">
        <f>Prop2018DistTar!BB11</f>
        <v>0</v>
      </c>
      <c r="AG11" s="253">
        <f>Prop2018DistTar!BC11</f>
        <v>0</v>
      </c>
      <c r="AH11" s="253">
        <f>Prop2018DistTar!BD11</f>
        <v>0</v>
      </c>
      <c r="AI11" s="253">
        <f>Prop2018DistTar!BE11</f>
        <v>0</v>
      </c>
      <c r="AJ11" s="253">
        <f>Prop2018DistTar!BF11</f>
        <v>0</v>
      </c>
      <c r="AK11" s="253">
        <f>Prop2018DistTar!BG11</f>
        <v>0</v>
      </c>
      <c r="AL11" s="253">
        <f>Prop2018DistTar!BH11</f>
        <v>0</v>
      </c>
      <c r="AM11" s="253">
        <f>Prop2018DistTar!BI11</f>
        <v>0</v>
      </c>
      <c r="AN11" s="253">
        <f>Prop2018DistTar!BJ11</f>
        <v>0</v>
      </c>
      <c r="AO11" s="253">
        <f>Prop2018DistTar!BK11</f>
        <v>0</v>
      </c>
      <c r="AP11" s="253">
        <f>Prop2018DistTar!BL11</f>
        <v>0</v>
      </c>
      <c r="AQ11" s="253">
        <f>Prop2018DistTar!BM11</f>
        <v>0</v>
      </c>
      <c r="AR11" s="253">
        <f>Prop2018DistTar!BN11</f>
        <v>0</v>
      </c>
      <c r="AS11" s="253">
        <f>Prop2018DistTar!BO11</f>
        <v>0</v>
      </c>
      <c r="AT11" s="254">
        <f>Prop2018DistTar!BP11</f>
        <v>0</v>
      </c>
      <c r="AV11" s="304">
        <f t="shared" si="4"/>
        <v>0</v>
      </c>
      <c r="AW11" s="305">
        <f t="shared" si="5"/>
        <v>0</v>
      </c>
      <c r="AX11" s="305">
        <f t="shared" si="6"/>
        <v>665494.51964603364</v>
      </c>
      <c r="AY11" s="305">
        <f t="shared" si="7"/>
        <v>0</v>
      </c>
      <c r="AZ11" s="305">
        <f t="shared" si="8"/>
        <v>0</v>
      </c>
      <c r="BA11" s="305">
        <f t="shared" si="9"/>
        <v>122631.9369927136</v>
      </c>
      <c r="BB11" s="305">
        <f t="shared" si="10"/>
        <v>0</v>
      </c>
      <c r="BC11" s="305">
        <f t="shared" si="11"/>
        <v>0</v>
      </c>
      <c r="BD11" s="305">
        <f t="shared" si="12"/>
        <v>0</v>
      </c>
      <c r="BE11" s="305">
        <f t="shared" si="13"/>
        <v>0</v>
      </c>
      <c r="BF11" s="305">
        <f t="shared" si="14"/>
        <v>0</v>
      </c>
      <c r="BG11" s="305">
        <f t="shared" si="15"/>
        <v>0</v>
      </c>
      <c r="BH11" s="305">
        <f t="shared" si="16"/>
        <v>0</v>
      </c>
      <c r="BI11" s="306">
        <f t="shared" si="17"/>
        <v>0</v>
      </c>
      <c r="BJ11" s="306">
        <f t="shared" si="18"/>
        <v>0</v>
      </c>
      <c r="BK11" s="306">
        <f t="shared" si="19"/>
        <v>0</v>
      </c>
      <c r="BL11" s="306">
        <f t="shared" si="20"/>
        <v>0</v>
      </c>
      <c r="BM11" s="306">
        <f t="shared" si="21"/>
        <v>0</v>
      </c>
      <c r="BN11" s="306">
        <f t="shared" si="22"/>
        <v>0</v>
      </c>
      <c r="BO11" s="306">
        <f t="shared" si="23"/>
        <v>0</v>
      </c>
      <c r="BP11" s="306">
        <f t="shared" si="24"/>
        <v>0</v>
      </c>
      <c r="BQ11" s="257">
        <f t="shared" si="25"/>
        <v>788126.45663874724</v>
      </c>
    </row>
    <row r="12" spans="1:69">
      <c r="A12" s="748" t="str">
        <f>Prop2018DistTar!A12</f>
        <v>C2RB</v>
      </c>
      <c r="B12" s="750" t="str">
        <f>Prop2018DistTar!B12</f>
        <v>Residential Two Rate 5d - Bulk</v>
      </c>
      <c r="C12" s="287"/>
      <c r="D12" s="774">
        <v>0</v>
      </c>
      <c r="E12" s="768">
        <v>0</v>
      </c>
      <c r="F12" s="768">
        <v>1.65</v>
      </c>
      <c r="G12" s="768">
        <v>0</v>
      </c>
      <c r="H12" s="768">
        <v>0</v>
      </c>
      <c r="I12" s="768">
        <v>0.38</v>
      </c>
      <c r="J12" s="768">
        <v>0</v>
      </c>
      <c r="K12" s="768">
        <v>0</v>
      </c>
      <c r="L12" s="768">
        <v>0</v>
      </c>
      <c r="M12" s="768">
        <v>0</v>
      </c>
      <c r="N12" s="768">
        <v>0</v>
      </c>
      <c r="O12" s="768">
        <v>0</v>
      </c>
      <c r="P12" s="768">
        <v>0</v>
      </c>
      <c r="Q12" s="768">
        <v>0</v>
      </c>
      <c r="R12" s="768">
        <v>0</v>
      </c>
      <c r="S12" s="768">
        <v>0</v>
      </c>
      <c r="T12" s="768">
        <v>0</v>
      </c>
      <c r="U12" s="768">
        <v>0</v>
      </c>
      <c r="V12" s="768">
        <v>0</v>
      </c>
      <c r="W12" s="768">
        <v>0</v>
      </c>
      <c r="X12" s="769">
        <v>0</v>
      </c>
      <c r="Z12" s="279">
        <f>Prop2018DistTar!AV12</f>
        <v>4325.4798963063058</v>
      </c>
      <c r="AA12" s="253">
        <f>Prop2018DistTar!AW12</f>
        <v>0</v>
      </c>
      <c r="AB12" s="253">
        <f>Prop2018DistTar!AX12</f>
        <v>11937966.333181802</v>
      </c>
      <c r="AC12" s="253">
        <f>Prop2018DistTar!AY12</f>
        <v>0</v>
      </c>
      <c r="AD12" s="253">
        <f>Prop2018DistTar!AZ12</f>
        <v>0</v>
      </c>
      <c r="AE12" s="253">
        <f>Prop2018DistTar!BA12</f>
        <v>10332699.15836278</v>
      </c>
      <c r="AF12" s="253">
        <f>Prop2018DistTar!BB12</f>
        <v>0</v>
      </c>
      <c r="AG12" s="253">
        <f>Prop2018DistTar!BC12</f>
        <v>0</v>
      </c>
      <c r="AH12" s="253">
        <f>Prop2018DistTar!BD12</f>
        <v>0</v>
      </c>
      <c r="AI12" s="253">
        <f>Prop2018DistTar!BE12</f>
        <v>0</v>
      </c>
      <c r="AJ12" s="253">
        <f>Prop2018DistTar!BF12</f>
        <v>0</v>
      </c>
      <c r="AK12" s="253">
        <f>Prop2018DistTar!BG12</f>
        <v>0</v>
      </c>
      <c r="AL12" s="253">
        <f>Prop2018DistTar!BH12</f>
        <v>0</v>
      </c>
      <c r="AM12" s="253">
        <f>Prop2018DistTar!BI12</f>
        <v>0</v>
      </c>
      <c r="AN12" s="253">
        <f>Prop2018DistTar!BJ12</f>
        <v>0</v>
      </c>
      <c r="AO12" s="253">
        <f>Prop2018DistTar!BK12</f>
        <v>0</v>
      </c>
      <c r="AP12" s="253">
        <f>Prop2018DistTar!BL12</f>
        <v>0</v>
      </c>
      <c r="AQ12" s="253">
        <f>Prop2018DistTar!BM12</f>
        <v>0</v>
      </c>
      <c r="AR12" s="253">
        <f>Prop2018DistTar!BN12</f>
        <v>0</v>
      </c>
      <c r="AS12" s="253">
        <f>Prop2018DistTar!BO12</f>
        <v>0</v>
      </c>
      <c r="AT12" s="254">
        <f>Prop2018DistTar!BP12</f>
        <v>0</v>
      </c>
      <c r="AV12" s="304">
        <f t="shared" si="4"/>
        <v>0</v>
      </c>
      <c r="AW12" s="305">
        <f t="shared" si="5"/>
        <v>0</v>
      </c>
      <c r="AX12" s="305">
        <f t="shared" si="6"/>
        <v>196976.44449749973</v>
      </c>
      <c r="AY12" s="305">
        <f t="shared" si="7"/>
        <v>0</v>
      </c>
      <c r="AZ12" s="305">
        <f t="shared" si="8"/>
        <v>0</v>
      </c>
      <c r="BA12" s="305">
        <f t="shared" si="9"/>
        <v>39264.25680177856</v>
      </c>
      <c r="BB12" s="305">
        <f t="shared" si="10"/>
        <v>0</v>
      </c>
      <c r="BC12" s="305">
        <f t="shared" si="11"/>
        <v>0</v>
      </c>
      <c r="BD12" s="305">
        <f t="shared" si="12"/>
        <v>0</v>
      </c>
      <c r="BE12" s="305">
        <f t="shared" si="13"/>
        <v>0</v>
      </c>
      <c r="BF12" s="305">
        <f t="shared" si="14"/>
        <v>0</v>
      </c>
      <c r="BG12" s="305">
        <f t="shared" si="15"/>
        <v>0</v>
      </c>
      <c r="BH12" s="305">
        <f t="shared" si="16"/>
        <v>0</v>
      </c>
      <c r="BI12" s="306">
        <f t="shared" si="17"/>
        <v>0</v>
      </c>
      <c r="BJ12" s="306">
        <f t="shared" si="18"/>
        <v>0</v>
      </c>
      <c r="BK12" s="306">
        <f t="shared" si="19"/>
        <v>0</v>
      </c>
      <c r="BL12" s="306">
        <f t="shared" si="20"/>
        <v>0</v>
      </c>
      <c r="BM12" s="306">
        <f t="shared" si="21"/>
        <v>0</v>
      </c>
      <c r="BN12" s="306">
        <f t="shared" si="22"/>
        <v>0</v>
      </c>
      <c r="BO12" s="306">
        <f t="shared" si="23"/>
        <v>0</v>
      </c>
      <c r="BP12" s="306">
        <f t="shared" si="24"/>
        <v>0</v>
      </c>
      <c r="BQ12" s="257">
        <f t="shared" si="25"/>
        <v>236240.7012992783</v>
      </c>
    </row>
    <row r="13" spans="1:69">
      <c r="A13" s="748" t="str">
        <f>Prop2018DistTar!A13</f>
        <v>C3R</v>
      </c>
      <c r="B13" s="750" t="str">
        <f>Prop2018DistTar!B13</f>
        <v>Residential Interval</v>
      </c>
      <c r="C13" s="287"/>
      <c r="D13" s="774">
        <v>0</v>
      </c>
      <c r="E13" s="768">
        <v>0</v>
      </c>
      <c r="F13" s="768">
        <v>1.94</v>
      </c>
      <c r="G13" s="768">
        <v>0</v>
      </c>
      <c r="H13" s="768">
        <v>0</v>
      </c>
      <c r="I13" s="768">
        <v>0.41</v>
      </c>
      <c r="J13" s="768">
        <v>0</v>
      </c>
      <c r="K13" s="768">
        <v>0</v>
      </c>
      <c r="L13" s="768">
        <v>0</v>
      </c>
      <c r="M13" s="768">
        <v>0</v>
      </c>
      <c r="N13" s="768">
        <v>0</v>
      </c>
      <c r="O13" s="768">
        <v>0</v>
      </c>
      <c r="P13" s="768">
        <v>0</v>
      </c>
      <c r="Q13" s="768">
        <v>0</v>
      </c>
      <c r="R13" s="768">
        <v>0</v>
      </c>
      <c r="S13" s="768">
        <v>0</v>
      </c>
      <c r="T13" s="768">
        <v>0</v>
      </c>
      <c r="U13" s="768">
        <v>0</v>
      </c>
      <c r="V13" s="768">
        <v>0</v>
      </c>
      <c r="W13" s="768">
        <v>0</v>
      </c>
      <c r="X13" s="769">
        <v>0</v>
      </c>
      <c r="Z13" s="279">
        <f>Prop2018DistTar!AV13</f>
        <v>17220.894511590293</v>
      </c>
      <c r="AA13" s="253">
        <f>Prop2018DistTar!AW13</f>
        <v>0</v>
      </c>
      <c r="AB13" s="253">
        <f>Prop2018DistTar!AX13</f>
        <v>60059088.859664425</v>
      </c>
      <c r="AC13" s="253">
        <f>Prop2018DistTar!AY13</f>
        <v>0</v>
      </c>
      <c r="AD13" s="253">
        <f>Prop2018DistTar!AZ13</f>
        <v>0</v>
      </c>
      <c r="AE13" s="253">
        <f>Prop2018DistTar!BA13</f>
        <v>52811678.164143428</v>
      </c>
      <c r="AF13" s="253">
        <f>Prop2018DistTar!BB13</f>
        <v>0</v>
      </c>
      <c r="AG13" s="253">
        <f>Prop2018DistTar!BC13</f>
        <v>0</v>
      </c>
      <c r="AH13" s="253">
        <f>Prop2018DistTar!BD13</f>
        <v>0</v>
      </c>
      <c r="AI13" s="253">
        <f>Prop2018DistTar!BE13</f>
        <v>0</v>
      </c>
      <c r="AJ13" s="253">
        <f>Prop2018DistTar!BF13</f>
        <v>0</v>
      </c>
      <c r="AK13" s="253">
        <f>Prop2018DistTar!BG13</f>
        <v>0</v>
      </c>
      <c r="AL13" s="253">
        <f>Prop2018DistTar!BH13</f>
        <v>0</v>
      </c>
      <c r="AM13" s="253">
        <f>Prop2018DistTar!BI13</f>
        <v>0</v>
      </c>
      <c r="AN13" s="253">
        <f>Prop2018DistTar!BJ13</f>
        <v>0</v>
      </c>
      <c r="AO13" s="253">
        <f>Prop2018DistTar!BK13</f>
        <v>0</v>
      </c>
      <c r="AP13" s="253">
        <f>Prop2018DistTar!BL13</f>
        <v>0</v>
      </c>
      <c r="AQ13" s="253">
        <f>Prop2018DistTar!BM13</f>
        <v>0</v>
      </c>
      <c r="AR13" s="253">
        <f>Prop2018DistTar!BN13</f>
        <v>0</v>
      </c>
      <c r="AS13" s="253">
        <f>Prop2018DistTar!BO13</f>
        <v>0</v>
      </c>
      <c r="AT13" s="254">
        <f>Prop2018DistTar!BP13</f>
        <v>0</v>
      </c>
      <c r="AV13" s="304">
        <f t="shared" si="4"/>
        <v>0</v>
      </c>
      <c r="AW13" s="305">
        <f t="shared" si="5"/>
        <v>0</v>
      </c>
      <c r="AX13" s="305">
        <f t="shared" si="6"/>
        <v>1165146.3238774899</v>
      </c>
      <c r="AY13" s="305">
        <f t="shared" si="7"/>
        <v>0</v>
      </c>
      <c r="AZ13" s="305">
        <f t="shared" si="8"/>
        <v>0</v>
      </c>
      <c r="BA13" s="305">
        <f t="shared" si="9"/>
        <v>216527.88047298804</v>
      </c>
      <c r="BB13" s="305">
        <f t="shared" si="10"/>
        <v>0</v>
      </c>
      <c r="BC13" s="305">
        <f t="shared" si="11"/>
        <v>0</v>
      </c>
      <c r="BD13" s="305">
        <f t="shared" si="12"/>
        <v>0</v>
      </c>
      <c r="BE13" s="305">
        <f t="shared" si="13"/>
        <v>0</v>
      </c>
      <c r="BF13" s="305">
        <f t="shared" si="14"/>
        <v>0</v>
      </c>
      <c r="BG13" s="305">
        <f t="shared" si="15"/>
        <v>0</v>
      </c>
      <c r="BH13" s="305">
        <f t="shared" si="16"/>
        <v>0</v>
      </c>
      <c r="BI13" s="306">
        <f t="shared" si="17"/>
        <v>0</v>
      </c>
      <c r="BJ13" s="306">
        <f t="shared" si="18"/>
        <v>0</v>
      </c>
      <c r="BK13" s="306">
        <f t="shared" si="19"/>
        <v>0</v>
      </c>
      <c r="BL13" s="306">
        <f t="shared" si="20"/>
        <v>0</v>
      </c>
      <c r="BM13" s="306">
        <f t="shared" si="21"/>
        <v>0</v>
      </c>
      <c r="BN13" s="306">
        <f t="shared" si="22"/>
        <v>0</v>
      </c>
      <c r="BO13" s="306">
        <f t="shared" si="23"/>
        <v>0</v>
      </c>
      <c r="BP13" s="306">
        <f t="shared" si="24"/>
        <v>0</v>
      </c>
      <c r="BQ13" s="257">
        <f t="shared" si="25"/>
        <v>1381674.204350478</v>
      </c>
    </row>
    <row r="14" spans="1:69">
      <c r="A14" s="748" t="str">
        <f>Prop2018DistTar!A14</f>
        <v>C3RB</v>
      </c>
      <c r="B14" s="750" t="str">
        <f>Prop2018DistTar!B14</f>
        <v>Residential Interval - Bulk</v>
      </c>
      <c r="C14" s="287"/>
      <c r="D14" s="774">
        <v>0</v>
      </c>
      <c r="E14" s="768">
        <v>0</v>
      </c>
      <c r="F14" s="768">
        <v>1.65</v>
      </c>
      <c r="G14" s="768">
        <v>0</v>
      </c>
      <c r="H14" s="768">
        <v>0</v>
      </c>
      <c r="I14" s="768">
        <v>0.38</v>
      </c>
      <c r="J14" s="768">
        <v>0</v>
      </c>
      <c r="K14" s="768">
        <v>0</v>
      </c>
      <c r="L14" s="768">
        <v>0</v>
      </c>
      <c r="M14" s="768">
        <v>0</v>
      </c>
      <c r="N14" s="768">
        <v>0</v>
      </c>
      <c r="O14" s="768">
        <v>0</v>
      </c>
      <c r="P14" s="768">
        <v>0</v>
      </c>
      <c r="Q14" s="768">
        <v>0</v>
      </c>
      <c r="R14" s="768">
        <v>0</v>
      </c>
      <c r="S14" s="768">
        <v>0</v>
      </c>
      <c r="T14" s="768">
        <v>0</v>
      </c>
      <c r="U14" s="768">
        <v>0</v>
      </c>
      <c r="V14" s="768">
        <v>0</v>
      </c>
      <c r="W14" s="768">
        <v>0</v>
      </c>
      <c r="X14" s="769">
        <v>0</v>
      </c>
      <c r="Z14" s="279">
        <f>Prop2018DistTar!AV14</f>
        <v>8720.0761855865894</v>
      </c>
      <c r="AA14" s="253">
        <f>Prop2018DistTar!AW14</f>
        <v>0</v>
      </c>
      <c r="AB14" s="253">
        <f>Prop2018DistTar!AX14</f>
        <v>14985083.090693302</v>
      </c>
      <c r="AC14" s="253">
        <f>Prop2018DistTar!AY14</f>
        <v>0</v>
      </c>
      <c r="AD14" s="253">
        <f>Prop2018DistTar!AZ14</f>
        <v>0</v>
      </c>
      <c r="AE14" s="253">
        <f>Prop2018DistTar!BA14</f>
        <v>14138212.664102102</v>
      </c>
      <c r="AF14" s="253">
        <f>Prop2018DistTar!BB14</f>
        <v>0</v>
      </c>
      <c r="AG14" s="253">
        <f>Prop2018DistTar!BC14</f>
        <v>0</v>
      </c>
      <c r="AH14" s="253">
        <f>Prop2018DistTar!BD14</f>
        <v>0</v>
      </c>
      <c r="AI14" s="253">
        <f>Prop2018DistTar!BE14</f>
        <v>0</v>
      </c>
      <c r="AJ14" s="253">
        <f>Prop2018DistTar!BF14</f>
        <v>0</v>
      </c>
      <c r="AK14" s="253">
        <f>Prop2018DistTar!BG14</f>
        <v>0</v>
      </c>
      <c r="AL14" s="253">
        <f>Prop2018DistTar!BH14</f>
        <v>0</v>
      </c>
      <c r="AM14" s="253">
        <f>Prop2018DistTar!BI14</f>
        <v>0</v>
      </c>
      <c r="AN14" s="253">
        <f>Prop2018DistTar!BJ14</f>
        <v>0</v>
      </c>
      <c r="AO14" s="253">
        <f>Prop2018DistTar!BK14</f>
        <v>0</v>
      </c>
      <c r="AP14" s="253">
        <f>Prop2018DistTar!BL14</f>
        <v>0</v>
      </c>
      <c r="AQ14" s="253">
        <f>Prop2018DistTar!BM14</f>
        <v>0</v>
      </c>
      <c r="AR14" s="253">
        <f>Prop2018DistTar!BN14</f>
        <v>0</v>
      </c>
      <c r="AS14" s="253">
        <f>Prop2018DistTar!BO14</f>
        <v>0</v>
      </c>
      <c r="AT14" s="254">
        <f>Prop2018DistTar!BP14</f>
        <v>0</v>
      </c>
      <c r="AV14" s="304">
        <f t="shared" si="4"/>
        <v>0</v>
      </c>
      <c r="AW14" s="305">
        <f t="shared" si="5"/>
        <v>0</v>
      </c>
      <c r="AX14" s="305">
        <f t="shared" si="6"/>
        <v>247253.87099643951</v>
      </c>
      <c r="AY14" s="305">
        <f t="shared" si="7"/>
        <v>0</v>
      </c>
      <c r="AZ14" s="305">
        <f t="shared" si="8"/>
        <v>0</v>
      </c>
      <c r="BA14" s="305">
        <f t="shared" si="9"/>
        <v>53725.208123587989</v>
      </c>
      <c r="BB14" s="305">
        <f t="shared" si="10"/>
        <v>0</v>
      </c>
      <c r="BC14" s="305">
        <f t="shared" si="11"/>
        <v>0</v>
      </c>
      <c r="BD14" s="305">
        <f t="shared" si="12"/>
        <v>0</v>
      </c>
      <c r="BE14" s="305">
        <f t="shared" si="13"/>
        <v>0</v>
      </c>
      <c r="BF14" s="305">
        <f t="shared" si="14"/>
        <v>0</v>
      </c>
      <c r="BG14" s="305">
        <f t="shared" si="15"/>
        <v>0</v>
      </c>
      <c r="BH14" s="305">
        <f t="shared" si="16"/>
        <v>0</v>
      </c>
      <c r="BI14" s="306">
        <f t="shared" si="17"/>
        <v>0</v>
      </c>
      <c r="BJ14" s="306">
        <f t="shared" si="18"/>
        <v>0</v>
      </c>
      <c r="BK14" s="306">
        <f t="shared" si="19"/>
        <v>0</v>
      </c>
      <c r="BL14" s="306">
        <f t="shared" si="20"/>
        <v>0</v>
      </c>
      <c r="BM14" s="306">
        <f t="shared" si="21"/>
        <v>0</v>
      </c>
      <c r="BN14" s="306">
        <f t="shared" si="22"/>
        <v>0</v>
      </c>
      <c r="BO14" s="306">
        <f t="shared" si="23"/>
        <v>0</v>
      </c>
      <c r="BP14" s="306">
        <f t="shared" si="24"/>
        <v>0</v>
      </c>
      <c r="BQ14" s="257">
        <f t="shared" si="25"/>
        <v>300979.07912002748</v>
      </c>
    </row>
    <row r="15" spans="1:69">
      <c r="A15" s="748" t="str">
        <f>Prop2018DistTar!A15</f>
        <v>C2ROP</v>
      </c>
      <c r="B15" s="750" t="str">
        <f>Prop2018DistTar!B15</f>
        <v>Residential Two Rate 5d - Controlled Load</v>
      </c>
      <c r="C15" s="287"/>
      <c r="D15" s="774">
        <v>0</v>
      </c>
      <c r="E15" s="768">
        <v>0</v>
      </c>
      <c r="F15" s="768">
        <v>0</v>
      </c>
      <c r="G15" s="768">
        <v>0</v>
      </c>
      <c r="H15" s="768">
        <v>0</v>
      </c>
      <c r="I15" s="768">
        <v>0.35</v>
      </c>
      <c r="J15" s="768">
        <v>0</v>
      </c>
      <c r="K15" s="768">
        <v>0</v>
      </c>
      <c r="L15" s="768">
        <v>0</v>
      </c>
      <c r="M15" s="768">
        <v>0</v>
      </c>
      <c r="N15" s="768">
        <v>0</v>
      </c>
      <c r="O15" s="768">
        <v>0</v>
      </c>
      <c r="P15" s="768">
        <v>0</v>
      </c>
      <c r="Q15" s="768">
        <v>0</v>
      </c>
      <c r="R15" s="768">
        <v>0</v>
      </c>
      <c r="S15" s="768">
        <v>0</v>
      </c>
      <c r="T15" s="768">
        <v>0</v>
      </c>
      <c r="U15" s="768">
        <v>0</v>
      </c>
      <c r="V15" s="768">
        <v>0</v>
      </c>
      <c r="W15" s="768">
        <v>0</v>
      </c>
      <c r="X15" s="769">
        <v>0</v>
      </c>
      <c r="Z15" s="279">
        <f>Prop2018DistTar!AV15</f>
        <v>9721.6356157284772</v>
      </c>
      <c r="AA15" s="253">
        <f>Prop2018DistTar!AW15</f>
        <v>0</v>
      </c>
      <c r="AB15" s="253">
        <f>Prop2018DistTar!AX15</f>
        <v>0</v>
      </c>
      <c r="AC15" s="253">
        <f>Prop2018DistTar!AY15</f>
        <v>0</v>
      </c>
      <c r="AD15" s="253">
        <f>Prop2018DistTar!AZ15</f>
        <v>0</v>
      </c>
      <c r="AE15" s="253">
        <f>Prop2018DistTar!BA15</f>
        <v>19909930.707670532</v>
      </c>
      <c r="AF15" s="253">
        <f>Prop2018DistTar!BB15</f>
        <v>0</v>
      </c>
      <c r="AG15" s="253">
        <f>Prop2018DistTar!BC15</f>
        <v>0</v>
      </c>
      <c r="AH15" s="253">
        <f>Prop2018DistTar!BD15</f>
        <v>0</v>
      </c>
      <c r="AI15" s="253">
        <f>Prop2018DistTar!BE15</f>
        <v>0</v>
      </c>
      <c r="AJ15" s="253">
        <f>Prop2018DistTar!BF15</f>
        <v>0</v>
      </c>
      <c r="AK15" s="253">
        <f>Prop2018DistTar!BG15</f>
        <v>0</v>
      </c>
      <c r="AL15" s="253">
        <f>Prop2018DistTar!BH15</f>
        <v>0</v>
      </c>
      <c r="AM15" s="253">
        <f>Prop2018DistTar!BI15</f>
        <v>0</v>
      </c>
      <c r="AN15" s="253">
        <f>Prop2018DistTar!BJ15</f>
        <v>0</v>
      </c>
      <c r="AO15" s="253">
        <f>Prop2018DistTar!BK15</f>
        <v>0</v>
      </c>
      <c r="AP15" s="253">
        <f>Prop2018DistTar!BL15</f>
        <v>0</v>
      </c>
      <c r="AQ15" s="253">
        <f>Prop2018DistTar!BM15</f>
        <v>0</v>
      </c>
      <c r="AR15" s="253">
        <f>Prop2018DistTar!BN15</f>
        <v>0</v>
      </c>
      <c r="AS15" s="253">
        <f>Prop2018DistTar!BO15</f>
        <v>0</v>
      </c>
      <c r="AT15" s="254">
        <f>Prop2018DistTar!BP15</f>
        <v>0</v>
      </c>
      <c r="AV15" s="304">
        <f t="shared" si="4"/>
        <v>0</v>
      </c>
      <c r="AW15" s="305">
        <f t="shared" si="5"/>
        <v>0</v>
      </c>
      <c r="AX15" s="305">
        <f t="shared" si="6"/>
        <v>0</v>
      </c>
      <c r="AY15" s="305">
        <f t="shared" si="7"/>
        <v>0</v>
      </c>
      <c r="AZ15" s="305">
        <f t="shared" si="8"/>
        <v>0</v>
      </c>
      <c r="BA15" s="305">
        <f t="shared" si="9"/>
        <v>69684.757476846862</v>
      </c>
      <c r="BB15" s="305">
        <f t="shared" si="10"/>
        <v>0</v>
      </c>
      <c r="BC15" s="305">
        <f t="shared" si="11"/>
        <v>0</v>
      </c>
      <c r="BD15" s="305">
        <f t="shared" si="12"/>
        <v>0</v>
      </c>
      <c r="BE15" s="305">
        <f t="shared" si="13"/>
        <v>0</v>
      </c>
      <c r="BF15" s="305">
        <f t="shared" si="14"/>
        <v>0</v>
      </c>
      <c r="BG15" s="305">
        <f t="shared" si="15"/>
        <v>0</v>
      </c>
      <c r="BH15" s="305">
        <f t="shared" si="16"/>
        <v>0</v>
      </c>
      <c r="BI15" s="306">
        <f t="shared" si="17"/>
        <v>0</v>
      </c>
      <c r="BJ15" s="306">
        <f t="shared" si="18"/>
        <v>0</v>
      </c>
      <c r="BK15" s="306">
        <f t="shared" si="19"/>
        <v>0</v>
      </c>
      <c r="BL15" s="306">
        <f t="shared" si="20"/>
        <v>0</v>
      </c>
      <c r="BM15" s="306">
        <f t="shared" si="21"/>
        <v>0</v>
      </c>
      <c r="BN15" s="306">
        <f t="shared" si="22"/>
        <v>0</v>
      </c>
      <c r="BO15" s="306">
        <f t="shared" si="23"/>
        <v>0</v>
      </c>
      <c r="BP15" s="306">
        <f t="shared" si="24"/>
        <v>0</v>
      </c>
      <c r="BQ15" s="257">
        <f t="shared" si="25"/>
        <v>69684.757476846862</v>
      </c>
    </row>
    <row r="16" spans="1:69">
      <c r="A16" s="748" t="str">
        <f>Prop2018DistTar!A16</f>
        <v>C2RBOP</v>
      </c>
      <c r="B16" s="750" t="str">
        <f>Prop2018DistTar!B16</f>
        <v>Residential Two Rate 5d - Bulk - Controlled Load</v>
      </c>
      <c r="C16" s="287"/>
      <c r="D16" s="774">
        <v>0</v>
      </c>
      <c r="E16" s="768">
        <v>0</v>
      </c>
      <c r="F16" s="768">
        <v>0</v>
      </c>
      <c r="G16" s="768">
        <v>0</v>
      </c>
      <c r="H16" s="768">
        <v>0</v>
      </c>
      <c r="I16" s="768">
        <v>0.27</v>
      </c>
      <c r="J16" s="768">
        <v>0</v>
      </c>
      <c r="K16" s="768">
        <v>0</v>
      </c>
      <c r="L16" s="768">
        <v>0</v>
      </c>
      <c r="M16" s="768">
        <v>0</v>
      </c>
      <c r="N16" s="768">
        <v>0</v>
      </c>
      <c r="O16" s="768">
        <v>0</v>
      </c>
      <c r="P16" s="768">
        <v>0</v>
      </c>
      <c r="Q16" s="768">
        <v>0</v>
      </c>
      <c r="R16" s="768">
        <v>0</v>
      </c>
      <c r="S16" s="768">
        <v>0</v>
      </c>
      <c r="T16" s="768">
        <v>0</v>
      </c>
      <c r="U16" s="768">
        <v>0</v>
      </c>
      <c r="V16" s="768">
        <v>0</v>
      </c>
      <c r="W16" s="768">
        <v>0</v>
      </c>
      <c r="X16" s="769">
        <v>0</v>
      </c>
      <c r="Z16" s="279">
        <f>Prop2018DistTar!AV16</f>
        <v>3658.6066628568519</v>
      </c>
      <c r="AA16" s="253">
        <f>Prop2018DistTar!AW16</f>
        <v>0</v>
      </c>
      <c r="AB16" s="253">
        <f>Prop2018DistTar!AX16</f>
        <v>0</v>
      </c>
      <c r="AC16" s="253">
        <f>Prop2018DistTar!AY16</f>
        <v>0</v>
      </c>
      <c r="AD16" s="253">
        <f>Prop2018DistTar!AZ16</f>
        <v>0</v>
      </c>
      <c r="AE16" s="253">
        <f>Prop2018DistTar!BA16</f>
        <v>7350471.8260590127</v>
      </c>
      <c r="AF16" s="253">
        <f>Prop2018DistTar!BB16</f>
        <v>0</v>
      </c>
      <c r="AG16" s="253">
        <f>Prop2018DistTar!BC16</f>
        <v>0</v>
      </c>
      <c r="AH16" s="253">
        <f>Prop2018DistTar!BD16</f>
        <v>0</v>
      </c>
      <c r="AI16" s="253">
        <f>Prop2018DistTar!BE16</f>
        <v>0</v>
      </c>
      <c r="AJ16" s="253">
        <f>Prop2018DistTar!BF16</f>
        <v>0</v>
      </c>
      <c r="AK16" s="253">
        <f>Prop2018DistTar!BG16</f>
        <v>0</v>
      </c>
      <c r="AL16" s="253">
        <f>Prop2018DistTar!BH16</f>
        <v>0</v>
      </c>
      <c r="AM16" s="253">
        <f>Prop2018DistTar!BI16</f>
        <v>0</v>
      </c>
      <c r="AN16" s="253">
        <f>Prop2018DistTar!BJ16</f>
        <v>0</v>
      </c>
      <c r="AO16" s="253">
        <f>Prop2018DistTar!BK16</f>
        <v>0</v>
      </c>
      <c r="AP16" s="253">
        <f>Prop2018DistTar!BL16</f>
        <v>0</v>
      </c>
      <c r="AQ16" s="253">
        <f>Prop2018DistTar!BM16</f>
        <v>0</v>
      </c>
      <c r="AR16" s="253">
        <f>Prop2018DistTar!BN16</f>
        <v>0</v>
      </c>
      <c r="AS16" s="253">
        <f>Prop2018DistTar!BO16</f>
        <v>0</v>
      </c>
      <c r="AT16" s="254">
        <f>Prop2018DistTar!BP16</f>
        <v>0</v>
      </c>
      <c r="AV16" s="304">
        <f t="shared" si="4"/>
        <v>0</v>
      </c>
      <c r="AW16" s="305">
        <f t="shared" si="5"/>
        <v>0</v>
      </c>
      <c r="AX16" s="305">
        <f t="shared" si="6"/>
        <v>0</v>
      </c>
      <c r="AY16" s="305">
        <f t="shared" si="7"/>
        <v>0</v>
      </c>
      <c r="AZ16" s="305">
        <f t="shared" si="8"/>
        <v>0</v>
      </c>
      <c r="BA16" s="305">
        <f t="shared" si="9"/>
        <v>19846.273930359333</v>
      </c>
      <c r="BB16" s="305">
        <f t="shared" si="10"/>
        <v>0</v>
      </c>
      <c r="BC16" s="305">
        <f t="shared" si="11"/>
        <v>0</v>
      </c>
      <c r="BD16" s="305">
        <f t="shared" si="12"/>
        <v>0</v>
      </c>
      <c r="BE16" s="305">
        <f t="shared" si="13"/>
        <v>0</v>
      </c>
      <c r="BF16" s="305">
        <f t="shared" si="14"/>
        <v>0</v>
      </c>
      <c r="BG16" s="305">
        <f t="shared" si="15"/>
        <v>0</v>
      </c>
      <c r="BH16" s="305">
        <f t="shared" si="16"/>
        <v>0</v>
      </c>
      <c r="BI16" s="306">
        <f t="shared" si="17"/>
        <v>0</v>
      </c>
      <c r="BJ16" s="306">
        <f t="shared" si="18"/>
        <v>0</v>
      </c>
      <c r="BK16" s="306">
        <f t="shared" si="19"/>
        <v>0</v>
      </c>
      <c r="BL16" s="306">
        <f t="shared" si="20"/>
        <v>0</v>
      </c>
      <c r="BM16" s="306">
        <f t="shared" si="21"/>
        <v>0</v>
      </c>
      <c r="BN16" s="306">
        <f t="shared" si="22"/>
        <v>0</v>
      </c>
      <c r="BO16" s="306">
        <f t="shared" si="23"/>
        <v>0</v>
      </c>
      <c r="BP16" s="306">
        <f t="shared" si="24"/>
        <v>0</v>
      </c>
      <c r="BQ16" s="257">
        <f t="shared" si="25"/>
        <v>19846.273930359333</v>
      </c>
    </row>
    <row r="17" spans="1:69">
      <c r="A17" s="748" t="str">
        <f>Prop2018DistTar!A17</f>
        <v>CDS</v>
      </c>
      <c r="B17" s="750" t="str">
        <f>Prop2018DistTar!B17</f>
        <v>Dedicated Circuit</v>
      </c>
      <c r="C17" s="287"/>
      <c r="D17" s="774">
        <v>0</v>
      </c>
      <c r="E17" s="768">
        <v>0</v>
      </c>
      <c r="F17" s="768">
        <v>0</v>
      </c>
      <c r="G17" s="768">
        <v>0</v>
      </c>
      <c r="H17" s="768">
        <v>0</v>
      </c>
      <c r="I17" s="768">
        <v>0.35</v>
      </c>
      <c r="J17" s="768">
        <v>0</v>
      </c>
      <c r="K17" s="768">
        <v>0</v>
      </c>
      <c r="L17" s="768">
        <v>0</v>
      </c>
      <c r="M17" s="768">
        <v>0</v>
      </c>
      <c r="N17" s="768">
        <v>0</v>
      </c>
      <c r="O17" s="768">
        <v>0</v>
      </c>
      <c r="P17" s="768">
        <v>0</v>
      </c>
      <c r="Q17" s="768">
        <v>0</v>
      </c>
      <c r="R17" s="768">
        <v>0</v>
      </c>
      <c r="S17" s="768">
        <v>0</v>
      </c>
      <c r="T17" s="768">
        <v>0</v>
      </c>
      <c r="U17" s="768">
        <v>0</v>
      </c>
      <c r="V17" s="768">
        <v>0</v>
      </c>
      <c r="W17" s="768">
        <v>0</v>
      </c>
      <c r="X17" s="769">
        <v>0</v>
      </c>
      <c r="Z17" s="279">
        <f>Prop2018DistTar!AV17</f>
        <v>22642.030575507612</v>
      </c>
      <c r="AA17" s="253">
        <f>Prop2018DistTar!AW17</f>
        <v>0</v>
      </c>
      <c r="AB17" s="253">
        <f>Prop2018DistTar!AX17</f>
        <v>0</v>
      </c>
      <c r="AC17" s="253">
        <f>Prop2018DistTar!AY17</f>
        <v>0</v>
      </c>
      <c r="AD17" s="253">
        <f>Prop2018DistTar!AZ17</f>
        <v>0</v>
      </c>
      <c r="AE17" s="253">
        <f>Prop2018DistTar!BA17</f>
        <v>33890069.863411687</v>
      </c>
      <c r="AF17" s="253">
        <f>Prop2018DistTar!BB17</f>
        <v>0</v>
      </c>
      <c r="AG17" s="253">
        <f>Prop2018DistTar!BC17</f>
        <v>0</v>
      </c>
      <c r="AH17" s="253">
        <f>Prop2018DistTar!BD17</f>
        <v>0</v>
      </c>
      <c r="AI17" s="253">
        <f>Prop2018DistTar!BE17</f>
        <v>0</v>
      </c>
      <c r="AJ17" s="253">
        <f>Prop2018DistTar!BF17</f>
        <v>0</v>
      </c>
      <c r="AK17" s="253">
        <f>Prop2018DistTar!BG17</f>
        <v>0</v>
      </c>
      <c r="AL17" s="253">
        <f>Prop2018DistTar!BH17</f>
        <v>0</v>
      </c>
      <c r="AM17" s="253">
        <f>Prop2018DistTar!BI17</f>
        <v>0</v>
      </c>
      <c r="AN17" s="253">
        <f>Prop2018DistTar!BJ17</f>
        <v>0</v>
      </c>
      <c r="AO17" s="253">
        <f>Prop2018DistTar!BK17</f>
        <v>0</v>
      </c>
      <c r="AP17" s="253">
        <f>Prop2018DistTar!BL17</f>
        <v>0</v>
      </c>
      <c r="AQ17" s="253">
        <f>Prop2018DistTar!BM17</f>
        <v>0</v>
      </c>
      <c r="AR17" s="253">
        <f>Prop2018DistTar!BN17</f>
        <v>0</v>
      </c>
      <c r="AS17" s="253">
        <f>Prop2018DistTar!BO17</f>
        <v>0</v>
      </c>
      <c r="AT17" s="254">
        <f>Prop2018DistTar!BP17</f>
        <v>0</v>
      </c>
      <c r="AV17" s="304">
        <f t="shared" si="4"/>
        <v>0</v>
      </c>
      <c r="AW17" s="305">
        <f t="shared" si="5"/>
        <v>0</v>
      </c>
      <c r="AX17" s="305">
        <f t="shared" si="6"/>
        <v>0</v>
      </c>
      <c r="AY17" s="305">
        <f t="shared" si="7"/>
        <v>0</v>
      </c>
      <c r="AZ17" s="305">
        <f t="shared" si="8"/>
        <v>0</v>
      </c>
      <c r="BA17" s="305">
        <f t="shared" si="9"/>
        <v>118615.2445219409</v>
      </c>
      <c r="BB17" s="305">
        <f t="shared" si="10"/>
        <v>0</v>
      </c>
      <c r="BC17" s="305">
        <f t="shared" si="11"/>
        <v>0</v>
      </c>
      <c r="BD17" s="305">
        <f t="shared" si="12"/>
        <v>0</v>
      </c>
      <c r="BE17" s="305">
        <f t="shared" si="13"/>
        <v>0</v>
      </c>
      <c r="BF17" s="305">
        <f t="shared" si="14"/>
        <v>0</v>
      </c>
      <c r="BG17" s="305">
        <f t="shared" si="15"/>
        <v>0</v>
      </c>
      <c r="BH17" s="305">
        <f t="shared" si="16"/>
        <v>0</v>
      </c>
      <c r="BI17" s="306">
        <f t="shared" si="17"/>
        <v>0</v>
      </c>
      <c r="BJ17" s="306">
        <f t="shared" si="18"/>
        <v>0</v>
      </c>
      <c r="BK17" s="306">
        <f t="shared" si="19"/>
        <v>0</v>
      </c>
      <c r="BL17" s="306">
        <f t="shared" si="20"/>
        <v>0</v>
      </c>
      <c r="BM17" s="306">
        <f t="shared" si="21"/>
        <v>0</v>
      </c>
      <c r="BN17" s="306">
        <f t="shared" si="22"/>
        <v>0</v>
      </c>
      <c r="BO17" s="306">
        <f t="shared" si="23"/>
        <v>0</v>
      </c>
      <c r="BP17" s="306">
        <f t="shared" si="24"/>
        <v>0</v>
      </c>
      <c r="BQ17" s="257">
        <f t="shared" si="25"/>
        <v>118615.2445219409</v>
      </c>
    </row>
    <row r="18" spans="1:69">
      <c r="A18" s="748" t="str">
        <f>Prop2018DistTar!A18</f>
        <v>CDSB</v>
      </c>
      <c r="B18" s="750" t="str">
        <f>Prop2018DistTar!B18</f>
        <v>Dedicated Circuit - Bulk</v>
      </c>
      <c r="C18" s="287"/>
      <c r="D18" s="774">
        <v>0</v>
      </c>
      <c r="E18" s="768">
        <v>0</v>
      </c>
      <c r="F18" s="768">
        <v>0</v>
      </c>
      <c r="G18" s="768">
        <v>0</v>
      </c>
      <c r="H18" s="768">
        <v>0</v>
      </c>
      <c r="I18" s="768">
        <v>0.27</v>
      </c>
      <c r="J18" s="768">
        <v>0</v>
      </c>
      <c r="K18" s="768">
        <v>0</v>
      </c>
      <c r="L18" s="768">
        <v>0</v>
      </c>
      <c r="M18" s="768">
        <v>0</v>
      </c>
      <c r="N18" s="768">
        <v>0</v>
      </c>
      <c r="O18" s="768">
        <v>0</v>
      </c>
      <c r="P18" s="768">
        <v>0</v>
      </c>
      <c r="Q18" s="768">
        <v>0</v>
      </c>
      <c r="R18" s="768">
        <v>0</v>
      </c>
      <c r="S18" s="768">
        <v>0</v>
      </c>
      <c r="T18" s="768">
        <v>0</v>
      </c>
      <c r="U18" s="768">
        <v>0</v>
      </c>
      <c r="V18" s="768">
        <v>0</v>
      </c>
      <c r="W18" s="768">
        <v>0</v>
      </c>
      <c r="X18" s="769">
        <v>0</v>
      </c>
      <c r="Z18" s="279">
        <f>Prop2018DistTar!AV18</f>
        <v>1081.4792179376586</v>
      </c>
      <c r="AA18" s="253">
        <f>Prop2018DistTar!AW18</f>
        <v>0</v>
      </c>
      <c r="AB18" s="253">
        <f>Prop2018DistTar!AX18</f>
        <v>0</v>
      </c>
      <c r="AC18" s="253">
        <f>Prop2018DistTar!AY18</f>
        <v>0</v>
      </c>
      <c r="AD18" s="253">
        <f>Prop2018DistTar!AZ18</f>
        <v>0</v>
      </c>
      <c r="AE18" s="253">
        <f>Prop2018DistTar!BA18</f>
        <v>2219211.1923869113</v>
      </c>
      <c r="AF18" s="253">
        <f>Prop2018DistTar!BB18</f>
        <v>0</v>
      </c>
      <c r="AG18" s="253">
        <f>Prop2018DistTar!BC18</f>
        <v>0</v>
      </c>
      <c r="AH18" s="253">
        <f>Prop2018DistTar!BD18</f>
        <v>0</v>
      </c>
      <c r="AI18" s="253">
        <f>Prop2018DistTar!BE18</f>
        <v>0</v>
      </c>
      <c r="AJ18" s="253">
        <f>Prop2018DistTar!BF18</f>
        <v>0</v>
      </c>
      <c r="AK18" s="253">
        <f>Prop2018DistTar!BG18</f>
        <v>0</v>
      </c>
      <c r="AL18" s="253">
        <f>Prop2018DistTar!BH18</f>
        <v>0</v>
      </c>
      <c r="AM18" s="253">
        <f>Prop2018DistTar!BI18</f>
        <v>0</v>
      </c>
      <c r="AN18" s="253">
        <f>Prop2018DistTar!BJ18</f>
        <v>0</v>
      </c>
      <c r="AO18" s="253">
        <f>Prop2018DistTar!BK18</f>
        <v>0</v>
      </c>
      <c r="AP18" s="253">
        <f>Prop2018DistTar!BL18</f>
        <v>0</v>
      </c>
      <c r="AQ18" s="253">
        <f>Prop2018DistTar!BM18</f>
        <v>0</v>
      </c>
      <c r="AR18" s="253">
        <f>Prop2018DistTar!BN18</f>
        <v>0</v>
      </c>
      <c r="AS18" s="253">
        <f>Prop2018DistTar!BO18</f>
        <v>0</v>
      </c>
      <c r="AT18" s="254">
        <f>Prop2018DistTar!BP18</f>
        <v>0</v>
      </c>
      <c r="AV18" s="304">
        <f t="shared" si="4"/>
        <v>0</v>
      </c>
      <c r="AW18" s="305">
        <f t="shared" si="5"/>
        <v>0</v>
      </c>
      <c r="AX18" s="305">
        <f t="shared" si="6"/>
        <v>0</v>
      </c>
      <c r="AY18" s="305">
        <f t="shared" si="7"/>
        <v>0</v>
      </c>
      <c r="AZ18" s="305">
        <f t="shared" si="8"/>
        <v>0</v>
      </c>
      <c r="BA18" s="305">
        <f t="shared" si="9"/>
        <v>5991.8702194446605</v>
      </c>
      <c r="BB18" s="305">
        <f t="shared" si="10"/>
        <v>0</v>
      </c>
      <c r="BC18" s="305">
        <f t="shared" si="11"/>
        <v>0</v>
      </c>
      <c r="BD18" s="305">
        <f t="shared" si="12"/>
        <v>0</v>
      </c>
      <c r="BE18" s="305">
        <f t="shared" si="13"/>
        <v>0</v>
      </c>
      <c r="BF18" s="305">
        <f t="shared" si="14"/>
        <v>0</v>
      </c>
      <c r="BG18" s="305">
        <f t="shared" si="15"/>
        <v>0</v>
      </c>
      <c r="BH18" s="305">
        <f t="shared" si="16"/>
        <v>0</v>
      </c>
      <c r="BI18" s="306">
        <f t="shared" si="17"/>
        <v>0</v>
      </c>
      <c r="BJ18" s="306">
        <f t="shared" si="18"/>
        <v>0</v>
      </c>
      <c r="BK18" s="306">
        <f t="shared" si="19"/>
        <v>0</v>
      </c>
      <c r="BL18" s="306">
        <f t="shared" si="20"/>
        <v>0</v>
      </c>
      <c r="BM18" s="306">
        <f t="shared" si="21"/>
        <v>0</v>
      </c>
      <c r="BN18" s="306">
        <f t="shared" si="22"/>
        <v>0</v>
      </c>
      <c r="BO18" s="306">
        <f t="shared" si="23"/>
        <v>0</v>
      </c>
      <c r="BP18" s="306">
        <f t="shared" si="24"/>
        <v>0</v>
      </c>
      <c r="BQ18" s="257">
        <f t="shared" si="25"/>
        <v>5991.8702194446605</v>
      </c>
    </row>
    <row r="19" spans="1:69">
      <c r="A19" s="748" t="str">
        <f>Prop2018DistTar!A19</f>
        <v>CR</v>
      </c>
      <c r="B19" s="750" t="str">
        <f>Prop2018DistTar!B19</f>
        <v>Residential Demand</v>
      </c>
      <c r="C19" s="287"/>
      <c r="D19" s="774">
        <v>0</v>
      </c>
      <c r="E19" s="768">
        <v>0.57999999999999996</v>
      </c>
      <c r="F19" s="768">
        <v>0</v>
      </c>
      <c r="G19" s="768">
        <v>0</v>
      </c>
      <c r="H19" s="768">
        <v>0</v>
      </c>
      <c r="I19" s="768">
        <v>0</v>
      </c>
      <c r="J19" s="768">
        <v>0</v>
      </c>
      <c r="K19" s="768">
        <v>0</v>
      </c>
      <c r="L19" s="768">
        <v>0</v>
      </c>
      <c r="M19" s="768">
        <v>0</v>
      </c>
      <c r="N19" s="768">
        <v>0</v>
      </c>
      <c r="O19" s="768">
        <v>1.41</v>
      </c>
      <c r="P19" s="768">
        <v>0.48</v>
      </c>
      <c r="Q19" s="768">
        <v>0</v>
      </c>
      <c r="R19" s="768">
        <v>0</v>
      </c>
      <c r="S19" s="768">
        <v>0</v>
      </c>
      <c r="T19" s="768">
        <v>0</v>
      </c>
      <c r="U19" s="768">
        <v>0</v>
      </c>
      <c r="V19" s="768">
        <v>0</v>
      </c>
      <c r="W19" s="768">
        <v>0</v>
      </c>
      <c r="X19" s="769">
        <v>0</v>
      </c>
      <c r="Z19" s="279">
        <f>Prop2018DistTar!AV19</f>
        <v>5</v>
      </c>
      <c r="AA19" s="253">
        <f>Prop2018DistTar!AW19</f>
        <v>27500</v>
      </c>
      <c r="AB19" s="253">
        <f>Prop2018DistTar!AX19</f>
        <v>0</v>
      </c>
      <c r="AC19" s="253">
        <f>Prop2018DistTar!AY19</f>
        <v>0</v>
      </c>
      <c r="AD19" s="253">
        <f>Prop2018DistTar!AZ19</f>
        <v>0</v>
      </c>
      <c r="AE19" s="253">
        <f>Prop2018DistTar!BA19</f>
        <v>0</v>
      </c>
      <c r="AF19" s="253">
        <f>Prop2018DistTar!BB19</f>
        <v>0</v>
      </c>
      <c r="AG19" s="253">
        <f>Prop2018DistTar!BC19</f>
        <v>0</v>
      </c>
      <c r="AH19" s="253">
        <f>Prop2018DistTar!BD19</f>
        <v>0</v>
      </c>
      <c r="AI19" s="253">
        <f>Prop2018DistTar!BE19</f>
        <v>0</v>
      </c>
      <c r="AJ19" s="253">
        <f>Prop2018DistTar!BF19</f>
        <v>0</v>
      </c>
      <c r="AK19" s="253">
        <f>Prop2018DistTar!BG19</f>
        <v>62.785388127853878</v>
      </c>
      <c r="AL19" s="253">
        <f>Prop2018DistTar!BH19</f>
        <v>100.45662100456622</v>
      </c>
      <c r="AM19" s="253">
        <f>Prop2018DistTar!BI19</f>
        <v>0</v>
      </c>
      <c r="AN19" s="253">
        <f>Prop2018DistTar!BJ19</f>
        <v>0</v>
      </c>
      <c r="AO19" s="253">
        <f>Prop2018DistTar!BK19</f>
        <v>0</v>
      </c>
      <c r="AP19" s="253">
        <f>Prop2018DistTar!BL19</f>
        <v>0</v>
      </c>
      <c r="AQ19" s="253">
        <f>Prop2018DistTar!BM19</f>
        <v>0</v>
      </c>
      <c r="AR19" s="253">
        <f>Prop2018DistTar!BN19</f>
        <v>0</v>
      </c>
      <c r="AS19" s="253">
        <f>Prop2018DistTar!BO19</f>
        <v>0</v>
      </c>
      <c r="AT19" s="254">
        <f>Prop2018DistTar!BP19</f>
        <v>0</v>
      </c>
      <c r="AV19" s="304">
        <f t="shared" si="4"/>
        <v>0</v>
      </c>
      <c r="AW19" s="305">
        <f t="shared" si="5"/>
        <v>159.5</v>
      </c>
      <c r="AX19" s="305">
        <f t="shared" si="6"/>
        <v>0</v>
      </c>
      <c r="AY19" s="305">
        <f t="shared" si="7"/>
        <v>0</v>
      </c>
      <c r="AZ19" s="305">
        <f t="shared" si="8"/>
        <v>0</v>
      </c>
      <c r="BA19" s="305">
        <f t="shared" si="9"/>
        <v>0</v>
      </c>
      <c r="BB19" s="305">
        <f t="shared" si="10"/>
        <v>0</v>
      </c>
      <c r="BC19" s="305">
        <f t="shared" si="11"/>
        <v>0</v>
      </c>
      <c r="BD19" s="305">
        <f t="shared" si="12"/>
        <v>0</v>
      </c>
      <c r="BE19" s="305">
        <f t="shared" si="13"/>
        <v>0</v>
      </c>
      <c r="BF19" s="305">
        <f t="shared" si="14"/>
        <v>0</v>
      </c>
      <c r="BG19" s="305">
        <f t="shared" si="15"/>
        <v>88.527397260273958</v>
      </c>
      <c r="BH19" s="305">
        <f t="shared" si="16"/>
        <v>48.219178082191782</v>
      </c>
      <c r="BI19" s="306">
        <f t="shared" si="17"/>
        <v>0</v>
      </c>
      <c r="BJ19" s="306">
        <f t="shared" si="18"/>
        <v>0</v>
      </c>
      <c r="BK19" s="306">
        <f t="shared" si="19"/>
        <v>0</v>
      </c>
      <c r="BL19" s="306">
        <f t="shared" si="20"/>
        <v>0</v>
      </c>
      <c r="BM19" s="306">
        <f t="shared" si="21"/>
        <v>0</v>
      </c>
      <c r="BN19" s="306">
        <f t="shared" si="22"/>
        <v>0</v>
      </c>
      <c r="BO19" s="306">
        <f t="shared" si="23"/>
        <v>0</v>
      </c>
      <c r="BP19" s="306">
        <f t="shared" si="24"/>
        <v>0</v>
      </c>
      <c r="BQ19" s="257">
        <f t="shared" si="25"/>
        <v>296.24657534246575</v>
      </c>
    </row>
    <row r="20" spans="1:69">
      <c r="A20" s="748" t="str">
        <f>Prop2018DistTar!A20</f>
        <v>CRB</v>
      </c>
      <c r="B20" s="750" t="str">
        <f>Prop2018DistTar!B20</f>
        <v>Residential Bulk Demand</v>
      </c>
      <c r="C20" s="287"/>
      <c r="D20" s="774">
        <v>0</v>
      </c>
      <c r="E20" s="768">
        <v>0.36</v>
      </c>
      <c r="F20" s="768">
        <v>0</v>
      </c>
      <c r="G20" s="768">
        <v>0</v>
      </c>
      <c r="H20" s="768">
        <v>0</v>
      </c>
      <c r="I20" s="768">
        <v>0</v>
      </c>
      <c r="J20" s="768">
        <v>0</v>
      </c>
      <c r="K20" s="768">
        <v>0</v>
      </c>
      <c r="L20" s="768">
        <v>0</v>
      </c>
      <c r="M20" s="768">
        <v>0</v>
      </c>
      <c r="N20" s="768">
        <v>0</v>
      </c>
      <c r="O20" s="768">
        <v>1.03</v>
      </c>
      <c r="P20" s="768">
        <v>0.34</v>
      </c>
      <c r="Q20" s="768">
        <v>0</v>
      </c>
      <c r="R20" s="768">
        <v>0</v>
      </c>
      <c r="S20" s="768">
        <v>0</v>
      </c>
      <c r="T20" s="768">
        <v>0</v>
      </c>
      <c r="U20" s="768">
        <v>0</v>
      </c>
      <c r="V20" s="768">
        <v>0</v>
      </c>
      <c r="W20" s="768">
        <v>0</v>
      </c>
      <c r="X20" s="769">
        <v>0</v>
      </c>
      <c r="Z20" s="279">
        <f>Prop2018DistTar!AV20</f>
        <v>1</v>
      </c>
      <c r="AA20" s="253">
        <f>Prop2018DistTar!AW20</f>
        <v>5500</v>
      </c>
      <c r="AB20" s="253">
        <f>Prop2018DistTar!AX20</f>
        <v>0</v>
      </c>
      <c r="AC20" s="253">
        <f>Prop2018DistTar!AY20</f>
        <v>0</v>
      </c>
      <c r="AD20" s="253">
        <f>Prop2018DistTar!AZ20</f>
        <v>0</v>
      </c>
      <c r="AE20" s="253">
        <f>Prop2018DistTar!BA20</f>
        <v>0</v>
      </c>
      <c r="AF20" s="253">
        <f>Prop2018DistTar!BB20</f>
        <v>0</v>
      </c>
      <c r="AG20" s="253">
        <f>Prop2018DistTar!BC20</f>
        <v>0</v>
      </c>
      <c r="AH20" s="253">
        <f>Prop2018DistTar!BD20</f>
        <v>0</v>
      </c>
      <c r="AI20" s="253">
        <f>Prop2018DistTar!BE20</f>
        <v>0</v>
      </c>
      <c r="AJ20" s="253">
        <f>Prop2018DistTar!BF20</f>
        <v>0</v>
      </c>
      <c r="AK20" s="253">
        <f>Prop2018DistTar!BG20</f>
        <v>12.557077625570775</v>
      </c>
      <c r="AL20" s="253">
        <f>Prop2018DistTar!BH20</f>
        <v>20.091324200913242</v>
      </c>
      <c r="AM20" s="253">
        <f>Prop2018DistTar!BI20</f>
        <v>0</v>
      </c>
      <c r="AN20" s="253">
        <f>Prop2018DistTar!BJ20</f>
        <v>0</v>
      </c>
      <c r="AO20" s="253">
        <f>Prop2018DistTar!BK20</f>
        <v>0</v>
      </c>
      <c r="AP20" s="253">
        <f>Prop2018DistTar!BL20</f>
        <v>0</v>
      </c>
      <c r="AQ20" s="253">
        <f>Prop2018DistTar!BM20</f>
        <v>0</v>
      </c>
      <c r="AR20" s="253">
        <f>Prop2018DistTar!BN20</f>
        <v>0</v>
      </c>
      <c r="AS20" s="253">
        <f>Prop2018DistTar!BO20</f>
        <v>0</v>
      </c>
      <c r="AT20" s="254">
        <f>Prop2018DistTar!BP20</f>
        <v>0</v>
      </c>
      <c r="AV20" s="304">
        <f t="shared" si="4"/>
        <v>0</v>
      </c>
      <c r="AW20" s="305">
        <f t="shared" si="5"/>
        <v>19.8</v>
      </c>
      <c r="AX20" s="305">
        <f t="shared" si="6"/>
        <v>0</v>
      </c>
      <c r="AY20" s="305">
        <f t="shared" si="7"/>
        <v>0</v>
      </c>
      <c r="AZ20" s="305">
        <f t="shared" si="8"/>
        <v>0</v>
      </c>
      <c r="BA20" s="305">
        <f t="shared" si="9"/>
        <v>0</v>
      </c>
      <c r="BB20" s="305">
        <f t="shared" si="10"/>
        <v>0</v>
      </c>
      <c r="BC20" s="305">
        <f t="shared" si="11"/>
        <v>0</v>
      </c>
      <c r="BD20" s="305">
        <f t="shared" si="12"/>
        <v>0</v>
      </c>
      <c r="BE20" s="305">
        <f t="shared" si="13"/>
        <v>0</v>
      </c>
      <c r="BF20" s="305">
        <f t="shared" si="14"/>
        <v>0</v>
      </c>
      <c r="BG20" s="305">
        <f t="shared" si="15"/>
        <v>12.933789954337898</v>
      </c>
      <c r="BH20" s="305">
        <f t="shared" si="16"/>
        <v>6.8310502283105023</v>
      </c>
      <c r="BI20" s="306">
        <f t="shared" si="17"/>
        <v>0</v>
      </c>
      <c r="BJ20" s="306">
        <f t="shared" si="18"/>
        <v>0</v>
      </c>
      <c r="BK20" s="306">
        <f t="shared" si="19"/>
        <v>0</v>
      </c>
      <c r="BL20" s="306">
        <f t="shared" si="20"/>
        <v>0</v>
      </c>
      <c r="BM20" s="306">
        <f t="shared" si="21"/>
        <v>0</v>
      </c>
      <c r="BN20" s="306">
        <f t="shared" si="22"/>
        <v>0</v>
      </c>
      <c r="BO20" s="306">
        <f t="shared" si="23"/>
        <v>0</v>
      </c>
      <c r="BP20" s="306">
        <f t="shared" si="24"/>
        <v>0</v>
      </c>
      <c r="BQ20" s="257">
        <f t="shared" si="25"/>
        <v>39.564840182648403</v>
      </c>
    </row>
    <row r="21" spans="1:69">
      <c r="A21" s="748" t="str">
        <f>Prop2018DistTar!A21</f>
        <v>C1G</v>
      </c>
      <c r="B21" s="750" t="str">
        <f>Prop2018DistTar!B21</f>
        <v>Non-Residential Single Rate</v>
      </c>
      <c r="C21" s="287"/>
      <c r="D21" s="774">
        <v>0</v>
      </c>
      <c r="E21" s="768">
        <v>1.91</v>
      </c>
      <c r="F21" s="768">
        <v>0</v>
      </c>
      <c r="G21" s="768">
        <v>0</v>
      </c>
      <c r="H21" s="768">
        <v>0</v>
      </c>
      <c r="I21" s="768">
        <v>0</v>
      </c>
      <c r="J21" s="768">
        <v>0</v>
      </c>
      <c r="K21" s="768">
        <v>0</v>
      </c>
      <c r="L21" s="768">
        <v>0</v>
      </c>
      <c r="M21" s="768">
        <v>0</v>
      </c>
      <c r="N21" s="768">
        <v>0</v>
      </c>
      <c r="O21" s="768">
        <v>0</v>
      </c>
      <c r="P21" s="768">
        <v>0</v>
      </c>
      <c r="Q21" s="768">
        <v>0</v>
      </c>
      <c r="R21" s="768">
        <v>0</v>
      </c>
      <c r="S21" s="768">
        <v>0</v>
      </c>
      <c r="T21" s="768">
        <v>0</v>
      </c>
      <c r="U21" s="768">
        <v>0</v>
      </c>
      <c r="V21" s="768">
        <v>0</v>
      </c>
      <c r="W21" s="768">
        <v>0</v>
      </c>
      <c r="X21" s="769">
        <v>0</v>
      </c>
      <c r="Z21" s="279">
        <f>Prop2018DistTar!AV21</f>
        <v>18214.931992410631</v>
      </c>
      <c r="AA21" s="253">
        <f>Prop2018DistTar!AW21</f>
        <v>220224546.95765957</v>
      </c>
      <c r="AB21" s="253">
        <f>Prop2018DistTar!AX21</f>
        <v>0</v>
      </c>
      <c r="AC21" s="253">
        <f>Prop2018DistTar!AY21</f>
        <v>0</v>
      </c>
      <c r="AD21" s="253">
        <f>Prop2018DistTar!AZ21</f>
        <v>0</v>
      </c>
      <c r="AE21" s="253">
        <f>Prop2018DistTar!BA21</f>
        <v>0</v>
      </c>
      <c r="AF21" s="253">
        <f>Prop2018DistTar!BB21</f>
        <v>0</v>
      </c>
      <c r="AG21" s="253">
        <f>Prop2018DistTar!BC21</f>
        <v>0</v>
      </c>
      <c r="AH21" s="253">
        <f>Prop2018DistTar!BD21</f>
        <v>0</v>
      </c>
      <c r="AI21" s="253">
        <f>Prop2018DistTar!BE21</f>
        <v>0</v>
      </c>
      <c r="AJ21" s="253">
        <f>Prop2018DistTar!BF21</f>
        <v>0</v>
      </c>
      <c r="AK21" s="253">
        <f>Prop2018DistTar!BG21</f>
        <v>0</v>
      </c>
      <c r="AL21" s="253">
        <f>Prop2018DistTar!BH21</f>
        <v>0</v>
      </c>
      <c r="AM21" s="253">
        <f>Prop2018DistTar!BI21</f>
        <v>0</v>
      </c>
      <c r="AN21" s="253">
        <f>Prop2018DistTar!BJ21</f>
        <v>0</v>
      </c>
      <c r="AO21" s="253">
        <f>Prop2018DistTar!BK21</f>
        <v>0</v>
      </c>
      <c r="AP21" s="253">
        <f>Prop2018DistTar!BL21</f>
        <v>0</v>
      </c>
      <c r="AQ21" s="253">
        <f>Prop2018DistTar!BM21</f>
        <v>0</v>
      </c>
      <c r="AR21" s="253">
        <f>Prop2018DistTar!BN21</f>
        <v>0</v>
      </c>
      <c r="AS21" s="253">
        <f>Prop2018DistTar!BO21</f>
        <v>0</v>
      </c>
      <c r="AT21" s="254">
        <f>Prop2018DistTar!BP21</f>
        <v>0</v>
      </c>
      <c r="AV21" s="304">
        <f t="shared" si="4"/>
        <v>0</v>
      </c>
      <c r="AW21" s="305">
        <f t="shared" si="5"/>
        <v>4206288.846891298</v>
      </c>
      <c r="AX21" s="305">
        <f t="shared" si="6"/>
        <v>0</v>
      </c>
      <c r="AY21" s="305">
        <f t="shared" si="7"/>
        <v>0</v>
      </c>
      <c r="AZ21" s="305">
        <f t="shared" si="8"/>
        <v>0</v>
      </c>
      <c r="BA21" s="305">
        <f t="shared" si="9"/>
        <v>0</v>
      </c>
      <c r="BB21" s="305">
        <f t="shared" si="10"/>
        <v>0</v>
      </c>
      <c r="BC21" s="305">
        <f t="shared" si="11"/>
        <v>0</v>
      </c>
      <c r="BD21" s="305">
        <f t="shared" si="12"/>
        <v>0</v>
      </c>
      <c r="BE21" s="305">
        <f t="shared" si="13"/>
        <v>0</v>
      </c>
      <c r="BF21" s="305">
        <f t="shared" si="14"/>
        <v>0</v>
      </c>
      <c r="BG21" s="305">
        <f t="shared" si="15"/>
        <v>0</v>
      </c>
      <c r="BH21" s="305">
        <f t="shared" si="16"/>
        <v>0</v>
      </c>
      <c r="BI21" s="306">
        <f t="shared" si="17"/>
        <v>0</v>
      </c>
      <c r="BJ21" s="306">
        <f t="shared" si="18"/>
        <v>0</v>
      </c>
      <c r="BK21" s="306">
        <f t="shared" si="19"/>
        <v>0</v>
      </c>
      <c r="BL21" s="306">
        <f t="shared" si="20"/>
        <v>0</v>
      </c>
      <c r="BM21" s="306">
        <f t="shared" si="21"/>
        <v>0</v>
      </c>
      <c r="BN21" s="306">
        <f t="shared" si="22"/>
        <v>0</v>
      </c>
      <c r="BO21" s="306">
        <f t="shared" si="23"/>
        <v>0</v>
      </c>
      <c r="BP21" s="306">
        <f t="shared" si="24"/>
        <v>0</v>
      </c>
      <c r="BQ21" s="257">
        <f t="shared" si="25"/>
        <v>4206288.846891298</v>
      </c>
    </row>
    <row r="22" spans="1:69">
      <c r="A22" s="748" t="str">
        <f>Prop2018DistTar!A22</f>
        <v>C1GB</v>
      </c>
      <c r="B22" s="750" t="str">
        <f>Prop2018DistTar!B22</f>
        <v>Non-Residential Single Rate - Bulk</v>
      </c>
      <c r="C22" s="287"/>
      <c r="D22" s="774">
        <v>0</v>
      </c>
      <c r="E22" s="768">
        <v>1.46</v>
      </c>
      <c r="F22" s="768">
        <v>0</v>
      </c>
      <c r="G22" s="768">
        <v>0</v>
      </c>
      <c r="H22" s="768">
        <v>0</v>
      </c>
      <c r="I22" s="768">
        <v>0</v>
      </c>
      <c r="J22" s="768">
        <v>0</v>
      </c>
      <c r="K22" s="768">
        <v>0</v>
      </c>
      <c r="L22" s="768">
        <v>0</v>
      </c>
      <c r="M22" s="768">
        <v>0</v>
      </c>
      <c r="N22" s="768">
        <v>0</v>
      </c>
      <c r="O22" s="768">
        <v>0</v>
      </c>
      <c r="P22" s="768">
        <v>0</v>
      </c>
      <c r="Q22" s="768">
        <v>0</v>
      </c>
      <c r="R22" s="768">
        <v>0</v>
      </c>
      <c r="S22" s="768">
        <v>0</v>
      </c>
      <c r="T22" s="768">
        <v>0</v>
      </c>
      <c r="U22" s="768">
        <v>0</v>
      </c>
      <c r="V22" s="768">
        <v>0</v>
      </c>
      <c r="W22" s="768">
        <v>0</v>
      </c>
      <c r="X22" s="769">
        <v>0</v>
      </c>
      <c r="Z22" s="279">
        <f>Prop2018DistTar!AV22</f>
        <v>5599.0051578270723</v>
      </c>
      <c r="AA22" s="253">
        <f>Prop2018DistTar!AW22</f>
        <v>73848559.175984561</v>
      </c>
      <c r="AB22" s="253">
        <f>Prop2018DistTar!AX22</f>
        <v>0</v>
      </c>
      <c r="AC22" s="253">
        <f>Prop2018DistTar!AY22</f>
        <v>0</v>
      </c>
      <c r="AD22" s="253">
        <f>Prop2018DistTar!AZ22</f>
        <v>0</v>
      </c>
      <c r="AE22" s="253">
        <f>Prop2018DistTar!BA22</f>
        <v>0</v>
      </c>
      <c r="AF22" s="253">
        <f>Prop2018DistTar!BB22</f>
        <v>0</v>
      </c>
      <c r="AG22" s="253">
        <f>Prop2018DistTar!BC22</f>
        <v>0</v>
      </c>
      <c r="AH22" s="253">
        <f>Prop2018DistTar!BD22</f>
        <v>0</v>
      </c>
      <c r="AI22" s="253">
        <f>Prop2018DistTar!BE22</f>
        <v>0</v>
      </c>
      <c r="AJ22" s="253">
        <f>Prop2018DistTar!BF22</f>
        <v>0</v>
      </c>
      <c r="AK22" s="253">
        <f>Prop2018DistTar!BG22</f>
        <v>0</v>
      </c>
      <c r="AL22" s="253">
        <f>Prop2018DistTar!BH22</f>
        <v>0</v>
      </c>
      <c r="AM22" s="253">
        <f>Prop2018DistTar!BI22</f>
        <v>0</v>
      </c>
      <c r="AN22" s="253">
        <f>Prop2018DistTar!BJ22</f>
        <v>0</v>
      </c>
      <c r="AO22" s="253">
        <f>Prop2018DistTar!BK22</f>
        <v>0</v>
      </c>
      <c r="AP22" s="253">
        <f>Prop2018DistTar!BL22</f>
        <v>0</v>
      </c>
      <c r="AQ22" s="253">
        <f>Prop2018DistTar!BM22</f>
        <v>0</v>
      </c>
      <c r="AR22" s="253">
        <f>Prop2018DistTar!BN22</f>
        <v>0</v>
      </c>
      <c r="AS22" s="253">
        <f>Prop2018DistTar!BO22</f>
        <v>0</v>
      </c>
      <c r="AT22" s="254">
        <f>Prop2018DistTar!BP22</f>
        <v>0</v>
      </c>
      <c r="AV22" s="304">
        <f t="shared" si="4"/>
        <v>0</v>
      </c>
      <c r="AW22" s="305">
        <f t="shared" si="5"/>
        <v>1078188.9639693745</v>
      </c>
      <c r="AX22" s="305">
        <f t="shared" si="6"/>
        <v>0</v>
      </c>
      <c r="AY22" s="305">
        <f t="shared" si="7"/>
        <v>0</v>
      </c>
      <c r="AZ22" s="305">
        <f t="shared" si="8"/>
        <v>0</v>
      </c>
      <c r="BA22" s="305">
        <f t="shared" si="9"/>
        <v>0</v>
      </c>
      <c r="BB22" s="305">
        <f t="shared" si="10"/>
        <v>0</v>
      </c>
      <c r="BC22" s="305">
        <f t="shared" si="11"/>
        <v>0</v>
      </c>
      <c r="BD22" s="305">
        <f t="shared" si="12"/>
        <v>0</v>
      </c>
      <c r="BE22" s="305">
        <f t="shared" si="13"/>
        <v>0</v>
      </c>
      <c r="BF22" s="305">
        <f t="shared" si="14"/>
        <v>0</v>
      </c>
      <c r="BG22" s="305">
        <f t="shared" si="15"/>
        <v>0</v>
      </c>
      <c r="BH22" s="305">
        <f t="shared" si="16"/>
        <v>0</v>
      </c>
      <c r="BI22" s="306">
        <f t="shared" si="17"/>
        <v>0</v>
      </c>
      <c r="BJ22" s="306">
        <f t="shared" si="18"/>
        <v>0</v>
      </c>
      <c r="BK22" s="306">
        <f t="shared" si="19"/>
        <v>0</v>
      </c>
      <c r="BL22" s="306">
        <f t="shared" si="20"/>
        <v>0</v>
      </c>
      <c r="BM22" s="306">
        <f t="shared" si="21"/>
        <v>0</v>
      </c>
      <c r="BN22" s="306">
        <f t="shared" si="22"/>
        <v>0</v>
      </c>
      <c r="BO22" s="306">
        <f t="shared" si="23"/>
        <v>0</v>
      </c>
      <c r="BP22" s="306">
        <f t="shared" si="24"/>
        <v>0</v>
      </c>
      <c r="BQ22" s="257">
        <f t="shared" si="25"/>
        <v>1078188.9639693745</v>
      </c>
    </row>
    <row r="23" spans="1:69">
      <c r="A23" s="748" t="str">
        <f>Prop2018DistTar!A23</f>
        <v>C2G5</v>
      </c>
      <c r="B23" s="750" t="str">
        <f>Prop2018DistTar!B23</f>
        <v>Non-Residential Two Rate 5d</v>
      </c>
      <c r="C23" s="287"/>
      <c r="D23" s="774">
        <v>0</v>
      </c>
      <c r="E23" s="768">
        <v>0</v>
      </c>
      <c r="F23" s="768">
        <v>2.87</v>
      </c>
      <c r="G23" s="768">
        <v>0</v>
      </c>
      <c r="H23" s="768">
        <v>0</v>
      </c>
      <c r="I23" s="768">
        <v>0.76</v>
      </c>
      <c r="J23" s="768">
        <v>0</v>
      </c>
      <c r="K23" s="768">
        <v>0</v>
      </c>
      <c r="L23" s="768">
        <v>0</v>
      </c>
      <c r="M23" s="768">
        <v>0</v>
      </c>
      <c r="N23" s="768">
        <v>0</v>
      </c>
      <c r="O23" s="768">
        <v>0</v>
      </c>
      <c r="P23" s="768">
        <v>0</v>
      </c>
      <c r="Q23" s="768">
        <v>0</v>
      </c>
      <c r="R23" s="768">
        <v>0</v>
      </c>
      <c r="S23" s="768">
        <v>0</v>
      </c>
      <c r="T23" s="768">
        <v>0</v>
      </c>
      <c r="U23" s="768">
        <v>0</v>
      </c>
      <c r="V23" s="768">
        <v>0</v>
      </c>
      <c r="W23" s="768">
        <v>0</v>
      </c>
      <c r="X23" s="769">
        <v>0</v>
      </c>
      <c r="Z23" s="279">
        <f>Prop2018DistTar!AV23</f>
        <v>6325.9121198712201</v>
      </c>
      <c r="AA23" s="253">
        <f>Prop2018DistTar!AW23</f>
        <v>0</v>
      </c>
      <c r="AB23" s="253">
        <f>Prop2018DistTar!AX23</f>
        <v>90006939.07082431</v>
      </c>
      <c r="AC23" s="253">
        <f>Prop2018DistTar!AY23</f>
        <v>0</v>
      </c>
      <c r="AD23" s="253">
        <f>Prop2018DistTar!AZ23</f>
        <v>0</v>
      </c>
      <c r="AE23" s="253">
        <f>Prop2018DistTar!BA23</f>
        <v>56232415.067280285</v>
      </c>
      <c r="AF23" s="253">
        <f>Prop2018DistTar!BB23</f>
        <v>0</v>
      </c>
      <c r="AG23" s="253">
        <f>Prop2018DistTar!BC23</f>
        <v>0</v>
      </c>
      <c r="AH23" s="253">
        <f>Prop2018DistTar!BD23</f>
        <v>0</v>
      </c>
      <c r="AI23" s="253">
        <f>Prop2018DistTar!BE23</f>
        <v>0</v>
      </c>
      <c r="AJ23" s="253">
        <f>Prop2018DistTar!BF23</f>
        <v>0</v>
      </c>
      <c r="AK23" s="253">
        <f>Prop2018DistTar!BG23</f>
        <v>0</v>
      </c>
      <c r="AL23" s="253">
        <f>Prop2018DistTar!BH23</f>
        <v>0</v>
      </c>
      <c r="AM23" s="253">
        <f>Prop2018DistTar!BI23</f>
        <v>0</v>
      </c>
      <c r="AN23" s="253">
        <f>Prop2018DistTar!BJ23</f>
        <v>0</v>
      </c>
      <c r="AO23" s="253">
        <f>Prop2018DistTar!BK23</f>
        <v>0</v>
      </c>
      <c r="AP23" s="253">
        <f>Prop2018DistTar!BL23</f>
        <v>0</v>
      </c>
      <c r="AQ23" s="253">
        <f>Prop2018DistTar!BM23</f>
        <v>0</v>
      </c>
      <c r="AR23" s="253">
        <f>Prop2018DistTar!BN23</f>
        <v>0</v>
      </c>
      <c r="AS23" s="253">
        <f>Prop2018DistTar!BO23</f>
        <v>0</v>
      </c>
      <c r="AT23" s="254">
        <f>Prop2018DistTar!BP23</f>
        <v>0</v>
      </c>
      <c r="AV23" s="304">
        <f t="shared" si="4"/>
        <v>0</v>
      </c>
      <c r="AW23" s="305">
        <f t="shared" si="5"/>
        <v>0</v>
      </c>
      <c r="AX23" s="305">
        <f t="shared" si="6"/>
        <v>2583199.1513326578</v>
      </c>
      <c r="AY23" s="305">
        <f t="shared" si="7"/>
        <v>0</v>
      </c>
      <c r="AZ23" s="305">
        <f t="shared" si="8"/>
        <v>0</v>
      </c>
      <c r="BA23" s="305">
        <f t="shared" si="9"/>
        <v>427366.35451133014</v>
      </c>
      <c r="BB23" s="305">
        <f t="shared" si="10"/>
        <v>0</v>
      </c>
      <c r="BC23" s="305">
        <f t="shared" si="11"/>
        <v>0</v>
      </c>
      <c r="BD23" s="305">
        <f t="shared" si="12"/>
        <v>0</v>
      </c>
      <c r="BE23" s="305">
        <f t="shared" si="13"/>
        <v>0</v>
      </c>
      <c r="BF23" s="305">
        <f t="shared" si="14"/>
        <v>0</v>
      </c>
      <c r="BG23" s="305">
        <f t="shared" si="15"/>
        <v>0</v>
      </c>
      <c r="BH23" s="305">
        <f t="shared" si="16"/>
        <v>0</v>
      </c>
      <c r="BI23" s="306">
        <f t="shared" si="17"/>
        <v>0</v>
      </c>
      <c r="BJ23" s="306">
        <f t="shared" si="18"/>
        <v>0</v>
      </c>
      <c r="BK23" s="306">
        <f t="shared" si="19"/>
        <v>0</v>
      </c>
      <c r="BL23" s="306">
        <f t="shared" si="20"/>
        <v>0</v>
      </c>
      <c r="BM23" s="306">
        <f t="shared" si="21"/>
        <v>0</v>
      </c>
      <c r="BN23" s="306">
        <f t="shared" si="22"/>
        <v>0</v>
      </c>
      <c r="BO23" s="306">
        <f t="shared" si="23"/>
        <v>0</v>
      </c>
      <c r="BP23" s="306">
        <f t="shared" si="24"/>
        <v>0</v>
      </c>
      <c r="BQ23" s="257">
        <f t="shared" si="25"/>
        <v>3010565.5058439877</v>
      </c>
    </row>
    <row r="24" spans="1:69">
      <c r="A24" s="748" t="str">
        <f>Prop2018DistTar!A24</f>
        <v>C2G5B</v>
      </c>
      <c r="B24" s="750" t="str">
        <f>Prop2018DistTar!B24</f>
        <v>Non-Residential Two Rate 5d - Bulk</v>
      </c>
      <c r="C24" s="287"/>
      <c r="D24" s="774">
        <v>0</v>
      </c>
      <c r="E24" s="768">
        <v>0</v>
      </c>
      <c r="F24" s="768">
        <v>2.09</v>
      </c>
      <c r="G24" s="768">
        <v>0</v>
      </c>
      <c r="H24" s="768">
        <v>0</v>
      </c>
      <c r="I24" s="768">
        <v>0.56999999999999995</v>
      </c>
      <c r="J24" s="768">
        <v>0</v>
      </c>
      <c r="K24" s="768">
        <v>0</v>
      </c>
      <c r="L24" s="768">
        <v>0</v>
      </c>
      <c r="M24" s="768">
        <v>0</v>
      </c>
      <c r="N24" s="768">
        <v>0</v>
      </c>
      <c r="O24" s="768">
        <v>0</v>
      </c>
      <c r="P24" s="768">
        <v>0</v>
      </c>
      <c r="Q24" s="768">
        <v>0</v>
      </c>
      <c r="R24" s="768">
        <v>0</v>
      </c>
      <c r="S24" s="768">
        <v>0</v>
      </c>
      <c r="T24" s="768">
        <v>0</v>
      </c>
      <c r="U24" s="768">
        <v>0</v>
      </c>
      <c r="V24" s="768">
        <v>0</v>
      </c>
      <c r="W24" s="768">
        <v>0</v>
      </c>
      <c r="X24" s="769">
        <v>0</v>
      </c>
      <c r="Z24" s="279">
        <f>Prop2018DistTar!AV24</f>
        <v>1106.5355969893287</v>
      </c>
      <c r="AA24" s="253">
        <f>Prop2018DistTar!AW24</f>
        <v>0</v>
      </c>
      <c r="AB24" s="253">
        <f>Prop2018DistTar!AX24</f>
        <v>16887632.067035981</v>
      </c>
      <c r="AC24" s="253">
        <f>Prop2018DistTar!AY24</f>
        <v>0</v>
      </c>
      <c r="AD24" s="253">
        <f>Prop2018DistTar!AZ24</f>
        <v>0</v>
      </c>
      <c r="AE24" s="253">
        <f>Prop2018DistTar!BA24</f>
        <v>9694170.3462755531</v>
      </c>
      <c r="AF24" s="253">
        <f>Prop2018DistTar!BB24</f>
        <v>0</v>
      </c>
      <c r="AG24" s="253">
        <f>Prop2018DistTar!BC24</f>
        <v>0</v>
      </c>
      <c r="AH24" s="253">
        <f>Prop2018DistTar!BD24</f>
        <v>0</v>
      </c>
      <c r="AI24" s="253">
        <f>Prop2018DistTar!BE24</f>
        <v>0</v>
      </c>
      <c r="AJ24" s="253">
        <f>Prop2018DistTar!BF24</f>
        <v>0</v>
      </c>
      <c r="AK24" s="253">
        <f>Prop2018DistTar!BG24</f>
        <v>0</v>
      </c>
      <c r="AL24" s="253">
        <f>Prop2018DistTar!BH24</f>
        <v>0</v>
      </c>
      <c r="AM24" s="253">
        <f>Prop2018DistTar!BI24</f>
        <v>0</v>
      </c>
      <c r="AN24" s="253">
        <f>Prop2018DistTar!BJ24</f>
        <v>0</v>
      </c>
      <c r="AO24" s="253">
        <f>Prop2018DistTar!BK24</f>
        <v>0</v>
      </c>
      <c r="AP24" s="253">
        <f>Prop2018DistTar!BL24</f>
        <v>0</v>
      </c>
      <c r="AQ24" s="253">
        <f>Prop2018DistTar!BM24</f>
        <v>0</v>
      </c>
      <c r="AR24" s="253">
        <f>Prop2018DistTar!BN24</f>
        <v>0</v>
      </c>
      <c r="AS24" s="253">
        <f>Prop2018DistTar!BO24</f>
        <v>0</v>
      </c>
      <c r="AT24" s="254">
        <f>Prop2018DistTar!BP24</f>
        <v>0</v>
      </c>
      <c r="AV24" s="304">
        <f t="shared" si="4"/>
        <v>0</v>
      </c>
      <c r="AW24" s="305">
        <f t="shared" si="5"/>
        <v>0</v>
      </c>
      <c r="AX24" s="305">
        <f t="shared" si="6"/>
        <v>352951.51020105195</v>
      </c>
      <c r="AY24" s="305">
        <f t="shared" si="7"/>
        <v>0</v>
      </c>
      <c r="AZ24" s="305">
        <f t="shared" si="8"/>
        <v>0</v>
      </c>
      <c r="BA24" s="305">
        <f t="shared" si="9"/>
        <v>55256.770973770646</v>
      </c>
      <c r="BB24" s="305">
        <f t="shared" si="10"/>
        <v>0</v>
      </c>
      <c r="BC24" s="305">
        <f t="shared" si="11"/>
        <v>0</v>
      </c>
      <c r="BD24" s="305">
        <f t="shared" si="12"/>
        <v>0</v>
      </c>
      <c r="BE24" s="305">
        <f t="shared" si="13"/>
        <v>0</v>
      </c>
      <c r="BF24" s="305">
        <f t="shared" si="14"/>
        <v>0</v>
      </c>
      <c r="BG24" s="305">
        <f t="shared" si="15"/>
        <v>0</v>
      </c>
      <c r="BH24" s="305">
        <f t="shared" si="16"/>
        <v>0</v>
      </c>
      <c r="BI24" s="306">
        <f t="shared" si="17"/>
        <v>0</v>
      </c>
      <c r="BJ24" s="306">
        <f t="shared" si="18"/>
        <v>0</v>
      </c>
      <c r="BK24" s="306">
        <f t="shared" si="19"/>
        <v>0</v>
      </c>
      <c r="BL24" s="306">
        <f t="shared" si="20"/>
        <v>0</v>
      </c>
      <c r="BM24" s="306">
        <f t="shared" si="21"/>
        <v>0</v>
      </c>
      <c r="BN24" s="306">
        <f t="shared" si="22"/>
        <v>0</v>
      </c>
      <c r="BO24" s="306">
        <f t="shared" si="23"/>
        <v>0</v>
      </c>
      <c r="BP24" s="306">
        <f t="shared" si="24"/>
        <v>0</v>
      </c>
      <c r="BQ24" s="257">
        <f t="shared" si="25"/>
        <v>408208.28117482259</v>
      </c>
    </row>
    <row r="25" spans="1:69">
      <c r="A25" s="748" t="str">
        <f>Prop2018DistTar!A25</f>
        <v>C3G</v>
      </c>
      <c r="B25" s="750" t="str">
        <f>Prop2018DistTar!B25</f>
        <v>Non-Residential Interval</v>
      </c>
      <c r="C25" s="287"/>
      <c r="D25" s="774">
        <v>0</v>
      </c>
      <c r="E25" s="768">
        <v>0</v>
      </c>
      <c r="F25" s="768">
        <v>2.87</v>
      </c>
      <c r="G25" s="768">
        <v>0</v>
      </c>
      <c r="H25" s="768">
        <v>0</v>
      </c>
      <c r="I25" s="768">
        <v>0.76</v>
      </c>
      <c r="J25" s="768">
        <v>0</v>
      </c>
      <c r="K25" s="768">
        <v>0</v>
      </c>
      <c r="L25" s="768">
        <v>0</v>
      </c>
      <c r="M25" s="768">
        <v>0</v>
      </c>
      <c r="N25" s="768">
        <v>0</v>
      </c>
      <c r="O25" s="768">
        <v>0</v>
      </c>
      <c r="P25" s="768">
        <v>0</v>
      </c>
      <c r="Q25" s="768">
        <v>0</v>
      </c>
      <c r="R25" s="768">
        <v>0</v>
      </c>
      <c r="S25" s="768">
        <v>0</v>
      </c>
      <c r="T25" s="768">
        <v>0</v>
      </c>
      <c r="U25" s="768">
        <v>0</v>
      </c>
      <c r="V25" s="768">
        <v>0</v>
      </c>
      <c r="W25" s="768">
        <v>0</v>
      </c>
      <c r="X25" s="769">
        <v>0</v>
      </c>
      <c r="Z25" s="279">
        <f>Prop2018DistTar!AV25</f>
        <v>4011.7924540561471</v>
      </c>
      <c r="AA25" s="253">
        <f>Prop2018DistTar!AW25</f>
        <v>0</v>
      </c>
      <c r="AB25" s="253">
        <f>Prop2018DistTar!AX25</f>
        <v>44315700.538597859</v>
      </c>
      <c r="AC25" s="253">
        <f>Prop2018DistTar!AY25</f>
        <v>0</v>
      </c>
      <c r="AD25" s="253">
        <f>Prop2018DistTar!AZ25</f>
        <v>0</v>
      </c>
      <c r="AE25" s="253">
        <f>Prop2018DistTar!BA25</f>
        <v>25142157.462131292</v>
      </c>
      <c r="AF25" s="253">
        <f>Prop2018DistTar!BB25</f>
        <v>0</v>
      </c>
      <c r="AG25" s="253">
        <f>Prop2018DistTar!BC25</f>
        <v>0</v>
      </c>
      <c r="AH25" s="253">
        <f>Prop2018DistTar!BD25</f>
        <v>0</v>
      </c>
      <c r="AI25" s="253">
        <f>Prop2018DistTar!BE25</f>
        <v>0</v>
      </c>
      <c r="AJ25" s="253">
        <f>Prop2018DistTar!BF25</f>
        <v>0</v>
      </c>
      <c r="AK25" s="253">
        <f>Prop2018DistTar!BG25</f>
        <v>0</v>
      </c>
      <c r="AL25" s="253">
        <f>Prop2018DistTar!BH25</f>
        <v>0</v>
      </c>
      <c r="AM25" s="253">
        <f>Prop2018DistTar!BI25</f>
        <v>0</v>
      </c>
      <c r="AN25" s="253">
        <f>Prop2018DistTar!BJ25</f>
        <v>0</v>
      </c>
      <c r="AO25" s="253">
        <f>Prop2018DistTar!BK25</f>
        <v>0</v>
      </c>
      <c r="AP25" s="253">
        <f>Prop2018DistTar!BL25</f>
        <v>0</v>
      </c>
      <c r="AQ25" s="253">
        <f>Prop2018DistTar!BM25</f>
        <v>0</v>
      </c>
      <c r="AR25" s="253">
        <f>Prop2018DistTar!BN25</f>
        <v>0</v>
      </c>
      <c r="AS25" s="253">
        <f>Prop2018DistTar!BO25</f>
        <v>0</v>
      </c>
      <c r="AT25" s="254">
        <f>Prop2018DistTar!BP25</f>
        <v>0</v>
      </c>
      <c r="AV25" s="304">
        <f t="shared" si="4"/>
        <v>0</v>
      </c>
      <c r="AW25" s="305">
        <f t="shared" si="5"/>
        <v>0</v>
      </c>
      <c r="AX25" s="305">
        <f t="shared" si="6"/>
        <v>1271860.6054577585</v>
      </c>
      <c r="AY25" s="305">
        <f t="shared" si="7"/>
        <v>0</v>
      </c>
      <c r="AZ25" s="305">
        <f t="shared" si="8"/>
        <v>0</v>
      </c>
      <c r="BA25" s="305">
        <f t="shared" si="9"/>
        <v>191080.39671219781</v>
      </c>
      <c r="BB25" s="305">
        <f t="shared" si="10"/>
        <v>0</v>
      </c>
      <c r="BC25" s="305">
        <f t="shared" si="11"/>
        <v>0</v>
      </c>
      <c r="BD25" s="305">
        <f t="shared" si="12"/>
        <v>0</v>
      </c>
      <c r="BE25" s="305">
        <f t="shared" si="13"/>
        <v>0</v>
      </c>
      <c r="BF25" s="305">
        <f t="shared" si="14"/>
        <v>0</v>
      </c>
      <c r="BG25" s="305">
        <f t="shared" si="15"/>
        <v>0</v>
      </c>
      <c r="BH25" s="305">
        <f t="shared" si="16"/>
        <v>0</v>
      </c>
      <c r="BI25" s="306">
        <f t="shared" si="17"/>
        <v>0</v>
      </c>
      <c r="BJ25" s="306">
        <f t="shared" si="18"/>
        <v>0</v>
      </c>
      <c r="BK25" s="306">
        <f t="shared" si="19"/>
        <v>0</v>
      </c>
      <c r="BL25" s="306">
        <f t="shared" si="20"/>
        <v>0</v>
      </c>
      <c r="BM25" s="306">
        <f t="shared" si="21"/>
        <v>0</v>
      </c>
      <c r="BN25" s="306">
        <f t="shared" si="22"/>
        <v>0</v>
      </c>
      <c r="BO25" s="306">
        <f t="shared" si="23"/>
        <v>0</v>
      </c>
      <c r="BP25" s="306">
        <f t="shared" si="24"/>
        <v>0</v>
      </c>
      <c r="BQ25" s="257">
        <f t="shared" si="25"/>
        <v>1462941.0021699565</v>
      </c>
    </row>
    <row r="26" spans="1:69">
      <c r="A26" s="748" t="str">
        <f>Prop2018DistTar!A26</f>
        <v>C3GB</v>
      </c>
      <c r="B26" s="750" t="str">
        <f>Prop2018DistTar!B26</f>
        <v>Non-Residential Interval - Bulk</v>
      </c>
      <c r="C26" s="287"/>
      <c r="D26" s="774">
        <v>0</v>
      </c>
      <c r="E26" s="768">
        <v>0</v>
      </c>
      <c r="F26" s="768">
        <v>2.09</v>
      </c>
      <c r="G26" s="768">
        <v>0</v>
      </c>
      <c r="H26" s="768">
        <v>0</v>
      </c>
      <c r="I26" s="768">
        <v>0.56999999999999995</v>
      </c>
      <c r="J26" s="768">
        <v>0</v>
      </c>
      <c r="K26" s="768">
        <v>0</v>
      </c>
      <c r="L26" s="768">
        <v>0</v>
      </c>
      <c r="M26" s="768">
        <v>0</v>
      </c>
      <c r="N26" s="768">
        <v>0</v>
      </c>
      <c r="O26" s="768">
        <v>0</v>
      </c>
      <c r="P26" s="768">
        <v>0</v>
      </c>
      <c r="Q26" s="768">
        <v>0</v>
      </c>
      <c r="R26" s="768">
        <v>0</v>
      </c>
      <c r="S26" s="768">
        <v>0</v>
      </c>
      <c r="T26" s="768">
        <v>0</v>
      </c>
      <c r="U26" s="768">
        <v>0</v>
      </c>
      <c r="V26" s="768">
        <v>0</v>
      </c>
      <c r="W26" s="768">
        <v>0</v>
      </c>
      <c r="X26" s="769">
        <v>0</v>
      </c>
      <c r="Z26" s="279">
        <f>Prop2018DistTar!AV26</f>
        <v>1947.1728239646436</v>
      </c>
      <c r="AA26" s="253">
        <f>Prop2018DistTar!AW26</f>
        <v>0</v>
      </c>
      <c r="AB26" s="253">
        <f>Prop2018DistTar!AX26</f>
        <v>28963727.791959636</v>
      </c>
      <c r="AC26" s="253">
        <f>Prop2018DistTar!AY26</f>
        <v>0</v>
      </c>
      <c r="AD26" s="253">
        <f>Prop2018DistTar!AZ26</f>
        <v>0</v>
      </c>
      <c r="AE26" s="253">
        <f>Prop2018DistTar!BA26</f>
        <v>15296835.410435298</v>
      </c>
      <c r="AF26" s="253">
        <f>Prop2018DistTar!BB26</f>
        <v>0</v>
      </c>
      <c r="AG26" s="253">
        <f>Prop2018DistTar!BC26</f>
        <v>0</v>
      </c>
      <c r="AH26" s="253">
        <f>Prop2018DistTar!BD26</f>
        <v>0</v>
      </c>
      <c r="AI26" s="253">
        <f>Prop2018DistTar!BE26</f>
        <v>0</v>
      </c>
      <c r="AJ26" s="253">
        <f>Prop2018DistTar!BF26</f>
        <v>0</v>
      </c>
      <c r="AK26" s="253">
        <f>Prop2018DistTar!BG26</f>
        <v>0</v>
      </c>
      <c r="AL26" s="253">
        <f>Prop2018DistTar!BH26</f>
        <v>0</v>
      </c>
      <c r="AM26" s="253">
        <f>Prop2018DistTar!BI26</f>
        <v>0</v>
      </c>
      <c r="AN26" s="253">
        <f>Prop2018DistTar!BJ26</f>
        <v>0</v>
      </c>
      <c r="AO26" s="253">
        <f>Prop2018DistTar!BK26</f>
        <v>0</v>
      </c>
      <c r="AP26" s="253">
        <f>Prop2018DistTar!BL26</f>
        <v>0</v>
      </c>
      <c r="AQ26" s="253">
        <f>Prop2018DistTar!BM26</f>
        <v>0</v>
      </c>
      <c r="AR26" s="253">
        <f>Prop2018DistTar!BN26</f>
        <v>0</v>
      </c>
      <c r="AS26" s="253">
        <f>Prop2018DistTar!BO26</f>
        <v>0</v>
      </c>
      <c r="AT26" s="254">
        <f>Prop2018DistTar!BP26</f>
        <v>0</v>
      </c>
      <c r="AV26" s="304">
        <f t="shared" si="4"/>
        <v>0</v>
      </c>
      <c r="AW26" s="305">
        <f t="shared" si="5"/>
        <v>0</v>
      </c>
      <c r="AX26" s="305">
        <f t="shared" si="6"/>
        <v>605341.91085195635</v>
      </c>
      <c r="AY26" s="305">
        <f t="shared" si="7"/>
        <v>0</v>
      </c>
      <c r="AZ26" s="305">
        <f t="shared" si="8"/>
        <v>0</v>
      </c>
      <c r="BA26" s="305">
        <f t="shared" si="9"/>
        <v>87191.961839481184</v>
      </c>
      <c r="BB26" s="305">
        <f t="shared" si="10"/>
        <v>0</v>
      </c>
      <c r="BC26" s="305">
        <f t="shared" si="11"/>
        <v>0</v>
      </c>
      <c r="BD26" s="305">
        <f t="shared" si="12"/>
        <v>0</v>
      </c>
      <c r="BE26" s="305">
        <f t="shared" si="13"/>
        <v>0</v>
      </c>
      <c r="BF26" s="305">
        <f t="shared" si="14"/>
        <v>0</v>
      </c>
      <c r="BG26" s="305">
        <f t="shared" si="15"/>
        <v>0</v>
      </c>
      <c r="BH26" s="305">
        <f t="shared" si="16"/>
        <v>0</v>
      </c>
      <c r="BI26" s="306">
        <f t="shared" si="17"/>
        <v>0</v>
      </c>
      <c r="BJ26" s="306">
        <f t="shared" si="18"/>
        <v>0</v>
      </c>
      <c r="BK26" s="306">
        <f t="shared" si="19"/>
        <v>0</v>
      </c>
      <c r="BL26" s="306">
        <f t="shared" si="20"/>
        <v>0</v>
      </c>
      <c r="BM26" s="306">
        <f t="shared" si="21"/>
        <v>0</v>
      </c>
      <c r="BN26" s="306">
        <f t="shared" si="22"/>
        <v>0</v>
      </c>
      <c r="BO26" s="306">
        <f t="shared" si="23"/>
        <v>0</v>
      </c>
      <c r="BP26" s="306">
        <f t="shared" si="24"/>
        <v>0</v>
      </c>
      <c r="BQ26" s="257">
        <f t="shared" si="25"/>
        <v>692533.87269143749</v>
      </c>
    </row>
    <row r="27" spans="1:69">
      <c r="A27" s="748" t="str">
        <f>Prop2018DistTar!A27</f>
        <v>C14G</v>
      </c>
      <c r="B27" s="750" t="str">
        <f>Prop2018DistTar!B27</f>
        <v>Non-Residential Flexible Pricing</v>
      </c>
      <c r="C27" s="287"/>
      <c r="D27" s="774">
        <v>0</v>
      </c>
      <c r="E27" s="768">
        <v>0</v>
      </c>
      <c r="F27" s="768">
        <v>0</v>
      </c>
      <c r="G27" s="768">
        <v>0</v>
      </c>
      <c r="H27" s="768">
        <v>0</v>
      </c>
      <c r="I27" s="768">
        <v>0</v>
      </c>
      <c r="J27" s="768">
        <v>0</v>
      </c>
      <c r="K27" s="768">
        <v>0</v>
      </c>
      <c r="L27" s="768">
        <v>0</v>
      </c>
      <c r="M27" s="768">
        <v>0</v>
      </c>
      <c r="N27" s="768">
        <v>0</v>
      </c>
      <c r="O27" s="768">
        <v>0</v>
      </c>
      <c r="P27" s="768">
        <v>0</v>
      </c>
      <c r="Q27" s="768">
        <v>3.5</v>
      </c>
      <c r="R27" s="768">
        <v>2.4500000000000002</v>
      </c>
      <c r="S27" s="768">
        <v>0.96</v>
      </c>
      <c r="T27" s="768">
        <v>0</v>
      </c>
      <c r="U27" s="768">
        <v>3.5</v>
      </c>
      <c r="V27" s="768">
        <v>2.4500000000000002</v>
      </c>
      <c r="W27" s="768">
        <v>0.96</v>
      </c>
      <c r="X27" s="769">
        <v>0</v>
      </c>
      <c r="Z27" s="279">
        <f>Prop2018DistTar!AV27</f>
        <v>21.102227884604787</v>
      </c>
      <c r="AA27" s="253">
        <f>Prop2018DistTar!AW27</f>
        <v>0</v>
      </c>
      <c r="AB27" s="253">
        <f>Prop2018DistTar!AX27</f>
        <v>0</v>
      </c>
      <c r="AC27" s="253">
        <f>Prop2018DistTar!AY27</f>
        <v>0</v>
      </c>
      <c r="AD27" s="253">
        <f>Prop2018DistTar!AZ27</f>
        <v>0</v>
      </c>
      <c r="AE27" s="253">
        <f>Prop2018DistTar!BA27</f>
        <v>0</v>
      </c>
      <c r="AF27" s="253">
        <f>Prop2018DistTar!BB27</f>
        <v>0</v>
      </c>
      <c r="AG27" s="253">
        <f>Prop2018DistTar!BC27</f>
        <v>0</v>
      </c>
      <c r="AH27" s="253">
        <f>Prop2018DistTar!BD27</f>
        <v>0</v>
      </c>
      <c r="AI27" s="253">
        <f>Prop2018DistTar!BE27</f>
        <v>0</v>
      </c>
      <c r="AJ27" s="253">
        <f>Prop2018DistTar!BF27</f>
        <v>0</v>
      </c>
      <c r="AK27" s="253">
        <f>Prop2018DistTar!BG27</f>
        <v>0</v>
      </c>
      <c r="AL27" s="253">
        <f>Prop2018DistTar!BH27</f>
        <v>0</v>
      </c>
      <c r="AM27" s="253">
        <f>Prop2018DistTar!BI27</f>
        <v>43821.569362858281</v>
      </c>
      <c r="AN27" s="253">
        <f>Prop2018DistTar!BJ27</f>
        <v>12365.145540133803</v>
      </c>
      <c r="AO27" s="253">
        <f>Prop2018DistTar!BK27</f>
        <v>36868.097137445991</v>
      </c>
      <c r="AP27" s="253">
        <f>Prop2018DistTar!BL27</f>
        <v>0</v>
      </c>
      <c r="AQ27" s="253">
        <f>Prop2018DistTar!BM27</f>
        <v>161494.87127302433</v>
      </c>
      <c r="AR27" s="253">
        <f>Prop2018DistTar!BN27</f>
        <v>41032.760510766886</v>
      </c>
      <c r="AS27" s="253">
        <f>Prop2018DistTar!BO27</f>
        <v>110833.91500246867</v>
      </c>
      <c r="AT27" s="254">
        <f>Prop2018DistTar!BP27</f>
        <v>0</v>
      </c>
      <c r="AV27" s="304">
        <f t="shared" si="4"/>
        <v>0</v>
      </c>
      <c r="AW27" s="305">
        <f t="shared" si="5"/>
        <v>0</v>
      </c>
      <c r="AX27" s="305">
        <f t="shared" si="6"/>
        <v>0</v>
      </c>
      <c r="AY27" s="305">
        <f t="shared" si="7"/>
        <v>0</v>
      </c>
      <c r="AZ27" s="305">
        <f t="shared" si="8"/>
        <v>0</v>
      </c>
      <c r="BA27" s="305">
        <f t="shared" si="9"/>
        <v>0</v>
      </c>
      <c r="BB27" s="305">
        <f t="shared" si="10"/>
        <v>0</v>
      </c>
      <c r="BC27" s="305">
        <f t="shared" si="11"/>
        <v>0</v>
      </c>
      <c r="BD27" s="305">
        <f t="shared" si="12"/>
        <v>0</v>
      </c>
      <c r="BE27" s="305">
        <f t="shared" si="13"/>
        <v>0</v>
      </c>
      <c r="BF27" s="305">
        <f t="shared" si="14"/>
        <v>0</v>
      </c>
      <c r="BG27" s="305">
        <f t="shared" si="15"/>
        <v>0</v>
      </c>
      <c r="BH27" s="305">
        <f t="shared" si="16"/>
        <v>0</v>
      </c>
      <c r="BI27" s="306">
        <f t="shared" si="17"/>
        <v>1533.7549277000401</v>
      </c>
      <c r="BJ27" s="306">
        <f t="shared" si="18"/>
        <v>302.94606573327815</v>
      </c>
      <c r="BK27" s="306">
        <f t="shared" si="19"/>
        <v>353.93373251948151</v>
      </c>
      <c r="BL27" s="306">
        <f t="shared" si="20"/>
        <v>0</v>
      </c>
      <c r="BM27" s="306">
        <f t="shared" si="21"/>
        <v>5652.3204945558518</v>
      </c>
      <c r="BN27" s="306">
        <f t="shared" si="22"/>
        <v>1005.3026325137887</v>
      </c>
      <c r="BO27" s="306">
        <f t="shared" si="23"/>
        <v>1064.0055840236992</v>
      </c>
      <c r="BP27" s="306">
        <f t="shared" si="24"/>
        <v>0</v>
      </c>
      <c r="BQ27" s="257">
        <f t="shared" si="25"/>
        <v>9912.2634370461383</v>
      </c>
    </row>
    <row r="28" spans="1:69">
      <c r="A28" s="748" t="str">
        <f>Prop2018DistTar!A28</f>
        <v>C14GB</v>
      </c>
      <c r="B28" s="750" t="str">
        <f>Prop2018DistTar!B28</f>
        <v>Non-Residential - Flexible Pricing Bulk</v>
      </c>
      <c r="C28" s="287"/>
      <c r="D28" s="774">
        <v>0</v>
      </c>
      <c r="E28" s="768">
        <v>0</v>
      </c>
      <c r="F28" s="768">
        <v>0</v>
      </c>
      <c r="G28" s="768">
        <v>0</v>
      </c>
      <c r="H28" s="768">
        <v>0</v>
      </c>
      <c r="I28" s="768">
        <v>0</v>
      </c>
      <c r="J28" s="768">
        <v>0</v>
      </c>
      <c r="K28" s="768">
        <v>0</v>
      </c>
      <c r="L28" s="768">
        <v>0</v>
      </c>
      <c r="M28" s="768">
        <v>0</v>
      </c>
      <c r="N28" s="768">
        <v>0</v>
      </c>
      <c r="O28" s="768">
        <v>0</v>
      </c>
      <c r="P28" s="768">
        <v>0</v>
      </c>
      <c r="Q28" s="768">
        <v>2.97</v>
      </c>
      <c r="R28" s="768">
        <v>2.08</v>
      </c>
      <c r="S28" s="768">
        <v>0.82</v>
      </c>
      <c r="T28" s="768">
        <v>0</v>
      </c>
      <c r="U28" s="768">
        <v>2.97</v>
      </c>
      <c r="V28" s="768">
        <v>2.08</v>
      </c>
      <c r="W28" s="768">
        <v>0.82</v>
      </c>
      <c r="X28" s="769">
        <v>0</v>
      </c>
      <c r="Z28" s="279">
        <f>Prop2018DistTar!AV28</f>
        <v>5</v>
      </c>
      <c r="AA28" s="253">
        <f>Prop2018DistTar!AW28</f>
        <v>0</v>
      </c>
      <c r="AB28" s="253">
        <f>Prop2018DistTar!AX28</f>
        <v>0</v>
      </c>
      <c r="AC28" s="253">
        <f>Prop2018DistTar!AY28</f>
        <v>0</v>
      </c>
      <c r="AD28" s="253">
        <f>Prop2018DistTar!AZ28</f>
        <v>0</v>
      </c>
      <c r="AE28" s="253">
        <f>Prop2018DistTar!BA28</f>
        <v>0</v>
      </c>
      <c r="AF28" s="253">
        <f>Prop2018DistTar!BB28</f>
        <v>0</v>
      </c>
      <c r="AG28" s="253">
        <f>Prop2018DistTar!BC28</f>
        <v>0</v>
      </c>
      <c r="AH28" s="253">
        <f>Prop2018DistTar!BD28</f>
        <v>0</v>
      </c>
      <c r="AI28" s="253">
        <f>Prop2018DistTar!BE28</f>
        <v>0</v>
      </c>
      <c r="AJ28" s="253">
        <f>Prop2018DistTar!BF28</f>
        <v>0</v>
      </c>
      <c r="AK28" s="253">
        <f>Prop2018DistTar!BG28</f>
        <v>0</v>
      </c>
      <c r="AL28" s="253">
        <f>Prop2018DistTar!BH28</f>
        <v>0</v>
      </c>
      <c r="AM28" s="253">
        <f>Prop2018DistTar!BI28</f>
        <v>10467.500468311788</v>
      </c>
      <c r="AN28" s="253">
        <f>Prop2018DistTar!BJ28</f>
        <v>2361.8467108005088</v>
      </c>
      <c r="AO28" s="253">
        <f>Prop2018DistTar!BK28</f>
        <v>7699.3201699207311</v>
      </c>
      <c r="AP28" s="253">
        <f>Prop2018DistTar!BL28</f>
        <v>0</v>
      </c>
      <c r="AQ28" s="253">
        <f>Prop2018DistTar!BM28</f>
        <v>30024.781573814373</v>
      </c>
      <c r="AR28" s="253">
        <f>Prop2018DistTar!BN28</f>
        <v>6386.5841435979974</v>
      </c>
      <c r="AS28" s="253">
        <f>Prop2018DistTar!BO28</f>
        <v>20918.502315015376</v>
      </c>
      <c r="AT28" s="254">
        <f>Prop2018DistTar!BP28</f>
        <v>0</v>
      </c>
      <c r="AV28" s="304">
        <f t="shared" si="4"/>
        <v>0</v>
      </c>
      <c r="AW28" s="305">
        <f t="shared" si="5"/>
        <v>0</v>
      </c>
      <c r="AX28" s="305">
        <f t="shared" si="6"/>
        <v>0</v>
      </c>
      <c r="AY28" s="305">
        <f t="shared" si="7"/>
        <v>0</v>
      </c>
      <c r="AZ28" s="305">
        <f t="shared" si="8"/>
        <v>0</v>
      </c>
      <c r="BA28" s="305">
        <f t="shared" si="9"/>
        <v>0</v>
      </c>
      <c r="BB28" s="305">
        <f t="shared" si="10"/>
        <v>0</v>
      </c>
      <c r="BC28" s="305">
        <f t="shared" si="11"/>
        <v>0</v>
      </c>
      <c r="BD28" s="305">
        <f t="shared" si="12"/>
        <v>0</v>
      </c>
      <c r="BE28" s="305">
        <f t="shared" si="13"/>
        <v>0</v>
      </c>
      <c r="BF28" s="305">
        <f t="shared" si="14"/>
        <v>0</v>
      </c>
      <c r="BG28" s="305">
        <f t="shared" si="15"/>
        <v>0</v>
      </c>
      <c r="BH28" s="305">
        <f t="shared" si="16"/>
        <v>0</v>
      </c>
      <c r="BI28" s="306">
        <f t="shared" si="17"/>
        <v>310.88476390886012</v>
      </c>
      <c r="BJ28" s="306">
        <f t="shared" si="18"/>
        <v>49.126411584650583</v>
      </c>
      <c r="BK28" s="306">
        <f t="shared" si="19"/>
        <v>63.134425393349986</v>
      </c>
      <c r="BL28" s="306">
        <f t="shared" si="20"/>
        <v>0</v>
      </c>
      <c r="BM28" s="306">
        <f t="shared" si="21"/>
        <v>891.7360127422869</v>
      </c>
      <c r="BN28" s="306">
        <f t="shared" si="22"/>
        <v>132.84095018683834</v>
      </c>
      <c r="BO28" s="306">
        <f t="shared" si="23"/>
        <v>171.53171898312607</v>
      </c>
      <c r="BP28" s="306">
        <f t="shared" si="24"/>
        <v>0</v>
      </c>
      <c r="BQ28" s="257">
        <f t="shared" si="25"/>
        <v>1619.2542827991119</v>
      </c>
    </row>
    <row r="29" spans="1:69">
      <c r="A29" s="748" t="str">
        <f>Prop2018DistTar!A29</f>
        <v>C2G7</v>
      </c>
      <c r="B29" s="750" t="str">
        <f>Prop2018DistTar!B29</f>
        <v>Non-Residential Two Rate 7d</v>
      </c>
      <c r="C29" s="287"/>
      <c r="D29" s="774">
        <v>0</v>
      </c>
      <c r="E29" s="768">
        <v>0</v>
      </c>
      <c r="F29" s="768">
        <v>2.2599999999999998</v>
      </c>
      <c r="G29" s="768">
        <v>0</v>
      </c>
      <c r="H29" s="768">
        <v>0</v>
      </c>
      <c r="I29" s="768">
        <v>0.76</v>
      </c>
      <c r="J29" s="768">
        <v>0</v>
      </c>
      <c r="K29" s="768">
        <v>0</v>
      </c>
      <c r="L29" s="768">
        <v>0</v>
      </c>
      <c r="M29" s="768">
        <v>0</v>
      </c>
      <c r="N29" s="768">
        <v>0</v>
      </c>
      <c r="O29" s="768">
        <v>0</v>
      </c>
      <c r="P29" s="768">
        <v>0</v>
      </c>
      <c r="Q29" s="768">
        <v>0</v>
      </c>
      <c r="R29" s="768">
        <v>0</v>
      </c>
      <c r="S29" s="768">
        <v>0</v>
      </c>
      <c r="T29" s="768">
        <v>0</v>
      </c>
      <c r="U29" s="768">
        <v>0</v>
      </c>
      <c r="V29" s="768">
        <v>0</v>
      </c>
      <c r="W29" s="768">
        <v>0</v>
      </c>
      <c r="X29" s="769">
        <v>0</v>
      </c>
      <c r="Z29" s="279">
        <f>Prop2018DistTar!AV29</f>
        <v>2322.444207091999</v>
      </c>
      <c r="AA29" s="253">
        <f>Prop2018DistTar!AW29</f>
        <v>0</v>
      </c>
      <c r="AB29" s="253">
        <f>Prop2018DistTar!AX29</f>
        <v>37314656.187938549</v>
      </c>
      <c r="AC29" s="253">
        <f>Prop2018DistTar!AY29</f>
        <v>0</v>
      </c>
      <c r="AD29" s="253">
        <f>Prop2018DistTar!AZ29</f>
        <v>0</v>
      </c>
      <c r="AE29" s="253">
        <f>Prop2018DistTar!BA29</f>
        <v>8982959.3015620131</v>
      </c>
      <c r="AF29" s="253">
        <f>Prop2018DistTar!BB29</f>
        <v>0</v>
      </c>
      <c r="AG29" s="253">
        <f>Prop2018DistTar!BC29</f>
        <v>0</v>
      </c>
      <c r="AH29" s="253">
        <f>Prop2018DistTar!BD29</f>
        <v>0</v>
      </c>
      <c r="AI29" s="253">
        <f>Prop2018DistTar!BE29</f>
        <v>0</v>
      </c>
      <c r="AJ29" s="253">
        <f>Prop2018DistTar!BF29</f>
        <v>0</v>
      </c>
      <c r="AK29" s="253">
        <f>Prop2018DistTar!BG29</f>
        <v>0</v>
      </c>
      <c r="AL29" s="253">
        <f>Prop2018DistTar!BH29</f>
        <v>0</v>
      </c>
      <c r="AM29" s="253">
        <f>Prop2018DistTar!BI29</f>
        <v>0</v>
      </c>
      <c r="AN29" s="253">
        <f>Prop2018DistTar!BJ29</f>
        <v>0</v>
      </c>
      <c r="AO29" s="253">
        <f>Prop2018DistTar!BK29</f>
        <v>0</v>
      </c>
      <c r="AP29" s="253">
        <f>Prop2018DistTar!BL29</f>
        <v>0</v>
      </c>
      <c r="AQ29" s="253">
        <f>Prop2018DistTar!BM29</f>
        <v>0</v>
      </c>
      <c r="AR29" s="253">
        <f>Prop2018DistTar!BN29</f>
        <v>0</v>
      </c>
      <c r="AS29" s="253">
        <f>Prop2018DistTar!BO29</f>
        <v>0</v>
      </c>
      <c r="AT29" s="254">
        <f>Prop2018DistTar!BP29</f>
        <v>0</v>
      </c>
      <c r="AV29" s="304">
        <f t="shared" si="4"/>
        <v>0</v>
      </c>
      <c r="AW29" s="305">
        <f t="shared" si="5"/>
        <v>0</v>
      </c>
      <c r="AX29" s="305">
        <f t="shared" si="6"/>
        <v>843311.22984741116</v>
      </c>
      <c r="AY29" s="305">
        <f t="shared" si="7"/>
        <v>0</v>
      </c>
      <c r="AZ29" s="305">
        <f t="shared" si="8"/>
        <v>0</v>
      </c>
      <c r="BA29" s="305">
        <f t="shared" si="9"/>
        <v>68270.490691871295</v>
      </c>
      <c r="BB29" s="305">
        <f t="shared" si="10"/>
        <v>0</v>
      </c>
      <c r="BC29" s="305">
        <f t="shared" si="11"/>
        <v>0</v>
      </c>
      <c r="BD29" s="305">
        <f t="shared" si="12"/>
        <v>0</v>
      </c>
      <c r="BE29" s="305">
        <f t="shared" si="13"/>
        <v>0</v>
      </c>
      <c r="BF29" s="305">
        <f t="shared" si="14"/>
        <v>0</v>
      </c>
      <c r="BG29" s="305">
        <f t="shared" si="15"/>
        <v>0</v>
      </c>
      <c r="BH29" s="305">
        <f t="shared" si="16"/>
        <v>0</v>
      </c>
      <c r="BI29" s="306">
        <f t="shared" si="17"/>
        <v>0</v>
      </c>
      <c r="BJ29" s="306">
        <f t="shared" si="18"/>
        <v>0</v>
      </c>
      <c r="BK29" s="306">
        <f t="shared" si="19"/>
        <v>0</v>
      </c>
      <c r="BL29" s="306">
        <f t="shared" si="20"/>
        <v>0</v>
      </c>
      <c r="BM29" s="306">
        <f t="shared" si="21"/>
        <v>0</v>
      </c>
      <c r="BN29" s="306">
        <f t="shared" si="22"/>
        <v>0</v>
      </c>
      <c r="BO29" s="306">
        <f t="shared" si="23"/>
        <v>0</v>
      </c>
      <c r="BP29" s="306">
        <f t="shared" si="24"/>
        <v>0</v>
      </c>
      <c r="BQ29" s="257">
        <f t="shared" si="25"/>
        <v>911581.72053928243</v>
      </c>
    </row>
    <row r="30" spans="1:69">
      <c r="A30" s="748" t="str">
        <f>Prop2018DistTar!A30</f>
        <v>C2G7B</v>
      </c>
      <c r="B30" s="750" t="str">
        <f>Prop2018DistTar!B30</f>
        <v>Non-Residential Two Rate 7d - Bulk</v>
      </c>
      <c r="C30" s="287"/>
      <c r="D30" s="774">
        <v>0</v>
      </c>
      <c r="E30" s="768">
        <v>0</v>
      </c>
      <c r="F30" s="768">
        <v>1.95</v>
      </c>
      <c r="G30" s="768">
        <v>0</v>
      </c>
      <c r="H30" s="768">
        <v>0</v>
      </c>
      <c r="I30" s="768">
        <v>0.56999999999999995</v>
      </c>
      <c r="J30" s="768">
        <v>0</v>
      </c>
      <c r="K30" s="768">
        <v>0</v>
      </c>
      <c r="L30" s="768">
        <v>0</v>
      </c>
      <c r="M30" s="768">
        <v>0</v>
      </c>
      <c r="N30" s="768">
        <v>0</v>
      </c>
      <c r="O30" s="768">
        <v>0</v>
      </c>
      <c r="P30" s="768">
        <v>0</v>
      </c>
      <c r="Q30" s="768">
        <v>0</v>
      </c>
      <c r="R30" s="768">
        <v>0</v>
      </c>
      <c r="S30" s="768">
        <v>0</v>
      </c>
      <c r="T30" s="768">
        <v>0</v>
      </c>
      <c r="U30" s="768">
        <v>0</v>
      </c>
      <c r="V30" s="768">
        <v>0</v>
      </c>
      <c r="W30" s="768">
        <v>0</v>
      </c>
      <c r="X30" s="769">
        <v>0</v>
      </c>
      <c r="Z30" s="279">
        <f>Prop2018DistTar!AV30</f>
        <v>251.52691546810573</v>
      </c>
      <c r="AA30" s="253">
        <f>Prop2018DistTar!AW30</f>
        <v>0</v>
      </c>
      <c r="AB30" s="253">
        <f>Prop2018DistTar!AX30</f>
        <v>5172333.90074181</v>
      </c>
      <c r="AC30" s="253">
        <f>Prop2018DistTar!AY30</f>
        <v>0</v>
      </c>
      <c r="AD30" s="253">
        <f>Prop2018DistTar!AZ30</f>
        <v>0</v>
      </c>
      <c r="AE30" s="253">
        <f>Prop2018DistTar!BA30</f>
        <v>1298680.7753647633</v>
      </c>
      <c r="AF30" s="253">
        <f>Prop2018DistTar!BB30</f>
        <v>0</v>
      </c>
      <c r="AG30" s="253">
        <f>Prop2018DistTar!BC30</f>
        <v>0</v>
      </c>
      <c r="AH30" s="253">
        <f>Prop2018DistTar!BD30</f>
        <v>0</v>
      </c>
      <c r="AI30" s="253">
        <f>Prop2018DistTar!BE30</f>
        <v>0</v>
      </c>
      <c r="AJ30" s="253">
        <f>Prop2018DistTar!BF30</f>
        <v>0</v>
      </c>
      <c r="AK30" s="253">
        <f>Prop2018DistTar!BG30</f>
        <v>0</v>
      </c>
      <c r="AL30" s="253">
        <f>Prop2018DistTar!BH30</f>
        <v>0</v>
      </c>
      <c r="AM30" s="253">
        <f>Prop2018DistTar!BI30</f>
        <v>0</v>
      </c>
      <c r="AN30" s="253">
        <f>Prop2018DistTar!BJ30</f>
        <v>0</v>
      </c>
      <c r="AO30" s="253">
        <f>Prop2018DistTar!BK30</f>
        <v>0</v>
      </c>
      <c r="AP30" s="253">
        <f>Prop2018DistTar!BL30</f>
        <v>0</v>
      </c>
      <c r="AQ30" s="253">
        <f>Prop2018DistTar!BM30</f>
        <v>0</v>
      </c>
      <c r="AR30" s="253">
        <f>Prop2018DistTar!BN30</f>
        <v>0</v>
      </c>
      <c r="AS30" s="253">
        <f>Prop2018DistTar!BO30</f>
        <v>0</v>
      </c>
      <c r="AT30" s="254">
        <f>Prop2018DistTar!BP30</f>
        <v>0</v>
      </c>
      <c r="AV30" s="304">
        <f t="shared" si="4"/>
        <v>0</v>
      </c>
      <c r="AW30" s="305">
        <f t="shared" si="5"/>
        <v>0</v>
      </c>
      <c r="AX30" s="305">
        <f t="shared" si="6"/>
        <v>100860.51106446529</v>
      </c>
      <c r="AY30" s="305">
        <f t="shared" si="7"/>
        <v>0</v>
      </c>
      <c r="AZ30" s="305">
        <f t="shared" si="8"/>
        <v>0</v>
      </c>
      <c r="BA30" s="305">
        <f t="shared" si="9"/>
        <v>7402.4804195791503</v>
      </c>
      <c r="BB30" s="305">
        <f t="shared" si="10"/>
        <v>0</v>
      </c>
      <c r="BC30" s="305">
        <f t="shared" si="11"/>
        <v>0</v>
      </c>
      <c r="BD30" s="305">
        <f t="shared" si="12"/>
        <v>0</v>
      </c>
      <c r="BE30" s="305">
        <f t="shared" si="13"/>
        <v>0</v>
      </c>
      <c r="BF30" s="305">
        <f t="shared" si="14"/>
        <v>0</v>
      </c>
      <c r="BG30" s="305">
        <f t="shared" si="15"/>
        <v>0</v>
      </c>
      <c r="BH30" s="305">
        <f t="shared" si="16"/>
        <v>0</v>
      </c>
      <c r="BI30" s="306">
        <f t="shared" si="17"/>
        <v>0</v>
      </c>
      <c r="BJ30" s="306">
        <f t="shared" si="18"/>
        <v>0</v>
      </c>
      <c r="BK30" s="306">
        <f t="shared" si="19"/>
        <v>0</v>
      </c>
      <c r="BL30" s="306">
        <f t="shared" si="20"/>
        <v>0</v>
      </c>
      <c r="BM30" s="306">
        <f t="shared" si="21"/>
        <v>0</v>
      </c>
      <c r="BN30" s="306">
        <f t="shared" si="22"/>
        <v>0</v>
      </c>
      <c r="BO30" s="306">
        <f t="shared" si="23"/>
        <v>0</v>
      </c>
      <c r="BP30" s="306">
        <f t="shared" si="24"/>
        <v>0</v>
      </c>
      <c r="BQ30" s="257">
        <f t="shared" si="25"/>
        <v>108262.99148404444</v>
      </c>
    </row>
    <row r="31" spans="1:69">
      <c r="A31" s="748" t="str">
        <f>Prop2018DistTar!A31</f>
        <v>C2L7</v>
      </c>
      <c r="B31" s="750" t="str">
        <f>Prop2018DistTar!B31</f>
        <v>Large Two Rate 7d</v>
      </c>
      <c r="C31" s="287"/>
      <c r="D31" s="774">
        <v>0</v>
      </c>
      <c r="E31" s="768">
        <v>0</v>
      </c>
      <c r="F31" s="768">
        <v>2.87</v>
      </c>
      <c r="G31" s="768">
        <v>0</v>
      </c>
      <c r="H31" s="768">
        <v>0</v>
      </c>
      <c r="I31" s="768">
        <v>0.76</v>
      </c>
      <c r="J31" s="768">
        <v>0</v>
      </c>
      <c r="K31" s="768">
        <v>0</v>
      </c>
      <c r="L31" s="768">
        <v>0</v>
      </c>
      <c r="M31" s="768">
        <v>0</v>
      </c>
      <c r="N31" s="768">
        <v>0</v>
      </c>
      <c r="O31" s="768">
        <v>0</v>
      </c>
      <c r="P31" s="768">
        <v>0</v>
      </c>
      <c r="Q31" s="768">
        <v>0</v>
      </c>
      <c r="R31" s="768">
        <v>0</v>
      </c>
      <c r="S31" s="768">
        <v>0</v>
      </c>
      <c r="T31" s="768">
        <v>0</v>
      </c>
      <c r="U31" s="768">
        <v>0</v>
      </c>
      <c r="V31" s="768">
        <v>0</v>
      </c>
      <c r="W31" s="768">
        <v>0</v>
      </c>
      <c r="X31" s="769">
        <v>0</v>
      </c>
      <c r="Z31" s="279">
        <f>Prop2018DistTar!AV31</f>
        <v>4</v>
      </c>
      <c r="AA31" s="253">
        <f>Prop2018DistTar!AW31</f>
        <v>0</v>
      </c>
      <c r="AB31" s="253">
        <f>Prop2018DistTar!AX31</f>
        <v>224820.2679166478</v>
      </c>
      <c r="AC31" s="253">
        <f>Prop2018DistTar!AY31</f>
        <v>0</v>
      </c>
      <c r="AD31" s="253">
        <f>Prop2018DistTar!AZ31</f>
        <v>0</v>
      </c>
      <c r="AE31" s="253">
        <f>Prop2018DistTar!BA31</f>
        <v>61632.40762098199</v>
      </c>
      <c r="AF31" s="253">
        <f>Prop2018DistTar!BB31</f>
        <v>0</v>
      </c>
      <c r="AG31" s="253">
        <f>Prop2018DistTar!BC31</f>
        <v>0</v>
      </c>
      <c r="AH31" s="253">
        <f>Prop2018DistTar!BD31</f>
        <v>0</v>
      </c>
      <c r="AI31" s="253">
        <f>Prop2018DistTar!BE31</f>
        <v>0</v>
      </c>
      <c r="AJ31" s="253">
        <f>Prop2018DistTar!BF31</f>
        <v>0</v>
      </c>
      <c r="AK31" s="253">
        <f>Prop2018DistTar!BG31</f>
        <v>0</v>
      </c>
      <c r="AL31" s="253">
        <f>Prop2018DistTar!BH31</f>
        <v>0</v>
      </c>
      <c r="AM31" s="253">
        <f>Prop2018DistTar!BI31</f>
        <v>0</v>
      </c>
      <c r="AN31" s="253">
        <f>Prop2018DistTar!BJ31</f>
        <v>0</v>
      </c>
      <c r="AO31" s="253">
        <f>Prop2018DistTar!BK31</f>
        <v>0</v>
      </c>
      <c r="AP31" s="253">
        <f>Prop2018DistTar!BL31</f>
        <v>0</v>
      </c>
      <c r="AQ31" s="253">
        <f>Prop2018DistTar!BM31</f>
        <v>0</v>
      </c>
      <c r="AR31" s="253">
        <f>Prop2018DistTar!BN31</f>
        <v>0</v>
      </c>
      <c r="AS31" s="253">
        <f>Prop2018DistTar!BO31</f>
        <v>0</v>
      </c>
      <c r="AT31" s="254">
        <f>Prop2018DistTar!BP31</f>
        <v>0</v>
      </c>
      <c r="AV31" s="304">
        <f t="shared" si="4"/>
        <v>0</v>
      </c>
      <c r="AW31" s="305">
        <f t="shared" si="5"/>
        <v>0</v>
      </c>
      <c r="AX31" s="305">
        <f t="shared" si="6"/>
        <v>6452.3416892077921</v>
      </c>
      <c r="AY31" s="305">
        <f t="shared" si="7"/>
        <v>0</v>
      </c>
      <c r="AZ31" s="305">
        <f t="shared" si="8"/>
        <v>0</v>
      </c>
      <c r="BA31" s="305">
        <f t="shared" si="9"/>
        <v>468.4062979194631</v>
      </c>
      <c r="BB31" s="305">
        <f t="shared" si="10"/>
        <v>0</v>
      </c>
      <c r="BC31" s="305">
        <f t="shared" si="11"/>
        <v>0</v>
      </c>
      <c r="BD31" s="305">
        <f t="shared" si="12"/>
        <v>0</v>
      </c>
      <c r="BE31" s="305">
        <f t="shared" si="13"/>
        <v>0</v>
      </c>
      <c r="BF31" s="305">
        <f t="shared" si="14"/>
        <v>0</v>
      </c>
      <c r="BG31" s="305">
        <f t="shared" si="15"/>
        <v>0</v>
      </c>
      <c r="BH31" s="305">
        <f t="shared" si="16"/>
        <v>0</v>
      </c>
      <c r="BI31" s="306">
        <f t="shared" si="17"/>
        <v>0</v>
      </c>
      <c r="BJ31" s="306">
        <f t="shared" si="18"/>
        <v>0</v>
      </c>
      <c r="BK31" s="306">
        <f t="shared" si="19"/>
        <v>0</v>
      </c>
      <c r="BL31" s="306">
        <f t="shared" si="20"/>
        <v>0</v>
      </c>
      <c r="BM31" s="306">
        <f t="shared" si="21"/>
        <v>0</v>
      </c>
      <c r="BN31" s="306">
        <f t="shared" si="22"/>
        <v>0</v>
      </c>
      <c r="BO31" s="306">
        <f t="shared" si="23"/>
        <v>0</v>
      </c>
      <c r="BP31" s="306">
        <f t="shared" si="24"/>
        <v>0</v>
      </c>
      <c r="BQ31" s="257">
        <f t="shared" si="25"/>
        <v>6920.7479871272553</v>
      </c>
    </row>
    <row r="32" spans="1:69">
      <c r="A32" s="748" t="str">
        <f>Prop2018DistTar!A32</f>
        <v>CG</v>
      </c>
      <c r="B32" s="750" t="str">
        <f>Prop2018DistTar!B32</f>
        <v>Non-Residential Demand Tariff</v>
      </c>
      <c r="C32" s="287"/>
      <c r="D32" s="774">
        <v>0</v>
      </c>
      <c r="E32" s="768">
        <v>1.05</v>
      </c>
      <c r="F32" s="768">
        <v>0</v>
      </c>
      <c r="G32" s="768">
        <v>0</v>
      </c>
      <c r="H32" s="768">
        <v>0</v>
      </c>
      <c r="I32" s="768">
        <v>0</v>
      </c>
      <c r="J32" s="768">
        <v>0</v>
      </c>
      <c r="K32" s="768">
        <v>0</v>
      </c>
      <c r="L32" s="768">
        <v>0</v>
      </c>
      <c r="M32" s="768">
        <v>0</v>
      </c>
      <c r="N32" s="768">
        <v>0</v>
      </c>
      <c r="O32" s="768">
        <v>3.34</v>
      </c>
      <c r="P32" s="768">
        <v>1.1100000000000001</v>
      </c>
      <c r="Q32" s="768">
        <v>0</v>
      </c>
      <c r="R32" s="768">
        <v>0</v>
      </c>
      <c r="S32" s="768">
        <v>0</v>
      </c>
      <c r="T32" s="768">
        <v>0</v>
      </c>
      <c r="U32" s="768">
        <v>0</v>
      </c>
      <c r="V32" s="768">
        <v>0</v>
      </c>
      <c r="W32" s="768">
        <v>0</v>
      </c>
      <c r="X32" s="769">
        <v>0</v>
      </c>
      <c r="Z32" s="279">
        <f>Prop2018DistTar!AV32</f>
        <v>5</v>
      </c>
      <c r="AA32" s="253">
        <f>Prop2018DistTar!AW32</f>
        <v>100000</v>
      </c>
      <c r="AB32" s="253">
        <f>Prop2018DistTar!AX32</f>
        <v>0</v>
      </c>
      <c r="AC32" s="253">
        <f>Prop2018DistTar!AY32</f>
        <v>0</v>
      </c>
      <c r="AD32" s="253">
        <f>Prop2018DistTar!AZ32</f>
        <v>0</v>
      </c>
      <c r="AE32" s="253">
        <f>Prop2018DistTar!BA32</f>
        <v>0</v>
      </c>
      <c r="AF32" s="253">
        <f>Prop2018DistTar!BB32</f>
        <v>0</v>
      </c>
      <c r="AG32" s="253">
        <f>Prop2018DistTar!BC32</f>
        <v>0</v>
      </c>
      <c r="AH32" s="253">
        <f>Prop2018DistTar!BD32</f>
        <v>0</v>
      </c>
      <c r="AI32" s="253">
        <f>Prop2018DistTar!BE32</f>
        <v>0</v>
      </c>
      <c r="AJ32" s="253">
        <f>Prop2018DistTar!BF32</f>
        <v>0</v>
      </c>
      <c r="AK32" s="253">
        <f>Prop2018DistTar!BG32</f>
        <v>130.46314416177432</v>
      </c>
      <c r="AL32" s="253">
        <f>Prop2018DistTar!BH32</f>
        <v>228.31050228310502</v>
      </c>
      <c r="AM32" s="253">
        <f>Prop2018DistTar!BI32</f>
        <v>0</v>
      </c>
      <c r="AN32" s="253">
        <f>Prop2018DistTar!BJ32</f>
        <v>0</v>
      </c>
      <c r="AO32" s="253">
        <f>Prop2018DistTar!BK32</f>
        <v>0</v>
      </c>
      <c r="AP32" s="253">
        <f>Prop2018DistTar!BL32</f>
        <v>0</v>
      </c>
      <c r="AQ32" s="253">
        <f>Prop2018DistTar!BM32</f>
        <v>0</v>
      </c>
      <c r="AR32" s="253">
        <f>Prop2018DistTar!BN32</f>
        <v>0</v>
      </c>
      <c r="AS32" s="253">
        <f>Prop2018DistTar!BO32</f>
        <v>0</v>
      </c>
      <c r="AT32" s="254">
        <f>Prop2018DistTar!BP32</f>
        <v>0</v>
      </c>
      <c r="AV32" s="304">
        <f t="shared" si="4"/>
        <v>0</v>
      </c>
      <c r="AW32" s="305">
        <f t="shared" si="5"/>
        <v>1050</v>
      </c>
      <c r="AX32" s="305">
        <f t="shared" si="6"/>
        <v>0</v>
      </c>
      <c r="AY32" s="305">
        <f t="shared" si="7"/>
        <v>0</v>
      </c>
      <c r="AZ32" s="305">
        <f t="shared" si="8"/>
        <v>0</v>
      </c>
      <c r="BA32" s="305">
        <f t="shared" si="9"/>
        <v>0</v>
      </c>
      <c r="BB32" s="305">
        <f t="shared" si="10"/>
        <v>0</v>
      </c>
      <c r="BC32" s="305">
        <f t="shared" si="11"/>
        <v>0</v>
      </c>
      <c r="BD32" s="305">
        <f t="shared" si="12"/>
        <v>0</v>
      </c>
      <c r="BE32" s="305">
        <f t="shared" si="13"/>
        <v>0</v>
      </c>
      <c r="BF32" s="305">
        <f t="shared" si="14"/>
        <v>0</v>
      </c>
      <c r="BG32" s="305">
        <f t="shared" si="15"/>
        <v>435.7469015003262</v>
      </c>
      <c r="BH32" s="305">
        <f t="shared" si="16"/>
        <v>253.42465753424659</v>
      </c>
      <c r="BI32" s="306">
        <f t="shared" si="17"/>
        <v>0</v>
      </c>
      <c r="BJ32" s="306">
        <f t="shared" si="18"/>
        <v>0</v>
      </c>
      <c r="BK32" s="306">
        <f t="shared" si="19"/>
        <v>0</v>
      </c>
      <c r="BL32" s="306">
        <f t="shared" si="20"/>
        <v>0</v>
      </c>
      <c r="BM32" s="306">
        <f t="shared" si="21"/>
        <v>0</v>
      </c>
      <c r="BN32" s="306">
        <f t="shared" si="22"/>
        <v>0</v>
      </c>
      <c r="BO32" s="306">
        <f t="shared" si="23"/>
        <v>0</v>
      </c>
      <c r="BP32" s="306">
        <f t="shared" si="24"/>
        <v>0</v>
      </c>
      <c r="BQ32" s="257">
        <f t="shared" si="25"/>
        <v>1739.1715590345727</v>
      </c>
    </row>
    <row r="33" spans="1:69">
      <c r="A33" s="748" t="str">
        <f>Prop2018DistTar!A33</f>
        <v>CGB</v>
      </c>
      <c r="B33" s="750" t="str">
        <f>Prop2018DistTar!B33</f>
        <v>Non-Residential Bulk Demand Tariff</v>
      </c>
      <c r="C33" s="287"/>
      <c r="D33" s="774">
        <v>0</v>
      </c>
      <c r="E33" s="768">
        <v>0.94</v>
      </c>
      <c r="F33" s="768">
        <v>0</v>
      </c>
      <c r="G33" s="768">
        <v>0</v>
      </c>
      <c r="H33" s="768">
        <v>0</v>
      </c>
      <c r="I33" s="768">
        <v>0</v>
      </c>
      <c r="J33" s="768">
        <v>0</v>
      </c>
      <c r="K33" s="768">
        <v>0</v>
      </c>
      <c r="L33" s="768">
        <v>0</v>
      </c>
      <c r="M33" s="768">
        <v>0</v>
      </c>
      <c r="N33" s="768">
        <v>0</v>
      </c>
      <c r="O33" s="768">
        <v>2.5099999999999998</v>
      </c>
      <c r="P33" s="768">
        <v>0.84</v>
      </c>
      <c r="Q33" s="768">
        <v>0</v>
      </c>
      <c r="R33" s="768">
        <v>0</v>
      </c>
      <c r="S33" s="768">
        <v>0</v>
      </c>
      <c r="T33" s="768">
        <v>0</v>
      </c>
      <c r="U33" s="768">
        <v>0</v>
      </c>
      <c r="V33" s="768">
        <v>0</v>
      </c>
      <c r="W33" s="768">
        <v>0</v>
      </c>
      <c r="X33" s="769">
        <v>0</v>
      </c>
      <c r="Z33" s="279">
        <f>Prop2018DistTar!AV33</f>
        <v>1</v>
      </c>
      <c r="AA33" s="253">
        <f>Prop2018DistTar!AW33</f>
        <v>16000</v>
      </c>
      <c r="AB33" s="253">
        <f>Prop2018DistTar!AX33</f>
        <v>0</v>
      </c>
      <c r="AC33" s="253">
        <f>Prop2018DistTar!AY33</f>
        <v>0</v>
      </c>
      <c r="AD33" s="253">
        <f>Prop2018DistTar!AZ33</f>
        <v>0</v>
      </c>
      <c r="AE33" s="253">
        <f>Prop2018DistTar!BA33</f>
        <v>0</v>
      </c>
      <c r="AF33" s="253">
        <f>Prop2018DistTar!BB33</f>
        <v>0</v>
      </c>
      <c r="AG33" s="253">
        <f>Prop2018DistTar!BC33</f>
        <v>0</v>
      </c>
      <c r="AH33" s="253">
        <f>Prop2018DistTar!BD33</f>
        <v>0</v>
      </c>
      <c r="AI33" s="253">
        <f>Prop2018DistTar!BE33</f>
        <v>0</v>
      </c>
      <c r="AJ33" s="253">
        <f>Prop2018DistTar!BF33</f>
        <v>0</v>
      </c>
      <c r="AK33" s="253">
        <f>Prop2018DistTar!BG33</f>
        <v>20.874103065883887</v>
      </c>
      <c r="AL33" s="253">
        <f>Prop2018DistTar!BH33</f>
        <v>36.529680365296798</v>
      </c>
      <c r="AM33" s="253">
        <f>Prop2018DistTar!BI33</f>
        <v>0</v>
      </c>
      <c r="AN33" s="253">
        <f>Prop2018DistTar!BJ33</f>
        <v>0</v>
      </c>
      <c r="AO33" s="253">
        <f>Prop2018DistTar!BK33</f>
        <v>0</v>
      </c>
      <c r="AP33" s="253">
        <f>Prop2018DistTar!BL33</f>
        <v>0</v>
      </c>
      <c r="AQ33" s="253">
        <f>Prop2018DistTar!BM33</f>
        <v>0</v>
      </c>
      <c r="AR33" s="253">
        <f>Prop2018DistTar!BN33</f>
        <v>0</v>
      </c>
      <c r="AS33" s="253">
        <f>Prop2018DistTar!BO33</f>
        <v>0</v>
      </c>
      <c r="AT33" s="254">
        <f>Prop2018DistTar!BP33</f>
        <v>0</v>
      </c>
      <c r="AV33" s="304">
        <f t="shared" si="4"/>
        <v>0</v>
      </c>
      <c r="AW33" s="305">
        <f t="shared" si="5"/>
        <v>150.39999999999998</v>
      </c>
      <c r="AX33" s="305">
        <f t="shared" si="6"/>
        <v>0</v>
      </c>
      <c r="AY33" s="305">
        <f t="shared" si="7"/>
        <v>0</v>
      </c>
      <c r="AZ33" s="305">
        <f t="shared" si="8"/>
        <v>0</v>
      </c>
      <c r="BA33" s="305">
        <f t="shared" si="9"/>
        <v>0</v>
      </c>
      <c r="BB33" s="305">
        <f t="shared" si="10"/>
        <v>0</v>
      </c>
      <c r="BC33" s="305">
        <f t="shared" si="11"/>
        <v>0</v>
      </c>
      <c r="BD33" s="305">
        <f t="shared" si="12"/>
        <v>0</v>
      </c>
      <c r="BE33" s="305">
        <f t="shared" si="13"/>
        <v>0</v>
      </c>
      <c r="BF33" s="305">
        <f t="shared" si="14"/>
        <v>0</v>
      </c>
      <c r="BG33" s="305">
        <f t="shared" si="15"/>
        <v>52.393998695368552</v>
      </c>
      <c r="BH33" s="305">
        <f t="shared" si="16"/>
        <v>30.68493150684931</v>
      </c>
      <c r="BI33" s="306">
        <f t="shared" si="17"/>
        <v>0</v>
      </c>
      <c r="BJ33" s="306">
        <f t="shared" si="18"/>
        <v>0</v>
      </c>
      <c r="BK33" s="306">
        <f t="shared" si="19"/>
        <v>0</v>
      </c>
      <c r="BL33" s="306">
        <f t="shared" si="20"/>
        <v>0</v>
      </c>
      <c r="BM33" s="306">
        <f t="shared" si="21"/>
        <v>0</v>
      </c>
      <c r="BN33" s="306">
        <f t="shared" si="22"/>
        <v>0</v>
      </c>
      <c r="BO33" s="306">
        <f t="shared" si="23"/>
        <v>0</v>
      </c>
      <c r="BP33" s="306">
        <f t="shared" si="24"/>
        <v>0</v>
      </c>
      <c r="BQ33" s="257">
        <f t="shared" si="25"/>
        <v>233.47893020221784</v>
      </c>
    </row>
    <row r="34" spans="1:69">
      <c r="A34" s="748" t="str">
        <f>Prop2018DistTar!A34</f>
        <v>CMG</v>
      </c>
      <c r="B34" s="750" t="str">
        <f>Prop2018DistTar!B34</f>
        <v>Medium Business Demand</v>
      </c>
      <c r="C34" s="287"/>
      <c r="D34" s="774">
        <v>0</v>
      </c>
      <c r="E34" s="768">
        <v>0</v>
      </c>
      <c r="F34" s="768">
        <v>1.96</v>
      </c>
      <c r="G34" s="768">
        <v>0</v>
      </c>
      <c r="H34" s="768">
        <v>0</v>
      </c>
      <c r="I34" s="768">
        <v>1.1599999999999999</v>
      </c>
      <c r="J34" s="768">
        <v>0</v>
      </c>
      <c r="K34" s="768">
        <v>0</v>
      </c>
      <c r="L34" s="768">
        <v>0</v>
      </c>
      <c r="M34" s="768">
        <v>0</v>
      </c>
      <c r="N34" s="768">
        <v>0</v>
      </c>
      <c r="O34" s="768">
        <v>0.99</v>
      </c>
      <c r="P34" s="768">
        <v>0.49</v>
      </c>
      <c r="Q34" s="768">
        <v>0</v>
      </c>
      <c r="R34" s="768">
        <v>0</v>
      </c>
      <c r="S34" s="768">
        <v>0</v>
      </c>
      <c r="T34" s="768">
        <v>0</v>
      </c>
      <c r="U34" s="768">
        <v>0</v>
      </c>
      <c r="V34" s="768">
        <v>0</v>
      </c>
      <c r="W34" s="768">
        <v>0</v>
      </c>
      <c r="X34" s="769">
        <v>0</v>
      </c>
      <c r="Z34" s="279">
        <f>Prop2018DistTar!AV34</f>
        <v>4454.7584285325547</v>
      </c>
      <c r="AA34" s="253">
        <f>Prop2018DistTar!AW34</f>
        <v>0</v>
      </c>
      <c r="AB34" s="253">
        <f>Prop2018DistTar!AX34</f>
        <v>385749824.48949713</v>
      </c>
      <c r="AC34" s="253">
        <f>Prop2018DistTar!AY34</f>
        <v>0</v>
      </c>
      <c r="AD34" s="253">
        <f>Prop2018DistTar!AZ34</f>
        <v>0</v>
      </c>
      <c r="AE34" s="253">
        <f>Prop2018DistTar!BA34</f>
        <v>237077602.25050065</v>
      </c>
      <c r="AF34" s="253">
        <f>Prop2018DistTar!BB34</f>
        <v>0</v>
      </c>
      <c r="AG34" s="253">
        <f>Prop2018DistTar!BC34</f>
        <v>0</v>
      </c>
      <c r="AH34" s="253">
        <f>Prop2018DistTar!BD34</f>
        <v>0</v>
      </c>
      <c r="AI34" s="253">
        <f>Prop2018DistTar!BE34</f>
        <v>0</v>
      </c>
      <c r="AJ34" s="253">
        <f>Prop2018DistTar!BF34</f>
        <v>0</v>
      </c>
      <c r="AK34" s="253">
        <f>Prop2018DistTar!BG34</f>
        <v>764494.43950180197</v>
      </c>
      <c r="AL34" s="253">
        <f>Prop2018DistTar!BH34</f>
        <v>1326085.1464115628</v>
      </c>
      <c r="AM34" s="253">
        <f>Prop2018DistTar!BI34</f>
        <v>0</v>
      </c>
      <c r="AN34" s="253">
        <f>Prop2018DistTar!BJ34</f>
        <v>0</v>
      </c>
      <c r="AO34" s="253">
        <f>Prop2018DistTar!BK34</f>
        <v>0</v>
      </c>
      <c r="AP34" s="253">
        <f>Prop2018DistTar!BL34</f>
        <v>0</v>
      </c>
      <c r="AQ34" s="253">
        <f>Prop2018DistTar!BM34</f>
        <v>0</v>
      </c>
      <c r="AR34" s="253">
        <f>Prop2018DistTar!BN34</f>
        <v>0</v>
      </c>
      <c r="AS34" s="253">
        <f>Prop2018DistTar!BO34</f>
        <v>0</v>
      </c>
      <c r="AT34" s="254">
        <f>Prop2018DistTar!BP34</f>
        <v>0</v>
      </c>
      <c r="AV34" s="304">
        <f t="shared" si="4"/>
        <v>0</v>
      </c>
      <c r="AW34" s="305">
        <f t="shared" si="5"/>
        <v>0</v>
      </c>
      <c r="AX34" s="305">
        <f t="shared" si="6"/>
        <v>7560696.5599941434</v>
      </c>
      <c r="AY34" s="305">
        <f t="shared" si="7"/>
        <v>0</v>
      </c>
      <c r="AZ34" s="305">
        <f t="shared" si="8"/>
        <v>0</v>
      </c>
      <c r="BA34" s="305">
        <f t="shared" si="9"/>
        <v>2750100.1861058073</v>
      </c>
      <c r="BB34" s="305">
        <f t="shared" si="10"/>
        <v>0</v>
      </c>
      <c r="BC34" s="305">
        <f t="shared" si="11"/>
        <v>0</v>
      </c>
      <c r="BD34" s="305">
        <f t="shared" si="12"/>
        <v>0</v>
      </c>
      <c r="BE34" s="305">
        <f t="shared" si="13"/>
        <v>0</v>
      </c>
      <c r="BF34" s="305">
        <f t="shared" si="14"/>
        <v>0</v>
      </c>
      <c r="BG34" s="305">
        <f t="shared" si="15"/>
        <v>756849.49510678393</v>
      </c>
      <c r="BH34" s="305">
        <f t="shared" si="16"/>
        <v>649781.72174166574</v>
      </c>
      <c r="BI34" s="306">
        <f t="shared" si="17"/>
        <v>0</v>
      </c>
      <c r="BJ34" s="306">
        <f t="shared" si="18"/>
        <v>0</v>
      </c>
      <c r="BK34" s="306">
        <f t="shared" si="19"/>
        <v>0</v>
      </c>
      <c r="BL34" s="306">
        <f t="shared" si="20"/>
        <v>0</v>
      </c>
      <c r="BM34" s="306">
        <f t="shared" si="21"/>
        <v>0</v>
      </c>
      <c r="BN34" s="306">
        <f t="shared" si="22"/>
        <v>0</v>
      </c>
      <c r="BO34" s="306">
        <f t="shared" si="23"/>
        <v>0</v>
      </c>
      <c r="BP34" s="306">
        <f t="shared" si="24"/>
        <v>0</v>
      </c>
      <c r="BQ34" s="257">
        <f t="shared" si="25"/>
        <v>11717427.962948401</v>
      </c>
    </row>
    <row r="35" spans="1:69">
      <c r="A35" s="748" t="str">
        <f>Prop2018DistTar!A35</f>
        <v>CMGB</v>
      </c>
      <c r="B35" s="750" t="str">
        <f>Prop2018DistTar!B35</f>
        <v>Medium Business Bulk Demand</v>
      </c>
      <c r="C35" s="287"/>
      <c r="D35" s="774">
        <v>0</v>
      </c>
      <c r="E35" s="768">
        <v>0</v>
      </c>
      <c r="F35" s="768">
        <v>1.44</v>
      </c>
      <c r="G35" s="768">
        <v>0</v>
      </c>
      <c r="H35" s="768">
        <v>0</v>
      </c>
      <c r="I35" s="768">
        <v>0.91</v>
      </c>
      <c r="J35" s="768">
        <v>0</v>
      </c>
      <c r="K35" s="768">
        <v>0</v>
      </c>
      <c r="L35" s="768">
        <v>0</v>
      </c>
      <c r="M35" s="768">
        <v>0</v>
      </c>
      <c r="N35" s="768">
        <v>0</v>
      </c>
      <c r="O35" s="768">
        <v>0.74</v>
      </c>
      <c r="P35" s="768">
        <v>0.37</v>
      </c>
      <c r="Q35" s="768">
        <v>0</v>
      </c>
      <c r="R35" s="768">
        <v>0</v>
      </c>
      <c r="S35" s="768">
        <v>0</v>
      </c>
      <c r="T35" s="768">
        <v>0</v>
      </c>
      <c r="U35" s="768">
        <v>0</v>
      </c>
      <c r="V35" s="768">
        <v>0</v>
      </c>
      <c r="W35" s="768">
        <v>0</v>
      </c>
      <c r="X35" s="769">
        <v>0</v>
      </c>
      <c r="Z35" s="279">
        <f>Prop2018DistTar!AV35</f>
        <v>2142.0682091572939</v>
      </c>
      <c r="AA35" s="253">
        <f>Prop2018DistTar!AW35</f>
        <v>0</v>
      </c>
      <c r="AB35" s="253">
        <f>Prop2018DistTar!AX35</f>
        <v>263482333.82347772</v>
      </c>
      <c r="AC35" s="253">
        <f>Prop2018DistTar!AY35</f>
        <v>0</v>
      </c>
      <c r="AD35" s="253">
        <f>Prop2018DistTar!AZ35</f>
        <v>0</v>
      </c>
      <c r="AE35" s="253">
        <f>Prop2018DistTar!BA35</f>
        <v>158002594.57150719</v>
      </c>
      <c r="AF35" s="253">
        <f>Prop2018DistTar!BB35</f>
        <v>0</v>
      </c>
      <c r="AG35" s="253">
        <f>Prop2018DistTar!BC35</f>
        <v>0</v>
      </c>
      <c r="AH35" s="253">
        <f>Prop2018DistTar!BD35</f>
        <v>0</v>
      </c>
      <c r="AI35" s="253">
        <f>Prop2018DistTar!BE35</f>
        <v>0</v>
      </c>
      <c r="AJ35" s="253">
        <f>Prop2018DistTar!BF35</f>
        <v>0</v>
      </c>
      <c r="AK35" s="253">
        <f>Prop2018DistTar!BG35</f>
        <v>523965.08847416606</v>
      </c>
      <c r="AL35" s="253">
        <f>Prop2018DistTar!BH35</f>
        <v>850358.31944324356</v>
      </c>
      <c r="AM35" s="253">
        <f>Prop2018DistTar!BI35</f>
        <v>0</v>
      </c>
      <c r="AN35" s="253">
        <f>Prop2018DistTar!BJ35</f>
        <v>0</v>
      </c>
      <c r="AO35" s="253">
        <f>Prop2018DistTar!BK35</f>
        <v>0</v>
      </c>
      <c r="AP35" s="253">
        <f>Prop2018DistTar!BL35</f>
        <v>0</v>
      </c>
      <c r="AQ35" s="253">
        <f>Prop2018DistTar!BM35</f>
        <v>0</v>
      </c>
      <c r="AR35" s="253">
        <f>Prop2018DistTar!BN35</f>
        <v>0</v>
      </c>
      <c r="AS35" s="253">
        <f>Prop2018DistTar!BO35</f>
        <v>0</v>
      </c>
      <c r="AT35" s="254">
        <f>Prop2018DistTar!BP35</f>
        <v>0</v>
      </c>
      <c r="AV35" s="304">
        <f t="shared" si="4"/>
        <v>0</v>
      </c>
      <c r="AW35" s="305">
        <f t="shared" si="5"/>
        <v>0</v>
      </c>
      <c r="AX35" s="305">
        <f t="shared" si="6"/>
        <v>3794145.607058079</v>
      </c>
      <c r="AY35" s="305">
        <f t="shared" si="7"/>
        <v>0</v>
      </c>
      <c r="AZ35" s="305">
        <f t="shared" si="8"/>
        <v>0</v>
      </c>
      <c r="BA35" s="305">
        <f t="shared" si="9"/>
        <v>1437823.6106007155</v>
      </c>
      <c r="BB35" s="305">
        <f t="shared" si="10"/>
        <v>0</v>
      </c>
      <c r="BC35" s="305">
        <f t="shared" si="11"/>
        <v>0</v>
      </c>
      <c r="BD35" s="305">
        <f t="shared" si="12"/>
        <v>0</v>
      </c>
      <c r="BE35" s="305">
        <f t="shared" si="13"/>
        <v>0</v>
      </c>
      <c r="BF35" s="305">
        <f t="shared" si="14"/>
        <v>0</v>
      </c>
      <c r="BG35" s="305">
        <f t="shared" si="15"/>
        <v>387734.1654708829</v>
      </c>
      <c r="BH35" s="305">
        <f t="shared" si="16"/>
        <v>314632.57819400012</v>
      </c>
      <c r="BI35" s="306">
        <f t="shared" si="17"/>
        <v>0</v>
      </c>
      <c r="BJ35" s="306">
        <f t="shared" si="18"/>
        <v>0</v>
      </c>
      <c r="BK35" s="306">
        <f t="shared" si="19"/>
        <v>0</v>
      </c>
      <c r="BL35" s="306">
        <f t="shared" si="20"/>
        <v>0</v>
      </c>
      <c r="BM35" s="306">
        <f t="shared" si="21"/>
        <v>0</v>
      </c>
      <c r="BN35" s="306">
        <f t="shared" si="22"/>
        <v>0</v>
      </c>
      <c r="BO35" s="306">
        <f t="shared" si="23"/>
        <v>0</v>
      </c>
      <c r="BP35" s="306">
        <f t="shared" si="24"/>
        <v>0</v>
      </c>
      <c r="BQ35" s="257">
        <f t="shared" si="25"/>
        <v>5934335.9613236776</v>
      </c>
    </row>
    <row r="36" spans="1:69">
      <c r="A36" s="748" t="str">
        <f>Prop2018DistTar!A36</f>
        <v>CMGO</v>
      </c>
      <c r="B36" s="750" t="str">
        <f>Prop2018DistTar!B36</f>
        <v>Medium Business Opt-out</v>
      </c>
      <c r="C36" s="287"/>
      <c r="D36" s="774">
        <v>0</v>
      </c>
      <c r="E36" s="768">
        <v>0</v>
      </c>
      <c r="F36" s="768">
        <v>3</v>
      </c>
      <c r="G36" s="768">
        <v>0</v>
      </c>
      <c r="H36" s="768">
        <v>0</v>
      </c>
      <c r="I36" s="768">
        <v>1.2</v>
      </c>
      <c r="J36" s="768">
        <v>0</v>
      </c>
      <c r="K36" s="768">
        <v>0</v>
      </c>
      <c r="L36" s="768">
        <v>0</v>
      </c>
      <c r="M36" s="768">
        <v>0</v>
      </c>
      <c r="N36" s="768">
        <v>0</v>
      </c>
      <c r="O36" s="768">
        <v>0</v>
      </c>
      <c r="P36" s="768">
        <v>0</v>
      </c>
      <c r="Q36" s="768">
        <v>0</v>
      </c>
      <c r="R36" s="768">
        <v>0</v>
      </c>
      <c r="S36" s="768">
        <v>0</v>
      </c>
      <c r="T36" s="768">
        <v>0</v>
      </c>
      <c r="U36" s="768">
        <v>0</v>
      </c>
      <c r="V36" s="768">
        <v>0</v>
      </c>
      <c r="W36" s="768">
        <v>0</v>
      </c>
      <c r="X36" s="769">
        <v>0</v>
      </c>
      <c r="Z36" s="279">
        <f>Prop2018DistTar!AV36</f>
        <v>9</v>
      </c>
      <c r="AA36" s="253">
        <f>Prop2018DistTar!AW36</f>
        <v>0</v>
      </c>
      <c r="AB36" s="253">
        <f>Prop2018DistTar!AX36</f>
        <v>502552.90570333629</v>
      </c>
      <c r="AC36" s="253">
        <f>Prop2018DistTar!AY36</f>
        <v>0</v>
      </c>
      <c r="AD36" s="253">
        <f>Prop2018DistTar!AZ36</f>
        <v>0</v>
      </c>
      <c r="AE36" s="253">
        <f>Prop2018DistTar!BA36</f>
        <v>301011.28230802208</v>
      </c>
      <c r="AF36" s="253">
        <f>Prop2018DistTar!BB36</f>
        <v>0</v>
      </c>
      <c r="AG36" s="253">
        <f>Prop2018DistTar!BC36</f>
        <v>0</v>
      </c>
      <c r="AH36" s="253">
        <f>Prop2018DistTar!BD36</f>
        <v>0</v>
      </c>
      <c r="AI36" s="253">
        <f>Prop2018DistTar!BE36</f>
        <v>0</v>
      </c>
      <c r="AJ36" s="253">
        <f>Prop2018DistTar!BF36</f>
        <v>0</v>
      </c>
      <c r="AK36" s="253">
        <f>Prop2018DistTar!BG36</f>
        <v>0</v>
      </c>
      <c r="AL36" s="253">
        <f>Prop2018DistTar!BH36</f>
        <v>0</v>
      </c>
      <c r="AM36" s="253">
        <f>Prop2018DistTar!BI36</f>
        <v>0</v>
      </c>
      <c r="AN36" s="253">
        <f>Prop2018DistTar!BJ36</f>
        <v>0</v>
      </c>
      <c r="AO36" s="253">
        <f>Prop2018DistTar!BK36</f>
        <v>0</v>
      </c>
      <c r="AP36" s="253">
        <f>Prop2018DistTar!BL36</f>
        <v>0</v>
      </c>
      <c r="AQ36" s="253">
        <f>Prop2018DistTar!BM36</f>
        <v>0</v>
      </c>
      <c r="AR36" s="253">
        <f>Prop2018DistTar!BN36</f>
        <v>0</v>
      </c>
      <c r="AS36" s="253">
        <f>Prop2018DistTar!BO36</f>
        <v>0</v>
      </c>
      <c r="AT36" s="254">
        <f>Prop2018DistTar!BP36</f>
        <v>0</v>
      </c>
      <c r="AV36" s="304">
        <f t="shared" si="4"/>
        <v>0</v>
      </c>
      <c r="AW36" s="305">
        <f t="shared" si="5"/>
        <v>0</v>
      </c>
      <c r="AX36" s="305">
        <f t="shared" si="6"/>
        <v>15076.587171100087</v>
      </c>
      <c r="AY36" s="305">
        <f t="shared" si="7"/>
        <v>0</v>
      </c>
      <c r="AZ36" s="305">
        <f t="shared" si="8"/>
        <v>0</v>
      </c>
      <c r="BA36" s="305">
        <f t="shared" si="9"/>
        <v>3612.1353876962653</v>
      </c>
      <c r="BB36" s="305">
        <f t="shared" si="10"/>
        <v>0</v>
      </c>
      <c r="BC36" s="305">
        <f t="shared" si="11"/>
        <v>0</v>
      </c>
      <c r="BD36" s="305">
        <f t="shared" si="12"/>
        <v>0</v>
      </c>
      <c r="BE36" s="305">
        <f t="shared" si="13"/>
        <v>0</v>
      </c>
      <c r="BF36" s="305">
        <f t="shared" si="14"/>
        <v>0</v>
      </c>
      <c r="BG36" s="305">
        <f t="shared" si="15"/>
        <v>0</v>
      </c>
      <c r="BH36" s="305">
        <f t="shared" si="16"/>
        <v>0</v>
      </c>
      <c r="BI36" s="306">
        <f t="shared" si="17"/>
        <v>0</v>
      </c>
      <c r="BJ36" s="306">
        <f t="shared" si="18"/>
        <v>0</v>
      </c>
      <c r="BK36" s="306">
        <f t="shared" si="19"/>
        <v>0</v>
      </c>
      <c r="BL36" s="306">
        <f t="shared" si="20"/>
        <v>0</v>
      </c>
      <c r="BM36" s="306">
        <f t="shared" si="21"/>
        <v>0</v>
      </c>
      <c r="BN36" s="306">
        <f t="shared" si="22"/>
        <v>0</v>
      </c>
      <c r="BO36" s="306">
        <f t="shared" si="23"/>
        <v>0</v>
      </c>
      <c r="BP36" s="306">
        <f t="shared" si="24"/>
        <v>0</v>
      </c>
      <c r="BQ36" s="257">
        <f t="shared" si="25"/>
        <v>18688.722558796351</v>
      </c>
    </row>
    <row r="37" spans="1:69">
      <c r="A37" s="748" t="str">
        <f>Prop2018DistTar!A37</f>
        <v>CMGBO</v>
      </c>
      <c r="B37" s="750" t="str">
        <f>Prop2018DistTar!B37</f>
        <v>Medium Business Bulk Opt-out</v>
      </c>
      <c r="C37" s="287"/>
      <c r="D37" s="774">
        <v>0</v>
      </c>
      <c r="E37" s="768">
        <v>0</v>
      </c>
      <c r="F37" s="768">
        <v>2.2000000000000002</v>
      </c>
      <c r="G37" s="768">
        <v>0</v>
      </c>
      <c r="H37" s="768">
        <v>0</v>
      </c>
      <c r="I37" s="768">
        <v>0.95</v>
      </c>
      <c r="J37" s="768">
        <v>0</v>
      </c>
      <c r="K37" s="768">
        <v>0</v>
      </c>
      <c r="L37" s="768">
        <v>0</v>
      </c>
      <c r="M37" s="768">
        <v>0</v>
      </c>
      <c r="N37" s="768">
        <v>0</v>
      </c>
      <c r="O37" s="768">
        <v>0</v>
      </c>
      <c r="P37" s="768">
        <v>0</v>
      </c>
      <c r="Q37" s="768">
        <v>0</v>
      </c>
      <c r="R37" s="768">
        <v>0</v>
      </c>
      <c r="S37" s="768">
        <v>0</v>
      </c>
      <c r="T37" s="768">
        <v>0</v>
      </c>
      <c r="U37" s="768">
        <v>0</v>
      </c>
      <c r="V37" s="768">
        <v>0</v>
      </c>
      <c r="W37" s="768">
        <v>0</v>
      </c>
      <c r="X37" s="769">
        <v>0</v>
      </c>
      <c r="Z37" s="279">
        <f>Prop2018DistTar!AV37</f>
        <v>9</v>
      </c>
      <c r="AA37" s="253">
        <f>Prop2018DistTar!AW37</f>
        <v>0</v>
      </c>
      <c r="AB37" s="253">
        <f>Prop2018DistTar!AX37</f>
        <v>560828.84227428387</v>
      </c>
      <c r="AC37" s="253">
        <f>Prop2018DistTar!AY37</f>
        <v>0</v>
      </c>
      <c r="AD37" s="253">
        <f>Prop2018DistTar!AZ37</f>
        <v>0</v>
      </c>
      <c r="AE37" s="253">
        <f>Prop2018DistTar!BA37</f>
        <v>293112.81138169364</v>
      </c>
      <c r="AF37" s="253">
        <f>Prop2018DistTar!BB37</f>
        <v>0</v>
      </c>
      <c r="AG37" s="253">
        <f>Prop2018DistTar!BC37</f>
        <v>0</v>
      </c>
      <c r="AH37" s="253">
        <f>Prop2018DistTar!BD37</f>
        <v>0</v>
      </c>
      <c r="AI37" s="253">
        <f>Prop2018DistTar!BE37</f>
        <v>0</v>
      </c>
      <c r="AJ37" s="253">
        <f>Prop2018DistTar!BF37</f>
        <v>0</v>
      </c>
      <c r="AK37" s="253">
        <f>Prop2018DistTar!BG37</f>
        <v>0</v>
      </c>
      <c r="AL37" s="253">
        <f>Prop2018DistTar!BH37</f>
        <v>0</v>
      </c>
      <c r="AM37" s="253">
        <f>Prop2018DistTar!BI37</f>
        <v>0</v>
      </c>
      <c r="AN37" s="253">
        <f>Prop2018DistTar!BJ37</f>
        <v>0</v>
      </c>
      <c r="AO37" s="253">
        <f>Prop2018DistTar!BK37</f>
        <v>0</v>
      </c>
      <c r="AP37" s="253">
        <f>Prop2018DistTar!BL37</f>
        <v>0</v>
      </c>
      <c r="AQ37" s="253">
        <f>Prop2018DistTar!BM37</f>
        <v>0</v>
      </c>
      <c r="AR37" s="253">
        <f>Prop2018DistTar!BN37</f>
        <v>0</v>
      </c>
      <c r="AS37" s="253">
        <f>Prop2018DistTar!BO37</f>
        <v>0</v>
      </c>
      <c r="AT37" s="254">
        <f>Prop2018DistTar!BP37</f>
        <v>0</v>
      </c>
      <c r="AV37" s="304">
        <f t="shared" si="4"/>
        <v>0</v>
      </c>
      <c r="AW37" s="305">
        <f t="shared" si="5"/>
        <v>0</v>
      </c>
      <c r="AX37" s="305">
        <f t="shared" si="6"/>
        <v>12338.234530034246</v>
      </c>
      <c r="AY37" s="305">
        <f t="shared" si="7"/>
        <v>0</v>
      </c>
      <c r="AZ37" s="305">
        <f t="shared" si="8"/>
        <v>0</v>
      </c>
      <c r="BA37" s="305">
        <f t="shared" si="9"/>
        <v>2784.5717081260896</v>
      </c>
      <c r="BB37" s="305">
        <f t="shared" si="10"/>
        <v>0</v>
      </c>
      <c r="BC37" s="305">
        <f t="shared" si="11"/>
        <v>0</v>
      </c>
      <c r="BD37" s="305">
        <f t="shared" si="12"/>
        <v>0</v>
      </c>
      <c r="BE37" s="305">
        <f t="shared" si="13"/>
        <v>0</v>
      </c>
      <c r="BF37" s="305">
        <f t="shared" si="14"/>
        <v>0</v>
      </c>
      <c r="BG37" s="305">
        <f t="shared" si="15"/>
        <v>0</v>
      </c>
      <c r="BH37" s="305">
        <f t="shared" si="16"/>
        <v>0</v>
      </c>
      <c r="BI37" s="306">
        <f t="shared" si="17"/>
        <v>0</v>
      </c>
      <c r="BJ37" s="306">
        <f t="shared" si="18"/>
        <v>0</v>
      </c>
      <c r="BK37" s="306">
        <f t="shared" si="19"/>
        <v>0</v>
      </c>
      <c r="BL37" s="306">
        <f t="shared" si="20"/>
        <v>0</v>
      </c>
      <c r="BM37" s="306">
        <f t="shared" si="21"/>
        <v>0</v>
      </c>
      <c r="BN37" s="306">
        <f t="shared" si="22"/>
        <v>0</v>
      </c>
      <c r="BO37" s="306">
        <f t="shared" si="23"/>
        <v>0</v>
      </c>
      <c r="BP37" s="306">
        <f t="shared" si="24"/>
        <v>0</v>
      </c>
      <c r="BQ37" s="257">
        <f t="shared" si="25"/>
        <v>15122.806238160336</v>
      </c>
    </row>
    <row r="38" spans="1:69">
      <c r="A38" s="748" t="str">
        <f>Prop2018DistTar!A38</f>
        <v>C2U</v>
      </c>
      <c r="B38" s="750" t="str">
        <f>Prop2018DistTar!B38</f>
        <v>Unmetered Supplies / Public Lighting</v>
      </c>
      <c r="C38" s="287"/>
      <c r="D38" s="774">
        <v>0</v>
      </c>
      <c r="E38" s="768">
        <v>0</v>
      </c>
      <c r="F38" s="768">
        <v>2.69</v>
      </c>
      <c r="G38" s="768">
        <v>0</v>
      </c>
      <c r="H38" s="768">
        <v>0</v>
      </c>
      <c r="I38" s="768">
        <v>0.75</v>
      </c>
      <c r="J38" s="768">
        <v>0</v>
      </c>
      <c r="K38" s="768">
        <v>0</v>
      </c>
      <c r="L38" s="768">
        <v>0</v>
      </c>
      <c r="M38" s="768">
        <v>0</v>
      </c>
      <c r="N38" s="768">
        <v>0</v>
      </c>
      <c r="O38" s="768">
        <v>0</v>
      </c>
      <c r="P38" s="768">
        <v>0</v>
      </c>
      <c r="Q38" s="768">
        <v>0</v>
      </c>
      <c r="R38" s="768">
        <v>0</v>
      </c>
      <c r="S38" s="768">
        <v>0</v>
      </c>
      <c r="T38" s="768">
        <v>0</v>
      </c>
      <c r="U38" s="768">
        <v>0</v>
      </c>
      <c r="V38" s="768">
        <v>0</v>
      </c>
      <c r="W38" s="768">
        <v>0</v>
      </c>
      <c r="X38" s="769">
        <v>0</v>
      </c>
      <c r="Z38" s="279">
        <f>Prop2018DistTar!AV38</f>
        <v>4063</v>
      </c>
      <c r="AA38" s="253">
        <f>Prop2018DistTar!AW38</f>
        <v>0</v>
      </c>
      <c r="AB38" s="253">
        <f>Prop2018DistTar!AX38</f>
        <v>14704755.161692999</v>
      </c>
      <c r="AC38" s="253">
        <f>Prop2018DistTar!AY38</f>
        <v>0</v>
      </c>
      <c r="AD38" s="253">
        <f>Prop2018DistTar!AZ38</f>
        <v>0</v>
      </c>
      <c r="AE38" s="253">
        <f>Prop2018DistTar!BA38</f>
        <v>24328971.636999998</v>
      </c>
      <c r="AF38" s="253">
        <f>Prop2018DistTar!BB38</f>
        <v>0</v>
      </c>
      <c r="AG38" s="253">
        <f>Prop2018DistTar!BC38</f>
        <v>0</v>
      </c>
      <c r="AH38" s="253">
        <f>Prop2018DistTar!BD38</f>
        <v>0</v>
      </c>
      <c r="AI38" s="253">
        <f>Prop2018DistTar!BE38</f>
        <v>0</v>
      </c>
      <c r="AJ38" s="253">
        <f>Prop2018DistTar!BF38</f>
        <v>0</v>
      </c>
      <c r="AK38" s="253">
        <f>Prop2018DistTar!BG38</f>
        <v>0</v>
      </c>
      <c r="AL38" s="253">
        <f>Prop2018DistTar!BH38</f>
        <v>0</v>
      </c>
      <c r="AM38" s="253">
        <f>Prop2018DistTar!BI38</f>
        <v>0</v>
      </c>
      <c r="AN38" s="253">
        <f>Prop2018DistTar!BJ38</f>
        <v>0</v>
      </c>
      <c r="AO38" s="253">
        <f>Prop2018DistTar!BK38</f>
        <v>0</v>
      </c>
      <c r="AP38" s="253">
        <f>Prop2018DistTar!BL38</f>
        <v>0</v>
      </c>
      <c r="AQ38" s="253">
        <f>Prop2018DistTar!BM38</f>
        <v>0</v>
      </c>
      <c r="AR38" s="253">
        <f>Prop2018DistTar!BN38</f>
        <v>0</v>
      </c>
      <c r="AS38" s="253">
        <f>Prop2018DistTar!BO38</f>
        <v>0</v>
      </c>
      <c r="AT38" s="254">
        <f>Prop2018DistTar!BP38</f>
        <v>0</v>
      </c>
      <c r="AV38" s="304">
        <f t="shared" si="4"/>
        <v>0</v>
      </c>
      <c r="AW38" s="305">
        <f t="shared" si="5"/>
        <v>0</v>
      </c>
      <c r="AX38" s="305">
        <f t="shared" si="6"/>
        <v>395557.91384954168</v>
      </c>
      <c r="AY38" s="305">
        <f t="shared" si="7"/>
        <v>0</v>
      </c>
      <c r="AZ38" s="305">
        <f t="shared" si="8"/>
        <v>0</v>
      </c>
      <c r="BA38" s="305">
        <f t="shared" si="9"/>
        <v>182467.28727749997</v>
      </c>
      <c r="BB38" s="305">
        <f t="shared" si="10"/>
        <v>0</v>
      </c>
      <c r="BC38" s="305">
        <f t="shared" si="11"/>
        <v>0</v>
      </c>
      <c r="BD38" s="305">
        <f t="shared" si="12"/>
        <v>0</v>
      </c>
      <c r="BE38" s="305">
        <f t="shared" si="13"/>
        <v>0</v>
      </c>
      <c r="BF38" s="305">
        <f t="shared" si="14"/>
        <v>0</v>
      </c>
      <c r="BG38" s="305">
        <f t="shared" si="15"/>
        <v>0</v>
      </c>
      <c r="BH38" s="305">
        <f t="shared" si="16"/>
        <v>0</v>
      </c>
      <c r="BI38" s="306">
        <f t="shared" si="17"/>
        <v>0</v>
      </c>
      <c r="BJ38" s="306">
        <f t="shared" si="18"/>
        <v>0</v>
      </c>
      <c r="BK38" s="306">
        <f t="shared" si="19"/>
        <v>0</v>
      </c>
      <c r="BL38" s="306">
        <f t="shared" si="20"/>
        <v>0</v>
      </c>
      <c r="BM38" s="306">
        <f t="shared" si="21"/>
        <v>0</v>
      </c>
      <c r="BN38" s="306">
        <f t="shared" si="22"/>
        <v>0</v>
      </c>
      <c r="BO38" s="306">
        <f t="shared" si="23"/>
        <v>0</v>
      </c>
      <c r="BP38" s="306">
        <f t="shared" si="24"/>
        <v>0</v>
      </c>
      <c r="BQ38" s="257">
        <f t="shared" si="25"/>
        <v>578025.2011270416</v>
      </c>
    </row>
    <row r="39" spans="1:69">
      <c r="A39" s="748" t="str">
        <f>Prop2018DistTar!A39</f>
        <v>CLLV</v>
      </c>
      <c r="B39" s="750" t="str">
        <f>Prop2018DistTar!B39</f>
        <v>Large low Voltage</v>
      </c>
      <c r="C39" s="287"/>
      <c r="D39" s="774">
        <v>0</v>
      </c>
      <c r="E39" s="768">
        <v>0</v>
      </c>
      <c r="F39" s="768">
        <v>1.1299999999999999</v>
      </c>
      <c r="G39" s="768">
        <v>0</v>
      </c>
      <c r="H39" s="768">
        <v>0</v>
      </c>
      <c r="I39" s="768">
        <v>0.69</v>
      </c>
      <c r="J39" s="768">
        <v>0</v>
      </c>
      <c r="K39" s="768">
        <v>0</v>
      </c>
      <c r="L39" s="768">
        <v>0</v>
      </c>
      <c r="M39" s="768">
        <v>35</v>
      </c>
      <c r="N39" s="768">
        <v>0</v>
      </c>
      <c r="O39" s="768">
        <v>0</v>
      </c>
      <c r="P39" s="768">
        <v>0</v>
      </c>
      <c r="Q39" s="768">
        <v>0</v>
      </c>
      <c r="R39" s="768">
        <v>0</v>
      </c>
      <c r="S39" s="768">
        <v>0</v>
      </c>
      <c r="T39" s="768">
        <v>0</v>
      </c>
      <c r="U39" s="768">
        <v>0</v>
      </c>
      <c r="V39" s="768">
        <v>0</v>
      </c>
      <c r="W39" s="768">
        <v>0</v>
      </c>
      <c r="X39" s="769">
        <v>0</v>
      </c>
      <c r="Z39" s="279">
        <f>Prop2018DistTar!AV39</f>
        <v>330.02895782458518</v>
      </c>
      <c r="AA39" s="253">
        <f>Prop2018DistTar!AW39</f>
        <v>0</v>
      </c>
      <c r="AB39" s="253">
        <f>Prop2018DistTar!AX39</f>
        <v>112861608.3435501</v>
      </c>
      <c r="AC39" s="253">
        <f>Prop2018DistTar!AY39</f>
        <v>0</v>
      </c>
      <c r="AD39" s="253">
        <f>Prop2018DistTar!AZ39</f>
        <v>0</v>
      </c>
      <c r="AE39" s="253">
        <f>Prop2018DistTar!BA39</f>
        <v>88751320.906778917</v>
      </c>
      <c r="AF39" s="253">
        <f>Prop2018DistTar!BB39</f>
        <v>0</v>
      </c>
      <c r="AG39" s="253">
        <f>Prop2018DistTar!BC39</f>
        <v>0</v>
      </c>
      <c r="AH39" s="253">
        <f>Prop2018DistTar!BD39</f>
        <v>0</v>
      </c>
      <c r="AI39" s="253">
        <f>Prop2018DistTar!BE39</f>
        <v>64648.710384258302</v>
      </c>
      <c r="AJ39" s="253">
        <f>Prop2018DistTar!BF39</f>
        <v>0</v>
      </c>
      <c r="AK39" s="253">
        <f>Prop2018DistTar!BG39</f>
        <v>0</v>
      </c>
      <c r="AL39" s="253">
        <f>Prop2018DistTar!BH39</f>
        <v>0</v>
      </c>
      <c r="AM39" s="253">
        <f>Prop2018DistTar!BI39</f>
        <v>0</v>
      </c>
      <c r="AN39" s="253">
        <f>Prop2018DistTar!BJ39</f>
        <v>0</v>
      </c>
      <c r="AO39" s="253">
        <f>Prop2018DistTar!BK39</f>
        <v>0</v>
      </c>
      <c r="AP39" s="253">
        <f>Prop2018DistTar!BL39</f>
        <v>0</v>
      </c>
      <c r="AQ39" s="253">
        <f>Prop2018DistTar!BM39</f>
        <v>0</v>
      </c>
      <c r="AR39" s="253">
        <f>Prop2018DistTar!BN39</f>
        <v>0</v>
      </c>
      <c r="AS39" s="253">
        <f>Prop2018DistTar!BO39</f>
        <v>0</v>
      </c>
      <c r="AT39" s="254">
        <f>Prop2018DistTar!BP39</f>
        <v>0</v>
      </c>
      <c r="AV39" s="304">
        <f t="shared" si="4"/>
        <v>0</v>
      </c>
      <c r="AW39" s="305">
        <f t="shared" si="5"/>
        <v>0</v>
      </c>
      <c r="AX39" s="305">
        <f t="shared" si="6"/>
        <v>1275336.1742821161</v>
      </c>
      <c r="AY39" s="305">
        <f t="shared" si="7"/>
        <v>0</v>
      </c>
      <c r="AZ39" s="305">
        <f t="shared" si="8"/>
        <v>0</v>
      </c>
      <c r="BA39" s="305">
        <f t="shared" si="9"/>
        <v>612384.11425677454</v>
      </c>
      <c r="BB39" s="305">
        <f t="shared" si="10"/>
        <v>0</v>
      </c>
      <c r="BC39" s="305">
        <f t="shared" si="11"/>
        <v>0</v>
      </c>
      <c r="BD39" s="305">
        <f t="shared" si="12"/>
        <v>0</v>
      </c>
      <c r="BE39" s="305">
        <f t="shared" si="13"/>
        <v>2262704.8634490408</v>
      </c>
      <c r="BF39" s="305">
        <f t="shared" si="14"/>
        <v>0</v>
      </c>
      <c r="BG39" s="305">
        <f t="shared" si="15"/>
        <v>0</v>
      </c>
      <c r="BH39" s="305">
        <f t="shared" si="16"/>
        <v>0</v>
      </c>
      <c r="BI39" s="306">
        <f t="shared" si="17"/>
        <v>0</v>
      </c>
      <c r="BJ39" s="306">
        <f t="shared" si="18"/>
        <v>0</v>
      </c>
      <c r="BK39" s="306">
        <f t="shared" si="19"/>
        <v>0</v>
      </c>
      <c r="BL39" s="306">
        <f t="shared" si="20"/>
        <v>0</v>
      </c>
      <c r="BM39" s="306">
        <f t="shared" si="21"/>
        <v>0</v>
      </c>
      <c r="BN39" s="306">
        <f t="shared" si="22"/>
        <v>0</v>
      </c>
      <c r="BO39" s="306">
        <f t="shared" si="23"/>
        <v>0</v>
      </c>
      <c r="BP39" s="306">
        <f t="shared" si="24"/>
        <v>0</v>
      </c>
      <c r="BQ39" s="257">
        <f t="shared" si="25"/>
        <v>4150425.1519879317</v>
      </c>
    </row>
    <row r="40" spans="1:69">
      <c r="A40" s="748" t="str">
        <f>Prop2018DistTar!A40</f>
        <v>CLLVB</v>
      </c>
      <c r="B40" s="750" t="str">
        <f>Prop2018DistTar!B40</f>
        <v>Large low Voltage Bulk</v>
      </c>
      <c r="C40" s="287"/>
      <c r="D40" s="774">
        <v>0</v>
      </c>
      <c r="E40" s="768">
        <v>0</v>
      </c>
      <c r="F40" s="768">
        <v>1.01</v>
      </c>
      <c r="G40" s="768">
        <v>0</v>
      </c>
      <c r="H40" s="768">
        <v>0</v>
      </c>
      <c r="I40" s="768">
        <v>0.62</v>
      </c>
      <c r="J40" s="768">
        <v>0</v>
      </c>
      <c r="K40" s="768">
        <v>0</v>
      </c>
      <c r="L40" s="768">
        <v>0</v>
      </c>
      <c r="M40" s="768">
        <v>31.49</v>
      </c>
      <c r="N40" s="768">
        <v>0</v>
      </c>
      <c r="O40" s="768">
        <v>0</v>
      </c>
      <c r="P40" s="768">
        <v>0</v>
      </c>
      <c r="Q40" s="768">
        <v>0</v>
      </c>
      <c r="R40" s="768">
        <v>0</v>
      </c>
      <c r="S40" s="768">
        <v>0</v>
      </c>
      <c r="T40" s="768">
        <v>0</v>
      </c>
      <c r="U40" s="768">
        <v>0</v>
      </c>
      <c r="V40" s="768">
        <v>0</v>
      </c>
      <c r="W40" s="768">
        <v>0</v>
      </c>
      <c r="X40" s="769">
        <v>0</v>
      </c>
      <c r="Z40" s="279">
        <f>Prop2018DistTar!AV40</f>
        <v>1655.625823869291</v>
      </c>
      <c r="AA40" s="253">
        <f>Prop2018DistTar!AW40</f>
        <v>0</v>
      </c>
      <c r="AB40" s="253">
        <f>Prop2018DistTar!AX40</f>
        <v>1130104578.5870445</v>
      </c>
      <c r="AC40" s="253">
        <f>Prop2018DistTar!AY40</f>
        <v>0</v>
      </c>
      <c r="AD40" s="253">
        <f>Prop2018DistTar!AZ40</f>
        <v>0</v>
      </c>
      <c r="AE40" s="253">
        <f>Prop2018DistTar!BA40</f>
        <v>843930303.69004881</v>
      </c>
      <c r="AF40" s="253">
        <f>Prop2018DistTar!BB40</f>
        <v>0</v>
      </c>
      <c r="AG40" s="253">
        <f>Prop2018DistTar!BC40</f>
        <v>0</v>
      </c>
      <c r="AH40" s="253">
        <f>Prop2018DistTar!BD40</f>
        <v>0</v>
      </c>
      <c r="AI40" s="253">
        <f>Prop2018DistTar!BE40</f>
        <v>645709.60805396631</v>
      </c>
      <c r="AJ40" s="253">
        <f>Prop2018DistTar!BF40</f>
        <v>0</v>
      </c>
      <c r="AK40" s="253">
        <f>Prop2018DistTar!BG40</f>
        <v>0</v>
      </c>
      <c r="AL40" s="253">
        <f>Prop2018DistTar!BH40</f>
        <v>0</v>
      </c>
      <c r="AM40" s="253">
        <f>Prop2018DistTar!BI40</f>
        <v>0</v>
      </c>
      <c r="AN40" s="253">
        <f>Prop2018DistTar!BJ40</f>
        <v>0</v>
      </c>
      <c r="AO40" s="253">
        <f>Prop2018DistTar!BK40</f>
        <v>0</v>
      </c>
      <c r="AP40" s="253">
        <f>Prop2018DistTar!BL40</f>
        <v>0</v>
      </c>
      <c r="AQ40" s="253">
        <f>Prop2018DistTar!BM40</f>
        <v>0</v>
      </c>
      <c r="AR40" s="253">
        <f>Prop2018DistTar!BN40</f>
        <v>0</v>
      </c>
      <c r="AS40" s="253">
        <f>Prop2018DistTar!BO40</f>
        <v>0</v>
      </c>
      <c r="AT40" s="254">
        <f>Prop2018DistTar!BP40</f>
        <v>0</v>
      </c>
      <c r="AV40" s="304">
        <f t="shared" si="4"/>
        <v>0</v>
      </c>
      <c r="AW40" s="305">
        <f t="shared" si="5"/>
        <v>0</v>
      </c>
      <c r="AX40" s="305">
        <f t="shared" si="6"/>
        <v>11414056.243729148</v>
      </c>
      <c r="AY40" s="305">
        <f t="shared" si="7"/>
        <v>0</v>
      </c>
      <c r="AZ40" s="305">
        <f t="shared" si="8"/>
        <v>0</v>
      </c>
      <c r="BA40" s="305">
        <f t="shared" si="9"/>
        <v>5232367.8828783026</v>
      </c>
      <c r="BB40" s="305">
        <f t="shared" si="10"/>
        <v>0</v>
      </c>
      <c r="BC40" s="305">
        <f t="shared" si="11"/>
        <v>0</v>
      </c>
      <c r="BD40" s="305">
        <f t="shared" si="12"/>
        <v>0</v>
      </c>
      <c r="BE40" s="305">
        <f t="shared" si="13"/>
        <v>20333395.557619397</v>
      </c>
      <c r="BF40" s="305">
        <f t="shared" si="14"/>
        <v>0</v>
      </c>
      <c r="BG40" s="305">
        <f t="shared" si="15"/>
        <v>0</v>
      </c>
      <c r="BH40" s="305">
        <f t="shared" si="16"/>
        <v>0</v>
      </c>
      <c r="BI40" s="306">
        <f t="shared" si="17"/>
        <v>0</v>
      </c>
      <c r="BJ40" s="306">
        <f t="shared" si="18"/>
        <v>0</v>
      </c>
      <c r="BK40" s="306">
        <f t="shared" si="19"/>
        <v>0</v>
      </c>
      <c r="BL40" s="306">
        <f t="shared" si="20"/>
        <v>0</v>
      </c>
      <c r="BM40" s="306">
        <f t="shared" si="21"/>
        <v>0</v>
      </c>
      <c r="BN40" s="306">
        <f t="shared" si="22"/>
        <v>0</v>
      </c>
      <c r="BO40" s="306">
        <f t="shared" si="23"/>
        <v>0</v>
      </c>
      <c r="BP40" s="306">
        <f t="shared" si="24"/>
        <v>0</v>
      </c>
      <c r="BQ40" s="257">
        <f t="shared" si="25"/>
        <v>36979819.684226848</v>
      </c>
    </row>
    <row r="41" spans="1:69">
      <c r="A41" s="748" t="str">
        <f>Prop2018DistTar!A41</f>
        <v>CHV</v>
      </c>
      <c r="B41" s="750" t="str">
        <f>Prop2018DistTar!B41</f>
        <v>High Voltage</v>
      </c>
      <c r="C41" s="287"/>
      <c r="D41" s="774">
        <v>0</v>
      </c>
      <c r="E41" s="768">
        <v>0</v>
      </c>
      <c r="F41" s="768">
        <v>1.22</v>
      </c>
      <c r="G41" s="768">
        <v>0</v>
      </c>
      <c r="H41" s="768">
        <v>0</v>
      </c>
      <c r="I41" s="768">
        <v>0.63</v>
      </c>
      <c r="J41" s="768">
        <v>0</v>
      </c>
      <c r="K41" s="768">
        <v>0</v>
      </c>
      <c r="L41" s="768">
        <v>0</v>
      </c>
      <c r="M41" s="768">
        <v>34.659999999999997</v>
      </c>
      <c r="N41" s="768">
        <v>0</v>
      </c>
      <c r="O41" s="768">
        <v>0</v>
      </c>
      <c r="P41" s="768">
        <v>0</v>
      </c>
      <c r="Q41" s="768">
        <v>0</v>
      </c>
      <c r="R41" s="768">
        <v>0</v>
      </c>
      <c r="S41" s="768">
        <v>0</v>
      </c>
      <c r="T41" s="768">
        <v>0</v>
      </c>
      <c r="U41" s="768">
        <v>0</v>
      </c>
      <c r="V41" s="768">
        <v>0</v>
      </c>
      <c r="W41" s="768">
        <v>0</v>
      </c>
      <c r="X41" s="769">
        <v>0</v>
      </c>
      <c r="Z41" s="279">
        <f>Prop2018DistTar!AV41</f>
        <v>90.982553708010002</v>
      </c>
      <c r="AA41" s="253">
        <f>Prop2018DistTar!AW41</f>
        <v>0</v>
      </c>
      <c r="AB41" s="253">
        <f>Prop2018DistTar!AX41</f>
        <v>343486676.72513288</v>
      </c>
      <c r="AC41" s="253">
        <f>Prop2018DistTar!AY41</f>
        <v>0</v>
      </c>
      <c r="AD41" s="253">
        <f>Prop2018DistTar!AZ41</f>
        <v>0</v>
      </c>
      <c r="AE41" s="253">
        <f>Prop2018DistTar!BA41</f>
        <v>320752044.24805528</v>
      </c>
      <c r="AF41" s="253">
        <f>Prop2018DistTar!BB41</f>
        <v>0</v>
      </c>
      <c r="AG41" s="253">
        <f>Prop2018DistTar!BC41</f>
        <v>0</v>
      </c>
      <c r="AH41" s="253">
        <f>Prop2018DistTar!BD41</f>
        <v>0</v>
      </c>
      <c r="AI41" s="253">
        <f>Prop2018DistTar!BE41</f>
        <v>198974.44614725537</v>
      </c>
      <c r="AJ41" s="253">
        <f>Prop2018DistTar!BF41</f>
        <v>0</v>
      </c>
      <c r="AK41" s="253">
        <f>Prop2018DistTar!BG41</f>
        <v>0</v>
      </c>
      <c r="AL41" s="253">
        <f>Prop2018DistTar!BH41</f>
        <v>0</v>
      </c>
      <c r="AM41" s="253">
        <f>Prop2018DistTar!BI41</f>
        <v>0</v>
      </c>
      <c r="AN41" s="253">
        <f>Prop2018DistTar!BJ41</f>
        <v>0</v>
      </c>
      <c r="AO41" s="253">
        <f>Prop2018DistTar!BK41</f>
        <v>0</v>
      </c>
      <c r="AP41" s="253">
        <f>Prop2018DistTar!BL41</f>
        <v>0</v>
      </c>
      <c r="AQ41" s="253">
        <f>Prop2018DistTar!BM41</f>
        <v>0</v>
      </c>
      <c r="AR41" s="253">
        <f>Prop2018DistTar!BN41</f>
        <v>0</v>
      </c>
      <c r="AS41" s="253">
        <f>Prop2018DistTar!BO41</f>
        <v>0</v>
      </c>
      <c r="AT41" s="254">
        <f>Prop2018DistTar!BP41</f>
        <v>0</v>
      </c>
      <c r="AV41" s="304">
        <f t="shared" si="4"/>
        <v>0</v>
      </c>
      <c r="AW41" s="305">
        <f t="shared" si="5"/>
        <v>0</v>
      </c>
      <c r="AX41" s="305">
        <f t="shared" si="6"/>
        <v>4190537.4560466208</v>
      </c>
      <c r="AY41" s="305">
        <f t="shared" si="7"/>
        <v>0</v>
      </c>
      <c r="AZ41" s="305">
        <f t="shared" si="8"/>
        <v>0</v>
      </c>
      <c r="BA41" s="305">
        <f t="shared" si="9"/>
        <v>2020737.8787627483</v>
      </c>
      <c r="BB41" s="305">
        <f t="shared" si="10"/>
        <v>0</v>
      </c>
      <c r="BC41" s="305">
        <f t="shared" si="11"/>
        <v>0</v>
      </c>
      <c r="BD41" s="305">
        <f t="shared" si="12"/>
        <v>0</v>
      </c>
      <c r="BE41" s="305">
        <f t="shared" si="13"/>
        <v>6896454.3034638707</v>
      </c>
      <c r="BF41" s="305">
        <f t="shared" si="14"/>
        <v>0</v>
      </c>
      <c r="BG41" s="305">
        <f t="shared" si="15"/>
        <v>0</v>
      </c>
      <c r="BH41" s="305">
        <f t="shared" si="16"/>
        <v>0</v>
      </c>
      <c r="BI41" s="306">
        <f t="shared" si="17"/>
        <v>0</v>
      </c>
      <c r="BJ41" s="306">
        <f t="shared" si="18"/>
        <v>0</v>
      </c>
      <c r="BK41" s="306">
        <f t="shared" si="19"/>
        <v>0</v>
      </c>
      <c r="BL41" s="306">
        <f t="shared" si="20"/>
        <v>0</v>
      </c>
      <c r="BM41" s="306">
        <f t="shared" si="21"/>
        <v>0</v>
      </c>
      <c r="BN41" s="306">
        <f t="shared" si="22"/>
        <v>0</v>
      </c>
      <c r="BO41" s="306">
        <f t="shared" si="23"/>
        <v>0</v>
      </c>
      <c r="BP41" s="306">
        <f t="shared" si="24"/>
        <v>0</v>
      </c>
      <c r="BQ41" s="257">
        <f t="shared" si="25"/>
        <v>13107729.638273239</v>
      </c>
    </row>
    <row r="42" spans="1:69">
      <c r="A42" s="748" t="str">
        <f>Prop2018DistTar!A42</f>
        <v>CST</v>
      </c>
      <c r="B42" s="750" t="str">
        <f>Prop2018DistTar!B42</f>
        <v>Subtransmission</v>
      </c>
      <c r="C42" s="287"/>
      <c r="D42" s="774">
        <v>0</v>
      </c>
      <c r="E42" s="768">
        <v>0</v>
      </c>
      <c r="F42" s="768">
        <v>1.96</v>
      </c>
      <c r="G42" s="768">
        <v>0</v>
      </c>
      <c r="H42" s="768">
        <v>0</v>
      </c>
      <c r="I42" s="768">
        <v>0.82</v>
      </c>
      <c r="J42" s="768">
        <v>0</v>
      </c>
      <c r="K42" s="768">
        <v>0</v>
      </c>
      <c r="L42" s="768">
        <v>0</v>
      </c>
      <c r="M42" s="768">
        <v>15.95</v>
      </c>
      <c r="N42" s="768">
        <v>0</v>
      </c>
      <c r="O42" s="768">
        <v>0</v>
      </c>
      <c r="P42" s="768">
        <v>0</v>
      </c>
      <c r="Q42" s="768">
        <v>0</v>
      </c>
      <c r="R42" s="768">
        <v>0</v>
      </c>
      <c r="S42" s="768">
        <v>0</v>
      </c>
      <c r="T42" s="768">
        <v>0</v>
      </c>
      <c r="U42" s="768">
        <v>0</v>
      </c>
      <c r="V42" s="768">
        <v>0</v>
      </c>
      <c r="W42" s="768">
        <v>0</v>
      </c>
      <c r="X42" s="769">
        <v>0</v>
      </c>
      <c r="Z42" s="279">
        <f>Prop2018DistTar!AV42</f>
        <v>6</v>
      </c>
      <c r="AA42" s="253">
        <f>Prop2018DistTar!AW42</f>
        <v>0</v>
      </c>
      <c r="AB42" s="253">
        <f>Prop2018DistTar!AX42</f>
        <v>65598744.876000002</v>
      </c>
      <c r="AC42" s="253">
        <f>Prop2018DistTar!AY42</f>
        <v>0</v>
      </c>
      <c r="AD42" s="253">
        <f>Prop2018DistTar!AZ42</f>
        <v>0</v>
      </c>
      <c r="AE42" s="253">
        <f>Prop2018DistTar!BA42</f>
        <v>37964642.608999997</v>
      </c>
      <c r="AF42" s="253">
        <f>Prop2018DistTar!BB42</f>
        <v>0</v>
      </c>
      <c r="AG42" s="253">
        <f>Prop2018DistTar!BC42</f>
        <v>0</v>
      </c>
      <c r="AH42" s="253">
        <f>Prop2018DistTar!BD42</f>
        <v>0</v>
      </c>
      <c r="AI42" s="253">
        <f>Prop2018DistTar!BE42</f>
        <v>37371.68516666667</v>
      </c>
      <c r="AJ42" s="253">
        <f>Prop2018DistTar!BF42</f>
        <v>0</v>
      </c>
      <c r="AK42" s="253">
        <f>Prop2018DistTar!BG42</f>
        <v>0</v>
      </c>
      <c r="AL42" s="253">
        <f>Prop2018DistTar!BH42</f>
        <v>0</v>
      </c>
      <c r="AM42" s="253">
        <f>Prop2018DistTar!BI42</f>
        <v>0</v>
      </c>
      <c r="AN42" s="253">
        <f>Prop2018DistTar!BJ42</f>
        <v>0</v>
      </c>
      <c r="AO42" s="253">
        <f>Prop2018DistTar!BK42</f>
        <v>0</v>
      </c>
      <c r="AP42" s="253">
        <f>Prop2018DistTar!BL42</f>
        <v>0</v>
      </c>
      <c r="AQ42" s="253">
        <f>Prop2018DistTar!BM42</f>
        <v>0</v>
      </c>
      <c r="AR42" s="253">
        <f>Prop2018DistTar!BN42</f>
        <v>0</v>
      </c>
      <c r="AS42" s="253">
        <f>Prop2018DistTar!BO42</f>
        <v>0</v>
      </c>
      <c r="AT42" s="254">
        <f>Prop2018DistTar!BP42</f>
        <v>0</v>
      </c>
      <c r="AV42" s="304">
        <f t="shared" si="4"/>
        <v>0</v>
      </c>
      <c r="AW42" s="305">
        <f t="shared" si="5"/>
        <v>0</v>
      </c>
      <c r="AX42" s="305">
        <f t="shared" si="6"/>
        <v>1285735.3995695999</v>
      </c>
      <c r="AY42" s="305">
        <f t="shared" si="7"/>
        <v>0</v>
      </c>
      <c r="AZ42" s="305">
        <f t="shared" si="8"/>
        <v>0</v>
      </c>
      <c r="BA42" s="305">
        <f t="shared" si="9"/>
        <v>311310.06939379993</v>
      </c>
      <c r="BB42" s="305">
        <f t="shared" si="10"/>
        <v>0</v>
      </c>
      <c r="BC42" s="305">
        <f t="shared" si="11"/>
        <v>0</v>
      </c>
      <c r="BD42" s="305">
        <f t="shared" si="12"/>
        <v>0</v>
      </c>
      <c r="BE42" s="305">
        <f t="shared" si="13"/>
        <v>596078.3784083334</v>
      </c>
      <c r="BF42" s="305">
        <f t="shared" si="14"/>
        <v>0</v>
      </c>
      <c r="BG42" s="305">
        <f t="shared" si="15"/>
        <v>0</v>
      </c>
      <c r="BH42" s="305">
        <f t="shared" si="16"/>
        <v>0</v>
      </c>
      <c r="BI42" s="306">
        <f t="shared" si="17"/>
        <v>0</v>
      </c>
      <c r="BJ42" s="306">
        <f t="shared" si="18"/>
        <v>0</v>
      </c>
      <c r="BK42" s="306">
        <f t="shared" si="19"/>
        <v>0</v>
      </c>
      <c r="BL42" s="306">
        <f t="shared" si="20"/>
        <v>0</v>
      </c>
      <c r="BM42" s="306">
        <f t="shared" si="21"/>
        <v>0</v>
      </c>
      <c r="BN42" s="306">
        <f t="shared" si="22"/>
        <v>0</v>
      </c>
      <c r="BO42" s="306">
        <f t="shared" si="23"/>
        <v>0</v>
      </c>
      <c r="BP42" s="306">
        <f t="shared" si="24"/>
        <v>0</v>
      </c>
      <c r="BQ42" s="257">
        <f t="shared" si="25"/>
        <v>2193123.8473717333</v>
      </c>
    </row>
    <row r="43" spans="1:69">
      <c r="A43" s="748"/>
      <c r="B43" s="750"/>
      <c r="C43" s="287"/>
      <c r="D43" s="666"/>
      <c r="E43" s="657"/>
      <c r="F43" s="657"/>
      <c r="G43" s="657"/>
      <c r="H43" s="657"/>
      <c r="I43" s="657"/>
      <c r="J43" s="657"/>
      <c r="K43" s="657"/>
      <c r="L43" s="657"/>
      <c r="M43" s="657"/>
      <c r="N43" s="657"/>
      <c r="O43" s="657"/>
      <c r="P43" s="657"/>
      <c r="Q43" s="657"/>
      <c r="R43" s="657"/>
      <c r="S43" s="657"/>
      <c r="T43" s="657"/>
      <c r="U43" s="657"/>
      <c r="V43" s="657"/>
      <c r="W43" s="657"/>
      <c r="X43" s="658"/>
      <c r="Z43" s="279"/>
      <c r="AA43" s="253"/>
      <c r="AB43" s="253"/>
      <c r="AC43" s="253"/>
      <c r="AD43" s="253"/>
      <c r="AE43" s="253"/>
      <c r="AF43" s="253"/>
      <c r="AG43" s="253"/>
      <c r="AH43" s="253"/>
      <c r="AI43" s="253"/>
      <c r="AJ43" s="253"/>
      <c r="AK43" s="253"/>
      <c r="AL43" s="253"/>
      <c r="AM43" s="253"/>
      <c r="AN43" s="253"/>
      <c r="AO43" s="253"/>
      <c r="AP43" s="253"/>
      <c r="AQ43" s="253"/>
      <c r="AR43" s="253"/>
      <c r="AS43" s="253"/>
      <c r="AT43" s="254"/>
      <c r="AV43" s="304"/>
      <c r="AW43" s="305"/>
      <c r="AX43" s="305"/>
      <c r="AY43" s="305"/>
      <c r="AZ43" s="305"/>
      <c r="BA43" s="305"/>
      <c r="BB43" s="305"/>
      <c r="BC43" s="305"/>
      <c r="BD43" s="305"/>
      <c r="BE43" s="305"/>
      <c r="BF43" s="305"/>
      <c r="BG43" s="305"/>
      <c r="BH43" s="305"/>
      <c r="BI43" s="306"/>
      <c r="BJ43" s="306"/>
      <c r="BK43" s="306"/>
      <c r="BL43" s="306"/>
      <c r="BM43" s="306"/>
      <c r="BN43" s="306"/>
      <c r="BO43" s="306"/>
      <c r="BP43" s="306"/>
      <c r="BQ43" s="257"/>
    </row>
    <row r="44" spans="1:69">
      <c r="A44" s="748"/>
      <c r="B44" s="238"/>
      <c r="C44" s="287"/>
      <c r="D44" s="666"/>
      <c r="E44" s="657"/>
      <c r="F44" s="657"/>
      <c r="G44" s="657"/>
      <c r="H44" s="657"/>
      <c r="I44" s="657"/>
      <c r="J44" s="657"/>
      <c r="K44" s="657"/>
      <c r="L44" s="657"/>
      <c r="M44" s="657"/>
      <c r="N44" s="657"/>
      <c r="O44" s="657"/>
      <c r="P44" s="657"/>
      <c r="Q44" s="657"/>
      <c r="R44" s="657"/>
      <c r="S44" s="657"/>
      <c r="T44" s="657"/>
      <c r="U44" s="657"/>
      <c r="V44" s="657"/>
      <c r="W44" s="657"/>
      <c r="X44" s="658"/>
      <c r="Z44" s="279"/>
      <c r="AA44" s="253"/>
      <c r="AB44" s="253"/>
      <c r="AC44" s="253"/>
      <c r="AD44" s="253"/>
      <c r="AE44" s="253"/>
      <c r="AF44" s="253"/>
      <c r="AG44" s="253"/>
      <c r="AH44" s="253"/>
      <c r="AI44" s="253"/>
      <c r="AJ44" s="253"/>
      <c r="AK44" s="253"/>
      <c r="AL44" s="253"/>
      <c r="AM44" s="253"/>
      <c r="AN44" s="253"/>
      <c r="AO44" s="253"/>
      <c r="AP44" s="253"/>
      <c r="AQ44" s="253"/>
      <c r="AR44" s="253"/>
      <c r="AS44" s="253"/>
      <c r="AT44" s="254"/>
      <c r="AV44" s="304"/>
      <c r="AW44" s="305"/>
      <c r="AX44" s="305"/>
      <c r="AY44" s="305"/>
      <c r="AZ44" s="305"/>
      <c r="BA44" s="305"/>
      <c r="BB44" s="305"/>
      <c r="BC44" s="305"/>
      <c r="BD44" s="305"/>
      <c r="BE44" s="305"/>
      <c r="BF44" s="305"/>
      <c r="BG44" s="305"/>
      <c r="BH44" s="305"/>
      <c r="BI44" s="306"/>
      <c r="BJ44" s="306"/>
      <c r="BK44" s="306"/>
      <c r="BL44" s="306"/>
      <c r="BM44" s="306"/>
      <c r="BN44" s="306"/>
      <c r="BO44" s="306"/>
      <c r="BP44" s="306"/>
      <c r="BQ44" s="257"/>
    </row>
    <row r="45" spans="1:69">
      <c r="A45" s="748"/>
      <c r="B45" s="238"/>
      <c r="C45" s="287"/>
      <c r="D45" s="666"/>
      <c r="E45" s="657"/>
      <c r="F45" s="657"/>
      <c r="G45" s="657"/>
      <c r="H45" s="657"/>
      <c r="I45" s="657"/>
      <c r="J45" s="657"/>
      <c r="K45" s="657"/>
      <c r="L45" s="657"/>
      <c r="M45" s="657"/>
      <c r="N45" s="657"/>
      <c r="O45" s="657"/>
      <c r="P45" s="657"/>
      <c r="Q45" s="657"/>
      <c r="R45" s="657"/>
      <c r="S45" s="657"/>
      <c r="T45" s="657"/>
      <c r="U45" s="657"/>
      <c r="V45" s="657"/>
      <c r="W45" s="657"/>
      <c r="X45" s="658"/>
      <c r="Z45" s="279"/>
      <c r="AA45" s="253"/>
      <c r="AB45" s="253"/>
      <c r="AC45" s="253"/>
      <c r="AD45" s="253"/>
      <c r="AE45" s="253"/>
      <c r="AF45" s="253"/>
      <c r="AG45" s="253"/>
      <c r="AH45" s="253"/>
      <c r="AI45" s="253"/>
      <c r="AJ45" s="253"/>
      <c r="AK45" s="253"/>
      <c r="AL45" s="253"/>
      <c r="AM45" s="253"/>
      <c r="AN45" s="253"/>
      <c r="AO45" s="253"/>
      <c r="AP45" s="253"/>
      <c r="AQ45" s="253"/>
      <c r="AR45" s="253"/>
      <c r="AS45" s="253"/>
      <c r="AT45" s="254"/>
      <c r="AV45" s="304"/>
      <c r="AW45" s="305"/>
      <c r="AX45" s="305"/>
      <c r="AY45" s="305"/>
      <c r="AZ45" s="305"/>
      <c r="BA45" s="305"/>
      <c r="BB45" s="305"/>
      <c r="BC45" s="305"/>
      <c r="BD45" s="305"/>
      <c r="BE45" s="305"/>
      <c r="BF45" s="305"/>
      <c r="BG45" s="305"/>
      <c r="BH45" s="305"/>
      <c r="BI45" s="306"/>
      <c r="BJ45" s="306"/>
      <c r="BK45" s="306"/>
      <c r="BL45" s="306"/>
      <c r="BM45" s="306"/>
      <c r="BN45" s="306"/>
      <c r="BO45" s="306"/>
      <c r="BP45" s="306"/>
      <c r="BQ45" s="257"/>
    </row>
    <row r="46" spans="1:69">
      <c r="A46" s="748"/>
      <c r="B46" s="238"/>
      <c r="C46" s="287"/>
      <c r="D46" s="666"/>
      <c r="E46" s="657"/>
      <c r="F46" s="657"/>
      <c r="G46" s="657"/>
      <c r="H46" s="657"/>
      <c r="I46" s="657"/>
      <c r="J46" s="657"/>
      <c r="K46" s="657"/>
      <c r="L46" s="657"/>
      <c r="M46" s="657"/>
      <c r="N46" s="657"/>
      <c r="O46" s="657"/>
      <c r="P46" s="657"/>
      <c r="Q46" s="657"/>
      <c r="R46" s="657"/>
      <c r="S46" s="657"/>
      <c r="T46" s="657"/>
      <c r="U46" s="657"/>
      <c r="V46" s="657"/>
      <c r="W46" s="657"/>
      <c r="X46" s="299"/>
      <c r="Z46" s="279"/>
      <c r="AA46" s="253"/>
      <c r="AB46" s="253"/>
      <c r="AC46" s="253"/>
      <c r="AD46" s="253"/>
      <c r="AE46" s="253"/>
      <c r="AF46" s="253"/>
      <c r="AG46" s="253"/>
      <c r="AH46" s="253"/>
      <c r="AI46" s="253"/>
      <c r="AJ46" s="253"/>
      <c r="AK46" s="253"/>
      <c r="AL46" s="253"/>
      <c r="AM46" s="253"/>
      <c r="AN46" s="253"/>
      <c r="AO46" s="253"/>
      <c r="AP46" s="253"/>
      <c r="AQ46" s="253"/>
      <c r="AR46" s="253"/>
      <c r="AS46" s="253"/>
      <c r="AT46" s="254"/>
      <c r="AV46" s="304"/>
      <c r="AW46" s="305"/>
      <c r="AX46" s="305"/>
      <c r="AY46" s="305"/>
      <c r="AZ46" s="305"/>
      <c r="BA46" s="305"/>
      <c r="BB46" s="305"/>
      <c r="BC46" s="305"/>
      <c r="BD46" s="305"/>
      <c r="BE46" s="305"/>
      <c r="BF46" s="305"/>
      <c r="BG46" s="305"/>
      <c r="BH46" s="305"/>
      <c r="BI46" s="306"/>
      <c r="BJ46" s="306"/>
      <c r="BK46" s="306"/>
      <c r="BL46" s="306"/>
      <c r="BM46" s="306"/>
      <c r="BN46" s="306"/>
      <c r="BO46" s="306"/>
      <c r="BP46" s="306"/>
      <c r="BQ46" s="257"/>
    </row>
    <row r="47" spans="1:69">
      <c r="A47" s="748"/>
      <c r="B47" s="238"/>
      <c r="C47" s="287"/>
      <c r="D47" s="666"/>
      <c r="E47" s="657"/>
      <c r="F47" s="657"/>
      <c r="G47" s="657"/>
      <c r="H47" s="657"/>
      <c r="I47" s="657"/>
      <c r="J47" s="657"/>
      <c r="K47" s="657"/>
      <c r="L47" s="657"/>
      <c r="M47" s="657"/>
      <c r="N47" s="657"/>
      <c r="O47" s="657"/>
      <c r="P47" s="657"/>
      <c r="Q47" s="657"/>
      <c r="R47" s="657"/>
      <c r="S47" s="657"/>
      <c r="T47" s="657"/>
      <c r="U47" s="657"/>
      <c r="V47" s="657"/>
      <c r="W47" s="657"/>
      <c r="X47" s="299"/>
      <c r="Z47" s="279"/>
      <c r="AA47" s="253"/>
      <c r="AB47" s="253"/>
      <c r="AC47" s="253"/>
      <c r="AD47" s="253"/>
      <c r="AE47" s="253"/>
      <c r="AF47" s="253"/>
      <c r="AG47" s="253"/>
      <c r="AH47" s="253"/>
      <c r="AI47" s="253"/>
      <c r="AJ47" s="253"/>
      <c r="AK47" s="253"/>
      <c r="AL47" s="253"/>
      <c r="AM47" s="253"/>
      <c r="AN47" s="253"/>
      <c r="AO47" s="253"/>
      <c r="AP47" s="253"/>
      <c r="AQ47" s="253"/>
      <c r="AR47" s="253"/>
      <c r="AS47" s="253"/>
      <c r="AT47" s="254"/>
      <c r="AV47" s="304"/>
      <c r="AW47" s="305"/>
      <c r="AX47" s="305"/>
      <c r="AY47" s="305"/>
      <c r="AZ47" s="305"/>
      <c r="BA47" s="305"/>
      <c r="BB47" s="305"/>
      <c r="BC47" s="305"/>
      <c r="BD47" s="305"/>
      <c r="BE47" s="305"/>
      <c r="BF47" s="305"/>
      <c r="BG47" s="305"/>
      <c r="BH47" s="305"/>
      <c r="BI47" s="306"/>
      <c r="BJ47" s="306"/>
      <c r="BK47" s="306"/>
      <c r="BL47" s="306"/>
      <c r="BM47" s="306"/>
      <c r="BN47" s="306"/>
      <c r="BO47" s="306"/>
      <c r="BP47" s="306"/>
      <c r="BQ47" s="257"/>
    </row>
    <row r="48" spans="1:69">
      <c r="A48" s="748"/>
      <c r="B48" s="238"/>
      <c r="C48" s="287"/>
      <c r="D48" s="717"/>
      <c r="E48" s="718"/>
      <c r="F48" s="718"/>
      <c r="G48" s="718"/>
      <c r="H48" s="718"/>
      <c r="I48" s="718"/>
      <c r="J48" s="718"/>
      <c r="K48" s="718"/>
      <c r="L48" s="718"/>
      <c r="M48" s="718"/>
      <c r="N48" s="718"/>
      <c r="O48" s="718"/>
      <c r="P48" s="718"/>
      <c r="Q48" s="718"/>
      <c r="R48" s="718"/>
      <c r="S48" s="718"/>
      <c r="T48" s="718"/>
      <c r="U48" s="718"/>
      <c r="V48" s="718"/>
      <c r="W48" s="718"/>
      <c r="X48" s="291"/>
      <c r="Z48" s="308"/>
      <c r="AA48" s="309"/>
      <c r="AB48" s="309"/>
      <c r="AC48" s="309"/>
      <c r="AD48" s="309"/>
      <c r="AE48" s="309"/>
      <c r="AF48" s="309"/>
      <c r="AG48" s="309"/>
      <c r="AH48" s="309"/>
      <c r="AI48" s="309"/>
      <c r="AJ48" s="309"/>
      <c r="AK48" s="309"/>
      <c r="AL48" s="309"/>
      <c r="AM48" s="309"/>
      <c r="AN48" s="309"/>
      <c r="AO48" s="309"/>
      <c r="AP48" s="309"/>
      <c r="AQ48" s="309"/>
      <c r="AR48" s="309"/>
      <c r="AS48" s="309"/>
      <c r="AT48" s="310"/>
      <c r="AV48" s="304"/>
      <c r="AW48" s="305"/>
      <c r="AX48" s="305"/>
      <c r="AY48" s="305"/>
      <c r="AZ48" s="305"/>
      <c r="BA48" s="305"/>
      <c r="BB48" s="305"/>
      <c r="BC48" s="305"/>
      <c r="BD48" s="305"/>
      <c r="BE48" s="305"/>
      <c r="BF48" s="305"/>
      <c r="BG48" s="305"/>
      <c r="BH48" s="305"/>
      <c r="BI48" s="306"/>
      <c r="BJ48" s="306"/>
      <c r="BK48" s="306"/>
      <c r="BL48" s="306"/>
      <c r="BM48" s="306"/>
      <c r="BN48" s="306"/>
      <c r="BO48" s="306"/>
      <c r="BP48" s="306"/>
      <c r="BQ48" s="257"/>
    </row>
    <row r="49" spans="1:69">
      <c r="A49" s="748"/>
      <c r="B49" s="238"/>
      <c r="C49" s="287"/>
      <c r="D49" s="717"/>
      <c r="E49" s="718"/>
      <c r="F49" s="718"/>
      <c r="G49" s="718"/>
      <c r="H49" s="718"/>
      <c r="I49" s="718"/>
      <c r="J49" s="718"/>
      <c r="K49" s="718"/>
      <c r="L49" s="718"/>
      <c r="M49" s="718"/>
      <c r="N49" s="718"/>
      <c r="O49" s="718"/>
      <c r="P49" s="718"/>
      <c r="Q49" s="718"/>
      <c r="R49" s="718"/>
      <c r="S49" s="718"/>
      <c r="T49" s="718"/>
      <c r="U49" s="718"/>
      <c r="V49" s="718"/>
      <c r="W49" s="718"/>
      <c r="X49" s="291"/>
      <c r="Z49" s="308"/>
      <c r="AA49" s="309"/>
      <c r="AB49" s="309"/>
      <c r="AC49" s="309"/>
      <c r="AD49" s="309"/>
      <c r="AE49" s="309"/>
      <c r="AF49" s="309"/>
      <c r="AG49" s="309"/>
      <c r="AH49" s="309"/>
      <c r="AI49" s="309"/>
      <c r="AJ49" s="309"/>
      <c r="AK49" s="309"/>
      <c r="AL49" s="309"/>
      <c r="AM49" s="309"/>
      <c r="AN49" s="309"/>
      <c r="AO49" s="309"/>
      <c r="AP49" s="309"/>
      <c r="AQ49" s="309"/>
      <c r="AR49" s="309"/>
      <c r="AS49" s="309"/>
      <c r="AT49" s="310"/>
      <c r="AV49" s="304"/>
      <c r="AW49" s="305"/>
      <c r="AX49" s="305"/>
      <c r="AY49" s="305"/>
      <c r="AZ49" s="305"/>
      <c r="BA49" s="305"/>
      <c r="BB49" s="305"/>
      <c r="BC49" s="305"/>
      <c r="BD49" s="305"/>
      <c r="BE49" s="305"/>
      <c r="BF49" s="305"/>
      <c r="BG49" s="305"/>
      <c r="BH49" s="305"/>
      <c r="BI49" s="306"/>
      <c r="BJ49" s="306"/>
      <c r="BK49" s="306"/>
      <c r="BL49" s="306"/>
      <c r="BM49" s="306"/>
      <c r="BN49" s="306"/>
      <c r="BO49" s="306"/>
      <c r="BP49" s="306"/>
      <c r="BQ49" s="257"/>
    </row>
    <row r="50" spans="1:69">
      <c r="A50" s="748"/>
      <c r="B50" s="238"/>
      <c r="C50" s="287"/>
      <c r="D50" s="717"/>
      <c r="E50" s="718"/>
      <c r="F50" s="718"/>
      <c r="G50" s="718"/>
      <c r="H50" s="718"/>
      <c r="I50" s="718"/>
      <c r="J50" s="718"/>
      <c r="K50" s="718"/>
      <c r="L50" s="718"/>
      <c r="M50" s="718"/>
      <c r="N50" s="718"/>
      <c r="O50" s="718"/>
      <c r="P50" s="718"/>
      <c r="Q50" s="718"/>
      <c r="R50" s="718"/>
      <c r="S50" s="718"/>
      <c r="T50" s="718"/>
      <c r="U50" s="718"/>
      <c r="V50" s="718"/>
      <c r="W50" s="718"/>
      <c r="X50" s="291"/>
      <c r="Z50" s="308"/>
      <c r="AA50" s="309"/>
      <c r="AB50" s="309"/>
      <c r="AC50" s="309"/>
      <c r="AD50" s="309"/>
      <c r="AE50" s="309"/>
      <c r="AF50" s="309"/>
      <c r="AG50" s="309"/>
      <c r="AH50" s="309"/>
      <c r="AI50" s="309"/>
      <c r="AJ50" s="309"/>
      <c r="AK50" s="309"/>
      <c r="AL50" s="309"/>
      <c r="AM50" s="309"/>
      <c r="AN50" s="309"/>
      <c r="AO50" s="309"/>
      <c r="AP50" s="309"/>
      <c r="AQ50" s="309"/>
      <c r="AR50" s="309"/>
      <c r="AS50" s="309"/>
      <c r="AT50" s="310"/>
      <c r="AV50" s="304"/>
      <c r="AW50" s="305"/>
      <c r="AX50" s="305"/>
      <c r="AY50" s="305"/>
      <c r="AZ50" s="305"/>
      <c r="BA50" s="305"/>
      <c r="BB50" s="305"/>
      <c r="BC50" s="305"/>
      <c r="BD50" s="305"/>
      <c r="BE50" s="305"/>
      <c r="BF50" s="305"/>
      <c r="BG50" s="305"/>
      <c r="BH50" s="305"/>
      <c r="BI50" s="306"/>
      <c r="BJ50" s="306"/>
      <c r="BK50" s="306"/>
      <c r="BL50" s="306"/>
      <c r="BM50" s="306"/>
      <c r="BN50" s="306"/>
      <c r="BO50" s="306"/>
      <c r="BP50" s="306"/>
      <c r="BQ50" s="257"/>
    </row>
    <row r="51" spans="1:69">
      <c r="A51" s="748"/>
      <c r="B51" s="238"/>
      <c r="C51" s="287"/>
      <c r="D51" s="717"/>
      <c r="E51" s="718"/>
      <c r="F51" s="718"/>
      <c r="G51" s="718"/>
      <c r="H51" s="718"/>
      <c r="I51" s="718"/>
      <c r="J51" s="718"/>
      <c r="K51" s="718"/>
      <c r="L51" s="718"/>
      <c r="M51" s="718"/>
      <c r="N51" s="718"/>
      <c r="O51" s="718"/>
      <c r="P51" s="718"/>
      <c r="Q51" s="718"/>
      <c r="R51" s="718"/>
      <c r="S51" s="718"/>
      <c r="T51" s="718"/>
      <c r="U51" s="718"/>
      <c r="V51" s="718"/>
      <c r="W51" s="718"/>
      <c r="X51" s="291"/>
      <c r="Z51" s="308"/>
      <c r="AA51" s="309"/>
      <c r="AB51" s="309"/>
      <c r="AC51" s="309"/>
      <c r="AD51" s="309"/>
      <c r="AE51" s="309"/>
      <c r="AF51" s="309"/>
      <c r="AG51" s="309"/>
      <c r="AH51" s="309"/>
      <c r="AI51" s="309"/>
      <c r="AJ51" s="309"/>
      <c r="AK51" s="309"/>
      <c r="AL51" s="309"/>
      <c r="AM51" s="309"/>
      <c r="AN51" s="309"/>
      <c r="AO51" s="309"/>
      <c r="AP51" s="309"/>
      <c r="AQ51" s="309"/>
      <c r="AR51" s="309"/>
      <c r="AS51" s="309"/>
      <c r="AT51" s="310"/>
      <c r="AV51" s="304"/>
      <c r="AW51" s="305"/>
      <c r="AX51" s="305"/>
      <c r="AY51" s="305"/>
      <c r="AZ51" s="305"/>
      <c r="BA51" s="305"/>
      <c r="BB51" s="305"/>
      <c r="BC51" s="305"/>
      <c r="BD51" s="305"/>
      <c r="BE51" s="305"/>
      <c r="BF51" s="305"/>
      <c r="BG51" s="305"/>
      <c r="BH51" s="305"/>
      <c r="BI51" s="306"/>
      <c r="BJ51" s="306"/>
      <c r="BK51" s="306"/>
      <c r="BL51" s="306"/>
      <c r="BM51" s="306"/>
      <c r="BN51" s="306"/>
      <c r="BO51" s="306"/>
      <c r="BP51" s="306"/>
      <c r="BQ51" s="257"/>
    </row>
    <row r="52" spans="1:69">
      <c r="A52" s="748"/>
      <c r="B52" s="238"/>
      <c r="C52" s="287"/>
      <c r="D52" s="717"/>
      <c r="E52" s="718"/>
      <c r="F52" s="718"/>
      <c r="G52" s="718"/>
      <c r="H52" s="718"/>
      <c r="I52" s="718"/>
      <c r="J52" s="718"/>
      <c r="K52" s="718"/>
      <c r="L52" s="718"/>
      <c r="M52" s="718"/>
      <c r="N52" s="718"/>
      <c r="O52" s="718"/>
      <c r="P52" s="718"/>
      <c r="Q52" s="718"/>
      <c r="R52" s="718"/>
      <c r="S52" s="718"/>
      <c r="T52" s="718"/>
      <c r="U52" s="718"/>
      <c r="V52" s="718"/>
      <c r="W52" s="718"/>
      <c r="X52" s="291"/>
      <c r="Z52" s="308"/>
      <c r="AA52" s="309"/>
      <c r="AB52" s="309"/>
      <c r="AC52" s="309"/>
      <c r="AD52" s="309"/>
      <c r="AE52" s="309"/>
      <c r="AF52" s="309"/>
      <c r="AG52" s="309"/>
      <c r="AH52" s="309"/>
      <c r="AI52" s="309"/>
      <c r="AJ52" s="309"/>
      <c r="AK52" s="309"/>
      <c r="AL52" s="309"/>
      <c r="AM52" s="309"/>
      <c r="AN52" s="309"/>
      <c r="AO52" s="309"/>
      <c r="AP52" s="309"/>
      <c r="AQ52" s="309"/>
      <c r="AR52" s="309"/>
      <c r="AS52" s="309"/>
      <c r="AT52" s="310"/>
      <c r="AV52" s="304"/>
      <c r="AW52" s="305"/>
      <c r="AX52" s="305"/>
      <c r="AY52" s="305"/>
      <c r="AZ52" s="305"/>
      <c r="BA52" s="305"/>
      <c r="BB52" s="305"/>
      <c r="BC52" s="305"/>
      <c r="BD52" s="305"/>
      <c r="BE52" s="305"/>
      <c r="BF52" s="305"/>
      <c r="BG52" s="305"/>
      <c r="BH52" s="305"/>
      <c r="BI52" s="306"/>
      <c r="BJ52" s="306"/>
      <c r="BK52" s="306"/>
      <c r="BL52" s="306"/>
      <c r="BM52" s="306"/>
      <c r="BN52" s="306"/>
      <c r="BO52" s="306"/>
      <c r="BP52" s="306"/>
      <c r="BQ52" s="257"/>
    </row>
    <row r="53" spans="1:69">
      <c r="B53" s="238"/>
      <c r="C53" s="287"/>
      <c r="D53" s="307"/>
      <c r="E53" s="290"/>
      <c r="F53" s="290"/>
      <c r="G53" s="290"/>
      <c r="H53" s="290"/>
      <c r="I53" s="290"/>
      <c r="J53" s="290"/>
      <c r="K53" s="290"/>
      <c r="L53" s="290"/>
      <c r="M53" s="290"/>
      <c r="N53" s="290"/>
      <c r="O53" s="290"/>
      <c r="P53" s="290"/>
      <c r="Q53" s="290"/>
      <c r="R53" s="290"/>
      <c r="S53" s="290"/>
      <c r="T53" s="290"/>
      <c r="U53" s="290"/>
      <c r="V53" s="290"/>
      <c r="W53" s="290"/>
      <c r="X53" s="291"/>
      <c r="Z53" s="308"/>
      <c r="AA53" s="309"/>
      <c r="AB53" s="309"/>
      <c r="AC53" s="309"/>
      <c r="AD53" s="309"/>
      <c r="AE53" s="309"/>
      <c r="AF53" s="309"/>
      <c r="AG53" s="309"/>
      <c r="AH53" s="309"/>
      <c r="AI53" s="309"/>
      <c r="AJ53" s="309"/>
      <c r="AK53" s="309"/>
      <c r="AL53" s="309"/>
      <c r="AM53" s="309"/>
      <c r="AN53" s="309"/>
      <c r="AO53" s="309"/>
      <c r="AP53" s="309"/>
      <c r="AQ53" s="309"/>
      <c r="AR53" s="309"/>
      <c r="AS53" s="309"/>
      <c r="AT53" s="310"/>
      <c r="AV53" s="304">
        <f t="shared" si="4"/>
        <v>0</v>
      </c>
      <c r="AW53" s="305">
        <f t="shared" si="5"/>
        <v>0</v>
      </c>
      <c r="AX53" s="305">
        <f t="shared" si="6"/>
        <v>0</v>
      </c>
      <c r="AY53" s="305">
        <f t="shared" si="7"/>
        <v>0</v>
      </c>
      <c r="AZ53" s="305">
        <f t="shared" si="8"/>
        <v>0</v>
      </c>
      <c r="BA53" s="305">
        <f t="shared" si="9"/>
        <v>0</v>
      </c>
      <c r="BB53" s="305">
        <f t="shared" si="10"/>
        <v>0</v>
      </c>
      <c r="BC53" s="305">
        <f t="shared" si="11"/>
        <v>0</v>
      </c>
      <c r="BD53" s="305">
        <f t="shared" si="12"/>
        <v>0</v>
      </c>
      <c r="BE53" s="305">
        <f t="shared" si="13"/>
        <v>0</v>
      </c>
      <c r="BF53" s="305">
        <f t="shared" si="14"/>
        <v>0</v>
      </c>
      <c r="BG53" s="305">
        <f t="shared" si="15"/>
        <v>0</v>
      </c>
      <c r="BH53" s="305">
        <f t="shared" si="16"/>
        <v>0</v>
      </c>
      <c r="BI53" s="306">
        <f t="shared" si="17"/>
        <v>0</v>
      </c>
      <c r="BJ53" s="306">
        <f t="shared" si="18"/>
        <v>0</v>
      </c>
      <c r="BK53" s="306">
        <f t="shared" si="19"/>
        <v>0</v>
      </c>
      <c r="BL53" s="306">
        <f t="shared" si="20"/>
        <v>0</v>
      </c>
      <c r="BM53" s="306">
        <f t="shared" si="21"/>
        <v>0</v>
      </c>
      <c r="BN53" s="306">
        <f t="shared" si="22"/>
        <v>0</v>
      </c>
      <c r="BO53" s="306">
        <f t="shared" si="23"/>
        <v>0</v>
      </c>
      <c r="BP53" s="306">
        <f t="shared" si="24"/>
        <v>0</v>
      </c>
      <c r="BQ53" s="257">
        <f t="shared" si="25"/>
        <v>0</v>
      </c>
    </row>
    <row r="54" spans="1:69">
      <c r="B54" s="238"/>
      <c r="C54" s="287"/>
      <c r="D54" s="307"/>
      <c r="E54" s="290"/>
      <c r="F54" s="290"/>
      <c r="G54" s="290"/>
      <c r="H54" s="290"/>
      <c r="I54" s="290"/>
      <c r="J54" s="290"/>
      <c r="K54" s="290"/>
      <c r="L54" s="290"/>
      <c r="M54" s="290"/>
      <c r="N54" s="290"/>
      <c r="O54" s="290"/>
      <c r="P54" s="290"/>
      <c r="Q54" s="290"/>
      <c r="R54" s="290"/>
      <c r="S54" s="290"/>
      <c r="T54" s="290"/>
      <c r="U54" s="290"/>
      <c r="V54" s="290"/>
      <c r="W54" s="290"/>
      <c r="X54" s="291"/>
      <c r="Z54" s="308"/>
      <c r="AA54" s="309"/>
      <c r="AB54" s="309"/>
      <c r="AC54" s="309"/>
      <c r="AD54" s="309"/>
      <c r="AE54" s="309"/>
      <c r="AF54" s="309"/>
      <c r="AG54" s="309"/>
      <c r="AH54" s="309"/>
      <c r="AI54" s="309"/>
      <c r="AJ54" s="309"/>
      <c r="AK54" s="309"/>
      <c r="AL54" s="309"/>
      <c r="AM54" s="309"/>
      <c r="AN54" s="309"/>
      <c r="AO54" s="309"/>
      <c r="AP54" s="309"/>
      <c r="AQ54" s="309"/>
      <c r="AR54" s="309"/>
      <c r="AS54" s="309"/>
      <c r="AT54" s="310"/>
      <c r="AV54" s="304">
        <f t="shared" si="4"/>
        <v>0</v>
      </c>
      <c r="AW54" s="305">
        <f t="shared" si="5"/>
        <v>0</v>
      </c>
      <c r="AX54" s="305">
        <f t="shared" si="6"/>
        <v>0</v>
      </c>
      <c r="AY54" s="305">
        <f t="shared" si="7"/>
        <v>0</v>
      </c>
      <c r="AZ54" s="305">
        <f t="shared" si="8"/>
        <v>0</v>
      </c>
      <c r="BA54" s="305">
        <f t="shared" si="9"/>
        <v>0</v>
      </c>
      <c r="BB54" s="305">
        <f t="shared" si="10"/>
        <v>0</v>
      </c>
      <c r="BC54" s="305">
        <f t="shared" si="11"/>
        <v>0</v>
      </c>
      <c r="BD54" s="305">
        <f t="shared" si="12"/>
        <v>0</v>
      </c>
      <c r="BE54" s="305">
        <f t="shared" si="13"/>
        <v>0</v>
      </c>
      <c r="BF54" s="305">
        <f t="shared" si="14"/>
        <v>0</v>
      </c>
      <c r="BG54" s="305">
        <f t="shared" si="15"/>
        <v>0</v>
      </c>
      <c r="BH54" s="305">
        <f t="shared" si="16"/>
        <v>0</v>
      </c>
      <c r="BI54" s="306">
        <f t="shared" si="17"/>
        <v>0</v>
      </c>
      <c r="BJ54" s="306">
        <f t="shared" si="18"/>
        <v>0</v>
      </c>
      <c r="BK54" s="306">
        <f t="shared" si="19"/>
        <v>0</v>
      </c>
      <c r="BL54" s="306">
        <f t="shared" si="20"/>
        <v>0</v>
      </c>
      <c r="BM54" s="306">
        <f t="shared" si="21"/>
        <v>0</v>
      </c>
      <c r="BN54" s="306">
        <f t="shared" si="22"/>
        <v>0</v>
      </c>
      <c r="BO54" s="306">
        <f t="shared" si="23"/>
        <v>0</v>
      </c>
      <c r="BP54" s="306">
        <f t="shared" si="24"/>
        <v>0</v>
      </c>
      <c r="BQ54" s="257">
        <f t="shared" si="25"/>
        <v>0</v>
      </c>
    </row>
    <row r="55" spans="1:69">
      <c r="B55" s="238"/>
      <c r="C55" s="287"/>
      <c r="D55" s="307"/>
      <c r="E55" s="290"/>
      <c r="F55" s="290"/>
      <c r="G55" s="290"/>
      <c r="H55" s="290"/>
      <c r="I55" s="290"/>
      <c r="J55" s="290"/>
      <c r="K55" s="290"/>
      <c r="L55" s="290"/>
      <c r="M55" s="290"/>
      <c r="N55" s="290"/>
      <c r="O55" s="290"/>
      <c r="P55" s="290"/>
      <c r="Q55" s="290"/>
      <c r="R55" s="290"/>
      <c r="S55" s="290"/>
      <c r="T55" s="290"/>
      <c r="U55" s="290"/>
      <c r="V55" s="290"/>
      <c r="W55" s="290"/>
      <c r="X55" s="291"/>
      <c r="Z55" s="308"/>
      <c r="AA55" s="309"/>
      <c r="AB55" s="309"/>
      <c r="AC55" s="309"/>
      <c r="AD55" s="309"/>
      <c r="AE55" s="309"/>
      <c r="AF55" s="309"/>
      <c r="AG55" s="309"/>
      <c r="AH55" s="309"/>
      <c r="AI55" s="309"/>
      <c r="AJ55" s="309"/>
      <c r="AK55" s="309"/>
      <c r="AL55" s="309"/>
      <c r="AM55" s="309"/>
      <c r="AN55" s="309"/>
      <c r="AO55" s="309"/>
      <c r="AP55" s="309"/>
      <c r="AQ55" s="309"/>
      <c r="AR55" s="309"/>
      <c r="AS55" s="309"/>
      <c r="AT55" s="310"/>
      <c r="AV55" s="304">
        <f t="shared" si="4"/>
        <v>0</v>
      </c>
      <c r="AW55" s="305">
        <f t="shared" si="5"/>
        <v>0</v>
      </c>
      <c r="AX55" s="305">
        <f t="shared" si="6"/>
        <v>0</v>
      </c>
      <c r="AY55" s="305">
        <f t="shared" si="7"/>
        <v>0</v>
      </c>
      <c r="AZ55" s="305">
        <f t="shared" si="8"/>
        <v>0</v>
      </c>
      <c r="BA55" s="305">
        <f t="shared" si="9"/>
        <v>0</v>
      </c>
      <c r="BB55" s="305">
        <f t="shared" si="10"/>
        <v>0</v>
      </c>
      <c r="BC55" s="305">
        <f t="shared" si="11"/>
        <v>0</v>
      </c>
      <c r="BD55" s="305">
        <f t="shared" si="12"/>
        <v>0</v>
      </c>
      <c r="BE55" s="305">
        <f t="shared" si="13"/>
        <v>0</v>
      </c>
      <c r="BF55" s="305">
        <f t="shared" si="14"/>
        <v>0</v>
      </c>
      <c r="BG55" s="305">
        <f t="shared" si="15"/>
        <v>0</v>
      </c>
      <c r="BH55" s="305">
        <f t="shared" si="16"/>
        <v>0</v>
      </c>
      <c r="BI55" s="306">
        <f t="shared" si="17"/>
        <v>0</v>
      </c>
      <c r="BJ55" s="306">
        <f t="shared" si="18"/>
        <v>0</v>
      </c>
      <c r="BK55" s="306">
        <f t="shared" si="19"/>
        <v>0</v>
      </c>
      <c r="BL55" s="306">
        <f t="shared" si="20"/>
        <v>0</v>
      </c>
      <c r="BM55" s="306">
        <f t="shared" si="21"/>
        <v>0</v>
      </c>
      <c r="BN55" s="306">
        <f t="shared" si="22"/>
        <v>0</v>
      </c>
      <c r="BO55" s="306">
        <f t="shared" si="23"/>
        <v>0</v>
      </c>
      <c r="BP55" s="306">
        <f t="shared" si="24"/>
        <v>0</v>
      </c>
      <c r="BQ55" s="257">
        <f t="shared" si="25"/>
        <v>0</v>
      </c>
    </row>
    <row r="56" spans="1:69">
      <c r="B56" s="238"/>
      <c r="C56" s="287"/>
      <c r="D56" s="307"/>
      <c r="E56" s="290"/>
      <c r="F56" s="290"/>
      <c r="G56" s="290"/>
      <c r="H56" s="290"/>
      <c r="I56" s="290"/>
      <c r="J56" s="290"/>
      <c r="K56" s="290"/>
      <c r="L56" s="290"/>
      <c r="M56" s="290"/>
      <c r="N56" s="290"/>
      <c r="O56" s="290"/>
      <c r="P56" s="290"/>
      <c r="Q56" s="290"/>
      <c r="R56" s="290"/>
      <c r="S56" s="290"/>
      <c r="T56" s="290"/>
      <c r="U56" s="290"/>
      <c r="V56" s="290"/>
      <c r="W56" s="290"/>
      <c r="X56" s="291"/>
      <c r="Z56" s="308"/>
      <c r="AA56" s="309"/>
      <c r="AB56" s="309"/>
      <c r="AC56" s="309"/>
      <c r="AD56" s="309"/>
      <c r="AE56" s="309"/>
      <c r="AF56" s="309"/>
      <c r="AG56" s="309"/>
      <c r="AH56" s="309"/>
      <c r="AI56" s="309"/>
      <c r="AJ56" s="309"/>
      <c r="AK56" s="309"/>
      <c r="AL56" s="309"/>
      <c r="AM56" s="309"/>
      <c r="AN56" s="309"/>
      <c r="AO56" s="309"/>
      <c r="AP56" s="309"/>
      <c r="AQ56" s="309"/>
      <c r="AR56" s="309"/>
      <c r="AS56" s="309"/>
      <c r="AT56" s="310"/>
      <c r="AV56" s="304">
        <f t="shared" si="4"/>
        <v>0</v>
      </c>
      <c r="AW56" s="305">
        <f t="shared" si="5"/>
        <v>0</v>
      </c>
      <c r="AX56" s="305">
        <f t="shared" si="6"/>
        <v>0</v>
      </c>
      <c r="AY56" s="305">
        <f t="shared" si="7"/>
        <v>0</v>
      </c>
      <c r="AZ56" s="305">
        <f t="shared" si="8"/>
        <v>0</v>
      </c>
      <c r="BA56" s="305">
        <f t="shared" si="9"/>
        <v>0</v>
      </c>
      <c r="BB56" s="305">
        <f t="shared" si="10"/>
        <v>0</v>
      </c>
      <c r="BC56" s="305">
        <f t="shared" si="11"/>
        <v>0</v>
      </c>
      <c r="BD56" s="305">
        <f t="shared" si="12"/>
        <v>0</v>
      </c>
      <c r="BE56" s="305">
        <f t="shared" si="13"/>
        <v>0</v>
      </c>
      <c r="BF56" s="305">
        <f t="shared" si="14"/>
        <v>0</v>
      </c>
      <c r="BG56" s="305">
        <f t="shared" si="15"/>
        <v>0</v>
      </c>
      <c r="BH56" s="305">
        <f t="shared" si="16"/>
        <v>0</v>
      </c>
      <c r="BI56" s="306">
        <f t="shared" si="17"/>
        <v>0</v>
      </c>
      <c r="BJ56" s="306">
        <f t="shared" si="18"/>
        <v>0</v>
      </c>
      <c r="BK56" s="306">
        <f t="shared" si="19"/>
        <v>0</v>
      </c>
      <c r="BL56" s="306">
        <f t="shared" si="20"/>
        <v>0</v>
      </c>
      <c r="BM56" s="306">
        <f t="shared" si="21"/>
        <v>0</v>
      </c>
      <c r="BN56" s="306">
        <f t="shared" si="22"/>
        <v>0</v>
      </c>
      <c r="BO56" s="306">
        <f t="shared" si="23"/>
        <v>0</v>
      </c>
      <c r="BP56" s="306">
        <f t="shared" si="24"/>
        <v>0</v>
      </c>
      <c r="BQ56" s="257">
        <f t="shared" si="25"/>
        <v>0</v>
      </c>
    </row>
    <row r="57" spans="1:69">
      <c r="B57" s="238"/>
      <c r="C57" s="287"/>
      <c r="D57" s="307"/>
      <c r="E57" s="290"/>
      <c r="F57" s="290"/>
      <c r="G57" s="290"/>
      <c r="H57" s="290"/>
      <c r="I57" s="290"/>
      <c r="J57" s="290"/>
      <c r="K57" s="290"/>
      <c r="L57" s="290"/>
      <c r="M57" s="290"/>
      <c r="N57" s="290"/>
      <c r="O57" s="290"/>
      <c r="P57" s="290"/>
      <c r="Q57" s="290"/>
      <c r="R57" s="290"/>
      <c r="S57" s="290"/>
      <c r="T57" s="290"/>
      <c r="U57" s="290"/>
      <c r="V57" s="290"/>
      <c r="W57" s="290"/>
      <c r="X57" s="291"/>
      <c r="Z57" s="308"/>
      <c r="AA57" s="309"/>
      <c r="AB57" s="309"/>
      <c r="AC57" s="309"/>
      <c r="AD57" s="309"/>
      <c r="AE57" s="309"/>
      <c r="AF57" s="309"/>
      <c r="AG57" s="309"/>
      <c r="AH57" s="309"/>
      <c r="AI57" s="309"/>
      <c r="AJ57" s="309"/>
      <c r="AK57" s="309"/>
      <c r="AL57" s="309"/>
      <c r="AM57" s="309"/>
      <c r="AN57" s="309"/>
      <c r="AO57" s="309"/>
      <c r="AP57" s="309"/>
      <c r="AQ57" s="309"/>
      <c r="AR57" s="309"/>
      <c r="AS57" s="309"/>
      <c r="AT57" s="310"/>
      <c r="AV57" s="304">
        <f t="shared" si="4"/>
        <v>0</v>
      </c>
      <c r="AW57" s="305">
        <f t="shared" si="5"/>
        <v>0</v>
      </c>
      <c r="AX57" s="305">
        <f t="shared" si="6"/>
        <v>0</v>
      </c>
      <c r="AY57" s="305">
        <f t="shared" si="7"/>
        <v>0</v>
      </c>
      <c r="AZ57" s="305">
        <f t="shared" si="8"/>
        <v>0</v>
      </c>
      <c r="BA57" s="305">
        <f t="shared" si="9"/>
        <v>0</v>
      </c>
      <c r="BB57" s="305">
        <f t="shared" si="10"/>
        <v>0</v>
      </c>
      <c r="BC57" s="305">
        <f t="shared" si="11"/>
        <v>0</v>
      </c>
      <c r="BD57" s="305">
        <f t="shared" si="12"/>
        <v>0</v>
      </c>
      <c r="BE57" s="305">
        <f t="shared" si="13"/>
        <v>0</v>
      </c>
      <c r="BF57" s="305">
        <f t="shared" si="14"/>
        <v>0</v>
      </c>
      <c r="BG57" s="305">
        <f t="shared" si="15"/>
        <v>0</v>
      </c>
      <c r="BH57" s="305">
        <f t="shared" si="16"/>
        <v>0</v>
      </c>
      <c r="BI57" s="306">
        <f t="shared" si="17"/>
        <v>0</v>
      </c>
      <c r="BJ57" s="306">
        <f t="shared" si="18"/>
        <v>0</v>
      </c>
      <c r="BK57" s="306">
        <f t="shared" si="19"/>
        <v>0</v>
      </c>
      <c r="BL57" s="306">
        <f t="shared" si="20"/>
        <v>0</v>
      </c>
      <c r="BM57" s="306">
        <f t="shared" si="21"/>
        <v>0</v>
      </c>
      <c r="BN57" s="306">
        <f t="shared" si="22"/>
        <v>0</v>
      </c>
      <c r="BO57" s="306">
        <f t="shared" si="23"/>
        <v>0</v>
      </c>
      <c r="BP57" s="306">
        <f t="shared" si="24"/>
        <v>0</v>
      </c>
      <c r="BQ57" s="257">
        <f t="shared" si="25"/>
        <v>0</v>
      </c>
    </row>
    <row r="58" spans="1:69">
      <c r="B58" s="238"/>
      <c r="C58" s="287"/>
      <c r="D58" s="307"/>
      <c r="E58" s="290"/>
      <c r="F58" s="290"/>
      <c r="G58" s="290"/>
      <c r="H58" s="290"/>
      <c r="I58" s="290"/>
      <c r="J58" s="290"/>
      <c r="K58" s="290"/>
      <c r="L58" s="290"/>
      <c r="M58" s="290"/>
      <c r="N58" s="290"/>
      <c r="O58" s="290"/>
      <c r="P58" s="290"/>
      <c r="Q58" s="290"/>
      <c r="R58" s="290"/>
      <c r="S58" s="290"/>
      <c r="T58" s="290"/>
      <c r="U58" s="290"/>
      <c r="V58" s="290"/>
      <c r="W58" s="290"/>
      <c r="X58" s="291"/>
      <c r="Z58" s="308"/>
      <c r="AA58" s="309"/>
      <c r="AB58" s="309"/>
      <c r="AC58" s="309"/>
      <c r="AD58" s="309"/>
      <c r="AE58" s="309"/>
      <c r="AF58" s="309"/>
      <c r="AG58" s="309"/>
      <c r="AH58" s="309"/>
      <c r="AI58" s="309"/>
      <c r="AJ58" s="309"/>
      <c r="AK58" s="309"/>
      <c r="AL58" s="309"/>
      <c r="AM58" s="309"/>
      <c r="AN58" s="309"/>
      <c r="AO58" s="309"/>
      <c r="AP58" s="309"/>
      <c r="AQ58" s="309"/>
      <c r="AR58" s="309"/>
      <c r="AS58" s="309"/>
      <c r="AT58" s="310"/>
      <c r="AV58" s="304">
        <f t="shared" si="4"/>
        <v>0</v>
      </c>
      <c r="AW58" s="305">
        <f t="shared" si="5"/>
        <v>0</v>
      </c>
      <c r="AX58" s="305">
        <f t="shared" si="6"/>
        <v>0</v>
      </c>
      <c r="AY58" s="305">
        <f t="shared" si="7"/>
        <v>0</v>
      </c>
      <c r="AZ58" s="305">
        <f t="shared" si="8"/>
        <v>0</v>
      </c>
      <c r="BA58" s="305">
        <f t="shared" si="9"/>
        <v>0</v>
      </c>
      <c r="BB58" s="305">
        <f t="shared" si="10"/>
        <v>0</v>
      </c>
      <c r="BC58" s="305">
        <f t="shared" si="11"/>
        <v>0</v>
      </c>
      <c r="BD58" s="305">
        <f t="shared" si="12"/>
        <v>0</v>
      </c>
      <c r="BE58" s="305">
        <f t="shared" si="13"/>
        <v>0</v>
      </c>
      <c r="BF58" s="305">
        <f t="shared" si="14"/>
        <v>0</v>
      </c>
      <c r="BG58" s="305">
        <f t="shared" si="15"/>
        <v>0</v>
      </c>
      <c r="BH58" s="305">
        <f t="shared" si="16"/>
        <v>0</v>
      </c>
      <c r="BI58" s="306">
        <f t="shared" si="17"/>
        <v>0</v>
      </c>
      <c r="BJ58" s="306">
        <f t="shared" si="18"/>
        <v>0</v>
      </c>
      <c r="BK58" s="306">
        <f t="shared" si="19"/>
        <v>0</v>
      </c>
      <c r="BL58" s="306">
        <f t="shared" si="20"/>
        <v>0</v>
      </c>
      <c r="BM58" s="306">
        <f t="shared" si="21"/>
        <v>0</v>
      </c>
      <c r="BN58" s="306">
        <f t="shared" si="22"/>
        <v>0</v>
      </c>
      <c r="BO58" s="306">
        <f t="shared" si="23"/>
        <v>0</v>
      </c>
      <c r="BP58" s="306">
        <f t="shared" si="24"/>
        <v>0</v>
      </c>
      <c r="BQ58" s="257">
        <f t="shared" si="25"/>
        <v>0</v>
      </c>
    </row>
    <row r="59" spans="1:69">
      <c r="B59" s="238"/>
      <c r="C59" s="287"/>
      <c r="D59" s="307"/>
      <c r="E59" s="290"/>
      <c r="F59" s="290"/>
      <c r="G59" s="290"/>
      <c r="H59" s="290"/>
      <c r="I59" s="290"/>
      <c r="J59" s="290"/>
      <c r="K59" s="290"/>
      <c r="L59" s="290"/>
      <c r="M59" s="290"/>
      <c r="N59" s="290"/>
      <c r="O59" s="290"/>
      <c r="P59" s="290"/>
      <c r="Q59" s="290"/>
      <c r="R59" s="290"/>
      <c r="S59" s="290"/>
      <c r="T59" s="290"/>
      <c r="U59" s="290"/>
      <c r="V59" s="290"/>
      <c r="W59" s="290"/>
      <c r="X59" s="291"/>
      <c r="Z59" s="308"/>
      <c r="AA59" s="309"/>
      <c r="AB59" s="309"/>
      <c r="AC59" s="309"/>
      <c r="AD59" s="309"/>
      <c r="AE59" s="309"/>
      <c r="AF59" s="309"/>
      <c r="AG59" s="309"/>
      <c r="AH59" s="309"/>
      <c r="AI59" s="309"/>
      <c r="AJ59" s="309"/>
      <c r="AK59" s="309"/>
      <c r="AL59" s="309"/>
      <c r="AM59" s="309"/>
      <c r="AN59" s="309"/>
      <c r="AO59" s="309"/>
      <c r="AP59" s="309"/>
      <c r="AQ59" s="309"/>
      <c r="AR59" s="309"/>
      <c r="AS59" s="309"/>
      <c r="AT59" s="310"/>
      <c r="AV59" s="304">
        <f t="shared" si="4"/>
        <v>0</v>
      </c>
      <c r="AW59" s="305">
        <f t="shared" si="5"/>
        <v>0</v>
      </c>
      <c r="AX59" s="305">
        <f t="shared" si="6"/>
        <v>0</v>
      </c>
      <c r="AY59" s="305">
        <f t="shared" si="7"/>
        <v>0</v>
      </c>
      <c r="AZ59" s="305">
        <f t="shared" si="8"/>
        <v>0</v>
      </c>
      <c r="BA59" s="305">
        <f t="shared" si="9"/>
        <v>0</v>
      </c>
      <c r="BB59" s="305">
        <f t="shared" si="10"/>
        <v>0</v>
      </c>
      <c r="BC59" s="305">
        <f t="shared" si="11"/>
        <v>0</v>
      </c>
      <c r="BD59" s="305">
        <f t="shared" si="12"/>
        <v>0</v>
      </c>
      <c r="BE59" s="305">
        <f t="shared" si="13"/>
        <v>0</v>
      </c>
      <c r="BF59" s="305">
        <f t="shared" si="14"/>
        <v>0</v>
      </c>
      <c r="BG59" s="305">
        <f t="shared" si="15"/>
        <v>0</v>
      </c>
      <c r="BH59" s="305">
        <f t="shared" si="16"/>
        <v>0</v>
      </c>
      <c r="BI59" s="306">
        <f t="shared" si="17"/>
        <v>0</v>
      </c>
      <c r="BJ59" s="306">
        <f t="shared" si="18"/>
        <v>0</v>
      </c>
      <c r="BK59" s="306">
        <f t="shared" si="19"/>
        <v>0</v>
      </c>
      <c r="BL59" s="306">
        <f t="shared" si="20"/>
        <v>0</v>
      </c>
      <c r="BM59" s="306">
        <f t="shared" si="21"/>
        <v>0</v>
      </c>
      <c r="BN59" s="306">
        <f t="shared" si="22"/>
        <v>0</v>
      </c>
      <c r="BO59" s="306">
        <f t="shared" si="23"/>
        <v>0</v>
      </c>
      <c r="BP59" s="306">
        <f t="shared" si="24"/>
        <v>0</v>
      </c>
      <c r="BQ59" s="257">
        <f t="shared" si="25"/>
        <v>0</v>
      </c>
    </row>
    <row r="60" spans="1:69">
      <c r="B60" s="238"/>
      <c r="C60" s="287"/>
      <c r="D60" s="307"/>
      <c r="E60" s="290"/>
      <c r="F60" s="290"/>
      <c r="G60" s="290"/>
      <c r="H60" s="290"/>
      <c r="I60" s="290"/>
      <c r="J60" s="290"/>
      <c r="K60" s="290"/>
      <c r="L60" s="290"/>
      <c r="M60" s="290"/>
      <c r="N60" s="290"/>
      <c r="O60" s="290"/>
      <c r="P60" s="290"/>
      <c r="Q60" s="290"/>
      <c r="R60" s="290"/>
      <c r="S60" s="290"/>
      <c r="T60" s="290"/>
      <c r="U60" s="290"/>
      <c r="V60" s="290"/>
      <c r="W60" s="290"/>
      <c r="X60" s="291"/>
      <c r="Z60" s="308"/>
      <c r="AA60" s="309"/>
      <c r="AB60" s="309"/>
      <c r="AC60" s="309"/>
      <c r="AD60" s="309"/>
      <c r="AE60" s="309"/>
      <c r="AF60" s="309"/>
      <c r="AG60" s="309"/>
      <c r="AH60" s="309"/>
      <c r="AI60" s="309"/>
      <c r="AJ60" s="309"/>
      <c r="AK60" s="309"/>
      <c r="AL60" s="309"/>
      <c r="AM60" s="309"/>
      <c r="AN60" s="309"/>
      <c r="AO60" s="309"/>
      <c r="AP60" s="309"/>
      <c r="AQ60" s="309"/>
      <c r="AR60" s="309"/>
      <c r="AS60" s="309"/>
      <c r="AT60" s="310"/>
      <c r="AV60" s="304">
        <f t="shared" si="4"/>
        <v>0</v>
      </c>
      <c r="AW60" s="305">
        <f t="shared" si="5"/>
        <v>0</v>
      </c>
      <c r="AX60" s="305">
        <f t="shared" si="6"/>
        <v>0</v>
      </c>
      <c r="AY60" s="305">
        <f t="shared" si="7"/>
        <v>0</v>
      </c>
      <c r="AZ60" s="305">
        <f t="shared" si="8"/>
        <v>0</v>
      </c>
      <c r="BA60" s="305">
        <f t="shared" si="9"/>
        <v>0</v>
      </c>
      <c r="BB60" s="305">
        <f t="shared" si="10"/>
        <v>0</v>
      </c>
      <c r="BC60" s="305">
        <f t="shared" si="11"/>
        <v>0</v>
      </c>
      <c r="BD60" s="305">
        <f t="shared" si="12"/>
        <v>0</v>
      </c>
      <c r="BE60" s="305">
        <f t="shared" si="13"/>
        <v>0</v>
      </c>
      <c r="BF60" s="305">
        <f t="shared" si="14"/>
        <v>0</v>
      </c>
      <c r="BG60" s="305">
        <f t="shared" si="15"/>
        <v>0</v>
      </c>
      <c r="BH60" s="305">
        <f t="shared" si="16"/>
        <v>0</v>
      </c>
      <c r="BI60" s="306">
        <f t="shared" si="17"/>
        <v>0</v>
      </c>
      <c r="BJ60" s="306">
        <f t="shared" si="18"/>
        <v>0</v>
      </c>
      <c r="BK60" s="306">
        <f t="shared" si="19"/>
        <v>0</v>
      </c>
      <c r="BL60" s="306">
        <f t="shared" si="20"/>
        <v>0</v>
      </c>
      <c r="BM60" s="306">
        <f t="shared" si="21"/>
        <v>0</v>
      </c>
      <c r="BN60" s="306">
        <f t="shared" si="22"/>
        <v>0</v>
      </c>
      <c r="BO60" s="306">
        <f t="shared" si="23"/>
        <v>0</v>
      </c>
      <c r="BP60" s="306">
        <f t="shared" si="24"/>
        <v>0</v>
      </c>
      <c r="BQ60" s="257">
        <f t="shared" si="25"/>
        <v>0</v>
      </c>
    </row>
    <row r="61" spans="1:69">
      <c r="B61" s="238"/>
      <c r="C61" s="287"/>
      <c r="D61" s="307"/>
      <c r="E61" s="290"/>
      <c r="F61" s="290"/>
      <c r="G61" s="290"/>
      <c r="H61" s="290"/>
      <c r="I61" s="290"/>
      <c r="J61" s="290"/>
      <c r="K61" s="290"/>
      <c r="L61" s="290"/>
      <c r="M61" s="290"/>
      <c r="N61" s="290"/>
      <c r="O61" s="290"/>
      <c r="P61" s="290"/>
      <c r="Q61" s="290"/>
      <c r="R61" s="290"/>
      <c r="S61" s="290"/>
      <c r="T61" s="290"/>
      <c r="U61" s="290"/>
      <c r="V61" s="290"/>
      <c r="W61" s="290"/>
      <c r="X61" s="291"/>
      <c r="Z61" s="308"/>
      <c r="AA61" s="309"/>
      <c r="AB61" s="309"/>
      <c r="AC61" s="309"/>
      <c r="AD61" s="309"/>
      <c r="AE61" s="309"/>
      <c r="AF61" s="309"/>
      <c r="AG61" s="309"/>
      <c r="AH61" s="309"/>
      <c r="AI61" s="309"/>
      <c r="AJ61" s="309"/>
      <c r="AK61" s="309"/>
      <c r="AL61" s="309"/>
      <c r="AM61" s="309"/>
      <c r="AN61" s="309"/>
      <c r="AO61" s="309"/>
      <c r="AP61" s="309"/>
      <c r="AQ61" s="309"/>
      <c r="AR61" s="309"/>
      <c r="AS61" s="309"/>
      <c r="AT61" s="310"/>
      <c r="AV61" s="304">
        <f t="shared" si="4"/>
        <v>0</v>
      </c>
      <c r="AW61" s="305">
        <f t="shared" si="5"/>
        <v>0</v>
      </c>
      <c r="AX61" s="305">
        <f t="shared" si="6"/>
        <v>0</v>
      </c>
      <c r="AY61" s="305">
        <f t="shared" si="7"/>
        <v>0</v>
      </c>
      <c r="AZ61" s="305">
        <f t="shared" si="8"/>
        <v>0</v>
      </c>
      <c r="BA61" s="305">
        <f t="shared" si="9"/>
        <v>0</v>
      </c>
      <c r="BB61" s="305">
        <f t="shared" si="10"/>
        <v>0</v>
      </c>
      <c r="BC61" s="305">
        <f t="shared" si="11"/>
        <v>0</v>
      </c>
      <c r="BD61" s="305">
        <f t="shared" si="12"/>
        <v>0</v>
      </c>
      <c r="BE61" s="305">
        <f t="shared" si="13"/>
        <v>0</v>
      </c>
      <c r="BF61" s="305">
        <f t="shared" si="14"/>
        <v>0</v>
      </c>
      <c r="BG61" s="305">
        <f t="shared" si="15"/>
        <v>0</v>
      </c>
      <c r="BH61" s="305">
        <f t="shared" si="16"/>
        <v>0</v>
      </c>
      <c r="BI61" s="306">
        <f t="shared" si="17"/>
        <v>0</v>
      </c>
      <c r="BJ61" s="306">
        <f t="shared" si="18"/>
        <v>0</v>
      </c>
      <c r="BK61" s="306">
        <f t="shared" si="19"/>
        <v>0</v>
      </c>
      <c r="BL61" s="306">
        <f t="shared" si="20"/>
        <v>0</v>
      </c>
      <c r="BM61" s="306">
        <f t="shared" si="21"/>
        <v>0</v>
      </c>
      <c r="BN61" s="306">
        <f t="shared" si="22"/>
        <v>0</v>
      </c>
      <c r="BO61" s="306">
        <f t="shared" si="23"/>
        <v>0</v>
      </c>
      <c r="BP61" s="306">
        <f t="shared" si="24"/>
        <v>0</v>
      </c>
      <c r="BQ61" s="257">
        <f t="shared" si="25"/>
        <v>0</v>
      </c>
    </row>
    <row r="62" spans="1:69">
      <c r="B62" s="238"/>
      <c r="C62" s="287"/>
      <c r="D62" s="307"/>
      <c r="E62" s="290"/>
      <c r="F62" s="290"/>
      <c r="G62" s="290"/>
      <c r="H62" s="290"/>
      <c r="I62" s="290"/>
      <c r="J62" s="290"/>
      <c r="K62" s="290"/>
      <c r="L62" s="290"/>
      <c r="M62" s="290"/>
      <c r="N62" s="290"/>
      <c r="O62" s="290"/>
      <c r="P62" s="290"/>
      <c r="Q62" s="290"/>
      <c r="R62" s="290"/>
      <c r="S62" s="290"/>
      <c r="T62" s="290"/>
      <c r="U62" s="290"/>
      <c r="V62" s="290"/>
      <c r="W62" s="290"/>
      <c r="X62" s="291"/>
      <c r="Z62" s="308"/>
      <c r="AA62" s="309"/>
      <c r="AB62" s="309"/>
      <c r="AC62" s="309"/>
      <c r="AD62" s="309"/>
      <c r="AE62" s="309"/>
      <c r="AF62" s="309"/>
      <c r="AG62" s="309"/>
      <c r="AH62" s="309"/>
      <c r="AI62" s="309"/>
      <c r="AJ62" s="309"/>
      <c r="AK62" s="309"/>
      <c r="AL62" s="309"/>
      <c r="AM62" s="309"/>
      <c r="AN62" s="309"/>
      <c r="AO62" s="309"/>
      <c r="AP62" s="309"/>
      <c r="AQ62" s="309"/>
      <c r="AR62" s="309"/>
      <c r="AS62" s="309"/>
      <c r="AT62" s="310"/>
      <c r="AV62" s="304">
        <f t="shared" si="4"/>
        <v>0</v>
      </c>
      <c r="AW62" s="305">
        <f t="shared" si="5"/>
        <v>0</v>
      </c>
      <c r="AX62" s="305">
        <f t="shared" si="6"/>
        <v>0</v>
      </c>
      <c r="AY62" s="305">
        <f t="shared" si="7"/>
        <v>0</v>
      </c>
      <c r="AZ62" s="305">
        <f t="shared" si="8"/>
        <v>0</v>
      </c>
      <c r="BA62" s="305">
        <f t="shared" si="9"/>
        <v>0</v>
      </c>
      <c r="BB62" s="305">
        <f t="shared" si="10"/>
        <v>0</v>
      </c>
      <c r="BC62" s="305">
        <f t="shared" si="11"/>
        <v>0</v>
      </c>
      <c r="BD62" s="305">
        <f t="shared" si="12"/>
        <v>0</v>
      </c>
      <c r="BE62" s="305">
        <f t="shared" si="13"/>
        <v>0</v>
      </c>
      <c r="BF62" s="305">
        <f t="shared" si="14"/>
        <v>0</v>
      </c>
      <c r="BG62" s="305">
        <f t="shared" si="15"/>
        <v>0</v>
      </c>
      <c r="BH62" s="305">
        <f t="shared" si="16"/>
        <v>0</v>
      </c>
      <c r="BI62" s="306">
        <f t="shared" si="17"/>
        <v>0</v>
      </c>
      <c r="BJ62" s="306">
        <f t="shared" si="18"/>
        <v>0</v>
      </c>
      <c r="BK62" s="306">
        <f t="shared" si="19"/>
        <v>0</v>
      </c>
      <c r="BL62" s="306">
        <f t="shared" si="20"/>
        <v>0</v>
      </c>
      <c r="BM62" s="306">
        <f t="shared" si="21"/>
        <v>0</v>
      </c>
      <c r="BN62" s="306">
        <f t="shared" si="22"/>
        <v>0</v>
      </c>
      <c r="BO62" s="306">
        <f t="shared" si="23"/>
        <v>0</v>
      </c>
      <c r="BP62" s="306">
        <f t="shared" si="24"/>
        <v>0</v>
      </c>
      <c r="BQ62" s="257">
        <f t="shared" si="25"/>
        <v>0</v>
      </c>
    </row>
    <row r="63" spans="1:69">
      <c r="B63" s="238"/>
      <c r="C63" s="287"/>
      <c r="D63" s="307"/>
      <c r="E63" s="290"/>
      <c r="F63" s="290"/>
      <c r="G63" s="290"/>
      <c r="H63" s="290"/>
      <c r="I63" s="290"/>
      <c r="J63" s="290"/>
      <c r="K63" s="290"/>
      <c r="L63" s="290"/>
      <c r="M63" s="290"/>
      <c r="N63" s="290"/>
      <c r="O63" s="290"/>
      <c r="P63" s="290"/>
      <c r="Q63" s="290"/>
      <c r="R63" s="290"/>
      <c r="S63" s="290"/>
      <c r="T63" s="290"/>
      <c r="U63" s="290"/>
      <c r="V63" s="290"/>
      <c r="W63" s="290"/>
      <c r="X63" s="291"/>
      <c r="Z63" s="308"/>
      <c r="AA63" s="309"/>
      <c r="AB63" s="309"/>
      <c r="AC63" s="309"/>
      <c r="AD63" s="309"/>
      <c r="AE63" s="309"/>
      <c r="AF63" s="309"/>
      <c r="AG63" s="309"/>
      <c r="AH63" s="309"/>
      <c r="AI63" s="309"/>
      <c r="AJ63" s="309"/>
      <c r="AK63" s="309"/>
      <c r="AL63" s="309"/>
      <c r="AM63" s="309"/>
      <c r="AN63" s="309"/>
      <c r="AO63" s="309"/>
      <c r="AP63" s="309"/>
      <c r="AQ63" s="309"/>
      <c r="AR63" s="309"/>
      <c r="AS63" s="309"/>
      <c r="AT63" s="310"/>
      <c r="AV63" s="304">
        <f t="shared" si="4"/>
        <v>0</v>
      </c>
      <c r="AW63" s="305">
        <f t="shared" si="5"/>
        <v>0</v>
      </c>
      <c r="AX63" s="305">
        <f t="shared" si="6"/>
        <v>0</v>
      </c>
      <c r="AY63" s="305">
        <f t="shared" si="7"/>
        <v>0</v>
      </c>
      <c r="AZ63" s="305">
        <f t="shared" si="8"/>
        <v>0</v>
      </c>
      <c r="BA63" s="305">
        <f t="shared" si="9"/>
        <v>0</v>
      </c>
      <c r="BB63" s="305">
        <f t="shared" si="10"/>
        <v>0</v>
      </c>
      <c r="BC63" s="305">
        <f t="shared" si="11"/>
        <v>0</v>
      </c>
      <c r="BD63" s="305">
        <f t="shared" si="12"/>
        <v>0</v>
      </c>
      <c r="BE63" s="305">
        <f t="shared" si="13"/>
        <v>0</v>
      </c>
      <c r="BF63" s="305">
        <f t="shared" si="14"/>
        <v>0</v>
      </c>
      <c r="BG63" s="305">
        <f t="shared" si="15"/>
        <v>0</v>
      </c>
      <c r="BH63" s="305">
        <f t="shared" si="16"/>
        <v>0</v>
      </c>
      <c r="BI63" s="306">
        <f t="shared" si="17"/>
        <v>0</v>
      </c>
      <c r="BJ63" s="306">
        <f t="shared" si="18"/>
        <v>0</v>
      </c>
      <c r="BK63" s="306">
        <f t="shared" si="19"/>
        <v>0</v>
      </c>
      <c r="BL63" s="306">
        <f t="shared" si="20"/>
        <v>0</v>
      </c>
      <c r="BM63" s="306">
        <f t="shared" si="21"/>
        <v>0</v>
      </c>
      <c r="BN63" s="306">
        <f t="shared" si="22"/>
        <v>0</v>
      </c>
      <c r="BO63" s="306">
        <f t="shared" si="23"/>
        <v>0</v>
      </c>
      <c r="BP63" s="306">
        <f t="shared" si="24"/>
        <v>0</v>
      </c>
      <c r="BQ63" s="257">
        <f t="shared" si="25"/>
        <v>0</v>
      </c>
    </row>
    <row r="64" spans="1:69">
      <c r="B64" s="238"/>
      <c r="C64" s="287"/>
      <c r="D64" s="307"/>
      <c r="E64" s="290"/>
      <c r="F64" s="290"/>
      <c r="G64" s="290"/>
      <c r="H64" s="290"/>
      <c r="I64" s="290"/>
      <c r="J64" s="290"/>
      <c r="K64" s="290"/>
      <c r="L64" s="290"/>
      <c r="M64" s="290"/>
      <c r="N64" s="290"/>
      <c r="O64" s="290"/>
      <c r="P64" s="290"/>
      <c r="Q64" s="290"/>
      <c r="R64" s="290"/>
      <c r="S64" s="290"/>
      <c r="T64" s="290"/>
      <c r="U64" s="290"/>
      <c r="V64" s="290"/>
      <c r="W64" s="290"/>
      <c r="X64" s="291"/>
      <c r="Z64" s="308"/>
      <c r="AA64" s="309"/>
      <c r="AB64" s="309"/>
      <c r="AC64" s="309"/>
      <c r="AD64" s="309"/>
      <c r="AE64" s="309"/>
      <c r="AF64" s="309"/>
      <c r="AG64" s="309"/>
      <c r="AH64" s="309"/>
      <c r="AI64" s="309"/>
      <c r="AJ64" s="309"/>
      <c r="AK64" s="309"/>
      <c r="AL64" s="309"/>
      <c r="AM64" s="309"/>
      <c r="AN64" s="309"/>
      <c r="AO64" s="309"/>
      <c r="AP64" s="309"/>
      <c r="AQ64" s="309"/>
      <c r="AR64" s="309"/>
      <c r="AS64" s="309"/>
      <c r="AT64" s="310"/>
      <c r="AV64" s="304">
        <f t="shared" si="4"/>
        <v>0</v>
      </c>
      <c r="AW64" s="305">
        <f t="shared" si="5"/>
        <v>0</v>
      </c>
      <c r="AX64" s="305">
        <f t="shared" si="6"/>
        <v>0</v>
      </c>
      <c r="AY64" s="305">
        <f t="shared" si="7"/>
        <v>0</v>
      </c>
      <c r="AZ64" s="305">
        <f t="shared" si="8"/>
        <v>0</v>
      </c>
      <c r="BA64" s="305">
        <f t="shared" si="9"/>
        <v>0</v>
      </c>
      <c r="BB64" s="305">
        <f t="shared" si="10"/>
        <v>0</v>
      </c>
      <c r="BC64" s="305">
        <f t="shared" si="11"/>
        <v>0</v>
      </c>
      <c r="BD64" s="305">
        <f t="shared" si="12"/>
        <v>0</v>
      </c>
      <c r="BE64" s="305">
        <f t="shared" si="13"/>
        <v>0</v>
      </c>
      <c r="BF64" s="305">
        <f t="shared" si="14"/>
        <v>0</v>
      </c>
      <c r="BG64" s="305">
        <f t="shared" si="15"/>
        <v>0</v>
      </c>
      <c r="BH64" s="305">
        <f t="shared" si="16"/>
        <v>0</v>
      </c>
      <c r="BI64" s="306">
        <f t="shared" si="17"/>
        <v>0</v>
      </c>
      <c r="BJ64" s="306">
        <f t="shared" si="18"/>
        <v>0</v>
      </c>
      <c r="BK64" s="306">
        <f t="shared" si="19"/>
        <v>0</v>
      </c>
      <c r="BL64" s="306">
        <f t="shared" si="20"/>
        <v>0</v>
      </c>
      <c r="BM64" s="306">
        <f t="shared" si="21"/>
        <v>0</v>
      </c>
      <c r="BN64" s="306">
        <f t="shared" si="22"/>
        <v>0</v>
      </c>
      <c r="BO64" s="306">
        <f t="shared" si="23"/>
        <v>0</v>
      </c>
      <c r="BP64" s="306">
        <f t="shared" si="24"/>
        <v>0</v>
      </c>
      <c r="BQ64" s="257">
        <f t="shared" si="25"/>
        <v>0</v>
      </c>
    </row>
    <row r="65" spans="2:69" ht="13.5" thickBot="1">
      <c r="B65" s="262"/>
      <c r="C65" s="292"/>
      <c r="D65" s="311"/>
      <c r="E65" s="295"/>
      <c r="F65" s="295"/>
      <c r="G65" s="295"/>
      <c r="H65" s="295"/>
      <c r="I65" s="295"/>
      <c r="J65" s="295"/>
      <c r="K65" s="295"/>
      <c r="L65" s="295"/>
      <c r="M65" s="295"/>
      <c r="N65" s="295"/>
      <c r="O65" s="295"/>
      <c r="P65" s="295"/>
      <c r="Q65" s="295"/>
      <c r="R65" s="295"/>
      <c r="S65" s="295"/>
      <c r="T65" s="295"/>
      <c r="U65" s="295"/>
      <c r="V65" s="295"/>
      <c r="W65" s="295"/>
      <c r="X65" s="296"/>
      <c r="Z65" s="312"/>
      <c r="AA65" s="313"/>
      <c r="AB65" s="313"/>
      <c r="AC65" s="313"/>
      <c r="AD65" s="313"/>
      <c r="AE65" s="313"/>
      <c r="AF65" s="313"/>
      <c r="AG65" s="313"/>
      <c r="AH65" s="313"/>
      <c r="AI65" s="313"/>
      <c r="AJ65" s="313"/>
      <c r="AK65" s="313"/>
      <c r="AL65" s="313"/>
      <c r="AM65" s="313"/>
      <c r="AN65" s="313"/>
      <c r="AO65" s="313"/>
      <c r="AP65" s="313"/>
      <c r="AQ65" s="313"/>
      <c r="AR65" s="313"/>
      <c r="AS65" s="313"/>
      <c r="AT65" s="314"/>
      <c r="AV65" s="315">
        <f t="shared" si="4"/>
        <v>0</v>
      </c>
      <c r="AW65" s="316">
        <f t="shared" si="5"/>
        <v>0</v>
      </c>
      <c r="AX65" s="316">
        <f t="shared" si="6"/>
        <v>0</v>
      </c>
      <c r="AY65" s="316">
        <f t="shared" si="7"/>
        <v>0</v>
      </c>
      <c r="AZ65" s="316">
        <f t="shared" si="8"/>
        <v>0</v>
      </c>
      <c r="BA65" s="316">
        <f t="shared" si="9"/>
        <v>0</v>
      </c>
      <c r="BB65" s="316">
        <f t="shared" si="10"/>
        <v>0</v>
      </c>
      <c r="BC65" s="316">
        <f t="shared" si="11"/>
        <v>0</v>
      </c>
      <c r="BD65" s="316">
        <f t="shared" si="12"/>
        <v>0</v>
      </c>
      <c r="BE65" s="316">
        <f t="shared" si="13"/>
        <v>0</v>
      </c>
      <c r="BF65" s="316">
        <f t="shared" si="14"/>
        <v>0</v>
      </c>
      <c r="BG65" s="316">
        <f t="shared" si="15"/>
        <v>0</v>
      </c>
      <c r="BH65" s="316">
        <f t="shared" si="16"/>
        <v>0</v>
      </c>
      <c r="BI65" s="317">
        <f t="shared" si="17"/>
        <v>0</v>
      </c>
      <c r="BJ65" s="317">
        <f t="shared" si="18"/>
        <v>0</v>
      </c>
      <c r="BK65" s="317">
        <f t="shared" si="19"/>
        <v>0</v>
      </c>
      <c r="BL65" s="317">
        <f t="shared" si="20"/>
        <v>0</v>
      </c>
      <c r="BM65" s="317">
        <f t="shared" si="21"/>
        <v>0</v>
      </c>
      <c r="BN65" s="317">
        <f t="shared" si="22"/>
        <v>0</v>
      </c>
      <c r="BO65" s="317">
        <f t="shared" si="23"/>
        <v>0</v>
      </c>
      <c r="BP65" s="317">
        <f t="shared" si="24"/>
        <v>0</v>
      </c>
      <c r="BQ65" s="273">
        <f t="shared" si="25"/>
        <v>0</v>
      </c>
    </row>
    <row r="66" spans="2:69" ht="13.5" thickBot="1">
      <c r="B66" s="274"/>
      <c r="C66" s="154"/>
      <c r="Z66" s="275">
        <f t="shared" ref="Z66:AL66" si="26">SUM(Z6:Z65)</f>
        <v>365938.91721318808</v>
      </c>
      <c r="AA66" s="275">
        <f t="shared" si="26"/>
        <v>1235940224.1841166</v>
      </c>
      <c r="AB66" s="275">
        <f t="shared" si="26"/>
        <v>2661223693.0817952</v>
      </c>
      <c r="AC66" s="275">
        <f t="shared" si="26"/>
        <v>0</v>
      </c>
      <c r="AD66" s="275">
        <f t="shared" si="26"/>
        <v>0</v>
      </c>
      <c r="AE66" s="275">
        <f t="shared" si="26"/>
        <v>1998672956.8881953</v>
      </c>
      <c r="AF66" s="275">
        <f t="shared" si="26"/>
        <v>0</v>
      </c>
      <c r="AG66" s="275">
        <f t="shared" si="26"/>
        <v>0</v>
      </c>
      <c r="AH66" s="275">
        <f t="shared" si="26"/>
        <v>0</v>
      </c>
      <c r="AI66" s="275">
        <f t="shared" si="26"/>
        <v>946704.44975214661</v>
      </c>
      <c r="AJ66" s="275">
        <f t="shared" si="26"/>
        <v>0</v>
      </c>
      <c r="AK66" s="275">
        <f t="shared" si="26"/>
        <v>1288686.2076889491</v>
      </c>
      <c r="AL66" s="275">
        <f t="shared" si="26"/>
        <v>2176828.85398266</v>
      </c>
      <c r="AM66" s="275">
        <f t="shared" ref="AM66:AT66" si="27">SUM(AM6:AM65)</f>
        <v>278510.92236634385</v>
      </c>
      <c r="AN66" s="275">
        <f t="shared" si="27"/>
        <v>467168.79569337569</v>
      </c>
      <c r="AO66" s="275">
        <f t="shared" si="27"/>
        <v>364966.73287545034</v>
      </c>
      <c r="AP66" s="275">
        <f t="shared" si="27"/>
        <v>0</v>
      </c>
      <c r="AQ66" s="275">
        <f t="shared" si="27"/>
        <v>1013688.2884133384</v>
      </c>
      <c r="AR66" s="275">
        <f t="shared" si="27"/>
        <v>1670241.1883880778</v>
      </c>
      <c r="AS66" s="275">
        <f t="shared" si="27"/>
        <v>1299163.2104853343</v>
      </c>
      <c r="AT66" s="275">
        <f t="shared" si="27"/>
        <v>0</v>
      </c>
      <c r="AV66" s="318">
        <f t="shared" ref="AV66:BQ66" si="28">SUM(AV6:AV65)</f>
        <v>0</v>
      </c>
      <c r="AW66" s="275">
        <f t="shared" si="28"/>
        <v>20759123.535032567</v>
      </c>
      <c r="AX66" s="275">
        <f t="shared" si="28"/>
        <v>37982328.595692351</v>
      </c>
      <c r="AY66" s="275">
        <f t="shared" si="28"/>
        <v>0</v>
      </c>
      <c r="AZ66" s="275">
        <f t="shared" si="28"/>
        <v>0</v>
      </c>
      <c r="BA66" s="275">
        <f t="shared" si="28"/>
        <v>14036912.02635728</v>
      </c>
      <c r="BB66" s="275">
        <f t="shared" si="28"/>
        <v>0</v>
      </c>
      <c r="BC66" s="275">
        <f t="shared" si="28"/>
        <v>0</v>
      </c>
      <c r="BD66" s="275">
        <f t="shared" si="28"/>
        <v>0</v>
      </c>
      <c r="BE66" s="275">
        <f t="shared" si="28"/>
        <v>30088633.102940641</v>
      </c>
      <c r="BF66" s="275">
        <f t="shared" si="28"/>
        <v>0</v>
      </c>
      <c r="BG66" s="275">
        <f t="shared" si="28"/>
        <v>1145173.2626650771</v>
      </c>
      <c r="BH66" s="275">
        <f t="shared" si="28"/>
        <v>964753.45975301741</v>
      </c>
      <c r="BI66" s="275">
        <f t="shared" si="28"/>
        <v>6601.6729261788532</v>
      </c>
      <c r="BJ66" s="275">
        <f t="shared" si="28"/>
        <v>6822.8364544282167</v>
      </c>
      <c r="BK66" s="275">
        <f t="shared" si="28"/>
        <v>2213.3223065281049</v>
      </c>
      <c r="BL66" s="275">
        <f t="shared" si="28"/>
        <v>0</v>
      </c>
      <c r="BM66" s="275">
        <f t="shared" si="28"/>
        <v>23981.069523870567</v>
      </c>
      <c r="BN66" s="275">
        <f t="shared" si="28"/>
        <v>24348.359071460167</v>
      </c>
      <c r="BO66" s="275">
        <f t="shared" si="28"/>
        <v>7782.3737744191276</v>
      </c>
      <c r="BP66" s="275">
        <f t="shared" si="28"/>
        <v>0</v>
      </c>
      <c r="BQ66" s="275">
        <f t="shared" si="28"/>
        <v>105048673.61649781</v>
      </c>
    </row>
    <row r="67" spans="2:69" ht="13.5" thickTop="1">
      <c r="B67" s="274"/>
      <c r="C67" s="154"/>
    </row>
    <row r="68" spans="2:69">
      <c r="B68" s="274"/>
      <c r="C68" s="154"/>
    </row>
    <row r="69" spans="2:69">
      <c r="B69" s="274"/>
      <c r="C69" s="154"/>
      <c r="BQ69" s="324"/>
    </row>
    <row r="70" spans="2:69">
      <c r="B70" s="274"/>
      <c r="C70" s="154"/>
      <c r="BQ70" s="319"/>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row r="103" spans="2:3">
      <c r="B103" s="274"/>
      <c r="C103" s="154"/>
    </row>
    <row r="104" spans="2:3">
      <c r="B104" s="274"/>
      <c r="C104" s="154"/>
    </row>
    <row r="105" spans="2:3">
      <c r="B105" s="274"/>
      <c r="C105" s="154"/>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1"/>
    <pageSetUpPr autoPageBreaks="0"/>
  </sheetPr>
  <dimension ref="B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K39" sqref="K39"/>
    </sheetView>
  </sheetViews>
  <sheetFormatPr defaultRowHeight="12.75"/>
  <cols>
    <col min="1" max="1" width="1.8554687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49" width="18" style="199" customWidth="1"/>
    <col min="50"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58" width="13.140625" style="199" customWidth="1"/>
    <col min="59"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2:69" ht="15">
      <c r="B1" s="153" t="str">
        <f>"Tariff Approval - "&amp;'Model update'!C3</f>
        <v>Tariff Approval - CitiPower</v>
      </c>
    </row>
    <row r="3" spans="2:69">
      <c r="B3" s="227" t="str">
        <f>"ESTIMATED "&amp;'Model update'!C8&amp;" TRANSMISSION TARIFF REVENUE"</f>
        <v>ESTIMATED 2017 TRANSMISSION TARIFF REVENUE</v>
      </c>
    </row>
    <row r="4" spans="2:69" ht="13.5" thickBot="1">
      <c r="D4" s="229" t="str">
        <f>"Current Transmission Tariffs (Pt-1) for "&amp;'Model update'!$C$8</f>
        <v>Current Transmission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2:69" ht="38.25">
      <c r="B5" s="233" t="str">
        <f>"Tariffs "&amp;'Model update'!C8</f>
        <v>Tariffs 2017</v>
      </c>
      <c r="D5" s="234" t="s">
        <v>242</v>
      </c>
      <c r="E5" s="235" t="s">
        <v>625</v>
      </c>
      <c r="F5" s="235" t="s">
        <v>626</v>
      </c>
      <c r="G5" s="235"/>
      <c r="H5" s="235"/>
      <c r="I5" s="235" t="s">
        <v>259</v>
      </c>
      <c r="J5" s="235"/>
      <c r="K5" s="235"/>
      <c r="L5" s="235"/>
      <c r="M5" s="235" t="s">
        <v>627</v>
      </c>
      <c r="N5" s="235" t="s">
        <v>628</v>
      </c>
      <c r="O5" s="235" t="s">
        <v>629</v>
      </c>
      <c r="P5" s="235" t="s">
        <v>630</v>
      </c>
      <c r="Q5" s="236" t="s">
        <v>243</v>
      </c>
      <c r="R5" s="235" t="s">
        <v>244</v>
      </c>
      <c r="S5" s="235" t="s">
        <v>245</v>
      </c>
      <c r="T5" s="235"/>
      <c r="U5" s="235" t="s">
        <v>246</v>
      </c>
      <c r="V5" s="235" t="s">
        <v>247</v>
      </c>
      <c r="W5" s="235" t="s">
        <v>248</v>
      </c>
      <c r="X5" s="237"/>
      <c r="Z5" s="234" t="s">
        <v>260</v>
      </c>
      <c r="AA5" s="235" t="s">
        <v>631</v>
      </c>
      <c r="AB5" s="235" t="s">
        <v>632</v>
      </c>
      <c r="AC5" s="235"/>
      <c r="AD5" s="235"/>
      <c r="AE5" s="235" t="s">
        <v>261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250</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c r="BQ5" s="237" t="s">
        <v>258</v>
      </c>
    </row>
    <row r="6" spans="2:69">
      <c r="B6" s="238"/>
      <c r="D6" s="239"/>
      <c r="E6" s="240"/>
      <c r="F6" s="240"/>
      <c r="G6" s="240"/>
      <c r="H6" s="240"/>
      <c r="I6" s="240"/>
      <c r="J6" s="240"/>
      <c r="K6" s="240"/>
      <c r="L6" s="240"/>
      <c r="M6" s="241"/>
      <c r="N6" s="241"/>
      <c r="O6" s="241"/>
      <c r="P6" s="241"/>
      <c r="Q6" s="241"/>
      <c r="R6" s="241"/>
      <c r="S6" s="241"/>
      <c r="T6" s="241"/>
      <c r="U6" s="241"/>
      <c r="V6" s="241"/>
      <c r="W6" s="241"/>
      <c r="X6" s="242"/>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46">
        <f t="shared" ref="BI6:BP6"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2:69">
      <c r="B7" s="238" t="s">
        <v>546</v>
      </c>
      <c r="D7" s="320">
        <v>0</v>
      </c>
      <c r="E7" s="250">
        <v>1.77</v>
      </c>
      <c r="F7" s="250">
        <v>0</v>
      </c>
      <c r="G7" s="250"/>
      <c r="H7" s="250"/>
      <c r="I7" s="250">
        <v>0</v>
      </c>
      <c r="J7" s="250"/>
      <c r="K7" s="250"/>
      <c r="L7" s="250"/>
      <c r="M7" s="250">
        <v>0</v>
      </c>
      <c r="N7" s="250"/>
      <c r="O7" s="250">
        <v>0</v>
      </c>
      <c r="P7" s="250">
        <v>0</v>
      </c>
      <c r="Q7" s="250">
        <v>0</v>
      </c>
      <c r="R7" s="250">
        <v>0</v>
      </c>
      <c r="S7" s="250">
        <v>0</v>
      </c>
      <c r="T7" s="250"/>
      <c r="U7" s="250">
        <v>0</v>
      </c>
      <c r="V7" s="250">
        <v>0</v>
      </c>
      <c r="W7" s="250">
        <v>0</v>
      </c>
      <c r="X7" s="251">
        <v>0</v>
      </c>
      <c r="Z7" s="252">
        <f>Est2017DistRev!Z7</f>
        <v>203103.28638840039</v>
      </c>
      <c r="AA7" s="253">
        <f>Est2017DistRev!AA7</f>
        <v>816843244.44685483</v>
      </c>
      <c r="AB7" s="253">
        <f>Est2017DistRev!AB7</f>
        <v>0</v>
      </c>
      <c r="AC7" s="253">
        <f>Est2017DistRev!AC7</f>
        <v>0</v>
      </c>
      <c r="AD7" s="253">
        <f>Est2017DistRev!AD7</f>
        <v>0</v>
      </c>
      <c r="AE7" s="253">
        <f>Est2017DistRev!AE7</f>
        <v>0</v>
      </c>
      <c r="AF7" s="253">
        <f>Est2017DistRev!AF7</f>
        <v>0</v>
      </c>
      <c r="AG7" s="253">
        <f>Est2017DistRev!AG7</f>
        <v>0</v>
      </c>
      <c r="AH7" s="253">
        <f>Est2017DistRev!AH7</f>
        <v>0</v>
      </c>
      <c r="AI7" s="253">
        <f>Est2017DistRev!AI7</f>
        <v>0</v>
      </c>
      <c r="AJ7" s="253">
        <f>Est2017DistRev!AJ7</f>
        <v>0</v>
      </c>
      <c r="AK7" s="253">
        <f>Est2017DistRev!AK7</f>
        <v>0</v>
      </c>
      <c r="AL7" s="253">
        <f>Est2017DistRev!AL7</f>
        <v>0</v>
      </c>
      <c r="AM7" s="253">
        <f>Est2017DistRev!AM7</f>
        <v>0</v>
      </c>
      <c r="AN7" s="253">
        <f>Est2017DistRev!AN7</f>
        <v>0</v>
      </c>
      <c r="AO7" s="253">
        <f>Est2017DistRev!AO7</f>
        <v>0</v>
      </c>
      <c r="AP7" s="253">
        <f>Est2017DistRev!AP7</f>
        <v>0</v>
      </c>
      <c r="AQ7" s="253">
        <f>Est2017DistRev!AQ7</f>
        <v>0</v>
      </c>
      <c r="AR7" s="253">
        <f>Est2017DistRev!AR7</f>
        <v>0</v>
      </c>
      <c r="AS7" s="253">
        <f>Est2017DistRev!AS7</f>
        <v>0</v>
      </c>
      <c r="AT7" s="254">
        <f>Est2017DistRev!AT7</f>
        <v>0</v>
      </c>
      <c r="AV7" s="255">
        <f t="shared" ref="AV7:AV65" si="4">D7*Z7</f>
        <v>0</v>
      </c>
      <c r="AW7" s="224">
        <f t="shared" ref="AW7:AW65" si="5">E7/100*AA7</f>
        <v>14458125.426709332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56">
        <f t="shared" ref="BI7:BI65" si="17">Q7/100*AM7</f>
        <v>0</v>
      </c>
      <c r="BJ7" s="256">
        <f t="shared" ref="BJ7:BJ65" si="18">R7/100*AN7</f>
        <v>0</v>
      </c>
      <c r="BK7" s="256">
        <f t="shared" ref="BK7:BK65" si="19">S7/100*AO7</f>
        <v>0</v>
      </c>
      <c r="BL7" s="256">
        <f t="shared" ref="BL7:BL65" si="20">T7/100*AP7</f>
        <v>0</v>
      </c>
      <c r="BM7" s="256">
        <f t="shared" ref="BM7:BM65" si="21">U7/100*AQ7</f>
        <v>0</v>
      </c>
      <c r="BN7" s="256">
        <f t="shared" ref="BN7:BN65" si="22">V7/100*AR7</f>
        <v>0</v>
      </c>
      <c r="BO7" s="256">
        <f t="shared" ref="BO7:BO65" si="23">W7/100*AS7</f>
        <v>0</v>
      </c>
      <c r="BP7" s="256">
        <f t="shared" ref="BP7:BP65" si="24">X7/100*AT7</f>
        <v>0</v>
      </c>
      <c r="BQ7" s="257">
        <f t="shared" ref="BQ7:BQ65" si="25">SUM(AV7:BP7)</f>
        <v>14458125.426709332</v>
      </c>
    </row>
    <row r="8" spans="2:69">
      <c r="B8" s="238" t="s">
        <v>547</v>
      </c>
      <c r="D8" s="320">
        <v>0</v>
      </c>
      <c r="E8" s="250">
        <v>1.23</v>
      </c>
      <c r="F8" s="250">
        <v>0</v>
      </c>
      <c r="G8" s="250"/>
      <c r="H8" s="250"/>
      <c r="I8" s="250">
        <v>0</v>
      </c>
      <c r="J8" s="250"/>
      <c r="K8" s="250"/>
      <c r="L8" s="250"/>
      <c r="M8" s="250">
        <v>0</v>
      </c>
      <c r="N8" s="250"/>
      <c r="O8" s="250">
        <v>0</v>
      </c>
      <c r="P8" s="250">
        <v>0</v>
      </c>
      <c r="Q8" s="250">
        <v>0</v>
      </c>
      <c r="R8" s="250">
        <v>0</v>
      </c>
      <c r="S8" s="250">
        <v>0</v>
      </c>
      <c r="T8" s="250"/>
      <c r="U8" s="250">
        <v>0</v>
      </c>
      <c r="V8" s="250">
        <v>0</v>
      </c>
      <c r="W8" s="250">
        <v>0</v>
      </c>
      <c r="X8" s="251">
        <v>0</v>
      </c>
      <c r="Z8" s="279">
        <f>Est2017DistRev!Z8</f>
        <v>30973.485625911526</v>
      </c>
      <c r="AA8" s="253">
        <f>Est2017DistRev!AA8</f>
        <v>103150672.29569083</v>
      </c>
      <c r="AB8" s="253">
        <f>Est2017DistRev!AB8</f>
        <v>0</v>
      </c>
      <c r="AC8" s="253">
        <f>Est2017DistRev!AC8</f>
        <v>0</v>
      </c>
      <c r="AD8" s="253">
        <f>Est2017DistRev!AD8</f>
        <v>0</v>
      </c>
      <c r="AE8" s="253">
        <f>Est2017DistRev!AE8</f>
        <v>0</v>
      </c>
      <c r="AF8" s="253">
        <f>Est2017DistRev!AF8</f>
        <v>0</v>
      </c>
      <c r="AG8" s="253">
        <f>Est2017DistRev!AG8</f>
        <v>0</v>
      </c>
      <c r="AH8" s="253">
        <f>Est2017DistRev!AH8</f>
        <v>0</v>
      </c>
      <c r="AI8" s="253">
        <f>Est2017DistRev!AI8</f>
        <v>0</v>
      </c>
      <c r="AJ8" s="253">
        <f>Est2017DistRev!AJ8</f>
        <v>0</v>
      </c>
      <c r="AK8" s="253">
        <f>Est2017DistRev!AK8</f>
        <v>0</v>
      </c>
      <c r="AL8" s="253">
        <f>Est2017DistRev!AL8</f>
        <v>0</v>
      </c>
      <c r="AM8" s="253">
        <f>Est2017DistRev!AM8</f>
        <v>0</v>
      </c>
      <c r="AN8" s="253">
        <f>Est2017DistRev!AN8</f>
        <v>0</v>
      </c>
      <c r="AO8" s="253">
        <f>Est2017DistRev!AO8</f>
        <v>0</v>
      </c>
      <c r="AP8" s="253">
        <f>Est2017DistRev!AP8</f>
        <v>0</v>
      </c>
      <c r="AQ8" s="253">
        <f>Est2017DistRev!AQ8</f>
        <v>0</v>
      </c>
      <c r="AR8" s="253">
        <f>Est2017DistRev!AR8</f>
        <v>0</v>
      </c>
      <c r="AS8" s="253">
        <f>Est2017DistRev!AS8</f>
        <v>0</v>
      </c>
      <c r="AT8" s="254">
        <f>Est2017DistRev!AT8</f>
        <v>0</v>
      </c>
      <c r="AV8" s="255">
        <f t="shared" si="4"/>
        <v>0</v>
      </c>
      <c r="AW8" s="224">
        <f t="shared" si="5"/>
        <v>1268753.2692369972</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56">
        <f t="shared" si="17"/>
        <v>0</v>
      </c>
      <c r="BJ8" s="256">
        <f t="shared" si="18"/>
        <v>0</v>
      </c>
      <c r="BK8" s="256">
        <f t="shared" si="19"/>
        <v>0</v>
      </c>
      <c r="BL8" s="256">
        <f t="shared" si="20"/>
        <v>0</v>
      </c>
      <c r="BM8" s="256">
        <f t="shared" si="21"/>
        <v>0</v>
      </c>
      <c r="BN8" s="256">
        <f t="shared" si="22"/>
        <v>0</v>
      </c>
      <c r="BO8" s="256">
        <f t="shared" si="23"/>
        <v>0</v>
      </c>
      <c r="BP8" s="256">
        <f t="shared" si="24"/>
        <v>0</v>
      </c>
      <c r="BQ8" s="257">
        <f t="shared" si="25"/>
        <v>1268753.2692369972</v>
      </c>
    </row>
    <row r="9" spans="2:69">
      <c r="B9" s="238" t="s">
        <v>548</v>
      </c>
      <c r="D9" s="320">
        <v>0</v>
      </c>
      <c r="E9" s="250">
        <v>0</v>
      </c>
      <c r="F9" s="250">
        <v>0</v>
      </c>
      <c r="G9" s="250"/>
      <c r="H9" s="250"/>
      <c r="I9" s="250">
        <v>0</v>
      </c>
      <c r="J9" s="250"/>
      <c r="K9" s="250"/>
      <c r="L9" s="250"/>
      <c r="M9" s="250">
        <v>0</v>
      </c>
      <c r="N9" s="250"/>
      <c r="O9" s="250">
        <v>0</v>
      </c>
      <c r="P9" s="250">
        <v>0</v>
      </c>
      <c r="Q9" s="250">
        <v>3.84</v>
      </c>
      <c r="R9" s="250">
        <v>2.59</v>
      </c>
      <c r="S9" s="250">
        <v>1.02</v>
      </c>
      <c r="T9" s="250"/>
      <c r="U9" s="250">
        <v>3.84</v>
      </c>
      <c r="V9" s="250">
        <v>2.59</v>
      </c>
      <c r="W9" s="250">
        <v>1.02</v>
      </c>
      <c r="X9" s="251">
        <v>0</v>
      </c>
      <c r="Z9" s="279">
        <f>Est2017DistRev!Z9</f>
        <v>686.15047014732033</v>
      </c>
      <c r="AA9" s="253">
        <f>Est2017DistRev!AA9</f>
        <v>0</v>
      </c>
      <c r="AB9" s="253">
        <f>Est2017DistRev!AB9</f>
        <v>0</v>
      </c>
      <c r="AC9" s="253">
        <f>Est2017DistRev!AC9</f>
        <v>0</v>
      </c>
      <c r="AD9" s="253">
        <f>Est2017DistRev!AD9</f>
        <v>0</v>
      </c>
      <c r="AE9" s="253">
        <f>Est2017DistRev!AE9</f>
        <v>0</v>
      </c>
      <c r="AF9" s="253">
        <f>Est2017DistRev!AF9</f>
        <v>0</v>
      </c>
      <c r="AG9" s="253">
        <f>Est2017DistRev!AG9</f>
        <v>0</v>
      </c>
      <c r="AH9" s="253">
        <f>Est2017DistRev!AH9</f>
        <v>0</v>
      </c>
      <c r="AI9" s="253">
        <f>Est2017DistRev!AI9</f>
        <v>0</v>
      </c>
      <c r="AJ9" s="253">
        <f>Est2017DistRev!AJ9</f>
        <v>0</v>
      </c>
      <c r="AK9" s="253">
        <f>Est2017DistRev!AK9</f>
        <v>0</v>
      </c>
      <c r="AL9" s="253">
        <f>Est2017DistRev!AL9</f>
        <v>0</v>
      </c>
      <c r="AM9" s="253">
        <f>Est2017DistRev!AM9</f>
        <v>613112.2927184531</v>
      </c>
      <c r="AN9" s="253">
        <f>Est2017DistRev!AN9</f>
        <v>1019088.4572577983</v>
      </c>
      <c r="AO9" s="253">
        <f>Est2017DistRev!AO9</f>
        <v>1354084.1381026416</v>
      </c>
      <c r="AP9" s="253">
        <f>Est2017DistRev!AP9</f>
        <v>0</v>
      </c>
      <c r="AQ9" s="253">
        <f>Est2017DistRev!AQ9</f>
        <v>912417.22340044903</v>
      </c>
      <c r="AR9" s="253">
        <f>Est2017DistRev!AR9</f>
        <v>1605132.6982495736</v>
      </c>
      <c r="AS9" s="253">
        <f>Est2017DistRev!AS9</f>
        <v>1774541.3742083055</v>
      </c>
      <c r="AT9" s="254">
        <f>Est2017DistRev!AT9</f>
        <v>0</v>
      </c>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56">
        <f t="shared" si="17"/>
        <v>23543.512040388596</v>
      </c>
      <c r="BJ9" s="256">
        <f t="shared" si="18"/>
        <v>26394.391042976975</v>
      </c>
      <c r="BK9" s="256">
        <f t="shared" si="19"/>
        <v>13811.658208646944</v>
      </c>
      <c r="BL9" s="256">
        <f t="shared" si="20"/>
        <v>0</v>
      </c>
      <c r="BM9" s="256">
        <f t="shared" si="21"/>
        <v>35036.821378577239</v>
      </c>
      <c r="BN9" s="256">
        <f t="shared" si="22"/>
        <v>41572.936884663955</v>
      </c>
      <c r="BO9" s="256">
        <f t="shared" si="23"/>
        <v>18100.322016924718</v>
      </c>
      <c r="BP9" s="256">
        <f t="shared" si="24"/>
        <v>0</v>
      </c>
      <c r="BQ9" s="257">
        <f t="shared" si="25"/>
        <v>158459.64157217843</v>
      </c>
    </row>
    <row r="10" spans="2:69">
      <c r="B10" s="238" t="s">
        <v>549</v>
      </c>
      <c r="D10" s="320">
        <v>0</v>
      </c>
      <c r="E10" s="250">
        <v>0</v>
      </c>
      <c r="F10" s="250">
        <v>0</v>
      </c>
      <c r="G10" s="250"/>
      <c r="H10" s="250"/>
      <c r="I10" s="250">
        <v>0</v>
      </c>
      <c r="J10" s="250"/>
      <c r="K10" s="250"/>
      <c r="L10" s="250"/>
      <c r="M10" s="250">
        <v>0</v>
      </c>
      <c r="N10" s="250"/>
      <c r="O10" s="250">
        <v>0</v>
      </c>
      <c r="P10" s="250">
        <v>0</v>
      </c>
      <c r="Q10" s="250">
        <v>3.07</v>
      </c>
      <c r="R10" s="250">
        <v>2.0699999999999998</v>
      </c>
      <c r="S10" s="250">
        <v>0.81</v>
      </c>
      <c r="T10" s="250"/>
      <c r="U10" s="250">
        <v>3.07</v>
      </c>
      <c r="V10" s="250">
        <v>2.0699999999999998</v>
      </c>
      <c r="W10" s="250">
        <v>0.81</v>
      </c>
      <c r="X10" s="251">
        <v>0</v>
      </c>
      <c r="Z10" s="279">
        <f>Est2017DistRev!Z10</f>
        <v>86.713471080163117</v>
      </c>
      <c r="AA10" s="253">
        <f>Est2017DistRev!AA10</f>
        <v>0</v>
      </c>
      <c r="AB10" s="253">
        <f>Est2017DistRev!AB10</f>
        <v>0</v>
      </c>
      <c r="AC10" s="253">
        <f>Est2017DistRev!AC10</f>
        <v>0</v>
      </c>
      <c r="AD10" s="253">
        <f>Est2017DistRev!AD10</f>
        <v>0</v>
      </c>
      <c r="AE10" s="253">
        <f>Est2017DistRev!AE10</f>
        <v>0</v>
      </c>
      <c r="AF10" s="253">
        <f>Est2017DistRev!AF10</f>
        <v>0</v>
      </c>
      <c r="AG10" s="253">
        <f>Est2017DistRev!AG10</f>
        <v>0</v>
      </c>
      <c r="AH10" s="253">
        <f>Est2017DistRev!AH10</f>
        <v>0</v>
      </c>
      <c r="AI10" s="253">
        <f>Est2017DistRev!AI10</f>
        <v>0</v>
      </c>
      <c r="AJ10" s="253">
        <f>Est2017DistRev!AJ10</f>
        <v>0</v>
      </c>
      <c r="AK10" s="253">
        <f>Est2017DistRev!AK10</f>
        <v>0</v>
      </c>
      <c r="AL10" s="253">
        <f>Est2017DistRev!AL10</f>
        <v>0</v>
      </c>
      <c r="AM10" s="253">
        <f>Est2017DistRev!AM10</f>
        <v>39544.135143470819</v>
      </c>
      <c r="AN10" s="253">
        <f>Est2017DistRev!AN10</f>
        <v>85152.124455447716</v>
      </c>
      <c r="AO10" s="253">
        <f>Est2017DistRev!AO10</f>
        <v>65541.547412092608</v>
      </c>
      <c r="AP10" s="253">
        <f>Est2017DistRev!AP10</f>
        <v>0</v>
      </c>
      <c r="AQ10" s="253">
        <f>Est2017DistRev!AQ10</f>
        <v>61520.788290843069</v>
      </c>
      <c r="AR10" s="253">
        <f>Est2017DistRev!AR10</f>
        <v>127962.42988467065</v>
      </c>
      <c r="AS10" s="253">
        <f>Est2017DistRev!AS10</f>
        <v>100190.34543430145</v>
      </c>
      <c r="AT10" s="254">
        <f>Est2017DistRev!AT10</f>
        <v>0</v>
      </c>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56">
        <f t="shared" si="17"/>
        <v>1214.0049489045541</v>
      </c>
      <c r="BJ10" s="256">
        <f t="shared" si="18"/>
        <v>1762.6489762277677</v>
      </c>
      <c r="BK10" s="256">
        <f t="shared" si="19"/>
        <v>530.88653403795024</v>
      </c>
      <c r="BL10" s="256">
        <f t="shared" si="20"/>
        <v>0</v>
      </c>
      <c r="BM10" s="256">
        <f t="shared" si="21"/>
        <v>1888.6882005288821</v>
      </c>
      <c r="BN10" s="256">
        <f t="shared" si="22"/>
        <v>2648.8222986126825</v>
      </c>
      <c r="BO10" s="256">
        <f t="shared" si="23"/>
        <v>811.54179801784187</v>
      </c>
      <c r="BP10" s="256">
        <f t="shared" si="24"/>
        <v>0</v>
      </c>
      <c r="BQ10" s="257">
        <f t="shared" si="25"/>
        <v>8856.5927563296791</v>
      </c>
    </row>
    <row r="11" spans="2:69">
      <c r="B11" s="238" t="s">
        <v>550</v>
      </c>
      <c r="D11" s="320">
        <v>0</v>
      </c>
      <c r="E11" s="250">
        <v>0</v>
      </c>
      <c r="F11" s="250">
        <v>3.29</v>
      </c>
      <c r="G11" s="250"/>
      <c r="H11" s="250"/>
      <c r="I11" s="250">
        <v>0.7</v>
      </c>
      <c r="J11" s="250"/>
      <c r="K11" s="250"/>
      <c r="L11" s="250"/>
      <c r="M11" s="250">
        <v>0</v>
      </c>
      <c r="N11" s="250"/>
      <c r="O11" s="250">
        <v>0</v>
      </c>
      <c r="P11" s="250">
        <v>0</v>
      </c>
      <c r="Q11" s="250">
        <v>0</v>
      </c>
      <c r="R11" s="250">
        <v>0</v>
      </c>
      <c r="S11" s="250">
        <v>0</v>
      </c>
      <c r="T11" s="250"/>
      <c r="U11" s="250">
        <v>0</v>
      </c>
      <c r="V11" s="250">
        <v>0</v>
      </c>
      <c r="W11" s="250">
        <v>0</v>
      </c>
      <c r="X11" s="251">
        <v>0</v>
      </c>
      <c r="Z11" s="279">
        <f>Est2017DistRev!Z11</f>
        <v>11014.749131530216</v>
      </c>
      <c r="AA11" s="253">
        <f>Est2017DistRev!AA11</f>
        <v>0</v>
      </c>
      <c r="AB11" s="253">
        <f>Est2017DistRev!AB11</f>
        <v>33935307.571711652</v>
      </c>
      <c r="AC11" s="253">
        <f>Est2017DistRev!AC11</f>
        <v>0</v>
      </c>
      <c r="AD11" s="253">
        <f>Est2017DistRev!AD11</f>
        <v>0</v>
      </c>
      <c r="AE11" s="253">
        <f>Est2017DistRev!AE11</f>
        <v>28095960.830560345</v>
      </c>
      <c r="AF11" s="253">
        <f>Est2017DistRev!AF11</f>
        <v>0</v>
      </c>
      <c r="AG11" s="253">
        <f>Est2017DistRev!AG11</f>
        <v>0</v>
      </c>
      <c r="AH11" s="253">
        <f>Est2017DistRev!AH11</f>
        <v>0</v>
      </c>
      <c r="AI11" s="253">
        <f>Est2017DistRev!AI11</f>
        <v>0</v>
      </c>
      <c r="AJ11" s="253">
        <f>Est2017DistRev!AJ11</f>
        <v>0</v>
      </c>
      <c r="AK11" s="253">
        <f>Est2017DistRev!AK11</f>
        <v>0</v>
      </c>
      <c r="AL11" s="253">
        <f>Est2017DistRev!AL11</f>
        <v>0</v>
      </c>
      <c r="AM11" s="253">
        <f>Est2017DistRev!AM11</f>
        <v>0</v>
      </c>
      <c r="AN11" s="253">
        <f>Est2017DistRev!AN11</f>
        <v>0</v>
      </c>
      <c r="AO11" s="253">
        <f>Est2017DistRev!AO11</f>
        <v>0</v>
      </c>
      <c r="AP11" s="253">
        <f>Est2017DistRev!AP11</f>
        <v>0</v>
      </c>
      <c r="AQ11" s="253">
        <f>Est2017DistRev!AQ11</f>
        <v>0</v>
      </c>
      <c r="AR11" s="253">
        <f>Est2017DistRev!AR11</f>
        <v>0</v>
      </c>
      <c r="AS11" s="253">
        <f>Est2017DistRev!AS11</f>
        <v>0</v>
      </c>
      <c r="AT11" s="254">
        <f>Est2017DistRev!AT11</f>
        <v>0</v>
      </c>
      <c r="AV11" s="255">
        <f t="shared" si="4"/>
        <v>0</v>
      </c>
      <c r="AW11" s="224">
        <f t="shared" si="5"/>
        <v>0</v>
      </c>
      <c r="AX11" s="224">
        <f t="shared" si="6"/>
        <v>1116471.6191093132</v>
      </c>
      <c r="AY11" s="224">
        <f t="shared" si="7"/>
        <v>0</v>
      </c>
      <c r="AZ11" s="224">
        <f t="shared" si="8"/>
        <v>0</v>
      </c>
      <c r="BA11" s="224">
        <f t="shared" si="9"/>
        <v>196671.72581392238</v>
      </c>
      <c r="BB11" s="224">
        <f t="shared" si="10"/>
        <v>0</v>
      </c>
      <c r="BC11" s="224">
        <f t="shared" si="11"/>
        <v>0</v>
      </c>
      <c r="BD11" s="224">
        <f t="shared" si="12"/>
        <v>0</v>
      </c>
      <c r="BE11" s="224">
        <f t="shared" si="13"/>
        <v>0</v>
      </c>
      <c r="BF11" s="224">
        <f t="shared" si="14"/>
        <v>0</v>
      </c>
      <c r="BG11" s="224">
        <f t="shared" si="15"/>
        <v>0</v>
      </c>
      <c r="BH11" s="224">
        <f t="shared" si="16"/>
        <v>0</v>
      </c>
      <c r="BI11" s="256">
        <f t="shared" si="17"/>
        <v>0</v>
      </c>
      <c r="BJ11" s="256">
        <f t="shared" si="18"/>
        <v>0</v>
      </c>
      <c r="BK11" s="256">
        <f t="shared" si="19"/>
        <v>0</v>
      </c>
      <c r="BL11" s="256">
        <f t="shared" si="20"/>
        <v>0</v>
      </c>
      <c r="BM11" s="256">
        <f t="shared" si="21"/>
        <v>0</v>
      </c>
      <c r="BN11" s="256">
        <f t="shared" si="22"/>
        <v>0</v>
      </c>
      <c r="BO11" s="256">
        <f t="shared" si="23"/>
        <v>0</v>
      </c>
      <c r="BP11" s="256">
        <f t="shared" si="24"/>
        <v>0</v>
      </c>
      <c r="BQ11" s="257">
        <f t="shared" si="25"/>
        <v>1313143.3449232357</v>
      </c>
    </row>
    <row r="12" spans="2:69">
      <c r="B12" s="238" t="s">
        <v>551</v>
      </c>
      <c r="D12" s="320">
        <v>0</v>
      </c>
      <c r="E12" s="250">
        <v>0</v>
      </c>
      <c r="F12" s="250">
        <v>2.6</v>
      </c>
      <c r="G12" s="250"/>
      <c r="H12" s="250"/>
      <c r="I12" s="250">
        <v>0.59</v>
      </c>
      <c r="J12" s="250"/>
      <c r="K12" s="250"/>
      <c r="L12" s="250"/>
      <c r="M12" s="250">
        <v>0</v>
      </c>
      <c r="N12" s="250"/>
      <c r="O12" s="250">
        <v>0</v>
      </c>
      <c r="P12" s="250">
        <v>0</v>
      </c>
      <c r="Q12" s="250">
        <v>0</v>
      </c>
      <c r="R12" s="250">
        <v>0</v>
      </c>
      <c r="S12" s="250">
        <v>0</v>
      </c>
      <c r="T12" s="250"/>
      <c r="U12" s="250">
        <v>0</v>
      </c>
      <c r="V12" s="250">
        <v>0</v>
      </c>
      <c r="W12" s="250">
        <v>0</v>
      </c>
      <c r="X12" s="251">
        <v>0</v>
      </c>
      <c r="Z12" s="279">
        <f>Est2017DistRev!Z12</f>
        <v>4381.6195226463469</v>
      </c>
      <c r="AA12" s="253">
        <f>Est2017DistRev!AA12</f>
        <v>0</v>
      </c>
      <c r="AB12" s="253">
        <f>Est2017DistRev!AB12</f>
        <v>11832075.647953285</v>
      </c>
      <c r="AC12" s="253">
        <f>Est2017DistRev!AC12</f>
        <v>0</v>
      </c>
      <c r="AD12" s="253">
        <f>Est2017DistRev!AD12</f>
        <v>0</v>
      </c>
      <c r="AE12" s="253">
        <f>Est2017DistRev!AE12</f>
        <v>9272614.9214595798</v>
      </c>
      <c r="AF12" s="253">
        <f>Est2017DistRev!AF12</f>
        <v>0</v>
      </c>
      <c r="AG12" s="253">
        <f>Est2017DistRev!AG12</f>
        <v>0</v>
      </c>
      <c r="AH12" s="253">
        <f>Est2017DistRev!AH12</f>
        <v>0</v>
      </c>
      <c r="AI12" s="253">
        <f>Est2017DistRev!AI12</f>
        <v>0</v>
      </c>
      <c r="AJ12" s="253">
        <f>Est2017DistRev!AJ12</f>
        <v>0</v>
      </c>
      <c r="AK12" s="253">
        <f>Est2017DistRev!AK12</f>
        <v>0</v>
      </c>
      <c r="AL12" s="253">
        <f>Est2017DistRev!AL12</f>
        <v>0</v>
      </c>
      <c r="AM12" s="253">
        <f>Est2017DistRev!AM12</f>
        <v>0</v>
      </c>
      <c r="AN12" s="253">
        <f>Est2017DistRev!AN12</f>
        <v>0</v>
      </c>
      <c r="AO12" s="253">
        <f>Est2017DistRev!AO12</f>
        <v>0</v>
      </c>
      <c r="AP12" s="253">
        <f>Est2017DistRev!AP12</f>
        <v>0</v>
      </c>
      <c r="AQ12" s="253">
        <f>Est2017DistRev!AQ12</f>
        <v>0</v>
      </c>
      <c r="AR12" s="253">
        <f>Est2017DistRev!AR12</f>
        <v>0</v>
      </c>
      <c r="AS12" s="253">
        <f>Est2017DistRev!AS12</f>
        <v>0</v>
      </c>
      <c r="AT12" s="254">
        <f>Est2017DistRev!AT12</f>
        <v>0</v>
      </c>
      <c r="AV12" s="255">
        <f t="shared" si="4"/>
        <v>0</v>
      </c>
      <c r="AW12" s="224">
        <f t="shared" si="5"/>
        <v>0</v>
      </c>
      <c r="AX12" s="224">
        <f t="shared" si="6"/>
        <v>307633.96684678545</v>
      </c>
      <c r="AY12" s="224">
        <f t="shared" si="7"/>
        <v>0</v>
      </c>
      <c r="AZ12" s="224">
        <f t="shared" si="8"/>
        <v>0</v>
      </c>
      <c r="BA12" s="224">
        <f t="shared" si="9"/>
        <v>54708.42803661152</v>
      </c>
      <c r="BB12" s="224">
        <f t="shared" si="10"/>
        <v>0</v>
      </c>
      <c r="BC12" s="224">
        <f t="shared" si="11"/>
        <v>0</v>
      </c>
      <c r="BD12" s="224">
        <f t="shared" si="12"/>
        <v>0</v>
      </c>
      <c r="BE12" s="224">
        <f t="shared" si="13"/>
        <v>0</v>
      </c>
      <c r="BF12" s="224">
        <f t="shared" si="14"/>
        <v>0</v>
      </c>
      <c r="BG12" s="224">
        <f t="shared" si="15"/>
        <v>0</v>
      </c>
      <c r="BH12" s="224">
        <f t="shared" si="16"/>
        <v>0</v>
      </c>
      <c r="BI12" s="256">
        <f t="shared" si="17"/>
        <v>0</v>
      </c>
      <c r="BJ12" s="256">
        <f t="shared" si="18"/>
        <v>0</v>
      </c>
      <c r="BK12" s="256">
        <f t="shared" si="19"/>
        <v>0</v>
      </c>
      <c r="BL12" s="256">
        <f t="shared" si="20"/>
        <v>0</v>
      </c>
      <c r="BM12" s="256">
        <f t="shared" si="21"/>
        <v>0</v>
      </c>
      <c r="BN12" s="256">
        <f t="shared" si="22"/>
        <v>0</v>
      </c>
      <c r="BO12" s="256">
        <f t="shared" si="23"/>
        <v>0</v>
      </c>
      <c r="BP12" s="256">
        <f t="shared" si="24"/>
        <v>0</v>
      </c>
      <c r="BQ12" s="257">
        <f t="shared" si="25"/>
        <v>362342.39488339698</v>
      </c>
    </row>
    <row r="13" spans="2:69">
      <c r="B13" s="238" t="s">
        <v>552</v>
      </c>
      <c r="D13" s="320">
        <v>0</v>
      </c>
      <c r="E13" s="250">
        <v>0</v>
      </c>
      <c r="F13" s="250">
        <v>3.29</v>
      </c>
      <c r="G13" s="250"/>
      <c r="H13" s="250"/>
      <c r="I13" s="250">
        <v>0.7</v>
      </c>
      <c r="J13" s="250"/>
      <c r="K13" s="250"/>
      <c r="L13" s="250"/>
      <c r="M13" s="250">
        <v>0</v>
      </c>
      <c r="N13" s="250"/>
      <c r="O13" s="250">
        <v>0</v>
      </c>
      <c r="P13" s="250">
        <v>0</v>
      </c>
      <c r="Q13" s="250">
        <v>0</v>
      </c>
      <c r="R13" s="250">
        <v>0</v>
      </c>
      <c r="S13" s="250">
        <v>0</v>
      </c>
      <c r="T13" s="250"/>
      <c r="U13" s="250">
        <v>0</v>
      </c>
      <c r="V13" s="250">
        <v>0</v>
      </c>
      <c r="W13" s="250">
        <v>0</v>
      </c>
      <c r="X13" s="251">
        <v>0</v>
      </c>
      <c r="Z13" s="279">
        <f>Est2017DistRev!Z13</f>
        <v>17389.147828919202</v>
      </c>
      <c r="AA13" s="253">
        <f>Est2017DistRev!AA13</f>
        <v>0</v>
      </c>
      <c r="AB13" s="253">
        <f>Est2017DistRev!AB13</f>
        <v>59576789.514969781</v>
      </c>
      <c r="AC13" s="253">
        <f>Est2017DistRev!AC13</f>
        <v>0</v>
      </c>
      <c r="AD13" s="253">
        <f>Est2017DistRev!AD13</f>
        <v>0</v>
      </c>
      <c r="AE13" s="253">
        <f>Est2017DistRev!AE13</f>
        <v>53241167.131964095</v>
      </c>
      <c r="AF13" s="253">
        <f>Est2017DistRev!AF13</f>
        <v>0</v>
      </c>
      <c r="AG13" s="253">
        <f>Est2017DistRev!AG13</f>
        <v>0</v>
      </c>
      <c r="AH13" s="253">
        <f>Est2017DistRev!AH13</f>
        <v>0</v>
      </c>
      <c r="AI13" s="253">
        <f>Est2017DistRev!AI13</f>
        <v>0</v>
      </c>
      <c r="AJ13" s="253">
        <f>Est2017DistRev!AJ13</f>
        <v>0</v>
      </c>
      <c r="AK13" s="253">
        <f>Est2017DistRev!AK13</f>
        <v>0</v>
      </c>
      <c r="AL13" s="253">
        <f>Est2017DistRev!AL13</f>
        <v>0</v>
      </c>
      <c r="AM13" s="253">
        <f>Est2017DistRev!AM13</f>
        <v>0</v>
      </c>
      <c r="AN13" s="253">
        <f>Est2017DistRev!AN13</f>
        <v>0</v>
      </c>
      <c r="AO13" s="253">
        <f>Est2017DistRev!AO13</f>
        <v>0</v>
      </c>
      <c r="AP13" s="253">
        <f>Est2017DistRev!AP13</f>
        <v>0</v>
      </c>
      <c r="AQ13" s="253">
        <f>Est2017DistRev!AQ13</f>
        <v>0</v>
      </c>
      <c r="AR13" s="253">
        <f>Est2017DistRev!AR13</f>
        <v>0</v>
      </c>
      <c r="AS13" s="253">
        <f>Est2017DistRev!AS13</f>
        <v>0</v>
      </c>
      <c r="AT13" s="254">
        <f>Est2017DistRev!AT13</f>
        <v>0</v>
      </c>
      <c r="AV13" s="255">
        <f t="shared" si="4"/>
        <v>0</v>
      </c>
      <c r="AW13" s="224">
        <f t="shared" si="5"/>
        <v>0</v>
      </c>
      <c r="AX13" s="224">
        <f t="shared" si="6"/>
        <v>1960076.3750425058</v>
      </c>
      <c r="AY13" s="224">
        <f t="shared" si="7"/>
        <v>0</v>
      </c>
      <c r="AZ13" s="224">
        <f t="shared" si="8"/>
        <v>0</v>
      </c>
      <c r="BA13" s="224">
        <f t="shared" si="9"/>
        <v>372688.16992374865</v>
      </c>
      <c r="BB13" s="224">
        <f t="shared" si="10"/>
        <v>0</v>
      </c>
      <c r="BC13" s="224">
        <f t="shared" si="11"/>
        <v>0</v>
      </c>
      <c r="BD13" s="224">
        <f t="shared" si="12"/>
        <v>0</v>
      </c>
      <c r="BE13" s="224">
        <f t="shared" si="13"/>
        <v>0</v>
      </c>
      <c r="BF13" s="224">
        <f t="shared" si="14"/>
        <v>0</v>
      </c>
      <c r="BG13" s="224">
        <f t="shared" si="15"/>
        <v>0</v>
      </c>
      <c r="BH13" s="224">
        <f t="shared" si="16"/>
        <v>0</v>
      </c>
      <c r="BI13" s="256">
        <f t="shared" si="17"/>
        <v>0</v>
      </c>
      <c r="BJ13" s="256">
        <f t="shared" si="18"/>
        <v>0</v>
      </c>
      <c r="BK13" s="256">
        <f t="shared" si="19"/>
        <v>0</v>
      </c>
      <c r="BL13" s="256">
        <f t="shared" si="20"/>
        <v>0</v>
      </c>
      <c r="BM13" s="256">
        <f t="shared" si="21"/>
        <v>0</v>
      </c>
      <c r="BN13" s="256">
        <f t="shared" si="22"/>
        <v>0</v>
      </c>
      <c r="BO13" s="256">
        <f t="shared" si="23"/>
        <v>0</v>
      </c>
      <c r="BP13" s="256">
        <f t="shared" si="24"/>
        <v>0</v>
      </c>
      <c r="BQ13" s="257">
        <f t="shared" si="25"/>
        <v>2332764.5449662544</v>
      </c>
    </row>
    <row r="14" spans="2:69">
      <c r="B14" s="238" t="s">
        <v>553</v>
      </c>
      <c r="D14" s="320">
        <v>0</v>
      </c>
      <c r="E14" s="250">
        <v>0</v>
      </c>
      <c r="F14" s="250">
        <v>2.6</v>
      </c>
      <c r="G14" s="250"/>
      <c r="H14" s="250"/>
      <c r="I14" s="250">
        <v>0.59</v>
      </c>
      <c r="J14" s="250"/>
      <c r="K14" s="250"/>
      <c r="L14" s="250"/>
      <c r="M14" s="250">
        <v>0</v>
      </c>
      <c r="N14" s="250"/>
      <c r="O14" s="250">
        <v>0</v>
      </c>
      <c r="P14" s="250">
        <v>0</v>
      </c>
      <c r="Q14" s="250">
        <v>0</v>
      </c>
      <c r="R14" s="250">
        <v>0</v>
      </c>
      <c r="S14" s="250">
        <v>0</v>
      </c>
      <c r="T14" s="250"/>
      <c r="U14" s="250">
        <v>0</v>
      </c>
      <c r="V14" s="250">
        <v>0</v>
      </c>
      <c r="W14" s="250">
        <v>0</v>
      </c>
      <c r="X14" s="251">
        <v>0</v>
      </c>
      <c r="Z14" s="279">
        <f>Est2017DistRev!Z14</f>
        <v>8919.7013287955069</v>
      </c>
      <c r="AA14" s="253">
        <f>Est2017DistRev!AA14</f>
        <v>0</v>
      </c>
      <c r="AB14" s="253">
        <f>Est2017DistRev!AB14</f>
        <v>15283595.676380193</v>
      </c>
      <c r="AC14" s="253">
        <f>Est2017DistRev!AC14</f>
        <v>0</v>
      </c>
      <c r="AD14" s="253">
        <f>Est2017DistRev!AD14</f>
        <v>0</v>
      </c>
      <c r="AE14" s="253">
        <f>Est2017DistRev!AE14</f>
        <v>14525020.059684802</v>
      </c>
      <c r="AF14" s="253">
        <f>Est2017DistRev!AF14</f>
        <v>0</v>
      </c>
      <c r="AG14" s="253">
        <f>Est2017DistRev!AG14</f>
        <v>0</v>
      </c>
      <c r="AH14" s="253">
        <f>Est2017DistRev!AH14</f>
        <v>0</v>
      </c>
      <c r="AI14" s="253">
        <f>Est2017DistRev!AI14</f>
        <v>0</v>
      </c>
      <c r="AJ14" s="253">
        <f>Est2017DistRev!AJ14</f>
        <v>0</v>
      </c>
      <c r="AK14" s="253">
        <f>Est2017DistRev!AK14</f>
        <v>0</v>
      </c>
      <c r="AL14" s="253">
        <f>Est2017DistRev!AL14</f>
        <v>0</v>
      </c>
      <c r="AM14" s="253">
        <f>Est2017DistRev!AM14</f>
        <v>0</v>
      </c>
      <c r="AN14" s="253">
        <f>Est2017DistRev!AN14</f>
        <v>0</v>
      </c>
      <c r="AO14" s="253">
        <f>Est2017DistRev!AO14</f>
        <v>0</v>
      </c>
      <c r="AP14" s="253">
        <f>Est2017DistRev!AP14</f>
        <v>0</v>
      </c>
      <c r="AQ14" s="253">
        <f>Est2017DistRev!AQ14</f>
        <v>0</v>
      </c>
      <c r="AR14" s="253">
        <f>Est2017DistRev!AR14</f>
        <v>0</v>
      </c>
      <c r="AS14" s="253">
        <f>Est2017DistRev!AS14</f>
        <v>0</v>
      </c>
      <c r="AT14" s="254">
        <f>Est2017DistRev!AT14</f>
        <v>0</v>
      </c>
      <c r="AV14" s="255">
        <f t="shared" si="4"/>
        <v>0</v>
      </c>
      <c r="AW14" s="224">
        <f t="shared" si="5"/>
        <v>0</v>
      </c>
      <c r="AX14" s="224">
        <f t="shared" si="6"/>
        <v>397373.48758588504</v>
      </c>
      <c r="AY14" s="224">
        <f t="shared" si="7"/>
        <v>0</v>
      </c>
      <c r="AZ14" s="224">
        <f t="shared" si="8"/>
        <v>0</v>
      </c>
      <c r="BA14" s="224">
        <f t="shared" si="9"/>
        <v>85697.618352140329</v>
      </c>
      <c r="BB14" s="224">
        <f t="shared" si="10"/>
        <v>0</v>
      </c>
      <c r="BC14" s="224">
        <f t="shared" si="11"/>
        <v>0</v>
      </c>
      <c r="BD14" s="224">
        <f t="shared" si="12"/>
        <v>0</v>
      </c>
      <c r="BE14" s="224">
        <f t="shared" si="13"/>
        <v>0</v>
      </c>
      <c r="BF14" s="224">
        <f t="shared" si="14"/>
        <v>0</v>
      </c>
      <c r="BG14" s="224">
        <f t="shared" si="15"/>
        <v>0</v>
      </c>
      <c r="BH14" s="224">
        <f t="shared" si="16"/>
        <v>0</v>
      </c>
      <c r="BI14" s="256">
        <f t="shared" si="17"/>
        <v>0</v>
      </c>
      <c r="BJ14" s="256">
        <f t="shared" si="18"/>
        <v>0</v>
      </c>
      <c r="BK14" s="256">
        <f t="shared" si="19"/>
        <v>0</v>
      </c>
      <c r="BL14" s="256">
        <f t="shared" si="20"/>
        <v>0</v>
      </c>
      <c r="BM14" s="256">
        <f t="shared" si="21"/>
        <v>0</v>
      </c>
      <c r="BN14" s="256">
        <f t="shared" si="22"/>
        <v>0</v>
      </c>
      <c r="BO14" s="256">
        <f t="shared" si="23"/>
        <v>0</v>
      </c>
      <c r="BP14" s="256">
        <f t="shared" si="24"/>
        <v>0</v>
      </c>
      <c r="BQ14" s="257">
        <f t="shared" si="25"/>
        <v>483071.1059380254</v>
      </c>
    </row>
    <row r="15" spans="2:69">
      <c r="B15" s="238" t="s">
        <v>554</v>
      </c>
      <c r="D15" s="320">
        <v>0</v>
      </c>
      <c r="E15" s="250">
        <v>0</v>
      </c>
      <c r="F15" s="250">
        <v>0</v>
      </c>
      <c r="G15" s="250"/>
      <c r="H15" s="250"/>
      <c r="I15" s="250">
        <v>0.59</v>
      </c>
      <c r="J15" s="250"/>
      <c r="K15" s="250"/>
      <c r="L15" s="250"/>
      <c r="M15" s="250">
        <v>0</v>
      </c>
      <c r="N15" s="250"/>
      <c r="O15" s="250">
        <v>0</v>
      </c>
      <c r="P15" s="250">
        <v>0</v>
      </c>
      <c r="Q15" s="250">
        <v>0</v>
      </c>
      <c r="R15" s="250">
        <v>0</v>
      </c>
      <c r="S15" s="250">
        <v>0</v>
      </c>
      <c r="T15" s="250"/>
      <c r="U15" s="250">
        <v>0</v>
      </c>
      <c r="V15" s="250">
        <v>0</v>
      </c>
      <c r="W15" s="250">
        <v>0</v>
      </c>
      <c r="X15" s="251">
        <v>0</v>
      </c>
      <c r="Z15" s="279">
        <f>Est2017DistRev!Z15</f>
        <v>9702.4868219820364</v>
      </c>
      <c r="AA15" s="253">
        <f>Est2017DistRev!AA15</f>
        <v>0</v>
      </c>
      <c r="AB15" s="253">
        <f>Est2017DistRev!AB15</f>
        <v>0</v>
      </c>
      <c r="AC15" s="253">
        <f>Est2017DistRev!AC15</f>
        <v>0</v>
      </c>
      <c r="AD15" s="253">
        <f>Est2017DistRev!AD15</f>
        <v>0</v>
      </c>
      <c r="AE15" s="253">
        <f>Est2017DistRev!AE15</f>
        <v>22272717.328201722</v>
      </c>
      <c r="AF15" s="253">
        <f>Est2017DistRev!AF15</f>
        <v>0</v>
      </c>
      <c r="AG15" s="253">
        <f>Est2017DistRev!AG15</f>
        <v>0</v>
      </c>
      <c r="AH15" s="253">
        <f>Est2017DistRev!AH15</f>
        <v>0</v>
      </c>
      <c r="AI15" s="253">
        <f>Est2017DistRev!AI15</f>
        <v>0</v>
      </c>
      <c r="AJ15" s="253">
        <f>Est2017DistRev!AJ15</f>
        <v>0</v>
      </c>
      <c r="AK15" s="253">
        <f>Est2017DistRev!AK15</f>
        <v>0</v>
      </c>
      <c r="AL15" s="253">
        <f>Est2017DistRev!AL15</f>
        <v>0</v>
      </c>
      <c r="AM15" s="253">
        <f>Est2017DistRev!AM15</f>
        <v>0</v>
      </c>
      <c r="AN15" s="253">
        <f>Est2017DistRev!AN15</f>
        <v>0</v>
      </c>
      <c r="AO15" s="253">
        <f>Est2017DistRev!AO15</f>
        <v>0</v>
      </c>
      <c r="AP15" s="253">
        <f>Est2017DistRev!AP15</f>
        <v>0</v>
      </c>
      <c r="AQ15" s="253">
        <f>Est2017DistRev!AQ15</f>
        <v>0</v>
      </c>
      <c r="AR15" s="253">
        <f>Est2017DistRev!AR15</f>
        <v>0</v>
      </c>
      <c r="AS15" s="253">
        <f>Est2017DistRev!AS15</f>
        <v>0</v>
      </c>
      <c r="AT15" s="254">
        <f>Est2017DistRev!AT15</f>
        <v>0</v>
      </c>
      <c r="AV15" s="255">
        <f t="shared" si="4"/>
        <v>0</v>
      </c>
      <c r="AW15" s="224">
        <f t="shared" si="5"/>
        <v>0</v>
      </c>
      <c r="AX15" s="224">
        <f t="shared" si="6"/>
        <v>0</v>
      </c>
      <c r="AY15" s="224">
        <f t="shared" si="7"/>
        <v>0</v>
      </c>
      <c r="AZ15" s="224">
        <f t="shared" si="8"/>
        <v>0</v>
      </c>
      <c r="BA15" s="224">
        <f t="shared" si="9"/>
        <v>131409.03223639017</v>
      </c>
      <c r="BB15" s="224">
        <f t="shared" si="10"/>
        <v>0</v>
      </c>
      <c r="BC15" s="224">
        <f t="shared" si="11"/>
        <v>0</v>
      </c>
      <c r="BD15" s="224">
        <f t="shared" si="12"/>
        <v>0</v>
      </c>
      <c r="BE15" s="224">
        <f t="shared" si="13"/>
        <v>0</v>
      </c>
      <c r="BF15" s="224">
        <f t="shared" si="14"/>
        <v>0</v>
      </c>
      <c r="BG15" s="224">
        <f t="shared" si="15"/>
        <v>0</v>
      </c>
      <c r="BH15" s="224">
        <f t="shared" si="16"/>
        <v>0</v>
      </c>
      <c r="BI15" s="256">
        <f t="shared" si="17"/>
        <v>0</v>
      </c>
      <c r="BJ15" s="256">
        <f t="shared" si="18"/>
        <v>0</v>
      </c>
      <c r="BK15" s="256">
        <f t="shared" si="19"/>
        <v>0</v>
      </c>
      <c r="BL15" s="256">
        <f t="shared" si="20"/>
        <v>0</v>
      </c>
      <c r="BM15" s="256">
        <f t="shared" si="21"/>
        <v>0</v>
      </c>
      <c r="BN15" s="256">
        <f t="shared" si="22"/>
        <v>0</v>
      </c>
      <c r="BO15" s="256">
        <f t="shared" si="23"/>
        <v>0</v>
      </c>
      <c r="BP15" s="256">
        <f t="shared" si="24"/>
        <v>0</v>
      </c>
      <c r="BQ15" s="257">
        <f t="shared" si="25"/>
        <v>131409.03223639017</v>
      </c>
    </row>
    <row r="16" spans="2:69">
      <c r="B16" s="238" t="s">
        <v>555</v>
      </c>
      <c r="D16" s="320">
        <v>0</v>
      </c>
      <c r="E16" s="250">
        <v>0</v>
      </c>
      <c r="F16" s="250">
        <v>0</v>
      </c>
      <c r="G16" s="250"/>
      <c r="H16" s="250"/>
      <c r="I16" s="250">
        <v>0.43</v>
      </c>
      <c r="J16" s="250"/>
      <c r="K16" s="250"/>
      <c r="L16" s="250"/>
      <c r="M16" s="250">
        <v>0</v>
      </c>
      <c r="N16" s="250"/>
      <c r="O16" s="250">
        <v>0</v>
      </c>
      <c r="P16" s="250">
        <v>0</v>
      </c>
      <c r="Q16" s="250">
        <v>0</v>
      </c>
      <c r="R16" s="250">
        <v>0</v>
      </c>
      <c r="S16" s="250">
        <v>0</v>
      </c>
      <c r="T16" s="250"/>
      <c r="U16" s="250">
        <v>0</v>
      </c>
      <c r="V16" s="250">
        <v>0</v>
      </c>
      <c r="W16" s="250">
        <v>0</v>
      </c>
      <c r="X16" s="251">
        <v>0</v>
      </c>
      <c r="Z16" s="279">
        <f>Est2017DistRev!Z16</f>
        <v>3672.0139367766869</v>
      </c>
      <c r="AA16" s="253">
        <f>Est2017DistRev!AA16</f>
        <v>0</v>
      </c>
      <c r="AB16" s="253">
        <f>Est2017DistRev!AB16</f>
        <v>0</v>
      </c>
      <c r="AC16" s="253">
        <f>Est2017DistRev!AC16</f>
        <v>0</v>
      </c>
      <c r="AD16" s="253">
        <f>Est2017DistRev!AD16</f>
        <v>0</v>
      </c>
      <c r="AE16" s="253">
        <f>Est2017DistRev!AE16</f>
        <v>7671612.21176631</v>
      </c>
      <c r="AF16" s="253">
        <f>Est2017DistRev!AF16</f>
        <v>0</v>
      </c>
      <c r="AG16" s="253">
        <f>Est2017DistRev!AG16</f>
        <v>0</v>
      </c>
      <c r="AH16" s="253">
        <f>Est2017DistRev!AH16</f>
        <v>0</v>
      </c>
      <c r="AI16" s="253">
        <f>Est2017DistRev!AI16</f>
        <v>0</v>
      </c>
      <c r="AJ16" s="253">
        <f>Est2017DistRev!AJ16</f>
        <v>0</v>
      </c>
      <c r="AK16" s="253">
        <f>Est2017DistRev!AK16</f>
        <v>0</v>
      </c>
      <c r="AL16" s="253">
        <f>Est2017DistRev!AL16</f>
        <v>0</v>
      </c>
      <c r="AM16" s="253">
        <f>Est2017DistRev!AM16</f>
        <v>0</v>
      </c>
      <c r="AN16" s="253">
        <f>Est2017DistRev!AN16</f>
        <v>0</v>
      </c>
      <c r="AO16" s="253">
        <f>Est2017DistRev!AO16</f>
        <v>0</v>
      </c>
      <c r="AP16" s="253">
        <f>Est2017DistRev!AP16</f>
        <v>0</v>
      </c>
      <c r="AQ16" s="253">
        <f>Est2017DistRev!AQ16</f>
        <v>0</v>
      </c>
      <c r="AR16" s="253">
        <f>Est2017DistRev!AR16</f>
        <v>0</v>
      </c>
      <c r="AS16" s="253">
        <f>Est2017DistRev!AS16</f>
        <v>0</v>
      </c>
      <c r="AT16" s="254">
        <f>Est2017DistRev!AT16</f>
        <v>0</v>
      </c>
      <c r="AV16" s="255">
        <f t="shared" si="4"/>
        <v>0</v>
      </c>
      <c r="AW16" s="224">
        <f t="shared" si="5"/>
        <v>0</v>
      </c>
      <c r="AX16" s="224">
        <f t="shared" si="6"/>
        <v>0</v>
      </c>
      <c r="AY16" s="224">
        <f t="shared" si="7"/>
        <v>0</v>
      </c>
      <c r="AZ16" s="224">
        <f t="shared" si="8"/>
        <v>0</v>
      </c>
      <c r="BA16" s="224">
        <f t="shared" si="9"/>
        <v>32987.932510595136</v>
      </c>
      <c r="BB16" s="224">
        <f t="shared" si="10"/>
        <v>0</v>
      </c>
      <c r="BC16" s="224">
        <f t="shared" si="11"/>
        <v>0</v>
      </c>
      <c r="BD16" s="224">
        <f t="shared" si="12"/>
        <v>0</v>
      </c>
      <c r="BE16" s="224">
        <f t="shared" si="13"/>
        <v>0</v>
      </c>
      <c r="BF16" s="224">
        <f t="shared" si="14"/>
        <v>0</v>
      </c>
      <c r="BG16" s="224">
        <f t="shared" si="15"/>
        <v>0</v>
      </c>
      <c r="BH16" s="224">
        <f t="shared" si="16"/>
        <v>0</v>
      </c>
      <c r="BI16" s="256">
        <f t="shared" si="17"/>
        <v>0</v>
      </c>
      <c r="BJ16" s="256">
        <f t="shared" si="18"/>
        <v>0</v>
      </c>
      <c r="BK16" s="256">
        <f t="shared" si="19"/>
        <v>0</v>
      </c>
      <c r="BL16" s="256">
        <f t="shared" si="20"/>
        <v>0</v>
      </c>
      <c r="BM16" s="256">
        <f t="shared" si="21"/>
        <v>0</v>
      </c>
      <c r="BN16" s="256">
        <f t="shared" si="22"/>
        <v>0</v>
      </c>
      <c r="BO16" s="256">
        <f t="shared" si="23"/>
        <v>0</v>
      </c>
      <c r="BP16" s="256">
        <f t="shared" si="24"/>
        <v>0</v>
      </c>
      <c r="BQ16" s="257">
        <f t="shared" si="25"/>
        <v>32987.932510595136</v>
      </c>
    </row>
    <row r="17" spans="2:69">
      <c r="B17" s="238" t="s">
        <v>556</v>
      </c>
      <c r="D17" s="320">
        <v>0</v>
      </c>
      <c r="E17" s="250">
        <v>0</v>
      </c>
      <c r="F17" s="250">
        <v>0</v>
      </c>
      <c r="G17" s="250"/>
      <c r="H17" s="250"/>
      <c r="I17" s="250">
        <v>0.59</v>
      </c>
      <c r="J17" s="250"/>
      <c r="K17" s="250"/>
      <c r="L17" s="250"/>
      <c r="M17" s="250">
        <v>0</v>
      </c>
      <c r="N17" s="250"/>
      <c r="O17" s="250">
        <v>0</v>
      </c>
      <c r="P17" s="250">
        <v>0</v>
      </c>
      <c r="Q17" s="250">
        <v>0</v>
      </c>
      <c r="R17" s="250">
        <v>0</v>
      </c>
      <c r="S17" s="250">
        <v>0</v>
      </c>
      <c r="T17" s="250"/>
      <c r="U17" s="250">
        <v>0</v>
      </c>
      <c r="V17" s="250">
        <v>0</v>
      </c>
      <c r="W17" s="250">
        <v>0</v>
      </c>
      <c r="X17" s="251">
        <v>0</v>
      </c>
      <c r="Z17" s="279">
        <f>Est2017DistRev!Z17</f>
        <v>23277.215443521112</v>
      </c>
      <c r="AA17" s="253">
        <f>Est2017DistRev!AA17</f>
        <v>0</v>
      </c>
      <c r="AB17" s="253">
        <f>Est2017DistRev!AB17</f>
        <v>0</v>
      </c>
      <c r="AC17" s="253">
        <f>Est2017DistRev!AC17</f>
        <v>0</v>
      </c>
      <c r="AD17" s="253">
        <f>Est2017DistRev!AD17</f>
        <v>0</v>
      </c>
      <c r="AE17" s="253">
        <f>Est2017DistRev!AE17</f>
        <v>34551430.843353778</v>
      </c>
      <c r="AF17" s="253">
        <f>Est2017DistRev!AF17</f>
        <v>0</v>
      </c>
      <c r="AG17" s="253">
        <f>Est2017DistRev!AG17</f>
        <v>0</v>
      </c>
      <c r="AH17" s="253">
        <f>Est2017DistRev!AH17</f>
        <v>0</v>
      </c>
      <c r="AI17" s="253">
        <f>Est2017DistRev!AI17</f>
        <v>0</v>
      </c>
      <c r="AJ17" s="253">
        <f>Est2017DistRev!AJ17</f>
        <v>0</v>
      </c>
      <c r="AK17" s="253">
        <f>Est2017DistRev!AK17</f>
        <v>0</v>
      </c>
      <c r="AL17" s="253">
        <f>Est2017DistRev!AL17</f>
        <v>0</v>
      </c>
      <c r="AM17" s="253">
        <f>Est2017DistRev!AM17</f>
        <v>0</v>
      </c>
      <c r="AN17" s="253">
        <f>Est2017DistRev!AN17</f>
        <v>0</v>
      </c>
      <c r="AO17" s="253">
        <f>Est2017DistRev!AO17</f>
        <v>0</v>
      </c>
      <c r="AP17" s="253">
        <f>Est2017DistRev!AP17</f>
        <v>0</v>
      </c>
      <c r="AQ17" s="253">
        <f>Est2017DistRev!AQ17</f>
        <v>0</v>
      </c>
      <c r="AR17" s="253">
        <f>Est2017DistRev!AR17</f>
        <v>0</v>
      </c>
      <c r="AS17" s="253">
        <f>Est2017DistRev!AS17</f>
        <v>0</v>
      </c>
      <c r="AT17" s="254">
        <f>Est2017DistRev!AT17</f>
        <v>0</v>
      </c>
      <c r="AV17" s="255">
        <f t="shared" si="4"/>
        <v>0</v>
      </c>
      <c r="AW17" s="224">
        <f t="shared" si="5"/>
        <v>0</v>
      </c>
      <c r="AX17" s="224">
        <f t="shared" si="6"/>
        <v>0</v>
      </c>
      <c r="AY17" s="224">
        <f t="shared" si="7"/>
        <v>0</v>
      </c>
      <c r="AZ17" s="224">
        <f t="shared" si="8"/>
        <v>0</v>
      </c>
      <c r="BA17" s="224">
        <f t="shared" si="9"/>
        <v>203853.44197578728</v>
      </c>
      <c r="BB17" s="224">
        <f t="shared" si="10"/>
        <v>0</v>
      </c>
      <c r="BC17" s="224">
        <f t="shared" si="11"/>
        <v>0</v>
      </c>
      <c r="BD17" s="224">
        <f t="shared" si="12"/>
        <v>0</v>
      </c>
      <c r="BE17" s="224">
        <f t="shared" si="13"/>
        <v>0</v>
      </c>
      <c r="BF17" s="224">
        <f t="shared" si="14"/>
        <v>0</v>
      </c>
      <c r="BG17" s="224">
        <f t="shared" si="15"/>
        <v>0</v>
      </c>
      <c r="BH17" s="224">
        <f t="shared" si="16"/>
        <v>0</v>
      </c>
      <c r="BI17" s="256">
        <f t="shared" si="17"/>
        <v>0</v>
      </c>
      <c r="BJ17" s="256">
        <f t="shared" si="18"/>
        <v>0</v>
      </c>
      <c r="BK17" s="256">
        <f t="shared" si="19"/>
        <v>0</v>
      </c>
      <c r="BL17" s="256">
        <f t="shared" si="20"/>
        <v>0</v>
      </c>
      <c r="BM17" s="256">
        <f t="shared" si="21"/>
        <v>0</v>
      </c>
      <c r="BN17" s="256">
        <f t="shared" si="22"/>
        <v>0</v>
      </c>
      <c r="BO17" s="256">
        <f t="shared" si="23"/>
        <v>0</v>
      </c>
      <c r="BP17" s="256">
        <f t="shared" si="24"/>
        <v>0</v>
      </c>
      <c r="BQ17" s="257">
        <f t="shared" si="25"/>
        <v>203853.44197578728</v>
      </c>
    </row>
    <row r="18" spans="2:69">
      <c r="B18" s="238" t="s">
        <v>557</v>
      </c>
      <c r="D18" s="320">
        <v>0</v>
      </c>
      <c r="E18" s="250">
        <v>0</v>
      </c>
      <c r="F18" s="250">
        <v>0</v>
      </c>
      <c r="G18" s="250"/>
      <c r="H18" s="250"/>
      <c r="I18" s="250">
        <v>0.43</v>
      </c>
      <c r="J18" s="250"/>
      <c r="K18" s="250"/>
      <c r="L18" s="250"/>
      <c r="M18" s="250">
        <v>0</v>
      </c>
      <c r="N18" s="250"/>
      <c r="O18" s="250">
        <v>0</v>
      </c>
      <c r="P18" s="250">
        <v>0</v>
      </c>
      <c r="Q18" s="250">
        <v>0</v>
      </c>
      <c r="R18" s="250">
        <v>0</v>
      </c>
      <c r="S18" s="250">
        <v>0</v>
      </c>
      <c r="T18" s="250"/>
      <c r="U18" s="250">
        <v>0</v>
      </c>
      <c r="V18" s="250">
        <v>0</v>
      </c>
      <c r="W18" s="250">
        <v>0</v>
      </c>
      <c r="X18" s="251">
        <v>0</v>
      </c>
      <c r="Z18" s="279">
        <f>Est2017DistRev!Z18</f>
        <v>1123.2853452453983</v>
      </c>
      <c r="AA18" s="253">
        <f>Est2017DistRev!AA18</f>
        <v>0</v>
      </c>
      <c r="AB18" s="253">
        <f>Est2017DistRev!AB18</f>
        <v>0</v>
      </c>
      <c r="AC18" s="253">
        <f>Est2017DistRev!AC18</f>
        <v>0</v>
      </c>
      <c r="AD18" s="253">
        <f>Est2017DistRev!AD18</f>
        <v>0</v>
      </c>
      <c r="AE18" s="253">
        <f>Est2017DistRev!AE18</f>
        <v>2356017.402376994</v>
      </c>
      <c r="AF18" s="253">
        <f>Est2017DistRev!AF18</f>
        <v>0</v>
      </c>
      <c r="AG18" s="253">
        <f>Est2017DistRev!AG18</f>
        <v>0</v>
      </c>
      <c r="AH18" s="253">
        <f>Est2017DistRev!AH18</f>
        <v>0</v>
      </c>
      <c r="AI18" s="253">
        <f>Est2017DistRev!AI18</f>
        <v>0</v>
      </c>
      <c r="AJ18" s="253">
        <f>Est2017DistRev!AJ18</f>
        <v>0</v>
      </c>
      <c r="AK18" s="253">
        <f>Est2017DistRev!AK18</f>
        <v>0</v>
      </c>
      <c r="AL18" s="253">
        <f>Est2017DistRev!AL18</f>
        <v>0</v>
      </c>
      <c r="AM18" s="253">
        <f>Est2017DistRev!AM18</f>
        <v>0</v>
      </c>
      <c r="AN18" s="253">
        <f>Est2017DistRev!AN18</f>
        <v>0</v>
      </c>
      <c r="AO18" s="253">
        <f>Est2017DistRev!AO18</f>
        <v>0</v>
      </c>
      <c r="AP18" s="253">
        <f>Est2017DistRev!AP18</f>
        <v>0</v>
      </c>
      <c r="AQ18" s="253">
        <f>Est2017DistRev!AQ18</f>
        <v>0</v>
      </c>
      <c r="AR18" s="253">
        <f>Est2017DistRev!AR18</f>
        <v>0</v>
      </c>
      <c r="AS18" s="253">
        <f>Est2017DistRev!AS18</f>
        <v>0</v>
      </c>
      <c r="AT18" s="254">
        <f>Est2017DistRev!AT18</f>
        <v>0</v>
      </c>
      <c r="AV18" s="255">
        <f t="shared" si="4"/>
        <v>0</v>
      </c>
      <c r="AW18" s="224">
        <f t="shared" si="5"/>
        <v>0</v>
      </c>
      <c r="AX18" s="224">
        <f t="shared" si="6"/>
        <v>0</v>
      </c>
      <c r="AY18" s="224">
        <f t="shared" si="7"/>
        <v>0</v>
      </c>
      <c r="AZ18" s="224">
        <f t="shared" si="8"/>
        <v>0</v>
      </c>
      <c r="BA18" s="224">
        <f t="shared" si="9"/>
        <v>10130.874830221075</v>
      </c>
      <c r="BB18" s="224">
        <f t="shared" si="10"/>
        <v>0</v>
      </c>
      <c r="BC18" s="224">
        <f t="shared" si="11"/>
        <v>0</v>
      </c>
      <c r="BD18" s="224">
        <f t="shared" si="12"/>
        <v>0</v>
      </c>
      <c r="BE18" s="224">
        <f t="shared" si="13"/>
        <v>0</v>
      </c>
      <c r="BF18" s="224">
        <f t="shared" si="14"/>
        <v>0</v>
      </c>
      <c r="BG18" s="224">
        <f t="shared" si="15"/>
        <v>0</v>
      </c>
      <c r="BH18" s="224">
        <f t="shared" si="16"/>
        <v>0</v>
      </c>
      <c r="BI18" s="256">
        <f t="shared" si="17"/>
        <v>0</v>
      </c>
      <c r="BJ18" s="256">
        <f t="shared" si="18"/>
        <v>0</v>
      </c>
      <c r="BK18" s="256">
        <f t="shared" si="19"/>
        <v>0</v>
      </c>
      <c r="BL18" s="256">
        <f t="shared" si="20"/>
        <v>0</v>
      </c>
      <c r="BM18" s="256">
        <f t="shared" si="21"/>
        <v>0</v>
      </c>
      <c r="BN18" s="256">
        <f t="shared" si="22"/>
        <v>0</v>
      </c>
      <c r="BO18" s="256">
        <f t="shared" si="23"/>
        <v>0</v>
      </c>
      <c r="BP18" s="256">
        <f t="shared" si="24"/>
        <v>0</v>
      </c>
      <c r="BQ18" s="257">
        <f t="shared" si="25"/>
        <v>10130.874830221075</v>
      </c>
    </row>
    <row r="19" spans="2:69">
      <c r="B19" s="238" t="s">
        <v>596</v>
      </c>
      <c r="D19" s="320">
        <v>0</v>
      </c>
      <c r="E19" s="250">
        <v>0.98</v>
      </c>
      <c r="F19" s="250">
        <v>0</v>
      </c>
      <c r="G19" s="250"/>
      <c r="H19" s="250"/>
      <c r="I19" s="250">
        <v>0</v>
      </c>
      <c r="J19" s="250"/>
      <c r="K19" s="250"/>
      <c r="L19" s="250"/>
      <c r="M19" s="250">
        <v>0</v>
      </c>
      <c r="N19" s="250"/>
      <c r="O19" s="250">
        <v>2.38</v>
      </c>
      <c r="P19" s="250">
        <v>0.81</v>
      </c>
      <c r="Q19" s="250">
        <v>0</v>
      </c>
      <c r="R19" s="250">
        <v>0</v>
      </c>
      <c r="S19" s="250">
        <v>0</v>
      </c>
      <c r="T19" s="250"/>
      <c r="U19" s="250">
        <v>0</v>
      </c>
      <c r="V19" s="250">
        <v>0</v>
      </c>
      <c r="W19" s="250">
        <v>0</v>
      </c>
      <c r="X19" s="251">
        <v>0</v>
      </c>
      <c r="Z19" s="279">
        <f>Est2017DistRev!Z19</f>
        <v>5</v>
      </c>
      <c r="AA19" s="253">
        <f>Est2017DistRev!AA19</f>
        <v>27500</v>
      </c>
      <c r="AB19" s="253">
        <f>Est2017DistRev!AB19</f>
        <v>0</v>
      </c>
      <c r="AC19" s="253">
        <f>Est2017DistRev!AC19</f>
        <v>0</v>
      </c>
      <c r="AD19" s="253">
        <f>Est2017DistRev!AD19</f>
        <v>0</v>
      </c>
      <c r="AE19" s="253">
        <f>Est2017DistRev!AE19</f>
        <v>0</v>
      </c>
      <c r="AF19" s="253">
        <f>Est2017DistRev!AF19</f>
        <v>0</v>
      </c>
      <c r="AG19" s="253">
        <f>Est2017DistRev!AG19</f>
        <v>0</v>
      </c>
      <c r="AH19" s="253">
        <f>Est2017DistRev!AH19</f>
        <v>0</v>
      </c>
      <c r="AI19" s="253">
        <f>Est2017DistRev!AI19</f>
        <v>0</v>
      </c>
      <c r="AJ19" s="253">
        <f>Est2017DistRev!AJ19</f>
        <v>0</v>
      </c>
      <c r="AK19" s="253">
        <f>Est2017DistRev!AK19</f>
        <v>62.785388127853878</v>
      </c>
      <c r="AL19" s="253">
        <f>Est2017DistRev!AL19</f>
        <v>100.45662100456622</v>
      </c>
      <c r="AM19" s="253">
        <f>Est2017DistRev!AM19</f>
        <v>0</v>
      </c>
      <c r="AN19" s="253">
        <f>Est2017DistRev!AN19</f>
        <v>0</v>
      </c>
      <c r="AO19" s="253">
        <f>Est2017DistRev!AO19</f>
        <v>0</v>
      </c>
      <c r="AP19" s="253">
        <f>Est2017DistRev!AP19</f>
        <v>0</v>
      </c>
      <c r="AQ19" s="253">
        <f>Est2017DistRev!AQ19</f>
        <v>0</v>
      </c>
      <c r="AR19" s="253">
        <f>Est2017DistRev!AR19</f>
        <v>0</v>
      </c>
      <c r="AS19" s="253">
        <f>Est2017DistRev!AS19</f>
        <v>0</v>
      </c>
      <c r="AT19" s="254">
        <f>Est2017DistRev!AT19</f>
        <v>0</v>
      </c>
      <c r="AV19" s="255">
        <f t="shared" si="4"/>
        <v>0</v>
      </c>
      <c r="AW19" s="224">
        <f t="shared" si="5"/>
        <v>269.5</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149.42922374429222</v>
      </c>
      <c r="BH19" s="224">
        <f t="shared" si="16"/>
        <v>81.369863013698634</v>
      </c>
      <c r="BI19" s="256">
        <f t="shared" si="17"/>
        <v>0</v>
      </c>
      <c r="BJ19" s="256">
        <f t="shared" si="18"/>
        <v>0</v>
      </c>
      <c r="BK19" s="256">
        <f t="shared" si="19"/>
        <v>0</v>
      </c>
      <c r="BL19" s="256">
        <f t="shared" si="20"/>
        <v>0</v>
      </c>
      <c r="BM19" s="256">
        <f t="shared" si="21"/>
        <v>0</v>
      </c>
      <c r="BN19" s="256">
        <f t="shared" si="22"/>
        <v>0</v>
      </c>
      <c r="BO19" s="256">
        <f t="shared" si="23"/>
        <v>0</v>
      </c>
      <c r="BP19" s="256">
        <f t="shared" si="24"/>
        <v>0</v>
      </c>
      <c r="BQ19" s="257">
        <f t="shared" si="25"/>
        <v>500.29908675799089</v>
      </c>
    </row>
    <row r="20" spans="2:69">
      <c r="B20" s="238" t="s">
        <v>597</v>
      </c>
      <c r="D20" s="320">
        <v>0</v>
      </c>
      <c r="E20" s="250">
        <v>0.62</v>
      </c>
      <c r="F20" s="250">
        <v>0</v>
      </c>
      <c r="G20" s="250"/>
      <c r="H20" s="250"/>
      <c r="I20" s="250">
        <v>0</v>
      </c>
      <c r="J20" s="250"/>
      <c r="K20" s="250"/>
      <c r="L20" s="250"/>
      <c r="M20" s="250">
        <v>0</v>
      </c>
      <c r="N20" s="250"/>
      <c r="O20" s="250">
        <v>1.74</v>
      </c>
      <c r="P20" s="250">
        <v>0.57999999999999996</v>
      </c>
      <c r="Q20" s="250">
        <v>0</v>
      </c>
      <c r="R20" s="250">
        <v>0</v>
      </c>
      <c r="S20" s="250">
        <v>0</v>
      </c>
      <c r="T20" s="250"/>
      <c r="U20" s="250">
        <v>0</v>
      </c>
      <c r="V20" s="250">
        <v>0</v>
      </c>
      <c r="W20" s="250">
        <v>0</v>
      </c>
      <c r="X20" s="251">
        <v>0</v>
      </c>
      <c r="Z20" s="279">
        <f>Est2017DistRev!Z20</f>
        <v>1</v>
      </c>
      <c r="AA20" s="253">
        <f>Est2017DistRev!AA20</f>
        <v>5500</v>
      </c>
      <c r="AB20" s="253">
        <f>Est2017DistRev!AB20</f>
        <v>0</v>
      </c>
      <c r="AC20" s="253">
        <f>Est2017DistRev!AC20</f>
        <v>0</v>
      </c>
      <c r="AD20" s="253">
        <f>Est2017DistRev!AD20</f>
        <v>0</v>
      </c>
      <c r="AE20" s="253">
        <f>Est2017DistRev!AE20</f>
        <v>0</v>
      </c>
      <c r="AF20" s="253">
        <f>Est2017DistRev!AF20</f>
        <v>0</v>
      </c>
      <c r="AG20" s="253">
        <f>Est2017DistRev!AG20</f>
        <v>0</v>
      </c>
      <c r="AH20" s="253">
        <f>Est2017DistRev!AH20</f>
        <v>0</v>
      </c>
      <c r="AI20" s="253">
        <f>Est2017DistRev!AI20</f>
        <v>0</v>
      </c>
      <c r="AJ20" s="253">
        <f>Est2017DistRev!AJ20</f>
        <v>0</v>
      </c>
      <c r="AK20" s="253">
        <f>Est2017DistRev!AK20</f>
        <v>12.557077625570775</v>
      </c>
      <c r="AL20" s="253">
        <f>Est2017DistRev!AL20</f>
        <v>20.091324200913242</v>
      </c>
      <c r="AM20" s="253">
        <f>Est2017DistRev!AM20</f>
        <v>0</v>
      </c>
      <c r="AN20" s="253">
        <f>Est2017DistRev!AN20</f>
        <v>0</v>
      </c>
      <c r="AO20" s="253">
        <f>Est2017DistRev!AO20</f>
        <v>0</v>
      </c>
      <c r="AP20" s="253">
        <f>Est2017DistRev!AP20</f>
        <v>0</v>
      </c>
      <c r="AQ20" s="253">
        <f>Est2017DistRev!AQ20</f>
        <v>0</v>
      </c>
      <c r="AR20" s="253">
        <f>Est2017DistRev!AR20</f>
        <v>0</v>
      </c>
      <c r="AS20" s="253">
        <f>Est2017DistRev!AS20</f>
        <v>0</v>
      </c>
      <c r="AT20" s="254">
        <f>Est2017DistRev!AT20</f>
        <v>0</v>
      </c>
      <c r="AV20" s="255">
        <f t="shared" si="4"/>
        <v>0</v>
      </c>
      <c r="AW20" s="224">
        <f t="shared" si="5"/>
        <v>34.1</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21.849315068493148</v>
      </c>
      <c r="BH20" s="224">
        <f t="shared" si="16"/>
        <v>11.65296803652968</v>
      </c>
      <c r="BI20" s="256">
        <f t="shared" si="17"/>
        <v>0</v>
      </c>
      <c r="BJ20" s="256">
        <f t="shared" si="18"/>
        <v>0</v>
      </c>
      <c r="BK20" s="256">
        <f t="shared" si="19"/>
        <v>0</v>
      </c>
      <c r="BL20" s="256">
        <f t="shared" si="20"/>
        <v>0</v>
      </c>
      <c r="BM20" s="256">
        <f t="shared" si="21"/>
        <v>0</v>
      </c>
      <c r="BN20" s="256">
        <f t="shared" si="22"/>
        <v>0</v>
      </c>
      <c r="BO20" s="256">
        <f t="shared" si="23"/>
        <v>0</v>
      </c>
      <c r="BP20" s="256">
        <f t="shared" si="24"/>
        <v>0</v>
      </c>
      <c r="BQ20" s="257">
        <f t="shared" si="25"/>
        <v>67.602283105022835</v>
      </c>
    </row>
    <row r="21" spans="2:69">
      <c r="B21" s="238" t="s">
        <v>558</v>
      </c>
      <c r="D21" s="320">
        <v>0</v>
      </c>
      <c r="E21" s="250">
        <v>1.83</v>
      </c>
      <c r="F21" s="250">
        <v>0</v>
      </c>
      <c r="G21" s="250"/>
      <c r="H21" s="250"/>
      <c r="I21" s="250">
        <v>0</v>
      </c>
      <c r="J21" s="250"/>
      <c r="K21" s="250"/>
      <c r="L21" s="250"/>
      <c r="M21" s="250">
        <v>0</v>
      </c>
      <c r="N21" s="250"/>
      <c r="O21" s="250">
        <v>0</v>
      </c>
      <c r="P21" s="250">
        <v>0</v>
      </c>
      <c r="Q21" s="250">
        <v>0</v>
      </c>
      <c r="R21" s="250">
        <v>0</v>
      </c>
      <c r="S21" s="250">
        <v>0</v>
      </c>
      <c r="T21" s="250"/>
      <c r="U21" s="250">
        <v>0</v>
      </c>
      <c r="V21" s="250">
        <v>0</v>
      </c>
      <c r="W21" s="250">
        <v>0</v>
      </c>
      <c r="X21" s="251">
        <v>0</v>
      </c>
      <c r="Z21" s="279">
        <f>Est2017DistRev!Z21</f>
        <v>18642.443749999995</v>
      </c>
      <c r="AA21" s="253">
        <f>Est2017DistRev!AA21</f>
        <v>204987603.1812824</v>
      </c>
      <c r="AB21" s="253">
        <f>Est2017DistRev!AB21</f>
        <v>0</v>
      </c>
      <c r="AC21" s="253">
        <f>Est2017DistRev!AC21</f>
        <v>0</v>
      </c>
      <c r="AD21" s="253">
        <f>Est2017DistRev!AD21</f>
        <v>0</v>
      </c>
      <c r="AE21" s="253">
        <f>Est2017DistRev!AE21</f>
        <v>0</v>
      </c>
      <c r="AF21" s="253">
        <f>Est2017DistRev!AF21</f>
        <v>0</v>
      </c>
      <c r="AG21" s="253">
        <f>Est2017DistRev!AG21</f>
        <v>0</v>
      </c>
      <c r="AH21" s="253">
        <f>Est2017DistRev!AH21</f>
        <v>0</v>
      </c>
      <c r="AI21" s="253">
        <f>Est2017DistRev!AI21</f>
        <v>0</v>
      </c>
      <c r="AJ21" s="253">
        <f>Est2017DistRev!AJ21</f>
        <v>0</v>
      </c>
      <c r="AK21" s="253">
        <f>Est2017DistRev!AK21</f>
        <v>0</v>
      </c>
      <c r="AL21" s="253">
        <f>Est2017DistRev!AL21</f>
        <v>0</v>
      </c>
      <c r="AM21" s="253">
        <f>Est2017DistRev!AM21</f>
        <v>0</v>
      </c>
      <c r="AN21" s="253">
        <f>Est2017DistRev!AN21</f>
        <v>0</v>
      </c>
      <c r="AO21" s="253">
        <f>Est2017DistRev!AO21</f>
        <v>0</v>
      </c>
      <c r="AP21" s="253">
        <f>Est2017DistRev!AP21</f>
        <v>0</v>
      </c>
      <c r="AQ21" s="253">
        <f>Est2017DistRev!AQ21</f>
        <v>0</v>
      </c>
      <c r="AR21" s="253">
        <f>Est2017DistRev!AR21</f>
        <v>0</v>
      </c>
      <c r="AS21" s="253">
        <f>Est2017DistRev!AS21</f>
        <v>0</v>
      </c>
      <c r="AT21" s="254">
        <f>Est2017DistRev!AT21</f>
        <v>0</v>
      </c>
      <c r="AV21" s="255">
        <f t="shared" si="4"/>
        <v>0</v>
      </c>
      <c r="AW21" s="224">
        <f t="shared" si="5"/>
        <v>3751273.1382174678</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56">
        <f t="shared" si="17"/>
        <v>0</v>
      </c>
      <c r="BJ21" s="256">
        <f t="shared" si="18"/>
        <v>0</v>
      </c>
      <c r="BK21" s="256">
        <f t="shared" si="19"/>
        <v>0</v>
      </c>
      <c r="BL21" s="256">
        <f t="shared" si="20"/>
        <v>0</v>
      </c>
      <c r="BM21" s="256">
        <f t="shared" si="21"/>
        <v>0</v>
      </c>
      <c r="BN21" s="256">
        <f t="shared" si="22"/>
        <v>0</v>
      </c>
      <c r="BO21" s="256">
        <f t="shared" si="23"/>
        <v>0</v>
      </c>
      <c r="BP21" s="256">
        <f t="shared" si="24"/>
        <v>0</v>
      </c>
      <c r="BQ21" s="257">
        <f t="shared" si="25"/>
        <v>3751273.1382174678</v>
      </c>
    </row>
    <row r="22" spans="2:69">
      <c r="B22" s="238" t="s">
        <v>559</v>
      </c>
      <c r="D22" s="320">
        <v>0</v>
      </c>
      <c r="E22" s="250">
        <v>1.4</v>
      </c>
      <c r="F22" s="250">
        <v>0</v>
      </c>
      <c r="G22" s="250"/>
      <c r="H22" s="250"/>
      <c r="I22" s="250">
        <v>0</v>
      </c>
      <c r="J22" s="250"/>
      <c r="K22" s="250"/>
      <c r="L22" s="250"/>
      <c r="M22" s="250">
        <v>0</v>
      </c>
      <c r="N22" s="250"/>
      <c r="O22" s="250">
        <v>0</v>
      </c>
      <c r="P22" s="250">
        <v>0</v>
      </c>
      <c r="Q22" s="250">
        <v>0</v>
      </c>
      <c r="R22" s="250">
        <v>0</v>
      </c>
      <c r="S22" s="250">
        <v>0</v>
      </c>
      <c r="T22" s="250"/>
      <c r="U22" s="250">
        <v>0</v>
      </c>
      <c r="V22" s="250">
        <v>0</v>
      </c>
      <c r="W22" s="250">
        <v>0</v>
      </c>
      <c r="X22" s="251">
        <v>0</v>
      </c>
      <c r="Z22" s="279">
        <f>Est2017DistRev!Z22</f>
        <v>5552.5974999999989</v>
      </c>
      <c r="AA22" s="253">
        <f>Est2017DistRev!AA22</f>
        <v>75430097.002991974</v>
      </c>
      <c r="AB22" s="253">
        <f>Est2017DistRev!AB22</f>
        <v>0</v>
      </c>
      <c r="AC22" s="253">
        <f>Est2017DistRev!AC22</f>
        <v>0</v>
      </c>
      <c r="AD22" s="253">
        <f>Est2017DistRev!AD22</f>
        <v>0</v>
      </c>
      <c r="AE22" s="253">
        <f>Est2017DistRev!AE22</f>
        <v>0</v>
      </c>
      <c r="AF22" s="253">
        <f>Est2017DistRev!AF22</f>
        <v>0</v>
      </c>
      <c r="AG22" s="253">
        <f>Est2017DistRev!AG22</f>
        <v>0</v>
      </c>
      <c r="AH22" s="253">
        <f>Est2017DistRev!AH22</f>
        <v>0</v>
      </c>
      <c r="AI22" s="253">
        <f>Est2017DistRev!AI22</f>
        <v>0</v>
      </c>
      <c r="AJ22" s="253">
        <f>Est2017DistRev!AJ22</f>
        <v>0</v>
      </c>
      <c r="AK22" s="253">
        <f>Est2017DistRev!AK22</f>
        <v>0</v>
      </c>
      <c r="AL22" s="253">
        <f>Est2017DistRev!AL22</f>
        <v>0</v>
      </c>
      <c r="AM22" s="253">
        <f>Est2017DistRev!AM22</f>
        <v>0</v>
      </c>
      <c r="AN22" s="253">
        <f>Est2017DistRev!AN22</f>
        <v>0</v>
      </c>
      <c r="AO22" s="253">
        <f>Est2017DistRev!AO22</f>
        <v>0</v>
      </c>
      <c r="AP22" s="253">
        <f>Est2017DistRev!AP22</f>
        <v>0</v>
      </c>
      <c r="AQ22" s="253">
        <f>Est2017DistRev!AQ22</f>
        <v>0</v>
      </c>
      <c r="AR22" s="253">
        <f>Est2017DistRev!AR22</f>
        <v>0</v>
      </c>
      <c r="AS22" s="253">
        <f>Est2017DistRev!AS22</f>
        <v>0</v>
      </c>
      <c r="AT22" s="254">
        <f>Est2017DistRev!AT22</f>
        <v>0</v>
      </c>
      <c r="AV22" s="255">
        <f t="shared" si="4"/>
        <v>0</v>
      </c>
      <c r="AW22" s="224">
        <f t="shared" si="5"/>
        <v>1056021.3580418876</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56">
        <f t="shared" si="17"/>
        <v>0</v>
      </c>
      <c r="BJ22" s="256">
        <f t="shared" si="18"/>
        <v>0</v>
      </c>
      <c r="BK22" s="256">
        <f t="shared" si="19"/>
        <v>0</v>
      </c>
      <c r="BL22" s="256">
        <f t="shared" si="20"/>
        <v>0</v>
      </c>
      <c r="BM22" s="256">
        <f t="shared" si="21"/>
        <v>0</v>
      </c>
      <c r="BN22" s="256">
        <f t="shared" si="22"/>
        <v>0</v>
      </c>
      <c r="BO22" s="256">
        <f t="shared" si="23"/>
        <v>0</v>
      </c>
      <c r="BP22" s="256">
        <f t="shared" si="24"/>
        <v>0</v>
      </c>
      <c r="BQ22" s="257">
        <f t="shared" si="25"/>
        <v>1056021.3580418876</v>
      </c>
    </row>
    <row r="23" spans="2:69">
      <c r="B23" s="238" t="s">
        <v>560</v>
      </c>
      <c r="D23" s="320">
        <v>0</v>
      </c>
      <c r="E23" s="250">
        <v>0</v>
      </c>
      <c r="F23" s="250">
        <v>2.75</v>
      </c>
      <c r="G23" s="250"/>
      <c r="H23" s="250"/>
      <c r="I23" s="250">
        <v>0.73</v>
      </c>
      <c r="J23" s="250"/>
      <c r="K23" s="250"/>
      <c r="L23" s="250"/>
      <c r="M23" s="250">
        <v>0</v>
      </c>
      <c r="N23" s="250"/>
      <c r="O23" s="250">
        <v>0</v>
      </c>
      <c r="P23" s="250">
        <v>0</v>
      </c>
      <c r="Q23" s="250">
        <v>0</v>
      </c>
      <c r="R23" s="250">
        <v>0</v>
      </c>
      <c r="S23" s="250">
        <v>0</v>
      </c>
      <c r="T23" s="250"/>
      <c r="U23" s="250">
        <v>0</v>
      </c>
      <c r="V23" s="250">
        <v>0</v>
      </c>
      <c r="W23" s="250">
        <v>0</v>
      </c>
      <c r="X23" s="251">
        <v>0</v>
      </c>
      <c r="Z23" s="279">
        <f>Est2017DistRev!Z23</f>
        <v>8807.8333333333339</v>
      </c>
      <c r="AA23" s="253">
        <f>Est2017DistRev!AA23</f>
        <v>0</v>
      </c>
      <c r="AB23" s="253">
        <f>Est2017DistRev!AB23</f>
        <v>75569056.506655067</v>
      </c>
      <c r="AC23" s="253">
        <f>Est2017DistRev!AC23</f>
        <v>0</v>
      </c>
      <c r="AD23" s="253">
        <f>Est2017DistRev!AD23</f>
        <v>0</v>
      </c>
      <c r="AE23" s="253">
        <f>Est2017DistRev!AE23</f>
        <v>53627319.140604436</v>
      </c>
      <c r="AF23" s="253">
        <f>Est2017DistRev!AF23</f>
        <v>0</v>
      </c>
      <c r="AG23" s="253">
        <f>Est2017DistRev!AG23</f>
        <v>0</v>
      </c>
      <c r="AH23" s="253">
        <f>Est2017DistRev!AH23</f>
        <v>0</v>
      </c>
      <c r="AI23" s="253">
        <f>Est2017DistRev!AI23</f>
        <v>0</v>
      </c>
      <c r="AJ23" s="253">
        <f>Est2017DistRev!AJ23</f>
        <v>0</v>
      </c>
      <c r="AK23" s="253">
        <f>Est2017DistRev!AK23</f>
        <v>0</v>
      </c>
      <c r="AL23" s="253">
        <f>Est2017DistRev!AL23</f>
        <v>0</v>
      </c>
      <c r="AM23" s="253">
        <f>Est2017DistRev!AM23</f>
        <v>0</v>
      </c>
      <c r="AN23" s="253">
        <f>Est2017DistRev!AN23</f>
        <v>0</v>
      </c>
      <c r="AO23" s="253">
        <f>Est2017DistRev!AO23</f>
        <v>0</v>
      </c>
      <c r="AP23" s="253">
        <f>Est2017DistRev!AP23</f>
        <v>0</v>
      </c>
      <c r="AQ23" s="253">
        <f>Est2017DistRev!AQ23</f>
        <v>0</v>
      </c>
      <c r="AR23" s="253">
        <f>Est2017DistRev!AR23</f>
        <v>0</v>
      </c>
      <c r="AS23" s="253">
        <f>Est2017DistRev!AS23</f>
        <v>0</v>
      </c>
      <c r="AT23" s="254">
        <f>Est2017DistRev!AT23</f>
        <v>0</v>
      </c>
      <c r="AV23" s="255">
        <f t="shared" si="4"/>
        <v>0</v>
      </c>
      <c r="AW23" s="224">
        <f t="shared" si="5"/>
        <v>0</v>
      </c>
      <c r="AX23" s="224">
        <f t="shared" si="6"/>
        <v>2078149.0539330144</v>
      </c>
      <c r="AY23" s="224">
        <f t="shared" si="7"/>
        <v>0</v>
      </c>
      <c r="AZ23" s="224">
        <f t="shared" si="8"/>
        <v>0</v>
      </c>
      <c r="BA23" s="224">
        <f t="shared" si="9"/>
        <v>391479.4297264124</v>
      </c>
      <c r="BB23" s="224">
        <f t="shared" si="10"/>
        <v>0</v>
      </c>
      <c r="BC23" s="224">
        <f t="shared" si="11"/>
        <v>0</v>
      </c>
      <c r="BD23" s="224">
        <f t="shared" si="12"/>
        <v>0</v>
      </c>
      <c r="BE23" s="224">
        <f t="shared" si="13"/>
        <v>0</v>
      </c>
      <c r="BF23" s="224">
        <f t="shared" si="14"/>
        <v>0</v>
      </c>
      <c r="BG23" s="224">
        <f t="shared" si="15"/>
        <v>0</v>
      </c>
      <c r="BH23" s="224">
        <f t="shared" si="16"/>
        <v>0</v>
      </c>
      <c r="BI23" s="256">
        <f t="shared" si="17"/>
        <v>0</v>
      </c>
      <c r="BJ23" s="256">
        <f t="shared" si="18"/>
        <v>0</v>
      </c>
      <c r="BK23" s="256">
        <f t="shared" si="19"/>
        <v>0</v>
      </c>
      <c r="BL23" s="256">
        <f t="shared" si="20"/>
        <v>0</v>
      </c>
      <c r="BM23" s="256">
        <f t="shared" si="21"/>
        <v>0</v>
      </c>
      <c r="BN23" s="256">
        <f t="shared" si="22"/>
        <v>0</v>
      </c>
      <c r="BO23" s="256">
        <f t="shared" si="23"/>
        <v>0</v>
      </c>
      <c r="BP23" s="256">
        <f t="shared" si="24"/>
        <v>0</v>
      </c>
      <c r="BQ23" s="257">
        <f t="shared" si="25"/>
        <v>2469628.4836594267</v>
      </c>
    </row>
    <row r="24" spans="2:69">
      <c r="B24" s="238" t="s">
        <v>561</v>
      </c>
      <c r="D24" s="320">
        <v>0</v>
      </c>
      <c r="E24" s="250">
        <v>0</v>
      </c>
      <c r="F24" s="250">
        <v>2</v>
      </c>
      <c r="G24" s="250"/>
      <c r="H24" s="250"/>
      <c r="I24" s="250">
        <v>0.54</v>
      </c>
      <c r="J24" s="250"/>
      <c r="K24" s="250"/>
      <c r="L24" s="250"/>
      <c r="M24" s="250">
        <v>0</v>
      </c>
      <c r="N24" s="250"/>
      <c r="O24" s="250">
        <v>0</v>
      </c>
      <c r="P24" s="250">
        <v>0</v>
      </c>
      <c r="Q24" s="250">
        <v>0</v>
      </c>
      <c r="R24" s="250">
        <v>0</v>
      </c>
      <c r="S24" s="250">
        <v>0</v>
      </c>
      <c r="T24" s="250"/>
      <c r="U24" s="250">
        <v>0</v>
      </c>
      <c r="V24" s="250">
        <v>0</v>
      </c>
      <c r="W24" s="250">
        <v>0</v>
      </c>
      <c r="X24" s="251">
        <v>0</v>
      </c>
      <c r="Z24" s="279">
        <f>Est2017DistRev!Z24</f>
        <v>1236.5833333333333</v>
      </c>
      <c r="AA24" s="253">
        <f>Est2017DistRev!AA24</f>
        <v>0</v>
      </c>
      <c r="AB24" s="253">
        <f>Est2017DistRev!AB24</f>
        <v>12370078.123355791</v>
      </c>
      <c r="AC24" s="253">
        <f>Est2017DistRev!AC24</f>
        <v>0</v>
      </c>
      <c r="AD24" s="253">
        <f>Est2017DistRev!AD24</f>
        <v>0</v>
      </c>
      <c r="AE24" s="253">
        <f>Est2017DistRev!AE24</f>
        <v>7203723.8271791339</v>
      </c>
      <c r="AF24" s="253">
        <f>Est2017DistRev!AF24</f>
        <v>0</v>
      </c>
      <c r="AG24" s="253">
        <f>Est2017DistRev!AG24</f>
        <v>0</v>
      </c>
      <c r="AH24" s="253">
        <f>Est2017DistRev!AH24</f>
        <v>0</v>
      </c>
      <c r="AI24" s="253">
        <f>Est2017DistRev!AI24</f>
        <v>0</v>
      </c>
      <c r="AJ24" s="253">
        <f>Est2017DistRev!AJ24</f>
        <v>0</v>
      </c>
      <c r="AK24" s="253">
        <f>Est2017DistRev!AK24</f>
        <v>0</v>
      </c>
      <c r="AL24" s="253">
        <f>Est2017DistRev!AL24</f>
        <v>0</v>
      </c>
      <c r="AM24" s="253">
        <f>Est2017DistRev!AM24</f>
        <v>0</v>
      </c>
      <c r="AN24" s="253">
        <f>Est2017DistRev!AN24</f>
        <v>0</v>
      </c>
      <c r="AO24" s="253">
        <f>Est2017DistRev!AO24</f>
        <v>0</v>
      </c>
      <c r="AP24" s="253">
        <f>Est2017DistRev!AP24</f>
        <v>0</v>
      </c>
      <c r="AQ24" s="253">
        <f>Est2017DistRev!AQ24</f>
        <v>0</v>
      </c>
      <c r="AR24" s="253">
        <f>Est2017DistRev!AR24</f>
        <v>0</v>
      </c>
      <c r="AS24" s="253">
        <f>Est2017DistRev!AS24</f>
        <v>0</v>
      </c>
      <c r="AT24" s="254">
        <f>Est2017DistRev!AT24</f>
        <v>0</v>
      </c>
      <c r="AV24" s="255">
        <f t="shared" si="4"/>
        <v>0</v>
      </c>
      <c r="AW24" s="224">
        <f t="shared" si="5"/>
        <v>0</v>
      </c>
      <c r="AX24" s="224">
        <f t="shared" si="6"/>
        <v>247401.56246711581</v>
      </c>
      <c r="AY24" s="224">
        <f t="shared" si="7"/>
        <v>0</v>
      </c>
      <c r="AZ24" s="224">
        <f t="shared" si="8"/>
        <v>0</v>
      </c>
      <c r="BA24" s="224">
        <f t="shared" si="9"/>
        <v>38900.108666767323</v>
      </c>
      <c r="BB24" s="224">
        <f t="shared" si="10"/>
        <v>0</v>
      </c>
      <c r="BC24" s="224">
        <f t="shared" si="11"/>
        <v>0</v>
      </c>
      <c r="BD24" s="224">
        <f t="shared" si="12"/>
        <v>0</v>
      </c>
      <c r="BE24" s="224">
        <f t="shared" si="13"/>
        <v>0</v>
      </c>
      <c r="BF24" s="224">
        <f t="shared" si="14"/>
        <v>0</v>
      </c>
      <c r="BG24" s="224">
        <f t="shared" si="15"/>
        <v>0</v>
      </c>
      <c r="BH24" s="224">
        <f t="shared" si="16"/>
        <v>0</v>
      </c>
      <c r="BI24" s="256">
        <f t="shared" si="17"/>
        <v>0</v>
      </c>
      <c r="BJ24" s="256">
        <f t="shared" si="18"/>
        <v>0</v>
      </c>
      <c r="BK24" s="256">
        <f t="shared" si="19"/>
        <v>0</v>
      </c>
      <c r="BL24" s="256">
        <f t="shared" si="20"/>
        <v>0</v>
      </c>
      <c r="BM24" s="256">
        <f t="shared" si="21"/>
        <v>0</v>
      </c>
      <c r="BN24" s="256">
        <f t="shared" si="22"/>
        <v>0</v>
      </c>
      <c r="BO24" s="256">
        <f t="shared" si="23"/>
        <v>0</v>
      </c>
      <c r="BP24" s="256">
        <f t="shared" si="24"/>
        <v>0</v>
      </c>
      <c r="BQ24" s="257">
        <f t="shared" si="25"/>
        <v>286301.67113388312</v>
      </c>
    </row>
    <row r="25" spans="2:69">
      <c r="B25" s="238" t="s">
        <v>562</v>
      </c>
      <c r="D25" s="320">
        <v>0</v>
      </c>
      <c r="E25" s="250">
        <v>0</v>
      </c>
      <c r="F25" s="250">
        <v>2.75</v>
      </c>
      <c r="G25" s="250"/>
      <c r="H25" s="250"/>
      <c r="I25" s="250">
        <v>0.73</v>
      </c>
      <c r="J25" s="250"/>
      <c r="K25" s="250"/>
      <c r="L25" s="250"/>
      <c r="M25" s="250">
        <v>0</v>
      </c>
      <c r="N25" s="250"/>
      <c r="O25" s="250">
        <v>0</v>
      </c>
      <c r="P25" s="250">
        <v>0</v>
      </c>
      <c r="Q25" s="250">
        <v>0</v>
      </c>
      <c r="R25" s="250">
        <v>0</v>
      </c>
      <c r="S25" s="250">
        <v>0</v>
      </c>
      <c r="T25" s="250"/>
      <c r="U25" s="250">
        <v>0</v>
      </c>
      <c r="V25" s="250">
        <v>0</v>
      </c>
      <c r="W25" s="250">
        <v>0</v>
      </c>
      <c r="X25" s="251">
        <v>0</v>
      </c>
      <c r="Z25" s="279">
        <f>Est2017DistRev!Z25</f>
        <v>4039.833333333333</v>
      </c>
      <c r="AA25" s="253">
        <f>Est2017DistRev!AA25</f>
        <v>0</v>
      </c>
      <c r="AB25" s="253">
        <f>Est2017DistRev!AB25</f>
        <v>36456058.908441335</v>
      </c>
      <c r="AC25" s="253">
        <f>Est2017DistRev!AC25</f>
        <v>0</v>
      </c>
      <c r="AD25" s="253">
        <f>Est2017DistRev!AD25</f>
        <v>0</v>
      </c>
      <c r="AE25" s="253">
        <f>Est2017DistRev!AE25</f>
        <v>21872712.50958392</v>
      </c>
      <c r="AF25" s="253">
        <f>Est2017DistRev!AF25</f>
        <v>0</v>
      </c>
      <c r="AG25" s="253">
        <f>Est2017DistRev!AG25</f>
        <v>0</v>
      </c>
      <c r="AH25" s="253">
        <f>Est2017DistRev!AH25</f>
        <v>0</v>
      </c>
      <c r="AI25" s="253">
        <f>Est2017DistRev!AI25</f>
        <v>0</v>
      </c>
      <c r="AJ25" s="253">
        <f>Est2017DistRev!AJ25</f>
        <v>0</v>
      </c>
      <c r="AK25" s="253">
        <f>Est2017DistRev!AK25</f>
        <v>0</v>
      </c>
      <c r="AL25" s="253">
        <f>Est2017DistRev!AL25</f>
        <v>0</v>
      </c>
      <c r="AM25" s="253">
        <f>Est2017DistRev!AM25</f>
        <v>0</v>
      </c>
      <c r="AN25" s="253">
        <f>Est2017DistRev!AN25</f>
        <v>0</v>
      </c>
      <c r="AO25" s="253">
        <f>Est2017DistRev!AO25</f>
        <v>0</v>
      </c>
      <c r="AP25" s="253">
        <f>Est2017DistRev!AP25</f>
        <v>0</v>
      </c>
      <c r="AQ25" s="253">
        <f>Est2017DistRev!AQ25</f>
        <v>0</v>
      </c>
      <c r="AR25" s="253">
        <f>Est2017DistRev!AR25</f>
        <v>0</v>
      </c>
      <c r="AS25" s="253">
        <f>Est2017DistRev!AS25</f>
        <v>0</v>
      </c>
      <c r="AT25" s="254">
        <f>Est2017DistRev!AT25</f>
        <v>0</v>
      </c>
      <c r="AV25" s="255">
        <f t="shared" si="4"/>
        <v>0</v>
      </c>
      <c r="AW25" s="224">
        <f t="shared" si="5"/>
        <v>0</v>
      </c>
      <c r="AX25" s="224">
        <f t="shared" si="6"/>
        <v>1002541.6199821368</v>
      </c>
      <c r="AY25" s="224">
        <f t="shared" si="7"/>
        <v>0</v>
      </c>
      <c r="AZ25" s="224">
        <f t="shared" si="8"/>
        <v>0</v>
      </c>
      <c r="BA25" s="224">
        <f t="shared" si="9"/>
        <v>159670.80131996263</v>
      </c>
      <c r="BB25" s="224">
        <f t="shared" si="10"/>
        <v>0</v>
      </c>
      <c r="BC25" s="224">
        <f t="shared" si="11"/>
        <v>0</v>
      </c>
      <c r="BD25" s="224">
        <f t="shared" si="12"/>
        <v>0</v>
      </c>
      <c r="BE25" s="224">
        <f t="shared" si="13"/>
        <v>0</v>
      </c>
      <c r="BF25" s="224">
        <f t="shared" si="14"/>
        <v>0</v>
      </c>
      <c r="BG25" s="224">
        <f t="shared" si="15"/>
        <v>0</v>
      </c>
      <c r="BH25" s="224">
        <f t="shared" si="16"/>
        <v>0</v>
      </c>
      <c r="BI25" s="256">
        <f t="shared" si="17"/>
        <v>0</v>
      </c>
      <c r="BJ25" s="256">
        <f t="shared" si="18"/>
        <v>0</v>
      </c>
      <c r="BK25" s="256">
        <f t="shared" si="19"/>
        <v>0</v>
      </c>
      <c r="BL25" s="256">
        <f t="shared" si="20"/>
        <v>0</v>
      </c>
      <c r="BM25" s="256">
        <f t="shared" si="21"/>
        <v>0</v>
      </c>
      <c r="BN25" s="256">
        <f t="shared" si="22"/>
        <v>0</v>
      </c>
      <c r="BO25" s="256">
        <f t="shared" si="23"/>
        <v>0</v>
      </c>
      <c r="BP25" s="256">
        <f t="shared" si="24"/>
        <v>0</v>
      </c>
      <c r="BQ25" s="257">
        <f t="shared" si="25"/>
        <v>1162212.4213020995</v>
      </c>
    </row>
    <row r="26" spans="2:69">
      <c r="B26" s="238" t="s">
        <v>563</v>
      </c>
      <c r="D26" s="320">
        <v>0</v>
      </c>
      <c r="E26" s="250">
        <v>0</v>
      </c>
      <c r="F26" s="250">
        <v>2</v>
      </c>
      <c r="G26" s="250"/>
      <c r="H26" s="250"/>
      <c r="I26" s="250">
        <v>0.54</v>
      </c>
      <c r="J26" s="250"/>
      <c r="K26" s="250"/>
      <c r="L26" s="250"/>
      <c r="M26" s="250">
        <v>0</v>
      </c>
      <c r="N26" s="250"/>
      <c r="O26" s="250">
        <v>0</v>
      </c>
      <c r="P26" s="250">
        <v>0</v>
      </c>
      <c r="Q26" s="250">
        <v>0</v>
      </c>
      <c r="R26" s="250">
        <v>0</v>
      </c>
      <c r="S26" s="250">
        <v>0</v>
      </c>
      <c r="T26" s="250"/>
      <c r="U26" s="250">
        <v>0</v>
      </c>
      <c r="V26" s="250">
        <v>0</v>
      </c>
      <c r="W26" s="250">
        <v>0</v>
      </c>
      <c r="X26" s="251">
        <v>0</v>
      </c>
      <c r="Z26" s="279">
        <f>Est2017DistRev!Z26</f>
        <v>2063.0833333333335</v>
      </c>
      <c r="AA26" s="253">
        <f>Est2017DistRev!AA26</f>
        <v>0</v>
      </c>
      <c r="AB26" s="253">
        <f>Est2017DistRev!AB26</f>
        <v>24804874.755798846</v>
      </c>
      <c r="AC26" s="253">
        <f>Est2017DistRev!AC26</f>
        <v>0</v>
      </c>
      <c r="AD26" s="253">
        <f>Est2017DistRev!AD26</f>
        <v>0</v>
      </c>
      <c r="AE26" s="253">
        <f>Est2017DistRev!AE26</f>
        <v>13941606.916480899</v>
      </c>
      <c r="AF26" s="253">
        <f>Est2017DistRev!AF26</f>
        <v>0</v>
      </c>
      <c r="AG26" s="253">
        <f>Est2017DistRev!AG26</f>
        <v>0</v>
      </c>
      <c r="AH26" s="253">
        <f>Est2017DistRev!AH26</f>
        <v>0</v>
      </c>
      <c r="AI26" s="253">
        <f>Est2017DistRev!AI26</f>
        <v>0</v>
      </c>
      <c r="AJ26" s="253">
        <f>Est2017DistRev!AJ26</f>
        <v>0</v>
      </c>
      <c r="AK26" s="253">
        <f>Est2017DistRev!AK26</f>
        <v>0</v>
      </c>
      <c r="AL26" s="253">
        <f>Est2017DistRev!AL26</f>
        <v>0</v>
      </c>
      <c r="AM26" s="253">
        <f>Est2017DistRev!AM26</f>
        <v>0</v>
      </c>
      <c r="AN26" s="253">
        <f>Est2017DistRev!AN26</f>
        <v>0</v>
      </c>
      <c r="AO26" s="253">
        <f>Est2017DistRev!AO26</f>
        <v>0</v>
      </c>
      <c r="AP26" s="253">
        <f>Est2017DistRev!AP26</f>
        <v>0</v>
      </c>
      <c r="AQ26" s="253">
        <f>Est2017DistRev!AQ26</f>
        <v>0</v>
      </c>
      <c r="AR26" s="253">
        <f>Est2017DistRev!AR26</f>
        <v>0</v>
      </c>
      <c r="AS26" s="253">
        <f>Est2017DistRev!AS26</f>
        <v>0</v>
      </c>
      <c r="AT26" s="254">
        <f>Est2017DistRev!AT26</f>
        <v>0</v>
      </c>
      <c r="AV26" s="255">
        <f t="shared" si="4"/>
        <v>0</v>
      </c>
      <c r="AW26" s="224">
        <f t="shared" si="5"/>
        <v>0</v>
      </c>
      <c r="AX26" s="224">
        <f t="shared" si="6"/>
        <v>496097.49511597696</v>
      </c>
      <c r="AY26" s="224">
        <f t="shared" si="7"/>
        <v>0</v>
      </c>
      <c r="AZ26" s="224">
        <f t="shared" si="8"/>
        <v>0</v>
      </c>
      <c r="BA26" s="224">
        <f t="shared" si="9"/>
        <v>75284.677348996862</v>
      </c>
      <c r="BB26" s="224">
        <f t="shared" si="10"/>
        <v>0</v>
      </c>
      <c r="BC26" s="224">
        <f t="shared" si="11"/>
        <v>0</v>
      </c>
      <c r="BD26" s="224">
        <f t="shared" si="12"/>
        <v>0</v>
      </c>
      <c r="BE26" s="224">
        <f t="shared" si="13"/>
        <v>0</v>
      </c>
      <c r="BF26" s="224">
        <f t="shared" si="14"/>
        <v>0</v>
      </c>
      <c r="BG26" s="224">
        <f t="shared" si="15"/>
        <v>0</v>
      </c>
      <c r="BH26" s="224">
        <f t="shared" si="16"/>
        <v>0</v>
      </c>
      <c r="BI26" s="256">
        <f t="shared" si="17"/>
        <v>0</v>
      </c>
      <c r="BJ26" s="256">
        <f t="shared" si="18"/>
        <v>0</v>
      </c>
      <c r="BK26" s="256">
        <f t="shared" si="19"/>
        <v>0</v>
      </c>
      <c r="BL26" s="256">
        <f t="shared" si="20"/>
        <v>0</v>
      </c>
      <c r="BM26" s="256">
        <f t="shared" si="21"/>
        <v>0</v>
      </c>
      <c r="BN26" s="256">
        <f t="shared" si="22"/>
        <v>0</v>
      </c>
      <c r="BO26" s="256">
        <f t="shared" si="23"/>
        <v>0</v>
      </c>
      <c r="BP26" s="256">
        <f t="shared" si="24"/>
        <v>0</v>
      </c>
      <c r="BQ26" s="257">
        <f t="shared" si="25"/>
        <v>571382.17246497376</v>
      </c>
    </row>
    <row r="27" spans="2:69">
      <c r="B27" s="238" t="s">
        <v>564</v>
      </c>
      <c r="D27" s="320">
        <v>0</v>
      </c>
      <c r="E27" s="250">
        <v>0</v>
      </c>
      <c r="F27" s="250">
        <v>0</v>
      </c>
      <c r="G27" s="250"/>
      <c r="H27" s="250"/>
      <c r="I27" s="250">
        <v>0</v>
      </c>
      <c r="J27" s="250"/>
      <c r="K27" s="250"/>
      <c r="L27" s="250"/>
      <c r="M27" s="250">
        <v>0</v>
      </c>
      <c r="N27" s="250"/>
      <c r="O27" s="250">
        <v>0</v>
      </c>
      <c r="P27" s="250">
        <v>0</v>
      </c>
      <c r="Q27" s="250">
        <v>3.35</v>
      </c>
      <c r="R27" s="250">
        <v>2.34</v>
      </c>
      <c r="S27" s="250">
        <v>0.92</v>
      </c>
      <c r="T27" s="250"/>
      <c r="U27" s="250">
        <v>3.35</v>
      </c>
      <c r="V27" s="250">
        <v>2.34</v>
      </c>
      <c r="W27" s="250">
        <v>0.92</v>
      </c>
      <c r="X27" s="251">
        <v>0</v>
      </c>
      <c r="Z27" s="279">
        <f>Est2017DistRev!Z27</f>
        <v>23.083333333333336</v>
      </c>
      <c r="AA27" s="253">
        <f>Est2017DistRev!AA27</f>
        <v>0</v>
      </c>
      <c r="AB27" s="253">
        <f>Est2017DistRev!AB27</f>
        <v>0</v>
      </c>
      <c r="AC27" s="253">
        <f>Est2017DistRev!AC27</f>
        <v>0</v>
      </c>
      <c r="AD27" s="253">
        <f>Est2017DistRev!AD27</f>
        <v>0</v>
      </c>
      <c r="AE27" s="253">
        <f>Est2017DistRev!AE27</f>
        <v>0</v>
      </c>
      <c r="AF27" s="253">
        <f>Est2017DistRev!AF27</f>
        <v>0</v>
      </c>
      <c r="AG27" s="253">
        <f>Est2017DistRev!AG27</f>
        <v>0</v>
      </c>
      <c r="AH27" s="253">
        <f>Est2017DistRev!AH27</f>
        <v>0</v>
      </c>
      <c r="AI27" s="253">
        <f>Est2017DistRev!AI27</f>
        <v>0</v>
      </c>
      <c r="AJ27" s="253">
        <f>Est2017DistRev!AJ27</f>
        <v>0</v>
      </c>
      <c r="AK27" s="253">
        <f>Est2017DistRev!AK27</f>
        <v>0</v>
      </c>
      <c r="AL27" s="253">
        <f>Est2017DistRev!AL27</f>
        <v>0</v>
      </c>
      <c r="AM27" s="253">
        <f>Est2017DistRev!AM27</f>
        <v>674566.29681080917</v>
      </c>
      <c r="AN27" s="253">
        <f>Est2017DistRev!AN27</f>
        <v>271194.09257587208</v>
      </c>
      <c r="AO27" s="253">
        <f>Est2017DistRev!AO27</f>
        <v>779954.60715799429</v>
      </c>
      <c r="AP27" s="253">
        <f>Est2017DistRev!AP27</f>
        <v>0</v>
      </c>
      <c r="AQ27" s="253">
        <f>Est2017DistRev!AQ27</f>
        <v>674566.29681080917</v>
      </c>
      <c r="AR27" s="253">
        <f>Est2017DistRev!AR27</f>
        <v>271194.09257587208</v>
      </c>
      <c r="AS27" s="253">
        <f>Est2017DistRev!AS27</f>
        <v>779954.60715799429</v>
      </c>
      <c r="AT27" s="254">
        <f>Est2017DistRev!AT27</f>
        <v>0</v>
      </c>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56">
        <f t="shared" si="17"/>
        <v>22597.970943162109</v>
      </c>
      <c r="BJ27" s="256">
        <f t="shared" si="18"/>
        <v>6345.9417662754058</v>
      </c>
      <c r="BK27" s="256">
        <f t="shared" si="19"/>
        <v>7175.5823858535477</v>
      </c>
      <c r="BL27" s="256">
        <f t="shared" si="20"/>
        <v>0</v>
      </c>
      <c r="BM27" s="256">
        <f t="shared" si="21"/>
        <v>22597.970943162109</v>
      </c>
      <c r="BN27" s="256">
        <f t="shared" si="22"/>
        <v>6345.9417662754058</v>
      </c>
      <c r="BO27" s="256">
        <f t="shared" si="23"/>
        <v>7175.5823858535477</v>
      </c>
      <c r="BP27" s="256">
        <f t="shared" si="24"/>
        <v>0</v>
      </c>
      <c r="BQ27" s="257">
        <f t="shared" si="25"/>
        <v>72238.990190582117</v>
      </c>
    </row>
    <row r="28" spans="2:69">
      <c r="B28" s="238" t="s">
        <v>565</v>
      </c>
      <c r="D28" s="320">
        <v>0</v>
      </c>
      <c r="E28" s="250">
        <v>0</v>
      </c>
      <c r="F28" s="250">
        <v>0</v>
      </c>
      <c r="G28" s="250"/>
      <c r="H28" s="250"/>
      <c r="I28" s="250">
        <v>0</v>
      </c>
      <c r="J28" s="250"/>
      <c r="K28" s="250"/>
      <c r="L28" s="250"/>
      <c r="M28" s="250">
        <v>0</v>
      </c>
      <c r="N28" s="250"/>
      <c r="O28" s="250">
        <v>0</v>
      </c>
      <c r="P28" s="250">
        <v>0</v>
      </c>
      <c r="Q28" s="250">
        <v>2.85</v>
      </c>
      <c r="R28" s="250">
        <v>1.99</v>
      </c>
      <c r="S28" s="250">
        <v>0.78</v>
      </c>
      <c r="T28" s="250"/>
      <c r="U28" s="250">
        <v>2.85</v>
      </c>
      <c r="V28" s="250">
        <v>1.99</v>
      </c>
      <c r="W28" s="250">
        <v>0.78</v>
      </c>
      <c r="X28" s="251">
        <v>0</v>
      </c>
      <c r="Z28" s="279">
        <f>Est2017DistRev!Z28</f>
        <v>6.75</v>
      </c>
      <c r="AA28" s="253">
        <f>Est2017DistRev!AA28</f>
        <v>0</v>
      </c>
      <c r="AB28" s="253">
        <f>Est2017DistRev!AB28</f>
        <v>0</v>
      </c>
      <c r="AC28" s="253">
        <f>Est2017DistRev!AC28</f>
        <v>0</v>
      </c>
      <c r="AD28" s="253">
        <f>Est2017DistRev!AD28</f>
        <v>0</v>
      </c>
      <c r="AE28" s="253">
        <f>Est2017DistRev!AE28</f>
        <v>0</v>
      </c>
      <c r="AF28" s="253">
        <f>Est2017DistRev!AF28</f>
        <v>0</v>
      </c>
      <c r="AG28" s="253">
        <f>Est2017DistRev!AG28</f>
        <v>0</v>
      </c>
      <c r="AH28" s="253">
        <f>Est2017DistRev!AH28</f>
        <v>0</v>
      </c>
      <c r="AI28" s="253">
        <f>Est2017DistRev!AI28</f>
        <v>0</v>
      </c>
      <c r="AJ28" s="253">
        <f>Est2017DistRev!AJ28</f>
        <v>0</v>
      </c>
      <c r="AK28" s="253">
        <f>Est2017DistRev!AK28</f>
        <v>0</v>
      </c>
      <c r="AL28" s="253">
        <f>Est2017DistRev!AL28</f>
        <v>0</v>
      </c>
      <c r="AM28" s="253">
        <f>Est2017DistRev!AM28</f>
        <v>1234354.331992253</v>
      </c>
      <c r="AN28" s="253">
        <f>Est2017DistRev!AN28</f>
        <v>612698.16696252231</v>
      </c>
      <c r="AO28" s="253">
        <f>Est2017DistRev!AO28</f>
        <v>1202221.7449883474</v>
      </c>
      <c r="AP28" s="253">
        <f>Est2017DistRev!AP28</f>
        <v>0</v>
      </c>
      <c r="AQ28" s="253">
        <f>Est2017DistRev!AQ28</f>
        <v>1234354.331992253</v>
      </c>
      <c r="AR28" s="253">
        <f>Est2017DistRev!AR28</f>
        <v>612698.16696252231</v>
      </c>
      <c r="AS28" s="253">
        <f>Est2017DistRev!AS28</f>
        <v>1202221.7449883474</v>
      </c>
      <c r="AT28" s="254">
        <f>Est2017DistRev!AT28</f>
        <v>0</v>
      </c>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56">
        <f t="shared" si="17"/>
        <v>35179.098461779213</v>
      </c>
      <c r="BJ28" s="256">
        <f t="shared" si="18"/>
        <v>12192.693522554195</v>
      </c>
      <c r="BK28" s="256">
        <f t="shared" si="19"/>
        <v>9377.3296109091098</v>
      </c>
      <c r="BL28" s="256">
        <f t="shared" si="20"/>
        <v>0</v>
      </c>
      <c r="BM28" s="256">
        <f t="shared" si="21"/>
        <v>35179.098461779213</v>
      </c>
      <c r="BN28" s="256">
        <f t="shared" si="22"/>
        <v>12192.693522554195</v>
      </c>
      <c r="BO28" s="256">
        <f t="shared" si="23"/>
        <v>9377.3296109091098</v>
      </c>
      <c r="BP28" s="256">
        <f t="shared" si="24"/>
        <v>0</v>
      </c>
      <c r="BQ28" s="257">
        <f t="shared" si="25"/>
        <v>113498.24319048505</v>
      </c>
    </row>
    <row r="29" spans="2:69">
      <c r="B29" s="238" t="s">
        <v>566</v>
      </c>
      <c r="D29" s="320">
        <v>0</v>
      </c>
      <c r="E29" s="250">
        <v>0</v>
      </c>
      <c r="F29" s="250">
        <v>2.16</v>
      </c>
      <c r="G29" s="250"/>
      <c r="H29" s="250"/>
      <c r="I29" s="250">
        <v>0.73</v>
      </c>
      <c r="J29" s="250"/>
      <c r="K29" s="250"/>
      <c r="L29" s="250"/>
      <c r="M29" s="250">
        <v>0</v>
      </c>
      <c r="N29" s="250"/>
      <c r="O29" s="250">
        <v>0</v>
      </c>
      <c r="P29" s="250">
        <v>0</v>
      </c>
      <c r="Q29" s="250">
        <v>0</v>
      </c>
      <c r="R29" s="250">
        <v>0</v>
      </c>
      <c r="S29" s="250">
        <v>0</v>
      </c>
      <c r="T29" s="250"/>
      <c r="U29" s="250">
        <v>0</v>
      </c>
      <c r="V29" s="250">
        <v>0</v>
      </c>
      <c r="W29" s="250">
        <v>0</v>
      </c>
      <c r="X29" s="251">
        <v>0</v>
      </c>
      <c r="Z29" s="279">
        <f>Est2017DistRev!Z29</f>
        <v>2567.1666666666665</v>
      </c>
      <c r="AA29" s="253">
        <f>Est2017DistRev!AA29</f>
        <v>0</v>
      </c>
      <c r="AB29" s="253">
        <f>Est2017DistRev!AB29</f>
        <v>38974041.355899416</v>
      </c>
      <c r="AC29" s="253">
        <f>Est2017DistRev!AC29</f>
        <v>0</v>
      </c>
      <c r="AD29" s="253">
        <f>Est2017DistRev!AD29</f>
        <v>0</v>
      </c>
      <c r="AE29" s="253">
        <f>Est2017DistRev!AE29</f>
        <v>8891067.1033335403</v>
      </c>
      <c r="AF29" s="253">
        <f>Est2017DistRev!AF29</f>
        <v>0</v>
      </c>
      <c r="AG29" s="253">
        <f>Est2017DistRev!AG29</f>
        <v>0</v>
      </c>
      <c r="AH29" s="253">
        <f>Est2017DistRev!AH29</f>
        <v>0</v>
      </c>
      <c r="AI29" s="253">
        <f>Est2017DistRev!AI29</f>
        <v>0</v>
      </c>
      <c r="AJ29" s="253">
        <f>Est2017DistRev!AJ29</f>
        <v>0</v>
      </c>
      <c r="AK29" s="253">
        <f>Est2017DistRev!AK29</f>
        <v>0</v>
      </c>
      <c r="AL29" s="253">
        <f>Est2017DistRev!AL29</f>
        <v>0</v>
      </c>
      <c r="AM29" s="253">
        <f>Est2017DistRev!AM29</f>
        <v>0</v>
      </c>
      <c r="AN29" s="253">
        <f>Est2017DistRev!AN29</f>
        <v>0</v>
      </c>
      <c r="AO29" s="253">
        <f>Est2017DistRev!AO29</f>
        <v>0</v>
      </c>
      <c r="AP29" s="253">
        <f>Est2017DistRev!AP29</f>
        <v>0</v>
      </c>
      <c r="AQ29" s="253">
        <f>Est2017DistRev!AQ29</f>
        <v>0</v>
      </c>
      <c r="AR29" s="253">
        <f>Est2017DistRev!AR29</f>
        <v>0</v>
      </c>
      <c r="AS29" s="253">
        <f>Est2017DistRev!AS29</f>
        <v>0</v>
      </c>
      <c r="AT29" s="254">
        <f>Est2017DistRev!AT29</f>
        <v>0</v>
      </c>
      <c r="AV29" s="255">
        <f t="shared" si="4"/>
        <v>0</v>
      </c>
      <c r="AW29" s="224">
        <f t="shared" si="5"/>
        <v>0</v>
      </c>
      <c r="AX29" s="224">
        <f t="shared" si="6"/>
        <v>841839.2932874274</v>
      </c>
      <c r="AY29" s="224">
        <f t="shared" si="7"/>
        <v>0</v>
      </c>
      <c r="AZ29" s="224">
        <f t="shared" si="8"/>
        <v>0</v>
      </c>
      <c r="BA29" s="224">
        <f t="shared" si="9"/>
        <v>64904.789854334842</v>
      </c>
      <c r="BB29" s="224">
        <f t="shared" si="10"/>
        <v>0</v>
      </c>
      <c r="BC29" s="224">
        <f t="shared" si="11"/>
        <v>0</v>
      </c>
      <c r="BD29" s="224">
        <f t="shared" si="12"/>
        <v>0</v>
      </c>
      <c r="BE29" s="224">
        <f t="shared" si="13"/>
        <v>0</v>
      </c>
      <c r="BF29" s="224">
        <f t="shared" si="14"/>
        <v>0</v>
      </c>
      <c r="BG29" s="224">
        <f t="shared" si="15"/>
        <v>0</v>
      </c>
      <c r="BH29" s="224">
        <f t="shared" si="16"/>
        <v>0</v>
      </c>
      <c r="BI29" s="256">
        <f t="shared" si="17"/>
        <v>0</v>
      </c>
      <c r="BJ29" s="256">
        <f t="shared" si="18"/>
        <v>0</v>
      </c>
      <c r="BK29" s="256">
        <f t="shared" si="19"/>
        <v>0</v>
      </c>
      <c r="BL29" s="256">
        <f t="shared" si="20"/>
        <v>0</v>
      </c>
      <c r="BM29" s="256">
        <f t="shared" si="21"/>
        <v>0</v>
      </c>
      <c r="BN29" s="256">
        <f t="shared" si="22"/>
        <v>0</v>
      </c>
      <c r="BO29" s="256">
        <f t="shared" si="23"/>
        <v>0</v>
      </c>
      <c r="BP29" s="256">
        <f t="shared" si="24"/>
        <v>0</v>
      </c>
      <c r="BQ29" s="257">
        <f t="shared" si="25"/>
        <v>906744.0831417623</v>
      </c>
    </row>
    <row r="30" spans="2:69">
      <c r="B30" s="238" t="s">
        <v>567</v>
      </c>
      <c r="D30" s="320">
        <v>0</v>
      </c>
      <c r="E30" s="250">
        <v>0</v>
      </c>
      <c r="F30" s="250">
        <v>1.86</v>
      </c>
      <c r="G30" s="250"/>
      <c r="H30" s="250"/>
      <c r="I30" s="250">
        <v>0.54</v>
      </c>
      <c r="J30" s="250"/>
      <c r="K30" s="250"/>
      <c r="L30" s="250"/>
      <c r="M30" s="250">
        <v>0</v>
      </c>
      <c r="N30" s="250"/>
      <c r="O30" s="250">
        <v>0</v>
      </c>
      <c r="P30" s="250">
        <v>0</v>
      </c>
      <c r="Q30" s="250">
        <v>0</v>
      </c>
      <c r="R30" s="250">
        <v>0</v>
      </c>
      <c r="S30" s="250">
        <v>0</v>
      </c>
      <c r="T30" s="250"/>
      <c r="U30" s="250">
        <v>0</v>
      </c>
      <c r="V30" s="250">
        <v>0</v>
      </c>
      <c r="W30" s="250">
        <v>0</v>
      </c>
      <c r="X30" s="251">
        <v>0</v>
      </c>
      <c r="Z30" s="279">
        <f>Est2017DistRev!Z30</f>
        <v>294.41666666666669</v>
      </c>
      <c r="AA30" s="253">
        <f>Est2017DistRev!AA30</f>
        <v>0</v>
      </c>
      <c r="AB30" s="253">
        <f>Est2017DistRev!AB30</f>
        <v>5947325.8894274719</v>
      </c>
      <c r="AC30" s="253">
        <f>Est2017DistRev!AC30</f>
        <v>0</v>
      </c>
      <c r="AD30" s="253">
        <f>Est2017DistRev!AD30</f>
        <v>0</v>
      </c>
      <c r="AE30" s="253">
        <f>Est2017DistRev!AE30</f>
        <v>1526111.0416527959</v>
      </c>
      <c r="AF30" s="253">
        <f>Est2017DistRev!AF30</f>
        <v>0</v>
      </c>
      <c r="AG30" s="253">
        <f>Est2017DistRev!AG30</f>
        <v>0</v>
      </c>
      <c r="AH30" s="253">
        <f>Est2017DistRev!AH30</f>
        <v>0</v>
      </c>
      <c r="AI30" s="253">
        <f>Est2017DistRev!AI30</f>
        <v>0</v>
      </c>
      <c r="AJ30" s="253">
        <f>Est2017DistRev!AJ30</f>
        <v>0</v>
      </c>
      <c r="AK30" s="253">
        <f>Est2017DistRev!AK30</f>
        <v>0</v>
      </c>
      <c r="AL30" s="253">
        <f>Est2017DistRev!AL30</f>
        <v>0</v>
      </c>
      <c r="AM30" s="253">
        <f>Est2017DistRev!AM30</f>
        <v>0</v>
      </c>
      <c r="AN30" s="253">
        <f>Est2017DistRev!AN30</f>
        <v>0</v>
      </c>
      <c r="AO30" s="253">
        <f>Est2017DistRev!AO30</f>
        <v>0</v>
      </c>
      <c r="AP30" s="253">
        <f>Est2017DistRev!AP30</f>
        <v>0</v>
      </c>
      <c r="AQ30" s="253">
        <f>Est2017DistRev!AQ30</f>
        <v>0</v>
      </c>
      <c r="AR30" s="253">
        <f>Est2017DistRev!AR30</f>
        <v>0</v>
      </c>
      <c r="AS30" s="253">
        <f>Est2017DistRev!AS30</f>
        <v>0</v>
      </c>
      <c r="AT30" s="254">
        <f>Est2017DistRev!AT30</f>
        <v>0</v>
      </c>
      <c r="AV30" s="255">
        <f t="shared" si="4"/>
        <v>0</v>
      </c>
      <c r="AW30" s="224">
        <f t="shared" si="5"/>
        <v>0</v>
      </c>
      <c r="AX30" s="224">
        <f t="shared" si="6"/>
        <v>110620.26154335099</v>
      </c>
      <c r="AY30" s="224">
        <f t="shared" si="7"/>
        <v>0</v>
      </c>
      <c r="AZ30" s="224">
        <f t="shared" si="8"/>
        <v>0</v>
      </c>
      <c r="BA30" s="224">
        <f t="shared" si="9"/>
        <v>8240.999624925098</v>
      </c>
      <c r="BB30" s="224">
        <f t="shared" si="10"/>
        <v>0</v>
      </c>
      <c r="BC30" s="224">
        <f t="shared" si="11"/>
        <v>0</v>
      </c>
      <c r="BD30" s="224">
        <f t="shared" si="12"/>
        <v>0</v>
      </c>
      <c r="BE30" s="224">
        <f t="shared" si="13"/>
        <v>0</v>
      </c>
      <c r="BF30" s="224">
        <f t="shared" si="14"/>
        <v>0</v>
      </c>
      <c r="BG30" s="224">
        <f t="shared" si="15"/>
        <v>0</v>
      </c>
      <c r="BH30" s="224">
        <f t="shared" si="16"/>
        <v>0</v>
      </c>
      <c r="BI30" s="256">
        <f t="shared" si="17"/>
        <v>0</v>
      </c>
      <c r="BJ30" s="256">
        <f t="shared" si="18"/>
        <v>0</v>
      </c>
      <c r="BK30" s="256">
        <f t="shared" si="19"/>
        <v>0</v>
      </c>
      <c r="BL30" s="256">
        <f t="shared" si="20"/>
        <v>0</v>
      </c>
      <c r="BM30" s="256">
        <f t="shared" si="21"/>
        <v>0</v>
      </c>
      <c r="BN30" s="256">
        <f t="shared" si="22"/>
        <v>0</v>
      </c>
      <c r="BO30" s="256">
        <f t="shared" si="23"/>
        <v>0</v>
      </c>
      <c r="BP30" s="256">
        <f t="shared" si="24"/>
        <v>0</v>
      </c>
      <c r="BQ30" s="257">
        <f t="shared" si="25"/>
        <v>118861.26116827609</v>
      </c>
    </row>
    <row r="31" spans="2:69">
      <c r="B31" s="238" t="s">
        <v>568</v>
      </c>
      <c r="D31" s="320">
        <v>0</v>
      </c>
      <c r="E31" s="250">
        <v>0</v>
      </c>
      <c r="F31" s="250">
        <v>2.75</v>
      </c>
      <c r="G31" s="250"/>
      <c r="H31" s="250"/>
      <c r="I31" s="250">
        <v>0.73</v>
      </c>
      <c r="J31" s="250"/>
      <c r="K31" s="250"/>
      <c r="L31" s="250"/>
      <c r="M31" s="250">
        <v>0</v>
      </c>
      <c r="N31" s="250"/>
      <c r="O31" s="250">
        <v>0</v>
      </c>
      <c r="P31" s="250">
        <v>0</v>
      </c>
      <c r="Q31" s="250">
        <v>0</v>
      </c>
      <c r="R31" s="250">
        <v>0</v>
      </c>
      <c r="S31" s="250">
        <v>0</v>
      </c>
      <c r="T31" s="250"/>
      <c r="U31" s="250">
        <v>0</v>
      </c>
      <c r="V31" s="250">
        <v>0</v>
      </c>
      <c r="W31" s="250">
        <v>0</v>
      </c>
      <c r="X31" s="251">
        <v>0</v>
      </c>
      <c r="Z31" s="279">
        <f>Est2017DistRev!Z31</f>
        <v>2</v>
      </c>
      <c r="AA31" s="253">
        <f>Est2017DistRev!AA31</f>
        <v>0</v>
      </c>
      <c r="AB31" s="253">
        <f>Est2017DistRev!AB31</f>
        <v>1028007.8666707557</v>
      </c>
      <c r="AC31" s="253">
        <f>Est2017DistRev!AC31</f>
        <v>0</v>
      </c>
      <c r="AD31" s="253">
        <f>Est2017DistRev!AD31</f>
        <v>0</v>
      </c>
      <c r="AE31" s="253">
        <f>Est2017DistRev!AE31</f>
        <v>1384520.1941069397</v>
      </c>
      <c r="AF31" s="253">
        <f>Est2017DistRev!AF31</f>
        <v>0</v>
      </c>
      <c r="AG31" s="253">
        <f>Est2017DistRev!AG31</f>
        <v>0</v>
      </c>
      <c r="AH31" s="253">
        <f>Est2017DistRev!AH31</f>
        <v>0</v>
      </c>
      <c r="AI31" s="253">
        <f>Est2017DistRev!AI31</f>
        <v>0</v>
      </c>
      <c r="AJ31" s="253">
        <f>Est2017DistRev!AJ31</f>
        <v>0</v>
      </c>
      <c r="AK31" s="253">
        <f>Est2017DistRev!AK31</f>
        <v>0</v>
      </c>
      <c r="AL31" s="253">
        <f>Est2017DistRev!AL31</f>
        <v>0</v>
      </c>
      <c r="AM31" s="253">
        <f>Est2017DistRev!AM31</f>
        <v>0</v>
      </c>
      <c r="AN31" s="253">
        <f>Est2017DistRev!AN31</f>
        <v>0</v>
      </c>
      <c r="AO31" s="253">
        <f>Est2017DistRev!AO31</f>
        <v>0</v>
      </c>
      <c r="AP31" s="253">
        <f>Est2017DistRev!AP31</f>
        <v>0</v>
      </c>
      <c r="AQ31" s="253">
        <f>Est2017DistRev!AQ31</f>
        <v>0</v>
      </c>
      <c r="AR31" s="253">
        <f>Est2017DistRev!AR31</f>
        <v>0</v>
      </c>
      <c r="AS31" s="253">
        <f>Est2017DistRev!AS31</f>
        <v>0</v>
      </c>
      <c r="AT31" s="254">
        <f>Est2017DistRev!AT31</f>
        <v>0</v>
      </c>
      <c r="AV31" s="255">
        <f t="shared" si="4"/>
        <v>0</v>
      </c>
      <c r="AW31" s="224">
        <f t="shared" si="5"/>
        <v>0</v>
      </c>
      <c r="AX31" s="224">
        <f t="shared" si="6"/>
        <v>28270.21633344578</v>
      </c>
      <c r="AY31" s="224">
        <f t="shared" si="7"/>
        <v>0</v>
      </c>
      <c r="AZ31" s="224">
        <f t="shared" si="8"/>
        <v>0</v>
      </c>
      <c r="BA31" s="224">
        <f t="shared" si="9"/>
        <v>10106.997416980659</v>
      </c>
      <c r="BB31" s="224">
        <f t="shared" si="10"/>
        <v>0</v>
      </c>
      <c r="BC31" s="224">
        <f t="shared" si="11"/>
        <v>0</v>
      </c>
      <c r="BD31" s="224">
        <f t="shared" si="12"/>
        <v>0</v>
      </c>
      <c r="BE31" s="224">
        <f t="shared" si="13"/>
        <v>0</v>
      </c>
      <c r="BF31" s="224">
        <f t="shared" si="14"/>
        <v>0</v>
      </c>
      <c r="BG31" s="224">
        <f t="shared" si="15"/>
        <v>0</v>
      </c>
      <c r="BH31" s="224">
        <f t="shared" si="16"/>
        <v>0</v>
      </c>
      <c r="BI31" s="256">
        <f t="shared" si="17"/>
        <v>0</v>
      </c>
      <c r="BJ31" s="256">
        <f t="shared" si="18"/>
        <v>0</v>
      </c>
      <c r="BK31" s="256">
        <f t="shared" si="19"/>
        <v>0</v>
      </c>
      <c r="BL31" s="256">
        <f t="shared" si="20"/>
        <v>0</v>
      </c>
      <c r="BM31" s="256">
        <f t="shared" si="21"/>
        <v>0</v>
      </c>
      <c r="BN31" s="256">
        <f t="shared" si="22"/>
        <v>0</v>
      </c>
      <c r="BO31" s="256">
        <f t="shared" si="23"/>
        <v>0</v>
      </c>
      <c r="BP31" s="256">
        <f t="shared" si="24"/>
        <v>0</v>
      </c>
      <c r="BQ31" s="257">
        <f t="shared" si="25"/>
        <v>38377.213750426439</v>
      </c>
    </row>
    <row r="32" spans="2:69">
      <c r="B32" s="238" t="s">
        <v>598</v>
      </c>
      <c r="D32" s="320">
        <v>0</v>
      </c>
      <c r="E32" s="250">
        <v>1</v>
      </c>
      <c r="F32" s="250">
        <v>0</v>
      </c>
      <c r="G32" s="250"/>
      <c r="H32" s="250"/>
      <c r="I32" s="250">
        <v>0</v>
      </c>
      <c r="J32" s="250"/>
      <c r="K32" s="250"/>
      <c r="L32" s="250"/>
      <c r="M32" s="250">
        <v>0</v>
      </c>
      <c r="N32" s="250"/>
      <c r="O32" s="250">
        <v>3.2</v>
      </c>
      <c r="P32" s="250">
        <v>1.07</v>
      </c>
      <c r="Q32" s="250">
        <v>0</v>
      </c>
      <c r="R32" s="250">
        <v>0</v>
      </c>
      <c r="S32" s="250">
        <v>0</v>
      </c>
      <c r="T32" s="250"/>
      <c r="U32" s="250">
        <v>0</v>
      </c>
      <c r="V32" s="250">
        <v>0</v>
      </c>
      <c r="W32" s="250">
        <v>0</v>
      </c>
      <c r="X32" s="251">
        <v>0</v>
      </c>
      <c r="Z32" s="279">
        <f>Est2017DistRev!Z32</f>
        <v>943</v>
      </c>
      <c r="AA32" s="253">
        <f>Est2017DistRev!AA32</f>
        <v>44038820.922569022</v>
      </c>
      <c r="AB32" s="253">
        <f>Est2017DistRev!AB32</f>
        <v>0</v>
      </c>
      <c r="AC32" s="253">
        <f>Est2017DistRev!AC32</f>
        <v>0</v>
      </c>
      <c r="AD32" s="253">
        <f>Est2017DistRev!AD32</f>
        <v>0</v>
      </c>
      <c r="AE32" s="253">
        <f>Est2017DistRev!AE32</f>
        <v>0</v>
      </c>
      <c r="AF32" s="253">
        <f>Est2017DistRev!AF32</f>
        <v>0</v>
      </c>
      <c r="AG32" s="253">
        <f>Est2017DistRev!AG32</f>
        <v>0</v>
      </c>
      <c r="AH32" s="253">
        <f>Est2017DistRev!AH32</f>
        <v>0</v>
      </c>
      <c r="AI32" s="253">
        <f>Est2017DistRev!AI32</f>
        <v>0</v>
      </c>
      <c r="AJ32" s="253">
        <f>Est2017DistRev!AJ32</f>
        <v>0</v>
      </c>
      <c r="AK32" s="253">
        <f>Est2017DistRev!AK32</f>
        <v>55402.938758333337</v>
      </c>
      <c r="AL32" s="253">
        <f>Est2017DistRev!AL32</f>
        <v>114884.40078000007</v>
      </c>
      <c r="AM32" s="253">
        <f>Est2017DistRev!AM32</f>
        <v>0</v>
      </c>
      <c r="AN32" s="253">
        <f>Est2017DistRev!AN32</f>
        <v>0</v>
      </c>
      <c r="AO32" s="253">
        <f>Est2017DistRev!AO32</f>
        <v>0</v>
      </c>
      <c r="AP32" s="253">
        <f>Est2017DistRev!AP32</f>
        <v>0</v>
      </c>
      <c r="AQ32" s="253">
        <f>Est2017DistRev!AQ32</f>
        <v>0</v>
      </c>
      <c r="AR32" s="253">
        <f>Est2017DistRev!AR32</f>
        <v>0</v>
      </c>
      <c r="AS32" s="253">
        <f>Est2017DistRev!AS32</f>
        <v>0</v>
      </c>
      <c r="AT32" s="254">
        <f>Est2017DistRev!AT32</f>
        <v>0</v>
      </c>
      <c r="AV32" s="255">
        <f t="shared" si="4"/>
        <v>0</v>
      </c>
      <c r="AW32" s="224">
        <f t="shared" si="5"/>
        <v>440388.20922569023</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177289.40402666669</v>
      </c>
      <c r="BH32" s="224">
        <f t="shared" si="16"/>
        <v>122926.30883460009</v>
      </c>
      <c r="BI32" s="256">
        <f t="shared" si="17"/>
        <v>0</v>
      </c>
      <c r="BJ32" s="256">
        <f t="shared" si="18"/>
        <v>0</v>
      </c>
      <c r="BK32" s="256">
        <f t="shared" si="19"/>
        <v>0</v>
      </c>
      <c r="BL32" s="256">
        <f t="shared" si="20"/>
        <v>0</v>
      </c>
      <c r="BM32" s="256">
        <f t="shared" si="21"/>
        <v>0</v>
      </c>
      <c r="BN32" s="256">
        <f t="shared" si="22"/>
        <v>0</v>
      </c>
      <c r="BO32" s="256">
        <f t="shared" si="23"/>
        <v>0</v>
      </c>
      <c r="BP32" s="256">
        <f t="shared" si="24"/>
        <v>0</v>
      </c>
      <c r="BQ32" s="257">
        <f t="shared" si="25"/>
        <v>740603.92208695691</v>
      </c>
    </row>
    <row r="33" spans="2:69">
      <c r="B33" s="392" t="s">
        <v>599</v>
      </c>
      <c r="D33" s="320">
        <v>0</v>
      </c>
      <c r="E33" s="250">
        <v>0.9</v>
      </c>
      <c r="F33" s="250">
        <v>0</v>
      </c>
      <c r="G33" s="250"/>
      <c r="H33" s="250"/>
      <c r="I33" s="250">
        <v>0</v>
      </c>
      <c r="J33" s="250"/>
      <c r="K33" s="250"/>
      <c r="L33" s="250"/>
      <c r="M33" s="250">
        <v>0</v>
      </c>
      <c r="N33" s="250"/>
      <c r="O33" s="250">
        <v>2.4</v>
      </c>
      <c r="P33" s="250">
        <v>0.8</v>
      </c>
      <c r="Q33" s="250">
        <v>0</v>
      </c>
      <c r="R33" s="250">
        <v>0</v>
      </c>
      <c r="S33" s="250">
        <v>0</v>
      </c>
      <c r="T33" s="250"/>
      <c r="U33" s="250">
        <v>0</v>
      </c>
      <c r="V33" s="250">
        <v>0</v>
      </c>
      <c r="W33" s="250">
        <v>0</v>
      </c>
      <c r="X33" s="251">
        <v>0</v>
      </c>
      <c r="Z33" s="279">
        <f>Est2017DistRev!Z33</f>
        <v>0</v>
      </c>
      <c r="AA33" s="253">
        <f>Est2017DistRev!AA33</f>
        <v>0</v>
      </c>
      <c r="AB33" s="253">
        <f>Est2017DistRev!AB33</f>
        <v>0</v>
      </c>
      <c r="AC33" s="253">
        <f>Est2017DistRev!AC33</f>
        <v>0</v>
      </c>
      <c r="AD33" s="253">
        <f>Est2017DistRev!AD33</f>
        <v>0</v>
      </c>
      <c r="AE33" s="253">
        <f>Est2017DistRev!AE33</f>
        <v>0</v>
      </c>
      <c r="AF33" s="253">
        <f>Est2017DistRev!AF33</f>
        <v>0</v>
      </c>
      <c r="AG33" s="253">
        <f>Est2017DistRev!AG33</f>
        <v>0</v>
      </c>
      <c r="AH33" s="253">
        <f>Est2017DistRev!AH33</f>
        <v>0</v>
      </c>
      <c r="AI33" s="253">
        <f>Est2017DistRev!AI33</f>
        <v>0</v>
      </c>
      <c r="AJ33" s="253">
        <f>Est2017DistRev!AJ33</f>
        <v>0</v>
      </c>
      <c r="AK33" s="253">
        <f>Est2017DistRev!AK33</f>
        <v>0</v>
      </c>
      <c r="AL33" s="253">
        <f>Est2017DistRev!AL33</f>
        <v>0</v>
      </c>
      <c r="AM33" s="253">
        <f>Est2017DistRev!AM33</f>
        <v>0</v>
      </c>
      <c r="AN33" s="253">
        <f>Est2017DistRev!AN33</f>
        <v>0</v>
      </c>
      <c r="AO33" s="253">
        <f>Est2017DistRev!AO33</f>
        <v>0</v>
      </c>
      <c r="AP33" s="253">
        <f>Est2017DistRev!AP33</f>
        <v>0</v>
      </c>
      <c r="AQ33" s="253">
        <f>Est2017DistRev!AQ33</f>
        <v>0</v>
      </c>
      <c r="AR33" s="253">
        <f>Est2017DistRev!AR33</f>
        <v>0</v>
      </c>
      <c r="AS33" s="253">
        <f>Est2017DistRev!AS33</f>
        <v>0</v>
      </c>
      <c r="AT33" s="254">
        <f>Est2017DistRev!AT33</f>
        <v>0</v>
      </c>
      <c r="AV33" s="255">
        <f t="shared" si="4"/>
        <v>0</v>
      </c>
      <c r="AW33" s="224">
        <f t="shared" si="5"/>
        <v>0</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56">
        <f t="shared" si="17"/>
        <v>0</v>
      </c>
      <c r="BJ33" s="256">
        <f t="shared" si="18"/>
        <v>0</v>
      </c>
      <c r="BK33" s="256">
        <f t="shared" si="19"/>
        <v>0</v>
      </c>
      <c r="BL33" s="256">
        <f t="shared" si="20"/>
        <v>0</v>
      </c>
      <c r="BM33" s="256">
        <f t="shared" si="21"/>
        <v>0</v>
      </c>
      <c r="BN33" s="256">
        <f t="shared" si="22"/>
        <v>0</v>
      </c>
      <c r="BO33" s="256">
        <f t="shared" si="23"/>
        <v>0</v>
      </c>
      <c r="BP33" s="256">
        <f t="shared" si="24"/>
        <v>0</v>
      </c>
      <c r="BQ33" s="257">
        <f t="shared" si="25"/>
        <v>0</v>
      </c>
    </row>
    <row r="34" spans="2:69">
      <c r="B34" s="238" t="s">
        <v>600</v>
      </c>
      <c r="D34" s="320">
        <v>0</v>
      </c>
      <c r="E34" s="250">
        <v>0</v>
      </c>
      <c r="F34" s="250">
        <v>2.11</v>
      </c>
      <c r="G34" s="250"/>
      <c r="H34" s="250"/>
      <c r="I34" s="250">
        <v>1.04</v>
      </c>
      <c r="J34" s="250"/>
      <c r="K34" s="250"/>
      <c r="L34" s="250"/>
      <c r="M34" s="250">
        <v>0</v>
      </c>
      <c r="N34" s="250"/>
      <c r="O34" s="250">
        <v>0</v>
      </c>
      <c r="P34" s="250">
        <v>0</v>
      </c>
      <c r="Q34" s="250">
        <v>0</v>
      </c>
      <c r="R34" s="250">
        <v>0</v>
      </c>
      <c r="S34" s="250">
        <v>0</v>
      </c>
      <c r="T34" s="250"/>
      <c r="U34" s="250">
        <v>0</v>
      </c>
      <c r="V34" s="250">
        <v>0</v>
      </c>
      <c r="W34" s="250">
        <v>0</v>
      </c>
      <c r="X34" s="251">
        <v>0</v>
      </c>
      <c r="Z34" s="279">
        <f>Est2017DistRev!Z34</f>
        <v>4648</v>
      </c>
      <c r="AA34" s="253">
        <f>Est2017DistRev!AA34</f>
        <v>0</v>
      </c>
      <c r="AB34" s="253">
        <f>Est2017DistRev!AB34</f>
        <v>458603853.62653899</v>
      </c>
      <c r="AC34" s="253">
        <f>Est2017DistRev!AC34</f>
        <v>0</v>
      </c>
      <c r="AD34" s="253">
        <f>Est2017DistRev!AD34</f>
        <v>0</v>
      </c>
      <c r="AE34" s="253">
        <f>Est2017DistRev!AE34</f>
        <v>223355008.38813099</v>
      </c>
      <c r="AF34" s="253">
        <f>Est2017DistRev!AF34</f>
        <v>0</v>
      </c>
      <c r="AG34" s="253">
        <f>Est2017DistRev!AG34</f>
        <v>0</v>
      </c>
      <c r="AH34" s="253">
        <f>Est2017DistRev!AH34</f>
        <v>0</v>
      </c>
      <c r="AI34" s="253">
        <f>Est2017DistRev!AI34</f>
        <v>0</v>
      </c>
      <c r="AJ34" s="253">
        <f>Est2017DistRev!AJ34</f>
        <v>0</v>
      </c>
      <c r="AK34" s="253">
        <f>Est2017DistRev!AK34</f>
        <v>777697.71506800002</v>
      </c>
      <c r="AL34" s="253">
        <f>Est2017DistRev!AL34</f>
        <v>1436797.9229680002</v>
      </c>
      <c r="AM34" s="253">
        <f>Est2017DistRev!AM34</f>
        <v>0</v>
      </c>
      <c r="AN34" s="253">
        <f>Est2017DistRev!AN34</f>
        <v>0</v>
      </c>
      <c r="AO34" s="253">
        <f>Est2017DistRev!AO34</f>
        <v>0</v>
      </c>
      <c r="AP34" s="253">
        <f>Est2017DistRev!AP34</f>
        <v>0</v>
      </c>
      <c r="AQ34" s="253">
        <f>Est2017DistRev!AQ34</f>
        <v>0</v>
      </c>
      <c r="AR34" s="253">
        <f>Est2017DistRev!AR34</f>
        <v>0</v>
      </c>
      <c r="AS34" s="253">
        <f>Est2017DistRev!AS34</f>
        <v>0</v>
      </c>
      <c r="AT34" s="254">
        <f>Est2017DistRev!AT34</f>
        <v>0</v>
      </c>
      <c r="AV34" s="255">
        <f t="shared" si="4"/>
        <v>0</v>
      </c>
      <c r="AW34" s="224">
        <f t="shared" si="5"/>
        <v>0</v>
      </c>
      <c r="AX34" s="224">
        <f t="shared" si="6"/>
        <v>9676541.3115199711</v>
      </c>
      <c r="AY34" s="224">
        <f t="shared" si="7"/>
        <v>0</v>
      </c>
      <c r="AZ34" s="224">
        <f t="shared" si="8"/>
        <v>0</v>
      </c>
      <c r="BA34" s="224">
        <f t="shared" si="9"/>
        <v>2322892.0872365623</v>
      </c>
      <c r="BB34" s="224">
        <f t="shared" si="10"/>
        <v>0</v>
      </c>
      <c r="BC34" s="224">
        <f t="shared" si="11"/>
        <v>0</v>
      </c>
      <c r="BD34" s="224">
        <f t="shared" si="12"/>
        <v>0</v>
      </c>
      <c r="BE34" s="224">
        <f t="shared" si="13"/>
        <v>0</v>
      </c>
      <c r="BF34" s="224">
        <f t="shared" si="14"/>
        <v>0</v>
      </c>
      <c r="BG34" s="224">
        <f t="shared" si="15"/>
        <v>0</v>
      </c>
      <c r="BH34" s="224">
        <f t="shared" si="16"/>
        <v>0</v>
      </c>
      <c r="BI34" s="256">
        <f t="shared" si="17"/>
        <v>0</v>
      </c>
      <c r="BJ34" s="256">
        <f t="shared" si="18"/>
        <v>0</v>
      </c>
      <c r="BK34" s="256">
        <f t="shared" si="19"/>
        <v>0</v>
      </c>
      <c r="BL34" s="256">
        <f t="shared" si="20"/>
        <v>0</v>
      </c>
      <c r="BM34" s="256">
        <f t="shared" si="21"/>
        <v>0</v>
      </c>
      <c r="BN34" s="256">
        <f t="shared" si="22"/>
        <v>0</v>
      </c>
      <c r="BO34" s="256">
        <f t="shared" si="23"/>
        <v>0</v>
      </c>
      <c r="BP34" s="256">
        <f t="shared" si="24"/>
        <v>0</v>
      </c>
      <c r="BQ34" s="257">
        <f t="shared" si="25"/>
        <v>11999433.398756534</v>
      </c>
    </row>
    <row r="35" spans="2:69">
      <c r="B35" s="238" t="s">
        <v>601</v>
      </c>
      <c r="D35" s="320">
        <v>0</v>
      </c>
      <c r="E35" s="250">
        <v>0</v>
      </c>
      <c r="F35" s="250">
        <v>1.55</v>
      </c>
      <c r="G35" s="250"/>
      <c r="H35" s="250"/>
      <c r="I35" s="250">
        <v>0.82</v>
      </c>
      <c r="J35" s="250"/>
      <c r="K35" s="250"/>
      <c r="L35" s="250"/>
      <c r="M35" s="250">
        <v>0</v>
      </c>
      <c r="N35" s="250"/>
      <c r="O35" s="250">
        <v>0</v>
      </c>
      <c r="P35" s="250">
        <v>0</v>
      </c>
      <c r="Q35" s="250">
        <v>0</v>
      </c>
      <c r="R35" s="250">
        <v>0</v>
      </c>
      <c r="S35" s="250">
        <v>0</v>
      </c>
      <c r="T35" s="250"/>
      <c r="U35" s="250">
        <v>0</v>
      </c>
      <c r="V35" s="250">
        <v>0</v>
      </c>
      <c r="W35" s="250">
        <v>0</v>
      </c>
      <c r="X35" s="251">
        <v>0</v>
      </c>
      <c r="Z35" s="279">
        <f>Est2017DistRev!Z35</f>
        <v>2249</v>
      </c>
      <c r="AA35" s="253">
        <f>Est2017DistRev!AA35</f>
        <v>0</v>
      </c>
      <c r="AB35" s="253">
        <f>Est2017DistRev!AB35</f>
        <v>305307951.20099998</v>
      </c>
      <c r="AC35" s="253">
        <f>Est2017DistRev!AC35</f>
        <v>0</v>
      </c>
      <c r="AD35" s="253">
        <f>Est2017DistRev!AD35</f>
        <v>0</v>
      </c>
      <c r="AE35" s="253">
        <f>Est2017DistRev!AE35</f>
        <v>157474786.73719999</v>
      </c>
      <c r="AF35" s="253">
        <f>Est2017DistRev!AF35</f>
        <v>0</v>
      </c>
      <c r="AG35" s="253">
        <f>Est2017DistRev!AG35</f>
        <v>0</v>
      </c>
      <c r="AH35" s="253">
        <f>Est2017DistRev!AH35</f>
        <v>0</v>
      </c>
      <c r="AI35" s="253">
        <f>Est2017DistRev!AI35</f>
        <v>0</v>
      </c>
      <c r="AJ35" s="253">
        <f>Est2017DistRev!AJ35</f>
        <v>0</v>
      </c>
      <c r="AK35" s="253">
        <f>Est2017DistRev!AK35</f>
        <v>527296.244022</v>
      </c>
      <c r="AL35" s="253">
        <f>Est2017DistRev!AL35</f>
        <v>921016.40462399996</v>
      </c>
      <c r="AM35" s="253">
        <f>Est2017DistRev!AM35</f>
        <v>0</v>
      </c>
      <c r="AN35" s="253">
        <f>Est2017DistRev!AN35</f>
        <v>0</v>
      </c>
      <c r="AO35" s="253">
        <f>Est2017DistRev!AO35</f>
        <v>0</v>
      </c>
      <c r="AP35" s="253">
        <f>Est2017DistRev!AP35</f>
        <v>0</v>
      </c>
      <c r="AQ35" s="253">
        <f>Est2017DistRev!AQ35</f>
        <v>0</v>
      </c>
      <c r="AR35" s="253">
        <f>Est2017DistRev!AR35</f>
        <v>0</v>
      </c>
      <c r="AS35" s="253">
        <f>Est2017DistRev!AS35</f>
        <v>0</v>
      </c>
      <c r="AT35" s="254">
        <f>Est2017DistRev!AT35</f>
        <v>0</v>
      </c>
      <c r="AV35" s="255">
        <f t="shared" si="4"/>
        <v>0</v>
      </c>
      <c r="AW35" s="224">
        <f t="shared" si="5"/>
        <v>0</v>
      </c>
      <c r="AX35" s="224">
        <f t="shared" si="6"/>
        <v>4732273.2436154997</v>
      </c>
      <c r="AY35" s="224">
        <f t="shared" si="7"/>
        <v>0</v>
      </c>
      <c r="AZ35" s="224">
        <f t="shared" si="8"/>
        <v>0</v>
      </c>
      <c r="BA35" s="224">
        <f t="shared" si="9"/>
        <v>1291293.2512450397</v>
      </c>
      <c r="BB35" s="224">
        <f t="shared" si="10"/>
        <v>0</v>
      </c>
      <c r="BC35" s="224">
        <f t="shared" si="11"/>
        <v>0</v>
      </c>
      <c r="BD35" s="224">
        <f t="shared" si="12"/>
        <v>0</v>
      </c>
      <c r="BE35" s="224">
        <f t="shared" si="13"/>
        <v>0</v>
      </c>
      <c r="BF35" s="224">
        <f t="shared" si="14"/>
        <v>0</v>
      </c>
      <c r="BG35" s="224">
        <f t="shared" si="15"/>
        <v>0</v>
      </c>
      <c r="BH35" s="224">
        <f t="shared" si="16"/>
        <v>0</v>
      </c>
      <c r="BI35" s="256">
        <f t="shared" si="17"/>
        <v>0</v>
      </c>
      <c r="BJ35" s="256">
        <f t="shared" si="18"/>
        <v>0</v>
      </c>
      <c r="BK35" s="256">
        <f t="shared" si="19"/>
        <v>0</v>
      </c>
      <c r="BL35" s="256">
        <f t="shared" si="20"/>
        <v>0</v>
      </c>
      <c r="BM35" s="256">
        <f t="shared" si="21"/>
        <v>0</v>
      </c>
      <c r="BN35" s="256">
        <f t="shared" si="22"/>
        <v>0</v>
      </c>
      <c r="BO35" s="256">
        <f t="shared" si="23"/>
        <v>0</v>
      </c>
      <c r="BP35" s="256">
        <f t="shared" si="24"/>
        <v>0</v>
      </c>
      <c r="BQ35" s="257">
        <f t="shared" si="25"/>
        <v>6023566.4948605392</v>
      </c>
    </row>
    <row r="36" spans="2:69">
      <c r="B36" s="238" t="s">
        <v>569</v>
      </c>
      <c r="D36" s="320">
        <v>0</v>
      </c>
      <c r="E36" s="250">
        <v>0</v>
      </c>
      <c r="F36" s="250">
        <v>2.58</v>
      </c>
      <c r="G36" s="250"/>
      <c r="H36" s="250"/>
      <c r="I36" s="250">
        <v>0.71</v>
      </c>
      <c r="J36" s="250"/>
      <c r="K36" s="250"/>
      <c r="L36" s="250"/>
      <c r="M36" s="250">
        <v>0</v>
      </c>
      <c r="N36" s="250"/>
      <c r="O36" s="250">
        <v>0</v>
      </c>
      <c r="P36" s="250">
        <v>0</v>
      </c>
      <c r="Q36" s="250">
        <v>0</v>
      </c>
      <c r="R36" s="250">
        <v>0</v>
      </c>
      <c r="S36" s="250">
        <v>0</v>
      </c>
      <c r="T36" s="250"/>
      <c r="U36" s="250">
        <v>0</v>
      </c>
      <c r="V36" s="250">
        <v>0</v>
      </c>
      <c r="W36" s="250">
        <v>0</v>
      </c>
      <c r="X36" s="251">
        <v>0</v>
      </c>
      <c r="Z36" s="279">
        <f>Est2017DistRev!Z36</f>
        <v>1140.5</v>
      </c>
      <c r="AA36" s="253">
        <f>Est2017DistRev!AA36</f>
        <v>0</v>
      </c>
      <c r="AB36" s="253">
        <f>Est2017DistRev!AB36</f>
        <v>14051779.544074081</v>
      </c>
      <c r="AC36" s="253">
        <f>Est2017DistRev!AC36</f>
        <v>0</v>
      </c>
      <c r="AD36" s="253">
        <f>Est2017DistRev!AD36</f>
        <v>0</v>
      </c>
      <c r="AE36" s="253">
        <f>Est2017DistRev!AE36</f>
        <v>23479971.058964424</v>
      </c>
      <c r="AF36" s="253">
        <f>Est2017DistRev!AF36</f>
        <v>0</v>
      </c>
      <c r="AG36" s="253">
        <f>Est2017DistRev!AG36</f>
        <v>0</v>
      </c>
      <c r="AH36" s="253">
        <f>Est2017DistRev!AH36</f>
        <v>0</v>
      </c>
      <c r="AI36" s="253">
        <f>Est2017DistRev!AI36</f>
        <v>0</v>
      </c>
      <c r="AJ36" s="253">
        <f>Est2017DistRev!AJ36</f>
        <v>0</v>
      </c>
      <c r="AK36" s="253">
        <f>Est2017DistRev!AK36</f>
        <v>0</v>
      </c>
      <c r="AL36" s="253">
        <f>Est2017DistRev!AL36</f>
        <v>0</v>
      </c>
      <c r="AM36" s="253">
        <f>Est2017DistRev!AM36</f>
        <v>0</v>
      </c>
      <c r="AN36" s="253">
        <f>Est2017DistRev!AN36</f>
        <v>0</v>
      </c>
      <c r="AO36" s="253">
        <f>Est2017DistRev!AO36</f>
        <v>0</v>
      </c>
      <c r="AP36" s="253">
        <f>Est2017DistRev!AP36</f>
        <v>0</v>
      </c>
      <c r="AQ36" s="253">
        <f>Est2017DistRev!AQ36</f>
        <v>0</v>
      </c>
      <c r="AR36" s="253">
        <f>Est2017DistRev!AR36</f>
        <v>0</v>
      </c>
      <c r="AS36" s="253">
        <f>Est2017DistRev!AS36</f>
        <v>0</v>
      </c>
      <c r="AT36" s="254">
        <f>Est2017DistRev!AT36</f>
        <v>0</v>
      </c>
      <c r="AV36" s="255">
        <f t="shared" si="4"/>
        <v>0</v>
      </c>
      <c r="AW36" s="224">
        <f t="shared" si="5"/>
        <v>0</v>
      </c>
      <c r="AX36" s="224">
        <f t="shared" si="6"/>
        <v>362535.9122371113</v>
      </c>
      <c r="AY36" s="224">
        <f t="shared" si="7"/>
        <v>0</v>
      </c>
      <c r="AZ36" s="224">
        <f t="shared" si="8"/>
        <v>0</v>
      </c>
      <c r="BA36" s="224">
        <f t="shared" si="9"/>
        <v>166707.7945186474</v>
      </c>
      <c r="BB36" s="224">
        <f t="shared" si="10"/>
        <v>0</v>
      </c>
      <c r="BC36" s="224">
        <f t="shared" si="11"/>
        <v>0</v>
      </c>
      <c r="BD36" s="224">
        <f t="shared" si="12"/>
        <v>0</v>
      </c>
      <c r="BE36" s="224">
        <f t="shared" si="13"/>
        <v>0</v>
      </c>
      <c r="BF36" s="224">
        <f t="shared" si="14"/>
        <v>0</v>
      </c>
      <c r="BG36" s="224">
        <f t="shared" si="15"/>
        <v>0</v>
      </c>
      <c r="BH36" s="224">
        <f t="shared" si="16"/>
        <v>0</v>
      </c>
      <c r="BI36" s="256">
        <f t="shared" si="17"/>
        <v>0</v>
      </c>
      <c r="BJ36" s="256">
        <f t="shared" si="18"/>
        <v>0</v>
      </c>
      <c r="BK36" s="256">
        <f t="shared" si="19"/>
        <v>0</v>
      </c>
      <c r="BL36" s="256">
        <f t="shared" si="20"/>
        <v>0</v>
      </c>
      <c r="BM36" s="256">
        <f t="shared" si="21"/>
        <v>0</v>
      </c>
      <c r="BN36" s="256">
        <f t="shared" si="22"/>
        <v>0</v>
      </c>
      <c r="BO36" s="256">
        <f t="shared" si="23"/>
        <v>0</v>
      </c>
      <c r="BP36" s="256">
        <f t="shared" si="24"/>
        <v>0</v>
      </c>
      <c r="BQ36" s="257">
        <f t="shared" si="25"/>
        <v>529243.70675575873</v>
      </c>
    </row>
    <row r="37" spans="2:69">
      <c r="B37" s="238" t="s">
        <v>570</v>
      </c>
      <c r="D37" s="320">
        <v>0</v>
      </c>
      <c r="E37" s="250">
        <v>0</v>
      </c>
      <c r="F37" s="250">
        <v>0</v>
      </c>
      <c r="G37" s="250"/>
      <c r="H37" s="250"/>
      <c r="I37" s="250">
        <v>0</v>
      </c>
      <c r="J37" s="250"/>
      <c r="K37" s="250"/>
      <c r="L37" s="250"/>
      <c r="M37" s="250">
        <v>0</v>
      </c>
      <c r="N37" s="250"/>
      <c r="O37" s="250">
        <v>0</v>
      </c>
      <c r="P37" s="250">
        <v>0</v>
      </c>
      <c r="Q37" s="250">
        <v>0</v>
      </c>
      <c r="R37" s="250">
        <v>0</v>
      </c>
      <c r="S37" s="250">
        <v>0</v>
      </c>
      <c r="T37" s="250"/>
      <c r="U37" s="250">
        <v>0</v>
      </c>
      <c r="V37" s="250">
        <v>0</v>
      </c>
      <c r="W37" s="250">
        <v>0</v>
      </c>
      <c r="X37" s="251">
        <v>0</v>
      </c>
      <c r="Z37" s="279">
        <f>Est2017DistRev!Z37</f>
        <v>0</v>
      </c>
      <c r="AA37" s="253">
        <f>Est2017DistRev!AA37</f>
        <v>0</v>
      </c>
      <c r="AB37" s="253">
        <f>Est2017DistRev!AB37</f>
        <v>0</v>
      </c>
      <c r="AC37" s="253">
        <f>Est2017DistRev!AC37</f>
        <v>0</v>
      </c>
      <c r="AD37" s="253">
        <f>Est2017DistRev!AD37</f>
        <v>0</v>
      </c>
      <c r="AE37" s="253">
        <f>Est2017DistRev!AE37</f>
        <v>0</v>
      </c>
      <c r="AF37" s="253">
        <f>Est2017DistRev!AF37</f>
        <v>0</v>
      </c>
      <c r="AG37" s="253">
        <f>Est2017DistRev!AG37</f>
        <v>0</v>
      </c>
      <c r="AH37" s="253">
        <f>Est2017DistRev!AH37</f>
        <v>0</v>
      </c>
      <c r="AI37" s="253">
        <f>Est2017DistRev!AI37</f>
        <v>0</v>
      </c>
      <c r="AJ37" s="253">
        <f>Est2017DistRev!AJ37</f>
        <v>0</v>
      </c>
      <c r="AK37" s="253">
        <f>Est2017DistRev!AK37</f>
        <v>0</v>
      </c>
      <c r="AL37" s="253">
        <f>Est2017DistRev!AL37</f>
        <v>0</v>
      </c>
      <c r="AM37" s="253">
        <f>Est2017DistRev!AM37</f>
        <v>0</v>
      </c>
      <c r="AN37" s="253">
        <f>Est2017DistRev!AN37</f>
        <v>0</v>
      </c>
      <c r="AO37" s="253">
        <f>Est2017DistRev!AO37</f>
        <v>0</v>
      </c>
      <c r="AP37" s="253">
        <f>Est2017DistRev!AP37</f>
        <v>0</v>
      </c>
      <c r="AQ37" s="253">
        <f>Est2017DistRev!AQ37</f>
        <v>0</v>
      </c>
      <c r="AR37" s="253">
        <f>Est2017DistRev!AR37</f>
        <v>0</v>
      </c>
      <c r="AS37" s="253">
        <f>Est2017DistRev!AS37</f>
        <v>0</v>
      </c>
      <c r="AT37" s="254">
        <f>Est2017DistRev!AT37</f>
        <v>0</v>
      </c>
      <c r="AV37" s="255">
        <f t="shared" si="4"/>
        <v>0</v>
      </c>
      <c r="AW37" s="224">
        <f t="shared" si="5"/>
        <v>0</v>
      </c>
      <c r="AX37" s="224">
        <f t="shared" si="6"/>
        <v>0</v>
      </c>
      <c r="AY37" s="224">
        <f t="shared" si="7"/>
        <v>0</v>
      </c>
      <c r="AZ37" s="224">
        <f t="shared" si="8"/>
        <v>0</v>
      </c>
      <c r="BA37" s="224">
        <f t="shared" si="9"/>
        <v>0</v>
      </c>
      <c r="BB37" s="224">
        <f t="shared" si="10"/>
        <v>0</v>
      </c>
      <c r="BC37" s="224">
        <f t="shared" si="11"/>
        <v>0</v>
      </c>
      <c r="BD37" s="224">
        <f t="shared" si="12"/>
        <v>0</v>
      </c>
      <c r="BE37" s="224">
        <f t="shared" si="13"/>
        <v>0</v>
      </c>
      <c r="BF37" s="224">
        <f t="shared" si="14"/>
        <v>0</v>
      </c>
      <c r="BG37" s="224">
        <f t="shared" si="15"/>
        <v>0</v>
      </c>
      <c r="BH37" s="224">
        <f t="shared" si="16"/>
        <v>0</v>
      </c>
      <c r="BI37" s="256">
        <f t="shared" si="17"/>
        <v>0</v>
      </c>
      <c r="BJ37" s="256">
        <f t="shared" si="18"/>
        <v>0</v>
      </c>
      <c r="BK37" s="256">
        <f t="shared" si="19"/>
        <v>0</v>
      </c>
      <c r="BL37" s="256">
        <f t="shared" si="20"/>
        <v>0</v>
      </c>
      <c r="BM37" s="256">
        <f t="shared" si="21"/>
        <v>0</v>
      </c>
      <c r="BN37" s="256">
        <f t="shared" si="22"/>
        <v>0</v>
      </c>
      <c r="BO37" s="256">
        <f t="shared" si="23"/>
        <v>0</v>
      </c>
      <c r="BP37" s="256">
        <f t="shared" si="24"/>
        <v>0</v>
      </c>
      <c r="BQ37" s="257">
        <f t="shared" si="25"/>
        <v>0</v>
      </c>
    </row>
    <row r="38" spans="2:69">
      <c r="B38" s="238" t="s">
        <v>571</v>
      </c>
      <c r="D38" s="320">
        <v>0</v>
      </c>
      <c r="E38" s="250">
        <v>0</v>
      </c>
      <c r="F38" s="250">
        <v>0</v>
      </c>
      <c r="G38" s="250"/>
      <c r="H38" s="250"/>
      <c r="I38" s="250">
        <v>0</v>
      </c>
      <c r="J38" s="250"/>
      <c r="K38" s="250"/>
      <c r="L38" s="250"/>
      <c r="M38" s="250">
        <v>0</v>
      </c>
      <c r="N38" s="250"/>
      <c r="O38" s="250">
        <v>0</v>
      </c>
      <c r="P38" s="250">
        <v>0</v>
      </c>
      <c r="Q38" s="250">
        <v>0</v>
      </c>
      <c r="R38" s="250">
        <v>0</v>
      </c>
      <c r="S38" s="250">
        <v>0</v>
      </c>
      <c r="T38" s="250"/>
      <c r="U38" s="250">
        <v>0</v>
      </c>
      <c r="V38" s="250">
        <v>0</v>
      </c>
      <c r="W38" s="250">
        <v>0</v>
      </c>
      <c r="X38" s="251">
        <v>0</v>
      </c>
      <c r="Z38" s="279">
        <f>Est2017DistRev!Z38</f>
        <v>0</v>
      </c>
      <c r="AA38" s="253">
        <f>Est2017DistRev!AA38</f>
        <v>0</v>
      </c>
      <c r="AB38" s="253">
        <f>Est2017DistRev!AB38</f>
        <v>0</v>
      </c>
      <c r="AC38" s="253">
        <f>Est2017DistRev!AC38</f>
        <v>0</v>
      </c>
      <c r="AD38" s="253">
        <f>Est2017DistRev!AD38</f>
        <v>0</v>
      </c>
      <c r="AE38" s="253">
        <f>Est2017DistRev!AE38</f>
        <v>0</v>
      </c>
      <c r="AF38" s="253">
        <f>Est2017DistRev!AF38</f>
        <v>0</v>
      </c>
      <c r="AG38" s="253">
        <f>Est2017DistRev!AG38</f>
        <v>0</v>
      </c>
      <c r="AH38" s="253">
        <f>Est2017DistRev!AH38</f>
        <v>0</v>
      </c>
      <c r="AI38" s="253">
        <f>Est2017DistRev!AI38</f>
        <v>0</v>
      </c>
      <c r="AJ38" s="253">
        <f>Est2017DistRev!AJ38</f>
        <v>0</v>
      </c>
      <c r="AK38" s="253">
        <f>Est2017DistRev!AK38</f>
        <v>0</v>
      </c>
      <c r="AL38" s="253">
        <f>Est2017DistRev!AL38</f>
        <v>0</v>
      </c>
      <c r="AM38" s="253">
        <f>Est2017DistRev!AM38</f>
        <v>0</v>
      </c>
      <c r="AN38" s="253">
        <f>Est2017DistRev!AN38</f>
        <v>0</v>
      </c>
      <c r="AO38" s="253">
        <f>Est2017DistRev!AO38</f>
        <v>0</v>
      </c>
      <c r="AP38" s="253">
        <f>Est2017DistRev!AP38</f>
        <v>0</v>
      </c>
      <c r="AQ38" s="253">
        <f>Est2017DistRev!AQ38</f>
        <v>0</v>
      </c>
      <c r="AR38" s="253">
        <f>Est2017DistRev!AR38</f>
        <v>0</v>
      </c>
      <c r="AS38" s="253">
        <f>Est2017DistRev!AS38</f>
        <v>0</v>
      </c>
      <c r="AT38" s="254">
        <f>Est2017DistRev!AT38</f>
        <v>0</v>
      </c>
      <c r="AV38" s="255">
        <f t="shared" si="4"/>
        <v>0</v>
      </c>
      <c r="AW38" s="224">
        <f t="shared" si="5"/>
        <v>0</v>
      </c>
      <c r="AX38" s="224">
        <f t="shared" si="6"/>
        <v>0</v>
      </c>
      <c r="AY38" s="224">
        <f t="shared" si="7"/>
        <v>0</v>
      </c>
      <c r="AZ38" s="224">
        <f t="shared" si="8"/>
        <v>0</v>
      </c>
      <c r="BA38" s="224">
        <f t="shared" si="9"/>
        <v>0</v>
      </c>
      <c r="BB38" s="224">
        <f t="shared" si="10"/>
        <v>0</v>
      </c>
      <c r="BC38" s="224">
        <f t="shared" si="11"/>
        <v>0</v>
      </c>
      <c r="BD38" s="224">
        <f t="shared" si="12"/>
        <v>0</v>
      </c>
      <c r="BE38" s="224">
        <f t="shared" si="13"/>
        <v>0</v>
      </c>
      <c r="BF38" s="224">
        <f t="shared" si="14"/>
        <v>0</v>
      </c>
      <c r="BG38" s="224">
        <f t="shared" si="15"/>
        <v>0</v>
      </c>
      <c r="BH38" s="224">
        <f t="shared" si="16"/>
        <v>0</v>
      </c>
      <c r="BI38" s="256">
        <f t="shared" si="17"/>
        <v>0</v>
      </c>
      <c r="BJ38" s="256">
        <f t="shared" si="18"/>
        <v>0</v>
      </c>
      <c r="BK38" s="256">
        <f t="shared" si="19"/>
        <v>0</v>
      </c>
      <c r="BL38" s="256">
        <f t="shared" si="20"/>
        <v>0</v>
      </c>
      <c r="BM38" s="256">
        <f t="shared" si="21"/>
        <v>0</v>
      </c>
      <c r="BN38" s="256">
        <f t="shared" si="22"/>
        <v>0</v>
      </c>
      <c r="BO38" s="256">
        <f t="shared" si="23"/>
        <v>0</v>
      </c>
      <c r="BP38" s="256">
        <f t="shared" si="24"/>
        <v>0</v>
      </c>
      <c r="BQ38" s="257">
        <f t="shared" si="25"/>
        <v>0</v>
      </c>
    </row>
    <row r="39" spans="2:69">
      <c r="B39" s="238" t="s">
        <v>572</v>
      </c>
      <c r="D39" s="320">
        <v>0</v>
      </c>
      <c r="E39" s="250">
        <v>0</v>
      </c>
      <c r="F39" s="250">
        <v>0</v>
      </c>
      <c r="G39" s="250"/>
      <c r="H39" s="250"/>
      <c r="I39" s="250">
        <v>0</v>
      </c>
      <c r="J39" s="250"/>
      <c r="K39" s="250"/>
      <c r="L39" s="250"/>
      <c r="M39" s="250">
        <v>0</v>
      </c>
      <c r="N39" s="250"/>
      <c r="O39" s="250">
        <v>0</v>
      </c>
      <c r="P39" s="250">
        <v>0</v>
      </c>
      <c r="Q39" s="250">
        <v>0</v>
      </c>
      <c r="R39" s="250">
        <v>0</v>
      </c>
      <c r="S39" s="250">
        <v>0</v>
      </c>
      <c r="T39" s="250"/>
      <c r="U39" s="250">
        <v>0</v>
      </c>
      <c r="V39" s="250">
        <v>0</v>
      </c>
      <c r="W39" s="250">
        <v>0</v>
      </c>
      <c r="X39" s="251">
        <v>0</v>
      </c>
      <c r="Z39" s="279">
        <f>Est2017DistRev!Z39</f>
        <v>0</v>
      </c>
      <c r="AA39" s="253">
        <f>Est2017DistRev!AA39</f>
        <v>0</v>
      </c>
      <c r="AB39" s="253">
        <f>Est2017DistRev!AB39</f>
        <v>0</v>
      </c>
      <c r="AC39" s="253">
        <f>Est2017DistRev!AC39</f>
        <v>0</v>
      </c>
      <c r="AD39" s="253">
        <f>Est2017DistRev!AD39</f>
        <v>0</v>
      </c>
      <c r="AE39" s="253">
        <f>Est2017DistRev!AE39</f>
        <v>0</v>
      </c>
      <c r="AF39" s="253">
        <f>Est2017DistRev!AF39</f>
        <v>0</v>
      </c>
      <c r="AG39" s="253">
        <f>Est2017DistRev!AG39</f>
        <v>0</v>
      </c>
      <c r="AH39" s="253">
        <f>Est2017DistRev!AH39</f>
        <v>0</v>
      </c>
      <c r="AI39" s="253">
        <f>Est2017DistRev!AI39</f>
        <v>0</v>
      </c>
      <c r="AJ39" s="253">
        <f>Est2017DistRev!AJ39</f>
        <v>0</v>
      </c>
      <c r="AK39" s="253">
        <f>Est2017DistRev!AK39</f>
        <v>0</v>
      </c>
      <c r="AL39" s="253">
        <f>Est2017DistRev!AL39</f>
        <v>0</v>
      </c>
      <c r="AM39" s="253">
        <f>Est2017DistRev!AM39</f>
        <v>0</v>
      </c>
      <c r="AN39" s="253">
        <f>Est2017DistRev!AN39</f>
        <v>0</v>
      </c>
      <c r="AO39" s="253">
        <f>Est2017DistRev!AO39</f>
        <v>0</v>
      </c>
      <c r="AP39" s="253">
        <f>Est2017DistRev!AP39</f>
        <v>0</v>
      </c>
      <c r="AQ39" s="253">
        <f>Est2017DistRev!AQ39</f>
        <v>0</v>
      </c>
      <c r="AR39" s="253">
        <f>Est2017DistRev!AR39</f>
        <v>0</v>
      </c>
      <c r="AS39" s="253">
        <f>Est2017DistRev!AS39</f>
        <v>0</v>
      </c>
      <c r="AT39" s="254">
        <f>Est2017DistRev!AT39</f>
        <v>0</v>
      </c>
      <c r="AV39" s="255">
        <f t="shared" si="4"/>
        <v>0</v>
      </c>
      <c r="AW39" s="224">
        <f t="shared" si="5"/>
        <v>0</v>
      </c>
      <c r="AX39" s="224">
        <f t="shared" si="6"/>
        <v>0</v>
      </c>
      <c r="AY39" s="224">
        <f t="shared" si="7"/>
        <v>0</v>
      </c>
      <c r="AZ39" s="224">
        <f t="shared" si="8"/>
        <v>0</v>
      </c>
      <c r="BA39" s="224">
        <f t="shared" si="9"/>
        <v>0</v>
      </c>
      <c r="BB39" s="224">
        <f t="shared" si="10"/>
        <v>0</v>
      </c>
      <c r="BC39" s="224">
        <f t="shared" si="11"/>
        <v>0</v>
      </c>
      <c r="BD39" s="224">
        <f t="shared" si="12"/>
        <v>0</v>
      </c>
      <c r="BE39" s="224">
        <f t="shared" si="13"/>
        <v>0</v>
      </c>
      <c r="BF39" s="224">
        <f t="shared" si="14"/>
        <v>0</v>
      </c>
      <c r="BG39" s="224">
        <f t="shared" si="15"/>
        <v>0</v>
      </c>
      <c r="BH39" s="224">
        <f t="shared" si="16"/>
        <v>0</v>
      </c>
      <c r="BI39" s="256">
        <f t="shared" si="17"/>
        <v>0</v>
      </c>
      <c r="BJ39" s="256">
        <f t="shared" si="18"/>
        <v>0</v>
      </c>
      <c r="BK39" s="256">
        <f t="shared" si="19"/>
        <v>0</v>
      </c>
      <c r="BL39" s="256">
        <f t="shared" si="20"/>
        <v>0</v>
      </c>
      <c r="BM39" s="256">
        <f t="shared" si="21"/>
        <v>0</v>
      </c>
      <c r="BN39" s="256">
        <f t="shared" si="22"/>
        <v>0</v>
      </c>
      <c r="BO39" s="256">
        <f t="shared" si="23"/>
        <v>0</v>
      </c>
      <c r="BP39" s="256">
        <f t="shared" si="24"/>
        <v>0</v>
      </c>
      <c r="BQ39" s="257">
        <f t="shared" si="25"/>
        <v>0</v>
      </c>
    </row>
    <row r="40" spans="2:69">
      <c r="B40" s="238" t="s">
        <v>573</v>
      </c>
      <c r="D40" s="320">
        <v>0</v>
      </c>
      <c r="E40" s="250">
        <v>0</v>
      </c>
      <c r="F40" s="250">
        <v>0</v>
      </c>
      <c r="G40" s="250"/>
      <c r="H40" s="250"/>
      <c r="I40" s="250">
        <v>0</v>
      </c>
      <c r="J40" s="250"/>
      <c r="K40" s="250"/>
      <c r="L40" s="250"/>
      <c r="M40" s="250">
        <v>0</v>
      </c>
      <c r="N40" s="250"/>
      <c r="O40" s="250">
        <v>0</v>
      </c>
      <c r="P40" s="250">
        <v>0</v>
      </c>
      <c r="Q40" s="250">
        <v>0</v>
      </c>
      <c r="R40" s="250">
        <v>0</v>
      </c>
      <c r="S40" s="250">
        <v>0</v>
      </c>
      <c r="T40" s="250"/>
      <c r="U40" s="250">
        <v>0</v>
      </c>
      <c r="V40" s="250">
        <v>0</v>
      </c>
      <c r="W40" s="250">
        <v>0</v>
      </c>
      <c r="X40" s="251">
        <v>0</v>
      </c>
      <c r="Z40" s="279">
        <f>Est2017DistRev!Z40</f>
        <v>0</v>
      </c>
      <c r="AA40" s="253">
        <f>Est2017DistRev!AA40</f>
        <v>0</v>
      </c>
      <c r="AB40" s="253">
        <f>Est2017DistRev!AB40</f>
        <v>0</v>
      </c>
      <c r="AC40" s="253">
        <f>Est2017DistRev!AC40</f>
        <v>0</v>
      </c>
      <c r="AD40" s="253">
        <f>Est2017DistRev!AD40</f>
        <v>0</v>
      </c>
      <c r="AE40" s="253">
        <f>Est2017DistRev!AE40</f>
        <v>0</v>
      </c>
      <c r="AF40" s="253">
        <f>Est2017DistRev!AF40</f>
        <v>0</v>
      </c>
      <c r="AG40" s="253">
        <f>Est2017DistRev!AG40</f>
        <v>0</v>
      </c>
      <c r="AH40" s="253">
        <f>Est2017DistRev!AH40</f>
        <v>0</v>
      </c>
      <c r="AI40" s="253">
        <f>Est2017DistRev!AI40</f>
        <v>0</v>
      </c>
      <c r="AJ40" s="253">
        <f>Est2017DistRev!AJ40</f>
        <v>0</v>
      </c>
      <c r="AK40" s="253">
        <f>Est2017DistRev!AK40</f>
        <v>0</v>
      </c>
      <c r="AL40" s="253">
        <f>Est2017DistRev!AL40</f>
        <v>0</v>
      </c>
      <c r="AM40" s="253">
        <f>Est2017DistRev!AM40</f>
        <v>0</v>
      </c>
      <c r="AN40" s="253">
        <f>Est2017DistRev!AN40</f>
        <v>0</v>
      </c>
      <c r="AO40" s="253">
        <f>Est2017DistRev!AO40</f>
        <v>0</v>
      </c>
      <c r="AP40" s="253">
        <f>Est2017DistRev!AP40</f>
        <v>0</v>
      </c>
      <c r="AQ40" s="253">
        <f>Est2017DistRev!AQ40</f>
        <v>0</v>
      </c>
      <c r="AR40" s="253">
        <f>Est2017DistRev!AR40</f>
        <v>0</v>
      </c>
      <c r="AS40" s="253">
        <f>Est2017DistRev!AS40</f>
        <v>0</v>
      </c>
      <c r="AT40" s="254">
        <f>Est2017DistRev!AT40</f>
        <v>0</v>
      </c>
      <c r="AV40" s="255">
        <f t="shared" si="4"/>
        <v>0</v>
      </c>
      <c r="AW40" s="224">
        <f t="shared" si="5"/>
        <v>0</v>
      </c>
      <c r="AX40" s="224">
        <f t="shared" si="6"/>
        <v>0</v>
      </c>
      <c r="AY40" s="224">
        <f t="shared" si="7"/>
        <v>0</v>
      </c>
      <c r="AZ40" s="224">
        <f t="shared" si="8"/>
        <v>0</v>
      </c>
      <c r="BA40" s="224">
        <f t="shared" si="9"/>
        <v>0</v>
      </c>
      <c r="BB40" s="224">
        <f t="shared" si="10"/>
        <v>0</v>
      </c>
      <c r="BC40" s="224">
        <f t="shared" si="11"/>
        <v>0</v>
      </c>
      <c r="BD40" s="224">
        <f t="shared" si="12"/>
        <v>0</v>
      </c>
      <c r="BE40" s="224">
        <f t="shared" si="13"/>
        <v>0</v>
      </c>
      <c r="BF40" s="224">
        <f t="shared" si="14"/>
        <v>0</v>
      </c>
      <c r="BG40" s="224">
        <f t="shared" si="15"/>
        <v>0</v>
      </c>
      <c r="BH40" s="224">
        <f t="shared" si="16"/>
        <v>0</v>
      </c>
      <c r="BI40" s="256">
        <f t="shared" si="17"/>
        <v>0</v>
      </c>
      <c r="BJ40" s="256">
        <f t="shared" si="18"/>
        <v>0</v>
      </c>
      <c r="BK40" s="256">
        <f t="shared" si="19"/>
        <v>0</v>
      </c>
      <c r="BL40" s="256">
        <f t="shared" si="20"/>
        <v>0</v>
      </c>
      <c r="BM40" s="256">
        <f t="shared" si="21"/>
        <v>0</v>
      </c>
      <c r="BN40" s="256">
        <f t="shared" si="22"/>
        <v>0</v>
      </c>
      <c r="BO40" s="256">
        <f t="shared" si="23"/>
        <v>0</v>
      </c>
      <c r="BP40" s="256">
        <f t="shared" si="24"/>
        <v>0</v>
      </c>
      <c r="BQ40" s="257">
        <f t="shared" si="25"/>
        <v>0</v>
      </c>
    </row>
    <row r="41" spans="2:69">
      <c r="B41" s="238" t="s">
        <v>574</v>
      </c>
      <c r="D41" s="320">
        <v>0</v>
      </c>
      <c r="E41" s="250">
        <v>0</v>
      </c>
      <c r="F41" s="250">
        <v>0</v>
      </c>
      <c r="G41" s="250"/>
      <c r="H41" s="250"/>
      <c r="I41" s="250">
        <v>0</v>
      </c>
      <c r="J41" s="250"/>
      <c r="K41" s="250"/>
      <c r="L41" s="250"/>
      <c r="M41" s="250">
        <v>0</v>
      </c>
      <c r="N41" s="250"/>
      <c r="O41" s="250">
        <v>0</v>
      </c>
      <c r="P41" s="250">
        <v>0</v>
      </c>
      <c r="Q41" s="250">
        <v>0</v>
      </c>
      <c r="R41" s="250">
        <v>0</v>
      </c>
      <c r="S41" s="250">
        <v>0</v>
      </c>
      <c r="T41" s="250"/>
      <c r="U41" s="250">
        <v>0</v>
      </c>
      <c r="V41" s="250">
        <v>0</v>
      </c>
      <c r="W41" s="250">
        <v>0</v>
      </c>
      <c r="X41" s="251">
        <v>0</v>
      </c>
      <c r="Z41" s="279">
        <f>Est2017DistRev!Z41</f>
        <v>0</v>
      </c>
      <c r="AA41" s="253">
        <f>Est2017DistRev!AA41</f>
        <v>0</v>
      </c>
      <c r="AB41" s="253">
        <f>Est2017DistRev!AB41</f>
        <v>0</v>
      </c>
      <c r="AC41" s="253">
        <f>Est2017DistRev!AC41</f>
        <v>0</v>
      </c>
      <c r="AD41" s="253">
        <f>Est2017DistRev!AD41</f>
        <v>0</v>
      </c>
      <c r="AE41" s="253">
        <f>Est2017DistRev!AE41</f>
        <v>0</v>
      </c>
      <c r="AF41" s="253">
        <f>Est2017DistRev!AF41</f>
        <v>0</v>
      </c>
      <c r="AG41" s="253">
        <f>Est2017DistRev!AG41</f>
        <v>0</v>
      </c>
      <c r="AH41" s="253">
        <f>Est2017DistRev!AH41</f>
        <v>0</v>
      </c>
      <c r="AI41" s="253">
        <f>Est2017DistRev!AI41</f>
        <v>0</v>
      </c>
      <c r="AJ41" s="253">
        <f>Est2017DistRev!AJ41</f>
        <v>0</v>
      </c>
      <c r="AK41" s="253">
        <f>Est2017DistRev!AK41</f>
        <v>0</v>
      </c>
      <c r="AL41" s="253">
        <f>Est2017DistRev!AL41</f>
        <v>0</v>
      </c>
      <c r="AM41" s="253">
        <f>Est2017DistRev!AM41</f>
        <v>0</v>
      </c>
      <c r="AN41" s="253">
        <f>Est2017DistRev!AN41</f>
        <v>0</v>
      </c>
      <c r="AO41" s="253">
        <f>Est2017DistRev!AO41</f>
        <v>0</v>
      </c>
      <c r="AP41" s="253">
        <f>Est2017DistRev!AP41</f>
        <v>0</v>
      </c>
      <c r="AQ41" s="253">
        <f>Est2017DistRev!AQ41</f>
        <v>0</v>
      </c>
      <c r="AR41" s="253">
        <f>Est2017DistRev!AR41</f>
        <v>0</v>
      </c>
      <c r="AS41" s="253">
        <f>Est2017DistRev!AS41</f>
        <v>0</v>
      </c>
      <c r="AT41" s="254">
        <f>Est2017DistRev!AT41</f>
        <v>0</v>
      </c>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56">
        <f t="shared" si="17"/>
        <v>0</v>
      </c>
      <c r="BJ41" s="256">
        <f t="shared" si="18"/>
        <v>0</v>
      </c>
      <c r="BK41" s="256">
        <f t="shared" si="19"/>
        <v>0</v>
      </c>
      <c r="BL41" s="256">
        <f t="shared" si="20"/>
        <v>0</v>
      </c>
      <c r="BM41" s="256">
        <f t="shared" si="21"/>
        <v>0</v>
      </c>
      <c r="BN41" s="256">
        <f t="shared" si="22"/>
        <v>0</v>
      </c>
      <c r="BO41" s="256">
        <f t="shared" si="23"/>
        <v>0</v>
      </c>
      <c r="BP41" s="256">
        <f t="shared" si="24"/>
        <v>0</v>
      </c>
      <c r="BQ41" s="257">
        <f t="shared" si="25"/>
        <v>0</v>
      </c>
    </row>
    <row r="42" spans="2:69">
      <c r="B42" s="238" t="s">
        <v>575</v>
      </c>
      <c r="D42" s="320">
        <v>0</v>
      </c>
      <c r="E42" s="250">
        <v>0</v>
      </c>
      <c r="F42" s="250">
        <v>0</v>
      </c>
      <c r="G42" s="250"/>
      <c r="H42" s="250"/>
      <c r="I42" s="250">
        <v>0</v>
      </c>
      <c r="J42" s="250"/>
      <c r="K42" s="250"/>
      <c r="L42" s="250"/>
      <c r="M42" s="250">
        <v>0</v>
      </c>
      <c r="N42" s="250"/>
      <c r="O42" s="250">
        <v>0</v>
      </c>
      <c r="P42" s="250">
        <v>0</v>
      </c>
      <c r="Q42" s="250">
        <v>0</v>
      </c>
      <c r="R42" s="250">
        <v>0</v>
      </c>
      <c r="S42" s="250">
        <v>0</v>
      </c>
      <c r="T42" s="250"/>
      <c r="U42" s="250">
        <v>0</v>
      </c>
      <c r="V42" s="250">
        <v>0</v>
      </c>
      <c r="W42" s="250">
        <v>0</v>
      </c>
      <c r="X42" s="251">
        <v>0</v>
      </c>
      <c r="Z42" s="279">
        <f>Est2017DistRev!Z42</f>
        <v>0</v>
      </c>
      <c r="AA42" s="253">
        <f>Est2017DistRev!AA42</f>
        <v>0</v>
      </c>
      <c r="AB42" s="253">
        <f>Est2017DistRev!AB42</f>
        <v>0</v>
      </c>
      <c r="AC42" s="253">
        <f>Est2017DistRev!AC42</f>
        <v>0</v>
      </c>
      <c r="AD42" s="253">
        <f>Est2017DistRev!AD42</f>
        <v>0</v>
      </c>
      <c r="AE42" s="253">
        <f>Est2017DistRev!AE42</f>
        <v>0</v>
      </c>
      <c r="AF42" s="253">
        <f>Est2017DistRev!AF42</f>
        <v>0</v>
      </c>
      <c r="AG42" s="253">
        <f>Est2017DistRev!AG42</f>
        <v>0</v>
      </c>
      <c r="AH42" s="253">
        <f>Est2017DistRev!AH42</f>
        <v>0</v>
      </c>
      <c r="AI42" s="253">
        <f>Est2017DistRev!AI42</f>
        <v>0</v>
      </c>
      <c r="AJ42" s="253">
        <f>Est2017DistRev!AJ42</f>
        <v>0</v>
      </c>
      <c r="AK42" s="253">
        <f>Est2017DistRev!AK42</f>
        <v>0</v>
      </c>
      <c r="AL42" s="253">
        <f>Est2017DistRev!AL42</f>
        <v>0</v>
      </c>
      <c r="AM42" s="253">
        <f>Est2017DistRev!AM42</f>
        <v>0</v>
      </c>
      <c r="AN42" s="253">
        <f>Est2017DistRev!AN42</f>
        <v>0</v>
      </c>
      <c r="AO42" s="253">
        <f>Est2017DistRev!AO42</f>
        <v>0</v>
      </c>
      <c r="AP42" s="253">
        <f>Est2017DistRev!AP42</f>
        <v>0</v>
      </c>
      <c r="AQ42" s="253">
        <f>Est2017DistRev!AQ42</f>
        <v>0</v>
      </c>
      <c r="AR42" s="253">
        <f>Est2017DistRev!AR42</f>
        <v>0</v>
      </c>
      <c r="AS42" s="253">
        <f>Est2017DistRev!AS42</f>
        <v>0</v>
      </c>
      <c r="AT42" s="254">
        <f>Est2017DistRev!AT42</f>
        <v>0</v>
      </c>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56">
        <f t="shared" si="17"/>
        <v>0</v>
      </c>
      <c r="BJ42" s="256">
        <f t="shared" si="18"/>
        <v>0</v>
      </c>
      <c r="BK42" s="256">
        <f t="shared" si="19"/>
        <v>0</v>
      </c>
      <c r="BL42" s="256">
        <f t="shared" si="20"/>
        <v>0</v>
      </c>
      <c r="BM42" s="256">
        <f t="shared" si="21"/>
        <v>0</v>
      </c>
      <c r="BN42" s="256">
        <f t="shared" si="22"/>
        <v>0</v>
      </c>
      <c r="BO42" s="256">
        <f t="shared" si="23"/>
        <v>0</v>
      </c>
      <c r="BP42" s="256">
        <f t="shared" si="24"/>
        <v>0</v>
      </c>
      <c r="BQ42" s="257">
        <f t="shared" si="25"/>
        <v>0</v>
      </c>
    </row>
    <row r="43" spans="2:69">
      <c r="B43" s="238" t="s">
        <v>602</v>
      </c>
      <c r="D43" s="320">
        <v>0</v>
      </c>
      <c r="E43" s="250">
        <v>0</v>
      </c>
      <c r="F43" s="250">
        <v>0.99</v>
      </c>
      <c r="G43" s="250"/>
      <c r="H43" s="250"/>
      <c r="I43" s="250">
        <v>0.6</v>
      </c>
      <c r="J43" s="250"/>
      <c r="K43" s="250"/>
      <c r="L43" s="250"/>
      <c r="M43" s="250">
        <v>30.53</v>
      </c>
      <c r="N43" s="250"/>
      <c r="O43" s="250">
        <v>0</v>
      </c>
      <c r="P43" s="250">
        <v>0</v>
      </c>
      <c r="Q43" s="250">
        <v>0</v>
      </c>
      <c r="R43" s="250">
        <v>0</v>
      </c>
      <c r="S43" s="250">
        <v>0</v>
      </c>
      <c r="T43" s="250"/>
      <c r="U43" s="250">
        <v>0</v>
      </c>
      <c r="V43" s="250">
        <v>0</v>
      </c>
      <c r="W43" s="250">
        <v>0</v>
      </c>
      <c r="X43" s="251">
        <v>0</v>
      </c>
      <c r="Z43" s="279">
        <f>Est2017DistRev!Z43</f>
        <v>298.7522312755965</v>
      </c>
      <c r="AA43" s="253">
        <f>Est2017DistRev!AA43</f>
        <v>0</v>
      </c>
      <c r="AB43" s="253">
        <f>Est2017DistRev!AB43</f>
        <v>108710418.90768468</v>
      </c>
      <c r="AC43" s="253">
        <f>Est2017DistRev!AC43</f>
        <v>0</v>
      </c>
      <c r="AD43" s="253">
        <f>Est2017DistRev!AD43</f>
        <v>0</v>
      </c>
      <c r="AE43" s="253">
        <f>Est2017DistRev!AE43</f>
        <v>83655115.919262469</v>
      </c>
      <c r="AF43" s="253">
        <f>Est2017DistRev!AF43</f>
        <v>0</v>
      </c>
      <c r="AG43" s="253">
        <f>Est2017DistRev!AG43</f>
        <v>0</v>
      </c>
      <c r="AH43" s="253">
        <f>Est2017DistRev!AH43</f>
        <v>0</v>
      </c>
      <c r="AI43" s="253">
        <f>Est2017DistRev!AI43</f>
        <v>60926.089727361323</v>
      </c>
      <c r="AJ43" s="253">
        <f>Est2017DistRev!AJ43</f>
        <v>0</v>
      </c>
      <c r="AK43" s="253">
        <f>Est2017DistRev!AK43</f>
        <v>0</v>
      </c>
      <c r="AL43" s="253">
        <f>Est2017DistRev!AL43</f>
        <v>0</v>
      </c>
      <c r="AM43" s="253">
        <f>Est2017DistRev!AM43</f>
        <v>0</v>
      </c>
      <c r="AN43" s="253">
        <f>Est2017DistRev!AN43</f>
        <v>0</v>
      </c>
      <c r="AO43" s="253">
        <f>Est2017DistRev!AO43</f>
        <v>0</v>
      </c>
      <c r="AP43" s="253">
        <f>Est2017DistRev!AP43</f>
        <v>0</v>
      </c>
      <c r="AQ43" s="253">
        <f>Est2017DistRev!AQ43</f>
        <v>0</v>
      </c>
      <c r="AR43" s="253">
        <f>Est2017DistRev!AR43</f>
        <v>0</v>
      </c>
      <c r="AS43" s="253">
        <f>Est2017DistRev!AS43</f>
        <v>0</v>
      </c>
      <c r="AT43" s="254">
        <f>Est2017DistRev!AT43</f>
        <v>0</v>
      </c>
      <c r="AV43" s="255">
        <f t="shared" si="4"/>
        <v>0</v>
      </c>
      <c r="AW43" s="224">
        <f t="shared" si="5"/>
        <v>0</v>
      </c>
      <c r="AX43" s="224">
        <f t="shared" si="6"/>
        <v>1076233.1471860784</v>
      </c>
      <c r="AY43" s="224">
        <f t="shared" si="7"/>
        <v>0</v>
      </c>
      <c r="AZ43" s="224">
        <f t="shared" si="8"/>
        <v>0</v>
      </c>
      <c r="BA43" s="224">
        <f t="shared" si="9"/>
        <v>501930.69551557483</v>
      </c>
      <c r="BB43" s="224">
        <f t="shared" si="10"/>
        <v>0</v>
      </c>
      <c r="BC43" s="224">
        <f t="shared" si="11"/>
        <v>0</v>
      </c>
      <c r="BD43" s="224">
        <f t="shared" si="12"/>
        <v>0</v>
      </c>
      <c r="BE43" s="224">
        <f t="shared" si="13"/>
        <v>1860073.5193763413</v>
      </c>
      <c r="BF43" s="224">
        <f t="shared" si="14"/>
        <v>0</v>
      </c>
      <c r="BG43" s="224">
        <f t="shared" si="15"/>
        <v>0</v>
      </c>
      <c r="BH43" s="224">
        <f t="shared" si="16"/>
        <v>0</v>
      </c>
      <c r="BI43" s="256">
        <f t="shared" si="17"/>
        <v>0</v>
      </c>
      <c r="BJ43" s="256">
        <f t="shared" si="18"/>
        <v>0</v>
      </c>
      <c r="BK43" s="256">
        <f t="shared" si="19"/>
        <v>0</v>
      </c>
      <c r="BL43" s="256">
        <f t="shared" si="20"/>
        <v>0</v>
      </c>
      <c r="BM43" s="256">
        <f t="shared" si="21"/>
        <v>0</v>
      </c>
      <c r="BN43" s="256">
        <f t="shared" si="22"/>
        <v>0</v>
      </c>
      <c r="BO43" s="256">
        <f t="shared" si="23"/>
        <v>0</v>
      </c>
      <c r="BP43" s="256">
        <f t="shared" si="24"/>
        <v>0</v>
      </c>
      <c r="BQ43" s="257">
        <f t="shared" si="25"/>
        <v>3438237.3620779943</v>
      </c>
    </row>
    <row r="44" spans="2:69">
      <c r="B44" s="238" t="s">
        <v>603</v>
      </c>
      <c r="D44" s="320">
        <v>0</v>
      </c>
      <c r="E44" s="250">
        <v>0</v>
      </c>
      <c r="F44" s="250">
        <v>0.88</v>
      </c>
      <c r="G44" s="250"/>
      <c r="H44" s="250"/>
      <c r="I44" s="250">
        <v>0.54</v>
      </c>
      <c r="J44" s="250"/>
      <c r="K44" s="250"/>
      <c r="L44" s="250"/>
      <c r="M44" s="250">
        <v>27.48</v>
      </c>
      <c r="N44" s="250"/>
      <c r="O44" s="250">
        <v>0</v>
      </c>
      <c r="P44" s="250">
        <v>0</v>
      </c>
      <c r="Q44" s="250">
        <v>0</v>
      </c>
      <c r="R44" s="250">
        <v>0</v>
      </c>
      <c r="S44" s="250">
        <v>0</v>
      </c>
      <c r="T44" s="250"/>
      <c r="U44" s="250">
        <v>0</v>
      </c>
      <c r="V44" s="250">
        <v>0</v>
      </c>
      <c r="W44" s="250">
        <v>0</v>
      </c>
      <c r="X44" s="251">
        <v>0</v>
      </c>
      <c r="Z44" s="279">
        <f>Est2017DistRev!Z44</f>
        <v>1604.8126060804286</v>
      </c>
      <c r="AA44" s="253">
        <f>Est2017DistRev!AA44</f>
        <v>0</v>
      </c>
      <c r="AB44" s="253">
        <f>Est2017DistRev!AB44</f>
        <v>1135850755.9746237</v>
      </c>
      <c r="AC44" s="253">
        <f>Est2017DistRev!AC44</f>
        <v>0</v>
      </c>
      <c r="AD44" s="253">
        <f>Est2017DistRev!AD44</f>
        <v>0</v>
      </c>
      <c r="AE44" s="253">
        <f>Est2017DistRev!AE44</f>
        <v>836627917.92770362</v>
      </c>
      <c r="AF44" s="253">
        <f>Est2017DistRev!AF44</f>
        <v>0</v>
      </c>
      <c r="AG44" s="253">
        <f>Est2017DistRev!AG44</f>
        <v>0</v>
      </c>
      <c r="AH44" s="253">
        <f>Est2017DistRev!AH44</f>
        <v>0</v>
      </c>
      <c r="AI44" s="253">
        <f>Est2017DistRev!AI44</f>
        <v>641555.68425959919</v>
      </c>
      <c r="AJ44" s="253">
        <f>Est2017DistRev!AJ44</f>
        <v>0</v>
      </c>
      <c r="AK44" s="253">
        <f>Est2017DistRev!AK44</f>
        <v>0</v>
      </c>
      <c r="AL44" s="253">
        <f>Est2017DistRev!AL44</f>
        <v>0</v>
      </c>
      <c r="AM44" s="253">
        <f>Est2017DistRev!AM44</f>
        <v>0</v>
      </c>
      <c r="AN44" s="253">
        <f>Est2017DistRev!AN44</f>
        <v>0</v>
      </c>
      <c r="AO44" s="253">
        <f>Est2017DistRev!AO44</f>
        <v>0</v>
      </c>
      <c r="AP44" s="253">
        <f>Est2017DistRev!AP44</f>
        <v>0</v>
      </c>
      <c r="AQ44" s="253">
        <f>Est2017DistRev!AQ44</f>
        <v>0</v>
      </c>
      <c r="AR44" s="253">
        <f>Est2017DistRev!AR44</f>
        <v>0</v>
      </c>
      <c r="AS44" s="253">
        <f>Est2017DistRev!AS44</f>
        <v>0</v>
      </c>
      <c r="AT44" s="254">
        <f>Est2017DistRev!AT44</f>
        <v>0</v>
      </c>
      <c r="AV44" s="255">
        <f t="shared" si="4"/>
        <v>0</v>
      </c>
      <c r="AW44" s="224">
        <f t="shared" si="5"/>
        <v>0</v>
      </c>
      <c r="AX44" s="224">
        <f t="shared" si="6"/>
        <v>9995486.6525766887</v>
      </c>
      <c r="AY44" s="224">
        <f t="shared" si="7"/>
        <v>0</v>
      </c>
      <c r="AZ44" s="224">
        <f t="shared" si="8"/>
        <v>0</v>
      </c>
      <c r="BA44" s="224">
        <f t="shared" si="9"/>
        <v>4517790.7568095997</v>
      </c>
      <c r="BB44" s="224">
        <f t="shared" si="10"/>
        <v>0</v>
      </c>
      <c r="BC44" s="224">
        <f t="shared" si="11"/>
        <v>0</v>
      </c>
      <c r="BD44" s="224">
        <f t="shared" si="12"/>
        <v>0</v>
      </c>
      <c r="BE44" s="224">
        <f t="shared" si="13"/>
        <v>17629950.203453787</v>
      </c>
      <c r="BF44" s="224">
        <f t="shared" si="14"/>
        <v>0</v>
      </c>
      <c r="BG44" s="224">
        <f t="shared" si="15"/>
        <v>0</v>
      </c>
      <c r="BH44" s="224">
        <f t="shared" si="16"/>
        <v>0</v>
      </c>
      <c r="BI44" s="256">
        <f t="shared" si="17"/>
        <v>0</v>
      </c>
      <c r="BJ44" s="256">
        <f t="shared" si="18"/>
        <v>0</v>
      </c>
      <c r="BK44" s="256">
        <f t="shared" si="19"/>
        <v>0</v>
      </c>
      <c r="BL44" s="256">
        <f t="shared" si="20"/>
        <v>0</v>
      </c>
      <c r="BM44" s="256">
        <f t="shared" si="21"/>
        <v>0</v>
      </c>
      <c r="BN44" s="256">
        <f t="shared" si="22"/>
        <v>0</v>
      </c>
      <c r="BO44" s="256">
        <f t="shared" si="23"/>
        <v>0</v>
      </c>
      <c r="BP44" s="256">
        <f t="shared" si="24"/>
        <v>0</v>
      </c>
      <c r="BQ44" s="257">
        <f t="shared" si="25"/>
        <v>32143227.612840075</v>
      </c>
    </row>
    <row r="45" spans="2:69">
      <c r="B45" s="238" t="s">
        <v>576</v>
      </c>
      <c r="D45" s="320">
        <v>0</v>
      </c>
      <c r="E45" s="250">
        <v>0</v>
      </c>
      <c r="F45" s="250">
        <v>0</v>
      </c>
      <c r="G45" s="250"/>
      <c r="H45" s="250"/>
      <c r="I45" s="250">
        <v>0</v>
      </c>
      <c r="J45" s="250"/>
      <c r="K45" s="250"/>
      <c r="L45" s="250"/>
      <c r="M45" s="250">
        <v>0</v>
      </c>
      <c r="N45" s="250"/>
      <c r="O45" s="250">
        <v>0</v>
      </c>
      <c r="P45" s="250">
        <v>0</v>
      </c>
      <c r="Q45" s="250">
        <v>0</v>
      </c>
      <c r="R45" s="250">
        <v>0</v>
      </c>
      <c r="S45" s="250">
        <v>0</v>
      </c>
      <c r="T45" s="250"/>
      <c r="U45" s="250">
        <v>0</v>
      </c>
      <c r="V45" s="250">
        <v>0</v>
      </c>
      <c r="W45" s="250">
        <v>0</v>
      </c>
      <c r="X45" s="251">
        <v>0</v>
      </c>
      <c r="Z45" s="279">
        <f>Est2017DistRev!Z45</f>
        <v>0</v>
      </c>
      <c r="AA45" s="253">
        <f>Est2017DistRev!AA45</f>
        <v>0</v>
      </c>
      <c r="AB45" s="253">
        <f>Est2017DistRev!AB45</f>
        <v>0</v>
      </c>
      <c r="AC45" s="253">
        <f>Est2017DistRev!AC45</f>
        <v>0</v>
      </c>
      <c r="AD45" s="253">
        <f>Est2017DistRev!AD45</f>
        <v>0</v>
      </c>
      <c r="AE45" s="253">
        <f>Est2017DistRev!AE45</f>
        <v>0</v>
      </c>
      <c r="AF45" s="253">
        <f>Est2017DistRev!AF45</f>
        <v>0</v>
      </c>
      <c r="AG45" s="253">
        <f>Est2017DistRev!AG45</f>
        <v>0</v>
      </c>
      <c r="AH45" s="253">
        <f>Est2017DistRev!AH45</f>
        <v>0</v>
      </c>
      <c r="AI45" s="253">
        <f>Est2017DistRev!AI45</f>
        <v>0</v>
      </c>
      <c r="AJ45" s="253">
        <f>Est2017DistRev!AJ45</f>
        <v>0</v>
      </c>
      <c r="AK45" s="253">
        <f>Est2017DistRev!AK45</f>
        <v>0</v>
      </c>
      <c r="AL45" s="253">
        <f>Est2017DistRev!AL45</f>
        <v>0</v>
      </c>
      <c r="AM45" s="253">
        <f>Est2017DistRev!AM45</f>
        <v>0</v>
      </c>
      <c r="AN45" s="253">
        <f>Est2017DistRev!AN45</f>
        <v>0</v>
      </c>
      <c r="AO45" s="253">
        <f>Est2017DistRev!AO45</f>
        <v>0</v>
      </c>
      <c r="AP45" s="253">
        <f>Est2017DistRev!AP45</f>
        <v>0</v>
      </c>
      <c r="AQ45" s="253">
        <f>Est2017DistRev!AQ45</f>
        <v>0</v>
      </c>
      <c r="AR45" s="253">
        <f>Est2017DistRev!AR45</f>
        <v>0</v>
      </c>
      <c r="AS45" s="253">
        <f>Est2017DistRev!AS45</f>
        <v>0</v>
      </c>
      <c r="AT45" s="254">
        <f>Est2017DistRev!AT45</f>
        <v>0</v>
      </c>
      <c r="AV45" s="255">
        <f t="shared" si="4"/>
        <v>0</v>
      </c>
      <c r="AW45" s="224">
        <f t="shared" si="5"/>
        <v>0</v>
      </c>
      <c r="AX45" s="224">
        <f t="shared" si="6"/>
        <v>0</v>
      </c>
      <c r="AY45" s="224">
        <f t="shared" si="7"/>
        <v>0</v>
      </c>
      <c r="AZ45" s="224">
        <f t="shared" si="8"/>
        <v>0</v>
      </c>
      <c r="BA45" s="224">
        <f t="shared" si="9"/>
        <v>0</v>
      </c>
      <c r="BB45" s="224">
        <f t="shared" si="10"/>
        <v>0</v>
      </c>
      <c r="BC45" s="224">
        <f t="shared" si="11"/>
        <v>0</v>
      </c>
      <c r="BD45" s="224">
        <f t="shared" si="12"/>
        <v>0</v>
      </c>
      <c r="BE45" s="224">
        <f t="shared" si="13"/>
        <v>0</v>
      </c>
      <c r="BF45" s="224">
        <f t="shared" si="14"/>
        <v>0</v>
      </c>
      <c r="BG45" s="224">
        <f t="shared" si="15"/>
        <v>0</v>
      </c>
      <c r="BH45" s="224">
        <f t="shared" si="16"/>
        <v>0</v>
      </c>
      <c r="BI45" s="256">
        <f t="shared" si="17"/>
        <v>0</v>
      </c>
      <c r="BJ45" s="256">
        <f t="shared" si="18"/>
        <v>0</v>
      </c>
      <c r="BK45" s="256">
        <f t="shared" si="19"/>
        <v>0</v>
      </c>
      <c r="BL45" s="256">
        <f t="shared" si="20"/>
        <v>0</v>
      </c>
      <c r="BM45" s="256">
        <f t="shared" si="21"/>
        <v>0</v>
      </c>
      <c r="BN45" s="256">
        <f t="shared" si="22"/>
        <v>0</v>
      </c>
      <c r="BO45" s="256">
        <f t="shared" si="23"/>
        <v>0</v>
      </c>
      <c r="BP45" s="256">
        <f t="shared" si="24"/>
        <v>0</v>
      </c>
      <c r="BQ45" s="257">
        <f t="shared" si="25"/>
        <v>0</v>
      </c>
    </row>
    <row r="46" spans="2:69">
      <c r="B46" s="238" t="s">
        <v>577</v>
      </c>
      <c r="D46" s="297">
        <v>0</v>
      </c>
      <c r="E46" s="298">
        <v>0</v>
      </c>
      <c r="F46" s="298">
        <v>0</v>
      </c>
      <c r="G46" s="298"/>
      <c r="H46" s="298"/>
      <c r="I46" s="298">
        <v>0</v>
      </c>
      <c r="J46" s="298"/>
      <c r="K46" s="298"/>
      <c r="L46" s="298"/>
      <c r="M46" s="298">
        <v>0</v>
      </c>
      <c r="N46" s="298"/>
      <c r="O46" s="298">
        <v>0</v>
      </c>
      <c r="P46" s="298">
        <v>0</v>
      </c>
      <c r="Q46" s="298">
        <v>0</v>
      </c>
      <c r="R46" s="298">
        <v>0</v>
      </c>
      <c r="S46" s="298">
        <v>0</v>
      </c>
      <c r="T46" s="298"/>
      <c r="U46" s="298">
        <v>0</v>
      </c>
      <c r="V46" s="298">
        <v>0</v>
      </c>
      <c r="W46" s="298">
        <v>0</v>
      </c>
      <c r="X46" s="299"/>
      <c r="Z46" s="279">
        <f>Est2017DistRev!Z46</f>
        <v>0</v>
      </c>
      <c r="AA46" s="253">
        <f>Est2017DistRev!AA46</f>
        <v>0</v>
      </c>
      <c r="AB46" s="253">
        <f>Est2017DistRev!AB46</f>
        <v>0</v>
      </c>
      <c r="AC46" s="253">
        <f>Est2017DistRev!AC46</f>
        <v>0</v>
      </c>
      <c r="AD46" s="253">
        <f>Est2017DistRev!AD46</f>
        <v>0</v>
      </c>
      <c r="AE46" s="253">
        <f>Est2017DistRev!AE46</f>
        <v>0</v>
      </c>
      <c r="AF46" s="253">
        <f>Est2017DistRev!AF46</f>
        <v>0</v>
      </c>
      <c r="AG46" s="253">
        <f>Est2017DistRev!AG46</f>
        <v>0</v>
      </c>
      <c r="AH46" s="253">
        <f>Est2017DistRev!AH46</f>
        <v>0</v>
      </c>
      <c r="AI46" s="253">
        <f>Est2017DistRev!AI46</f>
        <v>0</v>
      </c>
      <c r="AJ46" s="253">
        <f>Est2017DistRev!AJ46</f>
        <v>0</v>
      </c>
      <c r="AK46" s="253">
        <f>Est2017DistRev!AK46</f>
        <v>0</v>
      </c>
      <c r="AL46" s="253">
        <f>Est2017DistRev!AL46</f>
        <v>0</v>
      </c>
      <c r="AM46" s="253">
        <f>Est2017DistRev!AM46</f>
        <v>0</v>
      </c>
      <c r="AN46" s="253">
        <f>Est2017DistRev!AN46</f>
        <v>0</v>
      </c>
      <c r="AO46" s="253">
        <f>Est2017DistRev!AO46</f>
        <v>0</v>
      </c>
      <c r="AP46" s="253">
        <f>Est2017DistRev!AP46</f>
        <v>0</v>
      </c>
      <c r="AQ46" s="253">
        <f>Est2017DistRev!AQ46</f>
        <v>0</v>
      </c>
      <c r="AR46" s="253">
        <f>Est2017DistRev!AR46</f>
        <v>0</v>
      </c>
      <c r="AS46" s="253">
        <f>Est2017DistRev!AS46</f>
        <v>0</v>
      </c>
      <c r="AT46" s="254">
        <f>Est2017DistRev!AT46</f>
        <v>0</v>
      </c>
      <c r="AV46" s="255">
        <f t="shared" si="4"/>
        <v>0</v>
      </c>
      <c r="AW46" s="224">
        <f t="shared" si="5"/>
        <v>0</v>
      </c>
      <c r="AX46" s="224">
        <f t="shared" si="6"/>
        <v>0</v>
      </c>
      <c r="AY46" s="224">
        <f t="shared" si="7"/>
        <v>0</v>
      </c>
      <c r="AZ46" s="224">
        <f t="shared" si="8"/>
        <v>0</v>
      </c>
      <c r="BA46" s="224">
        <f t="shared" si="9"/>
        <v>0</v>
      </c>
      <c r="BB46" s="224">
        <f t="shared" si="10"/>
        <v>0</v>
      </c>
      <c r="BC46" s="224">
        <f t="shared" si="11"/>
        <v>0</v>
      </c>
      <c r="BD46" s="224">
        <f t="shared" si="12"/>
        <v>0</v>
      </c>
      <c r="BE46" s="224">
        <f t="shared" si="13"/>
        <v>0</v>
      </c>
      <c r="BF46" s="224">
        <f t="shared" si="14"/>
        <v>0</v>
      </c>
      <c r="BG46" s="224">
        <f t="shared" si="15"/>
        <v>0</v>
      </c>
      <c r="BH46" s="224">
        <f t="shared" si="16"/>
        <v>0</v>
      </c>
      <c r="BI46" s="256">
        <f t="shared" si="17"/>
        <v>0</v>
      </c>
      <c r="BJ46" s="256">
        <f t="shared" si="18"/>
        <v>0</v>
      </c>
      <c r="BK46" s="256">
        <f t="shared" si="19"/>
        <v>0</v>
      </c>
      <c r="BL46" s="256">
        <f t="shared" si="20"/>
        <v>0</v>
      </c>
      <c r="BM46" s="256">
        <f t="shared" si="21"/>
        <v>0</v>
      </c>
      <c r="BN46" s="256">
        <f t="shared" si="22"/>
        <v>0</v>
      </c>
      <c r="BO46" s="256">
        <f t="shared" si="23"/>
        <v>0</v>
      </c>
      <c r="BP46" s="256">
        <f t="shared" si="24"/>
        <v>0</v>
      </c>
      <c r="BQ46" s="257">
        <f t="shared" si="25"/>
        <v>0</v>
      </c>
    </row>
    <row r="47" spans="2:69">
      <c r="B47" s="238" t="s">
        <v>578</v>
      </c>
      <c r="D47" s="297">
        <v>0</v>
      </c>
      <c r="E47" s="298">
        <v>0</v>
      </c>
      <c r="F47" s="298">
        <v>0</v>
      </c>
      <c r="G47" s="298"/>
      <c r="H47" s="298"/>
      <c r="I47" s="298">
        <v>0</v>
      </c>
      <c r="J47" s="298"/>
      <c r="K47" s="298"/>
      <c r="L47" s="298"/>
      <c r="M47" s="298">
        <v>0</v>
      </c>
      <c r="N47" s="298"/>
      <c r="O47" s="298">
        <v>0</v>
      </c>
      <c r="P47" s="298">
        <v>0</v>
      </c>
      <c r="Q47" s="298">
        <v>0</v>
      </c>
      <c r="R47" s="298">
        <v>0</v>
      </c>
      <c r="S47" s="298">
        <v>0</v>
      </c>
      <c r="T47" s="298"/>
      <c r="U47" s="298">
        <v>0</v>
      </c>
      <c r="V47" s="298">
        <v>0</v>
      </c>
      <c r="W47" s="298">
        <v>0</v>
      </c>
      <c r="X47" s="299"/>
      <c r="Z47" s="279">
        <f>Est2017DistRev!Z47</f>
        <v>0</v>
      </c>
      <c r="AA47" s="253">
        <f>Est2017DistRev!AA47</f>
        <v>0</v>
      </c>
      <c r="AB47" s="253">
        <f>Est2017DistRev!AB47</f>
        <v>0</v>
      </c>
      <c r="AC47" s="253">
        <f>Est2017DistRev!AC47</f>
        <v>0</v>
      </c>
      <c r="AD47" s="253">
        <f>Est2017DistRev!AD47</f>
        <v>0</v>
      </c>
      <c r="AE47" s="253">
        <f>Est2017DistRev!AE47</f>
        <v>0</v>
      </c>
      <c r="AF47" s="253">
        <f>Est2017DistRev!AF47</f>
        <v>0</v>
      </c>
      <c r="AG47" s="253">
        <f>Est2017DistRev!AG47</f>
        <v>0</v>
      </c>
      <c r="AH47" s="253">
        <f>Est2017DistRev!AH47</f>
        <v>0</v>
      </c>
      <c r="AI47" s="253">
        <f>Est2017DistRev!AI47</f>
        <v>0</v>
      </c>
      <c r="AJ47" s="253">
        <f>Est2017DistRev!AJ47</f>
        <v>0</v>
      </c>
      <c r="AK47" s="253">
        <f>Est2017DistRev!AK47</f>
        <v>0</v>
      </c>
      <c r="AL47" s="253">
        <f>Est2017DistRev!AL47</f>
        <v>0</v>
      </c>
      <c r="AM47" s="253">
        <f>Est2017DistRev!AM47</f>
        <v>0</v>
      </c>
      <c r="AN47" s="253">
        <f>Est2017DistRev!AN47</f>
        <v>0</v>
      </c>
      <c r="AO47" s="253">
        <f>Est2017DistRev!AO47</f>
        <v>0</v>
      </c>
      <c r="AP47" s="253">
        <f>Est2017DistRev!AP47</f>
        <v>0</v>
      </c>
      <c r="AQ47" s="253">
        <f>Est2017DistRev!AQ47</f>
        <v>0</v>
      </c>
      <c r="AR47" s="253">
        <f>Est2017DistRev!AR47</f>
        <v>0</v>
      </c>
      <c r="AS47" s="253">
        <f>Est2017DistRev!AS47</f>
        <v>0</v>
      </c>
      <c r="AT47" s="254">
        <f>Est2017DistRev!AT47</f>
        <v>0</v>
      </c>
      <c r="AV47" s="255">
        <f t="shared" si="4"/>
        <v>0</v>
      </c>
      <c r="AW47" s="224">
        <f t="shared" si="5"/>
        <v>0</v>
      </c>
      <c r="AX47" s="224">
        <f t="shared" si="6"/>
        <v>0</v>
      </c>
      <c r="AY47" s="224">
        <f t="shared" si="7"/>
        <v>0</v>
      </c>
      <c r="AZ47" s="224">
        <f t="shared" si="8"/>
        <v>0</v>
      </c>
      <c r="BA47" s="224">
        <f t="shared" si="9"/>
        <v>0</v>
      </c>
      <c r="BB47" s="224">
        <f t="shared" si="10"/>
        <v>0</v>
      </c>
      <c r="BC47" s="224">
        <f t="shared" si="11"/>
        <v>0</v>
      </c>
      <c r="BD47" s="224">
        <f t="shared" si="12"/>
        <v>0</v>
      </c>
      <c r="BE47" s="224">
        <f t="shared" si="13"/>
        <v>0</v>
      </c>
      <c r="BF47" s="224">
        <f t="shared" si="14"/>
        <v>0</v>
      </c>
      <c r="BG47" s="224">
        <f t="shared" si="15"/>
        <v>0</v>
      </c>
      <c r="BH47" s="224">
        <f t="shared" si="16"/>
        <v>0</v>
      </c>
      <c r="BI47" s="256">
        <f t="shared" si="17"/>
        <v>0</v>
      </c>
      <c r="BJ47" s="256">
        <f t="shared" si="18"/>
        <v>0</v>
      </c>
      <c r="BK47" s="256">
        <f t="shared" si="19"/>
        <v>0</v>
      </c>
      <c r="BL47" s="256">
        <f t="shared" si="20"/>
        <v>0</v>
      </c>
      <c r="BM47" s="256">
        <f t="shared" si="21"/>
        <v>0</v>
      </c>
      <c r="BN47" s="256">
        <f t="shared" si="22"/>
        <v>0</v>
      </c>
      <c r="BO47" s="256">
        <f t="shared" si="23"/>
        <v>0</v>
      </c>
      <c r="BP47" s="256">
        <f t="shared" si="24"/>
        <v>0</v>
      </c>
      <c r="BQ47" s="257">
        <f t="shared" si="25"/>
        <v>0</v>
      </c>
    </row>
    <row r="48" spans="2:69">
      <c r="B48" s="238" t="s">
        <v>579</v>
      </c>
      <c r="D48" s="258">
        <v>0</v>
      </c>
      <c r="E48" s="259">
        <v>0</v>
      </c>
      <c r="F48" s="259">
        <v>0</v>
      </c>
      <c r="G48" s="259"/>
      <c r="H48" s="259"/>
      <c r="I48" s="259">
        <v>0</v>
      </c>
      <c r="J48" s="259"/>
      <c r="K48" s="259"/>
      <c r="L48" s="259"/>
      <c r="M48" s="260">
        <v>0</v>
      </c>
      <c r="N48" s="260"/>
      <c r="O48" s="260">
        <v>0</v>
      </c>
      <c r="P48" s="260">
        <v>0</v>
      </c>
      <c r="Q48" s="260">
        <v>0</v>
      </c>
      <c r="R48" s="260">
        <v>0</v>
      </c>
      <c r="S48" s="260">
        <v>0</v>
      </c>
      <c r="T48" s="260"/>
      <c r="U48" s="260">
        <v>0</v>
      </c>
      <c r="V48" s="260">
        <v>0</v>
      </c>
      <c r="W48" s="260">
        <v>0</v>
      </c>
      <c r="X48" s="261"/>
      <c r="Z48" s="252">
        <f>Est2017DistRev!Z48</f>
        <v>0</v>
      </c>
      <c r="AA48" s="253">
        <f>Est2017DistRev!AA48</f>
        <v>0</v>
      </c>
      <c r="AB48" s="253">
        <f>Est2017DistRev!AB48</f>
        <v>0</v>
      </c>
      <c r="AC48" s="253">
        <f>Est2017DistRev!AC48</f>
        <v>0</v>
      </c>
      <c r="AD48" s="253">
        <f>Est2017DistRev!AD48</f>
        <v>0</v>
      </c>
      <c r="AE48" s="253">
        <f>Est2017DistRev!AE48</f>
        <v>0</v>
      </c>
      <c r="AF48" s="253">
        <f>Est2017DistRev!AF48</f>
        <v>0</v>
      </c>
      <c r="AG48" s="253">
        <f>Est2017DistRev!AG48</f>
        <v>0</v>
      </c>
      <c r="AH48" s="253">
        <f>Est2017DistRev!AH48</f>
        <v>0</v>
      </c>
      <c r="AI48" s="253">
        <f>Est2017DistRev!AI48</f>
        <v>0</v>
      </c>
      <c r="AJ48" s="253">
        <f>Est2017DistRev!AJ48</f>
        <v>0</v>
      </c>
      <c r="AK48" s="253">
        <f>Est2017DistRev!AK48</f>
        <v>0</v>
      </c>
      <c r="AL48" s="253">
        <f>Est2017DistRev!AL48</f>
        <v>0</v>
      </c>
      <c r="AM48" s="253">
        <f>Est2017DistRev!AM48</f>
        <v>0</v>
      </c>
      <c r="AN48" s="253">
        <f>Est2017DistRev!AN48</f>
        <v>0</v>
      </c>
      <c r="AO48" s="253">
        <f>Est2017DistRev!AO48</f>
        <v>0</v>
      </c>
      <c r="AP48" s="253">
        <f>Est2017DistRev!AP48</f>
        <v>0</v>
      </c>
      <c r="AQ48" s="253">
        <f>Est2017DistRev!AQ48</f>
        <v>0</v>
      </c>
      <c r="AR48" s="253">
        <f>Est2017DistRev!AR48</f>
        <v>0</v>
      </c>
      <c r="AS48" s="253">
        <f>Est2017DistRev!AS48</f>
        <v>0</v>
      </c>
      <c r="AT48" s="254">
        <f>Est2017DistRev!AT48</f>
        <v>0</v>
      </c>
      <c r="AV48" s="255">
        <f t="shared" si="4"/>
        <v>0</v>
      </c>
      <c r="AW48" s="224">
        <f t="shared" si="5"/>
        <v>0</v>
      </c>
      <c r="AX48" s="224">
        <f t="shared" si="6"/>
        <v>0</v>
      </c>
      <c r="AY48" s="224">
        <f t="shared" si="7"/>
        <v>0</v>
      </c>
      <c r="AZ48" s="224">
        <f t="shared" si="8"/>
        <v>0</v>
      </c>
      <c r="BA48" s="224">
        <f t="shared" si="9"/>
        <v>0</v>
      </c>
      <c r="BB48" s="224">
        <f t="shared" si="10"/>
        <v>0</v>
      </c>
      <c r="BC48" s="224">
        <f t="shared" si="11"/>
        <v>0</v>
      </c>
      <c r="BD48" s="224">
        <f t="shared" si="12"/>
        <v>0</v>
      </c>
      <c r="BE48" s="224">
        <f t="shared" si="13"/>
        <v>0</v>
      </c>
      <c r="BF48" s="224">
        <f t="shared" si="14"/>
        <v>0</v>
      </c>
      <c r="BG48" s="224">
        <f t="shared" si="15"/>
        <v>0</v>
      </c>
      <c r="BH48" s="224">
        <f t="shared" si="16"/>
        <v>0</v>
      </c>
      <c r="BI48" s="256">
        <f t="shared" si="17"/>
        <v>0</v>
      </c>
      <c r="BJ48" s="256">
        <f t="shared" si="18"/>
        <v>0</v>
      </c>
      <c r="BK48" s="256">
        <f t="shared" si="19"/>
        <v>0</v>
      </c>
      <c r="BL48" s="256">
        <f t="shared" si="20"/>
        <v>0</v>
      </c>
      <c r="BM48" s="256">
        <f t="shared" si="21"/>
        <v>0</v>
      </c>
      <c r="BN48" s="256">
        <f t="shared" si="22"/>
        <v>0</v>
      </c>
      <c r="BO48" s="256">
        <f t="shared" si="23"/>
        <v>0</v>
      </c>
      <c r="BP48" s="256">
        <f t="shared" si="24"/>
        <v>0</v>
      </c>
      <c r="BQ48" s="257">
        <f t="shared" si="25"/>
        <v>0</v>
      </c>
    </row>
    <row r="49" spans="2:69">
      <c r="B49" s="238" t="s">
        <v>580</v>
      </c>
      <c r="D49" s="258">
        <v>0</v>
      </c>
      <c r="E49" s="259">
        <v>0</v>
      </c>
      <c r="F49" s="259">
        <v>1.0900000000000001</v>
      </c>
      <c r="G49" s="259"/>
      <c r="H49" s="259"/>
      <c r="I49" s="259">
        <v>0.56999999999999995</v>
      </c>
      <c r="J49" s="259"/>
      <c r="K49" s="259"/>
      <c r="L49" s="259"/>
      <c r="M49" s="260">
        <v>30.99</v>
      </c>
      <c r="N49" s="260"/>
      <c r="O49" s="260">
        <v>0</v>
      </c>
      <c r="P49" s="260">
        <v>0</v>
      </c>
      <c r="Q49" s="260">
        <v>0</v>
      </c>
      <c r="R49" s="260">
        <v>0</v>
      </c>
      <c r="S49" s="260">
        <v>0</v>
      </c>
      <c r="T49" s="260"/>
      <c r="U49" s="260">
        <v>0</v>
      </c>
      <c r="V49" s="260">
        <v>0</v>
      </c>
      <c r="W49" s="260">
        <v>0</v>
      </c>
      <c r="X49" s="261"/>
      <c r="Z49" s="252">
        <f>Est2017DistRev!Z49</f>
        <v>87.634181008555416</v>
      </c>
      <c r="AA49" s="253">
        <f>Est2017DistRev!AA49</f>
        <v>0</v>
      </c>
      <c r="AB49" s="253">
        <f>Est2017DistRev!AB49</f>
        <v>333095732.74128711</v>
      </c>
      <c r="AC49" s="253">
        <f>Est2017DistRev!AC49</f>
        <v>0</v>
      </c>
      <c r="AD49" s="253">
        <f>Est2017DistRev!AD49</f>
        <v>0</v>
      </c>
      <c r="AE49" s="253">
        <f>Est2017DistRev!AE49</f>
        <v>312746391.4920069</v>
      </c>
      <c r="AF49" s="253">
        <f>Est2017DistRev!AF49</f>
        <v>0</v>
      </c>
      <c r="AG49" s="253">
        <f>Est2017DistRev!AG49</f>
        <v>0</v>
      </c>
      <c r="AH49" s="253">
        <f>Est2017DistRev!AH49</f>
        <v>0</v>
      </c>
      <c r="AI49" s="253">
        <f>Est2017DistRev!AI49</f>
        <v>193029.51255495954</v>
      </c>
      <c r="AJ49" s="253">
        <f>Est2017DistRev!AJ49</f>
        <v>0</v>
      </c>
      <c r="AK49" s="253">
        <f>Est2017DistRev!AK49</f>
        <v>0</v>
      </c>
      <c r="AL49" s="253">
        <f>Est2017DistRev!AL49</f>
        <v>0</v>
      </c>
      <c r="AM49" s="253">
        <f>Est2017DistRev!AM49</f>
        <v>0</v>
      </c>
      <c r="AN49" s="253">
        <f>Est2017DistRev!AN49</f>
        <v>0</v>
      </c>
      <c r="AO49" s="253">
        <f>Est2017DistRev!AO49</f>
        <v>0</v>
      </c>
      <c r="AP49" s="253">
        <f>Est2017DistRev!AP49</f>
        <v>0</v>
      </c>
      <c r="AQ49" s="253">
        <f>Est2017DistRev!AQ49</f>
        <v>0</v>
      </c>
      <c r="AR49" s="253">
        <f>Est2017DistRev!AR49</f>
        <v>0</v>
      </c>
      <c r="AS49" s="253">
        <f>Est2017DistRev!AS49</f>
        <v>0</v>
      </c>
      <c r="AT49" s="254">
        <f>Est2017DistRev!AT49</f>
        <v>0</v>
      </c>
      <c r="AV49" s="255">
        <f t="shared" si="4"/>
        <v>0</v>
      </c>
      <c r="AW49" s="224">
        <f t="shared" si="5"/>
        <v>0</v>
      </c>
      <c r="AX49" s="224">
        <f t="shared" si="6"/>
        <v>3630743.4868800296</v>
      </c>
      <c r="AY49" s="224">
        <f t="shared" si="7"/>
        <v>0</v>
      </c>
      <c r="AZ49" s="224">
        <f t="shared" si="8"/>
        <v>0</v>
      </c>
      <c r="BA49" s="224">
        <f t="shared" si="9"/>
        <v>1782654.4315044391</v>
      </c>
      <c r="BB49" s="224">
        <f t="shared" si="10"/>
        <v>0</v>
      </c>
      <c r="BC49" s="224">
        <f t="shared" si="11"/>
        <v>0</v>
      </c>
      <c r="BD49" s="224">
        <f t="shared" si="12"/>
        <v>0</v>
      </c>
      <c r="BE49" s="224">
        <f t="shared" si="13"/>
        <v>5981984.5940781962</v>
      </c>
      <c r="BF49" s="224">
        <f t="shared" si="14"/>
        <v>0</v>
      </c>
      <c r="BG49" s="224">
        <f t="shared" si="15"/>
        <v>0</v>
      </c>
      <c r="BH49" s="224">
        <f t="shared" si="16"/>
        <v>0</v>
      </c>
      <c r="BI49" s="256">
        <f t="shared" si="17"/>
        <v>0</v>
      </c>
      <c r="BJ49" s="256">
        <f t="shared" si="18"/>
        <v>0</v>
      </c>
      <c r="BK49" s="256">
        <f t="shared" si="19"/>
        <v>0</v>
      </c>
      <c r="BL49" s="256">
        <f t="shared" si="20"/>
        <v>0</v>
      </c>
      <c r="BM49" s="256">
        <f t="shared" si="21"/>
        <v>0</v>
      </c>
      <c r="BN49" s="256">
        <f t="shared" si="22"/>
        <v>0</v>
      </c>
      <c r="BO49" s="256">
        <f t="shared" si="23"/>
        <v>0</v>
      </c>
      <c r="BP49" s="256">
        <f t="shared" si="24"/>
        <v>0</v>
      </c>
      <c r="BQ49" s="257">
        <f t="shared" si="25"/>
        <v>11395382.512462664</v>
      </c>
    </row>
    <row r="50" spans="2:69">
      <c r="B50" s="238" t="s">
        <v>604</v>
      </c>
      <c r="D50" s="258">
        <v>0</v>
      </c>
      <c r="E50" s="259">
        <v>0</v>
      </c>
      <c r="F50" s="259">
        <v>0</v>
      </c>
      <c r="G50" s="259"/>
      <c r="H50" s="259"/>
      <c r="I50" s="259">
        <v>0</v>
      </c>
      <c r="J50" s="259"/>
      <c r="K50" s="259"/>
      <c r="L50" s="259"/>
      <c r="M50" s="260">
        <v>0</v>
      </c>
      <c r="N50" s="260"/>
      <c r="O50" s="260">
        <v>0</v>
      </c>
      <c r="P50" s="260">
        <v>0</v>
      </c>
      <c r="Q50" s="260">
        <v>0</v>
      </c>
      <c r="R50" s="260">
        <v>0</v>
      </c>
      <c r="S50" s="260">
        <v>0</v>
      </c>
      <c r="T50" s="260"/>
      <c r="U50" s="260">
        <v>0</v>
      </c>
      <c r="V50" s="260">
        <v>0</v>
      </c>
      <c r="W50" s="260">
        <v>0</v>
      </c>
      <c r="X50" s="261"/>
      <c r="Z50" s="252">
        <f>Est2017DistRev!Z50</f>
        <v>0</v>
      </c>
      <c r="AA50" s="253">
        <f>Est2017DistRev!AA50</f>
        <v>0</v>
      </c>
      <c r="AB50" s="253">
        <f>Est2017DistRev!AB50</f>
        <v>0</v>
      </c>
      <c r="AC50" s="253">
        <f>Est2017DistRev!AC50</f>
        <v>0</v>
      </c>
      <c r="AD50" s="253">
        <f>Est2017DistRev!AD50</f>
        <v>0</v>
      </c>
      <c r="AE50" s="253">
        <f>Est2017DistRev!AE50</f>
        <v>0</v>
      </c>
      <c r="AF50" s="253">
        <f>Est2017DistRev!AF50</f>
        <v>0</v>
      </c>
      <c r="AG50" s="253">
        <f>Est2017DistRev!AG50</f>
        <v>0</v>
      </c>
      <c r="AH50" s="253">
        <f>Est2017DistRev!AH50</f>
        <v>0</v>
      </c>
      <c r="AI50" s="253">
        <f>Est2017DistRev!AI50</f>
        <v>0</v>
      </c>
      <c r="AJ50" s="253">
        <f>Est2017DistRev!AJ50</f>
        <v>0</v>
      </c>
      <c r="AK50" s="253">
        <f>Est2017DistRev!AK50</f>
        <v>0</v>
      </c>
      <c r="AL50" s="253">
        <f>Est2017DistRev!AL50</f>
        <v>0</v>
      </c>
      <c r="AM50" s="253">
        <f>Est2017DistRev!AM50</f>
        <v>0</v>
      </c>
      <c r="AN50" s="253">
        <f>Est2017DistRev!AN50</f>
        <v>0</v>
      </c>
      <c r="AO50" s="253">
        <f>Est2017DistRev!AO50</f>
        <v>0</v>
      </c>
      <c r="AP50" s="253">
        <f>Est2017DistRev!AP50</f>
        <v>0</v>
      </c>
      <c r="AQ50" s="253">
        <f>Est2017DistRev!AQ50</f>
        <v>0</v>
      </c>
      <c r="AR50" s="253">
        <f>Est2017DistRev!AR50</f>
        <v>0</v>
      </c>
      <c r="AS50" s="253">
        <f>Est2017DistRev!AS50</f>
        <v>0</v>
      </c>
      <c r="AT50" s="254">
        <f>Est2017DistRev!AT50</f>
        <v>0</v>
      </c>
      <c r="AV50" s="255">
        <f t="shared" si="4"/>
        <v>0</v>
      </c>
      <c r="AW50" s="224">
        <f t="shared" si="5"/>
        <v>0</v>
      </c>
      <c r="AX50" s="224">
        <f t="shared" si="6"/>
        <v>0</v>
      </c>
      <c r="AY50" s="224">
        <f t="shared" si="7"/>
        <v>0</v>
      </c>
      <c r="AZ50" s="224">
        <f t="shared" si="8"/>
        <v>0</v>
      </c>
      <c r="BA50" s="224">
        <f t="shared" si="9"/>
        <v>0</v>
      </c>
      <c r="BB50" s="224">
        <f t="shared" si="10"/>
        <v>0</v>
      </c>
      <c r="BC50" s="224">
        <f t="shared" si="11"/>
        <v>0</v>
      </c>
      <c r="BD50" s="224">
        <f t="shared" si="12"/>
        <v>0</v>
      </c>
      <c r="BE50" s="224">
        <f t="shared" si="13"/>
        <v>0</v>
      </c>
      <c r="BF50" s="224">
        <f t="shared" si="14"/>
        <v>0</v>
      </c>
      <c r="BG50" s="224">
        <f t="shared" si="15"/>
        <v>0</v>
      </c>
      <c r="BH50" s="224">
        <f t="shared" si="16"/>
        <v>0</v>
      </c>
      <c r="BI50" s="256">
        <f t="shared" si="17"/>
        <v>0</v>
      </c>
      <c r="BJ50" s="256">
        <f t="shared" si="18"/>
        <v>0</v>
      </c>
      <c r="BK50" s="256">
        <f t="shared" si="19"/>
        <v>0</v>
      </c>
      <c r="BL50" s="256">
        <f t="shared" si="20"/>
        <v>0</v>
      </c>
      <c r="BM50" s="256">
        <f t="shared" si="21"/>
        <v>0</v>
      </c>
      <c r="BN50" s="256">
        <f t="shared" si="22"/>
        <v>0</v>
      </c>
      <c r="BO50" s="256">
        <f t="shared" si="23"/>
        <v>0</v>
      </c>
      <c r="BP50" s="256">
        <f t="shared" si="24"/>
        <v>0</v>
      </c>
      <c r="BQ50" s="257">
        <f t="shared" si="25"/>
        <v>0</v>
      </c>
    </row>
    <row r="51" spans="2:69">
      <c r="B51" s="238" t="s">
        <v>581</v>
      </c>
      <c r="D51" s="258">
        <v>0</v>
      </c>
      <c r="E51" s="259">
        <v>0</v>
      </c>
      <c r="F51" s="259">
        <v>0</v>
      </c>
      <c r="G51" s="259"/>
      <c r="H51" s="259"/>
      <c r="I51" s="259">
        <v>0</v>
      </c>
      <c r="J51" s="259"/>
      <c r="K51" s="259"/>
      <c r="L51" s="259"/>
      <c r="M51" s="260">
        <v>0</v>
      </c>
      <c r="N51" s="260"/>
      <c r="O51" s="260">
        <v>0</v>
      </c>
      <c r="P51" s="260">
        <v>0</v>
      </c>
      <c r="Q51" s="260">
        <v>0</v>
      </c>
      <c r="R51" s="260">
        <v>0</v>
      </c>
      <c r="S51" s="260">
        <v>0</v>
      </c>
      <c r="T51" s="260"/>
      <c r="U51" s="260">
        <v>0</v>
      </c>
      <c r="V51" s="260">
        <v>0</v>
      </c>
      <c r="W51" s="260">
        <v>0</v>
      </c>
      <c r="X51" s="261"/>
      <c r="Z51" s="252">
        <f>Est2017DistRev!Z51</f>
        <v>0</v>
      </c>
      <c r="AA51" s="253">
        <f>Est2017DistRev!AA51</f>
        <v>0</v>
      </c>
      <c r="AB51" s="253">
        <f>Est2017DistRev!AB51</f>
        <v>0</v>
      </c>
      <c r="AC51" s="253">
        <f>Est2017DistRev!AC51</f>
        <v>0</v>
      </c>
      <c r="AD51" s="253">
        <f>Est2017DistRev!AD51</f>
        <v>0</v>
      </c>
      <c r="AE51" s="253">
        <f>Est2017DistRev!AE51</f>
        <v>0</v>
      </c>
      <c r="AF51" s="253">
        <f>Est2017DistRev!AF51</f>
        <v>0</v>
      </c>
      <c r="AG51" s="253">
        <f>Est2017DistRev!AG51</f>
        <v>0</v>
      </c>
      <c r="AH51" s="253">
        <f>Est2017DistRev!AH51</f>
        <v>0</v>
      </c>
      <c r="AI51" s="253">
        <f>Est2017DistRev!AI51</f>
        <v>0</v>
      </c>
      <c r="AJ51" s="253">
        <f>Est2017DistRev!AJ51</f>
        <v>0</v>
      </c>
      <c r="AK51" s="253">
        <f>Est2017DistRev!AK51</f>
        <v>0</v>
      </c>
      <c r="AL51" s="253">
        <f>Est2017DistRev!AL51</f>
        <v>0</v>
      </c>
      <c r="AM51" s="253">
        <f>Est2017DistRev!AM51</f>
        <v>0</v>
      </c>
      <c r="AN51" s="253">
        <f>Est2017DistRev!AN51</f>
        <v>0</v>
      </c>
      <c r="AO51" s="253">
        <f>Est2017DistRev!AO51</f>
        <v>0</v>
      </c>
      <c r="AP51" s="253">
        <f>Est2017DistRev!AP51</f>
        <v>0</v>
      </c>
      <c r="AQ51" s="253">
        <f>Est2017DistRev!AQ51</f>
        <v>0</v>
      </c>
      <c r="AR51" s="253">
        <f>Est2017DistRev!AR51</f>
        <v>0</v>
      </c>
      <c r="AS51" s="253">
        <f>Est2017DistRev!AS51</f>
        <v>0</v>
      </c>
      <c r="AT51" s="254">
        <f>Est2017DistRev!AT51</f>
        <v>0</v>
      </c>
      <c r="AV51" s="255">
        <f t="shared" si="4"/>
        <v>0</v>
      </c>
      <c r="AW51" s="224">
        <f t="shared" si="5"/>
        <v>0</v>
      </c>
      <c r="AX51" s="224">
        <f t="shared" si="6"/>
        <v>0</v>
      </c>
      <c r="AY51" s="224">
        <f t="shared" si="7"/>
        <v>0</v>
      </c>
      <c r="AZ51" s="224">
        <f t="shared" si="8"/>
        <v>0</v>
      </c>
      <c r="BA51" s="224">
        <f t="shared" si="9"/>
        <v>0</v>
      </c>
      <c r="BB51" s="224">
        <f t="shared" si="10"/>
        <v>0</v>
      </c>
      <c r="BC51" s="224">
        <f t="shared" si="11"/>
        <v>0</v>
      </c>
      <c r="BD51" s="224">
        <f t="shared" si="12"/>
        <v>0</v>
      </c>
      <c r="BE51" s="224">
        <f t="shared" si="13"/>
        <v>0</v>
      </c>
      <c r="BF51" s="224">
        <f t="shared" si="14"/>
        <v>0</v>
      </c>
      <c r="BG51" s="224">
        <f t="shared" si="15"/>
        <v>0</v>
      </c>
      <c r="BH51" s="224">
        <f t="shared" si="16"/>
        <v>0</v>
      </c>
      <c r="BI51" s="256">
        <f t="shared" si="17"/>
        <v>0</v>
      </c>
      <c r="BJ51" s="256">
        <f t="shared" si="18"/>
        <v>0</v>
      </c>
      <c r="BK51" s="256">
        <f t="shared" si="19"/>
        <v>0</v>
      </c>
      <c r="BL51" s="256">
        <f t="shared" si="20"/>
        <v>0</v>
      </c>
      <c r="BM51" s="256">
        <f t="shared" si="21"/>
        <v>0</v>
      </c>
      <c r="BN51" s="256">
        <f t="shared" si="22"/>
        <v>0</v>
      </c>
      <c r="BO51" s="256">
        <f t="shared" si="23"/>
        <v>0</v>
      </c>
      <c r="BP51" s="256">
        <f t="shared" si="24"/>
        <v>0</v>
      </c>
      <c r="BQ51" s="257">
        <f t="shared" si="25"/>
        <v>0</v>
      </c>
    </row>
    <row r="52" spans="2:69">
      <c r="B52" s="238" t="s">
        <v>605</v>
      </c>
      <c r="D52" s="258">
        <v>0</v>
      </c>
      <c r="E52" s="259">
        <v>0</v>
      </c>
      <c r="F52" s="259">
        <v>1.78</v>
      </c>
      <c r="G52" s="259"/>
      <c r="H52" s="259"/>
      <c r="I52" s="259">
        <v>0.74</v>
      </c>
      <c r="J52" s="259"/>
      <c r="K52" s="259"/>
      <c r="L52" s="259"/>
      <c r="M52" s="260">
        <v>14.48</v>
      </c>
      <c r="N52" s="260"/>
      <c r="O52" s="260">
        <v>0</v>
      </c>
      <c r="P52" s="260">
        <v>0</v>
      </c>
      <c r="Q52" s="260">
        <v>0</v>
      </c>
      <c r="R52" s="260">
        <v>0</v>
      </c>
      <c r="S52" s="260">
        <v>0</v>
      </c>
      <c r="T52" s="260"/>
      <c r="U52" s="260">
        <v>0</v>
      </c>
      <c r="V52" s="260">
        <v>0</v>
      </c>
      <c r="W52" s="260">
        <v>0</v>
      </c>
      <c r="X52" s="261"/>
      <c r="Z52" s="252">
        <f>Est2017DistRev!Z52</f>
        <v>7</v>
      </c>
      <c r="AA52" s="253">
        <f>Est2017DistRev!AA52</f>
        <v>0</v>
      </c>
      <c r="AB52" s="253">
        <f>Est2017DistRev!AB52</f>
        <v>69561287.835062638</v>
      </c>
      <c r="AC52" s="253">
        <f>Est2017DistRev!AC52</f>
        <v>0</v>
      </c>
      <c r="AD52" s="253">
        <f>Est2017DistRev!AD52</f>
        <v>0</v>
      </c>
      <c r="AE52" s="253">
        <f>Est2017DistRev!AE52</f>
        <v>38922335.566263989</v>
      </c>
      <c r="AF52" s="253">
        <f>Est2017DistRev!AF52</f>
        <v>0</v>
      </c>
      <c r="AG52" s="253">
        <f>Est2017DistRev!AG52</f>
        <v>0</v>
      </c>
      <c r="AH52" s="253">
        <f>Est2017DistRev!AH52</f>
        <v>0</v>
      </c>
      <c r="AI52" s="253">
        <f>Est2017DistRev!AI52</f>
        <v>43550.418979469236</v>
      </c>
      <c r="AJ52" s="253">
        <f>Est2017DistRev!AJ52</f>
        <v>0</v>
      </c>
      <c r="AK52" s="253">
        <f>Est2017DistRev!AK52</f>
        <v>0</v>
      </c>
      <c r="AL52" s="253">
        <f>Est2017DistRev!AL52</f>
        <v>0</v>
      </c>
      <c r="AM52" s="253">
        <f>Est2017DistRev!AM52</f>
        <v>0</v>
      </c>
      <c r="AN52" s="253">
        <f>Est2017DistRev!AN52</f>
        <v>0</v>
      </c>
      <c r="AO52" s="253">
        <f>Est2017DistRev!AO52</f>
        <v>0</v>
      </c>
      <c r="AP52" s="253">
        <f>Est2017DistRev!AP52</f>
        <v>0</v>
      </c>
      <c r="AQ52" s="253">
        <f>Est2017DistRev!AQ52</f>
        <v>0</v>
      </c>
      <c r="AR52" s="253">
        <f>Est2017DistRev!AR52</f>
        <v>0</v>
      </c>
      <c r="AS52" s="253">
        <f>Est2017DistRev!AS52</f>
        <v>0</v>
      </c>
      <c r="AT52" s="254">
        <f>Est2017DistRev!AT52</f>
        <v>0</v>
      </c>
      <c r="AV52" s="255">
        <f t="shared" si="4"/>
        <v>0</v>
      </c>
      <c r="AW52" s="224">
        <f t="shared" si="5"/>
        <v>0</v>
      </c>
      <c r="AX52" s="224">
        <f t="shared" si="6"/>
        <v>1238190.923464115</v>
      </c>
      <c r="AY52" s="224">
        <f t="shared" si="7"/>
        <v>0</v>
      </c>
      <c r="AZ52" s="224">
        <f t="shared" si="8"/>
        <v>0</v>
      </c>
      <c r="BA52" s="224">
        <f t="shared" si="9"/>
        <v>288025.28319035354</v>
      </c>
      <c r="BB52" s="224">
        <f t="shared" si="10"/>
        <v>0</v>
      </c>
      <c r="BC52" s="224">
        <f t="shared" si="11"/>
        <v>0</v>
      </c>
      <c r="BD52" s="224">
        <f t="shared" si="12"/>
        <v>0</v>
      </c>
      <c r="BE52" s="224">
        <f t="shared" si="13"/>
        <v>630610.06682271452</v>
      </c>
      <c r="BF52" s="224">
        <f t="shared" si="14"/>
        <v>0</v>
      </c>
      <c r="BG52" s="224">
        <f t="shared" si="15"/>
        <v>0</v>
      </c>
      <c r="BH52" s="224">
        <f t="shared" si="16"/>
        <v>0</v>
      </c>
      <c r="BI52" s="256">
        <f t="shared" si="17"/>
        <v>0</v>
      </c>
      <c r="BJ52" s="256">
        <f t="shared" si="18"/>
        <v>0</v>
      </c>
      <c r="BK52" s="256">
        <f t="shared" si="19"/>
        <v>0</v>
      </c>
      <c r="BL52" s="256">
        <f t="shared" si="20"/>
        <v>0</v>
      </c>
      <c r="BM52" s="256">
        <f t="shared" si="21"/>
        <v>0</v>
      </c>
      <c r="BN52" s="256">
        <f t="shared" si="22"/>
        <v>0</v>
      </c>
      <c r="BO52" s="256">
        <f t="shared" si="23"/>
        <v>0</v>
      </c>
      <c r="BP52" s="256">
        <f t="shared" si="24"/>
        <v>0</v>
      </c>
      <c r="BQ52" s="257">
        <f t="shared" si="25"/>
        <v>2156826.2734771832</v>
      </c>
    </row>
    <row r="53" spans="2:69">
      <c r="B53" s="238"/>
      <c r="D53" s="258"/>
      <c r="E53" s="259"/>
      <c r="F53" s="259"/>
      <c r="G53" s="259"/>
      <c r="H53" s="259"/>
      <c r="I53" s="259"/>
      <c r="J53" s="259"/>
      <c r="K53" s="259"/>
      <c r="L53" s="259"/>
      <c r="M53" s="260"/>
      <c r="N53" s="260"/>
      <c r="O53" s="260"/>
      <c r="P53" s="260"/>
      <c r="Q53" s="260"/>
      <c r="R53" s="260"/>
      <c r="S53" s="260"/>
      <c r="T53" s="260"/>
      <c r="U53" s="260"/>
      <c r="V53" s="260"/>
      <c r="W53" s="260"/>
      <c r="X53" s="261"/>
      <c r="Z53" s="252">
        <f>Est2017DistRev!Z53</f>
        <v>0</v>
      </c>
      <c r="AA53" s="253">
        <f>Est2017DistRev!AA53</f>
        <v>0</v>
      </c>
      <c r="AB53" s="253">
        <f>Est2017DistRev!AB53</f>
        <v>0</v>
      </c>
      <c r="AC53" s="253">
        <f>Est2017DistRev!AC53</f>
        <v>0</v>
      </c>
      <c r="AD53" s="253">
        <f>Est2017DistRev!AD53</f>
        <v>0</v>
      </c>
      <c r="AE53" s="253">
        <f>Est2017DistRev!AE53</f>
        <v>0</v>
      </c>
      <c r="AF53" s="253">
        <f>Est2017DistRev!AF53</f>
        <v>0</v>
      </c>
      <c r="AG53" s="253">
        <f>Est2017DistRev!AG53</f>
        <v>0</v>
      </c>
      <c r="AH53" s="253">
        <f>Est2017DistRev!AH53</f>
        <v>0</v>
      </c>
      <c r="AI53" s="253">
        <f>Est2017DistRev!AI53</f>
        <v>0</v>
      </c>
      <c r="AJ53" s="253">
        <f>Est2017DistRev!AJ53</f>
        <v>0</v>
      </c>
      <c r="AK53" s="253">
        <f>Est2017DistRev!AK53</f>
        <v>0</v>
      </c>
      <c r="AL53" s="253">
        <f>Est2017DistRev!AL53</f>
        <v>0</v>
      </c>
      <c r="AM53" s="253">
        <f>Est2017DistRev!AM53</f>
        <v>0</v>
      </c>
      <c r="AN53" s="253">
        <f>Est2017DistRev!AN53</f>
        <v>0</v>
      </c>
      <c r="AO53" s="253">
        <f>Est2017DistRev!AO53</f>
        <v>0</v>
      </c>
      <c r="AP53" s="253">
        <f>Est2017DistRev!AP53</f>
        <v>0</v>
      </c>
      <c r="AQ53" s="253">
        <f>Est2017DistRev!AQ53</f>
        <v>0</v>
      </c>
      <c r="AR53" s="253">
        <f>Est2017DistRev!AR53</f>
        <v>0</v>
      </c>
      <c r="AS53" s="253">
        <f>Est2017DistRev!AS53</f>
        <v>0</v>
      </c>
      <c r="AT53" s="254">
        <f>Est2017DistRev!AT53</f>
        <v>0</v>
      </c>
      <c r="AV53" s="255">
        <f t="shared" si="4"/>
        <v>0</v>
      </c>
      <c r="AW53" s="224">
        <f t="shared" si="5"/>
        <v>0</v>
      </c>
      <c r="AX53" s="224">
        <f t="shared" si="6"/>
        <v>0</v>
      </c>
      <c r="AY53" s="224">
        <f t="shared" si="7"/>
        <v>0</v>
      </c>
      <c r="AZ53" s="224">
        <f t="shared" si="8"/>
        <v>0</v>
      </c>
      <c r="BA53" s="224">
        <f t="shared" si="9"/>
        <v>0</v>
      </c>
      <c r="BB53" s="224">
        <f t="shared" si="10"/>
        <v>0</v>
      </c>
      <c r="BC53" s="224">
        <f t="shared" si="11"/>
        <v>0</v>
      </c>
      <c r="BD53" s="224">
        <f t="shared" si="12"/>
        <v>0</v>
      </c>
      <c r="BE53" s="224">
        <f t="shared" si="13"/>
        <v>0</v>
      </c>
      <c r="BF53" s="224">
        <f t="shared" si="14"/>
        <v>0</v>
      </c>
      <c r="BG53" s="224">
        <f t="shared" si="15"/>
        <v>0</v>
      </c>
      <c r="BH53" s="224">
        <f t="shared" si="16"/>
        <v>0</v>
      </c>
      <c r="BI53" s="256">
        <f t="shared" si="17"/>
        <v>0</v>
      </c>
      <c r="BJ53" s="256">
        <f t="shared" si="18"/>
        <v>0</v>
      </c>
      <c r="BK53" s="256">
        <f t="shared" si="19"/>
        <v>0</v>
      </c>
      <c r="BL53" s="256">
        <f t="shared" si="20"/>
        <v>0</v>
      </c>
      <c r="BM53" s="256">
        <f t="shared" si="21"/>
        <v>0</v>
      </c>
      <c r="BN53" s="256">
        <f t="shared" si="22"/>
        <v>0</v>
      </c>
      <c r="BO53" s="256">
        <f t="shared" si="23"/>
        <v>0</v>
      </c>
      <c r="BP53" s="256">
        <f t="shared" si="24"/>
        <v>0</v>
      </c>
      <c r="BQ53" s="257">
        <f t="shared" si="25"/>
        <v>0</v>
      </c>
    </row>
    <row r="54" spans="2:69">
      <c r="B54" s="238"/>
      <c r="D54" s="258"/>
      <c r="E54" s="259"/>
      <c r="F54" s="259"/>
      <c r="G54" s="259"/>
      <c r="H54" s="259"/>
      <c r="I54" s="259"/>
      <c r="J54" s="259"/>
      <c r="K54" s="259"/>
      <c r="L54" s="259"/>
      <c r="M54" s="260"/>
      <c r="N54" s="260"/>
      <c r="O54" s="260"/>
      <c r="P54" s="260"/>
      <c r="Q54" s="260"/>
      <c r="R54" s="260"/>
      <c r="S54" s="260"/>
      <c r="T54" s="260"/>
      <c r="U54" s="260"/>
      <c r="V54" s="260"/>
      <c r="W54" s="260"/>
      <c r="X54" s="261"/>
      <c r="Z54" s="252"/>
      <c r="AA54" s="253"/>
      <c r="AB54" s="253"/>
      <c r="AC54" s="253"/>
      <c r="AD54" s="253"/>
      <c r="AE54" s="253"/>
      <c r="AF54" s="253"/>
      <c r="AG54" s="253"/>
      <c r="AH54" s="253"/>
      <c r="AI54" s="253"/>
      <c r="AJ54" s="253"/>
      <c r="AK54" s="253"/>
      <c r="AL54" s="253"/>
      <c r="AM54" s="253"/>
      <c r="AN54" s="253"/>
      <c r="AO54" s="253"/>
      <c r="AP54" s="253"/>
      <c r="AQ54" s="253"/>
      <c r="AR54" s="253"/>
      <c r="AS54" s="253"/>
      <c r="AT54" s="254"/>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56">
        <f t="shared" si="17"/>
        <v>0</v>
      </c>
      <c r="BJ54" s="256">
        <f t="shared" si="18"/>
        <v>0</v>
      </c>
      <c r="BK54" s="256">
        <f t="shared" si="19"/>
        <v>0</v>
      </c>
      <c r="BL54" s="256">
        <f t="shared" si="20"/>
        <v>0</v>
      </c>
      <c r="BM54" s="256">
        <f t="shared" si="21"/>
        <v>0</v>
      </c>
      <c r="BN54" s="256">
        <f t="shared" si="22"/>
        <v>0</v>
      </c>
      <c r="BO54" s="256">
        <f t="shared" si="23"/>
        <v>0</v>
      </c>
      <c r="BP54" s="256">
        <f t="shared" si="24"/>
        <v>0</v>
      </c>
      <c r="BQ54" s="257">
        <f t="shared" si="25"/>
        <v>0</v>
      </c>
    </row>
    <row r="55" spans="2:69">
      <c r="B55" s="238"/>
      <c r="D55" s="258"/>
      <c r="E55" s="259"/>
      <c r="F55" s="259"/>
      <c r="G55" s="259"/>
      <c r="H55" s="259"/>
      <c r="I55" s="259"/>
      <c r="J55" s="259"/>
      <c r="K55" s="259"/>
      <c r="L55" s="259"/>
      <c r="M55" s="260"/>
      <c r="N55" s="260"/>
      <c r="O55" s="260"/>
      <c r="P55" s="260"/>
      <c r="Q55" s="260"/>
      <c r="R55" s="260"/>
      <c r="S55" s="260"/>
      <c r="T55" s="260"/>
      <c r="U55" s="260"/>
      <c r="V55" s="260"/>
      <c r="W55" s="260"/>
      <c r="X55" s="261"/>
      <c r="Z55" s="252"/>
      <c r="AA55" s="253"/>
      <c r="AB55" s="253"/>
      <c r="AC55" s="253"/>
      <c r="AD55" s="253"/>
      <c r="AE55" s="253"/>
      <c r="AF55" s="253"/>
      <c r="AG55" s="253"/>
      <c r="AH55" s="253"/>
      <c r="AI55" s="253"/>
      <c r="AJ55" s="253"/>
      <c r="AK55" s="253"/>
      <c r="AL55" s="253"/>
      <c r="AM55" s="253"/>
      <c r="AN55" s="253"/>
      <c r="AO55" s="253"/>
      <c r="AP55" s="253"/>
      <c r="AQ55" s="253"/>
      <c r="AR55" s="253"/>
      <c r="AS55" s="253"/>
      <c r="AT55" s="254"/>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56">
        <f t="shared" si="17"/>
        <v>0</v>
      </c>
      <c r="BJ55" s="256">
        <f t="shared" si="18"/>
        <v>0</v>
      </c>
      <c r="BK55" s="256">
        <f t="shared" si="19"/>
        <v>0</v>
      </c>
      <c r="BL55" s="256">
        <f t="shared" si="20"/>
        <v>0</v>
      </c>
      <c r="BM55" s="256">
        <f t="shared" si="21"/>
        <v>0</v>
      </c>
      <c r="BN55" s="256">
        <f t="shared" si="22"/>
        <v>0</v>
      </c>
      <c r="BO55" s="256">
        <f t="shared" si="23"/>
        <v>0</v>
      </c>
      <c r="BP55" s="256">
        <f t="shared" si="24"/>
        <v>0</v>
      </c>
      <c r="BQ55" s="257">
        <f t="shared" si="25"/>
        <v>0</v>
      </c>
    </row>
    <row r="56" spans="2:69">
      <c r="B56" s="238"/>
      <c r="D56" s="258"/>
      <c r="E56" s="259"/>
      <c r="F56" s="259"/>
      <c r="G56" s="259"/>
      <c r="H56" s="259"/>
      <c r="I56" s="259"/>
      <c r="J56" s="259"/>
      <c r="K56" s="259"/>
      <c r="L56" s="259"/>
      <c r="M56" s="260"/>
      <c r="N56" s="260"/>
      <c r="O56" s="260"/>
      <c r="P56" s="260"/>
      <c r="Q56" s="260"/>
      <c r="R56" s="260"/>
      <c r="S56" s="260"/>
      <c r="T56" s="260"/>
      <c r="U56" s="260"/>
      <c r="V56" s="260"/>
      <c r="W56" s="260"/>
      <c r="X56" s="261"/>
      <c r="Z56" s="252"/>
      <c r="AA56" s="253"/>
      <c r="AB56" s="253"/>
      <c r="AC56" s="253"/>
      <c r="AD56" s="253"/>
      <c r="AE56" s="253"/>
      <c r="AF56" s="253"/>
      <c r="AG56" s="253"/>
      <c r="AH56" s="253"/>
      <c r="AI56" s="253"/>
      <c r="AJ56" s="253"/>
      <c r="AK56" s="253"/>
      <c r="AL56" s="253"/>
      <c r="AM56" s="253"/>
      <c r="AN56" s="253"/>
      <c r="AO56" s="253"/>
      <c r="AP56" s="253"/>
      <c r="AQ56" s="253"/>
      <c r="AR56" s="253"/>
      <c r="AS56" s="253"/>
      <c r="AT56" s="254"/>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56">
        <f t="shared" si="17"/>
        <v>0</v>
      </c>
      <c r="BJ56" s="256">
        <f t="shared" si="18"/>
        <v>0</v>
      </c>
      <c r="BK56" s="256">
        <f t="shared" si="19"/>
        <v>0</v>
      </c>
      <c r="BL56" s="256">
        <f t="shared" si="20"/>
        <v>0</v>
      </c>
      <c r="BM56" s="256">
        <f t="shared" si="21"/>
        <v>0</v>
      </c>
      <c r="BN56" s="256">
        <f t="shared" si="22"/>
        <v>0</v>
      </c>
      <c r="BO56" s="256">
        <f t="shared" si="23"/>
        <v>0</v>
      </c>
      <c r="BP56" s="256">
        <f t="shared" si="24"/>
        <v>0</v>
      </c>
      <c r="BQ56" s="257">
        <f t="shared" si="25"/>
        <v>0</v>
      </c>
    </row>
    <row r="57" spans="2:69">
      <c r="B57" s="238"/>
      <c r="D57" s="258"/>
      <c r="E57" s="259"/>
      <c r="F57" s="259"/>
      <c r="G57" s="259"/>
      <c r="H57" s="259"/>
      <c r="I57" s="259"/>
      <c r="J57" s="259"/>
      <c r="K57" s="259"/>
      <c r="L57" s="259"/>
      <c r="M57" s="260"/>
      <c r="N57" s="260"/>
      <c r="O57" s="260"/>
      <c r="P57" s="260"/>
      <c r="Q57" s="260"/>
      <c r="R57" s="260"/>
      <c r="S57" s="260"/>
      <c r="T57" s="260"/>
      <c r="U57" s="260"/>
      <c r="V57" s="260"/>
      <c r="W57" s="260"/>
      <c r="X57" s="261"/>
      <c r="Z57" s="252"/>
      <c r="AA57" s="253"/>
      <c r="AB57" s="253"/>
      <c r="AC57" s="253"/>
      <c r="AD57" s="253"/>
      <c r="AE57" s="253"/>
      <c r="AF57" s="253"/>
      <c r="AG57" s="253"/>
      <c r="AH57" s="253"/>
      <c r="AI57" s="253"/>
      <c r="AJ57" s="253"/>
      <c r="AK57" s="253"/>
      <c r="AL57" s="253"/>
      <c r="AM57" s="253"/>
      <c r="AN57" s="253"/>
      <c r="AO57" s="253"/>
      <c r="AP57" s="253"/>
      <c r="AQ57" s="253"/>
      <c r="AR57" s="253"/>
      <c r="AS57" s="253"/>
      <c r="AT57" s="254"/>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56">
        <f t="shared" si="17"/>
        <v>0</v>
      </c>
      <c r="BJ57" s="256">
        <f t="shared" si="18"/>
        <v>0</v>
      </c>
      <c r="BK57" s="256">
        <f t="shared" si="19"/>
        <v>0</v>
      </c>
      <c r="BL57" s="256">
        <f t="shared" si="20"/>
        <v>0</v>
      </c>
      <c r="BM57" s="256">
        <f t="shared" si="21"/>
        <v>0</v>
      </c>
      <c r="BN57" s="256">
        <f t="shared" si="22"/>
        <v>0</v>
      </c>
      <c r="BO57" s="256">
        <f t="shared" si="23"/>
        <v>0</v>
      </c>
      <c r="BP57" s="256">
        <f t="shared" si="24"/>
        <v>0</v>
      </c>
      <c r="BQ57" s="257">
        <f t="shared" si="25"/>
        <v>0</v>
      </c>
    </row>
    <row r="58" spans="2:69">
      <c r="B58" s="238"/>
      <c r="D58" s="258"/>
      <c r="E58" s="259"/>
      <c r="F58" s="259"/>
      <c r="G58" s="259"/>
      <c r="H58" s="259"/>
      <c r="I58" s="259"/>
      <c r="J58" s="259"/>
      <c r="K58" s="259"/>
      <c r="L58" s="259"/>
      <c r="M58" s="260"/>
      <c r="N58" s="260"/>
      <c r="O58" s="260"/>
      <c r="P58" s="260"/>
      <c r="Q58" s="260"/>
      <c r="R58" s="260"/>
      <c r="S58" s="260"/>
      <c r="T58" s="260"/>
      <c r="U58" s="260"/>
      <c r="V58" s="260"/>
      <c r="W58" s="260"/>
      <c r="X58" s="261"/>
      <c r="Z58" s="252"/>
      <c r="AA58" s="253"/>
      <c r="AB58" s="253"/>
      <c r="AC58" s="253"/>
      <c r="AD58" s="253"/>
      <c r="AE58" s="253"/>
      <c r="AF58" s="253"/>
      <c r="AG58" s="253"/>
      <c r="AH58" s="253"/>
      <c r="AI58" s="253"/>
      <c r="AJ58" s="253"/>
      <c r="AK58" s="253"/>
      <c r="AL58" s="253"/>
      <c r="AM58" s="253"/>
      <c r="AN58" s="253"/>
      <c r="AO58" s="253"/>
      <c r="AP58" s="253"/>
      <c r="AQ58" s="253"/>
      <c r="AR58" s="253"/>
      <c r="AS58" s="253"/>
      <c r="AT58" s="254"/>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56">
        <f t="shared" si="17"/>
        <v>0</v>
      </c>
      <c r="BJ58" s="256">
        <f t="shared" si="18"/>
        <v>0</v>
      </c>
      <c r="BK58" s="256">
        <f t="shared" si="19"/>
        <v>0</v>
      </c>
      <c r="BL58" s="256">
        <f t="shared" si="20"/>
        <v>0</v>
      </c>
      <c r="BM58" s="256">
        <f t="shared" si="21"/>
        <v>0</v>
      </c>
      <c r="BN58" s="256">
        <f t="shared" si="22"/>
        <v>0</v>
      </c>
      <c r="BO58" s="256">
        <f t="shared" si="23"/>
        <v>0</v>
      </c>
      <c r="BP58" s="256">
        <f t="shared" si="24"/>
        <v>0</v>
      </c>
      <c r="BQ58" s="257">
        <f t="shared" si="25"/>
        <v>0</v>
      </c>
    </row>
    <row r="59" spans="2:69">
      <c r="B59" s="238"/>
      <c r="D59" s="258"/>
      <c r="E59" s="259"/>
      <c r="F59" s="259"/>
      <c r="G59" s="259"/>
      <c r="H59" s="259"/>
      <c r="I59" s="259"/>
      <c r="J59" s="259"/>
      <c r="K59" s="259"/>
      <c r="L59" s="259"/>
      <c r="M59" s="260"/>
      <c r="N59" s="260"/>
      <c r="O59" s="260"/>
      <c r="P59" s="260"/>
      <c r="Q59" s="260"/>
      <c r="R59" s="260"/>
      <c r="S59" s="260"/>
      <c r="T59" s="260"/>
      <c r="U59" s="260"/>
      <c r="V59" s="260"/>
      <c r="W59" s="260"/>
      <c r="X59" s="261"/>
      <c r="Z59" s="252"/>
      <c r="AA59" s="253"/>
      <c r="AB59" s="253"/>
      <c r="AC59" s="253"/>
      <c r="AD59" s="253"/>
      <c r="AE59" s="253"/>
      <c r="AF59" s="253"/>
      <c r="AG59" s="253"/>
      <c r="AH59" s="253"/>
      <c r="AI59" s="253"/>
      <c r="AJ59" s="253"/>
      <c r="AK59" s="253"/>
      <c r="AL59" s="253"/>
      <c r="AM59" s="253"/>
      <c r="AN59" s="253"/>
      <c r="AO59" s="253"/>
      <c r="AP59" s="253"/>
      <c r="AQ59" s="253"/>
      <c r="AR59" s="253"/>
      <c r="AS59" s="253"/>
      <c r="AT59" s="254"/>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56">
        <f t="shared" si="17"/>
        <v>0</v>
      </c>
      <c r="BJ59" s="256">
        <f t="shared" si="18"/>
        <v>0</v>
      </c>
      <c r="BK59" s="256">
        <f t="shared" si="19"/>
        <v>0</v>
      </c>
      <c r="BL59" s="256">
        <f t="shared" si="20"/>
        <v>0</v>
      </c>
      <c r="BM59" s="256">
        <f t="shared" si="21"/>
        <v>0</v>
      </c>
      <c r="BN59" s="256">
        <f t="shared" si="22"/>
        <v>0</v>
      </c>
      <c r="BO59" s="256">
        <f t="shared" si="23"/>
        <v>0</v>
      </c>
      <c r="BP59" s="256">
        <f t="shared" si="24"/>
        <v>0</v>
      </c>
      <c r="BQ59" s="257">
        <f t="shared" si="25"/>
        <v>0</v>
      </c>
    </row>
    <row r="60" spans="2:69">
      <c r="B60" s="238"/>
      <c r="D60" s="258"/>
      <c r="E60" s="259"/>
      <c r="F60" s="259"/>
      <c r="G60" s="259"/>
      <c r="H60" s="259"/>
      <c r="I60" s="259"/>
      <c r="J60" s="259"/>
      <c r="K60" s="259"/>
      <c r="L60" s="259"/>
      <c r="M60" s="260"/>
      <c r="N60" s="260"/>
      <c r="O60" s="260"/>
      <c r="P60" s="260"/>
      <c r="Q60" s="260"/>
      <c r="R60" s="260"/>
      <c r="S60" s="260"/>
      <c r="T60" s="260"/>
      <c r="U60" s="260"/>
      <c r="V60" s="260"/>
      <c r="W60" s="260"/>
      <c r="X60" s="261"/>
      <c r="Z60" s="252"/>
      <c r="AA60" s="253"/>
      <c r="AB60" s="253"/>
      <c r="AC60" s="253"/>
      <c r="AD60" s="253"/>
      <c r="AE60" s="253"/>
      <c r="AF60" s="253"/>
      <c r="AG60" s="253"/>
      <c r="AH60" s="253"/>
      <c r="AI60" s="253"/>
      <c r="AJ60" s="253"/>
      <c r="AK60" s="253"/>
      <c r="AL60" s="253"/>
      <c r="AM60" s="253"/>
      <c r="AN60" s="253"/>
      <c r="AO60" s="253"/>
      <c r="AP60" s="253"/>
      <c r="AQ60" s="253"/>
      <c r="AR60" s="253"/>
      <c r="AS60" s="253"/>
      <c r="AT60" s="254"/>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56">
        <f t="shared" si="17"/>
        <v>0</v>
      </c>
      <c r="BJ60" s="256">
        <f t="shared" si="18"/>
        <v>0</v>
      </c>
      <c r="BK60" s="256">
        <f t="shared" si="19"/>
        <v>0</v>
      </c>
      <c r="BL60" s="256">
        <f t="shared" si="20"/>
        <v>0</v>
      </c>
      <c r="BM60" s="256">
        <f t="shared" si="21"/>
        <v>0</v>
      </c>
      <c r="BN60" s="256">
        <f t="shared" si="22"/>
        <v>0</v>
      </c>
      <c r="BO60" s="256">
        <f t="shared" si="23"/>
        <v>0</v>
      </c>
      <c r="BP60" s="256">
        <f t="shared" si="24"/>
        <v>0</v>
      </c>
      <c r="BQ60" s="257">
        <f t="shared" si="25"/>
        <v>0</v>
      </c>
    </row>
    <row r="61" spans="2:69">
      <c r="B61" s="238"/>
      <c r="D61" s="258"/>
      <c r="E61" s="259"/>
      <c r="F61" s="259"/>
      <c r="G61" s="259"/>
      <c r="H61" s="259"/>
      <c r="I61" s="259"/>
      <c r="J61" s="259"/>
      <c r="K61" s="259"/>
      <c r="L61" s="259"/>
      <c r="M61" s="260"/>
      <c r="N61" s="260"/>
      <c r="O61" s="260"/>
      <c r="P61" s="260"/>
      <c r="Q61" s="260"/>
      <c r="R61" s="260"/>
      <c r="S61" s="260"/>
      <c r="T61" s="260"/>
      <c r="U61" s="260"/>
      <c r="V61" s="260"/>
      <c r="W61" s="260"/>
      <c r="X61" s="261"/>
      <c r="Z61" s="252"/>
      <c r="AA61" s="253"/>
      <c r="AB61" s="253"/>
      <c r="AC61" s="253"/>
      <c r="AD61" s="253"/>
      <c r="AE61" s="253"/>
      <c r="AF61" s="253"/>
      <c r="AG61" s="253"/>
      <c r="AH61" s="253"/>
      <c r="AI61" s="253"/>
      <c r="AJ61" s="253"/>
      <c r="AK61" s="253"/>
      <c r="AL61" s="253"/>
      <c r="AM61" s="253"/>
      <c r="AN61" s="253"/>
      <c r="AO61" s="253"/>
      <c r="AP61" s="253"/>
      <c r="AQ61" s="253"/>
      <c r="AR61" s="253"/>
      <c r="AS61" s="253"/>
      <c r="AT61" s="254"/>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56">
        <f t="shared" si="17"/>
        <v>0</v>
      </c>
      <c r="BJ61" s="256">
        <f t="shared" si="18"/>
        <v>0</v>
      </c>
      <c r="BK61" s="256">
        <f t="shared" si="19"/>
        <v>0</v>
      </c>
      <c r="BL61" s="256">
        <f t="shared" si="20"/>
        <v>0</v>
      </c>
      <c r="BM61" s="256">
        <f t="shared" si="21"/>
        <v>0</v>
      </c>
      <c r="BN61" s="256">
        <f t="shared" si="22"/>
        <v>0</v>
      </c>
      <c r="BO61" s="256">
        <f t="shared" si="23"/>
        <v>0</v>
      </c>
      <c r="BP61" s="256">
        <f t="shared" si="24"/>
        <v>0</v>
      </c>
      <c r="BQ61" s="257">
        <f t="shared" si="25"/>
        <v>0</v>
      </c>
    </row>
    <row r="62" spans="2:69">
      <c r="B62" s="238"/>
      <c r="D62" s="258"/>
      <c r="E62" s="259"/>
      <c r="F62" s="259"/>
      <c r="G62" s="259"/>
      <c r="H62" s="259"/>
      <c r="I62" s="259"/>
      <c r="J62" s="259"/>
      <c r="K62" s="259"/>
      <c r="L62" s="259"/>
      <c r="M62" s="260"/>
      <c r="N62" s="260"/>
      <c r="O62" s="260"/>
      <c r="P62" s="260"/>
      <c r="Q62" s="260"/>
      <c r="R62" s="260"/>
      <c r="S62" s="260"/>
      <c r="T62" s="260"/>
      <c r="U62" s="260"/>
      <c r="V62" s="260"/>
      <c r="W62" s="260"/>
      <c r="X62" s="261"/>
      <c r="Z62" s="252"/>
      <c r="AA62" s="253"/>
      <c r="AB62" s="253"/>
      <c r="AC62" s="253"/>
      <c r="AD62" s="253"/>
      <c r="AE62" s="253"/>
      <c r="AF62" s="253"/>
      <c r="AG62" s="253"/>
      <c r="AH62" s="253"/>
      <c r="AI62" s="253"/>
      <c r="AJ62" s="253"/>
      <c r="AK62" s="253"/>
      <c r="AL62" s="253"/>
      <c r="AM62" s="253"/>
      <c r="AN62" s="253"/>
      <c r="AO62" s="253"/>
      <c r="AP62" s="253"/>
      <c r="AQ62" s="253"/>
      <c r="AR62" s="253"/>
      <c r="AS62" s="253"/>
      <c r="AT62" s="254"/>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56">
        <f t="shared" si="17"/>
        <v>0</v>
      </c>
      <c r="BJ62" s="256">
        <f t="shared" si="18"/>
        <v>0</v>
      </c>
      <c r="BK62" s="256">
        <f t="shared" si="19"/>
        <v>0</v>
      </c>
      <c r="BL62" s="256">
        <f t="shared" si="20"/>
        <v>0</v>
      </c>
      <c r="BM62" s="256">
        <f t="shared" si="21"/>
        <v>0</v>
      </c>
      <c r="BN62" s="256">
        <f t="shared" si="22"/>
        <v>0</v>
      </c>
      <c r="BO62" s="256">
        <f t="shared" si="23"/>
        <v>0</v>
      </c>
      <c r="BP62" s="256">
        <f t="shared" si="24"/>
        <v>0</v>
      </c>
      <c r="BQ62" s="257">
        <f t="shared" si="25"/>
        <v>0</v>
      </c>
    </row>
    <row r="63" spans="2:69">
      <c r="B63" s="238"/>
      <c r="D63" s="258"/>
      <c r="E63" s="259"/>
      <c r="F63" s="259"/>
      <c r="G63" s="259"/>
      <c r="H63" s="259"/>
      <c r="I63" s="259"/>
      <c r="J63" s="259"/>
      <c r="K63" s="259"/>
      <c r="L63" s="259"/>
      <c r="M63" s="260"/>
      <c r="N63" s="260"/>
      <c r="O63" s="260"/>
      <c r="P63" s="260"/>
      <c r="Q63" s="260"/>
      <c r="R63" s="260"/>
      <c r="S63" s="260"/>
      <c r="T63" s="260"/>
      <c r="U63" s="260"/>
      <c r="V63" s="260"/>
      <c r="W63" s="260"/>
      <c r="X63" s="261"/>
      <c r="Z63" s="252"/>
      <c r="AA63" s="253"/>
      <c r="AB63" s="253"/>
      <c r="AC63" s="253"/>
      <c r="AD63" s="253"/>
      <c r="AE63" s="253"/>
      <c r="AF63" s="253"/>
      <c r="AG63" s="253"/>
      <c r="AH63" s="253"/>
      <c r="AI63" s="253"/>
      <c r="AJ63" s="253"/>
      <c r="AK63" s="253"/>
      <c r="AL63" s="253"/>
      <c r="AM63" s="253"/>
      <c r="AN63" s="253"/>
      <c r="AO63" s="253"/>
      <c r="AP63" s="253"/>
      <c r="AQ63" s="253"/>
      <c r="AR63" s="253"/>
      <c r="AS63" s="253"/>
      <c r="AT63" s="254"/>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56">
        <f t="shared" si="17"/>
        <v>0</v>
      </c>
      <c r="BJ63" s="256">
        <f t="shared" si="18"/>
        <v>0</v>
      </c>
      <c r="BK63" s="256">
        <f t="shared" si="19"/>
        <v>0</v>
      </c>
      <c r="BL63" s="256">
        <f t="shared" si="20"/>
        <v>0</v>
      </c>
      <c r="BM63" s="256">
        <f t="shared" si="21"/>
        <v>0</v>
      </c>
      <c r="BN63" s="256">
        <f t="shared" si="22"/>
        <v>0</v>
      </c>
      <c r="BO63" s="256">
        <f t="shared" si="23"/>
        <v>0</v>
      </c>
      <c r="BP63" s="256">
        <f t="shared" si="24"/>
        <v>0</v>
      </c>
      <c r="BQ63" s="257">
        <f t="shared" si="25"/>
        <v>0</v>
      </c>
    </row>
    <row r="64" spans="2:69">
      <c r="B64" s="238"/>
      <c r="D64" s="258"/>
      <c r="E64" s="259"/>
      <c r="F64" s="259"/>
      <c r="G64" s="259"/>
      <c r="H64" s="259"/>
      <c r="I64" s="259"/>
      <c r="J64" s="259"/>
      <c r="K64" s="259"/>
      <c r="L64" s="259"/>
      <c r="M64" s="260"/>
      <c r="N64" s="260"/>
      <c r="O64" s="260"/>
      <c r="P64" s="260"/>
      <c r="Q64" s="260"/>
      <c r="R64" s="260"/>
      <c r="S64" s="260"/>
      <c r="T64" s="260"/>
      <c r="U64" s="260"/>
      <c r="V64" s="260"/>
      <c r="W64" s="260"/>
      <c r="X64" s="261"/>
      <c r="Z64" s="252"/>
      <c r="AA64" s="253"/>
      <c r="AB64" s="253"/>
      <c r="AC64" s="253"/>
      <c r="AD64" s="253"/>
      <c r="AE64" s="253"/>
      <c r="AF64" s="253"/>
      <c r="AG64" s="253"/>
      <c r="AH64" s="253"/>
      <c r="AI64" s="253"/>
      <c r="AJ64" s="253"/>
      <c r="AK64" s="253"/>
      <c r="AL64" s="253"/>
      <c r="AM64" s="253"/>
      <c r="AN64" s="253"/>
      <c r="AO64" s="253"/>
      <c r="AP64" s="253"/>
      <c r="AQ64" s="253"/>
      <c r="AR64" s="253"/>
      <c r="AS64" s="253"/>
      <c r="AT64" s="254"/>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56">
        <f t="shared" si="17"/>
        <v>0</v>
      </c>
      <c r="BJ64" s="256">
        <f t="shared" si="18"/>
        <v>0</v>
      </c>
      <c r="BK64" s="256">
        <f t="shared" si="19"/>
        <v>0</v>
      </c>
      <c r="BL64" s="256">
        <f t="shared" si="20"/>
        <v>0</v>
      </c>
      <c r="BM64" s="256">
        <f t="shared" si="21"/>
        <v>0</v>
      </c>
      <c r="BN64" s="256">
        <f t="shared" si="22"/>
        <v>0</v>
      </c>
      <c r="BO64" s="256">
        <f t="shared" si="23"/>
        <v>0</v>
      </c>
      <c r="BP64" s="256">
        <f t="shared" si="24"/>
        <v>0</v>
      </c>
      <c r="BQ64" s="257">
        <f t="shared" si="25"/>
        <v>0</v>
      </c>
    </row>
    <row r="65" spans="2:69" ht="13.5" thickBot="1">
      <c r="B65" s="262"/>
      <c r="D65" s="263"/>
      <c r="E65" s="264"/>
      <c r="F65" s="264"/>
      <c r="G65" s="264"/>
      <c r="H65" s="264"/>
      <c r="I65" s="264"/>
      <c r="J65" s="264"/>
      <c r="K65" s="264"/>
      <c r="L65" s="264"/>
      <c r="M65" s="265"/>
      <c r="N65" s="265"/>
      <c r="O65" s="265"/>
      <c r="P65" s="265"/>
      <c r="Q65" s="265"/>
      <c r="R65" s="265"/>
      <c r="S65" s="265"/>
      <c r="T65" s="265"/>
      <c r="U65" s="265"/>
      <c r="V65" s="265"/>
      <c r="W65" s="265"/>
      <c r="X65" s="266"/>
      <c r="Z65" s="267"/>
      <c r="AA65" s="268"/>
      <c r="AB65" s="268"/>
      <c r="AC65" s="268"/>
      <c r="AD65" s="268"/>
      <c r="AE65" s="268"/>
      <c r="AF65" s="268"/>
      <c r="AG65" s="268"/>
      <c r="AH65" s="268"/>
      <c r="AI65" s="268"/>
      <c r="AJ65" s="268"/>
      <c r="AK65" s="268"/>
      <c r="AL65" s="268"/>
      <c r="AM65" s="268"/>
      <c r="AN65" s="268"/>
      <c r="AO65" s="268"/>
      <c r="AP65" s="268"/>
      <c r="AQ65" s="268"/>
      <c r="AR65" s="268"/>
      <c r="AS65" s="268"/>
      <c r="AT65" s="269"/>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2">
        <f t="shared" si="17"/>
        <v>0</v>
      </c>
      <c r="BJ65" s="272">
        <f t="shared" si="18"/>
        <v>0</v>
      </c>
      <c r="BK65" s="272">
        <f t="shared" si="19"/>
        <v>0</v>
      </c>
      <c r="BL65" s="272">
        <f t="shared" si="20"/>
        <v>0</v>
      </c>
      <c r="BM65" s="272">
        <f t="shared" si="21"/>
        <v>0</v>
      </c>
      <c r="BN65" s="272">
        <f t="shared" si="22"/>
        <v>0</v>
      </c>
      <c r="BO65" s="272">
        <f t="shared" si="23"/>
        <v>0</v>
      </c>
      <c r="BP65" s="272">
        <f t="shared" si="24"/>
        <v>0</v>
      </c>
      <c r="BQ65" s="273">
        <f t="shared" si="25"/>
        <v>0</v>
      </c>
    </row>
    <row r="66" spans="2:69" ht="13.5" thickBot="1">
      <c r="B66" s="274"/>
      <c r="Z66" s="275">
        <f t="shared" ref="Z66:AT66" si="26">SUM(Z6:Z65)</f>
        <v>368550.34558332036</v>
      </c>
      <c r="AA66" s="275">
        <f t="shared" si="26"/>
        <v>1244483437.8493891</v>
      </c>
      <c r="AB66" s="275">
        <f t="shared" si="26"/>
        <v>2740958991.6475348</v>
      </c>
      <c r="AC66" s="275">
        <f t="shared" si="26"/>
        <v>0</v>
      </c>
      <c r="AD66" s="275">
        <f t="shared" si="26"/>
        <v>0</v>
      </c>
      <c r="AE66" s="275">
        <f t="shared" si="26"/>
        <v>1956695128.5518415</v>
      </c>
      <c r="AF66" s="275">
        <f t="shared" si="26"/>
        <v>0</v>
      </c>
      <c r="AG66" s="275">
        <f t="shared" si="26"/>
        <v>0</v>
      </c>
      <c r="AH66" s="275">
        <f t="shared" si="26"/>
        <v>0</v>
      </c>
      <c r="AI66" s="275">
        <f t="shared" si="26"/>
        <v>939061.70552138926</v>
      </c>
      <c r="AJ66" s="275">
        <f t="shared" si="26"/>
        <v>0</v>
      </c>
      <c r="AK66" s="275">
        <f t="shared" si="26"/>
        <v>1360472.2403140869</v>
      </c>
      <c r="AL66" s="275">
        <f t="shared" si="26"/>
        <v>2472819.2763172057</v>
      </c>
      <c r="AM66" s="275">
        <f t="shared" si="26"/>
        <v>2561577.0566649861</v>
      </c>
      <c r="AN66" s="275">
        <f t="shared" si="26"/>
        <v>1988132.8412516403</v>
      </c>
      <c r="AO66" s="275">
        <f t="shared" si="26"/>
        <v>3401802.0376610756</v>
      </c>
      <c r="AP66" s="275">
        <f t="shared" si="26"/>
        <v>0</v>
      </c>
      <c r="AQ66" s="275">
        <f t="shared" si="26"/>
        <v>2882858.6404943541</v>
      </c>
      <c r="AR66" s="275">
        <f t="shared" si="26"/>
        <v>2616987.3876726385</v>
      </c>
      <c r="AS66" s="275">
        <f t="shared" si="26"/>
        <v>3856908.071788949</v>
      </c>
      <c r="AT66" s="275">
        <f t="shared" si="26"/>
        <v>0</v>
      </c>
      <c r="AV66" s="276">
        <f t="shared" ref="AV66:BQ66" si="27">SUM(AV6:AV65)</f>
        <v>0</v>
      </c>
      <c r="AW66" s="275">
        <f t="shared" si="27"/>
        <v>20974865.001431372</v>
      </c>
      <c r="AX66" s="275">
        <f t="shared" si="27"/>
        <v>39298479.628726445</v>
      </c>
      <c r="AY66" s="275">
        <f t="shared" si="27"/>
        <v>0</v>
      </c>
      <c r="AZ66" s="275">
        <f t="shared" si="27"/>
        <v>0</v>
      </c>
      <c r="BA66" s="275">
        <f t="shared" si="27"/>
        <v>12708029.327658013</v>
      </c>
      <c r="BB66" s="275">
        <f t="shared" si="27"/>
        <v>0</v>
      </c>
      <c r="BC66" s="275">
        <f t="shared" si="27"/>
        <v>0</v>
      </c>
      <c r="BD66" s="275">
        <f t="shared" si="27"/>
        <v>0</v>
      </c>
      <c r="BE66" s="275">
        <f t="shared" si="27"/>
        <v>26102618.383731037</v>
      </c>
      <c r="BF66" s="275">
        <f t="shared" si="27"/>
        <v>0</v>
      </c>
      <c r="BG66" s="275">
        <f t="shared" si="27"/>
        <v>177460.68256547948</v>
      </c>
      <c r="BH66" s="275">
        <f t="shared" si="27"/>
        <v>123019.33166565032</v>
      </c>
      <c r="BI66" s="275">
        <f t="shared" si="27"/>
        <v>82534.586394234473</v>
      </c>
      <c r="BJ66" s="275">
        <f t="shared" si="27"/>
        <v>46695.675308034348</v>
      </c>
      <c r="BK66" s="275">
        <f t="shared" si="27"/>
        <v>30895.456739447553</v>
      </c>
      <c r="BL66" s="275">
        <f t="shared" si="27"/>
        <v>0</v>
      </c>
      <c r="BM66" s="275">
        <f t="shared" si="27"/>
        <v>94702.578984047432</v>
      </c>
      <c r="BN66" s="275">
        <f t="shared" si="27"/>
        <v>62760.394472106243</v>
      </c>
      <c r="BO66" s="275">
        <f t="shared" si="27"/>
        <v>35464.775811705214</v>
      </c>
      <c r="BP66" s="275">
        <f t="shared" si="27"/>
        <v>0</v>
      </c>
      <c r="BQ66" s="275">
        <f t="shared" si="27"/>
        <v>99737525.82348758</v>
      </c>
    </row>
    <row r="67" spans="2:69" ht="13.5" thickTop="1">
      <c r="B67" s="274"/>
    </row>
    <row r="68" spans="2:69">
      <c r="B68" s="274"/>
      <c r="BQ68" s="324"/>
    </row>
    <row r="69" spans="2:69">
      <c r="B69" s="274"/>
    </row>
    <row r="70" spans="2:69">
      <c r="B70" s="274"/>
    </row>
    <row r="71" spans="2:69">
      <c r="B71" s="274"/>
      <c r="Z71" s="324"/>
      <c r="AA71" s="324"/>
      <c r="AB71" s="324"/>
      <c r="AC71" s="324"/>
      <c r="AD71" s="324"/>
      <c r="AE71" s="324"/>
      <c r="AF71" s="324"/>
      <c r="AG71" s="324"/>
      <c r="AH71" s="324"/>
      <c r="AI71" s="324"/>
      <c r="AJ71" s="324"/>
      <c r="AK71" s="324"/>
      <c r="AL71" s="324"/>
      <c r="AM71" s="324"/>
      <c r="AN71" s="324"/>
      <c r="AO71" s="324"/>
      <c r="AP71" s="324"/>
      <c r="AQ71" s="324"/>
      <c r="AR71" s="324"/>
      <c r="AS71" s="324"/>
      <c r="AT71" s="324"/>
    </row>
    <row r="72" spans="2:69">
      <c r="B72" s="274"/>
    </row>
    <row r="73" spans="2:69">
      <c r="B73" s="274"/>
    </row>
    <row r="74" spans="2:69">
      <c r="B74" s="274"/>
    </row>
    <row r="75" spans="2:69">
      <c r="B75" s="274"/>
    </row>
    <row r="76" spans="2:69">
      <c r="B76" s="274"/>
    </row>
    <row r="77" spans="2:69">
      <c r="B77" s="274"/>
    </row>
    <row r="78" spans="2:69">
      <c r="B78" s="274"/>
    </row>
    <row r="79" spans="2:69">
      <c r="B79" s="274"/>
    </row>
    <row r="80" spans="2:69">
      <c r="B80" s="274"/>
    </row>
    <row r="81" spans="2:2">
      <c r="B81" s="274"/>
    </row>
    <row r="82" spans="2:2">
      <c r="B82" s="274"/>
    </row>
    <row r="83" spans="2:2">
      <c r="B83" s="274"/>
    </row>
    <row r="84" spans="2:2">
      <c r="B84" s="274"/>
    </row>
    <row r="85" spans="2:2">
      <c r="B85" s="274"/>
    </row>
    <row r="86" spans="2:2">
      <c r="B86" s="274"/>
    </row>
    <row r="87" spans="2:2">
      <c r="B87" s="274"/>
    </row>
    <row r="88" spans="2:2">
      <c r="B88" s="274"/>
    </row>
    <row r="89" spans="2:2">
      <c r="B89" s="274"/>
    </row>
    <row r="90" spans="2:2">
      <c r="B90" s="274"/>
    </row>
    <row r="91" spans="2:2">
      <c r="B91" s="274"/>
    </row>
    <row r="92" spans="2:2">
      <c r="B92" s="274"/>
    </row>
    <row r="93" spans="2:2">
      <c r="B93" s="274"/>
    </row>
    <row r="94" spans="2:2">
      <c r="B94" s="274"/>
    </row>
    <row r="95" spans="2:2">
      <c r="B95" s="274"/>
    </row>
    <row r="96" spans="2:2">
      <c r="B96" s="274"/>
    </row>
    <row r="97" spans="2:2">
      <c r="B97" s="274"/>
    </row>
    <row r="98" spans="2:2">
      <c r="B98" s="274"/>
    </row>
    <row r="99" spans="2:2">
      <c r="B99" s="274"/>
    </row>
    <row r="100" spans="2:2">
      <c r="B100" s="274"/>
    </row>
    <row r="101" spans="2:2">
      <c r="B101" s="274"/>
    </row>
    <row r="102" spans="2:2">
      <c r="B102" s="274"/>
    </row>
    <row r="103" spans="2:2">
      <c r="B103" s="274"/>
    </row>
    <row r="104" spans="2:2">
      <c r="B104" s="274"/>
    </row>
    <row r="105" spans="2:2">
      <c r="B105" s="27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X66"/>
  <sheetViews>
    <sheetView zoomScale="80" zoomScaleNormal="80" workbookViewId="0">
      <selection activeCell="Q20" sqref="Q20"/>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14.42578125" style="35" customWidth="1"/>
    <col min="7" max="7" width="12.7109375" style="35" bestFit="1"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1" spans="1:24">
      <c r="A1" s="32" t="s">
        <v>9</v>
      </c>
    </row>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311</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324</v>
      </c>
      <c r="C8" s="46"/>
      <c r="D8" s="47"/>
      <c r="E8" s="47"/>
      <c r="M8" s="78"/>
      <c r="N8" s="78"/>
      <c r="O8" s="78"/>
      <c r="P8" s="78"/>
      <c r="Q8" s="78"/>
      <c r="R8" s="78"/>
    </row>
    <row r="9" spans="1:24" ht="18" customHeight="1">
      <c r="A9" s="43"/>
      <c r="B9" s="48" t="s">
        <v>323</v>
      </c>
      <c r="C9" s="73">
        <f>Prop2018TransTar!BQ66</f>
        <v>105048673.61649781</v>
      </c>
      <c r="D9" s="47"/>
      <c r="E9" s="36"/>
      <c r="I9" s="35"/>
      <c r="J9" s="35"/>
      <c r="M9" s="78"/>
      <c r="N9" s="78"/>
      <c r="O9" s="78"/>
      <c r="P9" s="78"/>
      <c r="Q9" s="78"/>
      <c r="R9" s="78"/>
    </row>
    <row r="10" spans="1:24" ht="18" customHeight="1">
      <c r="A10" s="43"/>
      <c r="B10" s="85" t="s">
        <v>321</v>
      </c>
      <c r="C10" s="86">
        <f>C17</f>
        <v>105048673.61649781</v>
      </c>
      <c r="D10" s="739"/>
      <c r="E10" s="149"/>
      <c r="I10" s="35"/>
      <c r="J10" s="35"/>
      <c r="M10" s="78"/>
      <c r="N10" s="78"/>
      <c r="O10" s="78"/>
      <c r="P10" s="78"/>
      <c r="Q10" s="78"/>
      <c r="R10" s="78"/>
    </row>
    <row r="11" spans="1:24" ht="18" customHeight="1">
      <c r="A11" s="43"/>
      <c r="B11" s="87"/>
      <c r="C11" s="89" t="str">
        <f>IF(C9="","",IF(C10&gt;=C9,"DPPC REVENUE FORMULA COMPLIANT","DPPC REVENUE FORMULA BREACHED"))</f>
        <v>DPPC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308</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309</v>
      </c>
      <c r="C14" s="64">
        <f>C24</f>
        <v>100309358.84193222</v>
      </c>
      <c r="D14" s="50"/>
      <c r="E14" s="75"/>
      <c r="F14" s="76"/>
      <c r="G14" s="76"/>
      <c r="H14" s="76"/>
      <c r="I14" s="76"/>
      <c r="J14" s="76"/>
      <c r="K14" s="76"/>
      <c r="L14" s="76"/>
      <c r="M14" s="78"/>
      <c r="N14" s="78"/>
      <c r="O14" s="78"/>
      <c r="P14" s="78"/>
      <c r="Q14" s="78"/>
      <c r="R14" s="78"/>
      <c r="V14" s="51"/>
      <c r="W14" s="51"/>
      <c r="X14" s="51"/>
    </row>
    <row r="15" spans="1:24" ht="18" customHeight="1">
      <c r="A15" s="43"/>
      <c r="B15" s="54" t="s">
        <v>310</v>
      </c>
      <c r="C15" s="64">
        <f>E49</f>
        <v>4739314.7745655924</v>
      </c>
      <c r="D15" s="50"/>
      <c r="E15" s="75"/>
      <c r="F15" s="76"/>
      <c r="G15" s="76"/>
      <c r="H15" s="76"/>
      <c r="I15" s="76"/>
      <c r="J15" s="76"/>
      <c r="K15" s="76"/>
      <c r="L15" s="76"/>
      <c r="M15" s="78"/>
      <c r="N15" s="78"/>
      <c r="O15" s="78"/>
      <c r="P15" s="78"/>
      <c r="Q15" s="78"/>
      <c r="R15" s="78"/>
      <c r="V15" s="51"/>
      <c r="W15" s="51"/>
      <c r="X15" s="51"/>
    </row>
    <row r="16" spans="1:24" ht="18" customHeight="1">
      <c r="A16" s="43"/>
      <c r="B16" s="54" t="s">
        <v>307</v>
      </c>
      <c r="C16" s="720"/>
      <c r="D16" s="50"/>
      <c r="E16" s="75"/>
      <c r="F16" s="76"/>
      <c r="G16" s="76"/>
      <c r="H16" s="76"/>
      <c r="I16" s="76"/>
      <c r="J16" s="76"/>
      <c r="K16" s="76"/>
      <c r="L16" s="76"/>
      <c r="M16" s="78"/>
      <c r="N16" s="78"/>
      <c r="O16" s="78"/>
      <c r="P16" s="78"/>
      <c r="Q16" s="78"/>
      <c r="R16" s="78"/>
      <c r="V16" s="51"/>
      <c r="W16" s="51"/>
      <c r="X16" s="51"/>
    </row>
    <row r="17" spans="1:24" ht="18" customHeight="1">
      <c r="A17" s="43"/>
      <c r="B17" s="48" t="s">
        <v>321</v>
      </c>
      <c r="C17" s="65">
        <f>SUM(C14:C16)</f>
        <v>105048673.61649781</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306</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303</v>
      </c>
      <c r="C20" s="671">
        <v>69987808.191568524</v>
      </c>
      <c r="D20" s="50"/>
      <c r="E20" s="75"/>
      <c r="F20" s="76"/>
      <c r="G20"/>
      <c r="H20" s="76"/>
      <c r="I20" s="76"/>
      <c r="J20" s="76"/>
      <c r="K20" s="76"/>
      <c r="L20" s="76"/>
      <c r="M20" s="78"/>
      <c r="N20" s="78"/>
      <c r="O20" s="78"/>
      <c r="P20" s="78"/>
      <c r="Q20" s="78"/>
      <c r="R20" s="78"/>
      <c r="V20" s="51"/>
      <c r="W20" s="51"/>
      <c r="X20" s="51"/>
    </row>
    <row r="21" spans="1:24" ht="18" customHeight="1">
      <c r="A21" s="43"/>
      <c r="B21" s="54" t="s">
        <v>737</v>
      </c>
      <c r="C21" s="671">
        <v>26378587.464000002</v>
      </c>
      <c r="D21" s="50"/>
      <c r="E21" s="75"/>
      <c r="F21" s="76"/>
      <c r="G21"/>
      <c r="H21" s="76"/>
      <c r="I21" s="76"/>
      <c r="J21" s="76"/>
      <c r="K21" s="76"/>
      <c r="L21" s="76"/>
      <c r="M21" s="78"/>
      <c r="N21" s="78"/>
      <c r="O21" s="78"/>
      <c r="P21" s="78"/>
      <c r="Q21" s="78"/>
      <c r="R21" s="78"/>
      <c r="V21" s="51"/>
      <c r="W21" s="51"/>
      <c r="X21" s="51"/>
    </row>
    <row r="22" spans="1:24" ht="18" customHeight="1">
      <c r="A22" s="43"/>
      <c r="B22" s="54" t="s">
        <v>304</v>
      </c>
      <c r="C22" s="671">
        <v>0</v>
      </c>
      <c r="D22" s="50"/>
      <c r="E22" s="75"/>
      <c r="F22" s="76"/>
      <c r="G22"/>
      <c r="H22" s="76"/>
      <c r="I22" s="76"/>
      <c r="J22" s="76"/>
      <c r="K22" s="76"/>
      <c r="L22" s="76"/>
      <c r="M22" s="78"/>
      <c r="N22" s="78"/>
      <c r="O22" s="78"/>
      <c r="P22" s="78"/>
      <c r="Q22" s="78"/>
      <c r="R22" s="78"/>
      <c r="V22" s="51"/>
      <c r="W22" s="51"/>
      <c r="X22" s="51"/>
    </row>
    <row r="23" spans="1:24" ht="18" customHeight="1">
      <c r="A23" s="43"/>
      <c r="B23" s="54" t="s">
        <v>305</v>
      </c>
      <c r="C23" s="671">
        <v>-3942963.1863636901</v>
      </c>
      <c r="D23" s="50"/>
      <c r="E23" s="75"/>
      <c r="F23" s="76"/>
      <c r="G23" s="76"/>
      <c r="H23" s="76"/>
      <c r="I23" s="76"/>
      <c r="J23" s="76"/>
      <c r="K23" s="76"/>
      <c r="L23" s="76"/>
      <c r="M23" s="78"/>
      <c r="N23" s="78"/>
      <c r="O23" s="78"/>
      <c r="P23" s="78"/>
      <c r="Q23" s="78"/>
      <c r="R23" s="78"/>
      <c r="V23" s="51"/>
      <c r="W23" s="51"/>
      <c r="X23" s="51"/>
    </row>
    <row r="24" spans="1:24" ht="18" customHeight="1">
      <c r="A24" s="43"/>
      <c r="B24" s="48" t="s">
        <v>301</v>
      </c>
      <c r="C24" s="65">
        <f>C20+C21+C22-C23</f>
        <v>100309358.84193222</v>
      </c>
      <c r="D24" s="50"/>
      <c r="E24" s="75"/>
      <c r="F24" s="76"/>
      <c r="G24" s="76"/>
      <c r="H24" s="76"/>
      <c r="I24" s="76"/>
      <c r="J24" s="76"/>
      <c r="K24" s="76"/>
      <c r="L24" s="76"/>
      <c r="M24" s="78"/>
      <c r="N24" s="78"/>
      <c r="O24" s="78"/>
      <c r="P24" s="78"/>
      <c r="Q24" s="78"/>
      <c r="R24" s="78"/>
      <c r="V24" s="51"/>
      <c r="W24" s="51"/>
      <c r="X24" s="51"/>
    </row>
    <row r="25" spans="1:24" ht="18" customHeight="1">
      <c r="A25" s="43"/>
      <c r="B25" s="57"/>
      <c r="C25" s="68"/>
      <c r="D25" s="50"/>
      <c r="E25" s="75"/>
      <c r="F25" s="76"/>
      <c r="G25" s="76"/>
      <c r="H25" s="76"/>
      <c r="I25" s="76"/>
      <c r="J25" s="76"/>
      <c r="K25" s="76"/>
      <c r="L25" s="76"/>
      <c r="M25" s="78"/>
      <c r="N25" s="78"/>
      <c r="O25" s="78"/>
      <c r="P25" s="78"/>
      <c r="Q25" s="78"/>
      <c r="R25" s="78"/>
      <c r="V25" s="51"/>
      <c r="W25" s="51"/>
      <c r="X25" s="51"/>
    </row>
    <row r="28" spans="1:24">
      <c r="D28"/>
    </row>
    <row r="29" spans="1:24" ht="15.75">
      <c r="B29" s="108" t="s">
        <v>314</v>
      </c>
    </row>
    <row r="30" spans="1:24" ht="15">
      <c r="B30" s="100"/>
      <c r="C30" s="113" t="s">
        <v>275</v>
      </c>
      <c r="D30" s="113" t="s">
        <v>582</v>
      </c>
      <c r="E30" s="113" t="s">
        <v>35</v>
      </c>
    </row>
    <row r="31" spans="1:24" ht="15">
      <c r="B31" s="101"/>
      <c r="C31" s="114" t="s">
        <v>34</v>
      </c>
      <c r="D31" s="114" t="s">
        <v>451</v>
      </c>
      <c r="E31" s="114" t="s">
        <v>36</v>
      </c>
    </row>
    <row r="32" spans="1:24" ht="15">
      <c r="B32" s="101"/>
      <c r="C32" s="115">
        <f>D32-1</f>
        <v>2016</v>
      </c>
      <c r="D32" s="115">
        <f>E32-1</f>
        <v>2017</v>
      </c>
      <c r="E32" s="115">
        <f>C$6</f>
        <v>2018</v>
      </c>
    </row>
    <row r="33" spans="2:12">
      <c r="B33" s="393"/>
      <c r="C33" s="98"/>
      <c r="D33" s="98"/>
      <c r="E33" s="111"/>
    </row>
    <row r="34" spans="2:12" ht="15">
      <c r="B34" s="616" t="s">
        <v>322</v>
      </c>
      <c r="C34" s="97">
        <v>78001171.930000007</v>
      </c>
      <c r="D34" s="97">
        <f>Est2017TransRev!BQ66</f>
        <v>99737525.82348758</v>
      </c>
      <c r="E34" s="97">
        <f>C9</f>
        <v>105048673.61649781</v>
      </c>
      <c r="F34"/>
      <c r="L34"/>
    </row>
    <row r="35" spans="2:12">
      <c r="B35" s="102"/>
      <c r="C35" s="98"/>
      <c r="D35" s="98"/>
      <c r="E35" s="110"/>
    </row>
    <row r="36" spans="2:12">
      <c r="B36" s="102"/>
      <c r="C36" s="98"/>
      <c r="D36" s="98"/>
      <c r="E36" s="110"/>
    </row>
    <row r="37" spans="2:12" ht="15">
      <c r="B37" s="103" t="s">
        <v>313</v>
      </c>
      <c r="C37" s="96">
        <f>SUM(C39:C41)</f>
        <v>78885812.795300514</v>
      </c>
      <c r="D37" s="96">
        <f>SUM(D39:D41)</f>
        <v>103329263.63368963</v>
      </c>
      <c r="E37" s="96">
        <f>SUM(E39:E41)</f>
        <v>100309358.84193222</v>
      </c>
    </row>
    <row r="38" spans="2:12" ht="15">
      <c r="B38" s="103"/>
      <c r="C38" s="96"/>
      <c r="D38" s="96"/>
      <c r="E38" s="96"/>
    </row>
    <row r="39" spans="2:12">
      <c r="B39" s="104" t="s">
        <v>316</v>
      </c>
      <c r="C39" s="99">
        <v>-8916047.1073358506</v>
      </c>
      <c r="D39" s="99">
        <v>-1086575.7323202556</v>
      </c>
      <c r="E39" s="110">
        <f>C16</f>
        <v>0</v>
      </c>
    </row>
    <row r="40" spans="2:12">
      <c r="B40" s="104"/>
      <c r="C40" s="148"/>
      <c r="D40" s="148"/>
      <c r="E40" s="112"/>
    </row>
    <row r="41" spans="2:12">
      <c r="B41" s="104" t="s">
        <v>317</v>
      </c>
      <c r="C41" s="95">
        <f>C42+C43+C44-C45</f>
        <v>87801859.902636364</v>
      </c>
      <c r="D41" s="95">
        <f>D42+D43+D44-D45</f>
        <v>104415839.36600988</v>
      </c>
      <c r="E41" s="95">
        <f>E42+E43+E44-E45</f>
        <v>100309358.84193222</v>
      </c>
    </row>
    <row r="42" spans="2:12">
      <c r="B42" s="105" t="s">
        <v>318</v>
      </c>
      <c r="C42" s="148">
        <f>'TUoS cost audit template'!F8</f>
        <v>72807264.968999997</v>
      </c>
      <c r="D42" s="667">
        <v>71135021.465118572</v>
      </c>
      <c r="E42" s="146">
        <f>C20</f>
        <v>69987808.191568524</v>
      </c>
      <c r="G42"/>
    </row>
    <row r="43" spans="2:12">
      <c r="B43" s="105" t="s">
        <v>738</v>
      </c>
      <c r="C43" s="148">
        <f>'TUoS cost audit template'!F15</f>
        <v>11273056.313636363</v>
      </c>
      <c r="D43" s="667">
        <v>29415167.7181818</v>
      </c>
      <c r="E43" s="110">
        <f>C21</f>
        <v>26378587.464000002</v>
      </c>
      <c r="G43"/>
    </row>
    <row r="44" spans="2:12">
      <c r="B44" s="105" t="s">
        <v>319</v>
      </c>
      <c r="C44" s="148">
        <f>'TUoS cost audit template'!F43</f>
        <v>0</v>
      </c>
      <c r="D44" s="667">
        <v>0</v>
      </c>
      <c r="E44" s="110">
        <f>C22</f>
        <v>0</v>
      </c>
      <c r="G44"/>
    </row>
    <row r="45" spans="2:12">
      <c r="B45" s="105" t="s">
        <v>320</v>
      </c>
      <c r="C45" s="623">
        <f>'TUoS cost audit template'!F25</f>
        <v>-3721538.62</v>
      </c>
      <c r="D45" s="668">
        <v>-3865650.1827095002</v>
      </c>
      <c r="E45" s="121">
        <f>C23</f>
        <v>-3942963.1863636901</v>
      </c>
      <c r="G45"/>
    </row>
    <row r="46" spans="2:12" ht="15">
      <c r="B46" s="106"/>
      <c r="C46" s="98"/>
      <c r="D46" s="98"/>
      <c r="E46" s="110"/>
    </row>
    <row r="47" spans="2:12">
      <c r="B47" s="104"/>
      <c r="C47" s="148"/>
      <c r="D47" s="148"/>
      <c r="E47" s="112"/>
    </row>
    <row r="48" spans="2:12">
      <c r="B48" s="107"/>
      <c r="C48" s="98"/>
      <c r="D48" s="98"/>
      <c r="E48" s="110"/>
    </row>
    <row r="49" spans="2:6" ht="15">
      <c r="B49" s="617" t="s">
        <v>45</v>
      </c>
      <c r="C49" s="96">
        <f>C34-C37</f>
        <v>-884640.86530050635</v>
      </c>
      <c r="D49" s="96">
        <f>D34-D37</f>
        <v>-3591737.8102020472</v>
      </c>
      <c r="E49" s="96">
        <f>E34-E37</f>
        <v>4739314.7745655924</v>
      </c>
      <c r="F49" s="149"/>
    </row>
    <row r="50" spans="2:6">
      <c r="B50" s="40"/>
    </row>
    <row r="51" spans="2:6">
      <c r="B51" s="40"/>
    </row>
    <row r="52" spans="2:6">
      <c r="B52" s="40"/>
    </row>
    <row r="53" spans="2:6" ht="15.75">
      <c r="B53" s="108" t="s">
        <v>315</v>
      </c>
    </row>
    <row r="54" spans="2:6" ht="15">
      <c r="B54" s="618"/>
      <c r="C54" s="113" t="s">
        <v>275</v>
      </c>
      <c r="D54" s="113" t="s">
        <v>275</v>
      </c>
      <c r="E54" s="113" t="s">
        <v>35</v>
      </c>
    </row>
    <row r="55" spans="2:6" ht="15">
      <c r="B55" s="107"/>
      <c r="C55" s="114" t="s">
        <v>34</v>
      </c>
      <c r="D55" s="114" t="s">
        <v>34</v>
      </c>
      <c r="E55" s="114" t="s">
        <v>36</v>
      </c>
    </row>
    <row r="56" spans="2:6" ht="15">
      <c r="B56" s="619" t="s">
        <v>277</v>
      </c>
      <c r="C56" s="115">
        <f>D56-2</f>
        <v>2014</v>
      </c>
      <c r="D56" s="115">
        <f>E56-2</f>
        <v>2016</v>
      </c>
      <c r="E56" s="115">
        <f>C$6</f>
        <v>2018</v>
      </c>
    </row>
    <row r="57" spans="2:6">
      <c r="B57" s="107"/>
      <c r="C57" s="109"/>
      <c r="D57" s="109"/>
      <c r="E57" s="111"/>
    </row>
    <row r="58" spans="2:6">
      <c r="B58" s="107" t="s">
        <v>583</v>
      </c>
      <c r="C58" s="609">
        <f>(1+'Model update'!$B$47)*(1+'Model update'!$C$28)-1</f>
        <v>5.2561174728540827E-2</v>
      </c>
      <c r="D58" s="109">
        <f>(1+'Model update'!$B$45)*(1+'Model update'!$C$29)-1</f>
        <v>4.7000045598383666E-2</v>
      </c>
      <c r="E58" s="610">
        <f>(1+'Model update'!$B$43)*(1+'Model update'!$C$30)-1</f>
        <v>5.5929028441763728E-2</v>
      </c>
    </row>
    <row r="59" spans="2:6">
      <c r="B59" s="107"/>
      <c r="C59" s="98"/>
      <c r="D59" s="98"/>
      <c r="E59" s="111"/>
    </row>
    <row r="60" spans="2:6">
      <c r="B60" s="107" t="s">
        <v>47</v>
      </c>
      <c r="C60" s="99">
        <v>0</v>
      </c>
      <c r="D60" s="110">
        <f>C64</f>
        <v>-907592.02394953754</v>
      </c>
      <c r="E60" s="110">
        <f>D64</f>
        <v>-4625423.494318963</v>
      </c>
    </row>
    <row r="61" spans="2:6">
      <c r="B61" s="107" t="s">
        <v>584</v>
      </c>
      <c r="C61" s="148">
        <f>C60*C58</f>
        <v>0</v>
      </c>
      <c r="D61" s="148">
        <f>D60*D58</f>
        <v>-42656.866510357584</v>
      </c>
      <c r="E61" s="148">
        <f>E60*E58</f>
        <v>-258695.44216896745</v>
      </c>
    </row>
    <row r="62" spans="2:6">
      <c r="B62" s="107" t="s">
        <v>48</v>
      </c>
      <c r="C62" s="110">
        <f>C49</f>
        <v>-884640.86530050635</v>
      </c>
      <c r="D62" s="110">
        <f>D49</f>
        <v>-3591737.8102020472</v>
      </c>
      <c r="E62" s="110">
        <f>E49</f>
        <v>4739314.7745655924</v>
      </c>
    </row>
    <row r="63" spans="2:6">
      <c r="B63" s="107" t="s">
        <v>468</v>
      </c>
      <c r="C63" s="148">
        <f>C62*((1+C58)^0.5-1)</f>
        <v>-22951.158649031193</v>
      </c>
      <c r="D63" s="148">
        <f>D62*((1+D58)^0.5-1)</f>
        <v>-83436.793657020986</v>
      </c>
      <c r="E63" s="148">
        <f>E62*((1+E58)^0.5-1)</f>
        <v>130729.60784434824</v>
      </c>
    </row>
    <row r="64" spans="2:6" ht="15">
      <c r="B64" s="617" t="s">
        <v>410</v>
      </c>
      <c r="C64" s="96">
        <f>SUM(C60:C63)</f>
        <v>-907592.02394953754</v>
      </c>
      <c r="D64" s="96">
        <f t="shared" ref="D64:E64" si="0">SUM(D60:D63)</f>
        <v>-4625423.494318963</v>
      </c>
      <c r="E64" s="96">
        <f t="shared" si="0"/>
        <v>-14074.554077990178</v>
      </c>
      <c r="F64" s="149"/>
    </row>
    <row r="66" spans="2:2">
      <c r="B66" s="674" t="s">
        <v>594</v>
      </c>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7"/>
  <sheetViews>
    <sheetView showGridLines="0" zoomScale="90" zoomScaleNormal="90" workbookViewId="0">
      <selection activeCell="I29" sqref="I29"/>
    </sheetView>
  </sheetViews>
  <sheetFormatPr defaultColWidth="9.140625" defaultRowHeight="12.75"/>
  <cols>
    <col min="1" max="1" width="4.7109375" style="199" customWidth="1"/>
    <col min="2" max="2" width="35.140625" style="226" bestFit="1" customWidth="1"/>
    <col min="3" max="3" width="13" style="226" customWidth="1"/>
    <col min="4" max="4" width="16" style="226" customWidth="1"/>
    <col min="5" max="5" width="11.28515625" style="226" customWidth="1"/>
    <col min="6" max="6" width="15.140625" style="226" customWidth="1"/>
    <col min="7" max="13" width="10.5703125" style="199" customWidth="1"/>
    <col min="14" max="14" width="10.5703125" style="226" customWidth="1"/>
    <col min="15" max="16384" width="9.140625" style="226"/>
  </cols>
  <sheetData>
    <row r="1" spans="1:41" s="199" customFormat="1" ht="15.75" thickBot="1">
      <c r="A1" s="90"/>
      <c r="B1" s="153" t="str">
        <f>"Tariff Approval - "&amp;'Model update'!C3</f>
        <v>Tariff Approval - CitiPower</v>
      </c>
    </row>
    <row r="2" spans="1:41">
      <c r="B2" s="816" t="s">
        <v>280</v>
      </c>
      <c r="C2" s="817"/>
      <c r="D2" s="817"/>
      <c r="E2" s="158"/>
      <c r="F2" s="122" t="s">
        <v>281</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11"/>
      <c r="C3" s="815"/>
      <c r="D3" s="815"/>
      <c r="E3" s="161"/>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11" t="s">
        <v>542</v>
      </c>
      <c r="C4" s="815"/>
      <c r="D4" s="815"/>
      <c r="E4" s="161"/>
      <c r="F4" s="123">
        <v>17696961.427000001</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11" t="s">
        <v>543</v>
      </c>
      <c r="C5" s="815"/>
      <c r="D5" s="815"/>
      <c r="E5" s="161"/>
      <c r="F5" s="123">
        <v>53924079.381999999</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11" t="s">
        <v>282</v>
      </c>
      <c r="C6" s="815"/>
      <c r="D6" s="815"/>
      <c r="E6" s="161"/>
      <c r="F6" s="123">
        <v>1184000</v>
      </c>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c r="B7" s="811" t="s">
        <v>650</v>
      </c>
      <c r="C7" s="815"/>
      <c r="D7" s="815"/>
      <c r="E7" s="679"/>
      <c r="F7" s="123">
        <v>2224.16</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ht="13.5" thickBot="1">
      <c r="B8" s="818"/>
      <c r="C8" s="805"/>
      <c r="D8" s="805"/>
      <c r="E8" s="124" t="s">
        <v>122</v>
      </c>
      <c r="F8" s="125">
        <f>SUM(F3:F7)</f>
        <v>72807264.968999997</v>
      </c>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ht="13.5" thickBot="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816" t="s">
        <v>736</v>
      </c>
      <c r="C10" s="817"/>
      <c r="D10" s="817"/>
      <c r="E10" s="158"/>
      <c r="F10" s="122" t="s">
        <v>281</v>
      </c>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811"/>
      <c r="C11" s="815"/>
      <c r="D11" s="815"/>
      <c r="E11" s="161"/>
      <c r="F11" s="123"/>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811" t="s">
        <v>544</v>
      </c>
      <c r="C12" s="815"/>
      <c r="D12" s="815"/>
      <c r="E12" s="161"/>
      <c r="F12" s="123">
        <v>7498843.9500000002</v>
      </c>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811" t="s">
        <v>545</v>
      </c>
      <c r="C13" s="815"/>
      <c r="D13" s="815"/>
      <c r="E13" s="161"/>
      <c r="F13" s="123">
        <v>3774212.3636363633</v>
      </c>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811"/>
      <c r="C14" s="815"/>
      <c r="D14" s="815"/>
      <c r="E14" s="161"/>
      <c r="F14" s="123"/>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ht="13.5" thickBot="1">
      <c r="B15" s="818"/>
      <c r="C15" s="805"/>
      <c r="D15" s="805"/>
      <c r="E15" s="124" t="s">
        <v>122</v>
      </c>
      <c r="F15" s="125">
        <f>SUM(F11:F14)</f>
        <v>11273056.313636363</v>
      </c>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ht="13.5" thickBot="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26" t="s">
        <v>283</v>
      </c>
      <c r="C17" s="127"/>
      <c r="D17" s="127"/>
      <c r="E17" s="127"/>
      <c r="F17" s="128" t="s">
        <v>281</v>
      </c>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819" t="s">
        <v>284</v>
      </c>
      <c r="C18" s="821" t="s">
        <v>285</v>
      </c>
      <c r="D18" s="821"/>
      <c r="E18" s="821"/>
      <c r="F18" s="822"/>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ht="25.5">
      <c r="B19" s="820"/>
      <c r="C19" s="129" t="s">
        <v>286</v>
      </c>
      <c r="D19" s="129" t="s">
        <v>287</v>
      </c>
      <c r="E19" s="129" t="s">
        <v>288</v>
      </c>
      <c r="F19" s="130" t="s">
        <v>122</v>
      </c>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59"/>
      <c r="C20" s="131"/>
      <c r="D20" s="132"/>
      <c r="E20" s="133"/>
      <c r="F20" s="134"/>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59" t="s">
        <v>82</v>
      </c>
      <c r="C21" s="680">
        <v>0</v>
      </c>
      <c r="D21" s="680">
        <v>-3182105.38</v>
      </c>
      <c r="E21" s="680">
        <v>0</v>
      </c>
      <c r="F21" s="135">
        <f>SUM(C21:E21)</f>
        <v>-3182105.38</v>
      </c>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59" t="s">
        <v>422</v>
      </c>
      <c r="C22" s="680">
        <v>0</v>
      </c>
      <c r="D22" s="680">
        <v>-539433.24</v>
      </c>
      <c r="E22" s="680">
        <v>0</v>
      </c>
      <c r="F22" s="135">
        <f>SUM(C22:E22)</f>
        <v>-539433.24</v>
      </c>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59"/>
      <c r="C23" s="131"/>
      <c r="D23" s="131"/>
      <c r="E23" s="131"/>
      <c r="F23" s="135">
        <f>SUM(C23:E23)</f>
        <v>0</v>
      </c>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59"/>
      <c r="C24" s="131"/>
      <c r="D24" s="131"/>
      <c r="E24" s="136"/>
      <c r="F24" s="134">
        <f>SUM(C24:E24)</f>
        <v>0</v>
      </c>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ht="13.5" thickBot="1">
      <c r="B25" s="137" t="s">
        <v>122</v>
      </c>
      <c r="C25" s="138"/>
      <c r="D25" s="138"/>
      <c r="E25" s="139"/>
      <c r="F25" s="125">
        <f>SUM(F20:F24)</f>
        <v>-3721538.62</v>
      </c>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ht="13.5" thickBot="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816" t="s">
        <v>289</v>
      </c>
      <c r="C27" s="817"/>
      <c r="D27" s="817"/>
      <c r="E27" s="158"/>
      <c r="F27" s="122" t="s">
        <v>281</v>
      </c>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810" t="s">
        <v>290</v>
      </c>
      <c r="C28" s="809"/>
      <c r="D28" s="809"/>
      <c r="E28" s="160"/>
      <c r="F28" s="140"/>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811"/>
      <c r="C29" s="812"/>
      <c r="D29" s="812"/>
      <c r="E29" s="161"/>
      <c r="F29" s="123"/>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59" t="s">
        <v>291</v>
      </c>
      <c r="C30" s="161"/>
      <c r="D30" s="161"/>
      <c r="E30" s="161"/>
      <c r="F30" s="123">
        <v>0</v>
      </c>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59"/>
      <c r="C31" s="161"/>
      <c r="D31" s="161"/>
      <c r="E31" s="161"/>
      <c r="F31" s="123"/>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59"/>
      <c r="C32" s="161"/>
      <c r="D32" s="161"/>
      <c r="E32" s="161"/>
      <c r="F32" s="123"/>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811"/>
      <c r="C33" s="815"/>
      <c r="D33" s="815"/>
      <c r="E33" s="161"/>
      <c r="F33" s="141"/>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806" t="s">
        <v>122</v>
      </c>
      <c r="C34" s="807"/>
      <c r="D34" s="807"/>
      <c r="E34" s="807"/>
      <c r="F34" s="142">
        <f>SUM(F29:F33)</f>
        <v>0</v>
      </c>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808"/>
      <c r="C35" s="809"/>
      <c r="D35" s="809"/>
      <c r="E35" s="160"/>
      <c r="F35" s="142"/>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810" t="s">
        <v>292</v>
      </c>
      <c r="C36" s="809"/>
      <c r="D36" s="809"/>
      <c r="E36" s="160"/>
      <c r="F36" s="142"/>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811"/>
      <c r="C37" s="812"/>
      <c r="D37" s="812"/>
      <c r="E37" s="161"/>
      <c r="F37" s="123"/>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59"/>
      <c r="C38" s="161"/>
      <c r="D38" s="161"/>
      <c r="E38" s="161"/>
      <c r="F38" s="123"/>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59"/>
      <c r="C39" s="161"/>
      <c r="D39" s="161"/>
      <c r="E39" s="161"/>
      <c r="F39" s="123"/>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59"/>
      <c r="C40" s="161"/>
      <c r="D40" s="161"/>
      <c r="E40" s="161"/>
      <c r="F40" s="123"/>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811"/>
      <c r="C41" s="812"/>
      <c r="D41" s="812"/>
      <c r="E41" s="161"/>
      <c r="F41" s="141"/>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813" t="s">
        <v>122</v>
      </c>
      <c r="C42" s="814"/>
      <c r="D42" s="814"/>
      <c r="E42" s="814"/>
      <c r="F42" s="142">
        <f>SUM(F37:F41)</f>
        <v>0</v>
      </c>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ht="13.5" thickBot="1">
      <c r="B43" s="804" t="s">
        <v>293</v>
      </c>
      <c r="C43" s="805"/>
      <c r="D43" s="805"/>
      <c r="E43" s="157"/>
      <c r="F43" s="125">
        <f>F42+F34</f>
        <v>0</v>
      </c>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c r="B45" s="227" t="s">
        <v>294</v>
      </c>
      <c r="C45" s="199"/>
      <c r="D45" s="199"/>
      <c r="E45" s="199"/>
      <c r="F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t="s">
        <v>295</v>
      </c>
      <c r="C46" s="199" t="s">
        <v>296</v>
      </c>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t="s">
        <v>297</v>
      </c>
      <c r="C47" s="199" t="s">
        <v>298</v>
      </c>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s="228" customFormat="1">
      <c r="A48" s="199"/>
      <c r="B48" s="199" t="s">
        <v>299</v>
      </c>
      <c r="C48" s="199" t="s">
        <v>300</v>
      </c>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199"/>
      <c r="AK93" s="199"/>
      <c r="AL93" s="199"/>
      <c r="AM93" s="199"/>
      <c r="AN93" s="199"/>
      <c r="AO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row r="177" spans="2:6">
      <c r="B177" s="199"/>
      <c r="C177" s="199"/>
      <c r="D177" s="199"/>
      <c r="E177" s="199"/>
      <c r="F177" s="199"/>
    </row>
  </sheetData>
  <mergeCells count="26">
    <mergeCell ref="B8:D8"/>
    <mergeCell ref="B2:D2"/>
    <mergeCell ref="B3:D3"/>
    <mergeCell ref="B4:D4"/>
    <mergeCell ref="B5:D5"/>
    <mergeCell ref="B6:D6"/>
    <mergeCell ref="B7:D7"/>
    <mergeCell ref="B33:D33"/>
    <mergeCell ref="B10:D10"/>
    <mergeCell ref="B11:D11"/>
    <mergeCell ref="B12:D12"/>
    <mergeCell ref="B13:D13"/>
    <mergeCell ref="B14:D14"/>
    <mergeCell ref="B15:D15"/>
    <mergeCell ref="B18:B19"/>
    <mergeCell ref="C18:F18"/>
    <mergeCell ref="B27:D27"/>
    <mergeCell ref="B28:D28"/>
    <mergeCell ref="B29:D29"/>
    <mergeCell ref="B43:D43"/>
    <mergeCell ref="B34:E34"/>
    <mergeCell ref="B35:D35"/>
    <mergeCell ref="B36:D36"/>
    <mergeCell ref="B37:D37"/>
    <mergeCell ref="B41:D41"/>
    <mergeCell ref="B42:E42"/>
  </mergeCells>
  <pageMargins left="0.75" right="0.75" top="1" bottom="1" header="0.5" footer="0.5"/>
  <pageSetup paperSize="9" scale="19" orientation="landscape" r:id="rId1"/>
  <headerFooter alignWithMargins="0">
    <oddFooter>&amp;L&amp;T / &amp;D&amp;C&amp;P of &amp;N&amp;R&amp;F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P20" sqref="P20"/>
    </sheetView>
  </sheetViews>
  <sheetFormatPr defaultRowHeight="12.75"/>
  <cols>
    <col min="1" max="1" width="9.42578125" style="199" customWidth="1"/>
    <col min="2" max="2" width="45" style="199" customWidth="1"/>
    <col min="3" max="3" width="2.85546875" style="199" customWidth="1"/>
    <col min="4" max="4" width="12.42578125" style="199" bestFit="1" customWidth="1"/>
    <col min="5" max="6" width="10.85546875" style="199" customWidth="1"/>
    <col min="7" max="7" width="16.140625" style="199" customWidth="1"/>
    <col min="8" max="8" width="12.42578125" style="199" customWidth="1"/>
    <col min="9" max="9" width="11.140625" style="199" customWidth="1"/>
    <col min="10" max="12" width="9.28515625" style="199" bestFit="1" customWidth="1"/>
    <col min="13" max="16" width="9.85546875" style="199" bestFit="1" customWidth="1"/>
    <col min="17" max="24" width="9.8554687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1406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customWidth="1"/>
    <col min="42" max="42" width="10" style="199" customWidth="1"/>
    <col min="43" max="45" width="14.85546875" style="199" customWidth="1"/>
    <col min="46" max="46" width="10" style="199" customWidth="1"/>
    <col min="47" max="47" width="1.85546875" style="199" customWidth="1"/>
    <col min="48" max="48" width="12.42578125" style="199" bestFit="1" customWidth="1"/>
    <col min="49" max="49" width="17.5703125" style="199" customWidth="1"/>
    <col min="50" max="50" width="15.28515625" style="199" customWidth="1"/>
    <col min="51" max="51" width="14.7109375" style="199" customWidth="1"/>
    <col min="52" max="52" width="13.5703125" style="199" bestFit="1" customWidth="1"/>
    <col min="53" max="53" width="15.5703125" style="199" customWidth="1"/>
    <col min="54" max="54" width="12.42578125" style="199" bestFit="1" customWidth="1"/>
    <col min="55" max="56" width="9.28515625" style="199" bestFit="1" customWidth="1"/>
    <col min="57" max="57" width="13.5703125" style="199" bestFit="1" customWidth="1"/>
    <col min="58" max="58" width="12.42578125" style="199" bestFit="1" customWidth="1"/>
    <col min="59" max="60" width="9.85546875" style="199" bestFit="1" customWidth="1"/>
    <col min="61" max="63" width="13.5703125" style="199" customWidth="1"/>
    <col min="64" max="64" width="9.85546875" style="199" customWidth="1"/>
    <col min="65" max="67" width="11.28515625" style="199" customWidth="1"/>
    <col min="68" max="68" width="9.85546875" style="199" customWidth="1"/>
    <col min="69" max="69" width="17.28515625" style="199" customWidth="1"/>
    <col min="70" max="16384" width="9.140625" style="199"/>
  </cols>
  <sheetData>
    <row r="1" spans="1:69" ht="15">
      <c r="B1" s="153" t="str">
        <f>"Tariff Approval - "&amp;'Model update'!C3</f>
        <v>Tariff Approval - CitiPower</v>
      </c>
      <c r="C1" s="153"/>
      <c r="D1" s="621"/>
      <c r="F1" s="621"/>
    </row>
    <row r="3" spans="1:69">
      <c r="B3" s="227" t="str">
        <f>"PROPOSED "&amp;'Model update'!$C$5&amp;" JURISDICTIONAL SCHEME TARIFFS"</f>
        <v>PROPOSED 2018 JURISDICTIONAL SCHEME TARIFFS</v>
      </c>
      <c r="C3" s="227"/>
    </row>
    <row r="4" spans="1:69" ht="13.5" thickBot="1">
      <c r="B4" s="621"/>
      <c r="D4" s="229" t="str">
        <f>"Proposed Jurisdictional scheme Tariffs (Pt) for "&amp;'Model update'!$C$5</f>
        <v>Proposed Jurisdictional scheme Tariffs (Pt) for 2018</v>
      </c>
      <c r="E4" s="230"/>
      <c r="F4" s="230"/>
      <c r="G4" s="230"/>
      <c r="H4" s="230"/>
      <c r="I4" s="230"/>
      <c r="J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1"/>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c r="Z5" s="234" t="s">
        <v>192</v>
      </c>
      <c r="AA5" s="235" t="s">
        <v>612</v>
      </c>
      <c r="AB5" s="235" t="s">
        <v>613</v>
      </c>
      <c r="AC5" s="235"/>
      <c r="AD5" s="235"/>
      <c r="AE5" s="235" t="s">
        <v>614</v>
      </c>
      <c r="AF5" s="235"/>
      <c r="AG5" s="235"/>
      <c r="AH5" s="235"/>
      <c r="AI5" s="235" t="s">
        <v>615</v>
      </c>
      <c r="AJ5" s="235" t="s">
        <v>616</v>
      </c>
      <c r="AK5" s="235" t="s">
        <v>617</v>
      </c>
      <c r="AL5" s="237" t="s">
        <v>618</v>
      </c>
      <c r="AM5" s="235" t="s">
        <v>205</v>
      </c>
      <c r="AN5" s="235" t="s">
        <v>206</v>
      </c>
      <c r="AO5" s="235" t="s">
        <v>207</v>
      </c>
      <c r="AP5" s="235"/>
      <c r="AQ5" s="235" t="s">
        <v>209</v>
      </c>
      <c r="AR5" s="235" t="s">
        <v>210</v>
      </c>
      <c r="AS5" s="235" t="s">
        <v>211</v>
      </c>
      <c r="AT5" s="235"/>
      <c r="AV5" s="234" t="s">
        <v>148</v>
      </c>
      <c r="AW5" s="235" t="s">
        <v>643</v>
      </c>
      <c r="AX5" s="235" t="s">
        <v>644</v>
      </c>
      <c r="AY5" s="235"/>
      <c r="AZ5" s="235"/>
      <c r="BA5" s="235" t="s">
        <v>645</v>
      </c>
      <c r="BB5" s="235"/>
      <c r="BC5" s="235"/>
      <c r="BD5" s="235"/>
      <c r="BE5" s="235" t="s">
        <v>646</v>
      </c>
      <c r="BF5" s="235" t="s">
        <v>647</v>
      </c>
      <c r="BG5" s="235" t="s">
        <v>648</v>
      </c>
      <c r="BH5" s="235" t="s">
        <v>649</v>
      </c>
      <c r="BI5" s="235" t="s">
        <v>161</v>
      </c>
      <c r="BJ5" s="235" t="s">
        <v>162</v>
      </c>
      <c r="BK5" s="235" t="s">
        <v>163</v>
      </c>
      <c r="BL5" s="235"/>
      <c r="BM5" s="235" t="s">
        <v>165</v>
      </c>
      <c r="BN5" s="235" t="s">
        <v>166</v>
      </c>
      <c r="BO5" s="235" t="s">
        <v>167</v>
      </c>
      <c r="BP5" s="235"/>
      <c r="BQ5" s="237" t="s">
        <v>169</v>
      </c>
    </row>
    <row r="6" spans="1:69">
      <c r="B6" s="238"/>
      <c r="C6" s="282"/>
      <c r="D6" s="663"/>
      <c r="E6" s="664"/>
      <c r="F6" s="664"/>
      <c r="G6" s="664"/>
      <c r="H6" s="664"/>
      <c r="I6" s="664"/>
      <c r="J6" s="664"/>
      <c r="K6" s="664"/>
      <c r="L6" s="664"/>
      <c r="M6" s="664"/>
      <c r="N6" s="664"/>
      <c r="O6" s="664"/>
      <c r="P6" s="664"/>
      <c r="Q6" s="669"/>
      <c r="R6" s="664"/>
      <c r="S6" s="664"/>
      <c r="T6" s="664"/>
      <c r="U6" s="664"/>
      <c r="V6" s="664"/>
      <c r="W6" s="664"/>
      <c r="X6" s="665"/>
      <c r="Z6" s="243"/>
      <c r="AA6" s="244"/>
      <c r="AB6" s="244"/>
      <c r="AC6" s="244"/>
      <c r="AD6" s="244"/>
      <c r="AE6" s="244"/>
      <c r="AF6" s="244"/>
      <c r="AG6" s="244"/>
      <c r="AH6" s="244"/>
      <c r="AI6" s="244"/>
      <c r="AJ6" s="244"/>
      <c r="AK6" s="244"/>
      <c r="AL6" s="245"/>
      <c r="AM6" s="244"/>
      <c r="AN6" s="244"/>
      <c r="AO6" s="244"/>
      <c r="AP6" s="244"/>
      <c r="AQ6" s="244"/>
      <c r="AR6" s="244"/>
      <c r="AS6" s="244"/>
      <c r="AT6" s="244"/>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23">
        <f>Q6/100*AM6</f>
        <v>0</v>
      </c>
      <c r="BJ6" s="223">
        <f t="shared" ref="BJ6:BP6" si="3">R6/100*AN6</f>
        <v>0</v>
      </c>
      <c r="BK6" s="223">
        <f t="shared" si="3"/>
        <v>0</v>
      </c>
      <c r="BL6" s="223">
        <f t="shared" si="3"/>
        <v>0</v>
      </c>
      <c r="BM6" s="223">
        <f t="shared" si="3"/>
        <v>0</v>
      </c>
      <c r="BN6" s="223">
        <f t="shared" si="3"/>
        <v>0</v>
      </c>
      <c r="BO6" s="223">
        <f t="shared" si="3"/>
        <v>0</v>
      </c>
      <c r="BP6" s="223">
        <f t="shared" si="3"/>
        <v>0</v>
      </c>
      <c r="BQ6" s="247">
        <f>SUM(AV6:BP6)</f>
        <v>0</v>
      </c>
    </row>
    <row r="7" spans="1:69">
      <c r="A7" s="199" t="str">
        <f>Prop2018DistTar!A7</f>
        <v>C1R</v>
      </c>
      <c r="B7" s="238" t="str">
        <f>Prop2018DistTar!B7</f>
        <v>Residential Single Rate</v>
      </c>
      <c r="C7" s="287"/>
      <c r="D7" s="656">
        <v>0</v>
      </c>
      <c r="E7" s="657">
        <v>0.05</v>
      </c>
      <c r="F7" s="657">
        <v>0</v>
      </c>
      <c r="G7" s="657">
        <v>0</v>
      </c>
      <c r="H7" s="657">
        <v>0</v>
      </c>
      <c r="I7" s="657">
        <v>0</v>
      </c>
      <c r="J7" s="657">
        <v>0</v>
      </c>
      <c r="K7" s="657">
        <v>0</v>
      </c>
      <c r="L7" s="657">
        <v>0</v>
      </c>
      <c r="M7" s="657">
        <v>0</v>
      </c>
      <c r="N7" s="657">
        <v>0</v>
      </c>
      <c r="O7" s="657">
        <v>0</v>
      </c>
      <c r="P7" s="657">
        <v>0</v>
      </c>
      <c r="Q7" s="657">
        <v>0</v>
      </c>
      <c r="R7" s="657">
        <v>0</v>
      </c>
      <c r="S7" s="657">
        <v>0</v>
      </c>
      <c r="T7" s="657">
        <v>0</v>
      </c>
      <c r="U7" s="657">
        <v>0</v>
      </c>
      <c r="V7" s="657">
        <v>0</v>
      </c>
      <c r="W7" s="657">
        <v>0</v>
      </c>
      <c r="X7" s="670">
        <v>0</v>
      </c>
      <c r="Z7" s="252">
        <f>Prop2018DistTar!AV7</f>
        <v>203567.54384608413</v>
      </c>
      <c r="AA7" s="253">
        <f>Prop2018DistTar!AW7</f>
        <v>837924196.22455716</v>
      </c>
      <c r="AB7" s="253">
        <f>Prop2018DistTar!AX7</f>
        <v>0</v>
      </c>
      <c r="AC7" s="253">
        <f>Prop2018DistTar!AY7</f>
        <v>0</v>
      </c>
      <c r="AD7" s="253">
        <f>Prop2018DistTar!AZ7</f>
        <v>0</v>
      </c>
      <c r="AE7" s="253">
        <f>Prop2018DistTar!BA7</f>
        <v>0</v>
      </c>
      <c r="AF7" s="253">
        <f>Prop2018DistTar!BB7</f>
        <v>0</v>
      </c>
      <c r="AG7" s="253">
        <f>Prop2018DistTar!BC7</f>
        <v>0</v>
      </c>
      <c r="AH7" s="253">
        <f>Prop2018DistTar!BD7</f>
        <v>0</v>
      </c>
      <c r="AI7" s="253">
        <f>Prop2018DistTar!BE7</f>
        <v>0</v>
      </c>
      <c r="AJ7" s="253">
        <f>Prop2018DistTar!BF7</f>
        <v>0</v>
      </c>
      <c r="AK7" s="253">
        <f>Prop2018DistTar!BG7</f>
        <v>0</v>
      </c>
      <c r="AL7" s="253">
        <f>Prop2018DistTar!BH7</f>
        <v>0</v>
      </c>
      <c r="AM7" s="253">
        <f>Prop2018DistTar!BI7</f>
        <v>0</v>
      </c>
      <c r="AN7" s="253">
        <f>Prop2018DistTar!BJ7</f>
        <v>0</v>
      </c>
      <c r="AO7" s="253">
        <f>Prop2018DistTar!BK7</f>
        <v>0</v>
      </c>
      <c r="AP7" s="253">
        <f>Prop2018DistTar!BL7</f>
        <v>0</v>
      </c>
      <c r="AQ7" s="253">
        <f>Prop2018DistTar!BM7</f>
        <v>0</v>
      </c>
      <c r="AR7" s="253">
        <f>Prop2018DistTar!BN7</f>
        <v>0</v>
      </c>
      <c r="AS7" s="253">
        <f>Prop2018DistTar!BO7</f>
        <v>0</v>
      </c>
      <c r="AT7" s="254">
        <f>Prop2018DistTar!BP7</f>
        <v>0</v>
      </c>
      <c r="AV7" s="255">
        <f t="shared" ref="AV7:AV65" si="4">D7*Z7</f>
        <v>0</v>
      </c>
      <c r="AW7" s="224">
        <f t="shared" ref="AW7:AW65" si="5">E7/100*AA7</f>
        <v>418962.09811227862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24">
        <f t="shared" ref="BI7:BI65" si="17">Q7/100*AM7</f>
        <v>0</v>
      </c>
      <c r="BJ7" s="224">
        <f t="shared" ref="BJ7:BJ65" si="18">R7/100*AN7</f>
        <v>0</v>
      </c>
      <c r="BK7" s="224">
        <f t="shared" ref="BK7:BK65" si="19">S7/100*AO7</f>
        <v>0</v>
      </c>
      <c r="BL7" s="224">
        <f t="shared" ref="BL7:BL65" si="20">T7/100*AP7</f>
        <v>0</v>
      </c>
      <c r="BM7" s="224">
        <f t="shared" ref="BM7:BM65" si="21">U7/100*AQ7</f>
        <v>0</v>
      </c>
      <c r="BN7" s="224">
        <f t="shared" ref="BN7:BN65" si="22">V7/100*AR7</f>
        <v>0</v>
      </c>
      <c r="BO7" s="224">
        <f t="shared" ref="BO7:BO65" si="23">W7/100*AS7</f>
        <v>0</v>
      </c>
      <c r="BP7" s="224">
        <f t="shared" ref="BP7:BP65" si="24">X7/100*AT7</f>
        <v>0</v>
      </c>
      <c r="BQ7" s="257">
        <f t="shared" ref="BQ7:BQ65" si="25">SUM(AV7:BP7)</f>
        <v>418962.09811227862</v>
      </c>
    </row>
    <row r="8" spans="1:69">
      <c r="A8" s="748" t="str">
        <f>Prop2018DistTar!A8</f>
        <v>C1RB</v>
      </c>
      <c r="B8" s="750" t="str">
        <f>Prop2018DistTar!B8</f>
        <v>Residential Single Rate - Bulk</v>
      </c>
      <c r="C8" s="287"/>
      <c r="D8" s="656">
        <v>0</v>
      </c>
      <c r="E8" s="657">
        <v>0.05</v>
      </c>
      <c r="F8" s="657">
        <v>0</v>
      </c>
      <c r="G8" s="657">
        <v>0</v>
      </c>
      <c r="H8" s="657">
        <v>0</v>
      </c>
      <c r="I8" s="657">
        <v>0</v>
      </c>
      <c r="J8" s="657">
        <v>0</v>
      </c>
      <c r="K8" s="657">
        <v>0</v>
      </c>
      <c r="L8" s="657">
        <v>0</v>
      </c>
      <c r="M8" s="657">
        <v>0</v>
      </c>
      <c r="N8" s="657">
        <v>0</v>
      </c>
      <c r="O8" s="657">
        <v>0</v>
      </c>
      <c r="P8" s="657">
        <v>0</v>
      </c>
      <c r="Q8" s="657">
        <v>0</v>
      </c>
      <c r="R8" s="657">
        <v>0</v>
      </c>
      <c r="S8" s="657">
        <v>0</v>
      </c>
      <c r="T8" s="657">
        <v>0</v>
      </c>
      <c r="U8" s="657">
        <v>0</v>
      </c>
      <c r="V8" s="657">
        <v>0</v>
      </c>
      <c r="W8" s="657">
        <v>0</v>
      </c>
      <c r="X8" s="670">
        <v>0</v>
      </c>
      <c r="Z8" s="279">
        <f>Prop2018DistTar!AV8</f>
        <v>30796.16529635977</v>
      </c>
      <c r="AA8" s="253">
        <f>Prop2018DistTar!AW8</f>
        <v>103793921.82591532</v>
      </c>
      <c r="AB8" s="253">
        <f>Prop2018DistTar!AX8</f>
        <v>0</v>
      </c>
      <c r="AC8" s="253">
        <f>Prop2018DistTar!AY8</f>
        <v>0</v>
      </c>
      <c r="AD8" s="253">
        <f>Prop2018DistTar!AZ8</f>
        <v>0</v>
      </c>
      <c r="AE8" s="253">
        <f>Prop2018DistTar!BA8</f>
        <v>0</v>
      </c>
      <c r="AF8" s="253">
        <f>Prop2018DistTar!BB8</f>
        <v>0</v>
      </c>
      <c r="AG8" s="253">
        <f>Prop2018DistTar!BC8</f>
        <v>0</v>
      </c>
      <c r="AH8" s="253">
        <f>Prop2018DistTar!BD8</f>
        <v>0</v>
      </c>
      <c r="AI8" s="253">
        <f>Prop2018DistTar!BE8</f>
        <v>0</v>
      </c>
      <c r="AJ8" s="253">
        <f>Prop2018DistTar!BF8</f>
        <v>0</v>
      </c>
      <c r="AK8" s="253">
        <f>Prop2018DistTar!BG8</f>
        <v>0</v>
      </c>
      <c r="AL8" s="253">
        <f>Prop2018DistTar!BH8</f>
        <v>0</v>
      </c>
      <c r="AM8" s="253">
        <f>Prop2018DistTar!BI8</f>
        <v>0</v>
      </c>
      <c r="AN8" s="253">
        <f>Prop2018DistTar!BJ8</f>
        <v>0</v>
      </c>
      <c r="AO8" s="253">
        <f>Prop2018DistTar!BK8</f>
        <v>0</v>
      </c>
      <c r="AP8" s="253">
        <f>Prop2018DistTar!BL8</f>
        <v>0</v>
      </c>
      <c r="AQ8" s="253">
        <f>Prop2018DistTar!BM8</f>
        <v>0</v>
      </c>
      <c r="AR8" s="253">
        <f>Prop2018DistTar!BN8</f>
        <v>0</v>
      </c>
      <c r="AS8" s="253">
        <f>Prop2018DistTar!BO8</f>
        <v>0</v>
      </c>
      <c r="AT8" s="254">
        <f>Prop2018DistTar!BP8</f>
        <v>0</v>
      </c>
      <c r="AV8" s="255">
        <f t="shared" si="4"/>
        <v>0</v>
      </c>
      <c r="AW8" s="224">
        <f t="shared" si="5"/>
        <v>51896.960912957664</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24">
        <f t="shared" si="17"/>
        <v>0</v>
      </c>
      <c r="BJ8" s="224">
        <f t="shared" si="18"/>
        <v>0</v>
      </c>
      <c r="BK8" s="224">
        <f t="shared" si="19"/>
        <v>0</v>
      </c>
      <c r="BL8" s="224">
        <f t="shared" si="20"/>
        <v>0</v>
      </c>
      <c r="BM8" s="224">
        <f t="shared" si="21"/>
        <v>0</v>
      </c>
      <c r="BN8" s="224">
        <f t="shared" si="22"/>
        <v>0</v>
      </c>
      <c r="BO8" s="224">
        <f t="shared" si="23"/>
        <v>0</v>
      </c>
      <c r="BP8" s="224">
        <f t="shared" si="24"/>
        <v>0</v>
      </c>
      <c r="BQ8" s="257">
        <f t="shared" si="25"/>
        <v>51896.960912957664</v>
      </c>
    </row>
    <row r="9" spans="1:69">
      <c r="A9" s="748" t="str">
        <f>Prop2018DistTar!A9</f>
        <v>C13R</v>
      </c>
      <c r="B9" s="750" t="str">
        <f>Prop2018DistTar!B9</f>
        <v>Residential - flexible pricing</v>
      </c>
      <c r="C9" s="287"/>
      <c r="D9" s="656">
        <v>0</v>
      </c>
      <c r="E9" s="657">
        <v>0</v>
      </c>
      <c r="F9" s="657">
        <v>0</v>
      </c>
      <c r="G9" s="657">
        <v>0</v>
      </c>
      <c r="H9" s="657">
        <v>0</v>
      </c>
      <c r="I9" s="657">
        <v>0</v>
      </c>
      <c r="J9" s="657">
        <v>0</v>
      </c>
      <c r="K9" s="657">
        <v>0</v>
      </c>
      <c r="L9" s="657">
        <v>0</v>
      </c>
      <c r="M9" s="657">
        <v>0</v>
      </c>
      <c r="N9" s="657">
        <v>0</v>
      </c>
      <c r="O9" s="657">
        <v>0</v>
      </c>
      <c r="P9" s="657">
        <v>0</v>
      </c>
      <c r="Q9" s="657">
        <v>0.05</v>
      </c>
      <c r="R9" s="657">
        <v>0.05</v>
      </c>
      <c r="S9" s="657">
        <v>0.05</v>
      </c>
      <c r="T9" s="657">
        <v>0</v>
      </c>
      <c r="U9" s="657">
        <v>0.05</v>
      </c>
      <c r="V9" s="657">
        <v>0.05</v>
      </c>
      <c r="W9" s="657">
        <v>0.05</v>
      </c>
      <c r="X9" s="670">
        <v>0</v>
      </c>
      <c r="Z9" s="279">
        <f>Prop2018DistTar!AV9</f>
        <v>692.19902131802507</v>
      </c>
      <c r="AA9" s="253">
        <f>Prop2018DistTar!AW9</f>
        <v>0</v>
      </c>
      <c r="AB9" s="253">
        <f>Prop2018DistTar!AX9</f>
        <v>0</v>
      </c>
      <c r="AC9" s="253">
        <f>Prop2018DistTar!AY9</f>
        <v>0</v>
      </c>
      <c r="AD9" s="253">
        <f>Prop2018DistTar!AZ9</f>
        <v>0</v>
      </c>
      <c r="AE9" s="253">
        <f>Prop2018DistTar!BA9</f>
        <v>0</v>
      </c>
      <c r="AF9" s="253">
        <f>Prop2018DistTar!BB9</f>
        <v>0</v>
      </c>
      <c r="AG9" s="253">
        <f>Prop2018DistTar!BC9</f>
        <v>0</v>
      </c>
      <c r="AH9" s="253">
        <f>Prop2018DistTar!BD9</f>
        <v>0</v>
      </c>
      <c r="AI9" s="253">
        <f>Prop2018DistTar!BE9</f>
        <v>0</v>
      </c>
      <c r="AJ9" s="253">
        <f>Prop2018DistTar!BF9</f>
        <v>0</v>
      </c>
      <c r="AK9" s="253">
        <f>Prop2018DistTar!BG9</f>
        <v>0</v>
      </c>
      <c r="AL9" s="253">
        <f>Prop2018DistTar!BH9</f>
        <v>0</v>
      </c>
      <c r="AM9" s="253">
        <f>Prop2018DistTar!BI9</f>
        <v>209399.38859650321</v>
      </c>
      <c r="AN9" s="253">
        <f>Prop2018DistTar!BJ9</f>
        <v>421530.70937171311</v>
      </c>
      <c r="AO9" s="253">
        <f>Prop2018DistTar!BK9</f>
        <v>295381.02379908122</v>
      </c>
      <c r="AP9" s="253">
        <f>Prop2018DistTar!BL9</f>
        <v>0</v>
      </c>
      <c r="AQ9" s="253">
        <f>Prop2018DistTar!BM9</f>
        <v>766444.76391363656</v>
      </c>
      <c r="AR9" s="253">
        <f>Prop2018DistTar!BN9</f>
        <v>1512235.2073960255</v>
      </c>
      <c r="AS9" s="253">
        <f>Prop2018DistTar!BO9</f>
        <v>1077906.585130814</v>
      </c>
      <c r="AT9" s="254">
        <f>Prop2018DistTar!BP9</f>
        <v>0</v>
      </c>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24">
        <f t="shared" si="17"/>
        <v>104.6996942982516</v>
      </c>
      <c r="BJ9" s="224">
        <f t="shared" si="18"/>
        <v>210.76535468585655</v>
      </c>
      <c r="BK9" s="224">
        <f t="shared" si="19"/>
        <v>147.69051189954061</v>
      </c>
      <c r="BL9" s="224">
        <f t="shared" si="20"/>
        <v>0</v>
      </c>
      <c r="BM9" s="224">
        <f t="shared" si="21"/>
        <v>383.22238195681831</v>
      </c>
      <c r="BN9" s="224">
        <f t="shared" si="22"/>
        <v>756.11760369801277</v>
      </c>
      <c r="BO9" s="224">
        <f t="shared" si="23"/>
        <v>538.95329256540697</v>
      </c>
      <c r="BP9" s="224">
        <f t="shared" si="24"/>
        <v>0</v>
      </c>
      <c r="BQ9" s="257">
        <f t="shared" si="25"/>
        <v>2141.4488391038867</v>
      </c>
    </row>
    <row r="10" spans="1:69">
      <c r="A10" s="748" t="str">
        <f>Prop2018DistTar!A10</f>
        <v>C13RB</v>
      </c>
      <c r="B10" s="750" t="str">
        <f>Prop2018DistTar!B10</f>
        <v>Residential - flexible pricing bulk</v>
      </c>
      <c r="C10" s="287"/>
      <c r="D10" s="656">
        <v>0</v>
      </c>
      <c r="E10" s="657">
        <v>0</v>
      </c>
      <c r="F10" s="657">
        <v>0</v>
      </c>
      <c r="G10" s="657">
        <v>0</v>
      </c>
      <c r="H10" s="657">
        <v>0</v>
      </c>
      <c r="I10" s="657">
        <v>0</v>
      </c>
      <c r="J10" s="657">
        <v>0</v>
      </c>
      <c r="K10" s="657">
        <v>0</v>
      </c>
      <c r="L10" s="657">
        <v>0</v>
      </c>
      <c r="M10" s="657">
        <v>0</v>
      </c>
      <c r="N10" s="657">
        <v>0</v>
      </c>
      <c r="O10" s="657">
        <v>0</v>
      </c>
      <c r="P10" s="657">
        <v>0</v>
      </c>
      <c r="Q10" s="657">
        <v>0.05</v>
      </c>
      <c r="R10" s="657">
        <v>0.05</v>
      </c>
      <c r="S10" s="657">
        <v>0.05</v>
      </c>
      <c r="T10" s="657">
        <v>0</v>
      </c>
      <c r="U10" s="657">
        <v>0.05</v>
      </c>
      <c r="V10" s="657">
        <v>0.05</v>
      </c>
      <c r="W10" s="657">
        <v>0.05</v>
      </c>
      <c r="X10" s="670">
        <v>0</v>
      </c>
      <c r="Z10" s="279">
        <f>Prop2018DistTar!AV10</f>
        <v>86</v>
      </c>
      <c r="AA10" s="253">
        <f>Prop2018DistTar!AW10</f>
        <v>0</v>
      </c>
      <c r="AB10" s="253">
        <f>Prop2018DistTar!AX10</f>
        <v>0</v>
      </c>
      <c r="AC10" s="253">
        <f>Prop2018DistTar!AY10</f>
        <v>0</v>
      </c>
      <c r="AD10" s="253">
        <f>Prop2018DistTar!AZ10</f>
        <v>0</v>
      </c>
      <c r="AE10" s="253">
        <f>Prop2018DistTar!BA10</f>
        <v>0</v>
      </c>
      <c r="AF10" s="253">
        <f>Prop2018DistTar!BB10</f>
        <v>0</v>
      </c>
      <c r="AG10" s="253">
        <f>Prop2018DistTar!BC10</f>
        <v>0</v>
      </c>
      <c r="AH10" s="253">
        <f>Prop2018DistTar!BD10</f>
        <v>0</v>
      </c>
      <c r="AI10" s="253">
        <f>Prop2018DistTar!BE10</f>
        <v>0</v>
      </c>
      <c r="AJ10" s="253">
        <f>Prop2018DistTar!BF10</f>
        <v>0</v>
      </c>
      <c r="AK10" s="253">
        <f>Prop2018DistTar!BG10</f>
        <v>0</v>
      </c>
      <c r="AL10" s="253">
        <f>Prop2018DistTar!BH10</f>
        <v>0</v>
      </c>
      <c r="AM10" s="253">
        <f>Prop2018DistTar!BI10</f>
        <v>14822.463938670589</v>
      </c>
      <c r="AN10" s="253">
        <f>Prop2018DistTar!BJ10</f>
        <v>30911.094070728293</v>
      </c>
      <c r="AO10" s="253">
        <f>Prop2018DistTar!BK10</f>
        <v>25018.291769002386</v>
      </c>
      <c r="AP10" s="253">
        <f>Prop2018DistTar!BL10</f>
        <v>0</v>
      </c>
      <c r="AQ10" s="253">
        <f>Prop2018DistTar!BM10</f>
        <v>55723.871652863061</v>
      </c>
      <c r="AR10" s="253">
        <f>Prop2018DistTar!BN10</f>
        <v>110586.63633768729</v>
      </c>
      <c r="AS10" s="253">
        <f>Prop2018DistTar!BO10</f>
        <v>89504.208037036224</v>
      </c>
      <c r="AT10" s="254">
        <f>Prop2018DistTar!BP10</f>
        <v>0</v>
      </c>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24">
        <f t="shared" si="17"/>
        <v>7.4112319693352946</v>
      </c>
      <c r="BJ10" s="224">
        <f t="shared" si="18"/>
        <v>15.455547035364146</v>
      </c>
      <c r="BK10" s="224">
        <f t="shared" si="19"/>
        <v>12.509145884501192</v>
      </c>
      <c r="BL10" s="224">
        <f t="shared" si="20"/>
        <v>0</v>
      </c>
      <c r="BM10" s="224">
        <f t="shared" si="21"/>
        <v>27.86193582643153</v>
      </c>
      <c r="BN10" s="224">
        <f t="shared" si="22"/>
        <v>55.293318168843648</v>
      </c>
      <c r="BO10" s="224">
        <f t="shared" si="23"/>
        <v>44.752104018518111</v>
      </c>
      <c r="BP10" s="224">
        <f t="shared" si="24"/>
        <v>0</v>
      </c>
      <c r="BQ10" s="257">
        <f t="shared" si="25"/>
        <v>163.28328290299393</v>
      </c>
    </row>
    <row r="11" spans="1:69">
      <c r="A11" s="748" t="str">
        <f>Prop2018DistTar!A11</f>
        <v>C2R</v>
      </c>
      <c r="B11" s="750" t="str">
        <f>Prop2018DistTar!B11</f>
        <v>Residential Two Rate 5d</v>
      </c>
      <c r="C11" s="287"/>
      <c r="D11" s="656">
        <v>0</v>
      </c>
      <c r="E11" s="657">
        <v>0</v>
      </c>
      <c r="F11" s="657">
        <v>0.05</v>
      </c>
      <c r="G11" s="657">
        <v>0</v>
      </c>
      <c r="H11" s="657">
        <v>0</v>
      </c>
      <c r="I11" s="657">
        <v>0.05</v>
      </c>
      <c r="J11" s="657">
        <v>0</v>
      </c>
      <c r="K11" s="657">
        <v>0</v>
      </c>
      <c r="L11" s="657">
        <v>0</v>
      </c>
      <c r="M11" s="657">
        <v>0</v>
      </c>
      <c r="N11" s="657">
        <v>0</v>
      </c>
      <c r="O11" s="657">
        <v>0</v>
      </c>
      <c r="P11" s="657">
        <v>0</v>
      </c>
      <c r="Q11" s="657">
        <v>0</v>
      </c>
      <c r="R11" s="657">
        <v>0</v>
      </c>
      <c r="S11" s="657">
        <v>0</v>
      </c>
      <c r="T11" s="657">
        <v>0</v>
      </c>
      <c r="U11" s="657">
        <v>0</v>
      </c>
      <c r="V11" s="657">
        <v>0</v>
      </c>
      <c r="W11" s="657">
        <v>0</v>
      </c>
      <c r="X11" s="670">
        <v>0</v>
      </c>
      <c r="Z11" s="279">
        <f>Prop2018DistTar!AV11</f>
        <v>10844.918915256892</v>
      </c>
      <c r="AA11" s="253">
        <f>Prop2018DistTar!AW11</f>
        <v>0</v>
      </c>
      <c r="AB11" s="253">
        <f>Prop2018DistTar!AX11</f>
        <v>34303841.218867712</v>
      </c>
      <c r="AC11" s="253">
        <f>Prop2018DistTar!AY11</f>
        <v>0</v>
      </c>
      <c r="AD11" s="253">
        <f>Prop2018DistTar!AZ11</f>
        <v>0</v>
      </c>
      <c r="AE11" s="253">
        <f>Prop2018DistTar!BA11</f>
        <v>29910228.5348082</v>
      </c>
      <c r="AF11" s="253">
        <f>Prop2018DistTar!BB11</f>
        <v>0</v>
      </c>
      <c r="AG11" s="253">
        <f>Prop2018DistTar!BC11</f>
        <v>0</v>
      </c>
      <c r="AH11" s="253">
        <f>Prop2018DistTar!BD11</f>
        <v>0</v>
      </c>
      <c r="AI11" s="253">
        <f>Prop2018DistTar!BE11</f>
        <v>0</v>
      </c>
      <c r="AJ11" s="253">
        <f>Prop2018DistTar!BF11</f>
        <v>0</v>
      </c>
      <c r="AK11" s="253">
        <f>Prop2018DistTar!BG11</f>
        <v>0</v>
      </c>
      <c r="AL11" s="253">
        <f>Prop2018DistTar!BH11</f>
        <v>0</v>
      </c>
      <c r="AM11" s="253">
        <f>Prop2018DistTar!BI11</f>
        <v>0</v>
      </c>
      <c r="AN11" s="253">
        <f>Prop2018DistTar!BJ11</f>
        <v>0</v>
      </c>
      <c r="AO11" s="253">
        <f>Prop2018DistTar!BK11</f>
        <v>0</v>
      </c>
      <c r="AP11" s="253">
        <f>Prop2018DistTar!BL11</f>
        <v>0</v>
      </c>
      <c r="AQ11" s="253">
        <f>Prop2018DistTar!BM11</f>
        <v>0</v>
      </c>
      <c r="AR11" s="253">
        <f>Prop2018DistTar!BN11</f>
        <v>0</v>
      </c>
      <c r="AS11" s="253">
        <f>Prop2018DistTar!BO11</f>
        <v>0</v>
      </c>
      <c r="AT11" s="254">
        <f>Prop2018DistTar!BP11</f>
        <v>0</v>
      </c>
      <c r="AV11" s="255">
        <f t="shared" si="4"/>
        <v>0</v>
      </c>
      <c r="AW11" s="224">
        <f t="shared" si="5"/>
        <v>0</v>
      </c>
      <c r="AX11" s="224">
        <f t="shared" si="6"/>
        <v>17151.920609433855</v>
      </c>
      <c r="AY11" s="224">
        <f t="shared" si="7"/>
        <v>0</v>
      </c>
      <c r="AZ11" s="224">
        <f t="shared" si="8"/>
        <v>0</v>
      </c>
      <c r="BA11" s="224">
        <f t="shared" si="9"/>
        <v>14955.1142674041</v>
      </c>
      <c r="BB11" s="224">
        <f t="shared" si="10"/>
        <v>0</v>
      </c>
      <c r="BC11" s="224">
        <f t="shared" si="11"/>
        <v>0</v>
      </c>
      <c r="BD11" s="224">
        <f t="shared" si="12"/>
        <v>0</v>
      </c>
      <c r="BE11" s="224">
        <f t="shared" si="13"/>
        <v>0</v>
      </c>
      <c r="BF11" s="224">
        <f t="shared" si="14"/>
        <v>0</v>
      </c>
      <c r="BG11" s="224">
        <f t="shared" si="15"/>
        <v>0</v>
      </c>
      <c r="BH11" s="224">
        <f t="shared" si="16"/>
        <v>0</v>
      </c>
      <c r="BI11" s="224">
        <f t="shared" si="17"/>
        <v>0</v>
      </c>
      <c r="BJ11" s="224">
        <f t="shared" si="18"/>
        <v>0</v>
      </c>
      <c r="BK11" s="224">
        <f t="shared" si="19"/>
        <v>0</v>
      </c>
      <c r="BL11" s="224">
        <f t="shared" si="20"/>
        <v>0</v>
      </c>
      <c r="BM11" s="224">
        <f t="shared" si="21"/>
        <v>0</v>
      </c>
      <c r="BN11" s="224">
        <f t="shared" si="22"/>
        <v>0</v>
      </c>
      <c r="BO11" s="224">
        <f t="shared" si="23"/>
        <v>0</v>
      </c>
      <c r="BP11" s="224">
        <f t="shared" si="24"/>
        <v>0</v>
      </c>
      <c r="BQ11" s="257">
        <f t="shared" si="25"/>
        <v>32107.034876837955</v>
      </c>
    </row>
    <row r="12" spans="1:69">
      <c r="A12" s="748" t="str">
        <f>Prop2018DistTar!A12</f>
        <v>C2RB</v>
      </c>
      <c r="B12" s="750" t="str">
        <f>Prop2018DistTar!B12</f>
        <v>Residential Two Rate 5d - Bulk</v>
      </c>
      <c r="C12" s="287"/>
      <c r="D12" s="656">
        <v>0</v>
      </c>
      <c r="E12" s="657">
        <v>0</v>
      </c>
      <c r="F12" s="657">
        <v>0.05</v>
      </c>
      <c r="G12" s="657">
        <v>0</v>
      </c>
      <c r="H12" s="657">
        <v>0</v>
      </c>
      <c r="I12" s="657">
        <v>0.05</v>
      </c>
      <c r="J12" s="657">
        <v>0</v>
      </c>
      <c r="K12" s="657">
        <v>0</v>
      </c>
      <c r="L12" s="657">
        <v>0</v>
      </c>
      <c r="M12" s="657">
        <v>0</v>
      </c>
      <c r="N12" s="657">
        <v>0</v>
      </c>
      <c r="O12" s="657">
        <v>0</v>
      </c>
      <c r="P12" s="657">
        <v>0</v>
      </c>
      <c r="Q12" s="657">
        <v>0</v>
      </c>
      <c r="R12" s="657">
        <v>0</v>
      </c>
      <c r="S12" s="657">
        <v>0</v>
      </c>
      <c r="T12" s="657">
        <v>0</v>
      </c>
      <c r="U12" s="657">
        <v>0</v>
      </c>
      <c r="V12" s="657">
        <v>0</v>
      </c>
      <c r="W12" s="657">
        <v>0</v>
      </c>
      <c r="X12" s="670">
        <v>0</v>
      </c>
      <c r="Z12" s="279">
        <f>Prop2018DistTar!AV12</f>
        <v>4325.4798963063058</v>
      </c>
      <c r="AA12" s="253">
        <f>Prop2018DistTar!AW12</f>
        <v>0</v>
      </c>
      <c r="AB12" s="253">
        <f>Prop2018DistTar!AX12</f>
        <v>11937966.333181802</v>
      </c>
      <c r="AC12" s="253">
        <f>Prop2018DistTar!AY12</f>
        <v>0</v>
      </c>
      <c r="AD12" s="253">
        <f>Prop2018DistTar!AZ12</f>
        <v>0</v>
      </c>
      <c r="AE12" s="253">
        <f>Prop2018DistTar!BA12</f>
        <v>10332699.15836278</v>
      </c>
      <c r="AF12" s="253">
        <f>Prop2018DistTar!BB12</f>
        <v>0</v>
      </c>
      <c r="AG12" s="253">
        <f>Prop2018DistTar!BC12</f>
        <v>0</v>
      </c>
      <c r="AH12" s="253">
        <f>Prop2018DistTar!BD12</f>
        <v>0</v>
      </c>
      <c r="AI12" s="253">
        <f>Prop2018DistTar!BE12</f>
        <v>0</v>
      </c>
      <c r="AJ12" s="253">
        <f>Prop2018DistTar!BF12</f>
        <v>0</v>
      </c>
      <c r="AK12" s="253">
        <f>Prop2018DistTar!BG12</f>
        <v>0</v>
      </c>
      <c r="AL12" s="253">
        <f>Prop2018DistTar!BH12</f>
        <v>0</v>
      </c>
      <c r="AM12" s="253">
        <f>Prop2018DistTar!BI12</f>
        <v>0</v>
      </c>
      <c r="AN12" s="253">
        <f>Prop2018DistTar!BJ12</f>
        <v>0</v>
      </c>
      <c r="AO12" s="253">
        <f>Prop2018DistTar!BK12</f>
        <v>0</v>
      </c>
      <c r="AP12" s="253">
        <f>Prop2018DistTar!BL12</f>
        <v>0</v>
      </c>
      <c r="AQ12" s="253">
        <f>Prop2018DistTar!BM12</f>
        <v>0</v>
      </c>
      <c r="AR12" s="253">
        <f>Prop2018DistTar!BN12</f>
        <v>0</v>
      </c>
      <c r="AS12" s="253">
        <f>Prop2018DistTar!BO12</f>
        <v>0</v>
      </c>
      <c r="AT12" s="254">
        <f>Prop2018DistTar!BP12</f>
        <v>0</v>
      </c>
      <c r="AV12" s="255">
        <f t="shared" si="4"/>
        <v>0</v>
      </c>
      <c r="AW12" s="224">
        <f t="shared" si="5"/>
        <v>0</v>
      </c>
      <c r="AX12" s="224">
        <f t="shared" si="6"/>
        <v>5968.9831665909014</v>
      </c>
      <c r="AY12" s="224">
        <f t="shared" si="7"/>
        <v>0</v>
      </c>
      <c r="AZ12" s="224">
        <f t="shared" si="8"/>
        <v>0</v>
      </c>
      <c r="BA12" s="224">
        <f t="shared" si="9"/>
        <v>5166.3495791813903</v>
      </c>
      <c r="BB12" s="224">
        <f t="shared" si="10"/>
        <v>0</v>
      </c>
      <c r="BC12" s="224">
        <f t="shared" si="11"/>
        <v>0</v>
      </c>
      <c r="BD12" s="224">
        <f t="shared" si="12"/>
        <v>0</v>
      </c>
      <c r="BE12" s="224">
        <f t="shared" si="13"/>
        <v>0</v>
      </c>
      <c r="BF12" s="224">
        <f t="shared" si="14"/>
        <v>0</v>
      </c>
      <c r="BG12" s="224">
        <f t="shared" si="15"/>
        <v>0</v>
      </c>
      <c r="BH12" s="224">
        <f t="shared" si="16"/>
        <v>0</v>
      </c>
      <c r="BI12" s="224">
        <f t="shared" si="17"/>
        <v>0</v>
      </c>
      <c r="BJ12" s="224">
        <f t="shared" si="18"/>
        <v>0</v>
      </c>
      <c r="BK12" s="224">
        <f t="shared" si="19"/>
        <v>0</v>
      </c>
      <c r="BL12" s="224">
        <f t="shared" si="20"/>
        <v>0</v>
      </c>
      <c r="BM12" s="224">
        <f t="shared" si="21"/>
        <v>0</v>
      </c>
      <c r="BN12" s="224">
        <f t="shared" si="22"/>
        <v>0</v>
      </c>
      <c r="BO12" s="224">
        <f t="shared" si="23"/>
        <v>0</v>
      </c>
      <c r="BP12" s="224">
        <f t="shared" si="24"/>
        <v>0</v>
      </c>
      <c r="BQ12" s="257">
        <f t="shared" si="25"/>
        <v>11135.332745772292</v>
      </c>
    </row>
    <row r="13" spans="1:69">
      <c r="A13" s="748" t="str">
        <f>Prop2018DistTar!A13</f>
        <v>C3R</v>
      </c>
      <c r="B13" s="750" t="str">
        <f>Prop2018DistTar!B13</f>
        <v>Residential Interval</v>
      </c>
      <c r="C13" s="287"/>
      <c r="D13" s="656">
        <v>0</v>
      </c>
      <c r="E13" s="657">
        <v>0</v>
      </c>
      <c r="F13" s="657">
        <v>0.05</v>
      </c>
      <c r="G13" s="657">
        <v>0</v>
      </c>
      <c r="H13" s="657">
        <v>0</v>
      </c>
      <c r="I13" s="657">
        <v>0.05</v>
      </c>
      <c r="J13" s="657">
        <v>0</v>
      </c>
      <c r="K13" s="657">
        <v>0</v>
      </c>
      <c r="L13" s="657">
        <v>0</v>
      </c>
      <c r="M13" s="657">
        <v>0</v>
      </c>
      <c r="N13" s="657">
        <v>0</v>
      </c>
      <c r="O13" s="657">
        <v>0</v>
      </c>
      <c r="P13" s="657">
        <v>0</v>
      </c>
      <c r="Q13" s="657">
        <v>0</v>
      </c>
      <c r="R13" s="657">
        <v>0</v>
      </c>
      <c r="S13" s="657">
        <v>0</v>
      </c>
      <c r="T13" s="657">
        <v>0</v>
      </c>
      <c r="U13" s="657">
        <v>0</v>
      </c>
      <c r="V13" s="657">
        <v>0</v>
      </c>
      <c r="W13" s="657">
        <v>0</v>
      </c>
      <c r="X13" s="670">
        <v>0</v>
      </c>
      <c r="Z13" s="279">
        <f>Prop2018DistTar!AV13</f>
        <v>17220.894511590293</v>
      </c>
      <c r="AA13" s="253">
        <f>Prop2018DistTar!AW13</f>
        <v>0</v>
      </c>
      <c r="AB13" s="253">
        <f>Prop2018DistTar!AX13</f>
        <v>60059088.859664425</v>
      </c>
      <c r="AC13" s="253">
        <f>Prop2018DistTar!AY13</f>
        <v>0</v>
      </c>
      <c r="AD13" s="253">
        <f>Prop2018DistTar!AZ13</f>
        <v>0</v>
      </c>
      <c r="AE13" s="253">
        <f>Prop2018DistTar!BA13</f>
        <v>52811678.164143428</v>
      </c>
      <c r="AF13" s="253">
        <f>Prop2018DistTar!BB13</f>
        <v>0</v>
      </c>
      <c r="AG13" s="253">
        <f>Prop2018DistTar!BC13</f>
        <v>0</v>
      </c>
      <c r="AH13" s="253">
        <f>Prop2018DistTar!BD13</f>
        <v>0</v>
      </c>
      <c r="AI13" s="253">
        <f>Prop2018DistTar!BE13</f>
        <v>0</v>
      </c>
      <c r="AJ13" s="253">
        <f>Prop2018DistTar!BF13</f>
        <v>0</v>
      </c>
      <c r="AK13" s="253">
        <f>Prop2018DistTar!BG13</f>
        <v>0</v>
      </c>
      <c r="AL13" s="253">
        <f>Prop2018DistTar!BH13</f>
        <v>0</v>
      </c>
      <c r="AM13" s="253">
        <f>Prop2018DistTar!BI13</f>
        <v>0</v>
      </c>
      <c r="AN13" s="253">
        <f>Prop2018DistTar!BJ13</f>
        <v>0</v>
      </c>
      <c r="AO13" s="253">
        <f>Prop2018DistTar!BK13</f>
        <v>0</v>
      </c>
      <c r="AP13" s="253">
        <f>Prop2018DistTar!BL13</f>
        <v>0</v>
      </c>
      <c r="AQ13" s="253">
        <f>Prop2018DistTar!BM13</f>
        <v>0</v>
      </c>
      <c r="AR13" s="253">
        <f>Prop2018DistTar!BN13</f>
        <v>0</v>
      </c>
      <c r="AS13" s="253">
        <f>Prop2018DistTar!BO13</f>
        <v>0</v>
      </c>
      <c r="AT13" s="254">
        <f>Prop2018DistTar!BP13</f>
        <v>0</v>
      </c>
      <c r="AV13" s="255">
        <f t="shared" si="4"/>
        <v>0</v>
      </c>
      <c r="AW13" s="224">
        <f t="shared" si="5"/>
        <v>0</v>
      </c>
      <c r="AX13" s="224">
        <f t="shared" si="6"/>
        <v>30029.544429832215</v>
      </c>
      <c r="AY13" s="224">
        <f t="shared" si="7"/>
        <v>0</v>
      </c>
      <c r="AZ13" s="224">
        <f t="shared" si="8"/>
        <v>0</v>
      </c>
      <c r="BA13" s="224">
        <f t="shared" si="9"/>
        <v>26405.839082071714</v>
      </c>
      <c r="BB13" s="224">
        <f t="shared" si="10"/>
        <v>0</v>
      </c>
      <c r="BC13" s="224">
        <f t="shared" si="11"/>
        <v>0</v>
      </c>
      <c r="BD13" s="224">
        <f t="shared" si="12"/>
        <v>0</v>
      </c>
      <c r="BE13" s="224">
        <f t="shared" si="13"/>
        <v>0</v>
      </c>
      <c r="BF13" s="224">
        <f t="shared" si="14"/>
        <v>0</v>
      </c>
      <c r="BG13" s="224">
        <f t="shared" si="15"/>
        <v>0</v>
      </c>
      <c r="BH13" s="224">
        <f t="shared" si="16"/>
        <v>0</v>
      </c>
      <c r="BI13" s="224">
        <f t="shared" si="17"/>
        <v>0</v>
      </c>
      <c r="BJ13" s="224">
        <f t="shared" si="18"/>
        <v>0</v>
      </c>
      <c r="BK13" s="224">
        <f t="shared" si="19"/>
        <v>0</v>
      </c>
      <c r="BL13" s="224">
        <f t="shared" si="20"/>
        <v>0</v>
      </c>
      <c r="BM13" s="224">
        <f t="shared" si="21"/>
        <v>0</v>
      </c>
      <c r="BN13" s="224">
        <f t="shared" si="22"/>
        <v>0</v>
      </c>
      <c r="BO13" s="224">
        <f t="shared" si="23"/>
        <v>0</v>
      </c>
      <c r="BP13" s="224">
        <f t="shared" si="24"/>
        <v>0</v>
      </c>
      <c r="BQ13" s="257">
        <f t="shared" si="25"/>
        <v>56435.383511903929</v>
      </c>
    </row>
    <row r="14" spans="1:69">
      <c r="A14" s="748" t="str">
        <f>Prop2018DistTar!A14</f>
        <v>C3RB</v>
      </c>
      <c r="B14" s="750" t="str">
        <f>Prop2018DistTar!B14</f>
        <v>Residential Interval - Bulk</v>
      </c>
      <c r="C14" s="287"/>
      <c r="D14" s="656">
        <v>0</v>
      </c>
      <c r="E14" s="657">
        <v>0</v>
      </c>
      <c r="F14" s="657">
        <v>0.05</v>
      </c>
      <c r="G14" s="657">
        <v>0</v>
      </c>
      <c r="H14" s="657">
        <v>0</v>
      </c>
      <c r="I14" s="657">
        <v>0.05</v>
      </c>
      <c r="J14" s="657">
        <v>0</v>
      </c>
      <c r="K14" s="657">
        <v>0</v>
      </c>
      <c r="L14" s="657">
        <v>0</v>
      </c>
      <c r="M14" s="657">
        <v>0</v>
      </c>
      <c r="N14" s="657">
        <v>0</v>
      </c>
      <c r="O14" s="657">
        <v>0</v>
      </c>
      <c r="P14" s="657">
        <v>0</v>
      </c>
      <c r="Q14" s="657">
        <v>0</v>
      </c>
      <c r="R14" s="657">
        <v>0</v>
      </c>
      <c r="S14" s="657">
        <v>0</v>
      </c>
      <c r="T14" s="657">
        <v>0</v>
      </c>
      <c r="U14" s="657">
        <v>0</v>
      </c>
      <c r="V14" s="657">
        <v>0</v>
      </c>
      <c r="W14" s="657">
        <v>0</v>
      </c>
      <c r="X14" s="670">
        <v>0</v>
      </c>
      <c r="Z14" s="279">
        <f>Prop2018DistTar!AV14</f>
        <v>8720.0761855865894</v>
      </c>
      <c r="AA14" s="253">
        <f>Prop2018DistTar!AW14</f>
        <v>0</v>
      </c>
      <c r="AB14" s="253">
        <f>Prop2018DistTar!AX14</f>
        <v>14985083.090693302</v>
      </c>
      <c r="AC14" s="253">
        <f>Prop2018DistTar!AY14</f>
        <v>0</v>
      </c>
      <c r="AD14" s="253">
        <f>Prop2018DistTar!AZ14</f>
        <v>0</v>
      </c>
      <c r="AE14" s="253">
        <f>Prop2018DistTar!BA14</f>
        <v>14138212.664102102</v>
      </c>
      <c r="AF14" s="253">
        <f>Prop2018DistTar!BB14</f>
        <v>0</v>
      </c>
      <c r="AG14" s="253">
        <f>Prop2018DistTar!BC14</f>
        <v>0</v>
      </c>
      <c r="AH14" s="253">
        <f>Prop2018DistTar!BD14</f>
        <v>0</v>
      </c>
      <c r="AI14" s="253">
        <f>Prop2018DistTar!BE14</f>
        <v>0</v>
      </c>
      <c r="AJ14" s="253">
        <f>Prop2018DistTar!BF14</f>
        <v>0</v>
      </c>
      <c r="AK14" s="253">
        <f>Prop2018DistTar!BG14</f>
        <v>0</v>
      </c>
      <c r="AL14" s="253">
        <f>Prop2018DistTar!BH14</f>
        <v>0</v>
      </c>
      <c r="AM14" s="253">
        <f>Prop2018DistTar!BI14</f>
        <v>0</v>
      </c>
      <c r="AN14" s="253">
        <f>Prop2018DistTar!BJ14</f>
        <v>0</v>
      </c>
      <c r="AO14" s="253">
        <f>Prop2018DistTar!BK14</f>
        <v>0</v>
      </c>
      <c r="AP14" s="253">
        <f>Prop2018DistTar!BL14</f>
        <v>0</v>
      </c>
      <c r="AQ14" s="253">
        <f>Prop2018DistTar!BM14</f>
        <v>0</v>
      </c>
      <c r="AR14" s="253">
        <f>Prop2018DistTar!BN14</f>
        <v>0</v>
      </c>
      <c r="AS14" s="253">
        <f>Prop2018DistTar!BO14</f>
        <v>0</v>
      </c>
      <c r="AT14" s="254">
        <f>Prop2018DistTar!BP14</f>
        <v>0</v>
      </c>
      <c r="AV14" s="255">
        <f t="shared" si="4"/>
        <v>0</v>
      </c>
      <c r="AW14" s="224">
        <f t="shared" si="5"/>
        <v>0</v>
      </c>
      <c r="AX14" s="224">
        <f t="shared" si="6"/>
        <v>7492.5415453466512</v>
      </c>
      <c r="AY14" s="224">
        <f t="shared" si="7"/>
        <v>0</v>
      </c>
      <c r="AZ14" s="224">
        <f t="shared" si="8"/>
        <v>0</v>
      </c>
      <c r="BA14" s="224">
        <f t="shared" si="9"/>
        <v>7069.1063320510511</v>
      </c>
      <c r="BB14" s="224">
        <f t="shared" si="10"/>
        <v>0</v>
      </c>
      <c r="BC14" s="224">
        <f t="shared" si="11"/>
        <v>0</v>
      </c>
      <c r="BD14" s="224">
        <f t="shared" si="12"/>
        <v>0</v>
      </c>
      <c r="BE14" s="224">
        <f t="shared" si="13"/>
        <v>0</v>
      </c>
      <c r="BF14" s="224">
        <f t="shared" si="14"/>
        <v>0</v>
      </c>
      <c r="BG14" s="224">
        <f t="shared" si="15"/>
        <v>0</v>
      </c>
      <c r="BH14" s="224">
        <f t="shared" si="16"/>
        <v>0</v>
      </c>
      <c r="BI14" s="224">
        <f t="shared" si="17"/>
        <v>0</v>
      </c>
      <c r="BJ14" s="224">
        <f t="shared" si="18"/>
        <v>0</v>
      </c>
      <c r="BK14" s="224">
        <f t="shared" si="19"/>
        <v>0</v>
      </c>
      <c r="BL14" s="224">
        <f t="shared" si="20"/>
        <v>0</v>
      </c>
      <c r="BM14" s="224">
        <f t="shared" si="21"/>
        <v>0</v>
      </c>
      <c r="BN14" s="224">
        <f t="shared" si="22"/>
        <v>0</v>
      </c>
      <c r="BO14" s="224">
        <f t="shared" si="23"/>
        <v>0</v>
      </c>
      <c r="BP14" s="224">
        <f t="shared" si="24"/>
        <v>0</v>
      </c>
      <c r="BQ14" s="257">
        <f t="shared" si="25"/>
        <v>14561.647877397703</v>
      </c>
    </row>
    <row r="15" spans="1:69">
      <c r="A15" s="748" t="str">
        <f>Prop2018DistTar!A15</f>
        <v>C2ROP</v>
      </c>
      <c r="B15" s="750" t="str">
        <f>Prop2018DistTar!B15</f>
        <v>Residential Two Rate 5d - Controlled Load</v>
      </c>
      <c r="C15" s="287"/>
      <c r="D15" s="656">
        <v>0</v>
      </c>
      <c r="E15" s="657">
        <v>0</v>
      </c>
      <c r="F15" s="657">
        <v>0</v>
      </c>
      <c r="G15" s="657">
        <v>0</v>
      </c>
      <c r="H15" s="657">
        <v>0</v>
      </c>
      <c r="I15" s="657">
        <v>0.05</v>
      </c>
      <c r="J15" s="657">
        <v>0</v>
      </c>
      <c r="K15" s="657">
        <v>0</v>
      </c>
      <c r="L15" s="657">
        <v>0</v>
      </c>
      <c r="M15" s="657">
        <v>0</v>
      </c>
      <c r="N15" s="657">
        <v>0</v>
      </c>
      <c r="O15" s="657">
        <v>0</v>
      </c>
      <c r="P15" s="657">
        <v>0</v>
      </c>
      <c r="Q15" s="657">
        <v>0</v>
      </c>
      <c r="R15" s="657">
        <v>0</v>
      </c>
      <c r="S15" s="657">
        <v>0</v>
      </c>
      <c r="T15" s="657">
        <v>0</v>
      </c>
      <c r="U15" s="657">
        <v>0</v>
      </c>
      <c r="V15" s="657">
        <v>0</v>
      </c>
      <c r="W15" s="657">
        <v>0</v>
      </c>
      <c r="X15" s="670">
        <v>0</v>
      </c>
      <c r="Z15" s="279">
        <f>Prop2018DistTar!AV15</f>
        <v>9721.6356157284772</v>
      </c>
      <c r="AA15" s="253">
        <f>Prop2018DistTar!AW15</f>
        <v>0</v>
      </c>
      <c r="AB15" s="253">
        <f>Prop2018DistTar!AX15</f>
        <v>0</v>
      </c>
      <c r="AC15" s="253">
        <f>Prop2018DistTar!AY15</f>
        <v>0</v>
      </c>
      <c r="AD15" s="253">
        <f>Prop2018DistTar!AZ15</f>
        <v>0</v>
      </c>
      <c r="AE15" s="253">
        <f>Prop2018DistTar!BA15</f>
        <v>19909930.707670532</v>
      </c>
      <c r="AF15" s="253">
        <f>Prop2018DistTar!BB15</f>
        <v>0</v>
      </c>
      <c r="AG15" s="253">
        <f>Prop2018DistTar!BC15</f>
        <v>0</v>
      </c>
      <c r="AH15" s="253">
        <f>Prop2018DistTar!BD15</f>
        <v>0</v>
      </c>
      <c r="AI15" s="253">
        <f>Prop2018DistTar!BE15</f>
        <v>0</v>
      </c>
      <c r="AJ15" s="253">
        <f>Prop2018DistTar!BF15</f>
        <v>0</v>
      </c>
      <c r="AK15" s="253">
        <f>Prop2018DistTar!BG15</f>
        <v>0</v>
      </c>
      <c r="AL15" s="253">
        <f>Prop2018DistTar!BH15</f>
        <v>0</v>
      </c>
      <c r="AM15" s="253">
        <f>Prop2018DistTar!BI15</f>
        <v>0</v>
      </c>
      <c r="AN15" s="253">
        <f>Prop2018DistTar!BJ15</f>
        <v>0</v>
      </c>
      <c r="AO15" s="253">
        <f>Prop2018DistTar!BK15</f>
        <v>0</v>
      </c>
      <c r="AP15" s="253">
        <f>Prop2018DistTar!BL15</f>
        <v>0</v>
      </c>
      <c r="AQ15" s="253">
        <f>Prop2018DistTar!BM15</f>
        <v>0</v>
      </c>
      <c r="AR15" s="253">
        <f>Prop2018DistTar!BN15</f>
        <v>0</v>
      </c>
      <c r="AS15" s="253">
        <f>Prop2018DistTar!BO15</f>
        <v>0</v>
      </c>
      <c r="AT15" s="254">
        <f>Prop2018DistTar!BP15</f>
        <v>0</v>
      </c>
      <c r="AV15" s="255">
        <f t="shared" si="4"/>
        <v>0</v>
      </c>
      <c r="AW15" s="224">
        <f t="shared" si="5"/>
        <v>0</v>
      </c>
      <c r="AX15" s="224">
        <f t="shared" si="6"/>
        <v>0</v>
      </c>
      <c r="AY15" s="224">
        <f t="shared" si="7"/>
        <v>0</v>
      </c>
      <c r="AZ15" s="224">
        <f t="shared" si="8"/>
        <v>0</v>
      </c>
      <c r="BA15" s="224">
        <f t="shared" si="9"/>
        <v>9954.9653538352668</v>
      </c>
      <c r="BB15" s="224">
        <f t="shared" si="10"/>
        <v>0</v>
      </c>
      <c r="BC15" s="224">
        <f t="shared" si="11"/>
        <v>0</v>
      </c>
      <c r="BD15" s="224">
        <f t="shared" si="12"/>
        <v>0</v>
      </c>
      <c r="BE15" s="224">
        <f t="shared" si="13"/>
        <v>0</v>
      </c>
      <c r="BF15" s="224">
        <f t="shared" si="14"/>
        <v>0</v>
      </c>
      <c r="BG15" s="224">
        <f t="shared" si="15"/>
        <v>0</v>
      </c>
      <c r="BH15" s="224">
        <f t="shared" si="16"/>
        <v>0</v>
      </c>
      <c r="BI15" s="224">
        <f t="shared" si="17"/>
        <v>0</v>
      </c>
      <c r="BJ15" s="224">
        <f t="shared" si="18"/>
        <v>0</v>
      </c>
      <c r="BK15" s="224">
        <f t="shared" si="19"/>
        <v>0</v>
      </c>
      <c r="BL15" s="224">
        <f t="shared" si="20"/>
        <v>0</v>
      </c>
      <c r="BM15" s="224">
        <f t="shared" si="21"/>
        <v>0</v>
      </c>
      <c r="BN15" s="224">
        <f t="shared" si="22"/>
        <v>0</v>
      </c>
      <c r="BO15" s="224">
        <f t="shared" si="23"/>
        <v>0</v>
      </c>
      <c r="BP15" s="224">
        <f t="shared" si="24"/>
        <v>0</v>
      </c>
      <c r="BQ15" s="257">
        <f t="shared" si="25"/>
        <v>9954.9653538352668</v>
      </c>
    </row>
    <row r="16" spans="1:69">
      <c r="A16" s="748" t="str">
        <f>Prop2018DistTar!A16</f>
        <v>C2RBOP</v>
      </c>
      <c r="B16" s="750" t="str">
        <f>Prop2018DistTar!B16</f>
        <v>Residential Two Rate 5d - Bulk - Controlled Load</v>
      </c>
      <c r="C16" s="287"/>
      <c r="D16" s="656">
        <v>0</v>
      </c>
      <c r="E16" s="657">
        <v>0</v>
      </c>
      <c r="F16" s="657">
        <v>0</v>
      </c>
      <c r="G16" s="657">
        <v>0</v>
      </c>
      <c r="H16" s="657">
        <v>0</v>
      </c>
      <c r="I16" s="657">
        <v>0.05</v>
      </c>
      <c r="J16" s="657">
        <v>0</v>
      </c>
      <c r="K16" s="657">
        <v>0</v>
      </c>
      <c r="L16" s="657">
        <v>0</v>
      </c>
      <c r="M16" s="657">
        <v>0</v>
      </c>
      <c r="N16" s="657">
        <v>0</v>
      </c>
      <c r="O16" s="657">
        <v>0</v>
      </c>
      <c r="P16" s="657">
        <v>0</v>
      </c>
      <c r="Q16" s="657">
        <v>0</v>
      </c>
      <c r="R16" s="657">
        <v>0</v>
      </c>
      <c r="S16" s="657">
        <v>0</v>
      </c>
      <c r="T16" s="657">
        <v>0</v>
      </c>
      <c r="U16" s="657">
        <v>0</v>
      </c>
      <c r="V16" s="657">
        <v>0</v>
      </c>
      <c r="W16" s="657">
        <v>0</v>
      </c>
      <c r="X16" s="670">
        <v>0</v>
      </c>
      <c r="Z16" s="279">
        <f>Prop2018DistTar!AV16</f>
        <v>3658.6066628568519</v>
      </c>
      <c r="AA16" s="253">
        <f>Prop2018DistTar!AW16</f>
        <v>0</v>
      </c>
      <c r="AB16" s="253">
        <f>Prop2018DistTar!AX16</f>
        <v>0</v>
      </c>
      <c r="AC16" s="253">
        <f>Prop2018DistTar!AY16</f>
        <v>0</v>
      </c>
      <c r="AD16" s="253">
        <f>Prop2018DistTar!AZ16</f>
        <v>0</v>
      </c>
      <c r="AE16" s="253">
        <f>Prop2018DistTar!BA16</f>
        <v>7350471.8260590127</v>
      </c>
      <c r="AF16" s="253">
        <f>Prop2018DistTar!BB16</f>
        <v>0</v>
      </c>
      <c r="AG16" s="253">
        <f>Prop2018DistTar!BC16</f>
        <v>0</v>
      </c>
      <c r="AH16" s="253">
        <f>Prop2018DistTar!BD16</f>
        <v>0</v>
      </c>
      <c r="AI16" s="253">
        <f>Prop2018DistTar!BE16</f>
        <v>0</v>
      </c>
      <c r="AJ16" s="253">
        <f>Prop2018DistTar!BF16</f>
        <v>0</v>
      </c>
      <c r="AK16" s="253">
        <f>Prop2018DistTar!BG16</f>
        <v>0</v>
      </c>
      <c r="AL16" s="253">
        <f>Prop2018DistTar!BH16</f>
        <v>0</v>
      </c>
      <c r="AM16" s="253">
        <f>Prop2018DistTar!BI16</f>
        <v>0</v>
      </c>
      <c r="AN16" s="253">
        <f>Prop2018DistTar!BJ16</f>
        <v>0</v>
      </c>
      <c r="AO16" s="253">
        <f>Prop2018DistTar!BK16</f>
        <v>0</v>
      </c>
      <c r="AP16" s="253">
        <f>Prop2018DistTar!BL16</f>
        <v>0</v>
      </c>
      <c r="AQ16" s="253">
        <f>Prop2018DistTar!BM16</f>
        <v>0</v>
      </c>
      <c r="AR16" s="253">
        <f>Prop2018DistTar!BN16</f>
        <v>0</v>
      </c>
      <c r="AS16" s="253">
        <f>Prop2018DistTar!BO16</f>
        <v>0</v>
      </c>
      <c r="AT16" s="254">
        <f>Prop2018DistTar!BP16</f>
        <v>0</v>
      </c>
      <c r="AV16" s="255">
        <f t="shared" si="4"/>
        <v>0</v>
      </c>
      <c r="AW16" s="224">
        <f t="shared" si="5"/>
        <v>0</v>
      </c>
      <c r="AX16" s="224">
        <f t="shared" si="6"/>
        <v>0</v>
      </c>
      <c r="AY16" s="224">
        <f t="shared" si="7"/>
        <v>0</v>
      </c>
      <c r="AZ16" s="224">
        <f t="shared" si="8"/>
        <v>0</v>
      </c>
      <c r="BA16" s="224">
        <f t="shared" si="9"/>
        <v>3675.2359130295063</v>
      </c>
      <c r="BB16" s="224">
        <f t="shared" si="10"/>
        <v>0</v>
      </c>
      <c r="BC16" s="224">
        <f t="shared" si="11"/>
        <v>0</v>
      </c>
      <c r="BD16" s="224">
        <f t="shared" si="12"/>
        <v>0</v>
      </c>
      <c r="BE16" s="224">
        <f t="shared" si="13"/>
        <v>0</v>
      </c>
      <c r="BF16" s="224">
        <f t="shared" si="14"/>
        <v>0</v>
      </c>
      <c r="BG16" s="224">
        <f t="shared" si="15"/>
        <v>0</v>
      </c>
      <c r="BH16" s="224">
        <f t="shared" si="16"/>
        <v>0</v>
      </c>
      <c r="BI16" s="224">
        <f t="shared" si="17"/>
        <v>0</v>
      </c>
      <c r="BJ16" s="224">
        <f t="shared" si="18"/>
        <v>0</v>
      </c>
      <c r="BK16" s="224">
        <f t="shared" si="19"/>
        <v>0</v>
      </c>
      <c r="BL16" s="224">
        <f t="shared" si="20"/>
        <v>0</v>
      </c>
      <c r="BM16" s="224">
        <f t="shared" si="21"/>
        <v>0</v>
      </c>
      <c r="BN16" s="224">
        <f t="shared" si="22"/>
        <v>0</v>
      </c>
      <c r="BO16" s="224">
        <f t="shared" si="23"/>
        <v>0</v>
      </c>
      <c r="BP16" s="224">
        <f t="shared" si="24"/>
        <v>0</v>
      </c>
      <c r="BQ16" s="257">
        <f t="shared" si="25"/>
        <v>3675.2359130295063</v>
      </c>
    </row>
    <row r="17" spans="1:69">
      <c r="A17" s="748" t="str">
        <f>Prop2018DistTar!A17</f>
        <v>CDS</v>
      </c>
      <c r="B17" s="750" t="str">
        <f>Prop2018DistTar!B17</f>
        <v>Dedicated Circuit</v>
      </c>
      <c r="C17" s="287"/>
      <c r="D17" s="656">
        <v>0</v>
      </c>
      <c r="E17" s="657">
        <v>0</v>
      </c>
      <c r="F17" s="657">
        <v>0</v>
      </c>
      <c r="G17" s="657">
        <v>0</v>
      </c>
      <c r="H17" s="657">
        <v>0</v>
      </c>
      <c r="I17" s="657">
        <v>0.05</v>
      </c>
      <c r="J17" s="657">
        <v>0</v>
      </c>
      <c r="K17" s="657">
        <v>0</v>
      </c>
      <c r="L17" s="657">
        <v>0</v>
      </c>
      <c r="M17" s="657">
        <v>0</v>
      </c>
      <c r="N17" s="657">
        <v>0</v>
      </c>
      <c r="O17" s="657">
        <v>0</v>
      </c>
      <c r="P17" s="657">
        <v>0</v>
      </c>
      <c r="Q17" s="657">
        <v>0</v>
      </c>
      <c r="R17" s="657">
        <v>0</v>
      </c>
      <c r="S17" s="657">
        <v>0</v>
      </c>
      <c r="T17" s="657">
        <v>0</v>
      </c>
      <c r="U17" s="657">
        <v>0</v>
      </c>
      <c r="V17" s="657">
        <v>0</v>
      </c>
      <c r="W17" s="657">
        <v>0</v>
      </c>
      <c r="X17" s="670">
        <v>0</v>
      </c>
      <c r="Z17" s="279">
        <f>Prop2018DistTar!AV17</f>
        <v>22642.030575507612</v>
      </c>
      <c r="AA17" s="253">
        <f>Prop2018DistTar!AW17</f>
        <v>0</v>
      </c>
      <c r="AB17" s="253">
        <f>Prop2018DistTar!AX17</f>
        <v>0</v>
      </c>
      <c r="AC17" s="253">
        <f>Prop2018DistTar!AY17</f>
        <v>0</v>
      </c>
      <c r="AD17" s="253">
        <f>Prop2018DistTar!AZ17</f>
        <v>0</v>
      </c>
      <c r="AE17" s="253">
        <f>Prop2018DistTar!BA17</f>
        <v>33890069.863411687</v>
      </c>
      <c r="AF17" s="253">
        <f>Prop2018DistTar!BB17</f>
        <v>0</v>
      </c>
      <c r="AG17" s="253">
        <f>Prop2018DistTar!BC17</f>
        <v>0</v>
      </c>
      <c r="AH17" s="253">
        <f>Prop2018DistTar!BD17</f>
        <v>0</v>
      </c>
      <c r="AI17" s="253">
        <f>Prop2018DistTar!BE17</f>
        <v>0</v>
      </c>
      <c r="AJ17" s="253">
        <f>Prop2018DistTar!BF17</f>
        <v>0</v>
      </c>
      <c r="AK17" s="253">
        <f>Prop2018DistTar!BG17</f>
        <v>0</v>
      </c>
      <c r="AL17" s="253">
        <f>Prop2018DistTar!BH17</f>
        <v>0</v>
      </c>
      <c r="AM17" s="253">
        <f>Prop2018DistTar!BI17</f>
        <v>0</v>
      </c>
      <c r="AN17" s="253">
        <f>Prop2018DistTar!BJ17</f>
        <v>0</v>
      </c>
      <c r="AO17" s="253">
        <f>Prop2018DistTar!BK17</f>
        <v>0</v>
      </c>
      <c r="AP17" s="253">
        <f>Prop2018DistTar!BL17</f>
        <v>0</v>
      </c>
      <c r="AQ17" s="253">
        <f>Prop2018DistTar!BM17</f>
        <v>0</v>
      </c>
      <c r="AR17" s="253">
        <f>Prop2018DistTar!BN17</f>
        <v>0</v>
      </c>
      <c r="AS17" s="253">
        <f>Prop2018DistTar!BO17</f>
        <v>0</v>
      </c>
      <c r="AT17" s="254">
        <f>Prop2018DistTar!BP17</f>
        <v>0</v>
      </c>
      <c r="AV17" s="255">
        <f t="shared" si="4"/>
        <v>0</v>
      </c>
      <c r="AW17" s="224">
        <f t="shared" si="5"/>
        <v>0</v>
      </c>
      <c r="AX17" s="224">
        <f t="shared" si="6"/>
        <v>0</v>
      </c>
      <c r="AY17" s="224">
        <f t="shared" si="7"/>
        <v>0</v>
      </c>
      <c r="AZ17" s="224">
        <f t="shared" si="8"/>
        <v>0</v>
      </c>
      <c r="BA17" s="224">
        <f t="shared" si="9"/>
        <v>16945.034931705843</v>
      </c>
      <c r="BB17" s="224">
        <f t="shared" si="10"/>
        <v>0</v>
      </c>
      <c r="BC17" s="224">
        <f t="shared" si="11"/>
        <v>0</v>
      </c>
      <c r="BD17" s="224">
        <f t="shared" si="12"/>
        <v>0</v>
      </c>
      <c r="BE17" s="224">
        <f t="shared" si="13"/>
        <v>0</v>
      </c>
      <c r="BF17" s="224">
        <f t="shared" si="14"/>
        <v>0</v>
      </c>
      <c r="BG17" s="224">
        <f t="shared" si="15"/>
        <v>0</v>
      </c>
      <c r="BH17" s="224">
        <f t="shared" si="16"/>
        <v>0</v>
      </c>
      <c r="BI17" s="224">
        <f t="shared" si="17"/>
        <v>0</v>
      </c>
      <c r="BJ17" s="224">
        <f t="shared" si="18"/>
        <v>0</v>
      </c>
      <c r="BK17" s="224">
        <f t="shared" si="19"/>
        <v>0</v>
      </c>
      <c r="BL17" s="224">
        <f t="shared" si="20"/>
        <v>0</v>
      </c>
      <c r="BM17" s="224">
        <f t="shared" si="21"/>
        <v>0</v>
      </c>
      <c r="BN17" s="224">
        <f t="shared" si="22"/>
        <v>0</v>
      </c>
      <c r="BO17" s="224">
        <f t="shared" si="23"/>
        <v>0</v>
      </c>
      <c r="BP17" s="224">
        <f t="shared" si="24"/>
        <v>0</v>
      </c>
      <c r="BQ17" s="257">
        <f t="shared" si="25"/>
        <v>16945.034931705843</v>
      </c>
    </row>
    <row r="18" spans="1:69">
      <c r="A18" s="748" t="str">
        <f>Prop2018DistTar!A18</f>
        <v>CDSB</v>
      </c>
      <c r="B18" s="750" t="str">
        <f>Prop2018DistTar!B18</f>
        <v>Dedicated Circuit - Bulk</v>
      </c>
      <c r="C18" s="287"/>
      <c r="D18" s="656">
        <v>0</v>
      </c>
      <c r="E18" s="657">
        <v>0</v>
      </c>
      <c r="F18" s="657">
        <v>0</v>
      </c>
      <c r="G18" s="657">
        <v>0</v>
      </c>
      <c r="H18" s="657">
        <v>0</v>
      </c>
      <c r="I18" s="657">
        <v>0.05</v>
      </c>
      <c r="J18" s="657">
        <v>0</v>
      </c>
      <c r="K18" s="657">
        <v>0</v>
      </c>
      <c r="L18" s="657">
        <v>0</v>
      </c>
      <c r="M18" s="657">
        <v>0</v>
      </c>
      <c r="N18" s="657">
        <v>0</v>
      </c>
      <c r="O18" s="657">
        <v>0</v>
      </c>
      <c r="P18" s="657">
        <v>0</v>
      </c>
      <c r="Q18" s="657">
        <v>0</v>
      </c>
      <c r="R18" s="657">
        <v>0</v>
      </c>
      <c r="S18" s="657">
        <v>0</v>
      </c>
      <c r="T18" s="657">
        <v>0</v>
      </c>
      <c r="U18" s="657">
        <v>0</v>
      </c>
      <c r="V18" s="657">
        <v>0</v>
      </c>
      <c r="W18" s="657">
        <v>0</v>
      </c>
      <c r="X18" s="670">
        <v>0</v>
      </c>
      <c r="Z18" s="279">
        <f>Prop2018DistTar!AV18</f>
        <v>1081.4792179376586</v>
      </c>
      <c r="AA18" s="253">
        <f>Prop2018DistTar!AW18</f>
        <v>0</v>
      </c>
      <c r="AB18" s="253">
        <f>Prop2018DistTar!AX18</f>
        <v>0</v>
      </c>
      <c r="AC18" s="253">
        <f>Prop2018DistTar!AY18</f>
        <v>0</v>
      </c>
      <c r="AD18" s="253">
        <f>Prop2018DistTar!AZ18</f>
        <v>0</v>
      </c>
      <c r="AE18" s="253">
        <f>Prop2018DistTar!BA18</f>
        <v>2219211.1923869113</v>
      </c>
      <c r="AF18" s="253">
        <f>Prop2018DistTar!BB18</f>
        <v>0</v>
      </c>
      <c r="AG18" s="253">
        <f>Prop2018DistTar!BC18</f>
        <v>0</v>
      </c>
      <c r="AH18" s="253">
        <f>Prop2018DistTar!BD18</f>
        <v>0</v>
      </c>
      <c r="AI18" s="253">
        <f>Prop2018DistTar!BE18</f>
        <v>0</v>
      </c>
      <c r="AJ18" s="253">
        <f>Prop2018DistTar!BF18</f>
        <v>0</v>
      </c>
      <c r="AK18" s="253">
        <f>Prop2018DistTar!BG18</f>
        <v>0</v>
      </c>
      <c r="AL18" s="253">
        <f>Prop2018DistTar!BH18</f>
        <v>0</v>
      </c>
      <c r="AM18" s="253">
        <f>Prop2018DistTar!BI18</f>
        <v>0</v>
      </c>
      <c r="AN18" s="253">
        <f>Prop2018DistTar!BJ18</f>
        <v>0</v>
      </c>
      <c r="AO18" s="253">
        <f>Prop2018DistTar!BK18</f>
        <v>0</v>
      </c>
      <c r="AP18" s="253">
        <f>Prop2018DistTar!BL18</f>
        <v>0</v>
      </c>
      <c r="AQ18" s="253">
        <f>Prop2018DistTar!BM18</f>
        <v>0</v>
      </c>
      <c r="AR18" s="253">
        <f>Prop2018DistTar!BN18</f>
        <v>0</v>
      </c>
      <c r="AS18" s="253">
        <f>Prop2018DistTar!BO18</f>
        <v>0</v>
      </c>
      <c r="AT18" s="254">
        <f>Prop2018DistTar!BP18</f>
        <v>0</v>
      </c>
      <c r="AV18" s="255">
        <f t="shared" si="4"/>
        <v>0</v>
      </c>
      <c r="AW18" s="224">
        <f t="shared" si="5"/>
        <v>0</v>
      </c>
      <c r="AX18" s="224">
        <f t="shared" si="6"/>
        <v>0</v>
      </c>
      <c r="AY18" s="224">
        <f t="shared" si="7"/>
        <v>0</v>
      </c>
      <c r="AZ18" s="224">
        <f t="shared" si="8"/>
        <v>0</v>
      </c>
      <c r="BA18" s="224">
        <f t="shared" si="9"/>
        <v>1109.6055961934555</v>
      </c>
      <c r="BB18" s="224">
        <f t="shared" si="10"/>
        <v>0</v>
      </c>
      <c r="BC18" s="224">
        <f t="shared" si="11"/>
        <v>0</v>
      </c>
      <c r="BD18" s="224">
        <f t="shared" si="12"/>
        <v>0</v>
      </c>
      <c r="BE18" s="224">
        <f t="shared" si="13"/>
        <v>0</v>
      </c>
      <c r="BF18" s="224">
        <f t="shared" si="14"/>
        <v>0</v>
      </c>
      <c r="BG18" s="224">
        <f t="shared" si="15"/>
        <v>0</v>
      </c>
      <c r="BH18" s="224">
        <f t="shared" si="16"/>
        <v>0</v>
      </c>
      <c r="BI18" s="224">
        <f t="shared" si="17"/>
        <v>0</v>
      </c>
      <c r="BJ18" s="224">
        <f t="shared" si="18"/>
        <v>0</v>
      </c>
      <c r="BK18" s="224">
        <f t="shared" si="19"/>
        <v>0</v>
      </c>
      <c r="BL18" s="224">
        <f t="shared" si="20"/>
        <v>0</v>
      </c>
      <c r="BM18" s="224">
        <f t="shared" si="21"/>
        <v>0</v>
      </c>
      <c r="BN18" s="224">
        <f t="shared" si="22"/>
        <v>0</v>
      </c>
      <c r="BO18" s="224">
        <f t="shared" si="23"/>
        <v>0</v>
      </c>
      <c r="BP18" s="224">
        <f t="shared" si="24"/>
        <v>0</v>
      </c>
      <c r="BQ18" s="257">
        <f t="shared" si="25"/>
        <v>1109.6055961934555</v>
      </c>
    </row>
    <row r="19" spans="1:69">
      <c r="A19" s="748" t="str">
        <f>Prop2018DistTar!A19</f>
        <v>CR</v>
      </c>
      <c r="B19" s="750" t="str">
        <f>Prop2018DistTar!B19</f>
        <v>Residential Demand</v>
      </c>
      <c r="C19" s="287"/>
      <c r="D19" s="656">
        <v>0</v>
      </c>
      <c r="E19" s="657">
        <v>0.05</v>
      </c>
      <c r="F19" s="657">
        <v>0</v>
      </c>
      <c r="G19" s="657">
        <v>0</v>
      </c>
      <c r="H19" s="657">
        <v>0</v>
      </c>
      <c r="I19" s="657">
        <v>0</v>
      </c>
      <c r="J19" s="657">
        <v>0</v>
      </c>
      <c r="K19" s="657">
        <v>0</v>
      </c>
      <c r="L19" s="657">
        <v>0</v>
      </c>
      <c r="M19" s="657">
        <v>0</v>
      </c>
      <c r="N19" s="657">
        <v>0</v>
      </c>
      <c r="O19" s="657">
        <v>0</v>
      </c>
      <c r="P19" s="657">
        <v>0</v>
      </c>
      <c r="Q19" s="657">
        <v>0</v>
      </c>
      <c r="R19" s="657">
        <v>0</v>
      </c>
      <c r="S19" s="657">
        <v>0</v>
      </c>
      <c r="T19" s="657">
        <v>0</v>
      </c>
      <c r="U19" s="657">
        <v>0</v>
      </c>
      <c r="V19" s="657">
        <v>0</v>
      </c>
      <c r="W19" s="657">
        <v>0</v>
      </c>
      <c r="X19" s="670">
        <v>0</v>
      </c>
      <c r="Z19" s="279">
        <f>Prop2018DistTar!AV19</f>
        <v>5</v>
      </c>
      <c r="AA19" s="253">
        <f>Prop2018DistTar!AW19</f>
        <v>27500</v>
      </c>
      <c r="AB19" s="253">
        <f>Prop2018DistTar!AX19</f>
        <v>0</v>
      </c>
      <c r="AC19" s="253">
        <f>Prop2018DistTar!AY19</f>
        <v>0</v>
      </c>
      <c r="AD19" s="253">
        <f>Prop2018DistTar!AZ19</f>
        <v>0</v>
      </c>
      <c r="AE19" s="253">
        <f>Prop2018DistTar!BA19</f>
        <v>0</v>
      </c>
      <c r="AF19" s="253">
        <f>Prop2018DistTar!BB19</f>
        <v>0</v>
      </c>
      <c r="AG19" s="253">
        <f>Prop2018DistTar!BC19</f>
        <v>0</v>
      </c>
      <c r="AH19" s="253">
        <f>Prop2018DistTar!BD19</f>
        <v>0</v>
      </c>
      <c r="AI19" s="253">
        <f>Prop2018DistTar!BE19</f>
        <v>0</v>
      </c>
      <c r="AJ19" s="253">
        <f>Prop2018DistTar!BF19</f>
        <v>0</v>
      </c>
      <c r="AK19" s="253">
        <f>Prop2018DistTar!BG19</f>
        <v>62.785388127853878</v>
      </c>
      <c r="AL19" s="253">
        <f>Prop2018DistTar!BH19</f>
        <v>100.45662100456622</v>
      </c>
      <c r="AM19" s="253">
        <f>Prop2018DistTar!BI19</f>
        <v>0</v>
      </c>
      <c r="AN19" s="253">
        <f>Prop2018DistTar!BJ19</f>
        <v>0</v>
      </c>
      <c r="AO19" s="253">
        <f>Prop2018DistTar!BK19</f>
        <v>0</v>
      </c>
      <c r="AP19" s="253">
        <f>Prop2018DistTar!BL19</f>
        <v>0</v>
      </c>
      <c r="AQ19" s="253">
        <f>Prop2018DistTar!BM19</f>
        <v>0</v>
      </c>
      <c r="AR19" s="253">
        <f>Prop2018DistTar!BN19</f>
        <v>0</v>
      </c>
      <c r="AS19" s="253">
        <f>Prop2018DistTar!BO19</f>
        <v>0</v>
      </c>
      <c r="AT19" s="254">
        <f>Prop2018DistTar!BP19</f>
        <v>0</v>
      </c>
      <c r="AV19" s="255">
        <f t="shared" si="4"/>
        <v>0</v>
      </c>
      <c r="AW19" s="224">
        <f t="shared" si="5"/>
        <v>13.75</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0</v>
      </c>
      <c r="BH19" s="224">
        <f t="shared" si="16"/>
        <v>0</v>
      </c>
      <c r="BI19" s="224">
        <f t="shared" si="17"/>
        <v>0</v>
      </c>
      <c r="BJ19" s="224">
        <f t="shared" si="18"/>
        <v>0</v>
      </c>
      <c r="BK19" s="224">
        <f t="shared" si="19"/>
        <v>0</v>
      </c>
      <c r="BL19" s="224">
        <f t="shared" si="20"/>
        <v>0</v>
      </c>
      <c r="BM19" s="224">
        <f t="shared" si="21"/>
        <v>0</v>
      </c>
      <c r="BN19" s="224">
        <f t="shared" si="22"/>
        <v>0</v>
      </c>
      <c r="BO19" s="224">
        <f t="shared" si="23"/>
        <v>0</v>
      </c>
      <c r="BP19" s="224">
        <f t="shared" si="24"/>
        <v>0</v>
      </c>
      <c r="BQ19" s="257">
        <f t="shared" si="25"/>
        <v>13.75</v>
      </c>
    </row>
    <row r="20" spans="1:69">
      <c r="A20" s="748" t="str">
        <f>Prop2018DistTar!A20</f>
        <v>CRB</v>
      </c>
      <c r="B20" s="750" t="str">
        <f>Prop2018DistTar!B20</f>
        <v>Residential Bulk Demand</v>
      </c>
      <c r="C20" s="287"/>
      <c r="D20" s="656">
        <v>0</v>
      </c>
      <c r="E20" s="657">
        <v>0.05</v>
      </c>
      <c r="F20" s="657">
        <v>0</v>
      </c>
      <c r="G20" s="657">
        <v>0</v>
      </c>
      <c r="H20" s="657">
        <v>0</v>
      </c>
      <c r="I20" s="657">
        <v>0</v>
      </c>
      <c r="J20" s="657">
        <v>0</v>
      </c>
      <c r="K20" s="657">
        <v>0</v>
      </c>
      <c r="L20" s="657">
        <v>0</v>
      </c>
      <c r="M20" s="657">
        <v>0</v>
      </c>
      <c r="N20" s="657">
        <v>0</v>
      </c>
      <c r="O20" s="657">
        <v>0</v>
      </c>
      <c r="P20" s="657">
        <v>0</v>
      </c>
      <c r="Q20" s="657">
        <v>0</v>
      </c>
      <c r="R20" s="657">
        <v>0</v>
      </c>
      <c r="S20" s="657">
        <v>0</v>
      </c>
      <c r="T20" s="657">
        <v>0</v>
      </c>
      <c r="U20" s="657">
        <v>0</v>
      </c>
      <c r="V20" s="657">
        <v>0</v>
      </c>
      <c r="W20" s="657">
        <v>0</v>
      </c>
      <c r="X20" s="670">
        <v>0</v>
      </c>
      <c r="Z20" s="279">
        <f>Prop2018DistTar!AV20</f>
        <v>1</v>
      </c>
      <c r="AA20" s="253">
        <f>Prop2018DistTar!AW20</f>
        <v>5500</v>
      </c>
      <c r="AB20" s="253">
        <f>Prop2018DistTar!AX20</f>
        <v>0</v>
      </c>
      <c r="AC20" s="253">
        <f>Prop2018DistTar!AY20</f>
        <v>0</v>
      </c>
      <c r="AD20" s="253">
        <f>Prop2018DistTar!AZ20</f>
        <v>0</v>
      </c>
      <c r="AE20" s="253">
        <f>Prop2018DistTar!BA20</f>
        <v>0</v>
      </c>
      <c r="AF20" s="253">
        <f>Prop2018DistTar!BB20</f>
        <v>0</v>
      </c>
      <c r="AG20" s="253">
        <f>Prop2018DistTar!BC20</f>
        <v>0</v>
      </c>
      <c r="AH20" s="253">
        <f>Prop2018DistTar!BD20</f>
        <v>0</v>
      </c>
      <c r="AI20" s="253">
        <f>Prop2018DistTar!BE20</f>
        <v>0</v>
      </c>
      <c r="AJ20" s="253">
        <f>Prop2018DistTar!BF20</f>
        <v>0</v>
      </c>
      <c r="AK20" s="253">
        <f>Prop2018DistTar!BG20</f>
        <v>12.557077625570775</v>
      </c>
      <c r="AL20" s="253">
        <f>Prop2018DistTar!BH20</f>
        <v>20.091324200913242</v>
      </c>
      <c r="AM20" s="253">
        <f>Prop2018DistTar!BI20</f>
        <v>0</v>
      </c>
      <c r="AN20" s="253">
        <f>Prop2018DistTar!BJ20</f>
        <v>0</v>
      </c>
      <c r="AO20" s="253">
        <f>Prop2018DistTar!BK20</f>
        <v>0</v>
      </c>
      <c r="AP20" s="253">
        <f>Prop2018DistTar!BL20</f>
        <v>0</v>
      </c>
      <c r="AQ20" s="253">
        <f>Prop2018DistTar!BM20</f>
        <v>0</v>
      </c>
      <c r="AR20" s="253">
        <f>Prop2018DistTar!BN20</f>
        <v>0</v>
      </c>
      <c r="AS20" s="253">
        <f>Prop2018DistTar!BO20</f>
        <v>0</v>
      </c>
      <c r="AT20" s="254">
        <f>Prop2018DistTar!BP20</f>
        <v>0</v>
      </c>
      <c r="AV20" s="255">
        <f t="shared" si="4"/>
        <v>0</v>
      </c>
      <c r="AW20" s="224">
        <f t="shared" si="5"/>
        <v>2.75</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0</v>
      </c>
      <c r="BH20" s="224">
        <f t="shared" si="16"/>
        <v>0</v>
      </c>
      <c r="BI20" s="224">
        <f t="shared" si="17"/>
        <v>0</v>
      </c>
      <c r="BJ20" s="224">
        <f t="shared" si="18"/>
        <v>0</v>
      </c>
      <c r="BK20" s="224">
        <f t="shared" si="19"/>
        <v>0</v>
      </c>
      <c r="BL20" s="224">
        <f t="shared" si="20"/>
        <v>0</v>
      </c>
      <c r="BM20" s="224">
        <f t="shared" si="21"/>
        <v>0</v>
      </c>
      <c r="BN20" s="224">
        <f t="shared" si="22"/>
        <v>0</v>
      </c>
      <c r="BO20" s="224">
        <f t="shared" si="23"/>
        <v>0</v>
      </c>
      <c r="BP20" s="224">
        <f t="shared" si="24"/>
        <v>0</v>
      </c>
      <c r="BQ20" s="257">
        <f t="shared" si="25"/>
        <v>2.75</v>
      </c>
    </row>
    <row r="21" spans="1:69">
      <c r="A21" s="748" t="str">
        <f>Prop2018DistTar!A21</f>
        <v>C1G</v>
      </c>
      <c r="B21" s="750" t="str">
        <f>Prop2018DistTar!B21</f>
        <v>Non-Residential Single Rate</v>
      </c>
      <c r="C21" s="287"/>
      <c r="D21" s="656">
        <v>0</v>
      </c>
      <c r="E21" s="657">
        <v>0.04</v>
      </c>
      <c r="F21" s="657">
        <v>0</v>
      </c>
      <c r="G21" s="657">
        <v>0</v>
      </c>
      <c r="H21" s="657">
        <v>0</v>
      </c>
      <c r="I21" s="657">
        <v>0</v>
      </c>
      <c r="J21" s="657">
        <v>0</v>
      </c>
      <c r="K21" s="657">
        <v>0</v>
      </c>
      <c r="L21" s="657">
        <v>0</v>
      </c>
      <c r="M21" s="657">
        <v>0</v>
      </c>
      <c r="N21" s="657">
        <v>0</v>
      </c>
      <c r="O21" s="657">
        <v>0</v>
      </c>
      <c r="P21" s="657">
        <v>0</v>
      </c>
      <c r="Q21" s="657">
        <v>0</v>
      </c>
      <c r="R21" s="657">
        <v>0</v>
      </c>
      <c r="S21" s="657">
        <v>0</v>
      </c>
      <c r="T21" s="657">
        <v>0</v>
      </c>
      <c r="U21" s="657">
        <v>0</v>
      </c>
      <c r="V21" s="657">
        <v>0</v>
      </c>
      <c r="W21" s="657">
        <v>0</v>
      </c>
      <c r="X21" s="670">
        <v>0</v>
      </c>
      <c r="Z21" s="279">
        <f>Prop2018DistTar!AV21</f>
        <v>18214.931992410631</v>
      </c>
      <c r="AA21" s="253">
        <f>Prop2018DistTar!AW21</f>
        <v>220224546.95765957</v>
      </c>
      <c r="AB21" s="253">
        <f>Prop2018DistTar!AX21</f>
        <v>0</v>
      </c>
      <c r="AC21" s="253">
        <f>Prop2018DistTar!AY21</f>
        <v>0</v>
      </c>
      <c r="AD21" s="253">
        <f>Prop2018DistTar!AZ21</f>
        <v>0</v>
      </c>
      <c r="AE21" s="253">
        <f>Prop2018DistTar!BA21</f>
        <v>0</v>
      </c>
      <c r="AF21" s="253">
        <f>Prop2018DistTar!BB21</f>
        <v>0</v>
      </c>
      <c r="AG21" s="253">
        <f>Prop2018DistTar!BC21</f>
        <v>0</v>
      </c>
      <c r="AH21" s="253">
        <f>Prop2018DistTar!BD21</f>
        <v>0</v>
      </c>
      <c r="AI21" s="253">
        <f>Prop2018DistTar!BE21</f>
        <v>0</v>
      </c>
      <c r="AJ21" s="253">
        <f>Prop2018DistTar!BF21</f>
        <v>0</v>
      </c>
      <c r="AK21" s="253">
        <f>Prop2018DistTar!BG21</f>
        <v>0</v>
      </c>
      <c r="AL21" s="253">
        <f>Prop2018DistTar!BH21</f>
        <v>0</v>
      </c>
      <c r="AM21" s="253">
        <f>Prop2018DistTar!BI21</f>
        <v>0</v>
      </c>
      <c r="AN21" s="253">
        <f>Prop2018DistTar!BJ21</f>
        <v>0</v>
      </c>
      <c r="AO21" s="253">
        <f>Prop2018DistTar!BK21</f>
        <v>0</v>
      </c>
      <c r="AP21" s="253">
        <f>Prop2018DistTar!BL21</f>
        <v>0</v>
      </c>
      <c r="AQ21" s="253">
        <f>Prop2018DistTar!BM21</f>
        <v>0</v>
      </c>
      <c r="AR21" s="253">
        <f>Prop2018DistTar!BN21</f>
        <v>0</v>
      </c>
      <c r="AS21" s="253">
        <f>Prop2018DistTar!BO21</f>
        <v>0</v>
      </c>
      <c r="AT21" s="254">
        <f>Prop2018DistTar!BP21</f>
        <v>0</v>
      </c>
      <c r="AV21" s="255">
        <f t="shared" si="4"/>
        <v>0</v>
      </c>
      <c r="AW21" s="224">
        <f t="shared" si="5"/>
        <v>88089.818783063834</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24">
        <f t="shared" si="17"/>
        <v>0</v>
      </c>
      <c r="BJ21" s="224">
        <f t="shared" si="18"/>
        <v>0</v>
      </c>
      <c r="BK21" s="224">
        <f t="shared" si="19"/>
        <v>0</v>
      </c>
      <c r="BL21" s="224">
        <f t="shared" si="20"/>
        <v>0</v>
      </c>
      <c r="BM21" s="224">
        <f t="shared" si="21"/>
        <v>0</v>
      </c>
      <c r="BN21" s="224">
        <f t="shared" si="22"/>
        <v>0</v>
      </c>
      <c r="BO21" s="224">
        <f t="shared" si="23"/>
        <v>0</v>
      </c>
      <c r="BP21" s="224">
        <f t="shared" si="24"/>
        <v>0</v>
      </c>
      <c r="BQ21" s="257">
        <f t="shared" si="25"/>
        <v>88089.818783063834</v>
      </c>
    </row>
    <row r="22" spans="1:69">
      <c r="A22" s="748" t="str">
        <f>Prop2018DistTar!A22</f>
        <v>C1GB</v>
      </c>
      <c r="B22" s="750" t="str">
        <f>Prop2018DistTar!B22</f>
        <v>Non-Residential Single Rate - Bulk</v>
      </c>
      <c r="C22" s="287"/>
      <c r="D22" s="656">
        <v>0</v>
      </c>
      <c r="E22" s="657">
        <v>0.04</v>
      </c>
      <c r="F22" s="657">
        <v>0</v>
      </c>
      <c r="G22" s="657">
        <v>0</v>
      </c>
      <c r="H22" s="657">
        <v>0</v>
      </c>
      <c r="I22" s="657">
        <v>0</v>
      </c>
      <c r="J22" s="657">
        <v>0</v>
      </c>
      <c r="K22" s="657">
        <v>0</v>
      </c>
      <c r="L22" s="657">
        <v>0</v>
      </c>
      <c r="M22" s="657">
        <v>0</v>
      </c>
      <c r="N22" s="657">
        <v>0</v>
      </c>
      <c r="O22" s="657">
        <v>0</v>
      </c>
      <c r="P22" s="657">
        <v>0</v>
      </c>
      <c r="Q22" s="657">
        <v>0</v>
      </c>
      <c r="R22" s="657">
        <v>0</v>
      </c>
      <c r="S22" s="657">
        <v>0</v>
      </c>
      <c r="T22" s="657">
        <v>0</v>
      </c>
      <c r="U22" s="657">
        <v>0</v>
      </c>
      <c r="V22" s="657">
        <v>0</v>
      </c>
      <c r="W22" s="657">
        <v>0</v>
      </c>
      <c r="X22" s="670">
        <v>0</v>
      </c>
      <c r="Z22" s="279">
        <f>Prop2018DistTar!AV22</f>
        <v>5599.0051578270723</v>
      </c>
      <c r="AA22" s="253">
        <f>Prop2018DistTar!AW22</f>
        <v>73848559.175984561</v>
      </c>
      <c r="AB22" s="253">
        <f>Prop2018DistTar!AX22</f>
        <v>0</v>
      </c>
      <c r="AC22" s="253">
        <f>Prop2018DistTar!AY22</f>
        <v>0</v>
      </c>
      <c r="AD22" s="253">
        <f>Prop2018DistTar!AZ22</f>
        <v>0</v>
      </c>
      <c r="AE22" s="253">
        <f>Prop2018DistTar!BA22</f>
        <v>0</v>
      </c>
      <c r="AF22" s="253">
        <f>Prop2018DistTar!BB22</f>
        <v>0</v>
      </c>
      <c r="AG22" s="253">
        <f>Prop2018DistTar!BC22</f>
        <v>0</v>
      </c>
      <c r="AH22" s="253">
        <f>Prop2018DistTar!BD22</f>
        <v>0</v>
      </c>
      <c r="AI22" s="253">
        <f>Prop2018DistTar!BE22</f>
        <v>0</v>
      </c>
      <c r="AJ22" s="253">
        <f>Prop2018DistTar!BF22</f>
        <v>0</v>
      </c>
      <c r="AK22" s="253">
        <f>Prop2018DistTar!BG22</f>
        <v>0</v>
      </c>
      <c r="AL22" s="253">
        <f>Prop2018DistTar!BH22</f>
        <v>0</v>
      </c>
      <c r="AM22" s="253">
        <f>Prop2018DistTar!BI22</f>
        <v>0</v>
      </c>
      <c r="AN22" s="253">
        <f>Prop2018DistTar!BJ22</f>
        <v>0</v>
      </c>
      <c r="AO22" s="253">
        <f>Prop2018DistTar!BK22</f>
        <v>0</v>
      </c>
      <c r="AP22" s="253">
        <f>Prop2018DistTar!BL22</f>
        <v>0</v>
      </c>
      <c r="AQ22" s="253">
        <f>Prop2018DistTar!BM22</f>
        <v>0</v>
      </c>
      <c r="AR22" s="253">
        <f>Prop2018DistTar!BN22</f>
        <v>0</v>
      </c>
      <c r="AS22" s="253">
        <f>Prop2018DistTar!BO22</f>
        <v>0</v>
      </c>
      <c r="AT22" s="254">
        <f>Prop2018DistTar!BP22</f>
        <v>0</v>
      </c>
      <c r="AV22" s="255">
        <f t="shared" si="4"/>
        <v>0</v>
      </c>
      <c r="AW22" s="224">
        <f t="shared" si="5"/>
        <v>29539.423670393826</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24">
        <f t="shared" si="17"/>
        <v>0</v>
      </c>
      <c r="BJ22" s="224">
        <f t="shared" si="18"/>
        <v>0</v>
      </c>
      <c r="BK22" s="224">
        <f t="shared" si="19"/>
        <v>0</v>
      </c>
      <c r="BL22" s="224">
        <f t="shared" si="20"/>
        <v>0</v>
      </c>
      <c r="BM22" s="224">
        <f t="shared" si="21"/>
        <v>0</v>
      </c>
      <c r="BN22" s="224">
        <f t="shared" si="22"/>
        <v>0</v>
      </c>
      <c r="BO22" s="224">
        <f t="shared" si="23"/>
        <v>0</v>
      </c>
      <c r="BP22" s="224">
        <f t="shared" si="24"/>
        <v>0</v>
      </c>
      <c r="BQ22" s="257">
        <f t="shared" si="25"/>
        <v>29539.423670393826</v>
      </c>
    </row>
    <row r="23" spans="1:69">
      <c r="A23" s="748" t="str">
        <f>Prop2018DistTar!A23</f>
        <v>C2G5</v>
      </c>
      <c r="B23" s="750" t="str">
        <f>Prop2018DistTar!B23</f>
        <v>Non-Residential Two Rate 5d</v>
      </c>
      <c r="C23" s="287"/>
      <c r="D23" s="656">
        <v>0</v>
      </c>
      <c r="E23" s="657">
        <v>0</v>
      </c>
      <c r="F23" s="657">
        <v>0.04</v>
      </c>
      <c r="G23" s="657">
        <v>0</v>
      </c>
      <c r="H23" s="657">
        <v>0</v>
      </c>
      <c r="I23" s="657">
        <v>0.04</v>
      </c>
      <c r="J23" s="657">
        <v>0</v>
      </c>
      <c r="K23" s="657">
        <v>0</v>
      </c>
      <c r="L23" s="657">
        <v>0</v>
      </c>
      <c r="M23" s="657">
        <v>0</v>
      </c>
      <c r="N23" s="657">
        <v>0</v>
      </c>
      <c r="O23" s="657">
        <v>0</v>
      </c>
      <c r="P23" s="657">
        <v>0</v>
      </c>
      <c r="Q23" s="657">
        <v>0</v>
      </c>
      <c r="R23" s="657">
        <v>0</v>
      </c>
      <c r="S23" s="657">
        <v>0</v>
      </c>
      <c r="T23" s="657">
        <v>0</v>
      </c>
      <c r="U23" s="657">
        <v>0</v>
      </c>
      <c r="V23" s="657">
        <v>0</v>
      </c>
      <c r="W23" s="657">
        <v>0</v>
      </c>
      <c r="X23" s="670">
        <v>0</v>
      </c>
      <c r="Z23" s="279">
        <f>Prop2018DistTar!AV23</f>
        <v>6325.9121198712201</v>
      </c>
      <c r="AA23" s="253">
        <f>Prop2018DistTar!AW23</f>
        <v>0</v>
      </c>
      <c r="AB23" s="253">
        <f>Prop2018DistTar!AX23</f>
        <v>90006939.07082431</v>
      </c>
      <c r="AC23" s="253">
        <f>Prop2018DistTar!AY23</f>
        <v>0</v>
      </c>
      <c r="AD23" s="253">
        <f>Prop2018DistTar!AZ23</f>
        <v>0</v>
      </c>
      <c r="AE23" s="253">
        <f>Prop2018DistTar!BA23</f>
        <v>56232415.067280285</v>
      </c>
      <c r="AF23" s="253">
        <f>Prop2018DistTar!BB23</f>
        <v>0</v>
      </c>
      <c r="AG23" s="253">
        <f>Prop2018DistTar!BC23</f>
        <v>0</v>
      </c>
      <c r="AH23" s="253">
        <f>Prop2018DistTar!BD23</f>
        <v>0</v>
      </c>
      <c r="AI23" s="253">
        <f>Prop2018DistTar!BE23</f>
        <v>0</v>
      </c>
      <c r="AJ23" s="253">
        <f>Prop2018DistTar!BF23</f>
        <v>0</v>
      </c>
      <c r="AK23" s="253">
        <f>Prop2018DistTar!BG23</f>
        <v>0</v>
      </c>
      <c r="AL23" s="253">
        <f>Prop2018DistTar!BH23</f>
        <v>0</v>
      </c>
      <c r="AM23" s="253">
        <f>Prop2018DistTar!BI23</f>
        <v>0</v>
      </c>
      <c r="AN23" s="253">
        <f>Prop2018DistTar!BJ23</f>
        <v>0</v>
      </c>
      <c r="AO23" s="253">
        <f>Prop2018DistTar!BK23</f>
        <v>0</v>
      </c>
      <c r="AP23" s="253">
        <f>Prop2018DistTar!BL23</f>
        <v>0</v>
      </c>
      <c r="AQ23" s="253">
        <f>Prop2018DistTar!BM23</f>
        <v>0</v>
      </c>
      <c r="AR23" s="253">
        <f>Prop2018DistTar!BN23</f>
        <v>0</v>
      </c>
      <c r="AS23" s="253">
        <f>Prop2018DistTar!BO23</f>
        <v>0</v>
      </c>
      <c r="AT23" s="254">
        <f>Prop2018DistTar!BP23</f>
        <v>0</v>
      </c>
      <c r="AV23" s="255">
        <f t="shared" si="4"/>
        <v>0</v>
      </c>
      <c r="AW23" s="224">
        <f t="shared" si="5"/>
        <v>0</v>
      </c>
      <c r="AX23" s="224">
        <f t="shared" si="6"/>
        <v>36002.775628329728</v>
      </c>
      <c r="AY23" s="224">
        <f t="shared" si="7"/>
        <v>0</v>
      </c>
      <c r="AZ23" s="224">
        <f t="shared" si="8"/>
        <v>0</v>
      </c>
      <c r="BA23" s="224">
        <f t="shared" si="9"/>
        <v>22492.966026912116</v>
      </c>
      <c r="BB23" s="224">
        <f t="shared" si="10"/>
        <v>0</v>
      </c>
      <c r="BC23" s="224">
        <f t="shared" si="11"/>
        <v>0</v>
      </c>
      <c r="BD23" s="224">
        <f t="shared" si="12"/>
        <v>0</v>
      </c>
      <c r="BE23" s="224">
        <f t="shared" si="13"/>
        <v>0</v>
      </c>
      <c r="BF23" s="224">
        <f t="shared" si="14"/>
        <v>0</v>
      </c>
      <c r="BG23" s="224">
        <f t="shared" si="15"/>
        <v>0</v>
      </c>
      <c r="BH23" s="224">
        <f t="shared" si="16"/>
        <v>0</v>
      </c>
      <c r="BI23" s="224">
        <f t="shared" si="17"/>
        <v>0</v>
      </c>
      <c r="BJ23" s="224">
        <f t="shared" si="18"/>
        <v>0</v>
      </c>
      <c r="BK23" s="224">
        <f t="shared" si="19"/>
        <v>0</v>
      </c>
      <c r="BL23" s="224">
        <f t="shared" si="20"/>
        <v>0</v>
      </c>
      <c r="BM23" s="224">
        <f t="shared" si="21"/>
        <v>0</v>
      </c>
      <c r="BN23" s="224">
        <f t="shared" si="22"/>
        <v>0</v>
      </c>
      <c r="BO23" s="224">
        <f t="shared" si="23"/>
        <v>0</v>
      </c>
      <c r="BP23" s="224">
        <f t="shared" si="24"/>
        <v>0</v>
      </c>
      <c r="BQ23" s="257">
        <f t="shared" si="25"/>
        <v>58495.741655241844</v>
      </c>
    </row>
    <row r="24" spans="1:69">
      <c r="A24" s="748" t="str">
        <f>Prop2018DistTar!A24</f>
        <v>C2G5B</v>
      </c>
      <c r="B24" s="750" t="str">
        <f>Prop2018DistTar!B24</f>
        <v>Non-Residential Two Rate 5d - Bulk</v>
      </c>
      <c r="C24" s="287"/>
      <c r="D24" s="656">
        <v>0</v>
      </c>
      <c r="E24" s="657">
        <v>0</v>
      </c>
      <c r="F24" s="657">
        <v>0.04</v>
      </c>
      <c r="G24" s="657">
        <v>0</v>
      </c>
      <c r="H24" s="657">
        <v>0</v>
      </c>
      <c r="I24" s="657">
        <v>0.04</v>
      </c>
      <c r="J24" s="657">
        <v>0</v>
      </c>
      <c r="K24" s="657">
        <v>0</v>
      </c>
      <c r="L24" s="657">
        <v>0</v>
      </c>
      <c r="M24" s="657">
        <v>0</v>
      </c>
      <c r="N24" s="657">
        <v>0</v>
      </c>
      <c r="O24" s="657">
        <v>0</v>
      </c>
      <c r="P24" s="657">
        <v>0</v>
      </c>
      <c r="Q24" s="657">
        <v>0</v>
      </c>
      <c r="R24" s="657">
        <v>0</v>
      </c>
      <c r="S24" s="657">
        <v>0</v>
      </c>
      <c r="T24" s="657">
        <v>0</v>
      </c>
      <c r="U24" s="657">
        <v>0</v>
      </c>
      <c r="V24" s="657">
        <v>0</v>
      </c>
      <c r="W24" s="657">
        <v>0</v>
      </c>
      <c r="X24" s="670">
        <v>0</v>
      </c>
      <c r="Z24" s="279">
        <f>Prop2018DistTar!AV24</f>
        <v>1106.5355969893287</v>
      </c>
      <c r="AA24" s="253">
        <f>Prop2018DistTar!AW24</f>
        <v>0</v>
      </c>
      <c r="AB24" s="253">
        <f>Prop2018DistTar!AX24</f>
        <v>16887632.067035981</v>
      </c>
      <c r="AC24" s="253">
        <f>Prop2018DistTar!AY24</f>
        <v>0</v>
      </c>
      <c r="AD24" s="253">
        <f>Prop2018DistTar!AZ24</f>
        <v>0</v>
      </c>
      <c r="AE24" s="253">
        <f>Prop2018DistTar!BA24</f>
        <v>9694170.3462755531</v>
      </c>
      <c r="AF24" s="253">
        <f>Prop2018DistTar!BB24</f>
        <v>0</v>
      </c>
      <c r="AG24" s="253">
        <f>Prop2018DistTar!BC24</f>
        <v>0</v>
      </c>
      <c r="AH24" s="253">
        <f>Prop2018DistTar!BD24</f>
        <v>0</v>
      </c>
      <c r="AI24" s="253">
        <f>Prop2018DistTar!BE24</f>
        <v>0</v>
      </c>
      <c r="AJ24" s="253">
        <f>Prop2018DistTar!BF24</f>
        <v>0</v>
      </c>
      <c r="AK24" s="253">
        <f>Prop2018DistTar!BG24</f>
        <v>0</v>
      </c>
      <c r="AL24" s="253">
        <f>Prop2018DistTar!BH24</f>
        <v>0</v>
      </c>
      <c r="AM24" s="253">
        <f>Prop2018DistTar!BI24</f>
        <v>0</v>
      </c>
      <c r="AN24" s="253">
        <f>Prop2018DistTar!BJ24</f>
        <v>0</v>
      </c>
      <c r="AO24" s="253">
        <f>Prop2018DistTar!BK24</f>
        <v>0</v>
      </c>
      <c r="AP24" s="253">
        <f>Prop2018DistTar!BL24</f>
        <v>0</v>
      </c>
      <c r="AQ24" s="253">
        <f>Prop2018DistTar!BM24</f>
        <v>0</v>
      </c>
      <c r="AR24" s="253">
        <f>Prop2018DistTar!BN24</f>
        <v>0</v>
      </c>
      <c r="AS24" s="253">
        <f>Prop2018DistTar!BO24</f>
        <v>0</v>
      </c>
      <c r="AT24" s="254">
        <f>Prop2018DistTar!BP24</f>
        <v>0</v>
      </c>
      <c r="AV24" s="255">
        <f t="shared" si="4"/>
        <v>0</v>
      </c>
      <c r="AW24" s="224">
        <f t="shared" si="5"/>
        <v>0</v>
      </c>
      <c r="AX24" s="224">
        <f t="shared" si="6"/>
        <v>6755.0528268143926</v>
      </c>
      <c r="AY24" s="224">
        <f t="shared" si="7"/>
        <v>0</v>
      </c>
      <c r="AZ24" s="224">
        <f t="shared" si="8"/>
        <v>0</v>
      </c>
      <c r="BA24" s="224">
        <f t="shared" si="9"/>
        <v>3877.6681385102215</v>
      </c>
      <c r="BB24" s="224">
        <f t="shared" si="10"/>
        <v>0</v>
      </c>
      <c r="BC24" s="224">
        <f t="shared" si="11"/>
        <v>0</v>
      </c>
      <c r="BD24" s="224">
        <f t="shared" si="12"/>
        <v>0</v>
      </c>
      <c r="BE24" s="224">
        <f t="shared" si="13"/>
        <v>0</v>
      </c>
      <c r="BF24" s="224">
        <f t="shared" si="14"/>
        <v>0</v>
      </c>
      <c r="BG24" s="224">
        <f t="shared" si="15"/>
        <v>0</v>
      </c>
      <c r="BH24" s="224">
        <f t="shared" si="16"/>
        <v>0</v>
      </c>
      <c r="BI24" s="224">
        <f t="shared" si="17"/>
        <v>0</v>
      </c>
      <c r="BJ24" s="224">
        <f t="shared" si="18"/>
        <v>0</v>
      </c>
      <c r="BK24" s="224">
        <f t="shared" si="19"/>
        <v>0</v>
      </c>
      <c r="BL24" s="224">
        <f t="shared" si="20"/>
        <v>0</v>
      </c>
      <c r="BM24" s="224">
        <f t="shared" si="21"/>
        <v>0</v>
      </c>
      <c r="BN24" s="224">
        <f t="shared" si="22"/>
        <v>0</v>
      </c>
      <c r="BO24" s="224">
        <f t="shared" si="23"/>
        <v>0</v>
      </c>
      <c r="BP24" s="224">
        <f t="shared" si="24"/>
        <v>0</v>
      </c>
      <c r="BQ24" s="257">
        <f t="shared" si="25"/>
        <v>10632.720965324614</v>
      </c>
    </row>
    <row r="25" spans="1:69">
      <c r="A25" s="748" t="str">
        <f>Prop2018DistTar!A25</f>
        <v>C3G</v>
      </c>
      <c r="B25" s="750" t="str">
        <f>Prop2018DistTar!B25</f>
        <v>Non-Residential Interval</v>
      </c>
      <c r="C25" s="287"/>
      <c r="D25" s="656">
        <v>0</v>
      </c>
      <c r="E25" s="657">
        <v>0</v>
      </c>
      <c r="F25" s="657">
        <v>0.04</v>
      </c>
      <c r="G25" s="657">
        <v>0</v>
      </c>
      <c r="H25" s="657">
        <v>0</v>
      </c>
      <c r="I25" s="657">
        <v>0.04</v>
      </c>
      <c r="J25" s="657">
        <v>0</v>
      </c>
      <c r="K25" s="657">
        <v>0</v>
      </c>
      <c r="L25" s="657">
        <v>0</v>
      </c>
      <c r="M25" s="657">
        <v>0</v>
      </c>
      <c r="N25" s="657">
        <v>0</v>
      </c>
      <c r="O25" s="657">
        <v>0</v>
      </c>
      <c r="P25" s="657">
        <v>0</v>
      </c>
      <c r="Q25" s="657">
        <v>0</v>
      </c>
      <c r="R25" s="657">
        <v>0</v>
      </c>
      <c r="S25" s="657">
        <v>0</v>
      </c>
      <c r="T25" s="657">
        <v>0</v>
      </c>
      <c r="U25" s="657">
        <v>0</v>
      </c>
      <c r="V25" s="657">
        <v>0</v>
      </c>
      <c r="W25" s="657">
        <v>0</v>
      </c>
      <c r="X25" s="670">
        <v>0</v>
      </c>
      <c r="Z25" s="279">
        <f>Prop2018DistTar!AV25</f>
        <v>4011.7924540561471</v>
      </c>
      <c r="AA25" s="253">
        <f>Prop2018DistTar!AW25</f>
        <v>0</v>
      </c>
      <c r="AB25" s="253">
        <f>Prop2018DistTar!AX25</f>
        <v>44315700.538597859</v>
      </c>
      <c r="AC25" s="253">
        <f>Prop2018DistTar!AY25</f>
        <v>0</v>
      </c>
      <c r="AD25" s="253">
        <f>Prop2018DistTar!AZ25</f>
        <v>0</v>
      </c>
      <c r="AE25" s="253">
        <f>Prop2018DistTar!BA25</f>
        <v>25142157.462131292</v>
      </c>
      <c r="AF25" s="253">
        <f>Prop2018DistTar!BB25</f>
        <v>0</v>
      </c>
      <c r="AG25" s="253">
        <f>Prop2018DistTar!BC25</f>
        <v>0</v>
      </c>
      <c r="AH25" s="253">
        <f>Prop2018DistTar!BD25</f>
        <v>0</v>
      </c>
      <c r="AI25" s="253">
        <f>Prop2018DistTar!BE25</f>
        <v>0</v>
      </c>
      <c r="AJ25" s="253">
        <f>Prop2018DistTar!BF25</f>
        <v>0</v>
      </c>
      <c r="AK25" s="253">
        <f>Prop2018DistTar!BG25</f>
        <v>0</v>
      </c>
      <c r="AL25" s="253">
        <f>Prop2018DistTar!BH25</f>
        <v>0</v>
      </c>
      <c r="AM25" s="253">
        <f>Prop2018DistTar!BI25</f>
        <v>0</v>
      </c>
      <c r="AN25" s="253">
        <f>Prop2018DistTar!BJ25</f>
        <v>0</v>
      </c>
      <c r="AO25" s="253">
        <f>Prop2018DistTar!BK25</f>
        <v>0</v>
      </c>
      <c r="AP25" s="253">
        <f>Prop2018DistTar!BL25</f>
        <v>0</v>
      </c>
      <c r="AQ25" s="253">
        <f>Prop2018DistTar!BM25</f>
        <v>0</v>
      </c>
      <c r="AR25" s="253">
        <f>Prop2018DistTar!BN25</f>
        <v>0</v>
      </c>
      <c r="AS25" s="253">
        <f>Prop2018DistTar!BO25</f>
        <v>0</v>
      </c>
      <c r="AT25" s="254">
        <f>Prop2018DistTar!BP25</f>
        <v>0</v>
      </c>
      <c r="AV25" s="255">
        <f t="shared" si="4"/>
        <v>0</v>
      </c>
      <c r="AW25" s="224">
        <f t="shared" si="5"/>
        <v>0</v>
      </c>
      <c r="AX25" s="224">
        <f t="shared" si="6"/>
        <v>17726.280215439143</v>
      </c>
      <c r="AY25" s="224">
        <f t="shared" si="7"/>
        <v>0</v>
      </c>
      <c r="AZ25" s="224">
        <f t="shared" si="8"/>
        <v>0</v>
      </c>
      <c r="BA25" s="224">
        <f t="shared" si="9"/>
        <v>10056.862984852518</v>
      </c>
      <c r="BB25" s="224">
        <f t="shared" si="10"/>
        <v>0</v>
      </c>
      <c r="BC25" s="224">
        <f t="shared" si="11"/>
        <v>0</v>
      </c>
      <c r="BD25" s="224">
        <f t="shared" si="12"/>
        <v>0</v>
      </c>
      <c r="BE25" s="224">
        <f t="shared" si="13"/>
        <v>0</v>
      </c>
      <c r="BF25" s="224">
        <f t="shared" si="14"/>
        <v>0</v>
      </c>
      <c r="BG25" s="224">
        <f t="shared" si="15"/>
        <v>0</v>
      </c>
      <c r="BH25" s="224">
        <f t="shared" si="16"/>
        <v>0</v>
      </c>
      <c r="BI25" s="224">
        <f t="shared" si="17"/>
        <v>0</v>
      </c>
      <c r="BJ25" s="224">
        <f t="shared" si="18"/>
        <v>0</v>
      </c>
      <c r="BK25" s="224">
        <f t="shared" si="19"/>
        <v>0</v>
      </c>
      <c r="BL25" s="224">
        <f t="shared" si="20"/>
        <v>0</v>
      </c>
      <c r="BM25" s="224">
        <f t="shared" si="21"/>
        <v>0</v>
      </c>
      <c r="BN25" s="224">
        <f t="shared" si="22"/>
        <v>0</v>
      </c>
      <c r="BO25" s="224">
        <f t="shared" si="23"/>
        <v>0</v>
      </c>
      <c r="BP25" s="224">
        <f t="shared" si="24"/>
        <v>0</v>
      </c>
      <c r="BQ25" s="257">
        <f t="shared" si="25"/>
        <v>27783.143200291663</v>
      </c>
    </row>
    <row r="26" spans="1:69">
      <c r="A26" s="748" t="str">
        <f>Prop2018DistTar!A26</f>
        <v>C3GB</v>
      </c>
      <c r="B26" s="750" t="str">
        <f>Prop2018DistTar!B26</f>
        <v>Non-Residential Interval - Bulk</v>
      </c>
      <c r="C26" s="287"/>
      <c r="D26" s="656">
        <v>0</v>
      </c>
      <c r="E26" s="657">
        <v>0</v>
      </c>
      <c r="F26" s="657">
        <v>0.04</v>
      </c>
      <c r="G26" s="657">
        <v>0</v>
      </c>
      <c r="H26" s="657">
        <v>0</v>
      </c>
      <c r="I26" s="657">
        <v>0.04</v>
      </c>
      <c r="J26" s="657">
        <v>0</v>
      </c>
      <c r="K26" s="657">
        <v>0</v>
      </c>
      <c r="L26" s="657">
        <v>0</v>
      </c>
      <c r="M26" s="657">
        <v>0</v>
      </c>
      <c r="N26" s="657">
        <v>0</v>
      </c>
      <c r="O26" s="657">
        <v>0</v>
      </c>
      <c r="P26" s="657">
        <v>0</v>
      </c>
      <c r="Q26" s="657">
        <v>0</v>
      </c>
      <c r="R26" s="657">
        <v>0</v>
      </c>
      <c r="S26" s="657">
        <v>0</v>
      </c>
      <c r="T26" s="657">
        <v>0</v>
      </c>
      <c r="U26" s="657">
        <v>0</v>
      </c>
      <c r="V26" s="657">
        <v>0</v>
      </c>
      <c r="W26" s="657">
        <v>0</v>
      </c>
      <c r="X26" s="670">
        <v>0</v>
      </c>
      <c r="Z26" s="279">
        <f>Prop2018DistTar!AV26</f>
        <v>1947.1728239646436</v>
      </c>
      <c r="AA26" s="253">
        <f>Prop2018DistTar!AW26</f>
        <v>0</v>
      </c>
      <c r="AB26" s="253">
        <f>Prop2018DistTar!AX26</f>
        <v>28963727.791959636</v>
      </c>
      <c r="AC26" s="253">
        <f>Prop2018DistTar!AY26</f>
        <v>0</v>
      </c>
      <c r="AD26" s="253">
        <f>Prop2018DistTar!AZ26</f>
        <v>0</v>
      </c>
      <c r="AE26" s="253">
        <f>Prop2018DistTar!BA26</f>
        <v>15296835.410435298</v>
      </c>
      <c r="AF26" s="253">
        <f>Prop2018DistTar!BB26</f>
        <v>0</v>
      </c>
      <c r="AG26" s="253">
        <f>Prop2018DistTar!BC26</f>
        <v>0</v>
      </c>
      <c r="AH26" s="253">
        <f>Prop2018DistTar!BD26</f>
        <v>0</v>
      </c>
      <c r="AI26" s="253">
        <f>Prop2018DistTar!BE26</f>
        <v>0</v>
      </c>
      <c r="AJ26" s="253">
        <f>Prop2018DistTar!BF26</f>
        <v>0</v>
      </c>
      <c r="AK26" s="253">
        <f>Prop2018DistTar!BG26</f>
        <v>0</v>
      </c>
      <c r="AL26" s="253">
        <f>Prop2018DistTar!BH26</f>
        <v>0</v>
      </c>
      <c r="AM26" s="253">
        <f>Prop2018DistTar!BI26</f>
        <v>0</v>
      </c>
      <c r="AN26" s="253">
        <f>Prop2018DistTar!BJ26</f>
        <v>0</v>
      </c>
      <c r="AO26" s="253">
        <f>Prop2018DistTar!BK26</f>
        <v>0</v>
      </c>
      <c r="AP26" s="253">
        <f>Prop2018DistTar!BL26</f>
        <v>0</v>
      </c>
      <c r="AQ26" s="253">
        <f>Prop2018DistTar!BM26</f>
        <v>0</v>
      </c>
      <c r="AR26" s="253">
        <f>Prop2018DistTar!BN26</f>
        <v>0</v>
      </c>
      <c r="AS26" s="253">
        <f>Prop2018DistTar!BO26</f>
        <v>0</v>
      </c>
      <c r="AT26" s="254">
        <f>Prop2018DistTar!BP26</f>
        <v>0</v>
      </c>
      <c r="AV26" s="255">
        <f t="shared" si="4"/>
        <v>0</v>
      </c>
      <c r="AW26" s="224">
        <f t="shared" si="5"/>
        <v>0</v>
      </c>
      <c r="AX26" s="224">
        <f t="shared" si="6"/>
        <v>11585.491116783855</v>
      </c>
      <c r="AY26" s="224">
        <f t="shared" si="7"/>
        <v>0</v>
      </c>
      <c r="AZ26" s="224">
        <f t="shared" si="8"/>
        <v>0</v>
      </c>
      <c r="BA26" s="224">
        <f t="shared" si="9"/>
        <v>6118.7341641741195</v>
      </c>
      <c r="BB26" s="224">
        <f t="shared" si="10"/>
        <v>0</v>
      </c>
      <c r="BC26" s="224">
        <f t="shared" si="11"/>
        <v>0</v>
      </c>
      <c r="BD26" s="224">
        <f t="shared" si="12"/>
        <v>0</v>
      </c>
      <c r="BE26" s="224">
        <f t="shared" si="13"/>
        <v>0</v>
      </c>
      <c r="BF26" s="224">
        <f t="shared" si="14"/>
        <v>0</v>
      </c>
      <c r="BG26" s="224">
        <f t="shared" si="15"/>
        <v>0</v>
      </c>
      <c r="BH26" s="224">
        <f t="shared" si="16"/>
        <v>0</v>
      </c>
      <c r="BI26" s="224">
        <f t="shared" si="17"/>
        <v>0</v>
      </c>
      <c r="BJ26" s="224">
        <f t="shared" si="18"/>
        <v>0</v>
      </c>
      <c r="BK26" s="224">
        <f t="shared" si="19"/>
        <v>0</v>
      </c>
      <c r="BL26" s="224">
        <f t="shared" si="20"/>
        <v>0</v>
      </c>
      <c r="BM26" s="224">
        <f t="shared" si="21"/>
        <v>0</v>
      </c>
      <c r="BN26" s="224">
        <f t="shared" si="22"/>
        <v>0</v>
      </c>
      <c r="BO26" s="224">
        <f t="shared" si="23"/>
        <v>0</v>
      </c>
      <c r="BP26" s="224">
        <f t="shared" si="24"/>
        <v>0</v>
      </c>
      <c r="BQ26" s="257">
        <f t="shared" si="25"/>
        <v>17704.225280957973</v>
      </c>
    </row>
    <row r="27" spans="1:69">
      <c r="A27" s="748" t="str">
        <f>Prop2018DistTar!A27</f>
        <v>C14G</v>
      </c>
      <c r="B27" s="750" t="str">
        <f>Prop2018DistTar!B27</f>
        <v>Non-Residential Flexible Pricing</v>
      </c>
      <c r="C27" s="287"/>
      <c r="D27" s="656">
        <v>0</v>
      </c>
      <c r="E27" s="657">
        <v>0</v>
      </c>
      <c r="F27" s="657">
        <v>0</v>
      </c>
      <c r="G27" s="657">
        <v>0</v>
      </c>
      <c r="H27" s="657">
        <v>0</v>
      </c>
      <c r="I27" s="657">
        <v>0</v>
      </c>
      <c r="J27" s="657">
        <v>0</v>
      </c>
      <c r="K27" s="657">
        <v>0</v>
      </c>
      <c r="L27" s="657">
        <v>0</v>
      </c>
      <c r="M27" s="657">
        <v>0</v>
      </c>
      <c r="N27" s="657">
        <v>0</v>
      </c>
      <c r="O27" s="657">
        <v>0</v>
      </c>
      <c r="P27" s="657">
        <v>0</v>
      </c>
      <c r="Q27" s="657">
        <v>0.04</v>
      </c>
      <c r="R27" s="657">
        <v>0.04</v>
      </c>
      <c r="S27" s="657">
        <v>0.04</v>
      </c>
      <c r="T27" s="657">
        <v>0</v>
      </c>
      <c r="U27" s="657">
        <v>0.04</v>
      </c>
      <c r="V27" s="657">
        <v>0.04</v>
      </c>
      <c r="W27" s="657">
        <v>0.04</v>
      </c>
      <c r="X27" s="670">
        <v>0</v>
      </c>
      <c r="Z27" s="279">
        <f>Prop2018DistTar!AV27</f>
        <v>21.102227884604787</v>
      </c>
      <c r="AA27" s="253">
        <f>Prop2018DistTar!AW27</f>
        <v>0</v>
      </c>
      <c r="AB27" s="253">
        <f>Prop2018DistTar!AX27</f>
        <v>0</v>
      </c>
      <c r="AC27" s="253">
        <f>Prop2018DistTar!AY27</f>
        <v>0</v>
      </c>
      <c r="AD27" s="253">
        <f>Prop2018DistTar!AZ27</f>
        <v>0</v>
      </c>
      <c r="AE27" s="253">
        <f>Prop2018DistTar!BA27</f>
        <v>0</v>
      </c>
      <c r="AF27" s="253">
        <f>Prop2018DistTar!BB27</f>
        <v>0</v>
      </c>
      <c r="AG27" s="253">
        <f>Prop2018DistTar!BC27</f>
        <v>0</v>
      </c>
      <c r="AH27" s="253">
        <f>Prop2018DistTar!BD27</f>
        <v>0</v>
      </c>
      <c r="AI27" s="253">
        <f>Prop2018DistTar!BE27</f>
        <v>0</v>
      </c>
      <c r="AJ27" s="253">
        <f>Prop2018DistTar!BF27</f>
        <v>0</v>
      </c>
      <c r="AK27" s="253">
        <f>Prop2018DistTar!BG27</f>
        <v>0</v>
      </c>
      <c r="AL27" s="253">
        <f>Prop2018DistTar!BH27</f>
        <v>0</v>
      </c>
      <c r="AM27" s="253">
        <f>Prop2018DistTar!BI27</f>
        <v>43821.569362858281</v>
      </c>
      <c r="AN27" s="253">
        <f>Prop2018DistTar!BJ27</f>
        <v>12365.145540133803</v>
      </c>
      <c r="AO27" s="253">
        <f>Prop2018DistTar!BK27</f>
        <v>36868.097137445991</v>
      </c>
      <c r="AP27" s="253">
        <f>Prop2018DistTar!BL27</f>
        <v>0</v>
      </c>
      <c r="AQ27" s="253">
        <f>Prop2018DistTar!BM27</f>
        <v>161494.87127302433</v>
      </c>
      <c r="AR27" s="253">
        <f>Prop2018DistTar!BN27</f>
        <v>41032.760510766886</v>
      </c>
      <c r="AS27" s="253">
        <f>Prop2018DistTar!BO27</f>
        <v>110833.91500246867</v>
      </c>
      <c r="AT27" s="254">
        <f>Prop2018DistTar!BP27</f>
        <v>0</v>
      </c>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24">
        <f t="shared" si="17"/>
        <v>17.528627745143314</v>
      </c>
      <c r="BJ27" s="224">
        <f t="shared" si="18"/>
        <v>4.9460582160535216</v>
      </c>
      <c r="BK27" s="224">
        <f t="shared" si="19"/>
        <v>14.747238854978397</v>
      </c>
      <c r="BL27" s="224">
        <f t="shared" si="20"/>
        <v>0</v>
      </c>
      <c r="BM27" s="224">
        <f t="shared" si="21"/>
        <v>64.597948509209729</v>
      </c>
      <c r="BN27" s="224">
        <f t="shared" si="22"/>
        <v>16.413104204306755</v>
      </c>
      <c r="BO27" s="224">
        <f t="shared" si="23"/>
        <v>44.333566000987467</v>
      </c>
      <c r="BP27" s="224">
        <f t="shared" si="24"/>
        <v>0</v>
      </c>
      <c r="BQ27" s="257">
        <f t="shared" si="25"/>
        <v>162.56654353067918</v>
      </c>
    </row>
    <row r="28" spans="1:69">
      <c r="A28" s="748" t="str">
        <f>Prop2018DistTar!A28</f>
        <v>C14GB</v>
      </c>
      <c r="B28" s="750" t="str">
        <f>Prop2018DistTar!B28</f>
        <v>Non-Residential - Flexible Pricing Bulk</v>
      </c>
      <c r="C28" s="287"/>
      <c r="D28" s="656">
        <v>0</v>
      </c>
      <c r="E28" s="657">
        <v>0</v>
      </c>
      <c r="F28" s="657">
        <v>0</v>
      </c>
      <c r="G28" s="657">
        <v>0</v>
      </c>
      <c r="H28" s="657">
        <v>0</v>
      </c>
      <c r="I28" s="657">
        <v>0</v>
      </c>
      <c r="J28" s="657">
        <v>0</v>
      </c>
      <c r="K28" s="657">
        <v>0</v>
      </c>
      <c r="L28" s="657">
        <v>0</v>
      </c>
      <c r="M28" s="657">
        <v>0</v>
      </c>
      <c r="N28" s="657">
        <v>0</v>
      </c>
      <c r="O28" s="657">
        <v>0</v>
      </c>
      <c r="P28" s="657">
        <v>0</v>
      </c>
      <c r="Q28" s="657">
        <v>0.04</v>
      </c>
      <c r="R28" s="657">
        <v>0.04</v>
      </c>
      <c r="S28" s="657">
        <v>0.04</v>
      </c>
      <c r="T28" s="657">
        <v>0</v>
      </c>
      <c r="U28" s="657">
        <v>0.04</v>
      </c>
      <c r="V28" s="657">
        <v>0.04</v>
      </c>
      <c r="W28" s="657">
        <v>0.04</v>
      </c>
      <c r="X28" s="670">
        <v>0</v>
      </c>
      <c r="Z28" s="279">
        <f>Prop2018DistTar!AV28</f>
        <v>5</v>
      </c>
      <c r="AA28" s="253">
        <f>Prop2018DistTar!AW28</f>
        <v>0</v>
      </c>
      <c r="AB28" s="253">
        <f>Prop2018DistTar!AX28</f>
        <v>0</v>
      </c>
      <c r="AC28" s="253">
        <f>Prop2018DistTar!AY28</f>
        <v>0</v>
      </c>
      <c r="AD28" s="253">
        <f>Prop2018DistTar!AZ28</f>
        <v>0</v>
      </c>
      <c r="AE28" s="253">
        <f>Prop2018DistTar!BA28</f>
        <v>0</v>
      </c>
      <c r="AF28" s="253">
        <f>Prop2018DistTar!BB28</f>
        <v>0</v>
      </c>
      <c r="AG28" s="253">
        <f>Prop2018DistTar!BC28</f>
        <v>0</v>
      </c>
      <c r="AH28" s="253">
        <f>Prop2018DistTar!BD28</f>
        <v>0</v>
      </c>
      <c r="AI28" s="253">
        <f>Prop2018DistTar!BE28</f>
        <v>0</v>
      </c>
      <c r="AJ28" s="253">
        <f>Prop2018DistTar!BF28</f>
        <v>0</v>
      </c>
      <c r="AK28" s="253">
        <f>Prop2018DistTar!BG28</f>
        <v>0</v>
      </c>
      <c r="AL28" s="253">
        <f>Prop2018DistTar!BH28</f>
        <v>0</v>
      </c>
      <c r="AM28" s="253">
        <f>Prop2018DistTar!BI28</f>
        <v>10467.500468311788</v>
      </c>
      <c r="AN28" s="253">
        <f>Prop2018DistTar!BJ28</f>
        <v>2361.8467108005088</v>
      </c>
      <c r="AO28" s="253">
        <f>Prop2018DistTar!BK28</f>
        <v>7699.3201699207311</v>
      </c>
      <c r="AP28" s="253">
        <f>Prop2018DistTar!BL28</f>
        <v>0</v>
      </c>
      <c r="AQ28" s="253">
        <f>Prop2018DistTar!BM28</f>
        <v>30024.781573814373</v>
      </c>
      <c r="AR28" s="253">
        <f>Prop2018DistTar!BN28</f>
        <v>6386.5841435979974</v>
      </c>
      <c r="AS28" s="253">
        <f>Prop2018DistTar!BO28</f>
        <v>20918.502315015376</v>
      </c>
      <c r="AT28" s="254">
        <f>Prop2018DistTar!BP28</f>
        <v>0</v>
      </c>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24">
        <f t="shared" si="17"/>
        <v>4.1870001873247151</v>
      </c>
      <c r="BJ28" s="224">
        <f t="shared" si="18"/>
        <v>0.94473868432020358</v>
      </c>
      <c r="BK28" s="224">
        <f t="shared" si="19"/>
        <v>3.0797280679682926</v>
      </c>
      <c r="BL28" s="224">
        <f t="shared" si="20"/>
        <v>0</v>
      </c>
      <c r="BM28" s="224">
        <f t="shared" si="21"/>
        <v>12.009912629525749</v>
      </c>
      <c r="BN28" s="224">
        <f t="shared" si="22"/>
        <v>2.554633657439199</v>
      </c>
      <c r="BO28" s="224">
        <f t="shared" si="23"/>
        <v>8.3674009260061499</v>
      </c>
      <c r="BP28" s="224">
        <f t="shared" si="24"/>
        <v>0</v>
      </c>
      <c r="BQ28" s="257">
        <f t="shared" si="25"/>
        <v>31.143414152584306</v>
      </c>
    </row>
    <row r="29" spans="1:69">
      <c r="A29" s="748" t="str">
        <f>Prop2018DistTar!A29</f>
        <v>C2G7</v>
      </c>
      <c r="B29" s="750" t="str">
        <f>Prop2018DistTar!B29</f>
        <v>Non-Residential Two Rate 7d</v>
      </c>
      <c r="C29" s="287"/>
      <c r="D29" s="656">
        <v>0</v>
      </c>
      <c r="E29" s="657">
        <v>0</v>
      </c>
      <c r="F29" s="657">
        <v>0.04</v>
      </c>
      <c r="G29" s="657">
        <v>0</v>
      </c>
      <c r="H29" s="657">
        <v>0</v>
      </c>
      <c r="I29" s="657">
        <v>0.04</v>
      </c>
      <c r="J29" s="657">
        <v>0</v>
      </c>
      <c r="K29" s="657">
        <v>0</v>
      </c>
      <c r="L29" s="657">
        <v>0</v>
      </c>
      <c r="M29" s="657">
        <v>0</v>
      </c>
      <c r="N29" s="657">
        <v>0</v>
      </c>
      <c r="O29" s="657">
        <v>0</v>
      </c>
      <c r="P29" s="657">
        <v>0</v>
      </c>
      <c r="Q29" s="657">
        <v>0</v>
      </c>
      <c r="R29" s="657">
        <v>0</v>
      </c>
      <c r="S29" s="657">
        <v>0</v>
      </c>
      <c r="T29" s="657">
        <v>0</v>
      </c>
      <c r="U29" s="657">
        <v>0</v>
      </c>
      <c r="V29" s="657">
        <v>0</v>
      </c>
      <c r="W29" s="657">
        <v>0</v>
      </c>
      <c r="X29" s="670">
        <v>0</v>
      </c>
      <c r="Z29" s="279">
        <f>Prop2018DistTar!AV29</f>
        <v>2322.444207091999</v>
      </c>
      <c r="AA29" s="253">
        <f>Prop2018DistTar!AW29</f>
        <v>0</v>
      </c>
      <c r="AB29" s="253">
        <f>Prop2018DistTar!AX29</f>
        <v>37314656.187938549</v>
      </c>
      <c r="AC29" s="253">
        <f>Prop2018DistTar!AY29</f>
        <v>0</v>
      </c>
      <c r="AD29" s="253">
        <f>Prop2018DistTar!AZ29</f>
        <v>0</v>
      </c>
      <c r="AE29" s="253">
        <f>Prop2018DistTar!BA29</f>
        <v>8982959.3015620131</v>
      </c>
      <c r="AF29" s="253">
        <f>Prop2018DistTar!BB29</f>
        <v>0</v>
      </c>
      <c r="AG29" s="253">
        <f>Prop2018DistTar!BC29</f>
        <v>0</v>
      </c>
      <c r="AH29" s="253">
        <f>Prop2018DistTar!BD29</f>
        <v>0</v>
      </c>
      <c r="AI29" s="253">
        <f>Prop2018DistTar!BE29</f>
        <v>0</v>
      </c>
      <c r="AJ29" s="253">
        <f>Prop2018DistTar!BF29</f>
        <v>0</v>
      </c>
      <c r="AK29" s="253">
        <f>Prop2018DistTar!BG29</f>
        <v>0</v>
      </c>
      <c r="AL29" s="253">
        <f>Prop2018DistTar!BH29</f>
        <v>0</v>
      </c>
      <c r="AM29" s="253">
        <f>Prop2018DistTar!BI29</f>
        <v>0</v>
      </c>
      <c r="AN29" s="253">
        <f>Prop2018DistTar!BJ29</f>
        <v>0</v>
      </c>
      <c r="AO29" s="253">
        <f>Prop2018DistTar!BK29</f>
        <v>0</v>
      </c>
      <c r="AP29" s="253">
        <f>Prop2018DistTar!BL29</f>
        <v>0</v>
      </c>
      <c r="AQ29" s="253">
        <f>Prop2018DistTar!BM29</f>
        <v>0</v>
      </c>
      <c r="AR29" s="253">
        <f>Prop2018DistTar!BN29</f>
        <v>0</v>
      </c>
      <c r="AS29" s="253">
        <f>Prop2018DistTar!BO29</f>
        <v>0</v>
      </c>
      <c r="AT29" s="254">
        <f>Prop2018DistTar!BP29</f>
        <v>0</v>
      </c>
      <c r="AV29" s="255">
        <f t="shared" si="4"/>
        <v>0</v>
      </c>
      <c r="AW29" s="224">
        <f t="shared" si="5"/>
        <v>0</v>
      </c>
      <c r="AX29" s="224">
        <f t="shared" si="6"/>
        <v>14925.86247517542</v>
      </c>
      <c r="AY29" s="224">
        <f t="shared" si="7"/>
        <v>0</v>
      </c>
      <c r="AZ29" s="224">
        <f t="shared" si="8"/>
        <v>0</v>
      </c>
      <c r="BA29" s="224">
        <f t="shared" si="9"/>
        <v>3593.1837206248056</v>
      </c>
      <c r="BB29" s="224">
        <f t="shared" si="10"/>
        <v>0</v>
      </c>
      <c r="BC29" s="224">
        <f t="shared" si="11"/>
        <v>0</v>
      </c>
      <c r="BD29" s="224">
        <f t="shared" si="12"/>
        <v>0</v>
      </c>
      <c r="BE29" s="224">
        <f t="shared" si="13"/>
        <v>0</v>
      </c>
      <c r="BF29" s="224">
        <f t="shared" si="14"/>
        <v>0</v>
      </c>
      <c r="BG29" s="224">
        <f t="shared" si="15"/>
        <v>0</v>
      </c>
      <c r="BH29" s="224">
        <f t="shared" si="16"/>
        <v>0</v>
      </c>
      <c r="BI29" s="224">
        <f t="shared" si="17"/>
        <v>0</v>
      </c>
      <c r="BJ29" s="224">
        <f t="shared" si="18"/>
        <v>0</v>
      </c>
      <c r="BK29" s="224">
        <f t="shared" si="19"/>
        <v>0</v>
      </c>
      <c r="BL29" s="224">
        <f t="shared" si="20"/>
        <v>0</v>
      </c>
      <c r="BM29" s="224">
        <f t="shared" si="21"/>
        <v>0</v>
      </c>
      <c r="BN29" s="224">
        <f t="shared" si="22"/>
        <v>0</v>
      </c>
      <c r="BO29" s="224">
        <f t="shared" si="23"/>
        <v>0</v>
      </c>
      <c r="BP29" s="224">
        <f t="shared" si="24"/>
        <v>0</v>
      </c>
      <c r="BQ29" s="257">
        <f t="shared" si="25"/>
        <v>18519.046195800227</v>
      </c>
    </row>
    <row r="30" spans="1:69">
      <c r="A30" s="748" t="str">
        <f>Prop2018DistTar!A30</f>
        <v>C2G7B</v>
      </c>
      <c r="B30" s="750" t="str">
        <f>Prop2018DistTar!B30</f>
        <v>Non-Residential Two Rate 7d - Bulk</v>
      </c>
      <c r="C30" s="287"/>
      <c r="D30" s="656">
        <v>0</v>
      </c>
      <c r="E30" s="657">
        <v>0</v>
      </c>
      <c r="F30" s="657">
        <v>0.04</v>
      </c>
      <c r="G30" s="657">
        <v>0</v>
      </c>
      <c r="H30" s="657">
        <v>0</v>
      </c>
      <c r="I30" s="657">
        <v>0.04</v>
      </c>
      <c r="J30" s="657">
        <v>0</v>
      </c>
      <c r="K30" s="657">
        <v>0</v>
      </c>
      <c r="L30" s="657">
        <v>0</v>
      </c>
      <c r="M30" s="657">
        <v>0</v>
      </c>
      <c r="N30" s="657">
        <v>0</v>
      </c>
      <c r="O30" s="657">
        <v>0</v>
      </c>
      <c r="P30" s="657">
        <v>0</v>
      </c>
      <c r="Q30" s="657">
        <v>0</v>
      </c>
      <c r="R30" s="657">
        <v>0</v>
      </c>
      <c r="S30" s="657">
        <v>0</v>
      </c>
      <c r="T30" s="657">
        <v>0</v>
      </c>
      <c r="U30" s="657">
        <v>0</v>
      </c>
      <c r="V30" s="657">
        <v>0</v>
      </c>
      <c r="W30" s="657">
        <v>0</v>
      </c>
      <c r="X30" s="670">
        <v>0</v>
      </c>
      <c r="Z30" s="279">
        <f>Prop2018DistTar!AV30</f>
        <v>251.52691546810573</v>
      </c>
      <c r="AA30" s="253">
        <f>Prop2018DistTar!AW30</f>
        <v>0</v>
      </c>
      <c r="AB30" s="253">
        <f>Prop2018DistTar!AX30</f>
        <v>5172333.90074181</v>
      </c>
      <c r="AC30" s="253">
        <f>Prop2018DistTar!AY30</f>
        <v>0</v>
      </c>
      <c r="AD30" s="253">
        <f>Prop2018DistTar!AZ30</f>
        <v>0</v>
      </c>
      <c r="AE30" s="253">
        <f>Prop2018DistTar!BA30</f>
        <v>1298680.7753647633</v>
      </c>
      <c r="AF30" s="253">
        <f>Prop2018DistTar!BB30</f>
        <v>0</v>
      </c>
      <c r="AG30" s="253">
        <f>Prop2018DistTar!BC30</f>
        <v>0</v>
      </c>
      <c r="AH30" s="253">
        <f>Prop2018DistTar!BD30</f>
        <v>0</v>
      </c>
      <c r="AI30" s="253">
        <f>Prop2018DistTar!BE30</f>
        <v>0</v>
      </c>
      <c r="AJ30" s="253">
        <f>Prop2018DistTar!BF30</f>
        <v>0</v>
      </c>
      <c r="AK30" s="253">
        <f>Prop2018DistTar!BG30</f>
        <v>0</v>
      </c>
      <c r="AL30" s="253">
        <f>Prop2018DistTar!BH30</f>
        <v>0</v>
      </c>
      <c r="AM30" s="253">
        <f>Prop2018DistTar!BI30</f>
        <v>0</v>
      </c>
      <c r="AN30" s="253">
        <f>Prop2018DistTar!BJ30</f>
        <v>0</v>
      </c>
      <c r="AO30" s="253">
        <f>Prop2018DistTar!BK30</f>
        <v>0</v>
      </c>
      <c r="AP30" s="253">
        <f>Prop2018DistTar!BL30</f>
        <v>0</v>
      </c>
      <c r="AQ30" s="253">
        <f>Prop2018DistTar!BM30</f>
        <v>0</v>
      </c>
      <c r="AR30" s="253">
        <f>Prop2018DistTar!BN30</f>
        <v>0</v>
      </c>
      <c r="AS30" s="253">
        <f>Prop2018DistTar!BO30</f>
        <v>0</v>
      </c>
      <c r="AT30" s="254">
        <f>Prop2018DistTar!BP30</f>
        <v>0</v>
      </c>
      <c r="AV30" s="255">
        <f t="shared" si="4"/>
        <v>0</v>
      </c>
      <c r="AW30" s="224">
        <f t="shared" si="5"/>
        <v>0</v>
      </c>
      <c r="AX30" s="224">
        <f t="shared" si="6"/>
        <v>2068.933560296724</v>
      </c>
      <c r="AY30" s="224">
        <f t="shared" si="7"/>
        <v>0</v>
      </c>
      <c r="AZ30" s="224">
        <f t="shared" si="8"/>
        <v>0</v>
      </c>
      <c r="BA30" s="224">
        <f t="shared" si="9"/>
        <v>519.47231014590534</v>
      </c>
      <c r="BB30" s="224">
        <f t="shared" si="10"/>
        <v>0</v>
      </c>
      <c r="BC30" s="224">
        <f t="shared" si="11"/>
        <v>0</v>
      </c>
      <c r="BD30" s="224">
        <f t="shared" si="12"/>
        <v>0</v>
      </c>
      <c r="BE30" s="224">
        <f t="shared" si="13"/>
        <v>0</v>
      </c>
      <c r="BF30" s="224">
        <f t="shared" si="14"/>
        <v>0</v>
      </c>
      <c r="BG30" s="224">
        <f t="shared" si="15"/>
        <v>0</v>
      </c>
      <c r="BH30" s="224">
        <f t="shared" si="16"/>
        <v>0</v>
      </c>
      <c r="BI30" s="224">
        <f t="shared" si="17"/>
        <v>0</v>
      </c>
      <c r="BJ30" s="224">
        <f t="shared" si="18"/>
        <v>0</v>
      </c>
      <c r="BK30" s="224">
        <f t="shared" si="19"/>
        <v>0</v>
      </c>
      <c r="BL30" s="224">
        <f t="shared" si="20"/>
        <v>0</v>
      </c>
      <c r="BM30" s="224">
        <f t="shared" si="21"/>
        <v>0</v>
      </c>
      <c r="BN30" s="224">
        <f t="shared" si="22"/>
        <v>0</v>
      </c>
      <c r="BO30" s="224">
        <f t="shared" si="23"/>
        <v>0</v>
      </c>
      <c r="BP30" s="224">
        <f t="shared" si="24"/>
        <v>0</v>
      </c>
      <c r="BQ30" s="257">
        <f t="shared" si="25"/>
        <v>2588.4058704426293</v>
      </c>
    </row>
    <row r="31" spans="1:69">
      <c r="A31" s="748" t="str">
        <f>Prop2018DistTar!A31</f>
        <v>C2L7</v>
      </c>
      <c r="B31" s="750" t="str">
        <f>Prop2018DistTar!B31</f>
        <v>Large Two Rate 7d</v>
      </c>
      <c r="C31" s="287"/>
      <c r="D31" s="656">
        <v>0</v>
      </c>
      <c r="E31" s="657">
        <v>0</v>
      </c>
      <c r="F31" s="657">
        <v>0.04</v>
      </c>
      <c r="G31" s="657">
        <v>0</v>
      </c>
      <c r="H31" s="657">
        <v>0</v>
      </c>
      <c r="I31" s="657">
        <v>0.04</v>
      </c>
      <c r="J31" s="657">
        <v>0</v>
      </c>
      <c r="K31" s="657">
        <v>0</v>
      </c>
      <c r="L31" s="657">
        <v>0</v>
      </c>
      <c r="M31" s="657">
        <v>0</v>
      </c>
      <c r="N31" s="657">
        <v>0</v>
      </c>
      <c r="O31" s="657">
        <v>0</v>
      </c>
      <c r="P31" s="657">
        <v>0</v>
      </c>
      <c r="Q31" s="657">
        <v>0</v>
      </c>
      <c r="R31" s="657">
        <v>0</v>
      </c>
      <c r="S31" s="657">
        <v>0</v>
      </c>
      <c r="T31" s="657">
        <v>0</v>
      </c>
      <c r="U31" s="657">
        <v>0</v>
      </c>
      <c r="V31" s="657">
        <v>0</v>
      </c>
      <c r="W31" s="657">
        <v>0</v>
      </c>
      <c r="X31" s="670">
        <v>0</v>
      </c>
      <c r="Z31" s="279">
        <f>Prop2018DistTar!AV31</f>
        <v>4</v>
      </c>
      <c r="AA31" s="253">
        <f>Prop2018DistTar!AW31</f>
        <v>0</v>
      </c>
      <c r="AB31" s="253">
        <f>Prop2018DistTar!AX31</f>
        <v>224820.2679166478</v>
      </c>
      <c r="AC31" s="253">
        <f>Prop2018DistTar!AY31</f>
        <v>0</v>
      </c>
      <c r="AD31" s="253">
        <f>Prop2018DistTar!AZ31</f>
        <v>0</v>
      </c>
      <c r="AE31" s="253">
        <f>Prop2018DistTar!BA31</f>
        <v>61632.40762098199</v>
      </c>
      <c r="AF31" s="253">
        <f>Prop2018DistTar!BB31</f>
        <v>0</v>
      </c>
      <c r="AG31" s="253">
        <f>Prop2018DistTar!BC31</f>
        <v>0</v>
      </c>
      <c r="AH31" s="253">
        <f>Prop2018DistTar!BD31</f>
        <v>0</v>
      </c>
      <c r="AI31" s="253">
        <f>Prop2018DistTar!BE31</f>
        <v>0</v>
      </c>
      <c r="AJ31" s="253">
        <f>Prop2018DistTar!BF31</f>
        <v>0</v>
      </c>
      <c r="AK31" s="253">
        <f>Prop2018DistTar!BG31</f>
        <v>0</v>
      </c>
      <c r="AL31" s="253">
        <f>Prop2018DistTar!BH31</f>
        <v>0</v>
      </c>
      <c r="AM31" s="253">
        <f>Prop2018DistTar!BI31</f>
        <v>0</v>
      </c>
      <c r="AN31" s="253">
        <f>Prop2018DistTar!BJ31</f>
        <v>0</v>
      </c>
      <c r="AO31" s="253">
        <f>Prop2018DistTar!BK31</f>
        <v>0</v>
      </c>
      <c r="AP31" s="253">
        <f>Prop2018DistTar!BL31</f>
        <v>0</v>
      </c>
      <c r="AQ31" s="253">
        <f>Prop2018DistTar!BM31</f>
        <v>0</v>
      </c>
      <c r="AR31" s="253">
        <f>Prop2018DistTar!BN31</f>
        <v>0</v>
      </c>
      <c r="AS31" s="253">
        <f>Prop2018DistTar!BO31</f>
        <v>0</v>
      </c>
      <c r="AT31" s="254">
        <f>Prop2018DistTar!BP31</f>
        <v>0</v>
      </c>
      <c r="AV31" s="255">
        <f t="shared" si="4"/>
        <v>0</v>
      </c>
      <c r="AW31" s="224">
        <f t="shared" si="5"/>
        <v>0</v>
      </c>
      <c r="AX31" s="224">
        <f t="shared" si="6"/>
        <v>89.928107166659132</v>
      </c>
      <c r="AY31" s="224">
        <f t="shared" si="7"/>
        <v>0</v>
      </c>
      <c r="AZ31" s="224">
        <f t="shared" si="8"/>
        <v>0</v>
      </c>
      <c r="BA31" s="224">
        <f t="shared" si="9"/>
        <v>24.652963048392799</v>
      </c>
      <c r="BB31" s="224">
        <f t="shared" si="10"/>
        <v>0</v>
      </c>
      <c r="BC31" s="224">
        <f t="shared" si="11"/>
        <v>0</v>
      </c>
      <c r="BD31" s="224">
        <f t="shared" si="12"/>
        <v>0</v>
      </c>
      <c r="BE31" s="224">
        <f t="shared" si="13"/>
        <v>0</v>
      </c>
      <c r="BF31" s="224">
        <f t="shared" si="14"/>
        <v>0</v>
      </c>
      <c r="BG31" s="224">
        <f t="shared" si="15"/>
        <v>0</v>
      </c>
      <c r="BH31" s="224">
        <f t="shared" si="16"/>
        <v>0</v>
      </c>
      <c r="BI31" s="224">
        <f t="shared" si="17"/>
        <v>0</v>
      </c>
      <c r="BJ31" s="224">
        <f t="shared" si="18"/>
        <v>0</v>
      </c>
      <c r="BK31" s="224">
        <f t="shared" si="19"/>
        <v>0</v>
      </c>
      <c r="BL31" s="224">
        <f t="shared" si="20"/>
        <v>0</v>
      </c>
      <c r="BM31" s="224">
        <f t="shared" si="21"/>
        <v>0</v>
      </c>
      <c r="BN31" s="224">
        <f t="shared" si="22"/>
        <v>0</v>
      </c>
      <c r="BO31" s="224">
        <f t="shared" si="23"/>
        <v>0</v>
      </c>
      <c r="BP31" s="224">
        <f t="shared" si="24"/>
        <v>0</v>
      </c>
      <c r="BQ31" s="257">
        <f t="shared" si="25"/>
        <v>114.58107021505194</v>
      </c>
    </row>
    <row r="32" spans="1:69">
      <c r="A32" s="748" t="str">
        <f>Prop2018DistTar!A32</f>
        <v>CG</v>
      </c>
      <c r="B32" s="750" t="str">
        <f>Prop2018DistTar!B32</f>
        <v>Non-Residential Demand Tariff</v>
      </c>
      <c r="C32" s="287"/>
      <c r="D32" s="656">
        <v>0</v>
      </c>
      <c r="E32" s="657">
        <v>0.04</v>
      </c>
      <c r="F32" s="657">
        <v>0</v>
      </c>
      <c r="G32" s="657">
        <v>0</v>
      </c>
      <c r="H32" s="657">
        <v>0</v>
      </c>
      <c r="I32" s="657">
        <v>0</v>
      </c>
      <c r="J32" s="657">
        <v>0</v>
      </c>
      <c r="K32" s="657">
        <v>0</v>
      </c>
      <c r="L32" s="657">
        <v>0</v>
      </c>
      <c r="M32" s="657">
        <v>0</v>
      </c>
      <c r="N32" s="657">
        <v>0</v>
      </c>
      <c r="O32" s="657">
        <v>0</v>
      </c>
      <c r="P32" s="657">
        <v>0</v>
      </c>
      <c r="Q32" s="657">
        <v>0</v>
      </c>
      <c r="R32" s="657">
        <v>0</v>
      </c>
      <c r="S32" s="657">
        <v>0</v>
      </c>
      <c r="T32" s="657">
        <v>0</v>
      </c>
      <c r="U32" s="657">
        <v>0</v>
      </c>
      <c r="V32" s="657">
        <v>0</v>
      </c>
      <c r="W32" s="657">
        <v>0</v>
      </c>
      <c r="X32" s="670">
        <v>0</v>
      </c>
      <c r="Z32" s="279">
        <f>Prop2018DistTar!AV32</f>
        <v>5</v>
      </c>
      <c r="AA32" s="253">
        <f>Prop2018DistTar!AW32</f>
        <v>100000</v>
      </c>
      <c r="AB32" s="253">
        <f>Prop2018DistTar!AX32</f>
        <v>0</v>
      </c>
      <c r="AC32" s="253">
        <f>Prop2018DistTar!AY32</f>
        <v>0</v>
      </c>
      <c r="AD32" s="253">
        <f>Prop2018DistTar!AZ32</f>
        <v>0</v>
      </c>
      <c r="AE32" s="253">
        <f>Prop2018DistTar!BA32</f>
        <v>0</v>
      </c>
      <c r="AF32" s="253">
        <f>Prop2018DistTar!BB32</f>
        <v>0</v>
      </c>
      <c r="AG32" s="253">
        <f>Prop2018DistTar!BC32</f>
        <v>0</v>
      </c>
      <c r="AH32" s="253">
        <f>Prop2018DistTar!BD32</f>
        <v>0</v>
      </c>
      <c r="AI32" s="253">
        <f>Prop2018DistTar!BE32</f>
        <v>0</v>
      </c>
      <c r="AJ32" s="253">
        <f>Prop2018DistTar!BF32</f>
        <v>0</v>
      </c>
      <c r="AK32" s="253">
        <f>Prop2018DistTar!BG32</f>
        <v>130.46314416177432</v>
      </c>
      <c r="AL32" s="253">
        <f>Prop2018DistTar!BH32</f>
        <v>228.31050228310502</v>
      </c>
      <c r="AM32" s="253">
        <f>Prop2018DistTar!BI32</f>
        <v>0</v>
      </c>
      <c r="AN32" s="253">
        <f>Prop2018DistTar!BJ32</f>
        <v>0</v>
      </c>
      <c r="AO32" s="253">
        <f>Prop2018DistTar!BK32</f>
        <v>0</v>
      </c>
      <c r="AP32" s="253">
        <f>Prop2018DistTar!BL32</f>
        <v>0</v>
      </c>
      <c r="AQ32" s="253">
        <f>Prop2018DistTar!BM32</f>
        <v>0</v>
      </c>
      <c r="AR32" s="253">
        <f>Prop2018DistTar!BN32</f>
        <v>0</v>
      </c>
      <c r="AS32" s="253">
        <f>Prop2018DistTar!BO32</f>
        <v>0</v>
      </c>
      <c r="AT32" s="254">
        <f>Prop2018DistTar!BP32</f>
        <v>0</v>
      </c>
      <c r="AV32" s="255">
        <f t="shared" si="4"/>
        <v>0</v>
      </c>
      <c r="AW32" s="224">
        <f t="shared" si="5"/>
        <v>40</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0</v>
      </c>
      <c r="BH32" s="224">
        <f t="shared" si="16"/>
        <v>0</v>
      </c>
      <c r="BI32" s="224">
        <f t="shared" si="17"/>
        <v>0</v>
      </c>
      <c r="BJ32" s="224">
        <f t="shared" si="18"/>
        <v>0</v>
      </c>
      <c r="BK32" s="224">
        <f t="shared" si="19"/>
        <v>0</v>
      </c>
      <c r="BL32" s="224">
        <f t="shared" si="20"/>
        <v>0</v>
      </c>
      <c r="BM32" s="224">
        <f t="shared" si="21"/>
        <v>0</v>
      </c>
      <c r="BN32" s="224">
        <f t="shared" si="22"/>
        <v>0</v>
      </c>
      <c r="BO32" s="224">
        <f t="shared" si="23"/>
        <v>0</v>
      </c>
      <c r="BP32" s="224">
        <f t="shared" si="24"/>
        <v>0</v>
      </c>
      <c r="BQ32" s="257">
        <f t="shared" si="25"/>
        <v>40</v>
      </c>
    </row>
    <row r="33" spans="1:69">
      <c r="A33" s="748" t="str">
        <f>Prop2018DistTar!A33</f>
        <v>CGB</v>
      </c>
      <c r="B33" s="750" t="str">
        <f>Prop2018DistTar!B33</f>
        <v>Non-Residential Bulk Demand Tariff</v>
      </c>
      <c r="C33" s="287"/>
      <c r="D33" s="656">
        <v>0</v>
      </c>
      <c r="E33" s="657">
        <v>0.04</v>
      </c>
      <c r="F33" s="657">
        <v>0</v>
      </c>
      <c r="G33" s="657">
        <v>0</v>
      </c>
      <c r="H33" s="657">
        <v>0</v>
      </c>
      <c r="I33" s="657">
        <v>0</v>
      </c>
      <c r="J33" s="657">
        <v>0</v>
      </c>
      <c r="K33" s="657">
        <v>0</v>
      </c>
      <c r="L33" s="657">
        <v>0</v>
      </c>
      <c r="M33" s="657">
        <v>0</v>
      </c>
      <c r="N33" s="657">
        <v>0</v>
      </c>
      <c r="O33" s="657">
        <v>0</v>
      </c>
      <c r="P33" s="657">
        <v>0</v>
      </c>
      <c r="Q33" s="657">
        <v>0</v>
      </c>
      <c r="R33" s="657">
        <v>0</v>
      </c>
      <c r="S33" s="657">
        <v>0</v>
      </c>
      <c r="T33" s="657">
        <v>0</v>
      </c>
      <c r="U33" s="657">
        <v>0</v>
      </c>
      <c r="V33" s="657">
        <v>0</v>
      </c>
      <c r="W33" s="657">
        <v>0</v>
      </c>
      <c r="X33" s="670">
        <v>0</v>
      </c>
      <c r="Z33" s="279">
        <f>Prop2018DistTar!AV33</f>
        <v>1</v>
      </c>
      <c r="AA33" s="253">
        <f>Prop2018DistTar!AW33</f>
        <v>16000</v>
      </c>
      <c r="AB33" s="253">
        <f>Prop2018DistTar!AX33</f>
        <v>0</v>
      </c>
      <c r="AC33" s="253">
        <f>Prop2018DistTar!AY33</f>
        <v>0</v>
      </c>
      <c r="AD33" s="253">
        <f>Prop2018DistTar!AZ33</f>
        <v>0</v>
      </c>
      <c r="AE33" s="253">
        <f>Prop2018DistTar!BA33</f>
        <v>0</v>
      </c>
      <c r="AF33" s="253">
        <f>Prop2018DistTar!BB33</f>
        <v>0</v>
      </c>
      <c r="AG33" s="253">
        <f>Prop2018DistTar!BC33</f>
        <v>0</v>
      </c>
      <c r="AH33" s="253">
        <f>Prop2018DistTar!BD33</f>
        <v>0</v>
      </c>
      <c r="AI33" s="253">
        <f>Prop2018DistTar!BE33</f>
        <v>0</v>
      </c>
      <c r="AJ33" s="253">
        <f>Prop2018DistTar!BF33</f>
        <v>0</v>
      </c>
      <c r="AK33" s="253">
        <f>Prop2018DistTar!BG33</f>
        <v>20.874103065883887</v>
      </c>
      <c r="AL33" s="253">
        <f>Prop2018DistTar!BH33</f>
        <v>36.529680365296798</v>
      </c>
      <c r="AM33" s="253">
        <f>Prop2018DistTar!BI33</f>
        <v>0</v>
      </c>
      <c r="AN33" s="253">
        <f>Prop2018DistTar!BJ33</f>
        <v>0</v>
      </c>
      <c r="AO33" s="253">
        <f>Prop2018DistTar!BK33</f>
        <v>0</v>
      </c>
      <c r="AP33" s="253">
        <f>Prop2018DistTar!BL33</f>
        <v>0</v>
      </c>
      <c r="AQ33" s="253">
        <f>Prop2018DistTar!BM33</f>
        <v>0</v>
      </c>
      <c r="AR33" s="253">
        <f>Prop2018DistTar!BN33</f>
        <v>0</v>
      </c>
      <c r="AS33" s="253">
        <f>Prop2018DistTar!BO33</f>
        <v>0</v>
      </c>
      <c r="AT33" s="254">
        <f>Prop2018DistTar!BP33</f>
        <v>0</v>
      </c>
      <c r="AV33" s="255">
        <f t="shared" si="4"/>
        <v>0</v>
      </c>
      <c r="AW33" s="224">
        <f t="shared" si="5"/>
        <v>6.4</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24">
        <f t="shared" si="17"/>
        <v>0</v>
      </c>
      <c r="BJ33" s="224">
        <f t="shared" si="18"/>
        <v>0</v>
      </c>
      <c r="BK33" s="224">
        <f t="shared" si="19"/>
        <v>0</v>
      </c>
      <c r="BL33" s="224">
        <f t="shared" si="20"/>
        <v>0</v>
      </c>
      <c r="BM33" s="224">
        <f t="shared" si="21"/>
        <v>0</v>
      </c>
      <c r="BN33" s="224">
        <f t="shared" si="22"/>
        <v>0</v>
      </c>
      <c r="BO33" s="224">
        <f t="shared" si="23"/>
        <v>0</v>
      </c>
      <c r="BP33" s="224">
        <f t="shared" si="24"/>
        <v>0</v>
      </c>
      <c r="BQ33" s="257">
        <f t="shared" si="25"/>
        <v>6.4</v>
      </c>
    </row>
    <row r="34" spans="1:69">
      <c r="A34" s="748" t="str">
        <f>Prop2018DistTar!A34</f>
        <v>CMG</v>
      </c>
      <c r="B34" s="750" t="str">
        <f>Prop2018DistTar!B34</f>
        <v>Medium Business Demand</v>
      </c>
      <c r="C34" s="287"/>
      <c r="D34" s="656">
        <v>0</v>
      </c>
      <c r="E34" s="657">
        <v>0</v>
      </c>
      <c r="F34" s="657">
        <v>0.04</v>
      </c>
      <c r="G34" s="657">
        <v>0</v>
      </c>
      <c r="H34" s="657">
        <v>0</v>
      </c>
      <c r="I34" s="657">
        <v>0.04</v>
      </c>
      <c r="J34" s="657">
        <v>0</v>
      </c>
      <c r="K34" s="657">
        <v>0</v>
      </c>
      <c r="L34" s="657">
        <v>0</v>
      </c>
      <c r="M34" s="657">
        <v>0</v>
      </c>
      <c r="N34" s="657">
        <v>0</v>
      </c>
      <c r="O34" s="657">
        <v>0</v>
      </c>
      <c r="P34" s="657">
        <v>0</v>
      </c>
      <c r="Q34" s="657">
        <v>0</v>
      </c>
      <c r="R34" s="657">
        <v>0</v>
      </c>
      <c r="S34" s="657">
        <v>0</v>
      </c>
      <c r="T34" s="657">
        <v>0</v>
      </c>
      <c r="U34" s="657">
        <v>0</v>
      </c>
      <c r="V34" s="657">
        <v>0</v>
      </c>
      <c r="W34" s="657">
        <v>0</v>
      </c>
      <c r="X34" s="670">
        <v>0</v>
      </c>
      <c r="Z34" s="279">
        <f>Prop2018DistTar!AV34</f>
        <v>4454.7584285325547</v>
      </c>
      <c r="AA34" s="253">
        <f>Prop2018DistTar!AW34</f>
        <v>0</v>
      </c>
      <c r="AB34" s="253">
        <f>Prop2018DistTar!AX34</f>
        <v>385749824.48949713</v>
      </c>
      <c r="AC34" s="253">
        <f>Prop2018DistTar!AY34</f>
        <v>0</v>
      </c>
      <c r="AD34" s="253">
        <f>Prop2018DistTar!AZ34</f>
        <v>0</v>
      </c>
      <c r="AE34" s="253">
        <f>Prop2018DistTar!BA34</f>
        <v>237077602.25050065</v>
      </c>
      <c r="AF34" s="253">
        <f>Prop2018DistTar!BB34</f>
        <v>0</v>
      </c>
      <c r="AG34" s="253">
        <f>Prop2018DistTar!BC34</f>
        <v>0</v>
      </c>
      <c r="AH34" s="253">
        <f>Prop2018DistTar!BD34</f>
        <v>0</v>
      </c>
      <c r="AI34" s="253">
        <f>Prop2018DistTar!BE34</f>
        <v>0</v>
      </c>
      <c r="AJ34" s="253">
        <f>Prop2018DistTar!BF34</f>
        <v>0</v>
      </c>
      <c r="AK34" s="253">
        <f>Prop2018DistTar!BG34</f>
        <v>764494.43950180197</v>
      </c>
      <c r="AL34" s="253">
        <f>Prop2018DistTar!BH34</f>
        <v>1326085.1464115628</v>
      </c>
      <c r="AM34" s="253">
        <f>Prop2018DistTar!BI34</f>
        <v>0</v>
      </c>
      <c r="AN34" s="253">
        <f>Prop2018DistTar!BJ34</f>
        <v>0</v>
      </c>
      <c r="AO34" s="253">
        <f>Prop2018DistTar!BK34</f>
        <v>0</v>
      </c>
      <c r="AP34" s="253">
        <f>Prop2018DistTar!BL34</f>
        <v>0</v>
      </c>
      <c r="AQ34" s="253">
        <f>Prop2018DistTar!BM34</f>
        <v>0</v>
      </c>
      <c r="AR34" s="253">
        <f>Prop2018DistTar!BN34</f>
        <v>0</v>
      </c>
      <c r="AS34" s="253">
        <f>Prop2018DistTar!BO34</f>
        <v>0</v>
      </c>
      <c r="AT34" s="254">
        <f>Prop2018DistTar!BP34</f>
        <v>0</v>
      </c>
      <c r="AV34" s="255">
        <f t="shared" si="4"/>
        <v>0</v>
      </c>
      <c r="AW34" s="224">
        <f t="shared" si="5"/>
        <v>0</v>
      </c>
      <c r="AX34" s="224">
        <f t="shared" si="6"/>
        <v>154299.92979579885</v>
      </c>
      <c r="AY34" s="224">
        <f t="shared" si="7"/>
        <v>0</v>
      </c>
      <c r="AZ34" s="224">
        <f t="shared" si="8"/>
        <v>0</v>
      </c>
      <c r="BA34" s="224">
        <f t="shared" si="9"/>
        <v>94831.040900200271</v>
      </c>
      <c r="BB34" s="224">
        <f t="shared" si="10"/>
        <v>0</v>
      </c>
      <c r="BC34" s="224">
        <f t="shared" si="11"/>
        <v>0</v>
      </c>
      <c r="BD34" s="224">
        <f t="shared" si="12"/>
        <v>0</v>
      </c>
      <c r="BE34" s="224">
        <f t="shared" si="13"/>
        <v>0</v>
      </c>
      <c r="BF34" s="224">
        <f t="shared" si="14"/>
        <v>0</v>
      </c>
      <c r="BG34" s="224">
        <f t="shared" si="15"/>
        <v>0</v>
      </c>
      <c r="BH34" s="224">
        <f t="shared" si="16"/>
        <v>0</v>
      </c>
      <c r="BI34" s="224">
        <f t="shared" si="17"/>
        <v>0</v>
      </c>
      <c r="BJ34" s="224">
        <f t="shared" si="18"/>
        <v>0</v>
      </c>
      <c r="BK34" s="224">
        <f t="shared" si="19"/>
        <v>0</v>
      </c>
      <c r="BL34" s="224">
        <f t="shared" si="20"/>
        <v>0</v>
      </c>
      <c r="BM34" s="224">
        <f t="shared" si="21"/>
        <v>0</v>
      </c>
      <c r="BN34" s="224">
        <f t="shared" si="22"/>
        <v>0</v>
      </c>
      <c r="BO34" s="224">
        <f t="shared" si="23"/>
        <v>0</v>
      </c>
      <c r="BP34" s="224">
        <f t="shared" si="24"/>
        <v>0</v>
      </c>
      <c r="BQ34" s="257">
        <f t="shared" si="25"/>
        <v>249130.9706959991</v>
      </c>
    </row>
    <row r="35" spans="1:69">
      <c r="A35" s="748" t="str">
        <f>Prop2018DistTar!A35</f>
        <v>CMGB</v>
      </c>
      <c r="B35" s="750" t="str">
        <f>Prop2018DistTar!B35</f>
        <v>Medium Business Bulk Demand</v>
      </c>
      <c r="C35" s="287"/>
      <c r="D35" s="656">
        <v>0</v>
      </c>
      <c r="E35" s="657">
        <v>0</v>
      </c>
      <c r="F35" s="657">
        <v>0.04</v>
      </c>
      <c r="G35" s="657">
        <v>0</v>
      </c>
      <c r="H35" s="657">
        <v>0</v>
      </c>
      <c r="I35" s="657">
        <v>0.04</v>
      </c>
      <c r="J35" s="657">
        <v>0</v>
      </c>
      <c r="K35" s="657">
        <v>0</v>
      </c>
      <c r="L35" s="657">
        <v>0</v>
      </c>
      <c r="M35" s="657">
        <v>0</v>
      </c>
      <c r="N35" s="657">
        <v>0</v>
      </c>
      <c r="O35" s="657">
        <v>0</v>
      </c>
      <c r="P35" s="657">
        <v>0</v>
      </c>
      <c r="Q35" s="657">
        <v>0</v>
      </c>
      <c r="R35" s="657">
        <v>0</v>
      </c>
      <c r="S35" s="657">
        <v>0</v>
      </c>
      <c r="T35" s="657">
        <v>0</v>
      </c>
      <c r="U35" s="657">
        <v>0</v>
      </c>
      <c r="V35" s="657">
        <v>0</v>
      </c>
      <c r="W35" s="657">
        <v>0</v>
      </c>
      <c r="X35" s="670">
        <v>0</v>
      </c>
      <c r="Z35" s="279">
        <f>Prop2018DistTar!AV35</f>
        <v>2142.0682091572939</v>
      </c>
      <c r="AA35" s="253">
        <f>Prop2018DistTar!AW35</f>
        <v>0</v>
      </c>
      <c r="AB35" s="253">
        <f>Prop2018DistTar!AX35</f>
        <v>263482333.82347772</v>
      </c>
      <c r="AC35" s="253">
        <f>Prop2018DistTar!AY35</f>
        <v>0</v>
      </c>
      <c r="AD35" s="253">
        <f>Prop2018DistTar!AZ35</f>
        <v>0</v>
      </c>
      <c r="AE35" s="253">
        <f>Prop2018DistTar!BA35</f>
        <v>158002594.57150719</v>
      </c>
      <c r="AF35" s="253">
        <f>Prop2018DistTar!BB35</f>
        <v>0</v>
      </c>
      <c r="AG35" s="253">
        <f>Prop2018DistTar!BC35</f>
        <v>0</v>
      </c>
      <c r="AH35" s="253">
        <f>Prop2018DistTar!BD35</f>
        <v>0</v>
      </c>
      <c r="AI35" s="253">
        <f>Prop2018DistTar!BE35</f>
        <v>0</v>
      </c>
      <c r="AJ35" s="253">
        <f>Prop2018DistTar!BF35</f>
        <v>0</v>
      </c>
      <c r="AK35" s="253">
        <f>Prop2018DistTar!BG35</f>
        <v>523965.08847416606</v>
      </c>
      <c r="AL35" s="253">
        <f>Prop2018DistTar!BH35</f>
        <v>850358.31944324356</v>
      </c>
      <c r="AM35" s="253">
        <f>Prop2018DistTar!BI35</f>
        <v>0</v>
      </c>
      <c r="AN35" s="253">
        <f>Prop2018DistTar!BJ35</f>
        <v>0</v>
      </c>
      <c r="AO35" s="253">
        <f>Prop2018DistTar!BK35</f>
        <v>0</v>
      </c>
      <c r="AP35" s="253">
        <f>Prop2018DistTar!BL35</f>
        <v>0</v>
      </c>
      <c r="AQ35" s="253">
        <f>Prop2018DistTar!BM35</f>
        <v>0</v>
      </c>
      <c r="AR35" s="253">
        <f>Prop2018DistTar!BN35</f>
        <v>0</v>
      </c>
      <c r="AS35" s="253">
        <f>Prop2018DistTar!BO35</f>
        <v>0</v>
      </c>
      <c r="AT35" s="254">
        <f>Prop2018DistTar!BP35</f>
        <v>0</v>
      </c>
      <c r="AV35" s="255">
        <f t="shared" si="4"/>
        <v>0</v>
      </c>
      <c r="AW35" s="224">
        <f t="shared" si="5"/>
        <v>0</v>
      </c>
      <c r="AX35" s="224">
        <f t="shared" si="6"/>
        <v>105392.93352939108</v>
      </c>
      <c r="AY35" s="224">
        <f t="shared" si="7"/>
        <v>0</v>
      </c>
      <c r="AZ35" s="224">
        <f t="shared" si="8"/>
        <v>0</v>
      </c>
      <c r="BA35" s="224">
        <f t="shared" si="9"/>
        <v>63201.037828602879</v>
      </c>
      <c r="BB35" s="224">
        <f t="shared" si="10"/>
        <v>0</v>
      </c>
      <c r="BC35" s="224">
        <f t="shared" si="11"/>
        <v>0</v>
      </c>
      <c r="BD35" s="224">
        <f t="shared" si="12"/>
        <v>0</v>
      </c>
      <c r="BE35" s="224">
        <f t="shared" si="13"/>
        <v>0</v>
      </c>
      <c r="BF35" s="224">
        <f t="shared" si="14"/>
        <v>0</v>
      </c>
      <c r="BG35" s="224">
        <f t="shared" si="15"/>
        <v>0</v>
      </c>
      <c r="BH35" s="224">
        <f t="shared" si="16"/>
        <v>0</v>
      </c>
      <c r="BI35" s="224">
        <f t="shared" si="17"/>
        <v>0</v>
      </c>
      <c r="BJ35" s="224">
        <f t="shared" si="18"/>
        <v>0</v>
      </c>
      <c r="BK35" s="224">
        <f t="shared" si="19"/>
        <v>0</v>
      </c>
      <c r="BL35" s="224">
        <f t="shared" si="20"/>
        <v>0</v>
      </c>
      <c r="BM35" s="224">
        <f t="shared" si="21"/>
        <v>0</v>
      </c>
      <c r="BN35" s="224">
        <f t="shared" si="22"/>
        <v>0</v>
      </c>
      <c r="BO35" s="224">
        <f t="shared" si="23"/>
        <v>0</v>
      </c>
      <c r="BP35" s="224">
        <f t="shared" si="24"/>
        <v>0</v>
      </c>
      <c r="BQ35" s="257">
        <f t="shared" si="25"/>
        <v>168593.97135799396</v>
      </c>
    </row>
    <row r="36" spans="1:69">
      <c r="A36" s="748" t="str">
        <f>Prop2018DistTar!A36</f>
        <v>CMGO</v>
      </c>
      <c r="B36" s="750" t="str">
        <f>Prop2018DistTar!B36</f>
        <v>Medium Business Opt-out</v>
      </c>
      <c r="C36" s="287"/>
      <c r="D36" s="656">
        <v>0</v>
      </c>
      <c r="E36" s="657">
        <v>0</v>
      </c>
      <c r="F36" s="657">
        <v>0.04</v>
      </c>
      <c r="G36" s="657">
        <v>0</v>
      </c>
      <c r="H36" s="657">
        <v>0</v>
      </c>
      <c r="I36" s="657">
        <v>0.04</v>
      </c>
      <c r="J36" s="657">
        <v>0</v>
      </c>
      <c r="K36" s="657">
        <v>0</v>
      </c>
      <c r="L36" s="657">
        <v>0</v>
      </c>
      <c r="M36" s="657">
        <v>0</v>
      </c>
      <c r="N36" s="657">
        <v>0</v>
      </c>
      <c r="O36" s="657">
        <v>0</v>
      </c>
      <c r="P36" s="657">
        <v>0</v>
      </c>
      <c r="Q36" s="657">
        <v>0</v>
      </c>
      <c r="R36" s="657">
        <v>0</v>
      </c>
      <c r="S36" s="657">
        <v>0</v>
      </c>
      <c r="T36" s="657">
        <v>0</v>
      </c>
      <c r="U36" s="657">
        <v>0</v>
      </c>
      <c r="V36" s="657">
        <v>0</v>
      </c>
      <c r="W36" s="657">
        <v>0</v>
      </c>
      <c r="X36" s="670">
        <v>0</v>
      </c>
      <c r="Z36" s="279">
        <f>Prop2018DistTar!AV36</f>
        <v>9</v>
      </c>
      <c r="AA36" s="253">
        <f>Prop2018DistTar!AW36</f>
        <v>0</v>
      </c>
      <c r="AB36" s="253">
        <f>Prop2018DistTar!AX36</f>
        <v>502552.90570333629</v>
      </c>
      <c r="AC36" s="253">
        <f>Prop2018DistTar!AY36</f>
        <v>0</v>
      </c>
      <c r="AD36" s="253">
        <f>Prop2018DistTar!AZ36</f>
        <v>0</v>
      </c>
      <c r="AE36" s="253">
        <f>Prop2018DistTar!BA36</f>
        <v>301011.28230802208</v>
      </c>
      <c r="AF36" s="253">
        <f>Prop2018DistTar!BB36</f>
        <v>0</v>
      </c>
      <c r="AG36" s="253">
        <f>Prop2018DistTar!BC36</f>
        <v>0</v>
      </c>
      <c r="AH36" s="253">
        <f>Prop2018DistTar!BD36</f>
        <v>0</v>
      </c>
      <c r="AI36" s="253">
        <f>Prop2018DistTar!BE36</f>
        <v>0</v>
      </c>
      <c r="AJ36" s="253">
        <f>Prop2018DistTar!BF36</f>
        <v>0</v>
      </c>
      <c r="AK36" s="253">
        <f>Prop2018DistTar!BG36</f>
        <v>0</v>
      </c>
      <c r="AL36" s="253">
        <f>Prop2018DistTar!BH36</f>
        <v>0</v>
      </c>
      <c r="AM36" s="253">
        <f>Prop2018DistTar!BI36</f>
        <v>0</v>
      </c>
      <c r="AN36" s="253">
        <f>Prop2018DistTar!BJ36</f>
        <v>0</v>
      </c>
      <c r="AO36" s="253">
        <f>Prop2018DistTar!BK36</f>
        <v>0</v>
      </c>
      <c r="AP36" s="253">
        <f>Prop2018DistTar!BL36</f>
        <v>0</v>
      </c>
      <c r="AQ36" s="253">
        <f>Prop2018DistTar!BM36</f>
        <v>0</v>
      </c>
      <c r="AR36" s="253">
        <f>Prop2018DistTar!BN36</f>
        <v>0</v>
      </c>
      <c r="AS36" s="253">
        <f>Prop2018DistTar!BO36</f>
        <v>0</v>
      </c>
      <c r="AT36" s="254">
        <f>Prop2018DistTar!BP36</f>
        <v>0</v>
      </c>
      <c r="AV36" s="255">
        <f t="shared" si="4"/>
        <v>0</v>
      </c>
      <c r="AW36" s="224">
        <f t="shared" si="5"/>
        <v>0</v>
      </c>
      <c r="AX36" s="224">
        <f t="shared" si="6"/>
        <v>201.02116228133454</v>
      </c>
      <c r="AY36" s="224">
        <f t="shared" si="7"/>
        <v>0</v>
      </c>
      <c r="AZ36" s="224">
        <f t="shared" si="8"/>
        <v>0</v>
      </c>
      <c r="BA36" s="224">
        <f t="shared" si="9"/>
        <v>120.40451292320884</v>
      </c>
      <c r="BB36" s="224">
        <f t="shared" si="10"/>
        <v>0</v>
      </c>
      <c r="BC36" s="224">
        <f t="shared" si="11"/>
        <v>0</v>
      </c>
      <c r="BD36" s="224">
        <f t="shared" si="12"/>
        <v>0</v>
      </c>
      <c r="BE36" s="224">
        <f t="shared" si="13"/>
        <v>0</v>
      </c>
      <c r="BF36" s="224">
        <f t="shared" si="14"/>
        <v>0</v>
      </c>
      <c r="BG36" s="224">
        <f t="shared" si="15"/>
        <v>0</v>
      </c>
      <c r="BH36" s="224">
        <f t="shared" si="16"/>
        <v>0</v>
      </c>
      <c r="BI36" s="224">
        <f t="shared" si="17"/>
        <v>0</v>
      </c>
      <c r="BJ36" s="224">
        <f t="shared" si="18"/>
        <v>0</v>
      </c>
      <c r="BK36" s="224">
        <f t="shared" si="19"/>
        <v>0</v>
      </c>
      <c r="BL36" s="224">
        <f t="shared" si="20"/>
        <v>0</v>
      </c>
      <c r="BM36" s="224">
        <f t="shared" si="21"/>
        <v>0</v>
      </c>
      <c r="BN36" s="224">
        <f t="shared" si="22"/>
        <v>0</v>
      </c>
      <c r="BO36" s="224">
        <f t="shared" si="23"/>
        <v>0</v>
      </c>
      <c r="BP36" s="224">
        <f t="shared" si="24"/>
        <v>0</v>
      </c>
      <c r="BQ36" s="257">
        <f t="shared" si="25"/>
        <v>321.42567520454338</v>
      </c>
    </row>
    <row r="37" spans="1:69">
      <c r="A37" s="748" t="str">
        <f>Prop2018DistTar!A37</f>
        <v>CMGBO</v>
      </c>
      <c r="B37" s="750" t="str">
        <f>Prop2018DistTar!B37</f>
        <v>Medium Business Bulk Opt-out</v>
      </c>
      <c r="C37" s="287"/>
      <c r="D37" s="656">
        <v>0</v>
      </c>
      <c r="E37" s="657">
        <v>0</v>
      </c>
      <c r="F37" s="657">
        <v>0.04</v>
      </c>
      <c r="G37" s="657">
        <v>0</v>
      </c>
      <c r="H37" s="657">
        <v>0</v>
      </c>
      <c r="I37" s="657">
        <v>0.04</v>
      </c>
      <c r="J37" s="657">
        <v>0</v>
      </c>
      <c r="K37" s="657">
        <v>0</v>
      </c>
      <c r="L37" s="657">
        <v>0</v>
      </c>
      <c r="M37" s="657">
        <v>0</v>
      </c>
      <c r="N37" s="657">
        <v>0</v>
      </c>
      <c r="O37" s="657">
        <v>0</v>
      </c>
      <c r="P37" s="657">
        <v>0</v>
      </c>
      <c r="Q37" s="657">
        <v>0</v>
      </c>
      <c r="R37" s="657">
        <v>0</v>
      </c>
      <c r="S37" s="657">
        <v>0</v>
      </c>
      <c r="T37" s="657">
        <v>0</v>
      </c>
      <c r="U37" s="657">
        <v>0</v>
      </c>
      <c r="V37" s="657">
        <v>0</v>
      </c>
      <c r="W37" s="657">
        <v>0</v>
      </c>
      <c r="X37" s="670">
        <v>0</v>
      </c>
      <c r="Z37" s="279">
        <f>Prop2018DistTar!AV37</f>
        <v>9</v>
      </c>
      <c r="AA37" s="253">
        <f>Prop2018DistTar!AW37</f>
        <v>0</v>
      </c>
      <c r="AB37" s="253">
        <f>Prop2018DistTar!AX37</f>
        <v>560828.84227428387</v>
      </c>
      <c r="AC37" s="253">
        <f>Prop2018DistTar!AY37</f>
        <v>0</v>
      </c>
      <c r="AD37" s="253">
        <f>Prop2018DistTar!AZ37</f>
        <v>0</v>
      </c>
      <c r="AE37" s="253">
        <f>Prop2018DistTar!BA37</f>
        <v>293112.81138169364</v>
      </c>
      <c r="AF37" s="253">
        <f>Prop2018DistTar!BB37</f>
        <v>0</v>
      </c>
      <c r="AG37" s="253">
        <f>Prop2018DistTar!BC37</f>
        <v>0</v>
      </c>
      <c r="AH37" s="253">
        <f>Prop2018DistTar!BD37</f>
        <v>0</v>
      </c>
      <c r="AI37" s="253">
        <f>Prop2018DistTar!BE37</f>
        <v>0</v>
      </c>
      <c r="AJ37" s="253">
        <f>Prop2018DistTar!BF37</f>
        <v>0</v>
      </c>
      <c r="AK37" s="253">
        <f>Prop2018DistTar!BG37</f>
        <v>0</v>
      </c>
      <c r="AL37" s="253">
        <f>Prop2018DistTar!BH37</f>
        <v>0</v>
      </c>
      <c r="AM37" s="253">
        <f>Prop2018DistTar!BI37</f>
        <v>0</v>
      </c>
      <c r="AN37" s="253">
        <f>Prop2018DistTar!BJ37</f>
        <v>0</v>
      </c>
      <c r="AO37" s="253">
        <f>Prop2018DistTar!BK37</f>
        <v>0</v>
      </c>
      <c r="AP37" s="253">
        <f>Prop2018DistTar!BL37</f>
        <v>0</v>
      </c>
      <c r="AQ37" s="253">
        <f>Prop2018DistTar!BM37</f>
        <v>0</v>
      </c>
      <c r="AR37" s="253">
        <f>Prop2018DistTar!BN37</f>
        <v>0</v>
      </c>
      <c r="AS37" s="253">
        <f>Prop2018DistTar!BO37</f>
        <v>0</v>
      </c>
      <c r="AT37" s="254">
        <f>Prop2018DistTar!BP37</f>
        <v>0</v>
      </c>
      <c r="AV37" s="255">
        <f t="shared" si="4"/>
        <v>0</v>
      </c>
      <c r="AW37" s="224">
        <f t="shared" si="5"/>
        <v>0</v>
      </c>
      <c r="AX37" s="224">
        <f t="shared" si="6"/>
        <v>224.33153690971355</v>
      </c>
      <c r="AY37" s="224">
        <f t="shared" si="7"/>
        <v>0</v>
      </c>
      <c r="AZ37" s="224">
        <f t="shared" si="8"/>
        <v>0</v>
      </c>
      <c r="BA37" s="224">
        <f t="shared" si="9"/>
        <v>117.24512455267747</v>
      </c>
      <c r="BB37" s="224">
        <f t="shared" si="10"/>
        <v>0</v>
      </c>
      <c r="BC37" s="224">
        <f t="shared" si="11"/>
        <v>0</v>
      </c>
      <c r="BD37" s="224">
        <f t="shared" si="12"/>
        <v>0</v>
      </c>
      <c r="BE37" s="224">
        <f t="shared" si="13"/>
        <v>0</v>
      </c>
      <c r="BF37" s="224">
        <f t="shared" si="14"/>
        <v>0</v>
      </c>
      <c r="BG37" s="224">
        <f t="shared" si="15"/>
        <v>0</v>
      </c>
      <c r="BH37" s="224">
        <f t="shared" si="16"/>
        <v>0</v>
      </c>
      <c r="BI37" s="224">
        <f t="shared" si="17"/>
        <v>0</v>
      </c>
      <c r="BJ37" s="224">
        <f t="shared" si="18"/>
        <v>0</v>
      </c>
      <c r="BK37" s="224">
        <f t="shared" si="19"/>
        <v>0</v>
      </c>
      <c r="BL37" s="224">
        <f t="shared" si="20"/>
        <v>0</v>
      </c>
      <c r="BM37" s="224">
        <f t="shared" si="21"/>
        <v>0</v>
      </c>
      <c r="BN37" s="224">
        <f t="shared" si="22"/>
        <v>0</v>
      </c>
      <c r="BO37" s="224">
        <f t="shared" si="23"/>
        <v>0</v>
      </c>
      <c r="BP37" s="224">
        <f t="shared" si="24"/>
        <v>0</v>
      </c>
      <c r="BQ37" s="257">
        <f t="shared" si="25"/>
        <v>341.57666146239103</v>
      </c>
    </row>
    <row r="38" spans="1:69">
      <c r="A38" s="748" t="str">
        <f>Prop2018DistTar!A38</f>
        <v>C2U</v>
      </c>
      <c r="B38" s="750" t="str">
        <f>Prop2018DistTar!B38</f>
        <v>Unmetered Supplies / Public Lighting</v>
      </c>
      <c r="C38" s="287"/>
      <c r="D38" s="656">
        <v>0</v>
      </c>
      <c r="E38" s="657">
        <v>0</v>
      </c>
      <c r="F38" s="657">
        <v>0.04</v>
      </c>
      <c r="G38" s="657">
        <v>0</v>
      </c>
      <c r="H38" s="657">
        <v>0</v>
      </c>
      <c r="I38" s="657">
        <v>0.04</v>
      </c>
      <c r="J38" s="657">
        <v>0</v>
      </c>
      <c r="K38" s="657">
        <v>0</v>
      </c>
      <c r="L38" s="657">
        <v>0</v>
      </c>
      <c r="M38" s="657">
        <v>0</v>
      </c>
      <c r="N38" s="657">
        <v>0</v>
      </c>
      <c r="O38" s="657">
        <v>0</v>
      </c>
      <c r="P38" s="657">
        <v>0</v>
      </c>
      <c r="Q38" s="657">
        <v>0</v>
      </c>
      <c r="R38" s="657">
        <v>0</v>
      </c>
      <c r="S38" s="657">
        <v>0</v>
      </c>
      <c r="T38" s="657">
        <v>0</v>
      </c>
      <c r="U38" s="657">
        <v>0</v>
      </c>
      <c r="V38" s="657">
        <v>0</v>
      </c>
      <c r="W38" s="657">
        <v>0</v>
      </c>
      <c r="X38" s="670">
        <v>0</v>
      </c>
      <c r="Z38" s="279">
        <f>Prop2018DistTar!AV38</f>
        <v>4063</v>
      </c>
      <c r="AA38" s="253">
        <f>Prop2018DistTar!AW38</f>
        <v>0</v>
      </c>
      <c r="AB38" s="253">
        <f>Prop2018DistTar!AX38</f>
        <v>14704755.161692999</v>
      </c>
      <c r="AC38" s="253">
        <f>Prop2018DistTar!AY38</f>
        <v>0</v>
      </c>
      <c r="AD38" s="253">
        <f>Prop2018DistTar!AZ38</f>
        <v>0</v>
      </c>
      <c r="AE38" s="253">
        <f>Prop2018DistTar!BA38</f>
        <v>24328971.636999998</v>
      </c>
      <c r="AF38" s="253">
        <f>Prop2018DistTar!BB38</f>
        <v>0</v>
      </c>
      <c r="AG38" s="253">
        <f>Prop2018DistTar!BC38</f>
        <v>0</v>
      </c>
      <c r="AH38" s="253">
        <f>Prop2018DistTar!BD38</f>
        <v>0</v>
      </c>
      <c r="AI38" s="253">
        <f>Prop2018DistTar!BE38</f>
        <v>0</v>
      </c>
      <c r="AJ38" s="253">
        <f>Prop2018DistTar!BF38</f>
        <v>0</v>
      </c>
      <c r="AK38" s="253">
        <f>Prop2018DistTar!BG38</f>
        <v>0</v>
      </c>
      <c r="AL38" s="253">
        <f>Prop2018DistTar!BH38</f>
        <v>0</v>
      </c>
      <c r="AM38" s="253">
        <f>Prop2018DistTar!BI38</f>
        <v>0</v>
      </c>
      <c r="AN38" s="253">
        <f>Prop2018DistTar!BJ38</f>
        <v>0</v>
      </c>
      <c r="AO38" s="253">
        <f>Prop2018DistTar!BK38</f>
        <v>0</v>
      </c>
      <c r="AP38" s="253">
        <f>Prop2018DistTar!BL38</f>
        <v>0</v>
      </c>
      <c r="AQ38" s="253">
        <f>Prop2018DistTar!BM38</f>
        <v>0</v>
      </c>
      <c r="AR38" s="253">
        <f>Prop2018DistTar!BN38</f>
        <v>0</v>
      </c>
      <c r="AS38" s="253">
        <f>Prop2018DistTar!BO38</f>
        <v>0</v>
      </c>
      <c r="AT38" s="254">
        <f>Prop2018DistTar!BP38</f>
        <v>0</v>
      </c>
      <c r="AV38" s="255">
        <f t="shared" si="4"/>
        <v>0</v>
      </c>
      <c r="AW38" s="224">
        <f t="shared" si="5"/>
        <v>0</v>
      </c>
      <c r="AX38" s="224">
        <f t="shared" si="6"/>
        <v>5881.9020646771996</v>
      </c>
      <c r="AY38" s="224">
        <f t="shared" si="7"/>
        <v>0</v>
      </c>
      <c r="AZ38" s="224">
        <f t="shared" si="8"/>
        <v>0</v>
      </c>
      <c r="BA38" s="224">
        <f t="shared" si="9"/>
        <v>9731.5886547999999</v>
      </c>
      <c r="BB38" s="224">
        <f t="shared" si="10"/>
        <v>0</v>
      </c>
      <c r="BC38" s="224">
        <f t="shared" si="11"/>
        <v>0</v>
      </c>
      <c r="BD38" s="224">
        <f t="shared" si="12"/>
        <v>0</v>
      </c>
      <c r="BE38" s="224">
        <f t="shared" si="13"/>
        <v>0</v>
      </c>
      <c r="BF38" s="224">
        <f t="shared" si="14"/>
        <v>0</v>
      </c>
      <c r="BG38" s="224">
        <f t="shared" si="15"/>
        <v>0</v>
      </c>
      <c r="BH38" s="224">
        <f t="shared" si="16"/>
        <v>0</v>
      </c>
      <c r="BI38" s="224">
        <f t="shared" si="17"/>
        <v>0</v>
      </c>
      <c r="BJ38" s="224">
        <f t="shared" si="18"/>
        <v>0</v>
      </c>
      <c r="BK38" s="224">
        <f t="shared" si="19"/>
        <v>0</v>
      </c>
      <c r="BL38" s="224">
        <f t="shared" si="20"/>
        <v>0</v>
      </c>
      <c r="BM38" s="224">
        <f t="shared" si="21"/>
        <v>0</v>
      </c>
      <c r="BN38" s="224">
        <f t="shared" si="22"/>
        <v>0</v>
      </c>
      <c r="BO38" s="224">
        <f t="shared" si="23"/>
        <v>0</v>
      </c>
      <c r="BP38" s="224">
        <f t="shared" si="24"/>
        <v>0</v>
      </c>
      <c r="BQ38" s="257">
        <f t="shared" si="25"/>
        <v>15613.490719477199</v>
      </c>
    </row>
    <row r="39" spans="1:69">
      <c r="A39" s="748" t="str">
        <f>Prop2018DistTar!A39</f>
        <v>CLLV</v>
      </c>
      <c r="B39" s="750" t="str">
        <f>Prop2018DistTar!B39</f>
        <v>Large low Voltage</v>
      </c>
      <c r="C39" s="287"/>
      <c r="D39" s="656">
        <v>0</v>
      </c>
      <c r="E39" s="657">
        <v>0</v>
      </c>
      <c r="F39" s="657">
        <v>0.04</v>
      </c>
      <c r="G39" s="657">
        <v>0</v>
      </c>
      <c r="H39" s="657">
        <v>0</v>
      </c>
      <c r="I39" s="657">
        <v>0.04</v>
      </c>
      <c r="J39" s="657">
        <v>0</v>
      </c>
      <c r="K39" s="657">
        <v>0</v>
      </c>
      <c r="L39" s="657">
        <v>0</v>
      </c>
      <c r="M39" s="657">
        <v>0</v>
      </c>
      <c r="N39" s="657">
        <v>0</v>
      </c>
      <c r="O39" s="657">
        <v>0</v>
      </c>
      <c r="P39" s="657">
        <v>0</v>
      </c>
      <c r="Q39" s="657">
        <v>0</v>
      </c>
      <c r="R39" s="657">
        <v>0</v>
      </c>
      <c r="S39" s="657">
        <v>0</v>
      </c>
      <c r="T39" s="657">
        <v>0</v>
      </c>
      <c r="U39" s="657">
        <v>0</v>
      </c>
      <c r="V39" s="657">
        <v>0</v>
      </c>
      <c r="W39" s="657">
        <v>0</v>
      </c>
      <c r="X39" s="670">
        <v>0</v>
      </c>
      <c r="Z39" s="279">
        <f>Prop2018DistTar!AV39</f>
        <v>330.02895782458518</v>
      </c>
      <c r="AA39" s="253">
        <f>Prop2018DistTar!AW39</f>
        <v>0</v>
      </c>
      <c r="AB39" s="253">
        <f>Prop2018DistTar!AX39</f>
        <v>112861608.3435501</v>
      </c>
      <c r="AC39" s="253">
        <f>Prop2018DistTar!AY39</f>
        <v>0</v>
      </c>
      <c r="AD39" s="253">
        <f>Prop2018DistTar!AZ39</f>
        <v>0</v>
      </c>
      <c r="AE39" s="253">
        <f>Prop2018DistTar!BA39</f>
        <v>88751320.906778917</v>
      </c>
      <c r="AF39" s="253">
        <f>Prop2018DistTar!BB39</f>
        <v>0</v>
      </c>
      <c r="AG39" s="253">
        <f>Prop2018DistTar!BC39</f>
        <v>0</v>
      </c>
      <c r="AH39" s="253">
        <f>Prop2018DistTar!BD39</f>
        <v>0</v>
      </c>
      <c r="AI39" s="253">
        <f>Prop2018DistTar!BE39</f>
        <v>64648.710384258302</v>
      </c>
      <c r="AJ39" s="253">
        <f>Prop2018DistTar!BF39</f>
        <v>0</v>
      </c>
      <c r="AK39" s="253">
        <f>Prop2018DistTar!BG39</f>
        <v>0</v>
      </c>
      <c r="AL39" s="253">
        <f>Prop2018DistTar!BH39</f>
        <v>0</v>
      </c>
      <c r="AM39" s="253">
        <f>Prop2018DistTar!BI39</f>
        <v>0</v>
      </c>
      <c r="AN39" s="253">
        <f>Prop2018DistTar!BJ39</f>
        <v>0</v>
      </c>
      <c r="AO39" s="253">
        <f>Prop2018DistTar!BK39</f>
        <v>0</v>
      </c>
      <c r="AP39" s="253">
        <f>Prop2018DistTar!BL39</f>
        <v>0</v>
      </c>
      <c r="AQ39" s="253">
        <f>Prop2018DistTar!BM39</f>
        <v>0</v>
      </c>
      <c r="AR39" s="253">
        <f>Prop2018DistTar!BN39</f>
        <v>0</v>
      </c>
      <c r="AS39" s="253">
        <f>Prop2018DistTar!BO39</f>
        <v>0</v>
      </c>
      <c r="AT39" s="254">
        <f>Prop2018DistTar!BP39</f>
        <v>0</v>
      </c>
      <c r="AV39" s="255">
        <f t="shared" si="4"/>
        <v>0</v>
      </c>
      <c r="AW39" s="224">
        <f t="shared" si="5"/>
        <v>0</v>
      </c>
      <c r="AX39" s="224">
        <f t="shared" si="6"/>
        <v>45144.643337420042</v>
      </c>
      <c r="AY39" s="224">
        <f t="shared" si="7"/>
        <v>0</v>
      </c>
      <c r="AZ39" s="224">
        <f t="shared" si="8"/>
        <v>0</v>
      </c>
      <c r="BA39" s="224">
        <f t="shared" si="9"/>
        <v>35500.528362711571</v>
      </c>
      <c r="BB39" s="224">
        <f t="shared" si="10"/>
        <v>0</v>
      </c>
      <c r="BC39" s="224">
        <f t="shared" si="11"/>
        <v>0</v>
      </c>
      <c r="BD39" s="224">
        <f t="shared" si="12"/>
        <v>0</v>
      </c>
      <c r="BE39" s="224">
        <f t="shared" si="13"/>
        <v>0</v>
      </c>
      <c r="BF39" s="224">
        <f t="shared" si="14"/>
        <v>0</v>
      </c>
      <c r="BG39" s="224">
        <f t="shared" si="15"/>
        <v>0</v>
      </c>
      <c r="BH39" s="224">
        <f t="shared" si="16"/>
        <v>0</v>
      </c>
      <c r="BI39" s="224">
        <f t="shared" si="17"/>
        <v>0</v>
      </c>
      <c r="BJ39" s="224">
        <f t="shared" si="18"/>
        <v>0</v>
      </c>
      <c r="BK39" s="224">
        <f t="shared" si="19"/>
        <v>0</v>
      </c>
      <c r="BL39" s="224">
        <f t="shared" si="20"/>
        <v>0</v>
      </c>
      <c r="BM39" s="224">
        <f t="shared" si="21"/>
        <v>0</v>
      </c>
      <c r="BN39" s="224">
        <f t="shared" si="22"/>
        <v>0</v>
      </c>
      <c r="BO39" s="224">
        <f t="shared" si="23"/>
        <v>0</v>
      </c>
      <c r="BP39" s="224">
        <f t="shared" si="24"/>
        <v>0</v>
      </c>
      <c r="BQ39" s="257">
        <f t="shared" si="25"/>
        <v>80645.171700131614</v>
      </c>
    </row>
    <row r="40" spans="1:69">
      <c r="A40" s="748" t="str">
        <f>Prop2018DistTar!A40</f>
        <v>CLLVB</v>
      </c>
      <c r="B40" s="750" t="str">
        <f>Prop2018DistTar!B40</f>
        <v>Large low Voltage Bulk</v>
      </c>
      <c r="C40" s="287"/>
      <c r="D40" s="656">
        <v>0</v>
      </c>
      <c r="E40" s="657">
        <v>0</v>
      </c>
      <c r="F40" s="657">
        <v>0.04</v>
      </c>
      <c r="G40" s="657">
        <v>0</v>
      </c>
      <c r="H40" s="657">
        <v>0</v>
      </c>
      <c r="I40" s="657">
        <v>0.04</v>
      </c>
      <c r="J40" s="657">
        <v>0</v>
      </c>
      <c r="K40" s="657">
        <v>0</v>
      </c>
      <c r="L40" s="657">
        <v>0</v>
      </c>
      <c r="M40" s="657">
        <v>0</v>
      </c>
      <c r="N40" s="657">
        <v>0</v>
      </c>
      <c r="O40" s="657">
        <v>0</v>
      </c>
      <c r="P40" s="657">
        <v>0</v>
      </c>
      <c r="Q40" s="657">
        <v>0</v>
      </c>
      <c r="R40" s="657">
        <v>0</v>
      </c>
      <c r="S40" s="657">
        <v>0</v>
      </c>
      <c r="T40" s="657">
        <v>0</v>
      </c>
      <c r="U40" s="657">
        <v>0</v>
      </c>
      <c r="V40" s="657">
        <v>0</v>
      </c>
      <c r="W40" s="657">
        <v>0</v>
      </c>
      <c r="X40" s="670">
        <v>0</v>
      </c>
      <c r="Z40" s="279">
        <f>Prop2018DistTar!AV40</f>
        <v>1655.625823869291</v>
      </c>
      <c r="AA40" s="253">
        <f>Prop2018DistTar!AW40</f>
        <v>0</v>
      </c>
      <c r="AB40" s="253">
        <f>Prop2018DistTar!AX40</f>
        <v>1130104578.5870445</v>
      </c>
      <c r="AC40" s="253">
        <f>Prop2018DistTar!AY40</f>
        <v>0</v>
      </c>
      <c r="AD40" s="253">
        <f>Prop2018DistTar!AZ40</f>
        <v>0</v>
      </c>
      <c r="AE40" s="253">
        <f>Prop2018DistTar!BA40</f>
        <v>843930303.69004881</v>
      </c>
      <c r="AF40" s="253">
        <f>Prop2018DistTar!BB40</f>
        <v>0</v>
      </c>
      <c r="AG40" s="253">
        <f>Prop2018DistTar!BC40</f>
        <v>0</v>
      </c>
      <c r="AH40" s="253">
        <f>Prop2018DistTar!BD40</f>
        <v>0</v>
      </c>
      <c r="AI40" s="253">
        <f>Prop2018DistTar!BE40</f>
        <v>645709.60805396631</v>
      </c>
      <c r="AJ40" s="253">
        <f>Prop2018DistTar!BF40</f>
        <v>0</v>
      </c>
      <c r="AK40" s="253">
        <f>Prop2018DistTar!BG40</f>
        <v>0</v>
      </c>
      <c r="AL40" s="253">
        <f>Prop2018DistTar!BH40</f>
        <v>0</v>
      </c>
      <c r="AM40" s="253">
        <f>Prop2018DistTar!BI40</f>
        <v>0</v>
      </c>
      <c r="AN40" s="253">
        <f>Prop2018DistTar!BJ40</f>
        <v>0</v>
      </c>
      <c r="AO40" s="253">
        <f>Prop2018DistTar!BK40</f>
        <v>0</v>
      </c>
      <c r="AP40" s="253">
        <f>Prop2018DistTar!BL40</f>
        <v>0</v>
      </c>
      <c r="AQ40" s="253">
        <f>Prop2018DistTar!BM40</f>
        <v>0</v>
      </c>
      <c r="AR40" s="253">
        <f>Prop2018DistTar!BN40</f>
        <v>0</v>
      </c>
      <c r="AS40" s="253">
        <f>Prop2018DistTar!BO40</f>
        <v>0</v>
      </c>
      <c r="AT40" s="254">
        <f>Prop2018DistTar!BP40</f>
        <v>0</v>
      </c>
      <c r="AV40" s="255">
        <f t="shared" si="4"/>
        <v>0</v>
      </c>
      <c r="AW40" s="224">
        <f t="shared" si="5"/>
        <v>0</v>
      </c>
      <c r="AX40" s="224">
        <f t="shared" si="6"/>
        <v>452041.83143481781</v>
      </c>
      <c r="AY40" s="224">
        <f t="shared" si="7"/>
        <v>0</v>
      </c>
      <c r="AZ40" s="224">
        <f t="shared" si="8"/>
        <v>0</v>
      </c>
      <c r="BA40" s="224">
        <f t="shared" si="9"/>
        <v>337572.12147601956</v>
      </c>
      <c r="BB40" s="224">
        <f t="shared" si="10"/>
        <v>0</v>
      </c>
      <c r="BC40" s="224">
        <f t="shared" si="11"/>
        <v>0</v>
      </c>
      <c r="BD40" s="224">
        <f t="shared" si="12"/>
        <v>0</v>
      </c>
      <c r="BE40" s="224">
        <f t="shared" si="13"/>
        <v>0</v>
      </c>
      <c r="BF40" s="224">
        <f t="shared" si="14"/>
        <v>0</v>
      </c>
      <c r="BG40" s="224">
        <f t="shared" si="15"/>
        <v>0</v>
      </c>
      <c r="BH40" s="224">
        <f t="shared" si="16"/>
        <v>0</v>
      </c>
      <c r="BI40" s="224">
        <f t="shared" si="17"/>
        <v>0</v>
      </c>
      <c r="BJ40" s="224">
        <f t="shared" si="18"/>
        <v>0</v>
      </c>
      <c r="BK40" s="224">
        <f t="shared" si="19"/>
        <v>0</v>
      </c>
      <c r="BL40" s="224">
        <f t="shared" si="20"/>
        <v>0</v>
      </c>
      <c r="BM40" s="224">
        <f t="shared" si="21"/>
        <v>0</v>
      </c>
      <c r="BN40" s="224">
        <f t="shared" si="22"/>
        <v>0</v>
      </c>
      <c r="BO40" s="224">
        <f t="shared" si="23"/>
        <v>0</v>
      </c>
      <c r="BP40" s="224">
        <f t="shared" si="24"/>
        <v>0</v>
      </c>
      <c r="BQ40" s="257">
        <f t="shared" si="25"/>
        <v>789613.95291083737</v>
      </c>
    </row>
    <row r="41" spans="1:69">
      <c r="A41" s="748" t="str">
        <f>Prop2018DistTar!A41</f>
        <v>CHV</v>
      </c>
      <c r="B41" s="750" t="str">
        <f>Prop2018DistTar!B41</f>
        <v>High Voltage</v>
      </c>
      <c r="C41" s="287"/>
      <c r="D41" s="656">
        <v>0</v>
      </c>
      <c r="E41" s="657">
        <v>0</v>
      </c>
      <c r="F41" s="657">
        <v>0</v>
      </c>
      <c r="G41" s="657">
        <v>0</v>
      </c>
      <c r="H41" s="657">
        <v>0</v>
      </c>
      <c r="I41" s="657">
        <v>0</v>
      </c>
      <c r="J41" s="657">
        <v>0</v>
      </c>
      <c r="K41" s="657">
        <v>0</v>
      </c>
      <c r="L41" s="657">
        <v>0</v>
      </c>
      <c r="M41" s="657">
        <v>0</v>
      </c>
      <c r="N41" s="657">
        <v>0</v>
      </c>
      <c r="O41" s="657">
        <v>0</v>
      </c>
      <c r="P41" s="657">
        <v>0</v>
      </c>
      <c r="Q41" s="657">
        <v>0</v>
      </c>
      <c r="R41" s="657">
        <v>0</v>
      </c>
      <c r="S41" s="657">
        <v>0</v>
      </c>
      <c r="T41" s="657">
        <v>0</v>
      </c>
      <c r="U41" s="657">
        <v>0</v>
      </c>
      <c r="V41" s="657">
        <v>0</v>
      </c>
      <c r="W41" s="657">
        <v>0</v>
      </c>
      <c r="X41" s="670">
        <v>0</v>
      </c>
      <c r="Z41" s="279">
        <f>Prop2018DistTar!AV41</f>
        <v>90.982553708010002</v>
      </c>
      <c r="AA41" s="253">
        <f>Prop2018DistTar!AW41</f>
        <v>0</v>
      </c>
      <c r="AB41" s="253">
        <f>Prop2018DistTar!AX41</f>
        <v>343486676.72513288</v>
      </c>
      <c r="AC41" s="253">
        <f>Prop2018DistTar!AY41</f>
        <v>0</v>
      </c>
      <c r="AD41" s="253">
        <f>Prop2018DistTar!AZ41</f>
        <v>0</v>
      </c>
      <c r="AE41" s="253">
        <f>Prop2018DistTar!BA41</f>
        <v>320752044.24805528</v>
      </c>
      <c r="AF41" s="253">
        <f>Prop2018DistTar!BB41</f>
        <v>0</v>
      </c>
      <c r="AG41" s="253">
        <f>Prop2018DistTar!BC41</f>
        <v>0</v>
      </c>
      <c r="AH41" s="253">
        <f>Prop2018DistTar!BD41</f>
        <v>0</v>
      </c>
      <c r="AI41" s="253">
        <f>Prop2018DistTar!BE41</f>
        <v>198974.44614725537</v>
      </c>
      <c r="AJ41" s="253">
        <f>Prop2018DistTar!BF41</f>
        <v>0</v>
      </c>
      <c r="AK41" s="253">
        <f>Prop2018DistTar!BG41</f>
        <v>0</v>
      </c>
      <c r="AL41" s="253">
        <f>Prop2018DistTar!BH41</f>
        <v>0</v>
      </c>
      <c r="AM41" s="253">
        <f>Prop2018DistTar!BI41</f>
        <v>0</v>
      </c>
      <c r="AN41" s="253">
        <f>Prop2018DistTar!BJ41</f>
        <v>0</v>
      </c>
      <c r="AO41" s="253">
        <f>Prop2018DistTar!BK41</f>
        <v>0</v>
      </c>
      <c r="AP41" s="253">
        <f>Prop2018DistTar!BL41</f>
        <v>0</v>
      </c>
      <c r="AQ41" s="253">
        <f>Prop2018DistTar!BM41</f>
        <v>0</v>
      </c>
      <c r="AR41" s="253">
        <f>Prop2018DistTar!BN41</f>
        <v>0</v>
      </c>
      <c r="AS41" s="253">
        <f>Prop2018DistTar!BO41</f>
        <v>0</v>
      </c>
      <c r="AT41" s="254">
        <f>Prop2018DistTar!BP41</f>
        <v>0</v>
      </c>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24">
        <f t="shared" si="17"/>
        <v>0</v>
      </c>
      <c r="BJ41" s="224">
        <f t="shared" si="18"/>
        <v>0</v>
      </c>
      <c r="BK41" s="224">
        <f t="shared" si="19"/>
        <v>0</v>
      </c>
      <c r="BL41" s="224">
        <f t="shared" si="20"/>
        <v>0</v>
      </c>
      <c r="BM41" s="224">
        <f t="shared" si="21"/>
        <v>0</v>
      </c>
      <c r="BN41" s="224">
        <f t="shared" si="22"/>
        <v>0</v>
      </c>
      <c r="BO41" s="224">
        <f t="shared" si="23"/>
        <v>0</v>
      </c>
      <c r="BP41" s="224">
        <f t="shared" si="24"/>
        <v>0</v>
      </c>
      <c r="BQ41" s="257">
        <f t="shared" si="25"/>
        <v>0</v>
      </c>
    </row>
    <row r="42" spans="1:69">
      <c r="A42" s="748" t="str">
        <f>Prop2018DistTar!A42</f>
        <v>CST</v>
      </c>
      <c r="B42" s="750" t="str">
        <f>Prop2018DistTar!B42</f>
        <v>Subtransmission</v>
      </c>
      <c r="C42" s="287"/>
      <c r="D42" s="656">
        <v>0</v>
      </c>
      <c r="E42" s="657">
        <v>0</v>
      </c>
      <c r="F42" s="657">
        <v>0</v>
      </c>
      <c r="G42" s="657">
        <v>0</v>
      </c>
      <c r="H42" s="657">
        <v>0</v>
      </c>
      <c r="I42" s="657">
        <v>0</v>
      </c>
      <c r="J42" s="657">
        <v>0</v>
      </c>
      <c r="K42" s="657">
        <v>0</v>
      </c>
      <c r="L42" s="657">
        <v>0</v>
      </c>
      <c r="M42" s="657">
        <v>0</v>
      </c>
      <c r="N42" s="657">
        <v>0</v>
      </c>
      <c r="O42" s="657">
        <v>0</v>
      </c>
      <c r="P42" s="657">
        <v>0</v>
      </c>
      <c r="Q42" s="657">
        <v>0</v>
      </c>
      <c r="R42" s="657">
        <v>0</v>
      </c>
      <c r="S42" s="657">
        <v>0</v>
      </c>
      <c r="T42" s="657">
        <v>0</v>
      </c>
      <c r="U42" s="657">
        <v>0</v>
      </c>
      <c r="V42" s="657">
        <v>0</v>
      </c>
      <c r="W42" s="657">
        <v>0</v>
      </c>
      <c r="X42" s="670">
        <v>0</v>
      </c>
      <c r="Z42" s="279">
        <f>Prop2018DistTar!AV42</f>
        <v>6</v>
      </c>
      <c r="AA42" s="253">
        <f>Prop2018DistTar!AW42</f>
        <v>0</v>
      </c>
      <c r="AB42" s="253">
        <f>Prop2018DistTar!AX42</f>
        <v>65598744.876000002</v>
      </c>
      <c r="AC42" s="253">
        <f>Prop2018DistTar!AY42</f>
        <v>0</v>
      </c>
      <c r="AD42" s="253">
        <f>Prop2018DistTar!AZ42</f>
        <v>0</v>
      </c>
      <c r="AE42" s="253">
        <f>Prop2018DistTar!BA42</f>
        <v>37964642.608999997</v>
      </c>
      <c r="AF42" s="253">
        <f>Prop2018DistTar!BB42</f>
        <v>0</v>
      </c>
      <c r="AG42" s="253">
        <f>Prop2018DistTar!BC42</f>
        <v>0</v>
      </c>
      <c r="AH42" s="253">
        <f>Prop2018DistTar!BD42</f>
        <v>0</v>
      </c>
      <c r="AI42" s="253">
        <f>Prop2018DistTar!BE42</f>
        <v>37371.68516666667</v>
      </c>
      <c r="AJ42" s="253">
        <f>Prop2018DistTar!BF42</f>
        <v>0</v>
      </c>
      <c r="AK42" s="253">
        <f>Prop2018DistTar!BG42</f>
        <v>0</v>
      </c>
      <c r="AL42" s="253">
        <f>Prop2018DistTar!BH42</f>
        <v>0</v>
      </c>
      <c r="AM42" s="253">
        <f>Prop2018DistTar!BI42</f>
        <v>0</v>
      </c>
      <c r="AN42" s="253">
        <f>Prop2018DistTar!BJ42</f>
        <v>0</v>
      </c>
      <c r="AO42" s="253">
        <f>Prop2018DistTar!BK42</f>
        <v>0</v>
      </c>
      <c r="AP42" s="253">
        <f>Prop2018DistTar!BL42</f>
        <v>0</v>
      </c>
      <c r="AQ42" s="253">
        <f>Prop2018DistTar!BM42</f>
        <v>0</v>
      </c>
      <c r="AR42" s="253">
        <f>Prop2018DistTar!BN42</f>
        <v>0</v>
      </c>
      <c r="AS42" s="253">
        <f>Prop2018DistTar!BO42</f>
        <v>0</v>
      </c>
      <c r="AT42" s="254">
        <f>Prop2018DistTar!BP42</f>
        <v>0</v>
      </c>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24">
        <f t="shared" si="17"/>
        <v>0</v>
      </c>
      <c r="BJ42" s="224">
        <f t="shared" si="18"/>
        <v>0</v>
      </c>
      <c r="BK42" s="224">
        <f t="shared" si="19"/>
        <v>0</v>
      </c>
      <c r="BL42" s="224">
        <f t="shared" si="20"/>
        <v>0</v>
      </c>
      <c r="BM42" s="224">
        <f t="shared" si="21"/>
        <v>0</v>
      </c>
      <c r="BN42" s="224">
        <f t="shared" si="22"/>
        <v>0</v>
      </c>
      <c r="BO42" s="224">
        <f t="shared" si="23"/>
        <v>0</v>
      </c>
      <c r="BP42" s="224">
        <f t="shared" si="24"/>
        <v>0</v>
      </c>
      <c r="BQ42" s="257">
        <f t="shared" si="25"/>
        <v>0</v>
      </c>
    </row>
    <row r="43" spans="1:69">
      <c r="A43" s="748"/>
      <c r="B43" s="750"/>
      <c r="C43" s="287"/>
      <c r="D43" s="656"/>
      <c r="E43" s="657"/>
      <c r="F43" s="657"/>
      <c r="G43" s="657"/>
      <c r="H43" s="657"/>
      <c r="I43" s="657"/>
      <c r="J43" s="657"/>
      <c r="K43" s="657"/>
      <c r="L43" s="657"/>
      <c r="M43" s="657"/>
      <c r="N43" s="657"/>
      <c r="O43" s="657"/>
      <c r="P43" s="657"/>
      <c r="Q43" s="657"/>
      <c r="R43" s="657"/>
      <c r="S43" s="657"/>
      <c r="T43" s="657"/>
      <c r="U43" s="657"/>
      <c r="V43" s="657"/>
      <c r="W43" s="657"/>
      <c r="X43" s="670"/>
      <c r="Z43" s="279"/>
      <c r="AA43" s="253"/>
      <c r="AB43" s="253"/>
      <c r="AC43" s="253"/>
      <c r="AD43" s="253"/>
      <c r="AE43" s="253"/>
      <c r="AF43" s="253"/>
      <c r="AG43" s="253"/>
      <c r="AH43" s="253"/>
      <c r="AI43" s="253"/>
      <c r="AJ43" s="253"/>
      <c r="AK43" s="253"/>
      <c r="AL43" s="253"/>
      <c r="AM43" s="253"/>
      <c r="AN43" s="253"/>
      <c r="AO43" s="253"/>
      <c r="AP43" s="253"/>
      <c r="AQ43" s="253"/>
      <c r="AR43" s="253"/>
      <c r="AS43" s="253"/>
      <c r="AT43" s="254"/>
      <c r="AV43" s="255"/>
      <c r="AW43" s="224"/>
      <c r="AX43" s="224"/>
      <c r="AY43" s="224"/>
      <c r="AZ43" s="224"/>
      <c r="BA43" s="224"/>
      <c r="BB43" s="224"/>
      <c r="BC43" s="224"/>
      <c r="BD43" s="224"/>
      <c r="BE43" s="224"/>
      <c r="BF43" s="224"/>
      <c r="BG43" s="224"/>
      <c r="BH43" s="224"/>
      <c r="BI43" s="224"/>
      <c r="BJ43" s="224"/>
      <c r="BK43" s="224"/>
      <c r="BL43" s="224"/>
      <c r="BM43" s="224"/>
      <c r="BN43" s="224"/>
      <c r="BO43" s="224"/>
      <c r="BP43" s="224"/>
      <c r="BQ43" s="257"/>
    </row>
    <row r="44" spans="1:69">
      <c r="A44" s="748"/>
      <c r="B44" s="750"/>
      <c r="C44" s="287"/>
      <c r="D44" s="656"/>
      <c r="E44" s="657"/>
      <c r="F44" s="657"/>
      <c r="G44" s="657"/>
      <c r="H44" s="657"/>
      <c r="I44" s="657"/>
      <c r="J44" s="657"/>
      <c r="K44" s="657"/>
      <c r="L44" s="657"/>
      <c r="M44" s="657"/>
      <c r="N44" s="657"/>
      <c r="O44" s="657"/>
      <c r="P44" s="657"/>
      <c r="Q44" s="657"/>
      <c r="R44" s="657"/>
      <c r="S44" s="657"/>
      <c r="T44" s="657"/>
      <c r="U44" s="657"/>
      <c r="V44" s="657"/>
      <c r="W44" s="657"/>
      <c r="X44" s="670"/>
      <c r="Z44" s="279"/>
      <c r="AA44" s="253"/>
      <c r="AB44" s="253"/>
      <c r="AC44" s="253"/>
      <c r="AD44" s="253"/>
      <c r="AE44" s="253"/>
      <c r="AF44" s="253"/>
      <c r="AG44" s="253"/>
      <c r="AH44" s="253"/>
      <c r="AI44" s="253"/>
      <c r="AJ44" s="253"/>
      <c r="AK44" s="253"/>
      <c r="AL44" s="253"/>
      <c r="AM44" s="253"/>
      <c r="AN44" s="253"/>
      <c r="AO44" s="253"/>
      <c r="AP44" s="253"/>
      <c r="AQ44" s="253"/>
      <c r="AR44" s="253"/>
      <c r="AS44" s="253"/>
      <c r="AT44" s="254"/>
      <c r="AV44" s="255"/>
      <c r="AW44" s="224"/>
      <c r="AX44" s="224"/>
      <c r="AY44" s="224"/>
      <c r="AZ44" s="224"/>
      <c r="BA44" s="224"/>
      <c r="BB44" s="224"/>
      <c r="BC44" s="224"/>
      <c r="BD44" s="224"/>
      <c r="BE44" s="224"/>
      <c r="BF44" s="224"/>
      <c r="BG44" s="224"/>
      <c r="BH44" s="224"/>
      <c r="BI44" s="224"/>
      <c r="BJ44" s="224"/>
      <c r="BK44" s="224"/>
      <c r="BL44" s="224"/>
      <c r="BM44" s="224"/>
      <c r="BN44" s="224"/>
      <c r="BO44" s="224"/>
      <c r="BP44" s="224"/>
      <c r="BQ44" s="257"/>
    </row>
    <row r="45" spans="1:69">
      <c r="A45" s="748"/>
      <c r="B45" s="750"/>
      <c r="C45" s="287"/>
      <c r="D45" s="656"/>
      <c r="E45" s="657"/>
      <c r="F45" s="657"/>
      <c r="G45" s="657"/>
      <c r="H45" s="657"/>
      <c r="I45" s="657"/>
      <c r="J45" s="657"/>
      <c r="K45" s="657"/>
      <c r="L45" s="657"/>
      <c r="M45" s="657"/>
      <c r="N45" s="657"/>
      <c r="O45" s="657"/>
      <c r="P45" s="657"/>
      <c r="Q45" s="657"/>
      <c r="R45" s="657"/>
      <c r="S45" s="657"/>
      <c r="T45" s="657"/>
      <c r="U45" s="657"/>
      <c r="V45" s="657"/>
      <c r="W45" s="657"/>
      <c r="X45" s="670"/>
      <c r="Z45" s="279"/>
      <c r="AA45" s="253"/>
      <c r="AB45" s="253"/>
      <c r="AC45" s="253"/>
      <c r="AD45" s="253"/>
      <c r="AE45" s="253"/>
      <c r="AF45" s="253"/>
      <c r="AG45" s="253"/>
      <c r="AH45" s="253"/>
      <c r="AI45" s="253"/>
      <c r="AJ45" s="253"/>
      <c r="AK45" s="253"/>
      <c r="AL45" s="253"/>
      <c r="AM45" s="253"/>
      <c r="AN45" s="253"/>
      <c r="AO45" s="253"/>
      <c r="AP45" s="253"/>
      <c r="AQ45" s="253"/>
      <c r="AR45" s="253"/>
      <c r="AS45" s="253"/>
      <c r="AT45" s="254"/>
      <c r="AV45" s="255"/>
      <c r="AW45" s="224"/>
      <c r="AX45" s="224"/>
      <c r="AY45" s="224"/>
      <c r="AZ45" s="224"/>
      <c r="BA45" s="224"/>
      <c r="BB45" s="224"/>
      <c r="BC45" s="224"/>
      <c r="BD45" s="224"/>
      <c r="BE45" s="224"/>
      <c r="BF45" s="224"/>
      <c r="BG45" s="224"/>
      <c r="BH45" s="224"/>
      <c r="BI45" s="224"/>
      <c r="BJ45" s="224"/>
      <c r="BK45" s="224"/>
      <c r="BL45" s="224"/>
      <c r="BM45" s="224"/>
      <c r="BN45" s="224"/>
      <c r="BO45" s="224"/>
      <c r="BP45" s="224"/>
      <c r="BQ45" s="257"/>
    </row>
    <row r="46" spans="1:69">
      <c r="A46" s="748"/>
      <c r="B46" s="750"/>
      <c r="C46" s="287"/>
      <c r="D46" s="656"/>
      <c r="E46" s="657"/>
      <c r="F46" s="657"/>
      <c r="G46" s="657"/>
      <c r="H46" s="657"/>
      <c r="I46" s="657"/>
      <c r="J46" s="657"/>
      <c r="K46" s="657"/>
      <c r="L46" s="657"/>
      <c r="M46" s="657"/>
      <c r="N46" s="657"/>
      <c r="O46" s="657"/>
      <c r="P46" s="657"/>
      <c r="Q46" s="657"/>
      <c r="R46" s="657"/>
      <c r="S46" s="657"/>
      <c r="T46" s="657"/>
      <c r="U46" s="657"/>
      <c r="V46" s="657"/>
      <c r="W46" s="657"/>
      <c r="X46" s="278"/>
      <c r="Z46" s="279"/>
      <c r="AA46" s="253"/>
      <c r="AB46" s="253"/>
      <c r="AC46" s="253"/>
      <c r="AD46" s="253"/>
      <c r="AE46" s="253"/>
      <c r="AF46" s="253"/>
      <c r="AG46" s="253"/>
      <c r="AH46" s="253"/>
      <c r="AI46" s="253"/>
      <c r="AJ46" s="253"/>
      <c r="AK46" s="253"/>
      <c r="AL46" s="253"/>
      <c r="AM46" s="253"/>
      <c r="AN46" s="253"/>
      <c r="AO46" s="253"/>
      <c r="AP46" s="253"/>
      <c r="AQ46" s="253"/>
      <c r="AR46" s="253"/>
      <c r="AS46" s="253"/>
      <c r="AT46" s="254"/>
      <c r="AV46" s="255"/>
      <c r="AW46" s="224"/>
      <c r="AX46" s="224"/>
      <c r="AY46" s="224"/>
      <c r="AZ46" s="224"/>
      <c r="BA46" s="224"/>
      <c r="BB46" s="224"/>
      <c r="BC46" s="224"/>
      <c r="BD46" s="224"/>
      <c r="BE46" s="224"/>
      <c r="BF46" s="224"/>
      <c r="BG46" s="224"/>
      <c r="BH46" s="224"/>
      <c r="BI46" s="224"/>
      <c r="BJ46" s="224"/>
      <c r="BK46" s="224"/>
      <c r="BL46" s="224"/>
      <c r="BM46" s="224"/>
      <c r="BN46" s="224"/>
      <c r="BO46" s="224"/>
      <c r="BP46" s="224"/>
      <c r="BQ46" s="257"/>
    </row>
    <row r="47" spans="1:69">
      <c r="A47" s="748"/>
      <c r="B47" s="750"/>
      <c r="C47" s="287"/>
      <c r="D47" s="656"/>
      <c r="E47" s="657"/>
      <c r="F47" s="657"/>
      <c r="G47" s="657"/>
      <c r="H47" s="657"/>
      <c r="I47" s="657"/>
      <c r="J47" s="657"/>
      <c r="K47" s="657"/>
      <c r="L47" s="657"/>
      <c r="M47" s="657"/>
      <c r="N47" s="657"/>
      <c r="O47" s="657"/>
      <c r="P47" s="657"/>
      <c r="Q47" s="657"/>
      <c r="R47" s="657"/>
      <c r="S47" s="657"/>
      <c r="T47" s="657"/>
      <c r="U47" s="657"/>
      <c r="V47" s="657"/>
      <c r="W47" s="657"/>
      <c r="X47" s="278"/>
      <c r="Z47" s="279"/>
      <c r="AA47" s="253"/>
      <c r="AB47" s="253"/>
      <c r="AC47" s="253"/>
      <c r="AD47" s="253"/>
      <c r="AE47" s="253"/>
      <c r="AF47" s="253"/>
      <c r="AG47" s="253"/>
      <c r="AH47" s="253"/>
      <c r="AI47" s="253"/>
      <c r="AJ47" s="253"/>
      <c r="AK47" s="253"/>
      <c r="AL47" s="253"/>
      <c r="AM47" s="253"/>
      <c r="AN47" s="253"/>
      <c r="AO47" s="253"/>
      <c r="AP47" s="253"/>
      <c r="AQ47" s="253"/>
      <c r="AR47" s="253"/>
      <c r="AS47" s="253"/>
      <c r="AT47" s="254"/>
      <c r="AV47" s="255"/>
      <c r="AW47" s="224"/>
      <c r="AX47" s="224"/>
      <c r="AY47" s="224"/>
      <c r="AZ47" s="224"/>
      <c r="BA47" s="224"/>
      <c r="BB47" s="224"/>
      <c r="BC47" s="224"/>
      <c r="BD47" s="224"/>
      <c r="BE47" s="224"/>
      <c r="BF47" s="224"/>
      <c r="BG47" s="224"/>
      <c r="BH47" s="224"/>
      <c r="BI47" s="224"/>
      <c r="BJ47" s="224"/>
      <c r="BK47" s="224"/>
      <c r="BL47" s="224"/>
      <c r="BM47" s="224"/>
      <c r="BN47" s="224"/>
      <c r="BO47" s="224"/>
      <c r="BP47" s="224"/>
      <c r="BQ47" s="257"/>
    </row>
    <row r="48" spans="1:69">
      <c r="A48" s="748"/>
      <c r="B48" s="750"/>
      <c r="C48" s="287"/>
      <c r="D48" s="717"/>
      <c r="E48" s="718"/>
      <c r="F48" s="718"/>
      <c r="G48" s="718"/>
      <c r="H48" s="718"/>
      <c r="I48" s="718"/>
      <c r="J48" s="718"/>
      <c r="K48" s="718"/>
      <c r="L48" s="718"/>
      <c r="M48" s="718"/>
      <c r="N48" s="718"/>
      <c r="O48" s="718"/>
      <c r="P48" s="718"/>
      <c r="Q48" s="719"/>
      <c r="R48" s="718"/>
      <c r="S48" s="718"/>
      <c r="T48" s="718"/>
      <c r="U48" s="718"/>
      <c r="V48" s="718"/>
      <c r="W48" s="718"/>
      <c r="X48" s="291"/>
      <c r="Z48" s="252"/>
      <c r="AA48" s="253"/>
      <c r="AB48" s="253"/>
      <c r="AC48" s="253"/>
      <c r="AD48" s="253"/>
      <c r="AE48" s="253"/>
      <c r="AF48" s="253"/>
      <c r="AG48" s="253"/>
      <c r="AH48" s="253"/>
      <c r="AI48" s="253"/>
      <c r="AJ48" s="253"/>
      <c r="AK48" s="253"/>
      <c r="AL48" s="254"/>
      <c r="AM48" s="253"/>
      <c r="AN48" s="253"/>
      <c r="AO48" s="253"/>
      <c r="AP48" s="253"/>
      <c r="AQ48" s="253"/>
      <c r="AR48" s="253"/>
      <c r="AS48" s="253"/>
      <c r="AT48" s="253"/>
      <c r="AV48" s="255"/>
      <c r="AW48" s="224"/>
      <c r="AX48" s="224"/>
      <c r="AY48" s="224"/>
      <c r="AZ48" s="224"/>
      <c r="BA48" s="224"/>
      <c r="BB48" s="224"/>
      <c r="BC48" s="224"/>
      <c r="BD48" s="224"/>
      <c r="BE48" s="224"/>
      <c r="BF48" s="224"/>
      <c r="BG48" s="224"/>
      <c r="BH48" s="224"/>
      <c r="BI48" s="224"/>
      <c r="BJ48" s="224"/>
      <c r="BK48" s="224"/>
      <c r="BL48" s="224"/>
      <c r="BM48" s="224"/>
      <c r="BN48" s="224"/>
      <c r="BO48" s="224"/>
      <c r="BP48" s="224"/>
      <c r="BQ48" s="257"/>
    </row>
    <row r="49" spans="1:69">
      <c r="A49" s="748"/>
      <c r="B49" s="750"/>
      <c r="C49" s="287"/>
      <c r="D49" s="717"/>
      <c r="E49" s="718"/>
      <c r="F49" s="718"/>
      <c r="G49" s="718"/>
      <c r="H49" s="718"/>
      <c r="I49" s="718"/>
      <c r="J49" s="718"/>
      <c r="K49" s="718"/>
      <c r="L49" s="718"/>
      <c r="M49" s="718"/>
      <c r="N49" s="718"/>
      <c r="O49" s="718"/>
      <c r="P49" s="718"/>
      <c r="Q49" s="719"/>
      <c r="R49" s="718"/>
      <c r="S49" s="718"/>
      <c r="T49" s="718"/>
      <c r="U49" s="718"/>
      <c r="V49" s="718"/>
      <c r="W49" s="718"/>
      <c r="X49" s="291"/>
      <c r="Z49" s="252"/>
      <c r="AA49" s="253"/>
      <c r="AB49" s="253"/>
      <c r="AC49" s="253"/>
      <c r="AD49" s="253"/>
      <c r="AE49" s="253"/>
      <c r="AF49" s="253"/>
      <c r="AG49" s="253"/>
      <c r="AH49" s="253"/>
      <c r="AI49" s="253"/>
      <c r="AJ49" s="253"/>
      <c r="AK49" s="253"/>
      <c r="AL49" s="254"/>
      <c r="AM49" s="253"/>
      <c r="AN49" s="253"/>
      <c r="AO49" s="253"/>
      <c r="AP49" s="253"/>
      <c r="AQ49" s="253"/>
      <c r="AR49" s="253"/>
      <c r="AS49" s="253"/>
      <c r="AT49" s="253"/>
      <c r="AV49" s="255"/>
      <c r="AW49" s="224"/>
      <c r="AX49" s="224"/>
      <c r="AY49" s="224"/>
      <c r="AZ49" s="224"/>
      <c r="BA49" s="224"/>
      <c r="BB49" s="224"/>
      <c r="BC49" s="224"/>
      <c r="BD49" s="224"/>
      <c r="BE49" s="224"/>
      <c r="BF49" s="224"/>
      <c r="BG49" s="224"/>
      <c r="BH49" s="224"/>
      <c r="BI49" s="224"/>
      <c r="BJ49" s="224"/>
      <c r="BK49" s="224"/>
      <c r="BL49" s="224"/>
      <c r="BM49" s="224"/>
      <c r="BN49" s="224"/>
      <c r="BO49" s="224"/>
      <c r="BP49" s="224"/>
      <c r="BQ49" s="257"/>
    </row>
    <row r="50" spans="1:69">
      <c r="A50" s="748"/>
      <c r="B50" s="750"/>
      <c r="C50" s="287"/>
      <c r="D50" s="717"/>
      <c r="E50" s="718"/>
      <c r="F50" s="718"/>
      <c r="G50" s="718"/>
      <c r="H50" s="718"/>
      <c r="I50" s="718"/>
      <c r="J50" s="718"/>
      <c r="K50" s="718"/>
      <c r="L50" s="718"/>
      <c r="M50" s="718"/>
      <c r="N50" s="718"/>
      <c r="O50" s="718"/>
      <c r="P50" s="718"/>
      <c r="Q50" s="719"/>
      <c r="R50" s="718"/>
      <c r="S50" s="718"/>
      <c r="T50" s="718"/>
      <c r="U50" s="718"/>
      <c r="V50" s="718"/>
      <c r="W50" s="718"/>
      <c r="X50" s="291"/>
      <c r="Z50" s="252"/>
      <c r="AA50" s="253"/>
      <c r="AB50" s="253"/>
      <c r="AC50" s="253"/>
      <c r="AD50" s="253"/>
      <c r="AE50" s="253"/>
      <c r="AF50" s="253"/>
      <c r="AG50" s="253"/>
      <c r="AH50" s="253"/>
      <c r="AI50" s="253"/>
      <c r="AJ50" s="253"/>
      <c r="AK50" s="253"/>
      <c r="AL50" s="254"/>
      <c r="AM50" s="253"/>
      <c r="AN50" s="253"/>
      <c r="AO50" s="253"/>
      <c r="AP50" s="253"/>
      <c r="AQ50" s="253"/>
      <c r="AR50" s="253"/>
      <c r="AS50" s="253"/>
      <c r="AT50" s="253"/>
      <c r="AV50" s="255"/>
      <c r="AW50" s="224"/>
      <c r="AX50" s="224"/>
      <c r="AY50" s="224"/>
      <c r="AZ50" s="224"/>
      <c r="BA50" s="224"/>
      <c r="BB50" s="224"/>
      <c r="BC50" s="224"/>
      <c r="BD50" s="224"/>
      <c r="BE50" s="224"/>
      <c r="BF50" s="224"/>
      <c r="BG50" s="224"/>
      <c r="BH50" s="224"/>
      <c r="BI50" s="224"/>
      <c r="BJ50" s="224"/>
      <c r="BK50" s="224"/>
      <c r="BL50" s="224"/>
      <c r="BM50" s="224"/>
      <c r="BN50" s="224"/>
      <c r="BO50" s="224"/>
      <c r="BP50" s="224"/>
      <c r="BQ50" s="257"/>
    </row>
    <row r="51" spans="1:69">
      <c r="A51" s="748"/>
      <c r="B51" s="750"/>
      <c r="C51" s="287"/>
      <c r="D51" s="717"/>
      <c r="E51" s="718"/>
      <c r="F51" s="718"/>
      <c r="G51" s="718"/>
      <c r="H51" s="718"/>
      <c r="I51" s="718"/>
      <c r="J51" s="718"/>
      <c r="K51" s="718"/>
      <c r="L51" s="718"/>
      <c r="M51" s="718"/>
      <c r="N51" s="718"/>
      <c r="O51" s="718"/>
      <c r="P51" s="718"/>
      <c r="Q51" s="719"/>
      <c r="R51" s="718"/>
      <c r="S51" s="718"/>
      <c r="T51" s="718"/>
      <c r="U51" s="718"/>
      <c r="V51" s="718"/>
      <c r="W51" s="718"/>
      <c r="X51" s="291"/>
      <c r="Z51" s="252"/>
      <c r="AA51" s="253"/>
      <c r="AB51" s="253"/>
      <c r="AC51" s="253"/>
      <c r="AD51" s="253"/>
      <c r="AE51" s="253"/>
      <c r="AF51" s="253"/>
      <c r="AG51" s="253"/>
      <c r="AH51" s="253"/>
      <c r="AI51" s="253"/>
      <c r="AJ51" s="253"/>
      <c r="AK51" s="253"/>
      <c r="AL51" s="254"/>
      <c r="AM51" s="253"/>
      <c r="AN51" s="253"/>
      <c r="AO51" s="253"/>
      <c r="AP51" s="253"/>
      <c r="AQ51" s="253"/>
      <c r="AR51" s="253"/>
      <c r="AS51" s="253"/>
      <c r="AT51" s="253"/>
      <c r="AV51" s="255"/>
      <c r="AW51" s="224"/>
      <c r="AX51" s="224"/>
      <c r="AY51" s="224"/>
      <c r="AZ51" s="224"/>
      <c r="BA51" s="224"/>
      <c r="BB51" s="224"/>
      <c r="BC51" s="224"/>
      <c r="BD51" s="224"/>
      <c r="BE51" s="224"/>
      <c r="BF51" s="224"/>
      <c r="BG51" s="224"/>
      <c r="BH51" s="224"/>
      <c r="BI51" s="224"/>
      <c r="BJ51" s="224"/>
      <c r="BK51" s="224"/>
      <c r="BL51" s="224"/>
      <c r="BM51" s="224"/>
      <c r="BN51" s="224"/>
      <c r="BO51" s="224"/>
      <c r="BP51" s="224"/>
      <c r="BQ51" s="257"/>
    </row>
    <row r="52" spans="1:69">
      <c r="A52" s="748"/>
      <c r="B52" s="750"/>
      <c r="C52" s="287"/>
      <c r="D52" s="717"/>
      <c r="E52" s="718"/>
      <c r="F52" s="718"/>
      <c r="G52" s="718"/>
      <c r="H52" s="718"/>
      <c r="I52" s="718"/>
      <c r="J52" s="718"/>
      <c r="K52" s="718"/>
      <c r="L52" s="718"/>
      <c r="M52" s="718"/>
      <c r="N52" s="718"/>
      <c r="O52" s="718"/>
      <c r="P52" s="718"/>
      <c r="Q52" s="719"/>
      <c r="R52" s="718"/>
      <c r="S52" s="718"/>
      <c r="T52" s="718"/>
      <c r="U52" s="718"/>
      <c r="V52" s="718"/>
      <c r="W52" s="718"/>
      <c r="X52" s="291"/>
      <c r="Z52" s="252"/>
      <c r="AA52" s="253"/>
      <c r="AB52" s="253"/>
      <c r="AC52" s="253"/>
      <c r="AD52" s="253"/>
      <c r="AE52" s="253"/>
      <c r="AF52" s="253"/>
      <c r="AG52" s="253"/>
      <c r="AH52" s="253"/>
      <c r="AI52" s="253"/>
      <c r="AJ52" s="253"/>
      <c r="AK52" s="253"/>
      <c r="AL52" s="254"/>
      <c r="AM52" s="253"/>
      <c r="AN52" s="253"/>
      <c r="AO52" s="253"/>
      <c r="AP52" s="253"/>
      <c r="AQ52" s="253"/>
      <c r="AR52" s="253"/>
      <c r="AS52" s="253"/>
      <c r="AT52" s="253"/>
      <c r="AV52" s="255"/>
      <c r="AW52" s="224"/>
      <c r="AX52" s="224"/>
      <c r="AY52" s="224"/>
      <c r="AZ52" s="224"/>
      <c r="BA52" s="224"/>
      <c r="BB52" s="224"/>
      <c r="BC52" s="224"/>
      <c r="BD52" s="224"/>
      <c r="BE52" s="224"/>
      <c r="BF52" s="224"/>
      <c r="BG52" s="224"/>
      <c r="BH52" s="224"/>
      <c r="BI52" s="224"/>
      <c r="BJ52" s="224"/>
      <c r="BK52" s="224"/>
      <c r="BL52" s="224"/>
      <c r="BM52" s="224"/>
      <c r="BN52" s="224"/>
      <c r="BO52" s="224"/>
      <c r="BP52" s="224"/>
      <c r="BQ52" s="257"/>
    </row>
    <row r="53" spans="1:69">
      <c r="A53" s="748"/>
      <c r="B53" s="750"/>
      <c r="C53" s="287"/>
      <c r="D53" s="288"/>
      <c r="E53" s="259"/>
      <c r="F53" s="259"/>
      <c r="G53" s="259"/>
      <c r="H53" s="259"/>
      <c r="I53" s="259"/>
      <c r="J53" s="259"/>
      <c r="K53" s="259"/>
      <c r="L53" s="259"/>
      <c r="M53" s="259"/>
      <c r="N53" s="259"/>
      <c r="O53" s="259"/>
      <c r="P53" s="259"/>
      <c r="Q53" s="289"/>
      <c r="R53" s="290"/>
      <c r="S53" s="290"/>
      <c r="T53" s="290"/>
      <c r="U53" s="290"/>
      <c r="V53" s="290"/>
      <c r="W53" s="290"/>
      <c r="X53" s="291"/>
      <c r="Z53" s="252"/>
      <c r="AA53" s="253"/>
      <c r="AB53" s="253"/>
      <c r="AC53" s="253"/>
      <c r="AD53" s="253"/>
      <c r="AE53" s="253"/>
      <c r="AF53" s="253"/>
      <c r="AG53" s="253"/>
      <c r="AH53" s="253"/>
      <c r="AI53" s="253"/>
      <c r="AJ53" s="253"/>
      <c r="AK53" s="253"/>
      <c r="AL53" s="254"/>
      <c r="AM53" s="253"/>
      <c r="AN53" s="253"/>
      <c r="AO53" s="253"/>
      <c r="AP53" s="253"/>
      <c r="AQ53" s="253"/>
      <c r="AR53" s="253"/>
      <c r="AS53" s="253"/>
      <c r="AT53" s="253"/>
      <c r="AV53" s="255"/>
      <c r="AW53" s="224"/>
      <c r="AX53" s="224"/>
      <c r="AY53" s="224"/>
      <c r="AZ53" s="224"/>
      <c r="BA53" s="224"/>
      <c r="BB53" s="224"/>
      <c r="BC53" s="224"/>
      <c r="BD53" s="224"/>
      <c r="BE53" s="224"/>
      <c r="BF53" s="224"/>
      <c r="BG53" s="224"/>
      <c r="BH53" s="224"/>
      <c r="BI53" s="224"/>
      <c r="BJ53" s="224"/>
      <c r="BK53" s="224"/>
      <c r="BL53" s="224"/>
      <c r="BM53" s="224"/>
      <c r="BN53" s="224"/>
      <c r="BO53" s="224"/>
      <c r="BP53" s="224"/>
      <c r="BQ53" s="257"/>
    </row>
    <row r="54" spans="1:69">
      <c r="B54" s="238"/>
      <c r="C54" s="287"/>
      <c r="D54" s="288"/>
      <c r="E54" s="259"/>
      <c r="F54" s="259"/>
      <c r="G54" s="259"/>
      <c r="H54" s="259"/>
      <c r="I54" s="259"/>
      <c r="J54" s="259"/>
      <c r="K54" s="259"/>
      <c r="L54" s="259"/>
      <c r="M54" s="259"/>
      <c r="N54" s="259"/>
      <c r="O54" s="259"/>
      <c r="P54" s="259"/>
      <c r="Q54" s="289"/>
      <c r="R54" s="290"/>
      <c r="S54" s="290"/>
      <c r="T54" s="290"/>
      <c r="U54" s="290"/>
      <c r="V54" s="290"/>
      <c r="W54" s="290"/>
      <c r="X54" s="291"/>
      <c r="Z54" s="252"/>
      <c r="AA54" s="253"/>
      <c r="AB54" s="253"/>
      <c r="AC54" s="253"/>
      <c r="AD54" s="253"/>
      <c r="AE54" s="253"/>
      <c r="AF54" s="253"/>
      <c r="AG54" s="253"/>
      <c r="AH54" s="253"/>
      <c r="AI54" s="253"/>
      <c r="AJ54" s="253"/>
      <c r="AK54" s="253"/>
      <c r="AL54" s="254"/>
      <c r="AM54" s="253"/>
      <c r="AN54" s="253"/>
      <c r="AO54" s="253"/>
      <c r="AP54" s="253"/>
      <c r="AQ54" s="253"/>
      <c r="AR54" s="253"/>
      <c r="AS54" s="253"/>
      <c r="AT54" s="253"/>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24">
        <f t="shared" si="17"/>
        <v>0</v>
      </c>
      <c r="BJ54" s="224">
        <f t="shared" si="18"/>
        <v>0</v>
      </c>
      <c r="BK54" s="224">
        <f t="shared" si="19"/>
        <v>0</v>
      </c>
      <c r="BL54" s="224">
        <f t="shared" si="20"/>
        <v>0</v>
      </c>
      <c r="BM54" s="224">
        <f t="shared" si="21"/>
        <v>0</v>
      </c>
      <c r="BN54" s="224">
        <f t="shared" si="22"/>
        <v>0</v>
      </c>
      <c r="BO54" s="224">
        <f t="shared" si="23"/>
        <v>0</v>
      </c>
      <c r="BP54" s="224">
        <f t="shared" si="24"/>
        <v>0</v>
      </c>
      <c r="BQ54" s="257">
        <f t="shared" si="25"/>
        <v>0</v>
      </c>
    </row>
    <row r="55" spans="1:69">
      <c r="B55" s="238"/>
      <c r="C55" s="287"/>
      <c r="D55" s="288"/>
      <c r="E55" s="259"/>
      <c r="F55" s="259"/>
      <c r="G55" s="259"/>
      <c r="H55" s="259"/>
      <c r="I55" s="259"/>
      <c r="J55" s="259"/>
      <c r="K55" s="259"/>
      <c r="L55" s="259"/>
      <c r="M55" s="259"/>
      <c r="N55" s="259"/>
      <c r="O55" s="259"/>
      <c r="P55" s="259"/>
      <c r="Q55" s="289"/>
      <c r="R55" s="290"/>
      <c r="S55" s="290"/>
      <c r="T55" s="290"/>
      <c r="U55" s="290"/>
      <c r="V55" s="290"/>
      <c r="W55" s="290"/>
      <c r="X55" s="291"/>
      <c r="Z55" s="252"/>
      <c r="AA55" s="253"/>
      <c r="AB55" s="253"/>
      <c r="AC55" s="253"/>
      <c r="AD55" s="253"/>
      <c r="AE55" s="253"/>
      <c r="AF55" s="253"/>
      <c r="AG55" s="253"/>
      <c r="AH55" s="253"/>
      <c r="AI55" s="253"/>
      <c r="AJ55" s="253"/>
      <c r="AK55" s="253"/>
      <c r="AL55" s="254"/>
      <c r="AM55" s="253"/>
      <c r="AN55" s="253"/>
      <c r="AO55" s="253"/>
      <c r="AP55" s="253"/>
      <c r="AQ55" s="253"/>
      <c r="AR55" s="253"/>
      <c r="AS55" s="253"/>
      <c r="AT55" s="253"/>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24">
        <f t="shared" si="17"/>
        <v>0</v>
      </c>
      <c r="BJ55" s="224">
        <f t="shared" si="18"/>
        <v>0</v>
      </c>
      <c r="BK55" s="224">
        <f t="shared" si="19"/>
        <v>0</v>
      </c>
      <c r="BL55" s="224">
        <f t="shared" si="20"/>
        <v>0</v>
      </c>
      <c r="BM55" s="224">
        <f t="shared" si="21"/>
        <v>0</v>
      </c>
      <c r="BN55" s="224">
        <f t="shared" si="22"/>
        <v>0</v>
      </c>
      <c r="BO55" s="224">
        <f t="shared" si="23"/>
        <v>0</v>
      </c>
      <c r="BP55" s="224">
        <f t="shared" si="24"/>
        <v>0</v>
      </c>
      <c r="BQ55" s="257">
        <f t="shared" si="25"/>
        <v>0</v>
      </c>
    </row>
    <row r="56" spans="1:69">
      <c r="B56" s="238"/>
      <c r="C56" s="287"/>
      <c r="D56" s="288"/>
      <c r="E56" s="259"/>
      <c r="F56" s="259"/>
      <c r="G56" s="259"/>
      <c r="H56" s="259"/>
      <c r="I56" s="259"/>
      <c r="J56" s="259"/>
      <c r="K56" s="259"/>
      <c r="L56" s="259"/>
      <c r="M56" s="259"/>
      <c r="N56" s="259"/>
      <c r="O56" s="259"/>
      <c r="P56" s="259"/>
      <c r="Q56" s="289"/>
      <c r="R56" s="290"/>
      <c r="S56" s="290"/>
      <c r="T56" s="290"/>
      <c r="U56" s="290"/>
      <c r="V56" s="290"/>
      <c r="W56" s="290"/>
      <c r="X56" s="291"/>
      <c r="Z56" s="252"/>
      <c r="AA56" s="253"/>
      <c r="AB56" s="253"/>
      <c r="AC56" s="253"/>
      <c r="AD56" s="253"/>
      <c r="AE56" s="253"/>
      <c r="AF56" s="253"/>
      <c r="AG56" s="253"/>
      <c r="AH56" s="253"/>
      <c r="AI56" s="253"/>
      <c r="AJ56" s="253"/>
      <c r="AK56" s="253"/>
      <c r="AL56" s="254"/>
      <c r="AM56" s="253"/>
      <c r="AN56" s="253"/>
      <c r="AO56" s="253"/>
      <c r="AP56" s="253"/>
      <c r="AQ56" s="253"/>
      <c r="AR56" s="253"/>
      <c r="AS56" s="253"/>
      <c r="AT56" s="253"/>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24">
        <f t="shared" si="17"/>
        <v>0</v>
      </c>
      <c r="BJ56" s="224">
        <f t="shared" si="18"/>
        <v>0</v>
      </c>
      <c r="BK56" s="224">
        <f t="shared" si="19"/>
        <v>0</v>
      </c>
      <c r="BL56" s="224">
        <f t="shared" si="20"/>
        <v>0</v>
      </c>
      <c r="BM56" s="224">
        <f t="shared" si="21"/>
        <v>0</v>
      </c>
      <c r="BN56" s="224">
        <f t="shared" si="22"/>
        <v>0</v>
      </c>
      <c r="BO56" s="224">
        <f t="shared" si="23"/>
        <v>0</v>
      </c>
      <c r="BP56" s="224">
        <f t="shared" si="24"/>
        <v>0</v>
      </c>
      <c r="BQ56" s="257">
        <f t="shared" si="25"/>
        <v>0</v>
      </c>
    </row>
    <row r="57" spans="1:69">
      <c r="B57" s="238"/>
      <c r="C57" s="287"/>
      <c r="D57" s="288"/>
      <c r="E57" s="259"/>
      <c r="F57" s="259"/>
      <c r="G57" s="259"/>
      <c r="H57" s="259"/>
      <c r="I57" s="259"/>
      <c r="J57" s="259"/>
      <c r="K57" s="259"/>
      <c r="L57" s="259"/>
      <c r="M57" s="259"/>
      <c r="N57" s="259"/>
      <c r="O57" s="259"/>
      <c r="P57" s="259"/>
      <c r="Q57" s="289"/>
      <c r="R57" s="290"/>
      <c r="S57" s="290"/>
      <c r="T57" s="290"/>
      <c r="U57" s="290"/>
      <c r="V57" s="290"/>
      <c r="W57" s="290"/>
      <c r="X57" s="291"/>
      <c r="Z57" s="252"/>
      <c r="AA57" s="253"/>
      <c r="AB57" s="253"/>
      <c r="AC57" s="253"/>
      <c r="AD57" s="253"/>
      <c r="AE57" s="253"/>
      <c r="AF57" s="253"/>
      <c r="AG57" s="253"/>
      <c r="AH57" s="253"/>
      <c r="AI57" s="253"/>
      <c r="AJ57" s="253"/>
      <c r="AK57" s="253"/>
      <c r="AL57" s="254"/>
      <c r="AM57" s="253"/>
      <c r="AN57" s="253"/>
      <c r="AO57" s="253"/>
      <c r="AP57" s="253"/>
      <c r="AQ57" s="253"/>
      <c r="AR57" s="253"/>
      <c r="AS57" s="253"/>
      <c r="AT57" s="253"/>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24">
        <f t="shared" si="17"/>
        <v>0</v>
      </c>
      <c r="BJ57" s="224">
        <f t="shared" si="18"/>
        <v>0</v>
      </c>
      <c r="BK57" s="224">
        <f t="shared" si="19"/>
        <v>0</v>
      </c>
      <c r="BL57" s="224">
        <f t="shared" si="20"/>
        <v>0</v>
      </c>
      <c r="BM57" s="224">
        <f t="shared" si="21"/>
        <v>0</v>
      </c>
      <c r="BN57" s="224">
        <f t="shared" si="22"/>
        <v>0</v>
      </c>
      <c r="BO57" s="224">
        <f t="shared" si="23"/>
        <v>0</v>
      </c>
      <c r="BP57" s="224">
        <f t="shared" si="24"/>
        <v>0</v>
      </c>
      <c r="BQ57" s="257">
        <f t="shared" si="25"/>
        <v>0</v>
      </c>
    </row>
    <row r="58" spans="1:69">
      <c r="B58" s="238"/>
      <c r="C58" s="287"/>
      <c r="D58" s="288"/>
      <c r="E58" s="259"/>
      <c r="F58" s="259"/>
      <c r="G58" s="259"/>
      <c r="H58" s="259"/>
      <c r="I58" s="259"/>
      <c r="J58" s="259"/>
      <c r="K58" s="259"/>
      <c r="L58" s="259"/>
      <c r="M58" s="259"/>
      <c r="N58" s="259"/>
      <c r="O58" s="259"/>
      <c r="P58" s="259"/>
      <c r="Q58" s="289"/>
      <c r="R58" s="290"/>
      <c r="S58" s="290"/>
      <c r="T58" s="290"/>
      <c r="U58" s="290"/>
      <c r="V58" s="290"/>
      <c r="W58" s="290"/>
      <c r="X58" s="291"/>
      <c r="Z58" s="252"/>
      <c r="AA58" s="253"/>
      <c r="AB58" s="253"/>
      <c r="AC58" s="253"/>
      <c r="AD58" s="253"/>
      <c r="AE58" s="253"/>
      <c r="AF58" s="253"/>
      <c r="AG58" s="253"/>
      <c r="AH58" s="253"/>
      <c r="AI58" s="253"/>
      <c r="AJ58" s="253"/>
      <c r="AK58" s="253"/>
      <c r="AL58" s="254"/>
      <c r="AM58" s="253"/>
      <c r="AN58" s="253"/>
      <c r="AO58" s="253"/>
      <c r="AP58" s="253"/>
      <c r="AQ58" s="253"/>
      <c r="AR58" s="253"/>
      <c r="AS58" s="253"/>
      <c r="AT58" s="253"/>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24">
        <f t="shared" si="17"/>
        <v>0</v>
      </c>
      <c r="BJ58" s="224">
        <f t="shared" si="18"/>
        <v>0</v>
      </c>
      <c r="BK58" s="224">
        <f t="shared" si="19"/>
        <v>0</v>
      </c>
      <c r="BL58" s="224">
        <f t="shared" si="20"/>
        <v>0</v>
      </c>
      <c r="BM58" s="224">
        <f t="shared" si="21"/>
        <v>0</v>
      </c>
      <c r="BN58" s="224">
        <f t="shared" si="22"/>
        <v>0</v>
      </c>
      <c r="BO58" s="224">
        <f t="shared" si="23"/>
        <v>0</v>
      </c>
      <c r="BP58" s="224">
        <f t="shared" si="24"/>
        <v>0</v>
      </c>
      <c r="BQ58" s="257">
        <f t="shared" si="25"/>
        <v>0</v>
      </c>
    </row>
    <row r="59" spans="1:69">
      <c r="B59" s="238"/>
      <c r="C59" s="287"/>
      <c r="D59" s="288"/>
      <c r="E59" s="259"/>
      <c r="F59" s="259"/>
      <c r="G59" s="259"/>
      <c r="H59" s="259"/>
      <c r="I59" s="259"/>
      <c r="J59" s="259"/>
      <c r="K59" s="259"/>
      <c r="L59" s="259"/>
      <c r="M59" s="259"/>
      <c r="N59" s="259"/>
      <c r="O59" s="259"/>
      <c r="P59" s="259"/>
      <c r="Q59" s="289"/>
      <c r="R59" s="290"/>
      <c r="S59" s="290"/>
      <c r="T59" s="290"/>
      <c r="U59" s="290"/>
      <c r="V59" s="290"/>
      <c r="W59" s="290"/>
      <c r="X59" s="291"/>
      <c r="Z59" s="252"/>
      <c r="AA59" s="253"/>
      <c r="AB59" s="253"/>
      <c r="AC59" s="253"/>
      <c r="AD59" s="253"/>
      <c r="AE59" s="253"/>
      <c r="AF59" s="253"/>
      <c r="AG59" s="253"/>
      <c r="AH59" s="253"/>
      <c r="AI59" s="253"/>
      <c r="AJ59" s="253"/>
      <c r="AK59" s="253"/>
      <c r="AL59" s="254"/>
      <c r="AM59" s="253"/>
      <c r="AN59" s="253"/>
      <c r="AO59" s="253"/>
      <c r="AP59" s="253"/>
      <c r="AQ59" s="253"/>
      <c r="AR59" s="253"/>
      <c r="AS59" s="253"/>
      <c r="AT59" s="253"/>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24">
        <f t="shared" si="17"/>
        <v>0</v>
      </c>
      <c r="BJ59" s="224">
        <f t="shared" si="18"/>
        <v>0</v>
      </c>
      <c r="BK59" s="224">
        <f t="shared" si="19"/>
        <v>0</v>
      </c>
      <c r="BL59" s="224">
        <f t="shared" si="20"/>
        <v>0</v>
      </c>
      <c r="BM59" s="224">
        <f t="shared" si="21"/>
        <v>0</v>
      </c>
      <c r="BN59" s="224">
        <f t="shared" si="22"/>
        <v>0</v>
      </c>
      <c r="BO59" s="224">
        <f t="shared" si="23"/>
        <v>0</v>
      </c>
      <c r="BP59" s="224">
        <f t="shared" si="24"/>
        <v>0</v>
      </c>
      <c r="BQ59" s="257">
        <f t="shared" si="25"/>
        <v>0</v>
      </c>
    </row>
    <row r="60" spans="1:69">
      <c r="B60" s="238"/>
      <c r="C60" s="287"/>
      <c r="D60" s="288"/>
      <c r="E60" s="259"/>
      <c r="F60" s="259"/>
      <c r="G60" s="259"/>
      <c r="H60" s="259"/>
      <c r="I60" s="259"/>
      <c r="J60" s="259"/>
      <c r="K60" s="259"/>
      <c r="L60" s="259"/>
      <c r="M60" s="259"/>
      <c r="N60" s="259"/>
      <c r="O60" s="259"/>
      <c r="P60" s="259"/>
      <c r="Q60" s="289"/>
      <c r="R60" s="290"/>
      <c r="S60" s="290"/>
      <c r="T60" s="290"/>
      <c r="U60" s="290"/>
      <c r="V60" s="290"/>
      <c r="W60" s="290"/>
      <c r="X60" s="291"/>
      <c r="Z60" s="252"/>
      <c r="AA60" s="253"/>
      <c r="AB60" s="253"/>
      <c r="AC60" s="253"/>
      <c r="AD60" s="253"/>
      <c r="AE60" s="253"/>
      <c r="AF60" s="253"/>
      <c r="AG60" s="253"/>
      <c r="AH60" s="253"/>
      <c r="AI60" s="253"/>
      <c r="AJ60" s="253"/>
      <c r="AK60" s="253"/>
      <c r="AL60" s="254"/>
      <c r="AM60" s="253"/>
      <c r="AN60" s="253"/>
      <c r="AO60" s="253"/>
      <c r="AP60" s="253"/>
      <c r="AQ60" s="253"/>
      <c r="AR60" s="253"/>
      <c r="AS60" s="253"/>
      <c r="AT60" s="253"/>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24">
        <f t="shared" si="17"/>
        <v>0</v>
      </c>
      <c r="BJ60" s="224">
        <f t="shared" si="18"/>
        <v>0</v>
      </c>
      <c r="BK60" s="224">
        <f t="shared" si="19"/>
        <v>0</v>
      </c>
      <c r="BL60" s="224">
        <f t="shared" si="20"/>
        <v>0</v>
      </c>
      <c r="BM60" s="224">
        <f t="shared" si="21"/>
        <v>0</v>
      </c>
      <c r="BN60" s="224">
        <f t="shared" si="22"/>
        <v>0</v>
      </c>
      <c r="BO60" s="224">
        <f t="shared" si="23"/>
        <v>0</v>
      </c>
      <c r="BP60" s="224">
        <f t="shared" si="24"/>
        <v>0</v>
      </c>
      <c r="BQ60" s="257">
        <f t="shared" si="25"/>
        <v>0</v>
      </c>
    </row>
    <row r="61" spans="1:69">
      <c r="B61" s="238"/>
      <c r="C61" s="287"/>
      <c r="D61" s="288"/>
      <c r="E61" s="259"/>
      <c r="F61" s="259"/>
      <c r="G61" s="259"/>
      <c r="H61" s="259"/>
      <c r="I61" s="259"/>
      <c r="J61" s="259"/>
      <c r="K61" s="259"/>
      <c r="L61" s="259"/>
      <c r="M61" s="259"/>
      <c r="N61" s="259"/>
      <c r="O61" s="259"/>
      <c r="P61" s="259"/>
      <c r="Q61" s="289"/>
      <c r="R61" s="290"/>
      <c r="S61" s="290"/>
      <c r="T61" s="290"/>
      <c r="U61" s="290"/>
      <c r="V61" s="290"/>
      <c r="W61" s="290"/>
      <c r="X61" s="291"/>
      <c r="Z61" s="252"/>
      <c r="AA61" s="253"/>
      <c r="AB61" s="253"/>
      <c r="AC61" s="253"/>
      <c r="AD61" s="253"/>
      <c r="AE61" s="253"/>
      <c r="AF61" s="253"/>
      <c r="AG61" s="253"/>
      <c r="AH61" s="253"/>
      <c r="AI61" s="253"/>
      <c r="AJ61" s="253"/>
      <c r="AK61" s="253"/>
      <c r="AL61" s="254"/>
      <c r="AM61" s="253"/>
      <c r="AN61" s="253"/>
      <c r="AO61" s="253"/>
      <c r="AP61" s="253"/>
      <c r="AQ61" s="253"/>
      <c r="AR61" s="253"/>
      <c r="AS61" s="253"/>
      <c r="AT61" s="253"/>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24">
        <f t="shared" si="17"/>
        <v>0</v>
      </c>
      <c r="BJ61" s="224">
        <f t="shared" si="18"/>
        <v>0</v>
      </c>
      <c r="BK61" s="224">
        <f t="shared" si="19"/>
        <v>0</v>
      </c>
      <c r="BL61" s="224">
        <f t="shared" si="20"/>
        <v>0</v>
      </c>
      <c r="BM61" s="224">
        <f t="shared" si="21"/>
        <v>0</v>
      </c>
      <c r="BN61" s="224">
        <f t="shared" si="22"/>
        <v>0</v>
      </c>
      <c r="BO61" s="224">
        <f t="shared" si="23"/>
        <v>0</v>
      </c>
      <c r="BP61" s="224">
        <f t="shared" si="24"/>
        <v>0</v>
      </c>
      <c r="BQ61" s="257">
        <f t="shared" si="25"/>
        <v>0</v>
      </c>
    </row>
    <row r="62" spans="1:69">
      <c r="B62" s="238"/>
      <c r="C62" s="287"/>
      <c r="D62" s="288"/>
      <c r="E62" s="259"/>
      <c r="F62" s="259"/>
      <c r="G62" s="259"/>
      <c r="H62" s="259"/>
      <c r="I62" s="259"/>
      <c r="J62" s="259"/>
      <c r="K62" s="259"/>
      <c r="L62" s="259"/>
      <c r="M62" s="259"/>
      <c r="N62" s="259"/>
      <c r="O62" s="259"/>
      <c r="P62" s="259"/>
      <c r="Q62" s="289"/>
      <c r="R62" s="290"/>
      <c r="S62" s="290"/>
      <c r="T62" s="290"/>
      <c r="U62" s="290"/>
      <c r="V62" s="290"/>
      <c r="W62" s="290"/>
      <c r="X62" s="291"/>
      <c r="Z62" s="252"/>
      <c r="AA62" s="253"/>
      <c r="AB62" s="253"/>
      <c r="AC62" s="253"/>
      <c r="AD62" s="253"/>
      <c r="AE62" s="253"/>
      <c r="AF62" s="253"/>
      <c r="AG62" s="253"/>
      <c r="AH62" s="253"/>
      <c r="AI62" s="253"/>
      <c r="AJ62" s="253"/>
      <c r="AK62" s="253"/>
      <c r="AL62" s="254"/>
      <c r="AM62" s="253"/>
      <c r="AN62" s="253"/>
      <c r="AO62" s="253"/>
      <c r="AP62" s="253"/>
      <c r="AQ62" s="253"/>
      <c r="AR62" s="253"/>
      <c r="AS62" s="253"/>
      <c r="AT62" s="253"/>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24">
        <f t="shared" si="17"/>
        <v>0</v>
      </c>
      <c r="BJ62" s="224">
        <f t="shared" si="18"/>
        <v>0</v>
      </c>
      <c r="BK62" s="224">
        <f t="shared" si="19"/>
        <v>0</v>
      </c>
      <c r="BL62" s="224">
        <f t="shared" si="20"/>
        <v>0</v>
      </c>
      <c r="BM62" s="224">
        <f t="shared" si="21"/>
        <v>0</v>
      </c>
      <c r="BN62" s="224">
        <f t="shared" si="22"/>
        <v>0</v>
      </c>
      <c r="BO62" s="224">
        <f t="shared" si="23"/>
        <v>0</v>
      </c>
      <c r="BP62" s="224">
        <f t="shared" si="24"/>
        <v>0</v>
      </c>
      <c r="BQ62" s="257">
        <f t="shared" si="25"/>
        <v>0</v>
      </c>
    </row>
    <row r="63" spans="1:69">
      <c r="B63" s="238"/>
      <c r="C63" s="287"/>
      <c r="D63" s="288"/>
      <c r="E63" s="259"/>
      <c r="F63" s="259"/>
      <c r="G63" s="259"/>
      <c r="H63" s="259"/>
      <c r="I63" s="259"/>
      <c r="J63" s="259"/>
      <c r="K63" s="259"/>
      <c r="L63" s="259"/>
      <c r="M63" s="259"/>
      <c r="N63" s="259"/>
      <c r="O63" s="259"/>
      <c r="P63" s="259"/>
      <c r="Q63" s="289"/>
      <c r="R63" s="290"/>
      <c r="S63" s="290"/>
      <c r="T63" s="290"/>
      <c r="U63" s="290"/>
      <c r="V63" s="290"/>
      <c r="W63" s="290"/>
      <c r="X63" s="291"/>
      <c r="Z63" s="252"/>
      <c r="AA63" s="253"/>
      <c r="AB63" s="253"/>
      <c r="AC63" s="253"/>
      <c r="AD63" s="253"/>
      <c r="AE63" s="253"/>
      <c r="AF63" s="253"/>
      <c r="AG63" s="253"/>
      <c r="AH63" s="253"/>
      <c r="AI63" s="253"/>
      <c r="AJ63" s="253"/>
      <c r="AK63" s="253"/>
      <c r="AL63" s="254"/>
      <c r="AM63" s="253"/>
      <c r="AN63" s="253"/>
      <c r="AO63" s="253"/>
      <c r="AP63" s="253"/>
      <c r="AQ63" s="253"/>
      <c r="AR63" s="253"/>
      <c r="AS63" s="253"/>
      <c r="AT63" s="253"/>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24">
        <f t="shared" si="17"/>
        <v>0</v>
      </c>
      <c r="BJ63" s="224">
        <f t="shared" si="18"/>
        <v>0</v>
      </c>
      <c r="BK63" s="224">
        <f t="shared" si="19"/>
        <v>0</v>
      </c>
      <c r="BL63" s="224">
        <f t="shared" si="20"/>
        <v>0</v>
      </c>
      <c r="BM63" s="224">
        <f t="shared" si="21"/>
        <v>0</v>
      </c>
      <c r="BN63" s="224">
        <f t="shared" si="22"/>
        <v>0</v>
      </c>
      <c r="BO63" s="224">
        <f t="shared" si="23"/>
        <v>0</v>
      </c>
      <c r="BP63" s="224">
        <f t="shared" si="24"/>
        <v>0</v>
      </c>
      <c r="BQ63" s="257">
        <f t="shared" si="25"/>
        <v>0</v>
      </c>
    </row>
    <row r="64" spans="1:69">
      <c r="B64" s="238"/>
      <c r="C64" s="287"/>
      <c r="D64" s="288"/>
      <c r="E64" s="259"/>
      <c r="F64" s="259"/>
      <c r="G64" s="259"/>
      <c r="H64" s="259"/>
      <c r="I64" s="259"/>
      <c r="J64" s="259"/>
      <c r="K64" s="259"/>
      <c r="L64" s="259"/>
      <c r="M64" s="259"/>
      <c r="N64" s="259"/>
      <c r="O64" s="259"/>
      <c r="P64" s="259"/>
      <c r="Q64" s="289"/>
      <c r="R64" s="290"/>
      <c r="S64" s="290"/>
      <c r="T64" s="290"/>
      <c r="U64" s="290"/>
      <c r="V64" s="290"/>
      <c r="W64" s="290"/>
      <c r="X64" s="291"/>
      <c r="Z64" s="252"/>
      <c r="AA64" s="253"/>
      <c r="AB64" s="253"/>
      <c r="AC64" s="253"/>
      <c r="AD64" s="253"/>
      <c r="AE64" s="253"/>
      <c r="AF64" s="253"/>
      <c r="AG64" s="253"/>
      <c r="AH64" s="253"/>
      <c r="AI64" s="253"/>
      <c r="AJ64" s="253"/>
      <c r="AK64" s="253"/>
      <c r="AL64" s="254"/>
      <c r="AM64" s="253"/>
      <c r="AN64" s="253"/>
      <c r="AO64" s="253"/>
      <c r="AP64" s="253"/>
      <c r="AQ64" s="253"/>
      <c r="AR64" s="253"/>
      <c r="AS64" s="253"/>
      <c r="AT64" s="253"/>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24">
        <f t="shared" si="17"/>
        <v>0</v>
      </c>
      <c r="BJ64" s="224">
        <f t="shared" si="18"/>
        <v>0</v>
      </c>
      <c r="BK64" s="224">
        <f t="shared" si="19"/>
        <v>0</v>
      </c>
      <c r="BL64" s="224">
        <f t="shared" si="20"/>
        <v>0</v>
      </c>
      <c r="BM64" s="224">
        <f t="shared" si="21"/>
        <v>0</v>
      </c>
      <c r="BN64" s="224">
        <f t="shared" si="22"/>
        <v>0</v>
      </c>
      <c r="BO64" s="224">
        <f t="shared" si="23"/>
        <v>0</v>
      </c>
      <c r="BP64" s="224">
        <f t="shared" si="24"/>
        <v>0</v>
      </c>
      <c r="BQ64" s="257">
        <f t="shared" si="25"/>
        <v>0</v>
      </c>
    </row>
    <row r="65" spans="2:69" ht="13.5" thickBot="1">
      <c r="B65" s="262"/>
      <c r="C65" s="292"/>
      <c r="D65" s="293"/>
      <c r="E65" s="264"/>
      <c r="F65" s="264"/>
      <c r="G65" s="264"/>
      <c r="H65" s="264"/>
      <c r="I65" s="264"/>
      <c r="J65" s="264"/>
      <c r="K65" s="264"/>
      <c r="L65" s="264"/>
      <c r="M65" s="264"/>
      <c r="N65" s="264"/>
      <c r="O65" s="264"/>
      <c r="P65" s="264"/>
      <c r="Q65" s="294"/>
      <c r="R65" s="295"/>
      <c r="S65" s="295"/>
      <c r="T65" s="295"/>
      <c r="U65" s="295"/>
      <c r="V65" s="295"/>
      <c r="W65" s="295"/>
      <c r="X65" s="296"/>
      <c r="Z65" s="267"/>
      <c r="AA65" s="268"/>
      <c r="AB65" s="268"/>
      <c r="AC65" s="268"/>
      <c r="AD65" s="268"/>
      <c r="AE65" s="268"/>
      <c r="AF65" s="268"/>
      <c r="AG65" s="268"/>
      <c r="AH65" s="268"/>
      <c r="AI65" s="268"/>
      <c r="AJ65" s="268"/>
      <c r="AK65" s="268"/>
      <c r="AL65" s="269"/>
      <c r="AM65" s="268"/>
      <c r="AN65" s="268"/>
      <c r="AO65" s="268"/>
      <c r="AP65" s="268"/>
      <c r="AQ65" s="268"/>
      <c r="AR65" s="268"/>
      <c r="AS65" s="268"/>
      <c r="AT65" s="268"/>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1">
        <f t="shared" si="17"/>
        <v>0</v>
      </c>
      <c r="BJ65" s="271">
        <f t="shared" si="18"/>
        <v>0</v>
      </c>
      <c r="BK65" s="271">
        <f t="shared" si="19"/>
        <v>0</v>
      </c>
      <c r="BL65" s="271">
        <f t="shared" si="20"/>
        <v>0</v>
      </c>
      <c r="BM65" s="271">
        <f t="shared" si="21"/>
        <v>0</v>
      </c>
      <c r="BN65" s="271">
        <f t="shared" si="22"/>
        <v>0</v>
      </c>
      <c r="BO65" s="271">
        <f t="shared" si="23"/>
        <v>0</v>
      </c>
      <c r="BP65" s="271">
        <f t="shared" si="24"/>
        <v>0</v>
      </c>
      <c r="BQ65" s="273">
        <f t="shared" si="25"/>
        <v>0</v>
      </c>
    </row>
    <row r="66" spans="2:69" ht="13.5" thickBot="1">
      <c r="B66" s="274"/>
      <c r="C66" s="154"/>
      <c r="Z66" s="275">
        <f t="shared" ref="Z66:AL66" si="26">SUM(Z6:Z65)</f>
        <v>365938.91721318808</v>
      </c>
      <c r="AA66" s="275">
        <f t="shared" si="26"/>
        <v>1235940224.1841166</v>
      </c>
      <c r="AB66" s="275">
        <f t="shared" si="26"/>
        <v>2661223693.0817952</v>
      </c>
      <c r="AC66" s="275">
        <f t="shared" si="26"/>
        <v>0</v>
      </c>
      <c r="AD66" s="275">
        <f t="shared" si="26"/>
        <v>0</v>
      </c>
      <c r="AE66" s="275">
        <f t="shared" si="26"/>
        <v>1998672956.8881953</v>
      </c>
      <c r="AF66" s="275">
        <f t="shared" si="26"/>
        <v>0</v>
      </c>
      <c r="AG66" s="275">
        <f t="shared" si="26"/>
        <v>0</v>
      </c>
      <c r="AH66" s="275">
        <f t="shared" si="26"/>
        <v>0</v>
      </c>
      <c r="AI66" s="275">
        <f t="shared" si="26"/>
        <v>946704.44975214661</v>
      </c>
      <c r="AJ66" s="275">
        <f t="shared" si="26"/>
        <v>0</v>
      </c>
      <c r="AK66" s="275">
        <f t="shared" si="26"/>
        <v>1288686.2076889491</v>
      </c>
      <c r="AL66" s="275">
        <f t="shared" si="26"/>
        <v>2176828.85398266</v>
      </c>
      <c r="AM66" s="275">
        <f t="shared" ref="AM66:AT66" si="27">SUM(AM6:AM65)</f>
        <v>278510.92236634385</v>
      </c>
      <c r="AN66" s="275">
        <f t="shared" si="27"/>
        <v>467168.79569337569</v>
      </c>
      <c r="AO66" s="275">
        <f t="shared" si="27"/>
        <v>364966.73287545034</v>
      </c>
      <c r="AP66" s="275">
        <f t="shared" si="27"/>
        <v>0</v>
      </c>
      <c r="AQ66" s="275">
        <f t="shared" si="27"/>
        <v>1013688.2884133384</v>
      </c>
      <c r="AR66" s="275">
        <f t="shared" si="27"/>
        <v>1670241.1883880778</v>
      </c>
      <c r="AS66" s="275">
        <f t="shared" si="27"/>
        <v>1299163.2104853343</v>
      </c>
      <c r="AT66" s="275">
        <f t="shared" si="27"/>
        <v>0</v>
      </c>
      <c r="AV66" s="276">
        <f t="shared" ref="AV66:BP66" si="28">SUM(AV6:AV65)</f>
        <v>0</v>
      </c>
      <c r="AW66" s="275">
        <f t="shared" si="28"/>
        <v>588551.20147869398</v>
      </c>
      <c r="AX66" s="275">
        <f t="shared" si="28"/>
        <v>912983.9065425056</v>
      </c>
      <c r="AY66" s="275">
        <f t="shared" si="28"/>
        <v>0</v>
      </c>
      <c r="AZ66" s="275">
        <f t="shared" si="28"/>
        <v>0</v>
      </c>
      <c r="BA66" s="275">
        <f t="shared" si="28"/>
        <v>673038.75822355063</v>
      </c>
      <c r="BB66" s="275">
        <f t="shared" si="28"/>
        <v>0</v>
      </c>
      <c r="BC66" s="275">
        <f t="shared" si="28"/>
        <v>0</v>
      </c>
      <c r="BD66" s="275">
        <f t="shared" si="28"/>
        <v>0</v>
      </c>
      <c r="BE66" s="275">
        <f t="shared" si="28"/>
        <v>0</v>
      </c>
      <c r="BF66" s="275">
        <f t="shared" si="28"/>
        <v>0</v>
      </c>
      <c r="BG66" s="275">
        <f t="shared" si="28"/>
        <v>0</v>
      </c>
      <c r="BH66" s="275">
        <f t="shared" si="28"/>
        <v>0</v>
      </c>
      <c r="BI66" s="275">
        <f t="shared" si="28"/>
        <v>133.82655420005491</v>
      </c>
      <c r="BJ66" s="275">
        <f t="shared" si="28"/>
        <v>232.11169862159443</v>
      </c>
      <c r="BK66" s="275">
        <f t="shared" si="28"/>
        <v>178.02662470698849</v>
      </c>
      <c r="BL66" s="275">
        <f t="shared" si="28"/>
        <v>0</v>
      </c>
      <c r="BM66" s="275">
        <f t="shared" si="28"/>
        <v>487.69217892198532</v>
      </c>
      <c r="BN66" s="275">
        <f t="shared" si="28"/>
        <v>830.37865972860232</v>
      </c>
      <c r="BO66" s="275">
        <f t="shared" si="28"/>
        <v>636.40636351091871</v>
      </c>
      <c r="BP66" s="275">
        <f t="shared" si="28"/>
        <v>0</v>
      </c>
      <c r="BQ66" s="275">
        <f>SUM(AV66:BP66)</f>
        <v>2177072.3083244399</v>
      </c>
    </row>
    <row r="67" spans="2:69" ht="13.5" thickTop="1">
      <c r="B67" s="274"/>
      <c r="C67" s="154"/>
    </row>
    <row r="68" spans="2:69">
      <c r="B68" s="274"/>
      <c r="C68" s="154"/>
      <c r="BQ68" s="324"/>
    </row>
    <row r="69" spans="2:69">
      <c r="B69" s="274"/>
      <c r="C69" s="154"/>
    </row>
    <row r="70" spans="2:69">
      <c r="B70" s="274"/>
      <c r="C70" s="154"/>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row r="103" spans="2:3">
      <c r="B103" s="274"/>
      <c r="C103" s="154"/>
    </row>
    <row r="104" spans="2:3">
      <c r="B104" s="274"/>
      <c r="C104" s="154"/>
    </row>
    <row r="105" spans="2:3">
      <c r="B105" s="274"/>
      <c r="C105" s="154"/>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15"/>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BQ66" sqref="BQ66"/>
    </sheetView>
  </sheetViews>
  <sheetFormatPr defaultRowHeight="12.75"/>
  <cols>
    <col min="1" max="1" width="9.5703125" style="199" bestFit="1"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3" t="str">
        <f>"Tariff Approval - "&amp;'Model update'!C3</f>
        <v>Tariff Approval - CitiPower</v>
      </c>
    </row>
    <row r="3" spans="1:69">
      <c r="B3" s="227" t="str">
        <f>"ESTIMATED "&amp;'Model update'!C8&amp;" JURISDICTIONAL SCHEME REVENUE"</f>
        <v>ESTIMATED 2017 JURISDICTIONAL SCHEME REVENUE</v>
      </c>
    </row>
    <row r="4" spans="1:69" ht="13.5" thickBot="1">
      <c r="D4" s="229" t="str">
        <f>"Current Jurisdictional scheme Tariffs (Pt-1) for "&amp;'Model update'!$C$8</f>
        <v>Current Jurisdictional scheme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242</v>
      </c>
      <c r="E5" s="235" t="s">
        <v>625</v>
      </c>
      <c r="F5" s="235" t="s">
        <v>626</v>
      </c>
      <c r="G5" s="235"/>
      <c r="H5" s="235"/>
      <c r="I5" s="235" t="s">
        <v>259</v>
      </c>
      <c r="J5" s="235"/>
      <c r="K5" s="235"/>
      <c r="L5" s="235"/>
      <c r="M5" s="235" t="s">
        <v>627</v>
      </c>
      <c r="N5" s="235" t="s">
        <v>628</v>
      </c>
      <c r="O5" s="235" t="s">
        <v>629</v>
      </c>
      <c r="P5" s="235" t="s">
        <v>630</v>
      </c>
      <c r="Q5" s="236" t="s">
        <v>243</v>
      </c>
      <c r="R5" s="235" t="s">
        <v>244</v>
      </c>
      <c r="S5" s="235" t="s">
        <v>245</v>
      </c>
      <c r="T5" s="235"/>
      <c r="U5" s="235" t="s">
        <v>246</v>
      </c>
      <c r="V5" s="235" t="s">
        <v>247</v>
      </c>
      <c r="W5" s="235" t="s">
        <v>248</v>
      </c>
      <c r="X5" s="237"/>
      <c r="Z5" s="234" t="s">
        <v>260</v>
      </c>
      <c r="AA5" s="235" t="s">
        <v>631</v>
      </c>
      <c r="AB5" s="235" t="s">
        <v>632</v>
      </c>
      <c r="AC5" s="235"/>
      <c r="AD5" s="235"/>
      <c r="AE5" s="235" t="s">
        <v>651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652</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c r="BQ5" s="237" t="s">
        <v>258</v>
      </c>
    </row>
    <row r="6" spans="1:69">
      <c r="B6" s="238"/>
      <c r="D6" s="239"/>
      <c r="E6" s="240"/>
      <c r="F6" s="240"/>
      <c r="G6" s="240"/>
      <c r="H6" s="240"/>
      <c r="I6" s="240"/>
      <c r="J6" s="240"/>
      <c r="K6" s="240"/>
      <c r="L6" s="240"/>
      <c r="M6" s="241"/>
      <c r="N6" s="241"/>
      <c r="O6" s="241"/>
      <c r="P6" s="241"/>
      <c r="Q6" s="241"/>
      <c r="R6" s="241"/>
      <c r="S6" s="241"/>
      <c r="T6" s="241"/>
      <c r="U6" s="241"/>
      <c r="V6" s="241"/>
      <c r="W6" s="241"/>
      <c r="X6" s="242"/>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46">
        <f t="shared" ref="BI6:BP6"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1:69">
      <c r="A7" s="748" t="s">
        <v>778</v>
      </c>
      <c r="B7" s="750" t="s">
        <v>546</v>
      </c>
      <c r="C7" s="277"/>
      <c r="D7" s="249">
        <v>0</v>
      </c>
      <c r="E7" s="250">
        <v>0.04</v>
      </c>
      <c r="F7" s="250">
        <v>0</v>
      </c>
      <c r="G7" s="250"/>
      <c r="H7" s="250"/>
      <c r="I7" s="250">
        <v>0</v>
      </c>
      <c r="J7" s="250"/>
      <c r="K7" s="250"/>
      <c r="L7" s="250"/>
      <c r="M7" s="250">
        <v>0</v>
      </c>
      <c r="N7" s="250"/>
      <c r="O7" s="250">
        <v>0</v>
      </c>
      <c r="P7" s="250">
        <v>0</v>
      </c>
      <c r="Q7" s="250">
        <v>0</v>
      </c>
      <c r="R7" s="250">
        <v>0</v>
      </c>
      <c r="S7" s="250">
        <v>0</v>
      </c>
      <c r="T7" s="250"/>
      <c r="U7" s="250">
        <v>0</v>
      </c>
      <c r="V7" s="250">
        <v>0</v>
      </c>
      <c r="W7" s="250">
        <v>0</v>
      </c>
      <c r="X7" s="278"/>
      <c r="Z7" s="279">
        <f>Est2017TransRev!Z7</f>
        <v>203103.28638840039</v>
      </c>
      <c r="AA7" s="253">
        <f>Est2017TransRev!AA7</f>
        <v>816843244.44685483</v>
      </c>
      <c r="AB7" s="253">
        <f>Est2017TransRev!AB7</f>
        <v>0</v>
      </c>
      <c r="AC7" s="253">
        <f>Est2017TransRev!AC7</f>
        <v>0</v>
      </c>
      <c r="AD7" s="253">
        <f>Est2017TransRev!AD7</f>
        <v>0</v>
      </c>
      <c r="AE7" s="253">
        <f>Est2017TransRev!AE7</f>
        <v>0</v>
      </c>
      <c r="AF7" s="253">
        <f>Est2017TransRev!AF7</f>
        <v>0</v>
      </c>
      <c r="AG7" s="253">
        <f>Est2017TransRev!AG7</f>
        <v>0</v>
      </c>
      <c r="AH7" s="253">
        <f>Est2017TransRev!AH7</f>
        <v>0</v>
      </c>
      <c r="AI7" s="253">
        <f>Est2017TransRev!AI7</f>
        <v>0</v>
      </c>
      <c r="AJ7" s="253">
        <f>Est2017TransRev!AJ7</f>
        <v>0</v>
      </c>
      <c r="AK7" s="253">
        <f>Est2017TransRev!AK7</f>
        <v>0</v>
      </c>
      <c r="AL7" s="253">
        <f>Est2017TransRev!AL7</f>
        <v>0</v>
      </c>
      <c r="AM7" s="253">
        <f>Est2017TransRev!AM7</f>
        <v>0</v>
      </c>
      <c r="AN7" s="253">
        <f>Est2017TransRev!AN7</f>
        <v>0</v>
      </c>
      <c r="AO7" s="253">
        <f>Est2017TransRev!AO7</f>
        <v>0</v>
      </c>
      <c r="AP7" s="253">
        <f>Est2017TransRev!AP7</f>
        <v>0</v>
      </c>
      <c r="AQ7" s="253">
        <f>Est2017TransRev!AQ7</f>
        <v>0</v>
      </c>
      <c r="AR7" s="253">
        <f>Est2017TransRev!AR7</f>
        <v>0</v>
      </c>
      <c r="AS7" s="253">
        <f>Est2017TransRev!AS7</f>
        <v>0</v>
      </c>
      <c r="AT7" s="280"/>
      <c r="AV7" s="255">
        <f t="shared" ref="AV7:AV65" si="4">D7*Z7</f>
        <v>0</v>
      </c>
      <c r="AW7" s="224">
        <f t="shared" ref="AW7:AW65" si="5">E7/100*AA7</f>
        <v>326737.29777874192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56">
        <f t="shared" ref="BI7:BI65" si="17">Q7/100*AM7</f>
        <v>0</v>
      </c>
      <c r="BJ7" s="256">
        <f t="shared" ref="BJ7:BJ65" si="18">R7/100*AN7</f>
        <v>0</v>
      </c>
      <c r="BK7" s="256">
        <f t="shared" ref="BK7:BK65" si="19">S7/100*AO7</f>
        <v>0</v>
      </c>
      <c r="BL7" s="256">
        <f t="shared" ref="BL7:BL65" si="20">T7/100*AP7</f>
        <v>0</v>
      </c>
      <c r="BM7" s="256">
        <f t="shared" ref="BM7:BM65" si="21">U7/100*AQ7</f>
        <v>0</v>
      </c>
      <c r="BN7" s="256">
        <f t="shared" ref="BN7:BN65" si="22">V7/100*AR7</f>
        <v>0</v>
      </c>
      <c r="BO7" s="256">
        <f t="shared" ref="BO7:BO65" si="23">W7/100*AS7</f>
        <v>0</v>
      </c>
      <c r="BP7" s="256">
        <f t="shared" ref="BP7:BP65" si="24">X7/100*AT7</f>
        <v>0</v>
      </c>
      <c r="BQ7" s="257">
        <f t="shared" ref="BQ7:BQ65" si="25">SUM(AV7:BP7)</f>
        <v>326737.29777874192</v>
      </c>
    </row>
    <row r="8" spans="1:69">
      <c r="A8" s="748" t="s">
        <v>779</v>
      </c>
      <c r="B8" s="750" t="s">
        <v>547</v>
      </c>
      <c r="C8" s="277"/>
      <c r="D8" s="249">
        <v>0</v>
      </c>
      <c r="E8" s="250">
        <v>0.04</v>
      </c>
      <c r="F8" s="250">
        <v>0</v>
      </c>
      <c r="G8" s="250"/>
      <c r="H8" s="250"/>
      <c r="I8" s="250">
        <v>0</v>
      </c>
      <c r="J8" s="250"/>
      <c r="K8" s="250"/>
      <c r="L8" s="250"/>
      <c r="M8" s="250">
        <v>0</v>
      </c>
      <c r="N8" s="250"/>
      <c r="O8" s="250">
        <v>0</v>
      </c>
      <c r="P8" s="250">
        <v>0</v>
      </c>
      <c r="Q8" s="250">
        <v>0</v>
      </c>
      <c r="R8" s="250">
        <v>0</v>
      </c>
      <c r="S8" s="250">
        <v>0</v>
      </c>
      <c r="T8" s="250"/>
      <c r="U8" s="250">
        <v>0</v>
      </c>
      <c r="V8" s="250">
        <v>0</v>
      </c>
      <c r="W8" s="250">
        <v>0</v>
      </c>
      <c r="X8" s="278"/>
      <c r="Z8" s="279">
        <f>Est2017TransRev!Z8</f>
        <v>30973.485625911526</v>
      </c>
      <c r="AA8" s="253">
        <f>Est2017TransRev!AA8</f>
        <v>103150672.29569083</v>
      </c>
      <c r="AB8" s="253">
        <f>Est2017TransRev!AB8</f>
        <v>0</v>
      </c>
      <c r="AC8" s="253">
        <f>Est2017TransRev!AC8</f>
        <v>0</v>
      </c>
      <c r="AD8" s="253">
        <f>Est2017TransRev!AD8</f>
        <v>0</v>
      </c>
      <c r="AE8" s="253">
        <f>Est2017TransRev!AE8</f>
        <v>0</v>
      </c>
      <c r="AF8" s="253">
        <f>Est2017TransRev!AF8</f>
        <v>0</v>
      </c>
      <c r="AG8" s="253">
        <f>Est2017TransRev!AG8</f>
        <v>0</v>
      </c>
      <c r="AH8" s="253">
        <f>Est2017TransRev!AH8</f>
        <v>0</v>
      </c>
      <c r="AI8" s="253">
        <f>Est2017TransRev!AI8</f>
        <v>0</v>
      </c>
      <c r="AJ8" s="253">
        <f>Est2017TransRev!AJ8</f>
        <v>0</v>
      </c>
      <c r="AK8" s="253">
        <f>Est2017TransRev!AK8</f>
        <v>0</v>
      </c>
      <c r="AL8" s="253">
        <f>Est2017TransRev!AL8</f>
        <v>0</v>
      </c>
      <c r="AM8" s="253">
        <f>Est2017TransRev!AM8</f>
        <v>0</v>
      </c>
      <c r="AN8" s="253">
        <f>Est2017TransRev!AN8</f>
        <v>0</v>
      </c>
      <c r="AO8" s="253">
        <f>Est2017TransRev!AO8</f>
        <v>0</v>
      </c>
      <c r="AP8" s="253">
        <f>Est2017TransRev!AP8</f>
        <v>0</v>
      </c>
      <c r="AQ8" s="253">
        <f>Est2017TransRev!AQ8</f>
        <v>0</v>
      </c>
      <c r="AR8" s="253">
        <f>Est2017TransRev!AR8</f>
        <v>0</v>
      </c>
      <c r="AS8" s="253">
        <f>Est2017TransRev!AS8</f>
        <v>0</v>
      </c>
      <c r="AT8" s="280"/>
      <c r="AV8" s="255">
        <f t="shared" si="4"/>
        <v>0</v>
      </c>
      <c r="AW8" s="224">
        <f t="shared" si="5"/>
        <v>41260.268918276335</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56">
        <f t="shared" si="17"/>
        <v>0</v>
      </c>
      <c r="BJ8" s="256">
        <f t="shared" si="18"/>
        <v>0</v>
      </c>
      <c r="BK8" s="256">
        <f t="shared" si="19"/>
        <v>0</v>
      </c>
      <c r="BL8" s="256">
        <f t="shared" si="20"/>
        <v>0</v>
      </c>
      <c r="BM8" s="256">
        <f t="shared" si="21"/>
        <v>0</v>
      </c>
      <c r="BN8" s="256">
        <f t="shared" si="22"/>
        <v>0</v>
      </c>
      <c r="BO8" s="256">
        <f t="shared" si="23"/>
        <v>0</v>
      </c>
      <c r="BP8" s="256">
        <f t="shared" si="24"/>
        <v>0</v>
      </c>
      <c r="BQ8" s="257">
        <f t="shared" si="25"/>
        <v>41260.268918276335</v>
      </c>
    </row>
    <row r="9" spans="1:69">
      <c r="A9" s="748" t="s">
        <v>780</v>
      </c>
      <c r="B9" s="750" t="s">
        <v>548</v>
      </c>
      <c r="C9" s="277"/>
      <c r="D9" s="249">
        <v>0</v>
      </c>
      <c r="E9" s="250">
        <v>0</v>
      </c>
      <c r="F9" s="250">
        <v>0</v>
      </c>
      <c r="G9" s="250"/>
      <c r="H9" s="250"/>
      <c r="I9" s="250">
        <v>0</v>
      </c>
      <c r="J9" s="250"/>
      <c r="K9" s="250"/>
      <c r="L9" s="250"/>
      <c r="M9" s="250">
        <v>0</v>
      </c>
      <c r="N9" s="250"/>
      <c r="O9" s="250">
        <v>0</v>
      </c>
      <c r="P9" s="250">
        <v>0</v>
      </c>
      <c r="Q9" s="250">
        <v>0.04</v>
      </c>
      <c r="R9" s="250">
        <v>0.04</v>
      </c>
      <c r="S9" s="250">
        <v>0.04</v>
      </c>
      <c r="T9" s="250"/>
      <c r="U9" s="250">
        <v>0.04</v>
      </c>
      <c r="V9" s="250">
        <v>0.04</v>
      </c>
      <c r="W9" s="250">
        <v>0.04</v>
      </c>
      <c r="X9" s="278"/>
      <c r="Z9" s="279">
        <f>Est2017TransRev!Z9</f>
        <v>686.15047014732033</v>
      </c>
      <c r="AA9" s="253">
        <f>Est2017TransRev!AA9</f>
        <v>0</v>
      </c>
      <c r="AB9" s="253">
        <f>Est2017TransRev!AB9</f>
        <v>0</v>
      </c>
      <c r="AC9" s="253">
        <f>Est2017TransRev!AC9</f>
        <v>0</v>
      </c>
      <c r="AD9" s="253">
        <f>Est2017TransRev!AD9</f>
        <v>0</v>
      </c>
      <c r="AE9" s="253">
        <f>Est2017TransRev!AE9</f>
        <v>0</v>
      </c>
      <c r="AF9" s="253">
        <f>Est2017TransRev!AF9</f>
        <v>0</v>
      </c>
      <c r="AG9" s="253">
        <f>Est2017TransRev!AG9</f>
        <v>0</v>
      </c>
      <c r="AH9" s="253">
        <f>Est2017TransRev!AH9</f>
        <v>0</v>
      </c>
      <c r="AI9" s="253">
        <f>Est2017TransRev!AI9</f>
        <v>0</v>
      </c>
      <c r="AJ9" s="253">
        <f>Est2017TransRev!AJ9</f>
        <v>0</v>
      </c>
      <c r="AK9" s="253">
        <f>Est2017TransRev!AK9</f>
        <v>0</v>
      </c>
      <c r="AL9" s="253">
        <f>Est2017TransRev!AL9</f>
        <v>0</v>
      </c>
      <c r="AM9" s="253">
        <f>Est2017TransRev!AM9</f>
        <v>613112.2927184531</v>
      </c>
      <c r="AN9" s="253">
        <f>Est2017TransRev!AN9</f>
        <v>1019088.4572577983</v>
      </c>
      <c r="AO9" s="253">
        <f>Est2017TransRev!AO9</f>
        <v>1354084.1381026416</v>
      </c>
      <c r="AP9" s="253">
        <f>Est2017TransRev!AP9</f>
        <v>0</v>
      </c>
      <c r="AQ9" s="253">
        <f>Est2017TransRev!AQ9</f>
        <v>912417.22340044903</v>
      </c>
      <c r="AR9" s="253">
        <f>Est2017TransRev!AR9</f>
        <v>1605132.6982495736</v>
      </c>
      <c r="AS9" s="253">
        <f>Est2017TransRev!AS9</f>
        <v>1774541.3742083055</v>
      </c>
      <c r="AT9" s="280"/>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56">
        <f t="shared" si="17"/>
        <v>245.24491708738125</v>
      </c>
      <c r="BJ9" s="256">
        <f t="shared" si="18"/>
        <v>407.63538290311936</v>
      </c>
      <c r="BK9" s="256">
        <f t="shared" si="19"/>
        <v>541.63365524105666</v>
      </c>
      <c r="BL9" s="256">
        <f t="shared" si="20"/>
        <v>0</v>
      </c>
      <c r="BM9" s="256">
        <f t="shared" si="21"/>
        <v>364.96688936017961</v>
      </c>
      <c r="BN9" s="256">
        <f t="shared" si="22"/>
        <v>642.05307929982951</v>
      </c>
      <c r="BO9" s="256">
        <f t="shared" si="23"/>
        <v>709.81654968332225</v>
      </c>
      <c r="BP9" s="256">
        <f t="shared" si="24"/>
        <v>0</v>
      </c>
      <c r="BQ9" s="257">
        <f t="shared" si="25"/>
        <v>2911.3504735748888</v>
      </c>
    </row>
    <row r="10" spans="1:69">
      <c r="A10" s="748" t="s">
        <v>781</v>
      </c>
      <c r="B10" s="750" t="s">
        <v>549</v>
      </c>
      <c r="C10" s="277"/>
      <c r="D10" s="249">
        <v>0</v>
      </c>
      <c r="E10" s="250">
        <v>0</v>
      </c>
      <c r="F10" s="250">
        <v>0</v>
      </c>
      <c r="G10" s="250"/>
      <c r="H10" s="250"/>
      <c r="I10" s="250">
        <v>0</v>
      </c>
      <c r="J10" s="250"/>
      <c r="K10" s="250"/>
      <c r="L10" s="250"/>
      <c r="M10" s="250">
        <v>0</v>
      </c>
      <c r="N10" s="250"/>
      <c r="O10" s="250">
        <v>0</v>
      </c>
      <c r="P10" s="250">
        <v>0</v>
      </c>
      <c r="Q10" s="250">
        <v>0.04</v>
      </c>
      <c r="R10" s="250">
        <v>0.04</v>
      </c>
      <c r="S10" s="250">
        <v>0.04</v>
      </c>
      <c r="T10" s="250"/>
      <c r="U10" s="250">
        <v>0.04</v>
      </c>
      <c r="V10" s="250">
        <v>0.04</v>
      </c>
      <c r="W10" s="250">
        <v>0.04</v>
      </c>
      <c r="X10" s="278"/>
      <c r="Z10" s="279">
        <f>Est2017TransRev!Z10</f>
        <v>86.713471080163117</v>
      </c>
      <c r="AA10" s="253">
        <f>Est2017TransRev!AA10</f>
        <v>0</v>
      </c>
      <c r="AB10" s="253">
        <f>Est2017TransRev!AB10</f>
        <v>0</v>
      </c>
      <c r="AC10" s="253">
        <f>Est2017TransRev!AC10</f>
        <v>0</v>
      </c>
      <c r="AD10" s="253">
        <f>Est2017TransRev!AD10</f>
        <v>0</v>
      </c>
      <c r="AE10" s="253">
        <f>Est2017TransRev!AE10</f>
        <v>0</v>
      </c>
      <c r="AF10" s="253">
        <f>Est2017TransRev!AF10</f>
        <v>0</v>
      </c>
      <c r="AG10" s="253">
        <f>Est2017TransRev!AG10</f>
        <v>0</v>
      </c>
      <c r="AH10" s="253">
        <f>Est2017TransRev!AH10</f>
        <v>0</v>
      </c>
      <c r="AI10" s="253">
        <f>Est2017TransRev!AI10</f>
        <v>0</v>
      </c>
      <c r="AJ10" s="253">
        <f>Est2017TransRev!AJ10</f>
        <v>0</v>
      </c>
      <c r="AK10" s="253">
        <f>Est2017TransRev!AK10</f>
        <v>0</v>
      </c>
      <c r="AL10" s="253">
        <f>Est2017TransRev!AL10</f>
        <v>0</v>
      </c>
      <c r="AM10" s="253">
        <f>Est2017TransRev!AM10</f>
        <v>39544.135143470819</v>
      </c>
      <c r="AN10" s="253">
        <f>Est2017TransRev!AN10</f>
        <v>85152.124455447716</v>
      </c>
      <c r="AO10" s="253">
        <f>Est2017TransRev!AO10</f>
        <v>65541.547412092608</v>
      </c>
      <c r="AP10" s="253">
        <f>Est2017TransRev!AP10</f>
        <v>0</v>
      </c>
      <c r="AQ10" s="253">
        <f>Est2017TransRev!AQ10</f>
        <v>61520.788290843069</v>
      </c>
      <c r="AR10" s="253">
        <f>Est2017TransRev!AR10</f>
        <v>127962.42988467065</v>
      </c>
      <c r="AS10" s="253">
        <f>Est2017TransRev!AS10</f>
        <v>100190.34543430145</v>
      </c>
      <c r="AT10" s="280"/>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56">
        <f t="shared" si="17"/>
        <v>15.817654057388328</v>
      </c>
      <c r="BJ10" s="256">
        <f t="shared" si="18"/>
        <v>34.060849782179091</v>
      </c>
      <c r="BK10" s="256">
        <f t="shared" si="19"/>
        <v>26.216618964837046</v>
      </c>
      <c r="BL10" s="256">
        <f t="shared" si="20"/>
        <v>0</v>
      </c>
      <c r="BM10" s="256">
        <f t="shared" si="21"/>
        <v>24.608315316337229</v>
      </c>
      <c r="BN10" s="256">
        <f t="shared" si="22"/>
        <v>51.184971953868263</v>
      </c>
      <c r="BO10" s="256">
        <f t="shared" si="23"/>
        <v>40.07613817372058</v>
      </c>
      <c r="BP10" s="256">
        <f t="shared" si="24"/>
        <v>0</v>
      </c>
      <c r="BQ10" s="257">
        <f t="shared" si="25"/>
        <v>191.96454824833054</v>
      </c>
    </row>
    <row r="11" spans="1:69">
      <c r="A11" s="748" t="s">
        <v>782</v>
      </c>
      <c r="B11" s="750" t="s">
        <v>550</v>
      </c>
      <c r="C11" s="277"/>
      <c r="D11" s="249">
        <v>0</v>
      </c>
      <c r="E11" s="250">
        <v>0</v>
      </c>
      <c r="F11" s="250">
        <v>0.04</v>
      </c>
      <c r="G11" s="250"/>
      <c r="H11" s="250"/>
      <c r="I11" s="250">
        <v>0.04</v>
      </c>
      <c r="J11" s="250"/>
      <c r="K11" s="250"/>
      <c r="L11" s="250"/>
      <c r="M11" s="250">
        <v>0</v>
      </c>
      <c r="N11" s="250"/>
      <c r="O11" s="250">
        <v>0</v>
      </c>
      <c r="P11" s="250">
        <v>0</v>
      </c>
      <c r="Q11" s="250">
        <v>0</v>
      </c>
      <c r="R11" s="250">
        <v>0</v>
      </c>
      <c r="S11" s="250">
        <v>0</v>
      </c>
      <c r="T11" s="250"/>
      <c r="U11" s="250">
        <v>0</v>
      </c>
      <c r="V11" s="250">
        <v>0</v>
      </c>
      <c r="W11" s="250">
        <v>0</v>
      </c>
      <c r="X11" s="278"/>
      <c r="Z11" s="279">
        <f>Est2017TransRev!Z11</f>
        <v>11014.749131530216</v>
      </c>
      <c r="AA11" s="253">
        <f>Est2017TransRev!AA11</f>
        <v>0</v>
      </c>
      <c r="AB11" s="253">
        <f>Est2017TransRev!AB11</f>
        <v>33935307.571711652</v>
      </c>
      <c r="AC11" s="253">
        <f>Est2017TransRev!AC11</f>
        <v>0</v>
      </c>
      <c r="AD11" s="253">
        <f>Est2017TransRev!AD11</f>
        <v>0</v>
      </c>
      <c r="AE11" s="253">
        <f>Est2017TransRev!AE11</f>
        <v>28095960.830560345</v>
      </c>
      <c r="AF11" s="253">
        <f>Est2017TransRev!AF11</f>
        <v>0</v>
      </c>
      <c r="AG11" s="253">
        <f>Est2017TransRev!AG11</f>
        <v>0</v>
      </c>
      <c r="AH11" s="253">
        <f>Est2017TransRev!AH11</f>
        <v>0</v>
      </c>
      <c r="AI11" s="253">
        <f>Est2017TransRev!AI11</f>
        <v>0</v>
      </c>
      <c r="AJ11" s="253">
        <f>Est2017TransRev!AJ11</f>
        <v>0</v>
      </c>
      <c r="AK11" s="253">
        <f>Est2017TransRev!AK11</f>
        <v>0</v>
      </c>
      <c r="AL11" s="253">
        <f>Est2017TransRev!AL11</f>
        <v>0</v>
      </c>
      <c r="AM11" s="253">
        <f>Est2017TransRev!AM11</f>
        <v>0</v>
      </c>
      <c r="AN11" s="253">
        <f>Est2017TransRev!AN11</f>
        <v>0</v>
      </c>
      <c r="AO11" s="253">
        <f>Est2017TransRev!AO11</f>
        <v>0</v>
      </c>
      <c r="AP11" s="253">
        <f>Est2017TransRev!AP11</f>
        <v>0</v>
      </c>
      <c r="AQ11" s="253">
        <f>Est2017TransRev!AQ11</f>
        <v>0</v>
      </c>
      <c r="AR11" s="253">
        <f>Est2017TransRev!AR11</f>
        <v>0</v>
      </c>
      <c r="AS11" s="253">
        <f>Est2017TransRev!AS11</f>
        <v>0</v>
      </c>
      <c r="AT11" s="280"/>
      <c r="AV11" s="255">
        <f t="shared" si="4"/>
        <v>0</v>
      </c>
      <c r="AW11" s="224">
        <f t="shared" si="5"/>
        <v>0</v>
      </c>
      <c r="AX11" s="224">
        <f t="shared" si="6"/>
        <v>13574.123028684662</v>
      </c>
      <c r="AY11" s="224">
        <f t="shared" si="7"/>
        <v>0</v>
      </c>
      <c r="AZ11" s="224">
        <f t="shared" si="8"/>
        <v>0</v>
      </c>
      <c r="BA11" s="224">
        <f t="shared" si="9"/>
        <v>11238.384332224139</v>
      </c>
      <c r="BB11" s="224">
        <f t="shared" si="10"/>
        <v>0</v>
      </c>
      <c r="BC11" s="224">
        <f t="shared" si="11"/>
        <v>0</v>
      </c>
      <c r="BD11" s="224">
        <f t="shared" si="12"/>
        <v>0</v>
      </c>
      <c r="BE11" s="224">
        <f t="shared" si="13"/>
        <v>0</v>
      </c>
      <c r="BF11" s="224">
        <f t="shared" si="14"/>
        <v>0</v>
      </c>
      <c r="BG11" s="224">
        <f t="shared" si="15"/>
        <v>0</v>
      </c>
      <c r="BH11" s="224">
        <f t="shared" si="16"/>
        <v>0</v>
      </c>
      <c r="BI11" s="256">
        <f t="shared" si="17"/>
        <v>0</v>
      </c>
      <c r="BJ11" s="256">
        <f t="shared" si="18"/>
        <v>0</v>
      </c>
      <c r="BK11" s="256">
        <f t="shared" si="19"/>
        <v>0</v>
      </c>
      <c r="BL11" s="256">
        <f t="shared" si="20"/>
        <v>0</v>
      </c>
      <c r="BM11" s="256">
        <f t="shared" si="21"/>
        <v>0</v>
      </c>
      <c r="BN11" s="256">
        <f t="shared" si="22"/>
        <v>0</v>
      </c>
      <c r="BO11" s="256">
        <f t="shared" si="23"/>
        <v>0</v>
      </c>
      <c r="BP11" s="256">
        <f t="shared" si="24"/>
        <v>0</v>
      </c>
      <c r="BQ11" s="257">
        <f t="shared" si="25"/>
        <v>24812.507360908799</v>
      </c>
    </row>
    <row r="12" spans="1:69">
      <c r="A12" s="748" t="s">
        <v>783</v>
      </c>
      <c r="B12" s="750" t="s">
        <v>551</v>
      </c>
      <c r="C12" s="277"/>
      <c r="D12" s="249">
        <v>0</v>
      </c>
      <c r="E12" s="250">
        <v>0</v>
      </c>
      <c r="F12" s="250">
        <v>0.04</v>
      </c>
      <c r="G12" s="250"/>
      <c r="H12" s="250"/>
      <c r="I12" s="250">
        <v>0.04</v>
      </c>
      <c r="J12" s="250"/>
      <c r="K12" s="250"/>
      <c r="L12" s="250"/>
      <c r="M12" s="250">
        <v>0</v>
      </c>
      <c r="N12" s="250"/>
      <c r="O12" s="250">
        <v>0</v>
      </c>
      <c r="P12" s="250">
        <v>0</v>
      </c>
      <c r="Q12" s="250">
        <v>0</v>
      </c>
      <c r="R12" s="250">
        <v>0</v>
      </c>
      <c r="S12" s="250">
        <v>0</v>
      </c>
      <c r="T12" s="250"/>
      <c r="U12" s="250">
        <v>0</v>
      </c>
      <c r="V12" s="250">
        <v>0</v>
      </c>
      <c r="W12" s="250">
        <v>0</v>
      </c>
      <c r="X12" s="278"/>
      <c r="Z12" s="279">
        <f>Est2017TransRev!Z12</f>
        <v>4381.6195226463469</v>
      </c>
      <c r="AA12" s="253">
        <f>Est2017TransRev!AA12</f>
        <v>0</v>
      </c>
      <c r="AB12" s="253">
        <f>Est2017TransRev!AB12</f>
        <v>11832075.647953285</v>
      </c>
      <c r="AC12" s="253">
        <f>Est2017TransRev!AC12</f>
        <v>0</v>
      </c>
      <c r="AD12" s="253">
        <f>Est2017TransRev!AD12</f>
        <v>0</v>
      </c>
      <c r="AE12" s="253">
        <f>Est2017TransRev!AE12</f>
        <v>9272614.9214595798</v>
      </c>
      <c r="AF12" s="253">
        <f>Est2017TransRev!AF12</f>
        <v>0</v>
      </c>
      <c r="AG12" s="253">
        <f>Est2017TransRev!AG12</f>
        <v>0</v>
      </c>
      <c r="AH12" s="253">
        <f>Est2017TransRev!AH12</f>
        <v>0</v>
      </c>
      <c r="AI12" s="253">
        <f>Est2017TransRev!AI12</f>
        <v>0</v>
      </c>
      <c r="AJ12" s="253">
        <f>Est2017TransRev!AJ12</f>
        <v>0</v>
      </c>
      <c r="AK12" s="253">
        <f>Est2017TransRev!AK12</f>
        <v>0</v>
      </c>
      <c r="AL12" s="253">
        <f>Est2017TransRev!AL12</f>
        <v>0</v>
      </c>
      <c r="AM12" s="253">
        <f>Est2017TransRev!AM12</f>
        <v>0</v>
      </c>
      <c r="AN12" s="253">
        <f>Est2017TransRev!AN12</f>
        <v>0</v>
      </c>
      <c r="AO12" s="253">
        <f>Est2017TransRev!AO12</f>
        <v>0</v>
      </c>
      <c r="AP12" s="253">
        <f>Est2017TransRev!AP12</f>
        <v>0</v>
      </c>
      <c r="AQ12" s="253">
        <f>Est2017TransRev!AQ12</f>
        <v>0</v>
      </c>
      <c r="AR12" s="253">
        <f>Est2017TransRev!AR12</f>
        <v>0</v>
      </c>
      <c r="AS12" s="253">
        <f>Est2017TransRev!AS12</f>
        <v>0</v>
      </c>
      <c r="AT12" s="280"/>
      <c r="AV12" s="255">
        <f t="shared" si="4"/>
        <v>0</v>
      </c>
      <c r="AW12" s="224">
        <f t="shared" si="5"/>
        <v>0</v>
      </c>
      <c r="AX12" s="224">
        <f t="shared" si="6"/>
        <v>4732.8302591813144</v>
      </c>
      <c r="AY12" s="224">
        <f t="shared" si="7"/>
        <v>0</v>
      </c>
      <c r="AZ12" s="224">
        <f t="shared" si="8"/>
        <v>0</v>
      </c>
      <c r="BA12" s="224">
        <f t="shared" si="9"/>
        <v>3709.0459685838323</v>
      </c>
      <c r="BB12" s="224">
        <f t="shared" si="10"/>
        <v>0</v>
      </c>
      <c r="BC12" s="224">
        <f t="shared" si="11"/>
        <v>0</v>
      </c>
      <c r="BD12" s="224">
        <f t="shared" si="12"/>
        <v>0</v>
      </c>
      <c r="BE12" s="224">
        <f t="shared" si="13"/>
        <v>0</v>
      </c>
      <c r="BF12" s="224">
        <f t="shared" si="14"/>
        <v>0</v>
      </c>
      <c r="BG12" s="224">
        <f t="shared" si="15"/>
        <v>0</v>
      </c>
      <c r="BH12" s="224">
        <f t="shared" si="16"/>
        <v>0</v>
      </c>
      <c r="BI12" s="256">
        <f t="shared" si="17"/>
        <v>0</v>
      </c>
      <c r="BJ12" s="256">
        <f t="shared" si="18"/>
        <v>0</v>
      </c>
      <c r="BK12" s="256">
        <f t="shared" si="19"/>
        <v>0</v>
      </c>
      <c r="BL12" s="256">
        <f t="shared" si="20"/>
        <v>0</v>
      </c>
      <c r="BM12" s="256">
        <f t="shared" si="21"/>
        <v>0</v>
      </c>
      <c r="BN12" s="256">
        <f t="shared" si="22"/>
        <v>0</v>
      </c>
      <c r="BO12" s="256">
        <f t="shared" si="23"/>
        <v>0</v>
      </c>
      <c r="BP12" s="256">
        <f t="shared" si="24"/>
        <v>0</v>
      </c>
      <c r="BQ12" s="257">
        <f t="shared" si="25"/>
        <v>8441.8762277651476</v>
      </c>
    </row>
    <row r="13" spans="1:69">
      <c r="A13" s="748" t="s">
        <v>784</v>
      </c>
      <c r="B13" s="750" t="s">
        <v>552</v>
      </c>
      <c r="C13" s="277"/>
      <c r="D13" s="249">
        <v>0</v>
      </c>
      <c r="E13" s="250">
        <v>0</v>
      </c>
      <c r="F13" s="250">
        <v>0.04</v>
      </c>
      <c r="G13" s="250"/>
      <c r="H13" s="250"/>
      <c r="I13" s="250">
        <v>0.04</v>
      </c>
      <c r="J13" s="250"/>
      <c r="K13" s="250"/>
      <c r="L13" s="250"/>
      <c r="M13" s="250">
        <v>0</v>
      </c>
      <c r="N13" s="250"/>
      <c r="O13" s="250">
        <v>0</v>
      </c>
      <c r="P13" s="250">
        <v>0</v>
      </c>
      <c r="Q13" s="250">
        <v>0</v>
      </c>
      <c r="R13" s="250">
        <v>0</v>
      </c>
      <c r="S13" s="250">
        <v>0</v>
      </c>
      <c r="T13" s="250"/>
      <c r="U13" s="250">
        <v>0</v>
      </c>
      <c r="V13" s="250">
        <v>0</v>
      </c>
      <c r="W13" s="250">
        <v>0</v>
      </c>
      <c r="X13" s="278"/>
      <c r="Z13" s="279">
        <f>Est2017TransRev!Z13</f>
        <v>17389.147828919202</v>
      </c>
      <c r="AA13" s="253">
        <f>Est2017TransRev!AA13</f>
        <v>0</v>
      </c>
      <c r="AB13" s="253">
        <f>Est2017TransRev!AB13</f>
        <v>59576789.514969781</v>
      </c>
      <c r="AC13" s="253">
        <f>Est2017TransRev!AC13</f>
        <v>0</v>
      </c>
      <c r="AD13" s="253">
        <f>Est2017TransRev!AD13</f>
        <v>0</v>
      </c>
      <c r="AE13" s="253">
        <f>Est2017TransRev!AE13</f>
        <v>53241167.131964095</v>
      </c>
      <c r="AF13" s="253">
        <f>Est2017TransRev!AF13</f>
        <v>0</v>
      </c>
      <c r="AG13" s="253">
        <f>Est2017TransRev!AG13</f>
        <v>0</v>
      </c>
      <c r="AH13" s="253">
        <f>Est2017TransRev!AH13</f>
        <v>0</v>
      </c>
      <c r="AI13" s="253">
        <f>Est2017TransRev!AI13</f>
        <v>0</v>
      </c>
      <c r="AJ13" s="253">
        <f>Est2017TransRev!AJ13</f>
        <v>0</v>
      </c>
      <c r="AK13" s="253">
        <f>Est2017TransRev!AK13</f>
        <v>0</v>
      </c>
      <c r="AL13" s="253">
        <f>Est2017TransRev!AL13</f>
        <v>0</v>
      </c>
      <c r="AM13" s="253">
        <f>Est2017TransRev!AM13</f>
        <v>0</v>
      </c>
      <c r="AN13" s="253">
        <f>Est2017TransRev!AN13</f>
        <v>0</v>
      </c>
      <c r="AO13" s="253">
        <f>Est2017TransRev!AO13</f>
        <v>0</v>
      </c>
      <c r="AP13" s="253">
        <f>Est2017TransRev!AP13</f>
        <v>0</v>
      </c>
      <c r="AQ13" s="253">
        <f>Est2017TransRev!AQ13</f>
        <v>0</v>
      </c>
      <c r="AR13" s="253">
        <f>Est2017TransRev!AR13</f>
        <v>0</v>
      </c>
      <c r="AS13" s="253">
        <f>Est2017TransRev!AS13</f>
        <v>0</v>
      </c>
      <c r="AT13" s="280"/>
      <c r="AV13" s="255">
        <f t="shared" si="4"/>
        <v>0</v>
      </c>
      <c r="AW13" s="224">
        <f t="shared" si="5"/>
        <v>0</v>
      </c>
      <c r="AX13" s="224">
        <f t="shared" si="6"/>
        <v>23830.715805987915</v>
      </c>
      <c r="AY13" s="224">
        <f t="shared" si="7"/>
        <v>0</v>
      </c>
      <c r="AZ13" s="224">
        <f t="shared" si="8"/>
        <v>0</v>
      </c>
      <c r="BA13" s="224">
        <f t="shared" si="9"/>
        <v>21296.466852785637</v>
      </c>
      <c r="BB13" s="224">
        <f t="shared" si="10"/>
        <v>0</v>
      </c>
      <c r="BC13" s="224">
        <f t="shared" si="11"/>
        <v>0</v>
      </c>
      <c r="BD13" s="224">
        <f t="shared" si="12"/>
        <v>0</v>
      </c>
      <c r="BE13" s="224">
        <f t="shared" si="13"/>
        <v>0</v>
      </c>
      <c r="BF13" s="224">
        <f t="shared" si="14"/>
        <v>0</v>
      </c>
      <c r="BG13" s="224">
        <f t="shared" si="15"/>
        <v>0</v>
      </c>
      <c r="BH13" s="224">
        <f t="shared" si="16"/>
        <v>0</v>
      </c>
      <c r="BI13" s="256">
        <f t="shared" si="17"/>
        <v>0</v>
      </c>
      <c r="BJ13" s="256">
        <f t="shared" si="18"/>
        <v>0</v>
      </c>
      <c r="BK13" s="256">
        <f t="shared" si="19"/>
        <v>0</v>
      </c>
      <c r="BL13" s="256">
        <f t="shared" si="20"/>
        <v>0</v>
      </c>
      <c r="BM13" s="256">
        <f t="shared" si="21"/>
        <v>0</v>
      </c>
      <c r="BN13" s="256">
        <f t="shared" si="22"/>
        <v>0</v>
      </c>
      <c r="BO13" s="256">
        <f t="shared" si="23"/>
        <v>0</v>
      </c>
      <c r="BP13" s="256">
        <f t="shared" si="24"/>
        <v>0</v>
      </c>
      <c r="BQ13" s="257">
        <f t="shared" si="25"/>
        <v>45127.182658773556</v>
      </c>
    </row>
    <row r="14" spans="1:69">
      <c r="A14" s="748" t="s">
        <v>785</v>
      </c>
      <c r="B14" s="750" t="s">
        <v>553</v>
      </c>
      <c r="C14" s="277"/>
      <c r="D14" s="249">
        <v>0</v>
      </c>
      <c r="E14" s="250">
        <v>0</v>
      </c>
      <c r="F14" s="250">
        <v>0.04</v>
      </c>
      <c r="G14" s="250"/>
      <c r="H14" s="250"/>
      <c r="I14" s="250">
        <v>0.04</v>
      </c>
      <c r="J14" s="250"/>
      <c r="K14" s="250"/>
      <c r="L14" s="250"/>
      <c r="M14" s="250">
        <v>0</v>
      </c>
      <c r="N14" s="250"/>
      <c r="O14" s="250">
        <v>0</v>
      </c>
      <c r="P14" s="250">
        <v>0</v>
      </c>
      <c r="Q14" s="250">
        <v>0</v>
      </c>
      <c r="R14" s="250">
        <v>0</v>
      </c>
      <c r="S14" s="250">
        <v>0</v>
      </c>
      <c r="T14" s="250"/>
      <c r="U14" s="250">
        <v>0</v>
      </c>
      <c r="V14" s="250">
        <v>0</v>
      </c>
      <c r="W14" s="250">
        <v>0</v>
      </c>
      <c r="X14" s="278"/>
      <c r="Z14" s="279">
        <f>Est2017TransRev!Z14</f>
        <v>8919.7013287955069</v>
      </c>
      <c r="AA14" s="253">
        <f>Est2017TransRev!AA14</f>
        <v>0</v>
      </c>
      <c r="AB14" s="253">
        <f>Est2017TransRev!AB14</f>
        <v>15283595.676380193</v>
      </c>
      <c r="AC14" s="253">
        <f>Est2017TransRev!AC14</f>
        <v>0</v>
      </c>
      <c r="AD14" s="253">
        <f>Est2017TransRev!AD14</f>
        <v>0</v>
      </c>
      <c r="AE14" s="253">
        <f>Est2017TransRev!AE14</f>
        <v>14525020.059684802</v>
      </c>
      <c r="AF14" s="253">
        <f>Est2017TransRev!AF14</f>
        <v>0</v>
      </c>
      <c r="AG14" s="253">
        <f>Est2017TransRev!AG14</f>
        <v>0</v>
      </c>
      <c r="AH14" s="253">
        <f>Est2017TransRev!AH14</f>
        <v>0</v>
      </c>
      <c r="AI14" s="253">
        <f>Est2017TransRev!AI14</f>
        <v>0</v>
      </c>
      <c r="AJ14" s="253">
        <f>Est2017TransRev!AJ14</f>
        <v>0</v>
      </c>
      <c r="AK14" s="253">
        <f>Est2017TransRev!AK14</f>
        <v>0</v>
      </c>
      <c r="AL14" s="253">
        <f>Est2017TransRev!AL14</f>
        <v>0</v>
      </c>
      <c r="AM14" s="253">
        <f>Est2017TransRev!AM14</f>
        <v>0</v>
      </c>
      <c r="AN14" s="253">
        <f>Est2017TransRev!AN14</f>
        <v>0</v>
      </c>
      <c r="AO14" s="253">
        <f>Est2017TransRev!AO14</f>
        <v>0</v>
      </c>
      <c r="AP14" s="253">
        <f>Est2017TransRev!AP14</f>
        <v>0</v>
      </c>
      <c r="AQ14" s="253">
        <f>Est2017TransRev!AQ14</f>
        <v>0</v>
      </c>
      <c r="AR14" s="253">
        <f>Est2017TransRev!AR14</f>
        <v>0</v>
      </c>
      <c r="AS14" s="253">
        <f>Est2017TransRev!AS14</f>
        <v>0</v>
      </c>
      <c r="AT14" s="280"/>
      <c r="AV14" s="255">
        <f t="shared" si="4"/>
        <v>0</v>
      </c>
      <c r="AW14" s="224">
        <f t="shared" si="5"/>
        <v>0</v>
      </c>
      <c r="AX14" s="224">
        <f t="shared" si="6"/>
        <v>6113.4382705520775</v>
      </c>
      <c r="AY14" s="224">
        <f t="shared" si="7"/>
        <v>0</v>
      </c>
      <c r="AZ14" s="224">
        <f t="shared" si="8"/>
        <v>0</v>
      </c>
      <c r="BA14" s="224">
        <f t="shared" si="9"/>
        <v>5810.008023873921</v>
      </c>
      <c r="BB14" s="224">
        <f t="shared" si="10"/>
        <v>0</v>
      </c>
      <c r="BC14" s="224">
        <f t="shared" si="11"/>
        <v>0</v>
      </c>
      <c r="BD14" s="224">
        <f t="shared" si="12"/>
        <v>0</v>
      </c>
      <c r="BE14" s="224">
        <f t="shared" si="13"/>
        <v>0</v>
      </c>
      <c r="BF14" s="224">
        <f t="shared" si="14"/>
        <v>0</v>
      </c>
      <c r="BG14" s="224">
        <f t="shared" si="15"/>
        <v>0</v>
      </c>
      <c r="BH14" s="224">
        <f t="shared" si="16"/>
        <v>0</v>
      </c>
      <c r="BI14" s="256">
        <f t="shared" si="17"/>
        <v>0</v>
      </c>
      <c r="BJ14" s="256">
        <f t="shared" si="18"/>
        <v>0</v>
      </c>
      <c r="BK14" s="256">
        <f t="shared" si="19"/>
        <v>0</v>
      </c>
      <c r="BL14" s="256">
        <f t="shared" si="20"/>
        <v>0</v>
      </c>
      <c r="BM14" s="256">
        <f t="shared" si="21"/>
        <v>0</v>
      </c>
      <c r="BN14" s="256">
        <f t="shared" si="22"/>
        <v>0</v>
      </c>
      <c r="BO14" s="256">
        <f t="shared" si="23"/>
        <v>0</v>
      </c>
      <c r="BP14" s="256">
        <f t="shared" si="24"/>
        <v>0</v>
      </c>
      <c r="BQ14" s="257">
        <f t="shared" si="25"/>
        <v>11923.446294425998</v>
      </c>
    </row>
    <row r="15" spans="1:69">
      <c r="A15" s="748" t="s">
        <v>786</v>
      </c>
      <c r="B15" s="750" t="s">
        <v>554</v>
      </c>
      <c r="C15" s="277"/>
      <c r="D15" s="249">
        <v>0</v>
      </c>
      <c r="E15" s="250">
        <v>0</v>
      </c>
      <c r="F15" s="250">
        <v>0</v>
      </c>
      <c r="G15" s="250"/>
      <c r="H15" s="250"/>
      <c r="I15" s="250">
        <v>0.04</v>
      </c>
      <c r="J15" s="250"/>
      <c r="K15" s="250"/>
      <c r="L15" s="250"/>
      <c r="M15" s="250">
        <v>0</v>
      </c>
      <c r="N15" s="250"/>
      <c r="O15" s="250">
        <v>0</v>
      </c>
      <c r="P15" s="250">
        <v>0</v>
      </c>
      <c r="Q15" s="250">
        <v>0</v>
      </c>
      <c r="R15" s="250">
        <v>0</v>
      </c>
      <c r="S15" s="250">
        <v>0</v>
      </c>
      <c r="T15" s="250"/>
      <c r="U15" s="250">
        <v>0</v>
      </c>
      <c r="V15" s="250">
        <v>0</v>
      </c>
      <c r="W15" s="250">
        <v>0</v>
      </c>
      <c r="X15" s="278"/>
      <c r="Z15" s="279">
        <f>Est2017TransRev!Z15</f>
        <v>9702.4868219820364</v>
      </c>
      <c r="AA15" s="253">
        <f>Est2017TransRev!AA15</f>
        <v>0</v>
      </c>
      <c r="AB15" s="253">
        <f>Est2017TransRev!AB15</f>
        <v>0</v>
      </c>
      <c r="AC15" s="253">
        <f>Est2017TransRev!AC15</f>
        <v>0</v>
      </c>
      <c r="AD15" s="253">
        <f>Est2017TransRev!AD15</f>
        <v>0</v>
      </c>
      <c r="AE15" s="253">
        <f>Est2017TransRev!AE15</f>
        <v>22272717.328201722</v>
      </c>
      <c r="AF15" s="253">
        <f>Est2017TransRev!AF15</f>
        <v>0</v>
      </c>
      <c r="AG15" s="253">
        <f>Est2017TransRev!AG15</f>
        <v>0</v>
      </c>
      <c r="AH15" s="253">
        <f>Est2017TransRev!AH15</f>
        <v>0</v>
      </c>
      <c r="AI15" s="253">
        <f>Est2017TransRev!AI15</f>
        <v>0</v>
      </c>
      <c r="AJ15" s="253">
        <f>Est2017TransRev!AJ15</f>
        <v>0</v>
      </c>
      <c r="AK15" s="253">
        <f>Est2017TransRev!AK15</f>
        <v>0</v>
      </c>
      <c r="AL15" s="253">
        <f>Est2017TransRev!AL15</f>
        <v>0</v>
      </c>
      <c r="AM15" s="253">
        <f>Est2017TransRev!AM15</f>
        <v>0</v>
      </c>
      <c r="AN15" s="253">
        <f>Est2017TransRev!AN15</f>
        <v>0</v>
      </c>
      <c r="AO15" s="253">
        <f>Est2017TransRev!AO15</f>
        <v>0</v>
      </c>
      <c r="AP15" s="253">
        <f>Est2017TransRev!AP15</f>
        <v>0</v>
      </c>
      <c r="AQ15" s="253">
        <f>Est2017TransRev!AQ15</f>
        <v>0</v>
      </c>
      <c r="AR15" s="253">
        <f>Est2017TransRev!AR15</f>
        <v>0</v>
      </c>
      <c r="AS15" s="253">
        <f>Est2017TransRev!AS15</f>
        <v>0</v>
      </c>
      <c r="AT15" s="280"/>
      <c r="AV15" s="255">
        <f t="shared" si="4"/>
        <v>0</v>
      </c>
      <c r="AW15" s="224">
        <f t="shared" si="5"/>
        <v>0</v>
      </c>
      <c r="AX15" s="224">
        <f t="shared" si="6"/>
        <v>0</v>
      </c>
      <c r="AY15" s="224">
        <f t="shared" si="7"/>
        <v>0</v>
      </c>
      <c r="AZ15" s="224">
        <f t="shared" si="8"/>
        <v>0</v>
      </c>
      <c r="BA15" s="224">
        <f t="shared" si="9"/>
        <v>8909.0869312806899</v>
      </c>
      <c r="BB15" s="224">
        <f t="shared" si="10"/>
        <v>0</v>
      </c>
      <c r="BC15" s="224">
        <f t="shared" si="11"/>
        <v>0</v>
      </c>
      <c r="BD15" s="224">
        <f t="shared" si="12"/>
        <v>0</v>
      </c>
      <c r="BE15" s="224">
        <f t="shared" si="13"/>
        <v>0</v>
      </c>
      <c r="BF15" s="224">
        <f t="shared" si="14"/>
        <v>0</v>
      </c>
      <c r="BG15" s="224">
        <f t="shared" si="15"/>
        <v>0</v>
      </c>
      <c r="BH15" s="224">
        <f t="shared" si="16"/>
        <v>0</v>
      </c>
      <c r="BI15" s="256">
        <f t="shared" si="17"/>
        <v>0</v>
      </c>
      <c r="BJ15" s="256">
        <f t="shared" si="18"/>
        <v>0</v>
      </c>
      <c r="BK15" s="256">
        <f t="shared" si="19"/>
        <v>0</v>
      </c>
      <c r="BL15" s="256">
        <f t="shared" si="20"/>
        <v>0</v>
      </c>
      <c r="BM15" s="256">
        <f t="shared" si="21"/>
        <v>0</v>
      </c>
      <c r="BN15" s="256">
        <f t="shared" si="22"/>
        <v>0</v>
      </c>
      <c r="BO15" s="256">
        <f t="shared" si="23"/>
        <v>0</v>
      </c>
      <c r="BP15" s="256">
        <f t="shared" si="24"/>
        <v>0</v>
      </c>
      <c r="BQ15" s="257">
        <f t="shared" si="25"/>
        <v>8909.0869312806899</v>
      </c>
    </row>
    <row r="16" spans="1:69">
      <c r="A16" s="748" t="s">
        <v>787</v>
      </c>
      <c r="B16" s="750" t="s">
        <v>555</v>
      </c>
      <c r="C16" s="277"/>
      <c r="D16" s="249">
        <v>0</v>
      </c>
      <c r="E16" s="250">
        <v>0</v>
      </c>
      <c r="F16" s="250">
        <v>0</v>
      </c>
      <c r="G16" s="250"/>
      <c r="H16" s="250"/>
      <c r="I16" s="250">
        <v>0.04</v>
      </c>
      <c r="J16" s="250"/>
      <c r="K16" s="250"/>
      <c r="L16" s="250"/>
      <c r="M16" s="250">
        <v>0</v>
      </c>
      <c r="N16" s="250"/>
      <c r="O16" s="250">
        <v>0</v>
      </c>
      <c r="P16" s="250">
        <v>0</v>
      </c>
      <c r="Q16" s="250">
        <v>0</v>
      </c>
      <c r="R16" s="250">
        <v>0</v>
      </c>
      <c r="S16" s="250">
        <v>0</v>
      </c>
      <c r="T16" s="250"/>
      <c r="U16" s="250">
        <v>0</v>
      </c>
      <c r="V16" s="250">
        <v>0</v>
      </c>
      <c r="W16" s="250">
        <v>0</v>
      </c>
      <c r="X16" s="278"/>
      <c r="Z16" s="279">
        <f>Est2017TransRev!Z16</f>
        <v>3672.0139367766869</v>
      </c>
      <c r="AA16" s="253">
        <f>Est2017TransRev!AA16</f>
        <v>0</v>
      </c>
      <c r="AB16" s="253">
        <f>Est2017TransRev!AB16</f>
        <v>0</v>
      </c>
      <c r="AC16" s="253">
        <f>Est2017TransRev!AC16</f>
        <v>0</v>
      </c>
      <c r="AD16" s="253">
        <f>Est2017TransRev!AD16</f>
        <v>0</v>
      </c>
      <c r="AE16" s="253">
        <f>Est2017TransRev!AE16</f>
        <v>7671612.21176631</v>
      </c>
      <c r="AF16" s="253">
        <f>Est2017TransRev!AF16</f>
        <v>0</v>
      </c>
      <c r="AG16" s="253">
        <f>Est2017TransRev!AG16</f>
        <v>0</v>
      </c>
      <c r="AH16" s="253">
        <f>Est2017TransRev!AH16</f>
        <v>0</v>
      </c>
      <c r="AI16" s="253">
        <f>Est2017TransRev!AI16</f>
        <v>0</v>
      </c>
      <c r="AJ16" s="253">
        <f>Est2017TransRev!AJ16</f>
        <v>0</v>
      </c>
      <c r="AK16" s="253">
        <f>Est2017TransRev!AK16</f>
        <v>0</v>
      </c>
      <c r="AL16" s="253">
        <f>Est2017TransRev!AL16</f>
        <v>0</v>
      </c>
      <c r="AM16" s="253">
        <f>Est2017TransRev!AM16</f>
        <v>0</v>
      </c>
      <c r="AN16" s="253">
        <f>Est2017TransRev!AN16</f>
        <v>0</v>
      </c>
      <c r="AO16" s="253">
        <f>Est2017TransRev!AO16</f>
        <v>0</v>
      </c>
      <c r="AP16" s="253">
        <f>Est2017TransRev!AP16</f>
        <v>0</v>
      </c>
      <c r="AQ16" s="253">
        <f>Est2017TransRev!AQ16</f>
        <v>0</v>
      </c>
      <c r="AR16" s="253">
        <f>Est2017TransRev!AR16</f>
        <v>0</v>
      </c>
      <c r="AS16" s="253">
        <f>Est2017TransRev!AS16</f>
        <v>0</v>
      </c>
      <c r="AT16" s="280"/>
      <c r="AV16" s="255">
        <f t="shared" si="4"/>
        <v>0</v>
      </c>
      <c r="AW16" s="224">
        <f t="shared" si="5"/>
        <v>0</v>
      </c>
      <c r="AX16" s="224">
        <f t="shared" si="6"/>
        <v>0</v>
      </c>
      <c r="AY16" s="224">
        <f t="shared" si="7"/>
        <v>0</v>
      </c>
      <c r="AZ16" s="224">
        <f t="shared" si="8"/>
        <v>0</v>
      </c>
      <c r="BA16" s="224">
        <f t="shared" si="9"/>
        <v>3068.644884706524</v>
      </c>
      <c r="BB16" s="224">
        <f t="shared" si="10"/>
        <v>0</v>
      </c>
      <c r="BC16" s="224">
        <f t="shared" si="11"/>
        <v>0</v>
      </c>
      <c r="BD16" s="224">
        <f t="shared" si="12"/>
        <v>0</v>
      </c>
      <c r="BE16" s="224">
        <f t="shared" si="13"/>
        <v>0</v>
      </c>
      <c r="BF16" s="224">
        <f t="shared" si="14"/>
        <v>0</v>
      </c>
      <c r="BG16" s="224">
        <f t="shared" si="15"/>
        <v>0</v>
      </c>
      <c r="BH16" s="224">
        <f t="shared" si="16"/>
        <v>0</v>
      </c>
      <c r="BI16" s="256">
        <f t="shared" si="17"/>
        <v>0</v>
      </c>
      <c r="BJ16" s="256">
        <f t="shared" si="18"/>
        <v>0</v>
      </c>
      <c r="BK16" s="256">
        <f t="shared" si="19"/>
        <v>0</v>
      </c>
      <c r="BL16" s="256">
        <f t="shared" si="20"/>
        <v>0</v>
      </c>
      <c r="BM16" s="256">
        <f t="shared" si="21"/>
        <v>0</v>
      </c>
      <c r="BN16" s="256">
        <f t="shared" si="22"/>
        <v>0</v>
      </c>
      <c r="BO16" s="256">
        <f t="shared" si="23"/>
        <v>0</v>
      </c>
      <c r="BP16" s="256">
        <f t="shared" si="24"/>
        <v>0</v>
      </c>
      <c r="BQ16" s="257">
        <f t="shared" si="25"/>
        <v>3068.644884706524</v>
      </c>
    </row>
    <row r="17" spans="1:69">
      <c r="A17" s="748" t="s">
        <v>788</v>
      </c>
      <c r="B17" s="750" t="s">
        <v>556</v>
      </c>
      <c r="C17" s="277"/>
      <c r="D17" s="249">
        <v>0</v>
      </c>
      <c r="E17" s="250">
        <v>0</v>
      </c>
      <c r="F17" s="250">
        <v>0</v>
      </c>
      <c r="G17" s="250"/>
      <c r="H17" s="250"/>
      <c r="I17" s="250">
        <v>0.04</v>
      </c>
      <c r="J17" s="250"/>
      <c r="K17" s="250"/>
      <c r="L17" s="250"/>
      <c r="M17" s="250">
        <v>0</v>
      </c>
      <c r="N17" s="250"/>
      <c r="O17" s="250">
        <v>0</v>
      </c>
      <c r="P17" s="250">
        <v>0</v>
      </c>
      <c r="Q17" s="250">
        <v>0</v>
      </c>
      <c r="R17" s="250">
        <v>0</v>
      </c>
      <c r="S17" s="250">
        <v>0</v>
      </c>
      <c r="T17" s="250"/>
      <c r="U17" s="250">
        <v>0</v>
      </c>
      <c r="V17" s="250">
        <v>0</v>
      </c>
      <c r="W17" s="250">
        <v>0</v>
      </c>
      <c r="X17" s="278"/>
      <c r="Z17" s="279">
        <f>Est2017TransRev!Z17</f>
        <v>23277.215443521112</v>
      </c>
      <c r="AA17" s="253">
        <f>Est2017TransRev!AA17</f>
        <v>0</v>
      </c>
      <c r="AB17" s="253">
        <f>Est2017TransRev!AB17</f>
        <v>0</v>
      </c>
      <c r="AC17" s="253">
        <f>Est2017TransRev!AC17</f>
        <v>0</v>
      </c>
      <c r="AD17" s="253">
        <f>Est2017TransRev!AD17</f>
        <v>0</v>
      </c>
      <c r="AE17" s="253">
        <f>Est2017TransRev!AE17</f>
        <v>34551430.843353778</v>
      </c>
      <c r="AF17" s="253">
        <f>Est2017TransRev!AF17</f>
        <v>0</v>
      </c>
      <c r="AG17" s="253">
        <f>Est2017TransRev!AG17</f>
        <v>0</v>
      </c>
      <c r="AH17" s="253">
        <f>Est2017TransRev!AH17</f>
        <v>0</v>
      </c>
      <c r="AI17" s="253">
        <f>Est2017TransRev!AI17</f>
        <v>0</v>
      </c>
      <c r="AJ17" s="253">
        <f>Est2017TransRev!AJ17</f>
        <v>0</v>
      </c>
      <c r="AK17" s="253">
        <f>Est2017TransRev!AK17</f>
        <v>0</v>
      </c>
      <c r="AL17" s="253">
        <f>Est2017TransRev!AL17</f>
        <v>0</v>
      </c>
      <c r="AM17" s="253">
        <f>Est2017TransRev!AM17</f>
        <v>0</v>
      </c>
      <c r="AN17" s="253">
        <f>Est2017TransRev!AN17</f>
        <v>0</v>
      </c>
      <c r="AO17" s="253">
        <f>Est2017TransRev!AO17</f>
        <v>0</v>
      </c>
      <c r="AP17" s="253">
        <f>Est2017TransRev!AP17</f>
        <v>0</v>
      </c>
      <c r="AQ17" s="253">
        <f>Est2017TransRev!AQ17</f>
        <v>0</v>
      </c>
      <c r="AR17" s="253">
        <f>Est2017TransRev!AR17</f>
        <v>0</v>
      </c>
      <c r="AS17" s="253">
        <f>Est2017TransRev!AS17</f>
        <v>0</v>
      </c>
      <c r="AT17" s="280"/>
      <c r="AV17" s="255">
        <f t="shared" si="4"/>
        <v>0</v>
      </c>
      <c r="AW17" s="224">
        <f t="shared" si="5"/>
        <v>0</v>
      </c>
      <c r="AX17" s="224">
        <f t="shared" si="6"/>
        <v>0</v>
      </c>
      <c r="AY17" s="224">
        <f t="shared" si="7"/>
        <v>0</v>
      </c>
      <c r="AZ17" s="224">
        <f t="shared" si="8"/>
        <v>0</v>
      </c>
      <c r="BA17" s="224">
        <f t="shared" si="9"/>
        <v>13820.572337341511</v>
      </c>
      <c r="BB17" s="224">
        <f t="shared" si="10"/>
        <v>0</v>
      </c>
      <c r="BC17" s="224">
        <f t="shared" si="11"/>
        <v>0</v>
      </c>
      <c r="BD17" s="224">
        <f t="shared" si="12"/>
        <v>0</v>
      </c>
      <c r="BE17" s="224">
        <f t="shared" si="13"/>
        <v>0</v>
      </c>
      <c r="BF17" s="224">
        <f t="shared" si="14"/>
        <v>0</v>
      </c>
      <c r="BG17" s="224">
        <f t="shared" si="15"/>
        <v>0</v>
      </c>
      <c r="BH17" s="224">
        <f t="shared" si="16"/>
        <v>0</v>
      </c>
      <c r="BI17" s="256">
        <f t="shared" si="17"/>
        <v>0</v>
      </c>
      <c r="BJ17" s="256">
        <f t="shared" si="18"/>
        <v>0</v>
      </c>
      <c r="BK17" s="256">
        <f t="shared" si="19"/>
        <v>0</v>
      </c>
      <c r="BL17" s="256">
        <f t="shared" si="20"/>
        <v>0</v>
      </c>
      <c r="BM17" s="256">
        <f t="shared" si="21"/>
        <v>0</v>
      </c>
      <c r="BN17" s="256">
        <f t="shared" si="22"/>
        <v>0</v>
      </c>
      <c r="BO17" s="256">
        <f t="shared" si="23"/>
        <v>0</v>
      </c>
      <c r="BP17" s="256">
        <f t="shared" si="24"/>
        <v>0</v>
      </c>
      <c r="BQ17" s="257">
        <f t="shared" si="25"/>
        <v>13820.572337341511</v>
      </c>
    </row>
    <row r="18" spans="1:69">
      <c r="A18" s="748" t="s">
        <v>789</v>
      </c>
      <c r="B18" s="750" t="s">
        <v>557</v>
      </c>
      <c r="C18" s="277"/>
      <c r="D18" s="249">
        <v>0</v>
      </c>
      <c r="E18" s="250">
        <v>0</v>
      </c>
      <c r="F18" s="250">
        <v>0</v>
      </c>
      <c r="G18" s="250"/>
      <c r="H18" s="250"/>
      <c r="I18" s="250">
        <v>0.04</v>
      </c>
      <c r="J18" s="250"/>
      <c r="K18" s="250"/>
      <c r="L18" s="250"/>
      <c r="M18" s="250">
        <v>0</v>
      </c>
      <c r="N18" s="250"/>
      <c r="O18" s="250">
        <v>0</v>
      </c>
      <c r="P18" s="250">
        <v>0</v>
      </c>
      <c r="Q18" s="250">
        <v>0</v>
      </c>
      <c r="R18" s="250">
        <v>0</v>
      </c>
      <c r="S18" s="250">
        <v>0</v>
      </c>
      <c r="T18" s="250"/>
      <c r="U18" s="250">
        <v>0</v>
      </c>
      <c r="V18" s="250">
        <v>0</v>
      </c>
      <c r="W18" s="250">
        <v>0</v>
      </c>
      <c r="X18" s="278"/>
      <c r="Z18" s="279">
        <f>Est2017TransRev!Z18</f>
        <v>1123.2853452453983</v>
      </c>
      <c r="AA18" s="253">
        <f>Est2017TransRev!AA18</f>
        <v>0</v>
      </c>
      <c r="AB18" s="253">
        <f>Est2017TransRev!AB18</f>
        <v>0</v>
      </c>
      <c r="AC18" s="253">
        <f>Est2017TransRev!AC18</f>
        <v>0</v>
      </c>
      <c r="AD18" s="253">
        <f>Est2017TransRev!AD18</f>
        <v>0</v>
      </c>
      <c r="AE18" s="253">
        <f>Est2017TransRev!AE18</f>
        <v>2356017.402376994</v>
      </c>
      <c r="AF18" s="253">
        <f>Est2017TransRev!AF18</f>
        <v>0</v>
      </c>
      <c r="AG18" s="253">
        <f>Est2017TransRev!AG18</f>
        <v>0</v>
      </c>
      <c r="AH18" s="253">
        <f>Est2017TransRev!AH18</f>
        <v>0</v>
      </c>
      <c r="AI18" s="253">
        <f>Est2017TransRev!AI18</f>
        <v>0</v>
      </c>
      <c r="AJ18" s="253">
        <f>Est2017TransRev!AJ18</f>
        <v>0</v>
      </c>
      <c r="AK18" s="253">
        <f>Est2017TransRev!AK18</f>
        <v>0</v>
      </c>
      <c r="AL18" s="253">
        <f>Est2017TransRev!AL18</f>
        <v>0</v>
      </c>
      <c r="AM18" s="253">
        <f>Est2017TransRev!AM18</f>
        <v>0</v>
      </c>
      <c r="AN18" s="253">
        <f>Est2017TransRev!AN18</f>
        <v>0</v>
      </c>
      <c r="AO18" s="253">
        <f>Est2017TransRev!AO18</f>
        <v>0</v>
      </c>
      <c r="AP18" s="253">
        <f>Est2017TransRev!AP18</f>
        <v>0</v>
      </c>
      <c r="AQ18" s="253">
        <f>Est2017TransRev!AQ18</f>
        <v>0</v>
      </c>
      <c r="AR18" s="253">
        <f>Est2017TransRev!AR18</f>
        <v>0</v>
      </c>
      <c r="AS18" s="253">
        <f>Est2017TransRev!AS18</f>
        <v>0</v>
      </c>
      <c r="AT18" s="280"/>
      <c r="AV18" s="255">
        <f t="shared" si="4"/>
        <v>0</v>
      </c>
      <c r="AW18" s="224">
        <f t="shared" si="5"/>
        <v>0</v>
      </c>
      <c r="AX18" s="224">
        <f t="shared" si="6"/>
        <v>0</v>
      </c>
      <c r="AY18" s="224">
        <f t="shared" si="7"/>
        <v>0</v>
      </c>
      <c r="AZ18" s="224">
        <f t="shared" si="8"/>
        <v>0</v>
      </c>
      <c r="BA18" s="224">
        <f t="shared" si="9"/>
        <v>942.40696095079761</v>
      </c>
      <c r="BB18" s="224">
        <f t="shared" si="10"/>
        <v>0</v>
      </c>
      <c r="BC18" s="224">
        <f t="shared" si="11"/>
        <v>0</v>
      </c>
      <c r="BD18" s="224">
        <f t="shared" si="12"/>
        <v>0</v>
      </c>
      <c r="BE18" s="224">
        <f t="shared" si="13"/>
        <v>0</v>
      </c>
      <c r="BF18" s="224">
        <f t="shared" si="14"/>
        <v>0</v>
      </c>
      <c r="BG18" s="224">
        <f t="shared" si="15"/>
        <v>0</v>
      </c>
      <c r="BH18" s="224">
        <f t="shared" si="16"/>
        <v>0</v>
      </c>
      <c r="BI18" s="256">
        <f t="shared" si="17"/>
        <v>0</v>
      </c>
      <c r="BJ18" s="256">
        <f t="shared" si="18"/>
        <v>0</v>
      </c>
      <c r="BK18" s="256">
        <f t="shared" si="19"/>
        <v>0</v>
      </c>
      <c r="BL18" s="256">
        <f t="shared" si="20"/>
        <v>0</v>
      </c>
      <c r="BM18" s="256">
        <f t="shared" si="21"/>
        <v>0</v>
      </c>
      <c r="BN18" s="256">
        <f t="shared" si="22"/>
        <v>0</v>
      </c>
      <c r="BO18" s="256">
        <f t="shared" si="23"/>
        <v>0</v>
      </c>
      <c r="BP18" s="256">
        <f t="shared" si="24"/>
        <v>0</v>
      </c>
      <c r="BQ18" s="257">
        <f t="shared" si="25"/>
        <v>942.40696095079761</v>
      </c>
    </row>
    <row r="19" spans="1:69">
      <c r="A19" s="748" t="s">
        <v>819</v>
      </c>
      <c r="B19" s="750" t="s">
        <v>596</v>
      </c>
      <c r="C19" s="277"/>
      <c r="D19" s="249">
        <v>0</v>
      </c>
      <c r="E19" s="250">
        <v>0.04</v>
      </c>
      <c r="F19" s="250">
        <v>0</v>
      </c>
      <c r="G19" s="250"/>
      <c r="H19" s="250"/>
      <c r="I19" s="250">
        <v>0</v>
      </c>
      <c r="J19" s="250"/>
      <c r="K19" s="250"/>
      <c r="L19" s="250"/>
      <c r="M19" s="250">
        <v>0</v>
      </c>
      <c r="N19" s="250"/>
      <c r="O19" s="250">
        <v>0</v>
      </c>
      <c r="P19" s="250">
        <v>0</v>
      </c>
      <c r="Q19" s="250">
        <v>0</v>
      </c>
      <c r="R19" s="250">
        <v>0</v>
      </c>
      <c r="S19" s="250">
        <v>0</v>
      </c>
      <c r="T19" s="250"/>
      <c r="U19" s="250">
        <v>0</v>
      </c>
      <c r="V19" s="250">
        <v>0</v>
      </c>
      <c r="W19" s="250">
        <v>0</v>
      </c>
      <c r="X19" s="278"/>
      <c r="Z19" s="279">
        <f>Est2017TransRev!Z19</f>
        <v>5</v>
      </c>
      <c r="AA19" s="253">
        <f>Est2017TransRev!AA19</f>
        <v>27500</v>
      </c>
      <c r="AB19" s="253">
        <f>Est2017TransRev!AB19</f>
        <v>0</v>
      </c>
      <c r="AC19" s="253">
        <f>Est2017TransRev!AC19</f>
        <v>0</v>
      </c>
      <c r="AD19" s="253">
        <f>Est2017TransRev!AD19</f>
        <v>0</v>
      </c>
      <c r="AE19" s="253">
        <f>Est2017TransRev!AE19</f>
        <v>0</v>
      </c>
      <c r="AF19" s="253">
        <f>Est2017TransRev!AF19</f>
        <v>0</v>
      </c>
      <c r="AG19" s="253">
        <f>Est2017TransRev!AG19</f>
        <v>0</v>
      </c>
      <c r="AH19" s="253">
        <f>Est2017TransRev!AH19</f>
        <v>0</v>
      </c>
      <c r="AI19" s="253">
        <f>Est2017TransRev!AI19</f>
        <v>0</v>
      </c>
      <c r="AJ19" s="253">
        <f>Est2017TransRev!AJ19</f>
        <v>0</v>
      </c>
      <c r="AK19" s="253">
        <f>Est2017TransRev!AK19</f>
        <v>62.785388127853878</v>
      </c>
      <c r="AL19" s="253">
        <f>Est2017TransRev!AL19</f>
        <v>100.45662100456622</v>
      </c>
      <c r="AM19" s="253">
        <f>Est2017TransRev!AM19</f>
        <v>0</v>
      </c>
      <c r="AN19" s="253">
        <f>Est2017TransRev!AN19</f>
        <v>0</v>
      </c>
      <c r="AO19" s="253">
        <f>Est2017TransRev!AO19</f>
        <v>0</v>
      </c>
      <c r="AP19" s="253">
        <f>Est2017TransRev!AP19</f>
        <v>0</v>
      </c>
      <c r="AQ19" s="253">
        <f>Est2017TransRev!AQ19</f>
        <v>0</v>
      </c>
      <c r="AR19" s="253">
        <f>Est2017TransRev!AR19</f>
        <v>0</v>
      </c>
      <c r="AS19" s="253">
        <f>Est2017TransRev!AS19</f>
        <v>0</v>
      </c>
      <c r="AT19" s="280"/>
      <c r="AV19" s="255">
        <f t="shared" si="4"/>
        <v>0</v>
      </c>
      <c r="AW19" s="224">
        <f t="shared" si="5"/>
        <v>11</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0</v>
      </c>
      <c r="BH19" s="224">
        <f t="shared" si="16"/>
        <v>0</v>
      </c>
      <c r="BI19" s="256">
        <f t="shared" si="17"/>
        <v>0</v>
      </c>
      <c r="BJ19" s="256">
        <f t="shared" si="18"/>
        <v>0</v>
      </c>
      <c r="BK19" s="256">
        <f t="shared" si="19"/>
        <v>0</v>
      </c>
      <c r="BL19" s="256">
        <f t="shared" si="20"/>
        <v>0</v>
      </c>
      <c r="BM19" s="256">
        <f t="shared" si="21"/>
        <v>0</v>
      </c>
      <c r="BN19" s="256">
        <f t="shared" si="22"/>
        <v>0</v>
      </c>
      <c r="BO19" s="256">
        <f t="shared" si="23"/>
        <v>0</v>
      </c>
      <c r="BP19" s="256">
        <f t="shared" si="24"/>
        <v>0</v>
      </c>
      <c r="BQ19" s="257">
        <f t="shared" si="25"/>
        <v>11</v>
      </c>
    </row>
    <row r="20" spans="1:69">
      <c r="A20" s="748" t="s">
        <v>791</v>
      </c>
      <c r="B20" s="750" t="s">
        <v>597</v>
      </c>
      <c r="C20" s="277"/>
      <c r="D20" s="249">
        <v>0</v>
      </c>
      <c r="E20" s="250">
        <v>0.04</v>
      </c>
      <c r="F20" s="250">
        <v>0</v>
      </c>
      <c r="G20" s="250"/>
      <c r="H20" s="250"/>
      <c r="I20" s="250">
        <v>0</v>
      </c>
      <c r="J20" s="250"/>
      <c r="K20" s="250"/>
      <c r="L20" s="250"/>
      <c r="M20" s="250">
        <v>0</v>
      </c>
      <c r="N20" s="250"/>
      <c r="O20" s="250">
        <v>0</v>
      </c>
      <c r="P20" s="250">
        <v>0</v>
      </c>
      <c r="Q20" s="250">
        <v>0</v>
      </c>
      <c r="R20" s="250">
        <v>0</v>
      </c>
      <c r="S20" s="250">
        <v>0</v>
      </c>
      <c r="T20" s="250"/>
      <c r="U20" s="250">
        <v>0</v>
      </c>
      <c r="V20" s="250">
        <v>0</v>
      </c>
      <c r="W20" s="250">
        <v>0</v>
      </c>
      <c r="X20" s="278"/>
      <c r="Z20" s="279">
        <f>Est2017TransRev!Z20</f>
        <v>1</v>
      </c>
      <c r="AA20" s="253">
        <f>Est2017TransRev!AA20</f>
        <v>5500</v>
      </c>
      <c r="AB20" s="253">
        <f>Est2017TransRev!AB20</f>
        <v>0</v>
      </c>
      <c r="AC20" s="253">
        <f>Est2017TransRev!AC20</f>
        <v>0</v>
      </c>
      <c r="AD20" s="253">
        <f>Est2017TransRev!AD20</f>
        <v>0</v>
      </c>
      <c r="AE20" s="253">
        <f>Est2017TransRev!AE20</f>
        <v>0</v>
      </c>
      <c r="AF20" s="253">
        <f>Est2017TransRev!AF20</f>
        <v>0</v>
      </c>
      <c r="AG20" s="253">
        <f>Est2017TransRev!AG20</f>
        <v>0</v>
      </c>
      <c r="AH20" s="253">
        <f>Est2017TransRev!AH20</f>
        <v>0</v>
      </c>
      <c r="AI20" s="253">
        <f>Est2017TransRev!AI20</f>
        <v>0</v>
      </c>
      <c r="AJ20" s="253">
        <f>Est2017TransRev!AJ20</f>
        <v>0</v>
      </c>
      <c r="AK20" s="253">
        <f>Est2017TransRev!AK20</f>
        <v>12.557077625570775</v>
      </c>
      <c r="AL20" s="253">
        <f>Est2017TransRev!AL20</f>
        <v>20.091324200913242</v>
      </c>
      <c r="AM20" s="253">
        <f>Est2017TransRev!AM20</f>
        <v>0</v>
      </c>
      <c r="AN20" s="253">
        <f>Est2017TransRev!AN20</f>
        <v>0</v>
      </c>
      <c r="AO20" s="253">
        <f>Est2017TransRev!AO20</f>
        <v>0</v>
      </c>
      <c r="AP20" s="253">
        <f>Est2017TransRev!AP20</f>
        <v>0</v>
      </c>
      <c r="AQ20" s="253">
        <f>Est2017TransRev!AQ20</f>
        <v>0</v>
      </c>
      <c r="AR20" s="253">
        <f>Est2017TransRev!AR20</f>
        <v>0</v>
      </c>
      <c r="AS20" s="253">
        <f>Est2017TransRev!AS20</f>
        <v>0</v>
      </c>
      <c r="AT20" s="280"/>
      <c r="AV20" s="255">
        <f t="shared" si="4"/>
        <v>0</v>
      </c>
      <c r="AW20" s="224">
        <f t="shared" si="5"/>
        <v>2.2000000000000002</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0</v>
      </c>
      <c r="BH20" s="224">
        <f t="shared" si="16"/>
        <v>0</v>
      </c>
      <c r="BI20" s="256">
        <f t="shared" si="17"/>
        <v>0</v>
      </c>
      <c r="BJ20" s="256">
        <f t="shared" si="18"/>
        <v>0</v>
      </c>
      <c r="BK20" s="256">
        <f t="shared" si="19"/>
        <v>0</v>
      </c>
      <c r="BL20" s="256">
        <f t="shared" si="20"/>
        <v>0</v>
      </c>
      <c r="BM20" s="256">
        <f t="shared" si="21"/>
        <v>0</v>
      </c>
      <c r="BN20" s="256">
        <f t="shared" si="22"/>
        <v>0</v>
      </c>
      <c r="BO20" s="256">
        <f t="shared" si="23"/>
        <v>0</v>
      </c>
      <c r="BP20" s="256">
        <f t="shared" si="24"/>
        <v>0</v>
      </c>
      <c r="BQ20" s="257">
        <f t="shared" si="25"/>
        <v>2.2000000000000002</v>
      </c>
    </row>
    <row r="21" spans="1:69">
      <c r="A21" s="748" t="s">
        <v>792</v>
      </c>
      <c r="B21" s="750" t="s">
        <v>558</v>
      </c>
      <c r="C21" s="277"/>
      <c r="D21" s="249">
        <v>0</v>
      </c>
      <c r="E21" s="250">
        <v>0.05</v>
      </c>
      <c r="F21" s="250">
        <v>0</v>
      </c>
      <c r="G21" s="250"/>
      <c r="H21" s="250"/>
      <c r="I21" s="250">
        <v>0</v>
      </c>
      <c r="J21" s="250"/>
      <c r="K21" s="250"/>
      <c r="L21" s="250"/>
      <c r="M21" s="250">
        <v>0</v>
      </c>
      <c r="N21" s="250"/>
      <c r="O21" s="250">
        <v>0</v>
      </c>
      <c r="P21" s="250">
        <v>0</v>
      </c>
      <c r="Q21" s="250">
        <v>0</v>
      </c>
      <c r="R21" s="250">
        <v>0</v>
      </c>
      <c r="S21" s="250">
        <v>0</v>
      </c>
      <c r="T21" s="250"/>
      <c r="U21" s="250">
        <v>0</v>
      </c>
      <c r="V21" s="250">
        <v>0</v>
      </c>
      <c r="W21" s="250">
        <v>0</v>
      </c>
      <c r="X21" s="278"/>
      <c r="Z21" s="279">
        <f>Est2017TransRev!Z21</f>
        <v>18642.443749999995</v>
      </c>
      <c r="AA21" s="253">
        <f>Est2017TransRev!AA21</f>
        <v>204987603.1812824</v>
      </c>
      <c r="AB21" s="253">
        <f>Est2017TransRev!AB21</f>
        <v>0</v>
      </c>
      <c r="AC21" s="253">
        <f>Est2017TransRev!AC21</f>
        <v>0</v>
      </c>
      <c r="AD21" s="253">
        <f>Est2017TransRev!AD21</f>
        <v>0</v>
      </c>
      <c r="AE21" s="253">
        <f>Est2017TransRev!AE21</f>
        <v>0</v>
      </c>
      <c r="AF21" s="253">
        <f>Est2017TransRev!AF21</f>
        <v>0</v>
      </c>
      <c r="AG21" s="253">
        <f>Est2017TransRev!AG21</f>
        <v>0</v>
      </c>
      <c r="AH21" s="253">
        <f>Est2017TransRev!AH21</f>
        <v>0</v>
      </c>
      <c r="AI21" s="253">
        <f>Est2017TransRev!AI21</f>
        <v>0</v>
      </c>
      <c r="AJ21" s="253">
        <f>Est2017TransRev!AJ21</f>
        <v>0</v>
      </c>
      <c r="AK21" s="253">
        <f>Est2017TransRev!AK21</f>
        <v>0</v>
      </c>
      <c r="AL21" s="253">
        <f>Est2017TransRev!AL21</f>
        <v>0</v>
      </c>
      <c r="AM21" s="253">
        <f>Est2017TransRev!AM21</f>
        <v>0</v>
      </c>
      <c r="AN21" s="253">
        <f>Est2017TransRev!AN21</f>
        <v>0</v>
      </c>
      <c r="AO21" s="253">
        <f>Est2017TransRev!AO21</f>
        <v>0</v>
      </c>
      <c r="AP21" s="253">
        <f>Est2017TransRev!AP21</f>
        <v>0</v>
      </c>
      <c r="AQ21" s="253">
        <f>Est2017TransRev!AQ21</f>
        <v>0</v>
      </c>
      <c r="AR21" s="253">
        <f>Est2017TransRev!AR21</f>
        <v>0</v>
      </c>
      <c r="AS21" s="253">
        <f>Est2017TransRev!AS21</f>
        <v>0</v>
      </c>
      <c r="AT21" s="280"/>
      <c r="AV21" s="255">
        <f t="shared" si="4"/>
        <v>0</v>
      </c>
      <c r="AW21" s="224">
        <f t="shared" si="5"/>
        <v>102493.8015906412</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56">
        <f t="shared" si="17"/>
        <v>0</v>
      </c>
      <c r="BJ21" s="256">
        <f t="shared" si="18"/>
        <v>0</v>
      </c>
      <c r="BK21" s="256">
        <f t="shared" si="19"/>
        <v>0</v>
      </c>
      <c r="BL21" s="256">
        <f t="shared" si="20"/>
        <v>0</v>
      </c>
      <c r="BM21" s="256">
        <f t="shared" si="21"/>
        <v>0</v>
      </c>
      <c r="BN21" s="256">
        <f t="shared" si="22"/>
        <v>0</v>
      </c>
      <c r="BO21" s="256">
        <f t="shared" si="23"/>
        <v>0</v>
      </c>
      <c r="BP21" s="256">
        <f t="shared" si="24"/>
        <v>0</v>
      </c>
      <c r="BQ21" s="257">
        <f t="shared" si="25"/>
        <v>102493.8015906412</v>
      </c>
    </row>
    <row r="22" spans="1:69">
      <c r="A22" s="748" t="s">
        <v>793</v>
      </c>
      <c r="B22" s="750" t="s">
        <v>559</v>
      </c>
      <c r="C22" s="277"/>
      <c r="D22" s="249">
        <v>0</v>
      </c>
      <c r="E22" s="250">
        <v>0.05</v>
      </c>
      <c r="F22" s="250">
        <v>0</v>
      </c>
      <c r="G22" s="250"/>
      <c r="H22" s="250"/>
      <c r="I22" s="250">
        <v>0</v>
      </c>
      <c r="J22" s="250"/>
      <c r="K22" s="250"/>
      <c r="L22" s="250"/>
      <c r="M22" s="250">
        <v>0</v>
      </c>
      <c r="N22" s="250"/>
      <c r="O22" s="250">
        <v>0</v>
      </c>
      <c r="P22" s="250">
        <v>0</v>
      </c>
      <c r="Q22" s="250">
        <v>0</v>
      </c>
      <c r="R22" s="250">
        <v>0</v>
      </c>
      <c r="S22" s="250">
        <v>0</v>
      </c>
      <c r="T22" s="250"/>
      <c r="U22" s="250">
        <v>0</v>
      </c>
      <c r="V22" s="250">
        <v>0</v>
      </c>
      <c r="W22" s="250">
        <v>0</v>
      </c>
      <c r="X22" s="278"/>
      <c r="Z22" s="279">
        <f>Est2017TransRev!Z22</f>
        <v>5552.5974999999989</v>
      </c>
      <c r="AA22" s="253">
        <f>Est2017TransRev!AA22</f>
        <v>75430097.002991974</v>
      </c>
      <c r="AB22" s="253">
        <f>Est2017TransRev!AB22</f>
        <v>0</v>
      </c>
      <c r="AC22" s="253">
        <f>Est2017TransRev!AC22</f>
        <v>0</v>
      </c>
      <c r="AD22" s="253">
        <f>Est2017TransRev!AD22</f>
        <v>0</v>
      </c>
      <c r="AE22" s="253">
        <f>Est2017TransRev!AE22</f>
        <v>0</v>
      </c>
      <c r="AF22" s="253">
        <f>Est2017TransRev!AF22</f>
        <v>0</v>
      </c>
      <c r="AG22" s="253">
        <f>Est2017TransRev!AG22</f>
        <v>0</v>
      </c>
      <c r="AH22" s="253">
        <f>Est2017TransRev!AH22</f>
        <v>0</v>
      </c>
      <c r="AI22" s="253">
        <f>Est2017TransRev!AI22</f>
        <v>0</v>
      </c>
      <c r="AJ22" s="253">
        <f>Est2017TransRev!AJ22</f>
        <v>0</v>
      </c>
      <c r="AK22" s="253">
        <f>Est2017TransRev!AK22</f>
        <v>0</v>
      </c>
      <c r="AL22" s="253">
        <f>Est2017TransRev!AL22</f>
        <v>0</v>
      </c>
      <c r="AM22" s="253">
        <f>Est2017TransRev!AM22</f>
        <v>0</v>
      </c>
      <c r="AN22" s="253">
        <f>Est2017TransRev!AN22</f>
        <v>0</v>
      </c>
      <c r="AO22" s="253">
        <f>Est2017TransRev!AO22</f>
        <v>0</v>
      </c>
      <c r="AP22" s="253">
        <f>Est2017TransRev!AP22</f>
        <v>0</v>
      </c>
      <c r="AQ22" s="253">
        <f>Est2017TransRev!AQ22</f>
        <v>0</v>
      </c>
      <c r="AR22" s="253">
        <f>Est2017TransRev!AR22</f>
        <v>0</v>
      </c>
      <c r="AS22" s="253">
        <f>Est2017TransRev!AS22</f>
        <v>0</v>
      </c>
      <c r="AT22" s="280"/>
      <c r="AV22" s="255">
        <f t="shared" si="4"/>
        <v>0</v>
      </c>
      <c r="AW22" s="224">
        <f t="shared" si="5"/>
        <v>37715.048501495985</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56">
        <f t="shared" si="17"/>
        <v>0</v>
      </c>
      <c r="BJ22" s="256">
        <f t="shared" si="18"/>
        <v>0</v>
      </c>
      <c r="BK22" s="256">
        <f t="shared" si="19"/>
        <v>0</v>
      </c>
      <c r="BL22" s="256">
        <f t="shared" si="20"/>
        <v>0</v>
      </c>
      <c r="BM22" s="256">
        <f t="shared" si="21"/>
        <v>0</v>
      </c>
      <c r="BN22" s="256">
        <f t="shared" si="22"/>
        <v>0</v>
      </c>
      <c r="BO22" s="256">
        <f t="shared" si="23"/>
        <v>0</v>
      </c>
      <c r="BP22" s="256">
        <f t="shared" si="24"/>
        <v>0</v>
      </c>
      <c r="BQ22" s="257">
        <f t="shared" si="25"/>
        <v>37715.048501495985</v>
      </c>
    </row>
    <row r="23" spans="1:69">
      <c r="A23" s="748" t="s">
        <v>794</v>
      </c>
      <c r="B23" s="750" t="s">
        <v>560</v>
      </c>
      <c r="C23" s="277"/>
      <c r="D23" s="249">
        <v>0</v>
      </c>
      <c r="E23" s="250">
        <v>0</v>
      </c>
      <c r="F23" s="250">
        <v>0.05</v>
      </c>
      <c r="G23" s="250"/>
      <c r="H23" s="250"/>
      <c r="I23" s="250">
        <v>0.05</v>
      </c>
      <c r="J23" s="250"/>
      <c r="K23" s="250"/>
      <c r="L23" s="250"/>
      <c r="M23" s="250">
        <v>0</v>
      </c>
      <c r="N23" s="250"/>
      <c r="O23" s="250">
        <v>0</v>
      </c>
      <c r="P23" s="250">
        <v>0</v>
      </c>
      <c r="Q23" s="250">
        <v>0</v>
      </c>
      <c r="R23" s="250">
        <v>0</v>
      </c>
      <c r="S23" s="250">
        <v>0</v>
      </c>
      <c r="T23" s="250"/>
      <c r="U23" s="250">
        <v>0</v>
      </c>
      <c r="V23" s="250">
        <v>0</v>
      </c>
      <c r="W23" s="250">
        <v>0</v>
      </c>
      <c r="X23" s="278"/>
      <c r="Z23" s="279">
        <f>Est2017TransRev!Z23</f>
        <v>8807.8333333333339</v>
      </c>
      <c r="AA23" s="253">
        <f>Est2017TransRev!AA23</f>
        <v>0</v>
      </c>
      <c r="AB23" s="253">
        <f>Est2017TransRev!AB23</f>
        <v>75569056.506655067</v>
      </c>
      <c r="AC23" s="253">
        <f>Est2017TransRev!AC23</f>
        <v>0</v>
      </c>
      <c r="AD23" s="253">
        <f>Est2017TransRev!AD23</f>
        <v>0</v>
      </c>
      <c r="AE23" s="253">
        <f>Est2017TransRev!AE23</f>
        <v>53627319.140604436</v>
      </c>
      <c r="AF23" s="253">
        <f>Est2017TransRev!AF23</f>
        <v>0</v>
      </c>
      <c r="AG23" s="253">
        <f>Est2017TransRev!AG23</f>
        <v>0</v>
      </c>
      <c r="AH23" s="253">
        <f>Est2017TransRev!AH23</f>
        <v>0</v>
      </c>
      <c r="AI23" s="253">
        <f>Est2017TransRev!AI23</f>
        <v>0</v>
      </c>
      <c r="AJ23" s="253">
        <f>Est2017TransRev!AJ23</f>
        <v>0</v>
      </c>
      <c r="AK23" s="253">
        <f>Est2017TransRev!AK23</f>
        <v>0</v>
      </c>
      <c r="AL23" s="253">
        <f>Est2017TransRev!AL23</f>
        <v>0</v>
      </c>
      <c r="AM23" s="253">
        <f>Est2017TransRev!AM23</f>
        <v>0</v>
      </c>
      <c r="AN23" s="253">
        <f>Est2017TransRev!AN23</f>
        <v>0</v>
      </c>
      <c r="AO23" s="253">
        <f>Est2017TransRev!AO23</f>
        <v>0</v>
      </c>
      <c r="AP23" s="253">
        <f>Est2017TransRev!AP23</f>
        <v>0</v>
      </c>
      <c r="AQ23" s="253">
        <f>Est2017TransRev!AQ23</f>
        <v>0</v>
      </c>
      <c r="AR23" s="253">
        <f>Est2017TransRev!AR23</f>
        <v>0</v>
      </c>
      <c r="AS23" s="253">
        <f>Est2017TransRev!AS23</f>
        <v>0</v>
      </c>
      <c r="AT23" s="280"/>
      <c r="AV23" s="255">
        <f t="shared" si="4"/>
        <v>0</v>
      </c>
      <c r="AW23" s="224">
        <f t="shared" si="5"/>
        <v>0</v>
      </c>
      <c r="AX23" s="224">
        <f t="shared" si="6"/>
        <v>37784.528253327531</v>
      </c>
      <c r="AY23" s="224">
        <f t="shared" si="7"/>
        <v>0</v>
      </c>
      <c r="AZ23" s="224">
        <f t="shared" si="8"/>
        <v>0</v>
      </c>
      <c r="BA23" s="224">
        <f t="shared" si="9"/>
        <v>26813.659570302218</v>
      </c>
      <c r="BB23" s="224">
        <f t="shared" si="10"/>
        <v>0</v>
      </c>
      <c r="BC23" s="224">
        <f t="shared" si="11"/>
        <v>0</v>
      </c>
      <c r="BD23" s="224">
        <f t="shared" si="12"/>
        <v>0</v>
      </c>
      <c r="BE23" s="224">
        <f t="shared" si="13"/>
        <v>0</v>
      </c>
      <c r="BF23" s="224">
        <f t="shared" si="14"/>
        <v>0</v>
      </c>
      <c r="BG23" s="224">
        <f t="shared" si="15"/>
        <v>0</v>
      </c>
      <c r="BH23" s="224">
        <f t="shared" si="16"/>
        <v>0</v>
      </c>
      <c r="BI23" s="256">
        <f t="shared" si="17"/>
        <v>0</v>
      </c>
      <c r="BJ23" s="256">
        <f t="shared" si="18"/>
        <v>0</v>
      </c>
      <c r="BK23" s="256">
        <f t="shared" si="19"/>
        <v>0</v>
      </c>
      <c r="BL23" s="256">
        <f t="shared" si="20"/>
        <v>0</v>
      </c>
      <c r="BM23" s="256">
        <f t="shared" si="21"/>
        <v>0</v>
      </c>
      <c r="BN23" s="256">
        <f t="shared" si="22"/>
        <v>0</v>
      </c>
      <c r="BO23" s="256">
        <f t="shared" si="23"/>
        <v>0</v>
      </c>
      <c r="BP23" s="256">
        <f t="shared" si="24"/>
        <v>0</v>
      </c>
      <c r="BQ23" s="257">
        <f t="shared" si="25"/>
        <v>64598.187823629749</v>
      </c>
    </row>
    <row r="24" spans="1:69">
      <c r="A24" s="748" t="s">
        <v>795</v>
      </c>
      <c r="B24" s="750" t="s">
        <v>561</v>
      </c>
      <c r="C24" s="277"/>
      <c r="D24" s="249">
        <v>0</v>
      </c>
      <c r="E24" s="250">
        <v>0</v>
      </c>
      <c r="F24" s="250">
        <v>0.05</v>
      </c>
      <c r="G24" s="250"/>
      <c r="H24" s="250"/>
      <c r="I24" s="250">
        <v>0.05</v>
      </c>
      <c r="J24" s="250"/>
      <c r="K24" s="250"/>
      <c r="L24" s="250"/>
      <c r="M24" s="250">
        <v>0</v>
      </c>
      <c r="N24" s="250"/>
      <c r="O24" s="250">
        <v>0</v>
      </c>
      <c r="P24" s="250">
        <v>0</v>
      </c>
      <c r="Q24" s="250">
        <v>0</v>
      </c>
      <c r="R24" s="250">
        <v>0</v>
      </c>
      <c r="S24" s="250">
        <v>0</v>
      </c>
      <c r="T24" s="250"/>
      <c r="U24" s="250">
        <v>0</v>
      </c>
      <c r="V24" s="250">
        <v>0</v>
      </c>
      <c r="W24" s="250">
        <v>0</v>
      </c>
      <c r="X24" s="278"/>
      <c r="Z24" s="279">
        <f>Est2017TransRev!Z24</f>
        <v>1236.5833333333333</v>
      </c>
      <c r="AA24" s="253">
        <f>Est2017TransRev!AA24</f>
        <v>0</v>
      </c>
      <c r="AB24" s="253">
        <f>Est2017TransRev!AB24</f>
        <v>12370078.123355791</v>
      </c>
      <c r="AC24" s="253">
        <f>Est2017TransRev!AC24</f>
        <v>0</v>
      </c>
      <c r="AD24" s="253">
        <f>Est2017TransRev!AD24</f>
        <v>0</v>
      </c>
      <c r="AE24" s="253">
        <f>Est2017TransRev!AE24</f>
        <v>7203723.8271791339</v>
      </c>
      <c r="AF24" s="253">
        <f>Est2017TransRev!AF24</f>
        <v>0</v>
      </c>
      <c r="AG24" s="253">
        <f>Est2017TransRev!AG24</f>
        <v>0</v>
      </c>
      <c r="AH24" s="253">
        <f>Est2017TransRev!AH24</f>
        <v>0</v>
      </c>
      <c r="AI24" s="253">
        <f>Est2017TransRev!AI24</f>
        <v>0</v>
      </c>
      <c r="AJ24" s="253">
        <f>Est2017TransRev!AJ24</f>
        <v>0</v>
      </c>
      <c r="AK24" s="253">
        <f>Est2017TransRev!AK24</f>
        <v>0</v>
      </c>
      <c r="AL24" s="253">
        <f>Est2017TransRev!AL24</f>
        <v>0</v>
      </c>
      <c r="AM24" s="253">
        <f>Est2017TransRev!AM24</f>
        <v>0</v>
      </c>
      <c r="AN24" s="253">
        <f>Est2017TransRev!AN24</f>
        <v>0</v>
      </c>
      <c r="AO24" s="253">
        <f>Est2017TransRev!AO24</f>
        <v>0</v>
      </c>
      <c r="AP24" s="253">
        <f>Est2017TransRev!AP24</f>
        <v>0</v>
      </c>
      <c r="AQ24" s="253">
        <f>Est2017TransRev!AQ24</f>
        <v>0</v>
      </c>
      <c r="AR24" s="253">
        <f>Est2017TransRev!AR24</f>
        <v>0</v>
      </c>
      <c r="AS24" s="253">
        <f>Est2017TransRev!AS24</f>
        <v>0</v>
      </c>
      <c r="AT24" s="280"/>
      <c r="AV24" s="255">
        <f t="shared" si="4"/>
        <v>0</v>
      </c>
      <c r="AW24" s="224">
        <f t="shared" si="5"/>
        <v>0</v>
      </c>
      <c r="AX24" s="224">
        <f t="shared" si="6"/>
        <v>6185.0390616778959</v>
      </c>
      <c r="AY24" s="224">
        <f t="shared" si="7"/>
        <v>0</v>
      </c>
      <c r="AZ24" s="224">
        <f t="shared" si="8"/>
        <v>0</v>
      </c>
      <c r="BA24" s="224">
        <f t="shared" si="9"/>
        <v>3601.8619135895669</v>
      </c>
      <c r="BB24" s="224">
        <f t="shared" si="10"/>
        <v>0</v>
      </c>
      <c r="BC24" s="224">
        <f t="shared" si="11"/>
        <v>0</v>
      </c>
      <c r="BD24" s="224">
        <f t="shared" si="12"/>
        <v>0</v>
      </c>
      <c r="BE24" s="224">
        <f t="shared" si="13"/>
        <v>0</v>
      </c>
      <c r="BF24" s="224">
        <f t="shared" si="14"/>
        <v>0</v>
      </c>
      <c r="BG24" s="224">
        <f t="shared" si="15"/>
        <v>0</v>
      </c>
      <c r="BH24" s="224">
        <f t="shared" si="16"/>
        <v>0</v>
      </c>
      <c r="BI24" s="256">
        <f t="shared" si="17"/>
        <v>0</v>
      </c>
      <c r="BJ24" s="256">
        <f t="shared" si="18"/>
        <v>0</v>
      </c>
      <c r="BK24" s="256">
        <f t="shared" si="19"/>
        <v>0</v>
      </c>
      <c r="BL24" s="256">
        <f t="shared" si="20"/>
        <v>0</v>
      </c>
      <c r="BM24" s="256">
        <f t="shared" si="21"/>
        <v>0</v>
      </c>
      <c r="BN24" s="256">
        <f t="shared" si="22"/>
        <v>0</v>
      </c>
      <c r="BO24" s="256">
        <f t="shared" si="23"/>
        <v>0</v>
      </c>
      <c r="BP24" s="256">
        <f t="shared" si="24"/>
        <v>0</v>
      </c>
      <c r="BQ24" s="257">
        <f t="shared" si="25"/>
        <v>9786.9009752674629</v>
      </c>
    </row>
    <row r="25" spans="1:69">
      <c r="A25" s="748" t="s">
        <v>796</v>
      </c>
      <c r="B25" s="750" t="s">
        <v>562</v>
      </c>
      <c r="C25" s="277"/>
      <c r="D25" s="249">
        <v>0</v>
      </c>
      <c r="E25" s="250">
        <v>0</v>
      </c>
      <c r="F25" s="250">
        <v>0.05</v>
      </c>
      <c r="G25" s="250"/>
      <c r="H25" s="250"/>
      <c r="I25" s="250">
        <v>0.05</v>
      </c>
      <c r="J25" s="250"/>
      <c r="K25" s="250"/>
      <c r="L25" s="250"/>
      <c r="M25" s="250">
        <v>0</v>
      </c>
      <c r="N25" s="250"/>
      <c r="O25" s="250">
        <v>0</v>
      </c>
      <c r="P25" s="250">
        <v>0</v>
      </c>
      <c r="Q25" s="250">
        <v>0</v>
      </c>
      <c r="R25" s="250">
        <v>0</v>
      </c>
      <c r="S25" s="250">
        <v>0</v>
      </c>
      <c r="T25" s="250"/>
      <c r="U25" s="250">
        <v>0</v>
      </c>
      <c r="V25" s="250">
        <v>0</v>
      </c>
      <c r="W25" s="250">
        <v>0</v>
      </c>
      <c r="X25" s="278"/>
      <c r="Z25" s="279">
        <f>Est2017TransRev!Z25</f>
        <v>4039.833333333333</v>
      </c>
      <c r="AA25" s="253">
        <f>Est2017TransRev!AA25</f>
        <v>0</v>
      </c>
      <c r="AB25" s="253">
        <f>Est2017TransRev!AB25</f>
        <v>36456058.908441335</v>
      </c>
      <c r="AC25" s="253">
        <f>Est2017TransRev!AC25</f>
        <v>0</v>
      </c>
      <c r="AD25" s="253">
        <f>Est2017TransRev!AD25</f>
        <v>0</v>
      </c>
      <c r="AE25" s="253">
        <f>Est2017TransRev!AE25</f>
        <v>21872712.50958392</v>
      </c>
      <c r="AF25" s="253">
        <f>Est2017TransRev!AF25</f>
        <v>0</v>
      </c>
      <c r="AG25" s="253">
        <f>Est2017TransRev!AG25</f>
        <v>0</v>
      </c>
      <c r="AH25" s="253">
        <f>Est2017TransRev!AH25</f>
        <v>0</v>
      </c>
      <c r="AI25" s="253">
        <f>Est2017TransRev!AI25</f>
        <v>0</v>
      </c>
      <c r="AJ25" s="253">
        <f>Est2017TransRev!AJ25</f>
        <v>0</v>
      </c>
      <c r="AK25" s="253">
        <f>Est2017TransRev!AK25</f>
        <v>0</v>
      </c>
      <c r="AL25" s="253">
        <f>Est2017TransRev!AL25</f>
        <v>0</v>
      </c>
      <c r="AM25" s="253">
        <f>Est2017TransRev!AM25</f>
        <v>0</v>
      </c>
      <c r="AN25" s="253">
        <f>Est2017TransRev!AN25</f>
        <v>0</v>
      </c>
      <c r="AO25" s="253">
        <f>Est2017TransRev!AO25</f>
        <v>0</v>
      </c>
      <c r="AP25" s="253">
        <f>Est2017TransRev!AP25</f>
        <v>0</v>
      </c>
      <c r="AQ25" s="253">
        <f>Est2017TransRev!AQ25</f>
        <v>0</v>
      </c>
      <c r="AR25" s="253">
        <f>Est2017TransRev!AR25</f>
        <v>0</v>
      </c>
      <c r="AS25" s="253">
        <f>Est2017TransRev!AS25</f>
        <v>0</v>
      </c>
      <c r="AT25" s="280"/>
      <c r="AV25" s="255">
        <f t="shared" si="4"/>
        <v>0</v>
      </c>
      <c r="AW25" s="224">
        <f t="shared" si="5"/>
        <v>0</v>
      </c>
      <c r="AX25" s="224">
        <f t="shared" si="6"/>
        <v>18228.029454220668</v>
      </c>
      <c r="AY25" s="224">
        <f t="shared" si="7"/>
        <v>0</v>
      </c>
      <c r="AZ25" s="224">
        <f t="shared" si="8"/>
        <v>0</v>
      </c>
      <c r="BA25" s="224">
        <f t="shared" si="9"/>
        <v>10936.356254791961</v>
      </c>
      <c r="BB25" s="224">
        <f t="shared" si="10"/>
        <v>0</v>
      </c>
      <c r="BC25" s="224">
        <f t="shared" si="11"/>
        <v>0</v>
      </c>
      <c r="BD25" s="224">
        <f t="shared" si="12"/>
        <v>0</v>
      </c>
      <c r="BE25" s="224">
        <f t="shared" si="13"/>
        <v>0</v>
      </c>
      <c r="BF25" s="224">
        <f t="shared" si="14"/>
        <v>0</v>
      </c>
      <c r="BG25" s="224">
        <f t="shared" si="15"/>
        <v>0</v>
      </c>
      <c r="BH25" s="224">
        <f t="shared" si="16"/>
        <v>0</v>
      </c>
      <c r="BI25" s="256">
        <f t="shared" si="17"/>
        <v>0</v>
      </c>
      <c r="BJ25" s="256">
        <f t="shared" si="18"/>
        <v>0</v>
      </c>
      <c r="BK25" s="256">
        <f t="shared" si="19"/>
        <v>0</v>
      </c>
      <c r="BL25" s="256">
        <f t="shared" si="20"/>
        <v>0</v>
      </c>
      <c r="BM25" s="256">
        <f t="shared" si="21"/>
        <v>0</v>
      </c>
      <c r="BN25" s="256">
        <f t="shared" si="22"/>
        <v>0</v>
      </c>
      <c r="BO25" s="256">
        <f t="shared" si="23"/>
        <v>0</v>
      </c>
      <c r="BP25" s="256">
        <f t="shared" si="24"/>
        <v>0</v>
      </c>
      <c r="BQ25" s="257">
        <f t="shared" si="25"/>
        <v>29164.385709012629</v>
      </c>
    </row>
    <row r="26" spans="1:69">
      <c r="A26" s="748" t="s">
        <v>797</v>
      </c>
      <c r="B26" s="750" t="s">
        <v>563</v>
      </c>
      <c r="C26" s="277"/>
      <c r="D26" s="249">
        <v>0</v>
      </c>
      <c r="E26" s="250">
        <v>0</v>
      </c>
      <c r="F26" s="250">
        <v>0.05</v>
      </c>
      <c r="G26" s="250"/>
      <c r="H26" s="250"/>
      <c r="I26" s="250">
        <v>0.05</v>
      </c>
      <c r="J26" s="250"/>
      <c r="K26" s="250"/>
      <c r="L26" s="250"/>
      <c r="M26" s="250">
        <v>0</v>
      </c>
      <c r="N26" s="250"/>
      <c r="O26" s="250">
        <v>0</v>
      </c>
      <c r="P26" s="250">
        <v>0</v>
      </c>
      <c r="Q26" s="250">
        <v>0</v>
      </c>
      <c r="R26" s="250">
        <v>0</v>
      </c>
      <c r="S26" s="250">
        <v>0</v>
      </c>
      <c r="T26" s="250"/>
      <c r="U26" s="250">
        <v>0</v>
      </c>
      <c r="V26" s="250">
        <v>0</v>
      </c>
      <c r="W26" s="250">
        <v>0</v>
      </c>
      <c r="X26" s="278"/>
      <c r="Z26" s="279">
        <f>Est2017TransRev!Z26</f>
        <v>2063.0833333333335</v>
      </c>
      <c r="AA26" s="253">
        <f>Est2017TransRev!AA26</f>
        <v>0</v>
      </c>
      <c r="AB26" s="253">
        <f>Est2017TransRev!AB26</f>
        <v>24804874.755798846</v>
      </c>
      <c r="AC26" s="253">
        <f>Est2017TransRev!AC26</f>
        <v>0</v>
      </c>
      <c r="AD26" s="253">
        <f>Est2017TransRev!AD26</f>
        <v>0</v>
      </c>
      <c r="AE26" s="253">
        <f>Est2017TransRev!AE26</f>
        <v>13941606.916480899</v>
      </c>
      <c r="AF26" s="253">
        <f>Est2017TransRev!AF26</f>
        <v>0</v>
      </c>
      <c r="AG26" s="253">
        <f>Est2017TransRev!AG26</f>
        <v>0</v>
      </c>
      <c r="AH26" s="253">
        <f>Est2017TransRev!AH26</f>
        <v>0</v>
      </c>
      <c r="AI26" s="253">
        <f>Est2017TransRev!AI26</f>
        <v>0</v>
      </c>
      <c r="AJ26" s="253">
        <f>Est2017TransRev!AJ26</f>
        <v>0</v>
      </c>
      <c r="AK26" s="253">
        <f>Est2017TransRev!AK26</f>
        <v>0</v>
      </c>
      <c r="AL26" s="253">
        <f>Est2017TransRev!AL26</f>
        <v>0</v>
      </c>
      <c r="AM26" s="253">
        <f>Est2017TransRev!AM26</f>
        <v>0</v>
      </c>
      <c r="AN26" s="253">
        <f>Est2017TransRev!AN26</f>
        <v>0</v>
      </c>
      <c r="AO26" s="253">
        <f>Est2017TransRev!AO26</f>
        <v>0</v>
      </c>
      <c r="AP26" s="253">
        <f>Est2017TransRev!AP26</f>
        <v>0</v>
      </c>
      <c r="AQ26" s="253">
        <f>Est2017TransRev!AQ26</f>
        <v>0</v>
      </c>
      <c r="AR26" s="253">
        <f>Est2017TransRev!AR26</f>
        <v>0</v>
      </c>
      <c r="AS26" s="253">
        <f>Est2017TransRev!AS26</f>
        <v>0</v>
      </c>
      <c r="AT26" s="280"/>
      <c r="AV26" s="255">
        <f t="shared" si="4"/>
        <v>0</v>
      </c>
      <c r="AW26" s="224">
        <f t="shared" si="5"/>
        <v>0</v>
      </c>
      <c r="AX26" s="224">
        <f t="shared" si="6"/>
        <v>12402.437377899423</v>
      </c>
      <c r="AY26" s="224">
        <f t="shared" si="7"/>
        <v>0</v>
      </c>
      <c r="AZ26" s="224">
        <f t="shared" si="8"/>
        <v>0</v>
      </c>
      <c r="BA26" s="224">
        <f t="shared" si="9"/>
        <v>6970.8034582404498</v>
      </c>
      <c r="BB26" s="224">
        <f t="shared" si="10"/>
        <v>0</v>
      </c>
      <c r="BC26" s="224">
        <f t="shared" si="11"/>
        <v>0</v>
      </c>
      <c r="BD26" s="224">
        <f t="shared" si="12"/>
        <v>0</v>
      </c>
      <c r="BE26" s="224">
        <f t="shared" si="13"/>
        <v>0</v>
      </c>
      <c r="BF26" s="224">
        <f t="shared" si="14"/>
        <v>0</v>
      </c>
      <c r="BG26" s="224">
        <f t="shared" si="15"/>
        <v>0</v>
      </c>
      <c r="BH26" s="224">
        <f t="shared" si="16"/>
        <v>0</v>
      </c>
      <c r="BI26" s="256">
        <f t="shared" si="17"/>
        <v>0</v>
      </c>
      <c r="BJ26" s="256">
        <f t="shared" si="18"/>
        <v>0</v>
      </c>
      <c r="BK26" s="256">
        <f t="shared" si="19"/>
        <v>0</v>
      </c>
      <c r="BL26" s="256">
        <f t="shared" si="20"/>
        <v>0</v>
      </c>
      <c r="BM26" s="256">
        <f t="shared" si="21"/>
        <v>0</v>
      </c>
      <c r="BN26" s="256">
        <f t="shared" si="22"/>
        <v>0</v>
      </c>
      <c r="BO26" s="256">
        <f t="shared" si="23"/>
        <v>0</v>
      </c>
      <c r="BP26" s="256">
        <f t="shared" si="24"/>
        <v>0</v>
      </c>
      <c r="BQ26" s="257">
        <f t="shared" si="25"/>
        <v>19373.240836139874</v>
      </c>
    </row>
    <row r="27" spans="1:69">
      <c r="A27" s="748" t="s">
        <v>798</v>
      </c>
      <c r="B27" s="750" t="s">
        <v>564</v>
      </c>
      <c r="C27" s="277"/>
      <c r="D27" s="249">
        <v>0</v>
      </c>
      <c r="E27" s="250">
        <v>0</v>
      </c>
      <c r="F27" s="250">
        <v>0</v>
      </c>
      <c r="G27" s="250"/>
      <c r="H27" s="250"/>
      <c r="I27" s="250">
        <v>0</v>
      </c>
      <c r="J27" s="250"/>
      <c r="K27" s="250"/>
      <c r="L27" s="250"/>
      <c r="M27" s="250">
        <v>0</v>
      </c>
      <c r="N27" s="250"/>
      <c r="O27" s="250">
        <v>0</v>
      </c>
      <c r="P27" s="250">
        <v>0</v>
      </c>
      <c r="Q27" s="250">
        <v>0.05</v>
      </c>
      <c r="R27" s="250">
        <v>0.05</v>
      </c>
      <c r="S27" s="250">
        <v>0.05</v>
      </c>
      <c r="T27" s="250"/>
      <c r="U27" s="250">
        <v>0.05</v>
      </c>
      <c r="V27" s="250">
        <v>0.05</v>
      </c>
      <c r="W27" s="250">
        <v>0.05</v>
      </c>
      <c r="X27" s="278"/>
      <c r="Z27" s="279">
        <f>Est2017TransRev!Z27</f>
        <v>23.083333333333336</v>
      </c>
      <c r="AA27" s="253">
        <f>Est2017TransRev!AA27</f>
        <v>0</v>
      </c>
      <c r="AB27" s="253">
        <f>Est2017TransRev!AB27</f>
        <v>0</v>
      </c>
      <c r="AC27" s="253">
        <f>Est2017TransRev!AC27</f>
        <v>0</v>
      </c>
      <c r="AD27" s="253">
        <f>Est2017TransRev!AD27</f>
        <v>0</v>
      </c>
      <c r="AE27" s="253">
        <f>Est2017TransRev!AE27</f>
        <v>0</v>
      </c>
      <c r="AF27" s="253">
        <f>Est2017TransRev!AF27</f>
        <v>0</v>
      </c>
      <c r="AG27" s="253">
        <f>Est2017TransRev!AG27</f>
        <v>0</v>
      </c>
      <c r="AH27" s="253">
        <f>Est2017TransRev!AH27</f>
        <v>0</v>
      </c>
      <c r="AI27" s="253">
        <f>Est2017TransRev!AI27</f>
        <v>0</v>
      </c>
      <c r="AJ27" s="253">
        <f>Est2017TransRev!AJ27</f>
        <v>0</v>
      </c>
      <c r="AK27" s="253">
        <f>Est2017TransRev!AK27</f>
        <v>0</v>
      </c>
      <c r="AL27" s="253">
        <f>Est2017TransRev!AL27</f>
        <v>0</v>
      </c>
      <c r="AM27" s="253">
        <f>Est2017TransRev!AM27</f>
        <v>674566.29681080917</v>
      </c>
      <c r="AN27" s="253">
        <f>Est2017TransRev!AN27</f>
        <v>271194.09257587208</v>
      </c>
      <c r="AO27" s="253">
        <f>Est2017TransRev!AO27</f>
        <v>779954.60715799429</v>
      </c>
      <c r="AP27" s="253">
        <f>Est2017TransRev!AP27</f>
        <v>0</v>
      </c>
      <c r="AQ27" s="253">
        <f>Est2017TransRev!AQ27</f>
        <v>674566.29681080917</v>
      </c>
      <c r="AR27" s="253">
        <f>Est2017TransRev!AR27</f>
        <v>271194.09257587208</v>
      </c>
      <c r="AS27" s="253">
        <f>Est2017TransRev!AS27</f>
        <v>779954.60715799429</v>
      </c>
      <c r="AT27" s="280"/>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56">
        <f t="shared" si="17"/>
        <v>337.28314840540457</v>
      </c>
      <c r="BJ27" s="256">
        <f t="shared" si="18"/>
        <v>135.59704628793605</v>
      </c>
      <c r="BK27" s="256">
        <f t="shared" si="19"/>
        <v>389.97730357899718</v>
      </c>
      <c r="BL27" s="256">
        <f t="shared" si="20"/>
        <v>0</v>
      </c>
      <c r="BM27" s="256">
        <f t="shared" si="21"/>
        <v>337.28314840540457</v>
      </c>
      <c r="BN27" s="256">
        <f t="shared" si="22"/>
        <v>135.59704628793605</v>
      </c>
      <c r="BO27" s="256">
        <f t="shared" si="23"/>
        <v>389.97730357899718</v>
      </c>
      <c r="BP27" s="256">
        <f t="shared" si="24"/>
        <v>0</v>
      </c>
      <c r="BQ27" s="257">
        <f t="shared" si="25"/>
        <v>1725.7149965446756</v>
      </c>
    </row>
    <row r="28" spans="1:69">
      <c r="A28" s="748" t="s">
        <v>799</v>
      </c>
      <c r="B28" s="750" t="s">
        <v>565</v>
      </c>
      <c r="C28" s="277"/>
      <c r="D28" s="249">
        <v>0</v>
      </c>
      <c r="E28" s="250">
        <v>0</v>
      </c>
      <c r="F28" s="250">
        <v>0</v>
      </c>
      <c r="G28" s="250"/>
      <c r="H28" s="250"/>
      <c r="I28" s="250">
        <v>0</v>
      </c>
      <c r="J28" s="250"/>
      <c r="K28" s="250"/>
      <c r="L28" s="250"/>
      <c r="M28" s="250">
        <v>0</v>
      </c>
      <c r="N28" s="250"/>
      <c r="O28" s="250">
        <v>0</v>
      </c>
      <c r="P28" s="250">
        <v>0</v>
      </c>
      <c r="Q28" s="250">
        <v>0.05</v>
      </c>
      <c r="R28" s="250">
        <v>0.05</v>
      </c>
      <c r="S28" s="250">
        <v>0.05</v>
      </c>
      <c r="T28" s="250"/>
      <c r="U28" s="250">
        <v>0.05</v>
      </c>
      <c r="V28" s="250">
        <v>0.05</v>
      </c>
      <c r="W28" s="250">
        <v>0.05</v>
      </c>
      <c r="X28" s="278"/>
      <c r="Z28" s="279">
        <f>Est2017TransRev!Z28</f>
        <v>6.75</v>
      </c>
      <c r="AA28" s="253">
        <f>Est2017TransRev!AA28</f>
        <v>0</v>
      </c>
      <c r="AB28" s="253">
        <f>Est2017TransRev!AB28</f>
        <v>0</v>
      </c>
      <c r="AC28" s="253">
        <f>Est2017TransRev!AC28</f>
        <v>0</v>
      </c>
      <c r="AD28" s="253">
        <f>Est2017TransRev!AD28</f>
        <v>0</v>
      </c>
      <c r="AE28" s="253">
        <f>Est2017TransRev!AE28</f>
        <v>0</v>
      </c>
      <c r="AF28" s="253">
        <f>Est2017TransRev!AF28</f>
        <v>0</v>
      </c>
      <c r="AG28" s="253">
        <f>Est2017TransRev!AG28</f>
        <v>0</v>
      </c>
      <c r="AH28" s="253">
        <f>Est2017TransRev!AH28</f>
        <v>0</v>
      </c>
      <c r="AI28" s="253">
        <f>Est2017TransRev!AI28</f>
        <v>0</v>
      </c>
      <c r="AJ28" s="253">
        <f>Est2017TransRev!AJ28</f>
        <v>0</v>
      </c>
      <c r="AK28" s="253">
        <f>Est2017TransRev!AK28</f>
        <v>0</v>
      </c>
      <c r="AL28" s="253">
        <f>Est2017TransRev!AL28</f>
        <v>0</v>
      </c>
      <c r="AM28" s="253">
        <f>Est2017TransRev!AM28</f>
        <v>1234354.331992253</v>
      </c>
      <c r="AN28" s="253">
        <f>Est2017TransRev!AN28</f>
        <v>612698.16696252231</v>
      </c>
      <c r="AO28" s="253">
        <f>Est2017TransRev!AO28</f>
        <v>1202221.7449883474</v>
      </c>
      <c r="AP28" s="253">
        <f>Est2017TransRev!AP28</f>
        <v>0</v>
      </c>
      <c r="AQ28" s="253">
        <f>Est2017TransRev!AQ28</f>
        <v>1234354.331992253</v>
      </c>
      <c r="AR28" s="253">
        <f>Est2017TransRev!AR28</f>
        <v>612698.16696252231</v>
      </c>
      <c r="AS28" s="253">
        <f>Est2017TransRev!AS28</f>
        <v>1202221.7449883474</v>
      </c>
      <c r="AT28" s="280"/>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56">
        <f t="shared" si="17"/>
        <v>617.17716599612652</v>
      </c>
      <c r="BJ28" s="256">
        <f t="shared" si="18"/>
        <v>306.34908348126118</v>
      </c>
      <c r="BK28" s="256">
        <f t="shared" si="19"/>
        <v>601.11087249417369</v>
      </c>
      <c r="BL28" s="256">
        <f t="shared" si="20"/>
        <v>0</v>
      </c>
      <c r="BM28" s="256">
        <f t="shared" si="21"/>
        <v>617.17716599612652</v>
      </c>
      <c r="BN28" s="256">
        <f t="shared" si="22"/>
        <v>306.34908348126118</v>
      </c>
      <c r="BO28" s="256">
        <f t="shared" si="23"/>
        <v>601.11087249417369</v>
      </c>
      <c r="BP28" s="256">
        <f t="shared" si="24"/>
        <v>0</v>
      </c>
      <c r="BQ28" s="257">
        <f t="shared" si="25"/>
        <v>3049.2742439431227</v>
      </c>
    </row>
    <row r="29" spans="1:69">
      <c r="A29" s="748" t="s">
        <v>800</v>
      </c>
      <c r="B29" s="750" t="s">
        <v>566</v>
      </c>
      <c r="C29" s="277"/>
      <c r="D29" s="249">
        <v>0</v>
      </c>
      <c r="E29" s="250">
        <v>0</v>
      </c>
      <c r="F29" s="250">
        <v>0.05</v>
      </c>
      <c r="G29" s="250"/>
      <c r="H29" s="250"/>
      <c r="I29" s="250">
        <v>0.05</v>
      </c>
      <c r="J29" s="250"/>
      <c r="K29" s="250"/>
      <c r="L29" s="250"/>
      <c r="M29" s="250">
        <v>0</v>
      </c>
      <c r="N29" s="250"/>
      <c r="O29" s="250">
        <v>0</v>
      </c>
      <c r="P29" s="250">
        <v>0</v>
      </c>
      <c r="Q29" s="250">
        <v>0</v>
      </c>
      <c r="R29" s="250">
        <v>0</v>
      </c>
      <c r="S29" s="250">
        <v>0</v>
      </c>
      <c r="T29" s="250"/>
      <c r="U29" s="250">
        <v>0</v>
      </c>
      <c r="V29" s="250">
        <v>0</v>
      </c>
      <c r="W29" s="250">
        <v>0</v>
      </c>
      <c r="X29" s="278"/>
      <c r="Z29" s="279">
        <f>Est2017TransRev!Z29</f>
        <v>2567.1666666666665</v>
      </c>
      <c r="AA29" s="253">
        <f>Est2017TransRev!AA29</f>
        <v>0</v>
      </c>
      <c r="AB29" s="253">
        <f>Est2017TransRev!AB29</f>
        <v>38974041.355899416</v>
      </c>
      <c r="AC29" s="253">
        <f>Est2017TransRev!AC29</f>
        <v>0</v>
      </c>
      <c r="AD29" s="253">
        <f>Est2017TransRev!AD29</f>
        <v>0</v>
      </c>
      <c r="AE29" s="253">
        <f>Est2017TransRev!AE29</f>
        <v>8891067.1033335403</v>
      </c>
      <c r="AF29" s="253">
        <f>Est2017TransRev!AF29</f>
        <v>0</v>
      </c>
      <c r="AG29" s="253">
        <f>Est2017TransRev!AG29</f>
        <v>0</v>
      </c>
      <c r="AH29" s="253">
        <f>Est2017TransRev!AH29</f>
        <v>0</v>
      </c>
      <c r="AI29" s="253">
        <f>Est2017TransRev!AI29</f>
        <v>0</v>
      </c>
      <c r="AJ29" s="253">
        <f>Est2017TransRev!AJ29</f>
        <v>0</v>
      </c>
      <c r="AK29" s="253">
        <f>Est2017TransRev!AK29</f>
        <v>0</v>
      </c>
      <c r="AL29" s="253">
        <f>Est2017TransRev!AL29</f>
        <v>0</v>
      </c>
      <c r="AM29" s="253">
        <f>Est2017TransRev!AM29</f>
        <v>0</v>
      </c>
      <c r="AN29" s="253">
        <f>Est2017TransRev!AN29</f>
        <v>0</v>
      </c>
      <c r="AO29" s="253">
        <f>Est2017TransRev!AO29</f>
        <v>0</v>
      </c>
      <c r="AP29" s="253">
        <f>Est2017TransRev!AP29</f>
        <v>0</v>
      </c>
      <c r="AQ29" s="253">
        <f>Est2017TransRev!AQ29</f>
        <v>0</v>
      </c>
      <c r="AR29" s="253">
        <f>Est2017TransRev!AR29</f>
        <v>0</v>
      </c>
      <c r="AS29" s="253">
        <f>Est2017TransRev!AS29</f>
        <v>0</v>
      </c>
      <c r="AT29" s="280"/>
      <c r="AV29" s="255">
        <f t="shared" si="4"/>
        <v>0</v>
      </c>
      <c r="AW29" s="224">
        <f t="shared" si="5"/>
        <v>0</v>
      </c>
      <c r="AX29" s="224">
        <f t="shared" si="6"/>
        <v>19487.020677949709</v>
      </c>
      <c r="AY29" s="224">
        <f t="shared" si="7"/>
        <v>0</v>
      </c>
      <c r="AZ29" s="224">
        <f t="shared" si="8"/>
        <v>0</v>
      </c>
      <c r="BA29" s="224">
        <f t="shared" si="9"/>
        <v>4445.5335516667701</v>
      </c>
      <c r="BB29" s="224">
        <f t="shared" si="10"/>
        <v>0</v>
      </c>
      <c r="BC29" s="224">
        <f t="shared" si="11"/>
        <v>0</v>
      </c>
      <c r="BD29" s="224">
        <f t="shared" si="12"/>
        <v>0</v>
      </c>
      <c r="BE29" s="224">
        <f t="shared" si="13"/>
        <v>0</v>
      </c>
      <c r="BF29" s="224">
        <f t="shared" si="14"/>
        <v>0</v>
      </c>
      <c r="BG29" s="224">
        <f t="shared" si="15"/>
        <v>0</v>
      </c>
      <c r="BH29" s="224">
        <f t="shared" si="16"/>
        <v>0</v>
      </c>
      <c r="BI29" s="256">
        <f t="shared" si="17"/>
        <v>0</v>
      </c>
      <c r="BJ29" s="256">
        <f t="shared" si="18"/>
        <v>0</v>
      </c>
      <c r="BK29" s="256">
        <f t="shared" si="19"/>
        <v>0</v>
      </c>
      <c r="BL29" s="256">
        <f t="shared" si="20"/>
        <v>0</v>
      </c>
      <c r="BM29" s="256">
        <f t="shared" si="21"/>
        <v>0</v>
      </c>
      <c r="BN29" s="256">
        <f t="shared" si="22"/>
        <v>0</v>
      </c>
      <c r="BO29" s="256">
        <f t="shared" si="23"/>
        <v>0</v>
      </c>
      <c r="BP29" s="256">
        <f t="shared" si="24"/>
        <v>0</v>
      </c>
      <c r="BQ29" s="257">
        <f t="shared" si="25"/>
        <v>23932.554229616479</v>
      </c>
    </row>
    <row r="30" spans="1:69">
      <c r="A30" s="748" t="s">
        <v>801</v>
      </c>
      <c r="B30" s="750" t="s">
        <v>567</v>
      </c>
      <c r="C30" s="277"/>
      <c r="D30" s="249">
        <v>0</v>
      </c>
      <c r="E30" s="250">
        <v>0</v>
      </c>
      <c r="F30" s="250">
        <v>0.05</v>
      </c>
      <c r="G30" s="250"/>
      <c r="H30" s="250"/>
      <c r="I30" s="250">
        <v>0.05</v>
      </c>
      <c r="J30" s="250"/>
      <c r="K30" s="250"/>
      <c r="L30" s="250"/>
      <c r="M30" s="250">
        <v>0</v>
      </c>
      <c r="N30" s="250"/>
      <c r="O30" s="250">
        <v>0</v>
      </c>
      <c r="P30" s="250">
        <v>0</v>
      </c>
      <c r="Q30" s="250">
        <v>0</v>
      </c>
      <c r="R30" s="250">
        <v>0</v>
      </c>
      <c r="S30" s="250">
        <v>0</v>
      </c>
      <c r="T30" s="250"/>
      <c r="U30" s="250">
        <v>0</v>
      </c>
      <c r="V30" s="250">
        <v>0</v>
      </c>
      <c r="W30" s="250">
        <v>0</v>
      </c>
      <c r="X30" s="278"/>
      <c r="Z30" s="279">
        <f>Est2017TransRev!Z30</f>
        <v>294.41666666666669</v>
      </c>
      <c r="AA30" s="253">
        <f>Est2017TransRev!AA30</f>
        <v>0</v>
      </c>
      <c r="AB30" s="253">
        <f>Est2017TransRev!AB30</f>
        <v>5947325.8894274719</v>
      </c>
      <c r="AC30" s="253">
        <f>Est2017TransRev!AC30</f>
        <v>0</v>
      </c>
      <c r="AD30" s="253">
        <f>Est2017TransRev!AD30</f>
        <v>0</v>
      </c>
      <c r="AE30" s="253">
        <f>Est2017TransRev!AE30</f>
        <v>1526111.0416527959</v>
      </c>
      <c r="AF30" s="253">
        <f>Est2017TransRev!AF30</f>
        <v>0</v>
      </c>
      <c r="AG30" s="253">
        <f>Est2017TransRev!AG30</f>
        <v>0</v>
      </c>
      <c r="AH30" s="253">
        <f>Est2017TransRev!AH30</f>
        <v>0</v>
      </c>
      <c r="AI30" s="253">
        <f>Est2017TransRev!AI30</f>
        <v>0</v>
      </c>
      <c r="AJ30" s="253">
        <f>Est2017TransRev!AJ30</f>
        <v>0</v>
      </c>
      <c r="AK30" s="253">
        <f>Est2017TransRev!AK30</f>
        <v>0</v>
      </c>
      <c r="AL30" s="253">
        <f>Est2017TransRev!AL30</f>
        <v>0</v>
      </c>
      <c r="AM30" s="253">
        <f>Est2017TransRev!AM30</f>
        <v>0</v>
      </c>
      <c r="AN30" s="253">
        <f>Est2017TransRev!AN30</f>
        <v>0</v>
      </c>
      <c r="AO30" s="253">
        <f>Est2017TransRev!AO30</f>
        <v>0</v>
      </c>
      <c r="AP30" s="253">
        <f>Est2017TransRev!AP30</f>
        <v>0</v>
      </c>
      <c r="AQ30" s="253">
        <f>Est2017TransRev!AQ30</f>
        <v>0</v>
      </c>
      <c r="AR30" s="253">
        <f>Est2017TransRev!AR30</f>
        <v>0</v>
      </c>
      <c r="AS30" s="253">
        <f>Est2017TransRev!AS30</f>
        <v>0</v>
      </c>
      <c r="AT30" s="280"/>
      <c r="AV30" s="255">
        <f t="shared" si="4"/>
        <v>0</v>
      </c>
      <c r="AW30" s="224">
        <f t="shared" si="5"/>
        <v>0</v>
      </c>
      <c r="AX30" s="224">
        <f t="shared" si="6"/>
        <v>2973.6629447137361</v>
      </c>
      <c r="AY30" s="224">
        <f t="shared" si="7"/>
        <v>0</v>
      </c>
      <c r="AZ30" s="224">
        <f t="shared" si="8"/>
        <v>0</v>
      </c>
      <c r="BA30" s="224">
        <f t="shared" si="9"/>
        <v>763.05552082639792</v>
      </c>
      <c r="BB30" s="224">
        <f t="shared" si="10"/>
        <v>0</v>
      </c>
      <c r="BC30" s="224">
        <f t="shared" si="11"/>
        <v>0</v>
      </c>
      <c r="BD30" s="224">
        <f t="shared" si="12"/>
        <v>0</v>
      </c>
      <c r="BE30" s="224">
        <f t="shared" si="13"/>
        <v>0</v>
      </c>
      <c r="BF30" s="224">
        <f t="shared" si="14"/>
        <v>0</v>
      </c>
      <c r="BG30" s="224">
        <f t="shared" si="15"/>
        <v>0</v>
      </c>
      <c r="BH30" s="224">
        <f t="shared" si="16"/>
        <v>0</v>
      </c>
      <c r="BI30" s="256">
        <f t="shared" si="17"/>
        <v>0</v>
      </c>
      <c r="BJ30" s="256">
        <f t="shared" si="18"/>
        <v>0</v>
      </c>
      <c r="BK30" s="256">
        <f t="shared" si="19"/>
        <v>0</v>
      </c>
      <c r="BL30" s="256">
        <f t="shared" si="20"/>
        <v>0</v>
      </c>
      <c r="BM30" s="256">
        <f t="shared" si="21"/>
        <v>0</v>
      </c>
      <c r="BN30" s="256">
        <f t="shared" si="22"/>
        <v>0</v>
      </c>
      <c r="BO30" s="256">
        <f t="shared" si="23"/>
        <v>0</v>
      </c>
      <c r="BP30" s="256">
        <f t="shared" si="24"/>
        <v>0</v>
      </c>
      <c r="BQ30" s="257">
        <f t="shared" si="25"/>
        <v>3736.7184655401343</v>
      </c>
    </row>
    <row r="31" spans="1:69">
      <c r="A31" s="748" t="s">
        <v>802</v>
      </c>
      <c r="B31" s="750" t="s">
        <v>568</v>
      </c>
      <c r="C31" s="277"/>
      <c r="D31" s="249">
        <v>0</v>
      </c>
      <c r="E31" s="250">
        <v>0</v>
      </c>
      <c r="F31" s="250">
        <v>0.05</v>
      </c>
      <c r="G31" s="250"/>
      <c r="H31" s="250"/>
      <c r="I31" s="250">
        <v>0.05</v>
      </c>
      <c r="J31" s="250"/>
      <c r="K31" s="250"/>
      <c r="L31" s="250"/>
      <c r="M31" s="250">
        <v>0</v>
      </c>
      <c r="N31" s="250"/>
      <c r="O31" s="250">
        <v>0</v>
      </c>
      <c r="P31" s="250">
        <v>0</v>
      </c>
      <c r="Q31" s="250">
        <v>0</v>
      </c>
      <c r="R31" s="250">
        <v>0</v>
      </c>
      <c r="S31" s="250">
        <v>0</v>
      </c>
      <c r="T31" s="250"/>
      <c r="U31" s="250">
        <v>0</v>
      </c>
      <c r="V31" s="250">
        <v>0</v>
      </c>
      <c r="W31" s="250">
        <v>0</v>
      </c>
      <c r="X31" s="278"/>
      <c r="Z31" s="279">
        <f>Est2017TransRev!Z31</f>
        <v>2</v>
      </c>
      <c r="AA31" s="253">
        <f>Est2017TransRev!AA31</f>
        <v>0</v>
      </c>
      <c r="AB31" s="253">
        <f>Est2017TransRev!AB31</f>
        <v>1028007.8666707557</v>
      </c>
      <c r="AC31" s="253">
        <f>Est2017TransRev!AC31</f>
        <v>0</v>
      </c>
      <c r="AD31" s="253">
        <f>Est2017TransRev!AD31</f>
        <v>0</v>
      </c>
      <c r="AE31" s="253">
        <f>Est2017TransRev!AE31</f>
        <v>1384520.1941069397</v>
      </c>
      <c r="AF31" s="253">
        <f>Est2017TransRev!AF31</f>
        <v>0</v>
      </c>
      <c r="AG31" s="253">
        <f>Est2017TransRev!AG31</f>
        <v>0</v>
      </c>
      <c r="AH31" s="253">
        <f>Est2017TransRev!AH31</f>
        <v>0</v>
      </c>
      <c r="AI31" s="253">
        <f>Est2017TransRev!AI31</f>
        <v>0</v>
      </c>
      <c r="AJ31" s="253">
        <f>Est2017TransRev!AJ31</f>
        <v>0</v>
      </c>
      <c r="AK31" s="253">
        <f>Est2017TransRev!AK31</f>
        <v>0</v>
      </c>
      <c r="AL31" s="253">
        <f>Est2017TransRev!AL31</f>
        <v>0</v>
      </c>
      <c r="AM31" s="253">
        <f>Est2017TransRev!AM31</f>
        <v>0</v>
      </c>
      <c r="AN31" s="253">
        <f>Est2017TransRev!AN31</f>
        <v>0</v>
      </c>
      <c r="AO31" s="253">
        <f>Est2017TransRev!AO31</f>
        <v>0</v>
      </c>
      <c r="AP31" s="253">
        <f>Est2017TransRev!AP31</f>
        <v>0</v>
      </c>
      <c r="AQ31" s="253">
        <f>Est2017TransRev!AQ31</f>
        <v>0</v>
      </c>
      <c r="AR31" s="253">
        <f>Est2017TransRev!AR31</f>
        <v>0</v>
      </c>
      <c r="AS31" s="253">
        <f>Est2017TransRev!AS31</f>
        <v>0</v>
      </c>
      <c r="AT31" s="280"/>
      <c r="AV31" s="255">
        <f t="shared" si="4"/>
        <v>0</v>
      </c>
      <c r="AW31" s="224">
        <f t="shared" si="5"/>
        <v>0</v>
      </c>
      <c r="AX31" s="224">
        <f t="shared" si="6"/>
        <v>514.00393333537784</v>
      </c>
      <c r="AY31" s="224">
        <f t="shared" si="7"/>
        <v>0</v>
      </c>
      <c r="AZ31" s="224">
        <f t="shared" si="8"/>
        <v>0</v>
      </c>
      <c r="BA31" s="224">
        <f t="shared" si="9"/>
        <v>692.26009705346985</v>
      </c>
      <c r="BB31" s="224">
        <f t="shared" si="10"/>
        <v>0</v>
      </c>
      <c r="BC31" s="224">
        <f t="shared" si="11"/>
        <v>0</v>
      </c>
      <c r="BD31" s="224">
        <f t="shared" si="12"/>
        <v>0</v>
      </c>
      <c r="BE31" s="224">
        <f t="shared" si="13"/>
        <v>0</v>
      </c>
      <c r="BF31" s="224">
        <f t="shared" si="14"/>
        <v>0</v>
      </c>
      <c r="BG31" s="224">
        <f t="shared" si="15"/>
        <v>0</v>
      </c>
      <c r="BH31" s="224">
        <f t="shared" si="16"/>
        <v>0</v>
      </c>
      <c r="BI31" s="256">
        <f t="shared" si="17"/>
        <v>0</v>
      </c>
      <c r="BJ31" s="256">
        <f t="shared" si="18"/>
        <v>0</v>
      </c>
      <c r="BK31" s="256">
        <f t="shared" si="19"/>
        <v>0</v>
      </c>
      <c r="BL31" s="256">
        <f t="shared" si="20"/>
        <v>0</v>
      </c>
      <c r="BM31" s="256">
        <f t="shared" si="21"/>
        <v>0</v>
      </c>
      <c r="BN31" s="256">
        <f t="shared" si="22"/>
        <v>0</v>
      </c>
      <c r="BO31" s="256">
        <f t="shared" si="23"/>
        <v>0</v>
      </c>
      <c r="BP31" s="256">
        <f t="shared" si="24"/>
        <v>0</v>
      </c>
      <c r="BQ31" s="257">
        <f t="shared" si="25"/>
        <v>1206.2640303888477</v>
      </c>
    </row>
    <row r="32" spans="1:69">
      <c r="A32" s="748" t="s">
        <v>803</v>
      </c>
      <c r="B32" s="750" t="s">
        <v>598</v>
      </c>
      <c r="C32" s="277"/>
      <c r="D32" s="249">
        <v>0</v>
      </c>
      <c r="E32" s="250">
        <v>0.05</v>
      </c>
      <c r="F32" s="250">
        <v>0</v>
      </c>
      <c r="G32" s="250"/>
      <c r="H32" s="250"/>
      <c r="I32" s="250">
        <v>0</v>
      </c>
      <c r="J32" s="250"/>
      <c r="K32" s="250"/>
      <c r="L32" s="250"/>
      <c r="M32" s="250">
        <v>0</v>
      </c>
      <c r="N32" s="250"/>
      <c r="O32" s="250">
        <v>0</v>
      </c>
      <c r="P32" s="250">
        <v>0</v>
      </c>
      <c r="Q32" s="250">
        <v>0</v>
      </c>
      <c r="R32" s="250">
        <v>0</v>
      </c>
      <c r="S32" s="250">
        <v>0</v>
      </c>
      <c r="T32" s="250"/>
      <c r="U32" s="250">
        <v>0</v>
      </c>
      <c r="V32" s="250">
        <v>0</v>
      </c>
      <c r="W32" s="250">
        <v>0</v>
      </c>
      <c r="X32" s="278"/>
      <c r="Z32" s="279">
        <f>Est2017TransRev!Z32</f>
        <v>943</v>
      </c>
      <c r="AA32" s="253">
        <f>Est2017TransRev!AA32</f>
        <v>44038820.922569022</v>
      </c>
      <c r="AB32" s="253">
        <f>Est2017TransRev!AB32</f>
        <v>0</v>
      </c>
      <c r="AC32" s="253">
        <f>Est2017TransRev!AC32</f>
        <v>0</v>
      </c>
      <c r="AD32" s="253">
        <f>Est2017TransRev!AD32</f>
        <v>0</v>
      </c>
      <c r="AE32" s="253">
        <f>Est2017TransRev!AE32</f>
        <v>0</v>
      </c>
      <c r="AF32" s="253">
        <f>Est2017TransRev!AF32</f>
        <v>0</v>
      </c>
      <c r="AG32" s="253">
        <f>Est2017TransRev!AG32</f>
        <v>0</v>
      </c>
      <c r="AH32" s="253">
        <f>Est2017TransRev!AH32</f>
        <v>0</v>
      </c>
      <c r="AI32" s="253">
        <f>Est2017TransRev!AI32</f>
        <v>0</v>
      </c>
      <c r="AJ32" s="253">
        <f>Est2017TransRev!AJ32</f>
        <v>0</v>
      </c>
      <c r="AK32" s="253">
        <f>Est2017TransRev!AK32</f>
        <v>55402.938758333337</v>
      </c>
      <c r="AL32" s="253">
        <f>Est2017TransRev!AL32</f>
        <v>114884.40078000007</v>
      </c>
      <c r="AM32" s="253">
        <f>Est2017TransRev!AM32</f>
        <v>0</v>
      </c>
      <c r="AN32" s="253">
        <f>Est2017TransRev!AN32</f>
        <v>0</v>
      </c>
      <c r="AO32" s="253">
        <f>Est2017TransRev!AO32</f>
        <v>0</v>
      </c>
      <c r="AP32" s="253">
        <f>Est2017TransRev!AP32</f>
        <v>0</v>
      </c>
      <c r="AQ32" s="253">
        <f>Est2017TransRev!AQ32</f>
        <v>0</v>
      </c>
      <c r="AR32" s="253">
        <f>Est2017TransRev!AR32</f>
        <v>0</v>
      </c>
      <c r="AS32" s="253">
        <f>Est2017TransRev!AS32</f>
        <v>0</v>
      </c>
      <c r="AT32" s="280"/>
      <c r="AV32" s="255">
        <f t="shared" si="4"/>
        <v>0</v>
      </c>
      <c r="AW32" s="224">
        <f t="shared" si="5"/>
        <v>22019.410461284511</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0</v>
      </c>
      <c r="BH32" s="224">
        <f t="shared" si="16"/>
        <v>0</v>
      </c>
      <c r="BI32" s="256">
        <f t="shared" si="17"/>
        <v>0</v>
      </c>
      <c r="BJ32" s="256">
        <f t="shared" si="18"/>
        <v>0</v>
      </c>
      <c r="BK32" s="256">
        <f t="shared" si="19"/>
        <v>0</v>
      </c>
      <c r="BL32" s="256">
        <f t="shared" si="20"/>
        <v>0</v>
      </c>
      <c r="BM32" s="256">
        <f t="shared" si="21"/>
        <v>0</v>
      </c>
      <c r="BN32" s="256">
        <f t="shared" si="22"/>
        <v>0</v>
      </c>
      <c r="BO32" s="256">
        <f t="shared" si="23"/>
        <v>0</v>
      </c>
      <c r="BP32" s="256">
        <f t="shared" si="24"/>
        <v>0</v>
      </c>
      <c r="BQ32" s="257">
        <f t="shared" si="25"/>
        <v>22019.410461284511</v>
      </c>
    </row>
    <row r="33" spans="1:69">
      <c r="A33" s="748" t="s">
        <v>804</v>
      </c>
      <c r="B33" s="750" t="s">
        <v>599</v>
      </c>
      <c r="C33" s="277"/>
      <c r="D33" s="249">
        <v>0</v>
      </c>
      <c r="E33" s="250">
        <v>0.05</v>
      </c>
      <c r="F33" s="250">
        <v>0</v>
      </c>
      <c r="G33" s="250"/>
      <c r="H33" s="250"/>
      <c r="I33" s="250">
        <v>0</v>
      </c>
      <c r="J33" s="250"/>
      <c r="K33" s="250"/>
      <c r="L33" s="250"/>
      <c r="M33" s="250">
        <v>0</v>
      </c>
      <c r="N33" s="250"/>
      <c r="O33" s="250">
        <v>0</v>
      </c>
      <c r="P33" s="250">
        <v>0</v>
      </c>
      <c r="Q33" s="250">
        <v>0</v>
      </c>
      <c r="R33" s="250">
        <v>0</v>
      </c>
      <c r="S33" s="250">
        <v>0</v>
      </c>
      <c r="T33" s="250"/>
      <c r="U33" s="250">
        <v>0</v>
      </c>
      <c r="V33" s="250">
        <v>0</v>
      </c>
      <c r="W33" s="250">
        <v>0</v>
      </c>
      <c r="X33" s="278"/>
      <c r="Z33" s="279">
        <f>Est2017TransRev!Z33</f>
        <v>0</v>
      </c>
      <c r="AA33" s="253">
        <f>Est2017TransRev!AA33</f>
        <v>0</v>
      </c>
      <c r="AB33" s="253">
        <f>Est2017TransRev!AB33</f>
        <v>0</v>
      </c>
      <c r="AC33" s="253">
        <f>Est2017TransRev!AC33</f>
        <v>0</v>
      </c>
      <c r="AD33" s="253">
        <f>Est2017TransRev!AD33</f>
        <v>0</v>
      </c>
      <c r="AE33" s="253">
        <f>Est2017TransRev!AE33</f>
        <v>0</v>
      </c>
      <c r="AF33" s="253">
        <f>Est2017TransRev!AF33</f>
        <v>0</v>
      </c>
      <c r="AG33" s="253">
        <f>Est2017TransRev!AG33</f>
        <v>0</v>
      </c>
      <c r="AH33" s="253">
        <f>Est2017TransRev!AH33</f>
        <v>0</v>
      </c>
      <c r="AI33" s="253">
        <f>Est2017TransRev!AI33</f>
        <v>0</v>
      </c>
      <c r="AJ33" s="253">
        <f>Est2017TransRev!AJ33</f>
        <v>0</v>
      </c>
      <c r="AK33" s="253">
        <f>Est2017TransRev!AK33</f>
        <v>0</v>
      </c>
      <c r="AL33" s="253">
        <f>Est2017TransRev!AL33</f>
        <v>0</v>
      </c>
      <c r="AM33" s="253">
        <f>Est2017TransRev!AM33</f>
        <v>0</v>
      </c>
      <c r="AN33" s="253">
        <f>Est2017TransRev!AN33</f>
        <v>0</v>
      </c>
      <c r="AO33" s="253">
        <f>Est2017TransRev!AO33</f>
        <v>0</v>
      </c>
      <c r="AP33" s="253">
        <f>Est2017TransRev!AP33</f>
        <v>0</v>
      </c>
      <c r="AQ33" s="253">
        <f>Est2017TransRev!AQ33</f>
        <v>0</v>
      </c>
      <c r="AR33" s="253">
        <f>Est2017TransRev!AR33</f>
        <v>0</v>
      </c>
      <c r="AS33" s="253">
        <f>Est2017TransRev!AS33</f>
        <v>0</v>
      </c>
      <c r="AT33" s="280"/>
      <c r="AV33" s="255">
        <f t="shared" si="4"/>
        <v>0</v>
      </c>
      <c r="AW33" s="224">
        <f t="shared" si="5"/>
        <v>0</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56">
        <f t="shared" si="17"/>
        <v>0</v>
      </c>
      <c r="BJ33" s="256">
        <f t="shared" si="18"/>
        <v>0</v>
      </c>
      <c r="BK33" s="256">
        <f t="shared" si="19"/>
        <v>0</v>
      </c>
      <c r="BL33" s="256">
        <f t="shared" si="20"/>
        <v>0</v>
      </c>
      <c r="BM33" s="256">
        <f t="shared" si="21"/>
        <v>0</v>
      </c>
      <c r="BN33" s="256">
        <f t="shared" si="22"/>
        <v>0</v>
      </c>
      <c r="BO33" s="256">
        <f t="shared" si="23"/>
        <v>0</v>
      </c>
      <c r="BP33" s="256">
        <f t="shared" si="24"/>
        <v>0</v>
      </c>
      <c r="BQ33" s="257">
        <f t="shared" si="25"/>
        <v>0</v>
      </c>
    </row>
    <row r="34" spans="1:69">
      <c r="A34" s="748" t="s">
        <v>805</v>
      </c>
      <c r="B34" s="750" t="s">
        <v>600</v>
      </c>
      <c r="C34" s="277"/>
      <c r="D34" s="249">
        <v>0</v>
      </c>
      <c r="E34" s="250">
        <v>0</v>
      </c>
      <c r="F34" s="250">
        <v>0.04</v>
      </c>
      <c r="G34" s="250"/>
      <c r="H34" s="250"/>
      <c r="I34" s="250">
        <v>0.04</v>
      </c>
      <c r="J34" s="250"/>
      <c r="K34" s="250"/>
      <c r="L34" s="250"/>
      <c r="M34" s="250">
        <v>0</v>
      </c>
      <c r="N34" s="250"/>
      <c r="O34" s="250">
        <v>0</v>
      </c>
      <c r="P34" s="250">
        <v>0</v>
      </c>
      <c r="Q34" s="250">
        <v>0</v>
      </c>
      <c r="R34" s="250">
        <v>0</v>
      </c>
      <c r="S34" s="250">
        <v>0</v>
      </c>
      <c r="T34" s="250"/>
      <c r="U34" s="250">
        <v>0</v>
      </c>
      <c r="V34" s="250">
        <v>0</v>
      </c>
      <c r="W34" s="250">
        <v>0</v>
      </c>
      <c r="X34" s="278"/>
      <c r="Z34" s="279">
        <f>Est2017TransRev!Z34</f>
        <v>4648</v>
      </c>
      <c r="AA34" s="253">
        <f>Est2017TransRev!AA34</f>
        <v>0</v>
      </c>
      <c r="AB34" s="253">
        <f>Est2017TransRev!AB34</f>
        <v>458603853.62653899</v>
      </c>
      <c r="AC34" s="253">
        <f>Est2017TransRev!AC34</f>
        <v>0</v>
      </c>
      <c r="AD34" s="253">
        <f>Est2017TransRev!AD34</f>
        <v>0</v>
      </c>
      <c r="AE34" s="253">
        <f>Est2017TransRev!AE34</f>
        <v>223355008.38813099</v>
      </c>
      <c r="AF34" s="253">
        <f>Est2017TransRev!AF34</f>
        <v>0</v>
      </c>
      <c r="AG34" s="253">
        <f>Est2017TransRev!AG34</f>
        <v>0</v>
      </c>
      <c r="AH34" s="253">
        <f>Est2017TransRev!AH34</f>
        <v>0</v>
      </c>
      <c r="AI34" s="253">
        <f>Est2017TransRev!AI34</f>
        <v>0</v>
      </c>
      <c r="AJ34" s="253">
        <f>Est2017TransRev!AJ34</f>
        <v>0</v>
      </c>
      <c r="AK34" s="253">
        <f>Est2017TransRev!AK34</f>
        <v>777697.71506800002</v>
      </c>
      <c r="AL34" s="253">
        <f>Est2017TransRev!AL34</f>
        <v>1436797.9229680002</v>
      </c>
      <c r="AM34" s="253">
        <f>Est2017TransRev!AM34</f>
        <v>0</v>
      </c>
      <c r="AN34" s="253">
        <f>Est2017TransRev!AN34</f>
        <v>0</v>
      </c>
      <c r="AO34" s="253">
        <f>Est2017TransRev!AO34</f>
        <v>0</v>
      </c>
      <c r="AP34" s="253">
        <f>Est2017TransRev!AP34</f>
        <v>0</v>
      </c>
      <c r="AQ34" s="253">
        <f>Est2017TransRev!AQ34</f>
        <v>0</v>
      </c>
      <c r="AR34" s="253">
        <f>Est2017TransRev!AR34</f>
        <v>0</v>
      </c>
      <c r="AS34" s="253">
        <f>Est2017TransRev!AS34</f>
        <v>0</v>
      </c>
      <c r="AT34" s="280"/>
      <c r="AV34" s="255">
        <f t="shared" si="4"/>
        <v>0</v>
      </c>
      <c r="AW34" s="224">
        <f t="shared" si="5"/>
        <v>0</v>
      </c>
      <c r="AX34" s="224">
        <f t="shared" si="6"/>
        <v>183441.54145061559</v>
      </c>
      <c r="AY34" s="224">
        <f t="shared" si="7"/>
        <v>0</v>
      </c>
      <c r="AZ34" s="224">
        <f t="shared" si="8"/>
        <v>0</v>
      </c>
      <c r="BA34" s="224">
        <f t="shared" si="9"/>
        <v>89342.003355252396</v>
      </c>
      <c r="BB34" s="224">
        <f t="shared" si="10"/>
        <v>0</v>
      </c>
      <c r="BC34" s="224">
        <f t="shared" si="11"/>
        <v>0</v>
      </c>
      <c r="BD34" s="224">
        <f t="shared" si="12"/>
        <v>0</v>
      </c>
      <c r="BE34" s="224">
        <f t="shared" si="13"/>
        <v>0</v>
      </c>
      <c r="BF34" s="224">
        <f t="shared" si="14"/>
        <v>0</v>
      </c>
      <c r="BG34" s="224">
        <f t="shared" si="15"/>
        <v>0</v>
      </c>
      <c r="BH34" s="224">
        <f t="shared" si="16"/>
        <v>0</v>
      </c>
      <c r="BI34" s="256">
        <f t="shared" si="17"/>
        <v>0</v>
      </c>
      <c r="BJ34" s="256">
        <f t="shared" si="18"/>
        <v>0</v>
      </c>
      <c r="BK34" s="256">
        <f t="shared" si="19"/>
        <v>0</v>
      </c>
      <c r="BL34" s="256">
        <f t="shared" si="20"/>
        <v>0</v>
      </c>
      <c r="BM34" s="256">
        <f t="shared" si="21"/>
        <v>0</v>
      </c>
      <c r="BN34" s="256">
        <f t="shared" si="22"/>
        <v>0</v>
      </c>
      <c r="BO34" s="256">
        <f t="shared" si="23"/>
        <v>0</v>
      </c>
      <c r="BP34" s="256">
        <f t="shared" si="24"/>
        <v>0</v>
      </c>
      <c r="BQ34" s="257">
        <f t="shared" si="25"/>
        <v>272783.544805868</v>
      </c>
    </row>
    <row r="35" spans="1:69">
      <c r="A35" s="748" t="s">
        <v>807</v>
      </c>
      <c r="B35" s="750" t="s">
        <v>601</v>
      </c>
      <c r="C35" s="277"/>
      <c r="D35" s="249">
        <v>0</v>
      </c>
      <c r="E35" s="250">
        <v>0</v>
      </c>
      <c r="F35" s="250">
        <v>0.04</v>
      </c>
      <c r="G35" s="250"/>
      <c r="H35" s="250"/>
      <c r="I35" s="250">
        <v>0.04</v>
      </c>
      <c r="J35" s="250"/>
      <c r="K35" s="250"/>
      <c r="L35" s="250"/>
      <c r="M35" s="250">
        <v>0</v>
      </c>
      <c r="N35" s="250"/>
      <c r="O35" s="250">
        <v>0</v>
      </c>
      <c r="P35" s="250">
        <v>0</v>
      </c>
      <c r="Q35" s="250">
        <v>0</v>
      </c>
      <c r="R35" s="250">
        <v>0</v>
      </c>
      <c r="S35" s="250">
        <v>0</v>
      </c>
      <c r="T35" s="250"/>
      <c r="U35" s="250">
        <v>0</v>
      </c>
      <c r="V35" s="250">
        <v>0</v>
      </c>
      <c r="W35" s="250">
        <v>0</v>
      </c>
      <c r="X35" s="278"/>
      <c r="Z35" s="279">
        <f>Est2017TransRev!Z35</f>
        <v>2249</v>
      </c>
      <c r="AA35" s="253">
        <f>Est2017TransRev!AA35</f>
        <v>0</v>
      </c>
      <c r="AB35" s="253">
        <f>Est2017TransRev!AB35</f>
        <v>305307951.20099998</v>
      </c>
      <c r="AC35" s="253">
        <f>Est2017TransRev!AC35</f>
        <v>0</v>
      </c>
      <c r="AD35" s="253">
        <f>Est2017TransRev!AD35</f>
        <v>0</v>
      </c>
      <c r="AE35" s="253">
        <f>Est2017TransRev!AE35</f>
        <v>157474786.73719999</v>
      </c>
      <c r="AF35" s="253">
        <f>Est2017TransRev!AF35</f>
        <v>0</v>
      </c>
      <c r="AG35" s="253">
        <f>Est2017TransRev!AG35</f>
        <v>0</v>
      </c>
      <c r="AH35" s="253">
        <f>Est2017TransRev!AH35</f>
        <v>0</v>
      </c>
      <c r="AI35" s="253">
        <f>Est2017TransRev!AI35</f>
        <v>0</v>
      </c>
      <c r="AJ35" s="253">
        <f>Est2017TransRev!AJ35</f>
        <v>0</v>
      </c>
      <c r="AK35" s="253">
        <f>Est2017TransRev!AK35</f>
        <v>527296.244022</v>
      </c>
      <c r="AL35" s="253">
        <f>Est2017TransRev!AL35</f>
        <v>921016.40462399996</v>
      </c>
      <c r="AM35" s="253">
        <f>Est2017TransRev!AM35</f>
        <v>0</v>
      </c>
      <c r="AN35" s="253">
        <f>Est2017TransRev!AN35</f>
        <v>0</v>
      </c>
      <c r="AO35" s="253">
        <f>Est2017TransRev!AO35</f>
        <v>0</v>
      </c>
      <c r="AP35" s="253">
        <f>Est2017TransRev!AP35</f>
        <v>0</v>
      </c>
      <c r="AQ35" s="253">
        <f>Est2017TransRev!AQ35</f>
        <v>0</v>
      </c>
      <c r="AR35" s="253">
        <f>Est2017TransRev!AR35</f>
        <v>0</v>
      </c>
      <c r="AS35" s="253">
        <f>Est2017TransRev!AS35</f>
        <v>0</v>
      </c>
      <c r="AT35" s="280"/>
      <c r="AV35" s="255">
        <f t="shared" si="4"/>
        <v>0</v>
      </c>
      <c r="AW35" s="224">
        <f t="shared" si="5"/>
        <v>0</v>
      </c>
      <c r="AX35" s="224">
        <f t="shared" si="6"/>
        <v>122123.1804804</v>
      </c>
      <c r="AY35" s="224">
        <f t="shared" si="7"/>
        <v>0</v>
      </c>
      <c r="AZ35" s="224">
        <f t="shared" si="8"/>
        <v>0</v>
      </c>
      <c r="BA35" s="224">
        <f t="shared" si="9"/>
        <v>62989.914694879997</v>
      </c>
      <c r="BB35" s="224">
        <f t="shared" si="10"/>
        <v>0</v>
      </c>
      <c r="BC35" s="224">
        <f t="shared" si="11"/>
        <v>0</v>
      </c>
      <c r="BD35" s="224">
        <f t="shared" si="12"/>
        <v>0</v>
      </c>
      <c r="BE35" s="224">
        <f t="shared" si="13"/>
        <v>0</v>
      </c>
      <c r="BF35" s="224">
        <f t="shared" si="14"/>
        <v>0</v>
      </c>
      <c r="BG35" s="224">
        <f t="shared" si="15"/>
        <v>0</v>
      </c>
      <c r="BH35" s="224">
        <f t="shared" si="16"/>
        <v>0</v>
      </c>
      <c r="BI35" s="256">
        <f t="shared" si="17"/>
        <v>0</v>
      </c>
      <c r="BJ35" s="256">
        <f t="shared" si="18"/>
        <v>0</v>
      </c>
      <c r="BK35" s="256">
        <f t="shared" si="19"/>
        <v>0</v>
      </c>
      <c r="BL35" s="256">
        <f t="shared" si="20"/>
        <v>0</v>
      </c>
      <c r="BM35" s="256">
        <f t="shared" si="21"/>
        <v>0</v>
      </c>
      <c r="BN35" s="256">
        <f t="shared" si="22"/>
        <v>0</v>
      </c>
      <c r="BO35" s="256">
        <f t="shared" si="23"/>
        <v>0</v>
      </c>
      <c r="BP35" s="256">
        <f t="shared" si="24"/>
        <v>0</v>
      </c>
      <c r="BQ35" s="257">
        <f t="shared" si="25"/>
        <v>185113.09517528</v>
      </c>
    </row>
    <row r="36" spans="1:69">
      <c r="A36" s="748" t="s">
        <v>814</v>
      </c>
      <c r="B36" s="750" t="s">
        <v>569</v>
      </c>
      <c r="C36" s="277"/>
      <c r="D36" s="249">
        <v>0</v>
      </c>
      <c r="E36" s="250">
        <v>0</v>
      </c>
      <c r="F36" s="250">
        <v>0.05</v>
      </c>
      <c r="G36" s="250"/>
      <c r="H36" s="250"/>
      <c r="I36" s="250">
        <v>0.05</v>
      </c>
      <c r="J36" s="250"/>
      <c r="K36" s="250"/>
      <c r="L36" s="250"/>
      <c r="M36" s="250">
        <v>0</v>
      </c>
      <c r="N36" s="250"/>
      <c r="O36" s="250">
        <v>0</v>
      </c>
      <c r="P36" s="250">
        <v>0</v>
      </c>
      <c r="Q36" s="250">
        <v>0</v>
      </c>
      <c r="R36" s="250">
        <v>0</v>
      </c>
      <c r="S36" s="250">
        <v>0</v>
      </c>
      <c r="T36" s="250"/>
      <c r="U36" s="250">
        <v>0</v>
      </c>
      <c r="V36" s="250">
        <v>0</v>
      </c>
      <c r="W36" s="250">
        <v>0</v>
      </c>
      <c r="X36" s="278"/>
      <c r="Z36" s="279">
        <f>Est2017TransRev!Z36</f>
        <v>1140.5</v>
      </c>
      <c r="AA36" s="253">
        <f>Est2017TransRev!AA36</f>
        <v>0</v>
      </c>
      <c r="AB36" s="253">
        <f>Est2017TransRev!AB36</f>
        <v>14051779.544074081</v>
      </c>
      <c r="AC36" s="253">
        <f>Est2017TransRev!AC36</f>
        <v>0</v>
      </c>
      <c r="AD36" s="253">
        <f>Est2017TransRev!AD36</f>
        <v>0</v>
      </c>
      <c r="AE36" s="253">
        <f>Est2017TransRev!AE36</f>
        <v>23479971.058964424</v>
      </c>
      <c r="AF36" s="253">
        <f>Est2017TransRev!AF36</f>
        <v>0</v>
      </c>
      <c r="AG36" s="253">
        <f>Est2017TransRev!AG36</f>
        <v>0</v>
      </c>
      <c r="AH36" s="253">
        <f>Est2017TransRev!AH36</f>
        <v>0</v>
      </c>
      <c r="AI36" s="253">
        <f>Est2017TransRev!AI36</f>
        <v>0</v>
      </c>
      <c r="AJ36" s="253">
        <f>Est2017TransRev!AJ36</f>
        <v>0</v>
      </c>
      <c r="AK36" s="253">
        <f>Est2017TransRev!AK36</f>
        <v>0</v>
      </c>
      <c r="AL36" s="253">
        <f>Est2017TransRev!AL36</f>
        <v>0</v>
      </c>
      <c r="AM36" s="253">
        <f>Est2017TransRev!AM36</f>
        <v>0</v>
      </c>
      <c r="AN36" s="253">
        <f>Est2017TransRev!AN36</f>
        <v>0</v>
      </c>
      <c r="AO36" s="253">
        <f>Est2017TransRev!AO36</f>
        <v>0</v>
      </c>
      <c r="AP36" s="253">
        <f>Est2017TransRev!AP36</f>
        <v>0</v>
      </c>
      <c r="AQ36" s="253">
        <f>Est2017TransRev!AQ36</f>
        <v>0</v>
      </c>
      <c r="AR36" s="253">
        <f>Est2017TransRev!AR36</f>
        <v>0</v>
      </c>
      <c r="AS36" s="253">
        <f>Est2017TransRev!AS36</f>
        <v>0</v>
      </c>
      <c r="AT36" s="280"/>
      <c r="AV36" s="255">
        <f t="shared" si="4"/>
        <v>0</v>
      </c>
      <c r="AW36" s="224">
        <f t="shared" si="5"/>
        <v>0</v>
      </c>
      <c r="AX36" s="224">
        <f t="shared" si="6"/>
        <v>7025.8897720370405</v>
      </c>
      <c r="AY36" s="224">
        <f t="shared" si="7"/>
        <v>0</v>
      </c>
      <c r="AZ36" s="224">
        <f t="shared" si="8"/>
        <v>0</v>
      </c>
      <c r="BA36" s="224">
        <f t="shared" si="9"/>
        <v>11739.985529482212</v>
      </c>
      <c r="BB36" s="224">
        <f t="shared" si="10"/>
        <v>0</v>
      </c>
      <c r="BC36" s="224">
        <f t="shared" si="11"/>
        <v>0</v>
      </c>
      <c r="BD36" s="224">
        <f t="shared" si="12"/>
        <v>0</v>
      </c>
      <c r="BE36" s="224">
        <f t="shared" si="13"/>
        <v>0</v>
      </c>
      <c r="BF36" s="224">
        <f t="shared" si="14"/>
        <v>0</v>
      </c>
      <c r="BG36" s="224">
        <f t="shared" si="15"/>
        <v>0</v>
      </c>
      <c r="BH36" s="224">
        <f t="shared" si="16"/>
        <v>0</v>
      </c>
      <c r="BI36" s="256">
        <f t="shared" si="17"/>
        <v>0</v>
      </c>
      <c r="BJ36" s="256">
        <f t="shared" si="18"/>
        <v>0</v>
      </c>
      <c r="BK36" s="256">
        <f t="shared" si="19"/>
        <v>0</v>
      </c>
      <c r="BL36" s="256">
        <f t="shared" si="20"/>
        <v>0</v>
      </c>
      <c r="BM36" s="256">
        <f t="shared" si="21"/>
        <v>0</v>
      </c>
      <c r="BN36" s="256">
        <f t="shared" si="22"/>
        <v>0</v>
      </c>
      <c r="BO36" s="256">
        <f t="shared" si="23"/>
        <v>0</v>
      </c>
      <c r="BP36" s="256">
        <f t="shared" si="24"/>
        <v>0</v>
      </c>
      <c r="BQ36" s="257">
        <f t="shared" si="25"/>
        <v>18765.875301519252</v>
      </c>
    </row>
    <row r="37" spans="1:69">
      <c r="A37" s="748" t="s">
        <v>820</v>
      </c>
      <c r="B37" s="750" t="s">
        <v>570</v>
      </c>
      <c r="C37" s="277"/>
      <c r="D37" s="249">
        <v>0</v>
      </c>
      <c r="E37" s="250">
        <v>0</v>
      </c>
      <c r="F37" s="250">
        <v>0</v>
      </c>
      <c r="G37" s="250"/>
      <c r="H37" s="250"/>
      <c r="I37" s="250">
        <v>0</v>
      </c>
      <c r="J37" s="250"/>
      <c r="K37" s="250"/>
      <c r="L37" s="250"/>
      <c r="M37" s="250">
        <v>0</v>
      </c>
      <c r="N37" s="250"/>
      <c r="O37" s="250">
        <v>0</v>
      </c>
      <c r="P37" s="250">
        <v>0</v>
      </c>
      <c r="Q37" s="250">
        <v>0</v>
      </c>
      <c r="R37" s="250">
        <v>0</v>
      </c>
      <c r="S37" s="250">
        <v>0</v>
      </c>
      <c r="T37" s="250"/>
      <c r="U37" s="250">
        <v>0</v>
      </c>
      <c r="V37" s="250">
        <v>0</v>
      </c>
      <c r="W37" s="250">
        <v>0</v>
      </c>
      <c r="X37" s="278"/>
      <c r="Z37" s="279">
        <f>Est2017TransRev!Z37</f>
        <v>0</v>
      </c>
      <c r="AA37" s="253">
        <f>Est2017TransRev!AA37</f>
        <v>0</v>
      </c>
      <c r="AB37" s="253">
        <f>Est2017TransRev!AB37</f>
        <v>0</v>
      </c>
      <c r="AC37" s="253">
        <f>Est2017TransRev!AC37</f>
        <v>0</v>
      </c>
      <c r="AD37" s="253">
        <f>Est2017TransRev!AD37</f>
        <v>0</v>
      </c>
      <c r="AE37" s="253">
        <f>Est2017TransRev!AE37</f>
        <v>0</v>
      </c>
      <c r="AF37" s="253">
        <f>Est2017TransRev!AF37</f>
        <v>0</v>
      </c>
      <c r="AG37" s="253">
        <f>Est2017TransRev!AG37</f>
        <v>0</v>
      </c>
      <c r="AH37" s="253">
        <f>Est2017TransRev!AH37</f>
        <v>0</v>
      </c>
      <c r="AI37" s="253">
        <f>Est2017TransRev!AI37</f>
        <v>0</v>
      </c>
      <c r="AJ37" s="253">
        <f>Est2017TransRev!AJ37</f>
        <v>0</v>
      </c>
      <c r="AK37" s="253">
        <f>Est2017TransRev!AK37</f>
        <v>0</v>
      </c>
      <c r="AL37" s="253">
        <f>Est2017TransRev!AL37</f>
        <v>0</v>
      </c>
      <c r="AM37" s="253">
        <f>Est2017TransRev!AM37</f>
        <v>0</v>
      </c>
      <c r="AN37" s="253">
        <f>Est2017TransRev!AN37</f>
        <v>0</v>
      </c>
      <c r="AO37" s="253">
        <f>Est2017TransRev!AO37</f>
        <v>0</v>
      </c>
      <c r="AP37" s="253">
        <f>Est2017TransRev!AP37</f>
        <v>0</v>
      </c>
      <c r="AQ37" s="253">
        <f>Est2017TransRev!AQ37</f>
        <v>0</v>
      </c>
      <c r="AR37" s="253">
        <f>Est2017TransRev!AR37</f>
        <v>0</v>
      </c>
      <c r="AS37" s="253">
        <f>Est2017TransRev!AS37</f>
        <v>0</v>
      </c>
      <c r="AT37" s="280"/>
      <c r="AV37" s="255">
        <f t="shared" si="4"/>
        <v>0</v>
      </c>
      <c r="AW37" s="224">
        <f t="shared" si="5"/>
        <v>0</v>
      </c>
      <c r="AX37" s="224">
        <f t="shared" si="6"/>
        <v>0</v>
      </c>
      <c r="AY37" s="224">
        <f t="shared" si="7"/>
        <v>0</v>
      </c>
      <c r="AZ37" s="224">
        <f t="shared" si="8"/>
        <v>0</v>
      </c>
      <c r="BA37" s="224">
        <f t="shared" si="9"/>
        <v>0</v>
      </c>
      <c r="BB37" s="224">
        <f t="shared" si="10"/>
        <v>0</v>
      </c>
      <c r="BC37" s="224">
        <f t="shared" si="11"/>
        <v>0</v>
      </c>
      <c r="BD37" s="224">
        <f t="shared" si="12"/>
        <v>0</v>
      </c>
      <c r="BE37" s="224">
        <f t="shared" si="13"/>
        <v>0</v>
      </c>
      <c r="BF37" s="224">
        <f t="shared" si="14"/>
        <v>0</v>
      </c>
      <c r="BG37" s="224">
        <f t="shared" si="15"/>
        <v>0</v>
      </c>
      <c r="BH37" s="224">
        <f t="shared" si="16"/>
        <v>0</v>
      </c>
      <c r="BI37" s="256">
        <f t="shared" si="17"/>
        <v>0</v>
      </c>
      <c r="BJ37" s="256">
        <f t="shared" si="18"/>
        <v>0</v>
      </c>
      <c r="BK37" s="256">
        <f t="shared" si="19"/>
        <v>0</v>
      </c>
      <c r="BL37" s="256">
        <f t="shared" si="20"/>
        <v>0</v>
      </c>
      <c r="BM37" s="256">
        <f t="shared" si="21"/>
        <v>0</v>
      </c>
      <c r="BN37" s="256">
        <f t="shared" si="22"/>
        <v>0</v>
      </c>
      <c r="BO37" s="256">
        <f t="shared" si="23"/>
        <v>0</v>
      </c>
      <c r="BP37" s="256">
        <f t="shared" si="24"/>
        <v>0</v>
      </c>
      <c r="BQ37" s="257">
        <f t="shared" si="25"/>
        <v>0</v>
      </c>
    </row>
    <row r="38" spans="1:69">
      <c r="A38" s="748" t="s">
        <v>821</v>
      </c>
      <c r="B38" s="750" t="s">
        <v>571</v>
      </c>
      <c r="C38" s="277"/>
      <c r="D38" s="249">
        <v>0</v>
      </c>
      <c r="E38" s="250">
        <v>0</v>
      </c>
      <c r="F38" s="250">
        <v>0</v>
      </c>
      <c r="G38" s="250"/>
      <c r="H38" s="250"/>
      <c r="I38" s="250">
        <v>0</v>
      </c>
      <c r="J38" s="250"/>
      <c r="K38" s="250"/>
      <c r="L38" s="250"/>
      <c r="M38" s="250">
        <v>0</v>
      </c>
      <c r="N38" s="250"/>
      <c r="O38" s="250">
        <v>0</v>
      </c>
      <c r="P38" s="250">
        <v>0</v>
      </c>
      <c r="Q38" s="250">
        <v>0</v>
      </c>
      <c r="R38" s="250">
        <v>0</v>
      </c>
      <c r="S38" s="250">
        <v>0</v>
      </c>
      <c r="T38" s="250"/>
      <c r="U38" s="250">
        <v>0</v>
      </c>
      <c r="V38" s="250">
        <v>0</v>
      </c>
      <c r="W38" s="250">
        <v>0</v>
      </c>
      <c r="X38" s="278"/>
      <c r="Z38" s="279">
        <f>Est2017TransRev!Z38</f>
        <v>0</v>
      </c>
      <c r="AA38" s="253">
        <f>Est2017TransRev!AA38</f>
        <v>0</v>
      </c>
      <c r="AB38" s="253">
        <f>Est2017TransRev!AB38</f>
        <v>0</v>
      </c>
      <c r="AC38" s="253">
        <f>Est2017TransRev!AC38</f>
        <v>0</v>
      </c>
      <c r="AD38" s="253">
        <f>Est2017TransRev!AD38</f>
        <v>0</v>
      </c>
      <c r="AE38" s="253">
        <f>Est2017TransRev!AE38</f>
        <v>0</v>
      </c>
      <c r="AF38" s="253">
        <f>Est2017TransRev!AF38</f>
        <v>0</v>
      </c>
      <c r="AG38" s="253">
        <f>Est2017TransRev!AG38</f>
        <v>0</v>
      </c>
      <c r="AH38" s="253">
        <f>Est2017TransRev!AH38</f>
        <v>0</v>
      </c>
      <c r="AI38" s="253">
        <f>Est2017TransRev!AI38</f>
        <v>0</v>
      </c>
      <c r="AJ38" s="253">
        <f>Est2017TransRev!AJ38</f>
        <v>0</v>
      </c>
      <c r="AK38" s="253">
        <f>Est2017TransRev!AK38</f>
        <v>0</v>
      </c>
      <c r="AL38" s="253">
        <f>Est2017TransRev!AL38</f>
        <v>0</v>
      </c>
      <c r="AM38" s="253">
        <f>Est2017TransRev!AM38</f>
        <v>0</v>
      </c>
      <c r="AN38" s="253">
        <f>Est2017TransRev!AN38</f>
        <v>0</v>
      </c>
      <c r="AO38" s="253">
        <f>Est2017TransRev!AO38</f>
        <v>0</v>
      </c>
      <c r="AP38" s="253">
        <f>Est2017TransRev!AP38</f>
        <v>0</v>
      </c>
      <c r="AQ38" s="253">
        <f>Est2017TransRev!AQ38</f>
        <v>0</v>
      </c>
      <c r="AR38" s="253">
        <f>Est2017TransRev!AR38</f>
        <v>0</v>
      </c>
      <c r="AS38" s="253">
        <f>Est2017TransRev!AS38</f>
        <v>0</v>
      </c>
      <c r="AT38" s="280"/>
      <c r="AV38" s="255">
        <f t="shared" si="4"/>
        <v>0</v>
      </c>
      <c r="AW38" s="224">
        <f t="shared" si="5"/>
        <v>0</v>
      </c>
      <c r="AX38" s="224">
        <f t="shared" si="6"/>
        <v>0</v>
      </c>
      <c r="AY38" s="224">
        <f t="shared" si="7"/>
        <v>0</v>
      </c>
      <c r="AZ38" s="224">
        <f t="shared" si="8"/>
        <v>0</v>
      </c>
      <c r="BA38" s="224">
        <f t="shared" si="9"/>
        <v>0</v>
      </c>
      <c r="BB38" s="224">
        <f t="shared" si="10"/>
        <v>0</v>
      </c>
      <c r="BC38" s="224">
        <f t="shared" si="11"/>
        <v>0</v>
      </c>
      <c r="BD38" s="224">
        <f t="shared" si="12"/>
        <v>0</v>
      </c>
      <c r="BE38" s="224">
        <f t="shared" si="13"/>
        <v>0</v>
      </c>
      <c r="BF38" s="224">
        <f t="shared" si="14"/>
        <v>0</v>
      </c>
      <c r="BG38" s="224">
        <f t="shared" si="15"/>
        <v>0</v>
      </c>
      <c r="BH38" s="224">
        <f t="shared" si="16"/>
        <v>0</v>
      </c>
      <c r="BI38" s="256">
        <f t="shared" si="17"/>
        <v>0</v>
      </c>
      <c r="BJ38" s="256">
        <f t="shared" si="18"/>
        <v>0</v>
      </c>
      <c r="BK38" s="256">
        <f t="shared" si="19"/>
        <v>0</v>
      </c>
      <c r="BL38" s="256">
        <f t="shared" si="20"/>
        <v>0</v>
      </c>
      <c r="BM38" s="256">
        <f t="shared" si="21"/>
        <v>0</v>
      </c>
      <c r="BN38" s="256">
        <f t="shared" si="22"/>
        <v>0</v>
      </c>
      <c r="BO38" s="256">
        <f t="shared" si="23"/>
        <v>0</v>
      </c>
      <c r="BP38" s="256">
        <f t="shared" si="24"/>
        <v>0</v>
      </c>
      <c r="BQ38" s="257">
        <f t="shared" si="25"/>
        <v>0</v>
      </c>
    </row>
    <row r="39" spans="1:69">
      <c r="A39" s="748" t="s">
        <v>822</v>
      </c>
      <c r="B39" s="750" t="s">
        <v>572</v>
      </c>
      <c r="C39" s="277"/>
      <c r="D39" s="249">
        <v>0</v>
      </c>
      <c r="E39" s="250">
        <v>0</v>
      </c>
      <c r="F39" s="250">
        <v>0</v>
      </c>
      <c r="G39" s="250"/>
      <c r="H39" s="250"/>
      <c r="I39" s="250">
        <v>0</v>
      </c>
      <c r="J39" s="250"/>
      <c r="K39" s="250"/>
      <c r="L39" s="250"/>
      <c r="M39" s="250">
        <v>0</v>
      </c>
      <c r="N39" s="250"/>
      <c r="O39" s="250">
        <v>0</v>
      </c>
      <c r="P39" s="250">
        <v>0</v>
      </c>
      <c r="Q39" s="250">
        <v>0</v>
      </c>
      <c r="R39" s="250">
        <v>0</v>
      </c>
      <c r="S39" s="250">
        <v>0</v>
      </c>
      <c r="T39" s="250"/>
      <c r="U39" s="250">
        <v>0</v>
      </c>
      <c r="V39" s="250">
        <v>0</v>
      </c>
      <c r="W39" s="250">
        <v>0</v>
      </c>
      <c r="X39" s="278"/>
      <c r="Z39" s="279">
        <f>Est2017TransRev!Z39</f>
        <v>0</v>
      </c>
      <c r="AA39" s="253">
        <f>Est2017TransRev!AA39</f>
        <v>0</v>
      </c>
      <c r="AB39" s="253">
        <f>Est2017TransRev!AB39</f>
        <v>0</v>
      </c>
      <c r="AC39" s="253">
        <f>Est2017TransRev!AC39</f>
        <v>0</v>
      </c>
      <c r="AD39" s="253">
        <f>Est2017TransRev!AD39</f>
        <v>0</v>
      </c>
      <c r="AE39" s="253">
        <f>Est2017TransRev!AE39</f>
        <v>0</v>
      </c>
      <c r="AF39" s="253">
        <f>Est2017TransRev!AF39</f>
        <v>0</v>
      </c>
      <c r="AG39" s="253">
        <f>Est2017TransRev!AG39</f>
        <v>0</v>
      </c>
      <c r="AH39" s="253">
        <f>Est2017TransRev!AH39</f>
        <v>0</v>
      </c>
      <c r="AI39" s="253">
        <f>Est2017TransRev!AI39</f>
        <v>0</v>
      </c>
      <c r="AJ39" s="253">
        <f>Est2017TransRev!AJ39</f>
        <v>0</v>
      </c>
      <c r="AK39" s="253">
        <f>Est2017TransRev!AK39</f>
        <v>0</v>
      </c>
      <c r="AL39" s="253">
        <f>Est2017TransRev!AL39</f>
        <v>0</v>
      </c>
      <c r="AM39" s="253">
        <f>Est2017TransRev!AM39</f>
        <v>0</v>
      </c>
      <c r="AN39" s="253">
        <f>Est2017TransRev!AN39</f>
        <v>0</v>
      </c>
      <c r="AO39" s="253">
        <f>Est2017TransRev!AO39</f>
        <v>0</v>
      </c>
      <c r="AP39" s="253">
        <f>Est2017TransRev!AP39</f>
        <v>0</v>
      </c>
      <c r="AQ39" s="253">
        <f>Est2017TransRev!AQ39</f>
        <v>0</v>
      </c>
      <c r="AR39" s="253">
        <f>Est2017TransRev!AR39</f>
        <v>0</v>
      </c>
      <c r="AS39" s="253">
        <f>Est2017TransRev!AS39</f>
        <v>0</v>
      </c>
      <c r="AT39" s="280"/>
      <c r="AV39" s="255">
        <f t="shared" si="4"/>
        <v>0</v>
      </c>
      <c r="AW39" s="224">
        <f t="shared" si="5"/>
        <v>0</v>
      </c>
      <c r="AX39" s="224">
        <f t="shared" si="6"/>
        <v>0</v>
      </c>
      <c r="AY39" s="224">
        <f t="shared" si="7"/>
        <v>0</v>
      </c>
      <c r="AZ39" s="224">
        <f t="shared" si="8"/>
        <v>0</v>
      </c>
      <c r="BA39" s="224">
        <f t="shared" si="9"/>
        <v>0</v>
      </c>
      <c r="BB39" s="224">
        <f t="shared" si="10"/>
        <v>0</v>
      </c>
      <c r="BC39" s="224">
        <f t="shared" si="11"/>
        <v>0</v>
      </c>
      <c r="BD39" s="224">
        <f t="shared" si="12"/>
        <v>0</v>
      </c>
      <c r="BE39" s="224">
        <f t="shared" si="13"/>
        <v>0</v>
      </c>
      <c r="BF39" s="224">
        <f t="shared" si="14"/>
        <v>0</v>
      </c>
      <c r="BG39" s="224">
        <f t="shared" si="15"/>
        <v>0</v>
      </c>
      <c r="BH39" s="224">
        <f t="shared" si="16"/>
        <v>0</v>
      </c>
      <c r="BI39" s="256">
        <f t="shared" si="17"/>
        <v>0</v>
      </c>
      <c r="BJ39" s="256">
        <f t="shared" si="18"/>
        <v>0</v>
      </c>
      <c r="BK39" s="256">
        <f t="shared" si="19"/>
        <v>0</v>
      </c>
      <c r="BL39" s="256">
        <f t="shared" si="20"/>
        <v>0</v>
      </c>
      <c r="BM39" s="256">
        <f t="shared" si="21"/>
        <v>0</v>
      </c>
      <c r="BN39" s="256">
        <f t="shared" si="22"/>
        <v>0</v>
      </c>
      <c r="BO39" s="256">
        <f t="shared" si="23"/>
        <v>0</v>
      </c>
      <c r="BP39" s="256">
        <f t="shared" si="24"/>
        <v>0</v>
      </c>
      <c r="BQ39" s="257">
        <f t="shared" si="25"/>
        <v>0</v>
      </c>
    </row>
    <row r="40" spans="1:69">
      <c r="A40" s="748" t="s">
        <v>823</v>
      </c>
      <c r="B40" s="750" t="s">
        <v>573</v>
      </c>
      <c r="C40" s="277"/>
      <c r="D40" s="249">
        <v>0</v>
      </c>
      <c r="E40" s="250">
        <v>0</v>
      </c>
      <c r="F40" s="250">
        <v>0</v>
      </c>
      <c r="G40" s="250"/>
      <c r="H40" s="250"/>
      <c r="I40" s="250">
        <v>0</v>
      </c>
      <c r="J40" s="250"/>
      <c r="K40" s="250"/>
      <c r="L40" s="250"/>
      <c r="M40" s="250">
        <v>0</v>
      </c>
      <c r="N40" s="250"/>
      <c r="O40" s="250">
        <v>0</v>
      </c>
      <c r="P40" s="250">
        <v>0</v>
      </c>
      <c r="Q40" s="250">
        <v>0</v>
      </c>
      <c r="R40" s="250">
        <v>0</v>
      </c>
      <c r="S40" s="250">
        <v>0</v>
      </c>
      <c r="T40" s="250"/>
      <c r="U40" s="250">
        <v>0</v>
      </c>
      <c r="V40" s="250">
        <v>0</v>
      </c>
      <c r="W40" s="250">
        <v>0</v>
      </c>
      <c r="X40" s="278"/>
      <c r="Z40" s="279">
        <f>Est2017TransRev!Z40</f>
        <v>0</v>
      </c>
      <c r="AA40" s="253">
        <f>Est2017TransRev!AA40</f>
        <v>0</v>
      </c>
      <c r="AB40" s="253">
        <f>Est2017TransRev!AB40</f>
        <v>0</v>
      </c>
      <c r="AC40" s="253">
        <f>Est2017TransRev!AC40</f>
        <v>0</v>
      </c>
      <c r="AD40" s="253">
        <f>Est2017TransRev!AD40</f>
        <v>0</v>
      </c>
      <c r="AE40" s="253">
        <f>Est2017TransRev!AE40</f>
        <v>0</v>
      </c>
      <c r="AF40" s="253">
        <f>Est2017TransRev!AF40</f>
        <v>0</v>
      </c>
      <c r="AG40" s="253">
        <f>Est2017TransRev!AG40</f>
        <v>0</v>
      </c>
      <c r="AH40" s="253">
        <f>Est2017TransRev!AH40</f>
        <v>0</v>
      </c>
      <c r="AI40" s="253">
        <f>Est2017TransRev!AI40</f>
        <v>0</v>
      </c>
      <c r="AJ40" s="253">
        <f>Est2017TransRev!AJ40</f>
        <v>0</v>
      </c>
      <c r="AK40" s="253">
        <f>Est2017TransRev!AK40</f>
        <v>0</v>
      </c>
      <c r="AL40" s="253">
        <f>Est2017TransRev!AL40</f>
        <v>0</v>
      </c>
      <c r="AM40" s="253">
        <f>Est2017TransRev!AM40</f>
        <v>0</v>
      </c>
      <c r="AN40" s="253">
        <f>Est2017TransRev!AN40</f>
        <v>0</v>
      </c>
      <c r="AO40" s="253">
        <f>Est2017TransRev!AO40</f>
        <v>0</v>
      </c>
      <c r="AP40" s="253">
        <f>Est2017TransRev!AP40</f>
        <v>0</v>
      </c>
      <c r="AQ40" s="253">
        <f>Est2017TransRev!AQ40</f>
        <v>0</v>
      </c>
      <c r="AR40" s="253">
        <f>Est2017TransRev!AR40</f>
        <v>0</v>
      </c>
      <c r="AS40" s="253">
        <f>Est2017TransRev!AS40</f>
        <v>0</v>
      </c>
      <c r="AT40" s="280"/>
      <c r="AV40" s="255">
        <f t="shared" si="4"/>
        <v>0</v>
      </c>
      <c r="AW40" s="224">
        <f t="shared" si="5"/>
        <v>0</v>
      </c>
      <c r="AX40" s="224">
        <f t="shared" si="6"/>
        <v>0</v>
      </c>
      <c r="AY40" s="224">
        <f t="shared" si="7"/>
        <v>0</v>
      </c>
      <c r="AZ40" s="224">
        <f t="shared" si="8"/>
        <v>0</v>
      </c>
      <c r="BA40" s="224">
        <f t="shared" si="9"/>
        <v>0</v>
      </c>
      <c r="BB40" s="224">
        <f t="shared" si="10"/>
        <v>0</v>
      </c>
      <c r="BC40" s="224">
        <f t="shared" si="11"/>
        <v>0</v>
      </c>
      <c r="BD40" s="224">
        <f t="shared" si="12"/>
        <v>0</v>
      </c>
      <c r="BE40" s="224">
        <f t="shared" si="13"/>
        <v>0</v>
      </c>
      <c r="BF40" s="224">
        <f t="shared" si="14"/>
        <v>0</v>
      </c>
      <c r="BG40" s="224">
        <f t="shared" si="15"/>
        <v>0</v>
      </c>
      <c r="BH40" s="224">
        <f t="shared" si="16"/>
        <v>0</v>
      </c>
      <c r="BI40" s="256">
        <f t="shared" si="17"/>
        <v>0</v>
      </c>
      <c r="BJ40" s="256">
        <f t="shared" si="18"/>
        <v>0</v>
      </c>
      <c r="BK40" s="256">
        <f t="shared" si="19"/>
        <v>0</v>
      </c>
      <c r="BL40" s="256">
        <f t="shared" si="20"/>
        <v>0</v>
      </c>
      <c r="BM40" s="256">
        <f t="shared" si="21"/>
        <v>0</v>
      </c>
      <c r="BN40" s="256">
        <f t="shared" si="22"/>
        <v>0</v>
      </c>
      <c r="BO40" s="256">
        <f t="shared" si="23"/>
        <v>0</v>
      </c>
      <c r="BP40" s="256">
        <f t="shared" si="24"/>
        <v>0</v>
      </c>
      <c r="BQ40" s="257">
        <f t="shared" si="25"/>
        <v>0</v>
      </c>
    </row>
    <row r="41" spans="1:69">
      <c r="A41" s="748" t="s">
        <v>824</v>
      </c>
      <c r="B41" s="750" t="s">
        <v>574</v>
      </c>
      <c r="C41" s="277"/>
      <c r="D41" s="249">
        <v>0</v>
      </c>
      <c r="E41" s="250">
        <v>0</v>
      </c>
      <c r="F41" s="250">
        <v>0</v>
      </c>
      <c r="G41" s="250"/>
      <c r="H41" s="250"/>
      <c r="I41" s="250">
        <v>0</v>
      </c>
      <c r="J41" s="250"/>
      <c r="K41" s="250"/>
      <c r="L41" s="250"/>
      <c r="M41" s="250">
        <v>0</v>
      </c>
      <c r="N41" s="250"/>
      <c r="O41" s="250">
        <v>0</v>
      </c>
      <c r="P41" s="250">
        <v>0</v>
      </c>
      <c r="Q41" s="250">
        <v>0</v>
      </c>
      <c r="R41" s="250">
        <v>0</v>
      </c>
      <c r="S41" s="250">
        <v>0</v>
      </c>
      <c r="T41" s="250"/>
      <c r="U41" s="250">
        <v>0</v>
      </c>
      <c r="V41" s="250">
        <v>0</v>
      </c>
      <c r="W41" s="250">
        <v>0</v>
      </c>
      <c r="X41" s="278"/>
      <c r="Z41" s="279">
        <f>Est2017TransRev!Z41</f>
        <v>0</v>
      </c>
      <c r="AA41" s="253">
        <f>Est2017TransRev!AA41</f>
        <v>0</v>
      </c>
      <c r="AB41" s="253">
        <f>Est2017TransRev!AB41</f>
        <v>0</v>
      </c>
      <c r="AC41" s="253">
        <f>Est2017TransRev!AC41</f>
        <v>0</v>
      </c>
      <c r="AD41" s="253">
        <f>Est2017TransRev!AD41</f>
        <v>0</v>
      </c>
      <c r="AE41" s="253">
        <f>Est2017TransRev!AE41</f>
        <v>0</v>
      </c>
      <c r="AF41" s="253">
        <f>Est2017TransRev!AF41</f>
        <v>0</v>
      </c>
      <c r="AG41" s="253">
        <f>Est2017TransRev!AG41</f>
        <v>0</v>
      </c>
      <c r="AH41" s="253">
        <f>Est2017TransRev!AH41</f>
        <v>0</v>
      </c>
      <c r="AI41" s="253">
        <f>Est2017TransRev!AI41</f>
        <v>0</v>
      </c>
      <c r="AJ41" s="253">
        <f>Est2017TransRev!AJ41</f>
        <v>0</v>
      </c>
      <c r="AK41" s="253">
        <f>Est2017TransRev!AK41</f>
        <v>0</v>
      </c>
      <c r="AL41" s="253">
        <f>Est2017TransRev!AL41</f>
        <v>0</v>
      </c>
      <c r="AM41" s="253">
        <f>Est2017TransRev!AM41</f>
        <v>0</v>
      </c>
      <c r="AN41" s="253">
        <f>Est2017TransRev!AN41</f>
        <v>0</v>
      </c>
      <c r="AO41" s="253">
        <f>Est2017TransRev!AO41</f>
        <v>0</v>
      </c>
      <c r="AP41" s="253">
        <f>Est2017TransRev!AP41</f>
        <v>0</v>
      </c>
      <c r="AQ41" s="253">
        <f>Est2017TransRev!AQ41</f>
        <v>0</v>
      </c>
      <c r="AR41" s="253">
        <f>Est2017TransRev!AR41</f>
        <v>0</v>
      </c>
      <c r="AS41" s="253">
        <f>Est2017TransRev!AS41</f>
        <v>0</v>
      </c>
      <c r="AT41" s="280"/>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56">
        <f t="shared" si="17"/>
        <v>0</v>
      </c>
      <c r="BJ41" s="256">
        <f t="shared" si="18"/>
        <v>0</v>
      </c>
      <c r="BK41" s="256">
        <f t="shared" si="19"/>
        <v>0</v>
      </c>
      <c r="BL41" s="256">
        <f t="shared" si="20"/>
        <v>0</v>
      </c>
      <c r="BM41" s="256">
        <f t="shared" si="21"/>
        <v>0</v>
      </c>
      <c r="BN41" s="256">
        <f t="shared" si="22"/>
        <v>0</v>
      </c>
      <c r="BO41" s="256">
        <f t="shared" si="23"/>
        <v>0</v>
      </c>
      <c r="BP41" s="256">
        <f t="shared" si="24"/>
        <v>0</v>
      </c>
      <c r="BQ41" s="257">
        <f t="shared" si="25"/>
        <v>0</v>
      </c>
    </row>
    <row r="42" spans="1:69">
      <c r="A42" s="748" t="s">
        <v>825</v>
      </c>
      <c r="B42" s="750" t="s">
        <v>575</v>
      </c>
      <c r="C42" s="277"/>
      <c r="D42" s="249">
        <v>0</v>
      </c>
      <c r="E42" s="250">
        <v>0</v>
      </c>
      <c r="F42" s="250">
        <v>0</v>
      </c>
      <c r="G42" s="250"/>
      <c r="H42" s="250"/>
      <c r="I42" s="250">
        <v>0</v>
      </c>
      <c r="J42" s="250"/>
      <c r="K42" s="250"/>
      <c r="L42" s="250"/>
      <c r="M42" s="250">
        <v>0</v>
      </c>
      <c r="N42" s="250"/>
      <c r="O42" s="250">
        <v>0</v>
      </c>
      <c r="P42" s="250">
        <v>0</v>
      </c>
      <c r="Q42" s="250">
        <v>0</v>
      </c>
      <c r="R42" s="250">
        <v>0</v>
      </c>
      <c r="S42" s="250">
        <v>0</v>
      </c>
      <c r="T42" s="250"/>
      <c r="U42" s="250">
        <v>0</v>
      </c>
      <c r="V42" s="250">
        <v>0</v>
      </c>
      <c r="W42" s="250">
        <v>0</v>
      </c>
      <c r="X42" s="278"/>
      <c r="Z42" s="279">
        <f>Est2017TransRev!Z42</f>
        <v>0</v>
      </c>
      <c r="AA42" s="253">
        <f>Est2017TransRev!AA42</f>
        <v>0</v>
      </c>
      <c r="AB42" s="253">
        <f>Est2017TransRev!AB42</f>
        <v>0</v>
      </c>
      <c r="AC42" s="253">
        <f>Est2017TransRev!AC42</f>
        <v>0</v>
      </c>
      <c r="AD42" s="253">
        <f>Est2017TransRev!AD42</f>
        <v>0</v>
      </c>
      <c r="AE42" s="253">
        <f>Est2017TransRev!AE42</f>
        <v>0</v>
      </c>
      <c r="AF42" s="253">
        <f>Est2017TransRev!AF42</f>
        <v>0</v>
      </c>
      <c r="AG42" s="253">
        <f>Est2017TransRev!AG42</f>
        <v>0</v>
      </c>
      <c r="AH42" s="253">
        <f>Est2017TransRev!AH42</f>
        <v>0</v>
      </c>
      <c r="AI42" s="253">
        <f>Est2017TransRev!AI42</f>
        <v>0</v>
      </c>
      <c r="AJ42" s="253">
        <f>Est2017TransRev!AJ42</f>
        <v>0</v>
      </c>
      <c r="AK42" s="253">
        <f>Est2017TransRev!AK42</f>
        <v>0</v>
      </c>
      <c r="AL42" s="253">
        <f>Est2017TransRev!AL42</f>
        <v>0</v>
      </c>
      <c r="AM42" s="253">
        <f>Est2017TransRev!AM42</f>
        <v>0</v>
      </c>
      <c r="AN42" s="253">
        <f>Est2017TransRev!AN42</f>
        <v>0</v>
      </c>
      <c r="AO42" s="253">
        <f>Est2017TransRev!AO42</f>
        <v>0</v>
      </c>
      <c r="AP42" s="253">
        <f>Est2017TransRev!AP42</f>
        <v>0</v>
      </c>
      <c r="AQ42" s="253">
        <f>Est2017TransRev!AQ42</f>
        <v>0</v>
      </c>
      <c r="AR42" s="253">
        <f>Est2017TransRev!AR42</f>
        <v>0</v>
      </c>
      <c r="AS42" s="253">
        <f>Est2017TransRev!AS42</f>
        <v>0</v>
      </c>
      <c r="AT42" s="280"/>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56">
        <f t="shared" si="17"/>
        <v>0</v>
      </c>
      <c r="BJ42" s="256">
        <f t="shared" si="18"/>
        <v>0</v>
      </c>
      <c r="BK42" s="256">
        <f t="shared" si="19"/>
        <v>0</v>
      </c>
      <c r="BL42" s="256">
        <f t="shared" si="20"/>
        <v>0</v>
      </c>
      <c r="BM42" s="256">
        <f t="shared" si="21"/>
        <v>0</v>
      </c>
      <c r="BN42" s="256">
        <f t="shared" si="22"/>
        <v>0</v>
      </c>
      <c r="BO42" s="256">
        <f t="shared" si="23"/>
        <v>0</v>
      </c>
      <c r="BP42" s="256">
        <f t="shared" si="24"/>
        <v>0</v>
      </c>
      <c r="BQ42" s="257">
        <f t="shared" si="25"/>
        <v>0</v>
      </c>
    </row>
    <row r="43" spans="1:69">
      <c r="A43" s="748" t="s">
        <v>815</v>
      </c>
      <c r="B43" s="750" t="s">
        <v>602</v>
      </c>
      <c r="C43" s="277"/>
      <c r="D43" s="249">
        <v>0</v>
      </c>
      <c r="E43" s="250">
        <v>0</v>
      </c>
      <c r="F43" s="250">
        <v>0.04</v>
      </c>
      <c r="G43" s="250"/>
      <c r="H43" s="250"/>
      <c r="I43" s="250">
        <v>0.04</v>
      </c>
      <c r="J43" s="250"/>
      <c r="K43" s="250"/>
      <c r="L43" s="250"/>
      <c r="M43" s="250">
        <v>0</v>
      </c>
      <c r="N43" s="250"/>
      <c r="O43" s="250">
        <v>0</v>
      </c>
      <c r="P43" s="250">
        <v>0</v>
      </c>
      <c r="Q43" s="250">
        <v>0</v>
      </c>
      <c r="R43" s="250">
        <v>0</v>
      </c>
      <c r="S43" s="250">
        <v>0</v>
      </c>
      <c r="T43" s="250"/>
      <c r="U43" s="250">
        <v>0</v>
      </c>
      <c r="V43" s="250">
        <v>0</v>
      </c>
      <c r="W43" s="250">
        <v>0</v>
      </c>
      <c r="X43" s="278"/>
      <c r="Z43" s="279">
        <f>Est2017TransRev!Z43</f>
        <v>298.7522312755965</v>
      </c>
      <c r="AA43" s="253">
        <f>Est2017TransRev!AA43</f>
        <v>0</v>
      </c>
      <c r="AB43" s="253">
        <f>Est2017TransRev!AB43</f>
        <v>108710418.90768468</v>
      </c>
      <c r="AC43" s="253">
        <f>Est2017TransRev!AC43</f>
        <v>0</v>
      </c>
      <c r="AD43" s="253">
        <f>Est2017TransRev!AD43</f>
        <v>0</v>
      </c>
      <c r="AE43" s="253">
        <f>Est2017TransRev!AE43</f>
        <v>83655115.919262469</v>
      </c>
      <c r="AF43" s="253">
        <f>Est2017TransRev!AF43</f>
        <v>0</v>
      </c>
      <c r="AG43" s="253">
        <f>Est2017TransRev!AG43</f>
        <v>0</v>
      </c>
      <c r="AH43" s="253">
        <f>Est2017TransRev!AH43</f>
        <v>0</v>
      </c>
      <c r="AI43" s="253">
        <f>Est2017TransRev!AI43</f>
        <v>60926.089727361323</v>
      </c>
      <c r="AJ43" s="253">
        <f>Est2017TransRev!AJ43</f>
        <v>0</v>
      </c>
      <c r="AK43" s="253">
        <f>Est2017TransRev!AK43</f>
        <v>0</v>
      </c>
      <c r="AL43" s="253">
        <f>Est2017TransRev!AL43</f>
        <v>0</v>
      </c>
      <c r="AM43" s="253">
        <f>Est2017TransRev!AM43</f>
        <v>0</v>
      </c>
      <c r="AN43" s="253">
        <f>Est2017TransRev!AN43</f>
        <v>0</v>
      </c>
      <c r="AO43" s="253">
        <f>Est2017TransRev!AO43</f>
        <v>0</v>
      </c>
      <c r="AP43" s="253">
        <f>Est2017TransRev!AP43</f>
        <v>0</v>
      </c>
      <c r="AQ43" s="253">
        <f>Est2017TransRev!AQ43</f>
        <v>0</v>
      </c>
      <c r="AR43" s="253">
        <f>Est2017TransRev!AR43</f>
        <v>0</v>
      </c>
      <c r="AS43" s="253">
        <f>Est2017TransRev!AS43</f>
        <v>0</v>
      </c>
      <c r="AT43" s="280"/>
      <c r="AV43" s="255">
        <f t="shared" si="4"/>
        <v>0</v>
      </c>
      <c r="AW43" s="224">
        <f t="shared" si="5"/>
        <v>0</v>
      </c>
      <c r="AX43" s="224">
        <f t="shared" si="6"/>
        <v>43484.167563073875</v>
      </c>
      <c r="AY43" s="224">
        <f t="shared" si="7"/>
        <v>0</v>
      </c>
      <c r="AZ43" s="224">
        <f t="shared" si="8"/>
        <v>0</v>
      </c>
      <c r="BA43" s="224">
        <f t="shared" si="9"/>
        <v>33462.046367704992</v>
      </c>
      <c r="BB43" s="224">
        <f t="shared" si="10"/>
        <v>0</v>
      </c>
      <c r="BC43" s="224">
        <f t="shared" si="11"/>
        <v>0</v>
      </c>
      <c r="BD43" s="224">
        <f t="shared" si="12"/>
        <v>0</v>
      </c>
      <c r="BE43" s="224">
        <f t="shared" si="13"/>
        <v>0</v>
      </c>
      <c r="BF43" s="224">
        <f t="shared" si="14"/>
        <v>0</v>
      </c>
      <c r="BG43" s="224">
        <f t="shared" si="15"/>
        <v>0</v>
      </c>
      <c r="BH43" s="224">
        <f t="shared" si="16"/>
        <v>0</v>
      </c>
      <c r="BI43" s="256">
        <f t="shared" si="17"/>
        <v>0</v>
      </c>
      <c r="BJ43" s="256">
        <f t="shared" si="18"/>
        <v>0</v>
      </c>
      <c r="BK43" s="256">
        <f t="shared" si="19"/>
        <v>0</v>
      </c>
      <c r="BL43" s="256">
        <f t="shared" si="20"/>
        <v>0</v>
      </c>
      <c r="BM43" s="256">
        <f t="shared" si="21"/>
        <v>0</v>
      </c>
      <c r="BN43" s="256">
        <f t="shared" si="22"/>
        <v>0</v>
      </c>
      <c r="BO43" s="256">
        <f t="shared" si="23"/>
        <v>0</v>
      </c>
      <c r="BP43" s="256">
        <f t="shared" si="24"/>
        <v>0</v>
      </c>
      <c r="BQ43" s="257">
        <f t="shared" si="25"/>
        <v>76946.213930778875</v>
      </c>
    </row>
    <row r="44" spans="1:69">
      <c r="A44" s="748" t="s">
        <v>816</v>
      </c>
      <c r="B44" s="750" t="s">
        <v>603</v>
      </c>
      <c r="C44" s="277"/>
      <c r="D44" s="249">
        <v>0</v>
      </c>
      <c r="E44" s="250">
        <v>0</v>
      </c>
      <c r="F44" s="250">
        <v>0.04</v>
      </c>
      <c r="G44" s="250"/>
      <c r="H44" s="250"/>
      <c r="I44" s="250">
        <v>0.04</v>
      </c>
      <c r="J44" s="250"/>
      <c r="K44" s="250"/>
      <c r="L44" s="250"/>
      <c r="M44" s="250">
        <v>0</v>
      </c>
      <c r="N44" s="250"/>
      <c r="O44" s="250">
        <v>0</v>
      </c>
      <c r="P44" s="250">
        <v>0</v>
      </c>
      <c r="Q44" s="250">
        <v>0</v>
      </c>
      <c r="R44" s="250">
        <v>0</v>
      </c>
      <c r="S44" s="250">
        <v>0</v>
      </c>
      <c r="T44" s="250"/>
      <c r="U44" s="250">
        <v>0</v>
      </c>
      <c r="V44" s="250">
        <v>0</v>
      </c>
      <c r="W44" s="250">
        <v>0</v>
      </c>
      <c r="X44" s="278"/>
      <c r="Z44" s="279">
        <f>Est2017TransRev!Z44</f>
        <v>1604.8126060804286</v>
      </c>
      <c r="AA44" s="253">
        <f>Est2017TransRev!AA44</f>
        <v>0</v>
      </c>
      <c r="AB44" s="253">
        <f>Est2017TransRev!AB44</f>
        <v>1135850755.9746237</v>
      </c>
      <c r="AC44" s="253">
        <f>Est2017TransRev!AC44</f>
        <v>0</v>
      </c>
      <c r="AD44" s="253">
        <f>Est2017TransRev!AD44</f>
        <v>0</v>
      </c>
      <c r="AE44" s="253">
        <f>Est2017TransRev!AE44</f>
        <v>836627917.92770362</v>
      </c>
      <c r="AF44" s="253">
        <f>Est2017TransRev!AF44</f>
        <v>0</v>
      </c>
      <c r="AG44" s="253">
        <f>Est2017TransRev!AG44</f>
        <v>0</v>
      </c>
      <c r="AH44" s="253">
        <f>Est2017TransRev!AH44</f>
        <v>0</v>
      </c>
      <c r="AI44" s="253">
        <f>Est2017TransRev!AI44</f>
        <v>641555.68425959919</v>
      </c>
      <c r="AJ44" s="253">
        <f>Est2017TransRev!AJ44</f>
        <v>0</v>
      </c>
      <c r="AK44" s="253">
        <f>Est2017TransRev!AK44</f>
        <v>0</v>
      </c>
      <c r="AL44" s="253">
        <f>Est2017TransRev!AL44</f>
        <v>0</v>
      </c>
      <c r="AM44" s="253">
        <f>Est2017TransRev!AM44</f>
        <v>0</v>
      </c>
      <c r="AN44" s="253">
        <f>Est2017TransRev!AN44</f>
        <v>0</v>
      </c>
      <c r="AO44" s="253">
        <f>Est2017TransRev!AO44</f>
        <v>0</v>
      </c>
      <c r="AP44" s="253">
        <f>Est2017TransRev!AP44</f>
        <v>0</v>
      </c>
      <c r="AQ44" s="253">
        <f>Est2017TransRev!AQ44</f>
        <v>0</v>
      </c>
      <c r="AR44" s="253">
        <f>Est2017TransRev!AR44</f>
        <v>0</v>
      </c>
      <c r="AS44" s="253">
        <f>Est2017TransRev!AS44</f>
        <v>0</v>
      </c>
      <c r="AT44" s="280"/>
      <c r="AV44" s="255">
        <f t="shared" si="4"/>
        <v>0</v>
      </c>
      <c r="AW44" s="224">
        <f t="shared" si="5"/>
        <v>0</v>
      </c>
      <c r="AX44" s="224">
        <f t="shared" si="6"/>
        <v>454340.3023898495</v>
      </c>
      <c r="AY44" s="224">
        <f t="shared" si="7"/>
        <v>0</v>
      </c>
      <c r="AZ44" s="224">
        <f t="shared" si="8"/>
        <v>0</v>
      </c>
      <c r="BA44" s="224">
        <f t="shared" si="9"/>
        <v>334651.16717108147</v>
      </c>
      <c r="BB44" s="224">
        <f t="shared" si="10"/>
        <v>0</v>
      </c>
      <c r="BC44" s="224">
        <f t="shared" si="11"/>
        <v>0</v>
      </c>
      <c r="BD44" s="224">
        <f t="shared" si="12"/>
        <v>0</v>
      </c>
      <c r="BE44" s="224">
        <f t="shared" si="13"/>
        <v>0</v>
      </c>
      <c r="BF44" s="224">
        <f t="shared" si="14"/>
        <v>0</v>
      </c>
      <c r="BG44" s="224">
        <f t="shared" si="15"/>
        <v>0</v>
      </c>
      <c r="BH44" s="224">
        <f t="shared" si="16"/>
        <v>0</v>
      </c>
      <c r="BI44" s="256">
        <f t="shared" si="17"/>
        <v>0</v>
      </c>
      <c r="BJ44" s="256">
        <f t="shared" si="18"/>
        <v>0</v>
      </c>
      <c r="BK44" s="256">
        <f t="shared" si="19"/>
        <v>0</v>
      </c>
      <c r="BL44" s="256">
        <f t="shared" si="20"/>
        <v>0</v>
      </c>
      <c r="BM44" s="256">
        <f t="shared" si="21"/>
        <v>0</v>
      </c>
      <c r="BN44" s="256">
        <f t="shared" si="22"/>
        <v>0</v>
      </c>
      <c r="BO44" s="256">
        <f t="shared" si="23"/>
        <v>0</v>
      </c>
      <c r="BP44" s="256">
        <f t="shared" si="24"/>
        <v>0</v>
      </c>
      <c r="BQ44" s="257">
        <f t="shared" si="25"/>
        <v>788991.46956093097</v>
      </c>
    </row>
    <row r="45" spans="1:69">
      <c r="A45" s="748" t="s">
        <v>826</v>
      </c>
      <c r="B45" s="750" t="s">
        <v>576</v>
      </c>
      <c r="C45" s="277"/>
      <c r="D45" s="249">
        <v>0</v>
      </c>
      <c r="E45" s="250">
        <v>0</v>
      </c>
      <c r="F45" s="250">
        <v>0</v>
      </c>
      <c r="G45" s="250"/>
      <c r="H45" s="250"/>
      <c r="I45" s="250">
        <v>0</v>
      </c>
      <c r="J45" s="250"/>
      <c r="K45" s="250"/>
      <c r="L45" s="250"/>
      <c r="M45" s="250">
        <v>0</v>
      </c>
      <c r="N45" s="250"/>
      <c r="O45" s="250">
        <v>0</v>
      </c>
      <c r="P45" s="250">
        <v>0</v>
      </c>
      <c r="Q45" s="250">
        <v>0</v>
      </c>
      <c r="R45" s="250">
        <v>0</v>
      </c>
      <c r="S45" s="250">
        <v>0</v>
      </c>
      <c r="T45" s="250"/>
      <c r="U45" s="250">
        <v>0</v>
      </c>
      <c r="V45" s="250">
        <v>0</v>
      </c>
      <c r="W45" s="250">
        <v>0</v>
      </c>
      <c r="X45" s="278"/>
      <c r="Z45" s="279">
        <f>Est2017TransRev!Z45</f>
        <v>0</v>
      </c>
      <c r="AA45" s="253">
        <f>Est2017TransRev!AA45</f>
        <v>0</v>
      </c>
      <c r="AB45" s="253">
        <f>Est2017TransRev!AB45</f>
        <v>0</v>
      </c>
      <c r="AC45" s="253">
        <f>Est2017TransRev!AC45</f>
        <v>0</v>
      </c>
      <c r="AD45" s="253">
        <f>Est2017TransRev!AD45</f>
        <v>0</v>
      </c>
      <c r="AE45" s="253">
        <f>Est2017TransRev!AE45</f>
        <v>0</v>
      </c>
      <c r="AF45" s="253">
        <f>Est2017TransRev!AF45</f>
        <v>0</v>
      </c>
      <c r="AG45" s="253">
        <f>Est2017TransRev!AG45</f>
        <v>0</v>
      </c>
      <c r="AH45" s="253">
        <f>Est2017TransRev!AH45</f>
        <v>0</v>
      </c>
      <c r="AI45" s="253">
        <f>Est2017TransRev!AI45</f>
        <v>0</v>
      </c>
      <c r="AJ45" s="253">
        <f>Est2017TransRev!AJ45</f>
        <v>0</v>
      </c>
      <c r="AK45" s="253">
        <f>Est2017TransRev!AK45</f>
        <v>0</v>
      </c>
      <c r="AL45" s="253">
        <f>Est2017TransRev!AL45</f>
        <v>0</v>
      </c>
      <c r="AM45" s="253">
        <f>Est2017TransRev!AM45</f>
        <v>0</v>
      </c>
      <c r="AN45" s="253">
        <f>Est2017TransRev!AN45</f>
        <v>0</v>
      </c>
      <c r="AO45" s="253">
        <f>Est2017TransRev!AO45</f>
        <v>0</v>
      </c>
      <c r="AP45" s="253">
        <f>Est2017TransRev!AP45</f>
        <v>0</v>
      </c>
      <c r="AQ45" s="253">
        <f>Est2017TransRev!AQ45</f>
        <v>0</v>
      </c>
      <c r="AR45" s="253">
        <f>Est2017TransRev!AR45</f>
        <v>0</v>
      </c>
      <c r="AS45" s="253">
        <f>Est2017TransRev!AS45</f>
        <v>0</v>
      </c>
      <c r="AT45" s="280"/>
      <c r="AV45" s="255">
        <f t="shared" si="4"/>
        <v>0</v>
      </c>
      <c r="AW45" s="224">
        <f t="shared" si="5"/>
        <v>0</v>
      </c>
      <c r="AX45" s="224">
        <f t="shared" si="6"/>
        <v>0</v>
      </c>
      <c r="AY45" s="224">
        <f t="shared" si="7"/>
        <v>0</v>
      </c>
      <c r="AZ45" s="224">
        <f t="shared" si="8"/>
        <v>0</v>
      </c>
      <c r="BA45" s="224">
        <f t="shared" si="9"/>
        <v>0</v>
      </c>
      <c r="BB45" s="224">
        <f t="shared" si="10"/>
        <v>0</v>
      </c>
      <c r="BC45" s="224">
        <f t="shared" si="11"/>
        <v>0</v>
      </c>
      <c r="BD45" s="224">
        <f t="shared" si="12"/>
        <v>0</v>
      </c>
      <c r="BE45" s="224">
        <f t="shared" si="13"/>
        <v>0</v>
      </c>
      <c r="BF45" s="224">
        <f t="shared" si="14"/>
        <v>0</v>
      </c>
      <c r="BG45" s="224">
        <f t="shared" si="15"/>
        <v>0</v>
      </c>
      <c r="BH45" s="224">
        <f t="shared" si="16"/>
        <v>0</v>
      </c>
      <c r="BI45" s="256">
        <f t="shared" si="17"/>
        <v>0</v>
      </c>
      <c r="BJ45" s="256">
        <f t="shared" si="18"/>
        <v>0</v>
      </c>
      <c r="BK45" s="256">
        <f t="shared" si="19"/>
        <v>0</v>
      </c>
      <c r="BL45" s="256">
        <f t="shared" si="20"/>
        <v>0</v>
      </c>
      <c r="BM45" s="256">
        <f t="shared" si="21"/>
        <v>0</v>
      </c>
      <c r="BN45" s="256">
        <f t="shared" si="22"/>
        <v>0</v>
      </c>
      <c r="BO45" s="256">
        <f t="shared" si="23"/>
        <v>0</v>
      </c>
      <c r="BP45" s="256">
        <f t="shared" si="24"/>
        <v>0</v>
      </c>
      <c r="BQ45" s="257">
        <f t="shared" si="25"/>
        <v>0</v>
      </c>
    </row>
    <row r="46" spans="1:69">
      <c r="A46" s="748" t="s">
        <v>827</v>
      </c>
      <c r="B46" s="750" t="s">
        <v>577</v>
      </c>
      <c r="C46" s="277"/>
      <c r="D46" s="249">
        <v>0</v>
      </c>
      <c r="E46" s="250">
        <v>0</v>
      </c>
      <c r="F46" s="250">
        <v>0</v>
      </c>
      <c r="G46" s="250"/>
      <c r="H46" s="250"/>
      <c r="I46" s="250">
        <v>0</v>
      </c>
      <c r="J46" s="250"/>
      <c r="K46" s="250"/>
      <c r="L46" s="250"/>
      <c r="M46" s="250">
        <v>0</v>
      </c>
      <c r="N46" s="250"/>
      <c r="O46" s="250">
        <v>0</v>
      </c>
      <c r="P46" s="250">
        <v>0</v>
      </c>
      <c r="Q46" s="250">
        <v>0</v>
      </c>
      <c r="R46" s="250">
        <v>0</v>
      </c>
      <c r="S46" s="250">
        <v>0</v>
      </c>
      <c r="T46" s="250"/>
      <c r="U46" s="250">
        <v>0</v>
      </c>
      <c r="V46" s="250">
        <v>0</v>
      </c>
      <c r="W46" s="250">
        <v>0</v>
      </c>
      <c r="X46" s="278"/>
      <c r="Z46" s="279">
        <f>Est2017TransRev!Z46</f>
        <v>0</v>
      </c>
      <c r="AA46" s="253">
        <f>Est2017TransRev!AA46</f>
        <v>0</v>
      </c>
      <c r="AB46" s="253">
        <f>Est2017TransRev!AB46</f>
        <v>0</v>
      </c>
      <c r="AC46" s="253">
        <f>Est2017TransRev!AC46</f>
        <v>0</v>
      </c>
      <c r="AD46" s="253">
        <f>Est2017TransRev!AD46</f>
        <v>0</v>
      </c>
      <c r="AE46" s="253">
        <f>Est2017TransRev!AE46</f>
        <v>0</v>
      </c>
      <c r="AF46" s="253">
        <f>Est2017TransRev!AF46</f>
        <v>0</v>
      </c>
      <c r="AG46" s="253">
        <f>Est2017TransRev!AG46</f>
        <v>0</v>
      </c>
      <c r="AH46" s="253">
        <f>Est2017TransRev!AH46</f>
        <v>0</v>
      </c>
      <c r="AI46" s="253">
        <f>Est2017TransRev!AI46</f>
        <v>0</v>
      </c>
      <c r="AJ46" s="253">
        <f>Est2017TransRev!AJ46</f>
        <v>0</v>
      </c>
      <c r="AK46" s="253">
        <f>Est2017TransRev!AK46</f>
        <v>0</v>
      </c>
      <c r="AL46" s="253">
        <f>Est2017TransRev!AL46</f>
        <v>0</v>
      </c>
      <c r="AM46" s="253">
        <f>Est2017TransRev!AM46</f>
        <v>0</v>
      </c>
      <c r="AN46" s="253">
        <f>Est2017TransRev!AN46</f>
        <v>0</v>
      </c>
      <c r="AO46" s="253">
        <f>Est2017TransRev!AO46</f>
        <v>0</v>
      </c>
      <c r="AP46" s="253">
        <f>Est2017TransRev!AP46</f>
        <v>0</v>
      </c>
      <c r="AQ46" s="253">
        <f>Est2017TransRev!AQ46</f>
        <v>0</v>
      </c>
      <c r="AR46" s="253">
        <f>Est2017TransRev!AR46</f>
        <v>0</v>
      </c>
      <c r="AS46" s="253">
        <f>Est2017TransRev!AS46</f>
        <v>0</v>
      </c>
      <c r="AT46" s="280"/>
      <c r="AV46" s="255">
        <f t="shared" si="4"/>
        <v>0</v>
      </c>
      <c r="AW46" s="224">
        <f t="shared" si="5"/>
        <v>0</v>
      </c>
      <c r="AX46" s="224">
        <f t="shared" si="6"/>
        <v>0</v>
      </c>
      <c r="AY46" s="224">
        <f t="shared" si="7"/>
        <v>0</v>
      </c>
      <c r="AZ46" s="224">
        <f t="shared" si="8"/>
        <v>0</v>
      </c>
      <c r="BA46" s="224">
        <f t="shared" si="9"/>
        <v>0</v>
      </c>
      <c r="BB46" s="224">
        <f t="shared" si="10"/>
        <v>0</v>
      </c>
      <c r="BC46" s="224">
        <f t="shared" si="11"/>
        <v>0</v>
      </c>
      <c r="BD46" s="224">
        <f t="shared" si="12"/>
        <v>0</v>
      </c>
      <c r="BE46" s="224">
        <f t="shared" si="13"/>
        <v>0</v>
      </c>
      <c r="BF46" s="224">
        <f t="shared" si="14"/>
        <v>0</v>
      </c>
      <c r="BG46" s="224">
        <f t="shared" si="15"/>
        <v>0</v>
      </c>
      <c r="BH46" s="224">
        <f t="shared" si="16"/>
        <v>0</v>
      </c>
      <c r="BI46" s="256">
        <f t="shared" si="17"/>
        <v>0</v>
      </c>
      <c r="BJ46" s="256">
        <f t="shared" si="18"/>
        <v>0</v>
      </c>
      <c r="BK46" s="256">
        <f t="shared" si="19"/>
        <v>0</v>
      </c>
      <c r="BL46" s="256">
        <f t="shared" si="20"/>
        <v>0</v>
      </c>
      <c r="BM46" s="256">
        <f t="shared" si="21"/>
        <v>0</v>
      </c>
      <c r="BN46" s="256">
        <f t="shared" si="22"/>
        <v>0</v>
      </c>
      <c r="BO46" s="256">
        <f t="shared" si="23"/>
        <v>0</v>
      </c>
      <c r="BP46" s="256">
        <f t="shared" si="24"/>
        <v>0</v>
      </c>
      <c r="BQ46" s="257">
        <f t="shared" si="25"/>
        <v>0</v>
      </c>
    </row>
    <row r="47" spans="1:69">
      <c r="A47" s="748" t="s">
        <v>828</v>
      </c>
      <c r="B47" s="750" t="s">
        <v>578</v>
      </c>
      <c r="C47" s="277"/>
      <c r="D47" s="249">
        <v>0</v>
      </c>
      <c r="E47" s="250">
        <v>0</v>
      </c>
      <c r="F47" s="250">
        <v>0</v>
      </c>
      <c r="G47" s="250"/>
      <c r="H47" s="250"/>
      <c r="I47" s="250">
        <v>0</v>
      </c>
      <c r="J47" s="250"/>
      <c r="K47" s="250"/>
      <c r="L47" s="250"/>
      <c r="M47" s="250">
        <v>0</v>
      </c>
      <c r="N47" s="250"/>
      <c r="O47" s="250">
        <v>0</v>
      </c>
      <c r="P47" s="250">
        <v>0</v>
      </c>
      <c r="Q47" s="250">
        <v>0</v>
      </c>
      <c r="R47" s="250">
        <v>0</v>
      </c>
      <c r="S47" s="250">
        <v>0</v>
      </c>
      <c r="T47" s="250"/>
      <c r="U47" s="250">
        <v>0</v>
      </c>
      <c r="V47" s="250">
        <v>0</v>
      </c>
      <c r="W47" s="250">
        <v>0</v>
      </c>
      <c r="X47" s="278"/>
      <c r="Z47" s="279">
        <f>Est2017TransRev!Z47</f>
        <v>0</v>
      </c>
      <c r="AA47" s="253">
        <f>Est2017TransRev!AA47</f>
        <v>0</v>
      </c>
      <c r="AB47" s="253">
        <f>Est2017TransRev!AB47</f>
        <v>0</v>
      </c>
      <c r="AC47" s="253">
        <f>Est2017TransRev!AC47</f>
        <v>0</v>
      </c>
      <c r="AD47" s="253">
        <f>Est2017TransRev!AD47</f>
        <v>0</v>
      </c>
      <c r="AE47" s="253">
        <f>Est2017TransRev!AE47</f>
        <v>0</v>
      </c>
      <c r="AF47" s="253">
        <f>Est2017TransRev!AF47</f>
        <v>0</v>
      </c>
      <c r="AG47" s="253">
        <f>Est2017TransRev!AG47</f>
        <v>0</v>
      </c>
      <c r="AH47" s="253">
        <f>Est2017TransRev!AH47</f>
        <v>0</v>
      </c>
      <c r="AI47" s="253">
        <f>Est2017TransRev!AI47</f>
        <v>0</v>
      </c>
      <c r="AJ47" s="253">
        <f>Est2017TransRev!AJ47</f>
        <v>0</v>
      </c>
      <c r="AK47" s="253">
        <f>Est2017TransRev!AK47</f>
        <v>0</v>
      </c>
      <c r="AL47" s="253">
        <f>Est2017TransRev!AL47</f>
        <v>0</v>
      </c>
      <c r="AM47" s="253">
        <f>Est2017TransRev!AM47</f>
        <v>0</v>
      </c>
      <c r="AN47" s="253">
        <f>Est2017TransRev!AN47</f>
        <v>0</v>
      </c>
      <c r="AO47" s="253">
        <f>Est2017TransRev!AO47</f>
        <v>0</v>
      </c>
      <c r="AP47" s="253">
        <f>Est2017TransRev!AP47</f>
        <v>0</v>
      </c>
      <c r="AQ47" s="253">
        <f>Est2017TransRev!AQ47</f>
        <v>0</v>
      </c>
      <c r="AR47" s="253">
        <f>Est2017TransRev!AR47</f>
        <v>0</v>
      </c>
      <c r="AS47" s="253">
        <f>Est2017TransRev!AS47</f>
        <v>0</v>
      </c>
      <c r="AT47" s="280"/>
      <c r="AV47" s="255">
        <f t="shared" si="4"/>
        <v>0</v>
      </c>
      <c r="AW47" s="224">
        <f t="shared" si="5"/>
        <v>0</v>
      </c>
      <c r="AX47" s="224">
        <f t="shared" si="6"/>
        <v>0</v>
      </c>
      <c r="AY47" s="224">
        <f t="shared" si="7"/>
        <v>0</v>
      </c>
      <c r="AZ47" s="224">
        <f t="shared" si="8"/>
        <v>0</v>
      </c>
      <c r="BA47" s="224">
        <f t="shared" si="9"/>
        <v>0</v>
      </c>
      <c r="BB47" s="224">
        <f t="shared" si="10"/>
        <v>0</v>
      </c>
      <c r="BC47" s="224">
        <f t="shared" si="11"/>
        <v>0</v>
      </c>
      <c r="BD47" s="224">
        <f t="shared" si="12"/>
        <v>0</v>
      </c>
      <c r="BE47" s="224">
        <f t="shared" si="13"/>
        <v>0</v>
      </c>
      <c r="BF47" s="224">
        <f t="shared" si="14"/>
        <v>0</v>
      </c>
      <c r="BG47" s="224">
        <f t="shared" si="15"/>
        <v>0</v>
      </c>
      <c r="BH47" s="224">
        <f t="shared" si="16"/>
        <v>0</v>
      </c>
      <c r="BI47" s="256">
        <f t="shared" si="17"/>
        <v>0</v>
      </c>
      <c r="BJ47" s="256">
        <f t="shared" si="18"/>
        <v>0</v>
      </c>
      <c r="BK47" s="256">
        <f t="shared" si="19"/>
        <v>0</v>
      </c>
      <c r="BL47" s="256">
        <f t="shared" si="20"/>
        <v>0</v>
      </c>
      <c r="BM47" s="256">
        <f t="shared" si="21"/>
        <v>0</v>
      </c>
      <c r="BN47" s="256">
        <f t="shared" si="22"/>
        <v>0</v>
      </c>
      <c r="BO47" s="256">
        <f t="shared" si="23"/>
        <v>0</v>
      </c>
      <c r="BP47" s="256">
        <f t="shared" si="24"/>
        <v>0</v>
      </c>
      <c r="BQ47" s="257">
        <f t="shared" si="25"/>
        <v>0</v>
      </c>
    </row>
    <row r="48" spans="1:69">
      <c r="A48" s="748" t="s">
        <v>829</v>
      </c>
      <c r="B48" s="750" t="s">
        <v>579</v>
      </c>
      <c r="D48" s="258">
        <v>0</v>
      </c>
      <c r="E48" s="259">
        <v>0</v>
      </c>
      <c r="F48" s="259">
        <v>0</v>
      </c>
      <c r="G48" s="259"/>
      <c r="H48" s="259"/>
      <c r="I48" s="259">
        <v>0</v>
      </c>
      <c r="J48" s="259"/>
      <c r="K48" s="259"/>
      <c r="L48" s="259"/>
      <c r="M48" s="260">
        <v>0</v>
      </c>
      <c r="N48" s="260"/>
      <c r="O48" s="260">
        <v>0</v>
      </c>
      <c r="P48" s="260">
        <v>0</v>
      </c>
      <c r="Q48" s="260">
        <v>0</v>
      </c>
      <c r="R48" s="260">
        <v>0</v>
      </c>
      <c r="S48" s="260">
        <v>0</v>
      </c>
      <c r="T48" s="260"/>
      <c r="U48" s="260">
        <v>0</v>
      </c>
      <c r="V48" s="260">
        <v>0</v>
      </c>
      <c r="W48" s="260">
        <v>0</v>
      </c>
      <c r="X48" s="261"/>
      <c r="Z48" s="252">
        <f>Est2017TransRev!Z48</f>
        <v>0</v>
      </c>
      <c r="AA48" s="253">
        <f>Est2017TransRev!AA48</f>
        <v>0</v>
      </c>
      <c r="AB48" s="253">
        <f>Est2017TransRev!AB48</f>
        <v>0</v>
      </c>
      <c r="AC48" s="253">
        <f>Est2017TransRev!AC48</f>
        <v>0</v>
      </c>
      <c r="AD48" s="253">
        <f>Est2017TransRev!AD48</f>
        <v>0</v>
      </c>
      <c r="AE48" s="253">
        <f>Est2017TransRev!AE48</f>
        <v>0</v>
      </c>
      <c r="AF48" s="253">
        <f>Est2017TransRev!AF48</f>
        <v>0</v>
      </c>
      <c r="AG48" s="253">
        <f>Est2017TransRev!AG48</f>
        <v>0</v>
      </c>
      <c r="AH48" s="253">
        <f>Est2017TransRev!AH48</f>
        <v>0</v>
      </c>
      <c r="AI48" s="253">
        <f>Est2017TransRev!AI48</f>
        <v>0</v>
      </c>
      <c r="AJ48" s="253">
        <f>Est2017TransRev!AJ48</f>
        <v>0</v>
      </c>
      <c r="AK48" s="253">
        <f>Est2017TransRev!AK48</f>
        <v>0</v>
      </c>
      <c r="AL48" s="253">
        <f>Est2017TransRev!AL48</f>
        <v>0</v>
      </c>
      <c r="AM48" s="253">
        <f>Est2017TransRev!AM48</f>
        <v>0</v>
      </c>
      <c r="AN48" s="253">
        <f>Est2017TransRev!AN48</f>
        <v>0</v>
      </c>
      <c r="AO48" s="253">
        <f>Est2017TransRev!AO48</f>
        <v>0</v>
      </c>
      <c r="AP48" s="253">
        <f>Est2017TransRev!AP48</f>
        <v>0</v>
      </c>
      <c r="AQ48" s="253">
        <f>Est2017TransRev!AQ48</f>
        <v>0</v>
      </c>
      <c r="AR48" s="253">
        <f>Est2017TransRev!AR48</f>
        <v>0</v>
      </c>
      <c r="AS48" s="253">
        <f>Est2017TransRev!AS48</f>
        <v>0</v>
      </c>
      <c r="AT48" s="254"/>
      <c r="AV48" s="255">
        <f t="shared" si="4"/>
        <v>0</v>
      </c>
      <c r="AW48" s="224">
        <f t="shared" si="5"/>
        <v>0</v>
      </c>
      <c r="AX48" s="224">
        <f t="shared" si="6"/>
        <v>0</v>
      </c>
      <c r="AY48" s="224">
        <f t="shared" si="7"/>
        <v>0</v>
      </c>
      <c r="AZ48" s="224">
        <f t="shared" si="8"/>
        <v>0</v>
      </c>
      <c r="BA48" s="224">
        <f t="shared" si="9"/>
        <v>0</v>
      </c>
      <c r="BB48" s="224">
        <f t="shared" si="10"/>
        <v>0</v>
      </c>
      <c r="BC48" s="224">
        <f t="shared" si="11"/>
        <v>0</v>
      </c>
      <c r="BD48" s="224">
        <f t="shared" si="12"/>
        <v>0</v>
      </c>
      <c r="BE48" s="224">
        <f t="shared" si="13"/>
        <v>0</v>
      </c>
      <c r="BF48" s="224">
        <f t="shared" si="14"/>
        <v>0</v>
      </c>
      <c r="BG48" s="224">
        <f t="shared" si="15"/>
        <v>0</v>
      </c>
      <c r="BH48" s="224">
        <f t="shared" si="16"/>
        <v>0</v>
      </c>
      <c r="BI48" s="256">
        <f t="shared" si="17"/>
        <v>0</v>
      </c>
      <c r="BJ48" s="256">
        <f t="shared" si="18"/>
        <v>0</v>
      </c>
      <c r="BK48" s="256">
        <f t="shared" si="19"/>
        <v>0</v>
      </c>
      <c r="BL48" s="256">
        <f t="shared" si="20"/>
        <v>0</v>
      </c>
      <c r="BM48" s="256">
        <f t="shared" si="21"/>
        <v>0</v>
      </c>
      <c r="BN48" s="256">
        <f t="shared" si="22"/>
        <v>0</v>
      </c>
      <c r="BO48" s="256">
        <f t="shared" si="23"/>
        <v>0</v>
      </c>
      <c r="BP48" s="256">
        <f t="shared" si="24"/>
        <v>0</v>
      </c>
      <c r="BQ48" s="257">
        <f t="shared" si="25"/>
        <v>0</v>
      </c>
    </row>
    <row r="49" spans="1:69">
      <c r="A49" s="748" t="s">
        <v>817</v>
      </c>
      <c r="B49" s="750" t="s">
        <v>580</v>
      </c>
      <c r="D49" s="258">
        <v>0</v>
      </c>
      <c r="E49" s="259">
        <v>0</v>
      </c>
      <c r="F49" s="259">
        <v>0</v>
      </c>
      <c r="G49" s="259"/>
      <c r="H49" s="259"/>
      <c r="I49" s="259">
        <v>0</v>
      </c>
      <c r="J49" s="259"/>
      <c r="K49" s="259"/>
      <c r="L49" s="259"/>
      <c r="M49" s="260">
        <v>0</v>
      </c>
      <c r="N49" s="260"/>
      <c r="O49" s="260">
        <v>0</v>
      </c>
      <c r="P49" s="260">
        <v>0</v>
      </c>
      <c r="Q49" s="260">
        <v>0</v>
      </c>
      <c r="R49" s="260">
        <v>0</v>
      </c>
      <c r="S49" s="260">
        <v>0</v>
      </c>
      <c r="T49" s="260"/>
      <c r="U49" s="260">
        <v>0</v>
      </c>
      <c r="V49" s="260">
        <v>0</v>
      </c>
      <c r="W49" s="260">
        <v>0</v>
      </c>
      <c r="X49" s="261"/>
      <c r="Z49" s="252">
        <f>Est2017TransRev!Z49</f>
        <v>87.634181008555416</v>
      </c>
      <c r="AA49" s="253">
        <f>Est2017TransRev!AA49</f>
        <v>0</v>
      </c>
      <c r="AB49" s="253">
        <f>Est2017TransRev!AB49</f>
        <v>333095732.74128711</v>
      </c>
      <c r="AC49" s="253">
        <f>Est2017TransRev!AC49</f>
        <v>0</v>
      </c>
      <c r="AD49" s="253">
        <f>Est2017TransRev!AD49</f>
        <v>0</v>
      </c>
      <c r="AE49" s="253">
        <f>Est2017TransRev!AE49</f>
        <v>312746391.4920069</v>
      </c>
      <c r="AF49" s="253">
        <f>Est2017TransRev!AF49</f>
        <v>0</v>
      </c>
      <c r="AG49" s="253">
        <f>Est2017TransRev!AG49</f>
        <v>0</v>
      </c>
      <c r="AH49" s="253">
        <f>Est2017TransRev!AH49</f>
        <v>0</v>
      </c>
      <c r="AI49" s="253">
        <f>Est2017TransRev!AI49</f>
        <v>193029.51255495954</v>
      </c>
      <c r="AJ49" s="253">
        <f>Est2017TransRev!AJ49</f>
        <v>0</v>
      </c>
      <c r="AK49" s="253">
        <f>Est2017TransRev!AK49</f>
        <v>0</v>
      </c>
      <c r="AL49" s="253">
        <f>Est2017TransRev!AL49</f>
        <v>0</v>
      </c>
      <c r="AM49" s="253">
        <f>Est2017TransRev!AM49</f>
        <v>0</v>
      </c>
      <c r="AN49" s="253">
        <f>Est2017TransRev!AN49</f>
        <v>0</v>
      </c>
      <c r="AO49" s="253">
        <f>Est2017TransRev!AO49</f>
        <v>0</v>
      </c>
      <c r="AP49" s="253">
        <f>Est2017TransRev!AP49</f>
        <v>0</v>
      </c>
      <c r="AQ49" s="253">
        <f>Est2017TransRev!AQ49</f>
        <v>0</v>
      </c>
      <c r="AR49" s="253">
        <f>Est2017TransRev!AR49</f>
        <v>0</v>
      </c>
      <c r="AS49" s="253">
        <f>Est2017TransRev!AS49</f>
        <v>0</v>
      </c>
      <c r="AT49" s="254"/>
      <c r="AV49" s="255">
        <f t="shared" si="4"/>
        <v>0</v>
      </c>
      <c r="AW49" s="224">
        <f t="shared" si="5"/>
        <v>0</v>
      </c>
      <c r="AX49" s="224">
        <f t="shared" si="6"/>
        <v>0</v>
      </c>
      <c r="AY49" s="224">
        <f t="shared" si="7"/>
        <v>0</v>
      </c>
      <c r="AZ49" s="224">
        <f t="shared" si="8"/>
        <v>0</v>
      </c>
      <c r="BA49" s="224">
        <f t="shared" si="9"/>
        <v>0</v>
      </c>
      <c r="BB49" s="224">
        <f t="shared" si="10"/>
        <v>0</v>
      </c>
      <c r="BC49" s="224">
        <f t="shared" si="11"/>
        <v>0</v>
      </c>
      <c r="BD49" s="224">
        <f t="shared" si="12"/>
        <v>0</v>
      </c>
      <c r="BE49" s="224">
        <f t="shared" si="13"/>
        <v>0</v>
      </c>
      <c r="BF49" s="224">
        <f t="shared" si="14"/>
        <v>0</v>
      </c>
      <c r="BG49" s="224">
        <f t="shared" si="15"/>
        <v>0</v>
      </c>
      <c r="BH49" s="224">
        <f t="shared" si="16"/>
        <v>0</v>
      </c>
      <c r="BI49" s="256">
        <f t="shared" si="17"/>
        <v>0</v>
      </c>
      <c r="BJ49" s="256">
        <f t="shared" si="18"/>
        <v>0</v>
      </c>
      <c r="BK49" s="256">
        <f t="shared" si="19"/>
        <v>0</v>
      </c>
      <c r="BL49" s="256">
        <f t="shared" si="20"/>
        <v>0</v>
      </c>
      <c r="BM49" s="256">
        <f t="shared" si="21"/>
        <v>0</v>
      </c>
      <c r="BN49" s="256">
        <f t="shared" si="22"/>
        <v>0</v>
      </c>
      <c r="BO49" s="256">
        <f t="shared" si="23"/>
        <v>0</v>
      </c>
      <c r="BP49" s="256">
        <f t="shared" si="24"/>
        <v>0</v>
      </c>
      <c r="BQ49" s="257">
        <f t="shared" si="25"/>
        <v>0</v>
      </c>
    </row>
    <row r="50" spans="1:69">
      <c r="A50" s="748" t="s">
        <v>830</v>
      </c>
      <c r="B50" s="750" t="s">
        <v>604</v>
      </c>
      <c r="D50" s="258">
        <v>0</v>
      </c>
      <c r="E50" s="259">
        <v>0</v>
      </c>
      <c r="F50" s="259">
        <v>0</v>
      </c>
      <c r="G50" s="259"/>
      <c r="H50" s="259"/>
      <c r="I50" s="259">
        <v>0</v>
      </c>
      <c r="J50" s="259"/>
      <c r="K50" s="259"/>
      <c r="L50" s="259"/>
      <c r="M50" s="260">
        <v>0</v>
      </c>
      <c r="N50" s="260"/>
      <c r="O50" s="260">
        <v>0</v>
      </c>
      <c r="P50" s="260">
        <v>0</v>
      </c>
      <c r="Q50" s="260">
        <v>0</v>
      </c>
      <c r="R50" s="260">
        <v>0</v>
      </c>
      <c r="S50" s="260">
        <v>0</v>
      </c>
      <c r="T50" s="260"/>
      <c r="U50" s="260">
        <v>0</v>
      </c>
      <c r="V50" s="260">
        <v>0</v>
      </c>
      <c r="W50" s="260">
        <v>0</v>
      </c>
      <c r="X50" s="261"/>
      <c r="Z50" s="252">
        <f>Est2017TransRev!Z50</f>
        <v>0</v>
      </c>
      <c r="AA50" s="253">
        <f>Est2017TransRev!AA50</f>
        <v>0</v>
      </c>
      <c r="AB50" s="253">
        <f>Est2017TransRev!AB50</f>
        <v>0</v>
      </c>
      <c r="AC50" s="253">
        <f>Est2017TransRev!AC50</f>
        <v>0</v>
      </c>
      <c r="AD50" s="253">
        <f>Est2017TransRev!AD50</f>
        <v>0</v>
      </c>
      <c r="AE50" s="253">
        <f>Est2017TransRev!AE50</f>
        <v>0</v>
      </c>
      <c r="AF50" s="253">
        <f>Est2017TransRev!AF50</f>
        <v>0</v>
      </c>
      <c r="AG50" s="253">
        <f>Est2017TransRev!AG50</f>
        <v>0</v>
      </c>
      <c r="AH50" s="253">
        <f>Est2017TransRev!AH50</f>
        <v>0</v>
      </c>
      <c r="AI50" s="253">
        <f>Est2017TransRev!AI50</f>
        <v>0</v>
      </c>
      <c r="AJ50" s="253">
        <f>Est2017TransRev!AJ50</f>
        <v>0</v>
      </c>
      <c r="AK50" s="253">
        <f>Est2017TransRev!AK50</f>
        <v>0</v>
      </c>
      <c r="AL50" s="253">
        <f>Est2017TransRev!AL50</f>
        <v>0</v>
      </c>
      <c r="AM50" s="253">
        <f>Est2017TransRev!AM50</f>
        <v>0</v>
      </c>
      <c r="AN50" s="253">
        <f>Est2017TransRev!AN50</f>
        <v>0</v>
      </c>
      <c r="AO50" s="253">
        <f>Est2017TransRev!AO50</f>
        <v>0</v>
      </c>
      <c r="AP50" s="253">
        <f>Est2017TransRev!AP50</f>
        <v>0</v>
      </c>
      <c r="AQ50" s="253">
        <f>Est2017TransRev!AQ50</f>
        <v>0</v>
      </c>
      <c r="AR50" s="253">
        <f>Est2017TransRev!AR50</f>
        <v>0</v>
      </c>
      <c r="AS50" s="253">
        <f>Est2017TransRev!AS50</f>
        <v>0</v>
      </c>
      <c r="AT50" s="254"/>
      <c r="AV50" s="255">
        <f t="shared" si="4"/>
        <v>0</v>
      </c>
      <c r="AW50" s="224">
        <f t="shared" si="5"/>
        <v>0</v>
      </c>
      <c r="AX50" s="224">
        <f t="shared" si="6"/>
        <v>0</v>
      </c>
      <c r="AY50" s="224">
        <f t="shared" si="7"/>
        <v>0</v>
      </c>
      <c r="AZ50" s="224">
        <f t="shared" si="8"/>
        <v>0</v>
      </c>
      <c r="BA50" s="224">
        <f t="shared" si="9"/>
        <v>0</v>
      </c>
      <c r="BB50" s="224">
        <f t="shared" si="10"/>
        <v>0</v>
      </c>
      <c r="BC50" s="224">
        <f t="shared" si="11"/>
        <v>0</v>
      </c>
      <c r="BD50" s="224">
        <f t="shared" si="12"/>
        <v>0</v>
      </c>
      <c r="BE50" s="224">
        <f t="shared" si="13"/>
        <v>0</v>
      </c>
      <c r="BF50" s="224">
        <f t="shared" si="14"/>
        <v>0</v>
      </c>
      <c r="BG50" s="224">
        <f t="shared" si="15"/>
        <v>0</v>
      </c>
      <c r="BH50" s="224">
        <f t="shared" si="16"/>
        <v>0</v>
      </c>
      <c r="BI50" s="256">
        <f t="shared" si="17"/>
        <v>0</v>
      </c>
      <c r="BJ50" s="256">
        <f t="shared" si="18"/>
        <v>0</v>
      </c>
      <c r="BK50" s="256">
        <f t="shared" si="19"/>
        <v>0</v>
      </c>
      <c r="BL50" s="256">
        <f t="shared" si="20"/>
        <v>0</v>
      </c>
      <c r="BM50" s="256">
        <f t="shared" si="21"/>
        <v>0</v>
      </c>
      <c r="BN50" s="256">
        <f t="shared" si="22"/>
        <v>0</v>
      </c>
      <c r="BO50" s="256">
        <f t="shared" si="23"/>
        <v>0</v>
      </c>
      <c r="BP50" s="256">
        <f t="shared" si="24"/>
        <v>0</v>
      </c>
      <c r="BQ50" s="257">
        <f t="shared" si="25"/>
        <v>0</v>
      </c>
    </row>
    <row r="51" spans="1:69">
      <c r="A51" s="748" t="s">
        <v>831</v>
      </c>
      <c r="B51" s="750" t="s">
        <v>581</v>
      </c>
      <c r="D51" s="258">
        <v>0</v>
      </c>
      <c r="E51" s="259">
        <v>0</v>
      </c>
      <c r="F51" s="259">
        <v>0</v>
      </c>
      <c r="G51" s="259"/>
      <c r="H51" s="259"/>
      <c r="I51" s="259">
        <v>0</v>
      </c>
      <c r="J51" s="259"/>
      <c r="K51" s="259"/>
      <c r="L51" s="259"/>
      <c r="M51" s="260">
        <v>0</v>
      </c>
      <c r="N51" s="260"/>
      <c r="O51" s="260">
        <v>0</v>
      </c>
      <c r="P51" s="260">
        <v>0</v>
      </c>
      <c r="Q51" s="260">
        <v>0</v>
      </c>
      <c r="R51" s="260">
        <v>0</v>
      </c>
      <c r="S51" s="260">
        <v>0</v>
      </c>
      <c r="T51" s="260"/>
      <c r="U51" s="260">
        <v>0</v>
      </c>
      <c r="V51" s="260">
        <v>0</v>
      </c>
      <c r="W51" s="260">
        <v>0</v>
      </c>
      <c r="X51" s="261"/>
      <c r="Z51" s="252">
        <f>Est2017TransRev!Z51</f>
        <v>0</v>
      </c>
      <c r="AA51" s="253">
        <f>Est2017TransRev!AA51</f>
        <v>0</v>
      </c>
      <c r="AB51" s="253">
        <f>Est2017TransRev!AB51</f>
        <v>0</v>
      </c>
      <c r="AC51" s="253">
        <f>Est2017TransRev!AC51</f>
        <v>0</v>
      </c>
      <c r="AD51" s="253">
        <f>Est2017TransRev!AD51</f>
        <v>0</v>
      </c>
      <c r="AE51" s="253">
        <f>Est2017TransRev!AE51</f>
        <v>0</v>
      </c>
      <c r="AF51" s="253">
        <f>Est2017TransRev!AF51</f>
        <v>0</v>
      </c>
      <c r="AG51" s="253">
        <f>Est2017TransRev!AG51</f>
        <v>0</v>
      </c>
      <c r="AH51" s="253">
        <f>Est2017TransRev!AH51</f>
        <v>0</v>
      </c>
      <c r="AI51" s="253">
        <f>Est2017TransRev!AI51</f>
        <v>0</v>
      </c>
      <c r="AJ51" s="253">
        <f>Est2017TransRev!AJ51</f>
        <v>0</v>
      </c>
      <c r="AK51" s="253">
        <f>Est2017TransRev!AK51</f>
        <v>0</v>
      </c>
      <c r="AL51" s="253">
        <f>Est2017TransRev!AL51</f>
        <v>0</v>
      </c>
      <c r="AM51" s="253">
        <f>Est2017TransRev!AM51</f>
        <v>0</v>
      </c>
      <c r="AN51" s="253">
        <f>Est2017TransRev!AN51</f>
        <v>0</v>
      </c>
      <c r="AO51" s="253">
        <f>Est2017TransRev!AO51</f>
        <v>0</v>
      </c>
      <c r="AP51" s="253">
        <f>Est2017TransRev!AP51</f>
        <v>0</v>
      </c>
      <c r="AQ51" s="253">
        <f>Est2017TransRev!AQ51</f>
        <v>0</v>
      </c>
      <c r="AR51" s="253">
        <f>Est2017TransRev!AR51</f>
        <v>0</v>
      </c>
      <c r="AS51" s="253">
        <f>Est2017TransRev!AS51</f>
        <v>0</v>
      </c>
      <c r="AT51" s="254"/>
      <c r="AV51" s="255">
        <f t="shared" si="4"/>
        <v>0</v>
      </c>
      <c r="AW51" s="224">
        <f t="shared" si="5"/>
        <v>0</v>
      </c>
      <c r="AX51" s="224">
        <f t="shared" si="6"/>
        <v>0</v>
      </c>
      <c r="AY51" s="224">
        <f t="shared" si="7"/>
        <v>0</v>
      </c>
      <c r="AZ51" s="224">
        <f t="shared" si="8"/>
        <v>0</v>
      </c>
      <c r="BA51" s="224">
        <f t="shared" si="9"/>
        <v>0</v>
      </c>
      <c r="BB51" s="224">
        <f t="shared" si="10"/>
        <v>0</v>
      </c>
      <c r="BC51" s="224">
        <f t="shared" si="11"/>
        <v>0</v>
      </c>
      <c r="BD51" s="224">
        <f t="shared" si="12"/>
        <v>0</v>
      </c>
      <c r="BE51" s="224">
        <f t="shared" si="13"/>
        <v>0</v>
      </c>
      <c r="BF51" s="224">
        <f t="shared" si="14"/>
        <v>0</v>
      </c>
      <c r="BG51" s="224">
        <f t="shared" si="15"/>
        <v>0</v>
      </c>
      <c r="BH51" s="224">
        <f t="shared" si="16"/>
        <v>0</v>
      </c>
      <c r="BI51" s="256">
        <f t="shared" si="17"/>
        <v>0</v>
      </c>
      <c r="BJ51" s="256">
        <f t="shared" si="18"/>
        <v>0</v>
      </c>
      <c r="BK51" s="256">
        <f t="shared" si="19"/>
        <v>0</v>
      </c>
      <c r="BL51" s="256">
        <f t="shared" si="20"/>
        <v>0</v>
      </c>
      <c r="BM51" s="256">
        <f t="shared" si="21"/>
        <v>0</v>
      </c>
      <c r="BN51" s="256">
        <f t="shared" si="22"/>
        <v>0</v>
      </c>
      <c r="BO51" s="256">
        <f t="shared" si="23"/>
        <v>0</v>
      </c>
      <c r="BP51" s="256">
        <f t="shared" si="24"/>
        <v>0</v>
      </c>
      <c r="BQ51" s="257">
        <f t="shared" si="25"/>
        <v>0</v>
      </c>
    </row>
    <row r="52" spans="1:69">
      <c r="A52" s="748" t="s">
        <v>818</v>
      </c>
      <c r="B52" s="750" t="s">
        <v>605</v>
      </c>
      <c r="D52" s="258">
        <v>0</v>
      </c>
      <c r="E52" s="259">
        <v>0</v>
      </c>
      <c r="F52" s="259">
        <v>0</v>
      </c>
      <c r="G52" s="259"/>
      <c r="H52" s="259"/>
      <c r="I52" s="259">
        <v>0</v>
      </c>
      <c r="J52" s="259"/>
      <c r="K52" s="259"/>
      <c r="L52" s="259"/>
      <c r="M52" s="260">
        <v>0</v>
      </c>
      <c r="N52" s="260"/>
      <c r="O52" s="260">
        <v>0</v>
      </c>
      <c r="P52" s="260">
        <v>0</v>
      </c>
      <c r="Q52" s="260">
        <v>0</v>
      </c>
      <c r="R52" s="260">
        <v>0</v>
      </c>
      <c r="S52" s="260">
        <v>0</v>
      </c>
      <c r="T52" s="260"/>
      <c r="U52" s="260">
        <v>0</v>
      </c>
      <c r="V52" s="260">
        <v>0</v>
      </c>
      <c r="W52" s="260">
        <v>0</v>
      </c>
      <c r="X52" s="261"/>
      <c r="Z52" s="252">
        <f>Est2017TransRev!Z52</f>
        <v>7</v>
      </c>
      <c r="AA52" s="253">
        <f>Est2017TransRev!AA52</f>
        <v>0</v>
      </c>
      <c r="AB52" s="253">
        <f>Est2017TransRev!AB52</f>
        <v>69561287.835062638</v>
      </c>
      <c r="AC52" s="253">
        <f>Est2017TransRev!AC52</f>
        <v>0</v>
      </c>
      <c r="AD52" s="253">
        <f>Est2017TransRev!AD52</f>
        <v>0</v>
      </c>
      <c r="AE52" s="253">
        <f>Est2017TransRev!AE52</f>
        <v>38922335.566263989</v>
      </c>
      <c r="AF52" s="253">
        <f>Est2017TransRev!AF52</f>
        <v>0</v>
      </c>
      <c r="AG52" s="253">
        <f>Est2017TransRev!AG52</f>
        <v>0</v>
      </c>
      <c r="AH52" s="253">
        <f>Est2017TransRev!AH52</f>
        <v>0</v>
      </c>
      <c r="AI52" s="253">
        <f>Est2017TransRev!AI52</f>
        <v>43550.418979469236</v>
      </c>
      <c r="AJ52" s="253">
        <f>Est2017TransRev!AJ52</f>
        <v>0</v>
      </c>
      <c r="AK52" s="253">
        <f>Est2017TransRev!AK52</f>
        <v>0</v>
      </c>
      <c r="AL52" s="253">
        <f>Est2017TransRev!AL52</f>
        <v>0</v>
      </c>
      <c r="AM52" s="253">
        <f>Est2017TransRev!AM52</f>
        <v>0</v>
      </c>
      <c r="AN52" s="253">
        <f>Est2017TransRev!AN52</f>
        <v>0</v>
      </c>
      <c r="AO52" s="253">
        <f>Est2017TransRev!AO52</f>
        <v>0</v>
      </c>
      <c r="AP52" s="253">
        <f>Est2017TransRev!AP52</f>
        <v>0</v>
      </c>
      <c r="AQ52" s="253">
        <f>Est2017TransRev!AQ52</f>
        <v>0</v>
      </c>
      <c r="AR52" s="253">
        <f>Est2017TransRev!AR52</f>
        <v>0</v>
      </c>
      <c r="AS52" s="253">
        <f>Est2017TransRev!AS52</f>
        <v>0</v>
      </c>
      <c r="AT52" s="254"/>
      <c r="AV52" s="255">
        <f t="shared" si="4"/>
        <v>0</v>
      </c>
      <c r="AW52" s="224">
        <f t="shared" si="5"/>
        <v>0</v>
      </c>
      <c r="AX52" s="224">
        <f t="shared" si="6"/>
        <v>0</v>
      </c>
      <c r="AY52" s="224">
        <f t="shared" si="7"/>
        <v>0</v>
      </c>
      <c r="AZ52" s="224">
        <f t="shared" si="8"/>
        <v>0</v>
      </c>
      <c r="BA52" s="224">
        <f t="shared" si="9"/>
        <v>0</v>
      </c>
      <c r="BB52" s="224">
        <f t="shared" si="10"/>
        <v>0</v>
      </c>
      <c r="BC52" s="224">
        <f t="shared" si="11"/>
        <v>0</v>
      </c>
      <c r="BD52" s="224">
        <f t="shared" si="12"/>
        <v>0</v>
      </c>
      <c r="BE52" s="224">
        <f t="shared" si="13"/>
        <v>0</v>
      </c>
      <c r="BF52" s="224">
        <f t="shared" si="14"/>
        <v>0</v>
      </c>
      <c r="BG52" s="224">
        <f t="shared" si="15"/>
        <v>0</v>
      </c>
      <c r="BH52" s="224">
        <f t="shared" si="16"/>
        <v>0</v>
      </c>
      <c r="BI52" s="256">
        <f t="shared" si="17"/>
        <v>0</v>
      </c>
      <c r="BJ52" s="256">
        <f t="shared" si="18"/>
        <v>0</v>
      </c>
      <c r="BK52" s="256">
        <f t="shared" si="19"/>
        <v>0</v>
      </c>
      <c r="BL52" s="256">
        <f t="shared" si="20"/>
        <v>0</v>
      </c>
      <c r="BM52" s="256">
        <f t="shared" si="21"/>
        <v>0</v>
      </c>
      <c r="BN52" s="256">
        <f t="shared" si="22"/>
        <v>0</v>
      </c>
      <c r="BO52" s="256">
        <f t="shared" si="23"/>
        <v>0</v>
      </c>
      <c r="BP52" s="256">
        <f t="shared" si="24"/>
        <v>0</v>
      </c>
      <c r="BQ52" s="257">
        <f t="shared" si="25"/>
        <v>0</v>
      </c>
    </row>
    <row r="53" spans="1:69">
      <c r="B53" s="238"/>
      <c r="D53" s="258"/>
      <c r="E53" s="259"/>
      <c r="F53" s="259"/>
      <c r="G53" s="259"/>
      <c r="H53" s="259"/>
      <c r="I53" s="259"/>
      <c r="J53" s="259"/>
      <c r="K53" s="259"/>
      <c r="L53" s="259"/>
      <c r="M53" s="260"/>
      <c r="N53" s="260"/>
      <c r="O53" s="260"/>
      <c r="P53" s="260"/>
      <c r="Q53" s="260"/>
      <c r="R53" s="260"/>
      <c r="S53" s="260"/>
      <c r="T53" s="260"/>
      <c r="U53" s="260"/>
      <c r="V53" s="260"/>
      <c r="W53" s="260"/>
      <c r="X53" s="261"/>
      <c r="Z53" s="252"/>
      <c r="AA53" s="253"/>
      <c r="AB53" s="253"/>
      <c r="AC53" s="253"/>
      <c r="AD53" s="253"/>
      <c r="AE53" s="253"/>
      <c r="AF53" s="253"/>
      <c r="AG53" s="253"/>
      <c r="AH53" s="253"/>
      <c r="AI53" s="253"/>
      <c r="AJ53" s="253"/>
      <c r="AK53" s="253"/>
      <c r="AL53" s="253"/>
      <c r="AM53" s="253"/>
      <c r="AN53" s="253"/>
      <c r="AO53" s="253"/>
      <c r="AP53" s="253"/>
      <c r="AQ53" s="253"/>
      <c r="AR53" s="253"/>
      <c r="AS53" s="253"/>
      <c r="AT53" s="254"/>
      <c r="AV53" s="255">
        <f t="shared" si="4"/>
        <v>0</v>
      </c>
      <c r="AW53" s="224">
        <f t="shared" si="5"/>
        <v>0</v>
      </c>
      <c r="AX53" s="224">
        <f t="shared" si="6"/>
        <v>0</v>
      </c>
      <c r="AY53" s="224">
        <f t="shared" si="7"/>
        <v>0</v>
      </c>
      <c r="AZ53" s="224">
        <f t="shared" si="8"/>
        <v>0</v>
      </c>
      <c r="BA53" s="224">
        <f t="shared" si="9"/>
        <v>0</v>
      </c>
      <c r="BB53" s="224">
        <f t="shared" si="10"/>
        <v>0</v>
      </c>
      <c r="BC53" s="224">
        <f t="shared" si="11"/>
        <v>0</v>
      </c>
      <c r="BD53" s="224">
        <f t="shared" si="12"/>
        <v>0</v>
      </c>
      <c r="BE53" s="224">
        <f t="shared" si="13"/>
        <v>0</v>
      </c>
      <c r="BF53" s="224">
        <f t="shared" si="14"/>
        <v>0</v>
      </c>
      <c r="BG53" s="224">
        <f t="shared" si="15"/>
        <v>0</v>
      </c>
      <c r="BH53" s="224">
        <f t="shared" si="16"/>
        <v>0</v>
      </c>
      <c r="BI53" s="256">
        <f t="shared" si="17"/>
        <v>0</v>
      </c>
      <c r="BJ53" s="256">
        <f t="shared" si="18"/>
        <v>0</v>
      </c>
      <c r="BK53" s="256">
        <f t="shared" si="19"/>
        <v>0</v>
      </c>
      <c r="BL53" s="256">
        <f t="shared" si="20"/>
        <v>0</v>
      </c>
      <c r="BM53" s="256">
        <f t="shared" si="21"/>
        <v>0</v>
      </c>
      <c r="BN53" s="256">
        <f t="shared" si="22"/>
        <v>0</v>
      </c>
      <c r="BO53" s="256">
        <f t="shared" si="23"/>
        <v>0</v>
      </c>
      <c r="BP53" s="256">
        <f t="shared" si="24"/>
        <v>0</v>
      </c>
      <c r="BQ53" s="257">
        <f t="shared" si="25"/>
        <v>0</v>
      </c>
    </row>
    <row r="54" spans="1:69">
      <c r="B54" s="238"/>
      <c r="D54" s="258"/>
      <c r="E54" s="259"/>
      <c r="F54" s="259"/>
      <c r="G54" s="259"/>
      <c r="H54" s="259"/>
      <c r="I54" s="259"/>
      <c r="J54" s="259"/>
      <c r="K54" s="259"/>
      <c r="L54" s="259"/>
      <c r="M54" s="260"/>
      <c r="N54" s="260"/>
      <c r="O54" s="260"/>
      <c r="P54" s="260"/>
      <c r="Q54" s="260"/>
      <c r="R54" s="260"/>
      <c r="S54" s="260"/>
      <c r="T54" s="260"/>
      <c r="U54" s="260"/>
      <c r="V54" s="260"/>
      <c r="W54" s="260"/>
      <c r="X54" s="261"/>
      <c r="Z54" s="252"/>
      <c r="AA54" s="253"/>
      <c r="AB54" s="253"/>
      <c r="AC54" s="253"/>
      <c r="AD54" s="253"/>
      <c r="AE54" s="253"/>
      <c r="AF54" s="253"/>
      <c r="AG54" s="253"/>
      <c r="AH54" s="253"/>
      <c r="AI54" s="253"/>
      <c r="AJ54" s="253"/>
      <c r="AK54" s="253"/>
      <c r="AL54" s="253"/>
      <c r="AM54" s="253"/>
      <c r="AN54" s="253"/>
      <c r="AO54" s="253"/>
      <c r="AP54" s="253"/>
      <c r="AQ54" s="253"/>
      <c r="AR54" s="253"/>
      <c r="AS54" s="253"/>
      <c r="AT54" s="254"/>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56">
        <f t="shared" si="17"/>
        <v>0</v>
      </c>
      <c r="BJ54" s="256">
        <f t="shared" si="18"/>
        <v>0</v>
      </c>
      <c r="BK54" s="256">
        <f t="shared" si="19"/>
        <v>0</v>
      </c>
      <c r="BL54" s="256">
        <f t="shared" si="20"/>
        <v>0</v>
      </c>
      <c r="BM54" s="256">
        <f t="shared" si="21"/>
        <v>0</v>
      </c>
      <c r="BN54" s="256">
        <f t="shared" si="22"/>
        <v>0</v>
      </c>
      <c r="BO54" s="256">
        <f t="shared" si="23"/>
        <v>0</v>
      </c>
      <c r="BP54" s="256">
        <f t="shared" si="24"/>
        <v>0</v>
      </c>
      <c r="BQ54" s="257">
        <f t="shared" si="25"/>
        <v>0</v>
      </c>
    </row>
    <row r="55" spans="1:69">
      <c r="B55" s="238"/>
      <c r="D55" s="258"/>
      <c r="E55" s="259"/>
      <c r="F55" s="259"/>
      <c r="G55" s="259"/>
      <c r="H55" s="259"/>
      <c r="I55" s="259"/>
      <c r="J55" s="259"/>
      <c r="K55" s="259"/>
      <c r="L55" s="259"/>
      <c r="M55" s="260"/>
      <c r="N55" s="260"/>
      <c r="O55" s="260"/>
      <c r="P55" s="260"/>
      <c r="Q55" s="260"/>
      <c r="R55" s="260"/>
      <c r="S55" s="260"/>
      <c r="T55" s="260"/>
      <c r="U55" s="260"/>
      <c r="V55" s="260"/>
      <c r="W55" s="260"/>
      <c r="X55" s="261"/>
      <c r="Z55" s="252"/>
      <c r="AA55" s="253"/>
      <c r="AB55" s="253"/>
      <c r="AC55" s="253"/>
      <c r="AD55" s="253"/>
      <c r="AE55" s="253"/>
      <c r="AF55" s="253"/>
      <c r="AG55" s="253"/>
      <c r="AH55" s="253"/>
      <c r="AI55" s="253"/>
      <c r="AJ55" s="253"/>
      <c r="AK55" s="253"/>
      <c r="AL55" s="253"/>
      <c r="AM55" s="253"/>
      <c r="AN55" s="253"/>
      <c r="AO55" s="253"/>
      <c r="AP55" s="253"/>
      <c r="AQ55" s="253"/>
      <c r="AR55" s="253"/>
      <c r="AS55" s="253"/>
      <c r="AT55" s="254"/>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56">
        <f t="shared" si="17"/>
        <v>0</v>
      </c>
      <c r="BJ55" s="256">
        <f t="shared" si="18"/>
        <v>0</v>
      </c>
      <c r="BK55" s="256">
        <f t="shared" si="19"/>
        <v>0</v>
      </c>
      <c r="BL55" s="256">
        <f t="shared" si="20"/>
        <v>0</v>
      </c>
      <c r="BM55" s="256">
        <f t="shared" si="21"/>
        <v>0</v>
      </c>
      <c r="BN55" s="256">
        <f t="shared" si="22"/>
        <v>0</v>
      </c>
      <c r="BO55" s="256">
        <f t="shared" si="23"/>
        <v>0</v>
      </c>
      <c r="BP55" s="256">
        <f t="shared" si="24"/>
        <v>0</v>
      </c>
      <c r="BQ55" s="257">
        <f t="shared" si="25"/>
        <v>0</v>
      </c>
    </row>
    <row r="56" spans="1:69">
      <c r="B56" s="238"/>
      <c r="D56" s="258"/>
      <c r="E56" s="259"/>
      <c r="F56" s="259"/>
      <c r="G56" s="259"/>
      <c r="H56" s="259"/>
      <c r="I56" s="259"/>
      <c r="J56" s="259"/>
      <c r="K56" s="259"/>
      <c r="L56" s="259"/>
      <c r="M56" s="260"/>
      <c r="N56" s="260"/>
      <c r="O56" s="260"/>
      <c r="P56" s="260"/>
      <c r="Q56" s="260"/>
      <c r="R56" s="260"/>
      <c r="S56" s="260"/>
      <c r="T56" s="260"/>
      <c r="U56" s="260"/>
      <c r="V56" s="260"/>
      <c r="W56" s="260"/>
      <c r="X56" s="261"/>
      <c r="Z56" s="252"/>
      <c r="AA56" s="253"/>
      <c r="AB56" s="253"/>
      <c r="AC56" s="253"/>
      <c r="AD56" s="253"/>
      <c r="AE56" s="253"/>
      <c r="AF56" s="253"/>
      <c r="AG56" s="253"/>
      <c r="AH56" s="253"/>
      <c r="AI56" s="253"/>
      <c r="AJ56" s="253"/>
      <c r="AK56" s="253"/>
      <c r="AL56" s="253"/>
      <c r="AM56" s="253"/>
      <c r="AN56" s="253"/>
      <c r="AO56" s="253"/>
      <c r="AP56" s="253"/>
      <c r="AQ56" s="253"/>
      <c r="AR56" s="253"/>
      <c r="AS56" s="253"/>
      <c r="AT56" s="254"/>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56">
        <f t="shared" si="17"/>
        <v>0</v>
      </c>
      <c r="BJ56" s="256">
        <f t="shared" si="18"/>
        <v>0</v>
      </c>
      <c r="BK56" s="256">
        <f t="shared" si="19"/>
        <v>0</v>
      </c>
      <c r="BL56" s="256">
        <f t="shared" si="20"/>
        <v>0</v>
      </c>
      <c r="BM56" s="256">
        <f t="shared" si="21"/>
        <v>0</v>
      </c>
      <c r="BN56" s="256">
        <f t="shared" si="22"/>
        <v>0</v>
      </c>
      <c r="BO56" s="256">
        <f t="shared" si="23"/>
        <v>0</v>
      </c>
      <c r="BP56" s="256">
        <f t="shared" si="24"/>
        <v>0</v>
      </c>
      <c r="BQ56" s="257">
        <f t="shared" si="25"/>
        <v>0</v>
      </c>
    </row>
    <row r="57" spans="1:69">
      <c r="B57" s="238"/>
      <c r="D57" s="258"/>
      <c r="E57" s="259"/>
      <c r="F57" s="259"/>
      <c r="G57" s="259"/>
      <c r="H57" s="259"/>
      <c r="I57" s="259"/>
      <c r="J57" s="259"/>
      <c r="K57" s="259"/>
      <c r="L57" s="259"/>
      <c r="M57" s="260"/>
      <c r="N57" s="260"/>
      <c r="O57" s="260"/>
      <c r="P57" s="260"/>
      <c r="Q57" s="260"/>
      <c r="R57" s="260"/>
      <c r="S57" s="260"/>
      <c r="T57" s="260"/>
      <c r="U57" s="260"/>
      <c r="V57" s="260"/>
      <c r="W57" s="260"/>
      <c r="X57" s="261"/>
      <c r="Z57" s="252"/>
      <c r="AA57" s="253"/>
      <c r="AB57" s="253"/>
      <c r="AC57" s="253"/>
      <c r="AD57" s="253"/>
      <c r="AE57" s="253"/>
      <c r="AF57" s="253"/>
      <c r="AG57" s="253"/>
      <c r="AH57" s="253"/>
      <c r="AI57" s="253"/>
      <c r="AJ57" s="253"/>
      <c r="AK57" s="253"/>
      <c r="AL57" s="253"/>
      <c r="AM57" s="253"/>
      <c r="AN57" s="253"/>
      <c r="AO57" s="253"/>
      <c r="AP57" s="253"/>
      <c r="AQ57" s="253"/>
      <c r="AR57" s="253"/>
      <c r="AS57" s="253"/>
      <c r="AT57" s="254"/>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56">
        <f t="shared" si="17"/>
        <v>0</v>
      </c>
      <c r="BJ57" s="256">
        <f t="shared" si="18"/>
        <v>0</v>
      </c>
      <c r="BK57" s="256">
        <f t="shared" si="19"/>
        <v>0</v>
      </c>
      <c r="BL57" s="256">
        <f t="shared" si="20"/>
        <v>0</v>
      </c>
      <c r="BM57" s="256">
        <f t="shared" si="21"/>
        <v>0</v>
      </c>
      <c r="BN57" s="256">
        <f t="shared" si="22"/>
        <v>0</v>
      </c>
      <c r="BO57" s="256">
        <f t="shared" si="23"/>
        <v>0</v>
      </c>
      <c r="BP57" s="256">
        <f t="shared" si="24"/>
        <v>0</v>
      </c>
      <c r="BQ57" s="257">
        <f t="shared" si="25"/>
        <v>0</v>
      </c>
    </row>
    <row r="58" spans="1:69">
      <c r="B58" s="238"/>
      <c r="D58" s="258"/>
      <c r="E58" s="259"/>
      <c r="F58" s="259"/>
      <c r="G58" s="259"/>
      <c r="H58" s="259"/>
      <c r="I58" s="259"/>
      <c r="J58" s="259"/>
      <c r="K58" s="259"/>
      <c r="L58" s="259"/>
      <c r="M58" s="260"/>
      <c r="N58" s="260"/>
      <c r="O58" s="260"/>
      <c r="P58" s="260"/>
      <c r="Q58" s="260"/>
      <c r="R58" s="260"/>
      <c r="S58" s="260"/>
      <c r="T58" s="260"/>
      <c r="U58" s="260"/>
      <c r="V58" s="260"/>
      <c r="W58" s="260"/>
      <c r="X58" s="261"/>
      <c r="Z58" s="252"/>
      <c r="AA58" s="253"/>
      <c r="AB58" s="253"/>
      <c r="AC58" s="253"/>
      <c r="AD58" s="253"/>
      <c r="AE58" s="253"/>
      <c r="AF58" s="253"/>
      <c r="AG58" s="253"/>
      <c r="AH58" s="253"/>
      <c r="AI58" s="253"/>
      <c r="AJ58" s="253"/>
      <c r="AK58" s="253"/>
      <c r="AL58" s="253"/>
      <c r="AM58" s="253"/>
      <c r="AN58" s="253"/>
      <c r="AO58" s="253"/>
      <c r="AP58" s="253"/>
      <c r="AQ58" s="253"/>
      <c r="AR58" s="253"/>
      <c r="AS58" s="253"/>
      <c r="AT58" s="254"/>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56">
        <f t="shared" si="17"/>
        <v>0</v>
      </c>
      <c r="BJ58" s="256">
        <f t="shared" si="18"/>
        <v>0</v>
      </c>
      <c r="BK58" s="256">
        <f t="shared" si="19"/>
        <v>0</v>
      </c>
      <c r="BL58" s="256">
        <f t="shared" si="20"/>
        <v>0</v>
      </c>
      <c r="BM58" s="256">
        <f t="shared" si="21"/>
        <v>0</v>
      </c>
      <c r="BN58" s="256">
        <f t="shared" si="22"/>
        <v>0</v>
      </c>
      <c r="BO58" s="256">
        <f t="shared" si="23"/>
        <v>0</v>
      </c>
      <c r="BP58" s="256">
        <f t="shared" si="24"/>
        <v>0</v>
      </c>
      <c r="BQ58" s="257">
        <f t="shared" si="25"/>
        <v>0</v>
      </c>
    </row>
    <row r="59" spans="1:69">
      <c r="B59" s="238"/>
      <c r="D59" s="258"/>
      <c r="E59" s="259"/>
      <c r="F59" s="259"/>
      <c r="G59" s="259"/>
      <c r="H59" s="259"/>
      <c r="I59" s="259"/>
      <c r="J59" s="259"/>
      <c r="K59" s="259"/>
      <c r="L59" s="259"/>
      <c r="M59" s="260"/>
      <c r="N59" s="260"/>
      <c r="O59" s="260"/>
      <c r="P59" s="260"/>
      <c r="Q59" s="260"/>
      <c r="R59" s="260"/>
      <c r="S59" s="260"/>
      <c r="T59" s="260"/>
      <c r="U59" s="260"/>
      <c r="V59" s="260"/>
      <c r="W59" s="260"/>
      <c r="X59" s="261"/>
      <c r="Z59" s="252"/>
      <c r="AA59" s="253"/>
      <c r="AB59" s="253"/>
      <c r="AC59" s="253"/>
      <c r="AD59" s="253"/>
      <c r="AE59" s="253"/>
      <c r="AF59" s="253"/>
      <c r="AG59" s="253"/>
      <c r="AH59" s="253"/>
      <c r="AI59" s="253"/>
      <c r="AJ59" s="253"/>
      <c r="AK59" s="253"/>
      <c r="AL59" s="253"/>
      <c r="AM59" s="253"/>
      <c r="AN59" s="253"/>
      <c r="AO59" s="253"/>
      <c r="AP59" s="253"/>
      <c r="AQ59" s="253"/>
      <c r="AR59" s="253"/>
      <c r="AS59" s="253"/>
      <c r="AT59" s="254"/>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56">
        <f t="shared" si="17"/>
        <v>0</v>
      </c>
      <c r="BJ59" s="256">
        <f t="shared" si="18"/>
        <v>0</v>
      </c>
      <c r="BK59" s="256">
        <f t="shared" si="19"/>
        <v>0</v>
      </c>
      <c r="BL59" s="256">
        <f t="shared" si="20"/>
        <v>0</v>
      </c>
      <c r="BM59" s="256">
        <f t="shared" si="21"/>
        <v>0</v>
      </c>
      <c r="BN59" s="256">
        <f t="shared" si="22"/>
        <v>0</v>
      </c>
      <c r="BO59" s="256">
        <f t="shared" si="23"/>
        <v>0</v>
      </c>
      <c r="BP59" s="256">
        <f t="shared" si="24"/>
        <v>0</v>
      </c>
      <c r="BQ59" s="257">
        <f t="shared" si="25"/>
        <v>0</v>
      </c>
    </row>
    <row r="60" spans="1:69">
      <c r="B60" s="238"/>
      <c r="D60" s="258"/>
      <c r="E60" s="259"/>
      <c r="F60" s="259"/>
      <c r="G60" s="259"/>
      <c r="H60" s="259"/>
      <c r="I60" s="259"/>
      <c r="J60" s="259"/>
      <c r="K60" s="259"/>
      <c r="L60" s="259"/>
      <c r="M60" s="260"/>
      <c r="N60" s="260"/>
      <c r="O60" s="260"/>
      <c r="P60" s="260"/>
      <c r="Q60" s="260"/>
      <c r="R60" s="260"/>
      <c r="S60" s="260"/>
      <c r="T60" s="260"/>
      <c r="U60" s="260"/>
      <c r="V60" s="260"/>
      <c r="W60" s="260"/>
      <c r="X60" s="261"/>
      <c r="Z60" s="252"/>
      <c r="AA60" s="253"/>
      <c r="AB60" s="253"/>
      <c r="AC60" s="253"/>
      <c r="AD60" s="253"/>
      <c r="AE60" s="253"/>
      <c r="AF60" s="253"/>
      <c r="AG60" s="253"/>
      <c r="AH60" s="253"/>
      <c r="AI60" s="253"/>
      <c r="AJ60" s="253"/>
      <c r="AK60" s="253"/>
      <c r="AL60" s="253"/>
      <c r="AM60" s="253"/>
      <c r="AN60" s="253"/>
      <c r="AO60" s="253"/>
      <c r="AP60" s="253"/>
      <c r="AQ60" s="253"/>
      <c r="AR60" s="253"/>
      <c r="AS60" s="253"/>
      <c r="AT60" s="254"/>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56">
        <f t="shared" si="17"/>
        <v>0</v>
      </c>
      <c r="BJ60" s="256">
        <f t="shared" si="18"/>
        <v>0</v>
      </c>
      <c r="BK60" s="256">
        <f t="shared" si="19"/>
        <v>0</v>
      </c>
      <c r="BL60" s="256">
        <f t="shared" si="20"/>
        <v>0</v>
      </c>
      <c r="BM60" s="256">
        <f t="shared" si="21"/>
        <v>0</v>
      </c>
      <c r="BN60" s="256">
        <f t="shared" si="22"/>
        <v>0</v>
      </c>
      <c r="BO60" s="256">
        <f t="shared" si="23"/>
        <v>0</v>
      </c>
      <c r="BP60" s="256">
        <f t="shared" si="24"/>
        <v>0</v>
      </c>
      <c r="BQ60" s="257">
        <f t="shared" si="25"/>
        <v>0</v>
      </c>
    </row>
    <row r="61" spans="1:69">
      <c r="B61" s="238"/>
      <c r="D61" s="258"/>
      <c r="E61" s="259"/>
      <c r="F61" s="259"/>
      <c r="G61" s="259"/>
      <c r="H61" s="259"/>
      <c r="I61" s="259"/>
      <c r="J61" s="259"/>
      <c r="K61" s="259"/>
      <c r="L61" s="259"/>
      <c r="M61" s="260"/>
      <c r="N61" s="260"/>
      <c r="O61" s="260"/>
      <c r="P61" s="260"/>
      <c r="Q61" s="260"/>
      <c r="R61" s="260"/>
      <c r="S61" s="260"/>
      <c r="T61" s="260"/>
      <c r="U61" s="260"/>
      <c r="V61" s="260"/>
      <c r="W61" s="260"/>
      <c r="X61" s="261"/>
      <c r="Z61" s="252"/>
      <c r="AA61" s="253"/>
      <c r="AB61" s="253"/>
      <c r="AC61" s="253"/>
      <c r="AD61" s="253"/>
      <c r="AE61" s="253"/>
      <c r="AF61" s="253"/>
      <c r="AG61" s="253"/>
      <c r="AH61" s="253"/>
      <c r="AI61" s="253"/>
      <c r="AJ61" s="253"/>
      <c r="AK61" s="253"/>
      <c r="AL61" s="253"/>
      <c r="AM61" s="253"/>
      <c r="AN61" s="253"/>
      <c r="AO61" s="253"/>
      <c r="AP61" s="253"/>
      <c r="AQ61" s="253"/>
      <c r="AR61" s="253"/>
      <c r="AS61" s="253"/>
      <c r="AT61" s="254"/>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56">
        <f t="shared" si="17"/>
        <v>0</v>
      </c>
      <c r="BJ61" s="256">
        <f t="shared" si="18"/>
        <v>0</v>
      </c>
      <c r="BK61" s="256">
        <f t="shared" si="19"/>
        <v>0</v>
      </c>
      <c r="BL61" s="256">
        <f t="shared" si="20"/>
        <v>0</v>
      </c>
      <c r="BM61" s="256">
        <f t="shared" si="21"/>
        <v>0</v>
      </c>
      <c r="BN61" s="256">
        <f t="shared" si="22"/>
        <v>0</v>
      </c>
      <c r="BO61" s="256">
        <f t="shared" si="23"/>
        <v>0</v>
      </c>
      <c r="BP61" s="256">
        <f t="shared" si="24"/>
        <v>0</v>
      </c>
      <c r="BQ61" s="257">
        <f t="shared" si="25"/>
        <v>0</v>
      </c>
    </row>
    <row r="62" spans="1:69">
      <c r="B62" s="238"/>
      <c r="D62" s="258"/>
      <c r="E62" s="259"/>
      <c r="F62" s="259"/>
      <c r="G62" s="259"/>
      <c r="H62" s="259"/>
      <c r="I62" s="259"/>
      <c r="J62" s="259"/>
      <c r="K62" s="259"/>
      <c r="L62" s="259"/>
      <c r="M62" s="260"/>
      <c r="N62" s="260"/>
      <c r="O62" s="260"/>
      <c r="P62" s="260"/>
      <c r="Q62" s="260"/>
      <c r="R62" s="260"/>
      <c r="S62" s="260"/>
      <c r="T62" s="260"/>
      <c r="U62" s="260"/>
      <c r="V62" s="260"/>
      <c r="W62" s="260"/>
      <c r="X62" s="261"/>
      <c r="Z62" s="252"/>
      <c r="AA62" s="253"/>
      <c r="AB62" s="253"/>
      <c r="AC62" s="253"/>
      <c r="AD62" s="253"/>
      <c r="AE62" s="253"/>
      <c r="AF62" s="253"/>
      <c r="AG62" s="253"/>
      <c r="AH62" s="253"/>
      <c r="AI62" s="253"/>
      <c r="AJ62" s="253"/>
      <c r="AK62" s="253"/>
      <c r="AL62" s="253"/>
      <c r="AM62" s="253"/>
      <c r="AN62" s="253"/>
      <c r="AO62" s="253"/>
      <c r="AP62" s="253"/>
      <c r="AQ62" s="253"/>
      <c r="AR62" s="253"/>
      <c r="AS62" s="253"/>
      <c r="AT62" s="254"/>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56">
        <f t="shared" si="17"/>
        <v>0</v>
      </c>
      <c r="BJ62" s="256">
        <f t="shared" si="18"/>
        <v>0</v>
      </c>
      <c r="BK62" s="256">
        <f t="shared" si="19"/>
        <v>0</v>
      </c>
      <c r="BL62" s="256">
        <f t="shared" si="20"/>
        <v>0</v>
      </c>
      <c r="BM62" s="256">
        <f t="shared" si="21"/>
        <v>0</v>
      </c>
      <c r="BN62" s="256">
        <f t="shared" si="22"/>
        <v>0</v>
      </c>
      <c r="BO62" s="256">
        <f t="shared" si="23"/>
        <v>0</v>
      </c>
      <c r="BP62" s="256">
        <f t="shared" si="24"/>
        <v>0</v>
      </c>
      <c r="BQ62" s="257">
        <f t="shared" si="25"/>
        <v>0</v>
      </c>
    </row>
    <row r="63" spans="1:69">
      <c r="B63" s="238"/>
      <c r="D63" s="258"/>
      <c r="E63" s="259"/>
      <c r="F63" s="259"/>
      <c r="G63" s="259"/>
      <c r="H63" s="259"/>
      <c r="I63" s="259"/>
      <c r="J63" s="259"/>
      <c r="K63" s="259"/>
      <c r="L63" s="259"/>
      <c r="M63" s="260"/>
      <c r="N63" s="260"/>
      <c r="O63" s="260"/>
      <c r="P63" s="260"/>
      <c r="Q63" s="260"/>
      <c r="R63" s="260"/>
      <c r="S63" s="260"/>
      <c r="T63" s="260"/>
      <c r="U63" s="260"/>
      <c r="V63" s="260"/>
      <c r="W63" s="260"/>
      <c r="X63" s="261"/>
      <c r="Z63" s="252"/>
      <c r="AA63" s="253"/>
      <c r="AB63" s="253"/>
      <c r="AC63" s="253"/>
      <c r="AD63" s="253"/>
      <c r="AE63" s="253"/>
      <c r="AF63" s="253"/>
      <c r="AG63" s="253"/>
      <c r="AH63" s="253"/>
      <c r="AI63" s="253"/>
      <c r="AJ63" s="253"/>
      <c r="AK63" s="253"/>
      <c r="AL63" s="253"/>
      <c r="AM63" s="253"/>
      <c r="AN63" s="253"/>
      <c r="AO63" s="253"/>
      <c r="AP63" s="253"/>
      <c r="AQ63" s="253"/>
      <c r="AR63" s="253"/>
      <c r="AS63" s="253"/>
      <c r="AT63" s="254"/>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56">
        <f t="shared" si="17"/>
        <v>0</v>
      </c>
      <c r="BJ63" s="256">
        <f t="shared" si="18"/>
        <v>0</v>
      </c>
      <c r="BK63" s="256">
        <f t="shared" si="19"/>
        <v>0</v>
      </c>
      <c r="BL63" s="256">
        <f t="shared" si="20"/>
        <v>0</v>
      </c>
      <c r="BM63" s="256">
        <f t="shared" si="21"/>
        <v>0</v>
      </c>
      <c r="BN63" s="256">
        <f t="shared" si="22"/>
        <v>0</v>
      </c>
      <c r="BO63" s="256">
        <f t="shared" si="23"/>
        <v>0</v>
      </c>
      <c r="BP63" s="256">
        <f t="shared" si="24"/>
        <v>0</v>
      </c>
      <c r="BQ63" s="257">
        <f t="shared" si="25"/>
        <v>0</v>
      </c>
    </row>
    <row r="64" spans="1:69">
      <c r="B64" s="238"/>
      <c r="D64" s="258"/>
      <c r="E64" s="259"/>
      <c r="F64" s="259"/>
      <c r="G64" s="259"/>
      <c r="H64" s="259"/>
      <c r="I64" s="259"/>
      <c r="J64" s="259"/>
      <c r="K64" s="259"/>
      <c r="L64" s="259"/>
      <c r="M64" s="260"/>
      <c r="N64" s="260"/>
      <c r="O64" s="260"/>
      <c r="P64" s="260"/>
      <c r="Q64" s="260"/>
      <c r="R64" s="260"/>
      <c r="S64" s="260"/>
      <c r="T64" s="260"/>
      <c r="U64" s="260"/>
      <c r="V64" s="260"/>
      <c r="W64" s="260"/>
      <c r="X64" s="261"/>
      <c r="Z64" s="252"/>
      <c r="AA64" s="253"/>
      <c r="AB64" s="253"/>
      <c r="AC64" s="253"/>
      <c r="AD64" s="253"/>
      <c r="AE64" s="253"/>
      <c r="AF64" s="253"/>
      <c r="AG64" s="253"/>
      <c r="AH64" s="253"/>
      <c r="AI64" s="253"/>
      <c r="AJ64" s="253"/>
      <c r="AK64" s="253"/>
      <c r="AL64" s="253"/>
      <c r="AM64" s="253"/>
      <c r="AN64" s="253"/>
      <c r="AO64" s="253"/>
      <c r="AP64" s="253"/>
      <c r="AQ64" s="253"/>
      <c r="AR64" s="253"/>
      <c r="AS64" s="253"/>
      <c r="AT64" s="254"/>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56">
        <f t="shared" si="17"/>
        <v>0</v>
      </c>
      <c r="BJ64" s="256">
        <f t="shared" si="18"/>
        <v>0</v>
      </c>
      <c r="BK64" s="256">
        <f t="shared" si="19"/>
        <v>0</v>
      </c>
      <c r="BL64" s="256">
        <f t="shared" si="20"/>
        <v>0</v>
      </c>
      <c r="BM64" s="256">
        <f t="shared" si="21"/>
        <v>0</v>
      </c>
      <c r="BN64" s="256">
        <f t="shared" si="22"/>
        <v>0</v>
      </c>
      <c r="BO64" s="256">
        <f t="shared" si="23"/>
        <v>0</v>
      </c>
      <c r="BP64" s="256">
        <f t="shared" si="24"/>
        <v>0</v>
      </c>
      <c r="BQ64" s="257">
        <f t="shared" si="25"/>
        <v>0</v>
      </c>
    </row>
    <row r="65" spans="2:69" ht="13.5" thickBot="1">
      <c r="B65" s="262"/>
      <c r="D65" s="263"/>
      <c r="E65" s="264"/>
      <c r="F65" s="264"/>
      <c r="G65" s="264"/>
      <c r="H65" s="264"/>
      <c r="I65" s="264"/>
      <c r="J65" s="264"/>
      <c r="K65" s="264"/>
      <c r="L65" s="264"/>
      <c r="M65" s="265"/>
      <c r="N65" s="265"/>
      <c r="O65" s="265"/>
      <c r="P65" s="265"/>
      <c r="Q65" s="265"/>
      <c r="R65" s="265"/>
      <c r="S65" s="265"/>
      <c r="T65" s="265"/>
      <c r="U65" s="265"/>
      <c r="V65" s="265"/>
      <c r="W65" s="265"/>
      <c r="X65" s="266"/>
      <c r="Z65" s="267"/>
      <c r="AA65" s="268"/>
      <c r="AB65" s="268"/>
      <c r="AC65" s="268"/>
      <c r="AD65" s="268"/>
      <c r="AE65" s="268"/>
      <c r="AF65" s="268"/>
      <c r="AG65" s="268"/>
      <c r="AH65" s="268"/>
      <c r="AI65" s="268"/>
      <c r="AJ65" s="268"/>
      <c r="AK65" s="268"/>
      <c r="AL65" s="268"/>
      <c r="AM65" s="268"/>
      <c r="AN65" s="268"/>
      <c r="AO65" s="268"/>
      <c r="AP65" s="268"/>
      <c r="AQ65" s="268"/>
      <c r="AR65" s="268"/>
      <c r="AS65" s="268"/>
      <c r="AT65" s="269"/>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2">
        <f t="shared" si="17"/>
        <v>0</v>
      </c>
      <c r="BJ65" s="272">
        <f t="shared" si="18"/>
        <v>0</v>
      </c>
      <c r="BK65" s="272">
        <f t="shared" si="19"/>
        <v>0</v>
      </c>
      <c r="BL65" s="272">
        <f t="shared" si="20"/>
        <v>0</v>
      </c>
      <c r="BM65" s="272">
        <f t="shared" si="21"/>
        <v>0</v>
      </c>
      <c r="BN65" s="272">
        <f t="shared" si="22"/>
        <v>0</v>
      </c>
      <c r="BO65" s="272">
        <f t="shared" si="23"/>
        <v>0</v>
      </c>
      <c r="BP65" s="272">
        <f t="shared" si="24"/>
        <v>0</v>
      </c>
      <c r="BQ65" s="273">
        <f t="shared" si="25"/>
        <v>0</v>
      </c>
    </row>
    <row r="66" spans="2:69" ht="13.5" thickBot="1">
      <c r="B66" s="274"/>
      <c r="Z66" s="275">
        <f t="shared" ref="Z66:AT66" si="26">SUM(Z6:Z65)</f>
        <v>368550.34558332036</v>
      </c>
      <c r="AA66" s="275">
        <f t="shared" si="26"/>
        <v>1244483437.8493891</v>
      </c>
      <c r="AB66" s="275">
        <f t="shared" si="26"/>
        <v>2740958991.6475348</v>
      </c>
      <c r="AC66" s="275">
        <f t="shared" si="26"/>
        <v>0</v>
      </c>
      <c r="AD66" s="275">
        <f t="shared" si="26"/>
        <v>0</v>
      </c>
      <c r="AE66" s="275">
        <f t="shared" si="26"/>
        <v>1956695128.5518415</v>
      </c>
      <c r="AF66" s="275">
        <f t="shared" si="26"/>
        <v>0</v>
      </c>
      <c r="AG66" s="275">
        <f t="shared" si="26"/>
        <v>0</v>
      </c>
      <c r="AH66" s="275">
        <f t="shared" si="26"/>
        <v>0</v>
      </c>
      <c r="AI66" s="275">
        <f t="shared" si="26"/>
        <v>939061.70552138926</v>
      </c>
      <c r="AJ66" s="275">
        <f t="shared" si="26"/>
        <v>0</v>
      </c>
      <c r="AK66" s="275">
        <f t="shared" si="26"/>
        <v>1360472.2403140869</v>
      </c>
      <c r="AL66" s="275">
        <f t="shared" si="26"/>
        <v>2472819.2763172057</v>
      </c>
      <c r="AM66" s="275">
        <f t="shared" si="26"/>
        <v>2561577.0566649861</v>
      </c>
      <c r="AN66" s="275">
        <f t="shared" si="26"/>
        <v>1988132.8412516403</v>
      </c>
      <c r="AO66" s="275">
        <f t="shared" si="26"/>
        <v>3401802.0376610756</v>
      </c>
      <c r="AP66" s="275">
        <f t="shared" si="26"/>
        <v>0</v>
      </c>
      <c r="AQ66" s="275">
        <f t="shared" si="26"/>
        <v>2882858.6404943541</v>
      </c>
      <c r="AR66" s="275">
        <f t="shared" si="26"/>
        <v>2616987.3876726385</v>
      </c>
      <c r="AS66" s="275">
        <f t="shared" si="26"/>
        <v>3856908.071788949</v>
      </c>
      <c r="AT66" s="275">
        <f t="shared" si="26"/>
        <v>0</v>
      </c>
      <c r="AV66" s="276">
        <f t="shared" ref="AV66:BQ66" si="27">SUM(AV6:AV65)</f>
        <v>0</v>
      </c>
      <c r="AW66" s="275">
        <f t="shared" si="27"/>
        <v>530239.02725043998</v>
      </c>
      <c r="AX66" s="275">
        <f t="shared" si="27"/>
        <v>956240.91072350624</v>
      </c>
      <c r="AY66" s="275">
        <f t="shared" si="27"/>
        <v>0</v>
      </c>
      <c r="AZ66" s="275">
        <f t="shared" si="27"/>
        <v>0</v>
      </c>
      <c r="BA66" s="275">
        <f t="shared" si="27"/>
        <v>655203.26377661899</v>
      </c>
      <c r="BB66" s="275">
        <f t="shared" si="27"/>
        <v>0</v>
      </c>
      <c r="BC66" s="275">
        <f t="shared" si="27"/>
        <v>0</v>
      </c>
      <c r="BD66" s="275">
        <f t="shared" si="27"/>
        <v>0</v>
      </c>
      <c r="BE66" s="275">
        <f t="shared" si="27"/>
        <v>0</v>
      </c>
      <c r="BF66" s="275">
        <f t="shared" si="27"/>
        <v>0</v>
      </c>
      <c r="BG66" s="275">
        <f t="shared" si="27"/>
        <v>0</v>
      </c>
      <c r="BH66" s="275">
        <f t="shared" si="27"/>
        <v>0</v>
      </c>
      <c r="BI66" s="275">
        <f t="shared" si="27"/>
        <v>1215.5228855463006</v>
      </c>
      <c r="BJ66" s="275">
        <f t="shared" si="27"/>
        <v>883.6423624544957</v>
      </c>
      <c r="BK66" s="275">
        <f t="shared" si="27"/>
        <v>1558.9384502790645</v>
      </c>
      <c r="BL66" s="275">
        <f t="shared" si="27"/>
        <v>0</v>
      </c>
      <c r="BM66" s="275">
        <f t="shared" si="27"/>
        <v>1344.0355190780479</v>
      </c>
      <c r="BN66" s="275">
        <f t="shared" si="27"/>
        <v>1135.184181022895</v>
      </c>
      <c r="BO66" s="275">
        <f t="shared" si="27"/>
        <v>1740.9808639302137</v>
      </c>
      <c r="BP66" s="275">
        <f t="shared" si="27"/>
        <v>0</v>
      </c>
      <c r="BQ66" s="275">
        <f t="shared" si="27"/>
        <v>2149561.5060128765</v>
      </c>
    </row>
    <row r="67" spans="2:69" ht="13.5" thickTop="1">
      <c r="B67" s="274"/>
    </row>
    <row r="68" spans="2:69">
      <c r="B68" s="274"/>
      <c r="BQ68" s="324"/>
    </row>
    <row r="69" spans="2:69">
      <c r="B69" s="274"/>
      <c r="BQ69" s="324"/>
    </row>
    <row r="70" spans="2:69">
      <c r="B70" s="274"/>
    </row>
    <row r="71" spans="2:69">
      <c r="B71" s="274"/>
    </row>
    <row r="72" spans="2:69">
      <c r="B72" s="274"/>
    </row>
    <row r="73" spans="2:69">
      <c r="B73" s="274"/>
    </row>
    <row r="74" spans="2:69">
      <c r="B74" s="274"/>
    </row>
    <row r="75" spans="2:69">
      <c r="B75" s="274"/>
    </row>
    <row r="76" spans="2:69">
      <c r="B76" s="274"/>
    </row>
    <row r="77" spans="2:69">
      <c r="B77" s="274"/>
    </row>
    <row r="78" spans="2:69">
      <c r="B78" s="274"/>
    </row>
    <row r="79" spans="2:69">
      <c r="B79" s="274"/>
    </row>
    <row r="80" spans="2:69">
      <c r="B80" s="274"/>
    </row>
    <row r="81" spans="2:2">
      <c r="B81" s="274"/>
    </row>
    <row r="82" spans="2:2">
      <c r="B82" s="274"/>
    </row>
    <row r="83" spans="2:2">
      <c r="B83" s="274"/>
    </row>
    <row r="84" spans="2:2">
      <c r="B84" s="274"/>
    </row>
    <row r="85" spans="2:2">
      <c r="B85" s="274"/>
    </row>
    <row r="86" spans="2:2">
      <c r="B86" s="274"/>
    </row>
    <row r="87" spans="2:2">
      <c r="B87" s="274"/>
    </row>
    <row r="88" spans="2:2">
      <c r="B88" s="274"/>
    </row>
    <row r="89" spans="2:2">
      <c r="B89" s="274"/>
    </row>
    <row r="90" spans="2:2">
      <c r="B90" s="274"/>
    </row>
    <row r="91" spans="2:2">
      <c r="B91" s="274"/>
    </row>
    <row r="92" spans="2:2">
      <c r="B92" s="274"/>
    </row>
    <row r="93" spans="2:2">
      <c r="B93" s="274"/>
    </row>
    <row r="94" spans="2:2">
      <c r="B94" s="274"/>
    </row>
    <row r="95" spans="2:2">
      <c r="B95" s="274"/>
    </row>
    <row r="96" spans="2:2">
      <c r="B96" s="274"/>
    </row>
    <row r="97" spans="2:2">
      <c r="B97" s="274"/>
    </row>
    <row r="98" spans="2:2">
      <c r="B98" s="274"/>
    </row>
    <row r="99" spans="2:2">
      <c r="B99" s="274"/>
    </row>
    <row r="100" spans="2:2">
      <c r="B100" s="274"/>
    </row>
    <row r="101" spans="2:2">
      <c r="B101" s="274"/>
    </row>
    <row r="102" spans="2:2">
      <c r="B102" s="274"/>
    </row>
    <row r="103" spans="2:2">
      <c r="B103" s="274"/>
    </row>
    <row r="104" spans="2:2">
      <c r="B104" s="274"/>
    </row>
    <row r="105" spans="2:2">
      <c r="B105" s="27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S12" sqref="S12"/>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336</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337</v>
      </c>
      <c r="C8" s="46"/>
      <c r="D8" s="47"/>
      <c r="E8" s="47"/>
      <c r="M8" s="78"/>
      <c r="N8" s="78"/>
      <c r="O8" s="78"/>
      <c r="P8" s="78"/>
      <c r="Q8" s="78"/>
      <c r="R8" s="78"/>
    </row>
    <row r="9" spans="1:24" ht="18" customHeight="1">
      <c r="A9" s="43"/>
      <c r="B9" s="48" t="s">
        <v>338</v>
      </c>
      <c r="C9" s="73">
        <f>Prop2018JSTar!BQ66</f>
        <v>2177072.3083244399</v>
      </c>
      <c r="D9" s="47"/>
      <c r="E9" s="36"/>
      <c r="I9" s="35"/>
      <c r="J9" s="35"/>
      <c r="M9" s="78"/>
      <c r="N9" s="78"/>
      <c r="O9" s="78"/>
      <c r="P9" s="78"/>
      <c r="Q9" s="78"/>
      <c r="R9" s="78"/>
    </row>
    <row r="10" spans="1:24" ht="18" customHeight="1">
      <c r="A10" s="43"/>
      <c r="B10" s="85" t="s">
        <v>339</v>
      </c>
      <c r="C10" s="86">
        <f>C17</f>
        <v>2177072.3083244399</v>
      </c>
      <c r="D10" s="49"/>
      <c r="E10" s="149"/>
      <c r="I10" s="35"/>
      <c r="J10" s="35"/>
      <c r="M10" s="78"/>
      <c r="N10" s="78"/>
      <c r="O10" s="78"/>
      <c r="P10" s="78"/>
      <c r="Q10" s="78"/>
      <c r="R10" s="78"/>
    </row>
    <row r="11" spans="1:24" ht="18" customHeight="1">
      <c r="A11" s="43"/>
      <c r="B11" s="87"/>
      <c r="C11" s="89" t="str">
        <f>IF(C9="","",IF(C10&gt;=C9,"JSA REVENUE FORMULA COMPLIANT","JSA REVENUE FORMULA BREACHED"))</f>
        <v>JSA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342</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343</v>
      </c>
      <c r="C14" s="64">
        <f>C22</f>
        <v>2026830.31806061</v>
      </c>
      <c r="D14" s="50"/>
      <c r="E14" s="75"/>
      <c r="F14" s="76"/>
      <c r="G14" s="76"/>
      <c r="H14" s="76"/>
      <c r="I14" s="76"/>
      <c r="J14" s="76"/>
      <c r="K14" s="76"/>
      <c r="L14" s="76"/>
      <c r="M14" s="78"/>
      <c r="N14" s="78"/>
      <c r="O14" s="78"/>
      <c r="P14" s="78"/>
      <c r="Q14" s="78"/>
      <c r="R14" s="78"/>
      <c r="V14" s="51"/>
      <c r="W14" s="51"/>
      <c r="X14" s="51"/>
    </row>
    <row r="15" spans="1:24" ht="18" customHeight="1">
      <c r="A15" s="43"/>
      <c r="B15" s="54" t="s">
        <v>340</v>
      </c>
      <c r="C15" s="64">
        <f>E45</f>
        <v>150241.99026382994</v>
      </c>
      <c r="D15" s="50"/>
      <c r="E15" s="75"/>
      <c r="F15" s="76"/>
      <c r="G15" s="76"/>
      <c r="H15" s="76"/>
      <c r="I15" s="76"/>
      <c r="J15" s="76"/>
      <c r="K15" s="76"/>
      <c r="L15" s="76"/>
      <c r="M15" s="78"/>
      <c r="N15" s="78"/>
      <c r="O15" s="78"/>
      <c r="P15" s="78"/>
      <c r="Q15" s="78"/>
      <c r="R15" s="78"/>
      <c r="V15" s="51"/>
      <c r="W15" s="51"/>
      <c r="X15" s="51"/>
    </row>
    <row r="16" spans="1:24" ht="18" customHeight="1">
      <c r="A16" s="43"/>
      <c r="B16" s="54" t="s">
        <v>341</v>
      </c>
      <c r="C16" s="721"/>
      <c r="D16" s="50"/>
      <c r="E16" s="75"/>
      <c r="F16" s="76"/>
      <c r="G16" s="76"/>
      <c r="H16" s="76"/>
      <c r="I16" s="76"/>
      <c r="J16" s="76"/>
      <c r="K16" s="76"/>
      <c r="L16" s="76"/>
      <c r="M16" s="78"/>
      <c r="N16" s="78"/>
      <c r="O16" s="78"/>
      <c r="P16" s="78"/>
      <c r="Q16" s="78"/>
      <c r="R16" s="78"/>
      <c r="V16" s="51"/>
      <c r="W16" s="51"/>
      <c r="X16" s="51"/>
    </row>
    <row r="17" spans="1:24" ht="18" customHeight="1">
      <c r="A17" s="43"/>
      <c r="B17" s="48" t="s">
        <v>339</v>
      </c>
      <c r="C17" s="65">
        <f>SUM(C14:C16)</f>
        <v>2177072.3083244399</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344</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326</v>
      </c>
      <c r="C20" s="671">
        <v>2026830.31806061</v>
      </c>
      <c r="D20" s="50"/>
      <c r="E20" s="75"/>
      <c r="F20" s="76"/>
      <c r="G20" s="76"/>
      <c r="H20" s="76"/>
      <c r="I20" s="76"/>
      <c r="J20" s="76"/>
      <c r="K20" s="76"/>
      <c r="L20" s="76"/>
      <c r="M20" s="78"/>
      <c r="N20" s="78"/>
      <c r="O20" s="78"/>
      <c r="P20" s="78"/>
      <c r="Q20" s="78"/>
      <c r="R20" s="78"/>
      <c r="V20" s="51"/>
      <c r="W20" s="51"/>
      <c r="X20" s="51"/>
    </row>
    <row r="21" spans="1:24" ht="18" customHeight="1">
      <c r="A21" s="43"/>
      <c r="B21" s="54" t="s">
        <v>327</v>
      </c>
      <c r="C21" s="671">
        <v>0</v>
      </c>
      <c r="D21" s="50"/>
      <c r="E21" s="75"/>
      <c r="F21" s="76"/>
      <c r="G21" s="76"/>
      <c r="H21" s="76"/>
      <c r="I21" s="76"/>
      <c r="J21" s="76"/>
      <c r="K21" s="76"/>
      <c r="L21" s="76"/>
      <c r="M21" s="78"/>
      <c r="N21" s="78"/>
      <c r="O21" s="78"/>
      <c r="P21" s="78"/>
      <c r="Q21" s="78"/>
      <c r="R21" s="78"/>
      <c r="V21" s="51"/>
      <c r="W21" s="51"/>
      <c r="X21" s="51"/>
    </row>
    <row r="22" spans="1:24" ht="18" customHeight="1">
      <c r="A22" s="43"/>
      <c r="B22" s="48" t="s">
        <v>345</v>
      </c>
      <c r="C22" s="65">
        <f>SUM(C20:C21)</f>
        <v>2026830.31806061</v>
      </c>
      <c r="D22" s="50"/>
      <c r="E22" s="75"/>
      <c r="F22" s="76"/>
      <c r="G22" s="76"/>
      <c r="H22" s="76"/>
      <c r="I22" s="76"/>
      <c r="J22" s="76"/>
      <c r="K22" s="76"/>
      <c r="L22" s="76"/>
      <c r="M22" s="78"/>
      <c r="N22" s="78"/>
      <c r="O22" s="78"/>
      <c r="P22" s="78"/>
      <c r="Q22" s="78"/>
      <c r="R22" s="78"/>
      <c r="V22" s="51"/>
      <c r="W22" s="51"/>
      <c r="X22" s="51"/>
    </row>
    <row r="23" spans="1:24" ht="18" customHeight="1">
      <c r="A23" s="43"/>
      <c r="B23" s="57"/>
      <c r="C23" s="68"/>
      <c r="D23" s="50"/>
      <c r="E23" s="75"/>
      <c r="F23" s="76"/>
      <c r="G23" s="76"/>
      <c r="H23" s="76"/>
      <c r="I23" s="76"/>
      <c r="J23" s="76"/>
      <c r="K23" s="76"/>
      <c r="L23" s="76"/>
      <c r="M23" s="78"/>
      <c r="N23" s="78"/>
      <c r="O23" s="78"/>
      <c r="P23" s="78"/>
      <c r="Q23" s="78"/>
      <c r="R23" s="78"/>
      <c r="V23" s="51"/>
      <c r="W23" s="51"/>
      <c r="X23" s="51"/>
    </row>
    <row r="27" spans="1:24" ht="15.75">
      <c r="B27" s="108" t="s">
        <v>346</v>
      </c>
    </row>
    <row r="28" spans="1:24" ht="15">
      <c r="B28" s="100"/>
      <c r="C28" s="113" t="s">
        <v>275</v>
      </c>
      <c r="D28" s="113" t="s">
        <v>582</v>
      </c>
      <c r="E28" s="113" t="s">
        <v>35</v>
      </c>
    </row>
    <row r="29" spans="1:24" ht="15">
      <c r="B29" s="101"/>
      <c r="C29" s="114" t="s">
        <v>34</v>
      </c>
      <c r="D29" s="114" t="s">
        <v>451</v>
      </c>
      <c r="E29" s="114" t="s">
        <v>36</v>
      </c>
    </row>
    <row r="30" spans="1:24" ht="15">
      <c r="B30" s="101"/>
      <c r="C30" s="115">
        <f>D30-1</f>
        <v>2016</v>
      </c>
      <c r="D30" s="115">
        <f>E30-1</f>
        <v>2017</v>
      </c>
      <c r="E30" s="115">
        <f>C$6</f>
        <v>2018</v>
      </c>
    </row>
    <row r="31" spans="1:24">
      <c r="B31" s="101"/>
      <c r="C31" s="98"/>
      <c r="D31" s="98"/>
      <c r="E31" s="111"/>
    </row>
    <row r="32" spans="1:24" ht="15">
      <c r="B32" s="616" t="s">
        <v>347</v>
      </c>
      <c r="C32" s="97">
        <v>2693533.6900000004</v>
      </c>
      <c r="D32" s="608">
        <f>Est2017JSRev!BQ66</f>
        <v>2149561.5060128765</v>
      </c>
      <c r="E32" s="608">
        <f>C9</f>
        <v>2177072.3083244399</v>
      </c>
      <c r="F32"/>
      <c r="J32"/>
    </row>
    <row r="33" spans="2:5">
      <c r="B33" s="391"/>
      <c r="C33" s="98"/>
      <c r="D33" s="98"/>
      <c r="E33" s="110"/>
    </row>
    <row r="34" spans="2:5">
      <c r="B34" s="102"/>
      <c r="C34" s="98"/>
      <c r="D34" s="98"/>
      <c r="E34" s="110"/>
    </row>
    <row r="35" spans="2:5" ht="15">
      <c r="B35" s="103" t="s">
        <v>348</v>
      </c>
      <c r="C35" s="96">
        <f>SUM(C37:C39)</f>
        <v>2579578.3653929732</v>
      </c>
      <c r="D35" s="96">
        <f>SUM(D37:D39)</f>
        <v>2435731.1318161292</v>
      </c>
      <c r="E35" s="96">
        <f>SUM(E37:E39)</f>
        <v>2026830.31806061</v>
      </c>
    </row>
    <row r="36" spans="2:5" ht="15">
      <c r="B36" s="103"/>
      <c r="C36" s="96"/>
      <c r="D36" s="96"/>
      <c r="E36" s="96"/>
    </row>
    <row r="37" spans="2:5">
      <c r="B37" s="104" t="s">
        <v>349</v>
      </c>
      <c r="C37" s="99">
        <v>-216168.364607027</v>
      </c>
      <c r="D37" s="99">
        <v>299480.97093728953</v>
      </c>
      <c r="E37" s="110">
        <f>C16</f>
        <v>0</v>
      </c>
    </row>
    <row r="38" spans="2:5">
      <c r="B38" s="104"/>
      <c r="C38" s="148"/>
      <c r="D38" s="148"/>
      <c r="E38" s="622"/>
    </row>
    <row r="39" spans="2:5">
      <c r="B39" s="104" t="s">
        <v>350</v>
      </c>
      <c r="C39" s="95">
        <f>SUM(C40:C41)</f>
        <v>2795746.73</v>
      </c>
      <c r="D39" s="95">
        <f>SUM(D40:D41)</f>
        <v>2136250.1608788399</v>
      </c>
      <c r="E39" s="95">
        <f>SUM(E40:E41)</f>
        <v>2026830.31806061</v>
      </c>
    </row>
    <row r="40" spans="2:5">
      <c r="B40" s="105" t="s">
        <v>351</v>
      </c>
      <c r="C40" s="148">
        <f>'JS cost audit template'!F4</f>
        <v>2227581.79</v>
      </c>
      <c r="D40" s="667">
        <v>2136250.1608788399</v>
      </c>
      <c r="E40" s="146">
        <f>C20</f>
        <v>2026830.31806061</v>
      </c>
    </row>
    <row r="41" spans="2:5">
      <c r="B41" s="105" t="s">
        <v>352</v>
      </c>
      <c r="C41" s="623">
        <f>'JS cost audit template'!F5</f>
        <v>568164.93999999994</v>
      </c>
      <c r="D41" s="668">
        <v>0</v>
      </c>
      <c r="E41" s="121">
        <f>C21</f>
        <v>0</v>
      </c>
    </row>
    <row r="42" spans="2:5" ht="15">
      <c r="B42" s="106"/>
      <c r="C42" s="98"/>
      <c r="D42" s="98"/>
      <c r="E42" s="110"/>
    </row>
    <row r="43" spans="2:5">
      <c r="B43" s="104"/>
      <c r="C43" s="148"/>
      <c r="D43" s="148"/>
      <c r="E43" s="112"/>
    </row>
    <row r="44" spans="2:5">
      <c r="B44" s="107"/>
      <c r="C44" s="98"/>
      <c r="D44" s="98"/>
      <c r="E44" s="110"/>
    </row>
    <row r="45" spans="2:5" ht="15">
      <c r="B45" s="617" t="s">
        <v>45</v>
      </c>
      <c r="C45" s="96">
        <f>C32-C35</f>
        <v>113955.32460702723</v>
      </c>
      <c r="D45" s="96">
        <f>D32-D35</f>
        <v>-286169.62580325268</v>
      </c>
      <c r="E45" s="96">
        <f>E32-E35</f>
        <v>150241.99026382994</v>
      </c>
    </row>
    <row r="46" spans="2:5">
      <c r="B46" s="40"/>
      <c r="D46" s="34"/>
    </row>
    <row r="47" spans="2:5">
      <c r="B47" s="40"/>
      <c r="D47" s="34"/>
    </row>
    <row r="48" spans="2:5">
      <c r="B48" s="40"/>
      <c r="D48" s="34"/>
    </row>
    <row r="49" spans="2:6" ht="15.75">
      <c r="B49" s="108" t="s">
        <v>353</v>
      </c>
      <c r="D49" s="34"/>
    </row>
    <row r="50" spans="2:6" ht="15">
      <c r="B50" s="618"/>
      <c r="C50" s="113" t="s">
        <v>275</v>
      </c>
      <c r="D50" s="113" t="s">
        <v>582</v>
      </c>
      <c r="E50" s="113" t="s">
        <v>35</v>
      </c>
    </row>
    <row r="51" spans="2:6" ht="15">
      <c r="B51" s="107"/>
      <c r="C51" s="114" t="s">
        <v>34</v>
      </c>
      <c r="D51" s="114" t="s">
        <v>451</v>
      </c>
      <c r="E51" s="114" t="s">
        <v>36</v>
      </c>
    </row>
    <row r="52" spans="2:6" ht="15">
      <c r="B52" s="619" t="s">
        <v>277</v>
      </c>
      <c r="C52" s="115">
        <f>D52-1</f>
        <v>2016</v>
      </c>
      <c r="D52" s="115">
        <f>E52-1</f>
        <v>2017</v>
      </c>
      <c r="E52" s="115">
        <f>C$6</f>
        <v>2018</v>
      </c>
    </row>
    <row r="53" spans="2:6">
      <c r="B53" s="107"/>
      <c r="C53" s="109"/>
      <c r="D53" s="109"/>
      <c r="E53" s="111"/>
    </row>
    <row r="54" spans="2:6">
      <c r="B54" s="107" t="s">
        <v>585</v>
      </c>
      <c r="C54" s="609">
        <f>(1+'Model update'!$B$47)*(1+'Model update'!$C$28)-1</f>
        <v>5.2561174728540827E-2</v>
      </c>
      <c r="D54" s="109">
        <f>(1+'Model update'!$B$45)*(1+'Model update'!$C$29)-1</f>
        <v>4.7000045598383666E-2</v>
      </c>
      <c r="E54" s="610">
        <f>(1+'Model update'!$B$43)*(1+'Model update'!$C$30)-1</f>
        <v>5.5929028441763728E-2</v>
      </c>
    </row>
    <row r="55" spans="2:6">
      <c r="B55" s="107"/>
      <c r="C55" s="98"/>
      <c r="D55" s="98"/>
      <c r="E55" s="111"/>
    </row>
    <row r="56" spans="2:6">
      <c r="B56" s="107" t="s">
        <v>47</v>
      </c>
      <c r="C56" s="99">
        <v>0</v>
      </c>
      <c r="D56" s="110">
        <f>C60</f>
        <v>116911.78619109535</v>
      </c>
      <c r="E56" s="110">
        <f>D60</f>
        <v>-170410.75844785283</v>
      </c>
    </row>
    <row r="57" spans="2:6">
      <c r="B57" s="107" t="s">
        <v>584</v>
      </c>
      <c r="C57" s="148">
        <f>C56*C54</f>
        <v>0</v>
      </c>
      <c r="D57" s="148">
        <f>D56*D54</f>
        <v>5494.8592819699634</v>
      </c>
      <c r="E57" s="148">
        <f>E56*E54</f>
        <v>-9530.9081560124887</v>
      </c>
    </row>
    <row r="58" spans="2:6">
      <c r="B58" s="107" t="s">
        <v>48</v>
      </c>
      <c r="C58" s="110">
        <f>C45</f>
        <v>113955.32460702723</v>
      </c>
      <c r="D58" s="110">
        <f>D45</f>
        <v>-286169.62580325268</v>
      </c>
      <c r="E58" s="110">
        <f>E45</f>
        <v>150241.99026382994</v>
      </c>
    </row>
    <row r="59" spans="2:6">
      <c r="B59" s="107" t="s">
        <v>468</v>
      </c>
      <c r="C59" s="148">
        <f>C58*((1+C54)^0.5-1)</f>
        <v>2956.4615840681231</v>
      </c>
      <c r="D59" s="148">
        <f>D58*((1+D54)^0.5-1)</f>
        <v>-6647.7781176654807</v>
      </c>
      <c r="E59" s="148">
        <f>E58*((1+E54)^0.5-1)</f>
        <v>4144.2861264148014</v>
      </c>
    </row>
    <row r="60" spans="2:6" ht="15">
      <c r="B60" s="617" t="s">
        <v>411</v>
      </c>
      <c r="C60" s="96">
        <f>SUM(C56:C59)</f>
        <v>116911.78619109535</v>
      </c>
      <c r="D60" s="96">
        <f t="shared" ref="D60:E60" si="0">SUM(D56:D59)</f>
        <v>-170410.75844785283</v>
      </c>
      <c r="E60" s="96">
        <f t="shared" si="0"/>
        <v>-25555.390213620565</v>
      </c>
      <c r="F60" s="149"/>
    </row>
    <row r="62" spans="2:6">
      <c r="B62" s="674" t="s">
        <v>595</v>
      </c>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0.140625" style="226" customWidth="1"/>
    <col min="6" max="6" width="13.7109375" style="226" customWidth="1"/>
    <col min="7" max="13" width="10.5703125" style="199" customWidth="1"/>
    <col min="14" max="14" width="10.5703125" style="226" customWidth="1"/>
    <col min="15" max="16384" width="9.140625" style="226"/>
  </cols>
  <sheetData>
    <row r="1" spans="1:41" s="199" customFormat="1" ht="15.75" thickBot="1">
      <c r="A1" s="90"/>
      <c r="B1" s="153" t="str">
        <f>"Tariff Approval - "&amp;'Model update'!C3</f>
        <v>Tariff Approval - CitiPower</v>
      </c>
    </row>
    <row r="2" spans="1:41">
      <c r="B2" s="816" t="s">
        <v>325</v>
      </c>
      <c r="C2" s="817"/>
      <c r="D2" s="817"/>
      <c r="E2" s="158"/>
      <c r="F2" s="122" t="s">
        <v>281</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11"/>
      <c r="C3" s="815"/>
      <c r="D3" s="815"/>
      <c r="E3" s="161"/>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11" t="s">
        <v>326</v>
      </c>
      <c r="C4" s="815"/>
      <c r="D4" s="815"/>
      <c r="E4" s="161"/>
      <c r="F4" s="123">
        <v>2227581.79</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11" t="s">
        <v>327</v>
      </c>
      <c r="C5" s="815"/>
      <c r="D5" s="815"/>
      <c r="E5" s="161"/>
      <c r="F5" s="123">
        <v>568164.93999999994</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11"/>
      <c r="C6" s="815"/>
      <c r="D6" s="815"/>
      <c r="E6" s="161"/>
      <c r="F6" s="123"/>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18"/>
      <c r="C7" s="805"/>
      <c r="D7" s="805"/>
      <c r="E7" s="124" t="s">
        <v>122</v>
      </c>
      <c r="F7" s="125">
        <f>SUM(F3:F6)</f>
        <v>2795746.73</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227" t="s">
        <v>294</v>
      </c>
      <c r="C10" s="199"/>
      <c r="D10" s="199"/>
      <c r="E10" s="199"/>
      <c r="F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199" t="s">
        <v>326</v>
      </c>
      <c r="C11" s="199" t="s">
        <v>328</v>
      </c>
      <c r="D11" s="199"/>
      <c r="E11" s="199"/>
      <c r="F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199" t="s">
        <v>327</v>
      </c>
      <c r="C12" s="199" t="s">
        <v>329</v>
      </c>
      <c r="D12" s="199"/>
      <c r="E12" s="199"/>
      <c r="F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199"/>
      <c r="C13" s="199"/>
      <c r="D13" s="199"/>
      <c r="E13" s="199"/>
      <c r="F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199"/>
      <c r="C14" s="199"/>
      <c r="D14" s="199"/>
      <c r="E14" s="199"/>
      <c r="F14" s="199"/>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99"/>
      <c r="C17" s="199"/>
      <c r="D17" s="199"/>
      <c r="E17" s="199"/>
      <c r="F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199"/>
      <c r="C18" s="199"/>
      <c r="D18" s="199"/>
      <c r="E18" s="199"/>
      <c r="F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99"/>
      <c r="C19" s="199"/>
      <c r="D19" s="199"/>
      <c r="E19" s="199"/>
      <c r="F19" s="199"/>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99"/>
      <c r="C20" s="199"/>
      <c r="D20" s="199"/>
      <c r="E20" s="199"/>
      <c r="F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99"/>
      <c r="C21" s="199"/>
      <c r="D21" s="199"/>
      <c r="E21" s="199"/>
      <c r="F21" s="199"/>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99"/>
      <c r="C22" s="199"/>
      <c r="D22" s="199"/>
      <c r="E22" s="199"/>
      <c r="F22" s="199"/>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99"/>
      <c r="C23" s="199"/>
      <c r="D23" s="199"/>
      <c r="E23" s="199"/>
      <c r="F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99"/>
      <c r="C24" s="199"/>
      <c r="D24" s="199"/>
      <c r="E24" s="199"/>
      <c r="F24" s="199"/>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199"/>
      <c r="C27" s="199"/>
      <c r="D27" s="199"/>
      <c r="E27" s="199"/>
      <c r="F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199"/>
      <c r="C28" s="199"/>
      <c r="D28" s="199"/>
      <c r="E28" s="199"/>
      <c r="F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99"/>
      <c r="C29" s="199"/>
      <c r="D29" s="199"/>
      <c r="E29" s="199"/>
      <c r="F29" s="199"/>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99"/>
      <c r="C30" s="199"/>
      <c r="D30" s="199"/>
      <c r="E30" s="199"/>
      <c r="F30" s="199"/>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99"/>
      <c r="C31" s="199"/>
      <c r="D31" s="199"/>
      <c r="E31" s="199"/>
      <c r="F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99"/>
      <c r="C32" s="199"/>
      <c r="D32" s="199"/>
      <c r="E32" s="199"/>
      <c r="F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390"/>
      <c r="C33" s="199"/>
      <c r="D33" s="199"/>
      <c r="E33" s="199"/>
      <c r="F33" s="199"/>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199"/>
      <c r="C34" s="199"/>
      <c r="D34" s="199"/>
      <c r="E34" s="199"/>
      <c r="F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199"/>
      <c r="C35" s="199"/>
      <c r="D35" s="199"/>
      <c r="E35" s="199"/>
      <c r="F35" s="199"/>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199"/>
      <c r="C36" s="199"/>
      <c r="D36" s="199"/>
      <c r="E36" s="199"/>
      <c r="F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99"/>
      <c r="C37" s="199"/>
      <c r="D37" s="199"/>
      <c r="E37" s="199"/>
      <c r="F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99"/>
      <c r="C38" s="199"/>
      <c r="D38" s="199"/>
      <c r="E38" s="199"/>
      <c r="F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99"/>
      <c r="C39" s="199"/>
      <c r="D39" s="199"/>
      <c r="E39" s="199"/>
      <c r="F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99"/>
      <c r="C40" s="199"/>
      <c r="D40" s="199"/>
      <c r="E40" s="199"/>
      <c r="F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199"/>
      <c r="C41" s="199"/>
      <c r="D41" s="199"/>
      <c r="E41" s="199"/>
      <c r="F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199"/>
      <c r="C42" s="199"/>
      <c r="D42" s="199"/>
      <c r="E42" s="199"/>
      <c r="F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pageSetUpPr autoPageBreaks="0"/>
  </sheetPr>
  <dimension ref="A1:CS110"/>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activeCell="B7" sqref="B7"/>
    </sheetView>
  </sheetViews>
  <sheetFormatPr defaultRowHeight="12.75"/>
  <cols>
    <col min="1" max="1" width="10.28515625" style="748" customWidth="1"/>
    <col min="2" max="3" width="45" style="748" customWidth="1"/>
    <col min="4" max="4" width="14.7109375" style="748" customWidth="1"/>
    <col min="5" max="5" width="11.28515625" style="748" bestFit="1" customWidth="1"/>
    <col min="6" max="6" width="12.42578125" style="748" bestFit="1" customWidth="1"/>
    <col min="7" max="7" width="13.5703125" style="748" customWidth="1"/>
    <col min="8" max="8" width="12.42578125" style="748" bestFit="1" customWidth="1"/>
    <col min="9" max="9" width="11.28515625" style="748" bestFit="1" customWidth="1"/>
    <col min="10" max="11" width="9.140625" style="748"/>
    <col min="12" max="12" width="9.7109375" style="748" customWidth="1"/>
    <col min="13" max="13" width="13.28515625" style="748" customWidth="1"/>
    <col min="14" max="14" width="10.5703125" style="748" customWidth="1"/>
    <col min="15" max="16" width="11" style="748" bestFit="1" customWidth="1"/>
    <col min="17" max="24" width="11" style="748" customWidth="1"/>
    <col min="25" max="25" width="1.85546875" style="748" customWidth="1"/>
    <col min="26" max="26" width="17.42578125" style="748" customWidth="1"/>
    <col min="27" max="30" width="11.28515625" style="748" bestFit="1" customWidth="1"/>
    <col min="31" max="31" width="10" style="748" bestFit="1" customWidth="1"/>
    <col min="32" max="34" width="9.85546875" style="748" bestFit="1" customWidth="1"/>
    <col min="35" max="35" width="12.42578125" style="748" customWidth="1"/>
    <col min="36" max="38" width="10.5703125" style="748" customWidth="1"/>
    <col min="39" max="39" width="11.28515625" style="748" bestFit="1" customWidth="1"/>
    <col min="40" max="40" width="11.7109375" style="748" customWidth="1"/>
    <col min="41" max="41" width="12.7109375" style="748" customWidth="1"/>
    <col min="42" max="42" width="9.140625" style="748"/>
    <col min="43" max="43" width="10.85546875" style="748" customWidth="1"/>
    <col min="44" max="45" width="10" style="748" bestFit="1" customWidth="1"/>
    <col min="46" max="46" width="9.42578125" style="748" bestFit="1" customWidth="1"/>
    <col min="47" max="48" width="1.85546875" style="748" customWidth="1"/>
    <col min="49" max="69" width="12.140625" style="748" customWidth="1"/>
    <col min="70" max="70" width="17.140625" style="748" customWidth="1"/>
    <col min="71" max="74" width="9.140625" style="748"/>
    <col min="98" max="16384" width="9.140625" style="748"/>
  </cols>
  <sheetData>
    <row r="1" spans="1:97" ht="15">
      <c r="B1" s="153" t="s">
        <v>832</v>
      </c>
      <c r="C1" s="153"/>
      <c r="D1" s="621"/>
      <c r="F1" s="621"/>
      <c r="BW1" s="748"/>
      <c r="BX1" s="748"/>
      <c r="BY1" s="748"/>
      <c r="BZ1" s="748"/>
      <c r="CA1" s="748"/>
      <c r="CB1" s="748"/>
      <c r="CC1" s="748"/>
      <c r="CD1" s="748"/>
      <c r="CE1" s="748"/>
      <c r="CF1" s="748"/>
      <c r="CG1" s="748"/>
      <c r="CH1" s="748"/>
      <c r="CI1" s="748"/>
      <c r="CJ1" s="748"/>
      <c r="CK1" s="748"/>
      <c r="CL1" s="748"/>
      <c r="CM1" s="748"/>
      <c r="CN1" s="748"/>
      <c r="CO1" s="748"/>
      <c r="CP1" s="748"/>
      <c r="CQ1" s="748"/>
      <c r="CR1" s="748"/>
      <c r="CS1" s="748"/>
    </row>
    <row r="2" spans="1:97" ht="13.5" thickBot="1">
      <c r="BW2" s="748"/>
      <c r="BX2" s="748"/>
      <c r="BY2" s="748"/>
      <c r="BZ2" s="748"/>
      <c r="CA2" s="748"/>
      <c r="CB2" s="748"/>
      <c r="CC2" s="748"/>
      <c r="CD2" s="748"/>
      <c r="CE2" s="748"/>
      <c r="CF2" s="748"/>
      <c r="CG2" s="748"/>
      <c r="CH2" s="748"/>
      <c r="CI2" s="748"/>
      <c r="CJ2" s="748"/>
      <c r="CK2" s="748"/>
      <c r="CL2" s="748"/>
      <c r="CM2" s="748"/>
      <c r="CN2" s="748"/>
      <c r="CO2" s="748"/>
      <c r="CP2" s="748"/>
      <c r="CQ2" s="748"/>
      <c r="CR2" s="748"/>
      <c r="CS2" s="748"/>
    </row>
    <row r="3" spans="1:97">
      <c r="B3" s="227" t="s">
        <v>833</v>
      </c>
      <c r="C3" s="227"/>
      <c r="Z3" s="787"/>
      <c r="AA3" s="787"/>
      <c r="AB3" s="787"/>
      <c r="AC3" s="787"/>
      <c r="AD3" s="787"/>
      <c r="AE3" s="787"/>
      <c r="AF3" s="787"/>
      <c r="AG3" s="787"/>
      <c r="AH3" s="787"/>
      <c r="AI3" s="787"/>
      <c r="AJ3" s="787"/>
      <c r="AK3" s="787"/>
      <c r="AL3" s="787"/>
      <c r="AM3" s="787"/>
      <c r="AN3" s="787"/>
      <c r="AO3" s="787"/>
      <c r="AP3" s="787"/>
      <c r="AQ3" s="787"/>
      <c r="AR3" s="787"/>
      <c r="AS3" s="787"/>
      <c r="AT3" s="787"/>
      <c r="AU3" s="748">
        <v>22</v>
      </c>
      <c r="BR3" s="742" t="s">
        <v>734</v>
      </c>
      <c r="BW3" s="748"/>
      <c r="BX3" s="748"/>
      <c r="BY3" s="748"/>
      <c r="BZ3" s="748"/>
      <c r="CA3" s="748"/>
      <c r="CB3" s="748"/>
      <c r="CC3" s="748"/>
      <c r="CD3" s="748"/>
      <c r="CE3" s="748"/>
      <c r="CF3" s="748"/>
      <c r="CG3" s="748"/>
      <c r="CH3" s="748"/>
      <c r="CI3" s="748"/>
      <c r="CJ3" s="748"/>
      <c r="CK3" s="748"/>
      <c r="CL3" s="748"/>
      <c r="CM3" s="748"/>
      <c r="CN3" s="748"/>
      <c r="CO3" s="748"/>
      <c r="CP3" s="748"/>
      <c r="CQ3" s="748"/>
      <c r="CR3" s="748"/>
      <c r="CS3" s="748"/>
    </row>
    <row r="4" spans="1:97" ht="13.5" thickBot="1">
      <c r="D4" s="229" t="s">
        <v>834</v>
      </c>
      <c r="E4" s="230"/>
      <c r="F4" s="230"/>
      <c r="G4" s="230"/>
      <c r="H4" s="230"/>
      <c r="M4" s="369"/>
      <c r="Z4" s="229" t="s">
        <v>835</v>
      </c>
      <c r="AA4" s="230"/>
      <c r="AB4" s="230"/>
      <c r="AC4" s="230"/>
      <c r="AD4" s="230"/>
      <c r="AW4" s="229" t="s">
        <v>836</v>
      </c>
      <c r="AX4" s="230"/>
      <c r="AY4" s="230"/>
      <c r="AZ4" s="230"/>
      <c r="BA4" s="230"/>
      <c r="BR4" s="743">
        <v>0.1</v>
      </c>
      <c r="BW4" s="748"/>
      <c r="BX4" s="748"/>
      <c r="BY4" s="748"/>
      <c r="BZ4" s="748"/>
      <c r="CA4" s="748"/>
      <c r="CB4" s="748"/>
      <c r="CC4" s="748"/>
      <c r="CD4" s="748"/>
      <c r="CE4" s="748"/>
      <c r="CF4" s="748"/>
      <c r="CG4" s="748"/>
      <c r="CH4" s="748"/>
      <c r="CI4" s="748"/>
      <c r="CJ4" s="748"/>
      <c r="CK4" s="748"/>
      <c r="CL4" s="748"/>
      <c r="CM4" s="748"/>
      <c r="CN4" s="748"/>
      <c r="CO4" s="748"/>
      <c r="CP4" s="748"/>
      <c r="CQ4" s="748"/>
      <c r="CR4" s="748"/>
      <c r="CS4" s="748"/>
    </row>
    <row r="5" spans="1:97" ht="38.25">
      <c r="B5" s="233" t="s">
        <v>705</v>
      </c>
      <c r="C5" s="370" t="s">
        <v>706</v>
      </c>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t="s">
        <v>138</v>
      </c>
      <c r="Z5" s="234" t="s">
        <v>739</v>
      </c>
      <c r="AA5" s="235" t="s">
        <v>740</v>
      </c>
      <c r="AB5" s="235" t="s">
        <v>741</v>
      </c>
      <c r="AC5" s="235"/>
      <c r="AD5" s="235"/>
      <c r="AE5" s="235" t="s">
        <v>742</v>
      </c>
      <c r="AF5" s="235"/>
      <c r="AG5" s="235"/>
      <c r="AH5" s="235"/>
      <c r="AI5" s="235" t="s">
        <v>743</v>
      </c>
      <c r="AJ5" s="235" t="s">
        <v>744</v>
      </c>
      <c r="AK5" s="235" t="s">
        <v>745</v>
      </c>
      <c r="AL5" s="235" t="s">
        <v>746</v>
      </c>
      <c r="AM5" s="236" t="s">
        <v>747</v>
      </c>
      <c r="AN5" s="235" t="s">
        <v>748</v>
      </c>
      <c r="AO5" s="235" t="s">
        <v>749</v>
      </c>
      <c r="AP5" s="235"/>
      <c r="AQ5" s="235" t="s">
        <v>750</v>
      </c>
      <c r="AR5" s="235" t="s">
        <v>751</v>
      </c>
      <c r="AS5" s="235" t="s">
        <v>752</v>
      </c>
      <c r="AT5" s="237" t="s">
        <v>753</v>
      </c>
      <c r="AW5" s="234" t="s">
        <v>754</v>
      </c>
      <c r="AX5" s="235" t="s">
        <v>755</v>
      </c>
      <c r="AY5" s="235" t="s">
        <v>756</v>
      </c>
      <c r="AZ5" s="235" t="s">
        <v>757</v>
      </c>
      <c r="BA5" s="235" t="s">
        <v>758</v>
      </c>
      <c r="BB5" s="235" t="s">
        <v>759</v>
      </c>
      <c r="BC5" s="235" t="s">
        <v>760</v>
      </c>
      <c r="BD5" s="235" t="s">
        <v>761</v>
      </c>
      <c r="BE5" s="235" t="s">
        <v>762</v>
      </c>
      <c r="BF5" s="235" t="s">
        <v>763</v>
      </c>
      <c r="BG5" s="235" t="s">
        <v>764</v>
      </c>
      <c r="BH5" s="235" t="s">
        <v>765</v>
      </c>
      <c r="BI5" s="235" t="s">
        <v>766</v>
      </c>
      <c r="BJ5" s="371" t="s">
        <v>767</v>
      </c>
      <c r="BK5" s="371" t="s">
        <v>768</v>
      </c>
      <c r="BL5" s="371" t="s">
        <v>769</v>
      </c>
      <c r="BM5" s="371" t="s">
        <v>770</v>
      </c>
      <c r="BN5" s="371" t="s">
        <v>771</v>
      </c>
      <c r="BO5" s="371" t="s">
        <v>772</v>
      </c>
      <c r="BP5" s="371" t="s">
        <v>773</v>
      </c>
      <c r="BQ5" s="371" t="s">
        <v>774</v>
      </c>
      <c r="BR5" s="744" t="s">
        <v>735</v>
      </c>
      <c r="BW5" s="748"/>
      <c r="BX5" s="748"/>
      <c r="BY5" s="748"/>
      <c r="BZ5" s="748"/>
      <c r="CA5" s="748"/>
      <c r="CB5" s="748"/>
      <c r="CC5" s="748"/>
      <c r="CD5" s="748"/>
      <c r="CE5" s="748"/>
      <c r="CF5" s="748"/>
      <c r="CG5" s="748"/>
      <c r="CH5" s="748"/>
      <c r="CI5" s="748"/>
      <c r="CJ5" s="748"/>
      <c r="CK5" s="748"/>
      <c r="CL5" s="748"/>
      <c r="CM5" s="748"/>
      <c r="CN5" s="748"/>
      <c r="CO5" s="748"/>
      <c r="CP5" s="748"/>
      <c r="CQ5" s="748"/>
      <c r="CR5" s="748"/>
      <c r="CS5" s="748"/>
    </row>
    <row r="6" spans="1:97">
      <c r="B6" s="750"/>
      <c r="C6" s="750"/>
      <c r="D6" s="300"/>
      <c r="E6" s="284"/>
      <c r="F6" s="284"/>
      <c r="G6" s="284"/>
      <c r="H6" s="284"/>
      <c r="I6" s="284"/>
      <c r="J6" s="284"/>
      <c r="K6" s="284"/>
      <c r="L6" s="284"/>
      <c r="M6" s="284"/>
      <c r="N6" s="284"/>
      <c r="O6" s="284"/>
      <c r="P6" s="284"/>
      <c r="Q6" s="283"/>
      <c r="R6" s="284"/>
      <c r="S6" s="284"/>
      <c r="T6" s="284"/>
      <c r="U6" s="284"/>
      <c r="V6" s="284"/>
      <c r="W6" s="284"/>
      <c r="X6" s="285"/>
      <c r="Z6" s="239"/>
      <c r="AA6" s="240"/>
      <c r="AB6" s="240"/>
      <c r="AC6" s="240"/>
      <c r="AD6" s="240"/>
      <c r="AE6" s="240"/>
      <c r="AF6" s="240"/>
      <c r="AG6" s="240"/>
      <c r="AH6" s="240"/>
      <c r="AI6" s="241"/>
      <c r="AJ6" s="241"/>
      <c r="AK6" s="241"/>
      <c r="AL6" s="241"/>
      <c r="AM6" s="372"/>
      <c r="AN6" s="241"/>
      <c r="AO6" s="241"/>
      <c r="AP6" s="241"/>
      <c r="AQ6" s="241"/>
      <c r="AR6" s="241"/>
      <c r="AS6" s="241"/>
      <c r="AT6" s="242"/>
      <c r="AW6" s="735"/>
      <c r="AX6" s="736"/>
      <c r="AY6" s="736"/>
      <c r="AZ6" s="736"/>
      <c r="BA6" s="736"/>
      <c r="BB6" s="736"/>
      <c r="BC6" s="736"/>
      <c r="BD6" s="736"/>
      <c r="BE6" s="736"/>
      <c r="BF6" s="736"/>
      <c r="BG6" s="736"/>
      <c r="BH6" s="736"/>
      <c r="BI6" s="736"/>
      <c r="BJ6" s="736"/>
      <c r="BK6" s="736"/>
      <c r="BL6" s="736"/>
      <c r="BM6" s="736"/>
      <c r="BN6" s="736"/>
      <c r="BO6" s="736"/>
      <c r="BP6" s="736"/>
      <c r="BQ6" s="740"/>
      <c r="BR6" s="553"/>
      <c r="BW6" s="748"/>
      <c r="BX6" s="748"/>
      <c r="BY6" s="748"/>
      <c r="BZ6" s="748"/>
      <c r="CA6" s="748"/>
      <c r="CB6" s="748"/>
      <c r="CC6" s="748"/>
      <c r="CD6" s="748"/>
      <c r="CE6" s="748"/>
      <c r="CF6" s="748"/>
      <c r="CG6" s="748"/>
      <c r="CH6" s="748"/>
      <c r="CI6" s="748"/>
      <c r="CJ6" s="748"/>
      <c r="CK6" s="748"/>
      <c r="CL6" s="748"/>
      <c r="CM6" s="748"/>
      <c r="CN6" s="748"/>
      <c r="CO6" s="748"/>
      <c r="CP6" s="748"/>
      <c r="CQ6" s="748"/>
      <c r="CR6" s="748"/>
      <c r="CS6" s="748"/>
    </row>
    <row r="7" spans="1:97">
      <c r="A7" s="748" t="str">
        <f>Prop2018DistTar!A7</f>
        <v>C1R</v>
      </c>
      <c r="B7" s="750" t="s">
        <v>707</v>
      </c>
      <c r="C7" s="750" t="str">
        <f>Prop2018DistTar!C7</f>
        <v>Residential Single Rate</v>
      </c>
      <c r="D7" s="767">
        <f>SUM(Prop2018DistTar!D7,Prop2018TransTar!D7,Prop2018JSTar!D7)</f>
        <v>85</v>
      </c>
      <c r="E7" s="768">
        <f>SUM(Prop2018DistTar!E7,Prop2018TransTar!E7,Prop2018JSTar!E7)</f>
        <v>6.41</v>
      </c>
      <c r="F7" s="768">
        <f>SUM(Prop2018DistTar!F7,Prop2018TransTar!F7,Prop2018JSTar!F7)</f>
        <v>0</v>
      </c>
      <c r="G7" s="768">
        <f>SUM(Prop2018DistTar!G7,Prop2018TransTar!G7,Prop2018JSTar!G7)</f>
        <v>0</v>
      </c>
      <c r="H7" s="768">
        <f>SUM(Prop2018DistTar!H7,Prop2018TransTar!H7,Prop2018JSTar!H7)</f>
        <v>0</v>
      </c>
      <c r="I7" s="768">
        <f>SUM(Prop2018DistTar!I7,Prop2018TransTar!I7,Prop2018JSTar!I7)</f>
        <v>0</v>
      </c>
      <c r="J7" s="768">
        <f>SUM(Prop2018DistTar!J7,Prop2018TransTar!J7,Prop2018JSTar!J7)</f>
        <v>0</v>
      </c>
      <c r="K7" s="768">
        <f>SUM(Prop2018DistTar!K7,Prop2018TransTar!K7,Prop2018JSTar!K7)</f>
        <v>0</v>
      </c>
      <c r="L7" s="768">
        <f>SUM(Prop2018DistTar!L7,Prop2018TransTar!L7,Prop2018JSTar!L7)</f>
        <v>0</v>
      </c>
      <c r="M7" s="768">
        <f>SUM(Prop2018DistTar!M7,Prop2018TransTar!M7,Prop2018JSTar!M7)</f>
        <v>0</v>
      </c>
      <c r="N7" s="768">
        <f>SUM(Prop2018DistTar!N7,Prop2018TransTar!N7,Prop2018JSTar!N7)</f>
        <v>0</v>
      </c>
      <c r="O7" s="768">
        <f>SUM(Prop2018DistTar!O7,Prop2018TransTar!O7,Prop2018JSTar!O7)</f>
        <v>0</v>
      </c>
      <c r="P7" s="768">
        <f>SUM(Prop2018DistTar!P7,Prop2018TransTar!P7,Prop2018JSTar!P7)</f>
        <v>0</v>
      </c>
      <c r="Q7" s="768">
        <f>SUM(Prop2018DistTar!Q7,Prop2018TransTar!Q7,Prop2018JSTar!Q7)</f>
        <v>0</v>
      </c>
      <c r="R7" s="768">
        <f>SUM(Prop2018DistTar!R7,Prop2018TransTar!R7,Prop2018JSTar!R7)</f>
        <v>0</v>
      </c>
      <c r="S7" s="768">
        <f>SUM(Prop2018DistTar!S7,Prop2018TransTar!S7,Prop2018JSTar!S7)</f>
        <v>0</v>
      </c>
      <c r="T7" s="768">
        <f>SUM(Prop2018DistTar!T7,Prop2018TransTar!T7,Prop2018JSTar!T7)</f>
        <v>0</v>
      </c>
      <c r="U7" s="768">
        <f>SUM(Prop2018DistTar!U7,Prop2018TransTar!U7,Prop2018JSTar!U7)</f>
        <v>0</v>
      </c>
      <c r="V7" s="768">
        <f>SUM(Prop2018DistTar!V7,Prop2018TransTar!V7,Prop2018JSTar!V7)</f>
        <v>0</v>
      </c>
      <c r="W7" s="768">
        <f>SUM(Prop2018DistTar!W7,Prop2018TransTar!W7,Prop2018JSTar!W7)</f>
        <v>0</v>
      </c>
      <c r="X7" s="769">
        <f>SUM(Prop2018DistTar!X7,Prop2018TransTar!X7,Prop2018JSTar!X7)</f>
        <v>0</v>
      </c>
      <c r="Z7" s="279">
        <v>95</v>
      </c>
      <c r="AA7" s="752">
        <v>6.67</v>
      </c>
      <c r="AB7" s="752">
        <v>0</v>
      </c>
      <c r="AC7" s="752">
        <v>0</v>
      </c>
      <c r="AD7" s="752">
        <v>0</v>
      </c>
      <c r="AE7" s="752">
        <v>0</v>
      </c>
      <c r="AF7" s="752">
        <v>0</v>
      </c>
      <c r="AG7" s="752">
        <v>0</v>
      </c>
      <c r="AH7" s="752">
        <v>0</v>
      </c>
      <c r="AI7" s="752">
        <v>0</v>
      </c>
      <c r="AJ7" s="752">
        <v>0</v>
      </c>
      <c r="AK7" s="752">
        <v>0</v>
      </c>
      <c r="AL7" s="752">
        <v>0</v>
      </c>
      <c r="AM7" s="752">
        <v>0</v>
      </c>
      <c r="AN7" s="752">
        <v>0</v>
      </c>
      <c r="AO7" s="752">
        <v>0</v>
      </c>
      <c r="AP7" s="752">
        <v>0</v>
      </c>
      <c r="AQ7" s="752">
        <v>0</v>
      </c>
      <c r="AR7" s="752">
        <v>0</v>
      </c>
      <c r="AS7" s="752">
        <v>0</v>
      </c>
      <c r="AT7" s="753">
        <v>0</v>
      </c>
      <c r="AW7" s="784">
        <f t="shared" ref="AW7:BL21" si="0">IFERROR(D7/Z7-1,0)</f>
        <v>-0.10526315789473684</v>
      </c>
      <c r="AX7" s="785">
        <f t="shared" si="0"/>
        <v>-3.8980509745127456E-2</v>
      </c>
      <c r="AY7" s="785">
        <f t="shared" si="0"/>
        <v>0</v>
      </c>
      <c r="AZ7" s="785">
        <f t="shared" si="0"/>
        <v>0</v>
      </c>
      <c r="BA7" s="785">
        <f t="shared" si="0"/>
        <v>0</v>
      </c>
      <c r="BB7" s="785">
        <f t="shared" si="0"/>
        <v>0</v>
      </c>
      <c r="BC7" s="785">
        <f t="shared" si="0"/>
        <v>0</v>
      </c>
      <c r="BD7" s="785">
        <f t="shared" si="0"/>
        <v>0</v>
      </c>
      <c r="BE7" s="785">
        <f t="shared" si="0"/>
        <v>0</v>
      </c>
      <c r="BF7" s="785">
        <f t="shared" si="0"/>
        <v>0</v>
      </c>
      <c r="BG7" s="785">
        <f t="shared" si="0"/>
        <v>0</v>
      </c>
      <c r="BH7" s="785">
        <f t="shared" si="0"/>
        <v>0</v>
      </c>
      <c r="BI7" s="785">
        <f t="shared" si="0"/>
        <v>0</v>
      </c>
      <c r="BJ7" s="785">
        <f t="shared" si="0"/>
        <v>0</v>
      </c>
      <c r="BK7" s="785">
        <f t="shared" si="0"/>
        <v>0</v>
      </c>
      <c r="BL7" s="785">
        <f t="shared" si="0"/>
        <v>0</v>
      </c>
      <c r="BM7" s="785">
        <f t="shared" ref="BM7:BQ37" si="1">IFERROR(T7/AP7-1,0)</f>
        <v>0</v>
      </c>
      <c r="BN7" s="785">
        <f t="shared" si="1"/>
        <v>0</v>
      </c>
      <c r="BO7" s="785">
        <f t="shared" si="1"/>
        <v>0</v>
      </c>
      <c r="BP7" s="785">
        <f t="shared" si="1"/>
        <v>0</v>
      </c>
      <c r="BQ7" s="786">
        <f t="shared" si="1"/>
        <v>0</v>
      </c>
      <c r="BR7" s="553" t="str">
        <f t="array" ref="BR7">IF(MAX(ABS(AW7:BQ7))&gt;$BR$4,"EXPLAIN","")</f>
        <v>EXPLAIN</v>
      </c>
      <c r="BW7" s="748"/>
      <c r="BX7" s="748"/>
      <c r="BY7" s="748"/>
      <c r="BZ7" s="748"/>
      <c r="CA7" s="748"/>
      <c r="CB7" s="748"/>
      <c r="CC7" s="748"/>
      <c r="CD7" s="748"/>
      <c r="CE7" s="748"/>
      <c r="CF7" s="748"/>
      <c r="CG7" s="748"/>
      <c r="CH7" s="748"/>
      <c r="CI7" s="748"/>
      <c r="CJ7" s="748"/>
      <c r="CK7" s="748"/>
      <c r="CL7" s="748"/>
      <c r="CM7" s="748"/>
      <c r="CN7" s="748"/>
      <c r="CO7" s="748"/>
      <c r="CP7" s="748"/>
      <c r="CQ7" s="748"/>
      <c r="CR7" s="748"/>
      <c r="CS7" s="748"/>
    </row>
    <row r="8" spans="1:97">
      <c r="A8" s="748" t="str">
        <f>Prop2018DistTar!A8</f>
        <v>C1RB</v>
      </c>
      <c r="B8" s="750" t="s">
        <v>708</v>
      </c>
      <c r="C8" s="750" t="str">
        <f>Prop2018DistTar!C8</f>
        <v>Residential Single Rate - Bulk</v>
      </c>
      <c r="D8" s="767">
        <f>SUM(Prop2018DistTar!D8,Prop2018TransTar!D8,Prop2018JSTar!D8)</f>
        <v>75</v>
      </c>
      <c r="E8" s="768">
        <f>SUM(Prop2018DistTar!E8,Prop2018TransTar!E8,Prop2018JSTar!E8)</f>
        <v>4.78</v>
      </c>
      <c r="F8" s="768">
        <f>SUM(Prop2018DistTar!F8,Prop2018TransTar!F8,Prop2018JSTar!F8)</f>
        <v>0</v>
      </c>
      <c r="G8" s="768">
        <f>SUM(Prop2018DistTar!G8,Prop2018TransTar!G8,Prop2018JSTar!G8)</f>
        <v>0</v>
      </c>
      <c r="H8" s="768">
        <f>SUM(Prop2018DistTar!H8,Prop2018TransTar!H8,Prop2018JSTar!H8)</f>
        <v>0</v>
      </c>
      <c r="I8" s="768">
        <f>SUM(Prop2018DistTar!I8,Prop2018TransTar!I8,Prop2018JSTar!I8)</f>
        <v>0</v>
      </c>
      <c r="J8" s="768">
        <f>SUM(Prop2018DistTar!J8,Prop2018TransTar!J8,Prop2018JSTar!J8)</f>
        <v>0</v>
      </c>
      <c r="K8" s="768">
        <f>SUM(Prop2018DistTar!K8,Prop2018TransTar!K8,Prop2018JSTar!K8)</f>
        <v>0</v>
      </c>
      <c r="L8" s="768">
        <f>SUM(Prop2018DistTar!L8,Prop2018TransTar!L8,Prop2018JSTar!L8)</f>
        <v>0</v>
      </c>
      <c r="M8" s="768">
        <f>SUM(Prop2018DistTar!M8,Prop2018TransTar!M8,Prop2018JSTar!M8)</f>
        <v>0</v>
      </c>
      <c r="N8" s="768">
        <f>SUM(Prop2018DistTar!N8,Prop2018TransTar!N8,Prop2018JSTar!N8)</f>
        <v>0</v>
      </c>
      <c r="O8" s="768">
        <f>SUM(Prop2018DistTar!O8,Prop2018TransTar!O8,Prop2018JSTar!O8)</f>
        <v>0</v>
      </c>
      <c r="P8" s="768">
        <f>SUM(Prop2018DistTar!P8,Prop2018TransTar!P8,Prop2018JSTar!P8)</f>
        <v>0</v>
      </c>
      <c r="Q8" s="768">
        <f>SUM(Prop2018DistTar!Q8,Prop2018TransTar!Q8,Prop2018JSTar!Q8)</f>
        <v>0</v>
      </c>
      <c r="R8" s="768">
        <f>SUM(Prop2018DistTar!R8,Prop2018TransTar!R8,Prop2018JSTar!R8)</f>
        <v>0</v>
      </c>
      <c r="S8" s="768">
        <f>SUM(Prop2018DistTar!S8,Prop2018TransTar!S8,Prop2018JSTar!S8)</f>
        <v>0</v>
      </c>
      <c r="T8" s="768">
        <f>SUM(Prop2018DistTar!T8,Prop2018TransTar!T8,Prop2018JSTar!T8)</f>
        <v>0</v>
      </c>
      <c r="U8" s="768">
        <f>SUM(Prop2018DistTar!U8,Prop2018TransTar!U8,Prop2018JSTar!U8)</f>
        <v>0</v>
      </c>
      <c r="V8" s="768">
        <f>SUM(Prop2018DistTar!V8,Prop2018TransTar!V8,Prop2018JSTar!V8)</f>
        <v>0</v>
      </c>
      <c r="W8" s="768">
        <f>SUM(Prop2018DistTar!W8,Prop2018TransTar!W8,Prop2018JSTar!W8)</f>
        <v>0</v>
      </c>
      <c r="X8" s="769">
        <f>SUM(Prop2018DistTar!X8,Prop2018TransTar!X8,Prop2018JSTar!X8)</f>
        <v>0</v>
      </c>
      <c r="Z8" s="279">
        <v>85</v>
      </c>
      <c r="AA8" s="752">
        <v>4.63</v>
      </c>
      <c r="AB8" s="752">
        <v>0</v>
      </c>
      <c r="AC8" s="752">
        <v>0</v>
      </c>
      <c r="AD8" s="752">
        <v>0</v>
      </c>
      <c r="AE8" s="752">
        <v>0</v>
      </c>
      <c r="AF8" s="752">
        <v>0</v>
      </c>
      <c r="AG8" s="752">
        <v>0</v>
      </c>
      <c r="AH8" s="752">
        <v>0</v>
      </c>
      <c r="AI8" s="752">
        <v>0</v>
      </c>
      <c r="AJ8" s="752">
        <v>0</v>
      </c>
      <c r="AK8" s="752">
        <v>0</v>
      </c>
      <c r="AL8" s="752">
        <v>0</v>
      </c>
      <c r="AM8" s="752">
        <v>0</v>
      </c>
      <c r="AN8" s="752">
        <v>0</v>
      </c>
      <c r="AO8" s="752">
        <v>0</v>
      </c>
      <c r="AP8" s="752">
        <v>0</v>
      </c>
      <c r="AQ8" s="752">
        <v>0</v>
      </c>
      <c r="AR8" s="752">
        <v>0</v>
      </c>
      <c r="AS8" s="752">
        <v>0</v>
      </c>
      <c r="AT8" s="753">
        <v>0</v>
      </c>
      <c r="AW8" s="784">
        <f t="shared" si="0"/>
        <v>-0.11764705882352944</v>
      </c>
      <c r="AX8" s="785">
        <f t="shared" si="0"/>
        <v>3.2397408207343492E-2</v>
      </c>
      <c r="AY8" s="785">
        <f t="shared" si="0"/>
        <v>0</v>
      </c>
      <c r="AZ8" s="785">
        <f t="shared" si="0"/>
        <v>0</v>
      </c>
      <c r="BA8" s="785">
        <f t="shared" si="0"/>
        <v>0</v>
      </c>
      <c r="BB8" s="785">
        <f t="shared" si="0"/>
        <v>0</v>
      </c>
      <c r="BC8" s="785">
        <f t="shared" si="0"/>
        <v>0</v>
      </c>
      <c r="BD8" s="785">
        <f t="shared" si="0"/>
        <v>0</v>
      </c>
      <c r="BE8" s="785">
        <f t="shared" si="0"/>
        <v>0</v>
      </c>
      <c r="BF8" s="785">
        <f t="shared" si="0"/>
        <v>0</v>
      </c>
      <c r="BG8" s="785">
        <f t="shared" si="0"/>
        <v>0</v>
      </c>
      <c r="BH8" s="785">
        <f t="shared" si="0"/>
        <v>0</v>
      </c>
      <c r="BI8" s="785">
        <f t="shared" si="0"/>
        <v>0</v>
      </c>
      <c r="BJ8" s="785">
        <f t="shared" si="0"/>
        <v>0</v>
      </c>
      <c r="BK8" s="785">
        <f t="shared" si="0"/>
        <v>0</v>
      </c>
      <c r="BL8" s="785">
        <f t="shared" si="0"/>
        <v>0</v>
      </c>
      <c r="BM8" s="785">
        <f t="shared" si="1"/>
        <v>0</v>
      </c>
      <c r="BN8" s="785">
        <f t="shared" si="1"/>
        <v>0</v>
      </c>
      <c r="BO8" s="785">
        <f t="shared" si="1"/>
        <v>0</v>
      </c>
      <c r="BP8" s="785">
        <f t="shared" si="1"/>
        <v>0</v>
      </c>
      <c r="BQ8" s="786">
        <f t="shared" si="1"/>
        <v>0</v>
      </c>
      <c r="BR8" s="553" t="str">
        <f t="array" ref="BR8">IF(MAX(ABS(AW8:BQ8))&gt;$BR$4,"EXPLAIN","")</f>
        <v>EXPLAIN</v>
      </c>
      <c r="BW8" s="748"/>
      <c r="BX8" s="748"/>
      <c r="BY8" s="748"/>
      <c r="BZ8" s="748"/>
      <c r="CA8" s="748"/>
      <c r="CB8" s="748"/>
      <c r="CC8" s="748"/>
      <c r="CD8" s="748"/>
      <c r="CE8" s="748"/>
      <c r="CF8" s="748"/>
      <c r="CG8" s="748"/>
      <c r="CH8" s="748"/>
      <c r="CI8" s="748"/>
      <c r="CJ8" s="748"/>
      <c r="CK8" s="748"/>
      <c r="CL8" s="748"/>
      <c r="CM8" s="748"/>
      <c r="CN8" s="748"/>
      <c r="CO8" s="748"/>
      <c r="CP8" s="748"/>
      <c r="CQ8" s="748"/>
      <c r="CR8" s="748"/>
      <c r="CS8" s="748"/>
    </row>
    <row r="9" spans="1:97">
      <c r="A9" s="748" t="str">
        <f>Prop2018DistTar!A9</f>
        <v>C13R</v>
      </c>
      <c r="B9" s="750" t="s">
        <v>709</v>
      </c>
      <c r="C9" s="750" t="str">
        <f>Prop2018DistTar!C9</f>
        <v>Residential - flexible pricing</v>
      </c>
      <c r="D9" s="767">
        <f>SUM(Prop2018DistTar!D9,Prop2018TransTar!D9,Prop2018JSTar!D9)</f>
        <v>85</v>
      </c>
      <c r="E9" s="768">
        <f>SUM(Prop2018DistTar!E9,Prop2018TransTar!E9,Prop2018JSTar!E9)</f>
        <v>0</v>
      </c>
      <c r="F9" s="768">
        <f>SUM(Prop2018DistTar!F9,Prop2018TransTar!F9,Prop2018JSTar!F9)</f>
        <v>0</v>
      </c>
      <c r="G9" s="768">
        <f>SUM(Prop2018DistTar!G9,Prop2018TransTar!G9,Prop2018JSTar!G9)</f>
        <v>0</v>
      </c>
      <c r="H9" s="768">
        <f>SUM(Prop2018DistTar!H9,Prop2018TransTar!H9,Prop2018JSTar!H9)</f>
        <v>0</v>
      </c>
      <c r="I9" s="768">
        <f>SUM(Prop2018DistTar!I9,Prop2018TransTar!I9,Prop2018JSTar!I9)</f>
        <v>0</v>
      </c>
      <c r="J9" s="768">
        <f>SUM(Prop2018DistTar!J9,Prop2018TransTar!J9,Prop2018JSTar!J9)</f>
        <v>0</v>
      </c>
      <c r="K9" s="768">
        <f>SUM(Prop2018DistTar!K9,Prop2018TransTar!K9,Prop2018JSTar!K9)</f>
        <v>0</v>
      </c>
      <c r="L9" s="768">
        <f>SUM(Prop2018DistTar!L9,Prop2018TransTar!L9,Prop2018JSTar!L9)</f>
        <v>0</v>
      </c>
      <c r="M9" s="768">
        <f>SUM(Prop2018DistTar!M9,Prop2018TransTar!M9,Prop2018JSTar!M9)</f>
        <v>0</v>
      </c>
      <c r="N9" s="768">
        <f>SUM(Prop2018DistTar!N9,Prop2018TransTar!N9,Prop2018JSTar!N9)</f>
        <v>0</v>
      </c>
      <c r="O9" s="768">
        <f>SUM(Prop2018DistTar!O9,Prop2018TransTar!O9,Prop2018JSTar!O9)</f>
        <v>0</v>
      </c>
      <c r="P9" s="768">
        <f>SUM(Prop2018DistTar!P9,Prop2018TransTar!P9,Prop2018JSTar!P9)</f>
        <v>0</v>
      </c>
      <c r="Q9" s="768">
        <f>SUM(Prop2018DistTar!Q9,Prop2018TransTar!Q9,Prop2018JSTar!Q9)</f>
        <v>13.160000000000002</v>
      </c>
      <c r="R9" s="768">
        <f>SUM(Prop2018DistTar!R9,Prop2018TransTar!R9,Prop2018JSTar!R9)</f>
        <v>8.8800000000000008</v>
      </c>
      <c r="S9" s="768">
        <f>SUM(Prop2018DistTar!S9,Prop2018TransTar!S9,Prop2018JSTar!S9)</f>
        <v>3.5199999999999996</v>
      </c>
      <c r="T9" s="768">
        <f>SUM(Prop2018DistTar!T9,Prop2018TransTar!T9,Prop2018JSTar!T9)</f>
        <v>0</v>
      </c>
      <c r="U9" s="768">
        <f>SUM(Prop2018DistTar!U9,Prop2018TransTar!U9,Prop2018JSTar!U9)</f>
        <v>13.160000000000002</v>
      </c>
      <c r="V9" s="768">
        <f>SUM(Prop2018DistTar!V9,Prop2018TransTar!V9,Prop2018JSTar!V9)</f>
        <v>8.8800000000000008</v>
      </c>
      <c r="W9" s="768">
        <f>SUM(Prop2018DistTar!W9,Prop2018TransTar!W9,Prop2018JSTar!W9)</f>
        <v>3.5199999999999996</v>
      </c>
      <c r="X9" s="769">
        <f>SUM(Prop2018DistTar!X9,Prop2018TransTar!X9,Prop2018JSTar!X9)</f>
        <v>0</v>
      </c>
      <c r="Z9" s="279">
        <v>95</v>
      </c>
      <c r="AA9" s="752">
        <v>0</v>
      </c>
      <c r="AB9" s="752">
        <v>0</v>
      </c>
      <c r="AC9" s="752">
        <v>0</v>
      </c>
      <c r="AD9" s="752">
        <v>0</v>
      </c>
      <c r="AE9" s="752">
        <v>0</v>
      </c>
      <c r="AF9" s="752">
        <v>0</v>
      </c>
      <c r="AG9" s="752">
        <v>0</v>
      </c>
      <c r="AH9" s="752">
        <v>0</v>
      </c>
      <c r="AI9" s="752">
        <v>0</v>
      </c>
      <c r="AJ9" s="752">
        <v>0</v>
      </c>
      <c r="AK9" s="752">
        <v>0</v>
      </c>
      <c r="AL9" s="752">
        <v>0</v>
      </c>
      <c r="AM9" s="752">
        <v>14.4</v>
      </c>
      <c r="AN9" s="752">
        <v>9.7200000000000006</v>
      </c>
      <c r="AO9" s="752">
        <v>3.86</v>
      </c>
      <c r="AP9" s="752">
        <v>0</v>
      </c>
      <c r="AQ9" s="752">
        <v>14.4</v>
      </c>
      <c r="AR9" s="752">
        <v>9.7200000000000006</v>
      </c>
      <c r="AS9" s="752">
        <v>3.86</v>
      </c>
      <c r="AT9" s="753">
        <v>0</v>
      </c>
      <c r="AW9" s="784">
        <f t="shared" si="0"/>
        <v>-0.10526315789473684</v>
      </c>
      <c r="AX9" s="785">
        <f t="shared" si="0"/>
        <v>0</v>
      </c>
      <c r="AY9" s="785">
        <f t="shared" si="0"/>
        <v>0</v>
      </c>
      <c r="AZ9" s="785">
        <f t="shared" si="0"/>
        <v>0</v>
      </c>
      <c r="BA9" s="785">
        <f t="shared" si="0"/>
        <v>0</v>
      </c>
      <c r="BB9" s="785">
        <f t="shared" si="0"/>
        <v>0</v>
      </c>
      <c r="BC9" s="785">
        <f t="shared" si="0"/>
        <v>0</v>
      </c>
      <c r="BD9" s="785">
        <f t="shared" si="0"/>
        <v>0</v>
      </c>
      <c r="BE9" s="785">
        <f t="shared" si="0"/>
        <v>0</v>
      </c>
      <c r="BF9" s="785">
        <f t="shared" si="0"/>
        <v>0</v>
      </c>
      <c r="BG9" s="785">
        <f t="shared" si="0"/>
        <v>0</v>
      </c>
      <c r="BH9" s="785">
        <f t="shared" si="0"/>
        <v>0</v>
      </c>
      <c r="BI9" s="785">
        <f t="shared" si="0"/>
        <v>0</v>
      </c>
      <c r="BJ9" s="785">
        <f t="shared" si="0"/>
        <v>-8.6111111111111027E-2</v>
      </c>
      <c r="BK9" s="785">
        <f t="shared" si="0"/>
        <v>-8.6419753086419693E-2</v>
      </c>
      <c r="BL9" s="785">
        <f t="shared" si="0"/>
        <v>-8.8082901554404236E-2</v>
      </c>
      <c r="BM9" s="785">
        <f t="shared" si="1"/>
        <v>0</v>
      </c>
      <c r="BN9" s="785">
        <f t="shared" si="1"/>
        <v>-8.6111111111111027E-2</v>
      </c>
      <c r="BO9" s="785">
        <f t="shared" si="1"/>
        <v>-8.6419753086419693E-2</v>
      </c>
      <c r="BP9" s="785">
        <f t="shared" si="1"/>
        <v>-8.8082901554404236E-2</v>
      </c>
      <c r="BQ9" s="786">
        <f t="shared" si="1"/>
        <v>0</v>
      </c>
      <c r="BR9" s="553" t="str">
        <f t="array" ref="BR9">IF(MAX(ABS(AW9:BQ9))&gt;$BR$4,"EXPLAIN","")</f>
        <v>EXPLAIN</v>
      </c>
      <c r="BW9" s="748"/>
      <c r="BX9" s="748"/>
      <c r="BY9" s="748"/>
      <c r="BZ9" s="748"/>
      <c r="CA9" s="748"/>
      <c r="CB9" s="748"/>
      <c r="CC9" s="748"/>
      <c r="CD9" s="748"/>
      <c r="CE9" s="748"/>
      <c r="CF9" s="748"/>
      <c r="CG9" s="748"/>
      <c r="CH9" s="748"/>
      <c r="CI9" s="748"/>
      <c r="CJ9" s="748"/>
      <c r="CK9" s="748"/>
      <c r="CL9" s="748"/>
      <c r="CM9" s="748"/>
      <c r="CN9" s="748"/>
      <c r="CO9" s="748"/>
      <c r="CP9" s="748"/>
      <c r="CQ9" s="748"/>
      <c r="CR9" s="748"/>
      <c r="CS9" s="748"/>
    </row>
    <row r="10" spans="1:97">
      <c r="A10" s="748" t="str">
        <f>Prop2018DistTar!A10</f>
        <v>C13RB</v>
      </c>
      <c r="B10" s="750" t="s">
        <v>710</v>
      </c>
      <c r="C10" s="750" t="str">
        <f>Prop2018DistTar!C10</f>
        <v>Residential - flexible pricing bulk</v>
      </c>
      <c r="D10" s="767">
        <f>SUM(Prop2018DistTar!D10,Prop2018TransTar!D10,Prop2018JSTar!D10)</f>
        <v>75</v>
      </c>
      <c r="E10" s="768">
        <f>SUM(Prop2018DistTar!E10,Prop2018TransTar!E10,Prop2018JSTar!E10)</f>
        <v>0</v>
      </c>
      <c r="F10" s="768">
        <f>SUM(Prop2018DistTar!F10,Prop2018TransTar!F10,Prop2018JSTar!F10)</f>
        <v>0</v>
      </c>
      <c r="G10" s="768">
        <f>SUM(Prop2018DistTar!G10,Prop2018TransTar!G10,Prop2018JSTar!G10)</f>
        <v>0</v>
      </c>
      <c r="H10" s="768">
        <f>SUM(Prop2018DistTar!H10,Prop2018TransTar!H10,Prop2018JSTar!H10)</f>
        <v>0</v>
      </c>
      <c r="I10" s="768">
        <f>SUM(Prop2018DistTar!I10,Prop2018TransTar!I10,Prop2018JSTar!I10)</f>
        <v>0</v>
      </c>
      <c r="J10" s="768">
        <f>SUM(Prop2018DistTar!J10,Prop2018TransTar!J10,Prop2018JSTar!J10)</f>
        <v>0</v>
      </c>
      <c r="K10" s="768">
        <f>SUM(Prop2018DistTar!K10,Prop2018TransTar!K10,Prop2018JSTar!K10)</f>
        <v>0</v>
      </c>
      <c r="L10" s="768">
        <f>SUM(Prop2018DistTar!L10,Prop2018TransTar!L10,Prop2018JSTar!L10)</f>
        <v>0</v>
      </c>
      <c r="M10" s="768">
        <f>SUM(Prop2018DistTar!M10,Prop2018TransTar!M10,Prop2018JSTar!M10)</f>
        <v>0</v>
      </c>
      <c r="N10" s="768">
        <f>SUM(Prop2018DistTar!N10,Prop2018TransTar!N10,Prop2018JSTar!N10)</f>
        <v>0</v>
      </c>
      <c r="O10" s="768">
        <f>SUM(Prop2018DistTar!O10,Prop2018TransTar!O10,Prop2018JSTar!O10)</f>
        <v>0</v>
      </c>
      <c r="P10" s="768">
        <f>SUM(Prop2018DistTar!P10,Prop2018TransTar!P10,Prop2018JSTar!P10)</f>
        <v>0</v>
      </c>
      <c r="Q10" s="768">
        <f>SUM(Prop2018DistTar!Q10,Prop2018TransTar!Q10,Prop2018JSTar!Q10)</f>
        <v>10.530000000000001</v>
      </c>
      <c r="R10" s="768">
        <f>SUM(Prop2018DistTar!R10,Prop2018TransTar!R10,Prop2018JSTar!R10)</f>
        <v>7.11</v>
      </c>
      <c r="S10" s="768">
        <f>SUM(Prop2018DistTar!S10,Prop2018TransTar!S10,Prop2018JSTar!S10)</f>
        <v>2.82</v>
      </c>
      <c r="T10" s="768">
        <f>SUM(Prop2018DistTar!T10,Prop2018TransTar!T10,Prop2018JSTar!T10)</f>
        <v>0</v>
      </c>
      <c r="U10" s="768">
        <f>SUM(Prop2018DistTar!U10,Prop2018TransTar!U10,Prop2018JSTar!U10)</f>
        <v>10.530000000000001</v>
      </c>
      <c r="V10" s="768">
        <f>SUM(Prop2018DistTar!V10,Prop2018TransTar!V10,Prop2018JSTar!V10)</f>
        <v>7.11</v>
      </c>
      <c r="W10" s="768">
        <f>SUM(Prop2018DistTar!W10,Prop2018TransTar!W10,Prop2018JSTar!W10)</f>
        <v>2.82</v>
      </c>
      <c r="X10" s="769">
        <f>SUM(Prop2018DistTar!X10,Prop2018TransTar!X10,Prop2018JSTar!X10)</f>
        <v>0</v>
      </c>
      <c r="Z10" s="279">
        <v>85</v>
      </c>
      <c r="AA10" s="752">
        <v>0</v>
      </c>
      <c r="AB10" s="752">
        <v>0</v>
      </c>
      <c r="AC10" s="752">
        <v>0</v>
      </c>
      <c r="AD10" s="752">
        <v>0</v>
      </c>
      <c r="AE10" s="752">
        <v>0</v>
      </c>
      <c r="AF10" s="752">
        <v>0</v>
      </c>
      <c r="AG10" s="752">
        <v>0</v>
      </c>
      <c r="AH10" s="752">
        <v>0</v>
      </c>
      <c r="AI10" s="752">
        <v>0</v>
      </c>
      <c r="AJ10" s="752">
        <v>0</v>
      </c>
      <c r="AK10" s="752">
        <v>0</v>
      </c>
      <c r="AL10" s="752">
        <v>0</v>
      </c>
      <c r="AM10" s="752">
        <v>11.52</v>
      </c>
      <c r="AN10" s="752">
        <v>7.78</v>
      </c>
      <c r="AO10" s="752">
        <v>3.09</v>
      </c>
      <c r="AP10" s="752">
        <v>0</v>
      </c>
      <c r="AQ10" s="752">
        <v>11.52</v>
      </c>
      <c r="AR10" s="752">
        <v>7.78</v>
      </c>
      <c r="AS10" s="752">
        <v>3.09</v>
      </c>
      <c r="AT10" s="753">
        <v>0</v>
      </c>
      <c r="AW10" s="784">
        <f t="shared" si="0"/>
        <v>-0.11764705882352944</v>
      </c>
      <c r="AX10" s="785">
        <f t="shared" si="0"/>
        <v>0</v>
      </c>
      <c r="AY10" s="785">
        <f t="shared" si="0"/>
        <v>0</v>
      </c>
      <c r="AZ10" s="785">
        <f t="shared" si="0"/>
        <v>0</v>
      </c>
      <c r="BA10" s="785">
        <f t="shared" si="0"/>
        <v>0</v>
      </c>
      <c r="BB10" s="785">
        <f t="shared" si="0"/>
        <v>0</v>
      </c>
      <c r="BC10" s="785">
        <f t="shared" si="0"/>
        <v>0</v>
      </c>
      <c r="BD10" s="785">
        <f t="shared" si="0"/>
        <v>0</v>
      </c>
      <c r="BE10" s="785">
        <f t="shared" si="0"/>
        <v>0</v>
      </c>
      <c r="BF10" s="785">
        <f t="shared" si="0"/>
        <v>0</v>
      </c>
      <c r="BG10" s="785">
        <f t="shared" si="0"/>
        <v>0</v>
      </c>
      <c r="BH10" s="785">
        <f t="shared" si="0"/>
        <v>0</v>
      </c>
      <c r="BI10" s="785">
        <f t="shared" si="0"/>
        <v>0</v>
      </c>
      <c r="BJ10" s="785">
        <f t="shared" si="0"/>
        <v>-8.5937499999999889E-2</v>
      </c>
      <c r="BK10" s="785">
        <f t="shared" si="0"/>
        <v>-8.6118251928020584E-2</v>
      </c>
      <c r="BL10" s="785">
        <f t="shared" si="0"/>
        <v>-8.737864077669899E-2</v>
      </c>
      <c r="BM10" s="785">
        <f t="shared" si="1"/>
        <v>0</v>
      </c>
      <c r="BN10" s="785">
        <f t="shared" si="1"/>
        <v>-8.5937499999999889E-2</v>
      </c>
      <c r="BO10" s="785">
        <f t="shared" si="1"/>
        <v>-8.6118251928020584E-2</v>
      </c>
      <c r="BP10" s="785">
        <f t="shared" si="1"/>
        <v>-8.737864077669899E-2</v>
      </c>
      <c r="BQ10" s="786">
        <f t="shared" si="1"/>
        <v>0</v>
      </c>
      <c r="BR10" s="553" t="str">
        <f t="array" ref="BR10">IF(MAX(ABS(AW10:BQ10))&gt;$BR$4,"EXPLAIN","")</f>
        <v>EXPLAIN</v>
      </c>
      <c r="BW10" s="748"/>
      <c r="BX10" s="748"/>
      <c r="BY10" s="748"/>
      <c r="BZ10" s="748"/>
      <c r="CA10" s="748"/>
      <c r="CB10" s="748"/>
      <c r="CC10" s="748"/>
      <c r="CD10" s="748"/>
      <c r="CE10" s="748"/>
      <c r="CF10" s="748"/>
      <c r="CG10" s="748"/>
      <c r="CH10" s="748"/>
      <c r="CI10" s="748"/>
      <c r="CJ10" s="748"/>
      <c r="CK10" s="748"/>
      <c r="CL10" s="748"/>
      <c r="CM10" s="748"/>
      <c r="CN10" s="748"/>
      <c r="CO10" s="748"/>
      <c r="CP10" s="748"/>
      <c r="CQ10" s="748"/>
      <c r="CR10" s="748"/>
      <c r="CS10" s="748"/>
    </row>
    <row r="11" spans="1:97">
      <c r="A11" s="748" t="str">
        <f>Prop2018DistTar!A11</f>
        <v>C2R</v>
      </c>
      <c r="B11" s="750" t="s">
        <v>711</v>
      </c>
      <c r="C11" s="750" t="str">
        <f>Prop2018DistTar!C11</f>
        <v>Residential Two Rate 5d</v>
      </c>
      <c r="D11" s="767">
        <f>SUM(Prop2018DistTar!D11,Prop2018TransTar!D11,Prop2018JSTar!D11)</f>
        <v>85</v>
      </c>
      <c r="E11" s="768">
        <f>SUM(Prop2018DistTar!E11,Prop2018TransTar!E11,Prop2018JSTar!E11)</f>
        <v>0</v>
      </c>
      <c r="F11" s="768">
        <f>SUM(Prop2018DistTar!F11,Prop2018TransTar!F11,Prop2018JSTar!F11)</f>
        <v>11.870000000000001</v>
      </c>
      <c r="G11" s="768">
        <f>SUM(Prop2018DistTar!G11,Prop2018TransTar!G11,Prop2018JSTar!G11)</f>
        <v>0</v>
      </c>
      <c r="H11" s="768">
        <f>SUM(Prop2018DistTar!H11,Prop2018TransTar!H11,Prop2018JSTar!H11)</f>
        <v>0</v>
      </c>
      <c r="I11" s="768">
        <f>SUM(Prop2018DistTar!I11,Prop2018TransTar!I11,Prop2018JSTar!I11)</f>
        <v>2.57</v>
      </c>
      <c r="J11" s="768">
        <f>SUM(Prop2018DistTar!J11,Prop2018TransTar!J11,Prop2018JSTar!J11)</f>
        <v>0</v>
      </c>
      <c r="K11" s="768">
        <f>SUM(Prop2018DistTar!K11,Prop2018TransTar!K11,Prop2018JSTar!K11)</f>
        <v>0</v>
      </c>
      <c r="L11" s="768">
        <f>SUM(Prop2018DistTar!L11,Prop2018TransTar!L11,Prop2018JSTar!L11)</f>
        <v>0</v>
      </c>
      <c r="M11" s="768">
        <f>SUM(Prop2018DistTar!M11,Prop2018TransTar!M11,Prop2018JSTar!M11)</f>
        <v>0</v>
      </c>
      <c r="N11" s="768">
        <f>SUM(Prop2018DistTar!N11,Prop2018TransTar!N11,Prop2018JSTar!N11)</f>
        <v>0</v>
      </c>
      <c r="O11" s="768">
        <f>SUM(Prop2018DistTar!O11,Prop2018TransTar!O11,Prop2018JSTar!O11)</f>
        <v>0</v>
      </c>
      <c r="P11" s="768">
        <f>SUM(Prop2018DistTar!P11,Prop2018TransTar!P11,Prop2018JSTar!P11)</f>
        <v>0</v>
      </c>
      <c r="Q11" s="768">
        <f>SUM(Prop2018DistTar!Q11,Prop2018TransTar!Q11,Prop2018JSTar!Q11)</f>
        <v>0</v>
      </c>
      <c r="R11" s="768">
        <f>SUM(Prop2018DistTar!R11,Prop2018TransTar!R11,Prop2018JSTar!R11)</f>
        <v>0</v>
      </c>
      <c r="S11" s="768">
        <f>SUM(Prop2018DistTar!S11,Prop2018TransTar!S11,Prop2018JSTar!S11)</f>
        <v>0</v>
      </c>
      <c r="T11" s="768">
        <f>SUM(Prop2018DistTar!T11,Prop2018TransTar!T11,Prop2018JSTar!T11)</f>
        <v>0</v>
      </c>
      <c r="U11" s="768">
        <f>SUM(Prop2018DistTar!U11,Prop2018TransTar!U11,Prop2018JSTar!U11)</f>
        <v>0</v>
      </c>
      <c r="V11" s="768">
        <f>SUM(Prop2018DistTar!V11,Prop2018TransTar!V11,Prop2018JSTar!V11)</f>
        <v>0</v>
      </c>
      <c r="W11" s="768">
        <f>SUM(Prop2018DistTar!W11,Prop2018TransTar!W11,Prop2018JSTar!W11)</f>
        <v>0</v>
      </c>
      <c r="X11" s="769">
        <f>SUM(Prop2018DistTar!X11,Prop2018TransTar!X11,Prop2018JSTar!X11)</f>
        <v>0</v>
      </c>
      <c r="Z11" s="279">
        <v>95</v>
      </c>
      <c r="AA11" s="752">
        <v>0</v>
      </c>
      <c r="AB11" s="752">
        <v>12.34</v>
      </c>
      <c r="AC11" s="752">
        <v>0</v>
      </c>
      <c r="AD11" s="752">
        <v>0</v>
      </c>
      <c r="AE11" s="752">
        <v>2.67</v>
      </c>
      <c r="AF11" s="752">
        <v>0</v>
      </c>
      <c r="AG11" s="752">
        <v>0</v>
      </c>
      <c r="AH11" s="752">
        <v>0</v>
      </c>
      <c r="AI11" s="752">
        <v>0</v>
      </c>
      <c r="AJ11" s="752">
        <v>0</v>
      </c>
      <c r="AK11" s="752">
        <v>0</v>
      </c>
      <c r="AL11" s="752">
        <v>0</v>
      </c>
      <c r="AM11" s="752">
        <v>0</v>
      </c>
      <c r="AN11" s="752">
        <v>0</v>
      </c>
      <c r="AO11" s="752">
        <v>0</v>
      </c>
      <c r="AP11" s="752">
        <v>0</v>
      </c>
      <c r="AQ11" s="752">
        <v>0</v>
      </c>
      <c r="AR11" s="752">
        <v>0</v>
      </c>
      <c r="AS11" s="752">
        <v>0</v>
      </c>
      <c r="AT11" s="753">
        <v>0</v>
      </c>
      <c r="AW11" s="784">
        <f t="shared" si="0"/>
        <v>-0.10526315789473684</v>
      </c>
      <c r="AX11" s="785">
        <f t="shared" si="0"/>
        <v>0</v>
      </c>
      <c r="AY11" s="785">
        <f t="shared" si="0"/>
        <v>-3.8087520259319163E-2</v>
      </c>
      <c r="AZ11" s="785">
        <f t="shared" si="0"/>
        <v>0</v>
      </c>
      <c r="BA11" s="785">
        <f t="shared" si="0"/>
        <v>0</v>
      </c>
      <c r="BB11" s="785">
        <f t="shared" si="0"/>
        <v>-3.7453183520599231E-2</v>
      </c>
      <c r="BC11" s="785">
        <f t="shared" si="0"/>
        <v>0</v>
      </c>
      <c r="BD11" s="785">
        <f t="shared" si="0"/>
        <v>0</v>
      </c>
      <c r="BE11" s="785">
        <f t="shared" si="0"/>
        <v>0</v>
      </c>
      <c r="BF11" s="785">
        <f t="shared" si="0"/>
        <v>0</v>
      </c>
      <c r="BG11" s="785">
        <f t="shared" si="0"/>
        <v>0</v>
      </c>
      <c r="BH11" s="785">
        <f t="shared" si="0"/>
        <v>0</v>
      </c>
      <c r="BI11" s="785">
        <f t="shared" si="0"/>
        <v>0</v>
      </c>
      <c r="BJ11" s="785">
        <f t="shared" si="0"/>
        <v>0</v>
      </c>
      <c r="BK11" s="785">
        <f t="shared" si="0"/>
        <v>0</v>
      </c>
      <c r="BL11" s="785">
        <f t="shared" si="0"/>
        <v>0</v>
      </c>
      <c r="BM11" s="785">
        <f t="shared" si="1"/>
        <v>0</v>
      </c>
      <c r="BN11" s="785">
        <f t="shared" si="1"/>
        <v>0</v>
      </c>
      <c r="BO11" s="785">
        <f t="shared" si="1"/>
        <v>0</v>
      </c>
      <c r="BP11" s="785">
        <f t="shared" si="1"/>
        <v>0</v>
      </c>
      <c r="BQ11" s="786">
        <f t="shared" si="1"/>
        <v>0</v>
      </c>
      <c r="BR11" s="553" t="str">
        <f t="array" ref="BR11">IF(MAX(ABS(AW11:BQ11))&gt;$BR$4,"EXPLAIN","")</f>
        <v>EXPLAIN</v>
      </c>
      <c r="BW11" s="748"/>
      <c r="BX11" s="748"/>
      <c r="BY11" s="748"/>
      <c r="BZ11" s="748"/>
      <c r="CA11" s="748"/>
      <c r="CB11" s="748"/>
      <c r="CC11" s="748"/>
      <c r="CD11" s="748"/>
      <c r="CE11" s="748"/>
      <c r="CF11" s="748"/>
      <c r="CG11" s="748"/>
      <c r="CH11" s="748"/>
      <c r="CI11" s="748"/>
      <c r="CJ11" s="748"/>
      <c r="CK11" s="748"/>
      <c r="CL11" s="748"/>
      <c r="CM11" s="748"/>
      <c r="CN11" s="748"/>
      <c r="CO11" s="748"/>
      <c r="CP11" s="748"/>
      <c r="CQ11" s="748"/>
      <c r="CR11" s="748"/>
      <c r="CS11" s="748"/>
    </row>
    <row r="12" spans="1:97">
      <c r="A12" s="748" t="str">
        <f>Prop2018DistTar!A12</f>
        <v>C2RB</v>
      </c>
      <c r="B12" s="750" t="s">
        <v>712</v>
      </c>
      <c r="C12" s="750" t="str">
        <f>Prop2018DistTar!C12</f>
        <v>Residential Two Rate 5d - Bulk</v>
      </c>
      <c r="D12" s="767">
        <f>SUM(Prop2018DistTar!D12,Prop2018TransTar!D12,Prop2018JSTar!D12)</f>
        <v>75</v>
      </c>
      <c r="E12" s="768">
        <f>SUM(Prop2018DistTar!E12,Prop2018TransTar!E12,Prop2018JSTar!E12)</f>
        <v>0</v>
      </c>
      <c r="F12" s="768">
        <f>SUM(Prop2018DistTar!F12,Prop2018TransTar!F12,Prop2018JSTar!F12)</f>
        <v>10.110000000000001</v>
      </c>
      <c r="G12" s="768">
        <f>SUM(Prop2018DistTar!G12,Prop2018TransTar!G12,Prop2018JSTar!G12)</f>
        <v>0</v>
      </c>
      <c r="H12" s="768">
        <f>SUM(Prop2018DistTar!H12,Prop2018TransTar!H12,Prop2018JSTar!H12)</f>
        <v>0</v>
      </c>
      <c r="I12" s="768">
        <f>SUM(Prop2018DistTar!I12,Prop2018TransTar!I12,Prop2018JSTar!I12)</f>
        <v>2.34</v>
      </c>
      <c r="J12" s="768">
        <f>SUM(Prop2018DistTar!J12,Prop2018TransTar!J12,Prop2018JSTar!J12)</f>
        <v>0</v>
      </c>
      <c r="K12" s="768">
        <f>SUM(Prop2018DistTar!K12,Prop2018TransTar!K12,Prop2018JSTar!K12)</f>
        <v>0</v>
      </c>
      <c r="L12" s="768">
        <f>SUM(Prop2018DistTar!L12,Prop2018TransTar!L12,Prop2018JSTar!L12)</f>
        <v>0</v>
      </c>
      <c r="M12" s="768">
        <f>SUM(Prop2018DistTar!M12,Prop2018TransTar!M12,Prop2018JSTar!M12)</f>
        <v>0</v>
      </c>
      <c r="N12" s="768">
        <f>SUM(Prop2018DistTar!N12,Prop2018TransTar!N12,Prop2018JSTar!N12)</f>
        <v>0</v>
      </c>
      <c r="O12" s="768">
        <f>SUM(Prop2018DistTar!O12,Prop2018TransTar!O12,Prop2018JSTar!O12)</f>
        <v>0</v>
      </c>
      <c r="P12" s="768">
        <f>SUM(Prop2018DistTar!P12,Prop2018TransTar!P12,Prop2018JSTar!P12)</f>
        <v>0</v>
      </c>
      <c r="Q12" s="768">
        <f>SUM(Prop2018DistTar!Q12,Prop2018TransTar!Q12,Prop2018JSTar!Q12)</f>
        <v>0</v>
      </c>
      <c r="R12" s="768">
        <f>SUM(Prop2018DistTar!R12,Prop2018TransTar!R12,Prop2018JSTar!R12)</f>
        <v>0</v>
      </c>
      <c r="S12" s="768">
        <f>SUM(Prop2018DistTar!S12,Prop2018TransTar!S12,Prop2018JSTar!S12)</f>
        <v>0</v>
      </c>
      <c r="T12" s="768">
        <f>SUM(Prop2018DistTar!T12,Prop2018TransTar!T12,Prop2018JSTar!T12)</f>
        <v>0</v>
      </c>
      <c r="U12" s="768">
        <f>SUM(Prop2018DistTar!U12,Prop2018TransTar!U12,Prop2018JSTar!U12)</f>
        <v>0</v>
      </c>
      <c r="V12" s="768">
        <f>SUM(Prop2018DistTar!V12,Prop2018TransTar!V12,Prop2018JSTar!V12)</f>
        <v>0</v>
      </c>
      <c r="W12" s="768">
        <f>SUM(Prop2018DistTar!W12,Prop2018TransTar!W12,Prop2018JSTar!W12)</f>
        <v>0</v>
      </c>
      <c r="X12" s="769">
        <f>SUM(Prop2018DistTar!X12,Prop2018TransTar!X12,Prop2018JSTar!X12)</f>
        <v>0</v>
      </c>
      <c r="Z12" s="279">
        <v>85</v>
      </c>
      <c r="AA12" s="752">
        <v>0</v>
      </c>
      <c r="AB12" s="752">
        <v>9.7799999999999994</v>
      </c>
      <c r="AC12" s="752">
        <v>0</v>
      </c>
      <c r="AD12" s="752">
        <v>0</v>
      </c>
      <c r="AE12" s="752">
        <v>2.27</v>
      </c>
      <c r="AF12" s="752">
        <v>0</v>
      </c>
      <c r="AG12" s="752">
        <v>0</v>
      </c>
      <c r="AH12" s="752">
        <v>0</v>
      </c>
      <c r="AI12" s="752">
        <v>0</v>
      </c>
      <c r="AJ12" s="752">
        <v>0</v>
      </c>
      <c r="AK12" s="752">
        <v>0</v>
      </c>
      <c r="AL12" s="752">
        <v>0</v>
      </c>
      <c r="AM12" s="752">
        <v>0</v>
      </c>
      <c r="AN12" s="752">
        <v>0</v>
      </c>
      <c r="AO12" s="752">
        <v>0</v>
      </c>
      <c r="AP12" s="752">
        <v>0</v>
      </c>
      <c r="AQ12" s="752">
        <v>0</v>
      </c>
      <c r="AR12" s="752">
        <v>0</v>
      </c>
      <c r="AS12" s="752">
        <v>0</v>
      </c>
      <c r="AT12" s="753">
        <v>0</v>
      </c>
      <c r="AW12" s="784">
        <f t="shared" si="0"/>
        <v>-0.11764705882352944</v>
      </c>
      <c r="AX12" s="785">
        <f t="shared" si="0"/>
        <v>0</v>
      </c>
      <c r="AY12" s="785">
        <f t="shared" si="0"/>
        <v>3.3742331288343808E-2</v>
      </c>
      <c r="AZ12" s="785">
        <f t="shared" si="0"/>
        <v>0</v>
      </c>
      <c r="BA12" s="785">
        <f t="shared" si="0"/>
        <v>0</v>
      </c>
      <c r="BB12" s="785">
        <f t="shared" si="0"/>
        <v>3.0837004405286361E-2</v>
      </c>
      <c r="BC12" s="785">
        <f t="shared" si="0"/>
        <v>0</v>
      </c>
      <c r="BD12" s="785">
        <f t="shared" si="0"/>
        <v>0</v>
      </c>
      <c r="BE12" s="785">
        <f t="shared" si="0"/>
        <v>0</v>
      </c>
      <c r="BF12" s="785">
        <f t="shared" si="0"/>
        <v>0</v>
      </c>
      <c r="BG12" s="785">
        <f t="shared" si="0"/>
        <v>0</v>
      </c>
      <c r="BH12" s="785">
        <f t="shared" si="0"/>
        <v>0</v>
      </c>
      <c r="BI12" s="785">
        <f t="shared" si="0"/>
        <v>0</v>
      </c>
      <c r="BJ12" s="785">
        <f t="shared" si="0"/>
        <v>0</v>
      </c>
      <c r="BK12" s="785">
        <f t="shared" si="0"/>
        <v>0</v>
      </c>
      <c r="BL12" s="785">
        <f t="shared" si="0"/>
        <v>0</v>
      </c>
      <c r="BM12" s="785">
        <f t="shared" si="1"/>
        <v>0</v>
      </c>
      <c r="BN12" s="785">
        <f t="shared" si="1"/>
        <v>0</v>
      </c>
      <c r="BO12" s="785">
        <f t="shared" si="1"/>
        <v>0</v>
      </c>
      <c r="BP12" s="785">
        <f t="shared" si="1"/>
        <v>0</v>
      </c>
      <c r="BQ12" s="786">
        <f t="shared" si="1"/>
        <v>0</v>
      </c>
      <c r="BR12" s="553" t="str">
        <f t="array" ref="BR12">IF(MAX(ABS(AW12:BQ12))&gt;$BR$4,"EXPLAIN","")</f>
        <v>EXPLAIN</v>
      </c>
      <c r="BW12" s="748"/>
      <c r="BX12" s="748"/>
      <c r="BY12" s="748"/>
      <c r="BZ12" s="748"/>
      <c r="CA12" s="748"/>
      <c r="CB12" s="748"/>
      <c r="CC12" s="748"/>
      <c r="CD12" s="748"/>
      <c r="CE12" s="748"/>
      <c r="CF12" s="748"/>
      <c r="CG12" s="748"/>
      <c r="CH12" s="748"/>
      <c r="CI12" s="748"/>
      <c r="CJ12" s="748"/>
      <c r="CK12" s="748"/>
      <c r="CL12" s="748"/>
      <c r="CM12" s="748"/>
      <c r="CN12" s="748"/>
      <c r="CO12" s="748"/>
      <c r="CP12" s="748"/>
      <c r="CQ12" s="748"/>
      <c r="CR12" s="748"/>
      <c r="CS12" s="748"/>
    </row>
    <row r="13" spans="1:97">
      <c r="A13" s="748" t="str">
        <f>Prop2018DistTar!A13</f>
        <v>C3R</v>
      </c>
      <c r="B13" s="750" t="s">
        <v>733</v>
      </c>
      <c r="C13" s="750" t="str">
        <f>Prop2018DistTar!C13</f>
        <v>Residential Interval</v>
      </c>
      <c r="D13" s="767">
        <f>SUM(Prop2018DistTar!D13,Prop2018TransTar!D13,Prop2018JSTar!D13)</f>
        <v>85</v>
      </c>
      <c r="E13" s="768">
        <f>SUM(Prop2018DistTar!E13,Prop2018TransTar!E13,Prop2018JSTar!E13)</f>
        <v>0</v>
      </c>
      <c r="F13" s="768">
        <f>SUM(Prop2018DistTar!F13,Prop2018TransTar!F13,Prop2018JSTar!F13)</f>
        <v>11.870000000000001</v>
      </c>
      <c r="G13" s="768">
        <f>SUM(Prop2018DistTar!G13,Prop2018TransTar!G13,Prop2018JSTar!G13)</f>
        <v>0</v>
      </c>
      <c r="H13" s="768">
        <f>SUM(Prop2018DistTar!H13,Prop2018TransTar!H13,Prop2018JSTar!H13)</f>
        <v>0</v>
      </c>
      <c r="I13" s="768">
        <f>SUM(Prop2018DistTar!I13,Prop2018TransTar!I13,Prop2018JSTar!I13)</f>
        <v>2.57</v>
      </c>
      <c r="J13" s="768">
        <f>SUM(Prop2018DistTar!J13,Prop2018TransTar!J13,Prop2018JSTar!J13)</f>
        <v>0</v>
      </c>
      <c r="K13" s="768">
        <f>SUM(Prop2018DistTar!K13,Prop2018TransTar!K13,Prop2018JSTar!K13)</f>
        <v>0</v>
      </c>
      <c r="L13" s="768">
        <f>SUM(Prop2018DistTar!L13,Prop2018TransTar!L13,Prop2018JSTar!L13)</f>
        <v>0</v>
      </c>
      <c r="M13" s="768">
        <f>SUM(Prop2018DistTar!M13,Prop2018TransTar!M13,Prop2018JSTar!M13)</f>
        <v>0</v>
      </c>
      <c r="N13" s="768">
        <f>SUM(Prop2018DistTar!N13,Prop2018TransTar!N13,Prop2018JSTar!N13)</f>
        <v>0</v>
      </c>
      <c r="O13" s="768">
        <f>SUM(Prop2018DistTar!O13,Prop2018TransTar!O13,Prop2018JSTar!O13)</f>
        <v>0</v>
      </c>
      <c r="P13" s="768">
        <f>SUM(Prop2018DistTar!P13,Prop2018TransTar!P13,Prop2018JSTar!P13)</f>
        <v>0</v>
      </c>
      <c r="Q13" s="768">
        <f>SUM(Prop2018DistTar!Q13,Prop2018TransTar!Q13,Prop2018JSTar!Q13)</f>
        <v>0</v>
      </c>
      <c r="R13" s="768">
        <f>SUM(Prop2018DistTar!R13,Prop2018TransTar!R13,Prop2018JSTar!R13)</f>
        <v>0</v>
      </c>
      <c r="S13" s="768">
        <f>SUM(Prop2018DistTar!S13,Prop2018TransTar!S13,Prop2018JSTar!S13)</f>
        <v>0</v>
      </c>
      <c r="T13" s="768">
        <f>SUM(Prop2018DistTar!T13,Prop2018TransTar!T13,Prop2018JSTar!T13)</f>
        <v>0</v>
      </c>
      <c r="U13" s="768">
        <f>SUM(Prop2018DistTar!U13,Prop2018TransTar!U13,Prop2018JSTar!U13)</f>
        <v>0</v>
      </c>
      <c r="V13" s="768">
        <f>SUM(Prop2018DistTar!V13,Prop2018TransTar!V13,Prop2018JSTar!V13)</f>
        <v>0</v>
      </c>
      <c r="W13" s="768">
        <f>SUM(Prop2018DistTar!W13,Prop2018TransTar!W13,Prop2018JSTar!W13)</f>
        <v>0</v>
      </c>
      <c r="X13" s="769">
        <f>SUM(Prop2018DistTar!X13,Prop2018TransTar!X13,Prop2018JSTar!X13)</f>
        <v>0</v>
      </c>
      <c r="Z13" s="279">
        <v>95</v>
      </c>
      <c r="AA13" s="752">
        <v>0</v>
      </c>
      <c r="AB13" s="752">
        <v>12.34</v>
      </c>
      <c r="AC13" s="752">
        <v>0</v>
      </c>
      <c r="AD13" s="752">
        <v>0</v>
      </c>
      <c r="AE13" s="752">
        <v>2.67</v>
      </c>
      <c r="AF13" s="752">
        <v>0</v>
      </c>
      <c r="AG13" s="752">
        <v>0</v>
      </c>
      <c r="AH13" s="752">
        <v>0</v>
      </c>
      <c r="AI13" s="752">
        <v>0</v>
      </c>
      <c r="AJ13" s="752">
        <v>0</v>
      </c>
      <c r="AK13" s="752">
        <v>0</v>
      </c>
      <c r="AL13" s="752">
        <v>0</v>
      </c>
      <c r="AM13" s="752">
        <v>0</v>
      </c>
      <c r="AN13" s="752">
        <v>0</v>
      </c>
      <c r="AO13" s="752">
        <v>0</v>
      </c>
      <c r="AP13" s="752">
        <v>0</v>
      </c>
      <c r="AQ13" s="752">
        <v>0</v>
      </c>
      <c r="AR13" s="752">
        <v>0</v>
      </c>
      <c r="AS13" s="752">
        <v>0</v>
      </c>
      <c r="AT13" s="753">
        <v>0</v>
      </c>
      <c r="AW13" s="784">
        <f t="shared" si="0"/>
        <v>-0.10526315789473684</v>
      </c>
      <c r="AX13" s="785">
        <f t="shared" si="0"/>
        <v>0</v>
      </c>
      <c r="AY13" s="785">
        <f t="shared" si="0"/>
        <v>-3.8087520259319163E-2</v>
      </c>
      <c r="AZ13" s="785">
        <f t="shared" si="0"/>
        <v>0</v>
      </c>
      <c r="BA13" s="785">
        <f t="shared" si="0"/>
        <v>0</v>
      </c>
      <c r="BB13" s="785">
        <f t="shared" si="0"/>
        <v>-3.7453183520599231E-2</v>
      </c>
      <c r="BC13" s="785">
        <f t="shared" si="0"/>
        <v>0</v>
      </c>
      <c r="BD13" s="785">
        <f t="shared" si="0"/>
        <v>0</v>
      </c>
      <c r="BE13" s="785">
        <f t="shared" si="0"/>
        <v>0</v>
      </c>
      <c r="BF13" s="785">
        <f t="shared" si="0"/>
        <v>0</v>
      </c>
      <c r="BG13" s="785">
        <f t="shared" si="0"/>
        <v>0</v>
      </c>
      <c r="BH13" s="785">
        <f t="shared" si="0"/>
        <v>0</v>
      </c>
      <c r="BI13" s="785">
        <f t="shared" si="0"/>
        <v>0</v>
      </c>
      <c r="BJ13" s="785">
        <f t="shared" si="0"/>
        <v>0</v>
      </c>
      <c r="BK13" s="785">
        <f t="shared" si="0"/>
        <v>0</v>
      </c>
      <c r="BL13" s="785">
        <f t="shared" si="0"/>
        <v>0</v>
      </c>
      <c r="BM13" s="785">
        <f t="shared" si="1"/>
        <v>0</v>
      </c>
      <c r="BN13" s="785">
        <f t="shared" si="1"/>
        <v>0</v>
      </c>
      <c r="BO13" s="785">
        <f t="shared" si="1"/>
        <v>0</v>
      </c>
      <c r="BP13" s="785">
        <f t="shared" si="1"/>
        <v>0</v>
      </c>
      <c r="BQ13" s="786">
        <f t="shared" si="1"/>
        <v>0</v>
      </c>
      <c r="BR13" s="553" t="str">
        <f t="array" ref="BR13">IF(MAX(ABS(AW13:BQ13))&gt;$BR$4,"EXPLAIN","")</f>
        <v>EXPLAIN</v>
      </c>
      <c r="BW13" s="748"/>
      <c r="BX13" s="748"/>
      <c r="BY13" s="748"/>
      <c r="BZ13" s="748"/>
      <c r="CA13" s="748"/>
      <c r="CB13" s="748"/>
      <c r="CC13" s="748"/>
      <c r="CD13" s="748"/>
      <c r="CE13" s="748"/>
      <c r="CF13" s="748"/>
      <c r="CG13" s="748"/>
      <c r="CH13" s="748"/>
      <c r="CI13" s="748"/>
      <c r="CJ13" s="748"/>
      <c r="CK13" s="748"/>
      <c r="CL13" s="748"/>
      <c r="CM13" s="748"/>
      <c r="CN13" s="748"/>
      <c r="CO13" s="748"/>
      <c r="CP13" s="748"/>
      <c r="CQ13" s="748"/>
      <c r="CR13" s="748"/>
      <c r="CS13" s="748"/>
    </row>
    <row r="14" spans="1:97">
      <c r="A14" s="748" t="str">
        <f>Prop2018DistTar!A14</f>
        <v>C3RB</v>
      </c>
      <c r="B14" s="750" t="s">
        <v>733</v>
      </c>
      <c r="C14" s="750" t="str">
        <f>Prop2018DistTar!C14</f>
        <v>Residential Interval - Bulk</v>
      </c>
      <c r="D14" s="767">
        <f>SUM(Prop2018DistTar!D14,Prop2018TransTar!D14,Prop2018JSTar!D14)</f>
        <v>75</v>
      </c>
      <c r="E14" s="768">
        <f>SUM(Prop2018DistTar!E14,Prop2018TransTar!E14,Prop2018JSTar!E14)</f>
        <v>0</v>
      </c>
      <c r="F14" s="768">
        <f>SUM(Prop2018DistTar!F14,Prop2018TransTar!F14,Prop2018JSTar!F14)</f>
        <v>10.110000000000001</v>
      </c>
      <c r="G14" s="768">
        <f>SUM(Prop2018DistTar!G14,Prop2018TransTar!G14,Prop2018JSTar!G14)</f>
        <v>0</v>
      </c>
      <c r="H14" s="768">
        <f>SUM(Prop2018DistTar!H14,Prop2018TransTar!H14,Prop2018JSTar!H14)</f>
        <v>0</v>
      </c>
      <c r="I14" s="768">
        <f>SUM(Prop2018DistTar!I14,Prop2018TransTar!I14,Prop2018JSTar!I14)</f>
        <v>2.34</v>
      </c>
      <c r="J14" s="768">
        <f>SUM(Prop2018DistTar!J14,Prop2018TransTar!J14,Prop2018JSTar!J14)</f>
        <v>0</v>
      </c>
      <c r="K14" s="768">
        <f>SUM(Prop2018DistTar!K14,Prop2018TransTar!K14,Prop2018JSTar!K14)</f>
        <v>0</v>
      </c>
      <c r="L14" s="768">
        <f>SUM(Prop2018DistTar!L14,Prop2018TransTar!L14,Prop2018JSTar!L14)</f>
        <v>0</v>
      </c>
      <c r="M14" s="768">
        <f>SUM(Prop2018DistTar!M14,Prop2018TransTar!M14,Prop2018JSTar!M14)</f>
        <v>0</v>
      </c>
      <c r="N14" s="768">
        <f>SUM(Prop2018DistTar!N14,Prop2018TransTar!N14,Prop2018JSTar!N14)</f>
        <v>0</v>
      </c>
      <c r="O14" s="768">
        <f>SUM(Prop2018DistTar!O14,Prop2018TransTar!O14,Prop2018JSTar!O14)</f>
        <v>0</v>
      </c>
      <c r="P14" s="768">
        <f>SUM(Prop2018DistTar!P14,Prop2018TransTar!P14,Prop2018JSTar!P14)</f>
        <v>0</v>
      </c>
      <c r="Q14" s="768">
        <f>SUM(Prop2018DistTar!Q14,Prop2018TransTar!Q14,Prop2018JSTar!Q14)</f>
        <v>0</v>
      </c>
      <c r="R14" s="768">
        <f>SUM(Prop2018DistTar!R14,Prop2018TransTar!R14,Prop2018JSTar!R14)</f>
        <v>0</v>
      </c>
      <c r="S14" s="768">
        <f>SUM(Prop2018DistTar!S14,Prop2018TransTar!S14,Prop2018JSTar!S14)</f>
        <v>0</v>
      </c>
      <c r="T14" s="768">
        <f>SUM(Prop2018DistTar!T14,Prop2018TransTar!T14,Prop2018JSTar!T14)</f>
        <v>0</v>
      </c>
      <c r="U14" s="768">
        <f>SUM(Prop2018DistTar!U14,Prop2018TransTar!U14,Prop2018JSTar!U14)</f>
        <v>0</v>
      </c>
      <c r="V14" s="768">
        <f>SUM(Prop2018DistTar!V14,Prop2018TransTar!V14,Prop2018JSTar!V14)</f>
        <v>0</v>
      </c>
      <c r="W14" s="768">
        <f>SUM(Prop2018DistTar!W14,Prop2018TransTar!W14,Prop2018JSTar!W14)</f>
        <v>0</v>
      </c>
      <c r="X14" s="769">
        <f>SUM(Prop2018DistTar!X14,Prop2018TransTar!X14,Prop2018JSTar!X14)</f>
        <v>0</v>
      </c>
      <c r="Z14" s="279">
        <v>85</v>
      </c>
      <c r="AA14" s="752">
        <v>0</v>
      </c>
      <c r="AB14" s="752">
        <v>9.7799999999999994</v>
      </c>
      <c r="AC14" s="752">
        <v>0</v>
      </c>
      <c r="AD14" s="752">
        <v>0</v>
      </c>
      <c r="AE14" s="752">
        <v>2.27</v>
      </c>
      <c r="AF14" s="752">
        <v>0</v>
      </c>
      <c r="AG14" s="752">
        <v>0</v>
      </c>
      <c r="AH14" s="752">
        <v>0</v>
      </c>
      <c r="AI14" s="752">
        <v>0</v>
      </c>
      <c r="AJ14" s="752">
        <v>0</v>
      </c>
      <c r="AK14" s="752">
        <v>0</v>
      </c>
      <c r="AL14" s="752">
        <v>0</v>
      </c>
      <c r="AM14" s="752">
        <v>0</v>
      </c>
      <c r="AN14" s="752">
        <v>0</v>
      </c>
      <c r="AO14" s="752">
        <v>0</v>
      </c>
      <c r="AP14" s="752">
        <v>0</v>
      </c>
      <c r="AQ14" s="752">
        <v>0</v>
      </c>
      <c r="AR14" s="752">
        <v>0</v>
      </c>
      <c r="AS14" s="752">
        <v>0</v>
      </c>
      <c r="AT14" s="753">
        <v>0</v>
      </c>
      <c r="AW14" s="784">
        <f t="shared" si="0"/>
        <v>-0.11764705882352944</v>
      </c>
      <c r="AX14" s="785">
        <f t="shared" si="0"/>
        <v>0</v>
      </c>
      <c r="AY14" s="785">
        <f t="shared" si="0"/>
        <v>3.3742331288343808E-2</v>
      </c>
      <c r="AZ14" s="785">
        <f t="shared" si="0"/>
        <v>0</v>
      </c>
      <c r="BA14" s="785">
        <f t="shared" si="0"/>
        <v>0</v>
      </c>
      <c r="BB14" s="785">
        <f t="shared" si="0"/>
        <v>3.0837004405286361E-2</v>
      </c>
      <c r="BC14" s="785">
        <f t="shared" si="0"/>
        <v>0</v>
      </c>
      <c r="BD14" s="785">
        <f t="shared" si="0"/>
        <v>0</v>
      </c>
      <c r="BE14" s="785">
        <f t="shared" si="0"/>
        <v>0</v>
      </c>
      <c r="BF14" s="785">
        <f t="shared" si="0"/>
        <v>0</v>
      </c>
      <c r="BG14" s="785">
        <f t="shared" si="0"/>
        <v>0</v>
      </c>
      <c r="BH14" s="785">
        <f t="shared" si="0"/>
        <v>0</v>
      </c>
      <c r="BI14" s="785">
        <f t="shared" si="0"/>
        <v>0</v>
      </c>
      <c r="BJ14" s="785">
        <f t="shared" si="0"/>
        <v>0</v>
      </c>
      <c r="BK14" s="785">
        <f t="shared" si="0"/>
        <v>0</v>
      </c>
      <c r="BL14" s="785">
        <f t="shared" si="0"/>
        <v>0</v>
      </c>
      <c r="BM14" s="785">
        <f t="shared" si="1"/>
        <v>0</v>
      </c>
      <c r="BN14" s="785">
        <f t="shared" si="1"/>
        <v>0</v>
      </c>
      <c r="BO14" s="785">
        <f t="shared" si="1"/>
        <v>0</v>
      </c>
      <c r="BP14" s="785">
        <f t="shared" si="1"/>
        <v>0</v>
      </c>
      <c r="BQ14" s="786">
        <f t="shared" si="1"/>
        <v>0</v>
      </c>
      <c r="BR14" s="553" t="str">
        <f t="array" ref="BR14">IF(MAX(ABS(AW14:BQ14))&gt;$BR$4,"EXPLAIN","")</f>
        <v>EXPLAIN</v>
      </c>
      <c r="BW14" s="748"/>
      <c r="BX14" s="748"/>
      <c r="BY14" s="748"/>
      <c r="BZ14" s="748"/>
      <c r="CA14" s="748"/>
      <c r="CB14" s="748"/>
      <c r="CC14" s="748"/>
      <c r="CD14" s="748"/>
      <c r="CE14" s="748"/>
      <c r="CF14" s="748"/>
      <c r="CG14" s="748"/>
      <c r="CH14" s="748"/>
      <c r="CI14" s="748"/>
      <c r="CJ14" s="748"/>
      <c r="CK14" s="748"/>
      <c r="CL14" s="748"/>
      <c r="CM14" s="748"/>
      <c r="CN14" s="748"/>
      <c r="CO14" s="748"/>
      <c r="CP14" s="748"/>
      <c r="CQ14" s="748"/>
      <c r="CR14" s="748"/>
      <c r="CS14" s="748"/>
    </row>
    <row r="15" spans="1:97">
      <c r="A15" s="748" t="str">
        <f>Prop2018DistTar!A15</f>
        <v>C2ROP</v>
      </c>
      <c r="B15" s="750" t="s">
        <v>715</v>
      </c>
      <c r="C15" s="750" t="str">
        <f>Prop2018DistTar!C15</f>
        <v>Residential Two Rate 5d - Controlled Load</v>
      </c>
      <c r="D15" s="767">
        <f>SUM(Prop2018DistTar!D15,Prop2018TransTar!D15,Prop2018JSTar!D15)</f>
        <v>0</v>
      </c>
      <c r="E15" s="768">
        <f>SUM(Prop2018DistTar!E15,Prop2018TransTar!E15,Prop2018JSTar!E15)</f>
        <v>0</v>
      </c>
      <c r="F15" s="768">
        <f>SUM(Prop2018DistTar!F15,Prop2018TransTar!F15,Prop2018JSTar!F15)</f>
        <v>0</v>
      </c>
      <c r="G15" s="768">
        <f>SUM(Prop2018DistTar!G15,Prop2018TransTar!G15,Prop2018JSTar!G15)</f>
        <v>0</v>
      </c>
      <c r="H15" s="768">
        <f>SUM(Prop2018DistTar!H15,Prop2018TransTar!H15,Prop2018JSTar!H15)</f>
        <v>0</v>
      </c>
      <c r="I15" s="768">
        <f>SUM(Prop2018DistTar!I15,Prop2018TransTar!I15,Prop2018JSTar!I15)</f>
        <v>2.1799999999999997</v>
      </c>
      <c r="J15" s="768">
        <f>SUM(Prop2018DistTar!J15,Prop2018TransTar!J15,Prop2018JSTar!J15)</f>
        <v>0</v>
      </c>
      <c r="K15" s="768">
        <f>SUM(Prop2018DistTar!K15,Prop2018TransTar!K15,Prop2018JSTar!K15)</f>
        <v>0</v>
      </c>
      <c r="L15" s="768">
        <f>SUM(Prop2018DistTar!L15,Prop2018TransTar!L15,Prop2018JSTar!L15)</f>
        <v>0</v>
      </c>
      <c r="M15" s="768">
        <f>SUM(Prop2018DistTar!M15,Prop2018TransTar!M15,Prop2018JSTar!M15)</f>
        <v>0</v>
      </c>
      <c r="N15" s="768">
        <f>SUM(Prop2018DistTar!N15,Prop2018TransTar!N15,Prop2018JSTar!N15)</f>
        <v>0</v>
      </c>
      <c r="O15" s="768">
        <f>SUM(Prop2018DistTar!O15,Prop2018TransTar!O15,Prop2018JSTar!O15)</f>
        <v>0</v>
      </c>
      <c r="P15" s="768">
        <f>SUM(Prop2018DistTar!P15,Prop2018TransTar!P15,Prop2018JSTar!P15)</f>
        <v>0</v>
      </c>
      <c r="Q15" s="768">
        <f>SUM(Prop2018DistTar!Q15,Prop2018TransTar!Q15,Prop2018JSTar!Q15)</f>
        <v>0</v>
      </c>
      <c r="R15" s="768">
        <f>SUM(Prop2018DistTar!R15,Prop2018TransTar!R15,Prop2018JSTar!R15)</f>
        <v>0</v>
      </c>
      <c r="S15" s="768">
        <f>SUM(Prop2018DistTar!S15,Prop2018TransTar!S15,Prop2018JSTar!S15)</f>
        <v>0</v>
      </c>
      <c r="T15" s="768">
        <f>SUM(Prop2018DistTar!T15,Prop2018TransTar!T15,Prop2018JSTar!T15)</f>
        <v>0</v>
      </c>
      <c r="U15" s="768">
        <f>SUM(Prop2018DistTar!U15,Prop2018TransTar!U15,Prop2018JSTar!U15)</f>
        <v>0</v>
      </c>
      <c r="V15" s="768">
        <f>SUM(Prop2018DistTar!V15,Prop2018TransTar!V15,Prop2018JSTar!V15)</f>
        <v>0</v>
      </c>
      <c r="W15" s="768">
        <f>SUM(Prop2018DistTar!W15,Prop2018TransTar!W15,Prop2018JSTar!W15)</f>
        <v>0</v>
      </c>
      <c r="X15" s="769">
        <f>SUM(Prop2018DistTar!X15,Prop2018TransTar!X15,Prop2018JSTar!X15)</f>
        <v>0</v>
      </c>
      <c r="Z15" s="279">
        <v>0</v>
      </c>
      <c r="AA15" s="752">
        <v>0</v>
      </c>
      <c r="AB15" s="752">
        <v>0</v>
      </c>
      <c r="AC15" s="752">
        <v>0</v>
      </c>
      <c r="AD15" s="752">
        <v>0</v>
      </c>
      <c r="AE15" s="752">
        <v>2.27</v>
      </c>
      <c r="AF15" s="752">
        <v>0</v>
      </c>
      <c r="AG15" s="752">
        <v>0</v>
      </c>
      <c r="AH15" s="752">
        <v>0</v>
      </c>
      <c r="AI15" s="752">
        <v>0</v>
      </c>
      <c r="AJ15" s="752">
        <v>0</v>
      </c>
      <c r="AK15" s="752">
        <v>0</v>
      </c>
      <c r="AL15" s="752">
        <v>0</v>
      </c>
      <c r="AM15" s="752">
        <v>0</v>
      </c>
      <c r="AN15" s="752">
        <v>0</v>
      </c>
      <c r="AO15" s="752">
        <v>0</v>
      </c>
      <c r="AP15" s="752">
        <v>0</v>
      </c>
      <c r="AQ15" s="752">
        <v>0</v>
      </c>
      <c r="AR15" s="752">
        <v>0</v>
      </c>
      <c r="AS15" s="752">
        <v>0</v>
      </c>
      <c r="AT15" s="753">
        <v>0</v>
      </c>
      <c r="AW15" s="784">
        <f t="shared" si="0"/>
        <v>0</v>
      </c>
      <c r="AX15" s="785">
        <f t="shared" si="0"/>
        <v>0</v>
      </c>
      <c r="AY15" s="785">
        <f t="shared" si="0"/>
        <v>0</v>
      </c>
      <c r="AZ15" s="785">
        <f t="shared" si="0"/>
        <v>0</v>
      </c>
      <c r="BA15" s="785">
        <f t="shared" si="0"/>
        <v>0</v>
      </c>
      <c r="BB15" s="785">
        <f t="shared" si="0"/>
        <v>-3.9647577092511099E-2</v>
      </c>
      <c r="BC15" s="785">
        <f t="shared" si="0"/>
        <v>0</v>
      </c>
      <c r="BD15" s="785">
        <f t="shared" si="0"/>
        <v>0</v>
      </c>
      <c r="BE15" s="785">
        <f t="shared" si="0"/>
        <v>0</v>
      </c>
      <c r="BF15" s="785">
        <f t="shared" si="0"/>
        <v>0</v>
      </c>
      <c r="BG15" s="785">
        <f t="shared" si="0"/>
        <v>0</v>
      </c>
      <c r="BH15" s="785">
        <f t="shared" si="0"/>
        <v>0</v>
      </c>
      <c r="BI15" s="785">
        <f t="shared" si="0"/>
        <v>0</v>
      </c>
      <c r="BJ15" s="785">
        <f t="shared" si="0"/>
        <v>0</v>
      </c>
      <c r="BK15" s="785">
        <f t="shared" si="0"/>
        <v>0</v>
      </c>
      <c r="BL15" s="785">
        <f t="shared" si="0"/>
        <v>0</v>
      </c>
      <c r="BM15" s="785">
        <f t="shared" si="1"/>
        <v>0</v>
      </c>
      <c r="BN15" s="785">
        <f t="shared" si="1"/>
        <v>0</v>
      </c>
      <c r="BO15" s="785">
        <f t="shared" si="1"/>
        <v>0</v>
      </c>
      <c r="BP15" s="785">
        <f t="shared" si="1"/>
        <v>0</v>
      </c>
      <c r="BQ15" s="786">
        <f t="shared" si="1"/>
        <v>0</v>
      </c>
      <c r="BR15" s="553" t="str">
        <f t="array" ref="BR15">IF(MAX(ABS(AW15:BQ15))&gt;$BR$4,"EXPLAIN","")</f>
        <v/>
      </c>
      <c r="BW15" s="748"/>
      <c r="BX15" s="748"/>
      <c r="BY15" s="748"/>
      <c r="BZ15" s="748"/>
      <c r="CA15" s="748"/>
      <c r="CB15" s="748"/>
      <c r="CC15" s="748"/>
      <c r="CD15" s="748"/>
      <c r="CE15" s="748"/>
      <c r="CF15" s="748"/>
      <c r="CG15" s="748"/>
      <c r="CH15" s="748"/>
      <c r="CI15" s="748"/>
      <c r="CJ15" s="748"/>
      <c r="CK15" s="748"/>
      <c r="CL15" s="748"/>
      <c r="CM15" s="748"/>
      <c r="CN15" s="748"/>
      <c r="CO15" s="748"/>
      <c r="CP15" s="748"/>
      <c r="CQ15" s="748"/>
      <c r="CR15" s="748"/>
      <c r="CS15" s="748"/>
    </row>
    <row r="16" spans="1:97">
      <c r="A16" s="748" t="str">
        <f>Prop2018DistTar!A16</f>
        <v>C2RBOP</v>
      </c>
      <c r="B16" s="750" t="s">
        <v>716</v>
      </c>
      <c r="C16" s="750" t="str">
        <f>Prop2018DistTar!C16</f>
        <v>Residential Two Rate 5d - Bulk - Controlled Load</v>
      </c>
      <c r="D16" s="767">
        <f>SUM(Prop2018DistTar!D16,Prop2018TransTar!D16,Prop2018JSTar!D16)</f>
        <v>0</v>
      </c>
      <c r="E16" s="768">
        <f>SUM(Prop2018DistTar!E16,Prop2018TransTar!E16,Prop2018JSTar!E16)</f>
        <v>0</v>
      </c>
      <c r="F16" s="768">
        <f>SUM(Prop2018DistTar!F16,Prop2018TransTar!F16,Prop2018JSTar!F16)</f>
        <v>0</v>
      </c>
      <c r="G16" s="768">
        <f>SUM(Prop2018DistTar!G16,Prop2018TransTar!G16,Prop2018JSTar!G16)</f>
        <v>0</v>
      </c>
      <c r="H16" s="768">
        <f>SUM(Prop2018DistTar!H16,Prop2018TransTar!H16,Prop2018JSTar!H16)</f>
        <v>0</v>
      </c>
      <c r="I16" s="768">
        <f>SUM(Prop2018DistTar!I16,Prop2018TransTar!I16,Prop2018JSTar!I16)</f>
        <v>1.7</v>
      </c>
      <c r="J16" s="768">
        <f>SUM(Prop2018DistTar!J16,Prop2018TransTar!J16,Prop2018JSTar!J16)</f>
        <v>0</v>
      </c>
      <c r="K16" s="768">
        <f>SUM(Prop2018DistTar!K16,Prop2018TransTar!K16,Prop2018JSTar!K16)</f>
        <v>0</v>
      </c>
      <c r="L16" s="768">
        <f>SUM(Prop2018DistTar!L16,Prop2018TransTar!L16,Prop2018JSTar!L16)</f>
        <v>0</v>
      </c>
      <c r="M16" s="768">
        <f>SUM(Prop2018DistTar!M16,Prop2018TransTar!M16,Prop2018JSTar!M16)</f>
        <v>0</v>
      </c>
      <c r="N16" s="768">
        <f>SUM(Prop2018DistTar!N16,Prop2018TransTar!N16,Prop2018JSTar!N16)</f>
        <v>0</v>
      </c>
      <c r="O16" s="768">
        <f>SUM(Prop2018DistTar!O16,Prop2018TransTar!O16,Prop2018JSTar!O16)</f>
        <v>0</v>
      </c>
      <c r="P16" s="768">
        <f>SUM(Prop2018DistTar!P16,Prop2018TransTar!P16,Prop2018JSTar!P16)</f>
        <v>0</v>
      </c>
      <c r="Q16" s="768">
        <f>SUM(Prop2018DistTar!Q16,Prop2018TransTar!Q16,Prop2018JSTar!Q16)</f>
        <v>0</v>
      </c>
      <c r="R16" s="768">
        <f>SUM(Prop2018DistTar!R16,Prop2018TransTar!R16,Prop2018JSTar!R16)</f>
        <v>0</v>
      </c>
      <c r="S16" s="768">
        <f>SUM(Prop2018DistTar!S16,Prop2018TransTar!S16,Prop2018JSTar!S16)</f>
        <v>0</v>
      </c>
      <c r="T16" s="768">
        <f>SUM(Prop2018DistTar!T16,Prop2018TransTar!T16,Prop2018JSTar!T16)</f>
        <v>0</v>
      </c>
      <c r="U16" s="768">
        <f>SUM(Prop2018DistTar!U16,Prop2018TransTar!U16,Prop2018JSTar!U16)</f>
        <v>0</v>
      </c>
      <c r="V16" s="768">
        <f>SUM(Prop2018DistTar!V16,Prop2018TransTar!V16,Prop2018JSTar!V16)</f>
        <v>0</v>
      </c>
      <c r="W16" s="768">
        <f>SUM(Prop2018DistTar!W16,Prop2018TransTar!W16,Prop2018JSTar!W16)</f>
        <v>0</v>
      </c>
      <c r="X16" s="769">
        <f>SUM(Prop2018DistTar!X16,Prop2018TransTar!X16,Prop2018JSTar!X16)</f>
        <v>0</v>
      </c>
      <c r="Z16" s="279">
        <v>0</v>
      </c>
      <c r="AA16" s="752">
        <v>0</v>
      </c>
      <c r="AB16" s="752">
        <v>0</v>
      </c>
      <c r="AC16" s="752">
        <v>0</v>
      </c>
      <c r="AD16" s="752">
        <v>0</v>
      </c>
      <c r="AE16" s="752">
        <v>1.64</v>
      </c>
      <c r="AF16" s="752">
        <v>0</v>
      </c>
      <c r="AG16" s="752">
        <v>0</v>
      </c>
      <c r="AH16" s="752">
        <v>0</v>
      </c>
      <c r="AI16" s="752">
        <v>0</v>
      </c>
      <c r="AJ16" s="752">
        <v>0</v>
      </c>
      <c r="AK16" s="752">
        <v>0</v>
      </c>
      <c r="AL16" s="752">
        <v>0</v>
      </c>
      <c r="AM16" s="752">
        <v>0</v>
      </c>
      <c r="AN16" s="752">
        <v>0</v>
      </c>
      <c r="AO16" s="752">
        <v>0</v>
      </c>
      <c r="AP16" s="752">
        <v>0</v>
      </c>
      <c r="AQ16" s="752">
        <v>0</v>
      </c>
      <c r="AR16" s="752">
        <v>0</v>
      </c>
      <c r="AS16" s="752">
        <v>0</v>
      </c>
      <c r="AT16" s="753">
        <v>0</v>
      </c>
      <c r="AW16" s="784">
        <f t="shared" si="0"/>
        <v>0</v>
      </c>
      <c r="AX16" s="785">
        <f t="shared" si="0"/>
        <v>0</v>
      </c>
      <c r="AY16" s="785">
        <f t="shared" si="0"/>
        <v>0</v>
      </c>
      <c r="AZ16" s="785">
        <f t="shared" si="0"/>
        <v>0</v>
      </c>
      <c r="BA16" s="785">
        <f t="shared" si="0"/>
        <v>0</v>
      </c>
      <c r="BB16" s="785">
        <f t="shared" si="0"/>
        <v>3.6585365853658569E-2</v>
      </c>
      <c r="BC16" s="785">
        <f t="shared" si="0"/>
        <v>0</v>
      </c>
      <c r="BD16" s="785">
        <f t="shared" si="0"/>
        <v>0</v>
      </c>
      <c r="BE16" s="785">
        <f t="shared" si="0"/>
        <v>0</v>
      </c>
      <c r="BF16" s="785">
        <f t="shared" si="0"/>
        <v>0</v>
      </c>
      <c r="BG16" s="785">
        <f t="shared" si="0"/>
        <v>0</v>
      </c>
      <c r="BH16" s="785">
        <f t="shared" si="0"/>
        <v>0</v>
      </c>
      <c r="BI16" s="785">
        <f t="shared" si="0"/>
        <v>0</v>
      </c>
      <c r="BJ16" s="785">
        <f t="shared" si="0"/>
        <v>0</v>
      </c>
      <c r="BK16" s="785">
        <f t="shared" si="0"/>
        <v>0</v>
      </c>
      <c r="BL16" s="785">
        <f t="shared" si="0"/>
        <v>0</v>
      </c>
      <c r="BM16" s="785">
        <f t="shared" si="1"/>
        <v>0</v>
      </c>
      <c r="BN16" s="785">
        <f t="shared" si="1"/>
        <v>0</v>
      </c>
      <c r="BO16" s="785">
        <f t="shared" si="1"/>
        <v>0</v>
      </c>
      <c r="BP16" s="785">
        <f t="shared" si="1"/>
        <v>0</v>
      </c>
      <c r="BQ16" s="786">
        <f t="shared" si="1"/>
        <v>0</v>
      </c>
      <c r="BR16" s="553" t="str">
        <f t="array" ref="BR16">IF(MAX(ABS(AW16:BQ16))&gt;$BR$4,"EXPLAIN","")</f>
        <v/>
      </c>
      <c r="BW16" s="748"/>
      <c r="BX16" s="748"/>
      <c r="BY16" s="748"/>
      <c r="BZ16" s="748"/>
      <c r="CA16" s="748"/>
      <c r="CB16" s="748"/>
      <c r="CC16" s="748"/>
      <c r="CD16" s="748"/>
      <c r="CE16" s="748"/>
      <c r="CF16" s="748"/>
      <c r="CG16" s="748"/>
      <c r="CH16" s="748"/>
      <c r="CI16" s="748"/>
      <c r="CJ16" s="748"/>
      <c r="CK16" s="748"/>
      <c r="CL16" s="748"/>
      <c r="CM16" s="748"/>
      <c r="CN16" s="748"/>
      <c r="CO16" s="748"/>
      <c r="CP16" s="748"/>
      <c r="CQ16" s="748"/>
      <c r="CR16" s="748"/>
      <c r="CS16" s="748"/>
    </row>
    <row r="17" spans="1:97">
      <c r="A17" s="748" t="str">
        <f>Prop2018DistTar!A17</f>
        <v>CDS</v>
      </c>
      <c r="B17" s="750" t="s">
        <v>733</v>
      </c>
      <c r="C17" s="750" t="str">
        <f>Prop2018DistTar!C17</f>
        <v>Dedicated Circuit</v>
      </c>
      <c r="D17" s="767">
        <f>SUM(Prop2018DistTar!D17,Prop2018TransTar!D17,Prop2018JSTar!D17)</f>
        <v>0</v>
      </c>
      <c r="E17" s="768">
        <f>SUM(Prop2018DistTar!E17,Prop2018TransTar!E17,Prop2018JSTar!E17)</f>
        <v>0</v>
      </c>
      <c r="F17" s="768">
        <f>SUM(Prop2018DistTar!F17,Prop2018TransTar!F17,Prop2018JSTar!F17)</f>
        <v>0</v>
      </c>
      <c r="G17" s="768">
        <f>SUM(Prop2018DistTar!G17,Prop2018TransTar!G17,Prop2018JSTar!G17)</f>
        <v>0</v>
      </c>
      <c r="H17" s="768">
        <f>SUM(Prop2018DistTar!H17,Prop2018TransTar!H17,Prop2018JSTar!H17)</f>
        <v>0</v>
      </c>
      <c r="I17" s="768">
        <f>SUM(Prop2018DistTar!I17,Prop2018TransTar!I17,Prop2018JSTar!I17)</f>
        <v>2.1799999999999997</v>
      </c>
      <c r="J17" s="768">
        <f>SUM(Prop2018DistTar!J17,Prop2018TransTar!J17,Prop2018JSTar!J17)</f>
        <v>0</v>
      </c>
      <c r="K17" s="768">
        <f>SUM(Prop2018DistTar!K17,Prop2018TransTar!K17,Prop2018JSTar!K17)</f>
        <v>0</v>
      </c>
      <c r="L17" s="768">
        <f>SUM(Prop2018DistTar!L17,Prop2018TransTar!L17,Prop2018JSTar!L17)</f>
        <v>0</v>
      </c>
      <c r="M17" s="768">
        <f>SUM(Prop2018DistTar!M17,Prop2018TransTar!M17,Prop2018JSTar!M17)</f>
        <v>0</v>
      </c>
      <c r="N17" s="768">
        <f>SUM(Prop2018DistTar!N17,Prop2018TransTar!N17,Prop2018JSTar!N17)</f>
        <v>0</v>
      </c>
      <c r="O17" s="768">
        <f>SUM(Prop2018DistTar!O17,Prop2018TransTar!O17,Prop2018JSTar!O17)</f>
        <v>0</v>
      </c>
      <c r="P17" s="768">
        <f>SUM(Prop2018DistTar!P17,Prop2018TransTar!P17,Prop2018JSTar!P17)</f>
        <v>0</v>
      </c>
      <c r="Q17" s="768">
        <f>SUM(Prop2018DistTar!Q17,Prop2018TransTar!Q17,Prop2018JSTar!Q17)</f>
        <v>0</v>
      </c>
      <c r="R17" s="768">
        <f>SUM(Prop2018DistTar!R17,Prop2018TransTar!R17,Prop2018JSTar!R17)</f>
        <v>0</v>
      </c>
      <c r="S17" s="768">
        <f>SUM(Prop2018DistTar!S17,Prop2018TransTar!S17,Prop2018JSTar!S17)</f>
        <v>0</v>
      </c>
      <c r="T17" s="768">
        <f>SUM(Prop2018DistTar!T17,Prop2018TransTar!T17,Prop2018JSTar!T17)</f>
        <v>0</v>
      </c>
      <c r="U17" s="768">
        <f>SUM(Prop2018DistTar!U17,Prop2018TransTar!U17,Prop2018JSTar!U17)</f>
        <v>0</v>
      </c>
      <c r="V17" s="768">
        <f>SUM(Prop2018DistTar!V17,Prop2018TransTar!V17,Prop2018JSTar!V17)</f>
        <v>0</v>
      </c>
      <c r="W17" s="768">
        <f>SUM(Prop2018DistTar!W17,Prop2018TransTar!W17,Prop2018JSTar!W17)</f>
        <v>0</v>
      </c>
      <c r="X17" s="769">
        <f>SUM(Prop2018DistTar!X17,Prop2018TransTar!X17,Prop2018JSTar!X17)</f>
        <v>0</v>
      </c>
      <c r="Z17" s="279">
        <v>0</v>
      </c>
      <c r="AA17" s="752">
        <v>0</v>
      </c>
      <c r="AB17" s="752">
        <v>0</v>
      </c>
      <c r="AC17" s="752">
        <v>0</v>
      </c>
      <c r="AD17" s="752">
        <v>0</v>
      </c>
      <c r="AE17" s="752">
        <v>2.27</v>
      </c>
      <c r="AF17" s="752">
        <v>0</v>
      </c>
      <c r="AG17" s="752">
        <v>0</v>
      </c>
      <c r="AH17" s="752">
        <v>0</v>
      </c>
      <c r="AI17" s="752">
        <v>0</v>
      </c>
      <c r="AJ17" s="752">
        <v>0</v>
      </c>
      <c r="AK17" s="752">
        <v>0</v>
      </c>
      <c r="AL17" s="752">
        <v>0</v>
      </c>
      <c r="AM17" s="752">
        <v>0</v>
      </c>
      <c r="AN17" s="752">
        <v>0</v>
      </c>
      <c r="AO17" s="752">
        <v>0</v>
      </c>
      <c r="AP17" s="752">
        <v>0</v>
      </c>
      <c r="AQ17" s="752">
        <v>0</v>
      </c>
      <c r="AR17" s="752">
        <v>0</v>
      </c>
      <c r="AS17" s="752">
        <v>0</v>
      </c>
      <c r="AT17" s="753">
        <v>0</v>
      </c>
      <c r="AW17" s="784">
        <f t="shared" si="0"/>
        <v>0</v>
      </c>
      <c r="AX17" s="785">
        <f t="shared" si="0"/>
        <v>0</v>
      </c>
      <c r="AY17" s="785">
        <f t="shared" si="0"/>
        <v>0</v>
      </c>
      <c r="AZ17" s="785">
        <f t="shared" si="0"/>
        <v>0</v>
      </c>
      <c r="BA17" s="785">
        <f t="shared" si="0"/>
        <v>0</v>
      </c>
      <c r="BB17" s="785">
        <f t="shared" si="0"/>
        <v>-3.9647577092511099E-2</v>
      </c>
      <c r="BC17" s="785">
        <f t="shared" si="0"/>
        <v>0</v>
      </c>
      <c r="BD17" s="785">
        <f t="shared" si="0"/>
        <v>0</v>
      </c>
      <c r="BE17" s="785">
        <f t="shared" si="0"/>
        <v>0</v>
      </c>
      <c r="BF17" s="785">
        <f t="shared" si="0"/>
        <v>0</v>
      </c>
      <c r="BG17" s="785">
        <f t="shared" si="0"/>
        <v>0</v>
      </c>
      <c r="BH17" s="785">
        <f t="shared" si="0"/>
        <v>0</v>
      </c>
      <c r="BI17" s="785">
        <f t="shared" si="0"/>
        <v>0</v>
      </c>
      <c r="BJ17" s="785">
        <f t="shared" si="0"/>
        <v>0</v>
      </c>
      <c r="BK17" s="785">
        <f t="shared" si="0"/>
        <v>0</v>
      </c>
      <c r="BL17" s="785">
        <f t="shared" si="0"/>
        <v>0</v>
      </c>
      <c r="BM17" s="785">
        <f t="shared" si="1"/>
        <v>0</v>
      </c>
      <c r="BN17" s="785">
        <f t="shared" si="1"/>
        <v>0</v>
      </c>
      <c r="BO17" s="785">
        <f t="shared" si="1"/>
        <v>0</v>
      </c>
      <c r="BP17" s="785">
        <f t="shared" si="1"/>
        <v>0</v>
      </c>
      <c r="BQ17" s="786">
        <f t="shared" si="1"/>
        <v>0</v>
      </c>
      <c r="BR17" s="553" t="str">
        <f t="array" ref="BR17">IF(MAX(ABS(AW17:BQ17))&gt;$BR$4,"EXPLAIN","")</f>
        <v/>
      </c>
      <c r="BW17" s="748"/>
      <c r="BX17" s="748"/>
      <c r="BY17" s="748"/>
      <c r="BZ17" s="748"/>
      <c r="CA17" s="748"/>
      <c r="CB17" s="748"/>
      <c r="CC17" s="748"/>
      <c r="CD17" s="748"/>
      <c r="CE17" s="748"/>
      <c r="CF17" s="748"/>
      <c r="CG17" s="748"/>
      <c r="CH17" s="748"/>
      <c r="CI17" s="748"/>
      <c r="CJ17" s="748"/>
      <c r="CK17" s="748"/>
      <c r="CL17" s="748"/>
      <c r="CM17" s="748"/>
      <c r="CN17" s="748"/>
      <c r="CO17" s="748"/>
      <c r="CP17" s="748"/>
      <c r="CQ17" s="748"/>
      <c r="CR17" s="748"/>
      <c r="CS17" s="748"/>
    </row>
    <row r="18" spans="1:97">
      <c r="A18" s="748" t="str">
        <f>Prop2018DistTar!A18</f>
        <v>CDSB</v>
      </c>
      <c r="B18" s="750" t="s">
        <v>733</v>
      </c>
      <c r="C18" s="750" t="str">
        <f>Prop2018DistTar!C18</f>
        <v>Dedicated Circuit - Bulk</v>
      </c>
      <c r="D18" s="767">
        <f>SUM(Prop2018DistTar!D18,Prop2018TransTar!D18,Prop2018JSTar!D18)</f>
        <v>0</v>
      </c>
      <c r="E18" s="768">
        <f>SUM(Prop2018DistTar!E18,Prop2018TransTar!E18,Prop2018JSTar!E18)</f>
        <v>0</v>
      </c>
      <c r="F18" s="768">
        <f>SUM(Prop2018DistTar!F18,Prop2018TransTar!F18,Prop2018JSTar!F18)</f>
        <v>0</v>
      </c>
      <c r="G18" s="768">
        <f>SUM(Prop2018DistTar!G18,Prop2018TransTar!G18,Prop2018JSTar!G18)</f>
        <v>0</v>
      </c>
      <c r="H18" s="768">
        <f>SUM(Prop2018DistTar!H18,Prop2018TransTar!H18,Prop2018JSTar!H18)</f>
        <v>0</v>
      </c>
      <c r="I18" s="768">
        <f>SUM(Prop2018DistTar!I18,Prop2018TransTar!I18,Prop2018JSTar!I18)</f>
        <v>1.7</v>
      </c>
      <c r="J18" s="768">
        <f>SUM(Prop2018DistTar!J18,Prop2018TransTar!J18,Prop2018JSTar!J18)</f>
        <v>0</v>
      </c>
      <c r="K18" s="768">
        <f>SUM(Prop2018DistTar!K18,Prop2018TransTar!K18,Prop2018JSTar!K18)</f>
        <v>0</v>
      </c>
      <c r="L18" s="768">
        <f>SUM(Prop2018DistTar!L18,Prop2018TransTar!L18,Prop2018JSTar!L18)</f>
        <v>0</v>
      </c>
      <c r="M18" s="768">
        <f>SUM(Prop2018DistTar!M18,Prop2018TransTar!M18,Prop2018JSTar!M18)</f>
        <v>0</v>
      </c>
      <c r="N18" s="768">
        <f>SUM(Prop2018DistTar!N18,Prop2018TransTar!N18,Prop2018JSTar!N18)</f>
        <v>0</v>
      </c>
      <c r="O18" s="768">
        <f>SUM(Prop2018DistTar!O18,Prop2018TransTar!O18,Prop2018JSTar!O18)</f>
        <v>0</v>
      </c>
      <c r="P18" s="768">
        <f>SUM(Prop2018DistTar!P18,Prop2018TransTar!P18,Prop2018JSTar!P18)</f>
        <v>0</v>
      </c>
      <c r="Q18" s="768">
        <f>SUM(Prop2018DistTar!Q18,Prop2018TransTar!Q18,Prop2018JSTar!Q18)</f>
        <v>0</v>
      </c>
      <c r="R18" s="768">
        <f>SUM(Prop2018DistTar!R18,Prop2018TransTar!R18,Prop2018JSTar!R18)</f>
        <v>0</v>
      </c>
      <c r="S18" s="768">
        <f>SUM(Prop2018DistTar!S18,Prop2018TransTar!S18,Prop2018JSTar!S18)</f>
        <v>0</v>
      </c>
      <c r="T18" s="768">
        <f>SUM(Prop2018DistTar!T18,Prop2018TransTar!T18,Prop2018JSTar!T18)</f>
        <v>0</v>
      </c>
      <c r="U18" s="768">
        <f>SUM(Prop2018DistTar!U18,Prop2018TransTar!U18,Prop2018JSTar!U18)</f>
        <v>0</v>
      </c>
      <c r="V18" s="768">
        <f>SUM(Prop2018DistTar!V18,Prop2018TransTar!V18,Prop2018JSTar!V18)</f>
        <v>0</v>
      </c>
      <c r="W18" s="768">
        <f>SUM(Prop2018DistTar!W18,Prop2018TransTar!W18,Prop2018JSTar!W18)</f>
        <v>0</v>
      </c>
      <c r="X18" s="769">
        <f>SUM(Prop2018DistTar!X18,Prop2018TransTar!X18,Prop2018JSTar!X18)</f>
        <v>0</v>
      </c>
      <c r="Z18" s="279">
        <v>0</v>
      </c>
      <c r="AA18" s="752">
        <v>0</v>
      </c>
      <c r="AB18" s="752">
        <v>0</v>
      </c>
      <c r="AC18" s="752">
        <v>0</v>
      </c>
      <c r="AD18" s="752">
        <v>0</v>
      </c>
      <c r="AE18" s="752">
        <v>1.64</v>
      </c>
      <c r="AF18" s="752">
        <v>0</v>
      </c>
      <c r="AG18" s="752">
        <v>0</v>
      </c>
      <c r="AH18" s="752">
        <v>0</v>
      </c>
      <c r="AI18" s="752">
        <v>0</v>
      </c>
      <c r="AJ18" s="752">
        <v>0</v>
      </c>
      <c r="AK18" s="752">
        <v>0</v>
      </c>
      <c r="AL18" s="752">
        <v>0</v>
      </c>
      <c r="AM18" s="752">
        <v>0</v>
      </c>
      <c r="AN18" s="752">
        <v>0</v>
      </c>
      <c r="AO18" s="752">
        <v>0</v>
      </c>
      <c r="AP18" s="752">
        <v>0</v>
      </c>
      <c r="AQ18" s="752">
        <v>0</v>
      </c>
      <c r="AR18" s="752">
        <v>0</v>
      </c>
      <c r="AS18" s="752">
        <v>0</v>
      </c>
      <c r="AT18" s="753">
        <v>0</v>
      </c>
      <c r="AW18" s="784">
        <f t="shared" si="0"/>
        <v>0</v>
      </c>
      <c r="AX18" s="785">
        <f t="shared" si="0"/>
        <v>0</v>
      </c>
      <c r="AY18" s="785">
        <f t="shared" si="0"/>
        <v>0</v>
      </c>
      <c r="AZ18" s="785">
        <f t="shared" si="0"/>
        <v>0</v>
      </c>
      <c r="BA18" s="785">
        <f t="shared" si="0"/>
        <v>0</v>
      </c>
      <c r="BB18" s="785">
        <f t="shared" si="0"/>
        <v>3.6585365853658569E-2</v>
      </c>
      <c r="BC18" s="785">
        <f t="shared" si="0"/>
        <v>0</v>
      </c>
      <c r="BD18" s="785">
        <f t="shared" si="0"/>
        <v>0</v>
      </c>
      <c r="BE18" s="785">
        <f t="shared" si="0"/>
        <v>0</v>
      </c>
      <c r="BF18" s="785">
        <f t="shared" si="0"/>
        <v>0</v>
      </c>
      <c r="BG18" s="785">
        <f t="shared" si="0"/>
        <v>0</v>
      </c>
      <c r="BH18" s="785">
        <f t="shared" si="0"/>
        <v>0</v>
      </c>
      <c r="BI18" s="785">
        <f t="shared" si="0"/>
        <v>0</v>
      </c>
      <c r="BJ18" s="785">
        <f t="shared" si="0"/>
        <v>0</v>
      </c>
      <c r="BK18" s="785">
        <f t="shared" si="0"/>
        <v>0</v>
      </c>
      <c r="BL18" s="785">
        <f t="shared" si="0"/>
        <v>0</v>
      </c>
      <c r="BM18" s="785">
        <f t="shared" si="1"/>
        <v>0</v>
      </c>
      <c r="BN18" s="785">
        <f t="shared" si="1"/>
        <v>0</v>
      </c>
      <c r="BO18" s="785">
        <f t="shared" si="1"/>
        <v>0</v>
      </c>
      <c r="BP18" s="785">
        <f t="shared" si="1"/>
        <v>0</v>
      </c>
      <c r="BQ18" s="786">
        <f t="shared" si="1"/>
        <v>0</v>
      </c>
      <c r="BR18" s="553" t="str">
        <f t="array" ref="BR18">IF(MAX(ABS(AW18:BQ18))&gt;$BR$4,"EXPLAIN","")</f>
        <v/>
      </c>
      <c r="BW18" s="748"/>
      <c r="BX18" s="748"/>
      <c r="BY18" s="748"/>
      <c r="BZ18" s="748"/>
      <c r="CA18" s="748"/>
      <c r="CB18" s="748"/>
      <c r="CC18" s="748"/>
      <c r="CD18" s="748"/>
      <c r="CE18" s="748"/>
      <c r="CF18" s="748"/>
      <c r="CG18" s="748"/>
      <c r="CH18" s="748"/>
      <c r="CI18" s="748"/>
      <c r="CJ18" s="748"/>
      <c r="CK18" s="748"/>
      <c r="CL18" s="748"/>
      <c r="CM18" s="748"/>
      <c r="CN18" s="748"/>
      <c r="CO18" s="748"/>
      <c r="CP18" s="748"/>
      <c r="CQ18" s="748"/>
      <c r="CR18" s="748"/>
      <c r="CS18" s="748"/>
    </row>
    <row r="19" spans="1:97">
      <c r="A19" s="748" t="str">
        <f>Prop2018DistTar!A19</f>
        <v>CR</v>
      </c>
      <c r="B19" s="750" t="s">
        <v>713</v>
      </c>
      <c r="C19" s="750" t="str">
        <f>Prop2018DistTar!C19</f>
        <v>Residential Demand</v>
      </c>
      <c r="D19" s="767">
        <f>SUM(Prop2018DistTar!D19,Prop2018TransTar!D19,Prop2018JSTar!D19)</f>
        <v>85</v>
      </c>
      <c r="E19" s="768">
        <f>SUM(Prop2018DistTar!E19,Prop2018TransTar!E19,Prop2018JSTar!E19)</f>
        <v>3.56</v>
      </c>
      <c r="F19" s="768">
        <f>SUM(Prop2018DistTar!F19,Prop2018TransTar!F19,Prop2018JSTar!F19)</f>
        <v>0</v>
      </c>
      <c r="G19" s="768">
        <f>SUM(Prop2018DistTar!G19,Prop2018TransTar!G19,Prop2018JSTar!G19)</f>
        <v>0</v>
      </c>
      <c r="H19" s="768">
        <f>SUM(Prop2018DistTar!H19,Prop2018TransTar!H19,Prop2018JSTar!H19)</f>
        <v>0</v>
      </c>
      <c r="I19" s="768">
        <f>SUM(Prop2018DistTar!I19,Prop2018TransTar!I19,Prop2018JSTar!I19)</f>
        <v>0</v>
      </c>
      <c r="J19" s="768">
        <f>SUM(Prop2018DistTar!J19,Prop2018TransTar!J19,Prop2018JSTar!J19)</f>
        <v>0</v>
      </c>
      <c r="K19" s="768">
        <f>SUM(Prop2018DistTar!K19,Prop2018TransTar!K19,Prop2018JSTar!K19)</f>
        <v>0</v>
      </c>
      <c r="L19" s="768">
        <f>SUM(Prop2018DistTar!L19,Prop2018TransTar!L19,Prop2018JSTar!L19)</f>
        <v>0</v>
      </c>
      <c r="M19" s="768">
        <f>SUM(Prop2018DistTar!M19,Prop2018TransTar!M19,Prop2018JSTar!M19)</f>
        <v>0</v>
      </c>
      <c r="N19" s="768">
        <f>SUM(Prop2018DistTar!N19,Prop2018TransTar!N19,Prop2018JSTar!N19)</f>
        <v>0</v>
      </c>
      <c r="O19" s="768">
        <f>SUM(Prop2018DistTar!O19,Prop2018TransTar!O19,Prop2018JSTar!O19)</f>
        <v>8.57</v>
      </c>
      <c r="P19" s="768">
        <f>SUM(Prop2018DistTar!P19,Prop2018TransTar!P19,Prop2018JSTar!P19)</f>
        <v>2.93</v>
      </c>
      <c r="Q19" s="768">
        <f>SUM(Prop2018DistTar!Q19,Prop2018TransTar!Q19,Prop2018JSTar!Q19)</f>
        <v>0</v>
      </c>
      <c r="R19" s="768">
        <f>SUM(Prop2018DistTar!R19,Prop2018TransTar!R19,Prop2018JSTar!R19)</f>
        <v>0</v>
      </c>
      <c r="S19" s="768">
        <f>SUM(Prop2018DistTar!S19,Prop2018TransTar!S19,Prop2018JSTar!S19)</f>
        <v>0</v>
      </c>
      <c r="T19" s="768">
        <f>SUM(Prop2018DistTar!T19,Prop2018TransTar!T19,Prop2018JSTar!T19)</f>
        <v>0</v>
      </c>
      <c r="U19" s="768">
        <f>SUM(Prop2018DistTar!U19,Prop2018TransTar!U19,Prop2018JSTar!U19)</f>
        <v>0</v>
      </c>
      <c r="V19" s="768">
        <f>SUM(Prop2018DistTar!V19,Prop2018TransTar!V19,Prop2018JSTar!V19)</f>
        <v>0</v>
      </c>
      <c r="W19" s="768">
        <f>SUM(Prop2018DistTar!W19,Prop2018TransTar!W19,Prop2018JSTar!W19)</f>
        <v>0</v>
      </c>
      <c r="X19" s="769">
        <f>SUM(Prop2018DistTar!X19,Prop2018TransTar!X19,Prop2018JSTar!X19)</f>
        <v>0</v>
      </c>
      <c r="Z19" s="279">
        <v>95</v>
      </c>
      <c r="AA19" s="752">
        <v>3.7</v>
      </c>
      <c r="AB19" s="752">
        <v>0</v>
      </c>
      <c r="AC19" s="752">
        <v>0</v>
      </c>
      <c r="AD19" s="752">
        <v>0</v>
      </c>
      <c r="AE19" s="752">
        <v>0</v>
      </c>
      <c r="AF19" s="752">
        <v>0</v>
      </c>
      <c r="AG19" s="752">
        <v>0</v>
      </c>
      <c r="AH19" s="752">
        <v>0</v>
      </c>
      <c r="AI19" s="752">
        <v>0</v>
      </c>
      <c r="AJ19" s="752">
        <v>0</v>
      </c>
      <c r="AK19" s="752">
        <v>8.91</v>
      </c>
      <c r="AL19" s="752">
        <v>3.05</v>
      </c>
      <c r="AM19" s="752">
        <v>0</v>
      </c>
      <c r="AN19" s="752">
        <v>0</v>
      </c>
      <c r="AO19" s="752">
        <v>0</v>
      </c>
      <c r="AP19" s="752">
        <v>0</v>
      </c>
      <c r="AQ19" s="752">
        <v>0</v>
      </c>
      <c r="AR19" s="752">
        <v>0</v>
      </c>
      <c r="AS19" s="752">
        <v>0</v>
      </c>
      <c r="AT19" s="753">
        <v>0</v>
      </c>
      <c r="AW19" s="784">
        <f t="shared" si="0"/>
        <v>-0.10526315789473684</v>
      </c>
      <c r="AX19" s="785">
        <f t="shared" si="0"/>
        <v>-3.7837837837837895E-2</v>
      </c>
      <c r="AY19" s="785">
        <f t="shared" si="0"/>
        <v>0</v>
      </c>
      <c r="AZ19" s="785">
        <f t="shared" si="0"/>
        <v>0</v>
      </c>
      <c r="BA19" s="785">
        <f t="shared" si="0"/>
        <v>0</v>
      </c>
      <c r="BB19" s="785">
        <f t="shared" si="0"/>
        <v>0</v>
      </c>
      <c r="BC19" s="785">
        <f t="shared" si="0"/>
        <v>0</v>
      </c>
      <c r="BD19" s="785">
        <f t="shared" si="0"/>
        <v>0</v>
      </c>
      <c r="BE19" s="785">
        <f t="shared" si="0"/>
        <v>0</v>
      </c>
      <c r="BF19" s="785">
        <f t="shared" si="0"/>
        <v>0</v>
      </c>
      <c r="BG19" s="785">
        <f t="shared" si="0"/>
        <v>0</v>
      </c>
      <c r="BH19" s="785">
        <f t="shared" si="0"/>
        <v>-3.8159371492704763E-2</v>
      </c>
      <c r="BI19" s="785">
        <f t="shared" si="0"/>
        <v>-3.9344262295081811E-2</v>
      </c>
      <c r="BJ19" s="785">
        <f t="shared" si="0"/>
        <v>0</v>
      </c>
      <c r="BK19" s="785">
        <f t="shared" si="0"/>
        <v>0</v>
      </c>
      <c r="BL19" s="785">
        <f t="shared" si="0"/>
        <v>0</v>
      </c>
      <c r="BM19" s="785">
        <f t="shared" si="1"/>
        <v>0</v>
      </c>
      <c r="BN19" s="785">
        <f t="shared" si="1"/>
        <v>0</v>
      </c>
      <c r="BO19" s="785">
        <f t="shared" si="1"/>
        <v>0</v>
      </c>
      <c r="BP19" s="785">
        <f t="shared" si="1"/>
        <v>0</v>
      </c>
      <c r="BQ19" s="786">
        <f t="shared" si="1"/>
        <v>0</v>
      </c>
      <c r="BR19" s="553" t="str">
        <f t="array" ref="BR19">IF(MAX(ABS(AW19:BQ19))&gt;$BR$4,"EXPLAIN","")</f>
        <v>EXPLAIN</v>
      </c>
      <c r="BW19" s="748"/>
      <c r="BX19" s="748"/>
      <c r="BY19" s="748"/>
      <c r="BZ19" s="748"/>
      <c r="CA19" s="748"/>
      <c r="CB19" s="748"/>
      <c r="CC19" s="748"/>
      <c r="CD19" s="748"/>
      <c r="CE19" s="748"/>
      <c r="CF19" s="748"/>
      <c r="CG19" s="748"/>
      <c r="CH19" s="748"/>
      <c r="CI19" s="748"/>
      <c r="CJ19" s="748"/>
      <c r="CK19" s="748"/>
      <c r="CL19" s="748"/>
      <c r="CM19" s="748"/>
      <c r="CN19" s="748"/>
      <c r="CO19" s="748"/>
      <c r="CP19" s="748"/>
      <c r="CQ19" s="748"/>
      <c r="CR19" s="748"/>
      <c r="CS19" s="748"/>
    </row>
    <row r="20" spans="1:97">
      <c r="A20" s="748" t="str">
        <f>Prop2018DistTar!A20</f>
        <v>CRB</v>
      </c>
      <c r="B20" s="750" t="s">
        <v>714</v>
      </c>
      <c r="C20" s="750" t="str">
        <f>Prop2018DistTar!C20</f>
        <v>Residential Bulk Demand</v>
      </c>
      <c r="D20" s="767">
        <f>SUM(Prop2018DistTar!D20,Prop2018TransTar!D20,Prop2018JSTar!D20)</f>
        <v>75</v>
      </c>
      <c r="E20" s="768">
        <f>SUM(Prop2018DistTar!E20,Prop2018TransTar!E20,Prop2018JSTar!E20)</f>
        <v>2.2599999999999998</v>
      </c>
      <c r="F20" s="768">
        <f>SUM(Prop2018DistTar!F20,Prop2018TransTar!F20,Prop2018JSTar!F20)</f>
        <v>0</v>
      </c>
      <c r="G20" s="768">
        <f>SUM(Prop2018DistTar!G20,Prop2018TransTar!G20,Prop2018JSTar!G20)</f>
        <v>0</v>
      </c>
      <c r="H20" s="768">
        <f>SUM(Prop2018DistTar!H20,Prop2018TransTar!H20,Prop2018JSTar!H20)</f>
        <v>0</v>
      </c>
      <c r="I20" s="768">
        <f>SUM(Prop2018DistTar!I20,Prop2018TransTar!I20,Prop2018JSTar!I20)</f>
        <v>0</v>
      </c>
      <c r="J20" s="768">
        <f>SUM(Prop2018DistTar!J20,Prop2018TransTar!J20,Prop2018JSTar!J20)</f>
        <v>0</v>
      </c>
      <c r="K20" s="768">
        <f>SUM(Prop2018DistTar!K20,Prop2018TransTar!K20,Prop2018JSTar!K20)</f>
        <v>0</v>
      </c>
      <c r="L20" s="768">
        <f>SUM(Prop2018DistTar!L20,Prop2018TransTar!L20,Prop2018JSTar!L20)</f>
        <v>0</v>
      </c>
      <c r="M20" s="768">
        <f>SUM(Prop2018DistTar!M20,Prop2018TransTar!M20,Prop2018JSTar!M20)</f>
        <v>0</v>
      </c>
      <c r="N20" s="768">
        <f>SUM(Prop2018DistTar!N20,Prop2018TransTar!N20,Prop2018JSTar!N20)</f>
        <v>0</v>
      </c>
      <c r="O20" s="768">
        <f>SUM(Prop2018DistTar!O20,Prop2018TransTar!O20,Prop2018JSTar!O20)</f>
        <v>6.2700000000000005</v>
      </c>
      <c r="P20" s="768">
        <f>SUM(Prop2018DistTar!P20,Prop2018TransTar!P20,Prop2018JSTar!P20)</f>
        <v>2.09</v>
      </c>
      <c r="Q20" s="768">
        <f>SUM(Prop2018DistTar!Q20,Prop2018TransTar!Q20,Prop2018JSTar!Q20)</f>
        <v>0</v>
      </c>
      <c r="R20" s="768">
        <f>SUM(Prop2018DistTar!R20,Prop2018TransTar!R20,Prop2018JSTar!R20)</f>
        <v>0</v>
      </c>
      <c r="S20" s="768">
        <f>SUM(Prop2018DistTar!S20,Prop2018TransTar!S20,Prop2018JSTar!S20)</f>
        <v>0</v>
      </c>
      <c r="T20" s="768">
        <f>SUM(Prop2018DistTar!T20,Prop2018TransTar!T20,Prop2018JSTar!T20)</f>
        <v>0</v>
      </c>
      <c r="U20" s="768">
        <f>SUM(Prop2018DistTar!U20,Prop2018TransTar!U20,Prop2018JSTar!U20)</f>
        <v>0</v>
      </c>
      <c r="V20" s="768">
        <f>SUM(Prop2018DistTar!V20,Prop2018TransTar!V20,Prop2018JSTar!V20)</f>
        <v>0</v>
      </c>
      <c r="W20" s="768">
        <f>SUM(Prop2018DistTar!W20,Prop2018TransTar!W20,Prop2018JSTar!W20)</f>
        <v>0</v>
      </c>
      <c r="X20" s="769">
        <f>SUM(Prop2018DistTar!X20,Prop2018TransTar!X20,Prop2018JSTar!X20)</f>
        <v>0</v>
      </c>
      <c r="Z20" s="279">
        <v>85</v>
      </c>
      <c r="AA20" s="752">
        <v>2.35</v>
      </c>
      <c r="AB20" s="752">
        <v>0</v>
      </c>
      <c r="AC20" s="752">
        <v>0</v>
      </c>
      <c r="AD20" s="752">
        <v>0</v>
      </c>
      <c r="AE20" s="752">
        <v>0</v>
      </c>
      <c r="AF20" s="752">
        <v>0</v>
      </c>
      <c r="AG20" s="752">
        <v>0</v>
      </c>
      <c r="AH20" s="752">
        <v>0</v>
      </c>
      <c r="AI20" s="752">
        <v>0</v>
      </c>
      <c r="AJ20" s="752">
        <v>0</v>
      </c>
      <c r="AK20" s="752">
        <v>6.52</v>
      </c>
      <c r="AL20" s="752">
        <v>2.17</v>
      </c>
      <c r="AM20" s="752">
        <v>0</v>
      </c>
      <c r="AN20" s="752">
        <v>0</v>
      </c>
      <c r="AO20" s="752">
        <v>0</v>
      </c>
      <c r="AP20" s="752">
        <v>0</v>
      </c>
      <c r="AQ20" s="752">
        <v>0</v>
      </c>
      <c r="AR20" s="752">
        <v>0</v>
      </c>
      <c r="AS20" s="752">
        <v>0</v>
      </c>
      <c r="AT20" s="753">
        <v>0</v>
      </c>
      <c r="AW20" s="784">
        <f t="shared" si="0"/>
        <v>-0.11764705882352944</v>
      </c>
      <c r="AX20" s="785">
        <f t="shared" si="0"/>
        <v>-3.8297872340425698E-2</v>
      </c>
      <c r="AY20" s="785">
        <f t="shared" si="0"/>
        <v>0</v>
      </c>
      <c r="AZ20" s="785">
        <f t="shared" si="0"/>
        <v>0</v>
      </c>
      <c r="BA20" s="785">
        <f t="shared" si="0"/>
        <v>0</v>
      </c>
      <c r="BB20" s="785">
        <f t="shared" si="0"/>
        <v>0</v>
      </c>
      <c r="BC20" s="785">
        <f t="shared" si="0"/>
        <v>0</v>
      </c>
      <c r="BD20" s="785">
        <f t="shared" si="0"/>
        <v>0</v>
      </c>
      <c r="BE20" s="785">
        <f t="shared" si="0"/>
        <v>0</v>
      </c>
      <c r="BF20" s="785">
        <f t="shared" si="0"/>
        <v>0</v>
      </c>
      <c r="BG20" s="785">
        <f t="shared" si="0"/>
        <v>0</v>
      </c>
      <c r="BH20" s="785">
        <f t="shared" si="0"/>
        <v>-3.8343558282208479E-2</v>
      </c>
      <c r="BI20" s="785">
        <f t="shared" si="0"/>
        <v>-3.6866359447004671E-2</v>
      </c>
      <c r="BJ20" s="785">
        <f t="shared" si="0"/>
        <v>0</v>
      </c>
      <c r="BK20" s="785">
        <f t="shared" si="0"/>
        <v>0</v>
      </c>
      <c r="BL20" s="785">
        <f t="shared" si="0"/>
        <v>0</v>
      </c>
      <c r="BM20" s="785">
        <f t="shared" si="1"/>
        <v>0</v>
      </c>
      <c r="BN20" s="785">
        <f t="shared" si="1"/>
        <v>0</v>
      </c>
      <c r="BO20" s="785">
        <f t="shared" si="1"/>
        <v>0</v>
      </c>
      <c r="BP20" s="785">
        <f t="shared" si="1"/>
        <v>0</v>
      </c>
      <c r="BQ20" s="786">
        <f t="shared" si="1"/>
        <v>0</v>
      </c>
      <c r="BR20" s="553" t="str">
        <f t="array" ref="BR20">IF(MAX(ABS(AW20:BQ20))&gt;$BR$4,"EXPLAIN","")</f>
        <v>EXPLAIN</v>
      </c>
      <c r="BW20" s="748"/>
      <c r="BX20" s="748"/>
      <c r="BY20" s="748"/>
      <c r="BZ20" s="748"/>
      <c r="CA20" s="748"/>
      <c r="CB20" s="748"/>
      <c r="CC20" s="748"/>
      <c r="CD20" s="748"/>
      <c r="CE20" s="748"/>
      <c r="CF20" s="748"/>
      <c r="CG20" s="748"/>
      <c r="CH20" s="748"/>
      <c r="CI20" s="748"/>
      <c r="CJ20" s="748"/>
      <c r="CK20" s="748"/>
      <c r="CL20" s="748"/>
      <c r="CM20" s="748"/>
      <c r="CN20" s="748"/>
      <c r="CO20" s="748"/>
      <c r="CP20" s="748"/>
      <c r="CQ20" s="748"/>
      <c r="CR20" s="748"/>
      <c r="CS20" s="748"/>
    </row>
    <row r="21" spans="1:97">
      <c r="A21" s="748" t="str">
        <f>Prop2018DistTar!A21</f>
        <v>C1G</v>
      </c>
      <c r="B21" s="750" t="s">
        <v>717</v>
      </c>
      <c r="C21" s="750" t="str">
        <f>Prop2018DistTar!C21</f>
        <v>Non-Residential Single Rate</v>
      </c>
      <c r="D21" s="767">
        <f>SUM(Prop2018DistTar!D21,Prop2018TransTar!D21,Prop2018JSTar!D21)</f>
        <v>145</v>
      </c>
      <c r="E21" s="768">
        <f>SUM(Prop2018DistTar!E21,Prop2018TransTar!E21,Prop2018JSTar!E21)</f>
        <v>8</v>
      </c>
      <c r="F21" s="768">
        <f>SUM(Prop2018DistTar!F21,Prop2018TransTar!F21,Prop2018JSTar!F21)</f>
        <v>0</v>
      </c>
      <c r="G21" s="768">
        <f>SUM(Prop2018DistTar!G21,Prop2018TransTar!G21,Prop2018JSTar!G21)</f>
        <v>0</v>
      </c>
      <c r="H21" s="768">
        <f>SUM(Prop2018DistTar!H21,Prop2018TransTar!H21,Prop2018JSTar!H21)</f>
        <v>0</v>
      </c>
      <c r="I21" s="768">
        <f>SUM(Prop2018DistTar!I21,Prop2018TransTar!I21,Prop2018JSTar!I21)</f>
        <v>0</v>
      </c>
      <c r="J21" s="768">
        <f>SUM(Prop2018DistTar!J21,Prop2018TransTar!J21,Prop2018JSTar!J21)</f>
        <v>0</v>
      </c>
      <c r="K21" s="768">
        <f>SUM(Prop2018DistTar!K21,Prop2018TransTar!K21,Prop2018JSTar!K21)</f>
        <v>0</v>
      </c>
      <c r="L21" s="768">
        <f>SUM(Prop2018DistTar!L21,Prop2018TransTar!L21,Prop2018JSTar!L21)</f>
        <v>0</v>
      </c>
      <c r="M21" s="768">
        <f>SUM(Prop2018DistTar!M21,Prop2018TransTar!M21,Prop2018JSTar!M21)</f>
        <v>0</v>
      </c>
      <c r="N21" s="768">
        <f>SUM(Prop2018DistTar!N21,Prop2018TransTar!N21,Prop2018JSTar!N21)</f>
        <v>0</v>
      </c>
      <c r="O21" s="768">
        <f>SUM(Prop2018DistTar!O21,Prop2018TransTar!O21,Prop2018JSTar!O21)</f>
        <v>0</v>
      </c>
      <c r="P21" s="768">
        <f>SUM(Prop2018DistTar!P21,Prop2018TransTar!P21,Prop2018JSTar!P21)</f>
        <v>0</v>
      </c>
      <c r="Q21" s="768">
        <f>SUM(Prop2018DistTar!Q21,Prop2018TransTar!Q21,Prop2018JSTar!Q21)</f>
        <v>0</v>
      </c>
      <c r="R21" s="768">
        <f>SUM(Prop2018DistTar!R21,Prop2018TransTar!R21,Prop2018JSTar!R21)</f>
        <v>0</v>
      </c>
      <c r="S21" s="768">
        <f>SUM(Prop2018DistTar!S21,Prop2018TransTar!S21,Prop2018JSTar!S21)</f>
        <v>0</v>
      </c>
      <c r="T21" s="768">
        <f>SUM(Prop2018DistTar!T21,Prop2018TransTar!T21,Prop2018JSTar!T21)</f>
        <v>0</v>
      </c>
      <c r="U21" s="768">
        <f>SUM(Prop2018DistTar!U21,Prop2018TransTar!U21,Prop2018JSTar!U21)</f>
        <v>0</v>
      </c>
      <c r="V21" s="768">
        <f>SUM(Prop2018DistTar!V21,Prop2018TransTar!V21,Prop2018JSTar!V21)</f>
        <v>0</v>
      </c>
      <c r="W21" s="768">
        <f>SUM(Prop2018DistTar!W21,Prop2018TransTar!W21,Prop2018JSTar!W21)</f>
        <v>0</v>
      </c>
      <c r="X21" s="769">
        <f>SUM(Prop2018DistTar!X21,Prop2018TransTar!X21,Prop2018JSTar!X21)</f>
        <v>0</v>
      </c>
      <c r="Z21" s="279">
        <v>145</v>
      </c>
      <c r="AA21" s="752">
        <v>7.66</v>
      </c>
      <c r="AB21" s="752">
        <v>0</v>
      </c>
      <c r="AC21" s="752">
        <v>0</v>
      </c>
      <c r="AD21" s="752">
        <v>0</v>
      </c>
      <c r="AE21" s="752">
        <v>0</v>
      </c>
      <c r="AF21" s="752">
        <v>0</v>
      </c>
      <c r="AG21" s="752">
        <v>0</v>
      </c>
      <c r="AH21" s="752">
        <v>0</v>
      </c>
      <c r="AI21" s="752">
        <v>0</v>
      </c>
      <c r="AJ21" s="752">
        <v>0</v>
      </c>
      <c r="AK21" s="752">
        <v>0</v>
      </c>
      <c r="AL21" s="752">
        <v>0</v>
      </c>
      <c r="AM21" s="752">
        <v>0</v>
      </c>
      <c r="AN21" s="752">
        <v>0</v>
      </c>
      <c r="AO21" s="752">
        <v>0</v>
      </c>
      <c r="AP21" s="752">
        <v>0</v>
      </c>
      <c r="AQ21" s="752">
        <v>0</v>
      </c>
      <c r="AR21" s="752">
        <v>0</v>
      </c>
      <c r="AS21" s="752">
        <v>0</v>
      </c>
      <c r="AT21" s="753">
        <v>0</v>
      </c>
      <c r="AW21" s="784">
        <f t="shared" si="0"/>
        <v>0</v>
      </c>
      <c r="AX21" s="785">
        <f t="shared" si="0"/>
        <v>4.4386422976501194E-2</v>
      </c>
      <c r="AY21" s="785">
        <f t="shared" si="0"/>
        <v>0</v>
      </c>
      <c r="AZ21" s="785">
        <f t="shared" si="0"/>
        <v>0</v>
      </c>
      <c r="BA21" s="785">
        <f t="shared" si="0"/>
        <v>0</v>
      </c>
      <c r="BB21" s="785">
        <f t="shared" si="0"/>
        <v>0</v>
      </c>
      <c r="BC21" s="785">
        <f t="shared" si="0"/>
        <v>0</v>
      </c>
      <c r="BD21" s="785">
        <f t="shared" si="0"/>
        <v>0</v>
      </c>
      <c r="BE21" s="785">
        <f t="shared" si="0"/>
        <v>0</v>
      </c>
      <c r="BF21" s="785">
        <f t="shared" si="0"/>
        <v>0</v>
      </c>
      <c r="BG21" s="785">
        <f t="shared" si="0"/>
        <v>0</v>
      </c>
      <c r="BH21" s="785">
        <f t="shared" si="0"/>
        <v>0</v>
      </c>
      <c r="BI21" s="785">
        <f t="shared" si="0"/>
        <v>0</v>
      </c>
      <c r="BJ21" s="785">
        <f t="shared" si="0"/>
        <v>0</v>
      </c>
      <c r="BK21" s="785">
        <f t="shared" si="0"/>
        <v>0</v>
      </c>
      <c r="BL21" s="785">
        <f t="shared" ref="BL21:BQ42" si="2">IFERROR(S21/AO21-1,0)</f>
        <v>0</v>
      </c>
      <c r="BM21" s="785">
        <f t="shared" si="1"/>
        <v>0</v>
      </c>
      <c r="BN21" s="785">
        <f t="shared" si="1"/>
        <v>0</v>
      </c>
      <c r="BO21" s="785">
        <f t="shared" si="1"/>
        <v>0</v>
      </c>
      <c r="BP21" s="785">
        <f t="shared" si="1"/>
        <v>0</v>
      </c>
      <c r="BQ21" s="786">
        <f t="shared" si="1"/>
        <v>0</v>
      </c>
      <c r="BR21" s="553" t="str">
        <f t="array" ref="BR21">IF(MAX(ABS(AW21:BQ21))&gt;$BR$4,"EXPLAIN","")</f>
        <v/>
      </c>
      <c r="BW21" s="748"/>
      <c r="BX21" s="748"/>
      <c r="BY21" s="748"/>
      <c r="BZ21" s="748"/>
      <c r="CA21" s="748"/>
      <c r="CB21" s="748"/>
      <c r="CC21" s="748"/>
      <c r="CD21" s="748"/>
      <c r="CE21" s="748"/>
      <c r="CF21" s="748"/>
      <c r="CG21" s="748"/>
      <c r="CH21" s="748"/>
      <c r="CI21" s="748"/>
      <c r="CJ21" s="748"/>
      <c r="CK21" s="748"/>
      <c r="CL21" s="748"/>
      <c r="CM21" s="748"/>
      <c r="CN21" s="748"/>
      <c r="CO21" s="748"/>
      <c r="CP21" s="748"/>
      <c r="CQ21" s="748"/>
      <c r="CR21" s="748"/>
      <c r="CS21" s="748"/>
    </row>
    <row r="22" spans="1:97">
      <c r="A22" s="748" t="str">
        <f>Prop2018DistTar!A22</f>
        <v>C1GB</v>
      </c>
      <c r="B22" s="750" t="s">
        <v>718</v>
      </c>
      <c r="C22" s="750" t="str">
        <f>Prop2018DistTar!C22</f>
        <v>Non-Residential Single Rate - Bulk</v>
      </c>
      <c r="D22" s="767">
        <f>SUM(Prop2018DistTar!D22,Prop2018TransTar!D22,Prop2018JSTar!D22)</f>
        <v>125</v>
      </c>
      <c r="E22" s="768">
        <f>SUM(Prop2018DistTar!E22,Prop2018TransTar!E22,Prop2018JSTar!E22)</f>
        <v>6.14</v>
      </c>
      <c r="F22" s="768">
        <f>SUM(Prop2018DistTar!F22,Prop2018TransTar!F22,Prop2018JSTar!F22)</f>
        <v>0</v>
      </c>
      <c r="G22" s="768">
        <f>SUM(Prop2018DistTar!G22,Prop2018TransTar!G22,Prop2018JSTar!G22)</f>
        <v>0</v>
      </c>
      <c r="H22" s="768">
        <f>SUM(Prop2018DistTar!H22,Prop2018TransTar!H22,Prop2018JSTar!H22)</f>
        <v>0</v>
      </c>
      <c r="I22" s="768">
        <f>SUM(Prop2018DistTar!I22,Prop2018TransTar!I22,Prop2018JSTar!I22)</f>
        <v>0</v>
      </c>
      <c r="J22" s="768">
        <f>SUM(Prop2018DistTar!J22,Prop2018TransTar!J22,Prop2018JSTar!J22)</f>
        <v>0</v>
      </c>
      <c r="K22" s="768">
        <f>SUM(Prop2018DistTar!K22,Prop2018TransTar!K22,Prop2018JSTar!K22)</f>
        <v>0</v>
      </c>
      <c r="L22" s="768">
        <f>SUM(Prop2018DistTar!L22,Prop2018TransTar!L22,Prop2018JSTar!L22)</f>
        <v>0</v>
      </c>
      <c r="M22" s="768">
        <f>SUM(Prop2018DistTar!M22,Prop2018TransTar!M22,Prop2018JSTar!M22)</f>
        <v>0</v>
      </c>
      <c r="N22" s="768">
        <f>SUM(Prop2018DistTar!N22,Prop2018TransTar!N22,Prop2018JSTar!N22)</f>
        <v>0</v>
      </c>
      <c r="O22" s="768">
        <f>SUM(Prop2018DistTar!O22,Prop2018TransTar!O22,Prop2018JSTar!O22)</f>
        <v>0</v>
      </c>
      <c r="P22" s="768">
        <f>SUM(Prop2018DistTar!P22,Prop2018TransTar!P22,Prop2018JSTar!P22)</f>
        <v>0</v>
      </c>
      <c r="Q22" s="768">
        <f>SUM(Prop2018DistTar!Q22,Prop2018TransTar!Q22,Prop2018JSTar!Q22)</f>
        <v>0</v>
      </c>
      <c r="R22" s="768">
        <f>SUM(Prop2018DistTar!R22,Prop2018TransTar!R22,Prop2018JSTar!R22)</f>
        <v>0</v>
      </c>
      <c r="S22" s="768">
        <f>SUM(Prop2018DistTar!S22,Prop2018TransTar!S22,Prop2018JSTar!S22)</f>
        <v>0</v>
      </c>
      <c r="T22" s="768">
        <f>SUM(Prop2018DistTar!T22,Prop2018TransTar!T22,Prop2018JSTar!T22)</f>
        <v>0</v>
      </c>
      <c r="U22" s="768">
        <f>SUM(Prop2018DistTar!U22,Prop2018TransTar!U22,Prop2018JSTar!U22)</f>
        <v>0</v>
      </c>
      <c r="V22" s="768">
        <f>SUM(Prop2018DistTar!V22,Prop2018TransTar!V22,Prop2018JSTar!V22)</f>
        <v>0</v>
      </c>
      <c r="W22" s="768">
        <f>SUM(Prop2018DistTar!W22,Prop2018TransTar!W22,Prop2018JSTar!W22)</f>
        <v>0</v>
      </c>
      <c r="X22" s="769">
        <f>SUM(Prop2018DistTar!X22,Prop2018TransTar!X22,Prop2018JSTar!X22)</f>
        <v>0</v>
      </c>
      <c r="Z22" s="279">
        <v>125</v>
      </c>
      <c r="AA22" s="752">
        <v>5.89</v>
      </c>
      <c r="AB22" s="752">
        <v>0</v>
      </c>
      <c r="AC22" s="752">
        <v>0</v>
      </c>
      <c r="AD22" s="752">
        <v>0</v>
      </c>
      <c r="AE22" s="752">
        <v>0</v>
      </c>
      <c r="AF22" s="752">
        <v>0</v>
      </c>
      <c r="AG22" s="752">
        <v>0</v>
      </c>
      <c r="AH22" s="752">
        <v>0</v>
      </c>
      <c r="AI22" s="752">
        <v>0</v>
      </c>
      <c r="AJ22" s="752">
        <v>0</v>
      </c>
      <c r="AK22" s="752">
        <v>0</v>
      </c>
      <c r="AL22" s="752">
        <v>0</v>
      </c>
      <c r="AM22" s="752">
        <v>0</v>
      </c>
      <c r="AN22" s="752">
        <v>0</v>
      </c>
      <c r="AO22" s="752">
        <v>0</v>
      </c>
      <c r="AP22" s="752">
        <v>0</v>
      </c>
      <c r="AQ22" s="752">
        <v>0</v>
      </c>
      <c r="AR22" s="752">
        <v>0</v>
      </c>
      <c r="AS22" s="752">
        <v>0</v>
      </c>
      <c r="AT22" s="753">
        <v>0</v>
      </c>
      <c r="AW22" s="784">
        <f t="shared" ref="AW22:BK38" si="3">IFERROR(D22/Z22-1,0)</f>
        <v>0</v>
      </c>
      <c r="AX22" s="785">
        <f t="shared" si="3"/>
        <v>4.2444821731748794E-2</v>
      </c>
      <c r="AY22" s="785">
        <f t="shared" si="3"/>
        <v>0</v>
      </c>
      <c r="AZ22" s="785">
        <f t="shared" si="3"/>
        <v>0</v>
      </c>
      <c r="BA22" s="785">
        <f t="shared" si="3"/>
        <v>0</v>
      </c>
      <c r="BB22" s="785">
        <f t="shared" si="3"/>
        <v>0</v>
      </c>
      <c r="BC22" s="785">
        <f t="shared" si="3"/>
        <v>0</v>
      </c>
      <c r="BD22" s="785">
        <f t="shared" si="3"/>
        <v>0</v>
      </c>
      <c r="BE22" s="785">
        <f t="shared" si="3"/>
        <v>0</v>
      </c>
      <c r="BF22" s="785">
        <f t="shared" si="3"/>
        <v>0</v>
      </c>
      <c r="BG22" s="785">
        <f t="shared" si="3"/>
        <v>0</v>
      </c>
      <c r="BH22" s="785">
        <f t="shared" si="3"/>
        <v>0</v>
      </c>
      <c r="BI22" s="785">
        <f t="shared" si="3"/>
        <v>0</v>
      </c>
      <c r="BJ22" s="785">
        <f t="shared" si="3"/>
        <v>0</v>
      </c>
      <c r="BK22" s="785">
        <f t="shared" si="3"/>
        <v>0</v>
      </c>
      <c r="BL22" s="785">
        <f t="shared" si="2"/>
        <v>0</v>
      </c>
      <c r="BM22" s="785">
        <f t="shared" si="1"/>
        <v>0</v>
      </c>
      <c r="BN22" s="785">
        <f t="shared" si="1"/>
        <v>0</v>
      </c>
      <c r="BO22" s="785">
        <f t="shared" si="1"/>
        <v>0</v>
      </c>
      <c r="BP22" s="785">
        <f t="shared" si="1"/>
        <v>0</v>
      </c>
      <c r="BQ22" s="786">
        <f t="shared" si="1"/>
        <v>0</v>
      </c>
      <c r="BR22" s="553" t="str">
        <f t="array" ref="BR22">IF(MAX(ABS(AW22:BQ22))&gt;$BR$4,"EXPLAIN","")</f>
        <v/>
      </c>
      <c r="BW22" s="748"/>
      <c r="BX22" s="748"/>
      <c r="BY22" s="748"/>
      <c r="BZ22" s="748"/>
      <c r="CA22" s="748"/>
      <c r="CB22" s="748"/>
      <c r="CC22" s="748"/>
      <c r="CD22" s="748"/>
      <c r="CE22" s="748"/>
      <c r="CF22" s="748"/>
      <c r="CG22" s="748"/>
      <c r="CH22" s="748"/>
      <c r="CI22" s="748"/>
      <c r="CJ22" s="748"/>
      <c r="CK22" s="748"/>
      <c r="CL22" s="748"/>
      <c r="CM22" s="748"/>
      <c r="CN22" s="748"/>
      <c r="CO22" s="748"/>
      <c r="CP22" s="748"/>
      <c r="CQ22" s="748"/>
      <c r="CR22" s="748"/>
      <c r="CS22" s="748"/>
    </row>
    <row r="23" spans="1:97">
      <c r="A23" s="748" t="str">
        <f>Prop2018DistTar!A23</f>
        <v>C2G5</v>
      </c>
      <c r="B23" s="750" t="s">
        <v>719</v>
      </c>
      <c r="C23" s="750" t="str">
        <f>Prop2018DistTar!C23</f>
        <v>Non-Residential Two Rate 5d</v>
      </c>
      <c r="D23" s="767">
        <f>SUM(Prop2018DistTar!D23,Prop2018TransTar!D23,Prop2018JSTar!D23)</f>
        <v>145</v>
      </c>
      <c r="E23" s="768">
        <f>SUM(Prop2018DistTar!E23,Prop2018TransTar!E23,Prop2018JSTar!E23)</f>
        <v>0</v>
      </c>
      <c r="F23" s="768">
        <f>SUM(Prop2018DistTar!F23,Prop2018TransTar!F23,Prop2018JSTar!F23)</f>
        <v>12.009999999999998</v>
      </c>
      <c r="G23" s="768">
        <f>SUM(Prop2018DistTar!G23,Prop2018TransTar!G23,Prop2018JSTar!G23)</f>
        <v>0</v>
      </c>
      <c r="H23" s="768">
        <f>SUM(Prop2018DistTar!H23,Prop2018TransTar!H23,Prop2018JSTar!H23)</f>
        <v>0</v>
      </c>
      <c r="I23" s="768">
        <f>SUM(Prop2018DistTar!I23,Prop2018TransTar!I23,Prop2018JSTar!I23)</f>
        <v>3.21</v>
      </c>
      <c r="J23" s="768">
        <f>SUM(Prop2018DistTar!J23,Prop2018TransTar!J23,Prop2018JSTar!J23)</f>
        <v>0</v>
      </c>
      <c r="K23" s="768">
        <f>SUM(Prop2018DistTar!K23,Prop2018TransTar!K23,Prop2018JSTar!K23)</f>
        <v>0</v>
      </c>
      <c r="L23" s="768">
        <f>SUM(Prop2018DistTar!L23,Prop2018TransTar!L23,Prop2018JSTar!L23)</f>
        <v>0</v>
      </c>
      <c r="M23" s="768">
        <f>SUM(Prop2018DistTar!M23,Prop2018TransTar!M23,Prop2018JSTar!M23)</f>
        <v>0</v>
      </c>
      <c r="N23" s="768">
        <f>SUM(Prop2018DistTar!N23,Prop2018TransTar!N23,Prop2018JSTar!N23)</f>
        <v>0</v>
      </c>
      <c r="O23" s="768">
        <f>SUM(Prop2018DistTar!O23,Prop2018TransTar!O23,Prop2018JSTar!O23)</f>
        <v>0</v>
      </c>
      <c r="P23" s="768">
        <f>SUM(Prop2018DistTar!P23,Prop2018TransTar!P23,Prop2018JSTar!P23)</f>
        <v>0</v>
      </c>
      <c r="Q23" s="768">
        <f>SUM(Prop2018DistTar!Q23,Prop2018TransTar!Q23,Prop2018JSTar!Q23)</f>
        <v>0</v>
      </c>
      <c r="R23" s="768">
        <f>SUM(Prop2018DistTar!R23,Prop2018TransTar!R23,Prop2018JSTar!R23)</f>
        <v>0</v>
      </c>
      <c r="S23" s="768">
        <f>SUM(Prop2018DistTar!S23,Prop2018TransTar!S23,Prop2018JSTar!S23)</f>
        <v>0</v>
      </c>
      <c r="T23" s="768">
        <f>SUM(Prop2018DistTar!T23,Prop2018TransTar!T23,Prop2018JSTar!T23)</f>
        <v>0</v>
      </c>
      <c r="U23" s="768">
        <f>SUM(Prop2018DistTar!U23,Prop2018TransTar!U23,Prop2018JSTar!U23)</f>
        <v>0</v>
      </c>
      <c r="V23" s="768">
        <f>SUM(Prop2018DistTar!V23,Prop2018TransTar!V23,Prop2018JSTar!V23)</f>
        <v>0</v>
      </c>
      <c r="W23" s="768">
        <f>SUM(Prop2018DistTar!W23,Prop2018TransTar!W23,Prop2018JSTar!W23)</f>
        <v>0</v>
      </c>
      <c r="X23" s="769">
        <f>SUM(Prop2018DistTar!X23,Prop2018TransTar!X23,Prop2018JSTar!X23)</f>
        <v>0</v>
      </c>
      <c r="Z23" s="279">
        <v>145</v>
      </c>
      <c r="AA23" s="752">
        <v>0</v>
      </c>
      <c r="AB23" s="752">
        <v>11.51</v>
      </c>
      <c r="AC23" s="752">
        <v>0</v>
      </c>
      <c r="AD23" s="752">
        <v>0</v>
      </c>
      <c r="AE23" s="752">
        <v>3.08</v>
      </c>
      <c r="AF23" s="752">
        <v>0</v>
      </c>
      <c r="AG23" s="752">
        <v>0</v>
      </c>
      <c r="AH23" s="752">
        <v>0</v>
      </c>
      <c r="AI23" s="752">
        <v>0</v>
      </c>
      <c r="AJ23" s="752">
        <v>0</v>
      </c>
      <c r="AK23" s="752">
        <v>0</v>
      </c>
      <c r="AL23" s="752">
        <v>0</v>
      </c>
      <c r="AM23" s="752">
        <v>0</v>
      </c>
      <c r="AN23" s="752">
        <v>0</v>
      </c>
      <c r="AO23" s="752">
        <v>0</v>
      </c>
      <c r="AP23" s="752">
        <v>0</v>
      </c>
      <c r="AQ23" s="752">
        <v>0</v>
      </c>
      <c r="AR23" s="752">
        <v>0</v>
      </c>
      <c r="AS23" s="752">
        <v>0</v>
      </c>
      <c r="AT23" s="753">
        <v>0</v>
      </c>
      <c r="AW23" s="784">
        <f t="shared" si="3"/>
        <v>0</v>
      </c>
      <c r="AX23" s="785">
        <f t="shared" si="3"/>
        <v>0</v>
      </c>
      <c r="AY23" s="785">
        <f t="shared" si="3"/>
        <v>4.3440486533449008E-2</v>
      </c>
      <c r="AZ23" s="785">
        <f t="shared" si="3"/>
        <v>0</v>
      </c>
      <c r="BA23" s="785">
        <f t="shared" si="3"/>
        <v>0</v>
      </c>
      <c r="BB23" s="785">
        <f t="shared" si="3"/>
        <v>4.2207792207792139E-2</v>
      </c>
      <c r="BC23" s="785">
        <f t="shared" si="3"/>
        <v>0</v>
      </c>
      <c r="BD23" s="785">
        <f t="shared" si="3"/>
        <v>0</v>
      </c>
      <c r="BE23" s="785">
        <f t="shared" si="3"/>
        <v>0</v>
      </c>
      <c r="BF23" s="785">
        <f t="shared" si="3"/>
        <v>0</v>
      </c>
      <c r="BG23" s="785">
        <f t="shared" si="3"/>
        <v>0</v>
      </c>
      <c r="BH23" s="785">
        <f t="shared" si="3"/>
        <v>0</v>
      </c>
      <c r="BI23" s="785">
        <f t="shared" si="3"/>
        <v>0</v>
      </c>
      <c r="BJ23" s="785">
        <f t="shared" si="3"/>
        <v>0</v>
      </c>
      <c r="BK23" s="785">
        <f t="shared" si="3"/>
        <v>0</v>
      </c>
      <c r="BL23" s="785">
        <f t="shared" si="2"/>
        <v>0</v>
      </c>
      <c r="BM23" s="785">
        <f t="shared" si="1"/>
        <v>0</v>
      </c>
      <c r="BN23" s="785">
        <f t="shared" si="1"/>
        <v>0</v>
      </c>
      <c r="BO23" s="785">
        <f t="shared" si="1"/>
        <v>0</v>
      </c>
      <c r="BP23" s="785">
        <f t="shared" si="1"/>
        <v>0</v>
      </c>
      <c r="BQ23" s="786">
        <f t="shared" si="1"/>
        <v>0</v>
      </c>
      <c r="BR23" s="553" t="str">
        <f t="array" ref="BR23">IF(MAX(ABS(AW23:BQ23))&gt;$BR$4,"EXPLAIN","")</f>
        <v/>
      </c>
      <c r="BW23" s="748"/>
      <c r="BX23" s="748"/>
      <c r="BY23" s="748"/>
      <c r="BZ23" s="748"/>
      <c r="CA23" s="748"/>
      <c r="CB23" s="748"/>
      <c r="CC23" s="748"/>
      <c r="CD23" s="748"/>
      <c r="CE23" s="748"/>
      <c r="CF23" s="748"/>
      <c r="CG23" s="748"/>
      <c r="CH23" s="748"/>
      <c r="CI23" s="748"/>
      <c r="CJ23" s="748"/>
      <c r="CK23" s="748"/>
      <c r="CL23" s="748"/>
      <c r="CM23" s="748"/>
      <c r="CN23" s="748"/>
      <c r="CO23" s="748"/>
      <c r="CP23" s="748"/>
      <c r="CQ23" s="748"/>
      <c r="CR23" s="748"/>
      <c r="CS23" s="748"/>
    </row>
    <row r="24" spans="1:97">
      <c r="A24" s="748" t="str">
        <f>Prop2018DistTar!A24</f>
        <v>C2G5B</v>
      </c>
      <c r="B24" s="750" t="s">
        <v>720</v>
      </c>
      <c r="C24" s="750" t="str">
        <f>Prop2018DistTar!C24</f>
        <v>Non-Residential Two Rate 5d - Bulk</v>
      </c>
      <c r="D24" s="767">
        <f>SUM(Prop2018DistTar!D24,Prop2018TransTar!D24,Prop2018JSTar!D24)</f>
        <v>125</v>
      </c>
      <c r="E24" s="768">
        <f>SUM(Prop2018DistTar!E24,Prop2018TransTar!E24,Prop2018JSTar!E24)</f>
        <v>0</v>
      </c>
      <c r="F24" s="768">
        <f>SUM(Prop2018DistTar!F24,Prop2018TransTar!F24,Prop2018JSTar!F24)</f>
        <v>8.7299999999999986</v>
      </c>
      <c r="G24" s="768">
        <f>SUM(Prop2018DistTar!G24,Prop2018TransTar!G24,Prop2018JSTar!G24)</f>
        <v>0</v>
      </c>
      <c r="H24" s="768">
        <f>SUM(Prop2018DistTar!H24,Prop2018TransTar!H24,Prop2018JSTar!H24)</f>
        <v>0</v>
      </c>
      <c r="I24" s="768">
        <f>SUM(Prop2018DistTar!I24,Prop2018TransTar!I24,Prop2018JSTar!I24)</f>
        <v>2.41</v>
      </c>
      <c r="J24" s="768">
        <f>SUM(Prop2018DistTar!J24,Prop2018TransTar!J24,Prop2018JSTar!J24)</f>
        <v>0</v>
      </c>
      <c r="K24" s="768">
        <f>SUM(Prop2018DistTar!K24,Prop2018TransTar!K24,Prop2018JSTar!K24)</f>
        <v>0</v>
      </c>
      <c r="L24" s="768">
        <f>SUM(Prop2018DistTar!L24,Prop2018TransTar!L24,Prop2018JSTar!L24)</f>
        <v>0</v>
      </c>
      <c r="M24" s="768">
        <f>SUM(Prop2018DistTar!M24,Prop2018TransTar!M24,Prop2018JSTar!M24)</f>
        <v>0</v>
      </c>
      <c r="N24" s="768">
        <f>SUM(Prop2018DistTar!N24,Prop2018TransTar!N24,Prop2018JSTar!N24)</f>
        <v>0</v>
      </c>
      <c r="O24" s="768">
        <f>SUM(Prop2018DistTar!O24,Prop2018TransTar!O24,Prop2018JSTar!O24)</f>
        <v>0</v>
      </c>
      <c r="P24" s="768">
        <f>SUM(Prop2018DistTar!P24,Prop2018TransTar!P24,Prop2018JSTar!P24)</f>
        <v>0</v>
      </c>
      <c r="Q24" s="768">
        <f>SUM(Prop2018DistTar!Q24,Prop2018TransTar!Q24,Prop2018JSTar!Q24)</f>
        <v>0</v>
      </c>
      <c r="R24" s="768">
        <f>SUM(Prop2018DistTar!R24,Prop2018TransTar!R24,Prop2018JSTar!R24)</f>
        <v>0</v>
      </c>
      <c r="S24" s="768">
        <f>SUM(Prop2018DistTar!S24,Prop2018TransTar!S24,Prop2018JSTar!S24)</f>
        <v>0</v>
      </c>
      <c r="T24" s="768">
        <f>SUM(Prop2018DistTar!T24,Prop2018TransTar!T24,Prop2018JSTar!T24)</f>
        <v>0</v>
      </c>
      <c r="U24" s="768">
        <f>SUM(Prop2018DistTar!U24,Prop2018TransTar!U24,Prop2018JSTar!U24)</f>
        <v>0</v>
      </c>
      <c r="V24" s="768">
        <f>SUM(Prop2018DistTar!V24,Prop2018TransTar!V24,Prop2018JSTar!V24)</f>
        <v>0</v>
      </c>
      <c r="W24" s="768">
        <f>SUM(Prop2018DistTar!W24,Prop2018TransTar!W24,Prop2018JSTar!W24)</f>
        <v>0</v>
      </c>
      <c r="X24" s="769">
        <f>SUM(Prop2018DistTar!X24,Prop2018TransTar!X24,Prop2018JSTar!X24)</f>
        <v>0</v>
      </c>
      <c r="Z24" s="279">
        <v>125</v>
      </c>
      <c r="AA24" s="752">
        <v>0</v>
      </c>
      <c r="AB24" s="752">
        <v>8.3699999999999992</v>
      </c>
      <c r="AC24" s="752">
        <v>0</v>
      </c>
      <c r="AD24" s="752">
        <v>0</v>
      </c>
      <c r="AE24" s="752">
        <v>2.31</v>
      </c>
      <c r="AF24" s="752">
        <v>0</v>
      </c>
      <c r="AG24" s="752">
        <v>0</v>
      </c>
      <c r="AH24" s="752">
        <v>0</v>
      </c>
      <c r="AI24" s="752">
        <v>0</v>
      </c>
      <c r="AJ24" s="752">
        <v>0</v>
      </c>
      <c r="AK24" s="752">
        <v>0</v>
      </c>
      <c r="AL24" s="752">
        <v>0</v>
      </c>
      <c r="AM24" s="752">
        <v>0</v>
      </c>
      <c r="AN24" s="752">
        <v>0</v>
      </c>
      <c r="AO24" s="752">
        <v>0</v>
      </c>
      <c r="AP24" s="752">
        <v>0</v>
      </c>
      <c r="AQ24" s="752">
        <v>0</v>
      </c>
      <c r="AR24" s="752">
        <v>0</v>
      </c>
      <c r="AS24" s="752">
        <v>0</v>
      </c>
      <c r="AT24" s="753">
        <v>0</v>
      </c>
      <c r="AW24" s="784">
        <f t="shared" si="3"/>
        <v>0</v>
      </c>
      <c r="AX24" s="785">
        <f t="shared" si="3"/>
        <v>0</v>
      </c>
      <c r="AY24" s="785">
        <f t="shared" si="3"/>
        <v>4.3010752688172005E-2</v>
      </c>
      <c r="AZ24" s="785">
        <f t="shared" si="3"/>
        <v>0</v>
      </c>
      <c r="BA24" s="785">
        <f t="shared" si="3"/>
        <v>0</v>
      </c>
      <c r="BB24" s="785">
        <f t="shared" si="3"/>
        <v>4.3290043290043378E-2</v>
      </c>
      <c r="BC24" s="785">
        <f t="shared" si="3"/>
        <v>0</v>
      </c>
      <c r="BD24" s="785">
        <f t="shared" si="3"/>
        <v>0</v>
      </c>
      <c r="BE24" s="785">
        <f t="shared" si="3"/>
        <v>0</v>
      </c>
      <c r="BF24" s="785">
        <f t="shared" si="3"/>
        <v>0</v>
      </c>
      <c r="BG24" s="785">
        <f t="shared" si="3"/>
        <v>0</v>
      </c>
      <c r="BH24" s="785">
        <f t="shared" si="3"/>
        <v>0</v>
      </c>
      <c r="BI24" s="785">
        <f t="shared" si="3"/>
        <v>0</v>
      </c>
      <c r="BJ24" s="785">
        <f t="shared" si="3"/>
        <v>0</v>
      </c>
      <c r="BK24" s="785">
        <f t="shared" si="3"/>
        <v>0</v>
      </c>
      <c r="BL24" s="785">
        <f t="shared" si="2"/>
        <v>0</v>
      </c>
      <c r="BM24" s="785">
        <f t="shared" si="1"/>
        <v>0</v>
      </c>
      <c r="BN24" s="785">
        <f t="shared" si="1"/>
        <v>0</v>
      </c>
      <c r="BO24" s="785">
        <f t="shared" si="1"/>
        <v>0</v>
      </c>
      <c r="BP24" s="785">
        <f t="shared" si="1"/>
        <v>0</v>
      </c>
      <c r="BQ24" s="786">
        <f t="shared" si="1"/>
        <v>0</v>
      </c>
      <c r="BR24" s="553" t="str">
        <f t="array" ref="BR24">IF(MAX(ABS(AW24:BQ24))&gt;$BR$4,"EXPLAIN","")</f>
        <v/>
      </c>
      <c r="BW24" s="748"/>
      <c r="BX24" s="748"/>
      <c r="BY24" s="748"/>
      <c r="BZ24" s="748"/>
      <c r="CA24" s="748"/>
      <c r="CB24" s="748"/>
      <c r="CC24" s="748"/>
      <c r="CD24" s="748"/>
      <c r="CE24" s="748"/>
      <c r="CF24" s="748"/>
      <c r="CG24" s="748"/>
      <c r="CH24" s="748"/>
      <c r="CI24" s="748"/>
      <c r="CJ24" s="748"/>
      <c r="CK24" s="748"/>
      <c r="CL24" s="748"/>
      <c r="CM24" s="748"/>
      <c r="CN24" s="748"/>
      <c r="CO24" s="748"/>
      <c r="CP24" s="748"/>
      <c r="CQ24" s="748"/>
      <c r="CR24" s="748"/>
      <c r="CS24" s="748"/>
    </row>
    <row r="25" spans="1:97">
      <c r="A25" s="748" t="str">
        <f>Prop2018DistTar!A25</f>
        <v>C3G</v>
      </c>
      <c r="B25" s="750" t="s">
        <v>733</v>
      </c>
      <c r="C25" s="750" t="str">
        <f>Prop2018DistTar!C25</f>
        <v>Non-Residential Interval</v>
      </c>
      <c r="D25" s="767">
        <f>SUM(Prop2018DistTar!D25,Prop2018TransTar!D25,Prop2018JSTar!D25)</f>
        <v>145</v>
      </c>
      <c r="E25" s="768">
        <f>SUM(Prop2018DistTar!E25,Prop2018TransTar!E25,Prop2018JSTar!E25)</f>
        <v>0</v>
      </c>
      <c r="F25" s="768">
        <f>SUM(Prop2018DistTar!F25,Prop2018TransTar!F25,Prop2018JSTar!F25)</f>
        <v>12.009999999999998</v>
      </c>
      <c r="G25" s="768">
        <f>SUM(Prop2018DistTar!G25,Prop2018TransTar!G25,Prop2018JSTar!G25)</f>
        <v>0</v>
      </c>
      <c r="H25" s="768">
        <f>SUM(Prop2018DistTar!H25,Prop2018TransTar!H25,Prop2018JSTar!H25)</f>
        <v>0</v>
      </c>
      <c r="I25" s="768">
        <f>SUM(Prop2018DistTar!I25,Prop2018TransTar!I25,Prop2018JSTar!I25)</f>
        <v>3.21</v>
      </c>
      <c r="J25" s="768">
        <f>SUM(Prop2018DistTar!J25,Prop2018TransTar!J25,Prop2018JSTar!J25)</f>
        <v>0</v>
      </c>
      <c r="K25" s="768">
        <f>SUM(Prop2018DistTar!K25,Prop2018TransTar!K25,Prop2018JSTar!K25)</f>
        <v>0</v>
      </c>
      <c r="L25" s="768">
        <f>SUM(Prop2018DistTar!L25,Prop2018TransTar!L25,Prop2018JSTar!L25)</f>
        <v>0</v>
      </c>
      <c r="M25" s="768">
        <f>SUM(Prop2018DistTar!M25,Prop2018TransTar!M25,Prop2018JSTar!M25)</f>
        <v>0</v>
      </c>
      <c r="N25" s="768">
        <f>SUM(Prop2018DistTar!N25,Prop2018TransTar!N25,Prop2018JSTar!N25)</f>
        <v>0</v>
      </c>
      <c r="O25" s="768">
        <f>SUM(Prop2018DistTar!O25,Prop2018TransTar!O25,Prop2018JSTar!O25)</f>
        <v>0</v>
      </c>
      <c r="P25" s="768">
        <f>SUM(Prop2018DistTar!P25,Prop2018TransTar!P25,Prop2018JSTar!P25)</f>
        <v>0</v>
      </c>
      <c r="Q25" s="768">
        <f>SUM(Prop2018DistTar!Q25,Prop2018TransTar!Q25,Prop2018JSTar!Q25)</f>
        <v>0</v>
      </c>
      <c r="R25" s="768">
        <f>SUM(Prop2018DistTar!R25,Prop2018TransTar!R25,Prop2018JSTar!R25)</f>
        <v>0</v>
      </c>
      <c r="S25" s="768">
        <f>SUM(Prop2018DistTar!S25,Prop2018TransTar!S25,Prop2018JSTar!S25)</f>
        <v>0</v>
      </c>
      <c r="T25" s="768">
        <f>SUM(Prop2018DistTar!T25,Prop2018TransTar!T25,Prop2018JSTar!T25)</f>
        <v>0</v>
      </c>
      <c r="U25" s="768">
        <f>SUM(Prop2018DistTar!U25,Prop2018TransTar!U25,Prop2018JSTar!U25)</f>
        <v>0</v>
      </c>
      <c r="V25" s="768">
        <f>SUM(Prop2018DistTar!V25,Prop2018TransTar!V25,Prop2018JSTar!V25)</f>
        <v>0</v>
      </c>
      <c r="W25" s="768">
        <f>SUM(Prop2018DistTar!W25,Prop2018TransTar!W25,Prop2018JSTar!W25)</f>
        <v>0</v>
      </c>
      <c r="X25" s="769">
        <f>SUM(Prop2018DistTar!X25,Prop2018TransTar!X25,Prop2018JSTar!X25)</f>
        <v>0</v>
      </c>
      <c r="Z25" s="279">
        <v>145</v>
      </c>
      <c r="AA25" s="752">
        <v>0</v>
      </c>
      <c r="AB25" s="752">
        <v>11.51</v>
      </c>
      <c r="AC25" s="752">
        <v>0</v>
      </c>
      <c r="AD25" s="752">
        <v>0</v>
      </c>
      <c r="AE25" s="752">
        <v>3.08</v>
      </c>
      <c r="AF25" s="752">
        <v>0</v>
      </c>
      <c r="AG25" s="752">
        <v>0</v>
      </c>
      <c r="AH25" s="752">
        <v>0</v>
      </c>
      <c r="AI25" s="752">
        <v>0</v>
      </c>
      <c r="AJ25" s="752">
        <v>0</v>
      </c>
      <c r="AK25" s="752">
        <v>0</v>
      </c>
      <c r="AL25" s="752">
        <v>0</v>
      </c>
      <c r="AM25" s="752">
        <v>0</v>
      </c>
      <c r="AN25" s="752">
        <v>0</v>
      </c>
      <c r="AO25" s="752">
        <v>0</v>
      </c>
      <c r="AP25" s="752">
        <v>0</v>
      </c>
      <c r="AQ25" s="752">
        <v>0</v>
      </c>
      <c r="AR25" s="752">
        <v>0</v>
      </c>
      <c r="AS25" s="752">
        <v>0</v>
      </c>
      <c r="AT25" s="753">
        <v>0</v>
      </c>
      <c r="AW25" s="784">
        <f t="shared" si="3"/>
        <v>0</v>
      </c>
      <c r="AX25" s="785">
        <f t="shared" si="3"/>
        <v>0</v>
      </c>
      <c r="AY25" s="785">
        <f t="shared" si="3"/>
        <v>4.3440486533449008E-2</v>
      </c>
      <c r="AZ25" s="785">
        <f t="shared" si="3"/>
        <v>0</v>
      </c>
      <c r="BA25" s="785">
        <f t="shared" si="3"/>
        <v>0</v>
      </c>
      <c r="BB25" s="785">
        <f t="shared" si="3"/>
        <v>4.2207792207792139E-2</v>
      </c>
      <c r="BC25" s="785">
        <f t="shared" si="3"/>
        <v>0</v>
      </c>
      <c r="BD25" s="785">
        <f t="shared" si="3"/>
        <v>0</v>
      </c>
      <c r="BE25" s="785">
        <f t="shared" si="3"/>
        <v>0</v>
      </c>
      <c r="BF25" s="785">
        <f t="shared" si="3"/>
        <v>0</v>
      </c>
      <c r="BG25" s="785">
        <f t="shared" si="3"/>
        <v>0</v>
      </c>
      <c r="BH25" s="785">
        <f t="shared" si="3"/>
        <v>0</v>
      </c>
      <c r="BI25" s="785">
        <f t="shared" si="3"/>
        <v>0</v>
      </c>
      <c r="BJ25" s="785">
        <f t="shared" si="3"/>
        <v>0</v>
      </c>
      <c r="BK25" s="785">
        <f t="shared" si="3"/>
        <v>0</v>
      </c>
      <c r="BL25" s="785">
        <f t="shared" si="2"/>
        <v>0</v>
      </c>
      <c r="BM25" s="785">
        <f t="shared" si="1"/>
        <v>0</v>
      </c>
      <c r="BN25" s="785">
        <f t="shared" si="1"/>
        <v>0</v>
      </c>
      <c r="BO25" s="785">
        <f t="shared" si="1"/>
        <v>0</v>
      </c>
      <c r="BP25" s="785">
        <f t="shared" si="1"/>
        <v>0</v>
      </c>
      <c r="BQ25" s="786">
        <f t="shared" si="1"/>
        <v>0</v>
      </c>
      <c r="BR25" s="553" t="str">
        <f t="array" ref="BR25">IF(MAX(ABS(AW25:BQ25))&gt;$BR$4,"EXPLAIN","")</f>
        <v/>
      </c>
      <c r="BW25" s="748"/>
      <c r="BX25" s="748"/>
      <c r="BY25" s="748"/>
      <c r="BZ25" s="748"/>
      <c r="CA25" s="748"/>
      <c r="CB25" s="748"/>
      <c r="CC25" s="748"/>
      <c r="CD25" s="748"/>
      <c r="CE25" s="748"/>
      <c r="CF25" s="748"/>
      <c r="CG25" s="748"/>
      <c r="CH25" s="748"/>
      <c r="CI25" s="748"/>
      <c r="CJ25" s="748"/>
      <c r="CK25" s="748"/>
      <c r="CL25" s="748"/>
      <c r="CM25" s="748"/>
      <c r="CN25" s="748"/>
      <c r="CO25" s="748"/>
      <c r="CP25" s="748"/>
      <c r="CQ25" s="748"/>
      <c r="CR25" s="748"/>
      <c r="CS25" s="748"/>
    </row>
    <row r="26" spans="1:97">
      <c r="A26" s="748" t="str">
        <f>Prop2018DistTar!A26</f>
        <v>C3GB</v>
      </c>
      <c r="B26" s="750" t="s">
        <v>733</v>
      </c>
      <c r="C26" s="750" t="str">
        <f>Prop2018DistTar!C26</f>
        <v>Non-Residential Interval - Bulk</v>
      </c>
      <c r="D26" s="767">
        <f>SUM(Prop2018DistTar!D26,Prop2018TransTar!D26,Prop2018JSTar!D26)</f>
        <v>125</v>
      </c>
      <c r="E26" s="768">
        <f>SUM(Prop2018DistTar!E26,Prop2018TransTar!E26,Prop2018JSTar!E26)</f>
        <v>0</v>
      </c>
      <c r="F26" s="768">
        <f>SUM(Prop2018DistTar!F26,Prop2018TransTar!F26,Prop2018JSTar!F26)</f>
        <v>8.7299999999999986</v>
      </c>
      <c r="G26" s="768">
        <f>SUM(Prop2018DistTar!G26,Prop2018TransTar!G26,Prop2018JSTar!G26)</f>
        <v>0</v>
      </c>
      <c r="H26" s="768">
        <f>SUM(Prop2018DistTar!H26,Prop2018TransTar!H26,Prop2018JSTar!H26)</f>
        <v>0</v>
      </c>
      <c r="I26" s="768">
        <f>SUM(Prop2018DistTar!I26,Prop2018TransTar!I26,Prop2018JSTar!I26)</f>
        <v>2.41</v>
      </c>
      <c r="J26" s="768">
        <f>SUM(Prop2018DistTar!J26,Prop2018TransTar!J26,Prop2018JSTar!J26)</f>
        <v>0</v>
      </c>
      <c r="K26" s="768">
        <f>SUM(Prop2018DistTar!K26,Prop2018TransTar!K26,Prop2018JSTar!K26)</f>
        <v>0</v>
      </c>
      <c r="L26" s="768">
        <f>SUM(Prop2018DistTar!L26,Prop2018TransTar!L26,Prop2018JSTar!L26)</f>
        <v>0</v>
      </c>
      <c r="M26" s="768">
        <f>SUM(Prop2018DistTar!M26,Prop2018TransTar!M26,Prop2018JSTar!M26)</f>
        <v>0</v>
      </c>
      <c r="N26" s="768">
        <f>SUM(Prop2018DistTar!N26,Prop2018TransTar!N26,Prop2018JSTar!N26)</f>
        <v>0</v>
      </c>
      <c r="O26" s="768">
        <f>SUM(Prop2018DistTar!O26,Prop2018TransTar!O26,Prop2018JSTar!O26)</f>
        <v>0</v>
      </c>
      <c r="P26" s="768">
        <f>SUM(Prop2018DistTar!P26,Prop2018TransTar!P26,Prop2018JSTar!P26)</f>
        <v>0</v>
      </c>
      <c r="Q26" s="768">
        <f>SUM(Prop2018DistTar!Q26,Prop2018TransTar!Q26,Prop2018JSTar!Q26)</f>
        <v>0</v>
      </c>
      <c r="R26" s="768">
        <f>SUM(Prop2018DistTar!R26,Prop2018TransTar!R26,Prop2018JSTar!R26)</f>
        <v>0</v>
      </c>
      <c r="S26" s="768">
        <f>SUM(Prop2018DistTar!S26,Prop2018TransTar!S26,Prop2018JSTar!S26)</f>
        <v>0</v>
      </c>
      <c r="T26" s="768">
        <f>SUM(Prop2018DistTar!T26,Prop2018TransTar!T26,Prop2018JSTar!T26)</f>
        <v>0</v>
      </c>
      <c r="U26" s="768">
        <f>SUM(Prop2018DistTar!U26,Prop2018TransTar!U26,Prop2018JSTar!U26)</f>
        <v>0</v>
      </c>
      <c r="V26" s="768">
        <f>SUM(Prop2018DistTar!V26,Prop2018TransTar!V26,Prop2018JSTar!V26)</f>
        <v>0</v>
      </c>
      <c r="W26" s="768">
        <f>SUM(Prop2018DistTar!W26,Prop2018TransTar!W26,Prop2018JSTar!W26)</f>
        <v>0</v>
      </c>
      <c r="X26" s="769">
        <f>SUM(Prop2018DistTar!X26,Prop2018TransTar!X26,Prop2018JSTar!X26)</f>
        <v>0</v>
      </c>
      <c r="Z26" s="279">
        <v>125</v>
      </c>
      <c r="AA26" s="752">
        <v>0</v>
      </c>
      <c r="AB26" s="752">
        <v>8.3699999999999992</v>
      </c>
      <c r="AC26" s="752">
        <v>0</v>
      </c>
      <c r="AD26" s="752">
        <v>0</v>
      </c>
      <c r="AE26" s="752">
        <v>2.31</v>
      </c>
      <c r="AF26" s="752">
        <v>0</v>
      </c>
      <c r="AG26" s="752">
        <v>0</v>
      </c>
      <c r="AH26" s="752">
        <v>0</v>
      </c>
      <c r="AI26" s="752">
        <v>0</v>
      </c>
      <c r="AJ26" s="752">
        <v>0</v>
      </c>
      <c r="AK26" s="752">
        <v>0</v>
      </c>
      <c r="AL26" s="752">
        <v>0</v>
      </c>
      <c r="AM26" s="752">
        <v>0</v>
      </c>
      <c r="AN26" s="752">
        <v>0</v>
      </c>
      <c r="AO26" s="752">
        <v>0</v>
      </c>
      <c r="AP26" s="752">
        <v>0</v>
      </c>
      <c r="AQ26" s="752">
        <v>0</v>
      </c>
      <c r="AR26" s="752">
        <v>0</v>
      </c>
      <c r="AS26" s="752">
        <v>0</v>
      </c>
      <c r="AT26" s="753">
        <v>0</v>
      </c>
      <c r="AW26" s="784">
        <f t="shared" si="3"/>
        <v>0</v>
      </c>
      <c r="AX26" s="785">
        <f t="shared" si="3"/>
        <v>0</v>
      </c>
      <c r="AY26" s="785">
        <f t="shared" si="3"/>
        <v>4.3010752688172005E-2</v>
      </c>
      <c r="AZ26" s="785">
        <f t="shared" si="3"/>
        <v>0</v>
      </c>
      <c r="BA26" s="785">
        <f t="shared" si="3"/>
        <v>0</v>
      </c>
      <c r="BB26" s="785">
        <f t="shared" si="3"/>
        <v>4.3290043290043378E-2</v>
      </c>
      <c r="BC26" s="785">
        <f t="shared" si="3"/>
        <v>0</v>
      </c>
      <c r="BD26" s="785">
        <f t="shared" si="3"/>
        <v>0</v>
      </c>
      <c r="BE26" s="785">
        <f t="shared" si="3"/>
        <v>0</v>
      </c>
      <c r="BF26" s="785">
        <f t="shared" si="3"/>
        <v>0</v>
      </c>
      <c r="BG26" s="785">
        <f t="shared" si="3"/>
        <v>0</v>
      </c>
      <c r="BH26" s="785">
        <f t="shared" si="3"/>
        <v>0</v>
      </c>
      <c r="BI26" s="785">
        <f t="shared" si="3"/>
        <v>0</v>
      </c>
      <c r="BJ26" s="785">
        <f t="shared" si="3"/>
        <v>0</v>
      </c>
      <c r="BK26" s="785">
        <f t="shared" si="3"/>
        <v>0</v>
      </c>
      <c r="BL26" s="785">
        <f t="shared" si="2"/>
        <v>0</v>
      </c>
      <c r="BM26" s="785">
        <f t="shared" si="1"/>
        <v>0</v>
      </c>
      <c r="BN26" s="785">
        <f t="shared" si="1"/>
        <v>0</v>
      </c>
      <c r="BO26" s="785">
        <f t="shared" si="1"/>
        <v>0</v>
      </c>
      <c r="BP26" s="785">
        <f t="shared" si="1"/>
        <v>0</v>
      </c>
      <c r="BQ26" s="786">
        <f t="shared" si="1"/>
        <v>0</v>
      </c>
      <c r="BR26" s="553" t="str">
        <f t="array" ref="BR26">IF(MAX(ABS(AW26:BQ26))&gt;$BR$4,"EXPLAIN","")</f>
        <v/>
      </c>
      <c r="BW26" s="748"/>
      <c r="BX26" s="748"/>
      <c r="BY26" s="748"/>
      <c r="BZ26" s="748"/>
      <c r="CA26" s="748"/>
      <c r="CB26" s="748"/>
      <c r="CC26" s="748"/>
      <c r="CD26" s="748"/>
      <c r="CE26" s="748"/>
      <c r="CF26" s="748"/>
      <c r="CG26" s="748"/>
      <c r="CH26" s="748"/>
      <c r="CI26" s="748"/>
      <c r="CJ26" s="748"/>
      <c r="CK26" s="748"/>
      <c r="CL26" s="748"/>
      <c r="CM26" s="748"/>
      <c r="CN26" s="748"/>
      <c r="CO26" s="748"/>
      <c r="CP26" s="748"/>
      <c r="CQ26" s="748"/>
      <c r="CR26" s="748"/>
      <c r="CS26" s="748"/>
    </row>
    <row r="27" spans="1:97">
      <c r="A27" s="748" t="str">
        <f>Prop2018DistTar!A27</f>
        <v>C14G</v>
      </c>
      <c r="B27" s="750" t="s">
        <v>721</v>
      </c>
      <c r="C27" s="750" t="str">
        <f>Prop2018DistTar!C27</f>
        <v>Non-Residential Flexible Pricing</v>
      </c>
      <c r="D27" s="767">
        <f>SUM(Prop2018DistTar!D27,Prop2018TransTar!D27,Prop2018JSTar!D27)</f>
        <v>145</v>
      </c>
      <c r="E27" s="768">
        <f>SUM(Prop2018DistTar!E27,Prop2018TransTar!E27,Prop2018JSTar!E27)</f>
        <v>0</v>
      </c>
      <c r="F27" s="768">
        <f>SUM(Prop2018DistTar!F27,Prop2018TransTar!F27,Prop2018JSTar!F27)</f>
        <v>0</v>
      </c>
      <c r="G27" s="768">
        <f>SUM(Prop2018DistTar!G27,Prop2018TransTar!G27,Prop2018JSTar!G27)</f>
        <v>0</v>
      </c>
      <c r="H27" s="768">
        <f>SUM(Prop2018DistTar!H27,Prop2018TransTar!H27,Prop2018JSTar!H27)</f>
        <v>0</v>
      </c>
      <c r="I27" s="768">
        <f>SUM(Prop2018DistTar!I27,Prop2018TransTar!I27,Prop2018JSTar!I27)</f>
        <v>0</v>
      </c>
      <c r="J27" s="768">
        <f>SUM(Prop2018DistTar!J27,Prop2018TransTar!J27,Prop2018JSTar!J27)</f>
        <v>0</v>
      </c>
      <c r="K27" s="768">
        <f>SUM(Prop2018DistTar!K27,Prop2018TransTar!K27,Prop2018JSTar!K27)</f>
        <v>0</v>
      </c>
      <c r="L27" s="768">
        <f>SUM(Prop2018DistTar!L27,Prop2018TransTar!L27,Prop2018JSTar!L27)</f>
        <v>0</v>
      </c>
      <c r="M27" s="768">
        <f>SUM(Prop2018DistTar!M27,Prop2018TransTar!M27,Prop2018JSTar!M27)</f>
        <v>0</v>
      </c>
      <c r="N27" s="768">
        <f>SUM(Prop2018DistTar!N27,Prop2018TransTar!N27,Prop2018JSTar!N27)</f>
        <v>0</v>
      </c>
      <c r="O27" s="768">
        <f>SUM(Prop2018DistTar!O27,Prop2018TransTar!O27,Prop2018JSTar!O27)</f>
        <v>0</v>
      </c>
      <c r="P27" s="768">
        <f>SUM(Prop2018DistTar!P27,Prop2018TransTar!P27,Prop2018JSTar!P27)</f>
        <v>0</v>
      </c>
      <c r="Q27" s="768">
        <f>SUM(Prop2018DistTar!Q27,Prop2018TransTar!Q27,Prop2018JSTar!Q27)</f>
        <v>14.629999999999999</v>
      </c>
      <c r="R27" s="768">
        <f>SUM(Prop2018DistTar!R27,Prop2018TransTar!R27,Prop2018JSTar!R27)</f>
        <v>10.239999999999998</v>
      </c>
      <c r="S27" s="768">
        <f>SUM(Prop2018DistTar!S27,Prop2018TransTar!S27,Prop2018JSTar!S27)</f>
        <v>4.0599999999999996</v>
      </c>
      <c r="T27" s="768">
        <f>SUM(Prop2018DistTar!T27,Prop2018TransTar!T27,Prop2018JSTar!T27)</f>
        <v>0</v>
      </c>
      <c r="U27" s="768">
        <f>SUM(Prop2018DistTar!U27,Prop2018TransTar!U27,Prop2018JSTar!U27)</f>
        <v>14.629999999999999</v>
      </c>
      <c r="V27" s="768">
        <f>SUM(Prop2018DistTar!V27,Prop2018TransTar!V27,Prop2018JSTar!V27)</f>
        <v>10.239999999999998</v>
      </c>
      <c r="W27" s="768">
        <f>SUM(Prop2018DistTar!W27,Prop2018TransTar!W27,Prop2018JSTar!W27)</f>
        <v>4.0599999999999996</v>
      </c>
      <c r="X27" s="769">
        <f>SUM(Prop2018DistTar!X27,Prop2018TransTar!X27,Prop2018JSTar!X27)</f>
        <v>0</v>
      </c>
      <c r="Z27" s="279">
        <v>145</v>
      </c>
      <c r="AA27" s="752">
        <v>0</v>
      </c>
      <c r="AB27" s="752">
        <v>0</v>
      </c>
      <c r="AC27" s="752">
        <v>0</v>
      </c>
      <c r="AD27" s="752">
        <v>0</v>
      </c>
      <c r="AE27" s="752">
        <v>0</v>
      </c>
      <c r="AF27" s="752">
        <v>0</v>
      </c>
      <c r="AG27" s="752">
        <v>0</v>
      </c>
      <c r="AH27" s="752">
        <v>0</v>
      </c>
      <c r="AI27" s="752">
        <v>0</v>
      </c>
      <c r="AJ27" s="752">
        <v>0</v>
      </c>
      <c r="AK27" s="752">
        <v>0</v>
      </c>
      <c r="AL27" s="752">
        <v>0</v>
      </c>
      <c r="AM27" s="752">
        <v>14.02</v>
      </c>
      <c r="AN27" s="752">
        <v>9.82</v>
      </c>
      <c r="AO27" s="752">
        <v>3.89</v>
      </c>
      <c r="AP27" s="752">
        <v>0</v>
      </c>
      <c r="AQ27" s="752">
        <v>14.02</v>
      </c>
      <c r="AR27" s="752">
        <v>9.82</v>
      </c>
      <c r="AS27" s="752">
        <v>3.89</v>
      </c>
      <c r="AT27" s="753">
        <v>0</v>
      </c>
      <c r="AW27" s="784">
        <f t="shared" si="3"/>
        <v>0</v>
      </c>
      <c r="AX27" s="785">
        <f t="shared" si="3"/>
        <v>0</v>
      </c>
      <c r="AY27" s="785">
        <f t="shared" si="3"/>
        <v>0</v>
      </c>
      <c r="AZ27" s="785">
        <f t="shared" si="3"/>
        <v>0</v>
      </c>
      <c r="BA27" s="785">
        <f t="shared" si="3"/>
        <v>0</v>
      </c>
      <c r="BB27" s="785">
        <f t="shared" si="3"/>
        <v>0</v>
      </c>
      <c r="BC27" s="785">
        <f t="shared" si="3"/>
        <v>0</v>
      </c>
      <c r="BD27" s="785">
        <f t="shared" si="3"/>
        <v>0</v>
      </c>
      <c r="BE27" s="785">
        <f t="shared" si="3"/>
        <v>0</v>
      </c>
      <c r="BF27" s="785">
        <f t="shared" si="3"/>
        <v>0</v>
      </c>
      <c r="BG27" s="785">
        <f t="shared" si="3"/>
        <v>0</v>
      </c>
      <c r="BH27" s="785">
        <f t="shared" si="3"/>
        <v>0</v>
      </c>
      <c r="BI27" s="785">
        <f t="shared" si="3"/>
        <v>0</v>
      </c>
      <c r="BJ27" s="785">
        <f t="shared" si="3"/>
        <v>4.3509272467902926E-2</v>
      </c>
      <c r="BK27" s="785">
        <f t="shared" si="3"/>
        <v>4.2769857433808456E-2</v>
      </c>
      <c r="BL27" s="785">
        <f t="shared" si="2"/>
        <v>4.3701799485861059E-2</v>
      </c>
      <c r="BM27" s="785">
        <f t="shared" si="1"/>
        <v>0</v>
      </c>
      <c r="BN27" s="785">
        <f t="shared" si="1"/>
        <v>4.3509272467902926E-2</v>
      </c>
      <c r="BO27" s="785">
        <f t="shared" si="1"/>
        <v>4.2769857433808456E-2</v>
      </c>
      <c r="BP27" s="785">
        <f t="shared" si="1"/>
        <v>4.3701799485861059E-2</v>
      </c>
      <c r="BQ27" s="786">
        <f t="shared" si="1"/>
        <v>0</v>
      </c>
      <c r="BR27" s="553" t="str">
        <f t="array" ref="BR27">IF(MAX(ABS(AW27:BQ27))&gt;$BR$4,"EXPLAIN","")</f>
        <v/>
      </c>
      <c r="BW27" s="748"/>
      <c r="BX27" s="748"/>
      <c r="BY27" s="748"/>
      <c r="BZ27" s="748"/>
      <c r="CA27" s="748"/>
      <c r="CB27" s="748"/>
      <c r="CC27" s="748"/>
      <c r="CD27" s="748"/>
      <c r="CE27" s="748"/>
      <c r="CF27" s="748"/>
      <c r="CG27" s="748"/>
      <c r="CH27" s="748"/>
      <c r="CI27" s="748"/>
      <c r="CJ27" s="748"/>
      <c r="CK27" s="748"/>
      <c r="CL27" s="748"/>
      <c r="CM27" s="748"/>
      <c r="CN27" s="748"/>
      <c r="CO27" s="748"/>
      <c r="CP27" s="748"/>
      <c r="CQ27" s="748"/>
      <c r="CR27" s="748"/>
      <c r="CS27" s="748"/>
    </row>
    <row r="28" spans="1:97">
      <c r="A28" s="748" t="str">
        <f>Prop2018DistTar!A28</f>
        <v>C14GB</v>
      </c>
      <c r="B28" s="750" t="s">
        <v>722</v>
      </c>
      <c r="C28" s="750" t="str">
        <f>Prop2018DistTar!C28</f>
        <v>Non-Residential - Flexible Pricing Bulk</v>
      </c>
      <c r="D28" s="767">
        <f>SUM(Prop2018DistTar!D28,Prop2018TransTar!D28,Prop2018JSTar!D28)</f>
        <v>125</v>
      </c>
      <c r="E28" s="768">
        <f>SUM(Prop2018DistTar!E28,Prop2018TransTar!E28,Prop2018JSTar!E28)</f>
        <v>0</v>
      </c>
      <c r="F28" s="768">
        <f>SUM(Prop2018DistTar!F28,Prop2018TransTar!F28,Prop2018JSTar!F28)</f>
        <v>0</v>
      </c>
      <c r="G28" s="768">
        <f>SUM(Prop2018DistTar!G28,Prop2018TransTar!G28,Prop2018JSTar!G28)</f>
        <v>0</v>
      </c>
      <c r="H28" s="768">
        <f>SUM(Prop2018DistTar!H28,Prop2018TransTar!H28,Prop2018JSTar!H28)</f>
        <v>0</v>
      </c>
      <c r="I28" s="768">
        <f>SUM(Prop2018DistTar!I28,Prop2018TransTar!I28,Prop2018JSTar!I28)</f>
        <v>0</v>
      </c>
      <c r="J28" s="768">
        <f>SUM(Prop2018DistTar!J28,Prop2018TransTar!J28,Prop2018JSTar!J28)</f>
        <v>0</v>
      </c>
      <c r="K28" s="768">
        <f>SUM(Prop2018DistTar!K28,Prop2018TransTar!K28,Prop2018JSTar!K28)</f>
        <v>0</v>
      </c>
      <c r="L28" s="768">
        <f>SUM(Prop2018DistTar!L28,Prop2018TransTar!L28,Prop2018JSTar!L28)</f>
        <v>0</v>
      </c>
      <c r="M28" s="768">
        <f>SUM(Prop2018DistTar!M28,Prop2018TransTar!M28,Prop2018JSTar!M28)</f>
        <v>0</v>
      </c>
      <c r="N28" s="768">
        <f>SUM(Prop2018DistTar!N28,Prop2018TransTar!N28,Prop2018JSTar!N28)</f>
        <v>0</v>
      </c>
      <c r="O28" s="768">
        <f>SUM(Prop2018DistTar!O28,Prop2018TransTar!O28,Prop2018JSTar!O28)</f>
        <v>0</v>
      </c>
      <c r="P28" s="768">
        <f>SUM(Prop2018DistTar!P28,Prop2018TransTar!P28,Prop2018JSTar!P28)</f>
        <v>0</v>
      </c>
      <c r="Q28" s="768">
        <f>SUM(Prop2018DistTar!Q28,Prop2018TransTar!Q28,Prop2018JSTar!Q28)</f>
        <v>12.43</v>
      </c>
      <c r="R28" s="768">
        <f>SUM(Prop2018DistTar!R28,Prop2018TransTar!R28,Prop2018JSTar!R28)</f>
        <v>8.6999999999999993</v>
      </c>
      <c r="S28" s="768">
        <f>SUM(Prop2018DistTar!S28,Prop2018TransTar!S28,Prop2018JSTar!S28)</f>
        <v>3.4499999999999997</v>
      </c>
      <c r="T28" s="768">
        <f>SUM(Prop2018DistTar!T28,Prop2018TransTar!T28,Prop2018JSTar!T28)</f>
        <v>0</v>
      </c>
      <c r="U28" s="768">
        <f>SUM(Prop2018DistTar!U28,Prop2018TransTar!U28,Prop2018JSTar!U28)</f>
        <v>12.43</v>
      </c>
      <c r="V28" s="768">
        <f>SUM(Prop2018DistTar!V28,Prop2018TransTar!V28,Prop2018JSTar!V28)</f>
        <v>8.6999999999999993</v>
      </c>
      <c r="W28" s="768">
        <f>SUM(Prop2018DistTar!W28,Prop2018TransTar!W28,Prop2018JSTar!W28)</f>
        <v>3.4499999999999997</v>
      </c>
      <c r="X28" s="769">
        <f>SUM(Prop2018DistTar!X28,Prop2018TransTar!X28,Prop2018JSTar!X28)</f>
        <v>0</v>
      </c>
      <c r="Z28" s="279">
        <v>125</v>
      </c>
      <c r="AA28" s="752">
        <v>0</v>
      </c>
      <c r="AB28" s="752">
        <v>0</v>
      </c>
      <c r="AC28" s="752">
        <v>0</v>
      </c>
      <c r="AD28" s="752">
        <v>0</v>
      </c>
      <c r="AE28" s="752">
        <v>0</v>
      </c>
      <c r="AF28" s="752">
        <v>0</v>
      </c>
      <c r="AG28" s="752">
        <v>0</v>
      </c>
      <c r="AH28" s="752">
        <v>0</v>
      </c>
      <c r="AI28" s="752">
        <v>0</v>
      </c>
      <c r="AJ28" s="752">
        <v>0</v>
      </c>
      <c r="AK28" s="752">
        <v>0</v>
      </c>
      <c r="AL28" s="752">
        <v>0</v>
      </c>
      <c r="AM28" s="752">
        <v>11.92</v>
      </c>
      <c r="AN28" s="752">
        <v>8.34</v>
      </c>
      <c r="AO28" s="752">
        <v>3.31</v>
      </c>
      <c r="AP28" s="752">
        <v>0</v>
      </c>
      <c r="AQ28" s="752">
        <v>11.92</v>
      </c>
      <c r="AR28" s="752">
        <v>8.34</v>
      </c>
      <c r="AS28" s="752">
        <v>3.31</v>
      </c>
      <c r="AT28" s="753">
        <v>0</v>
      </c>
      <c r="AW28" s="784">
        <f t="shared" si="3"/>
        <v>0</v>
      </c>
      <c r="AX28" s="785">
        <f t="shared" si="3"/>
        <v>0</v>
      </c>
      <c r="AY28" s="785">
        <f t="shared" si="3"/>
        <v>0</v>
      </c>
      <c r="AZ28" s="785">
        <f t="shared" si="3"/>
        <v>0</v>
      </c>
      <c r="BA28" s="785">
        <f t="shared" si="3"/>
        <v>0</v>
      </c>
      <c r="BB28" s="785">
        <f t="shared" si="3"/>
        <v>0</v>
      </c>
      <c r="BC28" s="785">
        <f t="shared" si="3"/>
        <v>0</v>
      </c>
      <c r="BD28" s="785">
        <f t="shared" si="3"/>
        <v>0</v>
      </c>
      <c r="BE28" s="785">
        <f t="shared" si="3"/>
        <v>0</v>
      </c>
      <c r="BF28" s="785">
        <f t="shared" si="3"/>
        <v>0</v>
      </c>
      <c r="BG28" s="785">
        <f t="shared" si="3"/>
        <v>0</v>
      </c>
      <c r="BH28" s="785">
        <f t="shared" si="3"/>
        <v>0</v>
      </c>
      <c r="BI28" s="785">
        <f t="shared" si="3"/>
        <v>0</v>
      </c>
      <c r="BJ28" s="785">
        <f t="shared" si="3"/>
        <v>4.278523489932895E-2</v>
      </c>
      <c r="BK28" s="785">
        <f t="shared" si="3"/>
        <v>4.3165467625899234E-2</v>
      </c>
      <c r="BL28" s="785">
        <f t="shared" si="2"/>
        <v>4.229607250755274E-2</v>
      </c>
      <c r="BM28" s="785">
        <f t="shared" si="1"/>
        <v>0</v>
      </c>
      <c r="BN28" s="785">
        <f t="shared" si="1"/>
        <v>4.278523489932895E-2</v>
      </c>
      <c r="BO28" s="785">
        <f t="shared" si="1"/>
        <v>4.3165467625899234E-2</v>
      </c>
      <c r="BP28" s="785">
        <f t="shared" si="1"/>
        <v>4.229607250755274E-2</v>
      </c>
      <c r="BQ28" s="786">
        <f t="shared" si="1"/>
        <v>0</v>
      </c>
      <c r="BR28" s="553" t="str">
        <f t="array" ref="BR28">IF(MAX(ABS(AW28:BQ28))&gt;$BR$4,"EXPLAIN","")</f>
        <v/>
      </c>
      <c r="BW28" s="748"/>
      <c r="BX28" s="748"/>
      <c r="BY28" s="748"/>
      <c r="BZ28" s="748"/>
      <c r="CA28" s="748"/>
      <c r="CB28" s="748"/>
      <c r="CC28" s="748"/>
      <c r="CD28" s="748"/>
      <c r="CE28" s="748"/>
      <c r="CF28" s="748"/>
      <c r="CG28" s="748"/>
      <c r="CH28" s="748"/>
      <c r="CI28" s="748"/>
      <c r="CJ28" s="748"/>
      <c r="CK28" s="748"/>
      <c r="CL28" s="748"/>
      <c r="CM28" s="748"/>
      <c r="CN28" s="748"/>
      <c r="CO28" s="748"/>
      <c r="CP28" s="748"/>
      <c r="CQ28" s="748"/>
      <c r="CR28" s="748"/>
      <c r="CS28" s="748"/>
    </row>
    <row r="29" spans="1:97">
      <c r="A29" s="748" t="str">
        <f>Prop2018DistTar!A29</f>
        <v>C2G7</v>
      </c>
      <c r="B29" s="750" t="s">
        <v>723</v>
      </c>
      <c r="C29" s="750" t="str">
        <f>Prop2018DistTar!C29</f>
        <v>Non-Residential Two Rate 7d</v>
      </c>
      <c r="D29" s="767">
        <f>SUM(Prop2018DistTar!D29,Prop2018TransTar!D29,Prop2018JSTar!D29)</f>
        <v>145</v>
      </c>
      <c r="E29" s="768">
        <f>SUM(Prop2018DistTar!E29,Prop2018TransTar!E29,Prop2018JSTar!E29)</f>
        <v>0</v>
      </c>
      <c r="F29" s="768">
        <f>SUM(Prop2018DistTar!F29,Prop2018TransTar!F29,Prop2018JSTar!F29)</f>
        <v>9.4599999999999991</v>
      </c>
      <c r="G29" s="768">
        <f>SUM(Prop2018DistTar!G29,Prop2018TransTar!G29,Prop2018JSTar!G29)</f>
        <v>0</v>
      </c>
      <c r="H29" s="768">
        <f>SUM(Prop2018DistTar!H29,Prop2018TransTar!H29,Prop2018JSTar!H29)</f>
        <v>0</v>
      </c>
      <c r="I29" s="768">
        <f>SUM(Prop2018DistTar!I29,Prop2018TransTar!I29,Prop2018JSTar!I29)</f>
        <v>3.21</v>
      </c>
      <c r="J29" s="768">
        <f>SUM(Prop2018DistTar!J29,Prop2018TransTar!J29,Prop2018JSTar!J29)</f>
        <v>0</v>
      </c>
      <c r="K29" s="768">
        <f>SUM(Prop2018DistTar!K29,Prop2018TransTar!K29,Prop2018JSTar!K29)</f>
        <v>0</v>
      </c>
      <c r="L29" s="768">
        <f>SUM(Prop2018DistTar!L29,Prop2018TransTar!L29,Prop2018JSTar!L29)</f>
        <v>0</v>
      </c>
      <c r="M29" s="768">
        <f>SUM(Prop2018DistTar!M29,Prop2018TransTar!M29,Prop2018JSTar!M29)</f>
        <v>0</v>
      </c>
      <c r="N29" s="768">
        <f>SUM(Prop2018DistTar!N29,Prop2018TransTar!N29,Prop2018JSTar!N29)</f>
        <v>0</v>
      </c>
      <c r="O29" s="768">
        <f>SUM(Prop2018DistTar!O29,Prop2018TransTar!O29,Prop2018JSTar!O29)</f>
        <v>0</v>
      </c>
      <c r="P29" s="768">
        <f>SUM(Prop2018DistTar!P29,Prop2018TransTar!P29,Prop2018JSTar!P29)</f>
        <v>0</v>
      </c>
      <c r="Q29" s="768">
        <f>SUM(Prop2018DistTar!Q29,Prop2018TransTar!Q29,Prop2018JSTar!Q29)</f>
        <v>0</v>
      </c>
      <c r="R29" s="768">
        <f>SUM(Prop2018DistTar!R29,Prop2018TransTar!R29,Prop2018JSTar!R29)</f>
        <v>0</v>
      </c>
      <c r="S29" s="768">
        <f>SUM(Prop2018DistTar!S29,Prop2018TransTar!S29,Prop2018JSTar!S29)</f>
        <v>0</v>
      </c>
      <c r="T29" s="768">
        <f>SUM(Prop2018DistTar!T29,Prop2018TransTar!T29,Prop2018JSTar!T29)</f>
        <v>0</v>
      </c>
      <c r="U29" s="768">
        <f>SUM(Prop2018DistTar!U29,Prop2018TransTar!U29,Prop2018JSTar!U29)</f>
        <v>0</v>
      </c>
      <c r="V29" s="768">
        <f>SUM(Prop2018DistTar!V29,Prop2018TransTar!V29,Prop2018JSTar!V29)</f>
        <v>0</v>
      </c>
      <c r="W29" s="768">
        <f>SUM(Prop2018DistTar!W29,Prop2018TransTar!W29,Prop2018JSTar!W29)</f>
        <v>0</v>
      </c>
      <c r="X29" s="769">
        <f>SUM(Prop2018DistTar!X29,Prop2018TransTar!X29,Prop2018JSTar!X29)</f>
        <v>0</v>
      </c>
      <c r="Z29" s="279">
        <v>145</v>
      </c>
      <c r="AA29" s="752">
        <v>0</v>
      </c>
      <c r="AB29" s="752">
        <v>9.07</v>
      </c>
      <c r="AC29" s="752">
        <v>0</v>
      </c>
      <c r="AD29" s="752">
        <v>0</v>
      </c>
      <c r="AE29" s="752">
        <v>3.08</v>
      </c>
      <c r="AF29" s="752">
        <v>0</v>
      </c>
      <c r="AG29" s="752">
        <v>0</v>
      </c>
      <c r="AH29" s="752">
        <v>0</v>
      </c>
      <c r="AI29" s="752">
        <v>0</v>
      </c>
      <c r="AJ29" s="752">
        <v>0</v>
      </c>
      <c r="AK29" s="752">
        <v>0</v>
      </c>
      <c r="AL29" s="752">
        <v>0</v>
      </c>
      <c r="AM29" s="752">
        <v>0</v>
      </c>
      <c r="AN29" s="752">
        <v>0</v>
      </c>
      <c r="AO29" s="752">
        <v>0</v>
      </c>
      <c r="AP29" s="752">
        <v>0</v>
      </c>
      <c r="AQ29" s="752">
        <v>0</v>
      </c>
      <c r="AR29" s="752">
        <v>0</v>
      </c>
      <c r="AS29" s="752">
        <v>0</v>
      </c>
      <c r="AT29" s="753">
        <v>0</v>
      </c>
      <c r="AW29" s="784">
        <f t="shared" si="3"/>
        <v>0</v>
      </c>
      <c r="AX29" s="785">
        <f t="shared" si="3"/>
        <v>0</v>
      </c>
      <c r="AY29" s="785">
        <f t="shared" si="3"/>
        <v>4.2998897464167518E-2</v>
      </c>
      <c r="AZ29" s="785">
        <f t="shared" si="3"/>
        <v>0</v>
      </c>
      <c r="BA29" s="785">
        <f t="shared" si="3"/>
        <v>0</v>
      </c>
      <c r="BB29" s="785">
        <f t="shared" si="3"/>
        <v>4.2207792207792139E-2</v>
      </c>
      <c r="BC29" s="785">
        <f t="shared" si="3"/>
        <v>0</v>
      </c>
      <c r="BD29" s="785">
        <f t="shared" si="3"/>
        <v>0</v>
      </c>
      <c r="BE29" s="785">
        <f t="shared" si="3"/>
        <v>0</v>
      </c>
      <c r="BF29" s="785">
        <f t="shared" si="3"/>
        <v>0</v>
      </c>
      <c r="BG29" s="785">
        <f t="shared" si="3"/>
        <v>0</v>
      </c>
      <c r="BH29" s="785">
        <f t="shared" si="3"/>
        <v>0</v>
      </c>
      <c r="BI29" s="785">
        <f t="shared" si="3"/>
        <v>0</v>
      </c>
      <c r="BJ29" s="785">
        <f t="shared" si="3"/>
        <v>0</v>
      </c>
      <c r="BK29" s="785">
        <f t="shared" si="3"/>
        <v>0</v>
      </c>
      <c r="BL29" s="785">
        <f t="shared" si="2"/>
        <v>0</v>
      </c>
      <c r="BM29" s="785">
        <f t="shared" si="1"/>
        <v>0</v>
      </c>
      <c r="BN29" s="785">
        <f t="shared" si="1"/>
        <v>0</v>
      </c>
      <c r="BO29" s="785">
        <f t="shared" si="1"/>
        <v>0</v>
      </c>
      <c r="BP29" s="785">
        <f t="shared" si="1"/>
        <v>0</v>
      </c>
      <c r="BQ29" s="786">
        <f t="shared" si="1"/>
        <v>0</v>
      </c>
      <c r="BR29" s="553" t="str">
        <f t="array" ref="BR29">IF(MAX(ABS(AW29:BQ29))&gt;$BR$4,"EXPLAIN","")</f>
        <v/>
      </c>
      <c r="BW29" s="748"/>
      <c r="BX29" s="748"/>
      <c r="BY29" s="748"/>
      <c r="BZ29" s="748"/>
      <c r="CA29" s="748"/>
      <c r="CB29" s="748"/>
      <c r="CC29" s="748"/>
      <c r="CD29" s="748"/>
      <c r="CE29" s="748"/>
      <c r="CF29" s="748"/>
      <c r="CG29" s="748"/>
      <c r="CH29" s="748"/>
      <c r="CI29" s="748"/>
      <c r="CJ29" s="748"/>
      <c r="CK29" s="748"/>
      <c r="CL29" s="748"/>
      <c r="CM29" s="748"/>
      <c r="CN29" s="748"/>
      <c r="CO29" s="748"/>
      <c r="CP29" s="748"/>
      <c r="CQ29" s="748"/>
      <c r="CR29" s="748"/>
      <c r="CS29" s="748"/>
    </row>
    <row r="30" spans="1:97">
      <c r="A30" s="748" t="str">
        <f>Prop2018DistTar!A30</f>
        <v>C2G7B</v>
      </c>
      <c r="B30" s="750" t="s">
        <v>724</v>
      </c>
      <c r="C30" s="750" t="str">
        <f>Prop2018DistTar!C30</f>
        <v>Non-Residential Two Rate 7d - Bulk</v>
      </c>
      <c r="D30" s="767">
        <f>SUM(Prop2018DistTar!D30,Prop2018TransTar!D30,Prop2018JSTar!D30)</f>
        <v>125</v>
      </c>
      <c r="E30" s="768">
        <f>SUM(Prop2018DistTar!E30,Prop2018TransTar!E30,Prop2018JSTar!E30)</f>
        <v>0</v>
      </c>
      <c r="F30" s="768">
        <f>SUM(Prop2018DistTar!F30,Prop2018TransTar!F30,Prop2018JSTar!F30)</f>
        <v>8.1599999999999984</v>
      </c>
      <c r="G30" s="768">
        <f>SUM(Prop2018DistTar!G30,Prop2018TransTar!G30,Prop2018JSTar!G30)</f>
        <v>0</v>
      </c>
      <c r="H30" s="768">
        <f>SUM(Prop2018DistTar!H30,Prop2018TransTar!H30,Prop2018JSTar!H30)</f>
        <v>0</v>
      </c>
      <c r="I30" s="768">
        <f>SUM(Prop2018DistTar!I30,Prop2018TransTar!I30,Prop2018JSTar!I30)</f>
        <v>2.41</v>
      </c>
      <c r="J30" s="768">
        <f>SUM(Prop2018DistTar!J30,Prop2018TransTar!J30,Prop2018JSTar!J30)</f>
        <v>0</v>
      </c>
      <c r="K30" s="768">
        <f>SUM(Prop2018DistTar!K30,Prop2018TransTar!K30,Prop2018JSTar!K30)</f>
        <v>0</v>
      </c>
      <c r="L30" s="768">
        <f>SUM(Prop2018DistTar!L30,Prop2018TransTar!L30,Prop2018JSTar!L30)</f>
        <v>0</v>
      </c>
      <c r="M30" s="768">
        <f>SUM(Prop2018DistTar!M30,Prop2018TransTar!M30,Prop2018JSTar!M30)</f>
        <v>0</v>
      </c>
      <c r="N30" s="768">
        <f>SUM(Prop2018DistTar!N30,Prop2018TransTar!N30,Prop2018JSTar!N30)</f>
        <v>0</v>
      </c>
      <c r="O30" s="768">
        <f>SUM(Prop2018DistTar!O30,Prop2018TransTar!O30,Prop2018JSTar!O30)</f>
        <v>0</v>
      </c>
      <c r="P30" s="768">
        <f>SUM(Prop2018DistTar!P30,Prop2018TransTar!P30,Prop2018JSTar!P30)</f>
        <v>0</v>
      </c>
      <c r="Q30" s="768">
        <f>SUM(Prop2018DistTar!Q30,Prop2018TransTar!Q30,Prop2018JSTar!Q30)</f>
        <v>0</v>
      </c>
      <c r="R30" s="768">
        <f>SUM(Prop2018DistTar!R30,Prop2018TransTar!R30,Prop2018JSTar!R30)</f>
        <v>0</v>
      </c>
      <c r="S30" s="768">
        <f>SUM(Prop2018DistTar!S30,Prop2018TransTar!S30,Prop2018JSTar!S30)</f>
        <v>0</v>
      </c>
      <c r="T30" s="768">
        <f>SUM(Prop2018DistTar!T30,Prop2018TransTar!T30,Prop2018JSTar!T30)</f>
        <v>0</v>
      </c>
      <c r="U30" s="768">
        <f>SUM(Prop2018DistTar!U30,Prop2018TransTar!U30,Prop2018JSTar!U30)</f>
        <v>0</v>
      </c>
      <c r="V30" s="768">
        <f>SUM(Prop2018DistTar!V30,Prop2018TransTar!V30,Prop2018JSTar!V30)</f>
        <v>0</v>
      </c>
      <c r="W30" s="768">
        <f>SUM(Prop2018DistTar!W30,Prop2018TransTar!W30,Prop2018JSTar!W30)</f>
        <v>0</v>
      </c>
      <c r="X30" s="769">
        <f>SUM(Prop2018DistTar!X30,Prop2018TransTar!X30,Prop2018JSTar!X30)</f>
        <v>0</v>
      </c>
      <c r="Z30" s="279">
        <v>125</v>
      </c>
      <c r="AA30" s="752">
        <v>0</v>
      </c>
      <c r="AB30" s="752">
        <v>7.82</v>
      </c>
      <c r="AC30" s="752">
        <v>0</v>
      </c>
      <c r="AD30" s="752">
        <v>0</v>
      </c>
      <c r="AE30" s="752">
        <v>2.31</v>
      </c>
      <c r="AF30" s="752">
        <v>0</v>
      </c>
      <c r="AG30" s="752">
        <v>0</v>
      </c>
      <c r="AH30" s="752">
        <v>0</v>
      </c>
      <c r="AI30" s="752">
        <v>0</v>
      </c>
      <c r="AJ30" s="752">
        <v>0</v>
      </c>
      <c r="AK30" s="752">
        <v>0</v>
      </c>
      <c r="AL30" s="752">
        <v>0</v>
      </c>
      <c r="AM30" s="752">
        <v>0</v>
      </c>
      <c r="AN30" s="752">
        <v>0</v>
      </c>
      <c r="AO30" s="752">
        <v>0</v>
      </c>
      <c r="AP30" s="752">
        <v>0</v>
      </c>
      <c r="AQ30" s="752">
        <v>0</v>
      </c>
      <c r="AR30" s="752">
        <v>0</v>
      </c>
      <c r="AS30" s="752">
        <v>0</v>
      </c>
      <c r="AT30" s="753">
        <v>0</v>
      </c>
      <c r="AW30" s="784">
        <f t="shared" si="3"/>
        <v>0</v>
      </c>
      <c r="AX30" s="785">
        <f t="shared" si="3"/>
        <v>0</v>
      </c>
      <c r="AY30" s="785">
        <f t="shared" si="3"/>
        <v>4.3478260869564966E-2</v>
      </c>
      <c r="AZ30" s="785">
        <f t="shared" si="3"/>
        <v>0</v>
      </c>
      <c r="BA30" s="785">
        <f t="shared" si="3"/>
        <v>0</v>
      </c>
      <c r="BB30" s="785">
        <f t="shared" si="3"/>
        <v>4.3290043290043378E-2</v>
      </c>
      <c r="BC30" s="785">
        <f t="shared" si="3"/>
        <v>0</v>
      </c>
      <c r="BD30" s="785">
        <f t="shared" si="3"/>
        <v>0</v>
      </c>
      <c r="BE30" s="785">
        <f t="shared" si="3"/>
        <v>0</v>
      </c>
      <c r="BF30" s="785">
        <f t="shared" si="3"/>
        <v>0</v>
      </c>
      <c r="BG30" s="785">
        <f t="shared" si="3"/>
        <v>0</v>
      </c>
      <c r="BH30" s="785">
        <f t="shared" si="3"/>
        <v>0</v>
      </c>
      <c r="BI30" s="785">
        <f t="shared" si="3"/>
        <v>0</v>
      </c>
      <c r="BJ30" s="785">
        <f t="shared" si="3"/>
        <v>0</v>
      </c>
      <c r="BK30" s="785">
        <f t="shared" si="3"/>
        <v>0</v>
      </c>
      <c r="BL30" s="785">
        <f t="shared" si="2"/>
        <v>0</v>
      </c>
      <c r="BM30" s="785">
        <f t="shared" si="1"/>
        <v>0</v>
      </c>
      <c r="BN30" s="785">
        <f t="shared" si="1"/>
        <v>0</v>
      </c>
      <c r="BO30" s="785">
        <f t="shared" si="1"/>
        <v>0</v>
      </c>
      <c r="BP30" s="785">
        <f t="shared" si="1"/>
        <v>0</v>
      </c>
      <c r="BQ30" s="786">
        <f t="shared" si="1"/>
        <v>0</v>
      </c>
      <c r="BR30" s="553" t="str">
        <f t="array" ref="BR30">IF(MAX(ABS(AW30:BQ30))&gt;$BR$4,"EXPLAIN","")</f>
        <v/>
      </c>
      <c r="BW30" s="748"/>
      <c r="BX30" s="748"/>
      <c r="BY30" s="748"/>
      <c r="BZ30" s="748"/>
      <c r="CA30" s="748"/>
      <c r="CB30" s="748"/>
      <c r="CC30" s="748"/>
      <c r="CD30" s="748"/>
      <c r="CE30" s="748"/>
      <c r="CF30" s="748"/>
      <c r="CG30" s="748"/>
      <c r="CH30" s="748"/>
      <c r="CI30" s="748"/>
      <c r="CJ30" s="748"/>
      <c r="CK30" s="748"/>
      <c r="CL30" s="748"/>
      <c r="CM30" s="748"/>
      <c r="CN30" s="748"/>
      <c r="CO30" s="748"/>
      <c r="CP30" s="748"/>
      <c r="CQ30" s="748"/>
      <c r="CR30" s="748"/>
      <c r="CS30" s="748"/>
    </row>
    <row r="31" spans="1:97">
      <c r="A31" s="748" t="str">
        <f>Prop2018DistTar!A31</f>
        <v>C2L7</v>
      </c>
      <c r="B31" s="750" t="s">
        <v>725</v>
      </c>
      <c r="C31" s="750" t="str">
        <f>Prop2018DistTar!C31</f>
        <v>Large Two Rate 7d</v>
      </c>
      <c r="D31" s="767">
        <f>SUM(Prop2018DistTar!D31,Prop2018TransTar!D31,Prop2018JSTar!D31)</f>
        <v>145</v>
      </c>
      <c r="E31" s="768">
        <f>SUM(Prop2018DistTar!E31,Prop2018TransTar!E31,Prop2018JSTar!E31)</f>
        <v>0</v>
      </c>
      <c r="F31" s="768">
        <f>SUM(Prop2018DistTar!F31,Prop2018TransTar!F31,Prop2018JSTar!F31)</f>
        <v>12.009999999999998</v>
      </c>
      <c r="G31" s="768">
        <f>SUM(Prop2018DistTar!G31,Prop2018TransTar!G31,Prop2018JSTar!G31)</f>
        <v>0</v>
      </c>
      <c r="H31" s="768">
        <f>SUM(Prop2018DistTar!H31,Prop2018TransTar!H31,Prop2018JSTar!H31)</f>
        <v>0</v>
      </c>
      <c r="I31" s="768">
        <f>SUM(Prop2018DistTar!I31,Prop2018TransTar!I31,Prop2018JSTar!I31)</f>
        <v>3.21</v>
      </c>
      <c r="J31" s="768">
        <f>SUM(Prop2018DistTar!J31,Prop2018TransTar!J31,Prop2018JSTar!J31)</f>
        <v>0</v>
      </c>
      <c r="K31" s="768">
        <f>SUM(Prop2018DistTar!K31,Prop2018TransTar!K31,Prop2018JSTar!K31)</f>
        <v>0</v>
      </c>
      <c r="L31" s="768">
        <f>SUM(Prop2018DistTar!L31,Prop2018TransTar!L31,Prop2018JSTar!L31)</f>
        <v>0</v>
      </c>
      <c r="M31" s="768">
        <f>SUM(Prop2018DistTar!M31,Prop2018TransTar!M31,Prop2018JSTar!M31)</f>
        <v>0</v>
      </c>
      <c r="N31" s="768">
        <f>SUM(Prop2018DistTar!N31,Prop2018TransTar!N31,Prop2018JSTar!N31)</f>
        <v>0</v>
      </c>
      <c r="O31" s="768">
        <f>SUM(Prop2018DistTar!O31,Prop2018TransTar!O31,Prop2018JSTar!O31)</f>
        <v>0</v>
      </c>
      <c r="P31" s="768">
        <f>SUM(Prop2018DistTar!P31,Prop2018TransTar!P31,Prop2018JSTar!P31)</f>
        <v>0</v>
      </c>
      <c r="Q31" s="768">
        <f>SUM(Prop2018DistTar!Q31,Prop2018TransTar!Q31,Prop2018JSTar!Q31)</f>
        <v>0</v>
      </c>
      <c r="R31" s="768">
        <f>SUM(Prop2018DistTar!R31,Prop2018TransTar!R31,Prop2018JSTar!R31)</f>
        <v>0</v>
      </c>
      <c r="S31" s="768">
        <f>SUM(Prop2018DistTar!S31,Prop2018TransTar!S31,Prop2018JSTar!S31)</f>
        <v>0</v>
      </c>
      <c r="T31" s="768">
        <f>SUM(Prop2018DistTar!T31,Prop2018TransTar!T31,Prop2018JSTar!T31)</f>
        <v>0</v>
      </c>
      <c r="U31" s="768">
        <f>SUM(Prop2018DistTar!U31,Prop2018TransTar!U31,Prop2018JSTar!U31)</f>
        <v>0</v>
      </c>
      <c r="V31" s="768">
        <f>SUM(Prop2018DistTar!V31,Prop2018TransTar!V31,Prop2018JSTar!V31)</f>
        <v>0</v>
      </c>
      <c r="W31" s="768">
        <f>SUM(Prop2018DistTar!W31,Prop2018TransTar!W31,Prop2018JSTar!W31)</f>
        <v>0</v>
      </c>
      <c r="X31" s="769">
        <f>SUM(Prop2018DistTar!X31,Prop2018TransTar!X31,Prop2018JSTar!X31)</f>
        <v>0</v>
      </c>
      <c r="Z31" s="279">
        <v>145</v>
      </c>
      <c r="AA31" s="752">
        <v>0</v>
      </c>
      <c r="AB31" s="752">
        <v>11.51</v>
      </c>
      <c r="AC31" s="752">
        <v>0</v>
      </c>
      <c r="AD31" s="752">
        <v>0</v>
      </c>
      <c r="AE31" s="752">
        <v>3.08</v>
      </c>
      <c r="AF31" s="752">
        <v>0</v>
      </c>
      <c r="AG31" s="752">
        <v>0</v>
      </c>
      <c r="AH31" s="752">
        <v>0</v>
      </c>
      <c r="AI31" s="752">
        <v>0</v>
      </c>
      <c r="AJ31" s="752">
        <v>0</v>
      </c>
      <c r="AK31" s="752">
        <v>0</v>
      </c>
      <c r="AL31" s="752">
        <v>0</v>
      </c>
      <c r="AM31" s="752">
        <v>0</v>
      </c>
      <c r="AN31" s="752">
        <v>0</v>
      </c>
      <c r="AO31" s="752">
        <v>0</v>
      </c>
      <c r="AP31" s="752">
        <v>0</v>
      </c>
      <c r="AQ31" s="752">
        <v>0</v>
      </c>
      <c r="AR31" s="752">
        <v>0</v>
      </c>
      <c r="AS31" s="752">
        <v>0</v>
      </c>
      <c r="AT31" s="753">
        <v>0</v>
      </c>
      <c r="AW31" s="784">
        <f t="shared" si="3"/>
        <v>0</v>
      </c>
      <c r="AX31" s="785">
        <f t="shared" si="3"/>
        <v>0</v>
      </c>
      <c r="AY31" s="785">
        <f t="shared" si="3"/>
        <v>4.3440486533449008E-2</v>
      </c>
      <c r="AZ31" s="785">
        <f t="shared" si="3"/>
        <v>0</v>
      </c>
      <c r="BA31" s="785">
        <f t="shared" si="3"/>
        <v>0</v>
      </c>
      <c r="BB31" s="785">
        <f t="shared" si="3"/>
        <v>4.2207792207792139E-2</v>
      </c>
      <c r="BC31" s="785">
        <f t="shared" si="3"/>
        <v>0</v>
      </c>
      <c r="BD31" s="785">
        <f t="shared" si="3"/>
        <v>0</v>
      </c>
      <c r="BE31" s="785">
        <f t="shared" si="3"/>
        <v>0</v>
      </c>
      <c r="BF31" s="785">
        <f t="shared" si="3"/>
        <v>0</v>
      </c>
      <c r="BG31" s="785">
        <f t="shared" si="3"/>
        <v>0</v>
      </c>
      <c r="BH31" s="785">
        <f t="shared" si="3"/>
        <v>0</v>
      </c>
      <c r="BI31" s="785">
        <f t="shared" si="3"/>
        <v>0</v>
      </c>
      <c r="BJ31" s="785">
        <f t="shared" si="3"/>
        <v>0</v>
      </c>
      <c r="BK31" s="785">
        <f t="shared" si="3"/>
        <v>0</v>
      </c>
      <c r="BL31" s="785">
        <f t="shared" si="2"/>
        <v>0</v>
      </c>
      <c r="BM31" s="785">
        <f t="shared" si="1"/>
        <v>0</v>
      </c>
      <c r="BN31" s="785">
        <f t="shared" si="1"/>
        <v>0</v>
      </c>
      <c r="BO31" s="785">
        <f t="shared" si="1"/>
        <v>0</v>
      </c>
      <c r="BP31" s="785">
        <f t="shared" si="1"/>
        <v>0</v>
      </c>
      <c r="BQ31" s="786">
        <f t="shared" si="1"/>
        <v>0</v>
      </c>
      <c r="BR31" s="553" t="str">
        <f t="array" ref="BR31">IF(MAX(ABS(AW31:BQ31))&gt;$BR$4,"EXPLAIN","")</f>
        <v/>
      </c>
      <c r="BW31" s="748"/>
      <c r="BX31" s="748"/>
      <c r="BY31" s="748"/>
      <c r="BZ31" s="748"/>
      <c r="CA31" s="748"/>
      <c r="CB31" s="748"/>
      <c r="CC31" s="748"/>
      <c r="CD31" s="748"/>
      <c r="CE31" s="748"/>
      <c r="CF31" s="748"/>
      <c r="CG31" s="748"/>
      <c r="CH31" s="748"/>
      <c r="CI31" s="748"/>
      <c r="CJ31" s="748"/>
      <c r="CK31" s="748"/>
      <c r="CL31" s="748"/>
      <c r="CM31" s="748"/>
      <c r="CN31" s="748"/>
      <c r="CO31" s="748"/>
      <c r="CP31" s="748"/>
      <c r="CQ31" s="748"/>
      <c r="CR31" s="748"/>
      <c r="CS31" s="748"/>
    </row>
    <row r="32" spans="1:97">
      <c r="A32" s="748" t="str">
        <f>Prop2018DistTar!A32</f>
        <v>CG</v>
      </c>
      <c r="B32" s="750" t="s">
        <v>726</v>
      </c>
      <c r="C32" s="750" t="str">
        <f>Prop2018DistTar!C32</f>
        <v>Non-Residential Demand Tariff</v>
      </c>
      <c r="D32" s="767">
        <f>SUM(Prop2018DistTar!D32,Prop2018TransTar!D32,Prop2018JSTar!D32)</f>
        <v>145</v>
      </c>
      <c r="E32" s="768">
        <f>SUM(Prop2018DistTar!E32,Prop2018TransTar!E32,Prop2018JSTar!E32)</f>
        <v>4.41</v>
      </c>
      <c r="F32" s="768">
        <f>SUM(Prop2018DistTar!F32,Prop2018TransTar!F32,Prop2018JSTar!F32)</f>
        <v>0</v>
      </c>
      <c r="G32" s="768">
        <f>SUM(Prop2018DistTar!G32,Prop2018TransTar!G32,Prop2018JSTar!G32)</f>
        <v>0</v>
      </c>
      <c r="H32" s="768">
        <f>SUM(Prop2018DistTar!H32,Prop2018TransTar!H32,Prop2018JSTar!H32)</f>
        <v>0</v>
      </c>
      <c r="I32" s="768">
        <f>SUM(Prop2018DistTar!I32,Prop2018TransTar!I32,Prop2018JSTar!I32)</f>
        <v>0</v>
      </c>
      <c r="J32" s="768">
        <f>SUM(Prop2018DistTar!J32,Prop2018TransTar!J32,Prop2018JSTar!J32)</f>
        <v>0</v>
      </c>
      <c r="K32" s="768">
        <f>SUM(Prop2018DistTar!K32,Prop2018TransTar!K32,Prop2018JSTar!K32)</f>
        <v>0</v>
      </c>
      <c r="L32" s="768">
        <f>SUM(Prop2018DistTar!L32,Prop2018TransTar!L32,Prop2018JSTar!L32)</f>
        <v>0</v>
      </c>
      <c r="M32" s="768">
        <f>SUM(Prop2018DistTar!M32,Prop2018TransTar!M32,Prop2018JSTar!M32)</f>
        <v>0</v>
      </c>
      <c r="N32" s="768">
        <f>SUM(Prop2018DistTar!N32,Prop2018TransTar!N32,Prop2018JSTar!N32)</f>
        <v>0</v>
      </c>
      <c r="O32" s="768">
        <f>SUM(Prop2018DistTar!O32,Prop2018TransTar!O32,Prop2018JSTar!O32)</f>
        <v>13.93</v>
      </c>
      <c r="P32" s="768">
        <f>SUM(Prop2018DistTar!P32,Prop2018TransTar!P32,Prop2018JSTar!P32)</f>
        <v>4.6399999999999997</v>
      </c>
      <c r="Q32" s="768">
        <f>SUM(Prop2018DistTar!Q32,Prop2018TransTar!Q32,Prop2018JSTar!Q32)</f>
        <v>0</v>
      </c>
      <c r="R32" s="768">
        <f>SUM(Prop2018DistTar!R32,Prop2018TransTar!R32,Prop2018JSTar!R32)</f>
        <v>0</v>
      </c>
      <c r="S32" s="768">
        <f>SUM(Prop2018DistTar!S32,Prop2018TransTar!S32,Prop2018JSTar!S32)</f>
        <v>0</v>
      </c>
      <c r="T32" s="768">
        <f>SUM(Prop2018DistTar!T32,Prop2018TransTar!T32,Prop2018JSTar!T32)</f>
        <v>0</v>
      </c>
      <c r="U32" s="768">
        <f>SUM(Prop2018DistTar!U32,Prop2018TransTar!U32,Prop2018JSTar!U32)</f>
        <v>0</v>
      </c>
      <c r="V32" s="768">
        <f>SUM(Prop2018DistTar!V32,Prop2018TransTar!V32,Prop2018JSTar!V32)</f>
        <v>0</v>
      </c>
      <c r="W32" s="768">
        <f>SUM(Prop2018DistTar!W32,Prop2018TransTar!W32,Prop2018JSTar!W32)</f>
        <v>0</v>
      </c>
      <c r="X32" s="769">
        <f>SUM(Prop2018DistTar!X32,Prop2018TransTar!X32,Prop2018JSTar!X32)</f>
        <v>0</v>
      </c>
      <c r="Z32" s="279">
        <v>145</v>
      </c>
      <c r="AA32" s="752">
        <v>4.22</v>
      </c>
      <c r="AB32" s="752">
        <v>0</v>
      </c>
      <c r="AC32" s="752">
        <v>0</v>
      </c>
      <c r="AD32" s="752">
        <v>0</v>
      </c>
      <c r="AE32" s="752">
        <v>0</v>
      </c>
      <c r="AF32" s="752">
        <v>0</v>
      </c>
      <c r="AG32" s="752">
        <v>0</v>
      </c>
      <c r="AH32" s="752">
        <v>0</v>
      </c>
      <c r="AI32" s="752">
        <v>0</v>
      </c>
      <c r="AJ32" s="752">
        <v>0</v>
      </c>
      <c r="AK32" s="752">
        <v>13.35</v>
      </c>
      <c r="AL32" s="752">
        <v>4.45</v>
      </c>
      <c r="AM32" s="752">
        <v>0</v>
      </c>
      <c r="AN32" s="752">
        <v>0</v>
      </c>
      <c r="AO32" s="752">
        <v>0</v>
      </c>
      <c r="AP32" s="752">
        <v>0</v>
      </c>
      <c r="AQ32" s="752">
        <v>0</v>
      </c>
      <c r="AR32" s="752">
        <v>0</v>
      </c>
      <c r="AS32" s="752">
        <v>0</v>
      </c>
      <c r="AT32" s="753">
        <v>0</v>
      </c>
      <c r="AW32" s="784">
        <f t="shared" si="3"/>
        <v>0</v>
      </c>
      <c r="AX32" s="785">
        <f t="shared" si="3"/>
        <v>4.5023696682464642E-2</v>
      </c>
      <c r="AY32" s="785">
        <f t="shared" si="3"/>
        <v>0</v>
      </c>
      <c r="AZ32" s="785">
        <f t="shared" si="3"/>
        <v>0</v>
      </c>
      <c r="BA32" s="785">
        <f t="shared" si="3"/>
        <v>0</v>
      </c>
      <c r="BB32" s="785">
        <f t="shared" si="3"/>
        <v>0</v>
      </c>
      <c r="BC32" s="785">
        <f t="shared" si="3"/>
        <v>0</v>
      </c>
      <c r="BD32" s="785">
        <f t="shared" si="3"/>
        <v>0</v>
      </c>
      <c r="BE32" s="785">
        <f t="shared" si="3"/>
        <v>0</v>
      </c>
      <c r="BF32" s="785">
        <f t="shared" si="3"/>
        <v>0</v>
      </c>
      <c r="BG32" s="785">
        <f t="shared" si="3"/>
        <v>0</v>
      </c>
      <c r="BH32" s="785">
        <f t="shared" si="3"/>
        <v>4.3445692883895104E-2</v>
      </c>
      <c r="BI32" s="785">
        <f t="shared" si="3"/>
        <v>4.2696629213482939E-2</v>
      </c>
      <c r="BJ32" s="785">
        <f t="shared" si="3"/>
        <v>0</v>
      </c>
      <c r="BK32" s="785">
        <f t="shared" si="3"/>
        <v>0</v>
      </c>
      <c r="BL32" s="785">
        <f t="shared" si="2"/>
        <v>0</v>
      </c>
      <c r="BM32" s="785">
        <f t="shared" si="1"/>
        <v>0</v>
      </c>
      <c r="BN32" s="785">
        <f t="shared" si="1"/>
        <v>0</v>
      </c>
      <c r="BO32" s="785">
        <f t="shared" si="1"/>
        <v>0</v>
      </c>
      <c r="BP32" s="785">
        <f t="shared" si="1"/>
        <v>0</v>
      </c>
      <c r="BQ32" s="786">
        <f t="shared" si="1"/>
        <v>0</v>
      </c>
      <c r="BR32" s="553" t="str">
        <f t="array" ref="BR32">IF(MAX(ABS(AW32:BQ32))&gt;$BR$4,"EXPLAIN","")</f>
        <v/>
      </c>
      <c r="BW32" s="748"/>
      <c r="BX32" s="748"/>
      <c r="BY32" s="748"/>
      <c r="BZ32" s="748"/>
      <c r="CA32" s="748"/>
      <c r="CB32" s="748"/>
      <c r="CC32" s="748"/>
      <c r="CD32" s="748"/>
      <c r="CE32" s="748"/>
      <c r="CF32" s="748"/>
      <c r="CG32" s="748"/>
      <c r="CH32" s="748"/>
      <c r="CI32" s="748"/>
      <c r="CJ32" s="748"/>
      <c r="CK32" s="748"/>
      <c r="CL32" s="748"/>
      <c r="CM32" s="748"/>
      <c r="CN32" s="748"/>
      <c r="CO32" s="748"/>
      <c r="CP32" s="748"/>
      <c r="CQ32" s="748"/>
      <c r="CR32" s="748"/>
      <c r="CS32" s="748"/>
    </row>
    <row r="33" spans="1:97">
      <c r="A33" s="748" t="str">
        <f>Prop2018DistTar!A33</f>
        <v>CGB</v>
      </c>
      <c r="B33" s="750" t="s">
        <v>727</v>
      </c>
      <c r="C33" s="750" t="str">
        <f>Prop2018DistTar!C33</f>
        <v>Non-Residential Bulk Demand Tariff</v>
      </c>
      <c r="D33" s="767">
        <f>SUM(Prop2018DistTar!D33,Prop2018TransTar!D33,Prop2018JSTar!D33)</f>
        <v>125</v>
      </c>
      <c r="E33" s="768">
        <f>SUM(Prop2018DistTar!E33,Prop2018TransTar!E33,Prop2018JSTar!E33)</f>
        <v>3.97</v>
      </c>
      <c r="F33" s="768">
        <f>SUM(Prop2018DistTar!F33,Prop2018TransTar!F33,Prop2018JSTar!F33)</f>
        <v>0</v>
      </c>
      <c r="G33" s="768">
        <f>SUM(Prop2018DistTar!G33,Prop2018TransTar!G33,Prop2018JSTar!G33)</f>
        <v>0</v>
      </c>
      <c r="H33" s="768">
        <f>SUM(Prop2018DistTar!H33,Prop2018TransTar!H33,Prop2018JSTar!H33)</f>
        <v>0</v>
      </c>
      <c r="I33" s="768">
        <f>SUM(Prop2018DistTar!I33,Prop2018TransTar!I33,Prop2018JSTar!I33)</f>
        <v>0</v>
      </c>
      <c r="J33" s="768">
        <f>SUM(Prop2018DistTar!J33,Prop2018TransTar!J33,Prop2018JSTar!J33)</f>
        <v>0</v>
      </c>
      <c r="K33" s="768">
        <f>SUM(Prop2018DistTar!K33,Prop2018TransTar!K33,Prop2018JSTar!K33)</f>
        <v>0</v>
      </c>
      <c r="L33" s="768">
        <f>SUM(Prop2018DistTar!L33,Prop2018TransTar!L33,Prop2018JSTar!L33)</f>
        <v>0</v>
      </c>
      <c r="M33" s="768">
        <f>SUM(Prop2018DistTar!M33,Prop2018TransTar!M33,Prop2018JSTar!M33)</f>
        <v>0</v>
      </c>
      <c r="N33" s="768">
        <f>SUM(Prop2018DistTar!N33,Prop2018TransTar!N33,Prop2018JSTar!N33)</f>
        <v>0</v>
      </c>
      <c r="O33" s="768">
        <f>SUM(Prop2018DistTar!O33,Prop2018TransTar!O33,Prop2018JSTar!O33)</f>
        <v>10.45</v>
      </c>
      <c r="P33" s="768">
        <f>SUM(Prop2018DistTar!P33,Prop2018TransTar!P33,Prop2018JSTar!P33)</f>
        <v>3.48</v>
      </c>
      <c r="Q33" s="768">
        <f>SUM(Prop2018DistTar!Q33,Prop2018TransTar!Q33,Prop2018JSTar!Q33)</f>
        <v>0</v>
      </c>
      <c r="R33" s="768">
        <f>SUM(Prop2018DistTar!R33,Prop2018TransTar!R33,Prop2018JSTar!R33)</f>
        <v>0</v>
      </c>
      <c r="S33" s="768">
        <f>SUM(Prop2018DistTar!S33,Prop2018TransTar!S33,Prop2018JSTar!S33)</f>
        <v>0</v>
      </c>
      <c r="T33" s="768">
        <f>SUM(Prop2018DistTar!T33,Prop2018TransTar!T33,Prop2018JSTar!T33)</f>
        <v>0</v>
      </c>
      <c r="U33" s="768">
        <f>SUM(Prop2018DistTar!U33,Prop2018TransTar!U33,Prop2018JSTar!U33)</f>
        <v>0</v>
      </c>
      <c r="V33" s="768">
        <f>SUM(Prop2018DistTar!V33,Prop2018TransTar!V33,Prop2018JSTar!V33)</f>
        <v>0</v>
      </c>
      <c r="W33" s="768">
        <f>SUM(Prop2018DistTar!W33,Prop2018TransTar!W33,Prop2018JSTar!W33)</f>
        <v>0</v>
      </c>
      <c r="X33" s="769">
        <f>SUM(Prop2018DistTar!X33,Prop2018TransTar!X33,Prop2018JSTar!X33)</f>
        <v>0</v>
      </c>
      <c r="Z33" s="279">
        <v>125</v>
      </c>
      <c r="AA33" s="752">
        <v>3.81</v>
      </c>
      <c r="AB33" s="752">
        <v>0</v>
      </c>
      <c r="AC33" s="752">
        <v>0</v>
      </c>
      <c r="AD33" s="752">
        <v>0</v>
      </c>
      <c r="AE33" s="752">
        <v>0</v>
      </c>
      <c r="AF33" s="752">
        <v>0</v>
      </c>
      <c r="AG33" s="752">
        <v>0</v>
      </c>
      <c r="AH33" s="752">
        <v>0</v>
      </c>
      <c r="AI33" s="752">
        <v>0</v>
      </c>
      <c r="AJ33" s="752">
        <v>0</v>
      </c>
      <c r="AK33" s="752">
        <v>10.02</v>
      </c>
      <c r="AL33" s="752">
        <v>3.34</v>
      </c>
      <c r="AM33" s="752">
        <v>0</v>
      </c>
      <c r="AN33" s="752">
        <v>0</v>
      </c>
      <c r="AO33" s="752">
        <v>0</v>
      </c>
      <c r="AP33" s="752">
        <v>0</v>
      </c>
      <c r="AQ33" s="752">
        <v>0</v>
      </c>
      <c r="AR33" s="752">
        <v>0</v>
      </c>
      <c r="AS33" s="752">
        <v>0</v>
      </c>
      <c r="AT33" s="753">
        <v>0</v>
      </c>
      <c r="AW33" s="784">
        <f t="shared" si="3"/>
        <v>0</v>
      </c>
      <c r="AX33" s="785">
        <f t="shared" si="3"/>
        <v>4.1994750656167978E-2</v>
      </c>
      <c r="AY33" s="785">
        <f t="shared" si="3"/>
        <v>0</v>
      </c>
      <c r="AZ33" s="785">
        <f t="shared" si="3"/>
        <v>0</v>
      </c>
      <c r="BA33" s="785">
        <f t="shared" si="3"/>
        <v>0</v>
      </c>
      <c r="BB33" s="785">
        <f t="shared" si="3"/>
        <v>0</v>
      </c>
      <c r="BC33" s="785">
        <f t="shared" si="3"/>
        <v>0</v>
      </c>
      <c r="BD33" s="785">
        <f t="shared" si="3"/>
        <v>0</v>
      </c>
      <c r="BE33" s="785">
        <f t="shared" si="3"/>
        <v>0</v>
      </c>
      <c r="BF33" s="785">
        <f t="shared" si="3"/>
        <v>0</v>
      </c>
      <c r="BG33" s="785">
        <f t="shared" si="3"/>
        <v>0</v>
      </c>
      <c r="BH33" s="785">
        <f t="shared" si="3"/>
        <v>4.2914171656686539E-2</v>
      </c>
      <c r="BI33" s="785">
        <f t="shared" si="3"/>
        <v>4.1916167664670656E-2</v>
      </c>
      <c r="BJ33" s="785">
        <f t="shared" si="3"/>
        <v>0</v>
      </c>
      <c r="BK33" s="785">
        <f t="shared" si="3"/>
        <v>0</v>
      </c>
      <c r="BL33" s="785">
        <f t="shared" si="2"/>
        <v>0</v>
      </c>
      <c r="BM33" s="785">
        <f t="shared" si="1"/>
        <v>0</v>
      </c>
      <c r="BN33" s="785">
        <f t="shared" si="1"/>
        <v>0</v>
      </c>
      <c r="BO33" s="785">
        <f t="shared" si="1"/>
        <v>0</v>
      </c>
      <c r="BP33" s="785">
        <f t="shared" si="1"/>
        <v>0</v>
      </c>
      <c r="BQ33" s="786">
        <f t="shared" si="1"/>
        <v>0</v>
      </c>
      <c r="BR33" s="553" t="str">
        <f t="array" ref="BR33">IF(MAX(ABS(AW33:BQ33))&gt;$BR$4,"EXPLAIN","")</f>
        <v/>
      </c>
      <c r="BW33" s="748"/>
      <c r="BX33" s="748"/>
      <c r="BY33" s="748"/>
      <c r="BZ33" s="748"/>
      <c r="CA33" s="748"/>
      <c r="CB33" s="748"/>
      <c r="CC33" s="748"/>
      <c r="CD33" s="748"/>
      <c r="CE33" s="748"/>
      <c r="CF33" s="748"/>
      <c r="CG33" s="748"/>
      <c r="CH33" s="748"/>
      <c r="CI33" s="748"/>
      <c r="CJ33" s="748"/>
      <c r="CK33" s="748"/>
      <c r="CL33" s="748"/>
      <c r="CM33" s="748"/>
      <c r="CN33" s="748"/>
      <c r="CO33" s="748"/>
      <c r="CP33" s="748"/>
      <c r="CQ33" s="748"/>
      <c r="CR33" s="748"/>
      <c r="CS33" s="748"/>
    </row>
    <row r="34" spans="1:97">
      <c r="A34" s="748" t="str">
        <f>Prop2018DistTar!A34</f>
        <v>CMG</v>
      </c>
      <c r="B34" s="750" t="s">
        <v>600</v>
      </c>
      <c r="C34" s="750" t="str">
        <f>Prop2018DistTar!C34</f>
        <v>Medium Business Demand</v>
      </c>
      <c r="D34" s="767">
        <f>SUM(Prop2018DistTar!D34,Prop2018TransTar!D34,Prop2018JSTar!D34)</f>
        <v>800</v>
      </c>
      <c r="E34" s="768">
        <f>SUM(Prop2018DistTar!E34,Prop2018TransTar!E34,Prop2018JSTar!E34)</f>
        <v>0</v>
      </c>
      <c r="F34" s="768">
        <f>SUM(Prop2018DistTar!F34,Prop2018TransTar!F34,Prop2018JSTar!F34)</f>
        <v>7.44</v>
      </c>
      <c r="G34" s="768">
        <f>SUM(Prop2018DistTar!G34,Prop2018TransTar!G34,Prop2018JSTar!G34)</f>
        <v>0</v>
      </c>
      <c r="H34" s="768">
        <f>SUM(Prop2018DistTar!H34,Prop2018TransTar!H34,Prop2018JSTar!H34)</f>
        <v>0</v>
      </c>
      <c r="I34" s="768">
        <f>SUM(Prop2018DistTar!I34,Prop2018TransTar!I34,Prop2018JSTar!I34)</f>
        <v>4.41</v>
      </c>
      <c r="J34" s="768">
        <f>SUM(Prop2018DistTar!J34,Prop2018TransTar!J34,Prop2018JSTar!J34)</f>
        <v>0</v>
      </c>
      <c r="K34" s="768">
        <f>SUM(Prop2018DistTar!K34,Prop2018TransTar!K34,Prop2018JSTar!K34)</f>
        <v>0</v>
      </c>
      <c r="L34" s="768">
        <f>SUM(Prop2018DistTar!L34,Prop2018TransTar!L34,Prop2018JSTar!L34)</f>
        <v>0</v>
      </c>
      <c r="M34" s="768">
        <f>SUM(Prop2018DistTar!M34,Prop2018TransTar!M34,Prop2018JSTar!M34)</f>
        <v>0</v>
      </c>
      <c r="N34" s="768">
        <f>SUM(Prop2018DistTar!N34,Prop2018TransTar!N34,Prop2018JSTar!N34)</f>
        <v>0</v>
      </c>
      <c r="O34" s="768">
        <f>SUM(Prop2018DistTar!O34,Prop2018TransTar!O34,Prop2018JSTar!O34)</f>
        <v>3.7199999999999998</v>
      </c>
      <c r="P34" s="768">
        <f>SUM(Prop2018DistTar!P34,Prop2018TransTar!P34,Prop2018JSTar!P34)</f>
        <v>1.86</v>
      </c>
      <c r="Q34" s="768">
        <f>SUM(Prop2018DistTar!Q34,Prop2018TransTar!Q34,Prop2018JSTar!Q34)</f>
        <v>0</v>
      </c>
      <c r="R34" s="768">
        <f>SUM(Prop2018DistTar!R34,Prop2018TransTar!R34,Prop2018JSTar!R34)</f>
        <v>0</v>
      </c>
      <c r="S34" s="768">
        <f>SUM(Prop2018DistTar!S34,Prop2018TransTar!S34,Prop2018JSTar!S34)</f>
        <v>0</v>
      </c>
      <c r="T34" s="768">
        <f>SUM(Prop2018DistTar!T34,Prop2018TransTar!T34,Prop2018JSTar!T34)</f>
        <v>0</v>
      </c>
      <c r="U34" s="768">
        <f>SUM(Prop2018DistTar!U34,Prop2018TransTar!U34,Prop2018JSTar!U34)</f>
        <v>0</v>
      </c>
      <c r="V34" s="768">
        <f>SUM(Prop2018DistTar!V34,Prop2018TransTar!V34,Prop2018JSTar!V34)</f>
        <v>0</v>
      </c>
      <c r="W34" s="768">
        <f>SUM(Prop2018DistTar!W34,Prop2018TransTar!W34,Prop2018JSTar!W34)</f>
        <v>0</v>
      </c>
      <c r="X34" s="769">
        <f>SUM(Prop2018DistTar!X34,Prop2018TransTar!X34,Prop2018JSTar!X34)</f>
        <v>0</v>
      </c>
      <c r="Z34" s="279">
        <v>832</v>
      </c>
      <c r="AA34" s="752">
        <v>0</v>
      </c>
      <c r="AB34" s="752">
        <v>6.61</v>
      </c>
      <c r="AC34" s="752">
        <v>0</v>
      </c>
      <c r="AD34" s="752">
        <v>0</v>
      </c>
      <c r="AE34" s="752">
        <v>4.3899999999999997</v>
      </c>
      <c r="AF34" s="752">
        <v>0</v>
      </c>
      <c r="AG34" s="752">
        <v>0</v>
      </c>
      <c r="AH34" s="752">
        <v>0</v>
      </c>
      <c r="AI34" s="752">
        <v>0</v>
      </c>
      <c r="AJ34" s="752">
        <v>0</v>
      </c>
      <c r="AK34" s="752">
        <v>6.68</v>
      </c>
      <c r="AL34" s="752">
        <v>2.23</v>
      </c>
      <c r="AM34" s="752">
        <v>0</v>
      </c>
      <c r="AN34" s="752">
        <v>0</v>
      </c>
      <c r="AO34" s="752">
        <v>0</v>
      </c>
      <c r="AP34" s="752">
        <v>0</v>
      </c>
      <c r="AQ34" s="752">
        <v>0</v>
      </c>
      <c r="AR34" s="752">
        <v>0</v>
      </c>
      <c r="AS34" s="752">
        <v>0</v>
      </c>
      <c r="AT34" s="753">
        <v>0</v>
      </c>
      <c r="AW34" s="784">
        <f t="shared" si="3"/>
        <v>-3.8461538461538436E-2</v>
      </c>
      <c r="AX34" s="785">
        <f t="shared" si="3"/>
        <v>0</v>
      </c>
      <c r="AY34" s="785">
        <f t="shared" si="3"/>
        <v>0.12556732223903166</v>
      </c>
      <c r="AZ34" s="785">
        <f t="shared" si="3"/>
        <v>0</v>
      </c>
      <c r="BA34" s="785">
        <f t="shared" si="3"/>
        <v>0</v>
      </c>
      <c r="BB34" s="785">
        <f t="shared" si="3"/>
        <v>4.5558086560364419E-3</v>
      </c>
      <c r="BC34" s="785">
        <f t="shared" si="3"/>
        <v>0</v>
      </c>
      <c r="BD34" s="785">
        <f t="shared" si="3"/>
        <v>0</v>
      </c>
      <c r="BE34" s="785">
        <f t="shared" si="3"/>
        <v>0</v>
      </c>
      <c r="BF34" s="785">
        <f t="shared" si="3"/>
        <v>0</v>
      </c>
      <c r="BG34" s="785">
        <f t="shared" si="3"/>
        <v>0</v>
      </c>
      <c r="BH34" s="785">
        <f t="shared" si="3"/>
        <v>-0.44311377245508987</v>
      </c>
      <c r="BI34" s="785">
        <f t="shared" si="3"/>
        <v>-0.16591928251121069</v>
      </c>
      <c r="BJ34" s="785">
        <f t="shared" si="3"/>
        <v>0</v>
      </c>
      <c r="BK34" s="785">
        <f t="shared" si="3"/>
        <v>0</v>
      </c>
      <c r="BL34" s="785">
        <f t="shared" si="2"/>
        <v>0</v>
      </c>
      <c r="BM34" s="785">
        <f t="shared" si="1"/>
        <v>0</v>
      </c>
      <c r="BN34" s="785">
        <f t="shared" si="1"/>
        <v>0</v>
      </c>
      <c r="BO34" s="785">
        <f t="shared" si="1"/>
        <v>0</v>
      </c>
      <c r="BP34" s="785">
        <f t="shared" si="1"/>
        <v>0</v>
      </c>
      <c r="BQ34" s="786">
        <f t="shared" si="1"/>
        <v>0</v>
      </c>
      <c r="BR34" s="553" t="str">
        <f t="array" ref="BR34">IF(MAX(ABS(AW34:BQ34))&gt;$BR$4,"EXPLAIN","")</f>
        <v>EXPLAIN</v>
      </c>
      <c r="BW34" s="748"/>
      <c r="BX34" s="748"/>
      <c r="BY34" s="748"/>
      <c r="BZ34" s="748"/>
      <c r="CA34" s="748"/>
      <c r="CB34" s="748"/>
      <c r="CC34" s="748"/>
      <c r="CD34" s="748"/>
      <c r="CE34" s="748"/>
      <c r="CF34" s="748"/>
      <c r="CG34" s="748"/>
      <c r="CH34" s="748"/>
      <c r="CI34" s="748"/>
      <c r="CJ34" s="748"/>
      <c r="CK34" s="748"/>
      <c r="CL34" s="748"/>
      <c r="CM34" s="748"/>
      <c r="CN34" s="748"/>
      <c r="CO34" s="748"/>
      <c r="CP34" s="748"/>
      <c r="CQ34" s="748"/>
      <c r="CR34" s="748"/>
      <c r="CS34" s="748"/>
    </row>
    <row r="35" spans="1:97">
      <c r="A35" s="748" t="str">
        <f>Prop2018DistTar!A35</f>
        <v>CMGB</v>
      </c>
      <c r="B35" s="750" t="s">
        <v>728</v>
      </c>
      <c r="C35" s="750" t="str">
        <f>Prop2018DistTar!C35</f>
        <v>Medium Business Bulk Demand</v>
      </c>
      <c r="D35" s="767">
        <f>SUM(Prop2018DistTar!D35,Prop2018TransTar!D35,Prop2018JSTar!D35)</f>
        <v>800</v>
      </c>
      <c r="E35" s="768">
        <f>SUM(Prop2018DistTar!E35,Prop2018TransTar!E35,Prop2018JSTar!E35)</f>
        <v>0</v>
      </c>
      <c r="F35" s="768">
        <f>SUM(Prop2018DistTar!F35,Prop2018TransTar!F35,Prop2018JSTar!F35)</f>
        <v>5.47</v>
      </c>
      <c r="G35" s="768">
        <f>SUM(Prop2018DistTar!G35,Prop2018TransTar!G35,Prop2018JSTar!G35)</f>
        <v>0</v>
      </c>
      <c r="H35" s="768">
        <f>SUM(Prop2018DistTar!H35,Prop2018TransTar!H35,Prop2018JSTar!H35)</f>
        <v>0</v>
      </c>
      <c r="I35" s="768">
        <f>SUM(Prop2018DistTar!I35,Prop2018TransTar!I35,Prop2018JSTar!I35)</f>
        <v>3.48</v>
      </c>
      <c r="J35" s="768">
        <f>SUM(Prop2018DistTar!J35,Prop2018TransTar!J35,Prop2018JSTar!J35)</f>
        <v>0</v>
      </c>
      <c r="K35" s="768">
        <f>SUM(Prop2018DistTar!K35,Prop2018TransTar!K35,Prop2018JSTar!K35)</f>
        <v>0</v>
      </c>
      <c r="L35" s="768">
        <f>SUM(Prop2018DistTar!L35,Prop2018TransTar!L35,Prop2018JSTar!L35)</f>
        <v>0</v>
      </c>
      <c r="M35" s="768">
        <f>SUM(Prop2018DistTar!M35,Prop2018TransTar!M35,Prop2018JSTar!M35)</f>
        <v>0</v>
      </c>
      <c r="N35" s="768">
        <f>SUM(Prop2018DistTar!N35,Prop2018TransTar!N35,Prop2018JSTar!N35)</f>
        <v>0</v>
      </c>
      <c r="O35" s="768">
        <f>SUM(Prop2018DistTar!O35,Prop2018TransTar!O35,Prop2018JSTar!O35)</f>
        <v>2.79</v>
      </c>
      <c r="P35" s="768">
        <f>SUM(Prop2018DistTar!P35,Prop2018TransTar!P35,Prop2018JSTar!P35)</f>
        <v>1.4</v>
      </c>
      <c r="Q35" s="768">
        <f>SUM(Prop2018DistTar!Q35,Prop2018TransTar!Q35,Prop2018JSTar!Q35)</f>
        <v>0</v>
      </c>
      <c r="R35" s="768">
        <f>SUM(Prop2018DistTar!R35,Prop2018TransTar!R35,Prop2018JSTar!R35)</f>
        <v>0</v>
      </c>
      <c r="S35" s="768">
        <f>SUM(Prop2018DistTar!S35,Prop2018TransTar!S35,Prop2018JSTar!S35)</f>
        <v>0</v>
      </c>
      <c r="T35" s="768">
        <f>SUM(Prop2018DistTar!T35,Prop2018TransTar!T35,Prop2018JSTar!T35)</f>
        <v>0</v>
      </c>
      <c r="U35" s="768">
        <f>SUM(Prop2018DistTar!U35,Prop2018TransTar!U35,Prop2018JSTar!U35)</f>
        <v>0</v>
      </c>
      <c r="V35" s="768">
        <f>SUM(Prop2018DistTar!V35,Prop2018TransTar!V35,Prop2018JSTar!V35)</f>
        <v>0</v>
      </c>
      <c r="W35" s="768">
        <f>SUM(Prop2018DistTar!W35,Prop2018TransTar!W35,Prop2018JSTar!W35)</f>
        <v>0</v>
      </c>
      <c r="X35" s="769">
        <f>SUM(Prop2018DistTar!X35,Prop2018TransTar!X35,Prop2018JSTar!X35)</f>
        <v>0</v>
      </c>
      <c r="Z35" s="279">
        <v>832</v>
      </c>
      <c r="AA35" s="752">
        <v>0</v>
      </c>
      <c r="AB35" s="752">
        <v>4.9800000000000004</v>
      </c>
      <c r="AC35" s="752">
        <v>0</v>
      </c>
      <c r="AD35" s="752">
        <v>0</v>
      </c>
      <c r="AE35" s="752">
        <v>3.46</v>
      </c>
      <c r="AF35" s="752">
        <v>0</v>
      </c>
      <c r="AG35" s="752">
        <v>0</v>
      </c>
      <c r="AH35" s="752">
        <v>0</v>
      </c>
      <c r="AI35" s="752">
        <v>0</v>
      </c>
      <c r="AJ35" s="752">
        <v>0</v>
      </c>
      <c r="AK35" s="752">
        <v>5.01</v>
      </c>
      <c r="AL35" s="752">
        <v>1.67</v>
      </c>
      <c r="AM35" s="752">
        <v>0</v>
      </c>
      <c r="AN35" s="752">
        <v>0</v>
      </c>
      <c r="AO35" s="752">
        <v>0</v>
      </c>
      <c r="AP35" s="752">
        <v>0</v>
      </c>
      <c r="AQ35" s="752">
        <v>0</v>
      </c>
      <c r="AR35" s="752">
        <v>0</v>
      </c>
      <c r="AS35" s="752">
        <v>0</v>
      </c>
      <c r="AT35" s="753">
        <v>0</v>
      </c>
      <c r="AW35" s="784">
        <f t="shared" si="3"/>
        <v>-3.8461538461538436E-2</v>
      </c>
      <c r="AX35" s="785">
        <f t="shared" si="3"/>
        <v>0</v>
      </c>
      <c r="AY35" s="785">
        <f t="shared" si="3"/>
        <v>9.8393574297188646E-2</v>
      </c>
      <c r="AZ35" s="785">
        <f t="shared" si="3"/>
        <v>0</v>
      </c>
      <c r="BA35" s="785">
        <f t="shared" si="3"/>
        <v>0</v>
      </c>
      <c r="BB35" s="785">
        <f t="shared" si="3"/>
        <v>5.7803468208093012E-3</v>
      </c>
      <c r="BC35" s="785">
        <f t="shared" si="3"/>
        <v>0</v>
      </c>
      <c r="BD35" s="785">
        <f t="shared" si="3"/>
        <v>0</v>
      </c>
      <c r="BE35" s="785">
        <f t="shared" si="3"/>
        <v>0</v>
      </c>
      <c r="BF35" s="785">
        <f t="shared" si="3"/>
        <v>0</v>
      </c>
      <c r="BG35" s="785">
        <f t="shared" si="3"/>
        <v>0</v>
      </c>
      <c r="BH35" s="785">
        <f t="shared" si="3"/>
        <v>-0.44311377245508976</v>
      </c>
      <c r="BI35" s="785">
        <f t="shared" si="3"/>
        <v>-0.16167664670658688</v>
      </c>
      <c r="BJ35" s="785">
        <f t="shared" si="3"/>
        <v>0</v>
      </c>
      <c r="BK35" s="785">
        <f t="shared" si="3"/>
        <v>0</v>
      </c>
      <c r="BL35" s="785">
        <f t="shared" si="2"/>
        <v>0</v>
      </c>
      <c r="BM35" s="785">
        <f t="shared" si="1"/>
        <v>0</v>
      </c>
      <c r="BN35" s="785">
        <f t="shared" si="1"/>
        <v>0</v>
      </c>
      <c r="BO35" s="785">
        <f t="shared" si="1"/>
        <v>0</v>
      </c>
      <c r="BP35" s="785">
        <f t="shared" si="1"/>
        <v>0</v>
      </c>
      <c r="BQ35" s="786">
        <f t="shared" si="1"/>
        <v>0</v>
      </c>
      <c r="BR35" s="553" t="str">
        <f t="array" ref="BR35">IF(MAX(ABS(AW35:BQ35))&gt;$BR$4,"EXPLAIN","")</f>
        <v>EXPLAIN</v>
      </c>
      <c r="BW35" s="748"/>
      <c r="BX35" s="748"/>
      <c r="BY35" s="748"/>
      <c r="BZ35" s="748"/>
      <c r="CA35" s="748"/>
      <c r="CB35" s="748"/>
      <c r="CC35" s="748"/>
      <c r="CD35" s="748"/>
      <c r="CE35" s="748"/>
      <c r="CF35" s="748"/>
      <c r="CG35" s="748"/>
      <c r="CH35" s="748"/>
      <c r="CI35" s="748"/>
      <c r="CJ35" s="748"/>
      <c r="CK35" s="748"/>
      <c r="CL35" s="748"/>
      <c r="CM35" s="748"/>
      <c r="CN35" s="748"/>
      <c r="CO35" s="748"/>
      <c r="CP35" s="748"/>
      <c r="CQ35" s="748"/>
      <c r="CR35" s="748"/>
      <c r="CS35" s="748"/>
    </row>
    <row r="36" spans="1:97">
      <c r="A36" s="748" t="str">
        <f>Prop2018DistTar!A36</f>
        <v>CMGO</v>
      </c>
      <c r="B36" s="750" t="s">
        <v>733</v>
      </c>
      <c r="C36" s="750" t="str">
        <f>Prop2018DistTar!B36</f>
        <v>Medium Business Opt-out</v>
      </c>
      <c r="D36" s="767">
        <f>SUM(Prop2018DistTar!D36,Prop2018TransTar!D36,Prop2018JSTar!D36)</f>
        <v>800</v>
      </c>
      <c r="E36" s="768">
        <f>SUM(Prop2018DistTar!E36,Prop2018TransTar!E36,Prop2018JSTar!E36)</f>
        <v>0</v>
      </c>
      <c r="F36" s="768">
        <f>SUM(Prop2018DistTar!F36,Prop2018TransTar!F36,Prop2018JSTar!F36)</f>
        <v>11.37</v>
      </c>
      <c r="G36" s="768">
        <f>SUM(Prop2018DistTar!G36,Prop2018TransTar!G36,Prop2018JSTar!G36)</f>
        <v>0</v>
      </c>
      <c r="H36" s="768">
        <f>SUM(Prop2018DistTar!H36,Prop2018TransTar!H36,Prop2018JSTar!H36)</f>
        <v>0</v>
      </c>
      <c r="I36" s="768">
        <f>SUM(Prop2018DistTar!I36,Prop2018TransTar!I36,Prop2018JSTar!I36)</f>
        <v>4.58</v>
      </c>
      <c r="J36" s="768">
        <f>SUM(Prop2018DistTar!J36,Prop2018TransTar!J36,Prop2018JSTar!J36)</f>
        <v>0</v>
      </c>
      <c r="K36" s="768">
        <f>SUM(Prop2018DistTar!K36,Prop2018TransTar!K36,Prop2018JSTar!K36)</f>
        <v>0</v>
      </c>
      <c r="L36" s="768">
        <f>SUM(Prop2018DistTar!L36,Prop2018TransTar!L36,Prop2018JSTar!L36)</f>
        <v>0</v>
      </c>
      <c r="M36" s="768">
        <f>SUM(Prop2018DistTar!M36,Prop2018TransTar!M36,Prop2018JSTar!M36)</f>
        <v>0</v>
      </c>
      <c r="N36" s="768">
        <f>SUM(Prop2018DistTar!N36,Prop2018TransTar!N36,Prop2018JSTar!N36)</f>
        <v>0</v>
      </c>
      <c r="O36" s="768">
        <f>SUM(Prop2018DistTar!O36,Prop2018TransTar!O36,Prop2018JSTar!O36)</f>
        <v>0</v>
      </c>
      <c r="P36" s="768">
        <f>SUM(Prop2018DistTar!P36,Prop2018TransTar!P36,Prop2018JSTar!P36)</f>
        <v>0</v>
      </c>
      <c r="Q36" s="768">
        <f>SUM(Prop2018DistTar!Q36,Prop2018TransTar!Q36,Prop2018JSTar!Q36)</f>
        <v>0</v>
      </c>
      <c r="R36" s="768">
        <f>SUM(Prop2018DistTar!R36,Prop2018TransTar!R36,Prop2018JSTar!R36)</f>
        <v>0</v>
      </c>
      <c r="S36" s="768">
        <f>SUM(Prop2018DistTar!S36,Prop2018TransTar!S36,Prop2018JSTar!S36)</f>
        <v>0</v>
      </c>
      <c r="T36" s="768">
        <f>SUM(Prop2018DistTar!T36,Prop2018TransTar!T36,Prop2018JSTar!T36)</f>
        <v>0</v>
      </c>
      <c r="U36" s="768">
        <f>SUM(Prop2018DistTar!U36,Prop2018TransTar!U36,Prop2018JSTar!U36)</f>
        <v>0</v>
      </c>
      <c r="V36" s="768">
        <f>SUM(Prop2018DistTar!V36,Prop2018TransTar!V36,Prop2018JSTar!V36)</f>
        <v>0</v>
      </c>
      <c r="W36" s="768">
        <f>SUM(Prop2018DistTar!W36,Prop2018TransTar!W36,Prop2018JSTar!W36)</f>
        <v>0</v>
      </c>
      <c r="X36" s="769">
        <f>SUM(Prop2018DistTar!X36,Prop2018TransTar!X36,Prop2018JSTar!X36)</f>
        <v>0</v>
      </c>
      <c r="Z36" s="279">
        <v>0</v>
      </c>
      <c r="AA36" s="752">
        <v>0</v>
      </c>
      <c r="AB36" s="752">
        <v>0</v>
      </c>
      <c r="AC36" s="752">
        <v>0</v>
      </c>
      <c r="AD36" s="752">
        <v>0</v>
      </c>
      <c r="AE36" s="752">
        <v>0</v>
      </c>
      <c r="AF36" s="752">
        <v>0</v>
      </c>
      <c r="AG36" s="752">
        <v>0</v>
      </c>
      <c r="AH36" s="752">
        <v>0</v>
      </c>
      <c r="AI36" s="752">
        <v>0</v>
      </c>
      <c r="AJ36" s="752">
        <v>0</v>
      </c>
      <c r="AK36" s="752">
        <v>0</v>
      </c>
      <c r="AL36" s="752">
        <v>0</v>
      </c>
      <c r="AM36" s="752">
        <v>0</v>
      </c>
      <c r="AN36" s="752">
        <v>0</v>
      </c>
      <c r="AO36" s="752">
        <v>0</v>
      </c>
      <c r="AP36" s="752">
        <v>0</v>
      </c>
      <c r="AQ36" s="752">
        <v>0</v>
      </c>
      <c r="AR36" s="752">
        <v>0</v>
      </c>
      <c r="AS36" s="752">
        <v>0</v>
      </c>
      <c r="AT36" s="753">
        <v>0</v>
      </c>
      <c r="AW36" s="784">
        <f t="shared" si="3"/>
        <v>0</v>
      </c>
      <c r="AX36" s="785">
        <f t="shared" si="3"/>
        <v>0</v>
      </c>
      <c r="AY36" s="785">
        <f t="shared" si="3"/>
        <v>0</v>
      </c>
      <c r="AZ36" s="785">
        <f t="shared" si="3"/>
        <v>0</v>
      </c>
      <c r="BA36" s="785">
        <f t="shared" si="3"/>
        <v>0</v>
      </c>
      <c r="BB36" s="785">
        <f t="shared" si="3"/>
        <v>0</v>
      </c>
      <c r="BC36" s="785">
        <f t="shared" si="3"/>
        <v>0</v>
      </c>
      <c r="BD36" s="785">
        <f t="shared" si="3"/>
        <v>0</v>
      </c>
      <c r="BE36" s="785">
        <f t="shared" si="3"/>
        <v>0</v>
      </c>
      <c r="BF36" s="785">
        <f t="shared" si="3"/>
        <v>0</v>
      </c>
      <c r="BG36" s="785">
        <f t="shared" si="3"/>
        <v>0</v>
      </c>
      <c r="BH36" s="785">
        <f t="shared" si="3"/>
        <v>0</v>
      </c>
      <c r="BI36" s="785">
        <f t="shared" si="3"/>
        <v>0</v>
      </c>
      <c r="BJ36" s="785">
        <f t="shared" si="3"/>
        <v>0</v>
      </c>
      <c r="BK36" s="785">
        <f t="shared" si="3"/>
        <v>0</v>
      </c>
      <c r="BL36" s="785">
        <f t="shared" si="2"/>
        <v>0</v>
      </c>
      <c r="BM36" s="785">
        <f t="shared" si="1"/>
        <v>0</v>
      </c>
      <c r="BN36" s="785">
        <f t="shared" si="1"/>
        <v>0</v>
      </c>
      <c r="BO36" s="785">
        <f t="shared" si="1"/>
        <v>0</v>
      </c>
      <c r="BP36" s="785">
        <f t="shared" si="1"/>
        <v>0</v>
      </c>
      <c r="BQ36" s="786">
        <f t="shared" si="1"/>
        <v>0</v>
      </c>
      <c r="BR36" s="553" t="str">
        <f t="array" ref="BR36">IF(MAX(ABS(AW36:BQ36))&gt;$BR$4,"EXPLAIN","")</f>
        <v/>
      </c>
      <c r="BW36" s="748"/>
      <c r="BX36" s="748"/>
      <c r="BY36" s="748"/>
      <c r="BZ36" s="748"/>
      <c r="CA36" s="748"/>
      <c r="CB36" s="748"/>
      <c r="CC36" s="748"/>
      <c r="CD36" s="748"/>
      <c r="CE36" s="748"/>
      <c r="CF36" s="748"/>
      <c r="CG36" s="748"/>
      <c r="CH36" s="748"/>
      <c r="CI36" s="748"/>
      <c r="CJ36" s="748"/>
      <c r="CK36" s="748"/>
      <c r="CL36" s="748"/>
      <c r="CM36" s="748"/>
      <c r="CN36" s="748"/>
      <c r="CO36" s="748"/>
      <c r="CP36" s="748"/>
      <c r="CQ36" s="748"/>
      <c r="CR36" s="748"/>
      <c r="CS36" s="748"/>
    </row>
    <row r="37" spans="1:97">
      <c r="A37" s="748" t="str">
        <f>Prop2018DistTar!A37</f>
        <v>CMGBO</v>
      </c>
      <c r="B37" s="750" t="s">
        <v>733</v>
      </c>
      <c r="C37" s="750" t="str">
        <f>Prop2018DistTar!B37</f>
        <v>Medium Business Bulk Opt-out</v>
      </c>
      <c r="D37" s="767">
        <f>SUM(Prop2018DistTar!D37,Prop2018TransTar!D37,Prop2018JSTar!D37)</f>
        <v>800</v>
      </c>
      <c r="E37" s="768">
        <f>SUM(Prop2018DistTar!E37,Prop2018TransTar!E37,Prop2018JSTar!E37)</f>
        <v>0</v>
      </c>
      <c r="F37" s="768">
        <f>SUM(Prop2018DistTar!F37,Prop2018TransTar!F37,Prop2018JSTar!F37)</f>
        <v>8.35</v>
      </c>
      <c r="G37" s="768">
        <f>SUM(Prop2018DistTar!G37,Prop2018TransTar!G37,Prop2018JSTar!G37)</f>
        <v>0</v>
      </c>
      <c r="H37" s="768">
        <f>SUM(Prop2018DistTar!H37,Prop2018TransTar!H37,Prop2018JSTar!H37)</f>
        <v>0</v>
      </c>
      <c r="I37" s="768">
        <f>SUM(Prop2018DistTar!I37,Prop2018TransTar!I37,Prop2018JSTar!I37)</f>
        <v>3.6100000000000003</v>
      </c>
      <c r="J37" s="768">
        <f>SUM(Prop2018DistTar!J37,Prop2018TransTar!J37,Prop2018JSTar!J37)</f>
        <v>0</v>
      </c>
      <c r="K37" s="768">
        <f>SUM(Prop2018DistTar!K37,Prop2018TransTar!K37,Prop2018JSTar!K37)</f>
        <v>0</v>
      </c>
      <c r="L37" s="768">
        <f>SUM(Prop2018DistTar!L37,Prop2018TransTar!L37,Prop2018JSTar!L37)</f>
        <v>0</v>
      </c>
      <c r="M37" s="768">
        <f>SUM(Prop2018DistTar!M37,Prop2018TransTar!M37,Prop2018JSTar!M37)</f>
        <v>0</v>
      </c>
      <c r="N37" s="768">
        <f>SUM(Prop2018DistTar!N37,Prop2018TransTar!N37,Prop2018JSTar!N37)</f>
        <v>0</v>
      </c>
      <c r="O37" s="768">
        <f>SUM(Prop2018DistTar!O37,Prop2018TransTar!O37,Prop2018JSTar!O37)</f>
        <v>0</v>
      </c>
      <c r="P37" s="768">
        <f>SUM(Prop2018DistTar!P37,Prop2018TransTar!P37,Prop2018JSTar!P37)</f>
        <v>0</v>
      </c>
      <c r="Q37" s="768">
        <f>SUM(Prop2018DistTar!Q37,Prop2018TransTar!Q37,Prop2018JSTar!Q37)</f>
        <v>0</v>
      </c>
      <c r="R37" s="768">
        <f>SUM(Prop2018DistTar!R37,Prop2018TransTar!R37,Prop2018JSTar!R37)</f>
        <v>0</v>
      </c>
      <c r="S37" s="768">
        <f>SUM(Prop2018DistTar!S37,Prop2018TransTar!S37,Prop2018JSTar!S37)</f>
        <v>0</v>
      </c>
      <c r="T37" s="768">
        <f>SUM(Prop2018DistTar!T37,Prop2018TransTar!T37,Prop2018JSTar!T37)</f>
        <v>0</v>
      </c>
      <c r="U37" s="768">
        <f>SUM(Prop2018DistTar!U37,Prop2018TransTar!U37,Prop2018JSTar!U37)</f>
        <v>0</v>
      </c>
      <c r="V37" s="768">
        <f>SUM(Prop2018DistTar!V37,Prop2018TransTar!V37,Prop2018JSTar!V37)</f>
        <v>0</v>
      </c>
      <c r="W37" s="768">
        <f>SUM(Prop2018DistTar!W37,Prop2018TransTar!W37,Prop2018JSTar!W37)</f>
        <v>0</v>
      </c>
      <c r="X37" s="769">
        <f>SUM(Prop2018DistTar!X37,Prop2018TransTar!X37,Prop2018JSTar!X37)</f>
        <v>0</v>
      </c>
      <c r="Z37" s="279">
        <v>0</v>
      </c>
      <c r="AA37" s="752">
        <v>0</v>
      </c>
      <c r="AB37" s="752">
        <v>0</v>
      </c>
      <c r="AC37" s="752">
        <v>0</v>
      </c>
      <c r="AD37" s="752">
        <v>0</v>
      </c>
      <c r="AE37" s="752">
        <v>0</v>
      </c>
      <c r="AF37" s="752">
        <v>0</v>
      </c>
      <c r="AG37" s="752">
        <v>0</v>
      </c>
      <c r="AH37" s="752">
        <v>0</v>
      </c>
      <c r="AI37" s="752">
        <v>0</v>
      </c>
      <c r="AJ37" s="752">
        <v>0</v>
      </c>
      <c r="AK37" s="752">
        <v>0</v>
      </c>
      <c r="AL37" s="752">
        <v>0</v>
      </c>
      <c r="AM37" s="752">
        <v>0</v>
      </c>
      <c r="AN37" s="752">
        <v>0</v>
      </c>
      <c r="AO37" s="752">
        <v>0</v>
      </c>
      <c r="AP37" s="752">
        <v>0</v>
      </c>
      <c r="AQ37" s="752">
        <v>0</v>
      </c>
      <c r="AR37" s="752">
        <v>0</v>
      </c>
      <c r="AS37" s="752">
        <v>0</v>
      </c>
      <c r="AT37" s="753">
        <v>0</v>
      </c>
      <c r="AW37" s="784">
        <f t="shared" si="3"/>
        <v>0</v>
      </c>
      <c r="AX37" s="785">
        <f t="shared" si="3"/>
        <v>0</v>
      </c>
      <c r="AY37" s="785">
        <f t="shared" si="3"/>
        <v>0</v>
      </c>
      <c r="AZ37" s="785">
        <f t="shared" si="3"/>
        <v>0</v>
      </c>
      <c r="BA37" s="785">
        <f t="shared" si="3"/>
        <v>0</v>
      </c>
      <c r="BB37" s="785">
        <f t="shared" si="3"/>
        <v>0</v>
      </c>
      <c r="BC37" s="785">
        <f t="shared" si="3"/>
        <v>0</v>
      </c>
      <c r="BD37" s="785">
        <f t="shared" si="3"/>
        <v>0</v>
      </c>
      <c r="BE37" s="785">
        <f t="shared" si="3"/>
        <v>0</v>
      </c>
      <c r="BF37" s="785">
        <f t="shared" si="3"/>
        <v>0</v>
      </c>
      <c r="BG37" s="785">
        <f t="shared" si="3"/>
        <v>0</v>
      </c>
      <c r="BH37" s="785">
        <f t="shared" si="3"/>
        <v>0</v>
      </c>
      <c r="BI37" s="785">
        <f t="shared" si="3"/>
        <v>0</v>
      </c>
      <c r="BJ37" s="785">
        <f t="shared" si="3"/>
        <v>0</v>
      </c>
      <c r="BK37" s="785">
        <f t="shared" si="3"/>
        <v>0</v>
      </c>
      <c r="BL37" s="785">
        <f t="shared" si="2"/>
        <v>0</v>
      </c>
      <c r="BM37" s="785">
        <f t="shared" si="1"/>
        <v>0</v>
      </c>
      <c r="BN37" s="785">
        <f t="shared" si="1"/>
        <v>0</v>
      </c>
      <c r="BO37" s="785">
        <f t="shared" si="1"/>
        <v>0</v>
      </c>
      <c r="BP37" s="785">
        <f t="shared" si="1"/>
        <v>0</v>
      </c>
      <c r="BQ37" s="786">
        <f t="shared" si="1"/>
        <v>0</v>
      </c>
      <c r="BR37" s="553" t="str">
        <f t="array" ref="BR37">IF(MAX(ABS(AW37:BQ37))&gt;$BR$4,"EXPLAIN","")</f>
        <v/>
      </c>
      <c r="BW37" s="748"/>
      <c r="BX37" s="748"/>
      <c r="BY37" s="748"/>
      <c r="BZ37" s="748"/>
      <c r="CA37" s="748"/>
      <c r="CB37" s="748"/>
      <c r="CC37" s="748"/>
      <c r="CD37" s="748"/>
      <c r="CE37" s="748"/>
      <c r="CF37" s="748"/>
      <c r="CG37" s="748"/>
      <c r="CH37" s="748"/>
      <c r="CI37" s="748"/>
      <c r="CJ37" s="748"/>
      <c r="CK37" s="748"/>
      <c r="CL37" s="748"/>
      <c r="CM37" s="748"/>
      <c r="CN37" s="748"/>
      <c r="CO37" s="748"/>
      <c r="CP37" s="748"/>
      <c r="CQ37" s="748"/>
      <c r="CR37" s="748"/>
      <c r="CS37" s="748"/>
    </row>
    <row r="38" spans="1:97">
      <c r="A38" s="748" t="str">
        <f>Prop2018DistTar!A38</f>
        <v>C2U</v>
      </c>
      <c r="B38" s="750" t="s">
        <v>729</v>
      </c>
      <c r="C38" s="750" t="str">
        <f>Prop2018DistTar!C38</f>
        <v>Unmetered Supplies / Public Lighting</v>
      </c>
      <c r="D38" s="767">
        <f>SUM(Prop2018DistTar!D38,Prop2018TransTar!D38,Prop2018JSTar!D38)</f>
        <v>0</v>
      </c>
      <c r="E38" s="768">
        <f>SUM(Prop2018DistTar!E38,Prop2018TransTar!E38,Prop2018JSTar!E38)</f>
        <v>0</v>
      </c>
      <c r="F38" s="768">
        <f>SUM(Prop2018DistTar!F38,Prop2018TransTar!F38,Prop2018JSTar!F38)</f>
        <v>11.259999999999998</v>
      </c>
      <c r="G38" s="768">
        <f>SUM(Prop2018DistTar!G38,Prop2018TransTar!G38,Prop2018JSTar!G38)</f>
        <v>0</v>
      </c>
      <c r="H38" s="768">
        <f>SUM(Prop2018DistTar!H38,Prop2018TransTar!H38,Prop2018JSTar!H38)</f>
        <v>0</v>
      </c>
      <c r="I38" s="768">
        <f>SUM(Prop2018DistTar!I38,Prop2018TransTar!I38,Prop2018JSTar!I38)</f>
        <v>3.15</v>
      </c>
      <c r="J38" s="768">
        <f>SUM(Prop2018DistTar!J38,Prop2018TransTar!J38,Prop2018JSTar!J38)</f>
        <v>0</v>
      </c>
      <c r="K38" s="768">
        <f>SUM(Prop2018DistTar!K38,Prop2018TransTar!K38,Prop2018JSTar!K38)</f>
        <v>0</v>
      </c>
      <c r="L38" s="768">
        <f>SUM(Prop2018DistTar!L38,Prop2018TransTar!L38,Prop2018JSTar!L38)</f>
        <v>0</v>
      </c>
      <c r="M38" s="768">
        <f>SUM(Prop2018DistTar!M38,Prop2018TransTar!M38,Prop2018JSTar!M38)</f>
        <v>0</v>
      </c>
      <c r="N38" s="768">
        <f>SUM(Prop2018DistTar!N38,Prop2018TransTar!N38,Prop2018JSTar!N38)</f>
        <v>0</v>
      </c>
      <c r="O38" s="768">
        <f>SUM(Prop2018DistTar!O38,Prop2018TransTar!O38,Prop2018JSTar!O38)</f>
        <v>0</v>
      </c>
      <c r="P38" s="768">
        <f>SUM(Prop2018DistTar!P38,Prop2018TransTar!P38,Prop2018JSTar!P38)</f>
        <v>0</v>
      </c>
      <c r="Q38" s="768">
        <f>SUM(Prop2018DistTar!Q38,Prop2018TransTar!Q38,Prop2018JSTar!Q38)</f>
        <v>0</v>
      </c>
      <c r="R38" s="768">
        <f>SUM(Prop2018DistTar!R38,Prop2018TransTar!R38,Prop2018JSTar!R38)</f>
        <v>0</v>
      </c>
      <c r="S38" s="768">
        <f>SUM(Prop2018DistTar!S38,Prop2018TransTar!S38,Prop2018JSTar!S38)</f>
        <v>0</v>
      </c>
      <c r="T38" s="768">
        <f>SUM(Prop2018DistTar!T38,Prop2018TransTar!T38,Prop2018JSTar!T38)</f>
        <v>0</v>
      </c>
      <c r="U38" s="768">
        <f>SUM(Prop2018DistTar!U38,Prop2018TransTar!U38,Prop2018JSTar!U38)</f>
        <v>0</v>
      </c>
      <c r="V38" s="768">
        <f>SUM(Prop2018DistTar!V38,Prop2018TransTar!V38,Prop2018JSTar!V38)</f>
        <v>0</v>
      </c>
      <c r="W38" s="768">
        <f>SUM(Prop2018DistTar!W38,Prop2018TransTar!W38,Prop2018JSTar!W38)</f>
        <v>0</v>
      </c>
      <c r="X38" s="769">
        <f>SUM(Prop2018DistTar!X38,Prop2018TransTar!X38,Prop2018JSTar!X38)</f>
        <v>0</v>
      </c>
      <c r="Z38" s="279">
        <v>0</v>
      </c>
      <c r="AA38" s="752">
        <v>0</v>
      </c>
      <c r="AB38" s="752">
        <v>10.8</v>
      </c>
      <c r="AC38" s="752">
        <v>0</v>
      </c>
      <c r="AD38" s="752">
        <v>0</v>
      </c>
      <c r="AE38" s="752">
        <v>3.02</v>
      </c>
      <c r="AF38" s="752">
        <v>0</v>
      </c>
      <c r="AG38" s="752">
        <v>0</v>
      </c>
      <c r="AH38" s="752">
        <v>0</v>
      </c>
      <c r="AI38" s="752">
        <v>0</v>
      </c>
      <c r="AJ38" s="752">
        <v>0</v>
      </c>
      <c r="AK38" s="752">
        <v>0</v>
      </c>
      <c r="AL38" s="752">
        <v>0</v>
      </c>
      <c r="AM38" s="752">
        <v>0</v>
      </c>
      <c r="AN38" s="752">
        <v>0</v>
      </c>
      <c r="AO38" s="752">
        <v>0</v>
      </c>
      <c r="AP38" s="752">
        <v>0</v>
      </c>
      <c r="AQ38" s="752">
        <v>0</v>
      </c>
      <c r="AR38" s="752">
        <v>0</v>
      </c>
      <c r="AS38" s="752">
        <v>0</v>
      </c>
      <c r="AT38" s="753">
        <v>0</v>
      </c>
      <c r="AW38" s="784">
        <f t="shared" si="3"/>
        <v>0</v>
      </c>
      <c r="AX38" s="785">
        <f t="shared" si="3"/>
        <v>0</v>
      </c>
      <c r="AY38" s="785">
        <f t="shared" si="3"/>
        <v>4.2592592592592293E-2</v>
      </c>
      <c r="AZ38" s="785">
        <f t="shared" si="3"/>
        <v>0</v>
      </c>
      <c r="BA38" s="785">
        <f t="shared" si="3"/>
        <v>0</v>
      </c>
      <c r="BB38" s="785">
        <f t="shared" si="3"/>
        <v>4.3046357615893927E-2</v>
      </c>
      <c r="BC38" s="785">
        <f t="shared" si="3"/>
        <v>0</v>
      </c>
      <c r="BD38" s="785">
        <f t="shared" si="3"/>
        <v>0</v>
      </c>
      <c r="BE38" s="785">
        <f t="shared" si="3"/>
        <v>0</v>
      </c>
      <c r="BF38" s="785">
        <f t="shared" si="3"/>
        <v>0</v>
      </c>
      <c r="BG38" s="785">
        <f t="shared" si="3"/>
        <v>0</v>
      </c>
      <c r="BH38" s="785">
        <f t="shared" si="3"/>
        <v>0</v>
      </c>
      <c r="BI38" s="785">
        <f t="shared" si="3"/>
        <v>0</v>
      </c>
      <c r="BJ38" s="785">
        <f t="shared" si="3"/>
        <v>0</v>
      </c>
      <c r="BK38" s="785">
        <f t="shared" si="3"/>
        <v>0</v>
      </c>
      <c r="BL38" s="785">
        <f t="shared" si="2"/>
        <v>0</v>
      </c>
      <c r="BM38" s="785">
        <f t="shared" si="2"/>
        <v>0</v>
      </c>
      <c r="BN38" s="785">
        <f t="shared" si="2"/>
        <v>0</v>
      </c>
      <c r="BO38" s="785">
        <f t="shared" si="2"/>
        <v>0</v>
      </c>
      <c r="BP38" s="785">
        <f t="shared" si="2"/>
        <v>0</v>
      </c>
      <c r="BQ38" s="786">
        <f t="shared" si="2"/>
        <v>0</v>
      </c>
      <c r="BR38" s="553" t="str">
        <f t="array" ref="BR38">IF(MAX(ABS(AW38:BQ38))&gt;$BR$4,"EXPLAIN","")</f>
        <v/>
      </c>
      <c r="BW38" s="748"/>
      <c r="BX38" s="748"/>
      <c r="BY38" s="748"/>
      <c r="BZ38" s="748"/>
      <c r="CA38" s="748"/>
      <c r="CB38" s="748"/>
      <c r="CC38" s="748"/>
      <c r="CD38" s="748"/>
      <c r="CE38" s="748"/>
      <c r="CF38" s="748"/>
      <c r="CG38" s="748"/>
      <c r="CH38" s="748"/>
      <c r="CI38" s="748"/>
      <c r="CJ38" s="748"/>
      <c r="CK38" s="748"/>
      <c r="CL38" s="748"/>
      <c r="CM38" s="748"/>
      <c r="CN38" s="748"/>
      <c r="CO38" s="748"/>
      <c r="CP38" s="748"/>
      <c r="CQ38" s="748"/>
      <c r="CR38" s="748"/>
      <c r="CS38" s="748"/>
    </row>
    <row r="39" spans="1:97">
      <c r="A39" s="748" t="str">
        <f>Prop2018DistTar!A39</f>
        <v>CLLV</v>
      </c>
      <c r="B39" s="750" t="s">
        <v>730</v>
      </c>
      <c r="C39" s="750" t="str">
        <f>Prop2018DistTar!C39</f>
        <v>Large low Voltage</v>
      </c>
      <c r="D39" s="767">
        <f>SUM(Prop2018DistTar!D39,Prop2018TransTar!D39,Prop2018JSTar!D39)</f>
        <v>6300</v>
      </c>
      <c r="E39" s="768">
        <f>SUM(Prop2018DistTar!E39,Prop2018TransTar!E39,Prop2018JSTar!E39)</f>
        <v>0</v>
      </c>
      <c r="F39" s="768">
        <f>SUM(Prop2018DistTar!F39,Prop2018TransTar!F39,Prop2018JSTar!F39)</f>
        <v>3.5</v>
      </c>
      <c r="G39" s="768">
        <f>SUM(Prop2018DistTar!G39,Prop2018TransTar!G39,Prop2018JSTar!G39)</f>
        <v>0</v>
      </c>
      <c r="H39" s="768">
        <f>SUM(Prop2018DistTar!H39,Prop2018TransTar!H39,Prop2018JSTar!H39)</f>
        <v>0</v>
      </c>
      <c r="I39" s="768">
        <f>SUM(Prop2018DistTar!I39,Prop2018TransTar!I39,Prop2018JSTar!I39)</f>
        <v>2.1399999999999997</v>
      </c>
      <c r="J39" s="768">
        <f>SUM(Prop2018DistTar!J39,Prop2018TransTar!J39,Prop2018JSTar!J39)</f>
        <v>0</v>
      </c>
      <c r="K39" s="768">
        <f>SUM(Prop2018DistTar!K39,Prop2018TransTar!K39,Prop2018JSTar!K39)</f>
        <v>0</v>
      </c>
      <c r="L39" s="768">
        <f>SUM(Prop2018DistTar!L39,Prop2018TransTar!L39,Prop2018JSTar!L39)</f>
        <v>0</v>
      </c>
      <c r="M39" s="768">
        <f>SUM(Prop2018DistTar!M39,Prop2018TransTar!M39,Prop2018JSTar!M39)</f>
        <v>107.02</v>
      </c>
      <c r="N39" s="768">
        <f>SUM(Prop2018DistTar!N39,Prop2018TransTar!N39,Prop2018JSTar!N39)</f>
        <v>0</v>
      </c>
      <c r="O39" s="768">
        <f>SUM(Prop2018DistTar!O39,Prop2018TransTar!O39,Prop2018JSTar!O39)</f>
        <v>0</v>
      </c>
      <c r="P39" s="768">
        <f>SUM(Prop2018DistTar!P39,Prop2018TransTar!P39,Prop2018JSTar!P39)</f>
        <v>0</v>
      </c>
      <c r="Q39" s="768">
        <f>SUM(Prop2018DistTar!Q39,Prop2018TransTar!Q39,Prop2018JSTar!Q39)</f>
        <v>0</v>
      </c>
      <c r="R39" s="768">
        <f>SUM(Prop2018DistTar!R39,Prop2018TransTar!R39,Prop2018JSTar!R39)</f>
        <v>0</v>
      </c>
      <c r="S39" s="768">
        <f>SUM(Prop2018DistTar!S39,Prop2018TransTar!S39,Prop2018JSTar!S39)</f>
        <v>0</v>
      </c>
      <c r="T39" s="768">
        <f>SUM(Prop2018DistTar!T39,Prop2018TransTar!T39,Prop2018JSTar!T39)</f>
        <v>0</v>
      </c>
      <c r="U39" s="768">
        <f>SUM(Prop2018DistTar!U39,Prop2018TransTar!U39,Prop2018JSTar!U39)</f>
        <v>0</v>
      </c>
      <c r="V39" s="768">
        <f>SUM(Prop2018DistTar!V39,Prop2018TransTar!V39,Prop2018JSTar!V39)</f>
        <v>0</v>
      </c>
      <c r="W39" s="768">
        <f>SUM(Prop2018DistTar!W39,Prop2018TransTar!W39,Prop2018JSTar!W39)</f>
        <v>0</v>
      </c>
      <c r="X39" s="769">
        <f>SUM(Prop2018DistTar!X39,Prop2018TransTar!X39,Prop2018JSTar!X39)</f>
        <v>0</v>
      </c>
      <c r="Z39" s="279">
        <v>6000</v>
      </c>
      <c r="AA39" s="752">
        <v>0</v>
      </c>
      <c r="AB39" s="752">
        <v>3.34</v>
      </c>
      <c r="AC39" s="752">
        <v>0</v>
      </c>
      <c r="AD39" s="752">
        <v>0</v>
      </c>
      <c r="AE39" s="752">
        <v>2.04</v>
      </c>
      <c r="AF39" s="752">
        <v>0</v>
      </c>
      <c r="AG39" s="752">
        <v>0</v>
      </c>
      <c r="AH39" s="752">
        <v>0</v>
      </c>
      <c r="AI39" s="752">
        <v>102.11</v>
      </c>
      <c r="AJ39" s="752">
        <v>0</v>
      </c>
      <c r="AK39" s="752">
        <v>0</v>
      </c>
      <c r="AL39" s="752">
        <v>0</v>
      </c>
      <c r="AM39" s="752">
        <v>0</v>
      </c>
      <c r="AN39" s="752">
        <v>0</v>
      </c>
      <c r="AO39" s="752">
        <v>0</v>
      </c>
      <c r="AP39" s="752">
        <v>0</v>
      </c>
      <c r="AQ39" s="752">
        <v>0</v>
      </c>
      <c r="AR39" s="752">
        <v>0</v>
      </c>
      <c r="AS39" s="752">
        <v>0</v>
      </c>
      <c r="AT39" s="753">
        <v>0</v>
      </c>
      <c r="AW39" s="784">
        <f t="shared" ref="AW39:BK42" si="4">IFERROR(D39/Z39-1,0)</f>
        <v>5.0000000000000044E-2</v>
      </c>
      <c r="AX39" s="785">
        <f t="shared" si="4"/>
        <v>0</v>
      </c>
      <c r="AY39" s="785">
        <f t="shared" si="4"/>
        <v>4.7904191616766401E-2</v>
      </c>
      <c r="AZ39" s="785">
        <f t="shared" si="4"/>
        <v>0</v>
      </c>
      <c r="BA39" s="785">
        <f t="shared" si="4"/>
        <v>0</v>
      </c>
      <c r="BB39" s="785">
        <f t="shared" si="4"/>
        <v>4.9019607843137081E-2</v>
      </c>
      <c r="BC39" s="785">
        <f t="shared" si="4"/>
        <v>0</v>
      </c>
      <c r="BD39" s="785">
        <f t="shared" si="4"/>
        <v>0</v>
      </c>
      <c r="BE39" s="785">
        <f t="shared" si="4"/>
        <v>0</v>
      </c>
      <c r="BF39" s="785">
        <f t="shared" si="4"/>
        <v>4.8085398100088161E-2</v>
      </c>
      <c r="BG39" s="785">
        <f t="shared" si="4"/>
        <v>0</v>
      </c>
      <c r="BH39" s="785">
        <f t="shared" si="4"/>
        <v>0</v>
      </c>
      <c r="BI39" s="785">
        <f t="shared" si="4"/>
        <v>0</v>
      </c>
      <c r="BJ39" s="785">
        <f t="shared" si="4"/>
        <v>0</v>
      </c>
      <c r="BK39" s="785">
        <f t="shared" si="4"/>
        <v>0</v>
      </c>
      <c r="BL39" s="785">
        <f t="shared" si="2"/>
        <v>0</v>
      </c>
      <c r="BM39" s="785">
        <f t="shared" si="2"/>
        <v>0</v>
      </c>
      <c r="BN39" s="785">
        <f t="shared" si="2"/>
        <v>0</v>
      </c>
      <c r="BO39" s="785">
        <f t="shared" si="2"/>
        <v>0</v>
      </c>
      <c r="BP39" s="785">
        <f t="shared" si="2"/>
        <v>0</v>
      </c>
      <c r="BQ39" s="786">
        <f t="shared" si="2"/>
        <v>0</v>
      </c>
      <c r="BR39" s="553" t="str">
        <f t="array" ref="BR39">IF(MAX(ABS(AW39:BQ39))&gt;$BR$4,"EXPLAIN","")</f>
        <v/>
      </c>
      <c r="BW39" s="748"/>
      <c r="BX39" s="748"/>
      <c r="BY39" s="748"/>
      <c r="BZ39" s="748"/>
      <c r="CA39" s="748"/>
      <c r="CB39" s="748"/>
      <c r="CC39" s="748"/>
      <c r="CD39" s="748"/>
      <c r="CE39" s="748"/>
      <c r="CF39" s="748"/>
      <c r="CG39" s="748"/>
      <c r="CH39" s="748"/>
      <c r="CI39" s="748"/>
      <c r="CJ39" s="748"/>
      <c r="CK39" s="748"/>
      <c r="CL39" s="748"/>
      <c r="CM39" s="748"/>
      <c r="CN39" s="748"/>
      <c r="CO39" s="748"/>
      <c r="CP39" s="748"/>
      <c r="CQ39" s="748"/>
      <c r="CR39" s="748"/>
      <c r="CS39" s="748"/>
    </row>
    <row r="40" spans="1:97">
      <c r="A40" s="748" t="str">
        <f>Prop2018DistTar!A40</f>
        <v>CLLVB</v>
      </c>
      <c r="B40" s="750" t="s">
        <v>731</v>
      </c>
      <c r="C40" s="750" t="str">
        <f>Prop2018DistTar!C40</f>
        <v>Large low Voltage Bulk</v>
      </c>
      <c r="D40" s="767">
        <f>SUM(Prop2018DistTar!D40,Prop2018TransTar!D40,Prop2018JSTar!D40)</f>
        <v>5850</v>
      </c>
      <c r="E40" s="768">
        <f>SUM(Prop2018DistTar!E40,Prop2018TransTar!E40,Prop2018JSTar!E40)</f>
        <v>0</v>
      </c>
      <c r="F40" s="768">
        <f>SUM(Prop2018DistTar!F40,Prop2018TransTar!F40,Prop2018JSTar!F40)</f>
        <v>3.12</v>
      </c>
      <c r="G40" s="768">
        <f>SUM(Prop2018DistTar!G40,Prop2018TransTar!G40,Prop2018JSTar!G40)</f>
        <v>0</v>
      </c>
      <c r="H40" s="768">
        <f>SUM(Prop2018DistTar!H40,Prop2018TransTar!H40,Prop2018JSTar!H40)</f>
        <v>0</v>
      </c>
      <c r="I40" s="768">
        <f>SUM(Prop2018DistTar!I40,Prop2018TransTar!I40,Prop2018JSTar!I40)</f>
        <v>1.9500000000000002</v>
      </c>
      <c r="J40" s="768">
        <f>SUM(Prop2018DistTar!J40,Prop2018TransTar!J40,Prop2018JSTar!J40)</f>
        <v>0</v>
      </c>
      <c r="K40" s="768">
        <f>SUM(Prop2018DistTar!K40,Prop2018TransTar!K40,Prop2018JSTar!K40)</f>
        <v>0</v>
      </c>
      <c r="L40" s="768">
        <f>SUM(Prop2018DistTar!L40,Prop2018TransTar!L40,Prop2018JSTar!L40)</f>
        <v>0</v>
      </c>
      <c r="M40" s="768">
        <f>SUM(Prop2018DistTar!M40,Prop2018TransTar!M40,Prop2018JSTar!M40)</f>
        <v>96.309999999999988</v>
      </c>
      <c r="N40" s="768">
        <f>SUM(Prop2018DistTar!N40,Prop2018TransTar!N40,Prop2018JSTar!N40)</f>
        <v>0</v>
      </c>
      <c r="O40" s="768">
        <f>SUM(Prop2018DistTar!O40,Prop2018TransTar!O40,Prop2018JSTar!O40)</f>
        <v>0</v>
      </c>
      <c r="P40" s="768">
        <f>SUM(Prop2018DistTar!P40,Prop2018TransTar!P40,Prop2018JSTar!P40)</f>
        <v>0</v>
      </c>
      <c r="Q40" s="768">
        <f>SUM(Prop2018DistTar!Q40,Prop2018TransTar!Q40,Prop2018JSTar!Q40)</f>
        <v>0</v>
      </c>
      <c r="R40" s="768">
        <f>SUM(Prop2018DistTar!R40,Prop2018TransTar!R40,Prop2018JSTar!R40)</f>
        <v>0</v>
      </c>
      <c r="S40" s="768">
        <f>SUM(Prop2018DistTar!S40,Prop2018TransTar!S40,Prop2018JSTar!S40)</f>
        <v>0</v>
      </c>
      <c r="T40" s="768">
        <f>SUM(Prop2018DistTar!T40,Prop2018TransTar!T40,Prop2018JSTar!T40)</f>
        <v>0</v>
      </c>
      <c r="U40" s="768">
        <f>SUM(Prop2018DistTar!U40,Prop2018TransTar!U40,Prop2018JSTar!U40)</f>
        <v>0</v>
      </c>
      <c r="V40" s="768">
        <f>SUM(Prop2018DistTar!V40,Prop2018TransTar!V40,Prop2018JSTar!V40)</f>
        <v>0</v>
      </c>
      <c r="W40" s="768">
        <f>SUM(Prop2018DistTar!W40,Prop2018TransTar!W40,Prop2018JSTar!W40)</f>
        <v>0</v>
      </c>
      <c r="X40" s="769">
        <f>SUM(Prop2018DistTar!X40,Prop2018TransTar!X40,Prop2018JSTar!X40)</f>
        <v>0</v>
      </c>
      <c r="Z40" s="279">
        <v>5600</v>
      </c>
      <c r="AA40" s="752">
        <v>0</v>
      </c>
      <c r="AB40" s="752">
        <v>2.97</v>
      </c>
      <c r="AC40" s="752">
        <v>0</v>
      </c>
      <c r="AD40" s="752">
        <v>0</v>
      </c>
      <c r="AE40" s="752">
        <v>1.86</v>
      </c>
      <c r="AF40" s="752">
        <v>0</v>
      </c>
      <c r="AG40" s="752">
        <v>0</v>
      </c>
      <c r="AH40" s="752">
        <v>0</v>
      </c>
      <c r="AI40" s="752">
        <v>91.89</v>
      </c>
      <c r="AJ40" s="752">
        <v>0</v>
      </c>
      <c r="AK40" s="752">
        <v>0</v>
      </c>
      <c r="AL40" s="752">
        <v>0</v>
      </c>
      <c r="AM40" s="752">
        <v>0</v>
      </c>
      <c r="AN40" s="752">
        <v>0</v>
      </c>
      <c r="AO40" s="752">
        <v>0</v>
      </c>
      <c r="AP40" s="752">
        <v>0</v>
      </c>
      <c r="AQ40" s="752">
        <v>0</v>
      </c>
      <c r="AR40" s="752">
        <v>0</v>
      </c>
      <c r="AS40" s="752">
        <v>0</v>
      </c>
      <c r="AT40" s="753">
        <v>0</v>
      </c>
      <c r="AW40" s="784">
        <f t="shared" si="4"/>
        <v>4.4642857142857206E-2</v>
      </c>
      <c r="AX40" s="785">
        <f t="shared" si="4"/>
        <v>0</v>
      </c>
      <c r="AY40" s="785">
        <f t="shared" si="4"/>
        <v>5.0505050505050386E-2</v>
      </c>
      <c r="AZ40" s="785">
        <f t="shared" si="4"/>
        <v>0</v>
      </c>
      <c r="BA40" s="785">
        <f t="shared" si="4"/>
        <v>0</v>
      </c>
      <c r="BB40" s="785">
        <f t="shared" si="4"/>
        <v>4.8387096774193505E-2</v>
      </c>
      <c r="BC40" s="785">
        <f t="shared" si="4"/>
        <v>0</v>
      </c>
      <c r="BD40" s="785">
        <f t="shared" si="4"/>
        <v>0</v>
      </c>
      <c r="BE40" s="785">
        <f t="shared" si="4"/>
        <v>0</v>
      </c>
      <c r="BF40" s="785">
        <f t="shared" si="4"/>
        <v>4.8100990314506431E-2</v>
      </c>
      <c r="BG40" s="785">
        <f t="shared" si="4"/>
        <v>0</v>
      </c>
      <c r="BH40" s="785">
        <f t="shared" si="4"/>
        <v>0</v>
      </c>
      <c r="BI40" s="785">
        <f t="shared" si="4"/>
        <v>0</v>
      </c>
      <c r="BJ40" s="785">
        <f t="shared" si="4"/>
        <v>0</v>
      </c>
      <c r="BK40" s="785">
        <f t="shared" si="4"/>
        <v>0</v>
      </c>
      <c r="BL40" s="785">
        <f t="shared" si="2"/>
        <v>0</v>
      </c>
      <c r="BM40" s="785">
        <f t="shared" si="2"/>
        <v>0</v>
      </c>
      <c r="BN40" s="785">
        <f t="shared" si="2"/>
        <v>0</v>
      </c>
      <c r="BO40" s="785">
        <f t="shared" si="2"/>
        <v>0</v>
      </c>
      <c r="BP40" s="785">
        <f t="shared" si="2"/>
        <v>0</v>
      </c>
      <c r="BQ40" s="786">
        <f t="shared" si="2"/>
        <v>0</v>
      </c>
      <c r="BR40" s="553" t="str">
        <f t="array" ref="BR40">IF(MAX(ABS(AW40:BQ40))&gt;$BR$4,"EXPLAIN","")</f>
        <v/>
      </c>
      <c r="BW40" s="748"/>
      <c r="BX40" s="748"/>
      <c r="BY40" s="748"/>
      <c r="BZ40" s="748"/>
      <c r="CA40" s="748"/>
      <c r="CB40" s="748"/>
      <c r="CC40" s="748"/>
      <c r="CD40" s="748"/>
      <c r="CE40" s="748"/>
      <c r="CF40" s="748"/>
      <c r="CG40" s="748"/>
      <c r="CH40" s="748"/>
      <c r="CI40" s="748"/>
      <c r="CJ40" s="748"/>
      <c r="CK40" s="748"/>
      <c r="CL40" s="748"/>
      <c r="CM40" s="748"/>
      <c r="CN40" s="748"/>
      <c r="CO40" s="748"/>
      <c r="CP40" s="748"/>
      <c r="CQ40" s="748"/>
      <c r="CR40" s="748"/>
      <c r="CS40" s="748"/>
    </row>
    <row r="41" spans="1:97">
      <c r="A41" s="748" t="str">
        <f>Prop2018DistTar!A41</f>
        <v>CHV</v>
      </c>
      <c r="B41" s="750" t="s">
        <v>732</v>
      </c>
      <c r="C41" s="750" t="str">
        <f>Prop2018DistTar!C41</f>
        <v>High Voltage</v>
      </c>
      <c r="D41" s="767">
        <f>SUM(Prop2018DistTar!D41,Prop2018TransTar!D41,Prop2018JSTar!D41)</f>
        <v>31200</v>
      </c>
      <c r="E41" s="768">
        <f>SUM(Prop2018DistTar!E41,Prop2018TransTar!E41,Prop2018JSTar!E41)</f>
        <v>0</v>
      </c>
      <c r="F41" s="768">
        <f>SUM(Prop2018DistTar!F41,Prop2018TransTar!F41,Prop2018JSTar!F41)</f>
        <v>2.4</v>
      </c>
      <c r="G41" s="768">
        <f>SUM(Prop2018DistTar!G41,Prop2018TransTar!G41,Prop2018JSTar!G41)</f>
        <v>0</v>
      </c>
      <c r="H41" s="768">
        <f>SUM(Prop2018DistTar!H41,Prop2018TransTar!H41,Prop2018JSTar!H41)</f>
        <v>0</v>
      </c>
      <c r="I41" s="768">
        <f>SUM(Prop2018DistTar!I41,Prop2018TransTar!I41,Prop2018JSTar!I41)</f>
        <v>1.24</v>
      </c>
      <c r="J41" s="768">
        <f>SUM(Prop2018DistTar!J41,Prop2018TransTar!J41,Prop2018JSTar!J41)</f>
        <v>0</v>
      </c>
      <c r="K41" s="768">
        <f>SUM(Prop2018DistTar!K41,Prop2018TransTar!K41,Prop2018JSTar!K41)</f>
        <v>0</v>
      </c>
      <c r="L41" s="768">
        <f>SUM(Prop2018DistTar!L41,Prop2018TransTar!L41,Prop2018JSTar!L41)</f>
        <v>0</v>
      </c>
      <c r="M41" s="768">
        <f>SUM(Prop2018DistTar!M41,Prop2018TransTar!M41,Prop2018JSTar!M41)</f>
        <v>68.099999999999994</v>
      </c>
      <c r="N41" s="768">
        <f>SUM(Prop2018DistTar!N41,Prop2018TransTar!N41,Prop2018JSTar!N41)</f>
        <v>0</v>
      </c>
      <c r="O41" s="768">
        <f>SUM(Prop2018DistTar!O41,Prop2018TransTar!O41,Prop2018JSTar!O41)</f>
        <v>0</v>
      </c>
      <c r="P41" s="768">
        <f>SUM(Prop2018DistTar!P41,Prop2018TransTar!P41,Prop2018JSTar!P41)</f>
        <v>0</v>
      </c>
      <c r="Q41" s="768">
        <f>SUM(Prop2018DistTar!Q41,Prop2018TransTar!Q41,Prop2018JSTar!Q41)</f>
        <v>0</v>
      </c>
      <c r="R41" s="768">
        <f>SUM(Prop2018DistTar!R41,Prop2018TransTar!R41,Prop2018JSTar!R41)</f>
        <v>0</v>
      </c>
      <c r="S41" s="768">
        <f>SUM(Prop2018DistTar!S41,Prop2018TransTar!S41,Prop2018JSTar!S41)</f>
        <v>0</v>
      </c>
      <c r="T41" s="768">
        <f>SUM(Prop2018DistTar!T41,Prop2018TransTar!T41,Prop2018JSTar!T41)</f>
        <v>0</v>
      </c>
      <c r="U41" s="768">
        <f>SUM(Prop2018DistTar!U41,Prop2018TransTar!U41,Prop2018JSTar!U41)</f>
        <v>0</v>
      </c>
      <c r="V41" s="768">
        <f>SUM(Prop2018DistTar!V41,Prop2018TransTar!V41,Prop2018JSTar!V41)</f>
        <v>0</v>
      </c>
      <c r="W41" s="768">
        <f>SUM(Prop2018DistTar!W41,Prop2018TransTar!W41,Prop2018JSTar!W41)</f>
        <v>0</v>
      </c>
      <c r="X41" s="769">
        <f>SUM(Prop2018DistTar!X41,Prop2018TransTar!X41,Prop2018JSTar!X41)</f>
        <v>0</v>
      </c>
      <c r="Z41" s="279">
        <v>29700</v>
      </c>
      <c r="AA41" s="752">
        <v>0</v>
      </c>
      <c r="AB41" s="752">
        <v>2.29</v>
      </c>
      <c r="AC41" s="752">
        <v>0</v>
      </c>
      <c r="AD41" s="752">
        <v>0</v>
      </c>
      <c r="AE41" s="752">
        <v>1.19</v>
      </c>
      <c r="AF41" s="752">
        <v>0</v>
      </c>
      <c r="AG41" s="752">
        <v>0</v>
      </c>
      <c r="AH41" s="752">
        <v>0</v>
      </c>
      <c r="AI41" s="752">
        <v>64.98</v>
      </c>
      <c r="AJ41" s="752">
        <v>0</v>
      </c>
      <c r="AK41" s="752">
        <v>0</v>
      </c>
      <c r="AL41" s="752">
        <v>0</v>
      </c>
      <c r="AM41" s="752">
        <v>0</v>
      </c>
      <c r="AN41" s="752">
        <v>0</v>
      </c>
      <c r="AO41" s="752">
        <v>0</v>
      </c>
      <c r="AP41" s="752">
        <v>0</v>
      </c>
      <c r="AQ41" s="752">
        <v>0</v>
      </c>
      <c r="AR41" s="752">
        <v>0</v>
      </c>
      <c r="AS41" s="752">
        <v>0</v>
      </c>
      <c r="AT41" s="753">
        <v>0</v>
      </c>
      <c r="AW41" s="784">
        <f t="shared" si="4"/>
        <v>5.0505050505050608E-2</v>
      </c>
      <c r="AX41" s="785">
        <f t="shared" si="4"/>
        <v>0</v>
      </c>
      <c r="AY41" s="785">
        <f t="shared" si="4"/>
        <v>4.8034934497816595E-2</v>
      </c>
      <c r="AZ41" s="785">
        <f t="shared" si="4"/>
        <v>0</v>
      </c>
      <c r="BA41" s="785">
        <f t="shared" si="4"/>
        <v>0</v>
      </c>
      <c r="BB41" s="785">
        <f t="shared" si="4"/>
        <v>4.2016806722689148E-2</v>
      </c>
      <c r="BC41" s="785">
        <f t="shared" si="4"/>
        <v>0</v>
      </c>
      <c r="BD41" s="785">
        <f t="shared" si="4"/>
        <v>0</v>
      </c>
      <c r="BE41" s="785">
        <f t="shared" si="4"/>
        <v>0</v>
      </c>
      <c r="BF41" s="785">
        <f t="shared" si="4"/>
        <v>4.8014773776546393E-2</v>
      </c>
      <c r="BG41" s="785">
        <f t="shared" si="4"/>
        <v>0</v>
      </c>
      <c r="BH41" s="785">
        <f t="shared" si="4"/>
        <v>0</v>
      </c>
      <c r="BI41" s="785">
        <f t="shared" si="4"/>
        <v>0</v>
      </c>
      <c r="BJ41" s="785">
        <f t="shared" si="4"/>
        <v>0</v>
      </c>
      <c r="BK41" s="785">
        <f t="shared" si="4"/>
        <v>0</v>
      </c>
      <c r="BL41" s="785">
        <f t="shared" si="2"/>
        <v>0</v>
      </c>
      <c r="BM41" s="785">
        <f t="shared" si="2"/>
        <v>0</v>
      </c>
      <c r="BN41" s="785">
        <f t="shared" si="2"/>
        <v>0</v>
      </c>
      <c r="BO41" s="785">
        <f t="shared" si="2"/>
        <v>0</v>
      </c>
      <c r="BP41" s="785">
        <f t="shared" si="2"/>
        <v>0</v>
      </c>
      <c r="BQ41" s="786">
        <f t="shared" si="2"/>
        <v>0</v>
      </c>
      <c r="BR41" s="553" t="str">
        <f t="array" ref="BR41">IF(MAX(ABS(AW41:BQ41))&gt;$BR$4,"EXPLAIN","")</f>
        <v/>
      </c>
      <c r="BW41" s="748"/>
      <c r="BX41" s="748"/>
      <c r="BY41" s="748"/>
      <c r="BZ41" s="748"/>
      <c r="CA41" s="748"/>
      <c r="CB41" s="748"/>
      <c r="CC41" s="748"/>
      <c r="CD41" s="748"/>
      <c r="CE41" s="748"/>
      <c r="CF41" s="748"/>
      <c r="CG41" s="748"/>
      <c r="CH41" s="748"/>
      <c r="CI41" s="748"/>
      <c r="CJ41" s="748"/>
      <c r="CK41" s="748"/>
      <c r="CL41" s="748"/>
      <c r="CM41" s="748"/>
      <c r="CN41" s="748"/>
      <c r="CO41" s="748"/>
      <c r="CP41" s="748"/>
      <c r="CQ41" s="748"/>
      <c r="CR41" s="748"/>
      <c r="CS41" s="748"/>
    </row>
    <row r="42" spans="1:97">
      <c r="A42" s="748" t="str">
        <f>Prop2018DistTar!A42</f>
        <v>CST</v>
      </c>
      <c r="B42" s="750" t="s">
        <v>605</v>
      </c>
      <c r="C42" s="750" t="str">
        <f>Prop2018DistTar!C42</f>
        <v>Subtransmission</v>
      </c>
      <c r="D42" s="767">
        <f>SUM(Prop2018DistTar!D42,Prop2018TransTar!D42,Prop2018JSTar!D42)</f>
        <v>144000</v>
      </c>
      <c r="E42" s="768">
        <f>SUM(Prop2018DistTar!E42,Prop2018TransTar!E42,Prop2018JSTar!E42)</f>
        <v>0</v>
      </c>
      <c r="F42" s="768">
        <f>SUM(Prop2018DistTar!F42,Prop2018TransTar!F42,Prop2018JSTar!F42)</f>
        <v>2.06</v>
      </c>
      <c r="G42" s="768">
        <f>SUM(Prop2018DistTar!G42,Prop2018TransTar!G42,Prop2018JSTar!G42)</f>
        <v>0</v>
      </c>
      <c r="H42" s="768">
        <f>SUM(Prop2018DistTar!H42,Prop2018TransTar!H42,Prop2018JSTar!H42)</f>
        <v>0</v>
      </c>
      <c r="I42" s="768">
        <f>SUM(Prop2018DistTar!I42,Prop2018TransTar!I42,Prop2018JSTar!I42)</f>
        <v>0.86</v>
      </c>
      <c r="J42" s="768">
        <f>SUM(Prop2018DistTar!J42,Prop2018TransTar!J42,Prop2018JSTar!J42)</f>
        <v>0</v>
      </c>
      <c r="K42" s="768">
        <f>SUM(Prop2018DistTar!K42,Prop2018TransTar!K42,Prop2018JSTar!K42)</f>
        <v>0</v>
      </c>
      <c r="L42" s="768">
        <f>SUM(Prop2018DistTar!L42,Prop2018TransTar!L42,Prop2018JSTar!L42)</f>
        <v>0</v>
      </c>
      <c r="M42" s="768">
        <f>SUM(Prop2018DistTar!M42,Prop2018TransTar!M42,Prop2018JSTar!M42)</f>
        <v>16.79</v>
      </c>
      <c r="N42" s="768">
        <f>SUM(Prop2018DistTar!N42,Prop2018TransTar!N42,Prop2018JSTar!N42)</f>
        <v>0</v>
      </c>
      <c r="O42" s="768">
        <f>SUM(Prop2018DistTar!O42,Prop2018TransTar!O42,Prop2018JSTar!O42)</f>
        <v>0</v>
      </c>
      <c r="P42" s="768">
        <f>SUM(Prop2018DistTar!P42,Prop2018TransTar!P42,Prop2018JSTar!P42)</f>
        <v>0</v>
      </c>
      <c r="Q42" s="768">
        <f>SUM(Prop2018DistTar!Q42,Prop2018TransTar!Q42,Prop2018JSTar!Q42)</f>
        <v>0</v>
      </c>
      <c r="R42" s="768">
        <f>SUM(Prop2018DistTar!R42,Prop2018TransTar!R42,Prop2018JSTar!R42)</f>
        <v>0</v>
      </c>
      <c r="S42" s="768">
        <f>SUM(Prop2018DistTar!S42,Prop2018TransTar!S42,Prop2018JSTar!S42)</f>
        <v>0</v>
      </c>
      <c r="T42" s="768">
        <f>SUM(Prop2018DistTar!T42,Prop2018TransTar!T42,Prop2018JSTar!T42)</f>
        <v>0</v>
      </c>
      <c r="U42" s="768">
        <f>SUM(Prop2018DistTar!U42,Prop2018TransTar!U42,Prop2018JSTar!U42)</f>
        <v>0</v>
      </c>
      <c r="V42" s="768">
        <f>SUM(Prop2018DistTar!V42,Prop2018TransTar!V42,Prop2018JSTar!V42)</f>
        <v>0</v>
      </c>
      <c r="W42" s="768">
        <f>SUM(Prop2018DistTar!W42,Prop2018TransTar!W42,Prop2018JSTar!W42)</f>
        <v>0</v>
      </c>
      <c r="X42" s="769">
        <f>SUM(Prop2018DistTar!X42,Prop2018TransTar!X42,Prop2018JSTar!X42)</f>
        <v>0</v>
      </c>
      <c r="Z42" s="279">
        <v>137300</v>
      </c>
      <c r="AA42" s="752">
        <v>0</v>
      </c>
      <c r="AB42" s="752">
        <v>1.97</v>
      </c>
      <c r="AC42" s="752">
        <v>0</v>
      </c>
      <c r="AD42" s="752">
        <v>0</v>
      </c>
      <c r="AE42" s="752">
        <v>0.82</v>
      </c>
      <c r="AF42" s="752">
        <v>0</v>
      </c>
      <c r="AG42" s="752">
        <v>0</v>
      </c>
      <c r="AH42" s="752">
        <v>0</v>
      </c>
      <c r="AI42" s="752">
        <v>16.02</v>
      </c>
      <c r="AJ42" s="752">
        <v>0</v>
      </c>
      <c r="AK42" s="752">
        <v>0</v>
      </c>
      <c r="AL42" s="752">
        <v>0</v>
      </c>
      <c r="AM42" s="752">
        <v>0</v>
      </c>
      <c r="AN42" s="752">
        <v>0</v>
      </c>
      <c r="AO42" s="752">
        <v>0</v>
      </c>
      <c r="AP42" s="752">
        <v>0</v>
      </c>
      <c r="AQ42" s="752">
        <v>0</v>
      </c>
      <c r="AR42" s="752">
        <v>0</v>
      </c>
      <c r="AS42" s="752">
        <v>0</v>
      </c>
      <c r="AT42" s="753">
        <v>0</v>
      </c>
      <c r="AW42" s="784">
        <f t="shared" si="4"/>
        <v>4.8798252002913323E-2</v>
      </c>
      <c r="AX42" s="785">
        <f t="shared" si="4"/>
        <v>0</v>
      </c>
      <c r="AY42" s="785">
        <f t="shared" si="4"/>
        <v>4.5685279187817285E-2</v>
      </c>
      <c r="AZ42" s="785">
        <f t="shared" si="4"/>
        <v>0</v>
      </c>
      <c r="BA42" s="785">
        <f t="shared" si="4"/>
        <v>0</v>
      </c>
      <c r="BB42" s="785">
        <f t="shared" si="4"/>
        <v>4.8780487804878092E-2</v>
      </c>
      <c r="BC42" s="785">
        <f t="shared" si="4"/>
        <v>0</v>
      </c>
      <c r="BD42" s="785">
        <f t="shared" si="4"/>
        <v>0</v>
      </c>
      <c r="BE42" s="785">
        <f t="shared" si="4"/>
        <v>0</v>
      </c>
      <c r="BF42" s="785">
        <f t="shared" si="4"/>
        <v>4.8064918851435712E-2</v>
      </c>
      <c r="BG42" s="785">
        <f t="shared" si="4"/>
        <v>0</v>
      </c>
      <c r="BH42" s="785">
        <f t="shared" si="4"/>
        <v>0</v>
      </c>
      <c r="BI42" s="785">
        <f t="shared" si="4"/>
        <v>0</v>
      </c>
      <c r="BJ42" s="785">
        <f t="shared" si="4"/>
        <v>0</v>
      </c>
      <c r="BK42" s="785">
        <f t="shared" si="4"/>
        <v>0</v>
      </c>
      <c r="BL42" s="785">
        <f t="shared" si="2"/>
        <v>0</v>
      </c>
      <c r="BM42" s="785">
        <f t="shared" si="2"/>
        <v>0</v>
      </c>
      <c r="BN42" s="785">
        <f t="shared" si="2"/>
        <v>0</v>
      </c>
      <c r="BO42" s="785">
        <f t="shared" si="2"/>
        <v>0</v>
      </c>
      <c r="BP42" s="785">
        <f t="shared" si="2"/>
        <v>0</v>
      </c>
      <c r="BQ42" s="786">
        <f t="shared" si="2"/>
        <v>0</v>
      </c>
      <c r="BR42" s="553" t="str">
        <f t="array" ref="BR42">IF(MAX(ABS(AW42:BQ42))&gt;$BR$4,"EXPLAIN","")</f>
        <v/>
      </c>
      <c r="BW42" s="748"/>
      <c r="BX42" s="748"/>
      <c r="BY42" s="748"/>
      <c r="BZ42" s="748"/>
      <c r="CA42" s="748"/>
      <c r="CB42" s="748"/>
      <c r="CC42" s="748"/>
      <c r="CD42" s="748"/>
      <c r="CE42" s="748"/>
      <c r="CF42" s="748"/>
      <c r="CG42" s="748"/>
      <c r="CH42" s="748"/>
      <c r="CI42" s="748"/>
      <c r="CJ42" s="748"/>
      <c r="CK42" s="748"/>
      <c r="CL42" s="748"/>
      <c r="CM42" s="748"/>
      <c r="CN42" s="748"/>
      <c r="CO42" s="748"/>
      <c r="CP42" s="748"/>
      <c r="CQ42" s="748"/>
      <c r="CR42" s="748"/>
      <c r="CS42" s="748"/>
    </row>
    <row r="43" spans="1:97">
      <c r="B43" s="750"/>
      <c r="C43" s="750"/>
      <c r="D43" s="767"/>
      <c r="E43" s="768"/>
      <c r="F43" s="768"/>
      <c r="G43" s="768"/>
      <c r="H43" s="768"/>
      <c r="I43" s="768"/>
      <c r="J43" s="768"/>
      <c r="K43" s="768"/>
      <c r="L43" s="768"/>
      <c r="M43" s="768"/>
      <c r="N43" s="768"/>
      <c r="O43" s="768"/>
      <c r="P43" s="768"/>
      <c r="Q43" s="768"/>
      <c r="R43" s="768"/>
      <c r="S43" s="768"/>
      <c r="T43" s="768"/>
      <c r="U43" s="768"/>
      <c r="V43" s="768"/>
      <c r="W43" s="768"/>
      <c r="X43" s="769"/>
      <c r="Z43" s="751"/>
      <c r="AA43" s="752"/>
      <c r="AB43" s="752"/>
      <c r="AC43" s="752"/>
      <c r="AD43" s="752"/>
      <c r="AE43" s="752"/>
      <c r="AF43" s="752"/>
      <c r="AG43" s="752"/>
      <c r="AH43" s="752"/>
      <c r="AI43" s="752"/>
      <c r="AJ43" s="752"/>
      <c r="AK43" s="752"/>
      <c r="AL43" s="752"/>
      <c r="AM43" s="752"/>
      <c r="AN43" s="752"/>
      <c r="AO43" s="752"/>
      <c r="AP43" s="752"/>
      <c r="AQ43" s="752"/>
      <c r="AR43" s="752"/>
      <c r="AS43" s="752"/>
      <c r="AT43" s="753"/>
      <c r="AW43" s="735"/>
      <c r="AX43" s="736"/>
      <c r="AY43" s="736"/>
      <c r="AZ43" s="736"/>
      <c r="BA43" s="736"/>
      <c r="BB43" s="736"/>
      <c r="BC43" s="736"/>
      <c r="BD43" s="736"/>
      <c r="BE43" s="736"/>
      <c r="BF43" s="736"/>
      <c r="BG43" s="736"/>
      <c r="BH43" s="736"/>
      <c r="BI43" s="736"/>
      <c r="BJ43" s="736"/>
      <c r="BK43" s="736"/>
      <c r="BL43" s="736"/>
      <c r="BM43" s="736"/>
      <c r="BN43" s="736"/>
      <c r="BO43" s="736"/>
      <c r="BP43" s="736"/>
      <c r="BQ43" s="740"/>
      <c r="BR43" s="553"/>
      <c r="BW43" s="748"/>
      <c r="BX43" s="748"/>
      <c r="BY43" s="748"/>
      <c r="BZ43" s="748"/>
      <c r="CA43" s="748"/>
      <c r="CB43" s="748"/>
      <c r="CC43" s="748"/>
      <c r="CD43" s="748"/>
      <c r="CE43" s="748"/>
      <c r="CF43" s="748"/>
      <c r="CG43" s="748"/>
      <c r="CH43" s="748"/>
      <c r="CI43" s="748"/>
      <c r="CJ43" s="748"/>
      <c r="CK43" s="748"/>
      <c r="CL43" s="748"/>
      <c r="CM43" s="748"/>
      <c r="CN43" s="748"/>
      <c r="CO43" s="748"/>
      <c r="CP43" s="748"/>
      <c r="CQ43" s="748"/>
      <c r="CR43" s="748"/>
      <c r="CS43" s="748"/>
    </row>
    <row r="44" spans="1:97">
      <c r="B44" s="750"/>
      <c r="C44" s="750"/>
      <c r="D44" s="767"/>
      <c r="E44" s="768"/>
      <c r="F44" s="768"/>
      <c r="G44" s="768"/>
      <c r="H44" s="768"/>
      <c r="I44" s="768"/>
      <c r="J44" s="768"/>
      <c r="K44" s="768"/>
      <c r="L44" s="768"/>
      <c r="M44" s="768"/>
      <c r="N44" s="768"/>
      <c r="O44" s="768"/>
      <c r="P44" s="768"/>
      <c r="Q44" s="768"/>
      <c r="R44" s="768"/>
      <c r="S44" s="768"/>
      <c r="T44" s="768"/>
      <c r="U44" s="768"/>
      <c r="V44" s="768"/>
      <c r="W44" s="768"/>
      <c r="X44" s="769"/>
      <c r="Z44" s="751"/>
      <c r="AA44" s="752"/>
      <c r="AB44" s="752"/>
      <c r="AC44" s="752"/>
      <c r="AD44" s="752"/>
      <c r="AE44" s="752"/>
      <c r="AF44" s="752"/>
      <c r="AG44" s="752"/>
      <c r="AH44" s="752"/>
      <c r="AI44" s="752"/>
      <c r="AJ44" s="752"/>
      <c r="AK44" s="752"/>
      <c r="AL44" s="752"/>
      <c r="AM44" s="752"/>
      <c r="AN44" s="752"/>
      <c r="AO44" s="752"/>
      <c r="AP44" s="752"/>
      <c r="AQ44" s="752"/>
      <c r="AR44" s="752"/>
      <c r="AS44" s="752"/>
      <c r="AT44" s="753"/>
      <c r="AW44" s="735"/>
      <c r="AX44" s="736"/>
      <c r="AY44" s="736"/>
      <c r="AZ44" s="736"/>
      <c r="BA44" s="736"/>
      <c r="BB44" s="736"/>
      <c r="BC44" s="736"/>
      <c r="BD44" s="736"/>
      <c r="BE44" s="736"/>
      <c r="BF44" s="736"/>
      <c r="BG44" s="736"/>
      <c r="BH44" s="736"/>
      <c r="BI44" s="736"/>
      <c r="BJ44" s="736"/>
      <c r="BK44" s="736"/>
      <c r="BL44" s="736"/>
      <c r="BM44" s="736"/>
      <c r="BN44" s="736"/>
      <c r="BO44" s="736"/>
      <c r="BP44" s="736"/>
      <c r="BQ44" s="740"/>
      <c r="BR44" s="553"/>
      <c r="BW44" s="748"/>
      <c r="BX44" s="748"/>
      <c r="BY44" s="748"/>
      <c r="BZ44" s="748"/>
      <c r="CA44" s="748"/>
      <c r="CB44" s="748"/>
      <c r="CC44" s="748"/>
      <c r="CD44" s="748"/>
      <c r="CE44" s="748"/>
      <c r="CF44" s="748"/>
      <c r="CG44" s="748"/>
      <c r="CH44" s="748"/>
      <c r="CI44" s="748"/>
      <c r="CJ44" s="748"/>
      <c r="CK44" s="748"/>
      <c r="CL44" s="748"/>
      <c r="CM44" s="748"/>
      <c r="CN44" s="748"/>
      <c r="CO44" s="748"/>
      <c r="CP44" s="748"/>
      <c r="CQ44" s="748"/>
      <c r="CR44" s="748"/>
      <c r="CS44" s="748"/>
    </row>
    <row r="45" spans="1:97">
      <c r="B45" s="750"/>
      <c r="C45" s="750"/>
      <c r="D45" s="767"/>
      <c r="E45" s="768"/>
      <c r="F45" s="768"/>
      <c r="G45" s="768"/>
      <c r="H45" s="768"/>
      <c r="I45" s="768"/>
      <c r="J45" s="768"/>
      <c r="K45" s="768"/>
      <c r="L45" s="768"/>
      <c r="M45" s="768"/>
      <c r="N45" s="768"/>
      <c r="O45" s="768"/>
      <c r="P45" s="768"/>
      <c r="Q45" s="768"/>
      <c r="R45" s="768"/>
      <c r="S45" s="768"/>
      <c r="T45" s="768"/>
      <c r="U45" s="768"/>
      <c r="V45" s="768"/>
      <c r="W45" s="768"/>
      <c r="X45" s="769"/>
      <c r="Z45" s="751"/>
      <c r="AA45" s="752"/>
      <c r="AB45" s="752"/>
      <c r="AC45" s="752"/>
      <c r="AD45" s="752"/>
      <c r="AE45" s="752"/>
      <c r="AF45" s="752"/>
      <c r="AG45" s="752"/>
      <c r="AH45" s="752"/>
      <c r="AI45" s="752"/>
      <c r="AJ45" s="752"/>
      <c r="AK45" s="752"/>
      <c r="AL45" s="752"/>
      <c r="AM45" s="752"/>
      <c r="AN45" s="752"/>
      <c r="AO45" s="752"/>
      <c r="AP45" s="752"/>
      <c r="AQ45" s="752"/>
      <c r="AR45" s="752"/>
      <c r="AS45" s="752"/>
      <c r="AT45" s="753"/>
      <c r="AW45" s="735"/>
      <c r="AX45" s="736"/>
      <c r="AY45" s="736"/>
      <c r="AZ45" s="736"/>
      <c r="BA45" s="736"/>
      <c r="BB45" s="736"/>
      <c r="BC45" s="736"/>
      <c r="BD45" s="736"/>
      <c r="BE45" s="736"/>
      <c r="BF45" s="736"/>
      <c r="BG45" s="736"/>
      <c r="BH45" s="736"/>
      <c r="BI45" s="736"/>
      <c r="BJ45" s="736"/>
      <c r="BK45" s="736"/>
      <c r="BL45" s="736"/>
      <c r="BM45" s="736"/>
      <c r="BN45" s="736"/>
      <c r="BO45" s="736"/>
      <c r="BP45" s="736"/>
      <c r="BQ45" s="740"/>
      <c r="BR45" s="553"/>
      <c r="BW45" s="748"/>
      <c r="BX45" s="748"/>
      <c r="BY45" s="748"/>
      <c r="BZ45" s="748"/>
      <c r="CA45" s="748"/>
      <c r="CB45" s="748"/>
      <c r="CC45" s="748"/>
      <c r="CD45" s="748"/>
      <c r="CE45" s="748"/>
      <c r="CF45" s="748"/>
      <c r="CG45" s="748"/>
      <c r="CH45" s="748"/>
      <c r="CI45" s="748"/>
      <c r="CJ45" s="748"/>
      <c r="CK45" s="748"/>
      <c r="CL45" s="748"/>
      <c r="CM45" s="748"/>
      <c r="CN45" s="748"/>
      <c r="CO45" s="748"/>
      <c r="CP45" s="748"/>
      <c r="CQ45" s="748"/>
      <c r="CR45" s="748"/>
      <c r="CS45" s="748"/>
    </row>
    <row r="46" spans="1:97">
      <c r="B46" s="750"/>
      <c r="C46" s="750"/>
      <c r="D46" s="767"/>
      <c r="E46" s="768"/>
      <c r="F46" s="768"/>
      <c r="G46" s="768"/>
      <c r="H46" s="768"/>
      <c r="I46" s="768"/>
      <c r="J46" s="768"/>
      <c r="K46" s="768"/>
      <c r="L46" s="768"/>
      <c r="M46" s="768"/>
      <c r="N46" s="768"/>
      <c r="O46" s="768"/>
      <c r="P46" s="768"/>
      <c r="Q46" s="768"/>
      <c r="R46" s="768"/>
      <c r="S46" s="768"/>
      <c r="T46" s="768"/>
      <c r="U46" s="768"/>
      <c r="V46" s="768"/>
      <c r="W46" s="768"/>
      <c r="X46" s="769"/>
      <c r="Z46" s="751"/>
      <c r="AA46" s="752"/>
      <c r="AB46" s="752"/>
      <c r="AC46" s="752"/>
      <c r="AD46" s="752"/>
      <c r="AE46" s="752"/>
      <c r="AF46" s="752"/>
      <c r="AG46" s="752"/>
      <c r="AH46" s="752"/>
      <c r="AI46" s="752"/>
      <c r="AJ46" s="752"/>
      <c r="AK46" s="752"/>
      <c r="AL46" s="752"/>
      <c r="AM46" s="752"/>
      <c r="AN46" s="752"/>
      <c r="AO46" s="752"/>
      <c r="AP46" s="752"/>
      <c r="AQ46" s="752"/>
      <c r="AR46" s="752"/>
      <c r="AS46" s="752"/>
      <c r="AT46" s="753"/>
      <c r="AW46" s="735"/>
      <c r="AX46" s="736"/>
      <c r="AY46" s="736"/>
      <c r="AZ46" s="736"/>
      <c r="BA46" s="736"/>
      <c r="BB46" s="736"/>
      <c r="BC46" s="736"/>
      <c r="BD46" s="736"/>
      <c r="BE46" s="736"/>
      <c r="BF46" s="736"/>
      <c r="BG46" s="736"/>
      <c r="BH46" s="736"/>
      <c r="BI46" s="736"/>
      <c r="BJ46" s="736"/>
      <c r="BK46" s="736"/>
      <c r="BL46" s="736"/>
      <c r="BM46" s="736"/>
      <c r="BN46" s="736"/>
      <c r="BO46" s="736"/>
      <c r="BP46" s="736"/>
      <c r="BQ46" s="740"/>
      <c r="BR46" s="553"/>
      <c r="BW46" s="748"/>
      <c r="BX46" s="748"/>
      <c r="BY46" s="748"/>
      <c r="BZ46" s="748"/>
      <c r="CA46" s="748"/>
      <c r="CB46" s="748"/>
      <c r="CC46" s="748"/>
      <c r="CD46" s="748"/>
      <c r="CE46" s="748"/>
      <c r="CF46" s="748"/>
      <c r="CG46" s="748"/>
      <c r="CH46" s="748"/>
      <c r="CI46" s="748"/>
      <c r="CJ46" s="748"/>
      <c r="CK46" s="748"/>
      <c r="CL46" s="748"/>
      <c r="CM46" s="748"/>
      <c r="CN46" s="748"/>
      <c r="CO46" s="748"/>
      <c r="CP46" s="748"/>
      <c r="CQ46" s="748"/>
      <c r="CR46" s="748"/>
      <c r="CS46" s="748"/>
    </row>
    <row r="47" spans="1:97">
      <c r="B47" s="750"/>
      <c r="C47" s="750"/>
      <c r="D47" s="767"/>
      <c r="E47" s="768"/>
      <c r="F47" s="768"/>
      <c r="G47" s="768"/>
      <c r="H47" s="768"/>
      <c r="I47" s="768"/>
      <c r="J47" s="768"/>
      <c r="K47" s="768"/>
      <c r="L47" s="768"/>
      <c r="M47" s="768"/>
      <c r="N47" s="768"/>
      <c r="O47" s="768"/>
      <c r="P47" s="768"/>
      <c r="Q47" s="768"/>
      <c r="R47" s="768"/>
      <c r="S47" s="768"/>
      <c r="T47" s="768"/>
      <c r="U47" s="768"/>
      <c r="V47" s="768"/>
      <c r="W47" s="768"/>
      <c r="X47" s="769"/>
      <c r="Z47" s="751"/>
      <c r="AA47" s="752"/>
      <c r="AB47" s="752"/>
      <c r="AC47" s="752"/>
      <c r="AD47" s="752"/>
      <c r="AE47" s="752"/>
      <c r="AF47" s="752"/>
      <c r="AG47" s="752"/>
      <c r="AH47" s="752"/>
      <c r="AI47" s="752"/>
      <c r="AJ47" s="752"/>
      <c r="AK47" s="752"/>
      <c r="AL47" s="752"/>
      <c r="AM47" s="752"/>
      <c r="AN47" s="752"/>
      <c r="AO47" s="752"/>
      <c r="AP47" s="752"/>
      <c r="AQ47" s="752"/>
      <c r="AR47" s="752"/>
      <c r="AS47" s="752"/>
      <c r="AT47" s="753"/>
      <c r="AW47" s="735"/>
      <c r="AX47" s="736"/>
      <c r="AY47" s="736"/>
      <c r="AZ47" s="736"/>
      <c r="BA47" s="736"/>
      <c r="BB47" s="736"/>
      <c r="BC47" s="736"/>
      <c r="BD47" s="736"/>
      <c r="BE47" s="736"/>
      <c r="BF47" s="736"/>
      <c r="BG47" s="736"/>
      <c r="BH47" s="736"/>
      <c r="BI47" s="736"/>
      <c r="BJ47" s="736"/>
      <c r="BK47" s="736"/>
      <c r="BL47" s="736"/>
      <c r="BM47" s="736"/>
      <c r="BN47" s="736"/>
      <c r="BO47" s="736"/>
      <c r="BP47" s="736"/>
      <c r="BQ47" s="740"/>
      <c r="BR47" s="553"/>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row>
    <row r="48" spans="1:97">
      <c r="B48" s="750"/>
      <c r="C48" s="750"/>
      <c r="D48" s="774"/>
      <c r="E48" s="768"/>
      <c r="F48" s="768"/>
      <c r="G48" s="768"/>
      <c r="H48" s="768"/>
      <c r="I48" s="768"/>
      <c r="J48" s="768"/>
      <c r="K48" s="768"/>
      <c r="L48" s="768"/>
      <c r="M48" s="768"/>
      <c r="N48" s="768"/>
      <c r="O48" s="768"/>
      <c r="P48" s="768"/>
      <c r="Q48" s="676"/>
      <c r="R48" s="768"/>
      <c r="S48" s="768"/>
      <c r="T48" s="768"/>
      <c r="U48" s="768"/>
      <c r="V48" s="768"/>
      <c r="W48" s="768"/>
      <c r="X48" s="769"/>
      <c r="Z48" s="320"/>
      <c r="AA48" s="752"/>
      <c r="AB48" s="752"/>
      <c r="AC48" s="752"/>
      <c r="AD48" s="752"/>
      <c r="AE48" s="752"/>
      <c r="AF48" s="752"/>
      <c r="AG48" s="752"/>
      <c r="AH48" s="752"/>
      <c r="AI48" s="752"/>
      <c r="AJ48" s="752"/>
      <c r="AK48" s="752"/>
      <c r="AL48" s="752"/>
      <c r="AM48" s="374"/>
      <c r="AN48" s="298"/>
      <c r="AO48" s="298"/>
      <c r="AP48" s="298"/>
      <c r="AQ48" s="298"/>
      <c r="AR48" s="298"/>
      <c r="AS48" s="298"/>
      <c r="AT48" s="299"/>
      <c r="AW48" s="735"/>
      <c r="AX48" s="736"/>
      <c r="AY48" s="736"/>
      <c r="AZ48" s="736"/>
      <c r="BA48" s="736"/>
      <c r="BB48" s="736"/>
      <c r="BC48" s="736"/>
      <c r="BD48" s="736"/>
      <c r="BE48" s="736"/>
      <c r="BF48" s="736"/>
      <c r="BG48" s="736"/>
      <c r="BH48" s="736"/>
      <c r="BI48" s="736"/>
      <c r="BJ48" s="736"/>
      <c r="BK48" s="736"/>
      <c r="BL48" s="736"/>
      <c r="BM48" s="736"/>
      <c r="BN48" s="736"/>
      <c r="BO48" s="736"/>
      <c r="BP48" s="736"/>
      <c r="BQ48" s="740"/>
      <c r="BR48" s="553"/>
      <c r="BW48" s="748"/>
      <c r="BX48" s="748"/>
      <c r="BY48" s="748"/>
      <c r="BZ48" s="748"/>
      <c r="CA48" s="748"/>
      <c r="CB48" s="748"/>
      <c r="CC48" s="748"/>
      <c r="CD48" s="748"/>
      <c r="CE48" s="748"/>
      <c r="CF48" s="748"/>
      <c r="CG48" s="748"/>
      <c r="CH48" s="748"/>
      <c r="CI48" s="748"/>
      <c r="CJ48" s="748"/>
      <c r="CK48" s="748"/>
      <c r="CL48" s="748"/>
      <c r="CM48" s="748"/>
      <c r="CN48" s="748"/>
      <c r="CO48" s="748"/>
      <c r="CP48" s="748"/>
      <c r="CQ48" s="748"/>
      <c r="CR48" s="748"/>
      <c r="CS48" s="748"/>
    </row>
    <row r="49" spans="2:97">
      <c r="B49" s="750"/>
      <c r="C49" s="750"/>
      <c r="D49" s="774"/>
      <c r="E49" s="768"/>
      <c r="F49" s="768"/>
      <c r="G49" s="768"/>
      <c r="H49" s="768"/>
      <c r="I49" s="768"/>
      <c r="J49" s="768"/>
      <c r="K49" s="768"/>
      <c r="L49" s="768"/>
      <c r="M49" s="768"/>
      <c r="N49" s="768"/>
      <c r="O49" s="768"/>
      <c r="P49" s="768"/>
      <c r="Q49" s="676"/>
      <c r="R49" s="768"/>
      <c r="S49" s="768"/>
      <c r="T49" s="768"/>
      <c r="U49" s="768"/>
      <c r="V49" s="768"/>
      <c r="W49" s="768"/>
      <c r="X49" s="769"/>
      <c r="Z49" s="320"/>
      <c r="AA49" s="752"/>
      <c r="AB49" s="752"/>
      <c r="AC49" s="752"/>
      <c r="AD49" s="752"/>
      <c r="AE49" s="752"/>
      <c r="AF49" s="752"/>
      <c r="AG49" s="752"/>
      <c r="AH49" s="752"/>
      <c r="AI49" s="752"/>
      <c r="AJ49" s="752"/>
      <c r="AK49" s="752"/>
      <c r="AL49" s="752"/>
      <c r="AM49" s="374"/>
      <c r="AN49" s="298"/>
      <c r="AO49" s="298"/>
      <c r="AP49" s="298"/>
      <c r="AQ49" s="298"/>
      <c r="AR49" s="298"/>
      <c r="AS49" s="298"/>
      <c r="AT49" s="299"/>
      <c r="AW49" s="735"/>
      <c r="AX49" s="736"/>
      <c r="AY49" s="736"/>
      <c r="AZ49" s="736"/>
      <c r="BA49" s="736"/>
      <c r="BB49" s="736"/>
      <c r="BC49" s="736"/>
      <c r="BD49" s="736"/>
      <c r="BE49" s="736"/>
      <c r="BF49" s="736"/>
      <c r="BG49" s="736"/>
      <c r="BH49" s="736"/>
      <c r="BI49" s="736"/>
      <c r="BJ49" s="736"/>
      <c r="BK49" s="736"/>
      <c r="BL49" s="736"/>
      <c r="BM49" s="736"/>
      <c r="BN49" s="736"/>
      <c r="BO49" s="736"/>
      <c r="BP49" s="736"/>
      <c r="BQ49" s="740"/>
      <c r="BR49" s="553"/>
      <c r="BW49" s="748"/>
      <c r="BX49" s="748"/>
      <c r="BY49" s="748"/>
      <c r="BZ49" s="748"/>
      <c r="CA49" s="748"/>
      <c r="CB49" s="748"/>
      <c r="CC49" s="748"/>
      <c r="CD49" s="748"/>
      <c r="CE49" s="748"/>
      <c r="CF49" s="748"/>
      <c r="CG49" s="748"/>
      <c r="CH49" s="748"/>
      <c r="CI49" s="748"/>
      <c r="CJ49" s="748"/>
      <c r="CK49" s="748"/>
      <c r="CL49" s="748"/>
      <c r="CM49" s="748"/>
      <c r="CN49" s="748"/>
      <c r="CO49" s="748"/>
      <c r="CP49" s="748"/>
      <c r="CQ49" s="748"/>
      <c r="CR49" s="748"/>
      <c r="CS49" s="748"/>
    </row>
    <row r="50" spans="2:97">
      <c r="B50" s="750"/>
      <c r="C50" s="750"/>
      <c r="D50" s="774"/>
      <c r="E50" s="768"/>
      <c r="F50" s="768"/>
      <c r="G50" s="768"/>
      <c r="H50" s="768"/>
      <c r="I50" s="768"/>
      <c r="J50" s="768"/>
      <c r="K50" s="768"/>
      <c r="L50" s="768"/>
      <c r="M50" s="768"/>
      <c r="N50" s="768"/>
      <c r="O50" s="768"/>
      <c r="P50" s="768"/>
      <c r="Q50" s="676"/>
      <c r="R50" s="768"/>
      <c r="S50" s="768"/>
      <c r="T50" s="768"/>
      <c r="U50" s="768"/>
      <c r="V50" s="768"/>
      <c r="W50" s="768"/>
      <c r="X50" s="769"/>
      <c r="Z50" s="320"/>
      <c r="AA50" s="752"/>
      <c r="AB50" s="752"/>
      <c r="AC50" s="752"/>
      <c r="AD50" s="752"/>
      <c r="AE50" s="752"/>
      <c r="AF50" s="752"/>
      <c r="AG50" s="752"/>
      <c r="AH50" s="752"/>
      <c r="AI50" s="752"/>
      <c r="AJ50" s="752"/>
      <c r="AK50" s="752"/>
      <c r="AL50" s="752"/>
      <c r="AM50" s="374"/>
      <c r="AN50" s="298"/>
      <c r="AO50" s="298"/>
      <c r="AP50" s="298"/>
      <c r="AQ50" s="298"/>
      <c r="AR50" s="298"/>
      <c r="AS50" s="298"/>
      <c r="AT50" s="299"/>
      <c r="AW50" s="735"/>
      <c r="AX50" s="736"/>
      <c r="AY50" s="736"/>
      <c r="AZ50" s="736"/>
      <c r="BA50" s="736"/>
      <c r="BB50" s="736"/>
      <c r="BC50" s="736"/>
      <c r="BD50" s="736"/>
      <c r="BE50" s="736"/>
      <c r="BF50" s="736"/>
      <c r="BG50" s="736"/>
      <c r="BH50" s="736"/>
      <c r="BI50" s="736"/>
      <c r="BJ50" s="736"/>
      <c r="BK50" s="736"/>
      <c r="BL50" s="736"/>
      <c r="BM50" s="736"/>
      <c r="BN50" s="736"/>
      <c r="BO50" s="736"/>
      <c r="BP50" s="736"/>
      <c r="BQ50" s="740"/>
      <c r="BR50" s="553"/>
      <c r="BW50" s="748"/>
      <c r="BX50" s="748"/>
      <c r="BY50" s="748"/>
      <c r="BZ50" s="748"/>
      <c r="CA50" s="748"/>
      <c r="CB50" s="748"/>
      <c r="CC50" s="748"/>
      <c r="CD50" s="748"/>
      <c r="CE50" s="748"/>
      <c r="CF50" s="748"/>
      <c r="CG50" s="748"/>
      <c r="CH50" s="748"/>
      <c r="CI50" s="748"/>
      <c r="CJ50" s="748"/>
      <c r="CK50" s="748"/>
      <c r="CL50" s="748"/>
      <c r="CM50" s="748"/>
      <c r="CN50" s="748"/>
      <c r="CO50" s="748"/>
      <c r="CP50" s="748"/>
      <c r="CQ50" s="748"/>
      <c r="CR50" s="748"/>
      <c r="CS50" s="748"/>
    </row>
    <row r="51" spans="2:97">
      <c r="B51" s="750"/>
      <c r="C51" s="750"/>
      <c r="D51" s="774"/>
      <c r="E51" s="768"/>
      <c r="F51" s="768"/>
      <c r="G51" s="768"/>
      <c r="H51" s="768"/>
      <c r="I51" s="768"/>
      <c r="J51" s="768"/>
      <c r="K51" s="768"/>
      <c r="L51" s="768"/>
      <c r="M51" s="768"/>
      <c r="N51" s="768"/>
      <c r="O51" s="768"/>
      <c r="P51" s="768"/>
      <c r="Q51" s="676"/>
      <c r="R51" s="768"/>
      <c r="S51" s="768"/>
      <c r="T51" s="768"/>
      <c r="U51" s="768"/>
      <c r="V51" s="768"/>
      <c r="W51" s="768"/>
      <c r="X51" s="769"/>
      <c r="Z51" s="320"/>
      <c r="AA51" s="752"/>
      <c r="AB51" s="752"/>
      <c r="AC51" s="752"/>
      <c r="AD51" s="752"/>
      <c r="AE51" s="752"/>
      <c r="AF51" s="752"/>
      <c r="AG51" s="752"/>
      <c r="AH51" s="752"/>
      <c r="AI51" s="752"/>
      <c r="AJ51" s="752"/>
      <c r="AK51" s="752"/>
      <c r="AL51" s="752"/>
      <c r="AM51" s="374"/>
      <c r="AN51" s="298"/>
      <c r="AO51" s="298"/>
      <c r="AP51" s="298"/>
      <c r="AQ51" s="298"/>
      <c r="AR51" s="298"/>
      <c r="AS51" s="298"/>
      <c r="AT51" s="299"/>
      <c r="AW51" s="735"/>
      <c r="AX51" s="736"/>
      <c r="AY51" s="736"/>
      <c r="AZ51" s="736"/>
      <c r="BA51" s="736"/>
      <c r="BB51" s="736"/>
      <c r="BC51" s="736"/>
      <c r="BD51" s="736"/>
      <c r="BE51" s="736"/>
      <c r="BF51" s="736"/>
      <c r="BG51" s="736"/>
      <c r="BH51" s="736"/>
      <c r="BI51" s="736"/>
      <c r="BJ51" s="736"/>
      <c r="BK51" s="736"/>
      <c r="BL51" s="736"/>
      <c r="BM51" s="736"/>
      <c r="BN51" s="736"/>
      <c r="BO51" s="736"/>
      <c r="BP51" s="736"/>
      <c r="BQ51" s="740"/>
      <c r="BR51" s="553"/>
      <c r="BW51" s="748"/>
      <c r="BX51" s="748"/>
      <c r="BY51" s="748"/>
      <c r="BZ51" s="748"/>
      <c r="CA51" s="748"/>
      <c r="CB51" s="748"/>
      <c r="CC51" s="748"/>
      <c r="CD51" s="748"/>
      <c r="CE51" s="748"/>
      <c r="CF51" s="748"/>
      <c r="CG51" s="748"/>
      <c r="CH51" s="748"/>
      <c r="CI51" s="748"/>
      <c r="CJ51" s="748"/>
      <c r="CK51" s="748"/>
      <c r="CL51" s="748"/>
      <c r="CM51" s="748"/>
      <c r="CN51" s="748"/>
      <c r="CO51" s="748"/>
      <c r="CP51" s="748"/>
      <c r="CQ51" s="748"/>
      <c r="CR51" s="748"/>
      <c r="CS51" s="748"/>
    </row>
    <row r="52" spans="2:97">
      <c r="B52" s="750"/>
      <c r="C52" s="750"/>
      <c r="D52" s="774"/>
      <c r="E52" s="768"/>
      <c r="F52" s="768"/>
      <c r="G52" s="768"/>
      <c r="H52" s="768"/>
      <c r="I52" s="768"/>
      <c r="J52" s="768"/>
      <c r="K52" s="768"/>
      <c r="L52" s="768"/>
      <c r="M52" s="768"/>
      <c r="N52" s="768"/>
      <c r="O52" s="768"/>
      <c r="P52" s="768"/>
      <c r="Q52" s="676"/>
      <c r="R52" s="768"/>
      <c r="S52" s="768"/>
      <c r="T52" s="768"/>
      <c r="U52" s="768"/>
      <c r="V52" s="768"/>
      <c r="W52" s="768"/>
      <c r="X52" s="769"/>
      <c r="Z52" s="320"/>
      <c r="AA52" s="752"/>
      <c r="AB52" s="752"/>
      <c r="AC52" s="752"/>
      <c r="AD52" s="752"/>
      <c r="AE52" s="752"/>
      <c r="AF52" s="752"/>
      <c r="AG52" s="752"/>
      <c r="AH52" s="752"/>
      <c r="AI52" s="752"/>
      <c r="AJ52" s="752"/>
      <c r="AK52" s="752"/>
      <c r="AL52" s="752"/>
      <c r="AM52" s="374"/>
      <c r="AN52" s="298"/>
      <c r="AO52" s="298"/>
      <c r="AP52" s="298"/>
      <c r="AQ52" s="298"/>
      <c r="AR52" s="298"/>
      <c r="AS52" s="298"/>
      <c r="AT52" s="299"/>
      <c r="AW52" s="735"/>
      <c r="AX52" s="736"/>
      <c r="AY52" s="736"/>
      <c r="AZ52" s="736"/>
      <c r="BA52" s="736"/>
      <c r="BB52" s="736"/>
      <c r="BC52" s="736"/>
      <c r="BD52" s="736"/>
      <c r="BE52" s="736"/>
      <c r="BF52" s="736"/>
      <c r="BG52" s="736"/>
      <c r="BH52" s="736"/>
      <c r="BI52" s="736"/>
      <c r="BJ52" s="736"/>
      <c r="BK52" s="736"/>
      <c r="BL52" s="736"/>
      <c r="BM52" s="736"/>
      <c r="BN52" s="736"/>
      <c r="BO52" s="736"/>
      <c r="BP52" s="736"/>
      <c r="BQ52" s="740"/>
      <c r="BR52" s="553"/>
      <c r="BW52" s="748"/>
      <c r="BX52" s="748"/>
      <c r="BY52" s="748"/>
      <c r="BZ52" s="748"/>
      <c r="CA52" s="748"/>
      <c r="CB52" s="748"/>
      <c r="CC52" s="748"/>
      <c r="CD52" s="748"/>
      <c r="CE52" s="748"/>
      <c r="CF52" s="748"/>
      <c r="CG52" s="748"/>
      <c r="CH52" s="748"/>
      <c r="CI52" s="748"/>
      <c r="CJ52" s="748"/>
      <c r="CK52" s="748"/>
      <c r="CL52" s="748"/>
      <c r="CM52" s="748"/>
      <c r="CN52" s="748"/>
      <c r="CO52" s="748"/>
      <c r="CP52" s="748"/>
      <c r="CQ52" s="748"/>
      <c r="CR52" s="748"/>
      <c r="CS52" s="748"/>
    </row>
    <row r="53" spans="2:97">
      <c r="B53" s="750"/>
      <c r="C53" s="750"/>
      <c r="D53" s="297"/>
      <c r="E53" s="298"/>
      <c r="F53" s="298"/>
      <c r="G53" s="298"/>
      <c r="H53" s="298"/>
      <c r="I53" s="298"/>
      <c r="J53" s="298"/>
      <c r="K53" s="298"/>
      <c r="L53" s="298"/>
      <c r="M53" s="298"/>
      <c r="N53" s="298"/>
      <c r="O53" s="298"/>
      <c r="P53" s="298"/>
      <c r="Q53" s="374"/>
      <c r="R53" s="298"/>
      <c r="S53" s="298"/>
      <c r="T53" s="298"/>
      <c r="U53" s="298"/>
      <c r="V53" s="298"/>
      <c r="W53" s="298"/>
      <c r="X53" s="299"/>
      <c r="Z53" s="320"/>
      <c r="AA53" s="752"/>
      <c r="AB53" s="752"/>
      <c r="AC53" s="752"/>
      <c r="AD53" s="752"/>
      <c r="AE53" s="752"/>
      <c r="AF53" s="752"/>
      <c r="AG53" s="752"/>
      <c r="AH53" s="752"/>
      <c r="AI53" s="752"/>
      <c r="AJ53" s="752"/>
      <c r="AK53" s="752"/>
      <c r="AL53" s="752"/>
      <c r="AM53" s="374"/>
      <c r="AN53" s="298"/>
      <c r="AO53" s="298"/>
      <c r="AP53" s="298"/>
      <c r="AQ53" s="298"/>
      <c r="AR53" s="298"/>
      <c r="AS53" s="298"/>
      <c r="AT53" s="299"/>
      <c r="AW53" s="735"/>
      <c r="AX53" s="736"/>
      <c r="AY53" s="736"/>
      <c r="AZ53" s="736"/>
      <c r="BA53" s="736"/>
      <c r="BB53" s="736"/>
      <c r="BC53" s="736"/>
      <c r="BD53" s="736"/>
      <c r="BE53" s="736"/>
      <c r="BF53" s="736"/>
      <c r="BG53" s="736"/>
      <c r="BH53" s="736"/>
      <c r="BI53" s="736"/>
      <c r="BJ53" s="736"/>
      <c r="BK53" s="736"/>
      <c r="BL53" s="736"/>
      <c r="BM53" s="736"/>
      <c r="BN53" s="736"/>
      <c r="BO53" s="736"/>
      <c r="BP53" s="736"/>
      <c r="BQ53" s="740"/>
      <c r="BR53" s="553"/>
      <c r="BW53" s="748"/>
      <c r="BX53" s="748"/>
      <c r="BY53" s="748"/>
      <c r="BZ53" s="748"/>
      <c r="CA53" s="748"/>
      <c r="CB53" s="748"/>
      <c r="CC53" s="748"/>
      <c r="CD53" s="748"/>
      <c r="CE53" s="748"/>
      <c r="CF53" s="748"/>
      <c r="CG53" s="748"/>
      <c r="CH53" s="748"/>
      <c r="CI53" s="748"/>
      <c r="CJ53" s="748"/>
      <c r="CK53" s="748"/>
      <c r="CL53" s="748"/>
      <c r="CM53" s="748"/>
      <c r="CN53" s="748"/>
      <c r="CO53" s="748"/>
      <c r="CP53" s="748"/>
      <c r="CQ53" s="748"/>
      <c r="CR53" s="748"/>
      <c r="CS53" s="748"/>
    </row>
    <row r="54" spans="2:97">
      <c r="B54" s="750"/>
      <c r="C54" s="750"/>
      <c r="D54" s="297"/>
      <c r="E54" s="298"/>
      <c r="F54" s="298"/>
      <c r="G54" s="298"/>
      <c r="H54" s="298"/>
      <c r="I54" s="298"/>
      <c r="J54" s="298"/>
      <c r="K54" s="298"/>
      <c r="L54" s="298"/>
      <c r="M54" s="298"/>
      <c r="N54" s="298"/>
      <c r="O54" s="298"/>
      <c r="P54" s="298"/>
      <c r="Q54" s="374"/>
      <c r="R54" s="298"/>
      <c r="S54" s="298"/>
      <c r="T54" s="298"/>
      <c r="U54" s="298"/>
      <c r="V54" s="298"/>
      <c r="W54" s="298"/>
      <c r="X54" s="299"/>
      <c r="Z54" s="320"/>
      <c r="AA54" s="752"/>
      <c r="AB54" s="752"/>
      <c r="AC54" s="752"/>
      <c r="AD54" s="752"/>
      <c r="AE54" s="752"/>
      <c r="AF54" s="752"/>
      <c r="AG54" s="752"/>
      <c r="AH54" s="752"/>
      <c r="AI54" s="752"/>
      <c r="AJ54" s="752"/>
      <c r="AK54" s="752"/>
      <c r="AL54" s="752"/>
      <c r="AM54" s="374"/>
      <c r="AN54" s="298"/>
      <c r="AO54" s="298"/>
      <c r="AP54" s="298"/>
      <c r="AQ54" s="298"/>
      <c r="AR54" s="298"/>
      <c r="AS54" s="298"/>
      <c r="AT54" s="299"/>
      <c r="AW54" s="735"/>
      <c r="AX54" s="736"/>
      <c r="AY54" s="736"/>
      <c r="AZ54" s="736"/>
      <c r="BA54" s="736"/>
      <c r="BB54" s="736"/>
      <c r="BC54" s="736"/>
      <c r="BD54" s="736"/>
      <c r="BE54" s="736"/>
      <c r="BF54" s="736"/>
      <c r="BG54" s="736"/>
      <c r="BH54" s="736"/>
      <c r="BI54" s="736"/>
      <c r="BJ54" s="736"/>
      <c r="BK54" s="736"/>
      <c r="BL54" s="736"/>
      <c r="BM54" s="736"/>
      <c r="BN54" s="736"/>
      <c r="BO54" s="736"/>
      <c r="BP54" s="736"/>
      <c r="BQ54" s="740"/>
      <c r="BR54" s="553"/>
      <c r="BW54" s="748"/>
      <c r="BX54" s="748"/>
      <c r="BY54" s="748"/>
      <c r="BZ54" s="748"/>
      <c r="CA54" s="748"/>
      <c r="CB54" s="748"/>
      <c r="CC54" s="748"/>
      <c r="CD54" s="748"/>
      <c r="CE54" s="748"/>
      <c r="CF54" s="748"/>
      <c r="CG54" s="748"/>
      <c r="CH54" s="748"/>
      <c r="CI54" s="748"/>
      <c r="CJ54" s="748"/>
      <c r="CK54" s="748"/>
      <c r="CL54" s="748"/>
      <c r="CM54" s="748"/>
      <c r="CN54" s="748"/>
      <c r="CO54" s="748"/>
      <c r="CP54" s="748"/>
      <c r="CQ54" s="748"/>
      <c r="CR54" s="748"/>
      <c r="CS54" s="748"/>
    </row>
    <row r="55" spans="2:97">
      <c r="B55" s="750"/>
      <c r="C55" s="750"/>
      <c r="D55" s="297"/>
      <c r="E55" s="298"/>
      <c r="F55" s="298"/>
      <c r="G55" s="298"/>
      <c r="H55" s="298"/>
      <c r="I55" s="298"/>
      <c r="J55" s="298"/>
      <c r="K55" s="298"/>
      <c r="L55" s="298"/>
      <c r="M55" s="298"/>
      <c r="N55" s="298"/>
      <c r="O55" s="298"/>
      <c r="P55" s="298"/>
      <c r="Q55" s="374"/>
      <c r="R55" s="298"/>
      <c r="S55" s="298"/>
      <c r="T55" s="298"/>
      <c r="U55" s="298"/>
      <c r="V55" s="298"/>
      <c r="W55" s="298"/>
      <c r="X55" s="299"/>
      <c r="Z55" s="320"/>
      <c r="AA55" s="752"/>
      <c r="AB55" s="752"/>
      <c r="AC55" s="752"/>
      <c r="AD55" s="752"/>
      <c r="AE55" s="752"/>
      <c r="AF55" s="752"/>
      <c r="AG55" s="752"/>
      <c r="AH55" s="752"/>
      <c r="AI55" s="752"/>
      <c r="AJ55" s="752"/>
      <c r="AK55" s="752"/>
      <c r="AL55" s="752"/>
      <c r="AM55" s="374"/>
      <c r="AN55" s="298"/>
      <c r="AO55" s="298"/>
      <c r="AP55" s="298"/>
      <c r="AQ55" s="298"/>
      <c r="AR55" s="298"/>
      <c r="AS55" s="298"/>
      <c r="AT55" s="299"/>
      <c r="AW55" s="735"/>
      <c r="AX55" s="736"/>
      <c r="AY55" s="736"/>
      <c r="AZ55" s="736"/>
      <c r="BA55" s="736"/>
      <c r="BB55" s="736"/>
      <c r="BC55" s="736"/>
      <c r="BD55" s="736"/>
      <c r="BE55" s="736"/>
      <c r="BF55" s="736"/>
      <c r="BG55" s="736"/>
      <c r="BH55" s="736"/>
      <c r="BI55" s="736"/>
      <c r="BJ55" s="736"/>
      <c r="BK55" s="736"/>
      <c r="BL55" s="736"/>
      <c r="BM55" s="736"/>
      <c r="BN55" s="736"/>
      <c r="BO55" s="736"/>
      <c r="BP55" s="736"/>
      <c r="BQ55" s="740"/>
      <c r="BR55" s="553"/>
      <c r="BW55" s="748"/>
      <c r="BX55" s="748"/>
      <c r="BY55" s="748"/>
      <c r="BZ55" s="748"/>
      <c r="CA55" s="748"/>
      <c r="CB55" s="748"/>
      <c r="CC55" s="748"/>
      <c r="CD55" s="748"/>
      <c r="CE55" s="748"/>
      <c r="CF55" s="748"/>
      <c r="CG55" s="748"/>
      <c r="CH55" s="748"/>
      <c r="CI55" s="748"/>
      <c r="CJ55" s="748"/>
      <c r="CK55" s="748"/>
      <c r="CL55" s="748"/>
      <c r="CM55" s="748"/>
      <c r="CN55" s="748"/>
      <c r="CO55" s="748"/>
      <c r="CP55" s="748"/>
      <c r="CQ55" s="748"/>
      <c r="CR55" s="748"/>
      <c r="CS55" s="748"/>
    </row>
    <row r="56" spans="2:97">
      <c r="B56" s="750"/>
      <c r="C56" s="750"/>
      <c r="D56" s="297"/>
      <c r="E56" s="298"/>
      <c r="F56" s="298"/>
      <c r="G56" s="298"/>
      <c r="H56" s="298"/>
      <c r="I56" s="298"/>
      <c r="J56" s="298"/>
      <c r="K56" s="298"/>
      <c r="L56" s="298"/>
      <c r="M56" s="298"/>
      <c r="N56" s="298"/>
      <c r="O56" s="298"/>
      <c r="P56" s="298"/>
      <c r="Q56" s="374"/>
      <c r="R56" s="298"/>
      <c r="S56" s="298"/>
      <c r="T56" s="298"/>
      <c r="U56" s="298"/>
      <c r="V56" s="298"/>
      <c r="W56" s="298"/>
      <c r="X56" s="299"/>
      <c r="Z56" s="320"/>
      <c r="AA56" s="752"/>
      <c r="AB56" s="752"/>
      <c r="AC56" s="752"/>
      <c r="AD56" s="752"/>
      <c r="AE56" s="752"/>
      <c r="AF56" s="752"/>
      <c r="AG56" s="752"/>
      <c r="AH56" s="752"/>
      <c r="AI56" s="752"/>
      <c r="AJ56" s="752"/>
      <c r="AK56" s="752"/>
      <c r="AL56" s="752"/>
      <c r="AM56" s="374"/>
      <c r="AN56" s="298"/>
      <c r="AO56" s="298"/>
      <c r="AP56" s="298"/>
      <c r="AQ56" s="298"/>
      <c r="AR56" s="298"/>
      <c r="AS56" s="298"/>
      <c r="AT56" s="299"/>
      <c r="AW56" s="735"/>
      <c r="AX56" s="736"/>
      <c r="AY56" s="736"/>
      <c r="AZ56" s="736"/>
      <c r="BA56" s="736"/>
      <c r="BB56" s="736"/>
      <c r="BC56" s="736"/>
      <c r="BD56" s="736"/>
      <c r="BE56" s="736"/>
      <c r="BF56" s="736"/>
      <c r="BG56" s="736"/>
      <c r="BH56" s="736"/>
      <c r="BI56" s="736"/>
      <c r="BJ56" s="736"/>
      <c r="BK56" s="736"/>
      <c r="BL56" s="736"/>
      <c r="BM56" s="736"/>
      <c r="BN56" s="736"/>
      <c r="BO56" s="736"/>
      <c r="BP56" s="736"/>
      <c r="BQ56" s="740"/>
      <c r="BR56" s="553"/>
      <c r="BW56" s="748"/>
      <c r="BX56" s="748"/>
      <c r="BY56" s="748"/>
      <c r="BZ56" s="748"/>
      <c r="CA56" s="748"/>
      <c r="CB56" s="748"/>
      <c r="CC56" s="748"/>
      <c r="CD56" s="748"/>
      <c r="CE56" s="748"/>
      <c r="CF56" s="748"/>
      <c r="CG56" s="748"/>
      <c r="CH56" s="748"/>
      <c r="CI56" s="748"/>
      <c r="CJ56" s="748"/>
      <c r="CK56" s="748"/>
      <c r="CL56" s="748"/>
      <c r="CM56" s="748"/>
      <c r="CN56" s="748"/>
      <c r="CO56" s="748"/>
      <c r="CP56" s="748"/>
      <c r="CQ56" s="748"/>
      <c r="CR56" s="748"/>
      <c r="CS56" s="748"/>
    </row>
    <row r="57" spans="2:97">
      <c r="B57" s="750"/>
      <c r="C57" s="750"/>
      <c r="D57" s="297"/>
      <c r="E57" s="298"/>
      <c r="F57" s="298"/>
      <c r="G57" s="298"/>
      <c r="H57" s="298"/>
      <c r="I57" s="298"/>
      <c r="J57" s="298"/>
      <c r="K57" s="298"/>
      <c r="L57" s="298"/>
      <c r="M57" s="298"/>
      <c r="N57" s="298"/>
      <c r="O57" s="298"/>
      <c r="P57" s="298"/>
      <c r="Q57" s="374"/>
      <c r="R57" s="298"/>
      <c r="S57" s="298"/>
      <c r="T57" s="298"/>
      <c r="U57" s="298"/>
      <c r="V57" s="298"/>
      <c r="W57" s="298"/>
      <c r="X57" s="299"/>
      <c r="Z57" s="320"/>
      <c r="AA57" s="752"/>
      <c r="AB57" s="752"/>
      <c r="AC57" s="752"/>
      <c r="AD57" s="752"/>
      <c r="AE57" s="752"/>
      <c r="AF57" s="752"/>
      <c r="AG57" s="752"/>
      <c r="AH57" s="752"/>
      <c r="AI57" s="752"/>
      <c r="AJ57" s="752"/>
      <c r="AK57" s="752"/>
      <c r="AL57" s="752"/>
      <c r="AM57" s="374"/>
      <c r="AN57" s="298"/>
      <c r="AO57" s="298"/>
      <c r="AP57" s="298"/>
      <c r="AQ57" s="298"/>
      <c r="AR57" s="298"/>
      <c r="AS57" s="298"/>
      <c r="AT57" s="299"/>
      <c r="AW57" s="735"/>
      <c r="AX57" s="736"/>
      <c r="AY57" s="736"/>
      <c r="AZ57" s="736"/>
      <c r="BA57" s="736"/>
      <c r="BB57" s="736"/>
      <c r="BC57" s="736"/>
      <c r="BD57" s="736"/>
      <c r="BE57" s="736"/>
      <c r="BF57" s="736"/>
      <c r="BG57" s="736"/>
      <c r="BH57" s="736"/>
      <c r="BI57" s="736"/>
      <c r="BJ57" s="736"/>
      <c r="BK57" s="736"/>
      <c r="BL57" s="736"/>
      <c r="BM57" s="736"/>
      <c r="BN57" s="736"/>
      <c r="BO57" s="736"/>
      <c r="BP57" s="736"/>
      <c r="BQ57" s="740"/>
      <c r="BR57" s="553"/>
      <c r="BW57" s="748"/>
      <c r="BX57" s="748"/>
      <c r="BY57" s="748"/>
      <c r="BZ57" s="748"/>
      <c r="CA57" s="748"/>
      <c r="CB57" s="748"/>
      <c r="CC57" s="748"/>
      <c r="CD57" s="748"/>
      <c r="CE57" s="748"/>
      <c r="CF57" s="748"/>
      <c r="CG57" s="748"/>
      <c r="CH57" s="748"/>
      <c r="CI57" s="748"/>
      <c r="CJ57" s="748"/>
      <c r="CK57" s="748"/>
      <c r="CL57" s="748"/>
      <c r="CM57" s="748"/>
      <c r="CN57" s="748"/>
      <c r="CO57" s="748"/>
      <c r="CP57" s="748"/>
      <c r="CQ57" s="748"/>
      <c r="CR57" s="748"/>
      <c r="CS57" s="748"/>
    </row>
    <row r="58" spans="2:97">
      <c r="B58" s="750"/>
      <c r="C58" s="750"/>
      <c r="D58" s="297"/>
      <c r="E58" s="298"/>
      <c r="F58" s="298"/>
      <c r="G58" s="298"/>
      <c r="H58" s="298"/>
      <c r="I58" s="298"/>
      <c r="J58" s="298"/>
      <c r="K58" s="298"/>
      <c r="L58" s="298"/>
      <c r="M58" s="298"/>
      <c r="N58" s="298"/>
      <c r="O58" s="298"/>
      <c r="P58" s="298"/>
      <c r="Q58" s="374"/>
      <c r="R58" s="298"/>
      <c r="S58" s="298"/>
      <c r="T58" s="298"/>
      <c r="U58" s="298"/>
      <c r="V58" s="298"/>
      <c r="W58" s="298"/>
      <c r="X58" s="299"/>
      <c r="Z58" s="320"/>
      <c r="AA58" s="752"/>
      <c r="AB58" s="752"/>
      <c r="AC58" s="752"/>
      <c r="AD58" s="752"/>
      <c r="AE58" s="752"/>
      <c r="AF58" s="752"/>
      <c r="AG58" s="752"/>
      <c r="AH58" s="752"/>
      <c r="AI58" s="752"/>
      <c r="AJ58" s="752"/>
      <c r="AK58" s="752"/>
      <c r="AL58" s="752"/>
      <c r="AM58" s="374"/>
      <c r="AN58" s="298"/>
      <c r="AO58" s="298"/>
      <c r="AP58" s="298"/>
      <c r="AQ58" s="298"/>
      <c r="AR58" s="298"/>
      <c r="AS58" s="298"/>
      <c r="AT58" s="299"/>
      <c r="AW58" s="735"/>
      <c r="AX58" s="736"/>
      <c r="AY58" s="736"/>
      <c r="AZ58" s="736"/>
      <c r="BA58" s="736"/>
      <c r="BB58" s="736"/>
      <c r="BC58" s="736"/>
      <c r="BD58" s="736"/>
      <c r="BE58" s="736"/>
      <c r="BF58" s="736"/>
      <c r="BG58" s="736"/>
      <c r="BH58" s="736"/>
      <c r="BI58" s="736"/>
      <c r="BJ58" s="736"/>
      <c r="BK58" s="736"/>
      <c r="BL58" s="736"/>
      <c r="BM58" s="736"/>
      <c r="BN58" s="736"/>
      <c r="BO58" s="736"/>
      <c r="BP58" s="736"/>
      <c r="BQ58" s="740"/>
      <c r="BR58" s="553"/>
      <c r="BW58" s="748"/>
      <c r="BX58" s="748"/>
      <c r="BY58" s="748"/>
      <c r="BZ58" s="748"/>
      <c r="CA58" s="748"/>
      <c r="CB58" s="748"/>
      <c r="CC58" s="748"/>
      <c r="CD58" s="748"/>
      <c r="CE58" s="748"/>
      <c r="CF58" s="748"/>
      <c r="CG58" s="748"/>
      <c r="CH58" s="748"/>
      <c r="CI58" s="748"/>
      <c r="CJ58" s="748"/>
      <c r="CK58" s="748"/>
      <c r="CL58" s="748"/>
      <c r="CM58" s="748"/>
      <c r="CN58" s="748"/>
      <c r="CO58" s="748"/>
      <c r="CP58" s="748"/>
      <c r="CQ58" s="748"/>
      <c r="CR58" s="748"/>
      <c r="CS58" s="748"/>
    </row>
    <row r="59" spans="2:97">
      <c r="B59" s="750"/>
      <c r="C59" s="376"/>
      <c r="D59" s="307"/>
      <c r="E59" s="290"/>
      <c r="F59" s="290"/>
      <c r="G59" s="290"/>
      <c r="H59" s="290"/>
      <c r="I59" s="290"/>
      <c r="J59" s="290"/>
      <c r="K59" s="290"/>
      <c r="L59" s="290"/>
      <c r="M59" s="290"/>
      <c r="N59" s="290"/>
      <c r="O59" s="290"/>
      <c r="P59" s="290"/>
      <c r="Q59" s="289"/>
      <c r="R59" s="290"/>
      <c r="S59" s="290"/>
      <c r="T59" s="290"/>
      <c r="U59" s="290"/>
      <c r="V59" s="290"/>
      <c r="W59" s="290"/>
      <c r="X59" s="291"/>
      <c r="Z59" s="258"/>
      <c r="AA59" s="758"/>
      <c r="AB59" s="758"/>
      <c r="AC59" s="758"/>
      <c r="AD59" s="758"/>
      <c r="AE59" s="758"/>
      <c r="AF59" s="758"/>
      <c r="AG59" s="758"/>
      <c r="AH59" s="758"/>
      <c r="AI59" s="260"/>
      <c r="AJ59" s="260"/>
      <c r="AK59" s="260"/>
      <c r="AL59" s="260"/>
      <c r="AM59" s="377"/>
      <c r="AN59" s="260"/>
      <c r="AO59" s="260"/>
      <c r="AP59" s="260"/>
      <c r="AQ59" s="260"/>
      <c r="AR59" s="260"/>
      <c r="AS59" s="260"/>
      <c r="AT59" s="261"/>
      <c r="AW59" s="735"/>
      <c r="AX59" s="736"/>
      <c r="AY59" s="736"/>
      <c r="AZ59" s="736"/>
      <c r="BA59" s="736"/>
      <c r="BB59" s="736"/>
      <c r="BC59" s="736"/>
      <c r="BD59" s="736"/>
      <c r="BE59" s="736"/>
      <c r="BF59" s="736"/>
      <c r="BG59" s="736"/>
      <c r="BH59" s="736"/>
      <c r="BI59" s="736"/>
      <c r="BJ59" s="736"/>
      <c r="BK59" s="736"/>
      <c r="BL59" s="736"/>
      <c r="BM59" s="736"/>
      <c r="BN59" s="736"/>
      <c r="BO59" s="736"/>
      <c r="BP59" s="736"/>
      <c r="BQ59" s="740"/>
      <c r="BR59" s="553"/>
      <c r="BW59" s="748"/>
      <c r="BX59" s="748"/>
      <c r="BY59" s="748"/>
      <c r="BZ59" s="748"/>
      <c r="CA59" s="748"/>
      <c r="CB59" s="748"/>
      <c r="CC59" s="748"/>
      <c r="CD59" s="748"/>
      <c r="CE59" s="748"/>
      <c r="CF59" s="748"/>
      <c r="CG59" s="748"/>
      <c r="CH59" s="748"/>
      <c r="CI59" s="748"/>
      <c r="CJ59" s="748"/>
      <c r="CK59" s="748"/>
      <c r="CL59" s="748"/>
      <c r="CM59" s="748"/>
      <c r="CN59" s="748"/>
      <c r="CO59" s="748"/>
      <c r="CP59" s="748"/>
      <c r="CQ59" s="748"/>
      <c r="CR59" s="748"/>
      <c r="CS59" s="748"/>
    </row>
    <row r="60" spans="2:97">
      <c r="B60" s="750"/>
      <c r="C60" s="376"/>
      <c r="D60" s="307"/>
      <c r="E60" s="290"/>
      <c r="F60" s="290"/>
      <c r="G60" s="290"/>
      <c r="H60" s="290"/>
      <c r="I60" s="290"/>
      <c r="J60" s="290"/>
      <c r="K60" s="290"/>
      <c r="L60" s="290"/>
      <c r="M60" s="290"/>
      <c r="N60" s="290"/>
      <c r="O60" s="290"/>
      <c r="P60" s="290"/>
      <c r="Q60" s="289"/>
      <c r="R60" s="290"/>
      <c r="S60" s="290"/>
      <c r="T60" s="290"/>
      <c r="U60" s="290"/>
      <c r="V60" s="290"/>
      <c r="W60" s="290"/>
      <c r="X60" s="291"/>
      <c r="Z60" s="258"/>
      <c r="AA60" s="758"/>
      <c r="AB60" s="758"/>
      <c r="AC60" s="758"/>
      <c r="AD60" s="758"/>
      <c r="AE60" s="758"/>
      <c r="AF60" s="758"/>
      <c r="AG60" s="758"/>
      <c r="AH60" s="758"/>
      <c r="AI60" s="260"/>
      <c r="AJ60" s="260"/>
      <c r="AK60" s="260"/>
      <c r="AL60" s="260"/>
      <c r="AM60" s="377"/>
      <c r="AN60" s="260"/>
      <c r="AO60" s="260"/>
      <c r="AP60" s="260"/>
      <c r="AQ60" s="260"/>
      <c r="AR60" s="260"/>
      <c r="AS60" s="260"/>
      <c r="AT60" s="261"/>
      <c r="AW60" s="735"/>
      <c r="AX60" s="736"/>
      <c r="AY60" s="736"/>
      <c r="AZ60" s="736"/>
      <c r="BA60" s="736"/>
      <c r="BB60" s="736"/>
      <c r="BC60" s="736"/>
      <c r="BD60" s="736"/>
      <c r="BE60" s="736"/>
      <c r="BF60" s="736"/>
      <c r="BG60" s="736"/>
      <c r="BH60" s="736"/>
      <c r="BI60" s="736"/>
      <c r="BJ60" s="736"/>
      <c r="BK60" s="736"/>
      <c r="BL60" s="736"/>
      <c r="BM60" s="736"/>
      <c r="BN60" s="736"/>
      <c r="BO60" s="736"/>
      <c r="BP60" s="736"/>
      <c r="BQ60" s="740"/>
      <c r="BR60" s="553"/>
      <c r="BW60" s="748"/>
      <c r="BX60" s="748"/>
      <c r="BY60" s="748"/>
      <c r="BZ60" s="748"/>
      <c r="CA60" s="748"/>
      <c r="CB60" s="748"/>
      <c r="CC60" s="748"/>
      <c r="CD60" s="748"/>
      <c r="CE60" s="748"/>
      <c r="CF60" s="748"/>
      <c r="CG60" s="748"/>
      <c r="CH60" s="748"/>
      <c r="CI60" s="748"/>
      <c r="CJ60" s="748"/>
      <c r="CK60" s="748"/>
      <c r="CL60" s="748"/>
      <c r="CM60" s="748"/>
      <c r="CN60" s="748"/>
      <c r="CO60" s="748"/>
      <c r="CP60" s="748"/>
      <c r="CQ60" s="748"/>
      <c r="CR60" s="748"/>
      <c r="CS60" s="748"/>
    </row>
    <row r="61" spans="2:97">
      <c r="B61" s="750"/>
      <c r="C61" s="376"/>
      <c r="D61" s="307"/>
      <c r="E61" s="290"/>
      <c r="F61" s="290"/>
      <c r="G61" s="290"/>
      <c r="H61" s="290"/>
      <c r="I61" s="290"/>
      <c r="J61" s="290"/>
      <c r="K61" s="290"/>
      <c r="L61" s="290"/>
      <c r="M61" s="290"/>
      <c r="N61" s="290"/>
      <c r="O61" s="290"/>
      <c r="P61" s="290"/>
      <c r="Q61" s="289"/>
      <c r="R61" s="290"/>
      <c r="S61" s="290"/>
      <c r="T61" s="290"/>
      <c r="U61" s="290"/>
      <c r="V61" s="290"/>
      <c r="W61" s="290"/>
      <c r="X61" s="291"/>
      <c r="Z61" s="258"/>
      <c r="AA61" s="758"/>
      <c r="AB61" s="758"/>
      <c r="AC61" s="758"/>
      <c r="AD61" s="758"/>
      <c r="AE61" s="758"/>
      <c r="AF61" s="758"/>
      <c r="AG61" s="758"/>
      <c r="AH61" s="758"/>
      <c r="AI61" s="260"/>
      <c r="AJ61" s="260"/>
      <c r="AK61" s="260"/>
      <c r="AL61" s="260"/>
      <c r="AM61" s="377"/>
      <c r="AN61" s="260"/>
      <c r="AO61" s="260"/>
      <c r="AP61" s="260"/>
      <c r="AQ61" s="260"/>
      <c r="AR61" s="260"/>
      <c r="AS61" s="260"/>
      <c r="AT61" s="261"/>
      <c r="AW61" s="735"/>
      <c r="AX61" s="736"/>
      <c r="AY61" s="736"/>
      <c r="AZ61" s="736"/>
      <c r="BA61" s="736"/>
      <c r="BB61" s="736"/>
      <c r="BC61" s="736"/>
      <c r="BD61" s="736"/>
      <c r="BE61" s="736"/>
      <c r="BF61" s="736"/>
      <c r="BG61" s="736"/>
      <c r="BH61" s="736"/>
      <c r="BI61" s="736"/>
      <c r="BJ61" s="736"/>
      <c r="BK61" s="736"/>
      <c r="BL61" s="736"/>
      <c r="BM61" s="736"/>
      <c r="BN61" s="736"/>
      <c r="BO61" s="736"/>
      <c r="BP61" s="736"/>
      <c r="BQ61" s="740"/>
      <c r="BR61" s="553"/>
      <c r="BW61" s="748"/>
      <c r="BX61" s="748"/>
      <c r="BY61" s="748"/>
      <c r="BZ61" s="748"/>
      <c r="CA61" s="748"/>
      <c r="CB61" s="748"/>
      <c r="CC61" s="748"/>
      <c r="CD61" s="748"/>
      <c r="CE61" s="748"/>
      <c r="CF61" s="748"/>
      <c r="CG61" s="748"/>
      <c r="CH61" s="748"/>
      <c r="CI61" s="748"/>
      <c r="CJ61" s="748"/>
      <c r="CK61" s="748"/>
      <c r="CL61" s="748"/>
      <c r="CM61" s="748"/>
      <c r="CN61" s="748"/>
      <c r="CO61" s="748"/>
      <c r="CP61" s="748"/>
      <c r="CQ61" s="748"/>
      <c r="CR61" s="748"/>
      <c r="CS61" s="748"/>
    </row>
    <row r="62" spans="2:97">
      <c r="B62" s="750"/>
      <c r="C62" s="376"/>
      <c r="D62" s="307"/>
      <c r="E62" s="290"/>
      <c r="F62" s="290"/>
      <c r="G62" s="290"/>
      <c r="H62" s="290"/>
      <c r="I62" s="290"/>
      <c r="J62" s="290"/>
      <c r="K62" s="290"/>
      <c r="L62" s="290"/>
      <c r="M62" s="290"/>
      <c r="N62" s="290"/>
      <c r="O62" s="290"/>
      <c r="P62" s="290"/>
      <c r="Q62" s="289"/>
      <c r="R62" s="290"/>
      <c r="S62" s="290"/>
      <c r="T62" s="290"/>
      <c r="U62" s="290"/>
      <c r="V62" s="290"/>
      <c r="W62" s="290"/>
      <c r="X62" s="291"/>
      <c r="Z62" s="258"/>
      <c r="AA62" s="758"/>
      <c r="AB62" s="758"/>
      <c r="AC62" s="758"/>
      <c r="AD62" s="758"/>
      <c r="AE62" s="758"/>
      <c r="AF62" s="758"/>
      <c r="AG62" s="758"/>
      <c r="AH62" s="758"/>
      <c r="AI62" s="260"/>
      <c r="AJ62" s="260"/>
      <c r="AK62" s="260"/>
      <c r="AL62" s="260"/>
      <c r="AM62" s="377"/>
      <c r="AN62" s="260"/>
      <c r="AO62" s="260"/>
      <c r="AP62" s="260"/>
      <c r="AQ62" s="260"/>
      <c r="AR62" s="260"/>
      <c r="AS62" s="260"/>
      <c r="AT62" s="261"/>
      <c r="AW62" s="735"/>
      <c r="AX62" s="736"/>
      <c r="AY62" s="736"/>
      <c r="AZ62" s="736"/>
      <c r="BA62" s="736"/>
      <c r="BB62" s="736"/>
      <c r="BC62" s="736"/>
      <c r="BD62" s="736"/>
      <c r="BE62" s="736"/>
      <c r="BF62" s="736"/>
      <c r="BG62" s="736"/>
      <c r="BH62" s="736"/>
      <c r="BI62" s="736"/>
      <c r="BJ62" s="736"/>
      <c r="BK62" s="736"/>
      <c r="BL62" s="736"/>
      <c r="BM62" s="736"/>
      <c r="BN62" s="736"/>
      <c r="BO62" s="736"/>
      <c r="BP62" s="736"/>
      <c r="BQ62" s="740"/>
      <c r="BR62" s="553"/>
      <c r="BW62" s="748"/>
      <c r="BX62" s="748"/>
      <c r="BY62" s="748"/>
      <c r="BZ62" s="748"/>
      <c r="CA62" s="748"/>
      <c r="CB62" s="748"/>
      <c r="CC62" s="748"/>
      <c r="CD62" s="748"/>
      <c r="CE62" s="748"/>
      <c r="CF62" s="748"/>
      <c r="CG62" s="748"/>
      <c r="CH62" s="748"/>
      <c r="CI62" s="748"/>
      <c r="CJ62" s="748"/>
      <c r="CK62" s="748"/>
      <c r="CL62" s="748"/>
      <c r="CM62" s="748"/>
      <c r="CN62" s="748"/>
      <c r="CO62" s="748"/>
      <c r="CP62" s="748"/>
      <c r="CQ62" s="748"/>
      <c r="CR62" s="748"/>
      <c r="CS62" s="748"/>
    </row>
    <row r="63" spans="2:97">
      <c r="B63" s="750"/>
      <c r="C63" s="376"/>
      <c r="D63" s="307"/>
      <c r="E63" s="290"/>
      <c r="F63" s="290"/>
      <c r="G63" s="290"/>
      <c r="H63" s="290"/>
      <c r="I63" s="290"/>
      <c r="J63" s="290"/>
      <c r="K63" s="290"/>
      <c r="L63" s="290"/>
      <c r="M63" s="290"/>
      <c r="N63" s="290"/>
      <c r="O63" s="290"/>
      <c r="P63" s="290"/>
      <c r="Q63" s="289"/>
      <c r="R63" s="290"/>
      <c r="S63" s="290"/>
      <c r="T63" s="290"/>
      <c r="U63" s="290"/>
      <c r="V63" s="290"/>
      <c r="W63" s="290"/>
      <c r="X63" s="291"/>
      <c r="Z63" s="258"/>
      <c r="AA63" s="758"/>
      <c r="AB63" s="758"/>
      <c r="AC63" s="758"/>
      <c r="AD63" s="758"/>
      <c r="AE63" s="758"/>
      <c r="AF63" s="758"/>
      <c r="AG63" s="758"/>
      <c r="AH63" s="758"/>
      <c r="AI63" s="260"/>
      <c r="AJ63" s="260"/>
      <c r="AK63" s="260"/>
      <c r="AL63" s="260"/>
      <c r="AM63" s="377"/>
      <c r="AN63" s="260"/>
      <c r="AO63" s="260"/>
      <c r="AP63" s="260"/>
      <c r="AQ63" s="260"/>
      <c r="AR63" s="260"/>
      <c r="AS63" s="260"/>
      <c r="AT63" s="261"/>
      <c r="AW63" s="735"/>
      <c r="AX63" s="736"/>
      <c r="AY63" s="736"/>
      <c r="AZ63" s="736"/>
      <c r="BA63" s="736"/>
      <c r="BB63" s="736"/>
      <c r="BC63" s="736"/>
      <c r="BD63" s="736"/>
      <c r="BE63" s="736"/>
      <c r="BF63" s="736"/>
      <c r="BG63" s="736"/>
      <c r="BH63" s="736"/>
      <c r="BI63" s="736"/>
      <c r="BJ63" s="736"/>
      <c r="BK63" s="736"/>
      <c r="BL63" s="736"/>
      <c r="BM63" s="736"/>
      <c r="BN63" s="736"/>
      <c r="BO63" s="736"/>
      <c r="BP63" s="736"/>
      <c r="BQ63" s="740"/>
      <c r="BR63" s="553"/>
      <c r="BW63" s="748"/>
      <c r="BX63" s="748"/>
      <c r="BY63" s="748"/>
      <c r="BZ63" s="748"/>
      <c r="CA63" s="748"/>
      <c r="CB63" s="748"/>
      <c r="CC63" s="748"/>
      <c r="CD63" s="748"/>
      <c r="CE63" s="748"/>
      <c r="CF63" s="748"/>
      <c r="CG63" s="748"/>
      <c r="CH63" s="748"/>
      <c r="CI63" s="748"/>
      <c r="CJ63" s="748"/>
      <c r="CK63" s="748"/>
      <c r="CL63" s="748"/>
      <c r="CM63" s="748"/>
      <c r="CN63" s="748"/>
      <c r="CO63" s="748"/>
      <c r="CP63" s="748"/>
      <c r="CQ63" s="748"/>
      <c r="CR63" s="748"/>
      <c r="CS63" s="748"/>
    </row>
    <row r="64" spans="2:97">
      <c r="B64" s="750"/>
      <c r="C64" s="376"/>
      <c r="D64" s="307"/>
      <c r="E64" s="290"/>
      <c r="F64" s="290"/>
      <c r="G64" s="290"/>
      <c r="H64" s="290"/>
      <c r="I64" s="290"/>
      <c r="J64" s="290"/>
      <c r="K64" s="290"/>
      <c r="L64" s="290"/>
      <c r="M64" s="290"/>
      <c r="N64" s="290"/>
      <c r="O64" s="290"/>
      <c r="P64" s="290"/>
      <c r="Q64" s="289"/>
      <c r="R64" s="290"/>
      <c r="S64" s="290"/>
      <c r="T64" s="290"/>
      <c r="U64" s="290"/>
      <c r="V64" s="290"/>
      <c r="W64" s="290"/>
      <c r="X64" s="291"/>
      <c r="Z64" s="258"/>
      <c r="AA64" s="758"/>
      <c r="AB64" s="758"/>
      <c r="AC64" s="758"/>
      <c r="AD64" s="758"/>
      <c r="AE64" s="758"/>
      <c r="AF64" s="758"/>
      <c r="AG64" s="758"/>
      <c r="AH64" s="758"/>
      <c r="AI64" s="260"/>
      <c r="AJ64" s="260"/>
      <c r="AK64" s="260"/>
      <c r="AL64" s="260"/>
      <c r="AM64" s="377"/>
      <c r="AN64" s="260"/>
      <c r="AO64" s="260"/>
      <c r="AP64" s="260"/>
      <c r="AQ64" s="260"/>
      <c r="AR64" s="260"/>
      <c r="AS64" s="260"/>
      <c r="AT64" s="261"/>
      <c r="AW64" s="735"/>
      <c r="AX64" s="736"/>
      <c r="AY64" s="736"/>
      <c r="AZ64" s="736"/>
      <c r="BA64" s="736"/>
      <c r="BB64" s="736"/>
      <c r="BC64" s="736"/>
      <c r="BD64" s="736"/>
      <c r="BE64" s="736"/>
      <c r="BF64" s="736"/>
      <c r="BG64" s="736"/>
      <c r="BH64" s="736"/>
      <c r="BI64" s="736"/>
      <c r="BJ64" s="736"/>
      <c r="BK64" s="736"/>
      <c r="BL64" s="736"/>
      <c r="BM64" s="736"/>
      <c r="BN64" s="736"/>
      <c r="BO64" s="736"/>
      <c r="BP64" s="736"/>
      <c r="BQ64" s="740"/>
      <c r="BR64" s="553"/>
      <c r="BW64" s="748"/>
      <c r="BX64" s="748"/>
      <c r="BY64" s="748"/>
      <c r="BZ64" s="748"/>
      <c r="CA64" s="748"/>
      <c r="CB64" s="748"/>
      <c r="CC64" s="748"/>
      <c r="CD64" s="748"/>
      <c r="CE64" s="748"/>
      <c r="CF64" s="748"/>
      <c r="CG64" s="748"/>
      <c r="CH64" s="748"/>
      <c r="CI64" s="748"/>
      <c r="CJ64" s="748"/>
      <c r="CK64" s="748"/>
      <c r="CL64" s="748"/>
      <c r="CM64" s="748"/>
      <c r="CN64" s="748"/>
      <c r="CO64" s="748"/>
      <c r="CP64" s="748"/>
      <c r="CQ64" s="748"/>
      <c r="CR64" s="748"/>
      <c r="CS64" s="748"/>
    </row>
    <row r="65" spans="2:97" ht="13.5" thickBot="1">
      <c r="B65" s="262"/>
      <c r="C65" s="378"/>
      <c r="D65" s="311"/>
      <c r="E65" s="295"/>
      <c r="F65" s="295"/>
      <c r="G65" s="295"/>
      <c r="H65" s="295"/>
      <c r="I65" s="295"/>
      <c r="J65" s="295"/>
      <c r="K65" s="295"/>
      <c r="L65" s="295"/>
      <c r="M65" s="295"/>
      <c r="N65" s="295"/>
      <c r="O65" s="295"/>
      <c r="P65" s="295"/>
      <c r="Q65" s="294"/>
      <c r="R65" s="295"/>
      <c r="S65" s="295"/>
      <c r="T65" s="295"/>
      <c r="U65" s="295"/>
      <c r="V65" s="295"/>
      <c r="W65" s="295"/>
      <c r="X65" s="296"/>
      <c r="Z65" s="263"/>
      <c r="AA65" s="264"/>
      <c r="AB65" s="264"/>
      <c r="AC65" s="264"/>
      <c r="AD65" s="264"/>
      <c r="AE65" s="264"/>
      <c r="AF65" s="264"/>
      <c r="AG65" s="264"/>
      <c r="AH65" s="264"/>
      <c r="AI65" s="265"/>
      <c r="AJ65" s="265"/>
      <c r="AK65" s="265"/>
      <c r="AL65" s="265"/>
      <c r="AM65" s="379"/>
      <c r="AN65" s="265"/>
      <c r="AO65" s="265"/>
      <c r="AP65" s="265"/>
      <c r="AQ65" s="265"/>
      <c r="AR65" s="265"/>
      <c r="AS65" s="265"/>
      <c r="AT65" s="266"/>
      <c r="AW65" s="737"/>
      <c r="AX65" s="738"/>
      <c r="AY65" s="738"/>
      <c r="AZ65" s="738"/>
      <c r="BA65" s="738"/>
      <c r="BB65" s="738"/>
      <c r="BC65" s="738"/>
      <c r="BD65" s="738"/>
      <c r="BE65" s="738"/>
      <c r="BF65" s="738"/>
      <c r="BG65" s="738"/>
      <c r="BH65" s="738"/>
      <c r="BI65" s="738"/>
      <c r="BJ65" s="738"/>
      <c r="BK65" s="738"/>
      <c r="BL65" s="738"/>
      <c r="BM65" s="738"/>
      <c r="BN65" s="738"/>
      <c r="BO65" s="738"/>
      <c r="BP65" s="738"/>
      <c r="BQ65" s="741"/>
      <c r="BR65" s="745"/>
      <c r="BW65" s="748"/>
      <c r="BX65" s="748"/>
      <c r="BY65" s="748"/>
      <c r="BZ65" s="748"/>
      <c r="CA65" s="748"/>
      <c r="CB65" s="748"/>
      <c r="CC65" s="748"/>
      <c r="CD65" s="748"/>
      <c r="CE65" s="748"/>
      <c r="CF65" s="748"/>
      <c r="CG65" s="748"/>
      <c r="CH65" s="748"/>
      <c r="CI65" s="748"/>
      <c r="CJ65" s="748"/>
      <c r="CK65" s="748"/>
      <c r="CL65" s="748"/>
      <c r="CM65" s="748"/>
      <c r="CN65" s="748"/>
      <c r="CO65" s="748"/>
      <c r="CP65" s="748"/>
      <c r="CQ65" s="748"/>
      <c r="CR65" s="748"/>
      <c r="CS65" s="748"/>
    </row>
    <row r="66" spans="2:97" s="154" customFormat="1">
      <c r="BV66" s="748"/>
      <c r="BW66" s="748"/>
      <c r="BX66" s="748"/>
      <c r="BY66" s="748"/>
      <c r="BZ66" s="748"/>
      <c r="CA66" s="748"/>
      <c r="CB66" s="748"/>
      <c r="CC66" s="748"/>
      <c r="CD66" s="748"/>
      <c r="CE66" s="748"/>
      <c r="CF66" s="748"/>
      <c r="CG66" s="748"/>
      <c r="CH66" s="748"/>
      <c r="CI66" s="748"/>
      <c r="CJ66" s="748"/>
      <c r="CK66" s="748"/>
      <c r="CL66" s="748"/>
      <c r="CM66" s="748"/>
      <c r="CN66" s="748"/>
      <c r="CO66" s="748"/>
      <c r="CP66" s="748"/>
      <c r="CQ66" s="748"/>
      <c r="CR66" s="748"/>
      <c r="CS66" s="748"/>
    </row>
    <row r="67" spans="2:97" s="154" customFormat="1">
      <c r="BV67" s="748"/>
      <c r="BW67" s="748"/>
      <c r="BX67" s="748"/>
      <c r="BY67" s="748"/>
      <c r="BZ67" s="748"/>
      <c r="CA67" s="748"/>
      <c r="CB67" s="748"/>
      <c r="CC67" s="748"/>
      <c r="CD67" s="748"/>
      <c r="CE67" s="748"/>
      <c r="CF67" s="748"/>
      <c r="CG67" s="748"/>
      <c r="CH67" s="748"/>
      <c r="CI67" s="748"/>
      <c r="CJ67" s="748"/>
      <c r="CK67" s="748"/>
      <c r="CL67" s="748"/>
      <c r="CM67" s="748"/>
      <c r="CN67" s="748"/>
      <c r="CO67" s="748"/>
      <c r="CP67" s="748"/>
      <c r="CQ67" s="748"/>
      <c r="CR67" s="748"/>
      <c r="CS67" s="748"/>
    </row>
    <row r="68" spans="2:97" s="154" customFormat="1">
      <c r="BV68" s="748"/>
      <c r="BW68" s="748"/>
      <c r="BX68" s="748"/>
      <c r="BY68" s="748"/>
      <c r="BZ68" s="748"/>
      <c r="CA68" s="748"/>
      <c r="CB68" s="748"/>
      <c r="CC68" s="748"/>
      <c r="CD68" s="748"/>
      <c r="CE68" s="748"/>
      <c r="CF68" s="748"/>
      <c r="CG68" s="748"/>
      <c r="CH68" s="748"/>
      <c r="CI68" s="748"/>
      <c r="CJ68" s="748"/>
      <c r="CK68" s="748"/>
      <c r="CL68" s="748"/>
      <c r="CM68" s="748"/>
      <c r="CN68" s="748"/>
      <c r="CO68" s="748"/>
      <c r="CP68" s="748"/>
      <c r="CQ68" s="748"/>
      <c r="CR68" s="748"/>
      <c r="CS68" s="748"/>
    </row>
    <row r="69" spans="2:97" s="154" customFormat="1">
      <c r="BV69" s="748"/>
      <c r="BW69" s="748"/>
      <c r="BX69" s="748"/>
      <c r="BY69" s="748"/>
      <c r="BZ69" s="748"/>
      <c r="CA69" s="748"/>
      <c r="CB69" s="748"/>
      <c r="CC69" s="748"/>
      <c r="CD69" s="748"/>
      <c r="CE69" s="748"/>
      <c r="CF69" s="748"/>
      <c r="CG69" s="748"/>
      <c r="CH69" s="748"/>
      <c r="CI69" s="748"/>
      <c r="CJ69" s="748"/>
      <c r="CK69" s="748"/>
      <c r="CL69" s="748"/>
      <c r="CM69" s="748"/>
      <c r="CN69" s="748"/>
      <c r="CO69" s="748"/>
      <c r="CP69" s="748"/>
      <c r="CQ69" s="748"/>
      <c r="CR69" s="748"/>
      <c r="CS69" s="748"/>
    </row>
    <row r="70" spans="2:97" s="154" customFormat="1">
      <c r="BV70" s="748"/>
      <c r="BW70" s="748"/>
      <c r="BX70" s="748"/>
      <c r="BY70" s="748"/>
      <c r="BZ70" s="748"/>
      <c r="CA70" s="748"/>
      <c r="CB70" s="748"/>
      <c r="CC70" s="748"/>
      <c r="CD70" s="748"/>
      <c r="CE70" s="748"/>
      <c r="CF70" s="748"/>
      <c r="CG70" s="748"/>
      <c r="CH70" s="748"/>
      <c r="CI70" s="748"/>
      <c r="CJ70" s="748"/>
      <c r="CK70" s="748"/>
      <c r="CL70" s="748"/>
      <c r="CM70" s="748"/>
      <c r="CN70" s="748"/>
      <c r="CO70" s="748"/>
      <c r="CP70" s="748"/>
      <c r="CQ70" s="748"/>
      <c r="CR70" s="748"/>
      <c r="CS70" s="748"/>
    </row>
    <row r="71" spans="2:97" s="154" customFormat="1">
      <c r="BV71" s="748"/>
      <c r="BW71" s="748"/>
      <c r="BX71" s="748"/>
      <c r="BY71" s="748"/>
      <c r="BZ71" s="748"/>
      <c r="CA71" s="748"/>
      <c r="CB71" s="748"/>
      <c r="CC71" s="748"/>
      <c r="CD71" s="748"/>
      <c r="CE71" s="748"/>
      <c r="CF71" s="748"/>
      <c r="CG71" s="748"/>
      <c r="CH71" s="748"/>
      <c r="CI71" s="748"/>
      <c r="CJ71" s="748"/>
      <c r="CK71" s="748"/>
      <c r="CL71" s="748"/>
      <c r="CM71" s="748"/>
      <c r="CN71" s="748"/>
      <c r="CO71" s="748"/>
      <c r="CP71" s="748"/>
      <c r="CQ71" s="748"/>
      <c r="CR71" s="748"/>
      <c r="CS71" s="748"/>
    </row>
    <row r="72" spans="2:97" s="154" customFormat="1">
      <c r="BV72" s="748"/>
      <c r="BW72" s="748"/>
      <c r="BX72" s="748"/>
      <c r="BY72" s="748"/>
      <c r="BZ72" s="748"/>
      <c r="CA72" s="748"/>
      <c r="CB72" s="748"/>
      <c r="CC72" s="748"/>
      <c r="CD72" s="748"/>
      <c r="CE72" s="748"/>
      <c r="CF72" s="748"/>
      <c r="CG72" s="748"/>
      <c r="CH72" s="748"/>
      <c r="CI72" s="748"/>
      <c r="CJ72" s="748"/>
      <c r="CK72" s="748"/>
      <c r="CL72" s="748"/>
      <c r="CM72" s="748"/>
      <c r="CN72" s="748"/>
      <c r="CO72" s="748"/>
      <c r="CP72" s="748"/>
      <c r="CQ72" s="748"/>
      <c r="CR72" s="748"/>
      <c r="CS72" s="748"/>
    </row>
    <row r="73" spans="2:97" s="154" customFormat="1">
      <c r="BV73" s="748"/>
      <c r="BW73" s="748"/>
      <c r="BX73" s="748"/>
      <c r="BY73" s="748"/>
      <c r="BZ73" s="748"/>
      <c r="CA73" s="748"/>
      <c r="CB73" s="748"/>
      <c r="CC73" s="748"/>
      <c r="CD73" s="748"/>
      <c r="CE73" s="748"/>
      <c r="CF73" s="748"/>
      <c r="CG73" s="748"/>
      <c r="CH73" s="748"/>
      <c r="CI73" s="748"/>
      <c r="CJ73" s="748"/>
      <c r="CK73" s="748"/>
      <c r="CL73" s="748"/>
      <c r="CM73" s="748"/>
      <c r="CN73" s="748"/>
      <c r="CO73" s="748"/>
      <c r="CP73" s="748"/>
      <c r="CQ73" s="748"/>
      <c r="CR73" s="748"/>
      <c r="CS73" s="748"/>
    </row>
    <row r="74" spans="2:97" s="154" customFormat="1">
      <c r="BV74" s="748"/>
      <c r="BW74" s="748"/>
      <c r="BX74" s="748"/>
      <c r="BY74" s="748"/>
      <c r="BZ74" s="748"/>
      <c r="CA74" s="748"/>
      <c r="CB74" s="748"/>
      <c r="CC74" s="748"/>
      <c r="CD74" s="748"/>
      <c r="CE74" s="748"/>
      <c r="CF74" s="748"/>
      <c r="CG74" s="748"/>
      <c r="CH74" s="748"/>
      <c r="CI74" s="748"/>
      <c r="CJ74" s="748"/>
      <c r="CK74" s="748"/>
      <c r="CL74" s="748"/>
      <c r="CM74" s="748"/>
      <c r="CN74" s="748"/>
      <c r="CO74" s="748"/>
      <c r="CP74" s="748"/>
      <c r="CQ74" s="748"/>
      <c r="CR74" s="748"/>
      <c r="CS74" s="748"/>
    </row>
    <row r="75" spans="2:97" s="154" customFormat="1">
      <c r="BV75" s="748"/>
      <c r="BW75" s="748"/>
      <c r="BX75" s="748"/>
      <c r="BY75" s="748"/>
      <c r="BZ75" s="748"/>
      <c r="CA75" s="748"/>
      <c r="CB75" s="748"/>
      <c r="CC75" s="748"/>
      <c r="CD75" s="748"/>
      <c r="CE75" s="748"/>
      <c r="CF75" s="748"/>
      <c r="CG75" s="748"/>
      <c r="CH75" s="748"/>
      <c r="CI75" s="748"/>
      <c r="CJ75" s="748"/>
      <c r="CK75" s="748"/>
      <c r="CL75" s="748"/>
      <c r="CM75" s="748"/>
      <c r="CN75" s="748"/>
      <c r="CO75" s="748"/>
      <c r="CP75" s="748"/>
      <c r="CQ75" s="748"/>
      <c r="CR75" s="748"/>
      <c r="CS75" s="748"/>
    </row>
    <row r="76" spans="2:97" s="154" customFormat="1">
      <c r="BV76" s="748"/>
      <c r="BW76" s="748"/>
      <c r="BX76" s="748"/>
      <c r="BY76" s="748"/>
      <c r="BZ76" s="748"/>
      <c r="CA76" s="748"/>
      <c r="CB76" s="748"/>
      <c r="CC76" s="748"/>
      <c r="CD76" s="748"/>
      <c r="CE76" s="748"/>
      <c r="CF76" s="748"/>
      <c r="CG76" s="748"/>
      <c r="CH76" s="748"/>
      <c r="CI76" s="748"/>
      <c r="CJ76" s="748"/>
      <c r="CK76" s="748"/>
      <c r="CL76" s="748"/>
      <c r="CM76" s="748"/>
      <c r="CN76" s="748"/>
      <c r="CO76" s="748"/>
      <c r="CP76" s="748"/>
      <c r="CQ76" s="748"/>
      <c r="CR76" s="748"/>
      <c r="CS76" s="748"/>
    </row>
    <row r="77" spans="2:97" s="154" customFormat="1">
      <c r="BV77" s="748"/>
      <c r="BW77" s="748"/>
      <c r="BX77" s="748"/>
      <c r="BY77" s="748"/>
      <c r="BZ77" s="748"/>
      <c r="CA77" s="748"/>
      <c r="CB77" s="748"/>
      <c r="CC77" s="748"/>
      <c r="CD77" s="748"/>
      <c r="CE77" s="748"/>
      <c r="CF77" s="748"/>
      <c r="CG77" s="748"/>
      <c r="CH77" s="748"/>
      <c r="CI77" s="748"/>
      <c r="CJ77" s="748"/>
      <c r="CK77" s="748"/>
      <c r="CL77" s="748"/>
      <c r="CM77" s="748"/>
      <c r="CN77" s="748"/>
      <c r="CO77" s="748"/>
      <c r="CP77" s="748"/>
      <c r="CQ77" s="748"/>
      <c r="CR77" s="748"/>
      <c r="CS77" s="748"/>
    </row>
    <row r="78" spans="2:97" s="154" customFormat="1">
      <c r="BV78" s="748"/>
      <c r="BW78" s="748"/>
      <c r="BX78" s="748"/>
      <c r="BY78" s="748"/>
      <c r="BZ78" s="748"/>
      <c r="CA78" s="748"/>
      <c r="CB78" s="748"/>
      <c r="CC78" s="748"/>
      <c r="CD78" s="748"/>
      <c r="CE78" s="748"/>
      <c r="CF78" s="748"/>
      <c r="CG78" s="748"/>
      <c r="CH78" s="748"/>
      <c r="CI78" s="748"/>
      <c r="CJ78" s="748"/>
      <c r="CK78" s="748"/>
      <c r="CL78" s="748"/>
      <c r="CM78" s="748"/>
      <c r="CN78" s="748"/>
      <c r="CO78" s="748"/>
      <c r="CP78" s="748"/>
      <c r="CQ78" s="748"/>
      <c r="CR78" s="748"/>
      <c r="CS78" s="748"/>
    </row>
    <row r="79" spans="2:97" s="154" customFormat="1">
      <c r="BV79" s="748"/>
      <c r="BW79" s="748"/>
      <c r="BX79" s="748"/>
      <c r="BY79" s="748"/>
      <c r="BZ79" s="748"/>
      <c r="CA79" s="748"/>
      <c r="CB79" s="748"/>
      <c r="CC79" s="748"/>
      <c r="CD79" s="748"/>
      <c r="CE79" s="748"/>
      <c r="CF79" s="748"/>
      <c r="CG79" s="748"/>
      <c r="CH79" s="748"/>
      <c r="CI79" s="748"/>
      <c r="CJ79" s="748"/>
      <c r="CK79" s="748"/>
      <c r="CL79" s="748"/>
      <c r="CM79" s="748"/>
      <c r="CN79" s="748"/>
      <c r="CO79" s="748"/>
      <c r="CP79" s="748"/>
      <c r="CQ79" s="748"/>
      <c r="CR79" s="748"/>
      <c r="CS79" s="748"/>
    </row>
    <row r="80" spans="2:97" s="154" customFormat="1">
      <c r="BV80" s="748"/>
      <c r="BW80" s="748"/>
      <c r="BX80" s="748"/>
      <c r="BY80" s="748"/>
      <c r="BZ80" s="748"/>
      <c r="CA80" s="748"/>
      <c r="CB80" s="748"/>
      <c r="CC80" s="748"/>
      <c r="CD80" s="748"/>
      <c r="CE80" s="748"/>
      <c r="CF80" s="748"/>
      <c r="CG80" s="748"/>
      <c r="CH80" s="748"/>
      <c r="CI80" s="748"/>
      <c r="CJ80" s="748"/>
      <c r="CK80" s="748"/>
      <c r="CL80" s="748"/>
      <c r="CM80" s="748"/>
      <c r="CN80" s="748"/>
      <c r="CO80" s="748"/>
      <c r="CP80" s="748"/>
      <c r="CQ80" s="748"/>
      <c r="CR80" s="748"/>
      <c r="CS80" s="748"/>
    </row>
    <row r="81" spans="74:97" s="154" customFormat="1">
      <c r="BV81" s="748"/>
      <c r="BW81" s="748"/>
      <c r="BX81" s="748"/>
      <c r="BY81" s="748"/>
      <c r="BZ81" s="748"/>
      <c r="CA81" s="748"/>
      <c r="CB81" s="748"/>
      <c r="CC81" s="748"/>
      <c r="CD81" s="748"/>
      <c r="CE81" s="748"/>
      <c r="CF81" s="748"/>
      <c r="CG81" s="748"/>
      <c r="CH81" s="748"/>
      <c r="CI81" s="748"/>
      <c r="CJ81" s="748"/>
      <c r="CK81" s="748"/>
      <c r="CL81" s="748"/>
      <c r="CM81" s="748"/>
      <c r="CN81" s="748"/>
      <c r="CO81" s="748"/>
      <c r="CP81" s="748"/>
      <c r="CQ81" s="748"/>
      <c r="CR81" s="748"/>
      <c r="CS81" s="748"/>
    </row>
    <row r="82" spans="74:97" s="154" customFormat="1">
      <c r="BV82" s="748"/>
      <c r="BW82" s="748"/>
      <c r="BX82" s="748"/>
      <c r="BY82" s="748"/>
      <c r="BZ82" s="748"/>
      <c r="CA82" s="748"/>
      <c r="CB82" s="748"/>
      <c r="CC82" s="748"/>
      <c r="CD82" s="748"/>
      <c r="CE82" s="748"/>
      <c r="CF82" s="748"/>
      <c r="CG82" s="748"/>
      <c r="CH82" s="748"/>
      <c r="CI82" s="748"/>
      <c r="CJ82" s="748"/>
      <c r="CK82" s="748"/>
      <c r="CL82" s="748"/>
      <c r="CM82" s="748"/>
      <c r="CN82" s="748"/>
      <c r="CO82" s="748"/>
      <c r="CP82" s="748"/>
      <c r="CQ82" s="748"/>
      <c r="CR82" s="748"/>
      <c r="CS82" s="748"/>
    </row>
    <row r="83" spans="74:97" s="154" customFormat="1">
      <c r="BV83" s="748"/>
      <c r="BW83" s="748"/>
      <c r="BX83" s="748"/>
      <c r="BY83" s="748"/>
      <c r="BZ83" s="748"/>
      <c r="CA83" s="748"/>
      <c r="CB83" s="748"/>
      <c r="CC83" s="748"/>
      <c r="CD83" s="748"/>
      <c r="CE83" s="748"/>
      <c r="CF83" s="748"/>
      <c r="CG83" s="748"/>
      <c r="CH83" s="748"/>
      <c r="CI83" s="748"/>
      <c r="CJ83" s="748"/>
      <c r="CK83" s="748"/>
      <c r="CL83" s="748"/>
      <c r="CM83" s="748"/>
      <c r="CN83" s="748"/>
      <c r="CO83" s="748"/>
      <c r="CP83" s="748"/>
      <c r="CQ83" s="748"/>
      <c r="CR83" s="748"/>
      <c r="CS83" s="748"/>
    </row>
    <row r="84" spans="74:97" s="154" customFormat="1">
      <c r="BV84" s="748"/>
      <c r="BW84" s="748"/>
      <c r="BX84" s="748"/>
      <c r="BY84" s="748"/>
      <c r="BZ84" s="748"/>
      <c r="CA84" s="748"/>
      <c r="CB84" s="748"/>
      <c r="CC84" s="748"/>
      <c r="CD84" s="748"/>
      <c r="CE84" s="748"/>
      <c r="CF84" s="748"/>
      <c r="CG84" s="748"/>
      <c r="CH84" s="748"/>
      <c r="CI84" s="748"/>
      <c r="CJ84" s="748"/>
      <c r="CK84" s="748"/>
      <c r="CL84" s="748"/>
      <c r="CM84" s="748"/>
      <c r="CN84" s="748"/>
      <c r="CO84" s="748"/>
      <c r="CP84" s="748"/>
      <c r="CQ84" s="748"/>
      <c r="CR84" s="748"/>
      <c r="CS84" s="748"/>
    </row>
    <row r="85" spans="74:97" s="154" customFormat="1">
      <c r="BV85" s="748"/>
      <c r="BW85" s="748"/>
      <c r="BX85" s="748"/>
      <c r="BY85" s="748"/>
      <c r="BZ85" s="748"/>
      <c r="CA85" s="748"/>
      <c r="CB85" s="748"/>
      <c r="CC85" s="748"/>
      <c r="CD85" s="748"/>
      <c r="CE85" s="748"/>
      <c r="CF85" s="748"/>
      <c r="CG85" s="748"/>
      <c r="CH85" s="748"/>
      <c r="CI85" s="748"/>
      <c r="CJ85" s="748"/>
      <c r="CK85" s="748"/>
      <c r="CL85" s="748"/>
      <c r="CM85" s="748"/>
      <c r="CN85" s="748"/>
      <c r="CO85" s="748"/>
      <c r="CP85" s="748"/>
      <c r="CQ85" s="748"/>
      <c r="CR85" s="748"/>
      <c r="CS85" s="748"/>
    </row>
    <row r="86" spans="74:97" s="154" customFormat="1">
      <c r="BV86" s="748"/>
      <c r="BW86" s="748"/>
      <c r="BX86" s="748"/>
      <c r="BY86" s="748"/>
      <c r="BZ86" s="748"/>
      <c r="CA86" s="748"/>
      <c r="CB86" s="748"/>
      <c r="CC86" s="748"/>
      <c r="CD86" s="748"/>
      <c r="CE86" s="748"/>
      <c r="CF86" s="748"/>
      <c r="CG86" s="748"/>
      <c r="CH86" s="748"/>
      <c r="CI86" s="748"/>
      <c r="CJ86" s="748"/>
      <c r="CK86" s="748"/>
      <c r="CL86" s="748"/>
      <c r="CM86" s="748"/>
      <c r="CN86" s="748"/>
      <c r="CO86" s="748"/>
      <c r="CP86" s="748"/>
      <c r="CQ86" s="748"/>
      <c r="CR86" s="748"/>
      <c r="CS86" s="748"/>
    </row>
    <row r="87" spans="74:97" s="154" customFormat="1">
      <c r="BV87" s="748"/>
      <c r="BW87" s="748"/>
      <c r="BX87" s="748"/>
      <c r="BY87" s="748"/>
      <c r="BZ87" s="748"/>
      <c r="CA87" s="748"/>
      <c r="CB87" s="748"/>
      <c r="CC87" s="748"/>
      <c r="CD87" s="748"/>
      <c r="CE87" s="748"/>
      <c r="CF87" s="748"/>
      <c r="CG87" s="748"/>
      <c r="CH87" s="748"/>
      <c r="CI87" s="748"/>
      <c r="CJ87" s="748"/>
      <c r="CK87" s="748"/>
      <c r="CL87" s="748"/>
      <c r="CM87" s="748"/>
      <c r="CN87" s="748"/>
      <c r="CO87" s="748"/>
      <c r="CP87" s="748"/>
      <c r="CQ87" s="748"/>
      <c r="CR87" s="748"/>
      <c r="CS87" s="748"/>
    </row>
    <row r="88" spans="74:97" s="154" customFormat="1">
      <c r="BV88" s="748"/>
      <c r="BW88" s="748"/>
      <c r="BX88" s="748"/>
      <c r="BY88" s="748"/>
      <c r="BZ88" s="748"/>
      <c r="CA88" s="748"/>
      <c r="CB88" s="748"/>
      <c r="CC88" s="748"/>
      <c r="CD88" s="748"/>
      <c r="CE88" s="748"/>
      <c r="CF88" s="748"/>
      <c r="CG88" s="748"/>
      <c r="CH88" s="748"/>
      <c r="CI88" s="748"/>
      <c r="CJ88" s="748"/>
      <c r="CK88" s="748"/>
      <c r="CL88" s="748"/>
      <c r="CM88" s="748"/>
      <c r="CN88" s="748"/>
      <c r="CO88" s="748"/>
      <c r="CP88" s="748"/>
      <c r="CQ88" s="748"/>
      <c r="CR88" s="748"/>
      <c r="CS88" s="748"/>
    </row>
    <row r="89" spans="74:97" s="154" customFormat="1">
      <c r="BV89" s="748"/>
      <c r="BW89" s="748"/>
      <c r="BX89" s="748"/>
      <c r="BY89" s="748"/>
      <c r="BZ89" s="748"/>
      <c r="CA89" s="748"/>
      <c r="CB89" s="748"/>
      <c r="CC89" s="748"/>
      <c r="CD89" s="748"/>
      <c r="CE89" s="748"/>
      <c r="CF89" s="748"/>
      <c r="CG89" s="748"/>
      <c r="CH89" s="748"/>
      <c r="CI89" s="748"/>
      <c r="CJ89" s="748"/>
      <c r="CK89" s="748"/>
      <c r="CL89" s="748"/>
      <c r="CM89" s="748"/>
      <c r="CN89" s="748"/>
      <c r="CO89" s="748"/>
      <c r="CP89" s="748"/>
      <c r="CQ89" s="748"/>
      <c r="CR89" s="748"/>
      <c r="CS89" s="748"/>
    </row>
    <row r="90" spans="74:97" s="154" customFormat="1">
      <c r="BV90" s="748"/>
      <c r="BW90" s="748"/>
      <c r="BX90" s="748"/>
      <c r="BY90" s="748"/>
      <c r="BZ90" s="748"/>
      <c r="CA90" s="748"/>
      <c r="CB90" s="748"/>
      <c r="CC90" s="748"/>
      <c r="CD90" s="748"/>
      <c r="CE90" s="748"/>
      <c r="CF90" s="748"/>
      <c r="CG90" s="748"/>
      <c r="CH90" s="748"/>
      <c r="CI90" s="748"/>
      <c r="CJ90" s="748"/>
      <c r="CK90" s="748"/>
      <c r="CL90" s="748"/>
      <c r="CM90" s="748"/>
      <c r="CN90" s="748"/>
      <c r="CO90" s="748"/>
      <c r="CP90" s="748"/>
      <c r="CQ90" s="748"/>
      <c r="CR90" s="748"/>
      <c r="CS90" s="748"/>
    </row>
    <row r="91" spans="74:97" s="154" customFormat="1">
      <c r="BV91" s="748"/>
      <c r="BW91" s="748"/>
      <c r="BX91" s="748"/>
      <c r="BY91" s="748"/>
      <c r="BZ91" s="748"/>
      <c r="CA91" s="748"/>
      <c r="CB91" s="748"/>
      <c r="CC91" s="748"/>
      <c r="CD91" s="748"/>
      <c r="CE91" s="748"/>
      <c r="CF91" s="748"/>
      <c r="CG91" s="748"/>
      <c r="CH91" s="748"/>
      <c r="CI91" s="748"/>
      <c r="CJ91" s="748"/>
      <c r="CK91" s="748"/>
      <c r="CL91" s="748"/>
      <c r="CM91" s="748"/>
      <c r="CN91" s="748"/>
      <c r="CO91" s="748"/>
      <c r="CP91" s="748"/>
      <c r="CQ91" s="748"/>
      <c r="CR91" s="748"/>
      <c r="CS91" s="748"/>
    </row>
    <row r="92" spans="74:97" s="154" customFormat="1">
      <c r="BV92" s="748"/>
      <c r="BW92" s="748"/>
      <c r="BX92" s="748"/>
      <c r="BY92" s="748"/>
      <c r="BZ92" s="748"/>
      <c r="CA92" s="748"/>
      <c r="CB92" s="748"/>
      <c r="CC92" s="748"/>
      <c r="CD92" s="748"/>
      <c r="CE92" s="748"/>
      <c r="CF92" s="748"/>
      <c r="CG92" s="748"/>
      <c r="CH92" s="748"/>
      <c r="CI92" s="748"/>
      <c r="CJ92" s="748"/>
      <c r="CK92" s="748"/>
      <c r="CL92" s="748"/>
      <c r="CM92" s="748"/>
      <c r="CN92" s="748"/>
      <c r="CO92" s="748"/>
      <c r="CP92" s="748"/>
      <c r="CQ92" s="748"/>
      <c r="CR92" s="748"/>
      <c r="CS92" s="748"/>
    </row>
    <row r="93" spans="74:97" s="154" customFormat="1">
      <c r="BV93" s="748"/>
      <c r="BW93" s="748"/>
      <c r="BX93" s="748"/>
      <c r="BY93" s="748"/>
      <c r="BZ93" s="748"/>
      <c r="CA93" s="748"/>
      <c r="CB93" s="748"/>
      <c r="CC93" s="748"/>
      <c r="CD93" s="748"/>
      <c r="CE93" s="748"/>
      <c r="CF93" s="748"/>
      <c r="CG93" s="748"/>
      <c r="CH93" s="748"/>
      <c r="CI93" s="748"/>
      <c r="CJ93" s="748"/>
      <c r="CK93" s="748"/>
      <c r="CL93" s="748"/>
      <c r="CM93" s="748"/>
      <c r="CN93" s="748"/>
      <c r="CO93" s="748"/>
      <c r="CP93" s="748"/>
      <c r="CQ93" s="748"/>
      <c r="CR93" s="748"/>
      <c r="CS93" s="748"/>
    </row>
    <row r="94" spans="74:97" s="154" customFormat="1">
      <c r="BV94" s="748"/>
      <c r="BW94" s="748"/>
      <c r="BX94" s="748"/>
      <c r="BY94" s="748"/>
      <c r="BZ94" s="748"/>
      <c r="CA94" s="748"/>
      <c r="CB94" s="748"/>
      <c r="CC94" s="748"/>
      <c r="CD94" s="748"/>
      <c r="CE94" s="748"/>
      <c r="CF94" s="748"/>
      <c r="CG94" s="748"/>
      <c r="CH94" s="748"/>
      <c r="CI94" s="748"/>
      <c r="CJ94" s="748"/>
      <c r="CK94" s="748"/>
      <c r="CL94" s="748"/>
      <c r="CM94" s="748"/>
      <c r="CN94" s="748"/>
      <c r="CO94" s="748"/>
      <c r="CP94" s="748"/>
      <c r="CQ94" s="748"/>
      <c r="CR94" s="748"/>
      <c r="CS94" s="748"/>
    </row>
    <row r="95" spans="74:97" s="154" customFormat="1">
      <c r="BV95" s="748"/>
      <c r="BW95" s="748"/>
      <c r="BX95" s="748"/>
      <c r="BY95" s="748"/>
      <c r="BZ95" s="748"/>
      <c r="CA95" s="748"/>
      <c r="CB95" s="748"/>
      <c r="CC95" s="748"/>
      <c r="CD95" s="748"/>
      <c r="CE95" s="748"/>
      <c r="CF95" s="748"/>
      <c r="CG95" s="748"/>
      <c r="CH95" s="748"/>
      <c r="CI95" s="748"/>
      <c r="CJ95" s="748"/>
      <c r="CK95" s="748"/>
      <c r="CL95" s="748"/>
      <c r="CM95" s="748"/>
      <c r="CN95" s="748"/>
      <c r="CO95" s="748"/>
      <c r="CP95" s="748"/>
      <c r="CQ95" s="748"/>
      <c r="CR95" s="748"/>
      <c r="CS95" s="748"/>
    </row>
    <row r="96" spans="74:97" s="154" customFormat="1">
      <c r="BW96" s="748"/>
      <c r="BX96" s="748"/>
      <c r="BY96" s="748"/>
      <c r="BZ96" s="748"/>
      <c r="CA96" s="748"/>
      <c r="CB96" s="748"/>
      <c r="CC96" s="748"/>
      <c r="CD96" s="748"/>
      <c r="CE96" s="748"/>
      <c r="CF96" s="748"/>
      <c r="CG96" s="748"/>
      <c r="CH96" s="748"/>
      <c r="CI96" s="748"/>
      <c r="CJ96" s="748"/>
      <c r="CK96" s="748"/>
      <c r="CL96" s="748"/>
      <c r="CM96" s="748"/>
      <c r="CN96" s="748"/>
      <c r="CO96" s="748"/>
      <c r="CP96" s="748"/>
      <c r="CQ96" s="748"/>
      <c r="CR96" s="748"/>
      <c r="CS96" s="748"/>
    </row>
    <row r="97" spans="75:97" s="154" customFormat="1">
      <c r="BW97" s="748"/>
      <c r="BX97" s="748"/>
      <c r="BY97" s="748"/>
      <c r="BZ97" s="748"/>
      <c r="CA97" s="748"/>
      <c r="CB97" s="748"/>
      <c r="CC97" s="748"/>
      <c r="CD97" s="748"/>
      <c r="CE97" s="748"/>
      <c r="CF97" s="748"/>
      <c r="CG97" s="748"/>
      <c r="CH97" s="748"/>
      <c r="CI97" s="748"/>
      <c r="CJ97" s="748"/>
      <c r="CK97" s="748"/>
      <c r="CL97" s="748"/>
      <c r="CM97" s="748"/>
      <c r="CN97" s="748"/>
      <c r="CO97" s="748"/>
      <c r="CP97" s="748"/>
      <c r="CQ97" s="748"/>
      <c r="CR97" s="748"/>
      <c r="CS97" s="748"/>
    </row>
    <row r="98" spans="75:97" s="154" customFormat="1">
      <c r="BW98" s="748"/>
      <c r="BX98" s="748"/>
      <c r="BY98" s="748"/>
      <c r="BZ98" s="748"/>
      <c r="CA98" s="748"/>
      <c r="CB98" s="748"/>
      <c r="CC98" s="748"/>
      <c r="CD98" s="748"/>
      <c r="CE98" s="748"/>
      <c r="CF98" s="748"/>
      <c r="CG98" s="748"/>
      <c r="CH98" s="748"/>
      <c r="CI98" s="748"/>
      <c r="CJ98" s="748"/>
      <c r="CK98" s="748"/>
      <c r="CL98" s="748"/>
      <c r="CM98" s="748"/>
      <c r="CN98" s="748"/>
      <c r="CO98" s="748"/>
      <c r="CP98" s="748"/>
      <c r="CQ98" s="748"/>
      <c r="CR98" s="748"/>
      <c r="CS98" s="748"/>
    </row>
    <row r="99" spans="75:97" s="154" customFormat="1">
      <c r="BW99" s="748"/>
      <c r="BX99" s="748"/>
      <c r="BY99" s="748"/>
      <c r="BZ99" s="748"/>
      <c r="CA99" s="748"/>
      <c r="CB99" s="748"/>
      <c r="CC99" s="748"/>
      <c r="CD99" s="748"/>
      <c r="CE99" s="748"/>
      <c r="CF99" s="748"/>
      <c r="CG99" s="748"/>
      <c r="CH99" s="748"/>
      <c r="CI99" s="748"/>
      <c r="CJ99" s="748"/>
      <c r="CK99" s="748"/>
      <c r="CL99" s="748"/>
      <c r="CM99" s="748"/>
      <c r="CN99" s="748"/>
      <c r="CO99" s="748"/>
      <c r="CP99" s="748"/>
      <c r="CQ99" s="748"/>
      <c r="CR99" s="748"/>
      <c r="CS99" s="748"/>
    </row>
    <row r="100" spans="75:97" s="154" customFormat="1">
      <c r="BW100" s="748"/>
      <c r="BX100" s="748"/>
      <c r="BY100" s="748"/>
      <c r="BZ100" s="748"/>
      <c r="CA100" s="748"/>
      <c r="CB100" s="748"/>
      <c r="CC100" s="748"/>
      <c r="CD100" s="748"/>
      <c r="CE100" s="748"/>
      <c r="CF100" s="748"/>
      <c r="CG100" s="748"/>
      <c r="CH100" s="748"/>
      <c r="CI100" s="748"/>
      <c r="CJ100" s="748"/>
      <c r="CK100" s="748"/>
      <c r="CL100" s="748"/>
      <c r="CM100" s="748"/>
      <c r="CN100" s="748"/>
      <c r="CO100" s="748"/>
      <c r="CP100" s="748"/>
      <c r="CQ100" s="748"/>
      <c r="CR100" s="748"/>
      <c r="CS100" s="748"/>
    </row>
    <row r="101" spans="75:97" s="154" customFormat="1">
      <c r="BW101" s="748"/>
      <c r="BX101" s="748"/>
      <c r="BY101" s="748"/>
      <c r="BZ101" s="748"/>
      <c r="CA101" s="748"/>
      <c r="CB101" s="748"/>
      <c r="CC101" s="748"/>
      <c r="CD101" s="748"/>
      <c r="CE101" s="748"/>
      <c r="CF101" s="748"/>
      <c r="CG101" s="748"/>
      <c r="CH101" s="748"/>
      <c r="CI101" s="748"/>
      <c r="CJ101" s="748"/>
      <c r="CK101" s="748"/>
      <c r="CL101" s="748"/>
      <c r="CM101" s="748"/>
      <c r="CN101" s="748"/>
      <c r="CO101" s="748"/>
      <c r="CP101" s="748"/>
      <c r="CQ101" s="748"/>
      <c r="CR101" s="748"/>
      <c r="CS101" s="748"/>
    </row>
    <row r="102" spans="75:97" s="154" customFormat="1">
      <c r="BW102" s="748"/>
      <c r="BX102" s="748"/>
      <c r="BY102" s="748"/>
      <c r="BZ102" s="748"/>
      <c r="CA102" s="748"/>
      <c r="CB102" s="748"/>
      <c r="CC102" s="748"/>
      <c r="CD102" s="748"/>
      <c r="CE102" s="748"/>
      <c r="CF102" s="748"/>
      <c r="CG102" s="748"/>
      <c r="CH102" s="748"/>
      <c r="CI102" s="748"/>
      <c r="CJ102" s="748"/>
      <c r="CK102" s="748"/>
      <c r="CL102" s="748"/>
      <c r="CM102" s="748"/>
      <c r="CN102" s="748"/>
      <c r="CO102" s="748"/>
      <c r="CP102" s="748"/>
      <c r="CQ102" s="748"/>
      <c r="CR102" s="748"/>
      <c r="CS102" s="748"/>
    </row>
    <row r="103" spans="75:97" s="154" customFormat="1">
      <c r="BW103" s="748"/>
      <c r="BX103" s="748"/>
      <c r="BY103" s="748"/>
      <c r="BZ103" s="748"/>
      <c r="CA103" s="748"/>
      <c r="CB103" s="748"/>
      <c r="CC103" s="748"/>
      <c r="CD103" s="748"/>
      <c r="CE103" s="748"/>
      <c r="CF103" s="748"/>
      <c r="CG103" s="748"/>
      <c r="CH103" s="748"/>
      <c r="CI103" s="748"/>
      <c r="CJ103" s="748"/>
      <c r="CK103" s="748"/>
      <c r="CL103" s="748"/>
      <c r="CM103" s="748"/>
      <c r="CN103" s="748"/>
      <c r="CO103" s="748"/>
      <c r="CP103" s="748"/>
      <c r="CQ103" s="748"/>
      <c r="CR103" s="748"/>
      <c r="CS103" s="748"/>
    </row>
    <row r="104" spans="75:97" s="154" customFormat="1">
      <c r="BW104" s="748"/>
      <c r="BX104" s="748"/>
      <c r="BY104" s="748"/>
      <c r="BZ104" s="748"/>
      <c r="CA104" s="748"/>
      <c r="CB104" s="748"/>
      <c r="CC104" s="748"/>
      <c r="CD104" s="748"/>
      <c r="CE104" s="748"/>
      <c r="CF104" s="748"/>
      <c r="CG104" s="748"/>
      <c r="CH104" s="748"/>
      <c r="CI104" s="748"/>
      <c r="CJ104" s="748"/>
      <c r="CK104" s="748"/>
      <c r="CL104" s="748"/>
      <c r="CM104" s="748"/>
      <c r="CN104" s="748"/>
      <c r="CO104" s="748"/>
      <c r="CP104" s="748"/>
      <c r="CQ104" s="748"/>
      <c r="CR104" s="748"/>
      <c r="CS104" s="748"/>
    </row>
    <row r="105" spans="75:97">
      <c r="BW105" s="748"/>
      <c r="BX105" s="748"/>
      <c r="BY105" s="748"/>
      <c r="BZ105" s="748"/>
      <c r="CA105" s="748"/>
      <c r="CB105" s="748"/>
      <c r="CC105" s="748"/>
      <c r="CD105" s="748"/>
      <c r="CE105" s="748"/>
      <c r="CF105" s="748"/>
      <c r="CG105" s="748"/>
      <c r="CH105" s="748"/>
      <c r="CI105" s="748"/>
      <c r="CJ105" s="748"/>
      <c r="CK105" s="748"/>
      <c r="CL105" s="748"/>
      <c r="CM105" s="748"/>
      <c r="CN105" s="748"/>
      <c r="CO105" s="748"/>
      <c r="CP105" s="748"/>
      <c r="CQ105" s="748"/>
      <c r="CR105" s="748"/>
      <c r="CS105" s="748"/>
    </row>
    <row r="106" spans="75:97">
      <c r="BW106" s="748"/>
      <c r="BX106" s="748"/>
      <c r="BY106" s="748"/>
      <c r="BZ106" s="748"/>
      <c r="CA106" s="748"/>
      <c r="CB106" s="748"/>
      <c r="CC106" s="748"/>
      <c r="CD106" s="748"/>
      <c r="CE106" s="748"/>
      <c r="CF106" s="748"/>
      <c r="CG106" s="748"/>
      <c r="CH106" s="748"/>
      <c r="CI106" s="748"/>
      <c r="CJ106" s="748"/>
      <c r="CK106" s="748"/>
      <c r="CL106" s="748"/>
      <c r="CM106" s="748"/>
      <c r="CN106" s="748"/>
      <c r="CO106" s="748"/>
      <c r="CP106" s="748"/>
      <c r="CQ106" s="748"/>
      <c r="CR106" s="748"/>
      <c r="CS106" s="748"/>
    </row>
    <row r="107" spans="75:97">
      <c r="BW107" s="748"/>
      <c r="BX107" s="748"/>
      <c r="BY107" s="748"/>
      <c r="BZ107" s="748"/>
      <c r="CA107" s="748"/>
      <c r="CB107" s="748"/>
      <c r="CC107" s="748"/>
      <c r="CD107" s="748"/>
      <c r="CE107" s="748"/>
      <c r="CF107" s="748"/>
      <c r="CG107" s="748"/>
      <c r="CH107" s="748"/>
      <c r="CI107" s="748"/>
      <c r="CJ107" s="748"/>
      <c r="CK107" s="748"/>
      <c r="CL107" s="748"/>
      <c r="CM107" s="748"/>
      <c r="CN107" s="748"/>
      <c r="CO107" s="748"/>
      <c r="CP107" s="748"/>
      <c r="CQ107" s="748"/>
      <c r="CR107" s="748"/>
      <c r="CS107" s="748"/>
    </row>
    <row r="108" spans="75:97">
      <c r="BW108" s="748"/>
      <c r="BX108" s="748"/>
      <c r="BY108" s="748"/>
      <c r="BZ108" s="748"/>
      <c r="CA108" s="748"/>
      <c r="CB108" s="748"/>
      <c r="CC108" s="748"/>
      <c r="CD108" s="748"/>
      <c r="CE108" s="748"/>
      <c r="CF108" s="748"/>
      <c r="CG108" s="748"/>
      <c r="CH108" s="748"/>
      <c r="CI108" s="748"/>
      <c r="CJ108" s="748"/>
      <c r="CK108" s="748"/>
      <c r="CL108" s="748"/>
      <c r="CM108" s="748"/>
      <c r="CN108" s="748"/>
      <c r="CO108" s="748"/>
      <c r="CP108" s="748"/>
      <c r="CQ108" s="748"/>
      <c r="CR108" s="748"/>
      <c r="CS108" s="748"/>
    </row>
    <row r="109" spans="75:97">
      <c r="BW109" s="748"/>
      <c r="BX109" s="748"/>
      <c r="BY109" s="748"/>
      <c r="BZ109" s="748"/>
      <c r="CA109" s="748"/>
      <c r="CB109" s="748"/>
      <c r="CC109" s="748"/>
      <c r="CD109" s="748"/>
      <c r="CE109" s="748"/>
      <c r="CF109" s="748"/>
      <c r="CG109" s="748"/>
      <c r="CH109" s="748"/>
      <c r="CI109" s="748"/>
      <c r="CJ109" s="748"/>
      <c r="CK109" s="748"/>
      <c r="CL109" s="748"/>
      <c r="CM109" s="748"/>
      <c r="CN109" s="748"/>
      <c r="CO109" s="748"/>
      <c r="CP109" s="748"/>
      <c r="CQ109" s="748"/>
      <c r="CR109" s="748"/>
      <c r="CS109" s="748"/>
    </row>
    <row r="110" spans="75:97">
      <c r="BW110" s="748"/>
      <c r="BX110" s="748"/>
      <c r="BY110" s="748"/>
      <c r="BZ110" s="748"/>
      <c r="CA110" s="748"/>
      <c r="CB110" s="748"/>
      <c r="CC110" s="748"/>
      <c r="CD110" s="748"/>
      <c r="CE110" s="748"/>
      <c r="CF110" s="748"/>
      <c r="CG110" s="748"/>
      <c r="CH110" s="748"/>
      <c r="CI110" s="748"/>
      <c r="CJ110" s="748"/>
      <c r="CK110" s="748"/>
      <c r="CL110" s="748"/>
      <c r="CM110" s="748"/>
      <c r="CN110" s="748"/>
      <c r="CO110" s="748"/>
      <c r="CP110" s="748"/>
      <c r="CQ110" s="748"/>
      <c r="CR110" s="748"/>
      <c r="CS110" s="748"/>
    </row>
  </sheetData>
  <conditionalFormatting sqref="BR6:BR65">
    <cfRule type="cellIs" dxfId="0" priority="1" operator="equal">
      <formula>"EXPLAIN"</formula>
    </cfRule>
  </conditionalFormatting>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8"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NOTES</vt:lpstr>
      <vt:lpstr>Formulae</vt:lpstr>
      <vt:lpstr>Model update</vt:lpstr>
      <vt:lpstr>Metering</vt:lpstr>
      <vt:lpstr>Prop2018DistTar</vt:lpstr>
      <vt:lpstr>Vol</vt:lpstr>
      <vt:lpstr>2018DistRevCapForm</vt:lpstr>
      <vt:lpstr>2018DistTarRebalCont</vt:lpstr>
      <vt:lpstr>Est2017DistRev</vt:lpstr>
      <vt:lpstr>Prop2018TransTar</vt:lpstr>
      <vt:lpstr>Est2017TransRev</vt:lpstr>
      <vt:lpstr>2018TransRevCont</vt:lpstr>
      <vt:lpstr>TUoS cost audit template</vt:lpstr>
      <vt:lpstr>Prop2018JSTar</vt:lpstr>
      <vt:lpstr>Est2017JSRev</vt:lpstr>
      <vt:lpstr>2018JSRevCont</vt:lpstr>
      <vt:lpstr>JS cost audit template</vt:lpstr>
      <vt:lpstr>Prop2018TSSComp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2017-09-28T01:06:57Z</dcterms:created>
  <dcterms:modified xsi:type="dcterms:W3CDTF">2017-09-28T01:40:33Z</dcterms:modified>
</cp:coreProperties>
</file>