
<file path=[Content_Types].xml><?xml version="1.0" encoding="utf-8"?>
<Types xmlns="http://schemas.openxmlformats.org/package/2006/content-types">
  <Default Extension="bin" ContentType="application/vnd.openxmlformats-officedocument.oleObject"/>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comments1.xml" ContentType="application/vnd.openxmlformats-officedocument.spreadsheetml.comments+xml"/>
  <Override PartName="/xl/printerSettings/printerSettings3.bin" ContentType="application/vnd.openxmlformats-officedocument.spreadsheetml.printerSettings"/>
  <Override PartName="/xl/comments2.xml" ContentType="application/vnd.openxmlformats-officedocument.spreadsheetml.comments+xml"/>
  <Override PartName="/xl/printerSettings/printerSettings4.bin" ContentType="application/vnd.openxmlformats-officedocument.spreadsheetml.printerSettings"/>
  <Override PartName="/xl/comments3.xml" ContentType="application/vnd.openxmlformats-officedocument.spreadsheetml.comments+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comments4.xml" ContentType="application/vnd.openxmlformats-officedocument.spreadsheetml.comments+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comments5.xml" ContentType="application/vnd.openxmlformats-officedocument.spreadsheetml.comments+xml"/>
  <Override PartName="/xl/printerSettings/printerSettings11.bin" ContentType="application/vnd.openxmlformats-officedocument.spreadsheetml.printerSettings"/>
  <Override PartName="/xl/printerSettings/printerSettings12.bin" ContentType="application/vnd.openxmlformats-officedocument.spreadsheetml.printerSettings"/>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240" yWindow="-15" windowWidth="20115" windowHeight="9165" tabRatio="864"/>
  </bookViews>
  <sheets>
    <sheet name="NOTES" sheetId="29" r:id="rId1"/>
    <sheet name="Formulae" sheetId="1" r:id="rId2"/>
    <sheet name="Model update" sheetId="4" r:id="rId3"/>
    <sheet name="Metering" sheetId="28" r:id="rId4"/>
    <sheet name="Prop2019DistTar" sheetId="5" r:id="rId5"/>
    <sheet name="2019DistRevCapForm" sheetId="2" r:id="rId6"/>
    <sheet name="2019DistTarRebalCont" sheetId="9" r:id="rId7"/>
    <sheet name="Est2018DistRev" sheetId="13" r:id="rId8"/>
    <sheet name="Prop2019TransTar" sheetId="15" r:id="rId9"/>
    <sheet name="Est2018TransRev" sheetId="14" r:id="rId10"/>
    <sheet name="2019TransRevCont" sheetId="23" r:id="rId11"/>
    <sheet name="TUoS cost audit template" sheetId="20" r:id="rId12"/>
    <sheet name="Prop2019JSTar" sheetId="17" r:id="rId13"/>
    <sheet name="Est2018JSRev" sheetId="18" r:id="rId14"/>
    <sheet name="2019JSRevCont" sheetId="27" r:id="rId15"/>
    <sheet name="JS cost audit template" sheetId="24" r:id="rId16"/>
    <sheet name="Prop2019TSSComp" sheetId="30" r:id="rId17"/>
    <sheet name="Indicative prices for 2020" sheetId="32" r:id="rId18"/>
  </sheets>
  <definedNames>
    <definedName name="_xlnm._FilterDatabase" localSheetId="6" hidden="1">'2019DistTarRebalCont'!$B$38:$DO$98</definedName>
    <definedName name="_xlnm.Print_Area" localSheetId="16">Prop2019TSSComp!$B$1:$AS$42</definedName>
    <definedName name="solver_adj" localSheetId="10" hidden="1">'2019TransRevCont'!$E$9</definedName>
    <definedName name="solver_adj" localSheetId="3" hidden="1">Metering!$F$22</definedName>
    <definedName name="solver_adj" localSheetId="4" hidden="1">Prop2019DistTar!$D$1</definedName>
    <definedName name="solver_cvg" localSheetId="10" hidden="1">0.0001</definedName>
    <definedName name="solver_cvg" localSheetId="3" hidden="1">0.0001</definedName>
    <definedName name="solver_cvg" localSheetId="4" hidden="1">0.0001</definedName>
    <definedName name="solver_drv" localSheetId="10" hidden="1">2</definedName>
    <definedName name="solver_drv" localSheetId="3" hidden="1">1</definedName>
    <definedName name="solver_drv" localSheetId="4" hidden="1">1</definedName>
    <definedName name="solver_eng" localSheetId="10" hidden="1">1</definedName>
    <definedName name="solver_eng" localSheetId="3" hidden="1">3</definedName>
    <definedName name="solver_eng" localSheetId="4" hidden="1">1</definedName>
    <definedName name="solver_est" localSheetId="10" hidden="1">1</definedName>
    <definedName name="solver_est" localSheetId="3" hidden="1">1</definedName>
    <definedName name="solver_est" localSheetId="4" hidden="1">1</definedName>
    <definedName name="solver_itr" localSheetId="10" hidden="1">2147483647</definedName>
    <definedName name="solver_itr" localSheetId="3" hidden="1">2147483647</definedName>
    <definedName name="solver_itr" localSheetId="4" hidden="1">2147483647</definedName>
    <definedName name="solver_lhs1" localSheetId="10" hidden="1">'2019TransRevCont'!$C$9</definedName>
    <definedName name="solver_lhs1" localSheetId="3" hidden="1">Metering!$F$22</definedName>
    <definedName name="solver_lhs2" localSheetId="10" hidden="1">'2019TransRevCont'!$E$9</definedName>
    <definedName name="solver_lhs2" localSheetId="3" hidden="1">Metering!$F$22</definedName>
    <definedName name="solver_lhs3" localSheetId="10" hidden="1">'2019TransRevCont'!$E$9</definedName>
    <definedName name="solver_mip" localSheetId="10" hidden="1">2147483647</definedName>
    <definedName name="solver_mip" localSheetId="3" hidden="1">2147483647</definedName>
    <definedName name="solver_mip" localSheetId="4" hidden="1">2147483647</definedName>
    <definedName name="solver_mni" localSheetId="10" hidden="1">30</definedName>
    <definedName name="solver_mni" localSheetId="3" hidden="1">30</definedName>
    <definedName name="solver_mni" localSheetId="4" hidden="1">30</definedName>
    <definedName name="solver_mrt" localSheetId="10" hidden="1">0.075</definedName>
    <definedName name="solver_mrt" localSheetId="3" hidden="1">0.075</definedName>
    <definedName name="solver_mrt" localSheetId="4" hidden="1">0.075</definedName>
    <definedName name="solver_msl" localSheetId="10" hidden="1">2</definedName>
    <definedName name="solver_msl" localSheetId="3" hidden="1">2</definedName>
    <definedName name="solver_msl" localSheetId="4" hidden="1">2</definedName>
    <definedName name="solver_neg" localSheetId="10" hidden="1">1</definedName>
    <definedName name="solver_neg" localSheetId="3" hidden="1">1</definedName>
    <definedName name="solver_neg" localSheetId="4" hidden="1">1</definedName>
    <definedName name="solver_nod" localSheetId="10" hidden="1">2147483647</definedName>
    <definedName name="solver_nod" localSheetId="3" hidden="1">2147483647</definedName>
    <definedName name="solver_nod" localSheetId="4" hidden="1">2147483647</definedName>
    <definedName name="solver_num" localSheetId="10" hidden="1">3</definedName>
    <definedName name="solver_num" localSheetId="3" hidden="1">2</definedName>
    <definedName name="solver_num" localSheetId="4" hidden="1">0</definedName>
    <definedName name="solver_nwt" localSheetId="10" hidden="1">1</definedName>
    <definedName name="solver_nwt" localSheetId="3" hidden="1">1</definedName>
    <definedName name="solver_nwt" localSheetId="4" hidden="1">1</definedName>
    <definedName name="solver_opt" localSheetId="10" hidden="1">'2019TransRevCont'!$E$10</definedName>
    <definedName name="solver_opt" localSheetId="3" hidden="1">Metering!$F$23</definedName>
    <definedName name="solver_opt" localSheetId="4" hidden="1">Prop2019DistTar!$E$1</definedName>
    <definedName name="solver_pre" localSheetId="10" hidden="1">0.000001</definedName>
    <definedName name="solver_pre" localSheetId="3" hidden="1">0.000001</definedName>
    <definedName name="solver_pre" localSheetId="4" hidden="1">0.000001</definedName>
    <definedName name="solver_rbv" localSheetId="10" hidden="1">2</definedName>
    <definedName name="solver_rbv" localSheetId="3" hidden="1">1</definedName>
    <definedName name="solver_rbv" localSheetId="4" hidden="1">1</definedName>
    <definedName name="solver_rel1" localSheetId="10" hidden="1">1</definedName>
    <definedName name="solver_rel1" localSheetId="3" hidden="1">1</definedName>
    <definedName name="solver_rel2" localSheetId="10" hidden="1">1</definedName>
    <definedName name="solver_rel2" localSheetId="3" hidden="1">3</definedName>
    <definedName name="solver_rel3" localSheetId="10" hidden="1">3</definedName>
    <definedName name="solver_rhs1" localSheetId="10" hidden="1">'2019TransRevCont'!$C$10</definedName>
    <definedName name="solver_rhs1" localSheetId="3" hidden="1">2</definedName>
    <definedName name="solver_rhs2" localSheetId="10" hidden="1">2</definedName>
    <definedName name="solver_rhs2" localSheetId="3" hidden="1">0</definedName>
    <definedName name="solver_rhs3" localSheetId="10" hidden="1">0</definedName>
    <definedName name="solver_rlx" localSheetId="10" hidden="1">2</definedName>
    <definedName name="solver_rlx" localSheetId="3" hidden="1">2</definedName>
    <definedName name="solver_rlx" localSheetId="4" hidden="1">2</definedName>
    <definedName name="solver_rsd" localSheetId="10" hidden="1">0</definedName>
    <definedName name="solver_rsd" localSheetId="3" hidden="1">0</definedName>
    <definedName name="solver_rsd" localSheetId="4" hidden="1">0</definedName>
    <definedName name="solver_scl" localSheetId="10" hidden="1">2</definedName>
    <definedName name="solver_scl" localSheetId="3" hidden="1">1</definedName>
    <definedName name="solver_scl" localSheetId="4" hidden="1">1</definedName>
    <definedName name="solver_sho" localSheetId="10" hidden="1">2</definedName>
    <definedName name="solver_sho" localSheetId="3" hidden="1">2</definedName>
    <definedName name="solver_sho" localSheetId="4" hidden="1">2</definedName>
    <definedName name="solver_ssz" localSheetId="10" hidden="1">100</definedName>
    <definedName name="solver_ssz" localSheetId="3" hidden="1">100</definedName>
    <definedName name="solver_ssz" localSheetId="4" hidden="1">100</definedName>
    <definedName name="solver_tim" localSheetId="10" hidden="1">2147483647</definedName>
    <definedName name="solver_tim" localSheetId="3" hidden="1">2147483647</definedName>
    <definedName name="solver_tim" localSheetId="4" hidden="1">2147483647</definedName>
    <definedName name="solver_tol" localSheetId="10" hidden="1">0.01</definedName>
    <definedName name="solver_tol" localSheetId="3" hidden="1">0.01</definedName>
    <definedName name="solver_tol" localSheetId="4" hidden="1">0.01</definedName>
    <definedName name="solver_typ" localSheetId="10" hidden="1">2</definedName>
    <definedName name="solver_typ" localSheetId="3" hidden="1">2</definedName>
    <definedName name="solver_typ" localSheetId="4" hidden="1">2</definedName>
    <definedName name="solver_val" localSheetId="10" hidden="1">0</definedName>
    <definedName name="solver_val" localSheetId="3" hidden="1">0</definedName>
    <definedName name="solver_val" localSheetId="4" hidden="1">0</definedName>
    <definedName name="solver_ver" localSheetId="10" hidden="1">3</definedName>
    <definedName name="solver_ver" localSheetId="3" hidden="1">3</definedName>
    <definedName name="solver_ver" localSheetId="4" hidden="1">3</definedName>
  </definedNames>
  <calcPr calcId="145621"/>
</workbook>
</file>

<file path=xl/calcChain.xml><?xml version="1.0" encoding="utf-8"?>
<calcChain xmlns="http://schemas.openxmlformats.org/spreadsheetml/2006/main">
  <c r="A111" i="4" l="1"/>
  <c r="A109" i="4"/>
  <c r="A108" i="4"/>
  <c r="A107" i="4"/>
  <c r="A106" i="4"/>
  <c r="A105" i="4"/>
  <c r="H111" i="4" s="1"/>
  <c r="F104" i="4"/>
  <c r="G104" i="4" s="1"/>
  <c r="H104" i="4" s="1"/>
  <c r="E104" i="4"/>
  <c r="B109" i="4" s="1"/>
  <c r="B104" i="4"/>
  <c r="B108" i="4" l="1"/>
  <c r="B107" i="4"/>
  <c r="F111" i="4"/>
  <c r="B105" i="4"/>
  <c r="E111" i="4"/>
  <c r="B106" i="4"/>
  <c r="B111" i="4" s="1"/>
  <c r="G111" i="4"/>
  <c r="D111" i="4"/>
  <c r="B83" i="4" l="1"/>
  <c r="A83" i="4"/>
  <c r="B82" i="4"/>
  <c r="A82" i="4"/>
  <c r="B81" i="4"/>
  <c r="A81" i="4"/>
  <c r="B80" i="4"/>
  <c r="A80" i="4"/>
  <c r="B79" i="4"/>
  <c r="A79" i="4"/>
  <c r="B70" i="4"/>
  <c r="B69" i="4"/>
  <c r="B68" i="4"/>
  <c r="B67" i="4"/>
  <c r="B66" i="4"/>
  <c r="B58" i="4"/>
  <c r="B57" i="4"/>
  <c r="B56" i="4"/>
  <c r="B55" i="4"/>
  <c r="B54" i="4"/>
  <c r="B41" i="4"/>
  <c r="A41" i="4"/>
  <c r="B40" i="4"/>
  <c r="A40" i="4"/>
  <c r="B39" i="4"/>
  <c r="A39" i="4"/>
  <c r="B38" i="4"/>
  <c r="A38" i="4"/>
  <c r="B37" i="4"/>
  <c r="A37" i="4"/>
  <c r="A8" i="29" l="1"/>
  <c r="A10" i="29" s="1"/>
  <c r="A12" i="29" s="1"/>
  <c r="A14" i="29" s="1"/>
  <c r="A16" i="29" s="1"/>
  <c r="A18" i="29" s="1"/>
  <c r="A20" i="29" s="1"/>
  <c r="A22" i="29" s="1"/>
  <c r="A24" i="29" s="1"/>
  <c r="A26" i="29" s="1"/>
  <c r="A28" i="29" s="1"/>
  <c r="A30" i="29" s="1"/>
  <c r="A32" i="29" s="1"/>
  <c r="A34" i="29" s="1"/>
  <c r="D4" i="32" l="1"/>
  <c r="Z4" i="30" l="1"/>
  <c r="B3" i="30"/>
  <c r="B3" i="32" l="1"/>
  <c r="AW4" i="30"/>
  <c r="D4" i="30"/>
  <c r="B42" i="32" l="1"/>
  <c r="B41" i="32"/>
  <c r="B40" i="32"/>
  <c r="B39" i="32"/>
  <c r="B38" i="32"/>
  <c r="B35" i="32"/>
  <c r="B34" i="32"/>
  <c r="B33" i="32"/>
  <c r="B32" i="32"/>
  <c r="B31" i="32"/>
  <c r="B30" i="32"/>
  <c r="B29" i="32"/>
  <c r="B28" i="32"/>
  <c r="B27" i="32"/>
  <c r="B24" i="32"/>
  <c r="B23" i="32"/>
  <c r="B22" i="32"/>
  <c r="B21" i="32"/>
  <c r="B20" i="32"/>
  <c r="B19" i="32"/>
  <c r="B16" i="32"/>
  <c r="B15" i="32"/>
  <c r="B12" i="32"/>
  <c r="B11" i="32"/>
  <c r="B10" i="32"/>
  <c r="B9" i="32"/>
  <c r="B8" i="32"/>
  <c r="B7" i="32"/>
  <c r="AW57" i="30" l="1"/>
  <c r="AX57" i="30"/>
  <c r="AY57" i="30"/>
  <c r="BR57" i="30" s="1" a="1"/>
  <c r="BR57" i="30" s="1"/>
  <c r="AZ57" i="30"/>
  <c r="BA57" i="30"/>
  <c r="BB57" i="30"/>
  <c r="BC57" i="30"/>
  <c r="BD57" i="30"/>
  <c r="BE57" i="30"/>
  <c r="BF57" i="30"/>
  <c r="BG57" i="30"/>
  <c r="BH57" i="30"/>
  <c r="BI57" i="30"/>
  <c r="BJ57" i="30"/>
  <c r="BK57" i="30"/>
  <c r="BL57" i="30"/>
  <c r="BM57" i="30"/>
  <c r="BN57" i="30"/>
  <c r="BO57" i="30"/>
  <c r="BP57" i="30"/>
  <c r="BQ57" i="30"/>
  <c r="AW58" i="30"/>
  <c r="AX58" i="30"/>
  <c r="AY58" i="30"/>
  <c r="AZ58" i="30"/>
  <c r="BA58" i="30"/>
  <c r="BB58" i="30"/>
  <c r="BC58" i="30"/>
  <c r="BD58" i="30"/>
  <c r="BE58" i="30"/>
  <c r="BF58" i="30"/>
  <c r="BG58" i="30"/>
  <c r="BH58" i="30"/>
  <c r="BI58" i="30"/>
  <c r="BJ58" i="30"/>
  <c r="BK58" i="30"/>
  <c r="BL58" i="30"/>
  <c r="BM58" i="30"/>
  <c r="BN58" i="30"/>
  <c r="BO58" i="30"/>
  <c r="BP58" i="30"/>
  <c r="BQ58" i="30"/>
  <c r="AW59" i="30"/>
  <c r="AX59" i="30"/>
  <c r="AY59" i="30"/>
  <c r="AZ59" i="30"/>
  <c r="BA59" i="30"/>
  <c r="BB59" i="30"/>
  <c r="BC59" i="30"/>
  <c r="BD59" i="30"/>
  <c r="BE59" i="30"/>
  <c r="BF59" i="30"/>
  <c r="BG59" i="30"/>
  <c r="BH59" i="30"/>
  <c r="BI59" i="30"/>
  <c r="BJ59" i="30"/>
  <c r="BK59" i="30"/>
  <c r="BL59" i="30"/>
  <c r="BM59" i="30"/>
  <c r="BN59" i="30"/>
  <c r="BO59" i="30"/>
  <c r="BP59" i="30"/>
  <c r="BQ59" i="30"/>
  <c r="AW60" i="30"/>
  <c r="AX60" i="30"/>
  <c r="AY60" i="30"/>
  <c r="AZ60" i="30"/>
  <c r="BA60" i="30"/>
  <c r="BB60" i="30"/>
  <c r="BC60" i="30"/>
  <c r="BD60" i="30"/>
  <c r="BE60" i="30"/>
  <c r="BF60" i="30"/>
  <c r="BG60" i="30"/>
  <c r="BH60" i="30"/>
  <c r="BI60" i="30"/>
  <c r="BJ60" i="30"/>
  <c r="BK60" i="30"/>
  <c r="BL60" i="30"/>
  <c r="BM60" i="30"/>
  <c r="BN60" i="30"/>
  <c r="BO60" i="30"/>
  <c r="BP60" i="30"/>
  <c r="BQ60" i="30"/>
  <c r="AW61" i="30"/>
  <c r="AX61" i="30"/>
  <c r="AY61" i="30"/>
  <c r="AZ61" i="30"/>
  <c r="BA61" i="30"/>
  <c r="BB61" i="30"/>
  <c r="BC61" i="30"/>
  <c r="BD61" i="30"/>
  <c r="BE61" i="30"/>
  <c r="BF61" i="30"/>
  <c r="BG61" i="30"/>
  <c r="BH61" i="30"/>
  <c r="BI61" i="30"/>
  <c r="BJ61" i="30"/>
  <c r="BK61" i="30"/>
  <c r="BL61" i="30"/>
  <c r="BM61" i="30"/>
  <c r="BN61" i="30"/>
  <c r="BO61" i="30"/>
  <c r="BP61" i="30"/>
  <c r="BQ61" i="30"/>
  <c r="AW62" i="30"/>
  <c r="AX62" i="30"/>
  <c r="AY62" i="30"/>
  <c r="AZ62" i="30"/>
  <c r="BA62" i="30"/>
  <c r="BB62" i="30"/>
  <c r="BC62" i="30"/>
  <c r="BD62" i="30"/>
  <c r="BE62" i="30"/>
  <c r="BF62" i="30"/>
  <c r="BG62" i="30"/>
  <c r="BH62" i="30"/>
  <c r="BI62" i="30"/>
  <c r="BJ62" i="30"/>
  <c r="BK62" i="30"/>
  <c r="BL62" i="30"/>
  <c r="BM62" i="30"/>
  <c r="BN62" i="30"/>
  <c r="BO62" i="30"/>
  <c r="BP62" i="30"/>
  <c r="BQ62" i="30"/>
  <c r="AW63" i="30"/>
  <c r="AX63" i="30"/>
  <c r="AY63" i="30"/>
  <c r="AZ63" i="30"/>
  <c r="BA63" i="30"/>
  <c r="BB63" i="30"/>
  <c r="BC63" i="30"/>
  <c r="BD63" i="30"/>
  <c r="BE63" i="30"/>
  <c r="BF63" i="30"/>
  <c r="BG63" i="30"/>
  <c r="BH63" i="30"/>
  <c r="BI63" i="30"/>
  <c r="BJ63" i="30"/>
  <c r="BK63" i="30"/>
  <c r="BL63" i="30"/>
  <c r="BM63" i="30"/>
  <c r="BN63" i="30"/>
  <c r="BO63" i="30"/>
  <c r="BP63" i="30"/>
  <c r="BQ63" i="30"/>
  <c r="AW64" i="30"/>
  <c r="AX64" i="30"/>
  <c r="AY64" i="30"/>
  <c r="AZ64" i="30"/>
  <c r="BA64" i="30"/>
  <c r="BB64" i="30"/>
  <c r="BC64" i="30"/>
  <c r="BD64" i="30"/>
  <c r="BE64" i="30"/>
  <c r="BF64" i="30"/>
  <c r="BG64" i="30"/>
  <c r="BH64" i="30"/>
  <c r="BI64" i="30"/>
  <c r="BJ64" i="30"/>
  <c r="BK64" i="30"/>
  <c r="BL64" i="30"/>
  <c r="BM64" i="30"/>
  <c r="BN64" i="30"/>
  <c r="BO64" i="30"/>
  <c r="BP64" i="30"/>
  <c r="BQ64" i="30"/>
  <c r="AW65" i="30"/>
  <c r="AX65" i="30"/>
  <c r="AY65" i="30"/>
  <c r="AZ65" i="30"/>
  <c r="BA65" i="30"/>
  <c r="BB65" i="30"/>
  <c r="BC65" i="30"/>
  <c r="BD65" i="30"/>
  <c r="BE65" i="30"/>
  <c r="BF65" i="30"/>
  <c r="BG65" i="30"/>
  <c r="BH65" i="30"/>
  <c r="BI65" i="30"/>
  <c r="BJ65" i="30"/>
  <c r="BK65" i="30"/>
  <c r="BL65" i="30"/>
  <c r="BM65" i="30"/>
  <c r="BN65" i="30"/>
  <c r="BO65" i="30"/>
  <c r="BP65" i="30"/>
  <c r="BQ65" i="30"/>
  <c r="BR64" i="30" l="1" a="1"/>
  <c r="BR64" i="30" s="1"/>
  <c r="BR62" i="30" a="1"/>
  <c r="BR62" i="30" s="1"/>
  <c r="BR65" i="30" a="1"/>
  <c r="BR65" i="30" s="1"/>
  <c r="BR63" i="30" a="1"/>
  <c r="BR63" i="30" s="1"/>
  <c r="BR61" i="30" a="1"/>
  <c r="BR61" i="30" s="1"/>
  <c r="BR59" i="30" a="1"/>
  <c r="BR59" i="30" s="1"/>
  <c r="BR60" i="30" a="1"/>
  <c r="BR60" i="30" s="1"/>
  <c r="BR58" i="30" a="1"/>
  <c r="BR58" i="30" s="1"/>
  <c r="BQ46" i="30"/>
  <c r="BP46" i="30"/>
  <c r="BO46" i="30"/>
  <c r="BN46" i="30"/>
  <c r="BM46" i="30"/>
  <c r="BL46" i="30"/>
  <c r="BK46" i="30"/>
  <c r="BJ46" i="30"/>
  <c r="BI46" i="30"/>
  <c r="BH46" i="30"/>
  <c r="BG46" i="30"/>
  <c r="BF46" i="30"/>
  <c r="BE46" i="30"/>
  <c r="BD46" i="30"/>
  <c r="BC46" i="30"/>
  <c r="BB46" i="30"/>
  <c r="BA46" i="30"/>
  <c r="AZ46" i="30"/>
  <c r="AY46" i="30"/>
  <c r="AX46" i="30"/>
  <c r="AW46" i="30"/>
  <c r="BQ45" i="30"/>
  <c r="BP45" i="30"/>
  <c r="BO45" i="30"/>
  <c r="BN45" i="30"/>
  <c r="BM45" i="30"/>
  <c r="BL45" i="30"/>
  <c r="BK45" i="30"/>
  <c r="BJ45" i="30"/>
  <c r="BI45" i="30"/>
  <c r="BH45" i="30"/>
  <c r="BG45" i="30"/>
  <c r="BF45" i="30"/>
  <c r="BE45" i="30"/>
  <c r="BD45" i="30"/>
  <c r="BC45" i="30"/>
  <c r="BB45" i="30"/>
  <c r="BA45" i="30"/>
  <c r="AZ45" i="30"/>
  <c r="AY45" i="30"/>
  <c r="AX45" i="30"/>
  <c r="AW45" i="30"/>
  <c r="BQ44" i="30"/>
  <c r="BP44" i="30"/>
  <c r="BO44" i="30"/>
  <c r="BN44" i="30"/>
  <c r="BM44" i="30"/>
  <c r="BL44" i="30"/>
  <c r="BK44" i="30"/>
  <c r="BJ44" i="30"/>
  <c r="BI44" i="30"/>
  <c r="BH44" i="30"/>
  <c r="BG44" i="30"/>
  <c r="BF44" i="30"/>
  <c r="BE44" i="30"/>
  <c r="BD44" i="30"/>
  <c r="BC44" i="30"/>
  <c r="BB44" i="30"/>
  <c r="BA44" i="30"/>
  <c r="AZ44" i="30"/>
  <c r="AY44" i="30"/>
  <c r="AX44" i="30"/>
  <c r="AW44" i="30"/>
  <c r="BQ43" i="30"/>
  <c r="BP43" i="30"/>
  <c r="BO43" i="30"/>
  <c r="BN43" i="30"/>
  <c r="BM43" i="30"/>
  <c r="BL43" i="30"/>
  <c r="BK43" i="30"/>
  <c r="BJ43" i="30"/>
  <c r="BI43" i="30"/>
  <c r="BH43" i="30"/>
  <c r="BG43" i="30"/>
  <c r="BF43" i="30"/>
  <c r="BE43" i="30"/>
  <c r="BD43" i="30"/>
  <c r="BC43" i="30"/>
  <c r="BB43" i="30"/>
  <c r="BA43" i="30"/>
  <c r="AZ43" i="30"/>
  <c r="AY43" i="30"/>
  <c r="AX43" i="30"/>
  <c r="AW43" i="30"/>
  <c r="BQ6" i="30"/>
  <c r="BP6" i="30"/>
  <c r="BO6" i="30"/>
  <c r="BN6" i="30"/>
  <c r="BM6" i="30"/>
  <c r="BL6" i="30"/>
  <c r="BK6" i="30"/>
  <c r="BJ6" i="30"/>
  <c r="BI6" i="30"/>
  <c r="BH6" i="30"/>
  <c r="BG6" i="30"/>
  <c r="BF6" i="30"/>
  <c r="BE6" i="30"/>
  <c r="BD6" i="30"/>
  <c r="BC6" i="30"/>
  <c r="BB6" i="30"/>
  <c r="BA6" i="30"/>
  <c r="AZ6" i="30"/>
  <c r="AY6" i="30"/>
  <c r="AX6" i="30"/>
  <c r="AW6" i="30"/>
  <c r="BR46" i="30" l="1" a="1"/>
  <c r="BR46" i="30" s="1"/>
  <c r="BR45" i="30" a="1"/>
  <c r="BR45" i="30" s="1"/>
  <c r="BR43" i="30" a="1"/>
  <c r="BR43" i="30" s="1"/>
  <c r="BR44" i="30" a="1"/>
  <c r="BR44" i="30" s="1"/>
  <c r="BR6" i="30" a="1"/>
  <c r="BR6" i="30" s="1"/>
  <c r="A133" i="4" l="1"/>
  <c r="BP65" i="13" l="1"/>
  <c r="BO65" i="13"/>
  <c r="BN65" i="13"/>
  <c r="BM65" i="13"/>
  <c r="BL65" i="13"/>
  <c r="BK65" i="13"/>
  <c r="BJ65" i="13"/>
  <c r="BI65" i="13"/>
  <c r="BH65" i="13"/>
  <c r="BG65" i="13"/>
  <c r="BF65" i="13"/>
  <c r="BE65" i="13"/>
  <c r="BD65" i="13"/>
  <c r="BC65" i="13"/>
  <c r="BB65" i="13"/>
  <c r="BA65" i="13"/>
  <c r="AZ65" i="13"/>
  <c r="AY65" i="13"/>
  <c r="AX65" i="13"/>
  <c r="AW65" i="13"/>
  <c r="BQ65" i="13" s="1"/>
  <c r="AV65" i="13"/>
  <c r="BP64" i="13"/>
  <c r="BO64" i="13"/>
  <c r="BN64" i="13"/>
  <c r="BM64" i="13"/>
  <c r="BL64" i="13"/>
  <c r="BK64" i="13"/>
  <c r="BJ64" i="13"/>
  <c r="BI64" i="13"/>
  <c r="BH64" i="13"/>
  <c r="BG64" i="13"/>
  <c r="BF64" i="13"/>
  <c r="BE64" i="13"/>
  <c r="BD64" i="13"/>
  <c r="BC64" i="13"/>
  <c r="BB64" i="13"/>
  <c r="BA64" i="13"/>
  <c r="AZ64" i="13"/>
  <c r="AY64" i="13"/>
  <c r="AX64" i="13"/>
  <c r="AW64" i="13"/>
  <c r="AV64" i="13"/>
  <c r="BP63" i="13"/>
  <c r="BO63" i="13"/>
  <c r="BN63" i="13"/>
  <c r="BM63" i="13"/>
  <c r="BL63" i="13"/>
  <c r="BK63" i="13"/>
  <c r="BJ63" i="13"/>
  <c r="BI63" i="13"/>
  <c r="BH63" i="13"/>
  <c r="BG63" i="13"/>
  <c r="BF63" i="13"/>
  <c r="BE63" i="13"/>
  <c r="BD63" i="13"/>
  <c r="BC63" i="13"/>
  <c r="BB63" i="13"/>
  <c r="BA63" i="13"/>
  <c r="AZ63" i="13"/>
  <c r="AY63" i="13"/>
  <c r="AX63" i="13"/>
  <c r="AW63" i="13"/>
  <c r="AV63" i="13"/>
  <c r="BP62" i="13"/>
  <c r="BO62" i="13"/>
  <c r="BN62" i="13"/>
  <c r="BM62" i="13"/>
  <c r="BL62" i="13"/>
  <c r="BK62" i="13"/>
  <c r="BJ62" i="13"/>
  <c r="BI62" i="13"/>
  <c r="BH62" i="13"/>
  <c r="BG62" i="13"/>
  <c r="BF62" i="13"/>
  <c r="BE62" i="13"/>
  <c r="BD62" i="13"/>
  <c r="BC62" i="13"/>
  <c r="BB62" i="13"/>
  <c r="BA62" i="13"/>
  <c r="AZ62" i="13"/>
  <c r="AY62" i="13"/>
  <c r="AX62" i="13"/>
  <c r="AW62" i="13"/>
  <c r="AV62" i="13"/>
  <c r="BP61" i="13"/>
  <c r="BO61" i="13"/>
  <c r="BN61" i="13"/>
  <c r="BM61" i="13"/>
  <c r="BL61" i="13"/>
  <c r="BK61" i="13"/>
  <c r="BJ61" i="13"/>
  <c r="BI61" i="13"/>
  <c r="BH61" i="13"/>
  <c r="BG61" i="13"/>
  <c r="BF61" i="13"/>
  <c r="BE61" i="13"/>
  <c r="BD61" i="13"/>
  <c r="BC61" i="13"/>
  <c r="BB61" i="13"/>
  <c r="BA61" i="13"/>
  <c r="AZ61" i="13"/>
  <c r="AY61" i="13"/>
  <c r="AX61" i="13"/>
  <c r="AW61" i="13"/>
  <c r="BQ61" i="13" s="1"/>
  <c r="AV61" i="13"/>
  <c r="BP60" i="13"/>
  <c r="BO60" i="13"/>
  <c r="BN60" i="13"/>
  <c r="BM60" i="13"/>
  <c r="BL60" i="13"/>
  <c r="BK60" i="13"/>
  <c r="BJ60" i="13"/>
  <c r="BI60" i="13"/>
  <c r="BH60" i="13"/>
  <c r="BG60" i="13"/>
  <c r="BF60" i="13"/>
  <c r="BE60" i="13"/>
  <c r="BD60" i="13"/>
  <c r="BC60" i="13"/>
  <c r="BB60" i="13"/>
  <c r="BA60" i="13"/>
  <c r="AZ60" i="13"/>
  <c r="AY60" i="13"/>
  <c r="AX60" i="13"/>
  <c r="AW60" i="13"/>
  <c r="AV60" i="13"/>
  <c r="BP59" i="13"/>
  <c r="BO59" i="13"/>
  <c r="BN59" i="13"/>
  <c r="BM59" i="13"/>
  <c r="BL59" i="13"/>
  <c r="BK59" i="13"/>
  <c r="BJ59" i="13"/>
  <c r="BI59" i="13"/>
  <c r="BH59" i="13"/>
  <c r="BG59" i="13"/>
  <c r="BF59" i="13"/>
  <c r="BE59" i="13"/>
  <c r="BD59" i="13"/>
  <c r="BC59" i="13"/>
  <c r="BB59" i="13"/>
  <c r="BA59" i="13"/>
  <c r="AZ59" i="13"/>
  <c r="AY59" i="13"/>
  <c r="AX59" i="13"/>
  <c r="AW59" i="13"/>
  <c r="AV59" i="13"/>
  <c r="BP58" i="13"/>
  <c r="BO58" i="13"/>
  <c r="BN58" i="13"/>
  <c r="BM58" i="13"/>
  <c r="BL58" i="13"/>
  <c r="BK58" i="13"/>
  <c r="BJ58" i="13"/>
  <c r="BI58" i="13"/>
  <c r="BH58" i="13"/>
  <c r="BG58" i="13"/>
  <c r="BF58" i="13"/>
  <c r="BE58" i="13"/>
  <c r="BD58" i="13"/>
  <c r="BC58" i="13"/>
  <c r="BB58" i="13"/>
  <c r="BA58" i="13"/>
  <c r="AZ58" i="13"/>
  <c r="AY58" i="13"/>
  <c r="AX58" i="13"/>
  <c r="AW58" i="13"/>
  <c r="AV58" i="13"/>
  <c r="BP57" i="13"/>
  <c r="BO57" i="13"/>
  <c r="BN57" i="13"/>
  <c r="BM57" i="13"/>
  <c r="BL57" i="13"/>
  <c r="BK57" i="13"/>
  <c r="BJ57" i="13"/>
  <c r="BI57" i="13"/>
  <c r="BH57" i="13"/>
  <c r="BG57" i="13"/>
  <c r="BF57" i="13"/>
  <c r="BE57" i="13"/>
  <c r="BD57" i="13"/>
  <c r="BC57" i="13"/>
  <c r="BB57" i="13"/>
  <c r="BA57" i="13"/>
  <c r="AZ57" i="13"/>
  <c r="AY57" i="13"/>
  <c r="AX57" i="13"/>
  <c r="AW57" i="13"/>
  <c r="BQ57" i="13" s="1"/>
  <c r="AV57" i="13"/>
  <c r="BP56" i="13"/>
  <c r="BO56" i="13"/>
  <c r="BN56" i="13"/>
  <c r="BM56" i="13"/>
  <c r="BL56" i="13"/>
  <c r="BK56" i="13"/>
  <c r="BJ56" i="13"/>
  <c r="BI56" i="13"/>
  <c r="BH56" i="13"/>
  <c r="BG56" i="13"/>
  <c r="BF56" i="13"/>
  <c r="BE56" i="13"/>
  <c r="BD56" i="13"/>
  <c r="BC56" i="13"/>
  <c r="BB56" i="13"/>
  <c r="BA56" i="13"/>
  <c r="AZ56" i="13"/>
  <c r="AY56" i="13"/>
  <c r="AX56" i="13"/>
  <c r="AW56" i="13"/>
  <c r="AV56" i="13"/>
  <c r="BP55" i="13"/>
  <c r="BO55" i="13"/>
  <c r="BN55" i="13"/>
  <c r="BM55" i="13"/>
  <c r="BL55" i="13"/>
  <c r="BK55" i="13"/>
  <c r="BJ55" i="13"/>
  <c r="BI55" i="13"/>
  <c r="BH55" i="13"/>
  <c r="BG55" i="13"/>
  <c r="BF55" i="13"/>
  <c r="BE55" i="13"/>
  <c r="BD55" i="13"/>
  <c r="BC55" i="13"/>
  <c r="BB55" i="13"/>
  <c r="BA55" i="13"/>
  <c r="AZ55" i="13"/>
  <c r="AY55" i="13"/>
  <c r="AX55" i="13"/>
  <c r="AW55" i="13"/>
  <c r="AV55" i="13"/>
  <c r="BP54" i="13"/>
  <c r="BO54" i="13"/>
  <c r="BN54" i="13"/>
  <c r="BM54" i="13"/>
  <c r="BL54" i="13"/>
  <c r="BK54" i="13"/>
  <c r="BJ54" i="13"/>
  <c r="BI54" i="13"/>
  <c r="BH54" i="13"/>
  <c r="BG54" i="13"/>
  <c r="BF54" i="13"/>
  <c r="BE54" i="13"/>
  <c r="BD54" i="13"/>
  <c r="BC54" i="13"/>
  <c r="BB54" i="13"/>
  <c r="BA54" i="13"/>
  <c r="AZ54" i="13"/>
  <c r="AY54" i="13"/>
  <c r="AX54" i="13"/>
  <c r="AW54" i="13"/>
  <c r="AV54" i="13"/>
  <c r="BP53" i="13"/>
  <c r="BO53" i="13"/>
  <c r="BN53" i="13"/>
  <c r="BM53" i="13"/>
  <c r="BL53" i="13"/>
  <c r="BK53" i="13"/>
  <c r="BJ53" i="13"/>
  <c r="BI53" i="13"/>
  <c r="BH53" i="13"/>
  <c r="BG53" i="13"/>
  <c r="BF53" i="13"/>
  <c r="BE53" i="13"/>
  <c r="BD53" i="13"/>
  <c r="BC53" i="13"/>
  <c r="BB53" i="13"/>
  <c r="BA53" i="13"/>
  <c r="AZ53" i="13"/>
  <c r="AY53" i="13"/>
  <c r="AX53" i="13"/>
  <c r="AW53" i="13"/>
  <c r="BQ53" i="13" s="1"/>
  <c r="AV53" i="13"/>
  <c r="BP52" i="13"/>
  <c r="BO52" i="13"/>
  <c r="BN52" i="13"/>
  <c r="BM52" i="13"/>
  <c r="BL52" i="13"/>
  <c r="BK52" i="13"/>
  <c r="BJ52" i="13"/>
  <c r="BI52" i="13"/>
  <c r="BH52" i="13"/>
  <c r="BG52" i="13"/>
  <c r="BF52" i="13"/>
  <c r="BE52" i="13"/>
  <c r="BD52" i="13"/>
  <c r="BC52" i="13"/>
  <c r="BB52" i="13"/>
  <c r="BA52" i="13"/>
  <c r="AZ52" i="13"/>
  <c r="AY52" i="13"/>
  <c r="AX52" i="13"/>
  <c r="AW52" i="13"/>
  <c r="AV52" i="13"/>
  <c r="BP51" i="13"/>
  <c r="BO51" i="13"/>
  <c r="BN51" i="13"/>
  <c r="BM51" i="13"/>
  <c r="BL51" i="13"/>
  <c r="BK51" i="13"/>
  <c r="BJ51" i="13"/>
  <c r="BI51" i="13"/>
  <c r="BH51" i="13"/>
  <c r="BG51" i="13"/>
  <c r="BF51" i="13"/>
  <c r="BE51" i="13"/>
  <c r="BD51" i="13"/>
  <c r="BC51" i="13"/>
  <c r="BB51" i="13"/>
  <c r="BA51" i="13"/>
  <c r="AZ51" i="13"/>
  <c r="AY51" i="13"/>
  <c r="AX51" i="13"/>
  <c r="AW51" i="13"/>
  <c r="AV51" i="13"/>
  <c r="BP50" i="13"/>
  <c r="BO50" i="13"/>
  <c r="BN50" i="13"/>
  <c r="BM50" i="13"/>
  <c r="BL50" i="13"/>
  <c r="BK50" i="13"/>
  <c r="BJ50" i="13"/>
  <c r="BI50" i="13"/>
  <c r="BH50" i="13"/>
  <c r="BG50" i="13"/>
  <c r="BF50" i="13"/>
  <c r="BE50" i="13"/>
  <c r="BD50" i="13"/>
  <c r="BC50" i="13"/>
  <c r="BB50" i="13"/>
  <c r="BA50" i="13"/>
  <c r="AZ50" i="13"/>
  <c r="AY50" i="13"/>
  <c r="AX50" i="13"/>
  <c r="AW50" i="13"/>
  <c r="AV50" i="13"/>
  <c r="BP49" i="13"/>
  <c r="BO49" i="13"/>
  <c r="BN49" i="13"/>
  <c r="BM49" i="13"/>
  <c r="BL49" i="13"/>
  <c r="BK49" i="13"/>
  <c r="BJ49" i="13"/>
  <c r="BI49" i="13"/>
  <c r="BH49" i="13"/>
  <c r="BG49" i="13"/>
  <c r="BF49" i="13"/>
  <c r="BE49" i="13"/>
  <c r="BD49" i="13"/>
  <c r="BC49" i="13"/>
  <c r="BB49" i="13"/>
  <c r="BA49" i="13"/>
  <c r="AZ49" i="13"/>
  <c r="AY49" i="13"/>
  <c r="AX49" i="13"/>
  <c r="AW49" i="13"/>
  <c r="BQ49" i="13" s="1"/>
  <c r="AV49" i="13"/>
  <c r="BP48" i="13"/>
  <c r="BO48" i="13"/>
  <c r="BN48" i="13"/>
  <c r="BM48" i="13"/>
  <c r="BL48" i="13"/>
  <c r="BK48" i="13"/>
  <c r="BJ48" i="13"/>
  <c r="BI48" i="13"/>
  <c r="BH48" i="13"/>
  <c r="BG48" i="13"/>
  <c r="BF48" i="13"/>
  <c r="BE48" i="13"/>
  <c r="BD48" i="13"/>
  <c r="BC48" i="13"/>
  <c r="BB48" i="13"/>
  <c r="BA48" i="13"/>
  <c r="AZ48" i="13"/>
  <c r="AY48" i="13"/>
  <c r="AX48" i="13"/>
  <c r="AW48" i="13"/>
  <c r="AV48" i="13"/>
  <c r="BP47" i="13"/>
  <c r="BO47" i="13"/>
  <c r="BN47" i="13"/>
  <c r="BM47" i="13"/>
  <c r="BL47" i="13"/>
  <c r="BK47" i="13"/>
  <c r="BJ47" i="13"/>
  <c r="BI47" i="13"/>
  <c r="BH47" i="13"/>
  <c r="BG47" i="13"/>
  <c r="BF47" i="13"/>
  <c r="BE47" i="13"/>
  <c r="BD47" i="13"/>
  <c r="BC47" i="13"/>
  <c r="BB47" i="13"/>
  <c r="BA47" i="13"/>
  <c r="AZ47" i="13"/>
  <c r="AY47" i="13"/>
  <c r="AX47" i="13"/>
  <c r="AW47" i="13"/>
  <c r="AV47" i="13"/>
  <c r="BP46" i="13"/>
  <c r="BO46" i="13"/>
  <c r="BN46" i="13"/>
  <c r="BM46" i="13"/>
  <c r="BL46" i="13"/>
  <c r="BK46" i="13"/>
  <c r="BJ46" i="13"/>
  <c r="BI46" i="13"/>
  <c r="BH46" i="13"/>
  <c r="BG46" i="13"/>
  <c r="BF46" i="13"/>
  <c r="BE46" i="13"/>
  <c r="BD46" i="13"/>
  <c r="BC46" i="13"/>
  <c r="BB46" i="13"/>
  <c r="BA46" i="13"/>
  <c r="AZ46" i="13"/>
  <c r="AY46" i="13"/>
  <c r="AX46" i="13"/>
  <c r="AW46" i="13"/>
  <c r="AV46" i="13"/>
  <c r="BP45" i="13"/>
  <c r="BO45" i="13"/>
  <c r="BN45" i="13"/>
  <c r="BM45" i="13"/>
  <c r="BL45" i="13"/>
  <c r="BK45" i="13"/>
  <c r="BJ45" i="13"/>
  <c r="BI45" i="13"/>
  <c r="BH45" i="13"/>
  <c r="BG45" i="13"/>
  <c r="BF45" i="13"/>
  <c r="BE45" i="13"/>
  <c r="BD45" i="13"/>
  <c r="BC45" i="13"/>
  <c r="BB45" i="13"/>
  <c r="BA45" i="13"/>
  <c r="AZ45" i="13"/>
  <c r="AY45" i="13"/>
  <c r="AX45" i="13"/>
  <c r="AW45" i="13"/>
  <c r="BQ45" i="13" s="1"/>
  <c r="AV45" i="13"/>
  <c r="BP44" i="13"/>
  <c r="BO44" i="13"/>
  <c r="BN44" i="13"/>
  <c r="BM44" i="13"/>
  <c r="BL44" i="13"/>
  <c r="BK44" i="13"/>
  <c r="BJ44" i="13"/>
  <c r="BI44" i="13"/>
  <c r="BH44" i="13"/>
  <c r="BG44" i="13"/>
  <c r="BF44" i="13"/>
  <c r="BE44" i="13"/>
  <c r="BD44" i="13"/>
  <c r="BC44" i="13"/>
  <c r="BB44" i="13"/>
  <c r="BA44" i="13"/>
  <c r="AZ44" i="13"/>
  <c r="AY44" i="13"/>
  <c r="AX44" i="13"/>
  <c r="AW44" i="13"/>
  <c r="AV44" i="13"/>
  <c r="BP43" i="13"/>
  <c r="BO43" i="13"/>
  <c r="BN43" i="13"/>
  <c r="BM43" i="13"/>
  <c r="BL43" i="13"/>
  <c r="BK43" i="13"/>
  <c r="BJ43" i="13"/>
  <c r="BI43" i="13"/>
  <c r="BH43" i="13"/>
  <c r="BG43" i="13"/>
  <c r="BF43" i="13"/>
  <c r="BE43" i="13"/>
  <c r="BD43" i="13"/>
  <c r="BC43" i="13"/>
  <c r="BB43" i="13"/>
  <c r="BA43" i="13"/>
  <c r="AZ43" i="13"/>
  <c r="AY43" i="13"/>
  <c r="AX43" i="13"/>
  <c r="AW43" i="13"/>
  <c r="AV43" i="13"/>
  <c r="BQ46" i="13" l="1"/>
  <c r="BQ62" i="13"/>
  <c r="BQ43" i="13"/>
  <c r="BQ47" i="13"/>
  <c r="BQ51" i="13"/>
  <c r="BQ55" i="13"/>
  <c r="BQ59" i="13"/>
  <c r="BQ63" i="13"/>
  <c r="BQ50" i="13"/>
  <c r="BQ54" i="13"/>
  <c r="BQ58" i="13"/>
  <c r="BQ44" i="13"/>
  <c r="BQ48" i="13"/>
  <c r="BQ52" i="13"/>
  <c r="BQ56" i="13"/>
  <c r="BQ60" i="13"/>
  <c r="BQ64" i="13"/>
  <c r="BQ5" i="15"/>
  <c r="BQ5" i="17" s="1"/>
  <c r="BQ5" i="14"/>
  <c r="BQ5" i="18" s="1"/>
  <c r="BO5" i="14"/>
  <c r="BN5" i="14"/>
  <c r="BM5" i="14"/>
  <c r="BK5" i="14"/>
  <c r="BJ5" i="14"/>
  <c r="BI5" i="14"/>
  <c r="BH5" i="14"/>
  <c r="BG5" i="14"/>
  <c r="BF5" i="14"/>
  <c r="BE5" i="14"/>
  <c r="BA5" i="14"/>
  <c r="AX5" i="14"/>
  <c r="AW5" i="14"/>
  <c r="AV5" i="14"/>
  <c r="AS5" i="14"/>
  <c r="AR5" i="14"/>
  <c r="AQ5" i="14"/>
  <c r="AO5" i="14"/>
  <c r="AN5" i="14"/>
  <c r="AM5" i="14"/>
  <c r="AL5" i="14"/>
  <c r="AK5" i="14"/>
  <c r="AJ5" i="14"/>
  <c r="AI5" i="14"/>
  <c r="AE5" i="14"/>
  <c r="AB5" i="14"/>
  <c r="AA5" i="14"/>
  <c r="Z5" i="14"/>
  <c r="W5" i="14"/>
  <c r="V5" i="14"/>
  <c r="U5" i="14"/>
  <c r="S5" i="14"/>
  <c r="R5" i="14"/>
  <c r="Q5" i="14"/>
  <c r="P5" i="14"/>
  <c r="O5" i="14"/>
  <c r="N5" i="14"/>
  <c r="M5" i="14"/>
  <c r="I5" i="14"/>
  <c r="F5" i="14"/>
  <c r="E5" i="14"/>
  <c r="D5" i="14"/>
  <c r="AT42" i="14" l="1"/>
  <c r="AP42" i="14"/>
  <c r="AH42" i="14"/>
  <c r="AG42" i="14"/>
  <c r="AF42" i="14"/>
  <c r="AD42" i="14"/>
  <c r="AC42" i="14"/>
  <c r="AT41" i="14"/>
  <c r="AP41" i="14"/>
  <c r="AH41" i="14"/>
  <c r="AG41" i="14"/>
  <c r="AF41" i="14"/>
  <c r="AD41" i="14"/>
  <c r="AC41" i="14"/>
  <c r="AT40" i="14"/>
  <c r="AP40" i="14"/>
  <c r="AH40" i="14"/>
  <c r="AG40" i="14"/>
  <c r="AF40" i="14"/>
  <c r="AD40" i="14"/>
  <c r="AC40" i="14"/>
  <c r="AT39" i="14"/>
  <c r="AP39" i="14"/>
  <c r="AH39" i="14"/>
  <c r="AG39" i="14"/>
  <c r="AF39" i="14"/>
  <c r="AD39" i="14"/>
  <c r="AC39" i="14"/>
  <c r="AT38" i="14"/>
  <c r="AP38" i="14"/>
  <c r="AH38" i="14"/>
  <c r="AG38" i="14"/>
  <c r="AF38" i="14"/>
  <c r="AD38" i="14"/>
  <c r="AC38" i="14"/>
  <c r="AT37" i="14"/>
  <c r="AP37" i="14"/>
  <c r="AH37" i="14"/>
  <c r="AG37" i="14"/>
  <c r="AF37" i="14"/>
  <c r="AD37" i="14"/>
  <c r="AC37" i="14"/>
  <c r="AT36" i="14"/>
  <c r="AP36" i="14"/>
  <c r="AH36" i="14"/>
  <c r="AG36" i="14"/>
  <c r="AF36" i="14"/>
  <c r="AD36" i="14"/>
  <c r="AC36" i="14"/>
  <c r="AT35" i="14"/>
  <c r="AP35" i="14"/>
  <c r="AH35" i="14"/>
  <c r="AG35" i="14"/>
  <c r="AF35" i="14"/>
  <c r="AD35" i="14"/>
  <c r="AC35" i="14"/>
  <c r="AT34" i="14"/>
  <c r="AP34" i="14"/>
  <c r="AH34" i="14"/>
  <c r="AG34" i="14"/>
  <c r="AF34" i="14"/>
  <c r="AD34" i="14"/>
  <c r="AC34" i="14"/>
  <c r="AT33" i="14"/>
  <c r="AP33" i="14"/>
  <c r="AH33" i="14"/>
  <c r="AG33" i="14"/>
  <c r="AF33" i="14"/>
  <c r="AD33" i="14"/>
  <c r="AC33" i="14"/>
  <c r="AT32" i="14"/>
  <c r="AP32" i="14"/>
  <c r="AH32" i="14"/>
  <c r="AG32" i="14"/>
  <c r="AF32" i="14"/>
  <c r="AD32" i="14"/>
  <c r="AC32" i="14"/>
  <c r="AT31" i="14"/>
  <c r="AP31" i="14"/>
  <c r="AH31" i="14"/>
  <c r="AG31" i="14"/>
  <c r="AF31" i="14"/>
  <c r="AD31" i="14"/>
  <c r="AC31" i="14"/>
  <c r="AT30" i="14"/>
  <c r="AP30" i="14"/>
  <c r="AH30" i="14"/>
  <c r="AG30" i="14"/>
  <c r="AF30" i="14"/>
  <c r="AD30" i="14"/>
  <c r="AC30" i="14"/>
  <c r="AT29" i="14"/>
  <c r="AP29" i="14"/>
  <c r="AH29" i="14"/>
  <c r="AG29" i="14"/>
  <c r="AF29" i="14"/>
  <c r="AD29" i="14"/>
  <c r="AC29" i="14"/>
  <c r="AT28" i="14"/>
  <c r="AP28" i="14"/>
  <c r="AH28" i="14"/>
  <c r="AG28" i="14"/>
  <c r="AF28" i="14"/>
  <c r="AD28" i="14"/>
  <c r="AC28" i="14"/>
  <c r="AT27" i="14"/>
  <c r="AP27" i="14"/>
  <c r="AH27" i="14"/>
  <c r="AG27" i="14"/>
  <c r="AF27" i="14"/>
  <c r="AD27" i="14"/>
  <c r="AC27" i="14"/>
  <c r="AT26" i="14"/>
  <c r="AP26" i="14"/>
  <c r="AH26" i="14"/>
  <c r="AG26" i="14"/>
  <c r="AF26" i="14"/>
  <c r="AD26" i="14"/>
  <c r="AC26" i="14"/>
  <c r="AT25" i="14"/>
  <c r="AP25" i="14"/>
  <c r="AH25" i="14"/>
  <c r="AG25" i="14"/>
  <c r="AF25" i="14"/>
  <c r="AD25" i="14"/>
  <c r="AC25" i="14"/>
  <c r="AT24" i="14"/>
  <c r="AP24" i="14"/>
  <c r="AH24" i="14"/>
  <c r="AG24" i="14"/>
  <c r="AF24" i="14"/>
  <c r="AD24" i="14"/>
  <c r="AC24" i="14"/>
  <c r="AT23" i="14"/>
  <c r="AP23" i="14"/>
  <c r="AH23" i="14"/>
  <c r="AG23" i="14"/>
  <c r="AF23" i="14"/>
  <c r="AD23" i="14"/>
  <c r="AC23" i="14"/>
  <c r="AT22" i="14"/>
  <c r="AP22" i="14"/>
  <c r="AH22" i="14"/>
  <c r="AG22" i="14"/>
  <c r="AF22" i="14"/>
  <c r="AD22" i="14"/>
  <c r="AC22" i="14"/>
  <c r="AT21" i="14"/>
  <c r="AP21" i="14"/>
  <c r="AH21" i="14"/>
  <c r="AG21" i="14"/>
  <c r="AF21" i="14"/>
  <c r="AD21" i="14"/>
  <c r="AC21" i="14"/>
  <c r="AT20" i="14"/>
  <c r="AP20" i="14"/>
  <c r="AH20" i="14"/>
  <c r="AG20" i="14"/>
  <c r="AF20" i="14"/>
  <c r="AD20" i="14"/>
  <c r="AC20" i="14"/>
  <c r="AT19" i="14"/>
  <c r="AP19" i="14"/>
  <c r="AH19" i="14"/>
  <c r="AG19" i="14"/>
  <c r="AF19" i="14"/>
  <c r="AD19" i="14"/>
  <c r="AC19" i="14"/>
  <c r="AT18" i="14"/>
  <c r="AP18" i="14"/>
  <c r="AH18" i="14"/>
  <c r="AG18" i="14"/>
  <c r="AF18" i="14"/>
  <c r="AD18" i="14"/>
  <c r="AC18" i="14"/>
  <c r="AT17" i="14"/>
  <c r="AP17" i="14"/>
  <c r="AH17" i="14"/>
  <c r="AG17" i="14"/>
  <c r="AF17" i="14"/>
  <c r="AD17" i="14"/>
  <c r="AC17" i="14"/>
  <c r="AT16" i="14"/>
  <c r="AP16" i="14"/>
  <c r="AH16" i="14"/>
  <c r="AG16" i="14"/>
  <c r="AF16" i="14"/>
  <c r="AD16" i="14"/>
  <c r="AC16" i="14"/>
  <c r="AT15" i="14"/>
  <c r="AP15" i="14"/>
  <c r="AH15" i="14"/>
  <c r="AG15" i="14"/>
  <c r="AF15" i="14"/>
  <c r="AD15" i="14"/>
  <c r="AC15" i="14"/>
  <c r="AT14" i="14"/>
  <c r="AP14" i="14"/>
  <c r="AH14" i="14"/>
  <c r="AG14" i="14"/>
  <c r="AF14" i="14"/>
  <c r="AD14" i="14"/>
  <c r="AC14" i="14"/>
  <c r="AT13" i="14"/>
  <c r="AP13" i="14"/>
  <c r="AH13" i="14"/>
  <c r="AG13" i="14"/>
  <c r="AF13" i="14"/>
  <c r="AD13" i="14"/>
  <c r="AC13" i="14"/>
  <c r="AT12" i="14"/>
  <c r="AP12" i="14"/>
  <c r="AH12" i="14"/>
  <c r="AG12" i="14"/>
  <c r="AF12" i="14"/>
  <c r="AD12" i="14"/>
  <c r="AC12" i="14"/>
  <c r="AT11" i="14"/>
  <c r="AP11" i="14"/>
  <c r="AH11" i="14"/>
  <c r="AG11" i="14"/>
  <c r="AF11" i="14"/>
  <c r="AD11" i="14"/>
  <c r="AC11" i="14"/>
  <c r="AT10" i="14"/>
  <c r="AP10" i="14"/>
  <c r="AH10" i="14"/>
  <c r="AG10" i="14"/>
  <c r="AF10" i="14"/>
  <c r="AD10" i="14"/>
  <c r="AC10" i="14"/>
  <c r="AT9" i="14"/>
  <c r="AP9" i="14"/>
  <c r="AH9" i="14"/>
  <c r="AG9" i="14"/>
  <c r="AF9" i="14"/>
  <c r="AD9" i="14"/>
  <c r="AC9" i="14"/>
  <c r="AT8" i="14"/>
  <c r="AP8" i="14"/>
  <c r="AH8" i="14"/>
  <c r="AG8" i="14"/>
  <c r="AF8" i="14"/>
  <c r="AD8" i="14"/>
  <c r="AC8" i="14"/>
  <c r="AT7" i="14"/>
  <c r="AP7" i="14"/>
  <c r="AH7" i="14"/>
  <c r="AG7" i="14"/>
  <c r="AF7" i="14"/>
  <c r="AD7" i="14"/>
  <c r="AC7" i="14"/>
  <c r="BP65" i="17" l="1"/>
  <c r="BO65" i="17"/>
  <c r="BN65" i="17"/>
  <c r="BM65" i="17"/>
  <c r="BL65" i="17"/>
  <c r="BK65" i="17"/>
  <c r="BJ65" i="17"/>
  <c r="BI65" i="17"/>
  <c r="BH65" i="17"/>
  <c r="BG65" i="17"/>
  <c r="BF65" i="17"/>
  <c r="BE65" i="17"/>
  <c r="BD65" i="17"/>
  <c r="BC65" i="17"/>
  <c r="BB65" i="17"/>
  <c r="BA65" i="17"/>
  <c r="AZ65" i="17"/>
  <c r="AY65" i="17"/>
  <c r="AX65" i="17"/>
  <c r="AW65" i="17"/>
  <c r="BQ65" i="17" s="1"/>
  <c r="AV65" i="17"/>
  <c r="BP64" i="17"/>
  <c r="BO64" i="17"/>
  <c r="BN64" i="17"/>
  <c r="BM64" i="17"/>
  <c r="BL64" i="17"/>
  <c r="BK64" i="17"/>
  <c r="BJ64" i="17"/>
  <c r="BI64" i="17"/>
  <c r="BH64" i="17"/>
  <c r="BG64" i="17"/>
  <c r="BF64" i="17"/>
  <c r="BE64" i="17"/>
  <c r="BD64" i="17"/>
  <c r="BC64" i="17"/>
  <c r="BB64" i="17"/>
  <c r="BA64" i="17"/>
  <c r="AZ64" i="17"/>
  <c r="AY64" i="17"/>
  <c r="AX64" i="17"/>
  <c r="BQ64" i="17" s="1"/>
  <c r="AW64" i="17"/>
  <c r="AV64" i="17"/>
  <c r="BP63" i="17"/>
  <c r="BO63" i="17"/>
  <c r="BN63" i="17"/>
  <c r="BM63" i="17"/>
  <c r="BL63" i="17"/>
  <c r="BK63" i="17"/>
  <c r="BJ63" i="17"/>
  <c r="BI63" i="17"/>
  <c r="BH63" i="17"/>
  <c r="BG63" i="17"/>
  <c r="BF63" i="17"/>
  <c r="BE63" i="17"/>
  <c r="BD63" i="17"/>
  <c r="BC63" i="17"/>
  <c r="BB63" i="17"/>
  <c r="BA63" i="17"/>
  <c r="AZ63" i="17"/>
  <c r="AY63" i="17"/>
  <c r="AX63" i="17"/>
  <c r="AW63" i="17"/>
  <c r="AV63" i="17"/>
  <c r="BP62" i="17"/>
  <c r="BO62" i="17"/>
  <c r="BN62" i="17"/>
  <c r="BM62" i="17"/>
  <c r="BL62" i="17"/>
  <c r="BK62" i="17"/>
  <c r="BJ62" i="17"/>
  <c r="BI62" i="17"/>
  <c r="BH62" i="17"/>
  <c r="BG62" i="17"/>
  <c r="BF62" i="17"/>
  <c r="BE62" i="17"/>
  <c r="BD62" i="17"/>
  <c r="BC62" i="17"/>
  <c r="BB62" i="17"/>
  <c r="BA62" i="17"/>
  <c r="AZ62" i="17"/>
  <c r="AY62" i="17"/>
  <c r="AX62" i="17"/>
  <c r="AW62" i="17"/>
  <c r="AV62" i="17"/>
  <c r="BP61" i="17"/>
  <c r="BO61" i="17"/>
  <c r="BN61" i="17"/>
  <c r="BM61" i="17"/>
  <c r="BL61" i="17"/>
  <c r="BK61" i="17"/>
  <c r="BJ61" i="17"/>
  <c r="BI61" i="17"/>
  <c r="BH61" i="17"/>
  <c r="BG61" i="17"/>
  <c r="BF61" i="17"/>
  <c r="BE61" i="17"/>
  <c r="BD61" i="17"/>
  <c r="BC61" i="17"/>
  <c r="BB61" i="17"/>
  <c r="BA61" i="17"/>
  <c r="AZ61" i="17"/>
  <c r="AY61" i="17"/>
  <c r="AX61" i="17"/>
  <c r="AW61" i="17"/>
  <c r="AV61" i="17"/>
  <c r="BP60" i="17"/>
  <c r="BO60" i="17"/>
  <c r="BN60" i="17"/>
  <c r="BM60" i="17"/>
  <c r="BL60" i="17"/>
  <c r="BK60" i="17"/>
  <c r="BJ60" i="17"/>
  <c r="BI60" i="17"/>
  <c r="BH60" i="17"/>
  <c r="BG60" i="17"/>
  <c r="BF60" i="17"/>
  <c r="BE60" i="17"/>
  <c r="BD60" i="17"/>
  <c r="BC60" i="17"/>
  <c r="BB60" i="17"/>
  <c r="BA60" i="17"/>
  <c r="AZ60" i="17"/>
  <c r="AY60" i="17"/>
  <c r="AX60" i="17"/>
  <c r="BQ60" i="17" s="1"/>
  <c r="AW60" i="17"/>
  <c r="AV60" i="17"/>
  <c r="BP59" i="17"/>
  <c r="BO59" i="17"/>
  <c r="BN59" i="17"/>
  <c r="BM59" i="17"/>
  <c r="BL59" i="17"/>
  <c r="BK59" i="17"/>
  <c r="BJ59" i="17"/>
  <c r="BI59" i="17"/>
  <c r="BH59" i="17"/>
  <c r="BG59" i="17"/>
  <c r="BF59" i="17"/>
  <c r="BE59" i="17"/>
  <c r="BD59" i="17"/>
  <c r="BC59" i="17"/>
  <c r="BB59" i="17"/>
  <c r="BA59" i="17"/>
  <c r="AZ59" i="17"/>
  <c r="AY59" i="17"/>
  <c r="AX59" i="17"/>
  <c r="AW59" i="17"/>
  <c r="AV59" i="17"/>
  <c r="BP58" i="17"/>
  <c r="BO58" i="17"/>
  <c r="BN58" i="17"/>
  <c r="BM58" i="17"/>
  <c r="BL58" i="17"/>
  <c r="BK58" i="17"/>
  <c r="BJ58" i="17"/>
  <c r="BI58" i="17"/>
  <c r="BH58" i="17"/>
  <c r="BG58" i="17"/>
  <c r="BF58" i="17"/>
  <c r="BE58" i="17"/>
  <c r="BD58" i="17"/>
  <c r="BC58" i="17"/>
  <c r="BB58" i="17"/>
  <c r="BA58" i="17"/>
  <c r="AZ58" i="17"/>
  <c r="AY58" i="17"/>
  <c r="AX58" i="17"/>
  <c r="AW58" i="17"/>
  <c r="AV58" i="17"/>
  <c r="BP57" i="17"/>
  <c r="BO57" i="17"/>
  <c r="BN57" i="17"/>
  <c r="BM57" i="17"/>
  <c r="BL57" i="17"/>
  <c r="BK57" i="17"/>
  <c r="BJ57" i="17"/>
  <c r="BI57" i="17"/>
  <c r="BH57" i="17"/>
  <c r="BG57" i="17"/>
  <c r="BF57" i="17"/>
  <c r="BE57" i="17"/>
  <c r="BD57" i="17"/>
  <c r="BC57" i="17"/>
  <c r="BB57" i="17"/>
  <c r="BA57" i="17"/>
  <c r="AZ57" i="17"/>
  <c r="AY57" i="17"/>
  <c r="AX57" i="17"/>
  <c r="AW57" i="17"/>
  <c r="AV57" i="17"/>
  <c r="BP56" i="17"/>
  <c r="BO56" i="17"/>
  <c r="BN56" i="17"/>
  <c r="BM56" i="17"/>
  <c r="BL56" i="17"/>
  <c r="BK56" i="17"/>
  <c r="BJ56" i="17"/>
  <c r="BI56" i="17"/>
  <c r="BH56" i="17"/>
  <c r="BG56" i="17"/>
  <c r="BF56" i="17"/>
  <c r="BE56" i="17"/>
  <c r="BD56" i="17"/>
  <c r="BC56" i="17"/>
  <c r="BB56" i="17"/>
  <c r="BA56" i="17"/>
  <c r="AZ56" i="17"/>
  <c r="AY56" i="17"/>
  <c r="AX56" i="17"/>
  <c r="BQ56" i="17" s="1"/>
  <c r="AW56" i="17"/>
  <c r="AV56" i="17"/>
  <c r="BP55" i="17"/>
  <c r="BO55" i="17"/>
  <c r="BN55" i="17"/>
  <c r="BM55" i="17"/>
  <c r="BL55" i="17"/>
  <c r="BK55" i="17"/>
  <c r="BJ55" i="17"/>
  <c r="BI55" i="17"/>
  <c r="BH55" i="17"/>
  <c r="BG55" i="17"/>
  <c r="BF55" i="17"/>
  <c r="BE55" i="17"/>
  <c r="BD55" i="17"/>
  <c r="BC55" i="17"/>
  <c r="BB55" i="17"/>
  <c r="BA55" i="17"/>
  <c r="AZ55" i="17"/>
  <c r="AY55" i="17"/>
  <c r="BQ55" i="17" s="1"/>
  <c r="AX55" i="17"/>
  <c r="AW55" i="17"/>
  <c r="AV55" i="17"/>
  <c r="BP54" i="17"/>
  <c r="BO54" i="17"/>
  <c r="BN54" i="17"/>
  <c r="BM54" i="17"/>
  <c r="BL54" i="17"/>
  <c r="BK54" i="17"/>
  <c r="BJ54" i="17"/>
  <c r="BI54" i="17"/>
  <c r="BH54" i="17"/>
  <c r="BG54" i="17"/>
  <c r="BF54" i="17"/>
  <c r="BE54" i="17"/>
  <c r="BD54" i="17"/>
  <c r="BC54" i="17"/>
  <c r="BB54" i="17"/>
  <c r="BA54" i="17"/>
  <c r="AZ54" i="17"/>
  <c r="AY54" i="17"/>
  <c r="AX54" i="17"/>
  <c r="AW54" i="17"/>
  <c r="AV54" i="17"/>
  <c r="BP53" i="17"/>
  <c r="BO53" i="17"/>
  <c r="BN53" i="17"/>
  <c r="BM53" i="17"/>
  <c r="BL53" i="17"/>
  <c r="BK53" i="17"/>
  <c r="BJ53" i="17"/>
  <c r="BI53" i="17"/>
  <c r="BH53" i="17"/>
  <c r="BG53" i="17"/>
  <c r="BF53" i="17"/>
  <c r="BE53" i="17"/>
  <c r="BD53" i="17"/>
  <c r="BC53" i="17"/>
  <c r="BB53" i="17"/>
  <c r="BA53" i="17"/>
  <c r="AZ53" i="17"/>
  <c r="AY53" i="17"/>
  <c r="AX53" i="17"/>
  <c r="AW53" i="17"/>
  <c r="AV53" i="17"/>
  <c r="BP65" i="18"/>
  <c r="BO65" i="18"/>
  <c r="BN65" i="18"/>
  <c r="BM65" i="18"/>
  <c r="BL65" i="18"/>
  <c r="BK65" i="18"/>
  <c r="BJ65" i="18"/>
  <c r="BI65" i="18"/>
  <c r="BH65" i="18"/>
  <c r="BG65" i="18"/>
  <c r="BF65" i="18"/>
  <c r="BE65" i="18"/>
  <c r="BD65" i="18"/>
  <c r="BC65" i="18"/>
  <c r="BB65" i="18"/>
  <c r="BA65" i="18"/>
  <c r="AZ65" i="18"/>
  <c r="AY65" i="18"/>
  <c r="AX65" i="18"/>
  <c r="AW65" i="18"/>
  <c r="AV65" i="18"/>
  <c r="BP64" i="18"/>
  <c r="BO64" i="18"/>
  <c r="BN64" i="18"/>
  <c r="BM64" i="18"/>
  <c r="BL64" i="18"/>
  <c r="BK64" i="18"/>
  <c r="BJ64" i="18"/>
  <c r="BI64" i="18"/>
  <c r="BH64" i="18"/>
  <c r="BG64" i="18"/>
  <c r="BF64" i="18"/>
  <c r="BE64" i="18"/>
  <c r="BD64" i="18"/>
  <c r="BC64" i="18"/>
  <c r="BB64" i="18"/>
  <c r="BA64" i="18"/>
  <c r="AZ64" i="18"/>
  <c r="AY64" i="18"/>
  <c r="AX64" i="18"/>
  <c r="AW64" i="18"/>
  <c r="AV64" i="18"/>
  <c r="BP63" i="18"/>
  <c r="BO63" i="18"/>
  <c r="BN63" i="18"/>
  <c r="BM63" i="18"/>
  <c r="BL63" i="18"/>
  <c r="BK63" i="18"/>
  <c r="BJ63" i="18"/>
  <c r="BI63" i="18"/>
  <c r="BH63" i="18"/>
  <c r="BG63" i="18"/>
  <c r="BF63" i="18"/>
  <c r="BE63" i="18"/>
  <c r="BD63" i="18"/>
  <c r="BC63" i="18"/>
  <c r="BB63" i="18"/>
  <c r="BA63" i="18"/>
  <c r="AZ63" i="18"/>
  <c r="AY63" i="18"/>
  <c r="AX63" i="18"/>
  <c r="AW63" i="18"/>
  <c r="AV63" i="18"/>
  <c r="BP62" i="18"/>
  <c r="BO62" i="18"/>
  <c r="BN62" i="18"/>
  <c r="BM62" i="18"/>
  <c r="BL62" i="18"/>
  <c r="BK62" i="18"/>
  <c r="BJ62" i="18"/>
  <c r="BI62" i="18"/>
  <c r="BH62" i="18"/>
  <c r="BG62" i="18"/>
  <c r="BF62" i="18"/>
  <c r="BE62" i="18"/>
  <c r="BD62" i="18"/>
  <c r="BC62" i="18"/>
  <c r="BB62" i="18"/>
  <c r="BA62" i="18"/>
  <c r="AZ62" i="18"/>
  <c r="AY62" i="18"/>
  <c r="AX62" i="18"/>
  <c r="AW62" i="18"/>
  <c r="AV62" i="18"/>
  <c r="BP61" i="18"/>
  <c r="BO61" i="18"/>
  <c r="BN61" i="18"/>
  <c r="BM61" i="18"/>
  <c r="BL61" i="18"/>
  <c r="BK61" i="18"/>
  <c r="BJ61" i="18"/>
  <c r="BI61" i="18"/>
  <c r="BH61" i="18"/>
  <c r="BG61" i="18"/>
  <c r="BF61" i="18"/>
  <c r="BE61" i="18"/>
  <c r="BD61" i="18"/>
  <c r="BC61" i="18"/>
  <c r="BB61" i="18"/>
  <c r="BA61" i="18"/>
  <c r="AZ61" i="18"/>
  <c r="AY61" i="18"/>
  <c r="AX61" i="18"/>
  <c r="AW61" i="18"/>
  <c r="AV61" i="18"/>
  <c r="BP60" i="18"/>
  <c r="BO60" i="18"/>
  <c r="BN60" i="18"/>
  <c r="BM60" i="18"/>
  <c r="BL60" i="18"/>
  <c r="BK60" i="18"/>
  <c r="BJ60" i="18"/>
  <c r="BI60" i="18"/>
  <c r="BH60" i="18"/>
  <c r="BG60" i="18"/>
  <c r="BF60" i="18"/>
  <c r="BE60" i="18"/>
  <c r="BD60" i="18"/>
  <c r="BC60" i="18"/>
  <c r="BB60" i="18"/>
  <c r="BA60" i="18"/>
  <c r="AZ60" i="18"/>
  <c r="AY60" i="18"/>
  <c r="AX60" i="18"/>
  <c r="AW60" i="18"/>
  <c r="AV60" i="18"/>
  <c r="BP59" i="18"/>
  <c r="BO59" i="18"/>
  <c r="BN59" i="18"/>
  <c r="BM59" i="18"/>
  <c r="BL59" i="18"/>
  <c r="BK59" i="18"/>
  <c r="BJ59" i="18"/>
  <c r="BI59" i="18"/>
  <c r="BH59" i="18"/>
  <c r="BG59" i="18"/>
  <c r="BF59" i="18"/>
  <c r="BE59" i="18"/>
  <c r="BD59" i="18"/>
  <c r="BC59" i="18"/>
  <c r="BB59" i="18"/>
  <c r="BA59" i="18"/>
  <c r="AZ59" i="18"/>
  <c r="AY59" i="18"/>
  <c r="AX59" i="18"/>
  <c r="AW59" i="18"/>
  <c r="AV59" i="18"/>
  <c r="BP58" i="18"/>
  <c r="BO58" i="18"/>
  <c r="BN58" i="18"/>
  <c r="BM58" i="18"/>
  <c r="BL58" i="18"/>
  <c r="BK58" i="18"/>
  <c r="BJ58" i="18"/>
  <c r="BI58" i="18"/>
  <c r="BH58" i="18"/>
  <c r="BG58" i="18"/>
  <c r="BF58" i="18"/>
  <c r="BE58" i="18"/>
  <c r="BD58" i="18"/>
  <c r="BC58" i="18"/>
  <c r="BB58" i="18"/>
  <c r="BA58" i="18"/>
  <c r="AZ58" i="18"/>
  <c r="AY58" i="18"/>
  <c r="AX58" i="18"/>
  <c r="AW58" i="18"/>
  <c r="AV58" i="18"/>
  <c r="BP57" i="18"/>
  <c r="BO57" i="18"/>
  <c r="BN57" i="18"/>
  <c r="BM57" i="18"/>
  <c r="BL57" i="18"/>
  <c r="BK57" i="18"/>
  <c r="BJ57" i="18"/>
  <c r="BI57" i="18"/>
  <c r="BH57" i="18"/>
  <c r="BG57" i="18"/>
  <c r="BF57" i="18"/>
  <c r="BE57" i="18"/>
  <c r="BD57" i="18"/>
  <c r="BC57" i="18"/>
  <c r="BB57" i="18"/>
  <c r="BA57" i="18"/>
  <c r="AZ57" i="18"/>
  <c r="AY57" i="18"/>
  <c r="AX57" i="18"/>
  <c r="AW57" i="18"/>
  <c r="AV57" i="18"/>
  <c r="BP56" i="18"/>
  <c r="BO56" i="18"/>
  <c r="BN56" i="18"/>
  <c r="BM56" i="18"/>
  <c r="BL56" i="18"/>
  <c r="BK56" i="18"/>
  <c r="BJ56" i="18"/>
  <c r="BI56" i="18"/>
  <c r="BH56" i="18"/>
  <c r="BG56" i="18"/>
  <c r="BF56" i="18"/>
  <c r="BE56" i="18"/>
  <c r="BD56" i="18"/>
  <c r="BC56" i="18"/>
  <c r="BB56" i="18"/>
  <c r="BA56" i="18"/>
  <c r="AZ56" i="18"/>
  <c r="AY56" i="18"/>
  <c r="AX56" i="18"/>
  <c r="AW56" i="18"/>
  <c r="AV56" i="18"/>
  <c r="BP55" i="18"/>
  <c r="BO55" i="18"/>
  <c r="BN55" i="18"/>
  <c r="BM55" i="18"/>
  <c r="BL55" i="18"/>
  <c r="BK55" i="18"/>
  <c r="BJ55" i="18"/>
  <c r="BI55" i="18"/>
  <c r="BH55" i="18"/>
  <c r="BG55" i="18"/>
  <c r="BF55" i="18"/>
  <c r="BE55" i="18"/>
  <c r="BD55" i="18"/>
  <c r="BC55" i="18"/>
  <c r="BB55" i="18"/>
  <c r="BA55" i="18"/>
  <c r="AZ55" i="18"/>
  <c r="AY55" i="18"/>
  <c r="AX55" i="18"/>
  <c r="AW55" i="18"/>
  <c r="AV55" i="18"/>
  <c r="BP54" i="18"/>
  <c r="BO54" i="18"/>
  <c r="BN54" i="18"/>
  <c r="BM54" i="18"/>
  <c r="BL54" i="18"/>
  <c r="BK54" i="18"/>
  <c r="BJ54" i="18"/>
  <c r="BI54" i="18"/>
  <c r="BH54" i="18"/>
  <c r="BG54" i="18"/>
  <c r="BF54" i="18"/>
  <c r="BE54" i="18"/>
  <c r="BD54" i="18"/>
  <c r="BC54" i="18"/>
  <c r="BB54" i="18"/>
  <c r="BA54" i="18"/>
  <c r="AZ54" i="18"/>
  <c r="AY54" i="18"/>
  <c r="AX54" i="18"/>
  <c r="AW54" i="18"/>
  <c r="AV54" i="18"/>
  <c r="BP53" i="18"/>
  <c r="BO53" i="18"/>
  <c r="BN53" i="18"/>
  <c r="BM53" i="18"/>
  <c r="BL53" i="18"/>
  <c r="BK53" i="18"/>
  <c r="BJ53" i="18"/>
  <c r="BI53" i="18"/>
  <c r="BH53" i="18"/>
  <c r="BG53" i="18"/>
  <c r="BF53" i="18"/>
  <c r="BE53" i="18"/>
  <c r="BD53" i="18"/>
  <c r="BC53" i="18"/>
  <c r="BB53" i="18"/>
  <c r="BA53" i="18"/>
  <c r="AZ53" i="18"/>
  <c r="AY53" i="18"/>
  <c r="AX53" i="18"/>
  <c r="AW53" i="18"/>
  <c r="AV53" i="18"/>
  <c r="BP52" i="18"/>
  <c r="BL52" i="18"/>
  <c r="BD52" i="18"/>
  <c r="BC52" i="18"/>
  <c r="BB52" i="18"/>
  <c r="AZ52" i="18"/>
  <c r="AY52" i="18"/>
  <c r="BP51" i="18"/>
  <c r="BL51" i="18"/>
  <c r="BD51" i="18"/>
  <c r="BC51" i="18"/>
  <c r="BB51" i="18"/>
  <c r="AZ51" i="18"/>
  <c r="AY51" i="18"/>
  <c r="BP50" i="18"/>
  <c r="BL50" i="18"/>
  <c r="BD50" i="18"/>
  <c r="BC50" i="18"/>
  <c r="BB50" i="18"/>
  <c r="AZ50" i="18"/>
  <c r="AY50" i="18"/>
  <c r="BP49" i="18"/>
  <c r="BL49" i="18"/>
  <c r="BD49" i="18"/>
  <c r="BC49" i="18"/>
  <c r="BB49" i="18"/>
  <c r="AZ49" i="18"/>
  <c r="AY49" i="18"/>
  <c r="BP48" i="18"/>
  <c r="BL48" i="18"/>
  <c r="BD48" i="18"/>
  <c r="BC48" i="18"/>
  <c r="BB48" i="18"/>
  <c r="AZ48" i="18"/>
  <c r="AY48" i="18"/>
  <c r="BP47" i="18"/>
  <c r="BL47" i="18"/>
  <c r="BD47" i="18"/>
  <c r="BC47" i="18"/>
  <c r="BB47" i="18"/>
  <c r="AZ47" i="18"/>
  <c r="AY47" i="18"/>
  <c r="BP46" i="18"/>
  <c r="BL46" i="18"/>
  <c r="BD46" i="18"/>
  <c r="BC46" i="18"/>
  <c r="BB46" i="18"/>
  <c r="AZ46" i="18"/>
  <c r="AY46" i="18"/>
  <c r="BO5" i="18"/>
  <c r="BN5" i="18"/>
  <c r="BM5" i="18"/>
  <c r="BK5" i="18"/>
  <c r="BJ5" i="18"/>
  <c r="BI5" i="18"/>
  <c r="BH5" i="18"/>
  <c r="BG5" i="18"/>
  <c r="BF5" i="18"/>
  <c r="BE5" i="18"/>
  <c r="BA5" i="18"/>
  <c r="AX5" i="18"/>
  <c r="AW5" i="18"/>
  <c r="AV5" i="18"/>
  <c r="AS5" i="18"/>
  <c r="AR5" i="18"/>
  <c r="AQ5" i="18"/>
  <c r="AO5" i="18"/>
  <c r="AN5" i="18"/>
  <c r="AM5" i="18"/>
  <c r="AL5" i="18"/>
  <c r="AK5" i="18"/>
  <c r="AJ5" i="18"/>
  <c r="AI5" i="18"/>
  <c r="AE5" i="18"/>
  <c r="AB5" i="18"/>
  <c r="AA5" i="18"/>
  <c r="Z5" i="18"/>
  <c r="W5" i="18"/>
  <c r="V5" i="18"/>
  <c r="U5" i="18"/>
  <c r="S5" i="18"/>
  <c r="R5" i="18"/>
  <c r="Q5" i="18"/>
  <c r="P5" i="18"/>
  <c r="O5" i="18"/>
  <c r="N5" i="18"/>
  <c r="M5" i="18"/>
  <c r="I5" i="18"/>
  <c r="F5" i="18"/>
  <c r="E5" i="18"/>
  <c r="D5" i="18"/>
  <c r="BQ61" i="17"/>
  <c r="BQ53" i="18" l="1"/>
  <c r="BQ57" i="18"/>
  <c r="BQ61" i="18"/>
  <c r="BQ65" i="18"/>
  <c r="BQ54" i="18"/>
  <c r="BQ58" i="18"/>
  <c r="BQ62" i="18"/>
  <c r="BQ55" i="18"/>
  <c r="BQ59" i="18"/>
  <c r="BQ63" i="18"/>
  <c r="BQ56" i="18"/>
  <c r="BQ60" i="18"/>
  <c r="BQ64" i="18"/>
  <c r="AW46" i="18"/>
  <c r="BF46" i="18"/>
  <c r="BJ46" i="18"/>
  <c r="BO46" i="18"/>
  <c r="BA47" i="18"/>
  <c r="BH47" i="18"/>
  <c r="BM47" i="18"/>
  <c r="AW48" i="18"/>
  <c r="BF48" i="18"/>
  <c r="BJ48" i="18"/>
  <c r="BO48" i="18"/>
  <c r="BA49" i="18"/>
  <c r="BH49" i="18"/>
  <c r="BM49" i="18"/>
  <c r="AW50" i="18"/>
  <c r="BF50" i="18"/>
  <c r="BJ50" i="18"/>
  <c r="BO50" i="18"/>
  <c r="BA51" i="18"/>
  <c r="BH51" i="18"/>
  <c r="BM51" i="18"/>
  <c r="AW52" i="18"/>
  <c r="BF52" i="18"/>
  <c r="BJ52" i="18"/>
  <c r="BO52" i="18"/>
  <c r="AX46" i="18"/>
  <c r="BG46" i="18"/>
  <c r="BK46" i="18"/>
  <c r="AV47" i="18"/>
  <c r="BE47" i="18"/>
  <c r="BI47" i="18"/>
  <c r="BN47" i="18"/>
  <c r="AX48" i="18"/>
  <c r="BG48" i="18"/>
  <c r="BK48" i="18"/>
  <c r="AV49" i="18"/>
  <c r="BE49" i="18"/>
  <c r="BI49" i="18"/>
  <c r="BN49" i="18"/>
  <c r="AX50" i="18"/>
  <c r="BG50" i="18"/>
  <c r="BK50" i="18"/>
  <c r="AV51" i="18"/>
  <c r="BE51" i="18"/>
  <c r="BI51" i="18"/>
  <c r="BN51" i="18"/>
  <c r="AX52" i="18"/>
  <c r="BG52" i="18"/>
  <c r="BK52" i="18"/>
  <c r="BA46" i="18"/>
  <c r="BH46" i="18"/>
  <c r="BM46" i="18"/>
  <c r="AW47" i="18"/>
  <c r="BF47" i="18"/>
  <c r="BJ47" i="18"/>
  <c r="BO47" i="18"/>
  <c r="BA48" i="18"/>
  <c r="BH48" i="18"/>
  <c r="BM48" i="18"/>
  <c r="AW49" i="18"/>
  <c r="BF49" i="18"/>
  <c r="BJ49" i="18"/>
  <c r="BO49" i="18"/>
  <c r="BA50" i="18"/>
  <c r="BH50" i="18"/>
  <c r="BM50" i="18"/>
  <c r="AW51" i="18"/>
  <c r="BF51" i="18"/>
  <c r="BJ51" i="18"/>
  <c r="BO51" i="18"/>
  <c r="BA52" i="18"/>
  <c r="BH52" i="18"/>
  <c r="BM52" i="18"/>
  <c r="AV46" i="18"/>
  <c r="BE46" i="18"/>
  <c r="BI46" i="18"/>
  <c r="BN46" i="18"/>
  <c r="AX47" i="18"/>
  <c r="BG47" i="18"/>
  <c r="BK47" i="18"/>
  <c r="AV48" i="18"/>
  <c r="BE48" i="18"/>
  <c r="BI48" i="18"/>
  <c r="BN48" i="18"/>
  <c r="AX49" i="18"/>
  <c r="BG49" i="18"/>
  <c r="BK49" i="18"/>
  <c r="AV50" i="18"/>
  <c r="BE50" i="18"/>
  <c r="BI50" i="18"/>
  <c r="BN50" i="18"/>
  <c r="AX51" i="18"/>
  <c r="BG51" i="18"/>
  <c r="BK51" i="18"/>
  <c r="AV52" i="18"/>
  <c r="BE52" i="18"/>
  <c r="BI52" i="18"/>
  <c r="BN52" i="18"/>
  <c r="BQ53" i="17"/>
  <c r="BQ54" i="17"/>
  <c r="BQ57" i="17"/>
  <c r="BQ58" i="17"/>
  <c r="BQ62" i="17"/>
  <c r="BQ59" i="17"/>
  <c r="BQ63" i="17"/>
  <c r="BQ49" i="18" l="1"/>
  <c r="BQ51" i="18"/>
  <c r="BQ47" i="18"/>
  <c r="BQ50" i="18"/>
  <c r="BQ46" i="18"/>
  <c r="BQ52" i="18"/>
  <c r="BQ48" i="18"/>
  <c r="C41" i="27"/>
  <c r="C40" i="27"/>
  <c r="BO5" i="15" l="1"/>
  <c r="BO5" i="17" s="1"/>
  <c r="BN5" i="15"/>
  <c r="BN5" i="17" s="1"/>
  <c r="BM5" i="15"/>
  <c r="BM5" i="17" s="1"/>
  <c r="BK5" i="15"/>
  <c r="BK5" i="17" s="1"/>
  <c r="BJ5" i="15"/>
  <c r="BJ5" i="17" s="1"/>
  <c r="BI5" i="15"/>
  <c r="BI5" i="17" s="1"/>
  <c r="BH5" i="15"/>
  <c r="BH5" i="17" s="1"/>
  <c r="BG5" i="15"/>
  <c r="BG5" i="17" s="1"/>
  <c r="BF5" i="15"/>
  <c r="BF5" i="17" s="1"/>
  <c r="BE5" i="15"/>
  <c r="BE5" i="17" s="1"/>
  <c r="BA5" i="15"/>
  <c r="BA5" i="17" s="1"/>
  <c r="AX5" i="15"/>
  <c r="AX5" i="17" s="1"/>
  <c r="AW5" i="15"/>
  <c r="AW5" i="17" s="1"/>
  <c r="BP65" i="15"/>
  <c r="BO65" i="15"/>
  <c r="BN65" i="15"/>
  <c r="BM65" i="15"/>
  <c r="BL65" i="15"/>
  <c r="BK65" i="15"/>
  <c r="BJ65" i="15"/>
  <c r="BI65" i="15"/>
  <c r="BH65" i="15"/>
  <c r="BG65" i="15"/>
  <c r="BF65" i="15"/>
  <c r="BE65" i="15"/>
  <c r="BD65" i="15"/>
  <c r="BC65" i="15"/>
  <c r="BB65" i="15"/>
  <c r="BA65" i="15"/>
  <c r="AZ65" i="15"/>
  <c r="AY65" i="15"/>
  <c r="AX65" i="15"/>
  <c r="AW65" i="15"/>
  <c r="AV65" i="15"/>
  <c r="BP64" i="15"/>
  <c r="BO64" i="15"/>
  <c r="BN64" i="15"/>
  <c r="BM64" i="15"/>
  <c r="BL64" i="15"/>
  <c r="BK64" i="15"/>
  <c r="BJ64" i="15"/>
  <c r="BI64" i="15"/>
  <c r="BH64" i="15"/>
  <c r="BG64" i="15"/>
  <c r="BF64" i="15"/>
  <c r="BE64" i="15"/>
  <c r="BD64" i="15"/>
  <c r="BC64" i="15"/>
  <c r="BB64" i="15"/>
  <c r="BA64" i="15"/>
  <c r="AZ64" i="15"/>
  <c r="AY64" i="15"/>
  <c r="AX64" i="15"/>
  <c r="AW64" i="15"/>
  <c r="AV64" i="15"/>
  <c r="BP63" i="15"/>
  <c r="BO63" i="15"/>
  <c r="BN63" i="15"/>
  <c r="BM63" i="15"/>
  <c r="BL63" i="15"/>
  <c r="BK63" i="15"/>
  <c r="BJ63" i="15"/>
  <c r="BI63" i="15"/>
  <c r="BH63" i="15"/>
  <c r="BG63" i="15"/>
  <c r="BF63" i="15"/>
  <c r="BE63" i="15"/>
  <c r="BD63" i="15"/>
  <c r="BC63" i="15"/>
  <c r="BB63" i="15"/>
  <c r="BA63" i="15"/>
  <c r="AZ63" i="15"/>
  <c r="AY63" i="15"/>
  <c r="AX63" i="15"/>
  <c r="AW63" i="15"/>
  <c r="AV63" i="15"/>
  <c r="BP62" i="15"/>
  <c r="BO62" i="15"/>
  <c r="BN62" i="15"/>
  <c r="BM62" i="15"/>
  <c r="BL62" i="15"/>
  <c r="BK62" i="15"/>
  <c r="BJ62" i="15"/>
  <c r="BI62" i="15"/>
  <c r="BH62" i="15"/>
  <c r="BG62" i="15"/>
  <c r="BF62" i="15"/>
  <c r="BE62" i="15"/>
  <c r="BD62" i="15"/>
  <c r="BC62" i="15"/>
  <c r="BB62" i="15"/>
  <c r="BA62" i="15"/>
  <c r="AZ62" i="15"/>
  <c r="AY62" i="15"/>
  <c r="AX62" i="15"/>
  <c r="AW62" i="15"/>
  <c r="BQ62" i="15" s="1"/>
  <c r="AV62" i="15"/>
  <c r="BP61" i="15"/>
  <c r="BO61" i="15"/>
  <c r="BN61" i="15"/>
  <c r="BM61" i="15"/>
  <c r="BL61" i="15"/>
  <c r="BK61" i="15"/>
  <c r="BJ61" i="15"/>
  <c r="BI61" i="15"/>
  <c r="BH61" i="15"/>
  <c r="BG61" i="15"/>
  <c r="BF61" i="15"/>
  <c r="BE61" i="15"/>
  <c r="BD61" i="15"/>
  <c r="BC61" i="15"/>
  <c r="BB61" i="15"/>
  <c r="BA61" i="15"/>
  <c r="AZ61" i="15"/>
  <c r="AY61" i="15"/>
  <c r="AX61" i="15"/>
  <c r="AW61" i="15"/>
  <c r="AV61" i="15"/>
  <c r="BP60" i="15"/>
  <c r="BO60" i="15"/>
  <c r="BN60" i="15"/>
  <c r="BM60" i="15"/>
  <c r="BL60" i="15"/>
  <c r="BK60" i="15"/>
  <c r="BJ60" i="15"/>
  <c r="BI60" i="15"/>
  <c r="BH60" i="15"/>
  <c r="BG60" i="15"/>
  <c r="BF60" i="15"/>
  <c r="BE60" i="15"/>
  <c r="BD60" i="15"/>
  <c r="BC60" i="15"/>
  <c r="BB60" i="15"/>
  <c r="BA60" i="15"/>
  <c r="AZ60" i="15"/>
  <c r="AY60" i="15"/>
  <c r="AX60" i="15"/>
  <c r="AW60" i="15"/>
  <c r="AV60" i="15"/>
  <c r="BP59" i="15"/>
  <c r="BO59" i="15"/>
  <c r="BN59" i="15"/>
  <c r="BM59" i="15"/>
  <c r="BL59" i="15"/>
  <c r="BK59" i="15"/>
  <c r="BJ59" i="15"/>
  <c r="BI59" i="15"/>
  <c r="BH59" i="15"/>
  <c r="BG59" i="15"/>
  <c r="BF59" i="15"/>
  <c r="BE59" i="15"/>
  <c r="BD59" i="15"/>
  <c r="BC59" i="15"/>
  <c r="BB59" i="15"/>
  <c r="BA59" i="15"/>
  <c r="AZ59" i="15"/>
  <c r="AY59" i="15"/>
  <c r="AX59" i="15"/>
  <c r="AW59" i="15"/>
  <c r="AV59" i="15"/>
  <c r="BP58" i="15"/>
  <c r="BO58" i="15"/>
  <c r="BN58" i="15"/>
  <c r="BM58" i="15"/>
  <c r="BL58" i="15"/>
  <c r="BK58" i="15"/>
  <c r="BJ58" i="15"/>
  <c r="BI58" i="15"/>
  <c r="BH58" i="15"/>
  <c r="BG58" i="15"/>
  <c r="BF58" i="15"/>
  <c r="BE58" i="15"/>
  <c r="BD58" i="15"/>
  <c r="BC58" i="15"/>
  <c r="BB58" i="15"/>
  <c r="BA58" i="15"/>
  <c r="AZ58" i="15"/>
  <c r="AY58" i="15"/>
  <c r="AX58" i="15"/>
  <c r="AW58" i="15"/>
  <c r="BQ58" i="15" s="1"/>
  <c r="AV58" i="15"/>
  <c r="BP57" i="15"/>
  <c r="BO57" i="15"/>
  <c r="BN57" i="15"/>
  <c r="BM57" i="15"/>
  <c r="BL57" i="15"/>
  <c r="BK57" i="15"/>
  <c r="BJ57" i="15"/>
  <c r="BI57" i="15"/>
  <c r="BH57" i="15"/>
  <c r="BG57" i="15"/>
  <c r="BF57" i="15"/>
  <c r="BE57" i="15"/>
  <c r="BD57" i="15"/>
  <c r="BC57" i="15"/>
  <c r="BB57" i="15"/>
  <c r="BA57" i="15"/>
  <c r="AZ57" i="15"/>
  <c r="AY57" i="15"/>
  <c r="AX57" i="15"/>
  <c r="AW57" i="15"/>
  <c r="AV57" i="15"/>
  <c r="BP56" i="15"/>
  <c r="BO56" i="15"/>
  <c r="BN56" i="15"/>
  <c r="BM56" i="15"/>
  <c r="BL56" i="15"/>
  <c r="BK56" i="15"/>
  <c r="BJ56" i="15"/>
  <c r="BI56" i="15"/>
  <c r="BH56" i="15"/>
  <c r="BG56" i="15"/>
  <c r="BF56" i="15"/>
  <c r="BE56" i="15"/>
  <c r="BD56" i="15"/>
  <c r="BC56" i="15"/>
  <c r="BB56" i="15"/>
  <c r="BA56" i="15"/>
  <c r="AZ56" i="15"/>
  <c r="AY56" i="15"/>
  <c r="AX56" i="15"/>
  <c r="AW56" i="15"/>
  <c r="AV56" i="15"/>
  <c r="BP55" i="15"/>
  <c r="BO55" i="15"/>
  <c r="BN55" i="15"/>
  <c r="BM55" i="15"/>
  <c r="BL55" i="15"/>
  <c r="BK55" i="15"/>
  <c r="BJ55" i="15"/>
  <c r="BI55" i="15"/>
  <c r="BH55" i="15"/>
  <c r="BG55" i="15"/>
  <c r="BF55" i="15"/>
  <c r="BE55" i="15"/>
  <c r="BD55" i="15"/>
  <c r="BC55" i="15"/>
  <c r="BB55" i="15"/>
  <c r="BA55" i="15"/>
  <c r="AZ55" i="15"/>
  <c r="AY55" i="15"/>
  <c r="AX55" i="15"/>
  <c r="AW55" i="15"/>
  <c r="AV55" i="15"/>
  <c r="BP54" i="15"/>
  <c r="BO54" i="15"/>
  <c r="BN54" i="15"/>
  <c r="BM54" i="15"/>
  <c r="BL54" i="15"/>
  <c r="BK54" i="15"/>
  <c r="BJ54" i="15"/>
  <c r="BI54" i="15"/>
  <c r="BH54" i="15"/>
  <c r="BG54" i="15"/>
  <c r="BF54" i="15"/>
  <c r="BE54" i="15"/>
  <c r="BD54" i="15"/>
  <c r="BC54" i="15"/>
  <c r="BB54" i="15"/>
  <c r="BA54" i="15"/>
  <c r="AZ54" i="15"/>
  <c r="AY54" i="15"/>
  <c r="AX54" i="15"/>
  <c r="AW54" i="15"/>
  <c r="AV54" i="15"/>
  <c r="BP53" i="15"/>
  <c r="BO53" i="15"/>
  <c r="BN53" i="15"/>
  <c r="BM53" i="15"/>
  <c r="BL53" i="15"/>
  <c r="BK53" i="15"/>
  <c r="BJ53" i="15"/>
  <c r="BI53" i="15"/>
  <c r="BH53" i="15"/>
  <c r="BG53" i="15"/>
  <c r="BF53" i="15"/>
  <c r="BE53" i="15"/>
  <c r="BD53" i="15"/>
  <c r="BC53" i="15"/>
  <c r="BB53" i="15"/>
  <c r="BA53" i="15"/>
  <c r="AZ53" i="15"/>
  <c r="AY53" i="15"/>
  <c r="AX53" i="15"/>
  <c r="AW53" i="15"/>
  <c r="AV53" i="15"/>
  <c r="AS5" i="15"/>
  <c r="AS5" i="17" s="1"/>
  <c r="AR5" i="15"/>
  <c r="AR5" i="17" s="1"/>
  <c r="AQ5" i="15"/>
  <c r="AQ5" i="17" s="1"/>
  <c r="AO5" i="15"/>
  <c r="AO5" i="17" s="1"/>
  <c r="AN5" i="15"/>
  <c r="AN5" i="17" s="1"/>
  <c r="AM5" i="15"/>
  <c r="AM5" i="17" s="1"/>
  <c r="AL5" i="15"/>
  <c r="AL5" i="17" s="1"/>
  <c r="AK5" i="15"/>
  <c r="AK5" i="17" s="1"/>
  <c r="AJ5" i="15"/>
  <c r="AJ5" i="17" s="1"/>
  <c r="AI5" i="15"/>
  <c r="AI5" i="17" s="1"/>
  <c r="AE5" i="15"/>
  <c r="AE5" i="17" s="1"/>
  <c r="AB5" i="15"/>
  <c r="AB5" i="17" s="1"/>
  <c r="AA5" i="15"/>
  <c r="AA5" i="17" s="1"/>
  <c r="Z5" i="15"/>
  <c r="Z5" i="17" s="1"/>
  <c r="W5" i="15"/>
  <c r="W5" i="17" s="1"/>
  <c r="V5" i="15"/>
  <c r="V5" i="17" s="1"/>
  <c r="U5" i="15"/>
  <c r="U5" i="17" s="1"/>
  <c r="S5" i="15"/>
  <c r="S5" i="17" s="1"/>
  <c r="R5" i="15"/>
  <c r="R5" i="17" s="1"/>
  <c r="Q5" i="15"/>
  <c r="Q5" i="17" s="1"/>
  <c r="P5" i="15"/>
  <c r="P5" i="17" s="1"/>
  <c r="O5" i="15"/>
  <c r="O5" i="17" s="1"/>
  <c r="N5" i="15"/>
  <c r="N5" i="17" s="1"/>
  <c r="M5" i="15"/>
  <c r="M5" i="17" s="1"/>
  <c r="I5" i="15"/>
  <c r="I5" i="17" s="1"/>
  <c r="F5" i="15"/>
  <c r="F5" i="17" s="1"/>
  <c r="E5" i="15"/>
  <c r="E5" i="17" s="1"/>
  <c r="D5" i="15"/>
  <c r="D5" i="17" s="1"/>
  <c r="BQ59" i="15" l="1"/>
  <c r="BQ63" i="15"/>
  <c r="BQ56" i="15"/>
  <c r="BQ60" i="15"/>
  <c r="BQ64" i="15"/>
  <c r="BQ61" i="15"/>
  <c r="BQ65" i="15"/>
  <c r="BQ55" i="15"/>
  <c r="BQ53" i="15"/>
  <c r="BQ57" i="15"/>
  <c r="BQ54" i="15"/>
  <c r="BP65" i="14"/>
  <c r="BO65" i="14"/>
  <c r="BN65" i="14"/>
  <c r="BM65" i="14"/>
  <c r="BL65" i="14"/>
  <c r="BK65" i="14"/>
  <c r="BJ65" i="14"/>
  <c r="BI65" i="14"/>
  <c r="BH65" i="14"/>
  <c r="BG65" i="14"/>
  <c r="BF65" i="14"/>
  <c r="BE65" i="14"/>
  <c r="BD65" i="14"/>
  <c r="BC65" i="14"/>
  <c r="BB65" i="14"/>
  <c r="BA65" i="14"/>
  <c r="AZ65" i="14"/>
  <c r="AY65" i="14"/>
  <c r="AX65" i="14"/>
  <c r="AW65" i="14"/>
  <c r="AV65" i="14"/>
  <c r="BP64" i="14"/>
  <c r="BO64" i="14"/>
  <c r="BN64" i="14"/>
  <c r="BM64" i="14"/>
  <c r="BL64" i="14"/>
  <c r="BK64" i="14"/>
  <c r="BJ64" i="14"/>
  <c r="BI64" i="14"/>
  <c r="BH64" i="14"/>
  <c r="BG64" i="14"/>
  <c r="BF64" i="14"/>
  <c r="BE64" i="14"/>
  <c r="BD64" i="14"/>
  <c r="BC64" i="14"/>
  <c r="BB64" i="14"/>
  <c r="BA64" i="14"/>
  <c r="AZ64" i="14"/>
  <c r="AY64" i="14"/>
  <c r="AX64" i="14"/>
  <c r="AW64" i="14"/>
  <c r="AV64" i="14"/>
  <c r="BP63" i="14"/>
  <c r="BO63" i="14"/>
  <c r="BN63" i="14"/>
  <c r="BM63" i="14"/>
  <c r="BL63" i="14"/>
  <c r="BK63" i="14"/>
  <c r="BJ63" i="14"/>
  <c r="BI63" i="14"/>
  <c r="BH63" i="14"/>
  <c r="BG63" i="14"/>
  <c r="BF63" i="14"/>
  <c r="BE63" i="14"/>
  <c r="BD63" i="14"/>
  <c r="BC63" i="14"/>
  <c r="BB63" i="14"/>
  <c r="BA63" i="14"/>
  <c r="AZ63" i="14"/>
  <c r="AY63" i="14"/>
  <c r="AX63" i="14"/>
  <c r="AW63" i="14"/>
  <c r="AV63" i="14"/>
  <c r="BP62" i="14"/>
  <c r="BO62" i="14"/>
  <c r="BN62" i="14"/>
  <c r="BM62" i="14"/>
  <c r="BL62" i="14"/>
  <c r="BK62" i="14"/>
  <c r="BJ62" i="14"/>
  <c r="BI62" i="14"/>
  <c r="BH62" i="14"/>
  <c r="BG62" i="14"/>
  <c r="BF62" i="14"/>
  <c r="BE62" i="14"/>
  <c r="BD62" i="14"/>
  <c r="BC62" i="14"/>
  <c r="BB62" i="14"/>
  <c r="BA62" i="14"/>
  <c r="AZ62" i="14"/>
  <c r="AY62" i="14"/>
  <c r="AX62" i="14"/>
  <c r="AW62" i="14"/>
  <c r="AV62" i="14"/>
  <c r="BP61" i="14"/>
  <c r="BO61" i="14"/>
  <c r="BN61" i="14"/>
  <c r="BM61" i="14"/>
  <c r="BL61" i="14"/>
  <c r="BK61" i="14"/>
  <c r="BJ61" i="14"/>
  <c r="BI61" i="14"/>
  <c r="BH61" i="14"/>
  <c r="BG61" i="14"/>
  <c r="BF61" i="14"/>
  <c r="BE61" i="14"/>
  <c r="BD61" i="14"/>
  <c r="BC61" i="14"/>
  <c r="BB61" i="14"/>
  <c r="BA61" i="14"/>
  <c r="AZ61" i="14"/>
  <c r="AY61" i="14"/>
  <c r="AX61" i="14"/>
  <c r="AW61" i="14"/>
  <c r="AV61" i="14"/>
  <c r="BP60" i="14"/>
  <c r="BO60" i="14"/>
  <c r="BN60" i="14"/>
  <c r="BM60" i="14"/>
  <c r="BL60" i="14"/>
  <c r="BK60" i="14"/>
  <c r="BJ60" i="14"/>
  <c r="BI60" i="14"/>
  <c r="BH60" i="14"/>
  <c r="BG60" i="14"/>
  <c r="BF60" i="14"/>
  <c r="BE60" i="14"/>
  <c r="BD60" i="14"/>
  <c r="BC60" i="14"/>
  <c r="BB60" i="14"/>
  <c r="BA60" i="14"/>
  <c r="AZ60" i="14"/>
  <c r="AY60" i="14"/>
  <c r="AX60" i="14"/>
  <c r="AW60" i="14"/>
  <c r="AV60" i="14"/>
  <c r="BP59" i="14"/>
  <c r="BO59" i="14"/>
  <c r="BN59" i="14"/>
  <c r="BM59" i="14"/>
  <c r="BL59" i="14"/>
  <c r="BK59" i="14"/>
  <c r="BJ59" i="14"/>
  <c r="BI59" i="14"/>
  <c r="BH59" i="14"/>
  <c r="BG59" i="14"/>
  <c r="BF59" i="14"/>
  <c r="BE59" i="14"/>
  <c r="BD59" i="14"/>
  <c r="BC59" i="14"/>
  <c r="BB59" i="14"/>
  <c r="BA59" i="14"/>
  <c r="AZ59" i="14"/>
  <c r="AY59" i="14"/>
  <c r="AX59" i="14"/>
  <c r="AW59" i="14"/>
  <c r="AV59" i="14"/>
  <c r="BP58" i="14"/>
  <c r="BO58" i="14"/>
  <c r="BN58" i="14"/>
  <c r="BM58" i="14"/>
  <c r="BL58" i="14"/>
  <c r="BK58" i="14"/>
  <c r="BJ58" i="14"/>
  <c r="BI58" i="14"/>
  <c r="BH58" i="14"/>
  <c r="BG58" i="14"/>
  <c r="BF58" i="14"/>
  <c r="BE58" i="14"/>
  <c r="BD58" i="14"/>
  <c r="BC58" i="14"/>
  <c r="BB58" i="14"/>
  <c r="BA58" i="14"/>
  <c r="AZ58" i="14"/>
  <c r="AY58" i="14"/>
  <c r="AX58" i="14"/>
  <c r="AW58" i="14"/>
  <c r="AV58" i="14"/>
  <c r="BP57" i="14"/>
  <c r="BO57" i="14"/>
  <c r="BN57" i="14"/>
  <c r="BM57" i="14"/>
  <c r="BL57" i="14"/>
  <c r="BK57" i="14"/>
  <c r="BJ57" i="14"/>
  <c r="BI57" i="14"/>
  <c r="BH57" i="14"/>
  <c r="BG57" i="14"/>
  <c r="BF57" i="14"/>
  <c r="BE57" i="14"/>
  <c r="BD57" i="14"/>
  <c r="BC57" i="14"/>
  <c r="BB57" i="14"/>
  <c r="BA57" i="14"/>
  <c r="AZ57" i="14"/>
  <c r="AY57" i="14"/>
  <c r="AX57" i="14"/>
  <c r="AW57" i="14"/>
  <c r="AV57" i="14"/>
  <c r="BP56" i="14"/>
  <c r="BO56" i="14"/>
  <c r="BN56" i="14"/>
  <c r="BM56" i="14"/>
  <c r="BL56" i="14"/>
  <c r="BK56" i="14"/>
  <c r="BJ56" i="14"/>
  <c r="BI56" i="14"/>
  <c r="BH56" i="14"/>
  <c r="BG56" i="14"/>
  <c r="BF56" i="14"/>
  <c r="BE56" i="14"/>
  <c r="BD56" i="14"/>
  <c r="BC56" i="14"/>
  <c r="BB56" i="14"/>
  <c r="BA56" i="14"/>
  <c r="AZ56" i="14"/>
  <c r="AY56" i="14"/>
  <c r="AX56" i="14"/>
  <c r="AW56" i="14"/>
  <c r="AV56" i="14"/>
  <c r="BP55" i="14"/>
  <c r="BO55" i="14"/>
  <c r="BN55" i="14"/>
  <c r="BM55" i="14"/>
  <c r="BL55" i="14"/>
  <c r="BK55" i="14"/>
  <c r="BJ55" i="14"/>
  <c r="BI55" i="14"/>
  <c r="BH55" i="14"/>
  <c r="BG55" i="14"/>
  <c r="BF55" i="14"/>
  <c r="BE55" i="14"/>
  <c r="BD55" i="14"/>
  <c r="BC55" i="14"/>
  <c r="BB55" i="14"/>
  <c r="BA55" i="14"/>
  <c r="AZ55" i="14"/>
  <c r="AY55" i="14"/>
  <c r="AX55" i="14"/>
  <c r="AW55" i="14"/>
  <c r="AV55" i="14"/>
  <c r="BP54" i="14"/>
  <c r="BO54" i="14"/>
  <c r="BN54" i="14"/>
  <c r="BM54" i="14"/>
  <c r="BL54" i="14"/>
  <c r="BK54" i="14"/>
  <c r="BJ54" i="14"/>
  <c r="BI54" i="14"/>
  <c r="BH54" i="14"/>
  <c r="BG54" i="14"/>
  <c r="BF54" i="14"/>
  <c r="BE54" i="14"/>
  <c r="BD54" i="14"/>
  <c r="BC54" i="14"/>
  <c r="BB54" i="14"/>
  <c r="BA54" i="14"/>
  <c r="AZ54" i="14"/>
  <c r="AY54" i="14"/>
  <c r="AX54" i="14"/>
  <c r="AW54" i="14"/>
  <c r="AV54" i="14"/>
  <c r="BP53" i="14"/>
  <c r="BO53" i="14"/>
  <c r="BN53" i="14"/>
  <c r="BM53" i="14"/>
  <c r="BL53" i="14"/>
  <c r="BK53" i="14"/>
  <c r="BJ53" i="14"/>
  <c r="BI53" i="14"/>
  <c r="BH53" i="14"/>
  <c r="BG53" i="14"/>
  <c r="BF53" i="14"/>
  <c r="BE53" i="14"/>
  <c r="BD53" i="14"/>
  <c r="BC53" i="14"/>
  <c r="BB53" i="14"/>
  <c r="BA53" i="14"/>
  <c r="AZ53" i="14"/>
  <c r="AY53" i="14"/>
  <c r="AX53" i="14"/>
  <c r="AW53" i="14"/>
  <c r="AV53" i="14"/>
  <c r="BP52" i="14"/>
  <c r="BL52" i="14"/>
  <c r="BD52" i="14"/>
  <c r="BC52" i="14"/>
  <c r="BB52" i="14"/>
  <c r="AZ52" i="14"/>
  <c r="AY52" i="14"/>
  <c r="BP51" i="14"/>
  <c r="BL51" i="14"/>
  <c r="BD51" i="14"/>
  <c r="BC51" i="14"/>
  <c r="BB51" i="14"/>
  <c r="AZ51" i="14"/>
  <c r="AY51" i="14"/>
  <c r="BP50" i="14"/>
  <c r="BL50" i="14"/>
  <c r="BD50" i="14"/>
  <c r="BC50" i="14"/>
  <c r="BB50" i="14"/>
  <c r="AZ50" i="14"/>
  <c r="AY50" i="14"/>
  <c r="BP49" i="14"/>
  <c r="BL49" i="14"/>
  <c r="BD49" i="14"/>
  <c r="BC49" i="14"/>
  <c r="BB49" i="14"/>
  <c r="AZ49" i="14"/>
  <c r="AY49" i="14"/>
  <c r="BP48" i="14"/>
  <c r="BL48" i="14"/>
  <c r="BD48" i="14"/>
  <c r="BC48" i="14"/>
  <c r="BB48" i="14"/>
  <c r="AZ48" i="14"/>
  <c r="AY48" i="14"/>
  <c r="BP47" i="14"/>
  <c r="BL47" i="14"/>
  <c r="BD47" i="14"/>
  <c r="BC47" i="14"/>
  <c r="BB47" i="14"/>
  <c r="AZ47" i="14"/>
  <c r="AY47" i="14"/>
  <c r="BP46" i="14"/>
  <c r="BL46" i="14"/>
  <c r="BD46" i="14"/>
  <c r="BC46" i="14"/>
  <c r="BB46" i="14"/>
  <c r="AZ46" i="14"/>
  <c r="AY46" i="14"/>
  <c r="BP45" i="14"/>
  <c r="BL45" i="14"/>
  <c r="BD45" i="14"/>
  <c r="BC45" i="14"/>
  <c r="BB45" i="14"/>
  <c r="AZ45" i="14"/>
  <c r="AY45" i="14"/>
  <c r="BP44" i="14"/>
  <c r="BL44" i="14"/>
  <c r="BD44" i="14"/>
  <c r="BC44" i="14"/>
  <c r="BB44" i="14"/>
  <c r="AZ44" i="14"/>
  <c r="AY44" i="14"/>
  <c r="BP43" i="14"/>
  <c r="BL43" i="14"/>
  <c r="BD43" i="14"/>
  <c r="BC43" i="14"/>
  <c r="BB43" i="14"/>
  <c r="AZ43" i="14"/>
  <c r="AY43" i="14"/>
  <c r="BP42" i="14"/>
  <c r="BL42" i="14"/>
  <c r="BD42" i="14"/>
  <c r="BC42" i="14"/>
  <c r="BB42" i="14"/>
  <c r="AZ42" i="14"/>
  <c r="AY42" i="14"/>
  <c r="BP41" i="14"/>
  <c r="BL41" i="14"/>
  <c r="BD41" i="14"/>
  <c r="BC41" i="14"/>
  <c r="BB41" i="14"/>
  <c r="AZ41" i="14"/>
  <c r="AY41" i="14"/>
  <c r="BP40" i="14"/>
  <c r="BL40" i="14"/>
  <c r="BD40" i="14"/>
  <c r="BC40" i="14"/>
  <c r="BB40" i="14"/>
  <c r="AZ40" i="14"/>
  <c r="AY40" i="14"/>
  <c r="BP39" i="14"/>
  <c r="BL39" i="14"/>
  <c r="BD39" i="14"/>
  <c r="BC39" i="14"/>
  <c r="BB39" i="14"/>
  <c r="AZ39" i="14"/>
  <c r="AY39" i="14"/>
  <c r="BP38" i="14"/>
  <c r="BL38" i="14"/>
  <c r="BD38" i="14"/>
  <c r="BC38" i="14"/>
  <c r="BB38" i="14"/>
  <c r="AZ38" i="14"/>
  <c r="AY38" i="14"/>
  <c r="BP37" i="14"/>
  <c r="BL37" i="14"/>
  <c r="BD37" i="14"/>
  <c r="BC37" i="14"/>
  <c r="BB37" i="14"/>
  <c r="AZ37" i="14"/>
  <c r="AY37" i="14"/>
  <c r="BP36" i="14"/>
  <c r="BL36" i="14"/>
  <c r="BD36" i="14"/>
  <c r="BC36" i="14"/>
  <c r="BB36" i="14"/>
  <c r="AZ36" i="14"/>
  <c r="AY36" i="14"/>
  <c r="BP35" i="14"/>
  <c r="BL35" i="14"/>
  <c r="BD35" i="14"/>
  <c r="BC35" i="14"/>
  <c r="BB35" i="14"/>
  <c r="AZ35" i="14"/>
  <c r="AY35" i="14"/>
  <c r="BP34" i="14"/>
  <c r="BL34" i="14"/>
  <c r="BD34" i="14"/>
  <c r="BC34" i="14"/>
  <c r="BB34" i="14"/>
  <c r="AZ34" i="14"/>
  <c r="AY34" i="14"/>
  <c r="BP33" i="14"/>
  <c r="BL33" i="14"/>
  <c r="BD33" i="14"/>
  <c r="BC33" i="14"/>
  <c r="BB33" i="14"/>
  <c r="AZ33" i="14"/>
  <c r="AY33" i="14"/>
  <c r="BP32" i="14"/>
  <c r="BL32" i="14"/>
  <c r="BD32" i="14"/>
  <c r="BC32" i="14"/>
  <c r="BB32" i="14"/>
  <c r="AZ32" i="14"/>
  <c r="AY32" i="14"/>
  <c r="BP31" i="14"/>
  <c r="BL31" i="14"/>
  <c r="BD31" i="14"/>
  <c r="BC31" i="14"/>
  <c r="BB31" i="14"/>
  <c r="AZ31" i="14"/>
  <c r="AY31" i="14"/>
  <c r="BP30" i="14"/>
  <c r="BL30" i="14"/>
  <c r="BD30" i="14"/>
  <c r="BC30" i="14"/>
  <c r="BB30" i="14"/>
  <c r="AZ30" i="14"/>
  <c r="AY30" i="14"/>
  <c r="BP29" i="14"/>
  <c r="BL29" i="14"/>
  <c r="BD29" i="14"/>
  <c r="BC29" i="14"/>
  <c r="BB29" i="14"/>
  <c r="AZ29" i="14"/>
  <c r="AY29" i="14"/>
  <c r="BP28" i="14"/>
  <c r="BL28" i="14"/>
  <c r="BD28" i="14"/>
  <c r="BC28" i="14"/>
  <c r="BB28" i="14"/>
  <c r="AZ28" i="14"/>
  <c r="AY28" i="14"/>
  <c r="BP27" i="14"/>
  <c r="BL27" i="14"/>
  <c r="BD27" i="14"/>
  <c r="BC27" i="14"/>
  <c r="BB27" i="14"/>
  <c r="AZ27" i="14"/>
  <c r="AY27" i="14"/>
  <c r="BP26" i="14"/>
  <c r="BL26" i="14"/>
  <c r="BD26" i="14"/>
  <c r="BC26" i="14"/>
  <c r="BB26" i="14"/>
  <c r="AZ26" i="14"/>
  <c r="AY26" i="14"/>
  <c r="BP25" i="14"/>
  <c r="BL25" i="14"/>
  <c r="BD25" i="14"/>
  <c r="BC25" i="14"/>
  <c r="BB25" i="14"/>
  <c r="AZ25" i="14"/>
  <c r="AY25" i="14"/>
  <c r="BP24" i="14"/>
  <c r="BL24" i="14"/>
  <c r="BD24" i="14"/>
  <c r="BC24" i="14"/>
  <c r="BB24" i="14"/>
  <c r="AZ24" i="14"/>
  <c r="AY24" i="14"/>
  <c r="BP23" i="14"/>
  <c r="BL23" i="14"/>
  <c r="BD23" i="14"/>
  <c r="BC23" i="14"/>
  <c r="BB23" i="14"/>
  <c r="AZ23" i="14"/>
  <c r="AY23" i="14"/>
  <c r="BP22" i="14"/>
  <c r="BL22" i="14"/>
  <c r="BD22" i="14"/>
  <c r="BC22" i="14"/>
  <c r="BB22" i="14"/>
  <c r="AZ22" i="14"/>
  <c r="AY22" i="14"/>
  <c r="BP21" i="14"/>
  <c r="BL21" i="14"/>
  <c r="BD21" i="14"/>
  <c r="BC21" i="14"/>
  <c r="BB21" i="14"/>
  <c r="AZ21" i="14"/>
  <c r="AY21" i="14"/>
  <c r="BP20" i="14"/>
  <c r="BL20" i="14"/>
  <c r="BD20" i="14"/>
  <c r="BC20" i="14"/>
  <c r="BB20" i="14"/>
  <c r="AZ20" i="14"/>
  <c r="AY20" i="14"/>
  <c r="BP19" i="14"/>
  <c r="BL19" i="14"/>
  <c r="BD19" i="14"/>
  <c r="BC19" i="14"/>
  <c r="BB19" i="14"/>
  <c r="AZ19" i="14"/>
  <c r="AY19" i="14"/>
  <c r="BP18" i="14"/>
  <c r="BL18" i="14"/>
  <c r="BD18" i="14"/>
  <c r="BC18" i="14"/>
  <c r="BB18" i="14"/>
  <c r="AZ18" i="14"/>
  <c r="AY18" i="14"/>
  <c r="BP17" i="14"/>
  <c r="BL17" i="14"/>
  <c r="BD17" i="14"/>
  <c r="BC17" i="14"/>
  <c r="BB17" i="14"/>
  <c r="AZ17" i="14"/>
  <c r="AY17" i="14"/>
  <c r="BP16" i="14"/>
  <c r="BL16" i="14"/>
  <c r="BD16" i="14"/>
  <c r="BC16" i="14"/>
  <c r="BB16" i="14"/>
  <c r="AZ16" i="14"/>
  <c r="AY16" i="14"/>
  <c r="BP15" i="14"/>
  <c r="BL15" i="14"/>
  <c r="BD15" i="14"/>
  <c r="BC15" i="14"/>
  <c r="BB15" i="14"/>
  <c r="AZ15" i="14"/>
  <c r="AY15" i="14"/>
  <c r="BP14" i="14"/>
  <c r="BL14" i="14"/>
  <c r="BD14" i="14"/>
  <c r="BC14" i="14"/>
  <c r="BB14" i="14"/>
  <c r="AZ14" i="14"/>
  <c r="AY14" i="14"/>
  <c r="BP13" i="14"/>
  <c r="BL13" i="14"/>
  <c r="BD13" i="14"/>
  <c r="BC13" i="14"/>
  <c r="BB13" i="14"/>
  <c r="AZ13" i="14"/>
  <c r="AY13" i="14"/>
  <c r="BP12" i="14"/>
  <c r="BL12" i="14"/>
  <c r="BD12" i="14"/>
  <c r="BC12" i="14"/>
  <c r="BB12" i="14"/>
  <c r="AZ12" i="14"/>
  <c r="AY12" i="14"/>
  <c r="BP11" i="14"/>
  <c r="BL11" i="14"/>
  <c r="BD11" i="14"/>
  <c r="BC11" i="14"/>
  <c r="BB11" i="14"/>
  <c r="AZ11" i="14"/>
  <c r="AY11" i="14"/>
  <c r="BP10" i="14"/>
  <c r="BL10" i="14"/>
  <c r="BD10" i="14"/>
  <c r="BC10" i="14"/>
  <c r="BB10" i="14"/>
  <c r="AZ10" i="14"/>
  <c r="AY10" i="14"/>
  <c r="BP9" i="14"/>
  <c r="BL9" i="14"/>
  <c r="BD9" i="14"/>
  <c r="BC9" i="14"/>
  <c r="BB9" i="14"/>
  <c r="AZ9" i="14"/>
  <c r="AY9" i="14"/>
  <c r="BP8" i="14"/>
  <c r="BL8" i="14"/>
  <c r="BD8" i="14"/>
  <c r="BC8" i="14"/>
  <c r="BB8" i="14"/>
  <c r="AZ8" i="14"/>
  <c r="AY8" i="14"/>
  <c r="BP7" i="14"/>
  <c r="BL7" i="14"/>
  <c r="BD7" i="14"/>
  <c r="BC7" i="14"/>
  <c r="BB7" i="14"/>
  <c r="AZ7" i="14"/>
  <c r="AY7" i="14"/>
  <c r="C276" i="4" l="1"/>
  <c r="C278" i="4" s="1"/>
  <c r="G275" i="4"/>
  <c r="F275" i="4"/>
  <c r="F276" i="4" s="1"/>
  <c r="E275" i="4"/>
  <c r="E276" i="4" s="1"/>
  <c r="D275" i="4"/>
  <c r="D276" i="4" s="1"/>
  <c r="I275" i="4"/>
  <c r="D278" i="4" l="1"/>
  <c r="E278" i="4" s="1"/>
  <c r="F278" i="4" s="1"/>
  <c r="CL6" i="5" l="1"/>
  <c r="CK6" i="5"/>
  <c r="CJ6" i="5"/>
  <c r="CI6" i="5"/>
  <c r="CH6" i="5"/>
  <c r="CG6" i="5"/>
  <c r="CF6" i="5"/>
  <c r="CE6" i="5"/>
  <c r="CD6" i="5"/>
  <c r="CC6" i="5"/>
  <c r="CB6" i="5"/>
  <c r="CA6" i="5"/>
  <c r="BZ6" i="5"/>
  <c r="BY6" i="5"/>
  <c r="BX6" i="5"/>
  <c r="BW6" i="5"/>
  <c r="BV6" i="5"/>
  <c r="BU6" i="5"/>
  <c r="BT6" i="5"/>
  <c r="BS6" i="5"/>
  <c r="CM6" i="5" s="1"/>
  <c r="BR6" i="5"/>
  <c r="DI6" i="5"/>
  <c r="DH6" i="5"/>
  <c r="DG6" i="5"/>
  <c r="DF6" i="5"/>
  <c r="DE6" i="5"/>
  <c r="DD6" i="5"/>
  <c r="DC6" i="5"/>
  <c r="DB6" i="5"/>
  <c r="DA6" i="5"/>
  <c r="CZ6" i="5"/>
  <c r="CY6" i="5"/>
  <c r="CX6" i="5"/>
  <c r="CW6" i="5"/>
  <c r="CV6" i="5"/>
  <c r="CU6" i="5"/>
  <c r="CT6" i="5"/>
  <c r="CS6" i="5"/>
  <c r="CR6" i="5"/>
  <c r="CQ6" i="5"/>
  <c r="CP6" i="5"/>
  <c r="CO6" i="5"/>
  <c r="DI65" i="5"/>
  <c r="DH65" i="5"/>
  <c r="DG65" i="5"/>
  <c r="DF65" i="5"/>
  <c r="DE65" i="5"/>
  <c r="DD65" i="5"/>
  <c r="DC65" i="5"/>
  <c r="DB65" i="5"/>
  <c r="DA65" i="5"/>
  <c r="CZ65" i="5"/>
  <c r="CY65" i="5"/>
  <c r="CX65" i="5"/>
  <c r="CW65" i="5"/>
  <c r="CV65" i="5"/>
  <c r="CU65" i="5"/>
  <c r="CT65" i="5"/>
  <c r="CS65" i="5"/>
  <c r="CR65" i="5"/>
  <c r="CQ65" i="5"/>
  <c r="CP65" i="5"/>
  <c r="CO65" i="5"/>
  <c r="DI64" i="5"/>
  <c r="DH64" i="5"/>
  <c r="DG64" i="5"/>
  <c r="DF64" i="5"/>
  <c r="DE64" i="5"/>
  <c r="DD64" i="5"/>
  <c r="DC64" i="5"/>
  <c r="DB64" i="5"/>
  <c r="DA64" i="5"/>
  <c r="CZ64" i="5"/>
  <c r="CY64" i="5"/>
  <c r="CX64" i="5"/>
  <c r="CW64" i="5"/>
  <c r="CV64" i="5"/>
  <c r="CU64" i="5"/>
  <c r="CT64" i="5"/>
  <c r="CS64" i="5"/>
  <c r="CR64" i="5"/>
  <c r="CQ64" i="5"/>
  <c r="CP64" i="5"/>
  <c r="CO64" i="5"/>
  <c r="DI63" i="5"/>
  <c r="DH63" i="5"/>
  <c r="DG63" i="5"/>
  <c r="DF63" i="5"/>
  <c r="DE63" i="5"/>
  <c r="DD63" i="5"/>
  <c r="DC63" i="5"/>
  <c r="DB63" i="5"/>
  <c r="DA63" i="5"/>
  <c r="CZ63" i="5"/>
  <c r="CY63" i="5"/>
  <c r="CX63" i="5"/>
  <c r="CW63" i="5"/>
  <c r="CV63" i="5"/>
  <c r="CU63" i="5"/>
  <c r="CT63" i="5"/>
  <c r="CS63" i="5"/>
  <c r="CR63" i="5"/>
  <c r="CQ63" i="5"/>
  <c r="CP63" i="5"/>
  <c r="CO63" i="5"/>
  <c r="DI62" i="5"/>
  <c r="DH62" i="5"/>
  <c r="DG62" i="5"/>
  <c r="DF62" i="5"/>
  <c r="DE62" i="5"/>
  <c r="DD62" i="5"/>
  <c r="DC62" i="5"/>
  <c r="DB62" i="5"/>
  <c r="DA62" i="5"/>
  <c r="CZ62" i="5"/>
  <c r="CY62" i="5"/>
  <c r="CX62" i="5"/>
  <c r="CW62" i="5"/>
  <c r="CV62" i="5"/>
  <c r="CU62" i="5"/>
  <c r="CT62" i="5"/>
  <c r="CS62" i="5"/>
  <c r="CR62" i="5"/>
  <c r="CQ62" i="5"/>
  <c r="CP62" i="5"/>
  <c r="CO62" i="5"/>
  <c r="DI61" i="5"/>
  <c r="DH61" i="5"/>
  <c r="DG61" i="5"/>
  <c r="DF61" i="5"/>
  <c r="DE61" i="5"/>
  <c r="DD61" i="5"/>
  <c r="DC61" i="5"/>
  <c r="DB61" i="5"/>
  <c r="DA61" i="5"/>
  <c r="CZ61" i="5"/>
  <c r="CY61" i="5"/>
  <c r="CX61" i="5"/>
  <c r="CW61" i="5"/>
  <c r="CV61" i="5"/>
  <c r="CU61" i="5"/>
  <c r="CT61" i="5"/>
  <c r="CS61" i="5"/>
  <c r="CR61" i="5"/>
  <c r="CQ61" i="5"/>
  <c r="CP61" i="5"/>
  <c r="CO61" i="5"/>
  <c r="DI60" i="5"/>
  <c r="DH60" i="5"/>
  <c r="DG60" i="5"/>
  <c r="DF60" i="5"/>
  <c r="DE60" i="5"/>
  <c r="DD60" i="5"/>
  <c r="DC60" i="5"/>
  <c r="DB60" i="5"/>
  <c r="DA60" i="5"/>
  <c r="CZ60" i="5"/>
  <c r="CY60" i="5"/>
  <c r="CX60" i="5"/>
  <c r="CW60" i="5"/>
  <c r="CV60" i="5"/>
  <c r="CU60" i="5"/>
  <c r="CT60" i="5"/>
  <c r="CS60" i="5"/>
  <c r="CR60" i="5"/>
  <c r="CQ60" i="5"/>
  <c r="CP60" i="5"/>
  <c r="CO60" i="5"/>
  <c r="DI59" i="5"/>
  <c r="DH59" i="5"/>
  <c r="DG59" i="5"/>
  <c r="DF59" i="5"/>
  <c r="DE59" i="5"/>
  <c r="DD59" i="5"/>
  <c r="DC59" i="5"/>
  <c r="DB59" i="5"/>
  <c r="DA59" i="5"/>
  <c r="CZ59" i="5"/>
  <c r="CY59" i="5"/>
  <c r="CX59" i="5"/>
  <c r="CW59" i="5"/>
  <c r="CV59" i="5"/>
  <c r="CU59" i="5"/>
  <c r="CT59" i="5"/>
  <c r="CS59" i="5"/>
  <c r="CR59" i="5"/>
  <c r="CQ59" i="5"/>
  <c r="CP59" i="5"/>
  <c r="CO59" i="5"/>
  <c r="DI58" i="5"/>
  <c r="DH58" i="5"/>
  <c r="DG58" i="5"/>
  <c r="DF58" i="5"/>
  <c r="DE58" i="5"/>
  <c r="DD58" i="5"/>
  <c r="DC58" i="5"/>
  <c r="DB58" i="5"/>
  <c r="DA58" i="5"/>
  <c r="CZ58" i="5"/>
  <c r="CY58" i="5"/>
  <c r="CX58" i="5"/>
  <c r="CW58" i="5"/>
  <c r="CV58" i="5"/>
  <c r="CU58" i="5"/>
  <c r="CT58" i="5"/>
  <c r="CS58" i="5"/>
  <c r="CR58" i="5"/>
  <c r="CQ58" i="5"/>
  <c r="CP58" i="5"/>
  <c r="CO58" i="5"/>
  <c r="DI57" i="5"/>
  <c r="DH57" i="5"/>
  <c r="DG57" i="5"/>
  <c r="DF57" i="5"/>
  <c r="DE57" i="5"/>
  <c r="DD57" i="5"/>
  <c r="DC57" i="5"/>
  <c r="DB57" i="5"/>
  <c r="DA57" i="5"/>
  <c r="CZ57" i="5"/>
  <c r="CY57" i="5"/>
  <c r="CX57" i="5"/>
  <c r="CW57" i="5"/>
  <c r="CV57" i="5"/>
  <c r="CU57" i="5"/>
  <c r="CT57" i="5"/>
  <c r="CS57" i="5"/>
  <c r="CR57" i="5"/>
  <c r="CQ57" i="5"/>
  <c r="CP57" i="5"/>
  <c r="CO57" i="5"/>
  <c r="DI56" i="5"/>
  <c r="DH56" i="5"/>
  <c r="DG56" i="5"/>
  <c r="DF56" i="5"/>
  <c r="DE56" i="5"/>
  <c r="DD56" i="5"/>
  <c r="DC56" i="5"/>
  <c r="DB56" i="5"/>
  <c r="DA56" i="5"/>
  <c r="CZ56" i="5"/>
  <c r="CY56" i="5"/>
  <c r="CX56" i="5"/>
  <c r="CW56" i="5"/>
  <c r="CV56" i="5"/>
  <c r="CU56" i="5"/>
  <c r="CT56" i="5"/>
  <c r="CS56" i="5"/>
  <c r="CR56" i="5"/>
  <c r="CQ56" i="5"/>
  <c r="CP56" i="5"/>
  <c r="CO56" i="5"/>
  <c r="DI55" i="5"/>
  <c r="DH55" i="5"/>
  <c r="DG55" i="5"/>
  <c r="DF55" i="5"/>
  <c r="DE55" i="5"/>
  <c r="DD55" i="5"/>
  <c r="DC55" i="5"/>
  <c r="DB55" i="5"/>
  <c r="DA55" i="5"/>
  <c r="CZ55" i="5"/>
  <c r="CY55" i="5"/>
  <c r="CX55" i="5"/>
  <c r="CW55" i="5"/>
  <c r="CV55" i="5"/>
  <c r="CU55" i="5"/>
  <c r="CT55" i="5"/>
  <c r="CS55" i="5"/>
  <c r="CR55" i="5"/>
  <c r="CQ55" i="5"/>
  <c r="CP55" i="5"/>
  <c r="CO55" i="5"/>
  <c r="DI54" i="5"/>
  <c r="DH54" i="5"/>
  <c r="DG54" i="5"/>
  <c r="DF54" i="5"/>
  <c r="DE54" i="5"/>
  <c r="DD54" i="5"/>
  <c r="DC54" i="5"/>
  <c r="DB54" i="5"/>
  <c r="DA54" i="5"/>
  <c r="CZ54" i="5"/>
  <c r="CY54" i="5"/>
  <c r="CX54" i="5"/>
  <c r="CW54" i="5"/>
  <c r="CV54" i="5"/>
  <c r="CU54" i="5"/>
  <c r="CT54" i="5"/>
  <c r="CS54" i="5"/>
  <c r="CR54" i="5"/>
  <c r="CQ54" i="5"/>
  <c r="CP54" i="5"/>
  <c r="CO54" i="5"/>
  <c r="DI53" i="5"/>
  <c r="DH53" i="5"/>
  <c r="DG53" i="5"/>
  <c r="DF53" i="5"/>
  <c r="DE53" i="5"/>
  <c r="DD53" i="5"/>
  <c r="DC53" i="5"/>
  <c r="DB53" i="5"/>
  <c r="DA53" i="5"/>
  <c r="CZ53" i="5"/>
  <c r="CY53" i="5"/>
  <c r="CX53" i="5"/>
  <c r="CW53" i="5"/>
  <c r="CV53" i="5"/>
  <c r="CU53" i="5"/>
  <c r="CT53" i="5"/>
  <c r="CS53" i="5"/>
  <c r="CR53" i="5"/>
  <c r="CQ53" i="5"/>
  <c r="CP53" i="5"/>
  <c r="CO53" i="5"/>
  <c r="CL65" i="5"/>
  <c r="CK65" i="5"/>
  <c r="CJ65" i="5"/>
  <c r="CI65" i="5"/>
  <c r="CH65" i="5"/>
  <c r="CG65" i="5"/>
  <c r="CF65" i="5"/>
  <c r="CE65" i="5"/>
  <c r="CD65" i="5"/>
  <c r="CC65" i="5"/>
  <c r="CB65" i="5"/>
  <c r="CA65" i="5"/>
  <c r="BZ65" i="5"/>
  <c r="BY65" i="5"/>
  <c r="BX65" i="5"/>
  <c r="BW65" i="5"/>
  <c r="BV65" i="5"/>
  <c r="BU65" i="5"/>
  <c r="BT65" i="5"/>
  <c r="BS65" i="5"/>
  <c r="BR65" i="5"/>
  <c r="CL64" i="5"/>
  <c r="CK64" i="5"/>
  <c r="CJ64" i="5"/>
  <c r="CI64" i="5"/>
  <c r="CH64" i="5"/>
  <c r="CG64" i="5"/>
  <c r="CF64" i="5"/>
  <c r="CE64" i="5"/>
  <c r="CD64" i="5"/>
  <c r="CC64" i="5"/>
  <c r="CB64" i="5"/>
  <c r="CA64" i="5"/>
  <c r="BZ64" i="5"/>
  <c r="BY64" i="5"/>
  <c r="BX64" i="5"/>
  <c r="BW64" i="5"/>
  <c r="BV64" i="5"/>
  <c r="BU64" i="5"/>
  <c r="BT64" i="5"/>
  <c r="BS64" i="5"/>
  <c r="BR64" i="5"/>
  <c r="CL63" i="5"/>
  <c r="CK63" i="5"/>
  <c r="CJ63" i="5"/>
  <c r="CI63" i="5"/>
  <c r="CH63" i="5"/>
  <c r="CG63" i="5"/>
  <c r="CF63" i="5"/>
  <c r="CE63" i="5"/>
  <c r="CD63" i="5"/>
  <c r="CC63" i="5"/>
  <c r="CB63" i="5"/>
  <c r="CA63" i="5"/>
  <c r="BZ63" i="5"/>
  <c r="BY63" i="5"/>
  <c r="BX63" i="5"/>
  <c r="BW63" i="5"/>
  <c r="BV63" i="5"/>
  <c r="BU63" i="5"/>
  <c r="BT63" i="5"/>
  <c r="BS63" i="5"/>
  <c r="BR63" i="5"/>
  <c r="CL62" i="5"/>
  <c r="CK62" i="5"/>
  <c r="CJ62" i="5"/>
  <c r="CI62" i="5"/>
  <c r="CH62" i="5"/>
  <c r="CG62" i="5"/>
  <c r="CF62" i="5"/>
  <c r="CE62" i="5"/>
  <c r="CD62" i="5"/>
  <c r="CC62" i="5"/>
  <c r="CB62" i="5"/>
  <c r="CA62" i="5"/>
  <c r="BZ62" i="5"/>
  <c r="BY62" i="5"/>
  <c r="BX62" i="5"/>
  <c r="BW62" i="5"/>
  <c r="BV62" i="5"/>
  <c r="BU62" i="5"/>
  <c r="BT62" i="5"/>
  <c r="BS62" i="5"/>
  <c r="BR62" i="5"/>
  <c r="CL61" i="5"/>
  <c r="CK61" i="5"/>
  <c r="CJ61" i="5"/>
  <c r="CI61" i="5"/>
  <c r="CH61" i="5"/>
  <c r="CG61" i="5"/>
  <c r="CF61" i="5"/>
  <c r="CE61" i="5"/>
  <c r="CD61" i="5"/>
  <c r="CC61" i="5"/>
  <c r="CB61" i="5"/>
  <c r="CA61" i="5"/>
  <c r="BZ61" i="5"/>
  <c r="BY61" i="5"/>
  <c r="BX61" i="5"/>
  <c r="BW61" i="5"/>
  <c r="BV61" i="5"/>
  <c r="BU61" i="5"/>
  <c r="BT61" i="5"/>
  <c r="BS61" i="5"/>
  <c r="BR61" i="5"/>
  <c r="CL60" i="5"/>
  <c r="CK60" i="5"/>
  <c r="CJ60" i="5"/>
  <c r="CI60" i="5"/>
  <c r="CH60" i="5"/>
  <c r="CG60" i="5"/>
  <c r="CF60" i="5"/>
  <c r="CE60" i="5"/>
  <c r="CD60" i="5"/>
  <c r="CC60" i="5"/>
  <c r="CB60" i="5"/>
  <c r="CA60" i="5"/>
  <c r="BZ60" i="5"/>
  <c r="BY60" i="5"/>
  <c r="BX60" i="5"/>
  <c r="BW60" i="5"/>
  <c r="BV60" i="5"/>
  <c r="BU60" i="5"/>
  <c r="BT60" i="5"/>
  <c r="BS60" i="5"/>
  <c r="BR60" i="5"/>
  <c r="CL59" i="5"/>
  <c r="CK59" i="5"/>
  <c r="CJ59" i="5"/>
  <c r="CI59" i="5"/>
  <c r="CH59" i="5"/>
  <c r="CG59" i="5"/>
  <c r="CF59" i="5"/>
  <c r="CE59" i="5"/>
  <c r="CD59" i="5"/>
  <c r="CC59" i="5"/>
  <c r="CB59" i="5"/>
  <c r="CA59" i="5"/>
  <c r="BZ59" i="5"/>
  <c r="BY59" i="5"/>
  <c r="BX59" i="5"/>
  <c r="BW59" i="5"/>
  <c r="BV59" i="5"/>
  <c r="BU59" i="5"/>
  <c r="BT59" i="5"/>
  <c r="BS59" i="5"/>
  <c r="BR59" i="5"/>
  <c r="CL58" i="5"/>
  <c r="CK58" i="5"/>
  <c r="CJ58" i="5"/>
  <c r="CI58" i="5"/>
  <c r="CH58" i="5"/>
  <c r="CG58" i="5"/>
  <c r="CF58" i="5"/>
  <c r="CE58" i="5"/>
  <c r="CD58" i="5"/>
  <c r="CC58" i="5"/>
  <c r="CB58" i="5"/>
  <c r="CA58" i="5"/>
  <c r="BZ58" i="5"/>
  <c r="BY58" i="5"/>
  <c r="BX58" i="5"/>
  <c r="BW58" i="5"/>
  <c r="BV58" i="5"/>
  <c r="BU58" i="5"/>
  <c r="BT58" i="5"/>
  <c r="BS58" i="5"/>
  <c r="BR58" i="5"/>
  <c r="CL57" i="5"/>
  <c r="CK57" i="5"/>
  <c r="CJ57" i="5"/>
  <c r="CI57" i="5"/>
  <c r="CH57" i="5"/>
  <c r="CG57" i="5"/>
  <c r="CF57" i="5"/>
  <c r="CE57" i="5"/>
  <c r="CD57" i="5"/>
  <c r="CC57" i="5"/>
  <c r="CB57" i="5"/>
  <c r="CA57" i="5"/>
  <c r="BZ57" i="5"/>
  <c r="BY57" i="5"/>
  <c r="BX57" i="5"/>
  <c r="BW57" i="5"/>
  <c r="BV57" i="5"/>
  <c r="BU57" i="5"/>
  <c r="BT57" i="5"/>
  <c r="BS57" i="5"/>
  <c r="BR57" i="5"/>
  <c r="CL56" i="5"/>
  <c r="CK56" i="5"/>
  <c r="CJ56" i="5"/>
  <c r="CI56" i="5"/>
  <c r="CH56" i="5"/>
  <c r="CG56" i="5"/>
  <c r="CF56" i="5"/>
  <c r="CE56" i="5"/>
  <c r="CD56" i="5"/>
  <c r="CC56" i="5"/>
  <c r="CB56" i="5"/>
  <c r="CA56" i="5"/>
  <c r="BZ56" i="5"/>
  <c r="BY56" i="5"/>
  <c r="BX56" i="5"/>
  <c r="BW56" i="5"/>
  <c r="BV56" i="5"/>
  <c r="BU56" i="5"/>
  <c r="BT56" i="5"/>
  <c r="BS56" i="5"/>
  <c r="BR56" i="5"/>
  <c r="CL55" i="5"/>
  <c r="CK55" i="5"/>
  <c r="CJ55" i="5"/>
  <c r="CI55" i="5"/>
  <c r="CH55" i="5"/>
  <c r="CG55" i="5"/>
  <c r="CF55" i="5"/>
  <c r="CE55" i="5"/>
  <c r="CD55" i="5"/>
  <c r="CC55" i="5"/>
  <c r="CB55" i="5"/>
  <c r="CA55" i="5"/>
  <c r="BZ55" i="5"/>
  <c r="BY55" i="5"/>
  <c r="BX55" i="5"/>
  <c r="BW55" i="5"/>
  <c r="BV55" i="5"/>
  <c r="BU55" i="5"/>
  <c r="BT55" i="5"/>
  <c r="BS55" i="5"/>
  <c r="BR55" i="5"/>
  <c r="CL54" i="5"/>
  <c r="CK54" i="5"/>
  <c r="CJ54" i="5"/>
  <c r="CI54" i="5"/>
  <c r="CH54" i="5"/>
  <c r="CG54" i="5"/>
  <c r="CF54" i="5"/>
  <c r="CE54" i="5"/>
  <c r="CD54" i="5"/>
  <c r="CC54" i="5"/>
  <c r="CB54" i="5"/>
  <c r="CA54" i="5"/>
  <c r="BZ54" i="5"/>
  <c r="BY54" i="5"/>
  <c r="BX54" i="5"/>
  <c r="BW54" i="5"/>
  <c r="BV54" i="5"/>
  <c r="BU54" i="5"/>
  <c r="BT54" i="5"/>
  <c r="BS54" i="5"/>
  <c r="BR54" i="5"/>
  <c r="CL53" i="5"/>
  <c r="CK53" i="5"/>
  <c r="CJ53" i="5"/>
  <c r="CI53" i="5"/>
  <c r="CH53" i="5"/>
  <c r="CG53" i="5"/>
  <c r="CF53" i="5"/>
  <c r="CE53" i="5"/>
  <c r="CD53" i="5"/>
  <c r="CC53" i="5"/>
  <c r="CB53" i="5"/>
  <c r="CA53" i="5"/>
  <c r="BZ53" i="5"/>
  <c r="BY53" i="5"/>
  <c r="BX53" i="5"/>
  <c r="BW53" i="5"/>
  <c r="BV53" i="5"/>
  <c r="BU53" i="5"/>
  <c r="BT53" i="5"/>
  <c r="BS53" i="5"/>
  <c r="BR53" i="5"/>
  <c r="AV5" i="15"/>
  <c r="AV5" i="17" s="1"/>
  <c r="DE45" i="5"/>
  <c r="CS45" i="5"/>
  <c r="BP42" i="13"/>
  <c r="BL42" i="13"/>
  <c r="BD42" i="13"/>
  <c r="BC42" i="13"/>
  <c r="BB42" i="13"/>
  <c r="BP41" i="13"/>
  <c r="BL41" i="13"/>
  <c r="BD41" i="13"/>
  <c r="BC41" i="13"/>
  <c r="BB41" i="13"/>
  <c r="BP40" i="13"/>
  <c r="BL40" i="13"/>
  <c r="BD40" i="13"/>
  <c r="BC40" i="13"/>
  <c r="BB40" i="13"/>
  <c r="BP39" i="13"/>
  <c r="BL39" i="13"/>
  <c r="BD39" i="13"/>
  <c r="BC39" i="13"/>
  <c r="BB39" i="13"/>
  <c r="BP38" i="13"/>
  <c r="BL38" i="13"/>
  <c r="BD38" i="13"/>
  <c r="BC38" i="13"/>
  <c r="BB38" i="13"/>
  <c r="BP37" i="13"/>
  <c r="BL37" i="13"/>
  <c r="BD37" i="13"/>
  <c r="BC37" i="13"/>
  <c r="BB37" i="13"/>
  <c r="BP36" i="13"/>
  <c r="BL36" i="13"/>
  <c r="BD36" i="13"/>
  <c r="BC36" i="13"/>
  <c r="BB36" i="13"/>
  <c r="BP35" i="13"/>
  <c r="BL35" i="13"/>
  <c r="BD35" i="13"/>
  <c r="BC35" i="13"/>
  <c r="BB35" i="13"/>
  <c r="BP34" i="13"/>
  <c r="BL34" i="13"/>
  <c r="BD34" i="13"/>
  <c r="BC34" i="13"/>
  <c r="BB34" i="13"/>
  <c r="BP33" i="13"/>
  <c r="BL33" i="13"/>
  <c r="BD33" i="13"/>
  <c r="BC33" i="13"/>
  <c r="BB33" i="13"/>
  <c r="BP32" i="13"/>
  <c r="BL32" i="13"/>
  <c r="BD32" i="13"/>
  <c r="BC32" i="13"/>
  <c r="BB32" i="13"/>
  <c r="BP31" i="13"/>
  <c r="BL31" i="13"/>
  <c r="BD31" i="13"/>
  <c r="BC31" i="13"/>
  <c r="BB31" i="13"/>
  <c r="BP30" i="13"/>
  <c r="BL30" i="13"/>
  <c r="BD30" i="13"/>
  <c r="BC30" i="13"/>
  <c r="BB30" i="13"/>
  <c r="BP29" i="13"/>
  <c r="BL29" i="13"/>
  <c r="BD29" i="13"/>
  <c r="BC29" i="13"/>
  <c r="BB29" i="13"/>
  <c r="BP28" i="13"/>
  <c r="BL28" i="13"/>
  <c r="BD28" i="13"/>
  <c r="BC28" i="13"/>
  <c r="BB28" i="13"/>
  <c r="BP27" i="13"/>
  <c r="BL27" i="13"/>
  <c r="BD27" i="13"/>
  <c r="BC27" i="13"/>
  <c r="BB27" i="13"/>
  <c r="BP26" i="13"/>
  <c r="BL26" i="13"/>
  <c r="BD26" i="13"/>
  <c r="BC26" i="13"/>
  <c r="BB26" i="13"/>
  <c r="BP25" i="13"/>
  <c r="BL25" i="13"/>
  <c r="BD25" i="13"/>
  <c r="BC25" i="13"/>
  <c r="BB25" i="13"/>
  <c r="BP24" i="13"/>
  <c r="BL24" i="13"/>
  <c r="BD24" i="13"/>
  <c r="BC24" i="13"/>
  <c r="BB24" i="13"/>
  <c r="BP23" i="13"/>
  <c r="BL23" i="13"/>
  <c r="BD23" i="13"/>
  <c r="BC23" i="13"/>
  <c r="BB23" i="13"/>
  <c r="BP22" i="13"/>
  <c r="BL22" i="13"/>
  <c r="BD22" i="13"/>
  <c r="BC22" i="13"/>
  <c r="BB22" i="13"/>
  <c r="BP21" i="13"/>
  <c r="BL21" i="13"/>
  <c r="BD21" i="13"/>
  <c r="BC21" i="13"/>
  <c r="BB21" i="13"/>
  <c r="BP20" i="13"/>
  <c r="BL20" i="13"/>
  <c r="BD20" i="13"/>
  <c r="BC20" i="13"/>
  <c r="BB20" i="13"/>
  <c r="BP19" i="13"/>
  <c r="BL19" i="13"/>
  <c r="BD19" i="13"/>
  <c r="BC19" i="13"/>
  <c r="BB19" i="13"/>
  <c r="BP18" i="13"/>
  <c r="BL18" i="13"/>
  <c r="BD18" i="13"/>
  <c r="BC18" i="13"/>
  <c r="BB18" i="13"/>
  <c r="BP17" i="13"/>
  <c r="BL17" i="13"/>
  <c r="BD17" i="13"/>
  <c r="BC17" i="13"/>
  <c r="BB17" i="13"/>
  <c r="BP16" i="13"/>
  <c r="BL16" i="13"/>
  <c r="BD16" i="13"/>
  <c r="BC16" i="13"/>
  <c r="BB16" i="13"/>
  <c r="BP15" i="13"/>
  <c r="BL15" i="13"/>
  <c r="BD15" i="13"/>
  <c r="BC15" i="13"/>
  <c r="BB15" i="13"/>
  <c r="BP14" i="13"/>
  <c r="BL14" i="13"/>
  <c r="BD14" i="13"/>
  <c r="BC14" i="13"/>
  <c r="BB14" i="13"/>
  <c r="BP13" i="13"/>
  <c r="BL13" i="13"/>
  <c r="BD13" i="13"/>
  <c r="BC13" i="13"/>
  <c r="BB13" i="13"/>
  <c r="BP12" i="13"/>
  <c r="BL12" i="13"/>
  <c r="BD12" i="13"/>
  <c r="BC12" i="13"/>
  <c r="BB12" i="13"/>
  <c r="BP11" i="13"/>
  <c r="BL11" i="13"/>
  <c r="BD11" i="13"/>
  <c r="BC11" i="13"/>
  <c r="BB11" i="13"/>
  <c r="BP10" i="13"/>
  <c r="BL10" i="13"/>
  <c r="BD10" i="13"/>
  <c r="BC10" i="13"/>
  <c r="BB10" i="13"/>
  <c r="BP9" i="13"/>
  <c r="BL9" i="13"/>
  <c r="BD9" i="13"/>
  <c r="BC9" i="13"/>
  <c r="BB9" i="13"/>
  <c r="BP8" i="13"/>
  <c r="BL8" i="13"/>
  <c r="BD8" i="13"/>
  <c r="BC8" i="13"/>
  <c r="BB8" i="13"/>
  <c r="BP7" i="13"/>
  <c r="BL7" i="13"/>
  <c r="BD7" i="13"/>
  <c r="BC7" i="13"/>
  <c r="BB7" i="13"/>
  <c r="AZ42" i="13"/>
  <c r="AY42" i="13"/>
  <c r="AZ41" i="13"/>
  <c r="AY41" i="13"/>
  <c r="AZ40" i="13"/>
  <c r="AY40" i="13"/>
  <c r="AZ39" i="13"/>
  <c r="AY39" i="13"/>
  <c r="AZ38" i="13"/>
  <c r="AY38" i="13"/>
  <c r="AZ37" i="13"/>
  <c r="AY37" i="13"/>
  <c r="AZ36" i="13"/>
  <c r="AY36" i="13"/>
  <c r="AZ35" i="13"/>
  <c r="AY35" i="13"/>
  <c r="AZ34" i="13"/>
  <c r="AY34" i="13"/>
  <c r="AZ33" i="13"/>
  <c r="AY33" i="13"/>
  <c r="AZ32" i="13"/>
  <c r="AY32" i="13"/>
  <c r="AZ31" i="13"/>
  <c r="AY31" i="13"/>
  <c r="AZ30" i="13"/>
  <c r="AY30" i="13"/>
  <c r="AZ29" i="13"/>
  <c r="AY29" i="13"/>
  <c r="AZ28" i="13"/>
  <c r="AY28" i="13"/>
  <c r="AZ27" i="13"/>
  <c r="AY27" i="13"/>
  <c r="AZ26" i="13"/>
  <c r="AY26" i="13"/>
  <c r="AZ25" i="13"/>
  <c r="AY25" i="13"/>
  <c r="AZ24" i="13"/>
  <c r="AY24" i="13"/>
  <c r="AZ23" i="13"/>
  <c r="AY23" i="13"/>
  <c r="AZ22" i="13"/>
  <c r="AY22" i="13"/>
  <c r="AZ21" i="13"/>
  <c r="AY21" i="13"/>
  <c r="AZ20" i="13"/>
  <c r="AY20" i="13"/>
  <c r="AZ19" i="13"/>
  <c r="AY19" i="13"/>
  <c r="AZ18" i="13"/>
  <c r="AY18" i="13"/>
  <c r="AZ17" i="13"/>
  <c r="AY17" i="13"/>
  <c r="AZ16" i="13"/>
  <c r="AY16" i="13"/>
  <c r="AZ15" i="13"/>
  <c r="AY15" i="13"/>
  <c r="AZ14" i="13"/>
  <c r="AY14" i="13"/>
  <c r="AZ13" i="13"/>
  <c r="AY13" i="13"/>
  <c r="AZ12" i="13"/>
  <c r="AY12" i="13"/>
  <c r="AZ11" i="13"/>
  <c r="AY11" i="13"/>
  <c r="AZ10" i="13"/>
  <c r="AY10" i="13"/>
  <c r="AZ9" i="13"/>
  <c r="AY9" i="13"/>
  <c r="AZ8" i="13"/>
  <c r="AY8" i="13"/>
  <c r="AZ7" i="13"/>
  <c r="AY7" i="13"/>
  <c r="DJ6" i="5" l="1"/>
  <c r="CU45" i="5"/>
  <c r="DI45" i="5"/>
  <c r="CV45" i="5"/>
  <c r="CR45" i="5"/>
  <c r="CW45" i="5"/>
  <c r="AY46" i="17"/>
  <c r="AY46" i="15"/>
  <c r="CR46" i="5"/>
  <c r="BD46" i="17"/>
  <c r="BD46" i="15"/>
  <c r="CW46" i="5"/>
  <c r="AZ47" i="17"/>
  <c r="AZ47" i="15"/>
  <c r="CS47" i="5"/>
  <c r="BL47" i="17"/>
  <c r="BL47" i="15"/>
  <c r="DE47" i="5"/>
  <c r="BB48" i="17"/>
  <c r="BB48" i="15"/>
  <c r="CU48" i="5"/>
  <c r="BP48" i="17"/>
  <c r="BP48" i="15"/>
  <c r="DI48" i="5"/>
  <c r="BC49" i="17"/>
  <c r="BC49" i="15"/>
  <c r="CV49" i="5"/>
  <c r="BY49" i="5"/>
  <c r="AY50" i="17"/>
  <c r="AY50" i="15"/>
  <c r="CR50" i="5"/>
  <c r="BU50" i="5"/>
  <c r="BD50" i="17"/>
  <c r="BD50" i="15"/>
  <c r="CW50" i="5"/>
  <c r="BZ50" i="5"/>
  <c r="AZ51" i="17"/>
  <c r="AZ51" i="15"/>
  <c r="CS51" i="5"/>
  <c r="BV51" i="5"/>
  <c r="BL51" i="17"/>
  <c r="BL51" i="15"/>
  <c r="DE51" i="5"/>
  <c r="CH51" i="5"/>
  <c r="BB52" i="17"/>
  <c r="BB52" i="15"/>
  <c r="CU52" i="5"/>
  <c r="BX52" i="5"/>
  <c r="BP52" i="17"/>
  <c r="BP52" i="15"/>
  <c r="DI52" i="5"/>
  <c r="CL52" i="5"/>
  <c r="BY45" i="5"/>
  <c r="BU46" i="5"/>
  <c r="BZ46" i="5"/>
  <c r="BV47" i="5"/>
  <c r="CH47" i="5"/>
  <c r="BX48" i="5"/>
  <c r="CL48" i="5"/>
  <c r="AZ46" i="17"/>
  <c r="AZ46" i="15"/>
  <c r="CS46" i="5"/>
  <c r="BL46" i="17"/>
  <c r="BL46" i="15"/>
  <c r="DE46" i="5"/>
  <c r="BB47" i="17"/>
  <c r="BB47" i="15"/>
  <c r="CU47" i="5"/>
  <c r="BP47" i="17"/>
  <c r="BP47" i="15"/>
  <c r="DI47" i="5"/>
  <c r="BC48" i="17"/>
  <c r="BC48" i="15"/>
  <c r="CV48" i="5"/>
  <c r="AY49" i="17"/>
  <c r="AY49" i="15"/>
  <c r="CR49" i="5"/>
  <c r="BD49" i="17"/>
  <c r="BD49" i="15"/>
  <c r="CW49" i="5"/>
  <c r="BZ49" i="5"/>
  <c r="AZ50" i="17"/>
  <c r="AZ50" i="15"/>
  <c r="CS50" i="5"/>
  <c r="BV50" i="5"/>
  <c r="BL50" i="17"/>
  <c r="BL50" i="15"/>
  <c r="DE50" i="5"/>
  <c r="CH50" i="5"/>
  <c r="BB51" i="17"/>
  <c r="BB51" i="15"/>
  <c r="CU51" i="5"/>
  <c r="BX51" i="5"/>
  <c r="BP51" i="17"/>
  <c r="BP51" i="15"/>
  <c r="DI51" i="5"/>
  <c r="CL51" i="5"/>
  <c r="BC52" i="17"/>
  <c r="BC52" i="15"/>
  <c r="CV52" i="5"/>
  <c r="BY52" i="5"/>
  <c r="BU45" i="5"/>
  <c r="BZ45" i="5"/>
  <c r="BV46" i="5"/>
  <c r="CH46" i="5"/>
  <c r="BX47" i="5"/>
  <c r="CL47" i="5"/>
  <c r="BY48" i="5"/>
  <c r="BU49" i="5"/>
  <c r="BB46" i="17"/>
  <c r="BB46" i="15"/>
  <c r="CU46" i="5"/>
  <c r="BP46" i="17"/>
  <c r="BP46" i="15"/>
  <c r="DI46" i="5"/>
  <c r="BC47" i="17"/>
  <c r="BC47" i="15"/>
  <c r="CV47" i="5"/>
  <c r="AY48" i="17"/>
  <c r="AY48" i="15"/>
  <c r="CR48" i="5"/>
  <c r="BD48" i="17"/>
  <c r="BD48" i="15"/>
  <c r="CW48" i="5"/>
  <c r="AZ49" i="17"/>
  <c r="AZ49" i="15"/>
  <c r="CS49" i="5"/>
  <c r="BL49" i="17"/>
  <c r="BL49" i="15"/>
  <c r="DE49" i="5"/>
  <c r="CH49" i="5"/>
  <c r="BB50" i="17"/>
  <c r="BB50" i="15"/>
  <c r="CU50" i="5"/>
  <c r="BX50" i="5"/>
  <c r="BP50" i="17"/>
  <c r="BP50" i="15"/>
  <c r="DI50" i="5"/>
  <c r="CL50" i="5"/>
  <c r="BC51" i="17"/>
  <c r="BC51" i="15"/>
  <c r="CV51" i="5"/>
  <c r="BY51" i="5"/>
  <c r="AY52" i="17"/>
  <c r="AY52" i="15"/>
  <c r="CR52" i="5"/>
  <c r="BU52" i="5"/>
  <c r="BD52" i="17"/>
  <c r="BD52" i="15"/>
  <c r="CW52" i="5"/>
  <c r="BZ52" i="5"/>
  <c r="BV45" i="5"/>
  <c r="CH45" i="5"/>
  <c r="BX46" i="5"/>
  <c r="CL46" i="5"/>
  <c r="BY47" i="5"/>
  <c r="BU48" i="5"/>
  <c r="BZ48" i="5"/>
  <c r="BV49" i="5"/>
  <c r="BC46" i="17"/>
  <c r="BC46" i="15"/>
  <c r="CV46" i="5"/>
  <c r="AY47" i="17"/>
  <c r="AY47" i="15"/>
  <c r="CR47" i="5"/>
  <c r="BD47" i="17"/>
  <c r="BD47" i="15"/>
  <c r="CW47" i="5"/>
  <c r="AZ48" i="17"/>
  <c r="AZ48" i="15"/>
  <c r="CS48" i="5"/>
  <c r="BL48" i="17"/>
  <c r="BL48" i="15"/>
  <c r="DE48" i="5"/>
  <c r="BB49" i="17"/>
  <c r="BB49" i="15"/>
  <c r="CU49" i="5"/>
  <c r="BP49" i="17"/>
  <c r="BP49" i="15"/>
  <c r="DI49" i="5"/>
  <c r="CL49" i="5"/>
  <c r="BC50" i="17"/>
  <c r="BC50" i="15"/>
  <c r="CV50" i="5"/>
  <c r="BY50" i="5"/>
  <c r="AY51" i="17"/>
  <c r="AY51" i="15"/>
  <c r="CR51" i="5"/>
  <c r="BU51" i="5"/>
  <c r="BD51" i="17"/>
  <c r="BD51" i="15"/>
  <c r="CW51" i="5"/>
  <c r="BZ51" i="5"/>
  <c r="AZ52" i="17"/>
  <c r="AZ52" i="15"/>
  <c r="CS52" i="5"/>
  <c r="BV52" i="5"/>
  <c r="BL52" i="17"/>
  <c r="BL52" i="15"/>
  <c r="DE52" i="5"/>
  <c r="CH52" i="5"/>
  <c r="BX45" i="5"/>
  <c r="CL45" i="5"/>
  <c r="BY46" i="5"/>
  <c r="BU47" i="5"/>
  <c r="BZ47" i="5"/>
  <c r="BV48" i="5"/>
  <c r="CH48" i="5"/>
  <c r="BX49" i="5"/>
  <c r="AL8" i="14"/>
  <c r="BH8" i="14" s="1"/>
  <c r="AS9" i="14"/>
  <c r="BO9" i="14" s="1"/>
  <c r="AA11" i="14"/>
  <c r="AW11" i="14" s="1"/>
  <c r="AN11" i="14"/>
  <c r="BJ11" i="14" s="1"/>
  <c r="AQ12" i="14"/>
  <c r="BM12" i="14" s="1"/>
  <c r="AL14" i="14"/>
  <c r="BH14" i="14" s="1"/>
  <c r="AS15" i="14"/>
  <c r="BO15" i="14" s="1"/>
  <c r="AJ17" i="14"/>
  <c r="BF17" i="14" s="1"/>
  <c r="AL18" i="14"/>
  <c r="BH18" i="14" s="1"/>
  <c r="AN19" i="14"/>
  <c r="BJ19" i="14" s="1"/>
  <c r="AA21" i="14"/>
  <c r="AW21" i="14" s="1"/>
  <c r="AQ22" i="14"/>
  <c r="BM22" i="14" s="1"/>
  <c r="AS23" i="14"/>
  <c r="BO23" i="14" s="1"/>
  <c r="AJ25" i="14"/>
  <c r="BF25" i="14" s="1"/>
  <c r="AL26" i="14"/>
  <c r="BH26" i="14" s="1"/>
  <c r="AN27" i="14"/>
  <c r="BJ27" i="14" s="1"/>
  <c r="AA29" i="14"/>
  <c r="AW29" i="14" s="1"/>
  <c r="AE30" i="14"/>
  <c r="BA30" i="14" s="1"/>
  <c r="AA31" i="14"/>
  <c r="AW31" i="14" s="1"/>
  <c r="AE32" i="14"/>
  <c r="BA32" i="14" s="1"/>
  <c r="AJ33" i="14"/>
  <c r="BF33" i="14" s="1"/>
  <c r="AL34" i="14"/>
  <c r="BH34" i="14" s="1"/>
  <c r="AS35" i="14"/>
  <c r="BO35" i="14" s="1"/>
  <c r="AN37" i="14"/>
  <c r="BJ37" i="14" s="1"/>
  <c r="AQ38" i="14"/>
  <c r="BM38" i="14" s="1"/>
  <c r="AS39" i="14"/>
  <c r="BO39" i="14" s="1"/>
  <c r="AJ41" i="14"/>
  <c r="BF41" i="14" s="1"/>
  <c r="AE42" i="14"/>
  <c r="BA42" i="14" s="1"/>
  <c r="AQ42" i="14"/>
  <c r="BM42" i="14" s="1"/>
  <c r="BO43" i="14"/>
  <c r="BF45" i="14"/>
  <c r="BF47" i="17"/>
  <c r="BF47" i="14"/>
  <c r="BF49" i="14"/>
  <c r="BM50" i="17"/>
  <c r="BM50" i="14"/>
  <c r="BJ51" i="14"/>
  <c r="BO51" i="17"/>
  <c r="BO51" i="14"/>
  <c r="BA52" i="14"/>
  <c r="BM52" i="17"/>
  <c r="BM52" i="14"/>
  <c r="AN7" i="14"/>
  <c r="BJ7" i="14" s="1"/>
  <c r="AQ8" i="14"/>
  <c r="BM8" i="14" s="1"/>
  <c r="AN9" i="14"/>
  <c r="BJ9" i="14" s="1"/>
  <c r="AE10" i="14"/>
  <c r="BA10" i="14" s="1"/>
  <c r="AJ11" i="14"/>
  <c r="BF11" i="14" s="1"/>
  <c r="AL12" i="14"/>
  <c r="BH12" i="14" s="1"/>
  <c r="AN13" i="14"/>
  <c r="BJ13" i="14" s="1"/>
  <c r="AQ14" i="14"/>
  <c r="BM14" i="14" s="1"/>
  <c r="AN15" i="14"/>
  <c r="BJ15" i="14" s="1"/>
  <c r="AQ16" i="14"/>
  <c r="BM16" i="14" s="1"/>
  <c r="AS17" i="14"/>
  <c r="BO17" i="14" s="1"/>
  <c r="AA19" i="14"/>
  <c r="AW19" i="14" s="1"/>
  <c r="AS19" i="14"/>
  <c r="BO19" i="14" s="1"/>
  <c r="AQ20" i="14"/>
  <c r="BM20" i="14" s="1"/>
  <c r="AS21" i="14"/>
  <c r="BO21" i="14" s="1"/>
  <c r="AA23" i="14"/>
  <c r="AW23" i="14" s="1"/>
  <c r="AE24" i="14"/>
  <c r="BA24" i="14" s="1"/>
  <c r="AA25" i="14"/>
  <c r="AW25" i="14" s="1"/>
  <c r="AE26" i="14"/>
  <c r="BA26" i="14" s="1"/>
  <c r="AJ27" i="14"/>
  <c r="BF27" i="14" s="1"/>
  <c r="AL28" i="14"/>
  <c r="BH28" i="14" s="1"/>
  <c r="AN29" i="14"/>
  <c r="BJ29" i="14" s="1"/>
  <c r="AL30" i="14"/>
  <c r="BH30" i="14" s="1"/>
  <c r="AN31" i="14"/>
  <c r="BJ31" i="14" s="1"/>
  <c r="AQ32" i="14"/>
  <c r="BM32" i="14" s="1"/>
  <c r="AN33" i="14"/>
  <c r="BJ33" i="14" s="1"/>
  <c r="AQ34" i="14"/>
  <c r="BM34" i="14" s="1"/>
  <c r="AN35" i="14"/>
  <c r="BJ35" i="14" s="1"/>
  <c r="AQ36" i="14"/>
  <c r="BM36" i="14" s="1"/>
  <c r="AE38" i="14"/>
  <c r="BA38" i="14" s="1"/>
  <c r="AN39" i="14"/>
  <c r="BJ39" i="14" s="1"/>
  <c r="AW43" i="14"/>
  <c r="AB7" i="14"/>
  <c r="AX7" i="14" s="1"/>
  <c r="AK7" i="14"/>
  <c r="BG7" i="14" s="1"/>
  <c r="AO7" i="14"/>
  <c r="BK7" i="14" s="1"/>
  <c r="Z8" i="14"/>
  <c r="AV8" i="14" s="1"/>
  <c r="AI8" i="14"/>
  <c r="BE8" i="14" s="1"/>
  <c r="AM8" i="14"/>
  <c r="BI8" i="14" s="1"/>
  <c r="AR8" i="14"/>
  <c r="BN8" i="14" s="1"/>
  <c r="AB9" i="14"/>
  <c r="AX9" i="14" s="1"/>
  <c r="AK9" i="14"/>
  <c r="BG9" i="14" s="1"/>
  <c r="AO9" i="14"/>
  <c r="BK9" i="14" s="1"/>
  <c r="Z10" i="14"/>
  <c r="AV10" i="14" s="1"/>
  <c r="AI10" i="14"/>
  <c r="BE10" i="14" s="1"/>
  <c r="AM10" i="14"/>
  <c r="BI10" i="14" s="1"/>
  <c r="AR10" i="14"/>
  <c r="BN10" i="14" s="1"/>
  <c r="AB11" i="14"/>
  <c r="AX11" i="14" s="1"/>
  <c r="AK11" i="14"/>
  <c r="BG11" i="14" s="1"/>
  <c r="AO11" i="14"/>
  <c r="BK11" i="14" s="1"/>
  <c r="Z12" i="14"/>
  <c r="AV12" i="14" s="1"/>
  <c r="AI12" i="14"/>
  <c r="BE12" i="14" s="1"/>
  <c r="AM12" i="14"/>
  <c r="BI12" i="14" s="1"/>
  <c r="AR12" i="14"/>
  <c r="BN12" i="14" s="1"/>
  <c r="AB13" i="14"/>
  <c r="AX13" i="14" s="1"/>
  <c r="AK13" i="14"/>
  <c r="BG13" i="14" s="1"/>
  <c r="AO13" i="14"/>
  <c r="BK13" i="14" s="1"/>
  <c r="Z14" i="14"/>
  <c r="AV14" i="14" s="1"/>
  <c r="AI14" i="14"/>
  <c r="BE14" i="14" s="1"/>
  <c r="AM14" i="14"/>
  <c r="BI14" i="14" s="1"/>
  <c r="AR14" i="14"/>
  <c r="BN14" i="14" s="1"/>
  <c r="AB15" i="14"/>
  <c r="AX15" i="14" s="1"/>
  <c r="AK15" i="14"/>
  <c r="BG15" i="14" s="1"/>
  <c r="AO15" i="14"/>
  <c r="BK15" i="14" s="1"/>
  <c r="Z16" i="14"/>
  <c r="AV16" i="14" s="1"/>
  <c r="AI16" i="14"/>
  <c r="BE16" i="14" s="1"/>
  <c r="AM16" i="14"/>
  <c r="BI16" i="14" s="1"/>
  <c r="AR16" i="14"/>
  <c r="BN16" i="14" s="1"/>
  <c r="AB17" i="14"/>
  <c r="AX17" i="14" s="1"/>
  <c r="AK17" i="14"/>
  <c r="BG17" i="14" s="1"/>
  <c r="AO17" i="14"/>
  <c r="BK17" i="14" s="1"/>
  <c r="Z18" i="14"/>
  <c r="AV18" i="14" s="1"/>
  <c r="AI18" i="14"/>
  <c r="BE18" i="14" s="1"/>
  <c r="AM18" i="14"/>
  <c r="BI18" i="14" s="1"/>
  <c r="AR18" i="14"/>
  <c r="BN18" i="14" s="1"/>
  <c r="AB19" i="14"/>
  <c r="AX19" i="14" s="1"/>
  <c r="AK19" i="14"/>
  <c r="BG19" i="14" s="1"/>
  <c r="AO19" i="14"/>
  <c r="BK19" i="14" s="1"/>
  <c r="Z20" i="14"/>
  <c r="AV20" i="14" s="1"/>
  <c r="AI20" i="14"/>
  <c r="BE20" i="14" s="1"/>
  <c r="AM20" i="14"/>
  <c r="BI20" i="14" s="1"/>
  <c r="AR20" i="14"/>
  <c r="BN20" i="14" s="1"/>
  <c r="AB21" i="14"/>
  <c r="AX21" i="14" s="1"/>
  <c r="AK21" i="14"/>
  <c r="BG21" i="14" s="1"/>
  <c r="AO21" i="14"/>
  <c r="BK21" i="14" s="1"/>
  <c r="Z22" i="14"/>
  <c r="AV22" i="14" s="1"/>
  <c r="AI22" i="14"/>
  <c r="BE22" i="14" s="1"/>
  <c r="AM22" i="14"/>
  <c r="BI22" i="14" s="1"/>
  <c r="AR22" i="14"/>
  <c r="BN22" i="14" s="1"/>
  <c r="AB23" i="14"/>
  <c r="AX23" i="14" s="1"/>
  <c r="AK23" i="14"/>
  <c r="BG23" i="14" s="1"/>
  <c r="AO23" i="14"/>
  <c r="BK23" i="14" s="1"/>
  <c r="Z24" i="14"/>
  <c r="AV24" i="14" s="1"/>
  <c r="AI24" i="14"/>
  <c r="BE24" i="14" s="1"/>
  <c r="AM24" i="14"/>
  <c r="BI24" i="14" s="1"/>
  <c r="AR24" i="14"/>
  <c r="BN24" i="14" s="1"/>
  <c r="AB25" i="14"/>
  <c r="AX25" i="14" s="1"/>
  <c r="AK25" i="14"/>
  <c r="BG25" i="14" s="1"/>
  <c r="AO25" i="14"/>
  <c r="BK25" i="14" s="1"/>
  <c r="Z26" i="14"/>
  <c r="AV26" i="14" s="1"/>
  <c r="AI26" i="14"/>
  <c r="BE26" i="14" s="1"/>
  <c r="AM26" i="14"/>
  <c r="BI26" i="14" s="1"/>
  <c r="AR26" i="14"/>
  <c r="BN26" i="14" s="1"/>
  <c r="AB27" i="14"/>
  <c r="AX27" i="14" s="1"/>
  <c r="AK27" i="14"/>
  <c r="BG27" i="14" s="1"/>
  <c r="AO27" i="14"/>
  <c r="BK27" i="14" s="1"/>
  <c r="Z28" i="14"/>
  <c r="AV28" i="14" s="1"/>
  <c r="AI28" i="14"/>
  <c r="BE28" i="14" s="1"/>
  <c r="AM28" i="14"/>
  <c r="BI28" i="14" s="1"/>
  <c r="AR28" i="14"/>
  <c r="BN28" i="14" s="1"/>
  <c r="AB29" i="14"/>
  <c r="AX29" i="14" s="1"/>
  <c r="AK29" i="14"/>
  <c r="BG29" i="14" s="1"/>
  <c r="AO29" i="14"/>
  <c r="BK29" i="14" s="1"/>
  <c r="Z30" i="14"/>
  <c r="AV30" i="14" s="1"/>
  <c r="AI30" i="14"/>
  <c r="BE30" i="14" s="1"/>
  <c r="AM30" i="14"/>
  <c r="BI30" i="14" s="1"/>
  <c r="AR30" i="14"/>
  <c r="BN30" i="14" s="1"/>
  <c r="AB31" i="14"/>
  <c r="AX31" i="14" s="1"/>
  <c r="AK31" i="14"/>
  <c r="BG31" i="14" s="1"/>
  <c r="AO31" i="14"/>
  <c r="BK31" i="14" s="1"/>
  <c r="Z32" i="14"/>
  <c r="AV32" i="14" s="1"/>
  <c r="AI32" i="14"/>
  <c r="BE32" i="14" s="1"/>
  <c r="AM32" i="14"/>
  <c r="BI32" i="14" s="1"/>
  <c r="AR32" i="14"/>
  <c r="BN32" i="14" s="1"/>
  <c r="AB33" i="14"/>
  <c r="AX33" i="14" s="1"/>
  <c r="AK33" i="14"/>
  <c r="BG33" i="14" s="1"/>
  <c r="AO33" i="14"/>
  <c r="BK33" i="14" s="1"/>
  <c r="Z34" i="14"/>
  <c r="AV34" i="14" s="1"/>
  <c r="AI34" i="14"/>
  <c r="BE34" i="14" s="1"/>
  <c r="AM34" i="14"/>
  <c r="BI34" i="14" s="1"/>
  <c r="AR34" i="14"/>
  <c r="BN34" i="14" s="1"/>
  <c r="AB35" i="14"/>
  <c r="AX35" i="14" s="1"/>
  <c r="AK35" i="14"/>
  <c r="BG35" i="14" s="1"/>
  <c r="AO35" i="14"/>
  <c r="BK35" i="14" s="1"/>
  <c r="Z36" i="14"/>
  <c r="AV36" i="14" s="1"/>
  <c r="AI36" i="14"/>
  <c r="BE36" i="14" s="1"/>
  <c r="AM36" i="14"/>
  <c r="BI36" i="14" s="1"/>
  <c r="AR36" i="14"/>
  <c r="BN36" i="14" s="1"/>
  <c r="AB37" i="14"/>
  <c r="AX37" i="14" s="1"/>
  <c r="AK37" i="14"/>
  <c r="BG37" i="14" s="1"/>
  <c r="AO37" i="14"/>
  <c r="BK37" i="14" s="1"/>
  <c r="Z38" i="14"/>
  <c r="AV38" i="14" s="1"/>
  <c r="AI38" i="14"/>
  <c r="BE38" i="14" s="1"/>
  <c r="AM38" i="14"/>
  <c r="BI38" i="14" s="1"/>
  <c r="AR38" i="14"/>
  <c r="BN38" i="14" s="1"/>
  <c r="AB39" i="14"/>
  <c r="AX39" i="14" s="1"/>
  <c r="AK39" i="14"/>
  <c r="BG39" i="14" s="1"/>
  <c r="AO39" i="14"/>
  <c r="BK39" i="14" s="1"/>
  <c r="Z40" i="14"/>
  <c r="AV40" i="14" s="1"/>
  <c r="AI40" i="14"/>
  <c r="BE40" i="14" s="1"/>
  <c r="AM40" i="14"/>
  <c r="BI40" i="14" s="1"/>
  <c r="AR40" i="14"/>
  <c r="BN40" i="14" s="1"/>
  <c r="AB41" i="14"/>
  <c r="AX41" i="14" s="1"/>
  <c r="AK41" i="14"/>
  <c r="BG41" i="14" s="1"/>
  <c r="AO41" i="14"/>
  <c r="BK41" i="14" s="1"/>
  <c r="Z42" i="14"/>
  <c r="AV42" i="14" s="1"/>
  <c r="AI42" i="14"/>
  <c r="BE42" i="14" s="1"/>
  <c r="AM42" i="14"/>
  <c r="BI42" i="14" s="1"/>
  <c r="AR42" i="14"/>
  <c r="BN42" i="14" s="1"/>
  <c r="AX43" i="14"/>
  <c r="BG43" i="14"/>
  <c r="BK43" i="14"/>
  <c r="AV44" i="14"/>
  <c r="BE44" i="14"/>
  <c r="BI44" i="14"/>
  <c r="BN44" i="14"/>
  <c r="AX45" i="14"/>
  <c r="BG45" i="14"/>
  <c r="BK45" i="14"/>
  <c r="AV46" i="15"/>
  <c r="AV46" i="14"/>
  <c r="BE46" i="15"/>
  <c r="BE46" i="14"/>
  <c r="BI46" i="15"/>
  <c r="BI46" i="14"/>
  <c r="BN46" i="15"/>
  <c r="BN46" i="14"/>
  <c r="AX47" i="15"/>
  <c r="AX47" i="14"/>
  <c r="BG47" i="15"/>
  <c r="BG47" i="14"/>
  <c r="BK47" i="15"/>
  <c r="BK47" i="14"/>
  <c r="AV48" i="15"/>
  <c r="AV48" i="14"/>
  <c r="BE48" i="15"/>
  <c r="BE48" i="14"/>
  <c r="BI48" i="15"/>
  <c r="BI48" i="14"/>
  <c r="BN48" i="15"/>
  <c r="BN48" i="14"/>
  <c r="AX49" i="15"/>
  <c r="AX49" i="14"/>
  <c r="BG49" i="15"/>
  <c r="BG49" i="14"/>
  <c r="BK49" i="15"/>
  <c r="BK49" i="14"/>
  <c r="AV50" i="15"/>
  <c r="AV50" i="14"/>
  <c r="BE50" i="15"/>
  <c r="BE50" i="14"/>
  <c r="BI50" i="15"/>
  <c r="BI50" i="14"/>
  <c r="BN50" i="15"/>
  <c r="BN50" i="14"/>
  <c r="AX51" i="15"/>
  <c r="AX51" i="14"/>
  <c r="BG51" i="15"/>
  <c r="BG51" i="14"/>
  <c r="BK51" i="15"/>
  <c r="BK51" i="14"/>
  <c r="AV52" i="15"/>
  <c r="AV52" i="14"/>
  <c r="BE52" i="15"/>
  <c r="BE52" i="14"/>
  <c r="BI52" i="15"/>
  <c r="BI52" i="14"/>
  <c r="BN52" i="15"/>
  <c r="BN52" i="14"/>
  <c r="AJ7" i="14"/>
  <c r="BF7" i="14" s="1"/>
  <c r="AS7" i="14"/>
  <c r="BO7" i="14" s="1"/>
  <c r="AA9" i="14"/>
  <c r="AW9" i="14" s="1"/>
  <c r="AQ10" i="14"/>
  <c r="BM10" i="14" s="1"/>
  <c r="AE12" i="14"/>
  <c r="BA12" i="14" s="1"/>
  <c r="AA13" i="14"/>
  <c r="AW13" i="14" s="1"/>
  <c r="AS13" i="14"/>
  <c r="BO13" i="14" s="1"/>
  <c r="AJ15" i="14"/>
  <c r="BF15" i="14" s="1"/>
  <c r="AL16" i="14"/>
  <c r="BH16" i="14" s="1"/>
  <c r="AN17" i="14"/>
  <c r="BJ17" i="14" s="1"/>
  <c r="AQ18" i="14"/>
  <c r="BM18" i="14" s="1"/>
  <c r="AE20" i="14"/>
  <c r="BA20" i="14" s="1"/>
  <c r="AJ21" i="14"/>
  <c r="BF21" i="14" s="1"/>
  <c r="AE22" i="14"/>
  <c r="BA22" i="14" s="1"/>
  <c r="AN23" i="14"/>
  <c r="BJ23" i="14" s="1"/>
  <c r="AQ24" i="14"/>
  <c r="BM24" i="14" s="1"/>
  <c r="AN25" i="14"/>
  <c r="BJ25" i="14" s="1"/>
  <c r="AQ26" i="14"/>
  <c r="BM26" i="14" s="1"/>
  <c r="AS27" i="14"/>
  <c r="BO27" i="14" s="1"/>
  <c r="AQ28" i="14"/>
  <c r="BM28" i="14" s="1"/>
  <c r="AS29" i="14"/>
  <c r="BO29" i="14" s="1"/>
  <c r="AJ31" i="14"/>
  <c r="BF31" i="14" s="1"/>
  <c r="AL32" i="14"/>
  <c r="BH32" i="14" s="1"/>
  <c r="AS33" i="14"/>
  <c r="BO33" i="14" s="1"/>
  <c r="AA35" i="14"/>
  <c r="AW35" i="14" s="1"/>
  <c r="AE36" i="14"/>
  <c r="BA36" i="14" s="1"/>
  <c r="AA37" i="14"/>
  <c r="AW37" i="14" s="1"/>
  <c r="AS37" i="14"/>
  <c r="BO37" i="14" s="1"/>
  <c r="AJ39" i="14"/>
  <c r="BF39" i="14" s="1"/>
  <c r="AL40" i="14"/>
  <c r="BH40" i="14" s="1"/>
  <c r="AA41" i="14"/>
  <c r="AW41" i="14" s="1"/>
  <c r="AN41" i="14"/>
  <c r="BJ41" i="14" s="1"/>
  <c r="AL42" i="14"/>
  <c r="BH42" i="14" s="1"/>
  <c r="BJ43" i="14"/>
  <c r="BA44" i="14"/>
  <c r="BM44" i="14"/>
  <c r="BJ45" i="14"/>
  <c r="BH46" i="15"/>
  <c r="BH46" i="14"/>
  <c r="BM46" i="15"/>
  <c r="BM46" i="14"/>
  <c r="BJ47" i="15"/>
  <c r="BJ47" i="14"/>
  <c r="BA48" i="15"/>
  <c r="BA48" i="14"/>
  <c r="AW49" i="15"/>
  <c r="AW49" i="14"/>
  <c r="BO49" i="15"/>
  <c r="BO49" i="14"/>
  <c r="BH50" i="15"/>
  <c r="BH50" i="14"/>
  <c r="BF51" i="15"/>
  <c r="BF51" i="14"/>
  <c r="BH52" i="15"/>
  <c r="BH52" i="14"/>
  <c r="AE7" i="14"/>
  <c r="BA7" i="14" s="1"/>
  <c r="AL7" i="14"/>
  <c r="BH7" i="14" s="1"/>
  <c r="AQ7" i="14"/>
  <c r="BM7" i="14" s="1"/>
  <c r="AA8" i="14"/>
  <c r="AW8" i="14" s="1"/>
  <c r="AJ8" i="14"/>
  <c r="BF8" i="14" s="1"/>
  <c r="AN8" i="14"/>
  <c r="BJ8" i="14" s="1"/>
  <c r="AS8" i="14"/>
  <c r="BO8" i="14" s="1"/>
  <c r="AE9" i="14"/>
  <c r="BA9" i="14" s="1"/>
  <c r="AL9" i="14"/>
  <c r="BH9" i="14" s="1"/>
  <c r="AQ9" i="14"/>
  <c r="BM9" i="14" s="1"/>
  <c r="AA10" i="14"/>
  <c r="AW10" i="14" s="1"/>
  <c r="AJ10" i="14"/>
  <c r="BF10" i="14" s="1"/>
  <c r="AN10" i="14"/>
  <c r="BJ10" i="14" s="1"/>
  <c r="AS10" i="14"/>
  <c r="BO10" i="14" s="1"/>
  <c r="AE11" i="14"/>
  <c r="BA11" i="14" s="1"/>
  <c r="AL11" i="14"/>
  <c r="BH11" i="14" s="1"/>
  <c r="AQ11" i="14"/>
  <c r="BM11" i="14" s="1"/>
  <c r="AA12" i="14"/>
  <c r="AW12" i="14" s="1"/>
  <c r="AJ12" i="14"/>
  <c r="BF12" i="14" s="1"/>
  <c r="AN12" i="14"/>
  <c r="BJ12" i="14" s="1"/>
  <c r="AS12" i="14"/>
  <c r="BO12" i="14" s="1"/>
  <c r="AE13" i="14"/>
  <c r="BA13" i="14" s="1"/>
  <c r="AL13" i="14"/>
  <c r="BH13" i="14" s="1"/>
  <c r="AQ13" i="14"/>
  <c r="BM13" i="14" s="1"/>
  <c r="AA14" i="14"/>
  <c r="AW14" i="14" s="1"/>
  <c r="AJ14" i="14"/>
  <c r="BF14" i="14" s="1"/>
  <c r="AN14" i="14"/>
  <c r="BJ14" i="14" s="1"/>
  <c r="AS14" i="14"/>
  <c r="BO14" i="14" s="1"/>
  <c r="AE15" i="14"/>
  <c r="BA15" i="14" s="1"/>
  <c r="AL15" i="14"/>
  <c r="BH15" i="14" s="1"/>
  <c r="AQ15" i="14"/>
  <c r="BM15" i="14" s="1"/>
  <c r="AA16" i="14"/>
  <c r="AW16" i="14" s="1"/>
  <c r="AJ16" i="14"/>
  <c r="BF16" i="14" s="1"/>
  <c r="AN16" i="14"/>
  <c r="BJ16" i="14" s="1"/>
  <c r="AS16" i="14"/>
  <c r="BO16" i="14" s="1"/>
  <c r="AE17" i="14"/>
  <c r="BA17" i="14" s="1"/>
  <c r="AL17" i="14"/>
  <c r="BH17" i="14" s="1"/>
  <c r="AQ17" i="14"/>
  <c r="BM17" i="14" s="1"/>
  <c r="AA18" i="14"/>
  <c r="AW18" i="14" s="1"/>
  <c r="AJ18" i="14"/>
  <c r="BF18" i="14" s="1"/>
  <c r="AN18" i="14"/>
  <c r="BJ18" i="14" s="1"/>
  <c r="AS18" i="14"/>
  <c r="BO18" i="14" s="1"/>
  <c r="AE19" i="14"/>
  <c r="BA19" i="14" s="1"/>
  <c r="AL19" i="14"/>
  <c r="BH19" i="14" s="1"/>
  <c r="AQ19" i="14"/>
  <c r="BM19" i="14" s="1"/>
  <c r="AA20" i="14"/>
  <c r="AW20" i="14" s="1"/>
  <c r="AJ20" i="14"/>
  <c r="BF20" i="14" s="1"/>
  <c r="AN20" i="14"/>
  <c r="BJ20" i="14" s="1"/>
  <c r="AS20" i="14"/>
  <c r="BO20" i="14" s="1"/>
  <c r="AE21" i="14"/>
  <c r="BA21" i="14" s="1"/>
  <c r="AL21" i="14"/>
  <c r="BH21" i="14" s="1"/>
  <c r="AQ21" i="14"/>
  <c r="BM21" i="14" s="1"/>
  <c r="AA22" i="14"/>
  <c r="AW22" i="14" s="1"/>
  <c r="AJ22" i="14"/>
  <c r="BF22" i="14" s="1"/>
  <c r="AN22" i="14"/>
  <c r="BJ22" i="14" s="1"/>
  <c r="AS22" i="14"/>
  <c r="BO22" i="14" s="1"/>
  <c r="AE23" i="14"/>
  <c r="BA23" i="14" s="1"/>
  <c r="AL23" i="14"/>
  <c r="BH23" i="14" s="1"/>
  <c r="AQ23" i="14"/>
  <c r="BM23" i="14" s="1"/>
  <c r="AA24" i="14"/>
  <c r="AW24" i="14" s="1"/>
  <c r="AJ24" i="14"/>
  <c r="BF24" i="14" s="1"/>
  <c r="AN24" i="14"/>
  <c r="BJ24" i="14" s="1"/>
  <c r="AS24" i="14"/>
  <c r="BO24" i="14" s="1"/>
  <c r="AE25" i="14"/>
  <c r="BA25" i="14" s="1"/>
  <c r="AL25" i="14"/>
  <c r="BH25" i="14" s="1"/>
  <c r="AQ25" i="14"/>
  <c r="BM25" i="14" s="1"/>
  <c r="AA26" i="14"/>
  <c r="AW26" i="14" s="1"/>
  <c r="AJ26" i="14"/>
  <c r="BF26" i="14" s="1"/>
  <c r="AN26" i="14"/>
  <c r="BJ26" i="14" s="1"/>
  <c r="AS26" i="14"/>
  <c r="BO26" i="14" s="1"/>
  <c r="AE27" i="14"/>
  <c r="BA27" i="14" s="1"/>
  <c r="AL27" i="14"/>
  <c r="BH27" i="14" s="1"/>
  <c r="AQ27" i="14"/>
  <c r="BM27" i="14" s="1"/>
  <c r="AA28" i="14"/>
  <c r="AW28" i="14" s="1"/>
  <c r="AJ28" i="14"/>
  <c r="BF28" i="14" s="1"/>
  <c r="AN28" i="14"/>
  <c r="BJ28" i="14" s="1"/>
  <c r="AS28" i="14"/>
  <c r="BO28" i="14" s="1"/>
  <c r="AE29" i="14"/>
  <c r="BA29" i="14" s="1"/>
  <c r="AL29" i="14"/>
  <c r="BH29" i="14" s="1"/>
  <c r="AQ29" i="14"/>
  <c r="BM29" i="14" s="1"/>
  <c r="AA30" i="14"/>
  <c r="AW30" i="14" s="1"/>
  <c r="AJ30" i="14"/>
  <c r="BF30" i="14" s="1"/>
  <c r="AN30" i="14"/>
  <c r="BJ30" i="14" s="1"/>
  <c r="AS30" i="14"/>
  <c r="BO30" i="14" s="1"/>
  <c r="AE31" i="14"/>
  <c r="BA31" i="14" s="1"/>
  <c r="AL31" i="14"/>
  <c r="BH31" i="14" s="1"/>
  <c r="AQ31" i="14"/>
  <c r="BM31" i="14" s="1"/>
  <c r="AA32" i="14"/>
  <c r="AW32" i="14" s="1"/>
  <c r="AJ32" i="14"/>
  <c r="BF32" i="14" s="1"/>
  <c r="AN32" i="14"/>
  <c r="BJ32" i="14" s="1"/>
  <c r="AS32" i="14"/>
  <c r="BO32" i="14" s="1"/>
  <c r="AE33" i="14"/>
  <c r="BA33" i="14" s="1"/>
  <c r="AL33" i="14"/>
  <c r="BH33" i="14" s="1"/>
  <c r="AQ33" i="14"/>
  <c r="BM33" i="14" s="1"/>
  <c r="AA34" i="14"/>
  <c r="AW34" i="14" s="1"/>
  <c r="AJ34" i="14"/>
  <c r="BF34" i="14" s="1"/>
  <c r="AN34" i="14"/>
  <c r="BJ34" i="14" s="1"/>
  <c r="AS34" i="14"/>
  <c r="BO34" i="14" s="1"/>
  <c r="AE35" i="14"/>
  <c r="BA35" i="14" s="1"/>
  <c r="AL35" i="14"/>
  <c r="BH35" i="14" s="1"/>
  <c r="AQ35" i="14"/>
  <c r="BM35" i="14" s="1"/>
  <c r="AA36" i="14"/>
  <c r="AW36" i="14" s="1"/>
  <c r="AJ36" i="14"/>
  <c r="BF36" i="14" s="1"/>
  <c r="AN36" i="14"/>
  <c r="BJ36" i="14" s="1"/>
  <c r="AS36" i="14"/>
  <c r="BO36" i="14" s="1"/>
  <c r="AE37" i="14"/>
  <c r="BA37" i="14" s="1"/>
  <c r="AL37" i="14"/>
  <c r="BH37" i="14" s="1"/>
  <c r="AQ37" i="14"/>
  <c r="BM37" i="14" s="1"/>
  <c r="AA38" i="14"/>
  <c r="AW38" i="14" s="1"/>
  <c r="AJ38" i="14"/>
  <c r="BF38" i="14" s="1"/>
  <c r="AN38" i="14"/>
  <c r="BJ38" i="14" s="1"/>
  <c r="AS38" i="14"/>
  <c r="BO38" i="14" s="1"/>
  <c r="AE39" i="14"/>
  <c r="BA39" i="14" s="1"/>
  <c r="AL39" i="14"/>
  <c r="BH39" i="14" s="1"/>
  <c r="AQ39" i="14"/>
  <c r="BM39" i="14" s="1"/>
  <c r="AA40" i="14"/>
  <c r="AW40" i="14" s="1"/>
  <c r="AJ40" i="14"/>
  <c r="BF40" i="14" s="1"/>
  <c r="AN40" i="14"/>
  <c r="BJ40" i="14" s="1"/>
  <c r="AS40" i="14"/>
  <c r="BO40" i="14" s="1"/>
  <c r="AE41" i="14"/>
  <c r="BA41" i="14" s="1"/>
  <c r="AL41" i="14"/>
  <c r="BH41" i="14" s="1"/>
  <c r="AQ41" i="14"/>
  <c r="BM41" i="14" s="1"/>
  <c r="AA42" i="14"/>
  <c r="AW42" i="14" s="1"/>
  <c r="AJ42" i="14"/>
  <c r="BF42" i="14" s="1"/>
  <c r="AN42" i="14"/>
  <c r="BJ42" i="14" s="1"/>
  <c r="AS42" i="14"/>
  <c r="BO42" i="14" s="1"/>
  <c r="BA43" i="14"/>
  <c r="BH43" i="14"/>
  <c r="BM43" i="14"/>
  <c r="AW44" i="14"/>
  <c r="BF44" i="14"/>
  <c r="BJ44" i="14"/>
  <c r="BO44" i="14"/>
  <c r="BA45" i="14"/>
  <c r="BH45" i="14"/>
  <c r="BM45" i="14"/>
  <c r="AW46" i="15"/>
  <c r="AW46" i="14"/>
  <c r="BF46" i="15"/>
  <c r="BF46" i="14"/>
  <c r="BJ46" i="15"/>
  <c r="BJ46" i="14"/>
  <c r="BO46" i="15"/>
  <c r="BO46" i="14"/>
  <c r="BA47" i="15"/>
  <c r="BA47" i="14"/>
  <c r="BH47" i="15"/>
  <c r="BH47" i="14"/>
  <c r="BM47" i="15"/>
  <c r="BM47" i="14"/>
  <c r="AW48" i="15"/>
  <c r="AW48" i="14"/>
  <c r="BF48" i="15"/>
  <c r="BF48" i="14"/>
  <c r="BJ48" i="15"/>
  <c r="BJ48" i="14"/>
  <c r="BO48" i="15"/>
  <c r="BO48" i="14"/>
  <c r="BA49" i="15"/>
  <c r="BA49" i="14"/>
  <c r="BH49" i="15"/>
  <c r="BH49" i="14"/>
  <c r="BM49" i="15"/>
  <c r="BM49" i="14"/>
  <c r="AW50" i="15"/>
  <c r="AW50" i="14"/>
  <c r="BF50" i="15"/>
  <c r="BF50" i="14"/>
  <c r="BJ50" i="15"/>
  <c r="BJ50" i="14"/>
  <c r="BO50" i="15"/>
  <c r="BO50" i="14"/>
  <c r="BA51" i="15"/>
  <c r="BA51" i="14"/>
  <c r="BH51" i="15"/>
  <c r="BH51" i="14"/>
  <c r="BM51" i="15"/>
  <c r="BM51" i="14"/>
  <c r="AW52" i="15"/>
  <c r="AW52" i="14"/>
  <c r="BF52" i="15"/>
  <c r="BF52" i="14"/>
  <c r="BJ52" i="15"/>
  <c r="BJ52" i="14"/>
  <c r="BO52" i="15"/>
  <c r="BO52" i="14"/>
  <c r="AA7" i="14"/>
  <c r="AW7" i="14" s="1"/>
  <c r="AE8" i="14"/>
  <c r="BA8" i="14" s="1"/>
  <c r="AJ9" i="14"/>
  <c r="BF9" i="14" s="1"/>
  <c r="AL10" i="14"/>
  <c r="BH10" i="14" s="1"/>
  <c r="AS11" i="14"/>
  <c r="BO11" i="14" s="1"/>
  <c r="AJ13" i="14"/>
  <c r="BF13" i="14" s="1"/>
  <c r="AE14" i="14"/>
  <c r="BA14" i="14" s="1"/>
  <c r="AA15" i="14"/>
  <c r="AW15" i="14" s="1"/>
  <c r="AE16" i="14"/>
  <c r="BA16" i="14" s="1"/>
  <c r="AA17" i="14"/>
  <c r="AW17" i="14" s="1"/>
  <c r="AE18" i="14"/>
  <c r="BA18" i="14" s="1"/>
  <c r="AJ19" i="14"/>
  <c r="BF19" i="14" s="1"/>
  <c r="AL20" i="14"/>
  <c r="BH20" i="14" s="1"/>
  <c r="AN21" i="14"/>
  <c r="BJ21" i="14" s="1"/>
  <c r="AL22" i="14"/>
  <c r="BH22" i="14" s="1"/>
  <c r="AJ23" i="14"/>
  <c r="BF23" i="14" s="1"/>
  <c r="AL24" i="14"/>
  <c r="BH24" i="14" s="1"/>
  <c r="AS25" i="14"/>
  <c r="BO25" i="14" s="1"/>
  <c r="AA27" i="14"/>
  <c r="AW27" i="14" s="1"/>
  <c r="AE28" i="14"/>
  <c r="BA28" i="14" s="1"/>
  <c r="AJ29" i="14"/>
  <c r="BF29" i="14" s="1"/>
  <c r="AQ30" i="14"/>
  <c r="BM30" i="14" s="1"/>
  <c r="AS31" i="14"/>
  <c r="BO31" i="14" s="1"/>
  <c r="AA33" i="14"/>
  <c r="AW33" i="14" s="1"/>
  <c r="AE34" i="14"/>
  <c r="BA34" i="14" s="1"/>
  <c r="AJ35" i="14"/>
  <c r="BF35" i="14" s="1"/>
  <c r="AL36" i="14"/>
  <c r="BH36" i="14" s="1"/>
  <c r="AJ37" i="14"/>
  <c r="BF37" i="14" s="1"/>
  <c r="AL38" i="14"/>
  <c r="BH38" i="14" s="1"/>
  <c r="AA39" i="14"/>
  <c r="AW39" i="14" s="1"/>
  <c r="AE40" i="14"/>
  <c r="BA40" i="14" s="1"/>
  <c r="AQ40" i="14"/>
  <c r="BM40" i="14" s="1"/>
  <c r="AS41" i="14"/>
  <c r="BO41" i="14" s="1"/>
  <c r="BF43" i="14"/>
  <c r="BH44" i="14"/>
  <c r="AW45" i="14"/>
  <c r="BO45" i="14"/>
  <c r="BA46" i="15"/>
  <c r="BA46" i="14"/>
  <c r="AW47" i="15"/>
  <c r="AW47" i="14"/>
  <c r="BO47" i="15"/>
  <c r="BO47" i="14"/>
  <c r="BH48" i="15"/>
  <c r="BH48" i="14"/>
  <c r="BM48" i="15"/>
  <c r="BM48" i="14"/>
  <c r="BJ49" i="15"/>
  <c r="BJ49" i="14"/>
  <c r="BA50" i="15"/>
  <c r="BA50" i="14"/>
  <c r="AW51" i="15"/>
  <c r="AW51" i="14"/>
  <c r="Z7" i="14"/>
  <c r="AV7" i="14" s="1"/>
  <c r="AI7" i="14"/>
  <c r="BE7" i="14" s="1"/>
  <c r="AM7" i="14"/>
  <c r="BI7" i="14" s="1"/>
  <c r="AR7" i="14"/>
  <c r="BN7" i="14" s="1"/>
  <c r="AB8" i="14"/>
  <c r="AX8" i="14" s="1"/>
  <c r="AK8" i="14"/>
  <c r="BG8" i="14" s="1"/>
  <c r="AO8" i="14"/>
  <c r="BK8" i="14" s="1"/>
  <c r="Z9" i="14"/>
  <c r="AV9" i="14" s="1"/>
  <c r="AI9" i="14"/>
  <c r="BE9" i="14" s="1"/>
  <c r="AM9" i="14"/>
  <c r="BI9" i="14" s="1"/>
  <c r="AR9" i="14"/>
  <c r="BN9" i="14" s="1"/>
  <c r="AB10" i="14"/>
  <c r="AX10" i="14" s="1"/>
  <c r="AK10" i="14"/>
  <c r="BG10" i="14" s="1"/>
  <c r="AO10" i="14"/>
  <c r="BK10" i="14" s="1"/>
  <c r="Z11" i="14"/>
  <c r="AV11" i="14" s="1"/>
  <c r="AI11" i="14"/>
  <c r="BE11" i="14" s="1"/>
  <c r="AM11" i="14"/>
  <c r="BI11" i="14" s="1"/>
  <c r="AR11" i="14"/>
  <c r="BN11" i="14" s="1"/>
  <c r="AB12" i="14"/>
  <c r="AX12" i="14" s="1"/>
  <c r="AK12" i="14"/>
  <c r="BG12" i="14" s="1"/>
  <c r="AO12" i="14"/>
  <c r="BK12" i="14" s="1"/>
  <c r="Z13" i="14"/>
  <c r="AV13" i="14" s="1"/>
  <c r="AI13" i="14"/>
  <c r="BE13" i="14" s="1"/>
  <c r="AM13" i="14"/>
  <c r="BI13" i="14" s="1"/>
  <c r="AR13" i="14"/>
  <c r="BN13" i="14" s="1"/>
  <c r="AB14" i="14"/>
  <c r="AX14" i="14" s="1"/>
  <c r="AK14" i="14"/>
  <c r="BG14" i="14" s="1"/>
  <c r="AO14" i="14"/>
  <c r="BK14" i="14" s="1"/>
  <c r="Z15" i="14"/>
  <c r="AV15" i="14" s="1"/>
  <c r="AI15" i="14"/>
  <c r="BE15" i="14" s="1"/>
  <c r="AM15" i="14"/>
  <c r="BI15" i="14" s="1"/>
  <c r="AR15" i="14"/>
  <c r="BN15" i="14" s="1"/>
  <c r="AB16" i="14"/>
  <c r="AX16" i="14" s="1"/>
  <c r="AK16" i="14"/>
  <c r="BG16" i="14" s="1"/>
  <c r="AO16" i="14"/>
  <c r="BK16" i="14" s="1"/>
  <c r="Z17" i="14"/>
  <c r="AV17" i="14" s="1"/>
  <c r="AI17" i="14"/>
  <c r="BE17" i="14" s="1"/>
  <c r="AM17" i="14"/>
  <c r="BI17" i="14" s="1"/>
  <c r="AR17" i="14"/>
  <c r="BN17" i="14" s="1"/>
  <c r="AB18" i="14"/>
  <c r="AX18" i="14" s="1"/>
  <c r="AK18" i="14"/>
  <c r="BG18" i="14" s="1"/>
  <c r="AO18" i="14"/>
  <c r="BK18" i="14" s="1"/>
  <c r="Z19" i="14"/>
  <c r="AV19" i="14" s="1"/>
  <c r="AI19" i="14"/>
  <c r="BE19" i="14" s="1"/>
  <c r="AM19" i="14"/>
  <c r="BI19" i="14" s="1"/>
  <c r="AR19" i="14"/>
  <c r="BN19" i="14" s="1"/>
  <c r="AB20" i="14"/>
  <c r="AX20" i="14" s="1"/>
  <c r="AK20" i="14"/>
  <c r="BG20" i="14" s="1"/>
  <c r="AO20" i="14"/>
  <c r="BK20" i="14" s="1"/>
  <c r="Z21" i="14"/>
  <c r="AV21" i="14" s="1"/>
  <c r="AI21" i="14"/>
  <c r="BE21" i="14" s="1"/>
  <c r="AM21" i="14"/>
  <c r="BI21" i="14" s="1"/>
  <c r="AR21" i="14"/>
  <c r="BN21" i="14" s="1"/>
  <c r="AB22" i="14"/>
  <c r="AX22" i="14" s="1"/>
  <c r="AK22" i="14"/>
  <c r="BG22" i="14" s="1"/>
  <c r="AO22" i="14"/>
  <c r="BK22" i="14" s="1"/>
  <c r="Z23" i="14"/>
  <c r="AV23" i="14" s="1"/>
  <c r="AI23" i="14"/>
  <c r="BE23" i="14" s="1"/>
  <c r="AM23" i="14"/>
  <c r="BI23" i="14" s="1"/>
  <c r="AR23" i="14"/>
  <c r="BN23" i="14" s="1"/>
  <c r="AB24" i="14"/>
  <c r="AX24" i="14" s="1"/>
  <c r="AK24" i="14"/>
  <c r="BG24" i="14" s="1"/>
  <c r="AO24" i="14"/>
  <c r="BK24" i="14" s="1"/>
  <c r="Z25" i="14"/>
  <c r="AV25" i="14" s="1"/>
  <c r="AI25" i="14"/>
  <c r="BE25" i="14" s="1"/>
  <c r="AM25" i="14"/>
  <c r="BI25" i="14" s="1"/>
  <c r="AR25" i="14"/>
  <c r="BN25" i="14" s="1"/>
  <c r="AB26" i="14"/>
  <c r="AX26" i="14" s="1"/>
  <c r="AK26" i="14"/>
  <c r="BG26" i="14" s="1"/>
  <c r="AO26" i="14"/>
  <c r="BK26" i="14" s="1"/>
  <c r="Z27" i="14"/>
  <c r="AV27" i="14" s="1"/>
  <c r="AI27" i="14"/>
  <c r="BE27" i="14" s="1"/>
  <c r="AM27" i="14"/>
  <c r="BI27" i="14" s="1"/>
  <c r="AR27" i="14"/>
  <c r="BN27" i="14" s="1"/>
  <c r="AB28" i="14"/>
  <c r="AX28" i="14" s="1"/>
  <c r="AK28" i="14"/>
  <c r="BG28" i="14" s="1"/>
  <c r="AO28" i="14"/>
  <c r="BK28" i="14" s="1"/>
  <c r="Z29" i="14"/>
  <c r="AV29" i="14" s="1"/>
  <c r="AI29" i="14"/>
  <c r="BE29" i="14" s="1"/>
  <c r="AM29" i="14"/>
  <c r="BI29" i="14" s="1"/>
  <c r="AR29" i="14"/>
  <c r="BN29" i="14" s="1"/>
  <c r="AB30" i="14"/>
  <c r="AX30" i="14" s="1"/>
  <c r="AK30" i="14"/>
  <c r="BG30" i="14" s="1"/>
  <c r="AO30" i="14"/>
  <c r="BK30" i="14" s="1"/>
  <c r="Z31" i="14"/>
  <c r="AV31" i="14" s="1"/>
  <c r="AI31" i="14"/>
  <c r="BE31" i="14" s="1"/>
  <c r="AM31" i="14"/>
  <c r="BI31" i="14" s="1"/>
  <c r="AR31" i="14"/>
  <c r="BN31" i="14" s="1"/>
  <c r="AB32" i="14"/>
  <c r="AX32" i="14" s="1"/>
  <c r="AK32" i="14"/>
  <c r="BG32" i="14" s="1"/>
  <c r="AO32" i="14"/>
  <c r="BK32" i="14" s="1"/>
  <c r="Z33" i="14"/>
  <c r="AV33" i="14" s="1"/>
  <c r="AI33" i="14"/>
  <c r="BE33" i="14" s="1"/>
  <c r="AM33" i="14"/>
  <c r="BI33" i="14" s="1"/>
  <c r="AR33" i="14"/>
  <c r="BN33" i="14" s="1"/>
  <c r="AB34" i="14"/>
  <c r="AX34" i="14" s="1"/>
  <c r="AK34" i="14"/>
  <c r="BG34" i="14" s="1"/>
  <c r="AO34" i="14"/>
  <c r="BK34" i="14" s="1"/>
  <c r="Z35" i="14"/>
  <c r="AV35" i="14" s="1"/>
  <c r="AI35" i="14"/>
  <c r="BE35" i="14" s="1"/>
  <c r="AM35" i="14"/>
  <c r="BI35" i="14" s="1"/>
  <c r="AR35" i="14"/>
  <c r="BN35" i="14" s="1"/>
  <c r="AB36" i="14"/>
  <c r="AX36" i="14" s="1"/>
  <c r="AK36" i="14"/>
  <c r="BG36" i="14" s="1"/>
  <c r="AO36" i="14"/>
  <c r="BK36" i="14" s="1"/>
  <c r="Z37" i="14"/>
  <c r="AV37" i="14" s="1"/>
  <c r="AI37" i="14"/>
  <c r="BE37" i="14" s="1"/>
  <c r="AM37" i="14"/>
  <c r="BI37" i="14" s="1"/>
  <c r="AR37" i="14"/>
  <c r="BN37" i="14" s="1"/>
  <c r="AB38" i="14"/>
  <c r="AX38" i="14" s="1"/>
  <c r="AK38" i="14"/>
  <c r="BG38" i="14" s="1"/>
  <c r="AO38" i="14"/>
  <c r="BK38" i="14" s="1"/>
  <c r="Z39" i="14"/>
  <c r="AV39" i="14" s="1"/>
  <c r="AI39" i="14"/>
  <c r="BE39" i="14" s="1"/>
  <c r="AM39" i="14"/>
  <c r="BI39" i="14" s="1"/>
  <c r="AR39" i="14"/>
  <c r="BN39" i="14" s="1"/>
  <c r="AB40" i="14"/>
  <c r="AX40" i="14" s="1"/>
  <c r="AK40" i="14"/>
  <c r="BG40" i="14" s="1"/>
  <c r="AO40" i="14"/>
  <c r="BK40" i="14" s="1"/>
  <c r="Z41" i="14"/>
  <c r="AV41" i="14" s="1"/>
  <c r="AI41" i="14"/>
  <c r="BE41" i="14" s="1"/>
  <c r="AM41" i="14"/>
  <c r="BI41" i="14" s="1"/>
  <c r="AR41" i="14"/>
  <c r="BN41" i="14" s="1"/>
  <c r="AB42" i="14"/>
  <c r="AX42" i="14" s="1"/>
  <c r="AK42" i="14"/>
  <c r="BG42" i="14" s="1"/>
  <c r="AO42" i="14"/>
  <c r="BK42" i="14" s="1"/>
  <c r="AV43" i="14"/>
  <c r="BE43" i="14"/>
  <c r="BI43" i="14"/>
  <c r="BN43" i="14"/>
  <c r="AX44" i="14"/>
  <c r="BG44" i="14"/>
  <c r="BK44" i="14"/>
  <c r="AV45" i="14"/>
  <c r="BE45" i="14"/>
  <c r="BI45" i="14"/>
  <c r="BN45" i="14"/>
  <c r="AX46" i="15"/>
  <c r="AX46" i="14"/>
  <c r="BG46" i="15"/>
  <c r="BG46" i="14"/>
  <c r="BK46" i="15"/>
  <c r="BK46" i="14"/>
  <c r="AV47" i="15"/>
  <c r="AV47" i="14"/>
  <c r="BE47" i="15"/>
  <c r="BE47" i="14"/>
  <c r="BI47" i="15"/>
  <c r="BI47" i="14"/>
  <c r="BN47" i="15"/>
  <c r="BN47" i="14"/>
  <c r="AX48" i="15"/>
  <c r="AX48" i="14"/>
  <c r="BG48" i="15"/>
  <c r="BG48" i="14"/>
  <c r="BK48" i="15"/>
  <c r="BK48" i="14"/>
  <c r="AV49" i="15"/>
  <c r="AV49" i="14"/>
  <c r="BE49" i="15"/>
  <c r="BE49" i="14"/>
  <c r="BI49" i="15"/>
  <c r="BI49" i="14"/>
  <c r="BN49" i="15"/>
  <c r="BN49" i="14"/>
  <c r="AX50" i="15"/>
  <c r="AX50" i="14"/>
  <c r="BG50" i="15"/>
  <c r="BG50" i="14"/>
  <c r="BK50" i="15"/>
  <c r="BK50" i="14"/>
  <c r="AV51" i="15"/>
  <c r="AV51" i="14"/>
  <c r="BE51" i="15"/>
  <c r="BE51" i="14"/>
  <c r="BI51" i="15"/>
  <c r="BI51" i="14"/>
  <c r="BN51" i="15"/>
  <c r="BN51" i="14"/>
  <c r="AX52" i="15"/>
  <c r="AX52" i="14"/>
  <c r="BG52" i="15"/>
  <c r="BG52" i="14"/>
  <c r="BK52" i="15"/>
  <c r="BK52" i="14"/>
  <c r="BH46" i="17"/>
  <c r="BA48" i="17"/>
  <c r="AW49" i="17"/>
  <c r="BA52" i="17"/>
  <c r="BA52" i="15"/>
  <c r="AV46" i="17"/>
  <c r="BI46" i="17"/>
  <c r="BN46" i="17"/>
  <c r="AX47" i="17"/>
  <c r="BK47" i="17"/>
  <c r="AV48" i="17"/>
  <c r="BE48" i="17"/>
  <c r="BN48" i="17"/>
  <c r="AX49" i="17"/>
  <c r="BG49" i="17"/>
  <c r="AV50" i="17"/>
  <c r="BE50" i="17"/>
  <c r="BI50" i="17"/>
  <c r="AX51" i="17"/>
  <c r="BG51" i="17"/>
  <c r="BK51" i="17"/>
  <c r="BE52" i="17"/>
  <c r="BI52" i="17"/>
  <c r="BN52" i="17"/>
  <c r="AW47" i="17"/>
  <c r="BH50" i="17"/>
  <c r="BH52" i="17"/>
  <c r="BF46" i="17"/>
  <c r="BO46" i="17"/>
  <c r="BH47" i="17"/>
  <c r="AW48" i="17"/>
  <c r="BJ48" i="17"/>
  <c r="BA49" i="17"/>
  <c r="BM49" i="17"/>
  <c r="BF50" i="17"/>
  <c r="BO50" i="17"/>
  <c r="BH51" i="17"/>
  <c r="AW52" i="17"/>
  <c r="BJ47" i="17"/>
  <c r="BH48" i="17"/>
  <c r="BF49" i="17"/>
  <c r="BF49" i="15"/>
  <c r="BM50" i="15"/>
  <c r="BJ51" i="17"/>
  <c r="BJ51" i="15"/>
  <c r="BM52" i="15"/>
  <c r="BK46" i="17"/>
  <c r="BN49" i="17"/>
  <c r="BO42" i="13"/>
  <c r="BN42" i="13"/>
  <c r="BM42" i="13"/>
  <c r="BK42" i="13"/>
  <c r="BJ42" i="13"/>
  <c r="BI42" i="13"/>
  <c r="BH42" i="13"/>
  <c r="BG42" i="13"/>
  <c r="BF42" i="13"/>
  <c r="BE42" i="13"/>
  <c r="BA42" i="13"/>
  <c r="AX42" i="13"/>
  <c r="AW42" i="13"/>
  <c r="AV42" i="13"/>
  <c r="BO41" i="13"/>
  <c r="BN41" i="13"/>
  <c r="BM41" i="13"/>
  <c r="BK41" i="13"/>
  <c r="BJ41" i="13"/>
  <c r="BI41" i="13"/>
  <c r="BH41" i="13"/>
  <c r="BG41" i="13"/>
  <c r="BF41" i="13"/>
  <c r="BE41" i="13"/>
  <c r="BA41" i="13"/>
  <c r="AX41" i="13"/>
  <c r="AW41" i="13"/>
  <c r="AV41" i="13"/>
  <c r="BO40" i="13"/>
  <c r="BN40" i="13"/>
  <c r="BM40" i="13"/>
  <c r="BK40" i="13"/>
  <c r="BJ40" i="13"/>
  <c r="BI40" i="13"/>
  <c r="BH40" i="13"/>
  <c r="BG40" i="13"/>
  <c r="BF40" i="13"/>
  <c r="BE40" i="13"/>
  <c r="BA40" i="13"/>
  <c r="AX40" i="13"/>
  <c r="AW40" i="13"/>
  <c r="AV40" i="13"/>
  <c r="BO39" i="13"/>
  <c r="BN39" i="13"/>
  <c r="BM39" i="13"/>
  <c r="BK39" i="13"/>
  <c r="BJ39" i="13"/>
  <c r="BI39" i="13"/>
  <c r="BH39" i="13"/>
  <c r="BG39" i="13"/>
  <c r="BF39" i="13"/>
  <c r="BE39" i="13"/>
  <c r="BA39" i="13"/>
  <c r="AX39" i="13"/>
  <c r="AW39" i="13"/>
  <c r="AV39" i="13"/>
  <c r="BO38" i="13"/>
  <c r="BN38" i="13"/>
  <c r="BM38" i="13"/>
  <c r="BK38" i="13"/>
  <c r="BJ38" i="13"/>
  <c r="BI38" i="13"/>
  <c r="BH38" i="13"/>
  <c r="BG38" i="13"/>
  <c r="BF38" i="13"/>
  <c r="BE38" i="13"/>
  <c r="BA38" i="13"/>
  <c r="AX38" i="13"/>
  <c r="AW38" i="13"/>
  <c r="AV38" i="13"/>
  <c r="BO37" i="13"/>
  <c r="BN37" i="13"/>
  <c r="BM37" i="13"/>
  <c r="BK37" i="13"/>
  <c r="BJ37" i="13"/>
  <c r="BI37" i="13"/>
  <c r="BH37" i="13"/>
  <c r="BG37" i="13"/>
  <c r="BF37" i="13"/>
  <c r="BE37" i="13"/>
  <c r="BA37" i="13"/>
  <c r="AX37" i="13"/>
  <c r="AW37" i="13"/>
  <c r="AV37" i="13"/>
  <c r="BO36" i="13"/>
  <c r="BN36" i="13"/>
  <c r="BM36" i="13"/>
  <c r="BK36" i="13"/>
  <c r="BJ36" i="13"/>
  <c r="BI36" i="13"/>
  <c r="BH36" i="13"/>
  <c r="BG36" i="13"/>
  <c r="BF36" i="13"/>
  <c r="BE36" i="13"/>
  <c r="BA36" i="13"/>
  <c r="AX36" i="13"/>
  <c r="AW36" i="13"/>
  <c r="AV36" i="13"/>
  <c r="BO35" i="13"/>
  <c r="BN35" i="13"/>
  <c r="BM35" i="13"/>
  <c r="BK35" i="13"/>
  <c r="BJ35" i="13"/>
  <c r="BI35" i="13"/>
  <c r="BH35" i="13"/>
  <c r="BG35" i="13"/>
  <c r="BF35" i="13"/>
  <c r="BE35" i="13"/>
  <c r="BA35" i="13"/>
  <c r="AX35" i="13"/>
  <c r="AW35" i="13"/>
  <c r="AV35" i="13"/>
  <c r="BO34" i="13"/>
  <c r="BN34" i="13"/>
  <c r="BM34" i="13"/>
  <c r="BK34" i="13"/>
  <c r="BJ34" i="13"/>
  <c r="BI34" i="13"/>
  <c r="BH34" i="13"/>
  <c r="BG34" i="13"/>
  <c r="BF34" i="13"/>
  <c r="BE34" i="13"/>
  <c r="BA34" i="13"/>
  <c r="AX34" i="13"/>
  <c r="AW34" i="13"/>
  <c r="AV34" i="13"/>
  <c r="BO33" i="13"/>
  <c r="BN33" i="13"/>
  <c r="BM33" i="13"/>
  <c r="BK33" i="13"/>
  <c r="BJ33" i="13"/>
  <c r="BI33" i="13"/>
  <c r="BH33" i="13"/>
  <c r="BG33" i="13"/>
  <c r="BF33" i="13"/>
  <c r="BE33" i="13"/>
  <c r="BA33" i="13"/>
  <c r="AX33" i="13"/>
  <c r="AW33" i="13"/>
  <c r="AV33" i="13"/>
  <c r="BO32" i="13"/>
  <c r="BN32" i="13"/>
  <c r="BM32" i="13"/>
  <c r="BK32" i="13"/>
  <c r="BJ32" i="13"/>
  <c r="BI32" i="13"/>
  <c r="BH32" i="13"/>
  <c r="BG32" i="13"/>
  <c r="BF32" i="13"/>
  <c r="BE32" i="13"/>
  <c r="BA32" i="13"/>
  <c r="AX32" i="13"/>
  <c r="AW32" i="13"/>
  <c r="AV32" i="13"/>
  <c r="BO31" i="13"/>
  <c r="BN31" i="13"/>
  <c r="BM31" i="13"/>
  <c r="BK31" i="13"/>
  <c r="BJ31" i="13"/>
  <c r="BI31" i="13"/>
  <c r="BH31" i="13"/>
  <c r="BG31" i="13"/>
  <c r="BF31" i="13"/>
  <c r="BE31" i="13"/>
  <c r="BA31" i="13"/>
  <c r="AX31" i="13"/>
  <c r="AW31" i="13"/>
  <c r="AV31" i="13"/>
  <c r="BO30" i="13"/>
  <c r="BN30" i="13"/>
  <c r="BM30" i="13"/>
  <c r="BK30" i="13"/>
  <c r="BJ30" i="13"/>
  <c r="BI30" i="13"/>
  <c r="BH30" i="13"/>
  <c r="BG30" i="13"/>
  <c r="BF30" i="13"/>
  <c r="BE30" i="13"/>
  <c r="BA30" i="13"/>
  <c r="AX30" i="13"/>
  <c r="AW30" i="13"/>
  <c r="BO29" i="13"/>
  <c r="BN29" i="13"/>
  <c r="BM29" i="13"/>
  <c r="BK29" i="13"/>
  <c r="BJ29" i="13"/>
  <c r="BI29" i="13"/>
  <c r="BH29" i="13"/>
  <c r="BG29" i="13"/>
  <c r="BF29" i="13"/>
  <c r="BE29" i="13"/>
  <c r="BA29" i="13"/>
  <c r="AX29" i="13"/>
  <c r="AW29" i="13"/>
  <c r="BO28" i="13"/>
  <c r="BN28" i="13"/>
  <c r="BM28" i="13"/>
  <c r="BK28" i="13"/>
  <c r="BJ28" i="13"/>
  <c r="BI28" i="13"/>
  <c r="BH28" i="13"/>
  <c r="BG28" i="13"/>
  <c r="BF28" i="13"/>
  <c r="BE28" i="13"/>
  <c r="BA28" i="13"/>
  <c r="AX28" i="13"/>
  <c r="AW28" i="13"/>
  <c r="BO27" i="13"/>
  <c r="BN27" i="13"/>
  <c r="BM27" i="13"/>
  <c r="BK27" i="13"/>
  <c r="BJ27" i="13"/>
  <c r="BI27" i="13"/>
  <c r="BH27" i="13"/>
  <c r="BG27" i="13"/>
  <c r="BF27" i="13"/>
  <c r="BE27" i="13"/>
  <c r="BA27" i="13"/>
  <c r="AX27" i="13"/>
  <c r="AW27" i="13"/>
  <c r="BO26" i="13"/>
  <c r="BN26" i="13"/>
  <c r="BM26" i="13"/>
  <c r="BK26" i="13"/>
  <c r="BJ26" i="13"/>
  <c r="BI26" i="13"/>
  <c r="BH26" i="13"/>
  <c r="BG26" i="13"/>
  <c r="BF26" i="13"/>
  <c r="BE26" i="13"/>
  <c r="BA26" i="13"/>
  <c r="AX26" i="13"/>
  <c r="AW26" i="13"/>
  <c r="BO25" i="13"/>
  <c r="BN25" i="13"/>
  <c r="BM25" i="13"/>
  <c r="BK25" i="13"/>
  <c r="BJ25" i="13"/>
  <c r="BI25" i="13"/>
  <c r="BH25" i="13"/>
  <c r="BG25" i="13"/>
  <c r="BF25" i="13"/>
  <c r="BE25" i="13"/>
  <c r="BA25" i="13"/>
  <c r="AX25" i="13"/>
  <c r="AW25" i="13"/>
  <c r="BO24" i="13"/>
  <c r="BN24" i="13"/>
  <c r="BM24" i="13"/>
  <c r="BK24" i="13"/>
  <c r="BJ24" i="13"/>
  <c r="BI24" i="13"/>
  <c r="BH24" i="13"/>
  <c r="BG24" i="13"/>
  <c r="BF24" i="13"/>
  <c r="BE24" i="13"/>
  <c r="BA24" i="13"/>
  <c r="AX24" i="13"/>
  <c r="AW24" i="13"/>
  <c r="BO23" i="13"/>
  <c r="BN23" i="13"/>
  <c r="BM23" i="13"/>
  <c r="BK23" i="13"/>
  <c r="BJ23" i="13"/>
  <c r="BI23" i="13"/>
  <c r="BH23" i="13"/>
  <c r="BG23" i="13"/>
  <c r="BF23" i="13"/>
  <c r="BE23" i="13"/>
  <c r="BA23" i="13"/>
  <c r="AX23" i="13"/>
  <c r="AW23" i="13"/>
  <c r="BO22" i="13"/>
  <c r="BN22" i="13"/>
  <c r="BM22" i="13"/>
  <c r="BK22" i="13"/>
  <c r="BJ22" i="13"/>
  <c r="BI22" i="13"/>
  <c r="BH22" i="13"/>
  <c r="BG22" i="13"/>
  <c r="BF22" i="13"/>
  <c r="BE22" i="13"/>
  <c r="BA22" i="13"/>
  <c r="AX22" i="13"/>
  <c r="AW22" i="13"/>
  <c r="BO21" i="13"/>
  <c r="BN21" i="13"/>
  <c r="BM21" i="13"/>
  <c r="BK21" i="13"/>
  <c r="BJ21" i="13"/>
  <c r="BI21" i="13"/>
  <c r="BH21" i="13"/>
  <c r="BG21" i="13"/>
  <c r="BF21" i="13"/>
  <c r="BE21" i="13"/>
  <c r="BA21" i="13"/>
  <c r="AX21" i="13"/>
  <c r="AW21" i="13"/>
  <c r="BO20" i="13"/>
  <c r="BN20" i="13"/>
  <c r="BM20" i="13"/>
  <c r="BK20" i="13"/>
  <c r="BJ20" i="13"/>
  <c r="BI20" i="13"/>
  <c r="BH20" i="13"/>
  <c r="BG20" i="13"/>
  <c r="BF20" i="13"/>
  <c r="BE20" i="13"/>
  <c r="BA20" i="13"/>
  <c r="AX20" i="13"/>
  <c r="AW20" i="13"/>
  <c r="BO19" i="13"/>
  <c r="BN19" i="13"/>
  <c r="BM19" i="13"/>
  <c r="BK19" i="13"/>
  <c r="BJ19" i="13"/>
  <c r="BI19" i="13"/>
  <c r="BH19" i="13"/>
  <c r="BG19" i="13"/>
  <c r="BF19" i="13"/>
  <c r="BE19" i="13"/>
  <c r="BA19" i="13"/>
  <c r="AX19" i="13"/>
  <c r="AW19" i="13"/>
  <c r="BO18" i="13"/>
  <c r="BN18" i="13"/>
  <c r="BM18" i="13"/>
  <c r="BK18" i="13"/>
  <c r="BJ18" i="13"/>
  <c r="BI18" i="13"/>
  <c r="BH18" i="13"/>
  <c r="BG18" i="13"/>
  <c r="BF18" i="13"/>
  <c r="BE18" i="13"/>
  <c r="BA18" i="13"/>
  <c r="AX18" i="13"/>
  <c r="AW18" i="13"/>
  <c r="BO17" i="13"/>
  <c r="BN17" i="13"/>
  <c r="BM17" i="13"/>
  <c r="BK17" i="13"/>
  <c r="BJ17" i="13"/>
  <c r="BI17" i="13"/>
  <c r="BH17" i="13"/>
  <c r="BG17" i="13"/>
  <c r="BF17" i="13"/>
  <c r="BE17" i="13"/>
  <c r="BA17" i="13"/>
  <c r="AX17" i="13"/>
  <c r="AW17" i="13"/>
  <c r="BO16" i="13"/>
  <c r="BN16" i="13"/>
  <c r="BM16" i="13"/>
  <c r="BK16" i="13"/>
  <c r="BJ16" i="13"/>
  <c r="BI16" i="13"/>
  <c r="BH16" i="13"/>
  <c r="BG16" i="13"/>
  <c r="BF16" i="13"/>
  <c r="BE16" i="13"/>
  <c r="BA16" i="13"/>
  <c r="AX16" i="13"/>
  <c r="AW16" i="13"/>
  <c r="BO15" i="13"/>
  <c r="BN15" i="13"/>
  <c r="BM15" i="13"/>
  <c r="BK15" i="13"/>
  <c r="BJ15" i="13"/>
  <c r="BI15" i="13"/>
  <c r="BH15" i="13"/>
  <c r="BG15" i="13"/>
  <c r="BF15" i="13"/>
  <c r="BE15" i="13"/>
  <c r="BA15" i="13"/>
  <c r="AX15" i="13"/>
  <c r="AW15" i="13"/>
  <c r="BO14" i="13"/>
  <c r="BN14" i="13"/>
  <c r="BM14" i="13"/>
  <c r="BK14" i="13"/>
  <c r="BJ14" i="13"/>
  <c r="BI14" i="13"/>
  <c r="BH14" i="13"/>
  <c r="BG14" i="13"/>
  <c r="BF14" i="13"/>
  <c r="BE14" i="13"/>
  <c r="BA14" i="13"/>
  <c r="AX14" i="13"/>
  <c r="AW14" i="13"/>
  <c r="BO13" i="13"/>
  <c r="BN13" i="13"/>
  <c r="BM13" i="13"/>
  <c r="BK13" i="13"/>
  <c r="BJ13" i="13"/>
  <c r="BI13" i="13"/>
  <c r="BH13" i="13"/>
  <c r="BG13" i="13"/>
  <c r="BF13" i="13"/>
  <c r="BE13" i="13"/>
  <c r="BA13" i="13"/>
  <c r="AX13" i="13"/>
  <c r="AW13" i="13"/>
  <c r="BO12" i="13"/>
  <c r="BN12" i="13"/>
  <c r="BM12" i="13"/>
  <c r="BK12" i="13"/>
  <c r="BJ12" i="13"/>
  <c r="BI12" i="13"/>
  <c r="BH12" i="13"/>
  <c r="BG12" i="13"/>
  <c r="BF12" i="13"/>
  <c r="BE12" i="13"/>
  <c r="BA12" i="13"/>
  <c r="AX12" i="13"/>
  <c r="AW12" i="13"/>
  <c r="BO11" i="13"/>
  <c r="BN11" i="13"/>
  <c r="BM11" i="13"/>
  <c r="BK11" i="13"/>
  <c r="BJ11" i="13"/>
  <c r="BI11" i="13"/>
  <c r="BH11" i="13"/>
  <c r="BG11" i="13"/>
  <c r="BF11" i="13"/>
  <c r="BE11" i="13"/>
  <c r="BA11" i="13"/>
  <c r="AX11" i="13"/>
  <c r="AW11" i="13"/>
  <c r="BO10" i="13"/>
  <c r="BN10" i="13"/>
  <c r="BM10" i="13"/>
  <c r="BK10" i="13"/>
  <c r="BJ10" i="13"/>
  <c r="BI10" i="13"/>
  <c r="BH10" i="13"/>
  <c r="BG10" i="13"/>
  <c r="BF10" i="13"/>
  <c r="BE10" i="13"/>
  <c r="BA10" i="13"/>
  <c r="AX10" i="13"/>
  <c r="AW10" i="13"/>
  <c r="BO9" i="13"/>
  <c r="BN9" i="13"/>
  <c r="BM9" i="13"/>
  <c r="BK9" i="13"/>
  <c r="BJ9" i="13"/>
  <c r="BI9" i="13"/>
  <c r="BH9" i="13"/>
  <c r="BG9" i="13"/>
  <c r="BF9" i="13"/>
  <c r="BE9" i="13"/>
  <c r="BA9" i="13"/>
  <c r="AX9" i="13"/>
  <c r="AW9" i="13"/>
  <c r="BO8" i="13"/>
  <c r="BN8" i="13"/>
  <c r="BM8" i="13"/>
  <c r="BK8" i="13"/>
  <c r="BJ8" i="13"/>
  <c r="BI8" i="13"/>
  <c r="BH8" i="13"/>
  <c r="BG8" i="13"/>
  <c r="BF8" i="13"/>
  <c r="BE8" i="13"/>
  <c r="BA8" i="13"/>
  <c r="AX8" i="13"/>
  <c r="AW8" i="13"/>
  <c r="BO7" i="13"/>
  <c r="BN7" i="13"/>
  <c r="BM7" i="13"/>
  <c r="BK7" i="13"/>
  <c r="BJ7" i="13"/>
  <c r="BI7" i="13"/>
  <c r="BH7" i="13"/>
  <c r="BG7" i="13"/>
  <c r="BF7" i="13"/>
  <c r="BE7" i="13"/>
  <c r="BA7" i="13"/>
  <c r="AX7" i="13"/>
  <c r="C42" i="5"/>
  <c r="B42" i="5" s="1"/>
  <c r="C41" i="5"/>
  <c r="B41" i="5" s="1"/>
  <c r="C40" i="5"/>
  <c r="B40" i="5" s="1"/>
  <c r="C39" i="5"/>
  <c r="B39" i="5" s="1"/>
  <c r="C38" i="5"/>
  <c r="B38" i="5" s="1"/>
  <c r="C37" i="5"/>
  <c r="B37" i="5" s="1"/>
  <c r="C36" i="5"/>
  <c r="B36" i="5" s="1"/>
  <c r="C35" i="5"/>
  <c r="B35" i="5" s="1"/>
  <c r="C34" i="5"/>
  <c r="B34" i="5" s="1"/>
  <c r="C33" i="5"/>
  <c r="B33" i="5" s="1"/>
  <c r="C32" i="5"/>
  <c r="B32" i="5" s="1"/>
  <c r="C31" i="5"/>
  <c r="B31" i="5" s="1"/>
  <c r="C30" i="5"/>
  <c r="B30" i="5" s="1"/>
  <c r="C29" i="5"/>
  <c r="B29" i="5" s="1"/>
  <c r="C28" i="5"/>
  <c r="B28" i="5" s="1"/>
  <c r="C27" i="5"/>
  <c r="B27" i="5" s="1"/>
  <c r="C26" i="5"/>
  <c r="B26" i="5" s="1"/>
  <c r="C25" i="5"/>
  <c r="B25" i="5" s="1"/>
  <c r="C24" i="5"/>
  <c r="B24" i="5" s="1"/>
  <c r="C23" i="5"/>
  <c r="B23" i="5" s="1"/>
  <c r="C22" i="5"/>
  <c r="B22" i="5" s="1"/>
  <c r="C21" i="5"/>
  <c r="B21" i="5" s="1"/>
  <c r="C20" i="5"/>
  <c r="B20" i="5" s="1"/>
  <c r="C19" i="5"/>
  <c r="B19" i="5" s="1"/>
  <c r="C18" i="5"/>
  <c r="B18" i="5" s="1"/>
  <c r="C17" i="5"/>
  <c r="B17" i="5" s="1"/>
  <c r="C16" i="5"/>
  <c r="B16" i="5" s="1"/>
  <c r="C15" i="5"/>
  <c r="B15" i="5" s="1"/>
  <c r="C14" i="5"/>
  <c r="B14" i="5" s="1"/>
  <c r="C13" i="5"/>
  <c r="B13" i="5" s="1"/>
  <c r="C12" i="5"/>
  <c r="B12" i="5" s="1"/>
  <c r="C11" i="5"/>
  <c r="B11" i="5" s="1"/>
  <c r="C10" i="5"/>
  <c r="B10" i="5" s="1"/>
  <c r="C9" i="5"/>
  <c r="B9" i="5" s="1"/>
  <c r="C8" i="5"/>
  <c r="B8" i="5" s="1"/>
  <c r="C7" i="5"/>
  <c r="B7" i="5" s="1"/>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C8" i="30" l="1"/>
  <c r="C8" i="32" s="1"/>
  <c r="C12" i="30"/>
  <c r="C12" i="32" s="1"/>
  <c r="C28" i="30"/>
  <c r="C28" i="32" s="1"/>
  <c r="C36" i="30"/>
  <c r="C9" i="30"/>
  <c r="C9" i="32" s="1"/>
  <c r="C13" i="30"/>
  <c r="C17" i="30"/>
  <c r="C21" i="30"/>
  <c r="C21" i="32" s="1"/>
  <c r="C25" i="30"/>
  <c r="C29" i="30"/>
  <c r="C29" i="32" s="1"/>
  <c r="C33" i="30"/>
  <c r="C33" i="32" s="1"/>
  <c r="C37" i="30"/>
  <c r="C41" i="30"/>
  <c r="C41" i="32" s="1"/>
  <c r="C20" i="30"/>
  <c r="C20" i="32" s="1"/>
  <c r="C32" i="30"/>
  <c r="C32" i="32" s="1"/>
  <c r="C10" i="30"/>
  <c r="C10" i="32" s="1"/>
  <c r="C18" i="30"/>
  <c r="C26" i="30"/>
  <c r="C38" i="30"/>
  <c r="C38" i="32" s="1"/>
  <c r="C16" i="30"/>
  <c r="C16" i="32" s="1"/>
  <c r="C24" i="30"/>
  <c r="C24" i="32" s="1"/>
  <c r="C40" i="30"/>
  <c r="C40" i="32" s="1"/>
  <c r="C14" i="30"/>
  <c r="C22" i="30"/>
  <c r="C22" i="32" s="1"/>
  <c r="C30" i="30"/>
  <c r="C30" i="32" s="1"/>
  <c r="C34" i="30"/>
  <c r="C34" i="32" s="1"/>
  <c r="C42" i="30"/>
  <c r="C42" i="32" s="1"/>
  <c r="C7" i="30"/>
  <c r="C7" i="32" s="1"/>
  <c r="C11" i="30"/>
  <c r="C11" i="32" s="1"/>
  <c r="C15" i="30"/>
  <c r="C15" i="32" s="1"/>
  <c r="C19" i="30"/>
  <c r="C19" i="32" s="1"/>
  <c r="C23" i="30"/>
  <c r="C23" i="32" s="1"/>
  <c r="C27" i="30"/>
  <c r="C27" i="32" s="1"/>
  <c r="C31" i="30"/>
  <c r="C31" i="32" s="1"/>
  <c r="C35" i="30"/>
  <c r="C35" i="32" s="1"/>
  <c r="C39" i="30"/>
  <c r="C39" i="32" s="1"/>
  <c r="AX46" i="17"/>
  <c r="AV49" i="17"/>
  <c r="BG48" i="17"/>
  <c r="BJ52" i="17"/>
  <c r="BK50" i="17"/>
  <c r="BE47" i="17"/>
  <c r="BO51" i="15"/>
  <c r="BQ51" i="15" s="1"/>
  <c r="BJ49" i="17"/>
  <c r="BF47" i="15"/>
  <c r="BN50" i="17"/>
  <c r="BI48" i="17"/>
  <c r="BG47" i="17"/>
  <c r="BE46" i="17"/>
  <c r="BF51" i="17"/>
  <c r="BO49" i="17"/>
  <c r="AV52" i="17"/>
  <c r="BK49" i="17"/>
  <c r="BM46" i="17"/>
  <c r="AW51" i="17"/>
  <c r="BI49" i="17"/>
  <c r="BN47" i="17"/>
  <c r="BG46" i="17"/>
  <c r="BI47" i="17"/>
  <c r="BK48" i="17"/>
  <c r="BE51" i="17"/>
  <c r="AX50" i="17"/>
  <c r="AV51" i="17"/>
  <c r="AX52" i="17"/>
  <c r="BG52" i="17"/>
  <c r="BN51" i="17"/>
  <c r="BF52" i="17"/>
  <c r="BA51" i="17"/>
  <c r="AW50" i="17"/>
  <c r="BO48" i="17"/>
  <c r="BM47" i="17"/>
  <c r="BJ46" i="17"/>
  <c r="BA46" i="17"/>
  <c r="BM48" i="17"/>
  <c r="BA50" i="17"/>
  <c r="BO52" i="17"/>
  <c r="BM51" i="17"/>
  <c r="BJ50" i="17"/>
  <c r="BH49" i="17"/>
  <c r="BF48" i="17"/>
  <c r="BA47" i="17"/>
  <c r="AW46" i="17"/>
  <c r="BO47" i="17"/>
  <c r="BK52" i="17"/>
  <c r="BI51" i="17"/>
  <c r="BG50" i="17"/>
  <c r="BE49" i="17"/>
  <c r="AX48" i="17"/>
  <c r="AV47" i="17"/>
  <c r="BQ47" i="15"/>
  <c r="BQ50" i="15"/>
  <c r="BQ46" i="15"/>
  <c r="BQ49" i="15"/>
  <c r="BQ52" i="15"/>
  <c r="BQ48" i="15"/>
  <c r="C51" i="2"/>
  <c r="D57" i="2"/>
  <c r="C37" i="32" l="1"/>
  <c r="B37" i="30"/>
  <c r="B37" i="32" s="1"/>
  <c r="C36" i="32"/>
  <c r="B36" i="30"/>
  <c r="B36" i="32" s="1"/>
  <c r="C14" i="32"/>
  <c r="B14" i="30"/>
  <c r="B14" i="32" s="1"/>
  <c r="C17" i="32"/>
  <c r="B17" i="30"/>
  <c r="B17" i="32" s="1"/>
  <c r="C26" i="32"/>
  <c r="B26" i="30"/>
  <c r="B26" i="32" s="1"/>
  <c r="C13" i="32"/>
  <c r="B13" i="30"/>
  <c r="B13" i="32" s="1"/>
  <c r="C18" i="32"/>
  <c r="B18" i="30"/>
  <c r="B18" i="32" s="1"/>
  <c r="C25" i="32"/>
  <c r="B25" i="30"/>
  <c r="B25" i="32" s="1"/>
  <c r="BQ49" i="17"/>
  <c r="BQ47" i="17"/>
  <c r="BQ51" i="17"/>
  <c r="BQ52" i="17"/>
  <c r="BQ50" i="17"/>
  <c r="BQ46" i="17"/>
  <c r="BQ48" i="17"/>
  <c r="CB52" i="5"/>
  <c r="CY52" i="5"/>
  <c r="CK50" i="5"/>
  <c r="DH50" i="5"/>
  <c r="CF50" i="5"/>
  <c r="DC50" i="5"/>
  <c r="BS49" i="5"/>
  <c r="CP49" i="5"/>
  <c r="CF46" i="5"/>
  <c r="DC46" i="5"/>
  <c r="CE51" i="5"/>
  <c r="DB51" i="5"/>
  <c r="BR51" i="5"/>
  <c r="CO51" i="5"/>
  <c r="CE50" i="5"/>
  <c r="DB50" i="5"/>
  <c r="CE49" i="5"/>
  <c r="DB49" i="5"/>
  <c r="BR49" i="5"/>
  <c r="CO49" i="5"/>
  <c r="CE48" i="5"/>
  <c r="DB48" i="5"/>
  <c r="BR48" i="5"/>
  <c r="CO48" i="5"/>
  <c r="BR46" i="5"/>
  <c r="CO46" i="5"/>
  <c r="BS45" i="5"/>
  <c r="CP45" i="5"/>
  <c r="CA45" i="5"/>
  <c r="CX45" i="5"/>
  <c r="CF51" i="5"/>
  <c r="DC51" i="5"/>
  <c r="CF49" i="5"/>
  <c r="DC49" i="5"/>
  <c r="CF48" i="5"/>
  <c r="DC48" i="5"/>
  <c r="CF47" i="5"/>
  <c r="DC47" i="5"/>
  <c r="CD45" i="5"/>
  <c r="DA45" i="5"/>
  <c r="CA52" i="5"/>
  <c r="CX52" i="5"/>
  <c r="CA49" i="5"/>
  <c r="CX49" i="5"/>
  <c r="CE47" i="5"/>
  <c r="DB47" i="5"/>
  <c r="BR47" i="5"/>
  <c r="CO47" i="5"/>
  <c r="CE46" i="5"/>
  <c r="DB46" i="5"/>
  <c r="CC45" i="5"/>
  <c r="CZ45" i="5"/>
  <c r="CI52" i="5"/>
  <c r="DF52" i="5"/>
  <c r="BW52" i="5"/>
  <c r="CT52" i="5"/>
  <c r="CD51" i="5"/>
  <c r="DA51" i="5"/>
  <c r="CI50" i="5"/>
  <c r="DF50" i="5"/>
  <c r="BW50" i="5"/>
  <c r="CT50" i="5"/>
  <c r="CD49" i="5"/>
  <c r="DA49" i="5"/>
  <c r="CI48" i="5"/>
  <c r="DF48" i="5"/>
  <c r="BW48" i="5"/>
  <c r="CT48" i="5"/>
  <c r="CD47" i="5"/>
  <c r="DA47" i="5"/>
  <c r="CI46" i="5"/>
  <c r="DF46" i="5"/>
  <c r="BW46" i="5"/>
  <c r="CT46" i="5"/>
  <c r="CF45" i="5"/>
  <c r="DC45" i="5"/>
  <c r="CC52" i="5"/>
  <c r="CZ52" i="5"/>
  <c r="CG51" i="5"/>
  <c r="DD51" i="5"/>
  <c r="BT51" i="5"/>
  <c r="CQ51" i="5"/>
  <c r="CC50" i="5"/>
  <c r="CZ50" i="5"/>
  <c r="CG49" i="5"/>
  <c r="DD49" i="5"/>
  <c r="BT49" i="5"/>
  <c r="CQ49" i="5"/>
  <c r="CC48" i="5"/>
  <c r="CZ48" i="5"/>
  <c r="CG47" i="5"/>
  <c r="DD47" i="5"/>
  <c r="BT47" i="5"/>
  <c r="CQ47" i="5"/>
  <c r="CC46" i="5"/>
  <c r="CZ46" i="5"/>
  <c r="CJ45" i="5"/>
  <c r="DG45" i="5"/>
  <c r="CK51" i="5"/>
  <c r="DH51" i="5"/>
  <c r="CF52" i="5"/>
  <c r="DC52" i="5"/>
  <c r="BS52" i="5"/>
  <c r="CP52" i="5"/>
  <c r="BS51" i="5"/>
  <c r="CP51" i="5"/>
  <c r="BS50" i="5"/>
  <c r="CP50" i="5"/>
  <c r="BS48" i="5"/>
  <c r="CP48" i="5"/>
  <c r="BS47" i="5"/>
  <c r="CP47" i="5"/>
  <c r="BS46" i="5"/>
  <c r="CP46" i="5"/>
  <c r="CJ52" i="5"/>
  <c r="DG52" i="5"/>
  <c r="CI45" i="5"/>
  <c r="DF45" i="5"/>
  <c r="BW45" i="5"/>
  <c r="CT45" i="5"/>
  <c r="CJ51" i="5"/>
  <c r="DG51" i="5"/>
  <c r="CA51" i="5"/>
  <c r="CX51" i="5"/>
  <c r="CJ50" i="5"/>
  <c r="DG50" i="5"/>
  <c r="CA50" i="5"/>
  <c r="CX50" i="5"/>
  <c r="CJ49" i="5"/>
  <c r="DG49" i="5"/>
  <c r="CJ48" i="5"/>
  <c r="DG48" i="5"/>
  <c r="CA48" i="5"/>
  <c r="CX48" i="5"/>
  <c r="CI49" i="5"/>
  <c r="DF49" i="5"/>
  <c r="BW49" i="5"/>
  <c r="CT49" i="5"/>
  <c r="CD48" i="5"/>
  <c r="DA48" i="5"/>
  <c r="BT48" i="5"/>
  <c r="CQ48" i="5"/>
  <c r="CC47" i="5"/>
  <c r="CZ47" i="5"/>
  <c r="CK52" i="5"/>
  <c r="DH52" i="5"/>
  <c r="CB51" i="5"/>
  <c r="CY51" i="5"/>
  <c r="CB50" i="5"/>
  <c r="CY50" i="5"/>
  <c r="CK49" i="5"/>
  <c r="DH49" i="5"/>
  <c r="CB49" i="5"/>
  <c r="CY49" i="5"/>
  <c r="CK48" i="5"/>
  <c r="DH48" i="5"/>
  <c r="CB48" i="5"/>
  <c r="CY48" i="5"/>
  <c r="CK47" i="5"/>
  <c r="DH47" i="5"/>
  <c r="CB47" i="5"/>
  <c r="CY47" i="5"/>
  <c r="CK46" i="5"/>
  <c r="DH46" i="5"/>
  <c r="CB46" i="5"/>
  <c r="CY46" i="5"/>
  <c r="CE52" i="5"/>
  <c r="DB52" i="5"/>
  <c r="BR52" i="5"/>
  <c r="CO52" i="5"/>
  <c r="BR50" i="5"/>
  <c r="CO50" i="5"/>
  <c r="CJ47" i="5"/>
  <c r="DG47" i="5"/>
  <c r="CA47" i="5"/>
  <c r="CX47" i="5"/>
  <c r="CJ46" i="5"/>
  <c r="DG46" i="5"/>
  <c r="CA46" i="5"/>
  <c r="CX46" i="5"/>
  <c r="CG45" i="5"/>
  <c r="DD45" i="5"/>
  <c r="BT45" i="5"/>
  <c r="CQ45" i="5"/>
  <c r="CD52" i="5"/>
  <c r="DA52" i="5"/>
  <c r="CI51" i="5"/>
  <c r="DF51" i="5"/>
  <c r="BW51" i="5"/>
  <c r="CT51" i="5"/>
  <c r="CD50" i="5"/>
  <c r="DA50" i="5"/>
  <c r="CI47" i="5"/>
  <c r="DF47" i="5"/>
  <c r="BW47" i="5"/>
  <c r="CT47" i="5"/>
  <c r="CD46" i="5"/>
  <c r="DA46" i="5"/>
  <c r="CK45" i="5"/>
  <c r="DH45" i="5"/>
  <c r="CB45" i="5"/>
  <c r="CY45" i="5"/>
  <c r="CG52" i="5"/>
  <c r="DD52" i="5"/>
  <c r="BT52" i="5"/>
  <c r="CQ52" i="5"/>
  <c r="CC51" i="5"/>
  <c r="CZ51" i="5"/>
  <c r="CG50" i="5"/>
  <c r="DD50" i="5"/>
  <c r="BT50" i="5"/>
  <c r="CQ50" i="5"/>
  <c r="CC49" i="5"/>
  <c r="CZ49" i="5"/>
  <c r="CG48" i="5"/>
  <c r="DD48" i="5"/>
  <c r="CG46" i="5"/>
  <c r="DD46" i="5"/>
  <c r="BT46" i="5"/>
  <c r="CQ46" i="5"/>
  <c r="CE45" i="5"/>
  <c r="DB45" i="5"/>
  <c r="BR45" i="5"/>
  <c r="CO45" i="5"/>
  <c r="H162" i="4" l="1"/>
  <c r="E159" i="4"/>
  <c r="D159" i="4"/>
  <c r="H153" i="4"/>
  <c r="E150" i="4"/>
  <c r="D150" i="4"/>
  <c r="A144" i="4"/>
  <c r="A142" i="4"/>
  <c r="A141" i="4"/>
  <c r="A140" i="4"/>
  <c r="A139" i="4"/>
  <c r="A138" i="4"/>
  <c r="E137" i="4"/>
  <c r="B137" i="4"/>
  <c r="C154" i="4" l="1"/>
  <c r="D154" i="4" s="1"/>
  <c r="E154" i="4" s="1"/>
  <c r="F154" i="4" s="1"/>
  <c r="G154" i="4" s="1"/>
  <c r="H154" i="4" s="1"/>
  <c r="E138" i="4" s="1"/>
  <c r="C163" i="4"/>
  <c r="D163" i="4" s="1"/>
  <c r="E163" i="4" s="1"/>
  <c r="F163" i="4" s="1"/>
  <c r="G163" i="4" s="1"/>
  <c r="H163" i="4" s="1"/>
  <c r="E142" i="4" s="1"/>
  <c r="F137" i="4"/>
  <c r="G137" i="4" s="1"/>
  <c r="H137" i="4" s="1"/>
  <c r="B140" i="4"/>
  <c r="B139" i="4" l="1"/>
  <c r="B142" i="4"/>
  <c r="B138" i="4"/>
  <c r="B141" i="4"/>
  <c r="C39" i="27"/>
  <c r="C35" i="27" s="1"/>
  <c r="C45" i="27" s="1"/>
  <c r="C58" i="27" s="1"/>
  <c r="D77" i="28" l="1"/>
  <c r="E88" i="28" l="1"/>
  <c r="E87" i="28"/>
  <c r="E86" i="28"/>
  <c r="E85" i="28"/>
  <c r="E84" i="28"/>
  <c r="E83" i="28"/>
  <c r="C82" i="28"/>
  <c r="E82" i="28" s="1"/>
  <c r="C81" i="28"/>
  <c r="E81" i="28" s="1"/>
  <c r="C80" i="28"/>
  <c r="E53" i="28"/>
  <c r="D52" i="28"/>
  <c r="D57" i="28" s="1"/>
  <c r="D70" i="28" s="1"/>
  <c r="E80" i="28" l="1"/>
  <c r="E89" i="28" s="1"/>
  <c r="E49" i="28" s="1"/>
  <c r="D20" i="9" l="1"/>
  <c r="C20" i="9"/>
  <c r="I39" i="9" l="1"/>
  <c r="BP6" i="18" l="1"/>
  <c r="BO6" i="18"/>
  <c r="BN6" i="18"/>
  <c r="BM6" i="18"/>
  <c r="BL6" i="18"/>
  <c r="BK6" i="18"/>
  <c r="BJ6" i="18"/>
  <c r="BI6" i="18"/>
  <c r="BH6" i="18"/>
  <c r="BG6" i="18"/>
  <c r="BF6" i="18"/>
  <c r="BE6" i="18"/>
  <c r="BD6" i="18"/>
  <c r="BC6" i="18"/>
  <c r="BB6" i="18"/>
  <c r="BA6" i="18"/>
  <c r="AZ6" i="18"/>
  <c r="AY6" i="18"/>
  <c r="AX6" i="18"/>
  <c r="AW6" i="18"/>
  <c r="AV6" i="18"/>
  <c r="BQ60" i="14"/>
  <c r="BQ56" i="14"/>
  <c r="BP6" i="14"/>
  <c r="BO6" i="14"/>
  <c r="BN6" i="14"/>
  <c r="BM6" i="14"/>
  <c r="BL6" i="14"/>
  <c r="BK6" i="14"/>
  <c r="BJ6" i="14"/>
  <c r="BI6" i="14"/>
  <c r="BH6" i="14"/>
  <c r="BG6" i="14"/>
  <c r="BF6" i="14"/>
  <c r="BE6" i="14"/>
  <c r="BD6" i="14"/>
  <c r="BC6" i="14"/>
  <c r="BB6" i="14"/>
  <c r="BA6" i="14"/>
  <c r="AZ6" i="14"/>
  <c r="AY6" i="14"/>
  <c r="AX6" i="14"/>
  <c r="AW6" i="14"/>
  <c r="AV6" i="14"/>
  <c r="AT42" i="5"/>
  <c r="AR42" i="5"/>
  <c r="V42" i="30" s="1"/>
  <c r="BO42" i="30" s="1"/>
  <c r="AQ42" i="5"/>
  <c r="U42" i="30" s="1"/>
  <c r="BN42" i="30" s="1"/>
  <c r="AP42" i="5"/>
  <c r="AN42" i="5"/>
  <c r="R42" i="30" s="1"/>
  <c r="BK42" i="30" s="1"/>
  <c r="AM42" i="5"/>
  <c r="Q42" i="30" s="1"/>
  <c r="BJ42" i="30" s="1"/>
  <c r="AL42" i="5"/>
  <c r="P42" i="30" s="1"/>
  <c r="BI42" i="30" s="1"/>
  <c r="AJ42" i="5"/>
  <c r="N42" i="30" s="1"/>
  <c r="BG42" i="30" s="1"/>
  <c r="AI42" i="5"/>
  <c r="M42" i="30" s="1"/>
  <c r="BF42" i="30" s="1"/>
  <c r="AH42" i="5"/>
  <c r="AF42" i="5"/>
  <c r="AE42" i="5"/>
  <c r="I42" i="30" s="1"/>
  <c r="BB42" i="30" s="1"/>
  <c r="AD42" i="5"/>
  <c r="AB42" i="5"/>
  <c r="F42" i="30" s="1"/>
  <c r="AY42" i="30" s="1"/>
  <c r="AA42" i="5"/>
  <c r="E42" i="30" s="1"/>
  <c r="AX42" i="30" s="1"/>
  <c r="Z42" i="5"/>
  <c r="D42" i="30" s="1"/>
  <c r="AW42" i="30" s="1"/>
  <c r="AS41" i="5"/>
  <c r="W41" i="30" s="1"/>
  <c r="BP41" i="30" s="1"/>
  <c r="AR41" i="5"/>
  <c r="V41" i="30" s="1"/>
  <c r="BO41" i="30" s="1"/>
  <c r="AQ41" i="5"/>
  <c r="U41" i="30" s="1"/>
  <c r="BN41" i="30" s="1"/>
  <c r="AO41" i="5"/>
  <c r="S41" i="30" s="1"/>
  <c r="BL41" i="30" s="1"/>
  <c r="AN41" i="5"/>
  <c r="R41" i="30" s="1"/>
  <c r="BK41" i="30" s="1"/>
  <c r="AM41" i="5"/>
  <c r="Q41" i="30" s="1"/>
  <c r="BJ41" i="30" s="1"/>
  <c r="AK41" i="5"/>
  <c r="O41" i="30" s="1"/>
  <c r="BH41" i="30" s="1"/>
  <c r="AJ41" i="5"/>
  <c r="N41" i="30" s="1"/>
  <c r="BG41" i="30" s="1"/>
  <c r="AI41" i="5"/>
  <c r="M41" i="30" s="1"/>
  <c r="BF41" i="30" s="1"/>
  <c r="AG41" i="5"/>
  <c r="AF41" i="5"/>
  <c r="AE41" i="5"/>
  <c r="I41" i="30" s="1"/>
  <c r="BB41" i="30" s="1"/>
  <c r="AC41" i="5"/>
  <c r="AB41" i="5"/>
  <c r="F41" i="30" s="1"/>
  <c r="AY41" i="30" s="1"/>
  <c r="AA41" i="5"/>
  <c r="E41" i="30" s="1"/>
  <c r="AX41" i="30" s="1"/>
  <c r="AT40" i="5"/>
  <c r="AS40" i="5"/>
  <c r="W40" i="30" s="1"/>
  <c r="BP40" i="30" s="1"/>
  <c r="AR40" i="5"/>
  <c r="V40" i="30" s="1"/>
  <c r="BO40" i="30" s="1"/>
  <c r="AP40" i="5"/>
  <c r="AO40" i="5"/>
  <c r="S40" i="30" s="1"/>
  <c r="BL40" i="30" s="1"/>
  <c r="AN40" i="5"/>
  <c r="R40" i="30" s="1"/>
  <c r="BK40" i="30" s="1"/>
  <c r="AL40" i="5"/>
  <c r="P40" i="30" s="1"/>
  <c r="BI40" i="30" s="1"/>
  <c r="AK40" i="5"/>
  <c r="O40" i="30" s="1"/>
  <c r="BH40" i="30" s="1"/>
  <c r="AJ40" i="5"/>
  <c r="N40" i="30" s="1"/>
  <c r="BG40" i="30" s="1"/>
  <c r="AH40" i="5"/>
  <c r="AG40" i="5"/>
  <c r="AF40" i="5"/>
  <c r="AD40" i="5"/>
  <c r="AC40" i="5"/>
  <c r="AB40" i="5"/>
  <c r="F40" i="30" s="1"/>
  <c r="AY40" i="30" s="1"/>
  <c r="Z40" i="5"/>
  <c r="D40" i="30" s="1"/>
  <c r="AW40" i="30" s="1"/>
  <c r="AT39" i="5"/>
  <c r="AS39" i="5"/>
  <c r="W39" i="30" s="1"/>
  <c r="BP39" i="30" s="1"/>
  <c r="AQ39" i="5"/>
  <c r="U39" i="30" s="1"/>
  <c r="BN39" i="30" s="1"/>
  <c r="AP39" i="5"/>
  <c r="AO39" i="5"/>
  <c r="S39" i="30" s="1"/>
  <c r="BL39" i="30" s="1"/>
  <c r="AM39" i="5"/>
  <c r="Q39" i="30" s="1"/>
  <c r="BJ39" i="30" s="1"/>
  <c r="AL39" i="5"/>
  <c r="P39" i="30" s="1"/>
  <c r="BI39" i="30" s="1"/>
  <c r="AK39" i="5"/>
  <c r="O39" i="30" s="1"/>
  <c r="BH39" i="30" s="1"/>
  <c r="AI39" i="5"/>
  <c r="M39" i="30" s="1"/>
  <c r="BF39" i="30" s="1"/>
  <c r="AH39" i="5"/>
  <c r="AG39" i="5"/>
  <c r="AE39" i="5"/>
  <c r="I39" i="30" s="1"/>
  <c r="BB39" i="30" s="1"/>
  <c r="AD39" i="5"/>
  <c r="AC39" i="5"/>
  <c r="AA39" i="5"/>
  <c r="E39" i="30" s="1"/>
  <c r="AX39" i="30" s="1"/>
  <c r="Z39" i="5"/>
  <c r="D39" i="30" s="1"/>
  <c r="AW39" i="30" s="1"/>
  <c r="AT38" i="5"/>
  <c r="AR38" i="5"/>
  <c r="V38" i="30" s="1"/>
  <c r="BO38" i="30" s="1"/>
  <c r="AQ38" i="5"/>
  <c r="U38" i="30" s="1"/>
  <c r="BN38" i="30" s="1"/>
  <c r="AP38" i="5"/>
  <c r="AN38" i="5"/>
  <c r="R38" i="30" s="1"/>
  <c r="BK38" i="30" s="1"/>
  <c r="AM38" i="5"/>
  <c r="Q38" i="30" s="1"/>
  <c r="BJ38" i="30" s="1"/>
  <c r="AL38" i="5"/>
  <c r="P38" i="30" s="1"/>
  <c r="BI38" i="30" s="1"/>
  <c r="AJ38" i="5"/>
  <c r="N38" i="30" s="1"/>
  <c r="BG38" i="30" s="1"/>
  <c r="AI38" i="5"/>
  <c r="M38" i="30" s="1"/>
  <c r="BF38" i="30" s="1"/>
  <c r="AH38" i="5"/>
  <c r="AF38" i="5"/>
  <c r="AE38" i="5"/>
  <c r="I38" i="30" s="1"/>
  <c r="BB38" i="30" s="1"/>
  <c r="AD38" i="5"/>
  <c r="AB38" i="5"/>
  <c r="F38" i="30" s="1"/>
  <c r="AY38" i="30" s="1"/>
  <c r="AA38" i="5"/>
  <c r="E38" i="30" s="1"/>
  <c r="AX38" i="30" s="1"/>
  <c r="Z38" i="5"/>
  <c r="D38" i="30" s="1"/>
  <c r="AW38" i="30" s="1"/>
  <c r="AS37" i="5"/>
  <c r="W37" i="30" s="1"/>
  <c r="BP37" i="30" s="1"/>
  <c r="AR37" i="5"/>
  <c r="V37" i="30" s="1"/>
  <c r="BO37" i="30" s="1"/>
  <c r="AQ37" i="5"/>
  <c r="U37" i="30" s="1"/>
  <c r="BN37" i="30" s="1"/>
  <c r="AO37" i="5"/>
  <c r="S37" i="30" s="1"/>
  <c r="BL37" i="30" s="1"/>
  <c r="AN37" i="5"/>
  <c r="R37" i="30" s="1"/>
  <c r="BK37" i="30" s="1"/>
  <c r="AM37" i="5"/>
  <c r="Q37" i="30" s="1"/>
  <c r="BJ37" i="30" s="1"/>
  <c r="AK37" i="5"/>
  <c r="O37" i="30" s="1"/>
  <c r="BH37" i="30" s="1"/>
  <c r="AJ37" i="5"/>
  <c r="N37" i="30" s="1"/>
  <c r="BG37" i="30" s="1"/>
  <c r="AI37" i="5"/>
  <c r="M37" i="30" s="1"/>
  <c r="BF37" i="30" s="1"/>
  <c r="AG37" i="5"/>
  <c r="AF37" i="5"/>
  <c r="AE37" i="5"/>
  <c r="I37" i="30" s="1"/>
  <c r="BB37" i="30" s="1"/>
  <c r="AC37" i="5"/>
  <c r="AB37" i="5"/>
  <c r="F37" i="30" s="1"/>
  <c r="AY37" i="30" s="1"/>
  <c r="AA37" i="5"/>
  <c r="E37" i="30" s="1"/>
  <c r="AX37" i="30" s="1"/>
  <c r="AT36" i="5"/>
  <c r="AS36" i="5"/>
  <c r="W36" i="30" s="1"/>
  <c r="BP36" i="30" s="1"/>
  <c r="AR36" i="5"/>
  <c r="V36" i="30" s="1"/>
  <c r="BO36" i="30" s="1"/>
  <c r="AP36" i="5"/>
  <c r="AO36" i="5"/>
  <c r="S36" i="30" s="1"/>
  <c r="BL36" i="30" s="1"/>
  <c r="AN36" i="5"/>
  <c r="R36" i="30" s="1"/>
  <c r="BK36" i="30" s="1"/>
  <c r="AL36" i="5"/>
  <c r="P36" i="30" s="1"/>
  <c r="BI36" i="30" s="1"/>
  <c r="AK36" i="5"/>
  <c r="O36" i="30" s="1"/>
  <c r="BH36" i="30" s="1"/>
  <c r="AJ36" i="5"/>
  <c r="N36" i="30" s="1"/>
  <c r="BG36" i="30" s="1"/>
  <c r="AH36" i="5"/>
  <c r="AG36" i="5"/>
  <c r="AF36" i="5"/>
  <c r="AD36" i="5"/>
  <c r="AC36" i="5"/>
  <c r="AB36" i="5"/>
  <c r="F36" i="30" s="1"/>
  <c r="AY36" i="30" s="1"/>
  <c r="Z36" i="5"/>
  <c r="D36" i="30" s="1"/>
  <c r="AW36" i="30" s="1"/>
  <c r="AT35" i="5"/>
  <c r="AS35" i="5"/>
  <c r="W35" i="30" s="1"/>
  <c r="BP35" i="30" s="1"/>
  <c r="AQ35" i="5"/>
  <c r="U35" i="30" s="1"/>
  <c r="BN35" i="30" s="1"/>
  <c r="AP35" i="5"/>
  <c r="AO35" i="5"/>
  <c r="S35" i="30" s="1"/>
  <c r="BL35" i="30" s="1"/>
  <c r="AM35" i="5"/>
  <c r="Q35" i="30" s="1"/>
  <c r="BJ35" i="30" s="1"/>
  <c r="AL35" i="5"/>
  <c r="P35" i="30" s="1"/>
  <c r="BI35" i="30" s="1"/>
  <c r="AK35" i="5"/>
  <c r="O35" i="30" s="1"/>
  <c r="BH35" i="30" s="1"/>
  <c r="AI35" i="5"/>
  <c r="M35" i="30" s="1"/>
  <c r="BF35" i="30" s="1"/>
  <c r="AH35" i="5"/>
  <c r="AG35" i="5"/>
  <c r="AE35" i="5"/>
  <c r="I35" i="30" s="1"/>
  <c r="BB35" i="30" s="1"/>
  <c r="AD35" i="5"/>
  <c r="AC35" i="5"/>
  <c r="AA35" i="5"/>
  <c r="E35" i="30" s="1"/>
  <c r="AX35" i="30" s="1"/>
  <c r="Z35" i="5"/>
  <c r="D35" i="30" s="1"/>
  <c r="AW35" i="30" s="1"/>
  <c r="AT34" i="5"/>
  <c r="AR34" i="5"/>
  <c r="V34" i="30" s="1"/>
  <c r="BO34" i="30" s="1"/>
  <c r="AQ34" i="5"/>
  <c r="U34" i="30" s="1"/>
  <c r="BN34" i="30" s="1"/>
  <c r="AP34" i="5"/>
  <c r="AN34" i="5"/>
  <c r="R34" i="30" s="1"/>
  <c r="BK34" i="30" s="1"/>
  <c r="AM34" i="5"/>
  <c r="Q34" i="30" s="1"/>
  <c r="BJ34" i="30" s="1"/>
  <c r="AL34" i="5"/>
  <c r="P34" i="30" s="1"/>
  <c r="BI34" i="30" s="1"/>
  <c r="AJ34" i="5"/>
  <c r="N34" i="30" s="1"/>
  <c r="BG34" i="30" s="1"/>
  <c r="AI34" i="5"/>
  <c r="M34" i="30" s="1"/>
  <c r="BF34" i="30" s="1"/>
  <c r="AH34" i="5"/>
  <c r="AF34" i="5"/>
  <c r="AE34" i="5"/>
  <c r="I34" i="30" s="1"/>
  <c r="BB34" i="30" s="1"/>
  <c r="AD34" i="5"/>
  <c r="AB34" i="5"/>
  <c r="F34" i="30" s="1"/>
  <c r="AY34" i="30" s="1"/>
  <c r="AA34" i="5"/>
  <c r="E34" i="30" s="1"/>
  <c r="AX34" i="30" s="1"/>
  <c r="Z34" i="5"/>
  <c r="D34" i="30" s="1"/>
  <c r="AW34" i="30" s="1"/>
  <c r="AS33" i="5"/>
  <c r="W33" i="30" s="1"/>
  <c r="BP33" i="30" s="1"/>
  <c r="AR33" i="5"/>
  <c r="V33" i="30" s="1"/>
  <c r="BO33" i="30" s="1"/>
  <c r="AQ33" i="5"/>
  <c r="U33" i="30" s="1"/>
  <c r="BN33" i="30" s="1"/>
  <c r="AO33" i="5"/>
  <c r="S33" i="30" s="1"/>
  <c r="BL33" i="30" s="1"/>
  <c r="AN33" i="5"/>
  <c r="R33" i="30" s="1"/>
  <c r="BK33" i="30" s="1"/>
  <c r="AM33" i="5"/>
  <c r="Q33" i="30" s="1"/>
  <c r="BJ33" i="30" s="1"/>
  <c r="AK33" i="5"/>
  <c r="O33" i="30" s="1"/>
  <c r="BH33" i="30" s="1"/>
  <c r="AJ33" i="5"/>
  <c r="N33" i="30" s="1"/>
  <c r="BG33" i="30" s="1"/>
  <c r="AI33" i="5"/>
  <c r="M33" i="30" s="1"/>
  <c r="BF33" i="30" s="1"/>
  <c r="AG33" i="5"/>
  <c r="AF33" i="5"/>
  <c r="AE33" i="5"/>
  <c r="I33" i="30" s="1"/>
  <c r="BB33" i="30" s="1"/>
  <c r="AC33" i="5"/>
  <c r="AB33" i="5"/>
  <c r="F33" i="30" s="1"/>
  <c r="AY33" i="30" s="1"/>
  <c r="AA33" i="5"/>
  <c r="E33" i="30" s="1"/>
  <c r="AX33" i="30" s="1"/>
  <c r="AT32" i="5"/>
  <c r="AS32" i="5"/>
  <c r="W32" i="30" s="1"/>
  <c r="BP32" i="30" s="1"/>
  <c r="AR32" i="5"/>
  <c r="V32" i="30" s="1"/>
  <c r="BO32" i="30" s="1"/>
  <c r="AP32" i="5"/>
  <c r="AO32" i="5"/>
  <c r="S32" i="30" s="1"/>
  <c r="BL32" i="30" s="1"/>
  <c r="AN32" i="5"/>
  <c r="R32" i="30" s="1"/>
  <c r="BK32" i="30" s="1"/>
  <c r="AL32" i="5"/>
  <c r="P32" i="30" s="1"/>
  <c r="BI32" i="30" s="1"/>
  <c r="AK32" i="5"/>
  <c r="O32" i="30" s="1"/>
  <c r="BH32" i="30" s="1"/>
  <c r="AJ32" i="5"/>
  <c r="N32" i="30" s="1"/>
  <c r="BG32" i="30" s="1"/>
  <c r="AH32" i="5"/>
  <c r="AG32" i="5"/>
  <c r="AF32" i="5"/>
  <c r="AD32" i="5"/>
  <c r="AC32" i="5"/>
  <c r="AB32" i="5"/>
  <c r="F32" i="30" s="1"/>
  <c r="AY32" i="30" s="1"/>
  <c r="Z32" i="5"/>
  <c r="D32" i="30" s="1"/>
  <c r="AW32" i="30" s="1"/>
  <c r="AT31" i="5"/>
  <c r="AS31" i="5"/>
  <c r="W31" i="30" s="1"/>
  <c r="BP31" i="30" s="1"/>
  <c r="AQ31" i="5"/>
  <c r="U31" i="30" s="1"/>
  <c r="BN31" i="30" s="1"/>
  <c r="AP31" i="5"/>
  <c r="AO31" i="5"/>
  <c r="S31" i="30" s="1"/>
  <c r="BL31" i="30" s="1"/>
  <c r="AM31" i="5"/>
  <c r="Q31" i="30" s="1"/>
  <c r="BJ31" i="30" s="1"/>
  <c r="AL31" i="5"/>
  <c r="P31" i="30" s="1"/>
  <c r="BI31" i="30" s="1"/>
  <c r="AK31" i="5"/>
  <c r="O31" i="30" s="1"/>
  <c r="BH31" i="30" s="1"/>
  <c r="AI31" i="5"/>
  <c r="M31" i="30" s="1"/>
  <c r="BF31" i="30" s="1"/>
  <c r="AH31" i="5"/>
  <c r="AG31" i="5"/>
  <c r="AE31" i="5"/>
  <c r="I31" i="30" s="1"/>
  <c r="BB31" i="30" s="1"/>
  <c r="AD31" i="5"/>
  <c r="AC31" i="5"/>
  <c r="AA31" i="5"/>
  <c r="E31" i="30" s="1"/>
  <c r="AX31" i="30" s="1"/>
  <c r="Z31" i="5"/>
  <c r="D31" i="30" s="1"/>
  <c r="AW31" i="30" s="1"/>
  <c r="B42" i="14"/>
  <c r="B42" i="18" s="1"/>
  <c r="B41" i="14"/>
  <c r="B40" i="14"/>
  <c r="B39" i="14"/>
  <c r="B38" i="14"/>
  <c r="B37" i="14"/>
  <c r="B36" i="14"/>
  <c r="B35" i="14"/>
  <c r="B34" i="14"/>
  <c r="B33" i="14"/>
  <c r="B32" i="14"/>
  <c r="B31" i="14"/>
  <c r="B30" i="14"/>
  <c r="B29" i="14"/>
  <c r="B28" i="14"/>
  <c r="B27" i="14"/>
  <c r="B26" i="14"/>
  <c r="B25" i="14"/>
  <c r="B24" i="14"/>
  <c r="B23" i="14"/>
  <c r="B22" i="14"/>
  <c r="B21" i="14"/>
  <c r="B20" i="14"/>
  <c r="B19" i="14"/>
  <c r="B18" i="14"/>
  <c r="B17" i="14"/>
  <c r="B16" i="14"/>
  <c r="B15" i="14"/>
  <c r="B14" i="14"/>
  <c r="B13" i="14"/>
  <c r="B12" i="14"/>
  <c r="B11" i="14"/>
  <c r="B10" i="14"/>
  <c r="B9" i="14"/>
  <c r="B8" i="14"/>
  <c r="B7" i="14"/>
  <c r="BQ6" i="18" l="1"/>
  <c r="CU32" i="5"/>
  <c r="DE32" i="5"/>
  <c r="CV31" i="5"/>
  <c r="CV32" i="5"/>
  <c r="CV33" i="5"/>
  <c r="CW34" i="5"/>
  <c r="CR35" i="5"/>
  <c r="CW35" i="5"/>
  <c r="CR36" i="5"/>
  <c r="CW36" i="5"/>
  <c r="CR37" i="5"/>
  <c r="CS38" i="5"/>
  <c r="DI38" i="5"/>
  <c r="CS39" i="5"/>
  <c r="DI39" i="5"/>
  <c r="CS40" i="5"/>
  <c r="DI40" i="5"/>
  <c r="DE42" i="5"/>
  <c r="CW31" i="5"/>
  <c r="CR33" i="5"/>
  <c r="CS34" i="5"/>
  <c r="DI34" i="5"/>
  <c r="CS35" i="5"/>
  <c r="DI35" i="5"/>
  <c r="CS36" i="5"/>
  <c r="DI36" i="5"/>
  <c r="DE38" i="5"/>
  <c r="DE39" i="5"/>
  <c r="CU40" i="5"/>
  <c r="DE40" i="5"/>
  <c r="CU41" i="5"/>
  <c r="CU42" i="5"/>
  <c r="CR31" i="5"/>
  <c r="CR32" i="5"/>
  <c r="CW32" i="5"/>
  <c r="CS31" i="5"/>
  <c r="DI31" i="5"/>
  <c r="CS32" i="5"/>
  <c r="DI32" i="5"/>
  <c r="DE34" i="5"/>
  <c r="DE35" i="5"/>
  <c r="CU36" i="5"/>
  <c r="DE36" i="5"/>
  <c r="CU37" i="5"/>
  <c r="CU38" i="5"/>
  <c r="CV39" i="5"/>
  <c r="CV40" i="5"/>
  <c r="CV41" i="5"/>
  <c r="CW42" i="5"/>
  <c r="DE31" i="5"/>
  <c r="CU33" i="5"/>
  <c r="CU34" i="5"/>
  <c r="CV35" i="5"/>
  <c r="CV36" i="5"/>
  <c r="CV37" i="5"/>
  <c r="CW38" i="5"/>
  <c r="CR39" i="5"/>
  <c r="CW39" i="5"/>
  <c r="CR40" i="5"/>
  <c r="CW40" i="5"/>
  <c r="CR41" i="5"/>
  <c r="CS42" i="5"/>
  <c r="DI42" i="5"/>
  <c r="BY43" i="5"/>
  <c r="CV43" i="5"/>
  <c r="BY44" i="5"/>
  <c r="CV44" i="5"/>
  <c r="BU43" i="5"/>
  <c r="CR43" i="5"/>
  <c r="BZ43" i="5"/>
  <c r="CW43" i="5"/>
  <c r="BU44" i="5"/>
  <c r="CR44" i="5"/>
  <c r="BZ44" i="5"/>
  <c r="CW44" i="5"/>
  <c r="CH43" i="5"/>
  <c r="DE43" i="5"/>
  <c r="BX44" i="5"/>
  <c r="CU44" i="5"/>
  <c r="CH44" i="5"/>
  <c r="DE44" i="5"/>
  <c r="BV43" i="5"/>
  <c r="CS43" i="5"/>
  <c r="CL43" i="5"/>
  <c r="DI43" i="5"/>
  <c r="BV44" i="5"/>
  <c r="CS44" i="5"/>
  <c r="CL44" i="5"/>
  <c r="DI44" i="5"/>
  <c r="BQ49" i="14"/>
  <c r="BQ64" i="14"/>
  <c r="BQ53" i="14"/>
  <c r="BQ57" i="14"/>
  <c r="BQ61" i="14"/>
  <c r="BQ65" i="14"/>
  <c r="BQ48" i="14"/>
  <c r="BQ52" i="14"/>
  <c r="BS31" i="5"/>
  <c r="CP31" i="5"/>
  <c r="CD31" i="5"/>
  <c r="DA31" i="5"/>
  <c r="CI31" i="5"/>
  <c r="DF31" i="5"/>
  <c r="BT32" i="5"/>
  <c r="CQ32" i="5"/>
  <c r="CD32" i="5"/>
  <c r="DA32" i="5"/>
  <c r="CJ32" i="5"/>
  <c r="DG32" i="5"/>
  <c r="BT33" i="5"/>
  <c r="CQ33" i="5"/>
  <c r="CE33" i="5"/>
  <c r="DB33" i="5"/>
  <c r="CJ33" i="5"/>
  <c r="DG33" i="5"/>
  <c r="BT34" i="5"/>
  <c r="CQ34" i="5"/>
  <c r="CE34" i="5"/>
  <c r="DB34" i="5"/>
  <c r="CJ34" i="5"/>
  <c r="DG34" i="5"/>
  <c r="CE35" i="5"/>
  <c r="DB35" i="5"/>
  <c r="CK35" i="5"/>
  <c r="DH35" i="5"/>
  <c r="CF36" i="5"/>
  <c r="DC36" i="5"/>
  <c r="CK36" i="5"/>
  <c r="DH36" i="5"/>
  <c r="CA37" i="5"/>
  <c r="CX37" i="5"/>
  <c r="CF37" i="5"/>
  <c r="DC37" i="5"/>
  <c r="CK37" i="5"/>
  <c r="DH37" i="5"/>
  <c r="CA38" i="5"/>
  <c r="CX38" i="5"/>
  <c r="CF38" i="5"/>
  <c r="DC38" i="5"/>
  <c r="CA39" i="5"/>
  <c r="CX39" i="5"/>
  <c r="CG39" i="5"/>
  <c r="DD39" i="5"/>
  <c r="CB40" i="5"/>
  <c r="CY40" i="5"/>
  <c r="CG40" i="5"/>
  <c r="DD40" i="5"/>
  <c r="BW41" i="5"/>
  <c r="CT41" i="5"/>
  <c r="CB41" i="5"/>
  <c r="CY41" i="5"/>
  <c r="CG41" i="5"/>
  <c r="DD41" i="5"/>
  <c r="BR42" i="5"/>
  <c r="CO42" i="5"/>
  <c r="BW42" i="5"/>
  <c r="CT42" i="5"/>
  <c r="CB42" i="5"/>
  <c r="CY42" i="5"/>
  <c r="BR43" i="5"/>
  <c r="CO43" i="5"/>
  <c r="BW43" i="5"/>
  <c r="CT43" i="5"/>
  <c r="CC43" i="5"/>
  <c r="CZ43" i="5"/>
  <c r="BR44" i="5"/>
  <c r="CO44" i="5"/>
  <c r="CC44" i="5"/>
  <c r="CZ44" i="5"/>
  <c r="CE31" i="5"/>
  <c r="DB31" i="5"/>
  <c r="CK31" i="5"/>
  <c r="DH31" i="5"/>
  <c r="CF32" i="5"/>
  <c r="DC32" i="5"/>
  <c r="CK32" i="5"/>
  <c r="DH32" i="5"/>
  <c r="CA33" i="5"/>
  <c r="CX33" i="5"/>
  <c r="CF33" i="5"/>
  <c r="DC33" i="5"/>
  <c r="CK33" i="5"/>
  <c r="DH33" i="5"/>
  <c r="CA34" i="5"/>
  <c r="CX34" i="5"/>
  <c r="CF34" i="5"/>
  <c r="DC34" i="5"/>
  <c r="CA35" i="5"/>
  <c r="CX35" i="5"/>
  <c r="CG35" i="5"/>
  <c r="DD35" i="5"/>
  <c r="CB36" i="5"/>
  <c r="CY36" i="5"/>
  <c r="CG36" i="5"/>
  <c r="DD36" i="5"/>
  <c r="BW37" i="5"/>
  <c r="CT37" i="5"/>
  <c r="CB37" i="5"/>
  <c r="CY37" i="5"/>
  <c r="CG37" i="5"/>
  <c r="DD37" i="5"/>
  <c r="BR38" i="5"/>
  <c r="CO38" i="5"/>
  <c r="BW38" i="5"/>
  <c r="CT38" i="5"/>
  <c r="CB38" i="5"/>
  <c r="CY38" i="5"/>
  <c r="BR39" i="5"/>
  <c r="CO39" i="5"/>
  <c r="BW39" i="5"/>
  <c r="CT39" i="5"/>
  <c r="CC39" i="5"/>
  <c r="CZ39" i="5"/>
  <c r="BR40" i="5"/>
  <c r="CO40" i="5"/>
  <c r="CC40" i="5"/>
  <c r="CZ40" i="5"/>
  <c r="BS41" i="5"/>
  <c r="CP41" i="5"/>
  <c r="CC41" i="5"/>
  <c r="CZ41" i="5"/>
  <c r="CI41" i="5"/>
  <c r="DF41" i="5"/>
  <c r="BS42" i="5"/>
  <c r="CP42" i="5"/>
  <c r="CD42" i="5"/>
  <c r="DA42" i="5"/>
  <c r="CI42" i="5"/>
  <c r="DF42" i="5"/>
  <c r="BS43" i="5"/>
  <c r="CP43" i="5"/>
  <c r="CD43" i="5"/>
  <c r="DA43" i="5"/>
  <c r="CI43" i="5"/>
  <c r="DF43" i="5"/>
  <c r="BT44" i="5"/>
  <c r="CQ44" i="5"/>
  <c r="CD44" i="5"/>
  <c r="DA44" i="5"/>
  <c r="CJ44" i="5"/>
  <c r="DG44" i="5"/>
  <c r="CA31" i="5"/>
  <c r="CX31" i="5"/>
  <c r="CG31" i="5"/>
  <c r="DD31" i="5"/>
  <c r="CB32" i="5"/>
  <c r="CY32" i="5"/>
  <c r="CG32" i="5"/>
  <c r="DD32" i="5"/>
  <c r="BW33" i="5"/>
  <c r="CT33" i="5"/>
  <c r="CB33" i="5"/>
  <c r="CY33" i="5"/>
  <c r="CG33" i="5"/>
  <c r="DD33" i="5"/>
  <c r="BR34" i="5"/>
  <c r="CO34" i="5"/>
  <c r="BW34" i="5"/>
  <c r="CT34" i="5"/>
  <c r="CB34" i="5"/>
  <c r="CY34" i="5"/>
  <c r="BR35" i="5"/>
  <c r="CO35" i="5"/>
  <c r="BW35" i="5"/>
  <c r="CT35" i="5"/>
  <c r="CC35" i="5"/>
  <c r="CZ35" i="5"/>
  <c r="BR36" i="5"/>
  <c r="CO36" i="5"/>
  <c r="CC36" i="5"/>
  <c r="CZ36" i="5"/>
  <c r="BS37" i="5"/>
  <c r="CP37" i="5"/>
  <c r="CC37" i="5"/>
  <c r="CZ37" i="5"/>
  <c r="CI37" i="5"/>
  <c r="DF37" i="5"/>
  <c r="BS38" i="5"/>
  <c r="CP38" i="5"/>
  <c r="CD38" i="5"/>
  <c r="DA38" i="5"/>
  <c r="CI38" i="5"/>
  <c r="DF38" i="5"/>
  <c r="BS39" i="5"/>
  <c r="CP39" i="5"/>
  <c r="CD39" i="5"/>
  <c r="DA39" i="5"/>
  <c r="CI39" i="5"/>
  <c r="DF39" i="5"/>
  <c r="BT40" i="5"/>
  <c r="CQ40" i="5"/>
  <c r="CD40" i="5"/>
  <c r="DA40" i="5"/>
  <c r="CJ40" i="5"/>
  <c r="DG40" i="5"/>
  <c r="BT41" i="5"/>
  <c r="CQ41" i="5"/>
  <c r="CE41" i="5"/>
  <c r="DB41" i="5"/>
  <c r="CJ41" i="5"/>
  <c r="DG41" i="5"/>
  <c r="BT42" i="5"/>
  <c r="CQ42" i="5"/>
  <c r="CE42" i="5"/>
  <c r="DB42" i="5"/>
  <c r="CJ42" i="5"/>
  <c r="DG42" i="5"/>
  <c r="CE43" i="5"/>
  <c r="DB43" i="5"/>
  <c r="CK43" i="5"/>
  <c r="DH43" i="5"/>
  <c r="CF44" i="5"/>
  <c r="DC44" i="5"/>
  <c r="CK44" i="5"/>
  <c r="DH44" i="5"/>
  <c r="BR31" i="5"/>
  <c r="CO31" i="5"/>
  <c r="BW31" i="5"/>
  <c r="CT31" i="5"/>
  <c r="CC31" i="5"/>
  <c r="CZ31" i="5"/>
  <c r="BR32" i="5"/>
  <c r="CO32" i="5"/>
  <c r="CC32" i="5"/>
  <c r="CZ32" i="5"/>
  <c r="BS33" i="5"/>
  <c r="CP33" i="5"/>
  <c r="CC33" i="5"/>
  <c r="CZ33" i="5"/>
  <c r="CI33" i="5"/>
  <c r="DF33" i="5"/>
  <c r="BS34" i="5"/>
  <c r="CP34" i="5"/>
  <c r="CD34" i="5"/>
  <c r="DA34" i="5"/>
  <c r="CI34" i="5"/>
  <c r="DF34" i="5"/>
  <c r="BS35" i="5"/>
  <c r="CP35" i="5"/>
  <c r="CD35" i="5"/>
  <c r="DA35" i="5"/>
  <c r="CI35" i="5"/>
  <c r="DF35" i="5"/>
  <c r="BT36" i="5"/>
  <c r="CQ36" i="5"/>
  <c r="CD36" i="5"/>
  <c r="DA36" i="5"/>
  <c r="CJ36" i="5"/>
  <c r="DG36" i="5"/>
  <c r="BT37" i="5"/>
  <c r="CQ37" i="5"/>
  <c r="CE37" i="5"/>
  <c r="DB37" i="5"/>
  <c r="CJ37" i="5"/>
  <c r="DG37" i="5"/>
  <c r="BT38" i="5"/>
  <c r="CQ38" i="5"/>
  <c r="CE38" i="5"/>
  <c r="DB38" i="5"/>
  <c r="CJ38" i="5"/>
  <c r="DG38" i="5"/>
  <c r="CE39" i="5"/>
  <c r="DB39" i="5"/>
  <c r="CK39" i="5"/>
  <c r="DH39" i="5"/>
  <c r="CF40" i="5"/>
  <c r="DC40" i="5"/>
  <c r="CK40" i="5"/>
  <c r="DH40" i="5"/>
  <c r="CA41" i="5"/>
  <c r="CX41" i="5"/>
  <c r="CF41" i="5"/>
  <c r="DC41" i="5"/>
  <c r="CK41" i="5"/>
  <c r="DH41" i="5"/>
  <c r="CA42" i="5"/>
  <c r="CX42" i="5"/>
  <c r="CF42" i="5"/>
  <c r="DC42" i="5"/>
  <c r="CA43" i="5"/>
  <c r="CX43" i="5"/>
  <c r="CG43" i="5"/>
  <c r="DD43" i="5"/>
  <c r="CB44" i="5"/>
  <c r="CY44" i="5"/>
  <c r="CG44" i="5"/>
  <c r="DD44" i="5"/>
  <c r="Z7" i="5"/>
  <c r="D7" i="30" s="1"/>
  <c r="AW7" i="30" s="1"/>
  <c r="AP7" i="5"/>
  <c r="T7" i="30" s="1"/>
  <c r="BM7" i="30" s="1"/>
  <c r="AE7" i="5"/>
  <c r="I7" i="30" s="1"/>
  <c r="BB7" i="30" s="1"/>
  <c r="AM7" i="5"/>
  <c r="Q7" i="30" s="1"/>
  <c r="BJ7" i="30" s="1"/>
  <c r="Z8" i="5"/>
  <c r="D8" i="30" s="1"/>
  <c r="AW8" i="30" s="1"/>
  <c r="AL8" i="5"/>
  <c r="P8" i="30" s="1"/>
  <c r="BI8" i="30" s="1"/>
  <c r="AP8" i="5"/>
  <c r="AG9" i="5"/>
  <c r="AO9" i="5"/>
  <c r="S9" i="30" s="1"/>
  <c r="BL9" i="30" s="1"/>
  <c r="AS9" i="5"/>
  <c r="W9" i="30" s="1"/>
  <c r="BP9" i="30" s="1"/>
  <c r="AF10" i="5"/>
  <c r="AN10" i="5"/>
  <c r="R10" i="30" s="1"/>
  <c r="BK10" i="30" s="1"/>
  <c r="AA11" i="5"/>
  <c r="E11" i="30" s="1"/>
  <c r="AX11" i="30" s="1"/>
  <c r="AI11" i="5"/>
  <c r="M11" i="30" s="1"/>
  <c r="BF11" i="30" s="1"/>
  <c r="AQ11" i="5"/>
  <c r="U11" i="30" s="1"/>
  <c r="BN11" i="30" s="1"/>
  <c r="AD12" i="5"/>
  <c r="AL12" i="5"/>
  <c r="P12" i="30" s="1"/>
  <c r="BI12" i="30" s="1"/>
  <c r="AT12" i="5"/>
  <c r="AG13" i="5"/>
  <c r="AO13" i="5"/>
  <c r="S13" i="30" s="1"/>
  <c r="BL13" i="30" s="1"/>
  <c r="AB14" i="5"/>
  <c r="F14" i="30" s="1"/>
  <c r="AY14" i="30" s="1"/>
  <c r="AJ14" i="5"/>
  <c r="N14" i="30" s="1"/>
  <c r="BG14" i="30" s="1"/>
  <c r="AR14" i="5"/>
  <c r="V14" i="30" s="1"/>
  <c r="BO14" i="30" s="1"/>
  <c r="AI15" i="5"/>
  <c r="M15" i="30" s="1"/>
  <c r="BF15" i="30" s="1"/>
  <c r="AQ15" i="5"/>
  <c r="U15" i="30" s="1"/>
  <c r="BN15" i="30" s="1"/>
  <c r="AD16" i="5"/>
  <c r="AL16" i="5"/>
  <c r="P16" i="30" s="1"/>
  <c r="BI16" i="30" s="1"/>
  <c r="AT16" i="5"/>
  <c r="AK17" i="5"/>
  <c r="O17" i="30" s="1"/>
  <c r="BH17" i="30" s="1"/>
  <c r="AS17" i="5"/>
  <c r="W17" i="30" s="1"/>
  <c r="BP17" i="30" s="1"/>
  <c r="AB18" i="5"/>
  <c r="F18" i="30" s="1"/>
  <c r="AY18" i="30" s="1"/>
  <c r="AJ18" i="5"/>
  <c r="N18" i="30" s="1"/>
  <c r="BG18" i="30" s="1"/>
  <c r="AR18" i="5"/>
  <c r="V18" i="30" s="1"/>
  <c r="BO18" i="30" s="1"/>
  <c r="AE19" i="5"/>
  <c r="I19" i="30" s="1"/>
  <c r="BB19" i="30" s="1"/>
  <c r="AM19" i="5"/>
  <c r="Q19" i="30" s="1"/>
  <c r="BJ19" i="30" s="1"/>
  <c r="Z20" i="5"/>
  <c r="D20" i="30" s="1"/>
  <c r="AW20" i="30" s="1"/>
  <c r="AL20" i="5"/>
  <c r="P20" i="30" s="1"/>
  <c r="BI20" i="30" s="1"/>
  <c r="AT20" i="5"/>
  <c r="AG21" i="5"/>
  <c r="AO21" i="5"/>
  <c r="S21" i="30" s="1"/>
  <c r="BL21" i="30" s="1"/>
  <c r="AS21" i="5"/>
  <c r="W21" i="30" s="1"/>
  <c r="BP21" i="30" s="1"/>
  <c r="AF22" i="5"/>
  <c r="AN22" i="5"/>
  <c r="R22" i="30" s="1"/>
  <c r="BK22" i="30" s="1"/>
  <c r="AR22" i="5"/>
  <c r="V22" i="30" s="1"/>
  <c r="BO22" i="30" s="1"/>
  <c r="AE23" i="5"/>
  <c r="I23" i="30" s="1"/>
  <c r="BB23" i="30" s="1"/>
  <c r="AM23" i="5"/>
  <c r="Q23" i="30" s="1"/>
  <c r="BJ23" i="30" s="1"/>
  <c r="Z24" i="5"/>
  <c r="D24" i="30" s="1"/>
  <c r="AW24" i="30" s="1"/>
  <c r="AH24" i="5"/>
  <c r="AP24" i="5"/>
  <c r="AC25" i="5"/>
  <c r="AK25" i="5"/>
  <c r="O25" i="30" s="1"/>
  <c r="BH25" i="30" s="1"/>
  <c r="AS25" i="5"/>
  <c r="W25" i="30" s="1"/>
  <c r="BP25" i="30" s="1"/>
  <c r="AJ26" i="5"/>
  <c r="N26" i="30" s="1"/>
  <c r="BG26" i="30" s="1"/>
  <c r="AR26" i="5"/>
  <c r="V26" i="30" s="1"/>
  <c r="BO26" i="30" s="1"/>
  <c r="AE27" i="5"/>
  <c r="I27" i="30" s="1"/>
  <c r="BB27" i="30" s="1"/>
  <c r="AM27" i="5"/>
  <c r="Q27" i="30" s="1"/>
  <c r="BJ27" i="30" s="1"/>
  <c r="Z28" i="5"/>
  <c r="D28" i="30" s="1"/>
  <c r="AW28" i="30" s="1"/>
  <c r="AH28" i="5"/>
  <c r="AP28" i="5"/>
  <c r="AC29" i="5"/>
  <c r="AK29" i="5"/>
  <c r="O29" i="30" s="1"/>
  <c r="BH29" i="30" s="1"/>
  <c r="AB30" i="5"/>
  <c r="F30" i="30" s="1"/>
  <c r="AY30" i="30" s="1"/>
  <c r="BQ47" i="14"/>
  <c r="BQ51" i="14"/>
  <c r="BQ55" i="14"/>
  <c r="BQ59" i="14"/>
  <c r="BQ63" i="14"/>
  <c r="AH7" i="5"/>
  <c r="L7" i="30" s="1"/>
  <c r="BE7" i="30" s="1"/>
  <c r="AG8" i="5"/>
  <c r="AA7" i="5"/>
  <c r="E7" i="30" s="1"/>
  <c r="AX7" i="30" s="1"/>
  <c r="AI7" i="5"/>
  <c r="M7" i="30" s="1"/>
  <c r="BF7" i="30" s="1"/>
  <c r="AQ7" i="5"/>
  <c r="U7" i="30" s="1"/>
  <c r="BN7" i="30" s="1"/>
  <c r="AD8" i="5"/>
  <c r="AH8" i="5"/>
  <c r="AT8" i="5"/>
  <c r="AC9" i="5"/>
  <c r="AK9" i="5"/>
  <c r="O9" i="30" s="1"/>
  <c r="BH9" i="30" s="1"/>
  <c r="AB10" i="5"/>
  <c r="F10" i="30" s="1"/>
  <c r="AY10" i="30" s="1"/>
  <c r="AJ10" i="5"/>
  <c r="N10" i="30" s="1"/>
  <c r="BG10" i="30" s="1"/>
  <c r="AR10" i="5"/>
  <c r="V10" i="30" s="1"/>
  <c r="BO10" i="30" s="1"/>
  <c r="AE11" i="5"/>
  <c r="I11" i="30" s="1"/>
  <c r="BB11" i="30" s="1"/>
  <c r="AM11" i="5"/>
  <c r="Q11" i="30" s="1"/>
  <c r="BJ11" i="30" s="1"/>
  <c r="Z12" i="5"/>
  <c r="D12" i="30" s="1"/>
  <c r="AW12" i="30" s="1"/>
  <c r="AH12" i="5"/>
  <c r="AP12" i="5"/>
  <c r="AC13" i="5"/>
  <c r="AK13" i="5"/>
  <c r="O13" i="30" s="1"/>
  <c r="BH13" i="30" s="1"/>
  <c r="AS13" i="5"/>
  <c r="W13" i="30" s="1"/>
  <c r="BP13" i="30" s="1"/>
  <c r="AF14" i="5"/>
  <c r="AN14" i="5"/>
  <c r="R14" i="30" s="1"/>
  <c r="BK14" i="30" s="1"/>
  <c r="AA15" i="5"/>
  <c r="E15" i="30" s="1"/>
  <c r="AX15" i="30" s="1"/>
  <c r="AE15" i="5"/>
  <c r="I15" i="30" s="1"/>
  <c r="BB15" i="30" s="1"/>
  <c r="AM15" i="5"/>
  <c r="Q15" i="30" s="1"/>
  <c r="BJ15" i="30" s="1"/>
  <c r="Z16" i="5"/>
  <c r="D16" i="30" s="1"/>
  <c r="AW16" i="30" s="1"/>
  <c r="AH16" i="5"/>
  <c r="AP16" i="5"/>
  <c r="AC17" i="5"/>
  <c r="AG17" i="5"/>
  <c r="AO17" i="5"/>
  <c r="S17" i="30" s="1"/>
  <c r="BL17" i="30" s="1"/>
  <c r="AF18" i="5"/>
  <c r="AN18" i="5"/>
  <c r="R18" i="30" s="1"/>
  <c r="BK18" i="30" s="1"/>
  <c r="AA19" i="5"/>
  <c r="E19" i="30" s="1"/>
  <c r="AX19" i="30" s="1"/>
  <c r="AI19" i="5"/>
  <c r="M19" i="30" s="1"/>
  <c r="BF19" i="30" s="1"/>
  <c r="AQ19" i="5"/>
  <c r="U19" i="30" s="1"/>
  <c r="BN19" i="30" s="1"/>
  <c r="AD20" i="5"/>
  <c r="AH20" i="5"/>
  <c r="AP20" i="5"/>
  <c r="AC21" i="5"/>
  <c r="AK21" i="5"/>
  <c r="O21" i="30" s="1"/>
  <c r="BH21" i="30" s="1"/>
  <c r="AB22" i="5"/>
  <c r="F22" i="30" s="1"/>
  <c r="AY22" i="30" s="1"/>
  <c r="AJ22" i="5"/>
  <c r="N22" i="30" s="1"/>
  <c r="BG22" i="30" s="1"/>
  <c r="AA23" i="5"/>
  <c r="E23" i="30" s="1"/>
  <c r="AX23" i="30" s="1"/>
  <c r="AI23" i="5"/>
  <c r="M23" i="30" s="1"/>
  <c r="BF23" i="30" s="1"/>
  <c r="AQ23" i="5"/>
  <c r="U23" i="30" s="1"/>
  <c r="BN23" i="30" s="1"/>
  <c r="AD24" i="5"/>
  <c r="AL24" i="5"/>
  <c r="P24" i="30" s="1"/>
  <c r="BI24" i="30" s="1"/>
  <c r="AT24" i="5"/>
  <c r="AG25" i="5"/>
  <c r="AO25" i="5"/>
  <c r="S25" i="30" s="1"/>
  <c r="BL25" i="30" s="1"/>
  <c r="AB26" i="5"/>
  <c r="F26" i="30" s="1"/>
  <c r="AY26" i="30" s="1"/>
  <c r="AF26" i="5"/>
  <c r="AN26" i="5"/>
  <c r="R26" i="30" s="1"/>
  <c r="BK26" i="30" s="1"/>
  <c r="AA27" i="5"/>
  <c r="E27" i="30" s="1"/>
  <c r="AX27" i="30" s="1"/>
  <c r="AI27" i="5"/>
  <c r="M27" i="30" s="1"/>
  <c r="BF27" i="30" s="1"/>
  <c r="AQ27" i="5"/>
  <c r="U27" i="30" s="1"/>
  <c r="BN27" i="30" s="1"/>
  <c r="AD28" i="5"/>
  <c r="AL28" i="5"/>
  <c r="P28" i="30" s="1"/>
  <c r="BI28" i="30" s="1"/>
  <c r="AT28" i="5"/>
  <c r="AG29" i="5"/>
  <c r="AO29" i="5"/>
  <c r="S29" i="30" s="1"/>
  <c r="BL29" i="30" s="1"/>
  <c r="AS29" i="5"/>
  <c r="W29" i="30" s="1"/>
  <c r="BP29" i="30" s="1"/>
  <c r="AF30" i="5"/>
  <c r="AJ30" i="5"/>
  <c r="N30" i="30" s="1"/>
  <c r="BG30" i="30" s="1"/>
  <c r="AN30" i="5"/>
  <c r="R30" i="30" s="1"/>
  <c r="BK30" i="30" s="1"/>
  <c r="AR30" i="5"/>
  <c r="V30" i="30" s="1"/>
  <c r="BO30" i="30" s="1"/>
  <c r="AB7" i="5"/>
  <c r="F7" i="30" s="1"/>
  <c r="AY7" i="30" s="1"/>
  <c r="AF7" i="5"/>
  <c r="J7" i="30" s="1"/>
  <c r="BC7" i="30" s="1"/>
  <c r="AJ7" i="5"/>
  <c r="N7" i="30" s="1"/>
  <c r="BG7" i="30" s="1"/>
  <c r="AN7" i="5"/>
  <c r="R7" i="30" s="1"/>
  <c r="BK7" i="30" s="1"/>
  <c r="AR7" i="5"/>
  <c r="V7" i="30" s="1"/>
  <c r="BO7" i="30" s="1"/>
  <c r="AA8" i="5"/>
  <c r="E8" i="30" s="1"/>
  <c r="AX8" i="30" s="1"/>
  <c r="AE8" i="5"/>
  <c r="I8" i="30" s="1"/>
  <c r="BB8" i="30" s="1"/>
  <c r="AI8" i="5"/>
  <c r="M8" i="30" s="1"/>
  <c r="BF8" i="30" s="1"/>
  <c r="AM8" i="5"/>
  <c r="Q8" i="30" s="1"/>
  <c r="BJ8" i="30" s="1"/>
  <c r="AQ8" i="5"/>
  <c r="U8" i="30" s="1"/>
  <c r="BN8" i="30" s="1"/>
  <c r="Z9" i="5"/>
  <c r="D9" i="30" s="1"/>
  <c r="AW9" i="30" s="1"/>
  <c r="AD9" i="5"/>
  <c r="AH9" i="5"/>
  <c r="AL9" i="5"/>
  <c r="P9" i="30" s="1"/>
  <c r="BI9" i="30" s="1"/>
  <c r="AP9" i="5"/>
  <c r="AT9" i="5"/>
  <c r="AC10" i="5"/>
  <c r="AG10" i="5"/>
  <c r="AK10" i="5"/>
  <c r="O10" i="30" s="1"/>
  <c r="BH10" i="30" s="1"/>
  <c r="AO10" i="5"/>
  <c r="S10" i="30" s="1"/>
  <c r="BL10" i="30" s="1"/>
  <c r="AS10" i="5"/>
  <c r="W10" i="30" s="1"/>
  <c r="BP10" i="30" s="1"/>
  <c r="AB11" i="5"/>
  <c r="F11" i="30" s="1"/>
  <c r="AY11" i="30" s="1"/>
  <c r="AF11" i="5"/>
  <c r="AJ11" i="5"/>
  <c r="N11" i="30" s="1"/>
  <c r="BG11" i="30" s="1"/>
  <c r="AN11" i="5"/>
  <c r="R11" i="30" s="1"/>
  <c r="BK11" i="30" s="1"/>
  <c r="AR11" i="5"/>
  <c r="V11" i="30" s="1"/>
  <c r="BO11" i="30" s="1"/>
  <c r="AA12" i="5"/>
  <c r="E12" i="30" s="1"/>
  <c r="AX12" i="30" s="1"/>
  <c r="AE12" i="5"/>
  <c r="I12" i="30" s="1"/>
  <c r="BB12" i="30" s="1"/>
  <c r="AI12" i="5"/>
  <c r="M12" i="30" s="1"/>
  <c r="BF12" i="30" s="1"/>
  <c r="AM12" i="5"/>
  <c r="Q12" i="30" s="1"/>
  <c r="BJ12" i="30" s="1"/>
  <c r="AQ12" i="5"/>
  <c r="U12" i="30" s="1"/>
  <c r="BN12" i="30" s="1"/>
  <c r="Z13" i="5"/>
  <c r="D13" i="30" s="1"/>
  <c r="AW13" i="30" s="1"/>
  <c r="AD13" i="5"/>
  <c r="AH13" i="5"/>
  <c r="AL13" i="5"/>
  <c r="P13" i="30" s="1"/>
  <c r="BI13" i="30" s="1"/>
  <c r="AP13" i="5"/>
  <c r="AT13" i="5"/>
  <c r="AC14" i="5"/>
  <c r="AG14" i="5"/>
  <c r="AK14" i="5"/>
  <c r="O14" i="30" s="1"/>
  <c r="BH14" i="30" s="1"/>
  <c r="AO14" i="5"/>
  <c r="S14" i="30" s="1"/>
  <c r="BL14" i="30" s="1"/>
  <c r="AS14" i="5"/>
  <c r="W14" i="30" s="1"/>
  <c r="BP14" i="30" s="1"/>
  <c r="AB15" i="5"/>
  <c r="F15" i="30" s="1"/>
  <c r="AY15" i="30" s="1"/>
  <c r="AF15" i="5"/>
  <c r="AJ15" i="5"/>
  <c r="N15" i="30" s="1"/>
  <c r="BG15" i="30" s="1"/>
  <c r="AN15" i="5"/>
  <c r="R15" i="30" s="1"/>
  <c r="BK15" i="30" s="1"/>
  <c r="AR15" i="5"/>
  <c r="V15" i="30" s="1"/>
  <c r="BO15" i="30" s="1"/>
  <c r="AA16" i="5"/>
  <c r="E16" i="30" s="1"/>
  <c r="AX16" i="30" s="1"/>
  <c r="AE16" i="5"/>
  <c r="I16" i="30" s="1"/>
  <c r="BB16" i="30" s="1"/>
  <c r="AI16" i="5"/>
  <c r="M16" i="30" s="1"/>
  <c r="BF16" i="30" s="1"/>
  <c r="AM16" i="5"/>
  <c r="Q16" i="30" s="1"/>
  <c r="BJ16" i="30" s="1"/>
  <c r="AQ16" i="5"/>
  <c r="U16" i="30" s="1"/>
  <c r="BN16" i="30" s="1"/>
  <c r="Z17" i="5"/>
  <c r="D17" i="30" s="1"/>
  <c r="AW17" i="30" s="1"/>
  <c r="AD17" i="5"/>
  <c r="AH17" i="5"/>
  <c r="AL17" i="5"/>
  <c r="P17" i="30" s="1"/>
  <c r="BI17" i="30" s="1"/>
  <c r="AP17" i="5"/>
  <c r="AT17" i="5"/>
  <c r="AC18" i="5"/>
  <c r="AG18" i="5"/>
  <c r="AK18" i="5"/>
  <c r="O18" i="30" s="1"/>
  <c r="BH18" i="30" s="1"/>
  <c r="AO18" i="5"/>
  <c r="S18" i="30" s="1"/>
  <c r="BL18" i="30" s="1"/>
  <c r="AS18" i="5"/>
  <c r="W18" i="30" s="1"/>
  <c r="BP18" i="30" s="1"/>
  <c r="AB19" i="5"/>
  <c r="F19" i="30" s="1"/>
  <c r="AY19" i="30" s="1"/>
  <c r="AF19" i="5"/>
  <c r="AJ19" i="5"/>
  <c r="N19" i="30" s="1"/>
  <c r="BG19" i="30" s="1"/>
  <c r="AN19" i="5"/>
  <c r="R19" i="30" s="1"/>
  <c r="BK19" i="30" s="1"/>
  <c r="AR19" i="5"/>
  <c r="V19" i="30" s="1"/>
  <c r="BO19" i="30" s="1"/>
  <c r="AA20" i="5"/>
  <c r="E20" i="30" s="1"/>
  <c r="AX20" i="30" s="1"/>
  <c r="AE20" i="5"/>
  <c r="I20" i="30" s="1"/>
  <c r="BB20" i="30" s="1"/>
  <c r="AI20" i="5"/>
  <c r="M20" i="30" s="1"/>
  <c r="BF20" i="30" s="1"/>
  <c r="AM20" i="5"/>
  <c r="Q20" i="30" s="1"/>
  <c r="BJ20" i="30" s="1"/>
  <c r="AQ20" i="5"/>
  <c r="U20" i="30" s="1"/>
  <c r="BN20" i="30" s="1"/>
  <c r="Z21" i="5"/>
  <c r="D21" i="30" s="1"/>
  <c r="AW21" i="30" s="1"/>
  <c r="AD21" i="5"/>
  <c r="AH21" i="5"/>
  <c r="AL21" i="5"/>
  <c r="P21" i="30" s="1"/>
  <c r="BI21" i="30" s="1"/>
  <c r="AP21" i="5"/>
  <c r="AT21" i="5"/>
  <c r="AC22" i="5"/>
  <c r="AG22" i="5"/>
  <c r="AK22" i="5"/>
  <c r="O22" i="30" s="1"/>
  <c r="BH22" i="30" s="1"/>
  <c r="AO22" i="5"/>
  <c r="S22" i="30" s="1"/>
  <c r="BL22" i="30" s="1"/>
  <c r="AS22" i="5"/>
  <c r="W22" i="30" s="1"/>
  <c r="BP22" i="30" s="1"/>
  <c r="AB23" i="5"/>
  <c r="F23" i="30" s="1"/>
  <c r="AY23" i="30" s="1"/>
  <c r="AF23" i="5"/>
  <c r="AJ23" i="5"/>
  <c r="N23" i="30" s="1"/>
  <c r="BG23" i="30" s="1"/>
  <c r="AN23" i="5"/>
  <c r="R23" i="30" s="1"/>
  <c r="BK23" i="30" s="1"/>
  <c r="AR23" i="5"/>
  <c r="V23" i="30" s="1"/>
  <c r="BO23" i="30" s="1"/>
  <c r="AA24" i="5"/>
  <c r="E24" i="30" s="1"/>
  <c r="AX24" i="30" s="1"/>
  <c r="AE24" i="5"/>
  <c r="I24" i="30" s="1"/>
  <c r="BB24" i="30" s="1"/>
  <c r="AI24" i="5"/>
  <c r="M24" i="30" s="1"/>
  <c r="BF24" i="30" s="1"/>
  <c r="AM24" i="5"/>
  <c r="Q24" i="30" s="1"/>
  <c r="BJ24" i="30" s="1"/>
  <c r="AQ24" i="5"/>
  <c r="U24" i="30" s="1"/>
  <c r="BN24" i="30" s="1"/>
  <c r="Z25" i="5"/>
  <c r="D25" i="30" s="1"/>
  <c r="AW25" i="30" s="1"/>
  <c r="AD25" i="5"/>
  <c r="AH25" i="5"/>
  <c r="AL25" i="5"/>
  <c r="P25" i="30" s="1"/>
  <c r="BI25" i="30" s="1"/>
  <c r="AP25" i="5"/>
  <c r="AT25" i="5"/>
  <c r="AC26" i="5"/>
  <c r="AG26" i="5"/>
  <c r="AK26" i="5"/>
  <c r="O26" i="30" s="1"/>
  <c r="BH26" i="30" s="1"/>
  <c r="AO26" i="5"/>
  <c r="S26" i="30" s="1"/>
  <c r="BL26" i="30" s="1"/>
  <c r="AS26" i="5"/>
  <c r="W26" i="30" s="1"/>
  <c r="BP26" i="30" s="1"/>
  <c r="AB27" i="5"/>
  <c r="F27" i="30" s="1"/>
  <c r="AY27" i="30" s="1"/>
  <c r="AF27" i="5"/>
  <c r="AJ27" i="5"/>
  <c r="N27" i="30" s="1"/>
  <c r="BG27" i="30" s="1"/>
  <c r="AN27" i="5"/>
  <c r="R27" i="30" s="1"/>
  <c r="BK27" i="30" s="1"/>
  <c r="AR27" i="5"/>
  <c r="V27" i="30" s="1"/>
  <c r="BO27" i="30" s="1"/>
  <c r="AA28" i="5"/>
  <c r="E28" i="30" s="1"/>
  <c r="AX28" i="30" s="1"/>
  <c r="AE28" i="5"/>
  <c r="I28" i="30" s="1"/>
  <c r="BB28" i="30" s="1"/>
  <c r="AI28" i="5"/>
  <c r="M28" i="30" s="1"/>
  <c r="BF28" i="30" s="1"/>
  <c r="AM28" i="5"/>
  <c r="Q28" i="30" s="1"/>
  <c r="BJ28" i="30" s="1"/>
  <c r="AQ28" i="5"/>
  <c r="U28" i="30" s="1"/>
  <c r="BN28" i="30" s="1"/>
  <c r="Z29" i="5"/>
  <c r="D29" i="30" s="1"/>
  <c r="AW29" i="30" s="1"/>
  <c r="AD29" i="5"/>
  <c r="AH29" i="5"/>
  <c r="AL29" i="5"/>
  <c r="P29" i="30" s="1"/>
  <c r="BI29" i="30" s="1"/>
  <c r="AP29" i="5"/>
  <c r="AT29" i="5"/>
  <c r="AC30" i="5"/>
  <c r="AG30" i="5"/>
  <c r="AK30" i="5"/>
  <c r="O30" i="30" s="1"/>
  <c r="BH30" i="30" s="1"/>
  <c r="AO30" i="5"/>
  <c r="S30" i="30" s="1"/>
  <c r="BL30" i="30" s="1"/>
  <c r="AS30" i="5"/>
  <c r="W30" i="30" s="1"/>
  <c r="BP30" i="30" s="1"/>
  <c r="AB31" i="5"/>
  <c r="F31" i="30" s="1"/>
  <c r="AY31" i="30" s="1"/>
  <c r="AF31" i="5"/>
  <c r="AJ31" i="5"/>
  <c r="N31" i="30" s="1"/>
  <c r="BG31" i="30" s="1"/>
  <c r="AN31" i="5"/>
  <c r="R31" i="30" s="1"/>
  <c r="BK31" i="30" s="1"/>
  <c r="AR31" i="5"/>
  <c r="V31" i="30" s="1"/>
  <c r="BO31" i="30" s="1"/>
  <c r="AA32" i="5"/>
  <c r="E32" i="30" s="1"/>
  <c r="AX32" i="30" s="1"/>
  <c r="AE32" i="5"/>
  <c r="I32" i="30" s="1"/>
  <c r="BB32" i="30" s="1"/>
  <c r="AI32" i="5"/>
  <c r="M32" i="30" s="1"/>
  <c r="BF32" i="30" s="1"/>
  <c r="AM32" i="5"/>
  <c r="Q32" i="30" s="1"/>
  <c r="BJ32" i="30" s="1"/>
  <c r="AQ32" i="5"/>
  <c r="U32" i="30" s="1"/>
  <c r="BN32" i="30" s="1"/>
  <c r="Z33" i="5"/>
  <c r="D33" i="30" s="1"/>
  <c r="AW33" i="30" s="1"/>
  <c r="AD33" i="5"/>
  <c r="AH33" i="5"/>
  <c r="AL33" i="5"/>
  <c r="P33" i="30" s="1"/>
  <c r="BI33" i="30" s="1"/>
  <c r="AP33" i="5"/>
  <c r="AT33" i="5"/>
  <c r="AC34" i="5"/>
  <c r="AG34" i="5"/>
  <c r="AK34" i="5"/>
  <c r="O34" i="30" s="1"/>
  <c r="BH34" i="30" s="1"/>
  <c r="AO34" i="5"/>
  <c r="S34" i="30" s="1"/>
  <c r="BL34" i="30" s="1"/>
  <c r="AS34" i="5"/>
  <c r="W34" i="30" s="1"/>
  <c r="BP34" i="30" s="1"/>
  <c r="AB35" i="5"/>
  <c r="F35" i="30" s="1"/>
  <c r="AY35" i="30" s="1"/>
  <c r="AF35" i="5"/>
  <c r="AJ35" i="5"/>
  <c r="N35" i="30" s="1"/>
  <c r="BG35" i="30" s="1"/>
  <c r="AN35" i="5"/>
  <c r="R35" i="30" s="1"/>
  <c r="BK35" i="30" s="1"/>
  <c r="AR35" i="5"/>
  <c r="V35" i="30" s="1"/>
  <c r="BO35" i="30" s="1"/>
  <c r="AA36" i="5"/>
  <c r="E36" i="30" s="1"/>
  <c r="AX36" i="30" s="1"/>
  <c r="AE36" i="5"/>
  <c r="I36" i="30" s="1"/>
  <c r="BB36" i="30" s="1"/>
  <c r="AI36" i="5"/>
  <c r="M36" i="30" s="1"/>
  <c r="BF36" i="30" s="1"/>
  <c r="AM36" i="5"/>
  <c r="Q36" i="30" s="1"/>
  <c r="BJ36" i="30" s="1"/>
  <c r="AQ36" i="5"/>
  <c r="U36" i="30" s="1"/>
  <c r="BN36" i="30" s="1"/>
  <c r="Z37" i="5"/>
  <c r="D37" i="30" s="1"/>
  <c r="AW37" i="30" s="1"/>
  <c r="AD37" i="5"/>
  <c r="AH37" i="5"/>
  <c r="AL37" i="5"/>
  <c r="P37" i="30" s="1"/>
  <c r="BI37" i="30" s="1"/>
  <c r="AP37" i="5"/>
  <c r="AT37" i="5"/>
  <c r="AC38" i="5"/>
  <c r="AG38" i="5"/>
  <c r="AK38" i="5"/>
  <c r="O38" i="30" s="1"/>
  <c r="BH38" i="30" s="1"/>
  <c r="AO38" i="5"/>
  <c r="S38" i="30" s="1"/>
  <c r="BL38" i="30" s="1"/>
  <c r="AS38" i="5"/>
  <c r="W38" i="30" s="1"/>
  <c r="BP38" i="30" s="1"/>
  <c r="AB39" i="5"/>
  <c r="F39" i="30" s="1"/>
  <c r="AY39" i="30" s="1"/>
  <c r="AF39" i="5"/>
  <c r="AJ39" i="5"/>
  <c r="N39" i="30" s="1"/>
  <c r="BG39" i="30" s="1"/>
  <c r="AN39" i="5"/>
  <c r="R39" i="30" s="1"/>
  <c r="BK39" i="30" s="1"/>
  <c r="AR39" i="5"/>
  <c r="V39" i="30" s="1"/>
  <c r="BO39" i="30" s="1"/>
  <c r="AA40" i="5"/>
  <c r="E40" i="30" s="1"/>
  <c r="AX40" i="30" s="1"/>
  <c r="AE40" i="5"/>
  <c r="I40" i="30" s="1"/>
  <c r="BB40" i="30" s="1"/>
  <c r="AI40" i="5"/>
  <c r="M40" i="30" s="1"/>
  <c r="BF40" i="30" s="1"/>
  <c r="AM40" i="5"/>
  <c r="Q40" i="30" s="1"/>
  <c r="BJ40" i="30" s="1"/>
  <c r="AQ40" i="5"/>
  <c r="U40" i="30" s="1"/>
  <c r="BN40" i="30" s="1"/>
  <c r="Z41" i="5"/>
  <c r="D41" i="30" s="1"/>
  <c r="AW41" i="30" s="1"/>
  <c r="AD41" i="5"/>
  <c r="AH41" i="5"/>
  <c r="AL41" i="5"/>
  <c r="P41" i="30" s="1"/>
  <c r="BI41" i="30" s="1"/>
  <c r="AP41" i="5"/>
  <c r="AT41" i="5"/>
  <c r="AC42" i="5"/>
  <c r="AG42" i="5"/>
  <c r="AK42" i="5"/>
  <c r="O42" i="30" s="1"/>
  <c r="BH42" i="30" s="1"/>
  <c r="AO42" i="5"/>
  <c r="S42" i="30" s="1"/>
  <c r="BL42" i="30" s="1"/>
  <c r="AS42" i="5"/>
  <c r="W42" i="30" s="1"/>
  <c r="BP42" i="30" s="1"/>
  <c r="BQ6" i="14"/>
  <c r="AC7" i="5"/>
  <c r="G7" i="30" s="1"/>
  <c r="AZ7" i="30" s="1"/>
  <c r="AG7" i="5"/>
  <c r="K7" i="30" s="1"/>
  <c r="BD7" i="30" s="1"/>
  <c r="AK7" i="5"/>
  <c r="O7" i="30" s="1"/>
  <c r="BH7" i="30" s="1"/>
  <c r="AO7" i="5"/>
  <c r="S7" i="30" s="1"/>
  <c r="BL7" i="30" s="1"/>
  <c r="AS7" i="5"/>
  <c r="W7" i="30" s="1"/>
  <c r="BP7" i="30" s="1"/>
  <c r="AB8" i="5"/>
  <c r="F8" i="30" s="1"/>
  <c r="AY8" i="30" s="1"/>
  <c r="AF8" i="5"/>
  <c r="AJ8" i="5"/>
  <c r="N8" i="30" s="1"/>
  <c r="BG8" i="30" s="1"/>
  <c r="AN8" i="5"/>
  <c r="R8" i="30" s="1"/>
  <c r="BK8" i="30" s="1"/>
  <c r="AR8" i="5"/>
  <c r="V8" i="30" s="1"/>
  <c r="BO8" i="30" s="1"/>
  <c r="AA9" i="5"/>
  <c r="E9" i="30" s="1"/>
  <c r="AX9" i="30" s="1"/>
  <c r="AE9" i="5"/>
  <c r="I9" i="30" s="1"/>
  <c r="BB9" i="30" s="1"/>
  <c r="AI9" i="5"/>
  <c r="M9" i="30" s="1"/>
  <c r="BF9" i="30" s="1"/>
  <c r="AM9" i="5"/>
  <c r="Q9" i="30" s="1"/>
  <c r="BJ9" i="30" s="1"/>
  <c r="AQ9" i="5"/>
  <c r="U9" i="30" s="1"/>
  <c r="BN9" i="30" s="1"/>
  <c r="Z10" i="5"/>
  <c r="D10" i="30" s="1"/>
  <c r="AW10" i="30" s="1"/>
  <c r="AD10" i="5"/>
  <c r="AH10" i="5"/>
  <c r="AL10" i="5"/>
  <c r="P10" i="30" s="1"/>
  <c r="BI10" i="30" s="1"/>
  <c r="AP10" i="5"/>
  <c r="AT10" i="5"/>
  <c r="AC11" i="5"/>
  <c r="AG11" i="5"/>
  <c r="AK11" i="5"/>
  <c r="O11" i="30" s="1"/>
  <c r="BH11" i="30" s="1"/>
  <c r="AO11" i="5"/>
  <c r="S11" i="30" s="1"/>
  <c r="BL11" i="30" s="1"/>
  <c r="AS11" i="5"/>
  <c r="W11" i="30" s="1"/>
  <c r="BP11" i="30" s="1"/>
  <c r="AB12" i="5"/>
  <c r="F12" i="30" s="1"/>
  <c r="AY12" i="30" s="1"/>
  <c r="AF12" i="5"/>
  <c r="AJ12" i="5"/>
  <c r="N12" i="30" s="1"/>
  <c r="BG12" i="30" s="1"/>
  <c r="AN12" i="5"/>
  <c r="R12" i="30" s="1"/>
  <c r="BK12" i="30" s="1"/>
  <c r="AR12" i="5"/>
  <c r="V12" i="30" s="1"/>
  <c r="BO12" i="30" s="1"/>
  <c r="AA13" i="5"/>
  <c r="E13" i="30" s="1"/>
  <c r="AX13" i="30" s="1"/>
  <c r="AE13" i="5"/>
  <c r="I13" i="30" s="1"/>
  <c r="BB13" i="30" s="1"/>
  <c r="AI13" i="5"/>
  <c r="M13" i="30" s="1"/>
  <c r="BF13" i="30" s="1"/>
  <c r="AM13" i="5"/>
  <c r="Q13" i="30" s="1"/>
  <c r="BJ13" i="30" s="1"/>
  <c r="AQ13" i="5"/>
  <c r="U13" i="30" s="1"/>
  <c r="BN13" i="30" s="1"/>
  <c r="Z14" i="5"/>
  <c r="D14" i="30" s="1"/>
  <c r="AW14" i="30" s="1"/>
  <c r="AD14" i="5"/>
  <c r="AH14" i="5"/>
  <c r="AL14" i="5"/>
  <c r="P14" i="30" s="1"/>
  <c r="BI14" i="30" s="1"/>
  <c r="AP14" i="5"/>
  <c r="AT14" i="5"/>
  <c r="AC15" i="5"/>
  <c r="AG15" i="5"/>
  <c r="AK15" i="5"/>
  <c r="O15" i="30" s="1"/>
  <c r="BH15" i="30" s="1"/>
  <c r="AO15" i="5"/>
  <c r="S15" i="30" s="1"/>
  <c r="BL15" i="30" s="1"/>
  <c r="AS15" i="5"/>
  <c r="W15" i="30" s="1"/>
  <c r="BP15" i="30" s="1"/>
  <c r="AB16" i="5"/>
  <c r="F16" i="30" s="1"/>
  <c r="AY16" i="30" s="1"/>
  <c r="AF16" i="5"/>
  <c r="AJ16" i="5"/>
  <c r="N16" i="30" s="1"/>
  <c r="BG16" i="30" s="1"/>
  <c r="AN16" i="5"/>
  <c r="R16" i="30" s="1"/>
  <c r="BK16" i="30" s="1"/>
  <c r="AR16" i="5"/>
  <c r="V16" i="30" s="1"/>
  <c r="BO16" i="30" s="1"/>
  <c r="AA17" i="5"/>
  <c r="E17" i="30" s="1"/>
  <c r="AX17" i="30" s="1"/>
  <c r="AE17" i="5"/>
  <c r="I17" i="30" s="1"/>
  <c r="BB17" i="30" s="1"/>
  <c r="AI17" i="5"/>
  <c r="M17" i="30" s="1"/>
  <c r="BF17" i="30" s="1"/>
  <c r="AM17" i="5"/>
  <c r="Q17" i="30" s="1"/>
  <c r="BJ17" i="30" s="1"/>
  <c r="AQ17" i="5"/>
  <c r="U17" i="30" s="1"/>
  <c r="BN17" i="30" s="1"/>
  <c r="Z18" i="5"/>
  <c r="D18" i="30" s="1"/>
  <c r="AW18" i="30" s="1"/>
  <c r="AD18" i="5"/>
  <c r="AH18" i="5"/>
  <c r="AL18" i="5"/>
  <c r="P18" i="30" s="1"/>
  <c r="BI18" i="30" s="1"/>
  <c r="AP18" i="5"/>
  <c r="AT18" i="5"/>
  <c r="AC19" i="5"/>
  <c r="AG19" i="5"/>
  <c r="AK19" i="5"/>
  <c r="O19" i="30" s="1"/>
  <c r="BH19" i="30" s="1"/>
  <c r="AO19" i="5"/>
  <c r="S19" i="30" s="1"/>
  <c r="BL19" i="30" s="1"/>
  <c r="AS19" i="5"/>
  <c r="W19" i="30" s="1"/>
  <c r="BP19" i="30" s="1"/>
  <c r="AB20" i="5"/>
  <c r="F20" i="30" s="1"/>
  <c r="AY20" i="30" s="1"/>
  <c r="AF20" i="5"/>
  <c r="AJ20" i="5"/>
  <c r="N20" i="30" s="1"/>
  <c r="BG20" i="30" s="1"/>
  <c r="AN20" i="5"/>
  <c r="R20" i="30" s="1"/>
  <c r="BK20" i="30" s="1"/>
  <c r="AR20" i="5"/>
  <c r="V20" i="30" s="1"/>
  <c r="BO20" i="30" s="1"/>
  <c r="AA21" i="5"/>
  <c r="E21" i="30" s="1"/>
  <c r="AX21" i="30" s="1"/>
  <c r="AE21" i="5"/>
  <c r="I21" i="30" s="1"/>
  <c r="BB21" i="30" s="1"/>
  <c r="AI21" i="5"/>
  <c r="M21" i="30" s="1"/>
  <c r="BF21" i="30" s="1"/>
  <c r="AM21" i="5"/>
  <c r="Q21" i="30" s="1"/>
  <c r="BJ21" i="30" s="1"/>
  <c r="AQ21" i="5"/>
  <c r="U21" i="30" s="1"/>
  <c r="BN21" i="30" s="1"/>
  <c r="Z22" i="5"/>
  <c r="D22" i="30" s="1"/>
  <c r="AW22" i="30" s="1"/>
  <c r="AD22" i="5"/>
  <c r="AH22" i="5"/>
  <c r="AL22" i="5"/>
  <c r="P22" i="30" s="1"/>
  <c r="BI22" i="30" s="1"/>
  <c r="AP22" i="5"/>
  <c r="AT22" i="5"/>
  <c r="AC23" i="5"/>
  <c r="AG23" i="5"/>
  <c r="AK23" i="5"/>
  <c r="O23" i="30" s="1"/>
  <c r="BH23" i="30" s="1"/>
  <c r="AO23" i="5"/>
  <c r="S23" i="30" s="1"/>
  <c r="BL23" i="30" s="1"/>
  <c r="AS23" i="5"/>
  <c r="W23" i="30" s="1"/>
  <c r="BP23" i="30" s="1"/>
  <c r="AB24" i="5"/>
  <c r="F24" i="30" s="1"/>
  <c r="AY24" i="30" s="1"/>
  <c r="AF24" i="5"/>
  <c r="AJ24" i="5"/>
  <c r="N24" i="30" s="1"/>
  <c r="BG24" i="30" s="1"/>
  <c r="AN24" i="5"/>
  <c r="R24" i="30" s="1"/>
  <c r="BK24" i="30" s="1"/>
  <c r="AR24" i="5"/>
  <c r="V24" i="30" s="1"/>
  <c r="BO24" i="30" s="1"/>
  <c r="AA25" i="5"/>
  <c r="E25" i="30" s="1"/>
  <c r="AX25" i="30" s="1"/>
  <c r="AE25" i="5"/>
  <c r="I25" i="30" s="1"/>
  <c r="BB25" i="30" s="1"/>
  <c r="AI25" i="5"/>
  <c r="M25" i="30" s="1"/>
  <c r="BF25" i="30" s="1"/>
  <c r="AM25" i="5"/>
  <c r="Q25" i="30" s="1"/>
  <c r="BJ25" i="30" s="1"/>
  <c r="AQ25" i="5"/>
  <c r="U25" i="30" s="1"/>
  <c r="BN25" i="30" s="1"/>
  <c r="Z26" i="5"/>
  <c r="D26" i="30" s="1"/>
  <c r="AW26" i="30" s="1"/>
  <c r="AD26" i="5"/>
  <c r="AH26" i="5"/>
  <c r="AL26" i="5"/>
  <c r="P26" i="30" s="1"/>
  <c r="BI26" i="30" s="1"/>
  <c r="AP26" i="5"/>
  <c r="AT26" i="5"/>
  <c r="AC27" i="5"/>
  <c r="AG27" i="5"/>
  <c r="AK27" i="5"/>
  <c r="O27" i="30" s="1"/>
  <c r="BH27" i="30" s="1"/>
  <c r="AO27" i="5"/>
  <c r="S27" i="30" s="1"/>
  <c r="BL27" i="30" s="1"/>
  <c r="AS27" i="5"/>
  <c r="W27" i="30" s="1"/>
  <c r="BP27" i="30" s="1"/>
  <c r="AB28" i="5"/>
  <c r="F28" i="30" s="1"/>
  <c r="AY28" i="30" s="1"/>
  <c r="AF28" i="5"/>
  <c r="AJ28" i="5"/>
  <c r="N28" i="30" s="1"/>
  <c r="BG28" i="30" s="1"/>
  <c r="AN28" i="5"/>
  <c r="R28" i="30" s="1"/>
  <c r="BK28" i="30" s="1"/>
  <c r="AR28" i="5"/>
  <c r="V28" i="30" s="1"/>
  <c r="BO28" i="30" s="1"/>
  <c r="AA29" i="5"/>
  <c r="E29" i="30" s="1"/>
  <c r="AX29" i="30" s="1"/>
  <c r="AE29" i="5"/>
  <c r="I29" i="30" s="1"/>
  <c r="BB29" i="30" s="1"/>
  <c r="AI29" i="5"/>
  <c r="M29" i="30" s="1"/>
  <c r="BF29" i="30" s="1"/>
  <c r="AM29" i="5"/>
  <c r="Q29" i="30" s="1"/>
  <c r="BJ29" i="30" s="1"/>
  <c r="AQ29" i="5"/>
  <c r="U29" i="30" s="1"/>
  <c r="BN29" i="30" s="1"/>
  <c r="Z30" i="5"/>
  <c r="D30" i="30" s="1"/>
  <c r="AW30" i="30" s="1"/>
  <c r="AD30" i="5"/>
  <c r="AH30" i="5"/>
  <c r="AL30" i="5"/>
  <c r="P30" i="30" s="1"/>
  <c r="BI30" i="30" s="1"/>
  <c r="AP30" i="5"/>
  <c r="AT30" i="5"/>
  <c r="AD7" i="5"/>
  <c r="H7" i="30" s="1"/>
  <c r="BA7" i="30" s="1"/>
  <c r="AL7" i="5"/>
  <c r="P7" i="30" s="1"/>
  <c r="BI7" i="30" s="1"/>
  <c r="AT7" i="5"/>
  <c r="X7" i="30" s="1"/>
  <c r="BQ7" i="30" s="1"/>
  <c r="AC8" i="5"/>
  <c r="AK8" i="5"/>
  <c r="O8" i="30" s="1"/>
  <c r="BH8" i="30" s="1"/>
  <c r="AO8" i="5"/>
  <c r="S8" i="30" s="1"/>
  <c r="BL8" i="30" s="1"/>
  <c r="AS8" i="5"/>
  <c r="W8" i="30" s="1"/>
  <c r="BP8" i="30" s="1"/>
  <c r="AB9" i="5"/>
  <c r="F9" i="30" s="1"/>
  <c r="AY9" i="30" s="1"/>
  <c r="AF9" i="5"/>
  <c r="AJ9" i="5"/>
  <c r="N9" i="30" s="1"/>
  <c r="BG9" i="30" s="1"/>
  <c r="AN9" i="5"/>
  <c r="R9" i="30" s="1"/>
  <c r="BK9" i="30" s="1"/>
  <c r="AR9" i="5"/>
  <c r="V9" i="30" s="1"/>
  <c r="BO9" i="30" s="1"/>
  <c r="AA10" i="5"/>
  <c r="E10" i="30" s="1"/>
  <c r="AX10" i="30" s="1"/>
  <c r="AE10" i="5"/>
  <c r="I10" i="30" s="1"/>
  <c r="BB10" i="30" s="1"/>
  <c r="AI10" i="5"/>
  <c r="M10" i="30" s="1"/>
  <c r="BF10" i="30" s="1"/>
  <c r="AM10" i="5"/>
  <c r="Q10" i="30" s="1"/>
  <c r="BJ10" i="30" s="1"/>
  <c r="AQ10" i="5"/>
  <c r="U10" i="30" s="1"/>
  <c r="BN10" i="30" s="1"/>
  <c r="Z11" i="5"/>
  <c r="D11" i="30" s="1"/>
  <c r="AW11" i="30" s="1"/>
  <c r="AD11" i="5"/>
  <c r="AH11" i="5"/>
  <c r="AL11" i="5"/>
  <c r="P11" i="30" s="1"/>
  <c r="BI11" i="30" s="1"/>
  <c r="AP11" i="5"/>
  <c r="AT11" i="5"/>
  <c r="AC12" i="5"/>
  <c r="AG12" i="5"/>
  <c r="AK12" i="5"/>
  <c r="O12" i="30" s="1"/>
  <c r="BH12" i="30" s="1"/>
  <c r="AO12" i="5"/>
  <c r="S12" i="30" s="1"/>
  <c r="BL12" i="30" s="1"/>
  <c r="AS12" i="5"/>
  <c r="W12" i="30" s="1"/>
  <c r="BP12" i="30" s="1"/>
  <c r="AB13" i="5"/>
  <c r="F13" i="30" s="1"/>
  <c r="AY13" i="30" s="1"/>
  <c r="AF13" i="5"/>
  <c r="AJ13" i="5"/>
  <c r="N13" i="30" s="1"/>
  <c r="BG13" i="30" s="1"/>
  <c r="AN13" i="5"/>
  <c r="R13" i="30" s="1"/>
  <c r="BK13" i="30" s="1"/>
  <c r="AR13" i="5"/>
  <c r="V13" i="30" s="1"/>
  <c r="BO13" i="30" s="1"/>
  <c r="AA14" i="5"/>
  <c r="E14" i="30" s="1"/>
  <c r="AX14" i="30" s="1"/>
  <c r="AE14" i="5"/>
  <c r="I14" i="30" s="1"/>
  <c r="BB14" i="30" s="1"/>
  <c r="AI14" i="5"/>
  <c r="M14" i="30" s="1"/>
  <c r="BF14" i="30" s="1"/>
  <c r="AM14" i="5"/>
  <c r="Q14" i="30" s="1"/>
  <c r="BJ14" i="30" s="1"/>
  <c r="AQ14" i="5"/>
  <c r="U14" i="30" s="1"/>
  <c r="BN14" i="30" s="1"/>
  <c r="Z15" i="5"/>
  <c r="D15" i="30" s="1"/>
  <c r="AW15" i="30" s="1"/>
  <c r="AD15" i="5"/>
  <c r="AH15" i="5"/>
  <c r="AL15" i="5"/>
  <c r="P15" i="30" s="1"/>
  <c r="BI15" i="30" s="1"/>
  <c r="AP15" i="5"/>
  <c r="AT15" i="5"/>
  <c r="AC16" i="5"/>
  <c r="AG16" i="5"/>
  <c r="AK16" i="5"/>
  <c r="O16" i="30" s="1"/>
  <c r="BH16" i="30" s="1"/>
  <c r="AO16" i="5"/>
  <c r="S16" i="30" s="1"/>
  <c r="BL16" i="30" s="1"/>
  <c r="AS16" i="5"/>
  <c r="W16" i="30" s="1"/>
  <c r="BP16" i="30" s="1"/>
  <c r="AB17" i="5"/>
  <c r="F17" i="30" s="1"/>
  <c r="AY17" i="30" s="1"/>
  <c r="AF17" i="5"/>
  <c r="AJ17" i="5"/>
  <c r="N17" i="30" s="1"/>
  <c r="BG17" i="30" s="1"/>
  <c r="AN17" i="5"/>
  <c r="R17" i="30" s="1"/>
  <c r="BK17" i="30" s="1"/>
  <c r="AR17" i="5"/>
  <c r="V17" i="30" s="1"/>
  <c r="BO17" i="30" s="1"/>
  <c r="AA18" i="5"/>
  <c r="E18" i="30" s="1"/>
  <c r="AX18" i="30" s="1"/>
  <c r="AE18" i="5"/>
  <c r="I18" i="30" s="1"/>
  <c r="BB18" i="30" s="1"/>
  <c r="AI18" i="5"/>
  <c r="M18" i="30" s="1"/>
  <c r="BF18" i="30" s="1"/>
  <c r="AM18" i="5"/>
  <c r="Q18" i="30" s="1"/>
  <c r="BJ18" i="30" s="1"/>
  <c r="AQ18" i="5"/>
  <c r="U18" i="30" s="1"/>
  <c r="BN18" i="30" s="1"/>
  <c r="Z19" i="5"/>
  <c r="D19" i="30" s="1"/>
  <c r="AW19" i="30" s="1"/>
  <c r="AD19" i="5"/>
  <c r="AH19" i="5"/>
  <c r="AL19" i="5"/>
  <c r="P19" i="30" s="1"/>
  <c r="BI19" i="30" s="1"/>
  <c r="AP19" i="5"/>
  <c r="AT19" i="5"/>
  <c r="AC20" i="5"/>
  <c r="AG20" i="5"/>
  <c r="AK20" i="5"/>
  <c r="O20" i="30" s="1"/>
  <c r="BH20" i="30" s="1"/>
  <c r="AO20" i="5"/>
  <c r="S20" i="30" s="1"/>
  <c r="BL20" i="30" s="1"/>
  <c r="AS20" i="5"/>
  <c r="W20" i="30" s="1"/>
  <c r="BP20" i="30" s="1"/>
  <c r="AB21" i="5"/>
  <c r="F21" i="30" s="1"/>
  <c r="AY21" i="30" s="1"/>
  <c r="AF21" i="5"/>
  <c r="AJ21" i="5"/>
  <c r="N21" i="30" s="1"/>
  <c r="BG21" i="30" s="1"/>
  <c r="AN21" i="5"/>
  <c r="R21" i="30" s="1"/>
  <c r="BK21" i="30" s="1"/>
  <c r="AR21" i="5"/>
  <c r="V21" i="30" s="1"/>
  <c r="BO21" i="30" s="1"/>
  <c r="AA22" i="5"/>
  <c r="E22" i="30" s="1"/>
  <c r="AX22" i="30" s="1"/>
  <c r="AE22" i="5"/>
  <c r="I22" i="30" s="1"/>
  <c r="BB22" i="30" s="1"/>
  <c r="AI22" i="5"/>
  <c r="M22" i="30" s="1"/>
  <c r="BF22" i="30" s="1"/>
  <c r="AM22" i="5"/>
  <c r="Q22" i="30" s="1"/>
  <c r="BJ22" i="30" s="1"/>
  <c r="AQ22" i="5"/>
  <c r="U22" i="30" s="1"/>
  <c r="BN22" i="30" s="1"/>
  <c r="Z23" i="5"/>
  <c r="D23" i="30" s="1"/>
  <c r="AW23" i="30" s="1"/>
  <c r="AD23" i="5"/>
  <c r="AH23" i="5"/>
  <c r="AL23" i="5"/>
  <c r="P23" i="30" s="1"/>
  <c r="BI23" i="30" s="1"/>
  <c r="AP23" i="5"/>
  <c r="AT23" i="5"/>
  <c r="AC24" i="5"/>
  <c r="AG24" i="5"/>
  <c r="AK24" i="5"/>
  <c r="O24" i="30" s="1"/>
  <c r="BH24" i="30" s="1"/>
  <c r="AO24" i="5"/>
  <c r="S24" i="30" s="1"/>
  <c r="BL24" i="30" s="1"/>
  <c r="AS24" i="5"/>
  <c r="W24" i="30" s="1"/>
  <c r="BP24" i="30" s="1"/>
  <c r="AB25" i="5"/>
  <c r="F25" i="30" s="1"/>
  <c r="AY25" i="30" s="1"/>
  <c r="AF25" i="5"/>
  <c r="AJ25" i="5"/>
  <c r="N25" i="30" s="1"/>
  <c r="BG25" i="30" s="1"/>
  <c r="AN25" i="5"/>
  <c r="R25" i="30" s="1"/>
  <c r="BK25" i="30" s="1"/>
  <c r="AR25" i="5"/>
  <c r="V25" i="30" s="1"/>
  <c r="BO25" i="30" s="1"/>
  <c r="AA26" i="5"/>
  <c r="E26" i="30" s="1"/>
  <c r="AX26" i="30" s="1"/>
  <c r="AE26" i="5"/>
  <c r="I26" i="30" s="1"/>
  <c r="BB26" i="30" s="1"/>
  <c r="AI26" i="5"/>
  <c r="M26" i="30" s="1"/>
  <c r="BF26" i="30" s="1"/>
  <c r="AM26" i="5"/>
  <c r="Q26" i="30" s="1"/>
  <c r="BJ26" i="30" s="1"/>
  <c r="AQ26" i="5"/>
  <c r="U26" i="30" s="1"/>
  <c r="BN26" i="30" s="1"/>
  <c r="Z27" i="5"/>
  <c r="D27" i="30" s="1"/>
  <c r="AW27" i="30" s="1"/>
  <c r="AD27" i="5"/>
  <c r="AH27" i="5"/>
  <c r="AL27" i="5"/>
  <c r="P27" i="30" s="1"/>
  <c r="BI27" i="30" s="1"/>
  <c r="AP27" i="5"/>
  <c r="AT27" i="5"/>
  <c r="AC28" i="5"/>
  <c r="AG28" i="5"/>
  <c r="AK28" i="5"/>
  <c r="O28" i="30" s="1"/>
  <c r="BH28" i="30" s="1"/>
  <c r="AO28" i="5"/>
  <c r="S28" i="30" s="1"/>
  <c r="BL28" i="30" s="1"/>
  <c r="AS28" i="5"/>
  <c r="W28" i="30" s="1"/>
  <c r="BP28" i="30" s="1"/>
  <c r="AB29" i="5"/>
  <c r="F29" i="30" s="1"/>
  <c r="AY29" i="30" s="1"/>
  <c r="AF29" i="5"/>
  <c r="AJ29" i="5"/>
  <c r="N29" i="30" s="1"/>
  <c r="BG29" i="30" s="1"/>
  <c r="AN29" i="5"/>
  <c r="R29" i="30" s="1"/>
  <c r="BK29" i="30" s="1"/>
  <c r="AR29" i="5"/>
  <c r="V29" i="30" s="1"/>
  <c r="BO29" i="30" s="1"/>
  <c r="AA30" i="5"/>
  <c r="E30" i="30" s="1"/>
  <c r="AX30" i="30" s="1"/>
  <c r="AE30" i="5"/>
  <c r="I30" i="30" s="1"/>
  <c r="BB30" i="30" s="1"/>
  <c r="AI30" i="5"/>
  <c r="M30" i="30" s="1"/>
  <c r="BF30" i="30" s="1"/>
  <c r="AM30" i="5"/>
  <c r="Q30" i="30" s="1"/>
  <c r="BJ30" i="30" s="1"/>
  <c r="AQ30" i="5"/>
  <c r="U30" i="30" s="1"/>
  <c r="BN30" i="30" s="1"/>
  <c r="BQ46" i="14"/>
  <c r="BQ50" i="14"/>
  <c r="BQ54" i="14"/>
  <c r="BQ58" i="14"/>
  <c r="BQ62" i="14"/>
  <c r="AB42" i="18"/>
  <c r="AX42" i="18" s="1"/>
  <c r="AF42" i="18"/>
  <c r="BB42" i="18" s="1"/>
  <c r="AJ42" i="18"/>
  <c r="BF42" i="18" s="1"/>
  <c r="AN42" i="18"/>
  <c r="BJ42" i="18" s="1"/>
  <c r="AR42" i="18"/>
  <c r="BN42" i="18" s="1"/>
  <c r="AW43" i="18"/>
  <c r="BA43" i="18"/>
  <c r="BE43" i="18"/>
  <c r="BI43" i="18"/>
  <c r="BM43" i="18"/>
  <c r="AV44" i="18"/>
  <c r="AZ44" i="18"/>
  <c r="BD44" i="18"/>
  <c r="BH44" i="18"/>
  <c r="BL44" i="18"/>
  <c r="BP44" i="18"/>
  <c r="AY45" i="18"/>
  <c r="BC45" i="18"/>
  <c r="BG45" i="18"/>
  <c r="BK45" i="18"/>
  <c r="BO45" i="18"/>
  <c r="Z42" i="18"/>
  <c r="AV42" i="18" s="1"/>
  <c r="AD42" i="18"/>
  <c r="AZ42" i="18" s="1"/>
  <c r="AH42" i="18"/>
  <c r="BD42" i="18" s="1"/>
  <c r="AL42" i="18"/>
  <c r="BH42" i="18" s="1"/>
  <c r="AP42" i="18"/>
  <c r="BL42" i="18" s="1"/>
  <c r="AT42" i="18"/>
  <c r="BP42" i="18" s="1"/>
  <c r="AY43" i="18"/>
  <c r="BC43" i="18"/>
  <c r="BG43" i="18"/>
  <c r="BK43" i="18"/>
  <c r="BO43" i="18"/>
  <c r="AX44" i="18"/>
  <c r="BB44" i="18"/>
  <c r="BF44" i="18"/>
  <c r="BJ44" i="18"/>
  <c r="BN44" i="18"/>
  <c r="AW45" i="18"/>
  <c r="BA45" i="18"/>
  <c r="BE45" i="18"/>
  <c r="BI45" i="18"/>
  <c r="BM45" i="18"/>
  <c r="AC42" i="18"/>
  <c r="AY42" i="18" s="1"/>
  <c r="AG42" i="18"/>
  <c r="BC42" i="18" s="1"/>
  <c r="AK42" i="18"/>
  <c r="BG42" i="18" s="1"/>
  <c r="AO42" i="18"/>
  <c r="BK42" i="18" s="1"/>
  <c r="AS42" i="18"/>
  <c r="BO42" i="18" s="1"/>
  <c r="AX43" i="18"/>
  <c r="BB43" i="18"/>
  <c r="BF43" i="18"/>
  <c r="BJ43" i="18"/>
  <c r="BN43" i="18"/>
  <c r="AW44" i="18"/>
  <c r="BA44" i="18"/>
  <c r="BE44" i="18"/>
  <c r="BI44" i="18"/>
  <c r="BM44" i="18"/>
  <c r="AV45" i="18"/>
  <c r="AZ45" i="18"/>
  <c r="BD45" i="18"/>
  <c r="BH45" i="18"/>
  <c r="BL45" i="18"/>
  <c r="BP45" i="18"/>
  <c r="AA42" i="18"/>
  <c r="AW42" i="18" s="1"/>
  <c r="AE42" i="18"/>
  <c r="BA42" i="18" s="1"/>
  <c r="AI42" i="18"/>
  <c r="BE42" i="18" s="1"/>
  <c r="AM42" i="18"/>
  <c r="BI42" i="18" s="1"/>
  <c r="AQ42" i="18"/>
  <c r="BM42" i="18" s="1"/>
  <c r="AV43" i="18"/>
  <c r="AZ43" i="18"/>
  <c r="BD43" i="18"/>
  <c r="BH43" i="18"/>
  <c r="BL43" i="18"/>
  <c r="BP43" i="18"/>
  <c r="AY44" i="18"/>
  <c r="BC44" i="18"/>
  <c r="BG44" i="18"/>
  <c r="BK44" i="18"/>
  <c r="BO44" i="18"/>
  <c r="AX45" i="18"/>
  <c r="BB45" i="18"/>
  <c r="BF45" i="18"/>
  <c r="BJ45" i="18"/>
  <c r="BN45" i="18"/>
  <c r="BV42" i="5" l="1"/>
  <c r="H42" i="30"/>
  <c r="BA42" i="30" s="1"/>
  <c r="BZ40" i="5"/>
  <c r="L40" i="30"/>
  <c r="BE40" i="30" s="1"/>
  <c r="BZ39" i="5"/>
  <c r="L39" i="30"/>
  <c r="BE39" i="30" s="1"/>
  <c r="BZ38" i="5"/>
  <c r="L38" i="30"/>
  <c r="BE38" i="30" s="1"/>
  <c r="BY36" i="5"/>
  <c r="K36" i="30"/>
  <c r="BD36" i="30" s="1"/>
  <c r="BX34" i="5"/>
  <c r="J34" i="30"/>
  <c r="BC34" i="30" s="1"/>
  <c r="CH31" i="5"/>
  <c r="T31" i="30"/>
  <c r="BM31" i="30" s="1"/>
  <c r="BY41" i="5"/>
  <c r="K41" i="30"/>
  <c r="BD41" i="30" s="1"/>
  <c r="BY39" i="5"/>
  <c r="K39" i="30"/>
  <c r="BD39" i="30" s="1"/>
  <c r="BX37" i="5"/>
  <c r="J37" i="30"/>
  <c r="BC37" i="30" s="1"/>
  <c r="BX36" i="5"/>
  <c r="J36" i="30"/>
  <c r="BC36" i="30" s="1"/>
  <c r="CH34" i="5"/>
  <c r="T34" i="30"/>
  <c r="BM34" i="30" s="1"/>
  <c r="BV32" i="5"/>
  <c r="H32" i="30"/>
  <c r="BA32" i="30" s="1"/>
  <c r="BV31" i="5"/>
  <c r="H31" i="30"/>
  <c r="BA31" i="30" s="1"/>
  <c r="BU32" i="5"/>
  <c r="G32" i="30"/>
  <c r="AZ32" i="30" s="1"/>
  <c r="BX42" i="5"/>
  <c r="J42" i="30"/>
  <c r="BC42" i="30" s="1"/>
  <c r="CH40" i="5"/>
  <c r="T40" i="30"/>
  <c r="BM40" i="30" s="1"/>
  <c r="CH39" i="5"/>
  <c r="T39" i="30"/>
  <c r="BM39" i="30" s="1"/>
  <c r="CL36" i="5"/>
  <c r="X36" i="30"/>
  <c r="BQ36" i="30" s="1"/>
  <c r="CL35" i="5"/>
  <c r="X35" i="30"/>
  <c r="BQ35" i="30" s="1"/>
  <c r="CL34" i="5"/>
  <c r="X34" i="30"/>
  <c r="BQ34" i="30" s="1"/>
  <c r="BU33" i="5"/>
  <c r="G33" i="30"/>
  <c r="AZ33" i="30" s="1"/>
  <c r="CH42" i="5"/>
  <c r="T42" i="30"/>
  <c r="BM42" i="30" s="1"/>
  <c r="BV40" i="5"/>
  <c r="H40" i="30"/>
  <c r="BA40" i="30" s="1"/>
  <c r="BV39" i="5"/>
  <c r="H39" i="30"/>
  <c r="BA39" i="30" s="1"/>
  <c r="BV38" i="5"/>
  <c r="H38" i="30"/>
  <c r="BA38" i="30" s="1"/>
  <c r="BZ36" i="5"/>
  <c r="L36" i="30"/>
  <c r="BE36" i="30" s="1"/>
  <c r="BZ35" i="5"/>
  <c r="L35" i="30"/>
  <c r="BE35" i="30" s="1"/>
  <c r="BZ34" i="5"/>
  <c r="L34" i="30"/>
  <c r="BE34" i="30" s="1"/>
  <c r="BY32" i="5"/>
  <c r="K32" i="30"/>
  <c r="BD32" i="30" s="1"/>
  <c r="CH32" i="5"/>
  <c r="T32" i="30"/>
  <c r="BM32" i="30" s="1"/>
  <c r="CL42" i="5"/>
  <c r="X42" i="30"/>
  <c r="BQ42" i="30" s="1"/>
  <c r="BU41" i="5"/>
  <c r="G41" i="30"/>
  <c r="AZ41" i="30" s="1"/>
  <c r="BU40" i="5"/>
  <c r="G40" i="30"/>
  <c r="AZ40" i="30" s="1"/>
  <c r="BU39" i="5"/>
  <c r="G39" i="30"/>
  <c r="AZ39" i="30" s="1"/>
  <c r="BY37" i="5"/>
  <c r="K37" i="30"/>
  <c r="BD37" i="30" s="1"/>
  <c r="BY35" i="5"/>
  <c r="K35" i="30"/>
  <c r="BD35" i="30" s="1"/>
  <c r="BX33" i="5"/>
  <c r="J33" i="30"/>
  <c r="BC33" i="30" s="1"/>
  <c r="BZ42" i="5"/>
  <c r="L42" i="30"/>
  <c r="BE42" i="30" s="1"/>
  <c r="BY40" i="5"/>
  <c r="K40" i="30"/>
  <c r="BD40" i="30" s="1"/>
  <c r="BX38" i="5"/>
  <c r="J38" i="30"/>
  <c r="BC38" i="30" s="1"/>
  <c r="CH36" i="5"/>
  <c r="T36" i="30"/>
  <c r="BM36" i="30" s="1"/>
  <c r="CH35" i="5"/>
  <c r="T35" i="30"/>
  <c r="BM35" i="30" s="1"/>
  <c r="CL32" i="5"/>
  <c r="X32" i="30"/>
  <c r="BQ32" i="30" s="1"/>
  <c r="CL31" i="5"/>
  <c r="X31" i="30"/>
  <c r="BQ31" i="30" s="1"/>
  <c r="BZ32" i="5"/>
  <c r="L32" i="30"/>
  <c r="BE32" i="30" s="1"/>
  <c r="BU31" i="5"/>
  <c r="G31" i="30"/>
  <c r="AZ31" i="30" s="1"/>
  <c r="BX41" i="5"/>
  <c r="J41" i="30"/>
  <c r="BC41" i="30" s="1"/>
  <c r="BX40" i="5"/>
  <c r="J40" i="30"/>
  <c r="BC40" i="30" s="1"/>
  <c r="CH38" i="5"/>
  <c r="T38" i="30"/>
  <c r="BM38" i="30" s="1"/>
  <c r="BV36" i="5"/>
  <c r="H36" i="30"/>
  <c r="BA36" i="30" s="1"/>
  <c r="BV35" i="5"/>
  <c r="H35" i="30"/>
  <c r="BA35" i="30" s="1"/>
  <c r="BV34" i="5"/>
  <c r="H34" i="30"/>
  <c r="BA34" i="30" s="1"/>
  <c r="BZ31" i="5"/>
  <c r="L31" i="30"/>
  <c r="BE31" i="30" s="1"/>
  <c r="CL40" i="5"/>
  <c r="X40" i="30"/>
  <c r="BQ40" i="30" s="1"/>
  <c r="CL39" i="5"/>
  <c r="X39" i="30"/>
  <c r="BQ39" i="30" s="1"/>
  <c r="CL38" i="5"/>
  <c r="X38" i="30"/>
  <c r="BQ38" i="30" s="1"/>
  <c r="BU37" i="5"/>
  <c r="G37" i="30"/>
  <c r="AZ37" i="30" s="1"/>
  <c r="BU36" i="5"/>
  <c r="G36" i="30"/>
  <c r="AZ36" i="30" s="1"/>
  <c r="BU35" i="5"/>
  <c r="G35" i="30"/>
  <c r="AZ35" i="30" s="1"/>
  <c r="BY33" i="5"/>
  <c r="K33" i="30"/>
  <c r="BD33" i="30" s="1"/>
  <c r="BY31" i="5"/>
  <c r="K31" i="30"/>
  <c r="BD31" i="30" s="1"/>
  <c r="BX32" i="5"/>
  <c r="J32" i="30"/>
  <c r="BC32" i="30" s="1"/>
  <c r="BR7" i="30" a="1"/>
  <c r="BR7" i="30" s="1"/>
  <c r="DE27" i="5"/>
  <c r="CW19" i="5"/>
  <c r="CV28" i="5"/>
  <c r="CU25" i="5"/>
  <c r="DE23" i="5"/>
  <c r="DI19" i="5"/>
  <c r="CS19" i="5"/>
  <c r="CR16" i="5"/>
  <c r="CW15" i="5"/>
  <c r="CV12" i="5"/>
  <c r="CU9" i="5"/>
  <c r="CW30" i="5"/>
  <c r="CV27" i="5"/>
  <c r="CU24" i="5"/>
  <c r="DE22" i="5"/>
  <c r="DI18" i="5"/>
  <c r="CS18" i="5"/>
  <c r="CR15" i="5"/>
  <c r="CW14" i="5"/>
  <c r="CV11" i="5"/>
  <c r="CU8" i="5"/>
  <c r="DE41" i="5"/>
  <c r="DI37" i="5"/>
  <c r="CS37" i="5"/>
  <c r="CR34" i="5"/>
  <c r="CW33" i="5"/>
  <c r="CV30" i="5"/>
  <c r="CU27" i="5"/>
  <c r="DE25" i="5"/>
  <c r="DI21" i="5"/>
  <c r="CS21" i="5"/>
  <c r="CR18" i="5"/>
  <c r="CW17" i="5"/>
  <c r="CV14" i="5"/>
  <c r="CU11" i="5"/>
  <c r="DE9" i="5"/>
  <c r="CS28" i="5"/>
  <c r="CV25" i="5"/>
  <c r="CW20" i="5"/>
  <c r="CV17" i="5"/>
  <c r="CR13" i="5"/>
  <c r="CW8" i="5"/>
  <c r="CW28" i="5"/>
  <c r="CR25" i="5"/>
  <c r="CU22" i="5"/>
  <c r="DI20" i="5"/>
  <c r="CS16" i="5"/>
  <c r="DI12" i="5"/>
  <c r="CU21" i="5"/>
  <c r="DE19" i="5"/>
  <c r="DI15" i="5"/>
  <c r="CS15" i="5"/>
  <c r="CR12" i="5"/>
  <c r="CW11" i="5"/>
  <c r="CR8" i="5"/>
  <c r="DI30" i="5"/>
  <c r="CS30" i="5"/>
  <c r="CR27" i="5"/>
  <c r="CW26" i="5"/>
  <c r="CV23" i="5"/>
  <c r="CU20" i="5"/>
  <c r="DE18" i="5"/>
  <c r="DI14" i="5"/>
  <c r="CS14" i="5"/>
  <c r="CR11" i="5"/>
  <c r="CW10" i="5"/>
  <c r="CV42" i="5"/>
  <c r="CU39" i="5"/>
  <c r="DE37" i="5"/>
  <c r="DI33" i="5"/>
  <c r="CS33" i="5"/>
  <c r="CR30" i="5"/>
  <c r="CW29" i="5"/>
  <c r="CV26" i="5"/>
  <c r="CU23" i="5"/>
  <c r="DE21" i="5"/>
  <c r="DI17" i="5"/>
  <c r="CS17" i="5"/>
  <c r="CR14" i="5"/>
  <c r="CW13" i="5"/>
  <c r="CV10" i="5"/>
  <c r="CV29" i="5"/>
  <c r="CU26" i="5"/>
  <c r="DI24" i="5"/>
  <c r="CS20" i="5"/>
  <c r="CR17" i="5"/>
  <c r="CU14" i="5"/>
  <c r="DE12" i="5"/>
  <c r="CS8" i="5"/>
  <c r="CV8" i="5"/>
  <c r="DE24" i="5"/>
  <c r="CR28" i="5"/>
  <c r="CW27" i="5"/>
  <c r="CV24" i="5"/>
  <c r="DI27" i="5"/>
  <c r="CS27" i="5"/>
  <c r="CR24" i="5"/>
  <c r="CW23" i="5"/>
  <c r="CV20" i="5"/>
  <c r="CU17" i="5"/>
  <c r="DE15" i="5"/>
  <c r="DI11" i="5"/>
  <c r="CS11" i="5"/>
  <c r="DE30" i="5"/>
  <c r="DI26" i="5"/>
  <c r="CS26" i="5"/>
  <c r="CR23" i="5"/>
  <c r="CW22" i="5"/>
  <c r="CV19" i="5"/>
  <c r="CU16" i="5"/>
  <c r="DE14" i="5"/>
  <c r="DI10" i="5"/>
  <c r="CS10" i="5"/>
  <c r="CR42" i="5"/>
  <c r="CW41" i="5"/>
  <c r="CV38" i="5"/>
  <c r="CU35" i="5"/>
  <c r="DE33" i="5"/>
  <c r="DI29" i="5"/>
  <c r="CS29" i="5"/>
  <c r="CR26" i="5"/>
  <c r="CW25" i="5"/>
  <c r="CV22" i="5"/>
  <c r="CU19" i="5"/>
  <c r="DE17" i="5"/>
  <c r="DI13" i="5"/>
  <c r="CS13" i="5"/>
  <c r="CR10" i="5"/>
  <c r="CW9" i="5"/>
  <c r="CU30" i="5"/>
  <c r="DI28" i="5"/>
  <c r="CR21" i="5"/>
  <c r="CU18" i="5"/>
  <c r="DE16" i="5"/>
  <c r="CW12" i="5"/>
  <c r="CR9" i="5"/>
  <c r="CR29" i="5"/>
  <c r="CW24" i="5"/>
  <c r="DI16" i="5"/>
  <c r="CS12" i="5"/>
  <c r="CV9" i="5"/>
  <c r="CU29" i="5"/>
  <c r="DI23" i="5"/>
  <c r="CS23" i="5"/>
  <c r="CR20" i="5"/>
  <c r="CV16" i="5"/>
  <c r="CU13" i="5"/>
  <c r="DE11" i="5"/>
  <c r="CU28" i="5"/>
  <c r="DE26" i="5"/>
  <c r="DI22" i="5"/>
  <c r="CS22" i="5"/>
  <c r="CR19" i="5"/>
  <c r="CW18" i="5"/>
  <c r="CV15" i="5"/>
  <c r="CU12" i="5"/>
  <c r="DE10" i="5"/>
  <c r="DI41" i="5"/>
  <c r="CS41" i="5"/>
  <c r="CR38" i="5"/>
  <c r="CW37" i="5"/>
  <c r="CV34" i="5"/>
  <c r="CU31" i="5"/>
  <c r="DE29" i="5"/>
  <c r="DI25" i="5"/>
  <c r="CS25" i="5"/>
  <c r="CR22" i="5"/>
  <c r="CW21" i="5"/>
  <c r="CV18" i="5"/>
  <c r="CU15" i="5"/>
  <c r="DE13" i="5"/>
  <c r="DI9" i="5"/>
  <c r="CS9" i="5"/>
  <c r="CS24" i="5"/>
  <c r="DE20" i="5"/>
  <c r="CW16" i="5"/>
  <c r="DI8" i="5"/>
  <c r="DE28" i="5"/>
  <c r="CV21" i="5"/>
  <c r="CV13" i="5"/>
  <c r="CU10" i="5"/>
  <c r="DE8" i="5"/>
  <c r="BX43" i="5"/>
  <c r="CU43" i="5"/>
  <c r="BQ45" i="18"/>
  <c r="BQ43" i="18"/>
  <c r="BQ44" i="18"/>
  <c r="BQ42" i="18"/>
  <c r="CJ29" i="5"/>
  <c r="DG29" i="5"/>
  <c r="CD27" i="5"/>
  <c r="DA27" i="5"/>
  <c r="BS26" i="5"/>
  <c r="CP26" i="5"/>
  <c r="CC24" i="5"/>
  <c r="CZ24" i="5"/>
  <c r="BW22" i="5"/>
  <c r="CT22" i="5"/>
  <c r="CG20" i="5"/>
  <c r="DD20" i="5"/>
  <c r="CF17" i="5"/>
  <c r="DC17" i="5"/>
  <c r="CE14" i="5"/>
  <c r="DB14" i="5"/>
  <c r="BT13" i="5"/>
  <c r="CQ13" i="5"/>
  <c r="CI10" i="5"/>
  <c r="DF10" i="5"/>
  <c r="CC8" i="5"/>
  <c r="CZ8" i="5"/>
  <c r="CD30" i="5"/>
  <c r="DA30" i="5"/>
  <c r="BS29" i="5"/>
  <c r="CP29" i="5"/>
  <c r="BR26" i="5"/>
  <c r="CO26" i="5"/>
  <c r="CB24" i="5"/>
  <c r="CY24" i="5"/>
  <c r="CA21" i="5"/>
  <c r="CX21" i="5"/>
  <c r="CK19" i="5"/>
  <c r="DH19" i="5"/>
  <c r="CE17" i="5"/>
  <c r="DB17" i="5"/>
  <c r="BT16" i="5"/>
  <c r="CQ16" i="5"/>
  <c r="CI13" i="5"/>
  <c r="DF13" i="5"/>
  <c r="CC11" i="5"/>
  <c r="CZ11" i="5"/>
  <c r="BW9" i="5"/>
  <c r="CT9" i="5"/>
  <c r="CB43" i="5"/>
  <c r="CY43" i="5"/>
  <c r="CA40" i="5"/>
  <c r="CX40" i="5"/>
  <c r="CK38" i="5"/>
  <c r="DH38" i="5"/>
  <c r="CJ35" i="5"/>
  <c r="DG35" i="5"/>
  <c r="CD33" i="5"/>
  <c r="DA33" i="5"/>
  <c r="BS32" i="5"/>
  <c r="CP32" i="5"/>
  <c r="BR29" i="5"/>
  <c r="CO29" i="5"/>
  <c r="CB27" i="5"/>
  <c r="CY27" i="5"/>
  <c r="CF23" i="5"/>
  <c r="DC23" i="5"/>
  <c r="CA30" i="5"/>
  <c r="CX30" i="5"/>
  <c r="CF29" i="5"/>
  <c r="DC29" i="5"/>
  <c r="CK28" i="5"/>
  <c r="DH28" i="5"/>
  <c r="CE26" i="5"/>
  <c r="DB26" i="5"/>
  <c r="CJ25" i="5"/>
  <c r="DG25" i="5"/>
  <c r="BT25" i="5"/>
  <c r="CQ25" i="5"/>
  <c r="CD23" i="5"/>
  <c r="DA23" i="5"/>
  <c r="CI22" i="5"/>
  <c r="DF22" i="5"/>
  <c r="BS22" i="5"/>
  <c r="CP22" i="5"/>
  <c r="CC20" i="5"/>
  <c r="CZ20" i="5"/>
  <c r="BR19" i="5"/>
  <c r="CO19" i="5"/>
  <c r="BW18" i="5"/>
  <c r="CT18" i="5"/>
  <c r="CB17" i="5"/>
  <c r="CY17" i="5"/>
  <c r="CG16" i="5"/>
  <c r="DD16" i="5"/>
  <c r="CA14" i="5"/>
  <c r="CX14" i="5"/>
  <c r="CF13" i="5"/>
  <c r="DC13" i="5"/>
  <c r="CK12" i="5"/>
  <c r="DH12" i="5"/>
  <c r="CE10" i="5"/>
  <c r="DB10" i="5"/>
  <c r="CJ9" i="5"/>
  <c r="DG9" i="5"/>
  <c r="BT9" i="5"/>
  <c r="CQ9" i="5"/>
  <c r="CE29" i="5"/>
  <c r="DB29" i="5"/>
  <c r="CJ28" i="5"/>
  <c r="DG28" i="5"/>
  <c r="BT28" i="5"/>
  <c r="CQ28" i="5"/>
  <c r="CD26" i="5"/>
  <c r="DA26" i="5"/>
  <c r="CI25" i="5"/>
  <c r="DF25" i="5"/>
  <c r="BS25" i="5"/>
  <c r="CP25" i="5"/>
  <c r="CC23" i="5"/>
  <c r="CZ23" i="5"/>
  <c r="BR22" i="5"/>
  <c r="CO22" i="5"/>
  <c r="BW21" i="5"/>
  <c r="CT21" i="5"/>
  <c r="CB20" i="5"/>
  <c r="CY20" i="5"/>
  <c r="CG19" i="5"/>
  <c r="DD19" i="5"/>
  <c r="CA17" i="5"/>
  <c r="CX17" i="5"/>
  <c r="CF16" i="5"/>
  <c r="DC16" i="5"/>
  <c r="CK15" i="5"/>
  <c r="DH15" i="5"/>
  <c r="CE13" i="5"/>
  <c r="DB13" i="5"/>
  <c r="CJ12" i="5"/>
  <c r="DG12" i="5"/>
  <c r="BT12" i="5"/>
  <c r="CQ12" i="5"/>
  <c r="CD10" i="5"/>
  <c r="DA10" i="5"/>
  <c r="CI9" i="5"/>
  <c r="DF9" i="5"/>
  <c r="BS9" i="5"/>
  <c r="CP9" i="5"/>
  <c r="CI44" i="5"/>
  <c r="DF44" i="5"/>
  <c r="BS44" i="5"/>
  <c r="CP44" i="5"/>
  <c r="CC42" i="5"/>
  <c r="CZ42" i="5"/>
  <c r="BR41" i="5"/>
  <c r="CO41" i="5"/>
  <c r="BW40" i="5"/>
  <c r="CT40" i="5"/>
  <c r="CB39" i="5"/>
  <c r="CY39" i="5"/>
  <c r="CG38" i="5"/>
  <c r="DD38" i="5"/>
  <c r="CA36" i="5"/>
  <c r="CX36" i="5"/>
  <c r="CF35" i="5"/>
  <c r="DC35" i="5"/>
  <c r="CK34" i="5"/>
  <c r="DH34" i="5"/>
  <c r="CE32" i="5"/>
  <c r="DB32" i="5"/>
  <c r="CJ31" i="5"/>
  <c r="DG31" i="5"/>
  <c r="BT31" i="5"/>
  <c r="CQ31" i="5"/>
  <c r="CD29" i="5"/>
  <c r="DA29" i="5"/>
  <c r="CI28" i="5"/>
  <c r="DF28" i="5"/>
  <c r="BS28" i="5"/>
  <c r="CP28" i="5"/>
  <c r="CC26" i="5"/>
  <c r="CZ26" i="5"/>
  <c r="BR25" i="5"/>
  <c r="CO25" i="5"/>
  <c r="BW24" i="5"/>
  <c r="CT24" i="5"/>
  <c r="CB23" i="5"/>
  <c r="CY23" i="5"/>
  <c r="CG22" i="5"/>
  <c r="DD22" i="5"/>
  <c r="CA20" i="5"/>
  <c r="CX20" i="5"/>
  <c r="CF19" i="5"/>
  <c r="DC19" i="5"/>
  <c r="CK18" i="5"/>
  <c r="DH18" i="5"/>
  <c r="CE16" i="5"/>
  <c r="DB16" i="5"/>
  <c r="CJ15" i="5"/>
  <c r="DG15" i="5"/>
  <c r="BT15" i="5"/>
  <c r="CQ15" i="5"/>
  <c r="CD13" i="5"/>
  <c r="DA13" i="5"/>
  <c r="CI12" i="5"/>
  <c r="DF12" i="5"/>
  <c r="BS12" i="5"/>
  <c r="CP12" i="5"/>
  <c r="CC10" i="5"/>
  <c r="CZ10" i="5"/>
  <c r="BR9" i="5"/>
  <c r="CO9" i="5"/>
  <c r="BW8" i="5"/>
  <c r="CT8" i="5"/>
  <c r="CF30" i="5"/>
  <c r="DC30" i="5"/>
  <c r="CG29" i="5"/>
  <c r="DD29" i="5"/>
  <c r="CF26" i="5"/>
  <c r="DC26" i="5"/>
  <c r="CI23" i="5"/>
  <c r="DF23" i="5"/>
  <c r="BT22" i="5"/>
  <c r="CQ22" i="5"/>
  <c r="BS19" i="5"/>
  <c r="CP19" i="5"/>
  <c r="BR16" i="5"/>
  <c r="CO16" i="5"/>
  <c r="CF14" i="5"/>
  <c r="DC14" i="5"/>
  <c r="CE11" i="5"/>
  <c r="DB11" i="5"/>
  <c r="BT10" i="5"/>
  <c r="CQ10" i="5"/>
  <c r="BT30" i="5"/>
  <c r="CQ30" i="5"/>
  <c r="CJ26" i="5"/>
  <c r="DG26" i="5"/>
  <c r="CE23" i="5"/>
  <c r="DB23" i="5"/>
  <c r="BW19" i="5"/>
  <c r="CT19" i="5"/>
  <c r="CK17" i="5"/>
  <c r="DH17" i="5"/>
  <c r="CB14" i="5"/>
  <c r="CY14" i="5"/>
  <c r="CA11" i="5"/>
  <c r="CX11" i="5"/>
  <c r="CK9" i="5"/>
  <c r="DH9" i="5"/>
  <c r="CD8" i="5"/>
  <c r="DA8" i="5"/>
  <c r="CB29" i="5"/>
  <c r="CY29" i="5"/>
  <c r="CA26" i="5"/>
  <c r="CX26" i="5"/>
  <c r="CK24" i="5"/>
  <c r="DH24" i="5"/>
  <c r="CJ21" i="5"/>
  <c r="DG21" i="5"/>
  <c r="CD19" i="5"/>
  <c r="DA19" i="5"/>
  <c r="BS18" i="5"/>
  <c r="CP18" i="5"/>
  <c r="BR15" i="5"/>
  <c r="CO15" i="5"/>
  <c r="CB13" i="5"/>
  <c r="CY13" i="5"/>
  <c r="CF9" i="5"/>
  <c r="DC9" i="5"/>
  <c r="CA29" i="5"/>
  <c r="CX29" i="5"/>
  <c r="CK27" i="5"/>
  <c r="DH27" i="5"/>
  <c r="CJ24" i="5"/>
  <c r="DG24" i="5"/>
  <c r="CD22" i="5"/>
  <c r="DA22" i="5"/>
  <c r="BS21" i="5"/>
  <c r="CP21" i="5"/>
  <c r="BR18" i="5"/>
  <c r="CO18" i="5"/>
  <c r="CB16" i="5"/>
  <c r="CY16" i="5"/>
  <c r="CA13" i="5"/>
  <c r="CX13" i="5"/>
  <c r="CK11" i="5"/>
  <c r="DH11" i="5"/>
  <c r="CJ8" i="5"/>
  <c r="DG8" i="5"/>
  <c r="CJ43" i="5"/>
  <c r="DG43" i="5"/>
  <c r="CD41" i="5"/>
  <c r="DA41" i="5"/>
  <c r="BS40" i="5"/>
  <c r="CP40" i="5"/>
  <c r="BR37" i="5"/>
  <c r="CO37" i="5"/>
  <c r="CB35" i="5"/>
  <c r="CY35" i="5"/>
  <c r="CA32" i="5"/>
  <c r="CX32" i="5"/>
  <c r="CK30" i="5"/>
  <c r="DH30" i="5"/>
  <c r="CE28" i="5"/>
  <c r="DB28" i="5"/>
  <c r="BT27" i="5"/>
  <c r="CQ27" i="5"/>
  <c r="CD25" i="5"/>
  <c r="DA25" i="5"/>
  <c r="CI24" i="5"/>
  <c r="DF24" i="5"/>
  <c r="BS24" i="5"/>
  <c r="CP24" i="5"/>
  <c r="CC22" i="5"/>
  <c r="CZ22" i="5"/>
  <c r="BR21" i="5"/>
  <c r="CO21" i="5"/>
  <c r="BW20" i="5"/>
  <c r="CT20" i="5"/>
  <c r="CB19" i="5"/>
  <c r="CY19" i="5"/>
  <c r="CG18" i="5"/>
  <c r="DD18" i="5"/>
  <c r="CA16" i="5"/>
  <c r="CX16" i="5"/>
  <c r="CF15" i="5"/>
  <c r="DC15" i="5"/>
  <c r="CK14" i="5"/>
  <c r="DH14" i="5"/>
  <c r="CE12" i="5"/>
  <c r="DB12" i="5"/>
  <c r="CJ11" i="5"/>
  <c r="DG11" i="5"/>
  <c r="BT11" i="5"/>
  <c r="CQ11" i="5"/>
  <c r="CD9" i="5"/>
  <c r="DA9" i="5"/>
  <c r="BS8" i="5"/>
  <c r="CP8" i="5"/>
  <c r="CB30" i="5"/>
  <c r="CY30" i="5"/>
  <c r="CI27" i="5"/>
  <c r="DF27" i="5"/>
  <c r="CA23" i="5"/>
  <c r="CX23" i="5"/>
  <c r="CC21" i="5"/>
  <c r="CZ21" i="5"/>
  <c r="CF18" i="5"/>
  <c r="DC18" i="5"/>
  <c r="CE15" i="5"/>
  <c r="DB15" i="5"/>
  <c r="BW11" i="5"/>
  <c r="CT11" i="5"/>
  <c r="CC9" i="5"/>
  <c r="CZ9" i="5"/>
  <c r="CC29" i="5"/>
  <c r="CZ29" i="5"/>
  <c r="BR28" i="5"/>
  <c r="CO28" i="5"/>
  <c r="CB26" i="5"/>
  <c r="CY26" i="5"/>
  <c r="BW23" i="5"/>
  <c r="CT23" i="5"/>
  <c r="CK21" i="5"/>
  <c r="DH21" i="5"/>
  <c r="CD20" i="5"/>
  <c r="DA20" i="5"/>
  <c r="CJ18" i="5"/>
  <c r="DG18" i="5"/>
  <c r="CC17" i="5"/>
  <c r="CZ17" i="5"/>
  <c r="CI15" i="5"/>
  <c r="DF15" i="5"/>
  <c r="BT14" i="5"/>
  <c r="CQ14" i="5"/>
  <c r="CD12" i="5"/>
  <c r="DA12" i="5"/>
  <c r="BS11" i="5"/>
  <c r="CP11" i="5"/>
  <c r="CG9" i="5"/>
  <c r="DD9" i="5"/>
  <c r="BR8" i="5"/>
  <c r="CO8" i="5"/>
  <c r="BW30" i="5"/>
  <c r="CT30" i="5"/>
  <c r="CG28" i="5"/>
  <c r="DD28" i="5"/>
  <c r="CF25" i="5"/>
  <c r="DC25" i="5"/>
  <c r="CE22" i="5"/>
  <c r="DB22" i="5"/>
  <c r="BT21" i="5"/>
  <c r="CQ21" i="5"/>
  <c r="CI18" i="5"/>
  <c r="DF18" i="5"/>
  <c r="CC16" i="5"/>
  <c r="CZ16" i="5"/>
  <c r="BW14" i="5"/>
  <c r="CT14" i="5"/>
  <c r="CG12" i="5"/>
  <c r="DD12" i="5"/>
  <c r="CA10" i="5"/>
  <c r="CX10" i="5"/>
  <c r="CK8" i="5"/>
  <c r="DH8" i="5"/>
  <c r="CF28" i="5"/>
  <c r="DC28" i="5"/>
  <c r="CE25" i="5"/>
  <c r="DB25" i="5"/>
  <c r="BT24" i="5"/>
  <c r="CQ24" i="5"/>
  <c r="CI21" i="5"/>
  <c r="DF21" i="5"/>
  <c r="CC19" i="5"/>
  <c r="CZ19" i="5"/>
  <c r="BW17" i="5"/>
  <c r="CT17" i="5"/>
  <c r="CG15" i="5"/>
  <c r="DD15" i="5"/>
  <c r="CF12" i="5"/>
  <c r="DC12" i="5"/>
  <c r="CE9" i="5"/>
  <c r="DB9" i="5"/>
  <c r="BT8" i="5"/>
  <c r="CQ8" i="5"/>
  <c r="CE44" i="5"/>
  <c r="DB44" i="5"/>
  <c r="BT43" i="5"/>
  <c r="CQ43" i="5"/>
  <c r="CI40" i="5"/>
  <c r="DF40" i="5"/>
  <c r="CC38" i="5"/>
  <c r="CZ38" i="5"/>
  <c r="BW36" i="5"/>
  <c r="CT36" i="5"/>
  <c r="CG34" i="5"/>
  <c r="DD34" i="5"/>
  <c r="CF31" i="5"/>
  <c r="DC31" i="5"/>
  <c r="CJ27" i="5"/>
  <c r="DG27" i="5"/>
  <c r="CI8" i="5"/>
  <c r="DF8" i="5"/>
  <c r="CI30" i="5"/>
  <c r="DF30" i="5"/>
  <c r="BS30" i="5"/>
  <c r="CP30" i="5"/>
  <c r="CC28" i="5"/>
  <c r="CZ28" i="5"/>
  <c r="BR27" i="5"/>
  <c r="CO27" i="5"/>
  <c r="BW26" i="5"/>
  <c r="CT26" i="5"/>
  <c r="CB25" i="5"/>
  <c r="CY25" i="5"/>
  <c r="CG24" i="5"/>
  <c r="DD24" i="5"/>
  <c r="CA22" i="5"/>
  <c r="CX22" i="5"/>
  <c r="CF21" i="5"/>
  <c r="DC21" i="5"/>
  <c r="CK20" i="5"/>
  <c r="DH20" i="5"/>
  <c r="CE18" i="5"/>
  <c r="DB18" i="5"/>
  <c r="CJ17" i="5"/>
  <c r="DG17" i="5"/>
  <c r="BT17" i="5"/>
  <c r="CQ17" i="5"/>
  <c r="CD15" i="5"/>
  <c r="DA15" i="5"/>
  <c r="CI14" i="5"/>
  <c r="DF14" i="5"/>
  <c r="BS14" i="5"/>
  <c r="CP14" i="5"/>
  <c r="CC12" i="5"/>
  <c r="CZ12" i="5"/>
  <c r="BR11" i="5"/>
  <c r="CO11" i="5"/>
  <c r="BW10" i="5"/>
  <c r="CT10" i="5"/>
  <c r="CB9" i="5"/>
  <c r="CY9" i="5"/>
  <c r="CG8" i="5"/>
  <c r="DD8" i="5"/>
  <c r="BR30" i="5"/>
  <c r="CO30" i="5"/>
  <c r="BW29" i="5"/>
  <c r="CT29" i="5"/>
  <c r="CB28" i="5"/>
  <c r="CY28" i="5"/>
  <c r="CG27" i="5"/>
  <c r="DD27" i="5"/>
  <c r="CA25" i="5"/>
  <c r="CX25" i="5"/>
  <c r="CF24" i="5"/>
  <c r="DC24" i="5"/>
  <c r="CK23" i="5"/>
  <c r="DH23" i="5"/>
  <c r="CE21" i="5"/>
  <c r="DB21" i="5"/>
  <c r="CJ20" i="5"/>
  <c r="DG20" i="5"/>
  <c r="BT20" i="5"/>
  <c r="CQ20" i="5"/>
  <c r="CD18" i="5"/>
  <c r="DA18" i="5"/>
  <c r="CI17" i="5"/>
  <c r="DF17" i="5"/>
  <c r="BS17" i="5"/>
  <c r="CP17" i="5"/>
  <c r="CC15" i="5"/>
  <c r="CZ15" i="5"/>
  <c r="BR14" i="5"/>
  <c r="CO14" i="5"/>
  <c r="BW13" i="5"/>
  <c r="CT13" i="5"/>
  <c r="CB12" i="5"/>
  <c r="CY12" i="5"/>
  <c r="CG11" i="5"/>
  <c r="DD11" i="5"/>
  <c r="CA9" i="5"/>
  <c r="CX9" i="5"/>
  <c r="CF8" i="5"/>
  <c r="DC8" i="5"/>
  <c r="CA44" i="5"/>
  <c r="CX44" i="5"/>
  <c r="CF43" i="5"/>
  <c r="DC43" i="5"/>
  <c r="CK42" i="5"/>
  <c r="DH42" i="5"/>
  <c r="CE40" i="5"/>
  <c r="DB40" i="5"/>
  <c r="CJ39" i="5"/>
  <c r="DG39" i="5"/>
  <c r="BT39" i="5"/>
  <c r="CQ39" i="5"/>
  <c r="CD37" i="5"/>
  <c r="DA37" i="5"/>
  <c r="CI36" i="5"/>
  <c r="DF36" i="5"/>
  <c r="BS36" i="5"/>
  <c r="CP36" i="5"/>
  <c r="CC34" i="5"/>
  <c r="CZ34" i="5"/>
  <c r="BR33" i="5"/>
  <c r="CO33" i="5"/>
  <c r="BW32" i="5"/>
  <c r="CT32" i="5"/>
  <c r="CB31" i="5"/>
  <c r="CY31" i="5"/>
  <c r="CG30" i="5"/>
  <c r="DD30" i="5"/>
  <c r="CA28" i="5"/>
  <c r="CX28" i="5"/>
  <c r="CF27" i="5"/>
  <c r="DC27" i="5"/>
  <c r="CK26" i="5"/>
  <c r="DH26" i="5"/>
  <c r="CE24" i="5"/>
  <c r="DB24" i="5"/>
  <c r="CJ23" i="5"/>
  <c r="DG23" i="5"/>
  <c r="BT23" i="5"/>
  <c r="CQ23" i="5"/>
  <c r="CD21" i="5"/>
  <c r="DA21" i="5"/>
  <c r="CI20" i="5"/>
  <c r="DF20" i="5"/>
  <c r="BS20" i="5"/>
  <c r="CP20" i="5"/>
  <c r="CC18" i="5"/>
  <c r="CZ18" i="5"/>
  <c r="BR17" i="5"/>
  <c r="CO17" i="5"/>
  <c r="BW16" i="5"/>
  <c r="CT16" i="5"/>
  <c r="CB15" i="5"/>
  <c r="CY15" i="5"/>
  <c r="CG14" i="5"/>
  <c r="DD14" i="5"/>
  <c r="CA12" i="5"/>
  <c r="CX12" i="5"/>
  <c r="CF11" i="5"/>
  <c r="DC11" i="5"/>
  <c r="CK10" i="5"/>
  <c r="DH10" i="5"/>
  <c r="CE8" i="5"/>
  <c r="DB8" i="5"/>
  <c r="CA27" i="5"/>
  <c r="CX27" i="5"/>
  <c r="BT26" i="5"/>
  <c r="CQ26" i="5"/>
  <c r="CD24" i="5"/>
  <c r="DA24" i="5"/>
  <c r="BS23" i="5"/>
  <c r="CP23" i="5"/>
  <c r="CI19" i="5"/>
  <c r="DF19" i="5"/>
  <c r="BW15" i="5"/>
  <c r="CT15" i="5"/>
  <c r="CK13" i="5"/>
  <c r="DH13" i="5"/>
  <c r="CJ10" i="5"/>
  <c r="DG10" i="5"/>
  <c r="CE27" i="5"/>
  <c r="DB27" i="5"/>
  <c r="CK25" i="5"/>
  <c r="DH25" i="5"/>
  <c r="CJ22" i="5"/>
  <c r="DG22" i="5"/>
  <c r="CG21" i="5"/>
  <c r="DD21" i="5"/>
  <c r="BR20" i="5"/>
  <c r="CO20" i="5"/>
  <c r="CB18" i="5"/>
  <c r="CY18" i="5"/>
  <c r="CA15" i="5"/>
  <c r="CX15" i="5"/>
  <c r="CG13" i="5"/>
  <c r="DD13" i="5"/>
  <c r="CF10" i="5"/>
  <c r="DC10" i="5"/>
  <c r="CE30" i="5"/>
  <c r="DB30" i="5"/>
  <c r="BT29" i="5"/>
  <c r="CQ29" i="5"/>
  <c r="CI26" i="5"/>
  <c r="DF26" i="5"/>
  <c r="BR23" i="5"/>
  <c r="CO23" i="5"/>
  <c r="CB21" i="5"/>
  <c r="CY21" i="5"/>
  <c r="CA18" i="5"/>
  <c r="CX18" i="5"/>
  <c r="CK16" i="5"/>
  <c r="DH16" i="5"/>
  <c r="CJ13" i="5"/>
  <c r="DG13" i="5"/>
  <c r="CD11" i="5"/>
  <c r="DA11" i="5"/>
  <c r="BS10" i="5"/>
  <c r="CP10" i="5"/>
  <c r="CI29" i="5"/>
  <c r="DF29" i="5"/>
  <c r="CC27" i="5"/>
  <c r="CZ27" i="5"/>
  <c r="BW25" i="5"/>
  <c r="CT25" i="5"/>
  <c r="CG23" i="5"/>
  <c r="DD23" i="5"/>
  <c r="CF20" i="5"/>
  <c r="DC20" i="5"/>
  <c r="CJ16" i="5"/>
  <c r="DG16" i="5"/>
  <c r="CD14" i="5"/>
  <c r="DA14" i="5"/>
  <c r="BS13" i="5"/>
  <c r="CP13" i="5"/>
  <c r="BR10" i="5"/>
  <c r="CO10" i="5"/>
  <c r="CB8" i="5"/>
  <c r="CY8" i="5"/>
  <c r="BW44" i="5"/>
  <c r="CT44" i="5"/>
  <c r="CG42" i="5"/>
  <c r="DD42" i="5"/>
  <c r="CF39" i="5"/>
  <c r="DC39" i="5"/>
  <c r="CE36" i="5"/>
  <c r="DB36" i="5"/>
  <c r="BT35" i="5"/>
  <c r="CQ35" i="5"/>
  <c r="CI32" i="5"/>
  <c r="DF32" i="5"/>
  <c r="CC30" i="5"/>
  <c r="CZ30" i="5"/>
  <c r="BW28" i="5"/>
  <c r="CT28" i="5"/>
  <c r="CG26" i="5"/>
  <c r="DD26" i="5"/>
  <c r="CA24" i="5"/>
  <c r="CX24" i="5"/>
  <c r="CK22" i="5"/>
  <c r="DH22" i="5"/>
  <c r="CE20" i="5"/>
  <c r="DB20" i="5"/>
  <c r="CJ19" i="5"/>
  <c r="DG19" i="5"/>
  <c r="BT19" i="5"/>
  <c r="CQ19" i="5"/>
  <c r="CD17" i="5"/>
  <c r="DA17" i="5"/>
  <c r="CI16" i="5"/>
  <c r="DF16" i="5"/>
  <c r="BS16" i="5"/>
  <c r="CP16" i="5"/>
  <c r="CC14" i="5"/>
  <c r="CZ14" i="5"/>
  <c r="BR13" i="5"/>
  <c r="CO13" i="5"/>
  <c r="BW12" i="5"/>
  <c r="CT12" i="5"/>
  <c r="CB11" i="5"/>
  <c r="CY11" i="5"/>
  <c r="CG10" i="5"/>
  <c r="DD10" i="5"/>
  <c r="CA8" i="5"/>
  <c r="CX8" i="5"/>
  <c r="CJ30" i="5"/>
  <c r="DG30" i="5"/>
  <c r="CK29" i="5"/>
  <c r="DH29" i="5"/>
  <c r="CD28" i="5"/>
  <c r="DA28" i="5"/>
  <c r="BS27" i="5"/>
  <c r="CP27" i="5"/>
  <c r="CG25" i="5"/>
  <c r="DD25" i="5"/>
  <c r="CB22" i="5"/>
  <c r="CY22" i="5"/>
  <c r="CA19" i="5"/>
  <c r="CX19" i="5"/>
  <c r="CG17" i="5"/>
  <c r="DD17" i="5"/>
  <c r="BS15" i="5"/>
  <c r="CP15" i="5"/>
  <c r="CC13" i="5"/>
  <c r="CZ13" i="5"/>
  <c r="BR12" i="5"/>
  <c r="CO12" i="5"/>
  <c r="CB10" i="5"/>
  <c r="CY10" i="5"/>
  <c r="BW27" i="5"/>
  <c r="CT27" i="5"/>
  <c r="CC25" i="5"/>
  <c r="CZ25" i="5"/>
  <c r="BR24" i="5"/>
  <c r="CO24" i="5"/>
  <c r="CF22" i="5"/>
  <c r="DC22" i="5"/>
  <c r="CE19" i="5"/>
  <c r="DB19" i="5"/>
  <c r="BT18" i="5"/>
  <c r="CQ18" i="5"/>
  <c r="CD16" i="5"/>
  <c r="DA16" i="5"/>
  <c r="CJ14" i="5"/>
  <c r="DG14" i="5"/>
  <c r="CI11" i="5"/>
  <c r="DF11" i="5"/>
  <c r="BQ35" i="13"/>
  <c r="DJ45" i="5"/>
  <c r="I78" i="9" s="1"/>
  <c r="BQ40" i="13"/>
  <c r="BQ39" i="13"/>
  <c r="BQ34" i="13"/>
  <c r="BQ32" i="13"/>
  <c r="BQ42" i="13"/>
  <c r="BQ36" i="13"/>
  <c r="BQ33" i="13"/>
  <c r="BQ38" i="13"/>
  <c r="BQ37" i="13"/>
  <c r="BQ41" i="13"/>
  <c r="BQ42" i="14"/>
  <c r="BQ45" i="14"/>
  <c r="BQ43" i="14"/>
  <c r="BQ44" i="14"/>
  <c r="BR36" i="30" l="1" a="1"/>
  <c r="BR36" i="30" s="1"/>
  <c r="BR40" i="30" a="1"/>
  <c r="BR40" i="30" s="1"/>
  <c r="BR32" i="30" a="1"/>
  <c r="BR32" i="30" s="1"/>
  <c r="BX10" i="5"/>
  <c r="J10" i="30"/>
  <c r="BC10" i="30" s="1"/>
  <c r="BY21" i="5"/>
  <c r="K21" i="30"/>
  <c r="BD21" i="30" s="1"/>
  <c r="CL8" i="5"/>
  <c r="X8" i="30"/>
  <c r="BQ8" i="30" s="1"/>
  <c r="CH20" i="5"/>
  <c r="T20" i="30"/>
  <c r="BM20" i="30" s="1"/>
  <c r="BV9" i="5"/>
  <c r="H9" i="30"/>
  <c r="BA9" i="30" s="1"/>
  <c r="CH13" i="5"/>
  <c r="T13" i="30"/>
  <c r="BM13" i="30" s="1"/>
  <c r="BY18" i="5"/>
  <c r="K18" i="30"/>
  <c r="BD18" i="30" s="1"/>
  <c r="BU22" i="5"/>
  <c r="G22" i="30"/>
  <c r="AZ22" i="30" s="1"/>
  <c r="CL25" i="5"/>
  <c r="X25" i="30"/>
  <c r="BQ25" i="30" s="1"/>
  <c r="BX31" i="5"/>
  <c r="J31" i="30"/>
  <c r="BC31" i="30" s="1"/>
  <c r="BR31" i="30" s="1" a="1"/>
  <c r="BR31" i="30" s="1"/>
  <c r="BZ37" i="5"/>
  <c r="L37" i="30"/>
  <c r="BE37" i="30" s="1"/>
  <c r="BV41" i="5"/>
  <c r="H41" i="30"/>
  <c r="BA41" i="30" s="1"/>
  <c r="CH10" i="5"/>
  <c r="T10" i="30"/>
  <c r="BM10" i="30" s="1"/>
  <c r="BY15" i="5"/>
  <c r="K15" i="30"/>
  <c r="BD15" i="30" s="1"/>
  <c r="BU19" i="5"/>
  <c r="G19" i="30"/>
  <c r="AZ19" i="30" s="1"/>
  <c r="CL22" i="5"/>
  <c r="X22" i="30"/>
  <c r="BQ22" i="30" s="1"/>
  <c r="BX28" i="5"/>
  <c r="J28" i="30"/>
  <c r="BC28" i="30" s="1"/>
  <c r="BX13" i="5"/>
  <c r="J13" i="30"/>
  <c r="BC13" i="30" s="1"/>
  <c r="BU20" i="5"/>
  <c r="G20" i="30"/>
  <c r="AZ20" i="30" s="1"/>
  <c r="CL23" i="5"/>
  <c r="X23" i="30"/>
  <c r="BQ23" i="30" s="1"/>
  <c r="BY9" i="5"/>
  <c r="K9" i="30"/>
  <c r="BD9" i="30" s="1"/>
  <c r="CL16" i="5"/>
  <c r="X16" i="30"/>
  <c r="BQ16" i="30" s="1"/>
  <c r="BU29" i="5"/>
  <c r="G29" i="30"/>
  <c r="AZ29" i="30" s="1"/>
  <c r="BZ12" i="5"/>
  <c r="L12" i="30"/>
  <c r="BE12" i="30" s="1"/>
  <c r="BX18" i="5"/>
  <c r="J18" i="30"/>
  <c r="BC18" i="30" s="1"/>
  <c r="CL28" i="5"/>
  <c r="X28" i="30"/>
  <c r="BQ28" i="30" s="1"/>
  <c r="BZ9" i="5"/>
  <c r="L9" i="30"/>
  <c r="BE9" i="30" s="1"/>
  <c r="BV13" i="5"/>
  <c r="H13" i="30"/>
  <c r="BA13" i="30" s="1"/>
  <c r="CH17" i="5"/>
  <c r="T17" i="30"/>
  <c r="BM17" i="30" s="1"/>
  <c r="BY22" i="5"/>
  <c r="K22" i="30"/>
  <c r="BD22" i="30" s="1"/>
  <c r="BU26" i="5"/>
  <c r="G26" i="30"/>
  <c r="AZ26" i="30" s="1"/>
  <c r="CL29" i="5"/>
  <c r="X29" i="30"/>
  <c r="BQ29" i="30" s="1"/>
  <c r="BX35" i="5"/>
  <c r="J35" i="30"/>
  <c r="BC35" i="30" s="1"/>
  <c r="BR35" i="30" s="1" a="1"/>
  <c r="BR35" i="30" s="1"/>
  <c r="BZ41" i="5"/>
  <c r="L41" i="30"/>
  <c r="BE41" i="30" s="1"/>
  <c r="BV10" i="5"/>
  <c r="H10" i="30"/>
  <c r="BA10" i="30" s="1"/>
  <c r="CH14" i="5"/>
  <c r="T14" i="30"/>
  <c r="BM14" i="30" s="1"/>
  <c r="BY19" i="5"/>
  <c r="K19" i="30"/>
  <c r="BD19" i="30" s="1"/>
  <c r="BU23" i="5"/>
  <c r="G23" i="30"/>
  <c r="AZ23" i="30" s="1"/>
  <c r="CL26" i="5"/>
  <c r="X26" i="30"/>
  <c r="BQ26" i="30" s="1"/>
  <c r="BV11" i="5"/>
  <c r="H11" i="30"/>
  <c r="BA11" i="30" s="1"/>
  <c r="CH15" i="5"/>
  <c r="T15" i="30"/>
  <c r="BM15" i="30" s="1"/>
  <c r="BY20" i="5"/>
  <c r="K20" i="30"/>
  <c r="BD20" i="30" s="1"/>
  <c r="BU24" i="5"/>
  <c r="G24" i="30"/>
  <c r="AZ24" i="30" s="1"/>
  <c r="CL27" i="5"/>
  <c r="X27" i="30"/>
  <c r="BQ27" i="30" s="1"/>
  <c r="BZ27" i="5"/>
  <c r="L27" i="30"/>
  <c r="BE27" i="30" s="1"/>
  <c r="CH24" i="5"/>
  <c r="T24" i="30"/>
  <c r="BM24" i="30" s="1"/>
  <c r="BV8" i="5"/>
  <c r="H8" i="30"/>
  <c r="BA8" i="30" s="1"/>
  <c r="BX14" i="5"/>
  <c r="J14" i="30"/>
  <c r="BC14" i="30" s="1"/>
  <c r="BV20" i="5"/>
  <c r="H20" i="30"/>
  <c r="BA20" i="30" s="1"/>
  <c r="BX26" i="5"/>
  <c r="J26" i="30"/>
  <c r="BC26" i="30" s="1"/>
  <c r="BY10" i="5"/>
  <c r="K10" i="30"/>
  <c r="BD10" i="30" s="1"/>
  <c r="BU14" i="5"/>
  <c r="G14" i="30"/>
  <c r="AZ14" i="30" s="1"/>
  <c r="CL17" i="5"/>
  <c r="X17" i="30"/>
  <c r="BQ17" i="30" s="1"/>
  <c r="BX23" i="5"/>
  <c r="J23" i="30"/>
  <c r="BC23" i="30" s="1"/>
  <c r="BZ29" i="5"/>
  <c r="L29" i="30"/>
  <c r="BE29" i="30" s="1"/>
  <c r="BV33" i="5"/>
  <c r="H33" i="30"/>
  <c r="BA33" i="30" s="1"/>
  <c r="CH37" i="5"/>
  <c r="T37" i="30"/>
  <c r="BM37" i="30" s="1"/>
  <c r="BY42" i="5"/>
  <c r="K42" i="30"/>
  <c r="BD42" i="30" s="1"/>
  <c r="BU11" i="5"/>
  <c r="G11" i="30"/>
  <c r="AZ11" i="30" s="1"/>
  <c r="CL14" i="5"/>
  <c r="X14" i="30"/>
  <c r="BQ14" i="30" s="1"/>
  <c r="BX20" i="5"/>
  <c r="J20" i="30"/>
  <c r="BC20" i="30" s="1"/>
  <c r="BZ26" i="5"/>
  <c r="L26" i="30"/>
  <c r="BE26" i="30" s="1"/>
  <c r="BV30" i="5"/>
  <c r="H30" i="30"/>
  <c r="BA30" i="30" s="1"/>
  <c r="BU8" i="5"/>
  <c r="G8" i="30"/>
  <c r="AZ8" i="30" s="1"/>
  <c r="BU12" i="5"/>
  <c r="G12" i="30"/>
  <c r="AZ12" i="30" s="1"/>
  <c r="CL15" i="5"/>
  <c r="X15" i="30"/>
  <c r="BQ15" i="30" s="1"/>
  <c r="BX21" i="5"/>
  <c r="J21" i="30"/>
  <c r="BC21" i="30" s="1"/>
  <c r="BV16" i="5"/>
  <c r="H16" i="30"/>
  <c r="BA16" i="30" s="1"/>
  <c r="BX22" i="5"/>
  <c r="J22" i="30"/>
  <c r="BC22" i="30" s="1"/>
  <c r="BZ28" i="5"/>
  <c r="L28" i="30"/>
  <c r="BE28" i="30" s="1"/>
  <c r="BU13" i="5"/>
  <c r="G13" i="30"/>
  <c r="AZ13" i="30" s="1"/>
  <c r="BZ20" i="5"/>
  <c r="L20" i="30"/>
  <c r="BE20" i="30" s="1"/>
  <c r="BV28" i="5"/>
  <c r="H28" i="30"/>
  <c r="BA28" i="30" s="1"/>
  <c r="BX11" i="5"/>
  <c r="J11" i="30"/>
  <c r="BC11" i="30" s="1"/>
  <c r="BZ17" i="5"/>
  <c r="L17" i="30"/>
  <c r="BE17" i="30" s="1"/>
  <c r="BV21" i="5"/>
  <c r="H21" i="30"/>
  <c r="BA21" i="30" s="1"/>
  <c r="CH25" i="5"/>
  <c r="T25" i="30"/>
  <c r="BM25" i="30" s="1"/>
  <c r="BY30" i="5"/>
  <c r="K30" i="30"/>
  <c r="BD30" i="30" s="1"/>
  <c r="BU34" i="5"/>
  <c r="G34" i="30"/>
  <c r="AZ34" i="30" s="1"/>
  <c r="CL37" i="5"/>
  <c r="X37" i="30"/>
  <c r="BQ37" i="30" s="1"/>
  <c r="BX8" i="5"/>
  <c r="J8" i="30"/>
  <c r="BC8" i="30" s="1"/>
  <c r="BZ14" i="5"/>
  <c r="L14" i="30"/>
  <c r="BE14" i="30" s="1"/>
  <c r="BV18" i="5"/>
  <c r="H18" i="30"/>
  <c r="BA18" i="30" s="1"/>
  <c r="CH22" i="5"/>
  <c r="T22" i="30"/>
  <c r="BM22" i="30" s="1"/>
  <c r="BY27" i="5"/>
  <c r="K27" i="30"/>
  <c r="BD27" i="30" s="1"/>
  <c r="BX9" i="5"/>
  <c r="J9" i="30"/>
  <c r="BC9" i="30" s="1"/>
  <c r="BZ15" i="5"/>
  <c r="L15" i="30"/>
  <c r="BE15" i="30" s="1"/>
  <c r="BV19" i="5"/>
  <c r="H19" i="30"/>
  <c r="BA19" i="30" s="1"/>
  <c r="CH23" i="5"/>
  <c r="T23" i="30"/>
  <c r="BM23" i="30" s="1"/>
  <c r="BY28" i="5"/>
  <c r="K28" i="30"/>
  <c r="BD28" i="30" s="1"/>
  <c r="CH27" i="5"/>
  <c r="T27" i="30"/>
  <c r="BM27" i="30" s="1"/>
  <c r="DJ33" i="5"/>
  <c r="I66" i="9" s="1"/>
  <c r="CH8" i="5"/>
  <c r="T8" i="30"/>
  <c r="BM8" i="30" s="1"/>
  <c r="BY13" i="5"/>
  <c r="K13" i="30"/>
  <c r="BD13" i="30" s="1"/>
  <c r="CH28" i="5"/>
  <c r="T28" i="30"/>
  <c r="BM28" i="30" s="1"/>
  <c r="BZ16" i="5"/>
  <c r="L16" i="30"/>
  <c r="BE16" i="30" s="1"/>
  <c r="BV24" i="5"/>
  <c r="H24" i="30"/>
  <c r="BA24" i="30" s="1"/>
  <c r="CL9" i="5"/>
  <c r="X9" i="30"/>
  <c r="BQ9" i="30" s="1"/>
  <c r="BX15" i="5"/>
  <c r="J15" i="30"/>
  <c r="BC15" i="30" s="1"/>
  <c r="BZ21" i="5"/>
  <c r="L21" i="30"/>
  <c r="BE21" i="30" s="1"/>
  <c r="BV25" i="5"/>
  <c r="H25" i="30"/>
  <c r="BA25" i="30" s="1"/>
  <c r="CH29" i="5"/>
  <c r="T29" i="30"/>
  <c r="BM29" i="30" s="1"/>
  <c r="BY34" i="5"/>
  <c r="K34" i="30"/>
  <c r="BD34" i="30" s="1"/>
  <c r="BU38" i="5"/>
  <c r="G38" i="30"/>
  <c r="AZ38" i="30" s="1"/>
  <c r="CL41" i="5"/>
  <c r="X41" i="30"/>
  <c r="BQ41" i="30" s="1"/>
  <c r="BX12" i="5"/>
  <c r="J12" i="30"/>
  <c r="BC12" i="30" s="1"/>
  <c r="BZ18" i="5"/>
  <c r="L18" i="30"/>
  <c r="BE18" i="30" s="1"/>
  <c r="BV22" i="5"/>
  <c r="H22" i="30"/>
  <c r="BA22" i="30" s="1"/>
  <c r="CH26" i="5"/>
  <c r="T26" i="30"/>
  <c r="BM26" i="30" s="1"/>
  <c r="CH11" i="5"/>
  <c r="T11" i="30"/>
  <c r="BM11" i="30" s="1"/>
  <c r="BY16" i="5"/>
  <c r="K16" i="30"/>
  <c r="BD16" i="30" s="1"/>
  <c r="BV23" i="5"/>
  <c r="H23" i="30"/>
  <c r="BA23" i="30" s="1"/>
  <c r="BX29" i="5"/>
  <c r="J29" i="30"/>
  <c r="BC29" i="30" s="1"/>
  <c r="BV12" i="5"/>
  <c r="H12" i="30"/>
  <c r="BA12" i="30" s="1"/>
  <c r="BZ24" i="5"/>
  <c r="L24" i="30"/>
  <c r="BE24" i="30" s="1"/>
  <c r="BU9" i="5"/>
  <c r="G9" i="30"/>
  <c r="AZ9" i="30" s="1"/>
  <c r="CH16" i="5"/>
  <c r="T16" i="30"/>
  <c r="BM16" i="30" s="1"/>
  <c r="BU21" i="5"/>
  <c r="G21" i="30"/>
  <c r="AZ21" i="30" s="1"/>
  <c r="BX30" i="5"/>
  <c r="J30" i="30"/>
  <c r="BC30" i="30" s="1"/>
  <c r="BU10" i="5"/>
  <c r="G10" i="30"/>
  <c r="AZ10" i="30" s="1"/>
  <c r="CL13" i="5"/>
  <c r="X13" i="30"/>
  <c r="BQ13" i="30" s="1"/>
  <c r="BX19" i="5"/>
  <c r="J19" i="30"/>
  <c r="BC19" i="30" s="1"/>
  <c r="BZ25" i="5"/>
  <c r="L25" i="30"/>
  <c r="BE25" i="30" s="1"/>
  <c r="BV29" i="5"/>
  <c r="H29" i="30"/>
  <c r="BA29" i="30" s="1"/>
  <c r="CH33" i="5"/>
  <c r="T33" i="30"/>
  <c r="BM33" i="30" s="1"/>
  <c r="BY38" i="5"/>
  <c r="K38" i="30"/>
  <c r="BD38" i="30" s="1"/>
  <c r="BU42" i="5"/>
  <c r="G42" i="30"/>
  <c r="AZ42" i="30" s="1"/>
  <c r="CL10" i="5"/>
  <c r="X10" i="30"/>
  <c r="BQ10" i="30" s="1"/>
  <c r="BX16" i="5"/>
  <c r="J16" i="30"/>
  <c r="BC16" i="30" s="1"/>
  <c r="BZ22" i="5"/>
  <c r="L22" i="30"/>
  <c r="BE22" i="30" s="1"/>
  <c r="BV26" i="5"/>
  <c r="H26" i="30"/>
  <c r="BA26" i="30" s="1"/>
  <c r="CH30" i="5"/>
  <c r="T30" i="30"/>
  <c r="BM30" i="30" s="1"/>
  <c r="CL11" i="5"/>
  <c r="X11" i="30"/>
  <c r="BQ11" i="30" s="1"/>
  <c r="BX17" i="5"/>
  <c r="J17" i="30"/>
  <c r="BC17" i="30" s="1"/>
  <c r="BZ23" i="5"/>
  <c r="L23" i="30"/>
  <c r="BE23" i="30" s="1"/>
  <c r="BV27" i="5"/>
  <c r="H27" i="30"/>
  <c r="BA27" i="30" s="1"/>
  <c r="BY24" i="5"/>
  <c r="K24" i="30"/>
  <c r="BD24" i="30" s="1"/>
  <c r="BU28" i="5"/>
  <c r="G28" i="30"/>
  <c r="AZ28" i="30" s="1"/>
  <c r="BY8" i="5"/>
  <c r="K8" i="30"/>
  <c r="BD8" i="30" s="1"/>
  <c r="CH12" i="5"/>
  <c r="T12" i="30"/>
  <c r="BM12" i="30" s="1"/>
  <c r="BU17" i="5"/>
  <c r="G17" i="30"/>
  <c r="AZ17" i="30" s="1"/>
  <c r="CL24" i="5"/>
  <c r="X24" i="30"/>
  <c r="BQ24" i="30" s="1"/>
  <c r="BY29" i="5"/>
  <c r="K29" i="30"/>
  <c r="BD29" i="30" s="1"/>
  <c r="BZ13" i="5"/>
  <c r="L13" i="30"/>
  <c r="BE13" i="30" s="1"/>
  <c r="BV17" i="5"/>
  <c r="H17" i="30"/>
  <c r="BA17" i="30" s="1"/>
  <c r="CH21" i="5"/>
  <c r="T21" i="30"/>
  <c r="BM21" i="30" s="1"/>
  <c r="BY26" i="5"/>
  <c r="K26" i="30"/>
  <c r="BD26" i="30" s="1"/>
  <c r="BU30" i="5"/>
  <c r="G30" i="30"/>
  <c r="AZ30" i="30" s="1"/>
  <c r="CL33" i="5"/>
  <c r="X33" i="30"/>
  <c r="BQ33" i="30" s="1"/>
  <c r="BX39" i="5"/>
  <c r="J39" i="30"/>
  <c r="BC39" i="30" s="1"/>
  <c r="BR39" i="30" s="1" a="1"/>
  <c r="BR39" i="30" s="1"/>
  <c r="BZ10" i="5"/>
  <c r="L10" i="30"/>
  <c r="BE10" i="30" s="1"/>
  <c r="BV14" i="5"/>
  <c r="H14" i="30"/>
  <c r="BA14" i="30" s="1"/>
  <c r="CH18" i="5"/>
  <c r="T18" i="30"/>
  <c r="BM18" i="30" s="1"/>
  <c r="BY23" i="5"/>
  <c r="K23" i="30"/>
  <c r="BD23" i="30" s="1"/>
  <c r="BU27" i="5"/>
  <c r="G27" i="30"/>
  <c r="AZ27" i="30" s="1"/>
  <c r="CL30" i="5"/>
  <c r="X30" i="30"/>
  <c r="BQ30" i="30" s="1"/>
  <c r="BZ11" i="5"/>
  <c r="L11" i="30"/>
  <c r="BE11" i="30" s="1"/>
  <c r="BV15" i="5"/>
  <c r="H15" i="30"/>
  <c r="BA15" i="30" s="1"/>
  <c r="CH19" i="5"/>
  <c r="T19" i="30"/>
  <c r="BM19" i="30" s="1"/>
  <c r="CL12" i="5"/>
  <c r="X12" i="30"/>
  <c r="BQ12" i="30" s="1"/>
  <c r="CL20" i="5"/>
  <c r="X20" i="30"/>
  <c r="BQ20" i="30" s="1"/>
  <c r="BU25" i="5"/>
  <c r="G25" i="30"/>
  <c r="AZ25" i="30" s="1"/>
  <c r="BZ8" i="5"/>
  <c r="L8" i="30"/>
  <c r="BE8" i="30" s="1"/>
  <c r="BY17" i="5"/>
  <c r="K17" i="30"/>
  <c r="BD17" i="30" s="1"/>
  <c r="BY25" i="5"/>
  <c r="K25" i="30"/>
  <c r="BD25" i="30" s="1"/>
  <c r="CH9" i="5"/>
  <c r="T9" i="30"/>
  <c r="BM9" i="30" s="1"/>
  <c r="BY14" i="5"/>
  <c r="K14" i="30"/>
  <c r="BD14" i="30" s="1"/>
  <c r="BU18" i="5"/>
  <c r="G18" i="30"/>
  <c r="AZ18" i="30" s="1"/>
  <c r="CL21" i="5"/>
  <c r="X21" i="30"/>
  <c r="BQ21" i="30" s="1"/>
  <c r="BX27" i="5"/>
  <c r="J27" i="30"/>
  <c r="BC27" i="30" s="1"/>
  <c r="BZ33" i="5"/>
  <c r="L33" i="30"/>
  <c r="BE33" i="30" s="1"/>
  <c r="BV37" i="5"/>
  <c r="H37" i="30"/>
  <c r="BA37" i="30" s="1"/>
  <c r="CH41" i="5"/>
  <c r="T41" i="30"/>
  <c r="BM41" i="30" s="1"/>
  <c r="BY11" i="5"/>
  <c r="K11" i="30"/>
  <c r="BD11" i="30" s="1"/>
  <c r="BU15" i="5"/>
  <c r="G15" i="30"/>
  <c r="AZ15" i="30" s="1"/>
  <c r="CL18" i="5"/>
  <c r="X18" i="30"/>
  <c r="BQ18" i="30" s="1"/>
  <c r="BX24" i="5"/>
  <c r="J24" i="30"/>
  <c r="BC24" i="30" s="1"/>
  <c r="BZ30" i="5"/>
  <c r="L30" i="30"/>
  <c r="BE30" i="30" s="1"/>
  <c r="BY12" i="5"/>
  <c r="K12" i="30"/>
  <c r="BD12" i="30" s="1"/>
  <c r="BU16" i="5"/>
  <c r="G16" i="30"/>
  <c r="AZ16" i="30" s="1"/>
  <c r="CL19" i="5"/>
  <c r="X19" i="30"/>
  <c r="BQ19" i="30" s="1"/>
  <c r="BX25" i="5"/>
  <c r="J25" i="30"/>
  <c r="BC25" i="30" s="1"/>
  <c r="BZ19" i="5"/>
  <c r="L19" i="30"/>
  <c r="BE19" i="30" s="1"/>
  <c r="DJ38" i="5"/>
  <c r="I71" i="9" s="1"/>
  <c r="DJ32" i="5"/>
  <c r="I65" i="9" s="1"/>
  <c r="DJ39" i="5"/>
  <c r="I72" i="9" s="1"/>
  <c r="DJ35" i="5"/>
  <c r="I68" i="9" s="1"/>
  <c r="DJ44" i="5"/>
  <c r="I77" i="9" s="1"/>
  <c r="DJ34" i="5"/>
  <c r="I67" i="9" s="1"/>
  <c r="DJ41" i="5"/>
  <c r="I74" i="9" s="1"/>
  <c r="DJ36" i="5"/>
  <c r="I69" i="9" s="1"/>
  <c r="DJ43" i="5"/>
  <c r="I76" i="9" s="1"/>
  <c r="DJ37" i="5"/>
  <c r="I70" i="9" s="1"/>
  <c r="DJ40" i="5"/>
  <c r="I73" i="9" s="1"/>
  <c r="DJ42" i="5"/>
  <c r="I75" i="9" s="1"/>
  <c r="A131" i="4"/>
  <c r="A130" i="4"/>
  <c r="A129" i="4"/>
  <c r="A128" i="4"/>
  <c r="A127" i="4"/>
  <c r="E126" i="4"/>
  <c r="F126" i="4" s="1"/>
  <c r="G126" i="4" s="1"/>
  <c r="H126" i="4" s="1"/>
  <c r="B126" i="4"/>
  <c r="BR37" i="30" l="1" a="1"/>
  <c r="BR37" i="30" s="1"/>
  <c r="BR34" i="30" a="1"/>
  <c r="BR34" i="30" s="1"/>
  <c r="BR8" i="30" a="1"/>
  <c r="BR8" i="30" s="1"/>
  <c r="BR33" i="30" a="1"/>
  <c r="BR33" i="30" s="1"/>
  <c r="BR41" i="30" a="1"/>
  <c r="BR41" i="30" s="1"/>
  <c r="BR22" i="30" a="1"/>
  <c r="BR22" i="30" s="1"/>
  <c r="BR16" i="30" a="1"/>
  <c r="BR16" i="30" s="1"/>
  <c r="BR18" i="30" a="1"/>
  <c r="BR18" i="30" s="1"/>
  <c r="BR25" i="30" a="1"/>
  <c r="BR25" i="30" s="1"/>
  <c r="BR30" i="30" a="1"/>
  <c r="BR30" i="30" s="1"/>
  <c r="BR28" i="30" a="1"/>
  <c r="BR28" i="30" s="1"/>
  <c r="BR10" i="30" a="1"/>
  <c r="BR10" i="30" s="1"/>
  <c r="BR21" i="30" a="1"/>
  <c r="BR21" i="30" s="1"/>
  <c r="BR9" i="30" a="1"/>
  <c r="BR9" i="30" s="1"/>
  <c r="BR38" i="30" a="1"/>
  <c r="BR38" i="30" s="1"/>
  <c r="BR14" i="30" a="1"/>
  <c r="BR14" i="30" s="1"/>
  <c r="BR13" i="30" a="1"/>
  <c r="BR13" i="30" s="1"/>
  <c r="BR12" i="30" a="1"/>
  <c r="BR12" i="30" s="1"/>
  <c r="BR11" i="30" a="1"/>
  <c r="BR11" i="30" s="1"/>
  <c r="BR24" i="30" a="1"/>
  <c r="BR24" i="30" s="1"/>
  <c r="BR26" i="30" a="1"/>
  <c r="BR26" i="30" s="1"/>
  <c r="BR29" i="30" a="1"/>
  <c r="BR29" i="30" s="1"/>
  <c r="BR20" i="30" a="1"/>
  <c r="BR20" i="30" s="1"/>
  <c r="BR19" i="30" a="1"/>
  <c r="BR19" i="30" s="1"/>
  <c r="BR23" i="30" a="1"/>
  <c r="BR23" i="30" s="1"/>
  <c r="BR15" i="30" a="1"/>
  <c r="BR15" i="30" s="1"/>
  <c r="BR27" i="30" a="1"/>
  <c r="BR27" i="30" s="1"/>
  <c r="BR17" i="30" a="1"/>
  <c r="BR17" i="30" s="1"/>
  <c r="BR42" i="30" a="1"/>
  <c r="BR42" i="30" s="1"/>
  <c r="B131" i="4"/>
  <c r="B130" i="4"/>
  <c r="B129" i="4"/>
  <c r="B127" i="4"/>
  <c r="B128" i="4"/>
  <c r="BP6" i="17" l="1"/>
  <c r="BO6" i="17"/>
  <c r="BN6" i="17"/>
  <c r="BM6" i="17"/>
  <c r="BL6" i="17"/>
  <c r="BK6" i="17"/>
  <c r="BJ6" i="17"/>
  <c r="BI6" i="17"/>
  <c r="BH6" i="17"/>
  <c r="BG6" i="17"/>
  <c r="BF6" i="17"/>
  <c r="BE6" i="17"/>
  <c r="BD6" i="17"/>
  <c r="BC6" i="17"/>
  <c r="BB6" i="17"/>
  <c r="BA6" i="17"/>
  <c r="AZ6" i="17"/>
  <c r="AY6" i="17"/>
  <c r="AX6" i="17"/>
  <c r="AW6" i="17"/>
  <c r="AV6" i="17"/>
  <c r="BP6" i="15"/>
  <c r="BO6" i="15"/>
  <c r="BN6" i="15"/>
  <c r="BM6" i="15"/>
  <c r="BL6" i="15"/>
  <c r="BK6" i="15"/>
  <c r="BJ6" i="15"/>
  <c r="BI6" i="15"/>
  <c r="BH6" i="15"/>
  <c r="BG6" i="15"/>
  <c r="BF6" i="15"/>
  <c r="BE6" i="15"/>
  <c r="BD6" i="15"/>
  <c r="BC6" i="15"/>
  <c r="BB6" i="15"/>
  <c r="BA6" i="15"/>
  <c r="AZ6" i="15"/>
  <c r="AY6" i="15"/>
  <c r="AX6" i="15"/>
  <c r="BQ6" i="15" s="1"/>
  <c r="AW6" i="15"/>
  <c r="AV6" i="15"/>
  <c r="AT41" i="15"/>
  <c r="BP41" i="15" s="1"/>
  <c r="AS41" i="15"/>
  <c r="BO41" i="15" s="1"/>
  <c r="AR41" i="15"/>
  <c r="BN41" i="15" s="1"/>
  <c r="AP41" i="15"/>
  <c r="BL41" i="15" s="1"/>
  <c r="AO41" i="15"/>
  <c r="BK41" i="15" s="1"/>
  <c r="AN41" i="15"/>
  <c r="BJ41" i="15" s="1"/>
  <c r="AL41" i="15"/>
  <c r="BH41" i="15" s="1"/>
  <c r="AK41" i="15"/>
  <c r="BG41" i="15" s="1"/>
  <c r="AJ41" i="15"/>
  <c r="BF41" i="15" s="1"/>
  <c r="AH41" i="15"/>
  <c r="BD41" i="15" s="1"/>
  <c r="AG41" i="15"/>
  <c r="BC41" i="15" s="1"/>
  <c r="AF41" i="15"/>
  <c r="BB41" i="15" s="1"/>
  <c r="AD41" i="15"/>
  <c r="AZ41" i="15" s="1"/>
  <c r="AC41" i="15"/>
  <c r="AY41" i="15" s="1"/>
  <c r="AB41" i="15"/>
  <c r="AX41" i="15" s="1"/>
  <c r="Z41" i="15"/>
  <c r="AV41" i="15" s="1"/>
  <c r="AT40" i="15"/>
  <c r="BP40" i="15" s="1"/>
  <c r="AS40" i="15"/>
  <c r="BO40" i="15" s="1"/>
  <c r="AQ40" i="15"/>
  <c r="BM40" i="15" s="1"/>
  <c r="AP40" i="15"/>
  <c r="BL40" i="15" s="1"/>
  <c r="AO40" i="15"/>
  <c r="BK40" i="15" s="1"/>
  <c r="AM40" i="15"/>
  <c r="BI40" i="15" s="1"/>
  <c r="AL40" i="15"/>
  <c r="BH40" i="15" s="1"/>
  <c r="AK40" i="15"/>
  <c r="BG40" i="15" s="1"/>
  <c r="AI40" i="15"/>
  <c r="BE40" i="15" s="1"/>
  <c r="AH40" i="15"/>
  <c r="BD40" i="15" s="1"/>
  <c r="AG40" i="15"/>
  <c r="BC40" i="15" s="1"/>
  <c r="AE40" i="15"/>
  <c r="BA40" i="15" s="1"/>
  <c r="AD40" i="15"/>
  <c r="AZ40" i="15" s="1"/>
  <c r="AC40" i="15"/>
  <c r="AY40" i="15" s="1"/>
  <c r="AA40" i="15"/>
  <c r="AW40" i="15" s="1"/>
  <c r="Z40" i="15"/>
  <c r="AV40" i="15" s="1"/>
  <c r="AT39" i="15"/>
  <c r="BP39" i="15" s="1"/>
  <c r="AR39" i="15"/>
  <c r="BN39" i="15" s="1"/>
  <c r="AQ39" i="15"/>
  <c r="BM39" i="15" s="1"/>
  <c r="AP39" i="15"/>
  <c r="BL39" i="15" s="1"/>
  <c r="AN39" i="15"/>
  <c r="BJ39" i="15" s="1"/>
  <c r="AM39" i="15"/>
  <c r="BI39" i="15" s="1"/>
  <c r="AL39" i="15"/>
  <c r="BH39" i="15" s="1"/>
  <c r="AJ39" i="15"/>
  <c r="BF39" i="15" s="1"/>
  <c r="AI39" i="15"/>
  <c r="BE39" i="15" s="1"/>
  <c r="AH39" i="15"/>
  <c r="BD39" i="15" s="1"/>
  <c r="AF39" i="15"/>
  <c r="BB39" i="15" s="1"/>
  <c r="AE39" i="15"/>
  <c r="BA39" i="15" s="1"/>
  <c r="AD39" i="15"/>
  <c r="AZ39" i="15" s="1"/>
  <c r="AB39" i="15"/>
  <c r="AX39" i="15" s="1"/>
  <c r="AA39" i="15"/>
  <c r="AW39" i="15" s="1"/>
  <c r="Z39" i="15"/>
  <c r="AV39" i="15" s="1"/>
  <c r="AS38" i="15"/>
  <c r="BO38" i="15" s="1"/>
  <c r="AR38" i="15"/>
  <c r="BN38" i="15" s="1"/>
  <c r="AQ38" i="15"/>
  <c r="BM38" i="15" s="1"/>
  <c r="AO38" i="15"/>
  <c r="BK38" i="15" s="1"/>
  <c r="AN38" i="15"/>
  <c r="BJ38" i="15" s="1"/>
  <c r="AM38" i="15"/>
  <c r="BI38" i="15" s="1"/>
  <c r="AK38" i="15"/>
  <c r="BG38" i="15" s="1"/>
  <c r="AJ38" i="15"/>
  <c r="BF38" i="15" s="1"/>
  <c r="AI38" i="15"/>
  <c r="BE38" i="15" s="1"/>
  <c r="AG38" i="15"/>
  <c r="BC38" i="15" s="1"/>
  <c r="AF38" i="15"/>
  <c r="BB38" i="15" s="1"/>
  <c r="AE38" i="15"/>
  <c r="BA38" i="15" s="1"/>
  <c r="AC38" i="15"/>
  <c r="AY38" i="15" s="1"/>
  <c r="AB38" i="15"/>
  <c r="AX38" i="15" s="1"/>
  <c r="AA38" i="15"/>
  <c r="AW38" i="15" s="1"/>
  <c r="AT37" i="15"/>
  <c r="BP37" i="15" s="1"/>
  <c r="AS37" i="15"/>
  <c r="BO37" i="15" s="1"/>
  <c r="AR37" i="15"/>
  <c r="BN37" i="15" s="1"/>
  <c r="AP37" i="15"/>
  <c r="BL37" i="15" s="1"/>
  <c r="AO37" i="15"/>
  <c r="BK37" i="15" s="1"/>
  <c r="AN37" i="15"/>
  <c r="BJ37" i="15" s="1"/>
  <c r="AL37" i="15"/>
  <c r="BH37" i="15" s="1"/>
  <c r="AK37" i="15"/>
  <c r="BG37" i="15" s="1"/>
  <c r="AJ37" i="15"/>
  <c r="BF37" i="15" s="1"/>
  <c r="AH37" i="15"/>
  <c r="BD37" i="15" s="1"/>
  <c r="AG37" i="15"/>
  <c r="BC37" i="15" s="1"/>
  <c r="AF37" i="15"/>
  <c r="BB37" i="15" s="1"/>
  <c r="AD37" i="15"/>
  <c r="AZ37" i="15" s="1"/>
  <c r="AC37" i="15"/>
  <c r="AY37" i="15" s="1"/>
  <c r="AB37" i="15"/>
  <c r="AX37" i="15" s="1"/>
  <c r="Z37" i="15"/>
  <c r="AV37" i="15" s="1"/>
  <c r="AT36" i="15"/>
  <c r="BP36" i="15" s="1"/>
  <c r="AS36" i="15"/>
  <c r="BO36" i="15" s="1"/>
  <c r="AQ36" i="15"/>
  <c r="BM36" i="15" s="1"/>
  <c r="AP36" i="15"/>
  <c r="BL36" i="15" s="1"/>
  <c r="AO36" i="15"/>
  <c r="BK36" i="15" s="1"/>
  <c r="AM36" i="15"/>
  <c r="BI36" i="15" s="1"/>
  <c r="AL36" i="15"/>
  <c r="BH36" i="15" s="1"/>
  <c r="AK36" i="15"/>
  <c r="BG36" i="15" s="1"/>
  <c r="AI36" i="15"/>
  <c r="BE36" i="15" s="1"/>
  <c r="AH36" i="15"/>
  <c r="BD36" i="15" s="1"/>
  <c r="AG36" i="15"/>
  <c r="BC36" i="15" s="1"/>
  <c r="AE36" i="15"/>
  <c r="BA36" i="15" s="1"/>
  <c r="AD36" i="15"/>
  <c r="AZ36" i="15" s="1"/>
  <c r="AC36" i="15"/>
  <c r="AY36" i="15" s="1"/>
  <c r="AA36" i="15"/>
  <c r="AW36" i="15" s="1"/>
  <c r="Z36" i="15"/>
  <c r="AV36" i="15" s="1"/>
  <c r="AT35" i="15"/>
  <c r="BP35" i="15" s="1"/>
  <c r="AR35" i="15"/>
  <c r="BN35" i="15" s="1"/>
  <c r="AQ35" i="15"/>
  <c r="BM35" i="15" s="1"/>
  <c r="AP35" i="15"/>
  <c r="BL35" i="15" s="1"/>
  <c r="AN35" i="15"/>
  <c r="BJ35" i="15" s="1"/>
  <c r="AM35" i="15"/>
  <c r="BI35" i="15" s="1"/>
  <c r="AL35" i="15"/>
  <c r="BH35" i="15" s="1"/>
  <c r="AJ35" i="15"/>
  <c r="BF35" i="15" s="1"/>
  <c r="AI35" i="15"/>
  <c r="BE35" i="15" s="1"/>
  <c r="AH35" i="15"/>
  <c r="BD35" i="15" s="1"/>
  <c r="AF35" i="15"/>
  <c r="BB35" i="15" s="1"/>
  <c r="AE35" i="15"/>
  <c r="BA35" i="15" s="1"/>
  <c r="AD35" i="15"/>
  <c r="AZ35" i="15" s="1"/>
  <c r="AB35" i="15"/>
  <c r="AX35" i="15" s="1"/>
  <c r="AA35" i="15"/>
  <c r="AW35" i="15" s="1"/>
  <c r="Z35" i="15"/>
  <c r="AV35" i="15" s="1"/>
  <c r="AS34" i="15"/>
  <c r="BO34" i="15" s="1"/>
  <c r="AR34" i="15"/>
  <c r="BN34" i="15" s="1"/>
  <c r="AQ34" i="15"/>
  <c r="BM34" i="15" s="1"/>
  <c r="AO34" i="15"/>
  <c r="BK34" i="15" s="1"/>
  <c r="AN34" i="15"/>
  <c r="BJ34" i="15" s="1"/>
  <c r="AM34" i="15"/>
  <c r="BI34" i="15" s="1"/>
  <c r="AK34" i="15"/>
  <c r="BG34" i="15" s="1"/>
  <c r="AJ34" i="15"/>
  <c r="BF34" i="15" s="1"/>
  <c r="AI34" i="15"/>
  <c r="BE34" i="15" s="1"/>
  <c r="AG34" i="15"/>
  <c r="BC34" i="15" s="1"/>
  <c r="AF34" i="15"/>
  <c r="BB34" i="15" s="1"/>
  <c r="AE34" i="15"/>
  <c r="BA34" i="15" s="1"/>
  <c r="AC34" i="15"/>
  <c r="AY34" i="15" s="1"/>
  <c r="AB34" i="15"/>
  <c r="AX34" i="15" s="1"/>
  <c r="AA34" i="15"/>
  <c r="AW34" i="15" s="1"/>
  <c r="AT33" i="15"/>
  <c r="BP33" i="15" s="1"/>
  <c r="AS33" i="15"/>
  <c r="BO33" i="15" s="1"/>
  <c r="AR33" i="15"/>
  <c r="BN33" i="15" s="1"/>
  <c r="AP33" i="15"/>
  <c r="BL33" i="15" s="1"/>
  <c r="AO33" i="15"/>
  <c r="BK33" i="15" s="1"/>
  <c r="AN33" i="15"/>
  <c r="BJ33" i="15" s="1"/>
  <c r="AL33" i="15"/>
  <c r="BH33" i="15" s="1"/>
  <c r="AK33" i="15"/>
  <c r="BG33" i="15" s="1"/>
  <c r="AJ33" i="15"/>
  <c r="BF33" i="15" s="1"/>
  <c r="AH33" i="15"/>
  <c r="BD33" i="15" s="1"/>
  <c r="AG33" i="15"/>
  <c r="BC33" i="15" s="1"/>
  <c r="AF33" i="15"/>
  <c r="BB33" i="15" s="1"/>
  <c r="AD33" i="15"/>
  <c r="AZ33" i="15" s="1"/>
  <c r="AC33" i="15"/>
  <c r="AY33" i="15" s="1"/>
  <c r="AB33" i="15"/>
  <c r="AX33" i="15" s="1"/>
  <c r="Z33" i="15"/>
  <c r="AV33" i="15" s="1"/>
  <c r="AT32" i="15"/>
  <c r="BP32" i="15" s="1"/>
  <c r="AS32" i="15"/>
  <c r="BO32" i="15" s="1"/>
  <c r="AQ32" i="15"/>
  <c r="BM32" i="15" s="1"/>
  <c r="AP32" i="15"/>
  <c r="BL32" i="15" s="1"/>
  <c r="AO32" i="15"/>
  <c r="BK32" i="15" s="1"/>
  <c r="AM32" i="15"/>
  <c r="BI32" i="15" s="1"/>
  <c r="AL32" i="15"/>
  <c r="BH32" i="15" s="1"/>
  <c r="AK32" i="15"/>
  <c r="BG32" i="15" s="1"/>
  <c r="AI32" i="15"/>
  <c r="BE32" i="15" s="1"/>
  <c r="AH32" i="15"/>
  <c r="BD32" i="15" s="1"/>
  <c r="AG32" i="15"/>
  <c r="BC32" i="15" s="1"/>
  <c r="AE32" i="15"/>
  <c r="BA32" i="15" s="1"/>
  <c r="AD32" i="15"/>
  <c r="AZ32" i="15" s="1"/>
  <c r="AC32" i="15"/>
  <c r="AY32" i="15" s="1"/>
  <c r="AA32" i="15"/>
  <c r="AW32" i="15" s="1"/>
  <c r="Z32" i="15"/>
  <c r="AV32" i="15" s="1"/>
  <c r="AT31" i="15"/>
  <c r="BP31" i="15" s="1"/>
  <c r="AR31" i="15"/>
  <c r="BN31" i="15" s="1"/>
  <c r="AQ31" i="15"/>
  <c r="BM31" i="15" s="1"/>
  <c r="AP31" i="15"/>
  <c r="BL31" i="15" s="1"/>
  <c r="AN31" i="15"/>
  <c r="BJ31" i="15" s="1"/>
  <c r="AM31" i="15"/>
  <c r="BI31" i="15" s="1"/>
  <c r="AL31" i="15"/>
  <c r="BH31" i="15" s="1"/>
  <c r="AJ31" i="15"/>
  <c r="BF31" i="15" s="1"/>
  <c r="AI31" i="15"/>
  <c r="BE31" i="15" s="1"/>
  <c r="AH31" i="15"/>
  <c r="BD31" i="15" s="1"/>
  <c r="AF31" i="15"/>
  <c r="BB31" i="15" s="1"/>
  <c r="AE31" i="15"/>
  <c r="BA31" i="15" s="1"/>
  <c r="AD31" i="15"/>
  <c r="AZ31" i="15" s="1"/>
  <c r="AB31" i="15"/>
  <c r="AX31" i="15" s="1"/>
  <c r="AA31" i="15"/>
  <c r="AW31" i="15" s="1"/>
  <c r="Z31" i="15"/>
  <c r="AV31" i="15" s="1"/>
  <c r="AS30" i="15"/>
  <c r="BO30" i="15" s="1"/>
  <c r="AR30" i="15"/>
  <c r="BN30" i="15" s="1"/>
  <c r="AQ30" i="15"/>
  <c r="BM30" i="15" s="1"/>
  <c r="AO30" i="15"/>
  <c r="BK30" i="15" s="1"/>
  <c r="AN30" i="15"/>
  <c r="BJ30" i="15" s="1"/>
  <c r="AM30" i="15"/>
  <c r="BI30" i="15" s="1"/>
  <c r="AK30" i="15"/>
  <c r="BG30" i="15" s="1"/>
  <c r="AJ30" i="15"/>
  <c r="BF30" i="15" s="1"/>
  <c r="AI30" i="15"/>
  <c r="BE30" i="15" s="1"/>
  <c r="AG30" i="15"/>
  <c r="BC30" i="15" s="1"/>
  <c r="AF30" i="15"/>
  <c r="BB30" i="15" s="1"/>
  <c r="AE30" i="15"/>
  <c r="BA30" i="15" s="1"/>
  <c r="AC30" i="15"/>
  <c r="AY30" i="15" s="1"/>
  <c r="AB30" i="15"/>
  <c r="AX30" i="15" s="1"/>
  <c r="AA30" i="15"/>
  <c r="AW30" i="15" s="1"/>
  <c r="AT29" i="15"/>
  <c r="BP29" i="15" s="1"/>
  <c r="AS29" i="15"/>
  <c r="BO29" i="15" s="1"/>
  <c r="AR29" i="15"/>
  <c r="BN29" i="15" s="1"/>
  <c r="AP29" i="15"/>
  <c r="BL29" i="15" s="1"/>
  <c r="AO29" i="15"/>
  <c r="BK29" i="15" s="1"/>
  <c r="AN29" i="15"/>
  <c r="BJ29" i="15" s="1"/>
  <c r="AL29" i="15"/>
  <c r="BH29" i="15" s="1"/>
  <c r="AK29" i="15"/>
  <c r="BG29" i="15" s="1"/>
  <c r="AJ29" i="15"/>
  <c r="BF29" i="15" s="1"/>
  <c r="AH29" i="15"/>
  <c r="BD29" i="15" s="1"/>
  <c r="AG29" i="15"/>
  <c r="BC29" i="15" s="1"/>
  <c r="AF29" i="15"/>
  <c r="BB29" i="15" s="1"/>
  <c r="AD29" i="15"/>
  <c r="AZ29" i="15" s="1"/>
  <c r="AC29" i="15"/>
  <c r="AY29" i="15" s="1"/>
  <c r="AB29" i="15"/>
  <c r="AX29" i="15" s="1"/>
  <c r="Z29" i="15"/>
  <c r="AV29" i="15" s="1"/>
  <c r="AT28" i="15"/>
  <c r="BP28" i="15" s="1"/>
  <c r="AS28" i="15"/>
  <c r="BO28" i="15" s="1"/>
  <c r="AQ28" i="15"/>
  <c r="BM28" i="15" s="1"/>
  <c r="AP28" i="15"/>
  <c r="BL28" i="15" s="1"/>
  <c r="AO28" i="15"/>
  <c r="BK28" i="15" s="1"/>
  <c r="AM28" i="15"/>
  <c r="BI28" i="15" s="1"/>
  <c r="AL28" i="15"/>
  <c r="BH28" i="15" s="1"/>
  <c r="AI28" i="15"/>
  <c r="BE28" i="15" s="1"/>
  <c r="AH28" i="15"/>
  <c r="BD28" i="15" s="1"/>
  <c r="AG28" i="15"/>
  <c r="BC28" i="15" s="1"/>
  <c r="AE28" i="15"/>
  <c r="BA28" i="15" s="1"/>
  <c r="AD28" i="15"/>
  <c r="AZ28" i="15" s="1"/>
  <c r="AC28" i="15"/>
  <c r="AY28" i="15" s="1"/>
  <c r="AA28" i="15"/>
  <c r="AW28" i="15" s="1"/>
  <c r="Z28" i="15"/>
  <c r="AV28" i="15" s="1"/>
  <c r="AT27" i="15"/>
  <c r="BP27" i="15" s="1"/>
  <c r="AR27" i="15"/>
  <c r="BN27" i="15" s="1"/>
  <c r="AQ27" i="15"/>
  <c r="BM27" i="15" s="1"/>
  <c r="AP27" i="15"/>
  <c r="BL27" i="15" s="1"/>
  <c r="AN27" i="15"/>
  <c r="BJ27" i="15" s="1"/>
  <c r="AM27" i="15"/>
  <c r="BI27" i="15" s="1"/>
  <c r="AL27" i="15"/>
  <c r="BH27" i="15" s="1"/>
  <c r="AJ27" i="15"/>
  <c r="BF27" i="15" s="1"/>
  <c r="AI27" i="15"/>
  <c r="BE27" i="15" s="1"/>
  <c r="AH27" i="15"/>
  <c r="BD27" i="15" s="1"/>
  <c r="AF27" i="15"/>
  <c r="BB27" i="15" s="1"/>
  <c r="AE27" i="15"/>
  <c r="BA27" i="15" s="1"/>
  <c r="AB27" i="15"/>
  <c r="AX27" i="15" s="1"/>
  <c r="AA27" i="15"/>
  <c r="AW27" i="15" s="1"/>
  <c r="Z27" i="15"/>
  <c r="AV27" i="15" s="1"/>
  <c r="AS26" i="15"/>
  <c r="BO26" i="15" s="1"/>
  <c r="AR26" i="15"/>
  <c r="BN26" i="15" s="1"/>
  <c r="AQ26" i="15"/>
  <c r="BM26" i="15" s="1"/>
  <c r="AO26" i="15"/>
  <c r="BK26" i="15" s="1"/>
  <c r="AN26" i="15"/>
  <c r="BJ26" i="15" s="1"/>
  <c r="AM26" i="15"/>
  <c r="BI26" i="15" s="1"/>
  <c r="AK26" i="15"/>
  <c r="BG26" i="15" s="1"/>
  <c r="AJ26" i="15"/>
  <c r="BF26" i="15" s="1"/>
  <c r="AI26" i="15"/>
  <c r="BE26" i="15" s="1"/>
  <c r="AG26" i="15"/>
  <c r="BC26" i="15" s="1"/>
  <c r="AF26" i="15"/>
  <c r="BB26" i="15" s="1"/>
  <c r="AE26" i="15"/>
  <c r="BA26" i="15" s="1"/>
  <c r="AC26" i="15"/>
  <c r="AY26" i="15" s="1"/>
  <c r="AB26" i="15"/>
  <c r="AX26" i="15" s="1"/>
  <c r="AA26" i="15"/>
  <c r="AW26" i="15" s="1"/>
  <c r="AT25" i="15"/>
  <c r="BP25" i="15" s="1"/>
  <c r="AS25" i="15"/>
  <c r="BO25" i="15" s="1"/>
  <c r="AR25" i="15"/>
  <c r="BN25" i="15" s="1"/>
  <c r="AP25" i="15"/>
  <c r="BL25" i="15" s="1"/>
  <c r="AO25" i="15"/>
  <c r="BK25" i="15" s="1"/>
  <c r="AN25" i="15"/>
  <c r="BJ25" i="15" s="1"/>
  <c r="AL25" i="15"/>
  <c r="BH25" i="15" s="1"/>
  <c r="AK25" i="15"/>
  <c r="BG25" i="15" s="1"/>
  <c r="AJ25" i="15"/>
  <c r="BF25" i="15" s="1"/>
  <c r="AH25" i="15"/>
  <c r="BD25" i="15" s="1"/>
  <c r="AG25" i="15"/>
  <c r="BC25" i="15" s="1"/>
  <c r="AF25" i="15"/>
  <c r="BB25" i="15" s="1"/>
  <c r="AD25" i="15"/>
  <c r="AZ25" i="15" s="1"/>
  <c r="AC25" i="15"/>
  <c r="AY25" i="15" s="1"/>
  <c r="AB25" i="15"/>
  <c r="AX25" i="15" s="1"/>
  <c r="Z25" i="15"/>
  <c r="AV25" i="15" s="1"/>
  <c r="AT24" i="15"/>
  <c r="BP24" i="15" s="1"/>
  <c r="AS24" i="15"/>
  <c r="BO24" i="15" s="1"/>
  <c r="AQ24" i="15"/>
  <c r="BM24" i="15" s="1"/>
  <c r="AP24" i="15"/>
  <c r="BL24" i="15" s="1"/>
  <c r="AO24" i="15"/>
  <c r="BK24" i="15" s="1"/>
  <c r="AM24" i="15"/>
  <c r="BI24" i="15" s="1"/>
  <c r="AL24" i="15"/>
  <c r="BH24" i="15" s="1"/>
  <c r="AK24" i="15"/>
  <c r="BG24" i="15" s="1"/>
  <c r="AI24" i="15"/>
  <c r="BE24" i="15" s="1"/>
  <c r="AH24" i="15"/>
  <c r="BD24" i="15" s="1"/>
  <c r="AG24" i="15"/>
  <c r="BC24" i="15" s="1"/>
  <c r="AE24" i="15"/>
  <c r="BA24" i="15" s="1"/>
  <c r="AD24" i="15"/>
  <c r="AZ24" i="15" s="1"/>
  <c r="AC24" i="15"/>
  <c r="AY24" i="15" s="1"/>
  <c r="AA24" i="15"/>
  <c r="AW24" i="15" s="1"/>
  <c r="Z24" i="15"/>
  <c r="AV24" i="15" s="1"/>
  <c r="AT23" i="15"/>
  <c r="BP23" i="15" s="1"/>
  <c r="AR23" i="15"/>
  <c r="BN23" i="15" s="1"/>
  <c r="AQ23" i="15"/>
  <c r="BM23" i="15" s="1"/>
  <c r="AP23" i="15"/>
  <c r="BL23" i="15" s="1"/>
  <c r="AN23" i="15"/>
  <c r="BJ23" i="15" s="1"/>
  <c r="AM23" i="15"/>
  <c r="BI23" i="15" s="1"/>
  <c r="AL23" i="15"/>
  <c r="BH23" i="15" s="1"/>
  <c r="AJ23" i="15"/>
  <c r="BF23" i="15" s="1"/>
  <c r="AI23" i="15"/>
  <c r="BE23" i="15" s="1"/>
  <c r="AH23" i="15"/>
  <c r="BD23" i="15" s="1"/>
  <c r="AF23" i="15"/>
  <c r="BB23" i="15" s="1"/>
  <c r="AE23" i="15"/>
  <c r="BA23" i="15" s="1"/>
  <c r="AD23" i="15"/>
  <c r="AZ23" i="15" s="1"/>
  <c r="AB23" i="15"/>
  <c r="AX23" i="15" s="1"/>
  <c r="AA23" i="15"/>
  <c r="AW23" i="15" s="1"/>
  <c r="AS22" i="15"/>
  <c r="BO22" i="15" s="1"/>
  <c r="AR22" i="15"/>
  <c r="BN22" i="15" s="1"/>
  <c r="AQ22" i="15"/>
  <c r="BM22" i="15" s="1"/>
  <c r="AO22" i="15"/>
  <c r="BK22" i="15" s="1"/>
  <c r="AN22" i="15"/>
  <c r="BJ22" i="15" s="1"/>
  <c r="AM22" i="15"/>
  <c r="BI22" i="15" s="1"/>
  <c r="AK22" i="15"/>
  <c r="BG22" i="15" s="1"/>
  <c r="AJ22" i="15"/>
  <c r="BF22" i="15" s="1"/>
  <c r="AI22" i="15"/>
  <c r="BE22" i="15" s="1"/>
  <c r="AG22" i="15"/>
  <c r="BC22" i="15" s="1"/>
  <c r="AF22" i="15"/>
  <c r="BB22" i="15" s="1"/>
  <c r="AE22" i="15"/>
  <c r="BA22" i="15" s="1"/>
  <c r="AC22" i="15"/>
  <c r="AY22" i="15" s="1"/>
  <c r="AB22" i="15"/>
  <c r="AX22" i="15" s="1"/>
  <c r="AT21" i="15"/>
  <c r="BP21" i="15" s="1"/>
  <c r="AS21" i="15"/>
  <c r="BO21" i="15" s="1"/>
  <c r="AP21" i="15"/>
  <c r="BL21" i="15" s="1"/>
  <c r="AO21" i="15"/>
  <c r="BK21" i="15" s="1"/>
  <c r="AL21" i="15"/>
  <c r="BH21" i="15" s="1"/>
  <c r="AK21" i="15"/>
  <c r="BG21" i="15" s="1"/>
  <c r="AH21" i="15"/>
  <c r="BD21" i="15" s="1"/>
  <c r="AG21" i="15"/>
  <c r="BC21" i="15" s="1"/>
  <c r="AD21" i="15"/>
  <c r="AZ21" i="15" s="1"/>
  <c r="AC21" i="15"/>
  <c r="AY21" i="15" s="1"/>
  <c r="Z21" i="15"/>
  <c r="AV21" i="15" s="1"/>
  <c r="AT20" i="15"/>
  <c r="BP20" i="15" s="1"/>
  <c r="AQ20" i="15"/>
  <c r="BM20" i="15" s="1"/>
  <c r="AP20" i="15"/>
  <c r="BL20" i="15" s="1"/>
  <c r="AO20" i="15"/>
  <c r="BK20" i="15" s="1"/>
  <c r="AM20" i="15"/>
  <c r="BI20" i="15" s="1"/>
  <c r="AL20" i="15"/>
  <c r="BH20" i="15" s="1"/>
  <c r="AK20" i="15"/>
  <c r="BG20" i="15" s="1"/>
  <c r="AI20" i="15"/>
  <c r="BE20" i="15" s="1"/>
  <c r="AH20" i="15"/>
  <c r="BD20" i="15" s="1"/>
  <c r="AG20" i="15"/>
  <c r="BC20" i="15" s="1"/>
  <c r="AE20" i="15"/>
  <c r="BA20" i="15" s="1"/>
  <c r="AD20" i="15"/>
  <c r="AZ20" i="15" s="1"/>
  <c r="AC20" i="15"/>
  <c r="AY20" i="15" s="1"/>
  <c r="AA20" i="15"/>
  <c r="AW20" i="15" s="1"/>
  <c r="Z20" i="15"/>
  <c r="AV20" i="15" s="1"/>
  <c r="AT19" i="15"/>
  <c r="BP19" i="15" s="1"/>
  <c r="AR19" i="15"/>
  <c r="BN19" i="15" s="1"/>
  <c r="AQ19" i="15"/>
  <c r="BM19" i="15" s="1"/>
  <c r="AP19" i="15"/>
  <c r="BL19" i="15" s="1"/>
  <c r="AN19" i="15"/>
  <c r="BJ19" i="15" s="1"/>
  <c r="AM19" i="15"/>
  <c r="BI19" i="15" s="1"/>
  <c r="AL19" i="15"/>
  <c r="BH19" i="15" s="1"/>
  <c r="AJ19" i="15"/>
  <c r="BF19" i="15" s="1"/>
  <c r="AI19" i="15"/>
  <c r="BE19" i="15" s="1"/>
  <c r="AH19" i="15"/>
  <c r="BD19" i="15" s="1"/>
  <c r="AF19" i="15"/>
  <c r="BB19" i="15" s="1"/>
  <c r="AE19" i="15"/>
  <c r="BA19" i="15" s="1"/>
  <c r="AD19" i="15"/>
  <c r="AZ19" i="15" s="1"/>
  <c r="AB19" i="15"/>
  <c r="AX19" i="15" s="1"/>
  <c r="AA19" i="15"/>
  <c r="AW19" i="15" s="1"/>
  <c r="Z19" i="15"/>
  <c r="AV19" i="15" s="1"/>
  <c r="AS18" i="15"/>
  <c r="BO18" i="15" s="1"/>
  <c r="AR18" i="15"/>
  <c r="BN18" i="15" s="1"/>
  <c r="AQ18" i="15"/>
  <c r="BM18" i="15" s="1"/>
  <c r="AO18" i="15"/>
  <c r="BK18" i="15" s="1"/>
  <c r="AN18" i="15"/>
  <c r="BJ18" i="15" s="1"/>
  <c r="AM18" i="15"/>
  <c r="BI18" i="15" s="1"/>
  <c r="AK18" i="15"/>
  <c r="BG18" i="15" s="1"/>
  <c r="AJ18" i="15"/>
  <c r="BF18" i="15" s="1"/>
  <c r="AI18" i="15"/>
  <c r="BE18" i="15" s="1"/>
  <c r="AG18" i="15"/>
  <c r="BC18" i="15" s="1"/>
  <c r="AF18" i="15"/>
  <c r="BB18" i="15" s="1"/>
  <c r="AE18" i="15"/>
  <c r="BA18" i="15" s="1"/>
  <c r="AC18" i="15"/>
  <c r="AY18" i="15" s="1"/>
  <c r="AB18" i="15"/>
  <c r="AX18" i="15" s="1"/>
  <c r="AA18" i="15"/>
  <c r="AW18" i="15" s="1"/>
  <c r="AT17" i="15"/>
  <c r="BP17" i="15" s="1"/>
  <c r="AS17" i="15"/>
  <c r="BO17" i="15" s="1"/>
  <c r="AR17" i="15"/>
  <c r="BN17" i="15" s="1"/>
  <c r="AP17" i="15"/>
  <c r="BL17" i="15" s="1"/>
  <c r="AO17" i="15"/>
  <c r="BK17" i="15" s="1"/>
  <c r="AN17" i="15"/>
  <c r="BJ17" i="15" s="1"/>
  <c r="AL17" i="15"/>
  <c r="BH17" i="15" s="1"/>
  <c r="AK17" i="15"/>
  <c r="BG17" i="15" s="1"/>
  <c r="AJ17" i="15"/>
  <c r="BF17" i="15" s="1"/>
  <c r="AH17" i="15"/>
  <c r="BD17" i="15" s="1"/>
  <c r="AG17" i="15"/>
  <c r="BC17" i="15" s="1"/>
  <c r="AF17" i="15"/>
  <c r="BB17" i="15" s="1"/>
  <c r="AD17" i="15"/>
  <c r="AZ17" i="15" s="1"/>
  <c r="AC17" i="15"/>
  <c r="AY17" i="15" s="1"/>
  <c r="AB17" i="15"/>
  <c r="AX17" i="15" s="1"/>
  <c r="Z17" i="15"/>
  <c r="AV17" i="15" s="1"/>
  <c r="AT16" i="15"/>
  <c r="BP16" i="15" s="1"/>
  <c r="AS16" i="15"/>
  <c r="BO16" i="15" s="1"/>
  <c r="AQ16" i="15"/>
  <c r="BM16" i="15" s="1"/>
  <c r="AP16" i="15"/>
  <c r="BL16" i="15" s="1"/>
  <c r="AO16" i="15"/>
  <c r="BK16" i="15" s="1"/>
  <c r="AM16" i="15"/>
  <c r="BI16" i="15" s="1"/>
  <c r="AL16" i="15"/>
  <c r="BH16" i="15" s="1"/>
  <c r="AK16" i="15"/>
  <c r="BG16" i="15" s="1"/>
  <c r="AI16" i="15"/>
  <c r="BE16" i="15" s="1"/>
  <c r="AH16" i="15"/>
  <c r="BD16" i="15" s="1"/>
  <c r="AG16" i="15"/>
  <c r="BC16" i="15" s="1"/>
  <c r="AE16" i="15"/>
  <c r="BA16" i="15" s="1"/>
  <c r="AD16" i="15"/>
  <c r="AZ16" i="15" s="1"/>
  <c r="AC16" i="15"/>
  <c r="AY16" i="15" s="1"/>
  <c r="AA16" i="15"/>
  <c r="AW16" i="15" s="1"/>
  <c r="Z16" i="15"/>
  <c r="AV16" i="15" s="1"/>
  <c r="AT15" i="15"/>
  <c r="BP15" i="15" s="1"/>
  <c r="AR15" i="15"/>
  <c r="BN15" i="15" s="1"/>
  <c r="AQ15" i="15"/>
  <c r="BM15" i="15" s="1"/>
  <c r="AP15" i="15"/>
  <c r="BL15" i="15" s="1"/>
  <c r="AN15" i="15"/>
  <c r="BJ15" i="15" s="1"/>
  <c r="AM15" i="15"/>
  <c r="BI15" i="15" s="1"/>
  <c r="AL15" i="15"/>
  <c r="BH15" i="15" s="1"/>
  <c r="AJ15" i="15"/>
  <c r="BF15" i="15" s="1"/>
  <c r="AI15" i="15"/>
  <c r="BE15" i="15" s="1"/>
  <c r="AH15" i="15"/>
  <c r="BD15" i="15" s="1"/>
  <c r="AF15" i="15"/>
  <c r="BB15" i="15" s="1"/>
  <c r="AE15" i="15"/>
  <c r="BA15" i="15" s="1"/>
  <c r="AD15" i="15"/>
  <c r="AZ15" i="15" s="1"/>
  <c r="AB15" i="15"/>
  <c r="AX15" i="15" s="1"/>
  <c r="AA15" i="15"/>
  <c r="AW15" i="15" s="1"/>
  <c r="Z15" i="15"/>
  <c r="AV15" i="15" s="1"/>
  <c r="AS14" i="15"/>
  <c r="BO14" i="15" s="1"/>
  <c r="AR14" i="15"/>
  <c r="BN14" i="15" s="1"/>
  <c r="AQ14" i="15"/>
  <c r="BM14" i="15" s="1"/>
  <c r="AO14" i="15"/>
  <c r="BK14" i="15" s="1"/>
  <c r="AN14" i="15"/>
  <c r="BJ14" i="15" s="1"/>
  <c r="AM14" i="15"/>
  <c r="BI14" i="15" s="1"/>
  <c r="AK14" i="15"/>
  <c r="BG14" i="15" s="1"/>
  <c r="AJ14" i="15"/>
  <c r="BF14" i="15" s="1"/>
  <c r="AI14" i="15"/>
  <c r="BE14" i="15" s="1"/>
  <c r="AG14" i="15"/>
  <c r="BC14" i="15" s="1"/>
  <c r="AF14" i="15"/>
  <c r="BB14" i="15" s="1"/>
  <c r="AE14" i="15"/>
  <c r="BA14" i="15" s="1"/>
  <c r="AC14" i="15"/>
  <c r="AY14" i="15" s="1"/>
  <c r="AB14" i="15"/>
  <c r="AX14" i="15" s="1"/>
  <c r="AA14" i="15"/>
  <c r="AW14" i="15" s="1"/>
  <c r="AT13" i="15"/>
  <c r="BP13" i="15" s="1"/>
  <c r="AS13" i="15"/>
  <c r="BO13" i="15" s="1"/>
  <c r="AR13" i="15"/>
  <c r="BN13" i="15" s="1"/>
  <c r="AP13" i="15"/>
  <c r="BL13" i="15" s="1"/>
  <c r="AO13" i="15"/>
  <c r="BK13" i="15" s="1"/>
  <c r="AN13" i="15"/>
  <c r="BJ13" i="15" s="1"/>
  <c r="AL13" i="15"/>
  <c r="BH13" i="15" s="1"/>
  <c r="AK13" i="15"/>
  <c r="BG13" i="15" s="1"/>
  <c r="AJ13" i="15"/>
  <c r="BF13" i="15" s="1"/>
  <c r="AH13" i="15"/>
  <c r="BD13" i="15" s="1"/>
  <c r="AG13" i="15"/>
  <c r="BC13" i="15" s="1"/>
  <c r="AF13" i="15"/>
  <c r="BB13" i="15" s="1"/>
  <c r="AD13" i="15"/>
  <c r="AZ13" i="15" s="1"/>
  <c r="AC13" i="15"/>
  <c r="AY13" i="15" s="1"/>
  <c r="AB13" i="15"/>
  <c r="AX13" i="15" s="1"/>
  <c r="Z13" i="15"/>
  <c r="AV13" i="15" s="1"/>
  <c r="AT12" i="15"/>
  <c r="BP12" i="15" s="1"/>
  <c r="AS12" i="15"/>
  <c r="BO12" i="15" s="1"/>
  <c r="AQ12" i="15"/>
  <c r="BM12" i="15" s="1"/>
  <c r="AP12" i="15"/>
  <c r="BL12" i="15" s="1"/>
  <c r="AO12" i="15"/>
  <c r="BK12" i="15" s="1"/>
  <c r="AM12" i="15"/>
  <c r="BI12" i="15" s="1"/>
  <c r="AL12" i="15"/>
  <c r="BH12" i="15" s="1"/>
  <c r="AK12" i="15"/>
  <c r="BG12" i="15" s="1"/>
  <c r="AI12" i="15"/>
  <c r="BE12" i="15" s="1"/>
  <c r="AH12" i="15"/>
  <c r="BD12" i="15" s="1"/>
  <c r="AG12" i="15"/>
  <c r="BC12" i="15" s="1"/>
  <c r="AE12" i="15"/>
  <c r="BA12" i="15" s="1"/>
  <c r="AD12" i="15"/>
  <c r="AZ12" i="15" s="1"/>
  <c r="AC12" i="15"/>
  <c r="AY12" i="15" s="1"/>
  <c r="AA12" i="15"/>
  <c r="AW12" i="15" s="1"/>
  <c r="Z12" i="15"/>
  <c r="AV12" i="15" s="1"/>
  <c r="AT11" i="15"/>
  <c r="BP11" i="15" s="1"/>
  <c r="AR11" i="15"/>
  <c r="BN11" i="15" s="1"/>
  <c r="AQ11" i="15"/>
  <c r="BM11" i="15" s="1"/>
  <c r="AP11" i="15"/>
  <c r="BL11" i="15" s="1"/>
  <c r="AN11" i="15"/>
  <c r="BJ11" i="15" s="1"/>
  <c r="AM11" i="15"/>
  <c r="BI11" i="15" s="1"/>
  <c r="AL11" i="15"/>
  <c r="BH11" i="15" s="1"/>
  <c r="AJ11" i="15"/>
  <c r="BF11" i="15" s="1"/>
  <c r="AI11" i="15"/>
  <c r="BE11" i="15" s="1"/>
  <c r="AH11" i="15"/>
  <c r="BD11" i="15" s="1"/>
  <c r="AF11" i="15"/>
  <c r="BB11" i="15" s="1"/>
  <c r="AE11" i="15"/>
  <c r="BA11" i="15" s="1"/>
  <c r="AD11" i="15"/>
  <c r="AZ11" i="15" s="1"/>
  <c r="AB11" i="15"/>
  <c r="AX11" i="15" s="1"/>
  <c r="AA11" i="15"/>
  <c r="AW11" i="15" s="1"/>
  <c r="Z11" i="15"/>
  <c r="AV11" i="15" s="1"/>
  <c r="AS10" i="15"/>
  <c r="BO10" i="15" s="1"/>
  <c r="AR10" i="15"/>
  <c r="BN10" i="15" s="1"/>
  <c r="AQ10" i="15"/>
  <c r="BM10" i="15" s="1"/>
  <c r="AO10" i="15"/>
  <c r="BK10" i="15" s="1"/>
  <c r="AN10" i="15"/>
  <c r="BJ10" i="15" s="1"/>
  <c r="AM10" i="15"/>
  <c r="BI10" i="15" s="1"/>
  <c r="AK10" i="15"/>
  <c r="BG10" i="15" s="1"/>
  <c r="AJ10" i="15"/>
  <c r="BF10" i="15" s="1"/>
  <c r="AI10" i="15"/>
  <c r="BE10" i="15" s="1"/>
  <c r="AG10" i="15"/>
  <c r="BC10" i="15" s="1"/>
  <c r="AF10" i="15"/>
  <c r="BB10" i="15" s="1"/>
  <c r="AE10" i="15"/>
  <c r="BA10" i="15" s="1"/>
  <c r="AC10" i="15"/>
  <c r="AY10" i="15" s="1"/>
  <c r="AB10" i="15"/>
  <c r="AX10" i="15" s="1"/>
  <c r="AA10" i="15"/>
  <c r="AW10" i="15" s="1"/>
  <c r="AT9" i="15"/>
  <c r="BP9" i="15" s="1"/>
  <c r="AS9" i="15"/>
  <c r="BO9" i="15" s="1"/>
  <c r="AR9" i="15"/>
  <c r="BN9" i="15" s="1"/>
  <c r="AP9" i="15"/>
  <c r="BL9" i="15" s="1"/>
  <c r="AO9" i="15"/>
  <c r="BK9" i="15" s="1"/>
  <c r="AN9" i="15"/>
  <c r="BJ9" i="15" s="1"/>
  <c r="AL9" i="15"/>
  <c r="BH9" i="15" s="1"/>
  <c r="AK9" i="15"/>
  <c r="BG9" i="15" s="1"/>
  <c r="AJ9" i="15"/>
  <c r="BF9" i="15" s="1"/>
  <c r="AH9" i="15"/>
  <c r="BD9" i="15" s="1"/>
  <c r="AG9" i="15"/>
  <c r="BC9" i="15" s="1"/>
  <c r="AF9" i="15"/>
  <c r="BB9" i="15" s="1"/>
  <c r="AD9" i="15"/>
  <c r="AZ9" i="15" s="1"/>
  <c r="AC9" i="15"/>
  <c r="AY9" i="15" s="1"/>
  <c r="AB9" i="15"/>
  <c r="AX9" i="15" s="1"/>
  <c r="Z9" i="15"/>
  <c r="AV9" i="15" s="1"/>
  <c r="AT8" i="15"/>
  <c r="BP8" i="15" s="1"/>
  <c r="AS8" i="15"/>
  <c r="BO8" i="15" s="1"/>
  <c r="AQ8" i="15"/>
  <c r="BM8" i="15" s="1"/>
  <c r="AP8" i="15"/>
  <c r="BL8" i="15" s="1"/>
  <c r="AO8" i="15"/>
  <c r="BK8" i="15" s="1"/>
  <c r="AM8" i="15"/>
  <c r="BI8" i="15" s="1"/>
  <c r="AL8" i="15"/>
  <c r="BH8" i="15" s="1"/>
  <c r="AK8" i="15"/>
  <c r="BG8" i="15" s="1"/>
  <c r="AI8" i="15"/>
  <c r="BE8" i="15" s="1"/>
  <c r="AH8" i="15"/>
  <c r="BD8" i="15" s="1"/>
  <c r="AG8" i="15"/>
  <c r="BC8" i="15" s="1"/>
  <c r="AE8" i="15"/>
  <c r="BA8" i="15" s="1"/>
  <c r="AD8" i="15"/>
  <c r="AZ8" i="15" s="1"/>
  <c r="AC8" i="15"/>
  <c r="AY8" i="15" s="1"/>
  <c r="AA8" i="15"/>
  <c r="AW8" i="15" s="1"/>
  <c r="Z8" i="15"/>
  <c r="AV8" i="15" s="1"/>
  <c r="AT7" i="15"/>
  <c r="BP7" i="15" s="1"/>
  <c r="AR7" i="15"/>
  <c r="BN7" i="15" s="1"/>
  <c r="AQ7" i="15"/>
  <c r="BM7" i="15" s="1"/>
  <c r="AP7" i="15"/>
  <c r="BL7" i="15" s="1"/>
  <c r="AN7" i="15"/>
  <c r="BJ7" i="15" s="1"/>
  <c r="AM7" i="15"/>
  <c r="BI7" i="15" s="1"/>
  <c r="AL7" i="15"/>
  <c r="BH7" i="15" s="1"/>
  <c r="AJ7" i="15"/>
  <c r="BF7" i="15" s="1"/>
  <c r="AI7" i="15"/>
  <c r="BE7" i="15" s="1"/>
  <c r="AH7" i="15"/>
  <c r="BD7" i="15" s="1"/>
  <c r="AF7" i="15"/>
  <c r="BB7" i="15" s="1"/>
  <c r="AE7" i="15"/>
  <c r="BA7" i="15" s="1"/>
  <c r="AD7" i="15"/>
  <c r="AZ7" i="15" s="1"/>
  <c r="AB7" i="15"/>
  <c r="AX7" i="15" s="1"/>
  <c r="AA7" i="15"/>
  <c r="AW7" i="15" s="1"/>
  <c r="Z7" i="15"/>
  <c r="AV7" i="15" s="1"/>
  <c r="B40" i="15"/>
  <c r="B38" i="15"/>
  <c r="B36" i="15"/>
  <c r="B34" i="15"/>
  <c r="B32" i="15"/>
  <c r="B30" i="15"/>
  <c r="B28" i="15"/>
  <c r="B26" i="15"/>
  <c r="B24" i="15"/>
  <c r="B22" i="15"/>
  <c r="B20" i="15"/>
  <c r="B18" i="15"/>
  <c r="B16" i="15"/>
  <c r="B14" i="15"/>
  <c r="B12" i="15"/>
  <c r="B10" i="15"/>
  <c r="B8" i="15"/>
  <c r="CL7" i="5"/>
  <c r="CK7" i="5"/>
  <c r="CJ7" i="5"/>
  <c r="CI7" i="5"/>
  <c r="CH7" i="5"/>
  <c r="CG7" i="5"/>
  <c r="CF7" i="5"/>
  <c r="CE7" i="5"/>
  <c r="CD7" i="5"/>
  <c r="CC7" i="5"/>
  <c r="CB7" i="5"/>
  <c r="CA7" i="5"/>
  <c r="BZ7" i="5"/>
  <c r="BY7" i="5"/>
  <c r="BX7" i="5"/>
  <c r="BW7" i="5"/>
  <c r="BV7" i="5"/>
  <c r="BU7" i="5"/>
  <c r="BT7" i="5"/>
  <c r="BS7" i="5"/>
  <c r="BR7" i="5"/>
  <c r="H10" i="28"/>
  <c r="H9" i="28"/>
  <c r="H8" i="28"/>
  <c r="D119" i="4"/>
  <c r="AV11" i="13"/>
  <c r="AV19" i="13"/>
  <c r="AV23" i="13"/>
  <c r="AV27" i="13"/>
  <c r="C3" i="4"/>
  <c r="A30" i="4"/>
  <c r="AG11" i="17"/>
  <c r="BC11" i="17" s="1"/>
  <c r="AT41" i="17"/>
  <c r="BP41" i="17" s="1"/>
  <c r="AS41" i="17"/>
  <c r="BO41" i="17" s="1"/>
  <c r="AR41" i="17"/>
  <c r="BN41" i="17" s="1"/>
  <c r="AP41" i="17"/>
  <c r="BL41" i="17" s="1"/>
  <c r="AO41" i="17"/>
  <c r="BK41" i="17" s="1"/>
  <c r="AN41" i="17"/>
  <c r="BJ41" i="17" s="1"/>
  <c r="AL41" i="17"/>
  <c r="BH41" i="17" s="1"/>
  <c r="AK41" i="17"/>
  <c r="BG41" i="17" s="1"/>
  <c r="AJ41" i="17"/>
  <c r="BF41" i="17" s="1"/>
  <c r="AH41" i="17"/>
  <c r="BD41" i="17" s="1"/>
  <c r="AG41" i="17"/>
  <c r="BC41" i="17" s="1"/>
  <c r="AF41" i="17"/>
  <c r="BB41" i="17" s="1"/>
  <c r="AD41" i="17"/>
  <c r="AZ41" i="17" s="1"/>
  <c r="AC41" i="17"/>
  <c r="AY41" i="17" s="1"/>
  <c r="AB41" i="17"/>
  <c r="AX41" i="17" s="1"/>
  <c r="Z41" i="17"/>
  <c r="AV41" i="17" s="1"/>
  <c r="AT40" i="17"/>
  <c r="BP40" i="17" s="1"/>
  <c r="AS40" i="17"/>
  <c r="BO40" i="17" s="1"/>
  <c r="AQ40" i="17"/>
  <c r="BM40" i="17" s="1"/>
  <c r="AP40" i="17"/>
  <c r="BL40" i="17" s="1"/>
  <c r="AO40" i="17"/>
  <c r="BK40" i="17" s="1"/>
  <c r="AM40" i="17"/>
  <c r="BI40" i="17" s="1"/>
  <c r="AL40" i="17"/>
  <c r="BH40" i="17" s="1"/>
  <c r="AK40" i="17"/>
  <c r="BG40" i="17" s="1"/>
  <c r="AI40" i="17"/>
  <c r="BE40" i="17" s="1"/>
  <c r="AH40" i="17"/>
  <c r="BD40" i="17" s="1"/>
  <c r="AG40" i="17"/>
  <c r="BC40" i="17" s="1"/>
  <c r="AE40" i="17"/>
  <c r="BA40" i="17" s="1"/>
  <c r="AD40" i="17"/>
  <c r="AZ40" i="17" s="1"/>
  <c r="AC40" i="17"/>
  <c r="AY40" i="17" s="1"/>
  <c r="AA40" i="17"/>
  <c r="AW40" i="17" s="1"/>
  <c r="Z40" i="17"/>
  <c r="AV40" i="17" s="1"/>
  <c r="AT39" i="17"/>
  <c r="BP39" i="17" s="1"/>
  <c r="AR39" i="17"/>
  <c r="BN39" i="17" s="1"/>
  <c r="AQ39" i="17"/>
  <c r="BM39" i="17" s="1"/>
  <c r="AP39" i="17"/>
  <c r="BL39" i="17" s="1"/>
  <c r="AN39" i="17"/>
  <c r="BJ39" i="17" s="1"/>
  <c r="AM39" i="17"/>
  <c r="BI39" i="17" s="1"/>
  <c r="AL39" i="17"/>
  <c r="BH39" i="17" s="1"/>
  <c r="AJ39" i="17"/>
  <c r="BF39" i="17" s="1"/>
  <c r="AI39" i="17"/>
  <c r="BE39" i="17" s="1"/>
  <c r="AH39" i="17"/>
  <c r="BD39" i="17" s="1"/>
  <c r="AF39" i="17"/>
  <c r="BB39" i="17" s="1"/>
  <c r="AE39" i="17"/>
  <c r="BA39" i="17" s="1"/>
  <c r="AD39" i="17"/>
  <c r="AZ39" i="17" s="1"/>
  <c r="AB39" i="17"/>
  <c r="AX39" i="17" s="1"/>
  <c r="AA39" i="17"/>
  <c r="AW39" i="17" s="1"/>
  <c r="Z39" i="17"/>
  <c r="AV39" i="17" s="1"/>
  <c r="AS38" i="17"/>
  <c r="BO38" i="17" s="1"/>
  <c r="AR38" i="17"/>
  <c r="BN38" i="17" s="1"/>
  <c r="AQ38" i="17"/>
  <c r="BM38" i="17" s="1"/>
  <c r="AO38" i="17"/>
  <c r="BK38" i="17" s="1"/>
  <c r="AN38" i="17"/>
  <c r="BJ38" i="17" s="1"/>
  <c r="AM38" i="17"/>
  <c r="BI38" i="17" s="1"/>
  <c r="AK38" i="17"/>
  <c r="BG38" i="17" s="1"/>
  <c r="AJ38" i="17"/>
  <c r="BF38" i="17" s="1"/>
  <c r="AI38" i="17"/>
  <c r="BE38" i="17" s="1"/>
  <c r="AG38" i="17"/>
  <c r="BC38" i="17" s="1"/>
  <c r="AF38" i="17"/>
  <c r="BB38" i="17" s="1"/>
  <c r="AE38" i="17"/>
  <c r="BA38" i="17" s="1"/>
  <c r="AC38" i="17"/>
  <c r="AY38" i="17" s="1"/>
  <c r="AB38" i="17"/>
  <c r="AX38" i="17" s="1"/>
  <c r="AA38" i="17"/>
  <c r="AW38" i="17" s="1"/>
  <c r="AT37" i="17"/>
  <c r="BP37" i="17" s="1"/>
  <c r="AS37" i="17"/>
  <c r="BO37" i="17" s="1"/>
  <c r="AR37" i="17"/>
  <c r="BN37" i="17" s="1"/>
  <c r="AP37" i="17"/>
  <c r="BL37" i="17" s="1"/>
  <c r="AO37" i="17"/>
  <c r="BK37" i="17" s="1"/>
  <c r="AN37" i="17"/>
  <c r="BJ37" i="17" s="1"/>
  <c r="AL37" i="17"/>
  <c r="BH37" i="17" s="1"/>
  <c r="AK37" i="17"/>
  <c r="BG37" i="17" s="1"/>
  <c r="AJ37" i="17"/>
  <c r="BF37" i="17" s="1"/>
  <c r="AH37" i="17"/>
  <c r="BD37" i="17" s="1"/>
  <c r="AG37" i="17"/>
  <c r="BC37" i="17" s="1"/>
  <c r="AF37" i="17"/>
  <c r="BB37" i="17" s="1"/>
  <c r="AD37" i="17"/>
  <c r="AZ37" i="17" s="1"/>
  <c r="AC37" i="17"/>
  <c r="AY37" i="17" s="1"/>
  <c r="AB37" i="17"/>
  <c r="AX37" i="17" s="1"/>
  <c r="Z37" i="17"/>
  <c r="AV37" i="17" s="1"/>
  <c r="AT36" i="17"/>
  <c r="BP36" i="17" s="1"/>
  <c r="AS36" i="17"/>
  <c r="BO36" i="17" s="1"/>
  <c r="AQ36" i="17"/>
  <c r="BM36" i="17" s="1"/>
  <c r="AP36" i="17"/>
  <c r="BL36" i="17" s="1"/>
  <c r="AO36" i="17"/>
  <c r="BK36" i="17" s="1"/>
  <c r="AM36" i="17"/>
  <c r="BI36" i="17" s="1"/>
  <c r="AL36" i="17"/>
  <c r="BH36" i="17" s="1"/>
  <c r="AK36" i="17"/>
  <c r="BG36" i="17" s="1"/>
  <c r="AI36" i="17"/>
  <c r="BE36" i="17" s="1"/>
  <c r="AH36" i="17"/>
  <c r="BD36" i="17" s="1"/>
  <c r="AG36" i="17"/>
  <c r="BC36" i="17" s="1"/>
  <c r="AE36" i="17"/>
  <c r="BA36" i="17" s="1"/>
  <c r="AD36" i="17"/>
  <c r="AZ36" i="17" s="1"/>
  <c r="AC36" i="17"/>
  <c r="AY36" i="17" s="1"/>
  <c r="AA36" i="17"/>
  <c r="AW36" i="17" s="1"/>
  <c r="Z36" i="17"/>
  <c r="AV36" i="17" s="1"/>
  <c r="AT35" i="17"/>
  <c r="BP35" i="17" s="1"/>
  <c r="AR35" i="17"/>
  <c r="BN35" i="17" s="1"/>
  <c r="AQ35" i="17"/>
  <c r="BM35" i="17" s="1"/>
  <c r="AP35" i="17"/>
  <c r="BL35" i="17" s="1"/>
  <c r="AN35" i="17"/>
  <c r="BJ35" i="17" s="1"/>
  <c r="AM35" i="17"/>
  <c r="BI35" i="17" s="1"/>
  <c r="AL35" i="17"/>
  <c r="BH35" i="17" s="1"/>
  <c r="AJ35" i="17"/>
  <c r="BF35" i="17" s="1"/>
  <c r="AI35" i="17"/>
  <c r="BE35" i="17" s="1"/>
  <c r="AH35" i="17"/>
  <c r="BD35" i="17" s="1"/>
  <c r="AF35" i="17"/>
  <c r="BB35" i="17" s="1"/>
  <c r="AE35" i="17"/>
  <c r="BA35" i="17" s="1"/>
  <c r="AB35" i="17"/>
  <c r="AX35" i="17" s="1"/>
  <c r="AA35" i="17"/>
  <c r="AW35" i="17" s="1"/>
  <c r="Z35" i="17"/>
  <c r="AV35" i="17" s="1"/>
  <c r="AS34" i="17"/>
  <c r="BO34" i="17" s="1"/>
  <c r="AR34" i="17"/>
  <c r="BN34" i="17" s="1"/>
  <c r="AQ34" i="17"/>
  <c r="BM34" i="17" s="1"/>
  <c r="AO34" i="17"/>
  <c r="BK34" i="17" s="1"/>
  <c r="AN34" i="17"/>
  <c r="BJ34" i="17" s="1"/>
  <c r="AM34" i="17"/>
  <c r="BI34" i="17" s="1"/>
  <c r="AK34" i="17"/>
  <c r="BG34" i="17" s="1"/>
  <c r="AJ34" i="17"/>
  <c r="BF34" i="17" s="1"/>
  <c r="AG34" i="17"/>
  <c r="BC34" i="17" s="1"/>
  <c r="AF34" i="17"/>
  <c r="BB34" i="17" s="1"/>
  <c r="AE34" i="17"/>
  <c r="BA34" i="17" s="1"/>
  <c r="AC34" i="17"/>
  <c r="AY34" i="17" s="1"/>
  <c r="AB34" i="17"/>
  <c r="AX34" i="17" s="1"/>
  <c r="AA34" i="17"/>
  <c r="AW34" i="17" s="1"/>
  <c r="AT33" i="17"/>
  <c r="BP33" i="17" s="1"/>
  <c r="AS33" i="17"/>
  <c r="BO33" i="17" s="1"/>
  <c r="AR33" i="17"/>
  <c r="BN33" i="17" s="1"/>
  <c r="AP33" i="17"/>
  <c r="BL33" i="17" s="1"/>
  <c r="AO33" i="17"/>
  <c r="BK33" i="17" s="1"/>
  <c r="AN33" i="17"/>
  <c r="BJ33" i="17" s="1"/>
  <c r="AL33" i="17"/>
  <c r="BH33" i="17" s="1"/>
  <c r="AK33" i="17"/>
  <c r="BG33" i="17" s="1"/>
  <c r="AJ33" i="17"/>
  <c r="BF33" i="17" s="1"/>
  <c r="AH33" i="17"/>
  <c r="BD33" i="17" s="1"/>
  <c r="AG33" i="17"/>
  <c r="BC33" i="17" s="1"/>
  <c r="AF33" i="17"/>
  <c r="BB33" i="17" s="1"/>
  <c r="AD33" i="17"/>
  <c r="AZ33" i="17" s="1"/>
  <c r="AC33" i="17"/>
  <c r="AY33" i="17" s="1"/>
  <c r="AB33" i="17"/>
  <c r="AX33" i="17" s="1"/>
  <c r="Z33" i="17"/>
  <c r="AV33" i="17" s="1"/>
  <c r="AT32" i="17"/>
  <c r="BP32" i="17" s="1"/>
  <c r="AS32" i="17"/>
  <c r="BO32" i="17" s="1"/>
  <c r="AQ32" i="17"/>
  <c r="BM32" i="17" s="1"/>
  <c r="AP32" i="17"/>
  <c r="BL32" i="17" s="1"/>
  <c r="AO32" i="17"/>
  <c r="BK32" i="17" s="1"/>
  <c r="AM32" i="17"/>
  <c r="BI32" i="17" s="1"/>
  <c r="AL32" i="17"/>
  <c r="BH32" i="17" s="1"/>
  <c r="AK32" i="17"/>
  <c r="BG32" i="17" s="1"/>
  <c r="AI32" i="17"/>
  <c r="BE32" i="17" s="1"/>
  <c r="AH32" i="17"/>
  <c r="BD32" i="17" s="1"/>
  <c r="AG32" i="17"/>
  <c r="BC32" i="17" s="1"/>
  <c r="AE32" i="17"/>
  <c r="BA32" i="17" s="1"/>
  <c r="AD32" i="17"/>
  <c r="AZ32" i="17" s="1"/>
  <c r="AA32" i="17"/>
  <c r="AW32" i="17" s="1"/>
  <c r="Z32" i="17"/>
  <c r="AV32" i="17" s="1"/>
  <c r="AR31" i="17"/>
  <c r="BN31" i="17" s="1"/>
  <c r="AQ31" i="17"/>
  <c r="BM31" i="17" s="1"/>
  <c r="AN31" i="17"/>
  <c r="BJ31" i="17" s="1"/>
  <c r="AM31" i="17"/>
  <c r="BI31" i="17" s="1"/>
  <c r="AJ31" i="17"/>
  <c r="BF31" i="17" s="1"/>
  <c r="AI31" i="17"/>
  <c r="BE31" i="17" s="1"/>
  <c r="AH31" i="17"/>
  <c r="BD31" i="17" s="1"/>
  <c r="AF31" i="17"/>
  <c r="BB31" i="17" s="1"/>
  <c r="AE31" i="17"/>
  <c r="BA31" i="17" s="1"/>
  <c r="AD31" i="17"/>
  <c r="AZ31" i="17" s="1"/>
  <c r="AB31" i="17"/>
  <c r="AX31" i="17" s="1"/>
  <c r="AA31" i="17"/>
  <c r="AW31" i="17" s="1"/>
  <c r="Z31" i="17"/>
  <c r="AV31" i="17" s="1"/>
  <c r="AS30" i="17"/>
  <c r="BO30" i="17" s="1"/>
  <c r="AR30" i="17"/>
  <c r="BN30" i="17" s="1"/>
  <c r="AO30" i="17"/>
  <c r="BK30" i="17" s="1"/>
  <c r="AN30" i="17"/>
  <c r="BJ30" i="17" s="1"/>
  <c r="AM30" i="17"/>
  <c r="BI30" i="17" s="1"/>
  <c r="AK30" i="17"/>
  <c r="BG30" i="17" s="1"/>
  <c r="AJ30" i="17"/>
  <c r="BF30" i="17" s="1"/>
  <c r="AI30" i="17"/>
  <c r="BE30" i="17" s="1"/>
  <c r="AG30" i="17"/>
  <c r="BC30" i="17" s="1"/>
  <c r="AF30" i="17"/>
  <c r="BB30" i="17" s="1"/>
  <c r="AE30" i="17"/>
  <c r="BA30" i="17" s="1"/>
  <c r="AC30" i="17"/>
  <c r="AY30" i="17" s="1"/>
  <c r="AB30" i="17"/>
  <c r="AX30" i="17" s="1"/>
  <c r="AT29" i="17"/>
  <c r="BP29" i="17" s="1"/>
  <c r="AS29" i="17"/>
  <c r="BO29" i="17" s="1"/>
  <c r="AP29" i="17"/>
  <c r="BL29" i="17" s="1"/>
  <c r="AO29" i="17"/>
  <c r="BK29" i="17" s="1"/>
  <c r="AL29" i="17"/>
  <c r="BH29" i="17" s="1"/>
  <c r="AK29" i="17"/>
  <c r="BG29" i="17" s="1"/>
  <c r="AH29" i="17"/>
  <c r="BD29" i="17" s="1"/>
  <c r="AG29" i="17"/>
  <c r="BC29" i="17" s="1"/>
  <c r="AD29" i="17"/>
  <c r="AZ29" i="17" s="1"/>
  <c r="AC29" i="17"/>
  <c r="AY29" i="17" s="1"/>
  <c r="Z29" i="17"/>
  <c r="AV29" i="17" s="1"/>
  <c r="AT28" i="17"/>
  <c r="BP28" i="17" s="1"/>
  <c r="AQ28" i="17"/>
  <c r="BM28" i="17" s="1"/>
  <c r="AP28" i="17"/>
  <c r="BL28" i="17" s="1"/>
  <c r="AM28" i="17"/>
  <c r="BI28" i="17" s="1"/>
  <c r="AL28" i="17"/>
  <c r="BH28" i="17" s="1"/>
  <c r="AI28" i="17"/>
  <c r="BE28" i="17" s="1"/>
  <c r="AH28" i="17"/>
  <c r="BD28" i="17" s="1"/>
  <c r="AG28" i="17"/>
  <c r="BC28" i="17" s="1"/>
  <c r="AE28" i="17"/>
  <c r="BA28" i="17" s="1"/>
  <c r="AD28" i="17"/>
  <c r="AZ28" i="17" s="1"/>
  <c r="AC28" i="17"/>
  <c r="AY28" i="17" s="1"/>
  <c r="AA28" i="17"/>
  <c r="AW28" i="17" s="1"/>
  <c r="Z28" i="17"/>
  <c r="AV28" i="17" s="1"/>
  <c r="AT27" i="17"/>
  <c r="BP27" i="17" s="1"/>
  <c r="AR27" i="17"/>
  <c r="BN27" i="17" s="1"/>
  <c r="AQ27" i="17"/>
  <c r="BM27" i="17" s="1"/>
  <c r="AP27" i="17"/>
  <c r="BL27" i="17" s="1"/>
  <c r="AN27" i="17"/>
  <c r="BJ27" i="17" s="1"/>
  <c r="AM27" i="17"/>
  <c r="BI27" i="17" s="1"/>
  <c r="AL27" i="17"/>
  <c r="BH27" i="17" s="1"/>
  <c r="AJ27" i="17"/>
  <c r="BF27" i="17" s="1"/>
  <c r="AI27" i="17"/>
  <c r="BE27" i="17" s="1"/>
  <c r="AH27" i="17"/>
  <c r="BD27" i="17" s="1"/>
  <c r="AF27" i="17"/>
  <c r="BB27" i="17" s="1"/>
  <c r="AE27" i="17"/>
  <c r="BA27" i="17" s="1"/>
  <c r="AB27" i="17"/>
  <c r="AX27" i="17" s="1"/>
  <c r="AA27" i="17"/>
  <c r="AW27" i="17" s="1"/>
  <c r="Z27" i="17"/>
  <c r="AV27" i="17" s="1"/>
  <c r="AS26" i="17"/>
  <c r="BO26" i="17" s="1"/>
  <c r="AR26" i="17"/>
  <c r="BN26" i="17" s="1"/>
  <c r="AQ26" i="17"/>
  <c r="BM26" i="17" s="1"/>
  <c r="AO26" i="17"/>
  <c r="BK26" i="17" s="1"/>
  <c r="AN26" i="17"/>
  <c r="BJ26" i="17" s="1"/>
  <c r="AM26" i="17"/>
  <c r="BI26" i="17" s="1"/>
  <c r="AK26" i="17"/>
  <c r="BG26" i="17" s="1"/>
  <c r="AJ26" i="17"/>
  <c r="BF26" i="17" s="1"/>
  <c r="AI26" i="17"/>
  <c r="BE26" i="17" s="1"/>
  <c r="AG26" i="17"/>
  <c r="BC26" i="17" s="1"/>
  <c r="AF26" i="17"/>
  <c r="BB26" i="17" s="1"/>
  <c r="AE26" i="17"/>
  <c r="BA26" i="17" s="1"/>
  <c r="AC26" i="17"/>
  <c r="AY26" i="17" s="1"/>
  <c r="AB26" i="17"/>
  <c r="AX26" i="17" s="1"/>
  <c r="AA26" i="17"/>
  <c r="AW26" i="17" s="1"/>
  <c r="AT25" i="17"/>
  <c r="BP25" i="17" s="1"/>
  <c r="AS25" i="17"/>
  <c r="BO25" i="17" s="1"/>
  <c r="AR25" i="17"/>
  <c r="BN25" i="17" s="1"/>
  <c r="AP25" i="17"/>
  <c r="BL25" i="17" s="1"/>
  <c r="AO25" i="17"/>
  <c r="BK25" i="17" s="1"/>
  <c r="AN25" i="17"/>
  <c r="BJ25" i="17" s="1"/>
  <c r="AL25" i="17"/>
  <c r="BH25" i="17" s="1"/>
  <c r="AK25" i="17"/>
  <c r="BG25" i="17" s="1"/>
  <c r="AJ25" i="17"/>
  <c r="BF25" i="17" s="1"/>
  <c r="AH25" i="17"/>
  <c r="BD25" i="17" s="1"/>
  <c r="AG25" i="17"/>
  <c r="BC25" i="17" s="1"/>
  <c r="AF25" i="17"/>
  <c r="BB25" i="17" s="1"/>
  <c r="AD25" i="17"/>
  <c r="AZ25" i="17" s="1"/>
  <c r="AC25" i="17"/>
  <c r="AY25" i="17" s="1"/>
  <c r="AB25" i="17"/>
  <c r="AX25" i="17" s="1"/>
  <c r="Z25" i="17"/>
  <c r="AV25" i="17" s="1"/>
  <c r="AT24" i="17"/>
  <c r="BP24" i="17" s="1"/>
  <c r="AS24" i="17"/>
  <c r="BO24" i="17" s="1"/>
  <c r="AQ24" i="17"/>
  <c r="BM24" i="17" s="1"/>
  <c r="AP24" i="17"/>
  <c r="BL24" i="17" s="1"/>
  <c r="AO24" i="17"/>
  <c r="BK24" i="17" s="1"/>
  <c r="AM24" i="17"/>
  <c r="BI24" i="17" s="1"/>
  <c r="AL24" i="17"/>
  <c r="BH24" i="17" s="1"/>
  <c r="AK24" i="17"/>
  <c r="BG24" i="17" s="1"/>
  <c r="AI24" i="17"/>
  <c r="BE24" i="17" s="1"/>
  <c r="AH24" i="17"/>
  <c r="BD24" i="17" s="1"/>
  <c r="AG24" i="17"/>
  <c r="BC24" i="17" s="1"/>
  <c r="AE24" i="17"/>
  <c r="BA24" i="17" s="1"/>
  <c r="AD24" i="17"/>
  <c r="AZ24" i="17" s="1"/>
  <c r="AC24" i="17"/>
  <c r="AY24" i="17" s="1"/>
  <c r="AA24" i="17"/>
  <c r="AW24" i="17" s="1"/>
  <c r="Z24" i="17"/>
  <c r="AV24" i="17" s="1"/>
  <c r="AT23" i="17"/>
  <c r="BP23" i="17" s="1"/>
  <c r="AR23" i="17"/>
  <c r="BN23" i="17" s="1"/>
  <c r="AQ23" i="17"/>
  <c r="BM23" i="17" s="1"/>
  <c r="AP23" i="17"/>
  <c r="BL23" i="17" s="1"/>
  <c r="AN23" i="17"/>
  <c r="BJ23" i="17" s="1"/>
  <c r="AM23" i="17"/>
  <c r="BI23" i="17" s="1"/>
  <c r="AL23" i="17"/>
  <c r="BH23" i="17" s="1"/>
  <c r="AJ23" i="17"/>
  <c r="BF23" i="17" s="1"/>
  <c r="AI23" i="17"/>
  <c r="BE23" i="17" s="1"/>
  <c r="AH23" i="17"/>
  <c r="BD23" i="17" s="1"/>
  <c r="AF23" i="17"/>
  <c r="BB23" i="17" s="1"/>
  <c r="AE23" i="17"/>
  <c r="BA23" i="17" s="1"/>
  <c r="AD23" i="17"/>
  <c r="AZ23" i="17" s="1"/>
  <c r="AB23" i="17"/>
  <c r="AX23" i="17" s="1"/>
  <c r="AA23" i="17"/>
  <c r="AW23" i="17" s="1"/>
  <c r="AS22" i="17"/>
  <c r="BO22" i="17" s="1"/>
  <c r="AR22" i="17"/>
  <c r="BN22" i="17" s="1"/>
  <c r="AQ22" i="17"/>
  <c r="BM22" i="17" s="1"/>
  <c r="AO22" i="17"/>
  <c r="BK22" i="17" s="1"/>
  <c r="AN22" i="17"/>
  <c r="BJ22" i="17" s="1"/>
  <c r="AM22" i="17"/>
  <c r="BI22" i="17" s="1"/>
  <c r="AK22" i="17"/>
  <c r="BG22" i="17" s="1"/>
  <c r="AJ22" i="17"/>
  <c r="BF22" i="17" s="1"/>
  <c r="AI22" i="17"/>
  <c r="BE22" i="17" s="1"/>
  <c r="AG22" i="17"/>
  <c r="BC22" i="17" s="1"/>
  <c r="AF22" i="17"/>
  <c r="BB22" i="17" s="1"/>
  <c r="AE22" i="17"/>
  <c r="BA22" i="17" s="1"/>
  <c r="AC22" i="17"/>
  <c r="AY22" i="17" s="1"/>
  <c r="AB22" i="17"/>
  <c r="AX22" i="17" s="1"/>
  <c r="AT21" i="17"/>
  <c r="BP21" i="17" s="1"/>
  <c r="AS21" i="17"/>
  <c r="BO21" i="17" s="1"/>
  <c r="AP21" i="17"/>
  <c r="BL21" i="17" s="1"/>
  <c r="AO21" i="17"/>
  <c r="BK21" i="17" s="1"/>
  <c r="AL21" i="17"/>
  <c r="BH21" i="17" s="1"/>
  <c r="AK21" i="17"/>
  <c r="BG21" i="17" s="1"/>
  <c r="AH21" i="17"/>
  <c r="BD21" i="17" s="1"/>
  <c r="AG21" i="17"/>
  <c r="BC21" i="17" s="1"/>
  <c r="AD21" i="17"/>
  <c r="AZ21" i="17" s="1"/>
  <c r="AC21" i="17"/>
  <c r="AY21" i="17" s="1"/>
  <c r="AA21" i="17"/>
  <c r="AW21" i="17" s="1"/>
  <c r="Z21" i="17"/>
  <c r="AV21" i="17" s="1"/>
  <c r="AT20" i="17"/>
  <c r="BP20" i="17" s="1"/>
  <c r="AQ20" i="17"/>
  <c r="BM20" i="17" s="1"/>
  <c r="AP20" i="17"/>
  <c r="BL20" i="17" s="1"/>
  <c r="AO20" i="17"/>
  <c r="BK20" i="17" s="1"/>
  <c r="AM20" i="17"/>
  <c r="BI20" i="17" s="1"/>
  <c r="AL20" i="17"/>
  <c r="BH20" i="17" s="1"/>
  <c r="AK20" i="17"/>
  <c r="BG20" i="17" s="1"/>
  <c r="AI20" i="17"/>
  <c r="BE20" i="17" s="1"/>
  <c r="AH20" i="17"/>
  <c r="BD20" i="17" s="1"/>
  <c r="AG20" i="17"/>
  <c r="BC20" i="17" s="1"/>
  <c r="AE20" i="17"/>
  <c r="BA20" i="17" s="1"/>
  <c r="AD20" i="17"/>
  <c r="AZ20" i="17" s="1"/>
  <c r="AC20" i="17"/>
  <c r="AY20" i="17" s="1"/>
  <c r="AA20" i="17"/>
  <c r="AW20" i="17" s="1"/>
  <c r="Z20" i="17"/>
  <c r="AV20" i="17" s="1"/>
  <c r="AT19" i="17"/>
  <c r="BP19" i="17" s="1"/>
  <c r="AR19" i="17"/>
  <c r="BN19" i="17" s="1"/>
  <c r="AQ19" i="17"/>
  <c r="BM19" i="17" s="1"/>
  <c r="AP19" i="17"/>
  <c r="BL19" i="17" s="1"/>
  <c r="AN19" i="17"/>
  <c r="BJ19" i="17" s="1"/>
  <c r="AM19" i="17"/>
  <c r="BI19" i="17" s="1"/>
  <c r="AL19" i="17"/>
  <c r="BH19" i="17" s="1"/>
  <c r="AJ19" i="17"/>
  <c r="BF19" i="17" s="1"/>
  <c r="AI19" i="17"/>
  <c r="BE19" i="17" s="1"/>
  <c r="AH19" i="17"/>
  <c r="BD19" i="17" s="1"/>
  <c r="AF19" i="17"/>
  <c r="BB19" i="17" s="1"/>
  <c r="AE19" i="17"/>
  <c r="BA19" i="17" s="1"/>
  <c r="AD19" i="17"/>
  <c r="AZ19" i="17" s="1"/>
  <c r="AB19" i="17"/>
  <c r="AX19" i="17" s="1"/>
  <c r="AA19" i="17"/>
  <c r="AW19" i="17" s="1"/>
  <c r="Z19" i="17"/>
  <c r="AV19" i="17" s="1"/>
  <c r="AS18" i="17"/>
  <c r="BO18" i="17" s="1"/>
  <c r="AR18" i="17"/>
  <c r="BN18" i="17" s="1"/>
  <c r="AQ18" i="17"/>
  <c r="BM18" i="17" s="1"/>
  <c r="AO18" i="17"/>
  <c r="BK18" i="17" s="1"/>
  <c r="AN18" i="17"/>
  <c r="BJ18" i="17" s="1"/>
  <c r="AM18" i="17"/>
  <c r="BI18" i="17" s="1"/>
  <c r="AK18" i="17"/>
  <c r="BG18" i="17" s="1"/>
  <c r="AJ18" i="17"/>
  <c r="BF18" i="17" s="1"/>
  <c r="AI18" i="17"/>
  <c r="BE18" i="17" s="1"/>
  <c r="AG18" i="17"/>
  <c r="BC18" i="17" s="1"/>
  <c r="AF18" i="17"/>
  <c r="BB18" i="17" s="1"/>
  <c r="AE18" i="17"/>
  <c r="BA18" i="17" s="1"/>
  <c r="AC18" i="17"/>
  <c r="AY18" i="17" s="1"/>
  <c r="AB18" i="17"/>
  <c r="AX18" i="17" s="1"/>
  <c r="AA18" i="17"/>
  <c r="AW18" i="17" s="1"/>
  <c r="AT17" i="17"/>
  <c r="BP17" i="17" s="1"/>
  <c r="AS17" i="17"/>
  <c r="BO17" i="17" s="1"/>
  <c r="AR17" i="17"/>
  <c r="BN17" i="17" s="1"/>
  <c r="AP17" i="17"/>
  <c r="BL17" i="17" s="1"/>
  <c r="AO17" i="17"/>
  <c r="BK17" i="17" s="1"/>
  <c r="AN17" i="17"/>
  <c r="BJ17" i="17" s="1"/>
  <c r="AL17" i="17"/>
  <c r="BH17" i="17" s="1"/>
  <c r="AK17" i="17"/>
  <c r="BG17" i="17" s="1"/>
  <c r="AJ17" i="17"/>
  <c r="BF17" i="17" s="1"/>
  <c r="AH17" i="17"/>
  <c r="BD17" i="17" s="1"/>
  <c r="AG17" i="17"/>
  <c r="BC17" i="17" s="1"/>
  <c r="AF17" i="17"/>
  <c r="BB17" i="17" s="1"/>
  <c r="AD17" i="17"/>
  <c r="AZ17" i="17" s="1"/>
  <c r="AC17" i="17"/>
  <c r="AY17" i="17" s="1"/>
  <c r="AB17" i="17"/>
  <c r="AX17" i="17" s="1"/>
  <c r="Z17" i="17"/>
  <c r="AV17" i="17" s="1"/>
  <c r="AT16" i="17"/>
  <c r="BP16" i="17" s="1"/>
  <c r="AS16" i="17"/>
  <c r="BO16" i="17" s="1"/>
  <c r="AQ16" i="17"/>
  <c r="BM16" i="17" s="1"/>
  <c r="AP16" i="17"/>
  <c r="BL16" i="17" s="1"/>
  <c r="AO16" i="17"/>
  <c r="BK16" i="17" s="1"/>
  <c r="AM16" i="17"/>
  <c r="BI16" i="17" s="1"/>
  <c r="AL16" i="17"/>
  <c r="BH16" i="17" s="1"/>
  <c r="AK16" i="17"/>
  <c r="BG16" i="17" s="1"/>
  <c r="AI16" i="17"/>
  <c r="BE16" i="17" s="1"/>
  <c r="AH16" i="17"/>
  <c r="BD16" i="17" s="1"/>
  <c r="AG16" i="17"/>
  <c r="BC16" i="17" s="1"/>
  <c r="AE16" i="17"/>
  <c r="BA16" i="17" s="1"/>
  <c r="AD16" i="17"/>
  <c r="AZ16" i="17" s="1"/>
  <c r="AC16" i="17"/>
  <c r="AY16" i="17" s="1"/>
  <c r="AA16" i="17"/>
  <c r="AW16" i="17" s="1"/>
  <c r="Z16" i="17"/>
  <c r="AV16" i="17" s="1"/>
  <c r="AT15" i="17"/>
  <c r="BP15" i="17" s="1"/>
  <c r="AR15" i="17"/>
  <c r="BN15" i="17" s="1"/>
  <c r="AQ15" i="17"/>
  <c r="BM15" i="17" s="1"/>
  <c r="AP15" i="17"/>
  <c r="BL15" i="17" s="1"/>
  <c r="AN15" i="17"/>
  <c r="BJ15" i="17" s="1"/>
  <c r="AM15" i="17"/>
  <c r="BI15" i="17" s="1"/>
  <c r="AL15" i="17"/>
  <c r="BH15" i="17" s="1"/>
  <c r="AJ15" i="17"/>
  <c r="BF15" i="17" s="1"/>
  <c r="AI15" i="17"/>
  <c r="BE15" i="17" s="1"/>
  <c r="AH15" i="17"/>
  <c r="BD15" i="17" s="1"/>
  <c r="AF15" i="17"/>
  <c r="BB15" i="17" s="1"/>
  <c r="AE15" i="17"/>
  <c r="BA15" i="17" s="1"/>
  <c r="AD15" i="17"/>
  <c r="AZ15" i="17" s="1"/>
  <c r="AB15" i="17"/>
  <c r="AX15" i="17" s="1"/>
  <c r="AA15" i="17"/>
  <c r="AW15" i="17" s="1"/>
  <c r="Z15" i="17"/>
  <c r="AV15" i="17" s="1"/>
  <c r="AS14" i="17"/>
  <c r="BO14" i="17" s="1"/>
  <c r="AR14" i="17"/>
  <c r="BN14" i="17" s="1"/>
  <c r="AQ14" i="17"/>
  <c r="BM14" i="17" s="1"/>
  <c r="AO14" i="17"/>
  <c r="BK14" i="17" s="1"/>
  <c r="AN14" i="17"/>
  <c r="BJ14" i="17" s="1"/>
  <c r="AM14" i="17"/>
  <c r="BI14" i="17" s="1"/>
  <c r="AK14" i="17"/>
  <c r="BG14" i="17" s="1"/>
  <c r="AJ14" i="17"/>
  <c r="BF14" i="17" s="1"/>
  <c r="AI14" i="17"/>
  <c r="BE14" i="17" s="1"/>
  <c r="AG14" i="17"/>
  <c r="BC14" i="17" s="1"/>
  <c r="AF14" i="17"/>
  <c r="BB14" i="17" s="1"/>
  <c r="AE14" i="17"/>
  <c r="BA14" i="17" s="1"/>
  <c r="AC14" i="17"/>
  <c r="AY14" i="17" s="1"/>
  <c r="AB14" i="17"/>
  <c r="AX14" i="17" s="1"/>
  <c r="AA14" i="17"/>
  <c r="AW14" i="17" s="1"/>
  <c r="AT13" i="17"/>
  <c r="BP13" i="17" s="1"/>
  <c r="AS13" i="17"/>
  <c r="BO13" i="17" s="1"/>
  <c r="AR13" i="17"/>
  <c r="BN13" i="17" s="1"/>
  <c r="AP13" i="17"/>
  <c r="BL13" i="17" s="1"/>
  <c r="AO13" i="17"/>
  <c r="BK13" i="17" s="1"/>
  <c r="AN13" i="17"/>
  <c r="BJ13" i="17" s="1"/>
  <c r="AL13" i="17"/>
  <c r="BH13" i="17" s="1"/>
  <c r="AK13" i="17"/>
  <c r="BG13" i="17" s="1"/>
  <c r="AJ13" i="17"/>
  <c r="BF13" i="17" s="1"/>
  <c r="AH13" i="17"/>
  <c r="BD13" i="17" s="1"/>
  <c r="AG13" i="17"/>
  <c r="BC13" i="17" s="1"/>
  <c r="AF13" i="17"/>
  <c r="BB13" i="17" s="1"/>
  <c r="AD13" i="17"/>
  <c r="AZ13" i="17" s="1"/>
  <c r="AC13" i="17"/>
  <c r="AY13" i="17" s="1"/>
  <c r="AB13" i="17"/>
  <c r="AX13" i="17" s="1"/>
  <c r="Z13" i="17"/>
  <c r="AV13" i="17" s="1"/>
  <c r="AT12" i="17"/>
  <c r="BP12" i="17" s="1"/>
  <c r="AS12" i="17"/>
  <c r="BO12" i="17" s="1"/>
  <c r="AQ12" i="17"/>
  <c r="BM12" i="17" s="1"/>
  <c r="AP12" i="17"/>
  <c r="BL12" i="17" s="1"/>
  <c r="AO12" i="17"/>
  <c r="BK12" i="17" s="1"/>
  <c r="AM12" i="17"/>
  <c r="BI12" i="17" s="1"/>
  <c r="AL12" i="17"/>
  <c r="BH12" i="17" s="1"/>
  <c r="AK12" i="17"/>
  <c r="BG12" i="17" s="1"/>
  <c r="AI12" i="17"/>
  <c r="BE12" i="17" s="1"/>
  <c r="AH12" i="17"/>
  <c r="BD12" i="17" s="1"/>
  <c r="AG12" i="17"/>
  <c r="BC12" i="17" s="1"/>
  <c r="AE12" i="17"/>
  <c r="BA12" i="17" s="1"/>
  <c r="AD12" i="17"/>
  <c r="AZ12" i="17" s="1"/>
  <c r="AC12" i="17"/>
  <c r="AY12" i="17" s="1"/>
  <c r="AA12" i="17"/>
  <c r="AW12" i="17" s="1"/>
  <c r="Z12" i="17"/>
  <c r="AV12" i="17" s="1"/>
  <c r="AT11" i="17"/>
  <c r="BP11" i="17" s="1"/>
  <c r="AR11" i="17"/>
  <c r="BN11" i="17" s="1"/>
  <c r="AQ11" i="17"/>
  <c r="BM11" i="17" s="1"/>
  <c r="AP11" i="17"/>
  <c r="BL11" i="17" s="1"/>
  <c r="AN11" i="17"/>
  <c r="BJ11" i="17" s="1"/>
  <c r="AM11" i="17"/>
  <c r="BI11" i="17" s="1"/>
  <c r="AL11" i="17"/>
  <c r="BH11" i="17" s="1"/>
  <c r="AJ11" i="17"/>
  <c r="BF11" i="17" s="1"/>
  <c r="AI11" i="17"/>
  <c r="BE11" i="17" s="1"/>
  <c r="AH11" i="17"/>
  <c r="BD11" i="17" s="1"/>
  <c r="AF11" i="17"/>
  <c r="BB11" i="17" s="1"/>
  <c r="AE11" i="17"/>
  <c r="BA11" i="17" s="1"/>
  <c r="AD11" i="17"/>
  <c r="AZ11" i="17" s="1"/>
  <c r="AB11" i="17"/>
  <c r="AX11" i="17" s="1"/>
  <c r="AA11" i="17"/>
  <c r="AW11" i="17" s="1"/>
  <c r="Z11" i="17"/>
  <c r="AV11" i="17" s="1"/>
  <c r="AS10" i="17"/>
  <c r="BO10" i="17" s="1"/>
  <c r="AR10" i="17"/>
  <c r="BN10" i="17" s="1"/>
  <c r="AQ10" i="17"/>
  <c r="BM10" i="17" s="1"/>
  <c r="AO10" i="17"/>
  <c r="BK10" i="17" s="1"/>
  <c r="AN10" i="17"/>
  <c r="BJ10" i="17" s="1"/>
  <c r="AN7" i="17"/>
  <c r="BJ7" i="17" s="1"/>
  <c r="AN9" i="17"/>
  <c r="BJ9" i="17" s="1"/>
  <c r="AM10" i="17"/>
  <c r="BI10" i="17" s="1"/>
  <c r="AK10" i="17"/>
  <c r="BG10" i="17" s="1"/>
  <c r="AJ10" i="17"/>
  <c r="BF10" i="17" s="1"/>
  <c r="AI10" i="17"/>
  <c r="BE10" i="17" s="1"/>
  <c r="AG10" i="17"/>
  <c r="BC10" i="17" s="1"/>
  <c r="AF10" i="17"/>
  <c r="BB10" i="17" s="1"/>
  <c r="AE10" i="17"/>
  <c r="BA10" i="17" s="1"/>
  <c r="AC10" i="17"/>
  <c r="AY10" i="17" s="1"/>
  <c r="AB10" i="17"/>
  <c r="AX10" i="17" s="1"/>
  <c r="AA10" i="17"/>
  <c r="AW10" i="17" s="1"/>
  <c r="AT9" i="17"/>
  <c r="BP9" i="17" s="1"/>
  <c r="AS9" i="17"/>
  <c r="BO9" i="17" s="1"/>
  <c r="AR9" i="17"/>
  <c r="BN9" i="17" s="1"/>
  <c r="AP9" i="17"/>
  <c r="BL9" i="17" s="1"/>
  <c r="AO9" i="17"/>
  <c r="BK9" i="17" s="1"/>
  <c r="AL9" i="17"/>
  <c r="BH9" i="17" s="1"/>
  <c r="AK9" i="17"/>
  <c r="BG9" i="17" s="1"/>
  <c r="AJ9" i="17"/>
  <c r="BF9" i="17" s="1"/>
  <c r="AH9" i="17"/>
  <c r="BD9" i="17" s="1"/>
  <c r="AG9" i="17"/>
  <c r="BC9" i="17" s="1"/>
  <c r="AF9" i="17"/>
  <c r="BB9" i="17" s="1"/>
  <c r="AD9" i="17"/>
  <c r="AZ9" i="17" s="1"/>
  <c r="AC9" i="17"/>
  <c r="AY9" i="17" s="1"/>
  <c r="AB9" i="17"/>
  <c r="AX9" i="17" s="1"/>
  <c r="Z9" i="17"/>
  <c r="AV9" i="17" s="1"/>
  <c r="AT8" i="17"/>
  <c r="BP8" i="17" s="1"/>
  <c r="AS8" i="17"/>
  <c r="BO8" i="17" s="1"/>
  <c r="AQ8" i="17"/>
  <c r="BM8" i="17" s="1"/>
  <c r="AP8" i="17"/>
  <c r="BL8" i="17" s="1"/>
  <c r="AO8" i="17"/>
  <c r="BK8" i="17" s="1"/>
  <c r="AM8" i="17"/>
  <c r="BI8" i="17" s="1"/>
  <c r="AL8" i="17"/>
  <c r="BH8" i="17" s="1"/>
  <c r="AK8" i="17"/>
  <c r="BG8" i="17" s="1"/>
  <c r="AI8" i="17"/>
  <c r="BE8" i="17" s="1"/>
  <c r="AH8" i="17"/>
  <c r="BD8" i="17" s="1"/>
  <c r="AG8" i="17"/>
  <c r="BC8" i="17" s="1"/>
  <c r="AE8" i="17"/>
  <c r="BA8" i="17" s="1"/>
  <c r="AD8" i="17"/>
  <c r="AZ8" i="17" s="1"/>
  <c r="AC8" i="17"/>
  <c r="AY8" i="17" s="1"/>
  <c r="AA8" i="17"/>
  <c r="AW8" i="17" s="1"/>
  <c r="Z8" i="17"/>
  <c r="AV8" i="17" s="1"/>
  <c r="AT7" i="17"/>
  <c r="BP7" i="17" s="1"/>
  <c r="AR7" i="17"/>
  <c r="BN7" i="17" s="1"/>
  <c r="AQ7" i="17"/>
  <c r="BM7" i="17" s="1"/>
  <c r="AP7" i="17"/>
  <c r="BL7" i="17" s="1"/>
  <c r="AM7" i="17"/>
  <c r="BI7" i="17" s="1"/>
  <c r="AL7" i="17"/>
  <c r="BH7" i="17" s="1"/>
  <c r="AJ7" i="17"/>
  <c r="BF7" i="17" s="1"/>
  <c r="AI7" i="17"/>
  <c r="BE7" i="17" s="1"/>
  <c r="AH7" i="17"/>
  <c r="BD7" i="17" s="1"/>
  <c r="AF7" i="17"/>
  <c r="BB7" i="17" s="1"/>
  <c r="AE7" i="17"/>
  <c r="BA7" i="17" s="1"/>
  <c r="AD7" i="17"/>
  <c r="AZ7" i="17" s="1"/>
  <c r="AB7" i="17"/>
  <c r="AX7" i="17" s="1"/>
  <c r="AA7" i="17"/>
  <c r="AW7" i="17" s="1"/>
  <c r="Z7" i="17"/>
  <c r="AV7" i="17" s="1"/>
  <c r="B40" i="17"/>
  <c r="B38" i="17"/>
  <c r="B36" i="17"/>
  <c r="B34" i="17"/>
  <c r="B32" i="17"/>
  <c r="B30" i="17"/>
  <c r="B28" i="17"/>
  <c r="B26" i="17"/>
  <c r="B24" i="17"/>
  <c r="B22" i="17"/>
  <c r="B20" i="17"/>
  <c r="B18" i="17"/>
  <c r="B16" i="17"/>
  <c r="B14" i="17"/>
  <c r="B12" i="17"/>
  <c r="B10" i="17"/>
  <c r="B8" i="17"/>
  <c r="AV4" i="17"/>
  <c r="Z4" i="17"/>
  <c r="D4" i="17"/>
  <c r="B3" i="17"/>
  <c r="B1" i="17"/>
  <c r="AV4" i="15"/>
  <c r="Z4" i="15"/>
  <c r="D4" i="15"/>
  <c r="B3" i="15"/>
  <c r="BR4" i="5"/>
  <c r="AV4" i="5"/>
  <c r="D4" i="5"/>
  <c r="B3" i="5"/>
  <c r="B1" i="5"/>
  <c r="AV66" i="5"/>
  <c r="CM65" i="5"/>
  <c r="F98" i="9" s="1"/>
  <c r="CM64" i="5"/>
  <c r="F97" i="9" s="1"/>
  <c r="CM63" i="5"/>
  <c r="F96" i="9" s="1"/>
  <c r="CM62" i="5"/>
  <c r="F95" i="9" s="1"/>
  <c r="CM61" i="5"/>
  <c r="F94" i="9" s="1"/>
  <c r="DJ60" i="5"/>
  <c r="I93" i="9" s="1"/>
  <c r="CM60" i="5"/>
  <c r="F93" i="9" s="1"/>
  <c r="DJ59" i="5"/>
  <c r="I92" i="9" s="1"/>
  <c r="CM59" i="5"/>
  <c r="F92" i="9" s="1"/>
  <c r="CM58" i="5"/>
  <c r="F91" i="9" s="1"/>
  <c r="CM57" i="5"/>
  <c r="F90" i="9" s="1"/>
  <c r="CM56" i="5"/>
  <c r="F89" i="9" s="1"/>
  <c r="CM55" i="5"/>
  <c r="F88" i="9" s="1"/>
  <c r="CM54" i="5"/>
  <c r="F87" i="9" s="1"/>
  <c r="CM53" i="5"/>
  <c r="F86" i="9" s="1"/>
  <c r="CM52" i="5"/>
  <c r="F85" i="9" s="1"/>
  <c r="CM51" i="5"/>
  <c r="F84" i="9" s="1"/>
  <c r="DJ50" i="5"/>
  <c r="I83" i="9" s="1"/>
  <c r="CM50" i="5"/>
  <c r="F83" i="9" s="1"/>
  <c r="CM49" i="5"/>
  <c r="F82" i="9" s="1"/>
  <c r="DJ48" i="5"/>
  <c r="I81" i="9" s="1"/>
  <c r="CM48" i="5"/>
  <c r="F81" i="9" s="1"/>
  <c r="DJ46" i="5"/>
  <c r="I79" i="9" s="1"/>
  <c r="DI7" i="5"/>
  <c r="DG7" i="5"/>
  <c r="DF7" i="5"/>
  <c r="DE7" i="5"/>
  <c r="DC7" i="5"/>
  <c r="DB7" i="5"/>
  <c r="DA7" i="5"/>
  <c r="CY7" i="5"/>
  <c r="CX7" i="5"/>
  <c r="CW7" i="5"/>
  <c r="CU7" i="5"/>
  <c r="CT7" i="5"/>
  <c r="CS7" i="5"/>
  <c r="CQ7" i="5"/>
  <c r="CP7" i="5"/>
  <c r="CO7" i="5"/>
  <c r="DJ54" i="5"/>
  <c r="I87" i="9" s="1"/>
  <c r="DJ56" i="5"/>
  <c r="I89" i="9" s="1"/>
  <c r="DJ58" i="5"/>
  <c r="I91" i="9" s="1"/>
  <c r="DJ62" i="5"/>
  <c r="I95" i="9" s="1"/>
  <c r="DJ64" i="5"/>
  <c r="I97" i="9" s="1"/>
  <c r="DJ53" i="5"/>
  <c r="I86" i="9" s="1"/>
  <c r="DJ55" i="5"/>
  <c r="I88" i="9" s="1"/>
  <c r="DJ57" i="5"/>
  <c r="I90" i="9" s="1"/>
  <c r="DJ61" i="5"/>
  <c r="I94" i="9" s="1"/>
  <c r="DJ63" i="5"/>
  <c r="I96" i="9" s="1"/>
  <c r="DJ65" i="5"/>
  <c r="I98" i="9" s="1"/>
  <c r="CM46" i="5"/>
  <c r="F79" i="9" s="1"/>
  <c r="F39" i="9"/>
  <c r="CM47" i="5"/>
  <c r="F80" i="9" s="1"/>
  <c r="D181" i="4"/>
  <c r="D180" i="4"/>
  <c r="D179" i="4"/>
  <c r="D178" i="4"/>
  <c r="D177" i="4"/>
  <c r="F183" i="4" s="1"/>
  <c r="A181" i="4"/>
  <c r="A180" i="4"/>
  <c r="A179" i="4"/>
  <c r="A178" i="4"/>
  <c r="B183" i="4" s="1"/>
  <c r="A177" i="4"/>
  <c r="A47" i="4"/>
  <c r="A45" i="4"/>
  <c r="A43" i="4"/>
  <c r="A36" i="4"/>
  <c r="D5" i="28"/>
  <c r="F5" i="28"/>
  <c r="L16" i="28"/>
  <c r="L15" i="28"/>
  <c r="L14" i="28"/>
  <c r="L13" i="28"/>
  <c r="L12" i="28"/>
  <c r="L11" i="28"/>
  <c r="H28" i="28"/>
  <c r="H27" i="28"/>
  <c r="H26" i="28"/>
  <c r="H25" i="28"/>
  <c r="D22" i="28"/>
  <c r="E22" i="28" s="1"/>
  <c r="A122" i="4"/>
  <c r="A100" i="4"/>
  <c r="A120" i="4"/>
  <c r="A119" i="4"/>
  <c r="A118" i="4"/>
  <c r="A117" i="4"/>
  <c r="A116" i="4"/>
  <c r="E115" i="4"/>
  <c r="F115" i="4" s="1"/>
  <c r="G115" i="4" s="1"/>
  <c r="H115" i="4" s="1"/>
  <c r="B115" i="4"/>
  <c r="B116" i="4" s="1"/>
  <c r="A89" i="4"/>
  <c r="A87" i="4"/>
  <c r="B93" i="4"/>
  <c r="E93" i="4"/>
  <c r="F93" i="4" s="1"/>
  <c r="A98" i="4"/>
  <c r="A97" i="4"/>
  <c r="A96" i="4"/>
  <c r="A95" i="4"/>
  <c r="A94" i="4"/>
  <c r="D100" i="4" s="1"/>
  <c r="H16" i="28"/>
  <c r="H15" i="28"/>
  <c r="H14" i="28"/>
  <c r="H13" i="28"/>
  <c r="H12" i="28"/>
  <c r="H11" i="28"/>
  <c r="I16" i="28"/>
  <c r="I15" i="28"/>
  <c r="I14" i="28"/>
  <c r="I13" i="28"/>
  <c r="I12" i="28"/>
  <c r="I11" i="28"/>
  <c r="I10" i="28"/>
  <c r="I9" i="28"/>
  <c r="I8" i="28"/>
  <c r="A72" i="4"/>
  <c r="A65" i="4"/>
  <c r="H5" i="28"/>
  <c r="B3" i="28"/>
  <c r="D39" i="27"/>
  <c r="D35" i="27" s="1"/>
  <c r="C22" i="27"/>
  <c r="C14" i="27" s="1"/>
  <c r="E41" i="27"/>
  <c r="E40" i="27"/>
  <c r="C6" i="27"/>
  <c r="A85" i="4"/>
  <c r="A78" i="4"/>
  <c r="F7" i="24"/>
  <c r="B41" i="18"/>
  <c r="B40" i="18"/>
  <c r="B39" i="18"/>
  <c r="B38" i="18"/>
  <c r="B37" i="18"/>
  <c r="B36" i="18"/>
  <c r="B35" i="18"/>
  <c r="B34" i="18"/>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AS41" i="18"/>
  <c r="BO41" i="18" s="1"/>
  <c r="AQ41" i="18"/>
  <c r="BM41" i="18" s="1"/>
  <c r="AO41" i="18"/>
  <c r="BK41" i="18" s="1"/>
  <c r="AN41" i="18"/>
  <c r="BJ41" i="18" s="1"/>
  <c r="AK41" i="18"/>
  <c r="BG41" i="18" s="1"/>
  <c r="AJ41" i="18"/>
  <c r="BF41" i="18" s="1"/>
  <c r="AI41" i="18"/>
  <c r="BE41" i="18" s="1"/>
  <c r="AF41" i="18"/>
  <c r="BB41" i="18" s="1"/>
  <c r="AE41" i="18"/>
  <c r="BA41" i="18" s="1"/>
  <c r="AC41" i="18"/>
  <c r="AY41" i="18" s="1"/>
  <c r="AA41" i="18"/>
  <c r="AW41" i="18" s="1"/>
  <c r="AT40" i="18"/>
  <c r="BP40" i="18" s="1"/>
  <c r="AS40" i="18"/>
  <c r="BO40" i="18" s="1"/>
  <c r="AP40" i="18"/>
  <c r="BL40" i="18" s="1"/>
  <c r="AO40" i="18"/>
  <c r="BK40" i="18" s="1"/>
  <c r="AN40" i="18"/>
  <c r="BJ40" i="18" s="1"/>
  <c r="AK40" i="18"/>
  <c r="BG40" i="18" s="1"/>
  <c r="AJ40" i="18"/>
  <c r="BF40" i="18" s="1"/>
  <c r="AH40" i="18"/>
  <c r="BD40" i="18" s="1"/>
  <c r="AF40" i="18"/>
  <c r="BB40" i="18" s="1"/>
  <c r="AD40" i="18"/>
  <c r="AZ40" i="18" s="1"/>
  <c r="AC40" i="18"/>
  <c r="AY40" i="18" s="1"/>
  <c r="Z40" i="18"/>
  <c r="AV40" i="18" s="1"/>
  <c r="AT39" i="18"/>
  <c r="BP39" i="18" s="1"/>
  <c r="AS39" i="18"/>
  <c r="BO39" i="18" s="1"/>
  <c r="AP39" i="18"/>
  <c r="BL39" i="18" s="1"/>
  <c r="AO39" i="18"/>
  <c r="BK39" i="18" s="1"/>
  <c r="AM39" i="18"/>
  <c r="BI39" i="18" s="1"/>
  <c r="AK39" i="18"/>
  <c r="BG39" i="18" s="1"/>
  <c r="AI39" i="18"/>
  <c r="BE39" i="18" s="1"/>
  <c r="AH39" i="18"/>
  <c r="BD39" i="18" s="1"/>
  <c r="AE39" i="18"/>
  <c r="BA39" i="18" s="1"/>
  <c r="AD39" i="18"/>
  <c r="AZ39" i="18" s="1"/>
  <c r="AC39" i="18"/>
  <c r="AY39" i="18" s="1"/>
  <c r="Z39" i="18"/>
  <c r="AV39" i="18" s="1"/>
  <c r="AT38" i="18"/>
  <c r="BP38" i="18" s="1"/>
  <c r="AR38" i="18"/>
  <c r="BN38" i="18" s="1"/>
  <c r="AP38" i="18"/>
  <c r="BL38" i="18" s="1"/>
  <c r="AN38" i="18"/>
  <c r="BJ38" i="18" s="1"/>
  <c r="AM38" i="18"/>
  <c r="BI38" i="18" s="1"/>
  <c r="AJ38" i="18"/>
  <c r="BF38" i="18" s="1"/>
  <c r="AI38" i="18"/>
  <c r="BE38" i="18" s="1"/>
  <c r="AH38" i="18"/>
  <c r="BD38" i="18" s="1"/>
  <c r="AE38" i="18"/>
  <c r="BA38" i="18" s="1"/>
  <c r="AD38" i="18"/>
  <c r="AZ38" i="18" s="1"/>
  <c r="AB38" i="18"/>
  <c r="AX38" i="18" s="1"/>
  <c r="Z38" i="18"/>
  <c r="AV38" i="18" s="1"/>
  <c r="AS37" i="18"/>
  <c r="BO37" i="18" s="1"/>
  <c r="AR37" i="18"/>
  <c r="BN37" i="18" s="1"/>
  <c r="AO37" i="18"/>
  <c r="BK37" i="18" s="1"/>
  <c r="AN37" i="18"/>
  <c r="BJ37" i="18" s="1"/>
  <c r="AM37" i="18"/>
  <c r="BI37" i="18" s="1"/>
  <c r="AJ37" i="18"/>
  <c r="BF37" i="18" s="1"/>
  <c r="AI37" i="18"/>
  <c r="BE37" i="18" s="1"/>
  <c r="AG37" i="18"/>
  <c r="BC37" i="18" s="1"/>
  <c r="AE37" i="18"/>
  <c r="BA37" i="18" s="1"/>
  <c r="AC37" i="18"/>
  <c r="AY37" i="18" s="1"/>
  <c r="AB37" i="18"/>
  <c r="AX37" i="18" s="1"/>
  <c r="AT36" i="18"/>
  <c r="BP36" i="18" s="1"/>
  <c r="AS36" i="18"/>
  <c r="BO36" i="18" s="1"/>
  <c r="AR36" i="18"/>
  <c r="BN36" i="18" s="1"/>
  <c r="AO36" i="18"/>
  <c r="BK36" i="18" s="1"/>
  <c r="AN36" i="18"/>
  <c r="BJ36" i="18" s="1"/>
  <c r="AL36" i="18"/>
  <c r="BH36" i="18" s="1"/>
  <c r="AJ36" i="18"/>
  <c r="BF36" i="18" s="1"/>
  <c r="AH36" i="18"/>
  <c r="BD36" i="18" s="1"/>
  <c r="AG36" i="18"/>
  <c r="BC36" i="18" s="1"/>
  <c r="AD36" i="18"/>
  <c r="AZ36" i="18" s="1"/>
  <c r="AC36" i="18"/>
  <c r="AY36" i="18" s="1"/>
  <c r="AB36" i="18"/>
  <c r="AX36" i="18" s="1"/>
  <c r="AT35" i="18"/>
  <c r="BP35" i="18" s="1"/>
  <c r="AS35" i="18"/>
  <c r="BO35" i="18" s="1"/>
  <c r="AQ35" i="18"/>
  <c r="BM35" i="18" s="1"/>
  <c r="AO35" i="18"/>
  <c r="BK35" i="18" s="1"/>
  <c r="AM35" i="18"/>
  <c r="BI35" i="18" s="1"/>
  <c r="AL35" i="18"/>
  <c r="BH35" i="18" s="1"/>
  <c r="AI35" i="18"/>
  <c r="BE35" i="18" s="1"/>
  <c r="AH35" i="18"/>
  <c r="BD35" i="18" s="1"/>
  <c r="AG35" i="18"/>
  <c r="BC35" i="18" s="1"/>
  <c r="AD35" i="18"/>
  <c r="AZ35" i="18" s="1"/>
  <c r="AC35" i="18"/>
  <c r="AY35" i="18" s="1"/>
  <c r="AA35" i="18"/>
  <c r="AW35" i="18" s="1"/>
  <c r="AT34" i="18"/>
  <c r="BP34" i="18" s="1"/>
  <c r="AR34" i="18"/>
  <c r="BN34" i="18" s="1"/>
  <c r="AQ34" i="18"/>
  <c r="BM34" i="18" s="1"/>
  <c r="AN34" i="18"/>
  <c r="BJ34" i="18" s="1"/>
  <c r="AM34" i="18"/>
  <c r="BI34" i="18" s="1"/>
  <c r="AL34" i="18"/>
  <c r="BH34" i="18" s="1"/>
  <c r="AI34" i="18"/>
  <c r="BE34" i="18" s="1"/>
  <c r="AH34" i="18"/>
  <c r="BD34" i="18" s="1"/>
  <c r="AF34" i="18"/>
  <c r="BB34" i="18" s="1"/>
  <c r="AD34" i="18"/>
  <c r="AZ34" i="18" s="1"/>
  <c r="AB34" i="18"/>
  <c r="AX34" i="18" s="1"/>
  <c r="AA34" i="18"/>
  <c r="AW34" i="18" s="1"/>
  <c r="AS33" i="18"/>
  <c r="BO33" i="18" s="1"/>
  <c r="AR33" i="18"/>
  <c r="BN33" i="18" s="1"/>
  <c r="AQ33" i="18"/>
  <c r="BM33" i="18" s="1"/>
  <c r="AN33" i="18"/>
  <c r="BJ33" i="18" s="1"/>
  <c r="AM33" i="18"/>
  <c r="BI33" i="18" s="1"/>
  <c r="AK33" i="18"/>
  <c r="BG33" i="18" s="1"/>
  <c r="AI33" i="18"/>
  <c r="BE33" i="18" s="1"/>
  <c r="AG33" i="18"/>
  <c r="BC33" i="18" s="1"/>
  <c r="AF33" i="18"/>
  <c r="BB33" i="18" s="1"/>
  <c r="AC33" i="18"/>
  <c r="AY33" i="18" s="1"/>
  <c r="AB33" i="18"/>
  <c r="AX33" i="18" s="1"/>
  <c r="AA33" i="18"/>
  <c r="AW33" i="18" s="1"/>
  <c r="AS32" i="18"/>
  <c r="BO32" i="18" s="1"/>
  <c r="AR32" i="18"/>
  <c r="BN32" i="18" s="1"/>
  <c r="AP32" i="18"/>
  <c r="BL32" i="18" s="1"/>
  <c r="AN32" i="18"/>
  <c r="BJ32" i="18" s="1"/>
  <c r="AL32" i="18"/>
  <c r="BH32" i="18" s="1"/>
  <c r="AK32" i="18"/>
  <c r="BG32" i="18" s="1"/>
  <c r="AH32" i="18"/>
  <c r="BD32" i="18" s="1"/>
  <c r="AG32" i="18"/>
  <c r="BC32" i="18" s="1"/>
  <c r="AF32" i="18"/>
  <c r="BB32" i="18" s="1"/>
  <c r="AC32" i="18"/>
  <c r="AY32" i="18" s="1"/>
  <c r="AB32" i="18"/>
  <c r="AX32" i="18" s="1"/>
  <c r="Z32" i="18"/>
  <c r="AV32" i="18" s="1"/>
  <c r="AS31" i="18"/>
  <c r="BO31" i="18" s="1"/>
  <c r="AQ31" i="18"/>
  <c r="BM31" i="18" s="1"/>
  <c r="AP31" i="18"/>
  <c r="BL31" i="18" s="1"/>
  <c r="AM31" i="18"/>
  <c r="BI31" i="18" s="1"/>
  <c r="AL31" i="18"/>
  <c r="BH31" i="18" s="1"/>
  <c r="AK31" i="18"/>
  <c r="BG31" i="18" s="1"/>
  <c r="AH31" i="18"/>
  <c r="BD31" i="18" s="1"/>
  <c r="AG31" i="18"/>
  <c r="BC31" i="18" s="1"/>
  <c r="AE31" i="18"/>
  <c r="BA31" i="18" s="1"/>
  <c r="AC31" i="18"/>
  <c r="AY31" i="18" s="1"/>
  <c r="AA31" i="18"/>
  <c r="AW31" i="18" s="1"/>
  <c r="Z31" i="18"/>
  <c r="AV31" i="18" s="1"/>
  <c r="AR30" i="18"/>
  <c r="BN30" i="18" s="1"/>
  <c r="AQ30" i="18"/>
  <c r="BM30" i="18" s="1"/>
  <c r="AP30" i="18"/>
  <c r="BL30" i="18" s="1"/>
  <c r="AM30" i="18"/>
  <c r="BI30" i="18" s="1"/>
  <c r="AL30" i="18"/>
  <c r="BH30" i="18" s="1"/>
  <c r="AJ30" i="18"/>
  <c r="BF30" i="18" s="1"/>
  <c r="AH30" i="18"/>
  <c r="BD30" i="18" s="1"/>
  <c r="AF30" i="18"/>
  <c r="BB30" i="18" s="1"/>
  <c r="AE30" i="18"/>
  <c r="BA30" i="18" s="1"/>
  <c r="AB30" i="18"/>
  <c r="AX30" i="18" s="1"/>
  <c r="AA30" i="18"/>
  <c r="AW30" i="18" s="1"/>
  <c r="AS29" i="18"/>
  <c r="BO29" i="18" s="1"/>
  <c r="AQ29" i="18"/>
  <c r="BM29" i="18" s="1"/>
  <c r="AO29" i="18"/>
  <c r="BK29" i="18" s="1"/>
  <c r="AN29" i="18"/>
  <c r="BJ29" i="18" s="1"/>
  <c r="AK29" i="18"/>
  <c r="BG29" i="18" s="1"/>
  <c r="AJ29" i="18"/>
  <c r="BF29" i="18" s="1"/>
  <c r="AI29" i="18"/>
  <c r="BE29" i="18" s="1"/>
  <c r="AF29" i="18"/>
  <c r="BB29" i="18" s="1"/>
  <c r="AC29" i="18"/>
  <c r="AY29" i="18" s="1"/>
  <c r="AB29" i="18"/>
  <c r="AX29" i="18" s="1"/>
  <c r="AT28" i="18"/>
  <c r="BP28" i="18" s="1"/>
  <c r="AS28" i="18"/>
  <c r="BO28" i="18" s="1"/>
  <c r="AR28" i="18"/>
  <c r="BN28" i="18" s="1"/>
  <c r="AO28" i="18"/>
  <c r="BK28" i="18" s="1"/>
  <c r="AN28" i="18"/>
  <c r="BJ28" i="18" s="1"/>
  <c r="AL28" i="18"/>
  <c r="BH28" i="18" s="1"/>
  <c r="AH28" i="18"/>
  <c r="BD28" i="18" s="1"/>
  <c r="AG28" i="18"/>
  <c r="BC28" i="18" s="1"/>
  <c r="AF28" i="18"/>
  <c r="BB28" i="18" s="1"/>
  <c r="AC28" i="18"/>
  <c r="AY28" i="18" s="1"/>
  <c r="AB28" i="18"/>
  <c r="AX28" i="18" s="1"/>
  <c r="Z28" i="18"/>
  <c r="AV28" i="18" s="1"/>
  <c r="AS27" i="18"/>
  <c r="BO27" i="18" s="1"/>
  <c r="AQ27" i="18"/>
  <c r="BM27" i="18" s="1"/>
  <c r="AP27" i="18"/>
  <c r="BL27" i="18" s="1"/>
  <c r="AL27" i="18"/>
  <c r="BH27" i="18" s="1"/>
  <c r="AK27" i="18"/>
  <c r="BG27" i="18" s="1"/>
  <c r="AI27" i="18"/>
  <c r="BE27" i="18" s="1"/>
  <c r="AG27" i="18"/>
  <c r="BC27" i="18" s="1"/>
  <c r="AE27" i="18"/>
  <c r="BA27" i="18" s="1"/>
  <c r="AD27" i="18"/>
  <c r="AZ27" i="18" s="1"/>
  <c r="AA27" i="18"/>
  <c r="AW27" i="18" s="1"/>
  <c r="Z27" i="18"/>
  <c r="AV27" i="18" s="1"/>
  <c r="AR26" i="18"/>
  <c r="BN26" i="18" s="1"/>
  <c r="AP26" i="18"/>
  <c r="BL26" i="18" s="1"/>
  <c r="AN26" i="18"/>
  <c r="BJ26" i="18" s="1"/>
  <c r="AM26" i="18"/>
  <c r="BI26" i="18" s="1"/>
  <c r="AJ26" i="18"/>
  <c r="BF26" i="18" s="1"/>
  <c r="AI26" i="18"/>
  <c r="BE26" i="18" s="1"/>
  <c r="AH26" i="18"/>
  <c r="BD26" i="18" s="1"/>
  <c r="AE26" i="18"/>
  <c r="BA26" i="18" s="1"/>
  <c r="AB26" i="18"/>
  <c r="AX26" i="18" s="1"/>
  <c r="AA26" i="18"/>
  <c r="AW26" i="18" s="1"/>
  <c r="AS25" i="18"/>
  <c r="BO25" i="18" s="1"/>
  <c r="AR25" i="18"/>
  <c r="BN25" i="18" s="1"/>
  <c r="AQ25" i="18"/>
  <c r="BM25" i="18" s="1"/>
  <c r="AN25" i="18"/>
  <c r="BJ25" i="18" s="1"/>
  <c r="AM25" i="18"/>
  <c r="BI25" i="18" s="1"/>
  <c r="AK25" i="18"/>
  <c r="BG25" i="18" s="1"/>
  <c r="AI25" i="18"/>
  <c r="BE25" i="18" s="1"/>
  <c r="AG25" i="18"/>
  <c r="BC25" i="18" s="1"/>
  <c r="AF25" i="18"/>
  <c r="BB25" i="18" s="1"/>
  <c r="AC25" i="18"/>
  <c r="AY25" i="18" s="1"/>
  <c r="AB25" i="18"/>
  <c r="AX25" i="18" s="1"/>
  <c r="AA25" i="18"/>
  <c r="AW25" i="18" s="1"/>
  <c r="AS24" i="18"/>
  <c r="BO24" i="18" s="1"/>
  <c r="AR24" i="18"/>
  <c r="BN24" i="18" s="1"/>
  <c r="AP24" i="18"/>
  <c r="BL24" i="18" s="1"/>
  <c r="AN24" i="18"/>
  <c r="BJ24" i="18" s="1"/>
  <c r="AL24" i="18"/>
  <c r="BH24" i="18" s="1"/>
  <c r="AK24" i="18"/>
  <c r="BG24" i="18" s="1"/>
  <c r="AH24" i="18"/>
  <c r="BD24" i="18" s="1"/>
  <c r="AG24" i="18"/>
  <c r="BC24" i="18" s="1"/>
  <c r="AF24" i="18"/>
  <c r="BB24" i="18" s="1"/>
  <c r="AC24" i="18"/>
  <c r="AY24" i="18" s="1"/>
  <c r="AB24" i="18"/>
  <c r="AX24" i="18" s="1"/>
  <c r="Z24" i="18"/>
  <c r="AV24" i="18" s="1"/>
  <c r="AS23" i="18"/>
  <c r="BO23" i="18" s="1"/>
  <c r="AQ23" i="18"/>
  <c r="BM23" i="18" s="1"/>
  <c r="AP23" i="18"/>
  <c r="BL23" i="18" s="1"/>
  <c r="AM23" i="18"/>
  <c r="BI23" i="18" s="1"/>
  <c r="AL23" i="18"/>
  <c r="BH23" i="18" s="1"/>
  <c r="AK23" i="18"/>
  <c r="BG23" i="18" s="1"/>
  <c r="AH23" i="18"/>
  <c r="BD23" i="18" s="1"/>
  <c r="AG23" i="18"/>
  <c r="BC23" i="18" s="1"/>
  <c r="AE23" i="18"/>
  <c r="BA23" i="18" s="1"/>
  <c r="Z23" i="18"/>
  <c r="AV23" i="18" s="1"/>
  <c r="AQ22" i="18"/>
  <c r="BM22" i="18" s="1"/>
  <c r="AM22" i="18"/>
  <c r="BI22" i="18" s="1"/>
  <c r="AE22" i="18"/>
  <c r="BA22" i="18" s="1"/>
  <c r="AA22" i="18"/>
  <c r="AW22" i="18" s="1"/>
  <c r="AR21" i="18"/>
  <c r="BN21" i="18" s="1"/>
  <c r="AJ21" i="18"/>
  <c r="BF21" i="18" s="1"/>
  <c r="AF21" i="18"/>
  <c r="BB21" i="18" s="1"/>
  <c r="AB21" i="18"/>
  <c r="AX21" i="18" s="1"/>
  <c r="AO20" i="18"/>
  <c r="BK20" i="18" s="1"/>
  <c r="AK20" i="18"/>
  <c r="BG20" i="18" s="1"/>
  <c r="AG20" i="18"/>
  <c r="BC20" i="18" s="1"/>
  <c r="AT19" i="18"/>
  <c r="BP19" i="18" s="1"/>
  <c r="AL19" i="18"/>
  <c r="BH19" i="18" s="1"/>
  <c r="AD19" i="18"/>
  <c r="AZ19" i="18" s="1"/>
  <c r="AB19" i="18"/>
  <c r="AX19" i="18" s="1"/>
  <c r="Z19" i="18"/>
  <c r="AV19" i="18" s="1"/>
  <c r="AM18" i="18"/>
  <c r="BI18" i="18" s="1"/>
  <c r="AI18" i="18"/>
  <c r="BE18" i="18" s="1"/>
  <c r="AE18" i="18"/>
  <c r="BA18" i="18" s="1"/>
  <c r="AA18" i="18"/>
  <c r="AW18" i="18" s="1"/>
  <c r="AR17" i="18"/>
  <c r="BN17" i="18" s="1"/>
  <c r="AN17" i="18"/>
  <c r="BJ17" i="18" s="1"/>
  <c r="AF17" i="18"/>
  <c r="BB17" i="18" s="1"/>
  <c r="AB17" i="18"/>
  <c r="AX17" i="18" s="1"/>
  <c r="AS16" i="18"/>
  <c r="BO16" i="18" s="1"/>
  <c r="AK16" i="18"/>
  <c r="BG16" i="18" s="1"/>
  <c r="AG16" i="18"/>
  <c r="BC16" i="18" s="1"/>
  <c r="AC16" i="18"/>
  <c r="AY16" i="18" s="1"/>
  <c r="AP15" i="18"/>
  <c r="BL15" i="18" s="1"/>
  <c r="AL15" i="18"/>
  <c r="BH15" i="18" s="1"/>
  <c r="AH15" i="18"/>
  <c r="BD15" i="18" s="1"/>
  <c r="Z15" i="18"/>
  <c r="AV15" i="18" s="1"/>
  <c r="AQ14" i="18"/>
  <c r="BM14" i="18" s="1"/>
  <c r="AM14" i="18"/>
  <c r="BI14" i="18" s="1"/>
  <c r="AE14" i="18"/>
  <c r="BA14" i="18" s="1"/>
  <c r="AA14" i="18"/>
  <c r="AW14" i="18" s="1"/>
  <c r="AR13" i="18"/>
  <c r="BN13" i="18" s="1"/>
  <c r="AJ13" i="18"/>
  <c r="BF13" i="18" s="1"/>
  <c r="AF13" i="18"/>
  <c r="BB13" i="18" s="1"/>
  <c r="AB13" i="18"/>
  <c r="AX13" i="18" s="1"/>
  <c r="AO12" i="18"/>
  <c r="BK12" i="18" s="1"/>
  <c r="AK12" i="18"/>
  <c r="BG12" i="18" s="1"/>
  <c r="AG12" i="18"/>
  <c r="BC12" i="18" s="1"/>
  <c r="AT11" i="18"/>
  <c r="BP11" i="18" s="1"/>
  <c r="AL11" i="18"/>
  <c r="BH11" i="18" s="1"/>
  <c r="AD11" i="18"/>
  <c r="AZ11" i="18" s="1"/>
  <c r="Z11" i="18"/>
  <c r="AV11" i="18" s="1"/>
  <c r="AQ10" i="18"/>
  <c r="BM10" i="18" s="1"/>
  <c r="AI10" i="18"/>
  <c r="BE10" i="18" s="1"/>
  <c r="AE10" i="18"/>
  <c r="BA10" i="18" s="1"/>
  <c r="AA10" i="18"/>
  <c r="AW10" i="18" s="1"/>
  <c r="AN9" i="18"/>
  <c r="BJ9" i="18" s="1"/>
  <c r="AJ9" i="18"/>
  <c r="BF9" i="18" s="1"/>
  <c r="AF9" i="18"/>
  <c r="BB9" i="18" s="1"/>
  <c r="AS8" i="18"/>
  <c r="BO8" i="18" s="1"/>
  <c r="AO8" i="18"/>
  <c r="BK8" i="18" s="1"/>
  <c r="AK8" i="18"/>
  <c r="BG8" i="18" s="1"/>
  <c r="AC8" i="18"/>
  <c r="AY8" i="18" s="1"/>
  <c r="AT7" i="18"/>
  <c r="BP7" i="18" s="1"/>
  <c r="AP7" i="18"/>
  <c r="BL7" i="18" s="1"/>
  <c r="AH7" i="18"/>
  <c r="BD7" i="18" s="1"/>
  <c r="AD7" i="18"/>
  <c r="AZ7" i="18" s="1"/>
  <c r="Z7" i="18"/>
  <c r="AV7" i="18" s="1"/>
  <c r="E44" i="23"/>
  <c r="E43" i="23"/>
  <c r="E42" i="23"/>
  <c r="D41" i="23"/>
  <c r="D37" i="23" s="1"/>
  <c r="C6" i="23"/>
  <c r="F41" i="20"/>
  <c r="F33" i="20"/>
  <c r="F42" i="20" s="1"/>
  <c r="C44" i="23" s="1"/>
  <c r="F23" i="20"/>
  <c r="F22" i="20"/>
  <c r="F21" i="20"/>
  <c r="F20" i="20"/>
  <c r="F14" i="20"/>
  <c r="C43" i="23" s="1"/>
  <c r="F7" i="20"/>
  <c r="C42" i="23" s="1"/>
  <c r="AT66" i="13"/>
  <c r="AS66" i="13"/>
  <c r="AR66" i="13"/>
  <c r="AQ66" i="13"/>
  <c r="AP66" i="13"/>
  <c r="AO66" i="13"/>
  <c r="AN66" i="13"/>
  <c r="AM66" i="13"/>
  <c r="AL66" i="13"/>
  <c r="AK66" i="13"/>
  <c r="AJ66" i="13"/>
  <c r="AI66" i="13"/>
  <c r="AH66" i="13"/>
  <c r="AG66" i="13"/>
  <c r="AF66" i="13"/>
  <c r="AE66" i="13"/>
  <c r="AD66" i="13"/>
  <c r="AC66" i="13"/>
  <c r="AB66" i="13"/>
  <c r="AA66" i="13"/>
  <c r="Z66" i="13"/>
  <c r="BP6" i="13"/>
  <c r="BO6" i="13"/>
  <c r="BN6" i="13"/>
  <c r="BM6" i="13"/>
  <c r="BL6" i="13"/>
  <c r="BK6" i="13"/>
  <c r="BJ6" i="13"/>
  <c r="BI6" i="13"/>
  <c r="BH6" i="13"/>
  <c r="BG6" i="13"/>
  <c r="BF6" i="13"/>
  <c r="BE6" i="13"/>
  <c r="BD6" i="13"/>
  <c r="BC6" i="13"/>
  <c r="BB6" i="13"/>
  <c r="BA6" i="13"/>
  <c r="AZ6" i="13"/>
  <c r="AY6" i="13"/>
  <c r="AX6" i="13"/>
  <c r="AW6" i="13"/>
  <c r="AV6" i="13"/>
  <c r="F37" i="9"/>
  <c r="B13" i="9"/>
  <c r="B12" i="9"/>
  <c r="B11" i="9"/>
  <c r="E98" i="9"/>
  <c r="D98" i="9"/>
  <c r="A98" i="9" a="1"/>
  <c r="A98" i="9" s="1"/>
  <c r="E97" i="9"/>
  <c r="D97" i="9"/>
  <c r="A97" i="9" a="1"/>
  <c r="A97" i="9" s="1"/>
  <c r="E96" i="9"/>
  <c r="D96" i="9"/>
  <c r="A96" i="9" a="1"/>
  <c r="A96" i="9" s="1"/>
  <c r="E95" i="9"/>
  <c r="D95" i="9"/>
  <c r="A95" i="9" a="1"/>
  <c r="A95" i="9" s="1"/>
  <c r="E94" i="9"/>
  <c r="D94" i="9"/>
  <c r="A94" i="9" a="1"/>
  <c r="A94" i="9" s="1"/>
  <c r="E93" i="9"/>
  <c r="D93" i="9"/>
  <c r="A93" i="9" a="1"/>
  <c r="A93" i="9" s="1"/>
  <c r="E92" i="9"/>
  <c r="D92" i="9"/>
  <c r="A92" i="9" a="1"/>
  <c r="A92" i="9" s="1"/>
  <c r="E91" i="9"/>
  <c r="D91" i="9"/>
  <c r="A91" i="9" a="1"/>
  <c r="A91" i="9" s="1"/>
  <c r="E90" i="9"/>
  <c r="D90" i="9"/>
  <c r="A90" i="9" a="1"/>
  <c r="A90" i="9" s="1"/>
  <c r="E89" i="9"/>
  <c r="D89" i="9"/>
  <c r="A89" i="9" a="1"/>
  <c r="A89" i="9" s="1"/>
  <c r="E88" i="9"/>
  <c r="D88" i="9"/>
  <c r="A88" i="9" a="1"/>
  <c r="A88" i="9" s="1"/>
  <c r="E87" i="9"/>
  <c r="D87" i="9"/>
  <c r="A87" i="9" a="1"/>
  <c r="A87" i="9" s="1"/>
  <c r="E86" i="9"/>
  <c r="D86" i="9"/>
  <c r="A86" i="9" a="1"/>
  <c r="A86" i="9" s="1"/>
  <c r="E85" i="9"/>
  <c r="D85" i="9"/>
  <c r="A85" i="9" a="1"/>
  <c r="E84" i="9"/>
  <c r="D84" i="9"/>
  <c r="E83" i="9"/>
  <c r="D83" i="9"/>
  <c r="A83" i="9" a="1"/>
  <c r="E82" i="9"/>
  <c r="D82" i="9"/>
  <c r="A82" i="9" s="1" a="1"/>
  <c r="E81" i="9"/>
  <c r="D81" i="9"/>
  <c r="A81" i="9" a="1"/>
  <c r="E80" i="9"/>
  <c r="D80" i="9"/>
  <c r="E79" i="9"/>
  <c r="D79" i="9"/>
  <c r="A79" i="9" a="1"/>
  <c r="E78" i="9"/>
  <c r="D78" i="9"/>
  <c r="A78" i="9" s="1" a="1"/>
  <c r="E77" i="9"/>
  <c r="D77" i="9"/>
  <c r="A77" i="9" a="1"/>
  <c r="E76" i="9"/>
  <c r="D76" i="9"/>
  <c r="E75" i="9"/>
  <c r="D75" i="9"/>
  <c r="A75" i="9" a="1"/>
  <c r="E74" i="9"/>
  <c r="D74" i="9"/>
  <c r="A74" i="9" s="1" a="1"/>
  <c r="E73" i="9"/>
  <c r="D73" i="9"/>
  <c r="A73" i="9" a="1"/>
  <c r="E72" i="9"/>
  <c r="D72" i="9"/>
  <c r="E71" i="9"/>
  <c r="D71" i="9"/>
  <c r="A71" i="9" a="1"/>
  <c r="E70" i="9"/>
  <c r="D70" i="9"/>
  <c r="A70" i="9" s="1" a="1"/>
  <c r="E69" i="9"/>
  <c r="D69" i="9"/>
  <c r="A69" i="9" a="1"/>
  <c r="E68" i="9"/>
  <c r="D68" i="9"/>
  <c r="E67" i="9"/>
  <c r="D67" i="9"/>
  <c r="A67" i="9" a="1"/>
  <c r="E66" i="9"/>
  <c r="D66" i="9"/>
  <c r="A66" i="9" s="1" a="1"/>
  <c r="E65" i="9"/>
  <c r="D65" i="9"/>
  <c r="A65" i="9" a="1"/>
  <c r="E64" i="9"/>
  <c r="D64" i="9"/>
  <c r="E63" i="9"/>
  <c r="D63" i="9"/>
  <c r="A63" i="9" a="1"/>
  <c r="E62" i="9"/>
  <c r="D62" i="9"/>
  <c r="A62" i="9" s="1" a="1"/>
  <c r="E61" i="9"/>
  <c r="D61" i="9"/>
  <c r="A61" i="9" a="1"/>
  <c r="E60" i="9"/>
  <c r="D60" i="9"/>
  <c r="E59" i="9"/>
  <c r="D59" i="9"/>
  <c r="A59" i="9" a="1"/>
  <c r="E58" i="9"/>
  <c r="D58" i="9"/>
  <c r="A58" i="9" s="1" a="1"/>
  <c r="E57" i="9"/>
  <c r="D57" i="9"/>
  <c r="A57" i="9" a="1"/>
  <c r="E56" i="9"/>
  <c r="D56" i="9"/>
  <c r="E55" i="9"/>
  <c r="D55" i="9"/>
  <c r="A55" i="9" a="1"/>
  <c r="E54" i="9"/>
  <c r="D54" i="9"/>
  <c r="A54" i="9" s="1" a="1"/>
  <c r="E53" i="9"/>
  <c r="D53" i="9"/>
  <c r="A53" i="9" a="1"/>
  <c r="E52" i="9"/>
  <c r="D52" i="9"/>
  <c r="E51" i="9"/>
  <c r="D51" i="9"/>
  <c r="A51" i="9" a="1"/>
  <c r="E50" i="9"/>
  <c r="D50" i="9"/>
  <c r="A50" i="9" s="1" a="1"/>
  <c r="E49" i="9"/>
  <c r="D49" i="9"/>
  <c r="A49" i="9" a="1"/>
  <c r="E48" i="9"/>
  <c r="D48" i="9"/>
  <c r="E47" i="9"/>
  <c r="D47" i="9"/>
  <c r="A47" i="9" a="1"/>
  <c r="E46" i="9"/>
  <c r="D46" i="9"/>
  <c r="A46" i="9" s="1" a="1"/>
  <c r="E45" i="9"/>
  <c r="D45" i="9"/>
  <c r="A45" i="9" a="1"/>
  <c r="E44" i="9"/>
  <c r="D44" i="9"/>
  <c r="E43" i="9"/>
  <c r="D43" i="9"/>
  <c r="A43" i="9" a="1"/>
  <c r="E42" i="9"/>
  <c r="D42" i="9"/>
  <c r="A42" i="9" s="1" a="1"/>
  <c r="E41" i="9"/>
  <c r="D41" i="9"/>
  <c r="A41" i="9" a="1"/>
  <c r="E40" i="9"/>
  <c r="D40" i="9"/>
  <c r="E39" i="9"/>
  <c r="D39" i="9"/>
  <c r="A39" i="9" a="1"/>
  <c r="A39" i="9" s="1"/>
  <c r="B10" i="9"/>
  <c r="B9" i="9"/>
  <c r="B8" i="9"/>
  <c r="B3" i="9"/>
  <c r="F33" i="9"/>
  <c r="E33" i="9"/>
  <c r="D33" i="9"/>
  <c r="C33" i="9"/>
  <c r="F32" i="9"/>
  <c r="E32" i="9"/>
  <c r="D32" i="9"/>
  <c r="C32" i="9"/>
  <c r="F31" i="9"/>
  <c r="E31" i="9"/>
  <c r="D31" i="9"/>
  <c r="C31" i="9"/>
  <c r="F30" i="9"/>
  <c r="E30" i="9"/>
  <c r="D30" i="9"/>
  <c r="C30" i="9"/>
  <c r="F29" i="9"/>
  <c r="E29" i="9"/>
  <c r="D29" i="9"/>
  <c r="C29" i="9"/>
  <c r="F28" i="9"/>
  <c r="E28" i="9"/>
  <c r="D28" i="9"/>
  <c r="C28" i="9"/>
  <c r="F27" i="9"/>
  <c r="E27" i="9"/>
  <c r="D27" i="9"/>
  <c r="C27" i="9"/>
  <c r="F25" i="4"/>
  <c r="N273" i="4" s="1"/>
  <c r="F24" i="4"/>
  <c r="M273" i="4" s="1"/>
  <c r="F23" i="4"/>
  <c r="L273" i="4" s="1"/>
  <c r="F22" i="4"/>
  <c r="F20" i="4"/>
  <c r="J273" i="4" s="1"/>
  <c r="F19" i="4"/>
  <c r="I273" i="4" s="1"/>
  <c r="I276" i="4" s="1"/>
  <c r="F18" i="4"/>
  <c r="H273" i="4" s="1"/>
  <c r="H276" i="4" s="1"/>
  <c r="F17" i="4"/>
  <c r="G273" i="4" s="1"/>
  <c r="G276" i="4" s="1"/>
  <c r="G278" i="4" s="1"/>
  <c r="C6" i="2"/>
  <c r="I259" i="4"/>
  <c r="I242" i="4"/>
  <c r="H259" i="4"/>
  <c r="H242" i="4"/>
  <c r="G259" i="4"/>
  <c r="G242" i="4"/>
  <c r="A224" i="4"/>
  <c r="A223" i="4"/>
  <c r="A222" i="4"/>
  <c r="A221" i="4"/>
  <c r="A220" i="4"/>
  <c r="A213" i="4"/>
  <c r="A212" i="4"/>
  <c r="A211" i="4"/>
  <c r="A210" i="4"/>
  <c r="A209" i="4"/>
  <c r="A202" i="4"/>
  <c r="A201" i="4"/>
  <c r="A200" i="4"/>
  <c r="A199" i="4"/>
  <c r="A198" i="4"/>
  <c r="F259" i="4"/>
  <c r="E259" i="4"/>
  <c r="E260" i="4" s="1"/>
  <c r="F260" i="4" s="1"/>
  <c r="E254" i="4"/>
  <c r="F254" i="4" s="1"/>
  <c r="G254" i="4" s="1"/>
  <c r="H254" i="4" s="1"/>
  <c r="B222" i="4"/>
  <c r="D122" i="4"/>
  <c r="D43" i="4"/>
  <c r="E43" i="4"/>
  <c r="K275" i="4" s="1"/>
  <c r="F43" i="4"/>
  <c r="L275" i="4" s="1"/>
  <c r="E72" i="4"/>
  <c r="B1" i="28"/>
  <c r="E60" i="4"/>
  <c r="B1" i="24"/>
  <c r="B1" i="14"/>
  <c r="B1" i="18"/>
  <c r="B2" i="2"/>
  <c r="F242" i="4"/>
  <c r="E242" i="4"/>
  <c r="E243" i="4" s="1"/>
  <c r="E237" i="4"/>
  <c r="F237" i="4" s="1"/>
  <c r="G237" i="4" s="1"/>
  <c r="A190" i="4"/>
  <c r="A60" i="4"/>
  <c r="A53" i="4"/>
  <c r="C7" i="4"/>
  <c r="H72" i="4" l="1"/>
  <c r="G72" i="4"/>
  <c r="H60" i="4"/>
  <c r="G60" i="4"/>
  <c r="B1" i="9"/>
  <c r="F60" i="4"/>
  <c r="E100" i="4"/>
  <c r="B1" i="20"/>
  <c r="F72" i="4"/>
  <c r="G43" i="4"/>
  <c r="M275" i="4" s="1"/>
  <c r="B1" i="13"/>
  <c r="B2" i="23"/>
  <c r="B2" i="27"/>
  <c r="D72" i="4"/>
  <c r="H43" i="4"/>
  <c r="N275" i="4" s="1"/>
  <c r="N276" i="4" s="1"/>
  <c r="H100" i="4"/>
  <c r="A40" i="9"/>
  <c r="A48" i="9"/>
  <c r="A43" i="9"/>
  <c r="A47" i="9"/>
  <c r="A51" i="9"/>
  <c r="A55" i="9"/>
  <c r="A59" i="9"/>
  <c r="A63" i="9"/>
  <c r="A67" i="9"/>
  <c r="A71" i="9"/>
  <c r="A75" i="9"/>
  <c r="A79" i="9"/>
  <c r="A83" i="9"/>
  <c r="B1" i="32"/>
  <c r="B1" i="30"/>
  <c r="A271" i="4"/>
  <c r="A46" i="9"/>
  <c r="A54" i="9"/>
  <c r="A62" i="9"/>
  <c r="A66" i="9"/>
  <c r="A74" i="9"/>
  <c r="A82" i="9"/>
  <c r="A42" i="9"/>
  <c r="A50" i="9"/>
  <c r="A58" i="9"/>
  <c r="A70" i="9"/>
  <c r="A78" i="9"/>
  <c r="A40" i="9" a="1"/>
  <c r="A41" i="9"/>
  <c r="A44" i="9" a="1"/>
  <c r="A44" i="9" s="1"/>
  <c r="A45" i="9"/>
  <c r="A48" i="9" a="1"/>
  <c r="A49" i="9"/>
  <c r="A52" i="9" a="1"/>
  <c r="A52" i="9" s="1"/>
  <c r="A53" i="9"/>
  <c r="A56" i="9" a="1"/>
  <c r="A56" i="9" s="1"/>
  <c r="A57" i="9"/>
  <c r="A60" i="9" a="1"/>
  <c r="A60" i="9" s="1"/>
  <c r="A61" i="9"/>
  <c r="A64" i="9" a="1"/>
  <c r="A64" i="9" s="1"/>
  <c r="A65" i="9"/>
  <c r="A68" i="9" a="1"/>
  <c r="A68" i="9" s="1"/>
  <c r="A69" i="9"/>
  <c r="A72" i="9" a="1"/>
  <c r="A72" i="9" s="1"/>
  <c r="A73" i="9"/>
  <c r="A76" i="9" a="1"/>
  <c r="A76" i="9" s="1"/>
  <c r="A77" i="9"/>
  <c r="A80" i="9" a="1"/>
  <c r="A80" i="9" s="1"/>
  <c r="A81" i="9"/>
  <c r="A84" i="9" a="1"/>
  <c r="A84" i="9" s="1"/>
  <c r="A85" i="9"/>
  <c r="BQ6" i="17"/>
  <c r="F24" i="20"/>
  <c r="C45" i="23" s="1"/>
  <c r="C41" i="23" s="1"/>
  <c r="C37" i="23" s="1"/>
  <c r="C49" i="23" s="1"/>
  <c r="C62" i="23" s="1"/>
  <c r="H85" i="4"/>
  <c r="G260" i="4"/>
  <c r="H260" i="4" s="1"/>
  <c r="I260" i="4" s="1"/>
  <c r="F243" i="4"/>
  <c r="G243" i="4" s="1"/>
  <c r="H243" i="4" s="1"/>
  <c r="I243" i="4" s="1"/>
  <c r="G93" i="4"/>
  <c r="H93" i="4" s="1"/>
  <c r="B45" i="4"/>
  <c r="J275" i="4"/>
  <c r="J276" i="4" s="1"/>
  <c r="E85" i="4"/>
  <c r="C204" i="4"/>
  <c r="F190" i="4" s="1"/>
  <c r="H278" i="4"/>
  <c r="I278" i="4" s="1"/>
  <c r="C30" i="4"/>
  <c r="D37" i="28" s="1"/>
  <c r="I25" i="28" s="1"/>
  <c r="K273" i="4"/>
  <c r="K276" i="4" s="1"/>
  <c r="L276" i="4"/>
  <c r="E144" i="4"/>
  <c r="G144" i="4"/>
  <c r="D144" i="4"/>
  <c r="F144" i="4"/>
  <c r="B144" i="4"/>
  <c r="C16" i="2" s="1"/>
  <c r="E53" i="2" s="1"/>
  <c r="H144" i="4"/>
  <c r="C226" i="4"/>
  <c r="F192" i="4" s="1"/>
  <c r="M276" i="4"/>
  <c r="B43" i="4"/>
  <c r="I17" i="28"/>
  <c r="DJ52" i="5"/>
  <c r="I85" i="9" s="1"/>
  <c r="DJ47" i="5"/>
  <c r="I80" i="9" s="1"/>
  <c r="AP11" i="18"/>
  <c r="BL11" i="18" s="1"/>
  <c r="AP19" i="18"/>
  <c r="BL19" i="18" s="1"/>
  <c r="G239" i="4"/>
  <c r="H237" i="4"/>
  <c r="H239" i="4" s="1"/>
  <c r="H245" i="4" s="1"/>
  <c r="B211" i="4" s="1"/>
  <c r="B226" i="4"/>
  <c r="E192" i="4" s="1"/>
  <c r="C215" i="4"/>
  <c r="F191" i="4" s="1"/>
  <c r="F193" i="4" s="1"/>
  <c r="B97" i="4"/>
  <c r="B1" i="15"/>
  <c r="B60" i="4"/>
  <c r="C23" i="2" s="1"/>
  <c r="G100" i="4"/>
  <c r="B120" i="4"/>
  <c r="B117" i="4"/>
  <c r="D133" i="4"/>
  <c r="E133" i="4"/>
  <c r="C24" i="2"/>
  <c r="C10" i="9" s="1"/>
  <c r="F133" i="4"/>
  <c r="H133" i="4"/>
  <c r="G133" i="4"/>
  <c r="E52" i="27"/>
  <c r="D52" i="27" s="1"/>
  <c r="C52" i="27" s="1"/>
  <c r="E30" i="27"/>
  <c r="D30" i="27" s="1"/>
  <c r="C30" i="27" s="1"/>
  <c r="E56" i="23"/>
  <c r="D56" i="23" s="1"/>
  <c r="C56" i="23" s="1"/>
  <c r="E32" i="23"/>
  <c r="D32" i="23" s="1"/>
  <c r="C32" i="23" s="1"/>
  <c r="H6" i="2"/>
  <c r="E67" i="2"/>
  <c r="D67" i="2" s="1"/>
  <c r="C67" i="2" s="1"/>
  <c r="E45" i="2"/>
  <c r="D45" i="2" s="1"/>
  <c r="C45" i="2" s="1"/>
  <c r="K12" i="28"/>
  <c r="K16" i="28"/>
  <c r="K13" i="28"/>
  <c r="F64" i="28"/>
  <c r="E64" i="28" s="1"/>
  <c r="D64" i="28" s="1"/>
  <c r="F47" i="28"/>
  <c r="E47" i="28" s="1"/>
  <c r="D47" i="28" s="1"/>
  <c r="K14" i="28"/>
  <c r="K11" i="28"/>
  <c r="K15" i="28"/>
  <c r="K8" i="28"/>
  <c r="K9" i="28"/>
  <c r="K10" i="28"/>
  <c r="C24" i="23"/>
  <c r="C14" i="23" s="1"/>
  <c r="AD15" i="18"/>
  <c r="AZ15" i="18" s="1"/>
  <c r="AT15" i="18"/>
  <c r="BP15" i="18" s="1"/>
  <c r="AO16" i="18"/>
  <c r="BK16" i="18" s="1"/>
  <c r="AJ17" i="18"/>
  <c r="BF17" i="18" s="1"/>
  <c r="AC18" i="18"/>
  <c r="AY18" i="18" s="1"/>
  <c r="AQ18" i="18"/>
  <c r="BM18" i="18" s="1"/>
  <c r="AH19" i="18"/>
  <c r="BD19" i="18" s="1"/>
  <c r="AC20" i="18"/>
  <c r="AY20" i="18" s="1"/>
  <c r="AS20" i="18"/>
  <c r="BO20" i="18" s="1"/>
  <c r="AN21" i="18"/>
  <c r="BJ21" i="18" s="1"/>
  <c r="AI22" i="18"/>
  <c r="BE22" i="18" s="1"/>
  <c r="AD23" i="18"/>
  <c r="AZ23" i="18" s="1"/>
  <c r="AI23" i="18"/>
  <c r="BE23" i="18" s="1"/>
  <c r="AO23" i="18"/>
  <c r="BK23" i="18" s="1"/>
  <c r="AT23" i="18"/>
  <c r="BP23" i="18" s="1"/>
  <c r="AD24" i="18"/>
  <c r="AZ24" i="18" s="1"/>
  <c r="AJ24" i="18"/>
  <c r="BF24" i="18" s="1"/>
  <c r="AE25" i="18"/>
  <c r="BA25" i="18" s="1"/>
  <c r="AJ25" i="18"/>
  <c r="BF25" i="18" s="1"/>
  <c r="AO25" i="18"/>
  <c r="BK25" i="18" s="1"/>
  <c r="Z26" i="18"/>
  <c r="AV26" i="18" s="1"/>
  <c r="AF26" i="18"/>
  <c r="BB26" i="18" s="1"/>
  <c r="AL26" i="18"/>
  <c r="BH26" i="18" s="1"/>
  <c r="AQ26" i="18"/>
  <c r="BM26" i="18" s="1"/>
  <c r="AC27" i="18"/>
  <c r="AY27" i="18" s="1"/>
  <c r="AH27" i="18"/>
  <c r="BD27" i="18" s="1"/>
  <c r="AM27" i="18"/>
  <c r="BI27" i="18" s="1"/>
  <c r="AT27" i="18"/>
  <c r="BP27" i="18" s="1"/>
  <c r="AD28" i="18"/>
  <c r="AZ28" i="18" s="1"/>
  <c r="AK28" i="18"/>
  <c r="BG28" i="18" s="1"/>
  <c r="AP28" i="18"/>
  <c r="BL28" i="18" s="1"/>
  <c r="AA29" i="18"/>
  <c r="AW29" i="18" s="1"/>
  <c r="AG29" i="18"/>
  <c r="BC29" i="18" s="1"/>
  <c r="AM29" i="18"/>
  <c r="BI29" i="18" s="1"/>
  <c r="AR29" i="18"/>
  <c r="BN29" i="18" s="1"/>
  <c r="AD30" i="18"/>
  <c r="AZ30" i="18" s="1"/>
  <c r="AI30" i="18"/>
  <c r="BE30" i="18" s="1"/>
  <c r="AN30" i="18"/>
  <c r="BJ30" i="18" s="1"/>
  <c r="AT30" i="18"/>
  <c r="BP30" i="18" s="1"/>
  <c r="AD31" i="18"/>
  <c r="AZ31" i="18" s="1"/>
  <c r="AI31" i="18"/>
  <c r="BE31" i="18" s="1"/>
  <c r="AO31" i="18"/>
  <c r="BK31" i="18" s="1"/>
  <c r="AT31" i="18"/>
  <c r="BP31" i="18" s="1"/>
  <c r="AD32" i="18"/>
  <c r="AZ32" i="18" s="1"/>
  <c r="AJ32" i="18"/>
  <c r="BF32" i="18" s="1"/>
  <c r="AO32" i="18"/>
  <c r="BK32" i="18" s="1"/>
  <c r="AT32" i="18"/>
  <c r="BP32" i="18" s="1"/>
  <c r="AE33" i="18"/>
  <c r="BA33" i="18" s="1"/>
  <c r="AJ33" i="18"/>
  <c r="BF33" i="18" s="1"/>
  <c r="AO33" i="18"/>
  <c r="BK33" i="18" s="1"/>
  <c r="Z34" i="18"/>
  <c r="AV34" i="18" s="1"/>
  <c r="AE34" i="18"/>
  <c r="BA34" i="18" s="1"/>
  <c r="AJ34" i="18"/>
  <c r="BF34" i="18" s="1"/>
  <c r="AP34" i="18"/>
  <c r="BL34" i="18" s="1"/>
  <c r="Z35" i="18"/>
  <c r="AV35" i="18" s="1"/>
  <c r="AE35" i="18"/>
  <c r="BA35" i="18" s="1"/>
  <c r="AK35" i="18"/>
  <c r="BG35" i="18" s="1"/>
  <c r="AP35" i="18"/>
  <c r="BL35" i="18" s="1"/>
  <c r="Z36" i="18"/>
  <c r="AV36" i="18" s="1"/>
  <c r="AF36" i="18"/>
  <c r="BB36" i="18" s="1"/>
  <c r="AK36" i="18"/>
  <c r="BG36" i="18" s="1"/>
  <c r="AP36" i="18"/>
  <c r="BL36" i="18" s="1"/>
  <c r="AA37" i="18"/>
  <c r="AW37" i="18" s="1"/>
  <c r="AF37" i="18"/>
  <c r="BB37" i="18" s="1"/>
  <c r="AK37" i="18"/>
  <c r="BG37" i="18" s="1"/>
  <c r="AQ37" i="18"/>
  <c r="BM37" i="18" s="1"/>
  <c r="AA38" i="18"/>
  <c r="AW38" i="18" s="1"/>
  <c r="AF38" i="18"/>
  <c r="BB38" i="18" s="1"/>
  <c r="AL38" i="18"/>
  <c r="BH38" i="18" s="1"/>
  <c r="AQ38" i="18"/>
  <c r="BM38" i="18" s="1"/>
  <c r="AA39" i="18"/>
  <c r="AW39" i="18" s="1"/>
  <c r="AG39" i="18"/>
  <c r="BC39" i="18" s="1"/>
  <c r="AL39" i="18"/>
  <c r="BH39" i="18" s="1"/>
  <c r="AQ39" i="18"/>
  <c r="BM39" i="18" s="1"/>
  <c r="AB40" i="18"/>
  <c r="AX40" i="18" s="1"/>
  <c r="AG40" i="18"/>
  <c r="BC40" i="18" s="1"/>
  <c r="AL40" i="18"/>
  <c r="BH40" i="18" s="1"/>
  <c r="AR40" i="18"/>
  <c r="BN40" i="18" s="1"/>
  <c r="AB41" i="18"/>
  <c r="AX41" i="18" s="1"/>
  <c r="AG41" i="18"/>
  <c r="BC41" i="18" s="1"/>
  <c r="AM41" i="18"/>
  <c r="BI41" i="18" s="1"/>
  <c r="AR41" i="18"/>
  <c r="BN41" i="18" s="1"/>
  <c r="AT24" i="18"/>
  <c r="BP24" i="18" s="1"/>
  <c r="E45" i="23"/>
  <c r="AL7" i="18"/>
  <c r="BH7" i="18" s="1"/>
  <c r="AG8" i="18"/>
  <c r="BC8" i="18" s="1"/>
  <c r="AB9" i="18"/>
  <c r="AX9" i="18" s="1"/>
  <c r="AR9" i="18"/>
  <c r="BN9" i="18" s="1"/>
  <c r="AM10" i="18"/>
  <c r="BI10" i="18" s="1"/>
  <c r="AH11" i="18"/>
  <c r="BD11" i="18" s="1"/>
  <c r="AC12" i="18"/>
  <c r="AY12" i="18" s="1"/>
  <c r="AS12" i="18"/>
  <c r="BO12" i="18" s="1"/>
  <c r="AN13" i="18"/>
  <c r="BJ13" i="18" s="1"/>
  <c r="AI14" i="18"/>
  <c r="BE14" i="18" s="1"/>
  <c r="AO24" i="18"/>
  <c r="BK24" i="18" s="1"/>
  <c r="BQ6" i="13"/>
  <c r="CM16" i="5"/>
  <c r="F49" i="9" s="1"/>
  <c r="CM18" i="5"/>
  <c r="F51" i="9" s="1"/>
  <c r="CM25" i="5"/>
  <c r="F58" i="9" s="1"/>
  <c r="CM26" i="5"/>
  <c r="F59" i="9" s="1"/>
  <c r="CM28" i="5"/>
  <c r="F61" i="9" s="1"/>
  <c r="CM29" i="5"/>
  <c r="F62" i="9" s="1"/>
  <c r="CM32" i="5"/>
  <c r="F65" i="9" s="1"/>
  <c r="CM35" i="5"/>
  <c r="F68" i="9" s="1"/>
  <c r="CM38" i="5"/>
  <c r="F71" i="9" s="1"/>
  <c r="CM40" i="5"/>
  <c r="F73" i="9" s="1"/>
  <c r="CM41" i="5"/>
  <c r="F74" i="9" s="1"/>
  <c r="B7" i="15"/>
  <c r="B7" i="17"/>
  <c r="B9" i="15"/>
  <c r="B9" i="17"/>
  <c r="B11" i="15"/>
  <c r="B11" i="17"/>
  <c r="B13" i="15"/>
  <c r="B13" i="17"/>
  <c r="B15" i="15"/>
  <c r="B15" i="17"/>
  <c r="B17" i="15"/>
  <c r="B17" i="17"/>
  <c r="B19" i="15"/>
  <c r="B19" i="17"/>
  <c r="B21" i="15"/>
  <c r="B21" i="17"/>
  <c r="B23" i="15"/>
  <c r="B23" i="17"/>
  <c r="B25" i="15"/>
  <c r="B25" i="17"/>
  <c r="B27" i="15"/>
  <c r="B27" i="17"/>
  <c r="B29" i="15"/>
  <c r="B29" i="17"/>
  <c r="B31" i="15"/>
  <c r="B31" i="17"/>
  <c r="B33" i="15"/>
  <c r="B33" i="17"/>
  <c r="B35" i="15"/>
  <c r="B35" i="17"/>
  <c r="B37" i="15"/>
  <c r="B37" i="17"/>
  <c r="B39" i="15"/>
  <c r="B39" i="17"/>
  <c r="B41" i="15"/>
  <c r="B41" i="17"/>
  <c r="AV9" i="13"/>
  <c r="AV13" i="13"/>
  <c r="AV17" i="13"/>
  <c r="AV21" i="13"/>
  <c r="AV25" i="13"/>
  <c r="AV29" i="13"/>
  <c r="AC7" i="15"/>
  <c r="AY7" i="15" s="1"/>
  <c r="AC7" i="17"/>
  <c r="AY7" i="17" s="1"/>
  <c r="AY66" i="5"/>
  <c r="CR7" i="5"/>
  <c r="DJ7" i="5" s="1"/>
  <c r="I40" i="9" s="1"/>
  <c r="AG7" i="15"/>
  <c r="BC7" i="15" s="1"/>
  <c r="AG7" i="17"/>
  <c r="BC7" i="17" s="1"/>
  <c r="BC66" i="5"/>
  <c r="CV7" i="5"/>
  <c r="AK7" i="15"/>
  <c r="BG7" i="15" s="1"/>
  <c r="BG66" i="5"/>
  <c r="AK7" i="17"/>
  <c r="BG7" i="17" s="1"/>
  <c r="CZ7" i="5"/>
  <c r="AO7" i="15"/>
  <c r="BK7" i="15" s="1"/>
  <c r="AO7" i="17"/>
  <c r="BK7" i="17" s="1"/>
  <c r="BK66" i="5"/>
  <c r="DD7" i="5"/>
  <c r="AS7" i="15"/>
  <c r="BO7" i="15" s="1"/>
  <c r="AS7" i="17"/>
  <c r="BO7" i="17" s="1"/>
  <c r="BO66" i="5"/>
  <c r="DH7" i="5"/>
  <c r="AB8" i="15"/>
  <c r="AX8" i="15" s="1"/>
  <c r="AB8" i="17"/>
  <c r="AX8" i="17" s="1"/>
  <c r="AX66" i="5"/>
  <c r="AF8" i="15"/>
  <c r="BB8" i="15" s="1"/>
  <c r="AF8" i="17"/>
  <c r="BB8" i="17" s="1"/>
  <c r="BB66" i="5"/>
  <c r="AJ8" i="15"/>
  <c r="BF8" i="15" s="1"/>
  <c r="AJ8" i="17"/>
  <c r="BF8" i="17" s="1"/>
  <c r="BF66" i="5"/>
  <c r="AN8" i="15"/>
  <c r="BJ8" i="15" s="1"/>
  <c r="AN8" i="17"/>
  <c r="BJ8" i="17" s="1"/>
  <c r="BJ66" i="5"/>
  <c r="AR8" i="15"/>
  <c r="BN8" i="15" s="1"/>
  <c r="AR8" i="17"/>
  <c r="BN8" i="17" s="1"/>
  <c r="BN66" i="5"/>
  <c r="AA9" i="15"/>
  <c r="AW9" i="15" s="1"/>
  <c r="AA9" i="17"/>
  <c r="AW9" i="17" s="1"/>
  <c r="AW66" i="5"/>
  <c r="AE9" i="15"/>
  <c r="BA9" i="15" s="1"/>
  <c r="AE9" i="17"/>
  <c r="BA9" i="17" s="1"/>
  <c r="BA66" i="5"/>
  <c r="AI9" i="15"/>
  <c r="BE9" i="15" s="1"/>
  <c r="AI9" i="17"/>
  <c r="BE9" i="17" s="1"/>
  <c r="BE66" i="5"/>
  <c r="AM9" i="15"/>
  <c r="BI9" i="15" s="1"/>
  <c r="AM9" i="17"/>
  <c r="BI9" i="17" s="1"/>
  <c r="BI66" i="5"/>
  <c r="AQ9" i="15"/>
  <c r="BM9" i="15" s="1"/>
  <c r="AQ9" i="17"/>
  <c r="BM9" i="17" s="1"/>
  <c r="BM66" i="5"/>
  <c r="Z10" i="15"/>
  <c r="AV10" i="15" s="1"/>
  <c r="Z10" i="17"/>
  <c r="AV10" i="17" s="1"/>
  <c r="AD10" i="15"/>
  <c r="AZ10" i="15" s="1"/>
  <c r="AD10" i="17"/>
  <c r="AZ10" i="17" s="1"/>
  <c r="AZ66" i="5"/>
  <c r="AH10" i="15"/>
  <c r="BD10" i="15" s="1"/>
  <c r="AH10" i="17"/>
  <c r="BD10" i="17" s="1"/>
  <c r="BD66" i="5"/>
  <c r="AL10" i="15"/>
  <c r="BH10" i="15" s="1"/>
  <c r="AL10" i="17"/>
  <c r="BH10" i="17" s="1"/>
  <c r="BH66" i="5"/>
  <c r="AP10" i="15"/>
  <c r="BL10" i="15" s="1"/>
  <c r="AP10" i="17"/>
  <c r="BL10" i="17" s="1"/>
  <c r="AT10" i="15"/>
  <c r="BP10" i="15" s="1"/>
  <c r="AT10" i="17"/>
  <c r="BP10" i="17" s="1"/>
  <c r="BP66" i="5"/>
  <c r="AC11" i="15"/>
  <c r="AY11" i="15" s="1"/>
  <c r="AC11" i="17"/>
  <c r="AY11" i="17" s="1"/>
  <c r="AG11" i="15"/>
  <c r="BC11" i="15" s="1"/>
  <c r="AK11" i="15"/>
  <c r="BG11" i="15" s="1"/>
  <c r="AK11" i="17"/>
  <c r="BG11" i="17" s="1"/>
  <c r="AO11" i="15"/>
  <c r="BK11" i="15" s="1"/>
  <c r="AO11" i="17"/>
  <c r="BK11" i="17" s="1"/>
  <c r="AS11" i="15"/>
  <c r="BO11" i="15" s="1"/>
  <c r="AS11" i="17"/>
  <c r="BO11" i="17" s="1"/>
  <c r="AB12" i="15"/>
  <c r="AX12" i="15" s="1"/>
  <c r="AB12" i="17"/>
  <c r="AX12" i="17" s="1"/>
  <c r="AF12" i="15"/>
  <c r="BB12" i="15" s="1"/>
  <c r="AF12" i="17"/>
  <c r="BB12" i="17" s="1"/>
  <c r="AJ12" i="15"/>
  <c r="BF12" i="15" s="1"/>
  <c r="AJ12" i="17"/>
  <c r="BF12" i="17" s="1"/>
  <c r="AN12" i="15"/>
  <c r="BJ12" i="15" s="1"/>
  <c r="AN12" i="17"/>
  <c r="BJ12" i="17" s="1"/>
  <c r="AR12" i="15"/>
  <c r="BN12" i="15" s="1"/>
  <c r="AR12" i="17"/>
  <c r="BN12" i="17" s="1"/>
  <c r="AA13" i="15"/>
  <c r="AW13" i="15" s="1"/>
  <c r="AA13" i="17"/>
  <c r="AW13" i="17" s="1"/>
  <c r="AE13" i="15"/>
  <c r="BA13" i="15" s="1"/>
  <c r="AE13" i="17"/>
  <c r="BA13" i="17" s="1"/>
  <c r="AI13" i="15"/>
  <c r="BE13" i="15" s="1"/>
  <c r="AI13" i="17"/>
  <c r="BE13" i="17" s="1"/>
  <c r="AM13" i="15"/>
  <c r="BI13" i="15" s="1"/>
  <c r="AM13" i="17"/>
  <c r="BI13" i="17" s="1"/>
  <c r="AQ13" i="15"/>
  <c r="BM13" i="15" s="1"/>
  <c r="AQ13" i="17"/>
  <c r="BM13" i="17" s="1"/>
  <c r="Z14" i="15"/>
  <c r="AV14" i="15" s="1"/>
  <c r="Z14" i="17"/>
  <c r="AV14" i="17" s="1"/>
  <c r="AD14" i="15"/>
  <c r="AZ14" i="15" s="1"/>
  <c r="AD14" i="17"/>
  <c r="AZ14" i="17" s="1"/>
  <c r="AH14" i="15"/>
  <c r="BD14" i="15" s="1"/>
  <c r="AH14" i="17"/>
  <c r="BD14" i="17" s="1"/>
  <c r="AL14" i="15"/>
  <c r="BH14" i="15" s="1"/>
  <c r="AL14" i="17"/>
  <c r="BH14" i="17" s="1"/>
  <c r="AP14" i="15"/>
  <c r="BL14" i="15" s="1"/>
  <c r="AP14" i="17"/>
  <c r="BL14" i="17" s="1"/>
  <c r="AT14" i="15"/>
  <c r="BP14" i="15" s="1"/>
  <c r="AT14" i="17"/>
  <c r="BP14" i="17" s="1"/>
  <c r="AC15" i="15"/>
  <c r="AY15" i="15" s="1"/>
  <c r="AC15" i="17"/>
  <c r="AY15" i="17" s="1"/>
  <c r="AG15" i="15"/>
  <c r="BC15" i="15" s="1"/>
  <c r="AG15" i="17"/>
  <c r="BC15" i="17" s="1"/>
  <c r="AK15" i="15"/>
  <c r="BG15" i="15" s="1"/>
  <c r="AK15" i="17"/>
  <c r="BG15" i="17" s="1"/>
  <c r="AO15" i="15"/>
  <c r="BK15" i="15" s="1"/>
  <c r="AO15" i="17"/>
  <c r="BK15" i="17" s="1"/>
  <c r="AS15" i="15"/>
  <c r="BO15" i="15" s="1"/>
  <c r="AS15" i="17"/>
  <c r="BO15" i="17" s="1"/>
  <c r="AB16" i="15"/>
  <c r="AX16" i="15" s="1"/>
  <c r="AB16" i="17"/>
  <c r="AX16" i="17" s="1"/>
  <c r="AF16" i="15"/>
  <c r="BB16" i="15" s="1"/>
  <c r="AF16" i="17"/>
  <c r="BB16" i="17" s="1"/>
  <c r="AJ16" i="15"/>
  <c r="BF16" i="15" s="1"/>
  <c r="AJ16" i="17"/>
  <c r="BF16" i="17" s="1"/>
  <c r="AN16" i="15"/>
  <c r="BJ16" i="15" s="1"/>
  <c r="AN16" i="17"/>
  <c r="BJ16" i="17" s="1"/>
  <c r="AR16" i="15"/>
  <c r="BN16" i="15" s="1"/>
  <c r="AR16" i="17"/>
  <c r="BN16" i="17" s="1"/>
  <c r="AA17" i="15"/>
  <c r="AW17" i="15" s="1"/>
  <c r="AA17" i="17"/>
  <c r="AW17" i="17" s="1"/>
  <c r="AE17" i="15"/>
  <c r="BA17" i="15" s="1"/>
  <c r="AE17" i="17"/>
  <c r="BA17" i="17" s="1"/>
  <c r="AI17" i="15"/>
  <c r="BE17" i="15" s="1"/>
  <c r="AI17" i="17"/>
  <c r="BE17" i="17" s="1"/>
  <c r="AM17" i="15"/>
  <c r="BI17" i="15" s="1"/>
  <c r="AM17" i="17"/>
  <c r="BI17" i="17" s="1"/>
  <c r="AQ17" i="15"/>
  <c r="BM17" i="15" s="1"/>
  <c r="AQ17" i="17"/>
  <c r="BM17" i="17" s="1"/>
  <c r="Z18" i="15"/>
  <c r="AV18" i="15" s="1"/>
  <c r="Z18" i="17"/>
  <c r="AV18" i="17" s="1"/>
  <c r="AD18" i="15"/>
  <c r="AZ18" i="15" s="1"/>
  <c r="AD18" i="17"/>
  <c r="AZ18" i="17" s="1"/>
  <c r="AH18" i="15"/>
  <c r="BD18" i="15" s="1"/>
  <c r="AH18" i="17"/>
  <c r="BD18" i="17" s="1"/>
  <c r="AL18" i="15"/>
  <c r="BH18" i="15" s="1"/>
  <c r="AL18" i="17"/>
  <c r="BH18" i="17" s="1"/>
  <c r="AP18" i="15"/>
  <c r="BL18" i="15" s="1"/>
  <c r="AP18" i="17"/>
  <c r="BL18" i="17" s="1"/>
  <c r="AT18" i="15"/>
  <c r="BP18" i="15" s="1"/>
  <c r="AT18" i="17"/>
  <c r="BP18" i="17" s="1"/>
  <c r="AC19" i="15"/>
  <c r="AY19" i="15" s="1"/>
  <c r="AC19" i="17"/>
  <c r="AY19" i="17" s="1"/>
  <c r="AG19" i="15"/>
  <c r="BC19" i="15" s="1"/>
  <c r="AG19" i="17"/>
  <c r="BC19" i="17" s="1"/>
  <c r="AK19" i="15"/>
  <c r="BG19" i="15" s="1"/>
  <c r="AK19" i="17"/>
  <c r="BG19" i="17" s="1"/>
  <c r="AO19" i="15"/>
  <c r="BK19" i="15" s="1"/>
  <c r="AO19" i="17"/>
  <c r="BK19" i="17" s="1"/>
  <c r="AS19" i="15"/>
  <c r="BO19" i="15" s="1"/>
  <c r="AS19" i="17"/>
  <c r="BO19" i="17" s="1"/>
  <c r="AB20" i="15"/>
  <c r="AX20" i="15" s="1"/>
  <c r="AB20" i="17"/>
  <c r="AX20" i="17" s="1"/>
  <c r="AF20" i="15"/>
  <c r="BB20" i="15" s="1"/>
  <c r="AF20" i="17"/>
  <c r="BB20" i="17" s="1"/>
  <c r="AJ20" i="15"/>
  <c r="BF20" i="15" s="1"/>
  <c r="AJ20" i="17"/>
  <c r="BF20" i="17" s="1"/>
  <c r="AN20" i="15"/>
  <c r="BJ20" i="15" s="1"/>
  <c r="AN20" i="17"/>
  <c r="BJ20" i="17" s="1"/>
  <c r="AR20" i="15"/>
  <c r="BN20" i="15" s="1"/>
  <c r="AR20" i="17"/>
  <c r="BN20" i="17" s="1"/>
  <c r="AA21" i="15"/>
  <c r="AW21" i="15" s="1"/>
  <c r="AE21" i="15"/>
  <c r="BA21" i="15" s="1"/>
  <c r="AE21" i="17"/>
  <c r="BA21" i="17" s="1"/>
  <c r="AI21" i="15"/>
  <c r="BE21" i="15" s="1"/>
  <c r="AI21" i="17"/>
  <c r="BE21" i="17" s="1"/>
  <c r="AM21" i="15"/>
  <c r="BI21" i="15" s="1"/>
  <c r="AM21" i="17"/>
  <c r="BI21" i="17" s="1"/>
  <c r="AQ21" i="15"/>
  <c r="BM21" i="15" s="1"/>
  <c r="AQ21" i="17"/>
  <c r="BM21" i="17" s="1"/>
  <c r="Z22" i="15"/>
  <c r="AV22" i="15" s="1"/>
  <c r="Z22" i="17"/>
  <c r="AV22" i="17" s="1"/>
  <c r="AD22" i="15"/>
  <c r="AZ22" i="15" s="1"/>
  <c r="AD22" i="17"/>
  <c r="AZ22" i="17" s="1"/>
  <c r="AH22" i="15"/>
  <c r="BD22" i="15" s="1"/>
  <c r="AH22" i="17"/>
  <c r="BD22" i="17" s="1"/>
  <c r="AL22" i="15"/>
  <c r="BH22" i="15" s="1"/>
  <c r="AL22" i="17"/>
  <c r="BH22" i="17" s="1"/>
  <c r="AP22" i="15"/>
  <c r="BL22" i="15" s="1"/>
  <c r="AP22" i="17"/>
  <c r="BL22" i="17" s="1"/>
  <c r="AT22" i="15"/>
  <c r="BP22" i="15" s="1"/>
  <c r="AT22" i="17"/>
  <c r="BP22" i="17" s="1"/>
  <c r="AC23" i="15"/>
  <c r="AY23" i="15" s="1"/>
  <c r="AC23" i="17"/>
  <c r="AY23" i="17" s="1"/>
  <c r="AG23" i="15"/>
  <c r="BC23" i="15" s="1"/>
  <c r="AG23" i="17"/>
  <c r="BC23" i="17" s="1"/>
  <c r="AK23" i="15"/>
  <c r="BG23" i="15" s="1"/>
  <c r="AK23" i="17"/>
  <c r="BG23" i="17" s="1"/>
  <c r="AO23" i="15"/>
  <c r="BK23" i="15" s="1"/>
  <c r="AO23" i="17"/>
  <c r="BK23" i="17" s="1"/>
  <c r="AS23" i="15"/>
  <c r="BO23" i="15" s="1"/>
  <c r="AS23" i="17"/>
  <c r="BO23" i="17" s="1"/>
  <c r="AB24" i="15"/>
  <c r="AX24" i="15" s="1"/>
  <c r="AB24" i="17"/>
  <c r="AX24" i="17" s="1"/>
  <c r="AF24" i="15"/>
  <c r="BB24" i="15" s="1"/>
  <c r="AF24" i="17"/>
  <c r="BB24" i="17" s="1"/>
  <c r="AJ24" i="15"/>
  <c r="BF24" i="15" s="1"/>
  <c r="AJ24" i="17"/>
  <c r="BF24" i="17" s="1"/>
  <c r="AN24" i="15"/>
  <c r="BJ24" i="15" s="1"/>
  <c r="AN24" i="17"/>
  <c r="BJ24" i="17" s="1"/>
  <c r="AR24" i="15"/>
  <c r="BN24" i="15" s="1"/>
  <c r="AR24" i="17"/>
  <c r="BN24" i="17" s="1"/>
  <c r="AA25" i="15"/>
  <c r="AW25" i="15" s="1"/>
  <c r="AA25" i="17"/>
  <c r="AW25" i="17" s="1"/>
  <c r="AE25" i="15"/>
  <c r="BA25" i="15" s="1"/>
  <c r="AE25" i="17"/>
  <c r="BA25" i="17" s="1"/>
  <c r="AI25" i="15"/>
  <c r="BE25" i="15" s="1"/>
  <c r="AI25" i="17"/>
  <c r="BE25" i="17" s="1"/>
  <c r="AM25" i="15"/>
  <c r="BI25" i="15" s="1"/>
  <c r="AM25" i="17"/>
  <c r="BI25" i="17" s="1"/>
  <c r="AQ25" i="15"/>
  <c r="BM25" i="15" s="1"/>
  <c r="AQ25" i="17"/>
  <c r="BM25" i="17" s="1"/>
  <c r="Z26" i="15"/>
  <c r="AV26" i="15" s="1"/>
  <c r="Z26" i="17"/>
  <c r="AV26" i="17" s="1"/>
  <c r="AD26" i="15"/>
  <c r="AZ26" i="15" s="1"/>
  <c r="AD26" i="17"/>
  <c r="AZ26" i="17" s="1"/>
  <c r="AH26" i="15"/>
  <c r="BD26" i="15" s="1"/>
  <c r="AH26" i="17"/>
  <c r="BD26" i="17" s="1"/>
  <c r="AL26" i="15"/>
  <c r="BH26" i="15" s="1"/>
  <c r="AL26" i="17"/>
  <c r="BH26" i="17" s="1"/>
  <c r="AP26" i="15"/>
  <c r="BL26" i="15" s="1"/>
  <c r="AP26" i="17"/>
  <c r="BL26" i="17" s="1"/>
  <c r="AT26" i="15"/>
  <c r="BP26" i="15" s="1"/>
  <c r="AT26" i="17"/>
  <c r="BP26" i="17" s="1"/>
  <c r="AC27" i="15"/>
  <c r="AY27" i="15" s="1"/>
  <c r="AC27" i="17"/>
  <c r="AY27" i="17" s="1"/>
  <c r="AG27" i="15"/>
  <c r="BC27" i="15" s="1"/>
  <c r="AG27" i="17"/>
  <c r="BC27" i="17" s="1"/>
  <c r="AK27" i="15"/>
  <c r="BG27" i="15" s="1"/>
  <c r="AK27" i="17"/>
  <c r="BG27" i="17" s="1"/>
  <c r="AO27" i="15"/>
  <c r="BK27" i="15" s="1"/>
  <c r="AO27" i="17"/>
  <c r="BK27" i="17" s="1"/>
  <c r="AS27" i="15"/>
  <c r="BO27" i="15" s="1"/>
  <c r="AS27" i="17"/>
  <c r="BO27" i="17" s="1"/>
  <c r="AB28" i="15"/>
  <c r="AX28" i="15" s="1"/>
  <c r="AB28" i="17"/>
  <c r="AX28" i="17" s="1"/>
  <c r="AF28" i="15"/>
  <c r="BB28" i="15" s="1"/>
  <c r="AF28" i="17"/>
  <c r="BB28" i="17" s="1"/>
  <c r="AJ28" i="15"/>
  <c r="BF28" i="15" s="1"/>
  <c r="AJ28" i="17"/>
  <c r="BF28" i="17" s="1"/>
  <c r="AN28" i="15"/>
  <c r="BJ28" i="15" s="1"/>
  <c r="AN28" i="17"/>
  <c r="BJ28" i="17" s="1"/>
  <c r="AR28" i="15"/>
  <c r="BN28" i="15" s="1"/>
  <c r="AR28" i="17"/>
  <c r="BN28" i="17" s="1"/>
  <c r="AA29" i="15"/>
  <c r="AW29" i="15" s="1"/>
  <c r="AA29" i="17"/>
  <c r="AW29" i="17" s="1"/>
  <c r="AE29" i="15"/>
  <c r="BA29" i="15" s="1"/>
  <c r="AE29" i="17"/>
  <c r="BA29" i="17" s="1"/>
  <c r="AI29" i="15"/>
  <c r="BE29" i="15" s="1"/>
  <c r="AI29" i="17"/>
  <c r="BE29" i="17" s="1"/>
  <c r="AM29" i="15"/>
  <c r="BI29" i="15" s="1"/>
  <c r="AM29" i="17"/>
  <c r="BI29" i="17" s="1"/>
  <c r="AQ29" i="15"/>
  <c r="BM29" i="15" s="1"/>
  <c r="AQ29" i="17"/>
  <c r="BM29" i="17" s="1"/>
  <c r="Z30" i="15"/>
  <c r="AV30" i="15" s="1"/>
  <c r="Z30" i="17"/>
  <c r="AV30" i="17" s="1"/>
  <c r="AD30" i="15"/>
  <c r="AZ30" i="15" s="1"/>
  <c r="AD30" i="17"/>
  <c r="AZ30" i="17" s="1"/>
  <c r="AH30" i="15"/>
  <c r="BD30" i="15" s="1"/>
  <c r="AH30" i="17"/>
  <c r="BD30" i="17" s="1"/>
  <c r="AL30" i="15"/>
  <c r="BH30" i="15" s="1"/>
  <c r="AL30" i="17"/>
  <c r="BH30" i="17" s="1"/>
  <c r="AP30" i="15"/>
  <c r="BL30" i="15" s="1"/>
  <c r="AP30" i="17"/>
  <c r="BL30" i="17" s="1"/>
  <c r="AT30" i="15"/>
  <c r="BP30" i="15" s="1"/>
  <c r="AT30" i="17"/>
  <c r="BP30" i="17" s="1"/>
  <c r="AC31" i="15"/>
  <c r="AY31" i="15" s="1"/>
  <c r="AC31" i="17"/>
  <c r="AY31" i="17" s="1"/>
  <c r="AG31" i="15"/>
  <c r="BC31" i="15" s="1"/>
  <c r="AG31" i="17"/>
  <c r="BC31" i="17" s="1"/>
  <c r="AK31" i="15"/>
  <c r="BG31" i="15" s="1"/>
  <c r="AK31" i="17"/>
  <c r="BG31" i="17" s="1"/>
  <c r="AO31" i="15"/>
  <c r="BK31" i="15" s="1"/>
  <c r="AO31" i="17"/>
  <c r="BK31" i="17" s="1"/>
  <c r="AS31" i="15"/>
  <c r="BO31" i="15" s="1"/>
  <c r="AS31" i="17"/>
  <c r="BO31" i="17" s="1"/>
  <c r="AB32" i="15"/>
  <c r="AX32" i="15" s="1"/>
  <c r="AB32" i="17"/>
  <c r="AX32" i="17" s="1"/>
  <c r="AF32" i="15"/>
  <c r="BB32" i="15" s="1"/>
  <c r="AF32" i="17"/>
  <c r="BB32" i="17" s="1"/>
  <c r="AJ32" i="15"/>
  <c r="BF32" i="15" s="1"/>
  <c r="AJ32" i="17"/>
  <c r="BF32" i="17" s="1"/>
  <c r="AN32" i="15"/>
  <c r="BJ32" i="15" s="1"/>
  <c r="AN32" i="17"/>
  <c r="BJ32" i="17" s="1"/>
  <c r="AR32" i="15"/>
  <c r="BN32" i="15" s="1"/>
  <c r="AR32" i="17"/>
  <c r="BN32" i="17" s="1"/>
  <c r="AA33" i="15"/>
  <c r="AW33" i="15" s="1"/>
  <c r="AA33" i="17"/>
  <c r="AW33" i="17" s="1"/>
  <c r="AE33" i="15"/>
  <c r="BA33" i="15" s="1"/>
  <c r="AE33" i="17"/>
  <c r="BA33" i="17" s="1"/>
  <c r="AI33" i="15"/>
  <c r="BE33" i="15" s="1"/>
  <c r="AI33" i="17"/>
  <c r="BE33" i="17" s="1"/>
  <c r="AM33" i="15"/>
  <c r="BI33" i="15" s="1"/>
  <c r="AM33" i="17"/>
  <c r="BI33" i="17" s="1"/>
  <c r="AQ33" i="15"/>
  <c r="BM33" i="15" s="1"/>
  <c r="AQ33" i="17"/>
  <c r="BM33" i="17" s="1"/>
  <c r="Z34" i="15"/>
  <c r="AV34" i="15" s="1"/>
  <c r="Z34" i="17"/>
  <c r="AV34" i="17" s="1"/>
  <c r="AD34" i="15"/>
  <c r="AZ34" i="15" s="1"/>
  <c r="AD34" i="17"/>
  <c r="AZ34" i="17" s="1"/>
  <c r="AH34" i="15"/>
  <c r="BD34" i="15" s="1"/>
  <c r="AH34" i="17"/>
  <c r="BD34" i="17" s="1"/>
  <c r="AL34" i="15"/>
  <c r="BH34" i="15" s="1"/>
  <c r="AL34" i="17"/>
  <c r="BH34" i="17" s="1"/>
  <c r="AP34" i="15"/>
  <c r="BL34" i="15" s="1"/>
  <c r="AP34" i="17"/>
  <c r="BL34" i="17" s="1"/>
  <c r="AT34" i="15"/>
  <c r="BP34" i="15" s="1"/>
  <c r="AT34" i="17"/>
  <c r="BP34" i="17" s="1"/>
  <c r="AC35" i="15"/>
  <c r="AY35" i="15" s="1"/>
  <c r="AC35" i="17"/>
  <c r="AY35" i="17" s="1"/>
  <c r="AG35" i="15"/>
  <c r="BC35" i="15" s="1"/>
  <c r="AG35" i="17"/>
  <c r="BC35" i="17" s="1"/>
  <c r="AK35" i="15"/>
  <c r="BG35" i="15" s="1"/>
  <c r="AK35" i="17"/>
  <c r="BG35" i="17" s="1"/>
  <c r="AO35" i="15"/>
  <c r="BK35" i="15" s="1"/>
  <c r="AO35" i="17"/>
  <c r="BK35" i="17" s="1"/>
  <c r="AS35" i="15"/>
  <c r="BO35" i="15" s="1"/>
  <c r="AS35" i="17"/>
  <c r="BO35" i="17" s="1"/>
  <c r="AB36" i="15"/>
  <c r="AX36" i="15" s="1"/>
  <c r="AB36" i="17"/>
  <c r="AX36" i="17" s="1"/>
  <c r="AF36" i="15"/>
  <c r="BB36" i="15" s="1"/>
  <c r="AF36" i="17"/>
  <c r="BB36" i="17" s="1"/>
  <c r="AJ36" i="15"/>
  <c r="BF36" i="15" s="1"/>
  <c r="AJ36" i="17"/>
  <c r="BF36" i="17" s="1"/>
  <c r="AN36" i="15"/>
  <c r="BJ36" i="15" s="1"/>
  <c r="AN36" i="17"/>
  <c r="BJ36" i="17" s="1"/>
  <c r="AR36" i="15"/>
  <c r="BN36" i="15" s="1"/>
  <c r="AR36" i="17"/>
  <c r="BN36" i="17" s="1"/>
  <c r="AA37" i="15"/>
  <c r="AW37" i="15" s="1"/>
  <c r="AA37" i="17"/>
  <c r="AW37" i="17" s="1"/>
  <c r="AE37" i="15"/>
  <c r="BA37" i="15" s="1"/>
  <c r="AE37" i="17"/>
  <c r="BA37" i="17" s="1"/>
  <c r="AI37" i="15"/>
  <c r="BE37" i="15" s="1"/>
  <c r="AI37" i="17"/>
  <c r="BE37" i="17" s="1"/>
  <c r="AM37" i="15"/>
  <c r="BI37" i="15" s="1"/>
  <c r="AM37" i="17"/>
  <c r="BI37" i="17" s="1"/>
  <c r="AQ37" i="15"/>
  <c r="BM37" i="15" s="1"/>
  <c r="AQ37" i="17"/>
  <c r="BM37" i="17" s="1"/>
  <c r="Z38" i="15"/>
  <c r="AV38" i="15" s="1"/>
  <c r="Z38" i="17"/>
  <c r="AV38" i="17" s="1"/>
  <c r="AD38" i="15"/>
  <c r="AZ38" i="15" s="1"/>
  <c r="AD38" i="17"/>
  <c r="AZ38" i="17" s="1"/>
  <c r="AH38" i="15"/>
  <c r="BD38" i="15" s="1"/>
  <c r="AH38" i="17"/>
  <c r="BD38" i="17" s="1"/>
  <c r="AL38" i="15"/>
  <c r="BH38" i="15" s="1"/>
  <c r="AL38" i="17"/>
  <c r="BH38" i="17" s="1"/>
  <c r="AP38" i="15"/>
  <c r="BL38" i="15" s="1"/>
  <c r="AP38" i="17"/>
  <c r="BL38" i="17" s="1"/>
  <c r="AT38" i="15"/>
  <c r="BP38" i="15" s="1"/>
  <c r="AT38" i="17"/>
  <c r="BP38" i="17" s="1"/>
  <c r="AC39" i="15"/>
  <c r="AY39" i="15" s="1"/>
  <c r="AC39" i="17"/>
  <c r="AY39" i="17" s="1"/>
  <c r="AG39" i="15"/>
  <c r="BC39" i="15" s="1"/>
  <c r="AG39" i="17"/>
  <c r="BC39" i="17" s="1"/>
  <c r="AK39" i="15"/>
  <c r="BG39" i="15" s="1"/>
  <c r="AK39" i="17"/>
  <c r="BG39" i="17" s="1"/>
  <c r="AO39" i="15"/>
  <c r="BK39" i="15" s="1"/>
  <c r="AO39" i="17"/>
  <c r="BK39" i="17" s="1"/>
  <c r="AS39" i="15"/>
  <c r="BO39" i="15" s="1"/>
  <c r="AS39" i="17"/>
  <c r="BO39" i="17" s="1"/>
  <c r="AB40" i="15"/>
  <c r="AX40" i="15" s="1"/>
  <c r="AB40" i="17"/>
  <c r="AX40" i="17" s="1"/>
  <c r="AF40" i="15"/>
  <c r="BB40" i="15" s="1"/>
  <c r="AF40" i="17"/>
  <c r="BB40" i="17" s="1"/>
  <c r="AJ40" i="15"/>
  <c r="BF40" i="15" s="1"/>
  <c r="AJ40" i="17"/>
  <c r="BF40" i="17" s="1"/>
  <c r="AN40" i="15"/>
  <c r="BJ40" i="15" s="1"/>
  <c r="AN40" i="17"/>
  <c r="BJ40" i="17" s="1"/>
  <c r="AR40" i="15"/>
  <c r="BN40" i="15" s="1"/>
  <c r="AR40" i="17"/>
  <c r="BN40" i="17" s="1"/>
  <c r="AA41" i="15"/>
  <c r="AW41" i="15" s="1"/>
  <c r="AA41" i="17"/>
  <c r="AW41" i="17" s="1"/>
  <c r="AE41" i="15"/>
  <c r="BA41" i="15" s="1"/>
  <c r="AE41" i="17"/>
  <c r="BA41" i="17" s="1"/>
  <c r="AI41" i="15"/>
  <c r="BE41" i="15" s="1"/>
  <c r="AI41" i="17"/>
  <c r="BE41" i="17" s="1"/>
  <c r="AM41" i="15"/>
  <c r="BI41" i="15" s="1"/>
  <c r="AM41" i="17"/>
  <c r="BI41" i="17" s="1"/>
  <c r="AQ41" i="15"/>
  <c r="BM41" i="15" s="1"/>
  <c r="AQ41" i="17"/>
  <c r="BM41" i="17" s="1"/>
  <c r="BL66" i="5"/>
  <c r="CM8" i="5"/>
  <c r="F41" i="9" s="1"/>
  <c r="CM13" i="5"/>
  <c r="F46" i="9" s="1"/>
  <c r="CM15" i="5"/>
  <c r="F48" i="9" s="1"/>
  <c r="CM19" i="5"/>
  <c r="F52" i="9" s="1"/>
  <c r="CM20" i="5"/>
  <c r="F53" i="9" s="1"/>
  <c r="CM21" i="5"/>
  <c r="F54" i="9" s="1"/>
  <c r="CM22" i="5"/>
  <c r="F55" i="9" s="1"/>
  <c r="CM23" i="5"/>
  <c r="F56" i="9" s="1"/>
  <c r="CM24" i="5"/>
  <c r="F57" i="9" s="1"/>
  <c r="CM27" i="5"/>
  <c r="F60" i="9" s="1"/>
  <c r="CM30" i="5"/>
  <c r="F63" i="9" s="1"/>
  <c r="CM31" i="5"/>
  <c r="F64" i="9" s="1"/>
  <c r="CM33" i="5"/>
  <c r="F66" i="9" s="1"/>
  <c r="CM34" i="5"/>
  <c r="F67" i="9" s="1"/>
  <c r="CM36" i="5"/>
  <c r="F69" i="9" s="1"/>
  <c r="CM37" i="5"/>
  <c r="F70" i="9" s="1"/>
  <c r="CM39" i="5"/>
  <c r="F72" i="9" s="1"/>
  <c r="AV26" i="13"/>
  <c r="AV30" i="13"/>
  <c r="AS20" i="15"/>
  <c r="BO20" i="15" s="1"/>
  <c r="AS20" i="17"/>
  <c r="BO20" i="17" s="1"/>
  <c r="AB21" i="15"/>
  <c r="AX21" i="15" s="1"/>
  <c r="AB21" i="17"/>
  <c r="AX21" i="17" s="1"/>
  <c r="AF21" i="15"/>
  <c r="BB21" i="15" s="1"/>
  <c r="AF21" i="17"/>
  <c r="BB21" i="17" s="1"/>
  <c r="AJ21" i="15"/>
  <c r="BF21" i="15" s="1"/>
  <c r="AJ21" i="17"/>
  <c r="BF21" i="17" s="1"/>
  <c r="AN21" i="15"/>
  <c r="BJ21" i="15" s="1"/>
  <c r="AN21" i="17"/>
  <c r="BJ21" i="17" s="1"/>
  <c r="AR21" i="15"/>
  <c r="BN21" i="15" s="1"/>
  <c r="AR21" i="17"/>
  <c r="BN21" i="17" s="1"/>
  <c r="AA22" i="15"/>
  <c r="AW22" i="15" s="1"/>
  <c r="AA22" i="17"/>
  <c r="AW22" i="17" s="1"/>
  <c r="Z23" i="15"/>
  <c r="AV23" i="15" s="1"/>
  <c r="Z23" i="17"/>
  <c r="AV23" i="17" s="1"/>
  <c r="AD27" i="15"/>
  <c r="AZ27" i="15" s="1"/>
  <c r="AD27" i="17"/>
  <c r="AZ27" i="17" s="1"/>
  <c r="AK28" i="15"/>
  <c r="BG28" i="15" s="1"/>
  <c r="AK28" i="17"/>
  <c r="BG28" i="17" s="1"/>
  <c r="AO28" i="17"/>
  <c r="BK28" i="17" s="1"/>
  <c r="AS28" i="17"/>
  <c r="BO28" i="17" s="1"/>
  <c r="AB29" i="17"/>
  <c r="AX29" i="17" s="1"/>
  <c r="AF29" i="17"/>
  <c r="BB29" i="17" s="1"/>
  <c r="AJ29" i="17"/>
  <c r="BF29" i="17" s="1"/>
  <c r="AN29" i="17"/>
  <c r="BJ29" i="17" s="1"/>
  <c r="AR29" i="17"/>
  <c r="BN29" i="17" s="1"/>
  <c r="AA30" i="17"/>
  <c r="AW30" i="17" s="1"/>
  <c r="AQ30" i="17"/>
  <c r="BM30" i="17" s="1"/>
  <c r="AL31" i="17"/>
  <c r="BH31" i="17" s="1"/>
  <c r="AP31" i="17"/>
  <c r="BL31" i="17" s="1"/>
  <c r="AT31" i="17"/>
  <c r="BP31" i="17" s="1"/>
  <c r="AC32" i="17"/>
  <c r="AY32" i="17" s="1"/>
  <c r="AI34" i="17"/>
  <c r="BE34" i="17" s="1"/>
  <c r="AD35" i="17"/>
  <c r="AZ35" i="17" s="1"/>
  <c r="AV15" i="13"/>
  <c r="AV7" i="13"/>
  <c r="H256" i="4"/>
  <c r="H262" i="4" s="1"/>
  <c r="B212" i="4" s="1"/>
  <c r="I254" i="4"/>
  <c r="I256" i="4" s="1"/>
  <c r="I262" i="4" s="1"/>
  <c r="C212" i="4" s="1"/>
  <c r="G245" i="4"/>
  <c r="B47" i="4"/>
  <c r="I237" i="4"/>
  <c r="I239" i="4" s="1"/>
  <c r="I245" i="4" s="1"/>
  <c r="C211" i="4" s="1"/>
  <c r="B204" i="4"/>
  <c r="E190" i="4" s="1"/>
  <c r="G85" i="4"/>
  <c r="B215" i="4"/>
  <c r="E191" i="4" s="1"/>
  <c r="C8" i="4"/>
  <c r="B3" i="14" s="1"/>
  <c r="D85" i="4"/>
  <c r="F100" i="4"/>
  <c r="G256" i="4"/>
  <c r="G262" i="4" s="1"/>
  <c r="B95" i="4"/>
  <c r="B100" i="4" s="1"/>
  <c r="C15" i="2" s="1"/>
  <c r="E52" i="2" s="1"/>
  <c r="B85" i="4"/>
  <c r="F85" i="4"/>
  <c r="B122" i="4"/>
  <c r="C30" i="2" s="1"/>
  <c r="E56" i="2" s="1"/>
  <c r="G122" i="4"/>
  <c r="F122" i="4"/>
  <c r="E122" i="4"/>
  <c r="H122" i="4"/>
  <c r="D60" i="4"/>
  <c r="C22" i="2"/>
  <c r="C8" i="9" s="1"/>
  <c r="C9" i="9"/>
  <c r="B72" i="4"/>
  <c r="D38" i="28" s="1"/>
  <c r="I26" i="28" s="1"/>
  <c r="B94" i="4"/>
  <c r="B119" i="4"/>
  <c r="B118" i="4"/>
  <c r="B96" i="4"/>
  <c r="E39" i="27"/>
  <c r="DJ49" i="5"/>
  <c r="I82" i="9" s="1"/>
  <c r="DJ51" i="5"/>
  <c r="I84" i="9" s="1"/>
  <c r="CM7" i="5"/>
  <c r="F40" i="9" s="1"/>
  <c r="CM11" i="5"/>
  <c r="F44" i="9" s="1"/>
  <c r="DJ31" i="5"/>
  <c r="I64" i="9" s="1"/>
  <c r="CM9" i="5"/>
  <c r="F42" i="9" s="1"/>
  <c r="CM10" i="5"/>
  <c r="F43" i="9" s="1"/>
  <c r="CM12" i="5"/>
  <c r="F45" i="9" s="1"/>
  <c r="CM14" i="5"/>
  <c r="F47" i="9" s="1"/>
  <c r="CM17" i="5"/>
  <c r="F50" i="9" s="1"/>
  <c r="E41" i="23"/>
  <c r="DJ13" i="5"/>
  <c r="I46" i="9" s="1"/>
  <c r="AW7" i="13"/>
  <c r="AV8" i="13"/>
  <c r="AV12" i="13"/>
  <c r="AV16" i="13"/>
  <c r="AV20" i="13"/>
  <c r="DJ8" i="5"/>
  <c r="I41" i="9" s="1"/>
  <c r="AV28" i="13"/>
  <c r="AV24" i="13"/>
  <c r="BQ31" i="13"/>
  <c r="AV10" i="13"/>
  <c r="AV14" i="13"/>
  <c r="AV18" i="13"/>
  <c r="AV22" i="13"/>
  <c r="AB42" i="17"/>
  <c r="AX42" i="17" s="1"/>
  <c r="AB42" i="15"/>
  <c r="AX42" i="15" s="1"/>
  <c r="AF42" i="17"/>
  <c r="BB42" i="17" s="1"/>
  <c r="AF42" i="15"/>
  <c r="BB42" i="15" s="1"/>
  <c r="AJ42" i="17"/>
  <c r="BF42" i="17" s="1"/>
  <c r="AJ42" i="15"/>
  <c r="BF42" i="15" s="1"/>
  <c r="AN42" i="17"/>
  <c r="BJ42" i="17" s="1"/>
  <c r="AN42" i="15"/>
  <c r="BJ42" i="15" s="1"/>
  <c r="AR42" i="17"/>
  <c r="BN42" i="17" s="1"/>
  <c r="AR42" i="15"/>
  <c r="BN42" i="15" s="1"/>
  <c r="AW43" i="17"/>
  <c r="AW43" i="15"/>
  <c r="BA43" i="17"/>
  <c r="BA43" i="15"/>
  <c r="BE43" i="17"/>
  <c r="BE43" i="15"/>
  <c r="BI43" i="17"/>
  <c r="BI43" i="15"/>
  <c r="BM43" i="17"/>
  <c r="BM43" i="15"/>
  <c r="AV44" i="17"/>
  <c r="AV44" i="15"/>
  <c r="AZ44" i="17"/>
  <c r="AZ44" i="15"/>
  <c r="BD44" i="17"/>
  <c r="BD44" i="15"/>
  <c r="BH44" i="17"/>
  <c r="BH44" i="15"/>
  <c r="BL44" i="17"/>
  <c r="BL44" i="15"/>
  <c r="H17" i="28"/>
  <c r="D25" i="28" s="1"/>
  <c r="F49" i="28" s="1"/>
  <c r="AC42" i="17"/>
  <c r="AY42" i="17" s="1"/>
  <c r="AC42" i="15"/>
  <c r="AY42" i="15" s="1"/>
  <c r="AG42" i="17"/>
  <c r="BC42" i="17" s="1"/>
  <c r="AG42" i="15"/>
  <c r="BC42" i="15" s="1"/>
  <c r="AK42" i="17"/>
  <c r="BG42" i="17" s="1"/>
  <c r="AK42" i="15"/>
  <c r="BG42" i="15" s="1"/>
  <c r="AO42" i="17"/>
  <c r="BK42" i="17" s="1"/>
  <c r="AO42" i="15"/>
  <c r="BK42" i="15" s="1"/>
  <c r="AS42" i="17"/>
  <c r="BO42" i="17" s="1"/>
  <c r="AS42" i="15"/>
  <c r="BO42" i="15" s="1"/>
  <c r="AX43" i="17"/>
  <c r="AX43" i="15"/>
  <c r="BB43" i="17"/>
  <c r="BB43" i="15"/>
  <c r="BF43" i="17"/>
  <c r="BF43" i="15"/>
  <c r="BJ43" i="17"/>
  <c r="BJ43" i="15"/>
  <c r="BN43" i="17"/>
  <c r="BN43" i="15"/>
  <c r="Z42" i="17"/>
  <c r="AV42" i="17" s="1"/>
  <c r="Z42" i="15"/>
  <c r="AV42" i="15" s="1"/>
  <c r="AD42" i="17"/>
  <c r="AZ42" i="17" s="1"/>
  <c r="AD42" i="15"/>
  <c r="AZ42" i="15" s="1"/>
  <c r="AH42" i="17"/>
  <c r="BD42" i="17" s="1"/>
  <c r="AH42" i="15"/>
  <c r="BD42" i="15" s="1"/>
  <c r="AL42" i="17"/>
  <c r="BH42" i="17" s="1"/>
  <c r="AL42" i="15"/>
  <c r="BH42" i="15" s="1"/>
  <c r="AP42" i="17"/>
  <c r="BL42" i="17" s="1"/>
  <c r="AP42" i="15"/>
  <c r="BL42" i="15" s="1"/>
  <c r="AT42" i="17"/>
  <c r="BP42" i="17" s="1"/>
  <c r="AT42" i="15"/>
  <c r="BP42" i="15" s="1"/>
  <c r="AY43" i="17"/>
  <c r="AY43" i="15"/>
  <c r="BC43" i="17"/>
  <c r="BC43" i="15"/>
  <c r="BG43" i="17"/>
  <c r="BG43" i="15"/>
  <c r="BK43" i="17"/>
  <c r="BK43" i="15"/>
  <c r="BO43" i="17"/>
  <c r="BO43" i="15"/>
  <c r="AX44" i="17"/>
  <c r="AX44" i="15"/>
  <c r="BB44" i="17"/>
  <c r="BB44" i="15"/>
  <c r="BF44" i="17"/>
  <c r="BF44" i="15"/>
  <c r="BJ44" i="17"/>
  <c r="BJ44" i="15"/>
  <c r="B42" i="17"/>
  <c r="B42" i="15"/>
  <c r="AA42" i="17"/>
  <c r="AW42" i="17" s="1"/>
  <c r="AA42" i="15"/>
  <c r="AW42" i="15" s="1"/>
  <c r="AE42" i="17"/>
  <c r="BA42" i="17" s="1"/>
  <c r="AE42" i="15"/>
  <c r="BA42" i="15" s="1"/>
  <c r="AI42" i="17"/>
  <c r="BE42" i="17" s="1"/>
  <c r="AI42" i="15"/>
  <c r="BE42" i="15" s="1"/>
  <c r="AM42" i="17"/>
  <c r="BI42" i="17" s="1"/>
  <c r="AM42" i="15"/>
  <c r="BI42" i="15" s="1"/>
  <c r="AQ42" i="17"/>
  <c r="BM42" i="17" s="1"/>
  <c r="AQ42" i="15"/>
  <c r="BM42" i="15" s="1"/>
  <c r="AV43" i="17"/>
  <c r="AV43" i="15"/>
  <c r="AZ43" i="17"/>
  <c r="AZ43" i="15"/>
  <c r="BD43" i="17"/>
  <c r="BD43" i="15"/>
  <c r="BH43" i="17"/>
  <c r="BH43" i="15"/>
  <c r="BL43" i="17"/>
  <c r="BL43" i="15"/>
  <c r="BP43" i="17"/>
  <c r="BP43" i="15"/>
  <c r="AY44" i="17"/>
  <c r="AY44" i="15"/>
  <c r="BC44" i="17"/>
  <c r="BC44" i="15"/>
  <c r="BG44" i="17"/>
  <c r="BG44" i="15"/>
  <c r="BK44" i="17"/>
  <c r="BK44" i="15"/>
  <c r="BO44" i="17"/>
  <c r="BO44" i="15"/>
  <c r="AX45" i="17"/>
  <c r="AX45" i="15"/>
  <c r="BB45" i="17"/>
  <c r="BB45" i="15"/>
  <c r="BF45" i="17"/>
  <c r="BF45" i="15"/>
  <c r="BJ45" i="17"/>
  <c r="BJ45" i="15"/>
  <c r="BN45" i="17"/>
  <c r="BN45" i="15"/>
  <c r="BP44" i="17"/>
  <c r="BP44" i="15"/>
  <c r="AY45" i="17"/>
  <c r="AY45" i="15"/>
  <c r="BC45" i="17"/>
  <c r="BC45" i="15"/>
  <c r="BG45" i="17"/>
  <c r="BG45" i="15"/>
  <c r="BK45" i="17"/>
  <c r="BK45" i="15"/>
  <c r="BO45" i="17"/>
  <c r="BO45" i="15"/>
  <c r="AW44" i="17"/>
  <c r="AW44" i="15"/>
  <c r="BA44" i="17"/>
  <c r="BA44" i="15"/>
  <c r="BE44" i="17"/>
  <c r="BE44" i="15"/>
  <c r="BI44" i="17"/>
  <c r="BI44" i="15"/>
  <c r="BM44" i="17"/>
  <c r="BM44" i="15"/>
  <c r="AV45" i="17"/>
  <c r="AV45" i="15"/>
  <c r="AZ45" i="17"/>
  <c r="AZ45" i="15"/>
  <c r="BD45" i="17"/>
  <c r="BD45" i="15"/>
  <c r="BH45" i="17"/>
  <c r="BH45" i="15"/>
  <c r="BL45" i="17"/>
  <c r="BL45" i="15"/>
  <c r="BP45" i="17"/>
  <c r="BP45" i="15"/>
  <c r="BN44" i="17"/>
  <c r="BN44" i="15"/>
  <c r="AW45" i="17"/>
  <c r="AW45" i="15"/>
  <c r="BA45" i="17"/>
  <c r="BA45" i="15"/>
  <c r="BE45" i="17"/>
  <c r="BE45" i="15"/>
  <c r="BI45" i="17"/>
  <c r="BI45" i="15"/>
  <c r="BM45" i="17"/>
  <c r="BM45" i="15"/>
  <c r="B87" i="4" l="1"/>
  <c r="B98" i="4"/>
  <c r="C26" i="9"/>
  <c r="H15" i="2"/>
  <c r="D52" i="2" s="1"/>
  <c r="BQ23" i="17"/>
  <c r="BQ7" i="17"/>
  <c r="BQ38" i="17"/>
  <c r="BQ40" i="15"/>
  <c r="BQ37" i="15"/>
  <c r="BQ35" i="15"/>
  <c r="BQ32" i="15"/>
  <c r="BQ27" i="15"/>
  <c r="BQ15" i="17"/>
  <c r="BQ12" i="17"/>
  <c r="BQ8" i="15"/>
  <c r="BQ7" i="15"/>
  <c r="BQ36" i="17"/>
  <c r="BQ33" i="17"/>
  <c r="BQ31" i="17"/>
  <c r="BQ20" i="17"/>
  <c r="BQ9" i="17"/>
  <c r="BQ21" i="17"/>
  <c r="BQ41" i="17"/>
  <c r="BQ39" i="17"/>
  <c r="BQ28" i="17"/>
  <c r="BQ40" i="17"/>
  <c r="BQ37" i="17"/>
  <c r="BQ35" i="17"/>
  <c r="BQ32" i="17"/>
  <c r="BQ29" i="17"/>
  <c r="BQ27" i="17"/>
  <c r="BQ26" i="17"/>
  <c r="BQ24" i="17"/>
  <c r="BQ21" i="15"/>
  <c r="BQ19" i="15"/>
  <c r="BQ16" i="15"/>
  <c r="BQ13" i="15"/>
  <c r="BQ11" i="15"/>
  <c r="BQ8" i="17"/>
  <c r="BQ24" i="15"/>
  <c r="BQ25" i="17"/>
  <c r="BQ20" i="15"/>
  <c r="BQ17" i="15"/>
  <c r="BQ15" i="15"/>
  <c r="BQ14" i="15"/>
  <c r="BQ12" i="15"/>
  <c r="BQ9" i="15"/>
  <c r="BQ29" i="15"/>
  <c r="BQ17" i="17"/>
  <c r="BQ23" i="15"/>
  <c r="BQ41" i="15"/>
  <c r="BQ39" i="15"/>
  <c r="BQ36" i="15"/>
  <c r="BQ33" i="15"/>
  <c r="BQ31" i="15"/>
  <c r="BQ30" i="15"/>
  <c r="BQ28" i="15"/>
  <c r="BQ25" i="15"/>
  <c r="BQ19" i="17"/>
  <c r="BQ18" i="17"/>
  <c r="BQ16" i="17"/>
  <c r="BQ13" i="17"/>
  <c r="BQ11" i="17"/>
  <c r="C25" i="9"/>
  <c r="BQ45" i="15"/>
  <c r="BQ45" i="17"/>
  <c r="BQ44" i="15"/>
  <c r="BQ34" i="17"/>
  <c r="BQ18" i="15"/>
  <c r="BQ43" i="15"/>
  <c r="BQ42" i="15"/>
  <c r="BQ44" i="17"/>
  <c r="BQ34" i="15"/>
  <c r="BQ26" i="15"/>
  <c r="BQ14" i="17"/>
  <c r="BQ43" i="17"/>
  <c r="BQ42" i="17"/>
  <c r="BQ30" i="17"/>
  <c r="BQ22" i="17"/>
  <c r="BQ10" i="17"/>
  <c r="BQ38" i="15"/>
  <c r="BQ22" i="15"/>
  <c r="BQ10" i="15"/>
  <c r="E54" i="27"/>
  <c r="E69" i="2"/>
  <c r="C36" i="2"/>
  <c r="F66" i="28"/>
  <c r="E58" i="23"/>
  <c r="J278" i="4"/>
  <c r="K278" i="4" s="1"/>
  <c r="L278" i="4" s="1"/>
  <c r="C53" i="2"/>
  <c r="C56" i="2"/>
  <c r="C54" i="2" s="1"/>
  <c r="C52" i="2"/>
  <c r="H23" i="2"/>
  <c r="H16" i="2"/>
  <c r="D53" i="2" s="1"/>
  <c r="H30" i="2"/>
  <c r="D56" i="2" s="1"/>
  <c r="H35" i="2"/>
  <c r="H24" i="2"/>
  <c r="B89" i="4"/>
  <c r="CP66" i="5"/>
  <c r="DJ10" i="5"/>
  <c r="I43" i="9" s="1"/>
  <c r="DJ17" i="5"/>
  <c r="I50" i="9" s="1"/>
  <c r="BQ30" i="14"/>
  <c r="E193" i="4"/>
  <c r="AV4" i="14"/>
  <c r="C77" i="28"/>
  <c r="E77" i="28"/>
  <c r="I37" i="9"/>
  <c r="B3" i="13"/>
  <c r="D4" i="13"/>
  <c r="CY66" i="5"/>
  <c r="DJ19" i="5"/>
  <c r="I52" i="9" s="1"/>
  <c r="DG66" i="5"/>
  <c r="DJ16" i="5"/>
  <c r="I49" i="9" s="1"/>
  <c r="DJ15" i="5"/>
  <c r="I48" i="9" s="1"/>
  <c r="DA66" i="5"/>
  <c r="DJ11" i="5"/>
  <c r="I44" i="9" s="1"/>
  <c r="DJ14" i="5"/>
  <c r="I47" i="9" s="1"/>
  <c r="CQ66" i="5"/>
  <c r="CJ66" i="5"/>
  <c r="BY66" i="5"/>
  <c r="DJ27" i="5"/>
  <c r="I60" i="9" s="1"/>
  <c r="DJ25" i="5"/>
  <c r="I58" i="9" s="1"/>
  <c r="DJ24" i="5"/>
  <c r="I57" i="9" s="1"/>
  <c r="CW66" i="5"/>
  <c r="DJ21" i="5"/>
  <c r="I54" i="9" s="1"/>
  <c r="CU66" i="5"/>
  <c r="DJ18" i="5"/>
  <c r="I51" i="9" s="1"/>
  <c r="DD66" i="5"/>
  <c r="DJ12" i="5"/>
  <c r="I45" i="9" s="1"/>
  <c r="DJ9" i="5"/>
  <c r="I42" i="9" s="1"/>
  <c r="DJ20" i="5"/>
  <c r="I53" i="9" s="1"/>
  <c r="CB66" i="5"/>
  <c r="CG66" i="5"/>
  <c r="CL66" i="5"/>
  <c r="BV66" i="5"/>
  <c r="DI66" i="5"/>
  <c r="CS66" i="5"/>
  <c r="CO66" i="5"/>
  <c r="DJ29" i="5"/>
  <c r="I62" i="9" s="1"/>
  <c r="C24" i="9" s="1"/>
  <c r="DJ28" i="5"/>
  <c r="I61" i="9" s="1"/>
  <c r="CR66" i="5"/>
  <c r="DB66" i="5"/>
  <c r="D22" i="9"/>
  <c r="D23" i="9"/>
  <c r="BX66" i="5"/>
  <c r="BW66" i="5"/>
  <c r="BZ66" i="5"/>
  <c r="CX66" i="5"/>
  <c r="DJ23" i="5"/>
  <c r="I56" i="9" s="1"/>
  <c r="DC66" i="5"/>
  <c r="DH66" i="5"/>
  <c r="CA66" i="5"/>
  <c r="CI66" i="5"/>
  <c r="CV66" i="5"/>
  <c r="DJ30" i="5"/>
  <c r="I63" i="9" s="1"/>
  <c r="DE66" i="5"/>
  <c r="CT66" i="5"/>
  <c r="DJ22" i="5"/>
  <c r="I55" i="9" s="1"/>
  <c r="DF66" i="5"/>
  <c r="CF66" i="5"/>
  <c r="CK66" i="5"/>
  <c r="BT66" i="5"/>
  <c r="CD66" i="5"/>
  <c r="CE66" i="5"/>
  <c r="CZ66" i="5"/>
  <c r="DJ26" i="5"/>
  <c r="I59" i="9" s="1"/>
  <c r="BQ41" i="14"/>
  <c r="BQ34" i="14"/>
  <c r="BQ31" i="14"/>
  <c r="BQ28" i="14"/>
  <c r="BQ26" i="14"/>
  <c r="BQ23" i="14"/>
  <c r="BQ15" i="14"/>
  <c r="BQ7" i="14"/>
  <c r="BQ37" i="14"/>
  <c r="BQ39" i="14"/>
  <c r="BQ36" i="14"/>
  <c r="BQ33" i="14"/>
  <c r="BQ27" i="14"/>
  <c r="BQ24" i="14"/>
  <c r="BQ19" i="14"/>
  <c r="BQ11" i="14"/>
  <c r="CC66" i="5"/>
  <c r="CH66" i="5"/>
  <c r="BQ38" i="14"/>
  <c r="BQ35" i="14"/>
  <c r="BQ32" i="14"/>
  <c r="BQ22" i="14"/>
  <c r="BQ14" i="14"/>
  <c r="BQ16" i="14"/>
  <c r="BQ8" i="14"/>
  <c r="BQ29" i="14"/>
  <c r="BQ21" i="14"/>
  <c r="BQ13" i="14"/>
  <c r="BQ18" i="14"/>
  <c r="BQ10" i="14"/>
  <c r="BQ20" i="14"/>
  <c r="BQ12" i="14"/>
  <c r="BQ25" i="14"/>
  <c r="BQ17" i="14"/>
  <c r="BQ9" i="14"/>
  <c r="BQ40" i="14"/>
  <c r="AT41" i="18"/>
  <c r="BP41" i="18" s="1"/>
  <c r="AL41" i="18"/>
  <c r="BH41" i="18" s="1"/>
  <c r="AD41" i="18"/>
  <c r="AZ41" i="18" s="1"/>
  <c r="AQ40" i="18"/>
  <c r="BM40" i="18" s="1"/>
  <c r="AI40" i="18"/>
  <c r="BE40" i="18" s="1"/>
  <c r="AA40" i="18"/>
  <c r="AW40" i="18" s="1"/>
  <c r="AN39" i="18"/>
  <c r="BJ39" i="18" s="1"/>
  <c r="AF39" i="18"/>
  <c r="BB39" i="18" s="1"/>
  <c r="AS38" i="18"/>
  <c r="BO38" i="18" s="1"/>
  <c r="AK38" i="18"/>
  <c r="BG38" i="18" s="1"/>
  <c r="AC38" i="18"/>
  <c r="AY38" i="18" s="1"/>
  <c r="AP37" i="18"/>
  <c r="BL37" i="18" s="1"/>
  <c r="AH37" i="18"/>
  <c r="BD37" i="18" s="1"/>
  <c r="Z37" i="18"/>
  <c r="AV37" i="18" s="1"/>
  <c r="AM36" i="18"/>
  <c r="BI36" i="18" s="1"/>
  <c r="AE36" i="18"/>
  <c r="BA36" i="18" s="1"/>
  <c r="AR35" i="18"/>
  <c r="BN35" i="18" s="1"/>
  <c r="AJ35" i="18"/>
  <c r="BF35" i="18" s="1"/>
  <c r="AB35" i="18"/>
  <c r="AX35" i="18" s="1"/>
  <c r="AO34" i="18"/>
  <c r="BK34" i="18" s="1"/>
  <c r="AG34" i="18"/>
  <c r="BC34" i="18" s="1"/>
  <c r="AT33" i="18"/>
  <c r="BP33" i="18" s="1"/>
  <c r="AL33" i="18"/>
  <c r="BH33" i="18" s="1"/>
  <c r="AD33" i="18"/>
  <c r="AZ33" i="18" s="1"/>
  <c r="AQ32" i="18"/>
  <c r="BM32" i="18" s="1"/>
  <c r="AI32" i="18"/>
  <c r="BE32" i="18" s="1"/>
  <c r="AA32" i="18"/>
  <c r="AW32" i="18" s="1"/>
  <c r="AN31" i="18"/>
  <c r="BJ31" i="18" s="1"/>
  <c r="AF31" i="18"/>
  <c r="BB31" i="18" s="1"/>
  <c r="AS30" i="18"/>
  <c r="BO30" i="18" s="1"/>
  <c r="AK30" i="18"/>
  <c r="BG30" i="18" s="1"/>
  <c r="AC30" i="18"/>
  <c r="AY30" i="18" s="1"/>
  <c r="AP29" i="18"/>
  <c r="BL29" i="18" s="1"/>
  <c r="AH29" i="18"/>
  <c r="BD29" i="18" s="1"/>
  <c r="Z29" i="18"/>
  <c r="AV29" i="18" s="1"/>
  <c r="AM28" i="18"/>
  <c r="BI28" i="18" s="1"/>
  <c r="AE28" i="18"/>
  <c r="BA28" i="18" s="1"/>
  <c r="AR27" i="18"/>
  <c r="BN27" i="18" s="1"/>
  <c r="AJ27" i="18"/>
  <c r="BF27" i="18" s="1"/>
  <c r="AB27" i="18"/>
  <c r="AX27" i="18" s="1"/>
  <c r="AO26" i="18"/>
  <c r="BK26" i="18" s="1"/>
  <c r="AG26" i="18"/>
  <c r="BC26" i="18" s="1"/>
  <c r="AT25" i="18"/>
  <c r="BP25" i="18" s="1"/>
  <c r="AL25" i="18"/>
  <c r="BH25" i="18" s="1"/>
  <c r="AD25" i="18"/>
  <c r="AZ25" i="18" s="1"/>
  <c r="AQ24" i="18"/>
  <c r="BM24" i="18" s="1"/>
  <c r="AI24" i="18"/>
  <c r="BE24" i="18" s="1"/>
  <c r="AA24" i="18"/>
  <c r="AW24" i="18" s="1"/>
  <c r="AN23" i="18"/>
  <c r="BJ23" i="18" s="1"/>
  <c r="AF23" i="18"/>
  <c r="BB23" i="18" s="1"/>
  <c r="AS22" i="18"/>
  <c r="BO22" i="18" s="1"/>
  <c r="AK22" i="18"/>
  <c r="BG22" i="18" s="1"/>
  <c r="AC22" i="18"/>
  <c r="AY22" i="18" s="1"/>
  <c r="AP21" i="18"/>
  <c r="BL21" i="18" s="1"/>
  <c r="AH21" i="18"/>
  <c r="BD21" i="18" s="1"/>
  <c r="Z21" i="18"/>
  <c r="AV21" i="18" s="1"/>
  <c r="AM20" i="18"/>
  <c r="BI20" i="18" s="1"/>
  <c r="AE20" i="18"/>
  <c r="BA20" i="18" s="1"/>
  <c r="AR19" i="18"/>
  <c r="BN19" i="18" s="1"/>
  <c r="AJ19" i="18"/>
  <c r="BF19" i="18" s="1"/>
  <c r="AS18" i="18"/>
  <c r="BO18" i="18" s="1"/>
  <c r="AK18" i="18"/>
  <c r="BG18" i="18" s="1"/>
  <c r="AT17" i="18"/>
  <c r="BP17" i="18" s="1"/>
  <c r="AL17" i="18"/>
  <c r="BH17" i="18" s="1"/>
  <c r="AD17" i="18"/>
  <c r="AZ17" i="18" s="1"/>
  <c r="AQ16" i="18"/>
  <c r="BM16" i="18" s="1"/>
  <c r="AI16" i="18"/>
  <c r="BE16" i="18" s="1"/>
  <c r="AA16" i="18"/>
  <c r="AW16" i="18" s="1"/>
  <c r="AN15" i="18"/>
  <c r="BJ15" i="18" s="1"/>
  <c r="AF15" i="18"/>
  <c r="BB15" i="18" s="1"/>
  <c r="AS14" i="18"/>
  <c r="BO14" i="18" s="1"/>
  <c r="AK14" i="18"/>
  <c r="BG14" i="18" s="1"/>
  <c r="AC14" i="18"/>
  <c r="AY14" i="18" s="1"/>
  <c r="AP13" i="18"/>
  <c r="BL13" i="18" s="1"/>
  <c r="AH13" i="18"/>
  <c r="BD13" i="18" s="1"/>
  <c r="Z13" i="18"/>
  <c r="AV13" i="18" s="1"/>
  <c r="AM12" i="18"/>
  <c r="BI12" i="18" s="1"/>
  <c r="AE12" i="18"/>
  <c r="BA12" i="18" s="1"/>
  <c r="AR11" i="18"/>
  <c r="BN11" i="18" s="1"/>
  <c r="AJ11" i="18"/>
  <c r="BF11" i="18" s="1"/>
  <c r="AB11" i="18"/>
  <c r="AX11" i="18" s="1"/>
  <c r="AO10" i="18"/>
  <c r="BK10" i="18" s="1"/>
  <c r="AG10" i="18"/>
  <c r="BC10" i="18" s="1"/>
  <c r="AT9" i="18"/>
  <c r="BP9" i="18" s="1"/>
  <c r="AL9" i="18"/>
  <c r="BH9" i="18" s="1"/>
  <c r="AD9" i="18"/>
  <c r="AZ9" i="18" s="1"/>
  <c r="AQ8" i="18"/>
  <c r="BM8" i="18" s="1"/>
  <c r="AI8" i="18"/>
  <c r="BE8" i="18" s="1"/>
  <c r="AA8" i="18"/>
  <c r="AW8" i="18" s="1"/>
  <c r="AN7" i="18"/>
  <c r="BJ7" i="18" s="1"/>
  <c r="AF7" i="18"/>
  <c r="BB7" i="18" s="1"/>
  <c r="AP41" i="18"/>
  <c r="BL41" i="18" s="1"/>
  <c r="AH41" i="18"/>
  <c r="BD41" i="18" s="1"/>
  <c r="Z41" i="18"/>
  <c r="AV41" i="18" s="1"/>
  <c r="AM40" i="18"/>
  <c r="BI40" i="18" s="1"/>
  <c r="AE40" i="18"/>
  <c r="BA40" i="18" s="1"/>
  <c r="AR39" i="18"/>
  <c r="BN39" i="18" s="1"/>
  <c r="AJ39" i="18"/>
  <c r="BF39" i="18" s="1"/>
  <c r="AB39" i="18"/>
  <c r="AX39" i="18" s="1"/>
  <c r="AO38" i="18"/>
  <c r="BK38" i="18" s="1"/>
  <c r="AG38" i="18"/>
  <c r="BC38" i="18" s="1"/>
  <c r="AT37" i="18"/>
  <c r="BP37" i="18" s="1"/>
  <c r="AL37" i="18"/>
  <c r="BH37" i="18" s="1"/>
  <c r="AD37" i="18"/>
  <c r="AZ37" i="18" s="1"/>
  <c r="AQ36" i="18"/>
  <c r="BM36" i="18" s="1"/>
  <c r="AI36" i="18"/>
  <c r="BE36" i="18" s="1"/>
  <c r="AA36" i="18"/>
  <c r="AW36" i="18" s="1"/>
  <c r="AN35" i="18"/>
  <c r="BJ35" i="18" s="1"/>
  <c r="AF35" i="18"/>
  <c r="BB35" i="18" s="1"/>
  <c r="AS34" i="18"/>
  <c r="BO34" i="18" s="1"/>
  <c r="AK34" i="18"/>
  <c r="BG34" i="18" s="1"/>
  <c r="AC34" i="18"/>
  <c r="AY34" i="18" s="1"/>
  <c r="AP33" i="18"/>
  <c r="BL33" i="18" s="1"/>
  <c r="AH33" i="18"/>
  <c r="BD33" i="18" s="1"/>
  <c r="Z33" i="18"/>
  <c r="AV33" i="18" s="1"/>
  <c r="AM32" i="18"/>
  <c r="BI32" i="18" s="1"/>
  <c r="AE32" i="18"/>
  <c r="BA32" i="18" s="1"/>
  <c r="AR31" i="18"/>
  <c r="BN31" i="18" s="1"/>
  <c r="AJ31" i="18"/>
  <c r="BF31" i="18" s="1"/>
  <c r="AB31" i="18"/>
  <c r="AX31" i="18" s="1"/>
  <c r="AO30" i="18"/>
  <c r="BK30" i="18" s="1"/>
  <c r="AG30" i="18"/>
  <c r="BC30" i="18" s="1"/>
  <c r="AT29" i="18"/>
  <c r="BP29" i="18" s="1"/>
  <c r="AL29" i="18"/>
  <c r="BH29" i="18" s="1"/>
  <c r="AD29" i="18"/>
  <c r="AZ29" i="18" s="1"/>
  <c r="AQ28" i="18"/>
  <c r="BM28" i="18" s="1"/>
  <c r="AI28" i="18"/>
  <c r="BE28" i="18" s="1"/>
  <c r="AA28" i="18"/>
  <c r="AW28" i="18" s="1"/>
  <c r="AN27" i="18"/>
  <c r="BJ27" i="18" s="1"/>
  <c r="AF27" i="18"/>
  <c r="BB27" i="18" s="1"/>
  <c r="AS26" i="18"/>
  <c r="BO26" i="18" s="1"/>
  <c r="AK26" i="18"/>
  <c r="BG26" i="18" s="1"/>
  <c r="AC26" i="18"/>
  <c r="AY26" i="18" s="1"/>
  <c r="AP25" i="18"/>
  <c r="BL25" i="18" s="1"/>
  <c r="AH25" i="18"/>
  <c r="BD25" i="18" s="1"/>
  <c r="Z25" i="18"/>
  <c r="AV25" i="18" s="1"/>
  <c r="AM24" i="18"/>
  <c r="BI24" i="18" s="1"/>
  <c r="AE24" i="18"/>
  <c r="BA24" i="18" s="1"/>
  <c r="AR23" i="18"/>
  <c r="BN23" i="18" s="1"/>
  <c r="AJ23" i="18"/>
  <c r="BF23" i="18" s="1"/>
  <c r="AB23" i="18"/>
  <c r="AX23" i="18" s="1"/>
  <c r="AO22" i="18"/>
  <c r="BK22" i="18" s="1"/>
  <c r="AG22" i="18"/>
  <c r="BC22" i="18" s="1"/>
  <c r="AT21" i="18"/>
  <c r="BP21" i="18" s="1"/>
  <c r="AL21" i="18"/>
  <c r="BH21" i="18" s="1"/>
  <c r="AD21" i="18"/>
  <c r="AZ21" i="18" s="1"/>
  <c r="AQ20" i="18"/>
  <c r="BM20" i="18" s="1"/>
  <c r="AI20" i="18"/>
  <c r="BE20" i="18" s="1"/>
  <c r="AA20" i="18"/>
  <c r="AW20" i="18" s="1"/>
  <c r="AN19" i="18"/>
  <c r="BJ19" i="18" s="1"/>
  <c r="AF19" i="18"/>
  <c r="BB19" i="18" s="1"/>
  <c r="AO18" i="18"/>
  <c r="BK18" i="18" s="1"/>
  <c r="AG18" i="18"/>
  <c r="BC18" i="18" s="1"/>
  <c r="AP17" i="18"/>
  <c r="BL17" i="18" s="1"/>
  <c r="AH17" i="18"/>
  <c r="BD17" i="18" s="1"/>
  <c r="Z17" i="18"/>
  <c r="AV17" i="18" s="1"/>
  <c r="AM16" i="18"/>
  <c r="BI16" i="18" s="1"/>
  <c r="AE16" i="18"/>
  <c r="BA16" i="18" s="1"/>
  <c r="AR15" i="18"/>
  <c r="BN15" i="18" s="1"/>
  <c r="AJ15" i="18"/>
  <c r="BF15" i="18" s="1"/>
  <c r="AB15" i="18"/>
  <c r="AX15" i="18" s="1"/>
  <c r="AO14" i="18"/>
  <c r="BK14" i="18" s="1"/>
  <c r="AG14" i="18"/>
  <c r="BC14" i="18" s="1"/>
  <c r="AT13" i="18"/>
  <c r="BP13" i="18" s="1"/>
  <c r="AL13" i="18"/>
  <c r="BH13" i="18" s="1"/>
  <c r="AD13" i="18"/>
  <c r="AZ13" i="18" s="1"/>
  <c r="AQ12" i="18"/>
  <c r="BM12" i="18" s="1"/>
  <c r="AI12" i="18"/>
  <c r="BE12" i="18" s="1"/>
  <c r="AA12" i="18"/>
  <c r="AW12" i="18" s="1"/>
  <c r="AN11" i="18"/>
  <c r="BJ11" i="18" s="1"/>
  <c r="AF11" i="18"/>
  <c r="BB11" i="18" s="1"/>
  <c r="AS10" i="18"/>
  <c r="BO10" i="18" s="1"/>
  <c r="AK10" i="18"/>
  <c r="BG10" i="18" s="1"/>
  <c r="AC10" i="18"/>
  <c r="AY10" i="18" s="1"/>
  <c r="AP9" i="18"/>
  <c r="BL9" i="18" s="1"/>
  <c r="AH9" i="18"/>
  <c r="BD9" i="18" s="1"/>
  <c r="Z9" i="18"/>
  <c r="AV9" i="18" s="1"/>
  <c r="AM8" i="18"/>
  <c r="BI8" i="18" s="1"/>
  <c r="AE8" i="18"/>
  <c r="BA8" i="18" s="1"/>
  <c r="AR7" i="18"/>
  <c r="BN7" i="18" s="1"/>
  <c r="AJ7" i="18"/>
  <c r="BF7" i="18" s="1"/>
  <c r="AB7" i="18"/>
  <c r="AX7" i="18" s="1"/>
  <c r="AE29" i="18"/>
  <c r="BA29" i="18" s="1"/>
  <c r="AO27" i="18"/>
  <c r="BK27" i="18" s="1"/>
  <c r="AD26" i="18"/>
  <c r="AZ26" i="18" s="1"/>
  <c r="CM43" i="5"/>
  <c r="F76" i="9" s="1"/>
  <c r="CM45" i="5"/>
  <c r="F78" i="9" s="1"/>
  <c r="CM42" i="5"/>
  <c r="F75" i="9" s="1"/>
  <c r="Z30" i="18"/>
  <c r="AV30" i="18" s="1"/>
  <c r="AJ28" i="18"/>
  <c r="BF28" i="18" s="1"/>
  <c r="AT26" i="18"/>
  <c r="BP26" i="18" s="1"/>
  <c r="BS66" i="5"/>
  <c r="CM44" i="5"/>
  <c r="F77" i="9" s="1"/>
  <c r="BU66" i="5"/>
  <c r="BR66" i="5"/>
  <c r="Z4" i="5"/>
  <c r="AV4" i="13"/>
  <c r="C9" i="4"/>
  <c r="C10" i="4" s="1"/>
  <c r="C11" i="4" s="1"/>
  <c r="Z4" i="14"/>
  <c r="E5" i="28"/>
  <c r="D4" i="14"/>
  <c r="I5" i="28"/>
  <c r="B5" i="14"/>
  <c r="CO4" i="5"/>
  <c r="A29" i="4"/>
  <c r="C29" i="4" s="1"/>
  <c r="B3" i="18"/>
  <c r="B5" i="18"/>
  <c r="B5" i="13"/>
  <c r="Z4" i="18"/>
  <c r="D4" i="18"/>
  <c r="AV4" i="18"/>
  <c r="Z4" i="13"/>
  <c r="D39" i="28"/>
  <c r="D30" i="28" s="1"/>
  <c r="F53" i="28" s="1"/>
  <c r="BQ27" i="13"/>
  <c r="BQ25" i="13"/>
  <c r="BQ24" i="13"/>
  <c r="BQ30" i="13"/>
  <c r="BQ17" i="13"/>
  <c r="BQ9" i="13"/>
  <c r="BQ23" i="13"/>
  <c r="BQ15" i="13"/>
  <c r="BQ7" i="13"/>
  <c r="BQ26" i="13"/>
  <c r="BQ29" i="13"/>
  <c r="BQ21" i="13"/>
  <c r="BQ19" i="13"/>
  <c r="BQ13" i="13"/>
  <c r="BQ11" i="13"/>
  <c r="AP66" i="17"/>
  <c r="BQ18" i="13"/>
  <c r="BQ10" i="13"/>
  <c r="BN66" i="13"/>
  <c r="BF66" i="13"/>
  <c r="AX66" i="13"/>
  <c r="BK66" i="13"/>
  <c r="BC66" i="13"/>
  <c r="BQ16" i="13"/>
  <c r="BL66" i="13"/>
  <c r="BD66" i="13"/>
  <c r="BQ8" i="13"/>
  <c r="AV66" i="13"/>
  <c r="BI66" i="13"/>
  <c r="BA66" i="13"/>
  <c r="AF66" i="17"/>
  <c r="AT22" i="18"/>
  <c r="BP22" i="18" s="1"/>
  <c r="AL22" i="18"/>
  <c r="BH22" i="18" s="1"/>
  <c r="AD22" i="18"/>
  <c r="AZ22" i="18" s="1"/>
  <c r="AQ21" i="18"/>
  <c r="BM21" i="18" s="1"/>
  <c r="AI21" i="18"/>
  <c r="BE21" i="18" s="1"/>
  <c r="AA21" i="18"/>
  <c r="AW21" i="18" s="1"/>
  <c r="AN20" i="18"/>
  <c r="BJ20" i="18" s="1"/>
  <c r="AF20" i="18"/>
  <c r="BB20" i="18" s="1"/>
  <c r="AS19" i="18"/>
  <c r="BO19" i="18" s="1"/>
  <c r="AK19" i="18"/>
  <c r="BG19" i="18" s="1"/>
  <c r="AC19" i="18"/>
  <c r="AY19" i="18" s="1"/>
  <c r="AP18" i="18"/>
  <c r="BL18" i="18" s="1"/>
  <c r="AH18" i="18"/>
  <c r="BD18" i="18" s="1"/>
  <c r="Z18" i="18"/>
  <c r="AV18" i="18" s="1"/>
  <c r="AM17" i="18"/>
  <c r="BI17" i="18" s="1"/>
  <c r="AE17" i="18"/>
  <c r="BA17" i="18" s="1"/>
  <c r="AR16" i="18"/>
  <c r="BN16" i="18" s="1"/>
  <c r="AJ16" i="18"/>
  <c r="BF16" i="18" s="1"/>
  <c r="AB16" i="18"/>
  <c r="AX16" i="18" s="1"/>
  <c r="AO15" i="18"/>
  <c r="BK15" i="18" s="1"/>
  <c r="AG15" i="18"/>
  <c r="BC15" i="18" s="1"/>
  <c r="AT14" i="18"/>
  <c r="BP14" i="18" s="1"/>
  <c r="AL14" i="18"/>
  <c r="BH14" i="18" s="1"/>
  <c r="AD14" i="18"/>
  <c r="AZ14" i="18" s="1"/>
  <c r="AQ13" i="18"/>
  <c r="BM13" i="18" s="1"/>
  <c r="AI13" i="18"/>
  <c r="BE13" i="18" s="1"/>
  <c r="AA13" i="18"/>
  <c r="AW13" i="18" s="1"/>
  <c r="AN12" i="18"/>
  <c r="BJ12" i="18" s="1"/>
  <c r="AF12" i="18"/>
  <c r="BB12" i="18" s="1"/>
  <c r="AS11" i="18"/>
  <c r="BO11" i="18" s="1"/>
  <c r="AK11" i="18"/>
  <c r="BG11" i="18" s="1"/>
  <c r="AC11" i="18"/>
  <c r="AY11" i="18" s="1"/>
  <c r="AP10" i="18"/>
  <c r="BL10" i="18" s="1"/>
  <c r="AH10" i="18"/>
  <c r="BD10" i="18" s="1"/>
  <c r="Z10" i="18"/>
  <c r="AV10" i="18" s="1"/>
  <c r="AM9" i="18"/>
  <c r="BI9" i="18" s="1"/>
  <c r="AE9" i="18"/>
  <c r="BA9" i="18" s="1"/>
  <c r="AR8" i="18"/>
  <c r="BN8" i="18" s="1"/>
  <c r="AR66" i="14"/>
  <c r="AJ8" i="18"/>
  <c r="BF8" i="18" s="1"/>
  <c r="AJ66" i="14"/>
  <c r="AB8" i="18"/>
  <c r="AX8" i="18" s="1"/>
  <c r="AB66" i="14"/>
  <c r="AO7" i="18"/>
  <c r="BK7" i="18" s="1"/>
  <c r="AO66" i="14"/>
  <c r="AG7" i="18"/>
  <c r="BC7" i="18" s="1"/>
  <c r="AG66" i="14"/>
  <c r="BQ28" i="13"/>
  <c r="AR22" i="18"/>
  <c r="BN22" i="18" s="1"/>
  <c r="AJ22" i="18"/>
  <c r="BF22" i="18" s="1"/>
  <c r="AB22" i="18"/>
  <c r="AX22" i="18" s="1"/>
  <c r="AO21" i="18"/>
  <c r="BK21" i="18" s="1"/>
  <c r="AG21" i="18"/>
  <c r="BC21" i="18" s="1"/>
  <c r="AT20" i="18"/>
  <c r="BP20" i="18" s="1"/>
  <c r="AL20" i="18"/>
  <c r="BH20" i="18" s="1"/>
  <c r="AD20" i="18"/>
  <c r="AZ20" i="18" s="1"/>
  <c r="AQ19" i="18"/>
  <c r="BM19" i="18" s="1"/>
  <c r="AI19" i="18"/>
  <c r="BE19" i="18" s="1"/>
  <c r="AA19" i="18"/>
  <c r="AW19" i="18" s="1"/>
  <c r="AN18" i="18"/>
  <c r="BJ18" i="18" s="1"/>
  <c r="AF18" i="18"/>
  <c r="BB18" i="18" s="1"/>
  <c r="AS17" i="18"/>
  <c r="BO17" i="18" s="1"/>
  <c r="AK17" i="18"/>
  <c r="BG17" i="18" s="1"/>
  <c r="AC17" i="18"/>
  <c r="AY17" i="18" s="1"/>
  <c r="AP16" i="18"/>
  <c r="BL16" i="18" s="1"/>
  <c r="AH16" i="18"/>
  <c r="BD16" i="18" s="1"/>
  <c r="Z16" i="18"/>
  <c r="AV16" i="18" s="1"/>
  <c r="AM15" i="18"/>
  <c r="BI15" i="18" s="1"/>
  <c r="AE15" i="18"/>
  <c r="BA15" i="18" s="1"/>
  <c r="AR14" i="18"/>
  <c r="BN14" i="18" s="1"/>
  <c r="AJ14" i="18"/>
  <c r="BF14" i="18" s="1"/>
  <c r="AB14" i="18"/>
  <c r="AX14" i="18" s="1"/>
  <c r="AO13" i="18"/>
  <c r="BK13" i="18" s="1"/>
  <c r="AG13" i="18"/>
  <c r="BC13" i="18" s="1"/>
  <c r="AT12" i="18"/>
  <c r="BP12" i="18" s="1"/>
  <c r="AL12" i="18"/>
  <c r="BH12" i="18" s="1"/>
  <c r="AD12" i="18"/>
  <c r="AZ12" i="18" s="1"/>
  <c r="AQ11" i="18"/>
  <c r="BM11" i="18" s="1"/>
  <c r="AI11" i="18"/>
  <c r="BE11" i="18" s="1"/>
  <c r="AA11" i="18"/>
  <c r="AW11" i="18" s="1"/>
  <c r="AN10" i="18"/>
  <c r="BJ10" i="18" s="1"/>
  <c r="AF10" i="18"/>
  <c r="BB10" i="18" s="1"/>
  <c r="AS9" i="18"/>
  <c r="BO9" i="18" s="1"/>
  <c r="AK9" i="18"/>
  <c r="BG9" i="18" s="1"/>
  <c r="AC9" i="18"/>
  <c r="AY9" i="18" s="1"/>
  <c r="AP8" i="18"/>
  <c r="BL8" i="18" s="1"/>
  <c r="AP66" i="14"/>
  <c r="AH8" i="18"/>
  <c r="BD8" i="18" s="1"/>
  <c r="AH66" i="14"/>
  <c r="Z8" i="18"/>
  <c r="AV8" i="18" s="1"/>
  <c r="Z66" i="14"/>
  <c r="AM7" i="18"/>
  <c r="BI7" i="18" s="1"/>
  <c r="AM66" i="14"/>
  <c r="AE7" i="18"/>
  <c r="BA7" i="18" s="1"/>
  <c r="AE66" i="14"/>
  <c r="BQ22" i="13"/>
  <c r="BQ14" i="13"/>
  <c r="BJ66" i="13"/>
  <c r="BB66" i="13"/>
  <c r="BO66" i="13"/>
  <c r="BG66" i="13"/>
  <c r="AY66" i="13"/>
  <c r="BQ20" i="13"/>
  <c r="BQ12" i="13"/>
  <c r="BP66" i="13"/>
  <c r="BH66" i="13"/>
  <c r="AZ66" i="13"/>
  <c r="BM66" i="13"/>
  <c r="BE66" i="13"/>
  <c r="AW66" i="13"/>
  <c r="AJ66" i="17"/>
  <c r="AC23" i="18"/>
  <c r="AY23" i="18" s="1"/>
  <c r="AP22" i="18"/>
  <c r="BL22" i="18" s="1"/>
  <c r="AH22" i="18"/>
  <c r="BD22" i="18" s="1"/>
  <c r="Z22" i="18"/>
  <c r="AV22" i="18" s="1"/>
  <c r="AM21" i="18"/>
  <c r="BI21" i="18" s="1"/>
  <c r="AE21" i="18"/>
  <c r="BA21" i="18" s="1"/>
  <c r="AR20" i="18"/>
  <c r="BN20" i="18" s="1"/>
  <c r="AJ20" i="18"/>
  <c r="BF20" i="18" s="1"/>
  <c r="AB20" i="18"/>
  <c r="AX20" i="18" s="1"/>
  <c r="AO19" i="18"/>
  <c r="BK19" i="18" s="1"/>
  <c r="AG19" i="18"/>
  <c r="BC19" i="18" s="1"/>
  <c r="AT18" i="18"/>
  <c r="BP18" i="18" s="1"/>
  <c r="AL18" i="18"/>
  <c r="BH18" i="18" s="1"/>
  <c r="AD18" i="18"/>
  <c r="AZ18" i="18" s="1"/>
  <c r="AQ17" i="18"/>
  <c r="BM17" i="18" s="1"/>
  <c r="AI17" i="18"/>
  <c r="BE17" i="18" s="1"/>
  <c r="AA17" i="18"/>
  <c r="AW17" i="18" s="1"/>
  <c r="AN16" i="18"/>
  <c r="BJ16" i="18" s="1"/>
  <c r="AF16" i="18"/>
  <c r="BB16" i="18" s="1"/>
  <c r="AS15" i="18"/>
  <c r="BO15" i="18" s="1"/>
  <c r="AK15" i="18"/>
  <c r="BG15" i="18" s="1"/>
  <c r="AC15" i="18"/>
  <c r="AY15" i="18" s="1"/>
  <c r="AP14" i="18"/>
  <c r="BL14" i="18" s="1"/>
  <c r="AH14" i="18"/>
  <c r="BD14" i="18" s="1"/>
  <c r="Z14" i="18"/>
  <c r="AV14" i="18" s="1"/>
  <c r="AM13" i="18"/>
  <c r="BI13" i="18" s="1"/>
  <c r="AE13" i="18"/>
  <c r="BA13" i="18" s="1"/>
  <c r="AR12" i="18"/>
  <c r="BN12" i="18" s="1"/>
  <c r="AJ12" i="18"/>
  <c r="BF12" i="18" s="1"/>
  <c r="AB12" i="18"/>
  <c r="AX12" i="18" s="1"/>
  <c r="AO11" i="18"/>
  <c r="BK11" i="18" s="1"/>
  <c r="AG11" i="18"/>
  <c r="BC11" i="18" s="1"/>
  <c r="AT10" i="18"/>
  <c r="BP10" i="18" s="1"/>
  <c r="AL10" i="18"/>
  <c r="BH10" i="18" s="1"/>
  <c r="AD10" i="18"/>
  <c r="AZ10" i="18" s="1"/>
  <c r="AQ9" i="18"/>
  <c r="BM9" i="18" s="1"/>
  <c r="AI9" i="18"/>
  <c r="BE9" i="18" s="1"/>
  <c r="AA9" i="18"/>
  <c r="AW9" i="18" s="1"/>
  <c r="AN8" i="18"/>
  <c r="BJ8" i="18" s="1"/>
  <c r="AN66" i="14"/>
  <c r="AF8" i="18"/>
  <c r="BB8" i="18" s="1"/>
  <c r="AF66" i="14"/>
  <c r="AS7" i="18"/>
  <c r="BO7" i="18" s="1"/>
  <c r="AS66" i="14"/>
  <c r="AK7" i="18"/>
  <c r="BG7" i="18" s="1"/>
  <c r="AK66" i="14"/>
  <c r="AC7" i="18"/>
  <c r="AY7" i="18" s="1"/>
  <c r="AC66" i="14"/>
  <c r="AA23" i="18"/>
  <c r="AW23" i="18" s="1"/>
  <c r="AN22" i="18"/>
  <c r="BJ22" i="18" s="1"/>
  <c r="AF22" i="18"/>
  <c r="BB22" i="18" s="1"/>
  <c r="AS21" i="18"/>
  <c r="BO21" i="18" s="1"/>
  <c r="AK21" i="18"/>
  <c r="BG21" i="18" s="1"/>
  <c r="AC21" i="18"/>
  <c r="AY21" i="18" s="1"/>
  <c r="AP20" i="18"/>
  <c r="BL20" i="18" s="1"/>
  <c r="AH20" i="18"/>
  <c r="BD20" i="18" s="1"/>
  <c r="Z20" i="18"/>
  <c r="AV20" i="18" s="1"/>
  <c r="AM19" i="18"/>
  <c r="BI19" i="18" s="1"/>
  <c r="AE19" i="18"/>
  <c r="BA19" i="18" s="1"/>
  <c r="AR18" i="18"/>
  <c r="BN18" i="18" s="1"/>
  <c r="AJ18" i="18"/>
  <c r="BF18" i="18" s="1"/>
  <c r="AB18" i="18"/>
  <c r="AX18" i="18" s="1"/>
  <c r="AO17" i="18"/>
  <c r="BK17" i="18" s="1"/>
  <c r="AG17" i="18"/>
  <c r="BC17" i="18" s="1"/>
  <c r="AT16" i="18"/>
  <c r="BP16" i="18" s="1"/>
  <c r="AL16" i="18"/>
  <c r="BH16" i="18" s="1"/>
  <c r="AD16" i="18"/>
  <c r="AZ16" i="18" s="1"/>
  <c r="AQ15" i="18"/>
  <c r="BM15" i="18" s="1"/>
  <c r="AI15" i="18"/>
  <c r="BE15" i="18" s="1"/>
  <c r="AA15" i="18"/>
  <c r="AW15" i="18" s="1"/>
  <c r="AN14" i="18"/>
  <c r="BJ14" i="18" s="1"/>
  <c r="AF14" i="18"/>
  <c r="BB14" i="18" s="1"/>
  <c r="AS13" i="18"/>
  <c r="BO13" i="18" s="1"/>
  <c r="AK13" i="18"/>
  <c r="BG13" i="18" s="1"/>
  <c r="AC13" i="18"/>
  <c r="AY13" i="18" s="1"/>
  <c r="AP12" i="18"/>
  <c r="BL12" i="18" s="1"/>
  <c r="AH12" i="18"/>
  <c r="BD12" i="18" s="1"/>
  <c r="Z12" i="18"/>
  <c r="AV12" i="18" s="1"/>
  <c r="AM11" i="18"/>
  <c r="BI11" i="18" s="1"/>
  <c r="AE11" i="18"/>
  <c r="BA11" i="18" s="1"/>
  <c r="AR10" i="18"/>
  <c r="BN10" i="18" s="1"/>
  <c r="AJ10" i="18"/>
  <c r="BF10" i="18" s="1"/>
  <c r="AB10" i="18"/>
  <c r="AX10" i="18" s="1"/>
  <c r="AO9" i="18"/>
  <c r="BK9" i="18" s="1"/>
  <c r="AG9" i="18"/>
  <c r="BC9" i="18" s="1"/>
  <c r="AT8" i="18"/>
  <c r="BP8" i="18" s="1"/>
  <c r="AT66" i="14"/>
  <c r="AL8" i="18"/>
  <c r="BH8" i="18" s="1"/>
  <c r="AL66" i="14"/>
  <c r="AZ66" i="14"/>
  <c r="AD8" i="18"/>
  <c r="AZ8" i="18" s="1"/>
  <c r="AD66" i="14"/>
  <c r="AQ7" i="18"/>
  <c r="BM7" i="18" s="1"/>
  <c r="AQ66" i="14"/>
  <c r="AI7" i="18"/>
  <c r="BE7" i="18" s="1"/>
  <c r="AI66" i="14"/>
  <c r="AA7" i="18"/>
  <c r="AW7" i="18" s="1"/>
  <c r="AA66" i="14"/>
  <c r="BC66" i="17"/>
  <c r="BI66" i="17"/>
  <c r="BH66" i="17"/>
  <c r="BJ66" i="17"/>
  <c r="BK66" i="15"/>
  <c r="BF66" i="15"/>
  <c r="BE66" i="15"/>
  <c r="BP66" i="15"/>
  <c r="AZ66" i="15"/>
  <c r="AM66" i="15"/>
  <c r="AE66" i="15"/>
  <c r="AP66" i="15"/>
  <c r="AH66" i="15"/>
  <c r="Z66" i="15"/>
  <c r="AO66" i="17"/>
  <c r="AG66" i="17"/>
  <c r="AR66" i="17"/>
  <c r="AB66" i="17"/>
  <c r="BO66" i="17"/>
  <c r="AY66" i="17"/>
  <c r="BE66" i="17"/>
  <c r="BD66" i="17"/>
  <c r="BF66" i="17"/>
  <c r="BG66" i="15"/>
  <c r="BB66" i="15"/>
  <c r="BA66" i="15"/>
  <c r="BL66" i="15"/>
  <c r="AV66" i="15"/>
  <c r="AM66" i="17"/>
  <c r="AE66" i="17"/>
  <c r="AH66" i="17"/>
  <c r="Z66" i="17"/>
  <c r="AS66" i="15"/>
  <c r="AK66" i="15"/>
  <c r="AC66" i="15"/>
  <c r="AN66" i="15"/>
  <c r="AF66" i="15"/>
  <c r="BK66" i="17"/>
  <c r="BA66" i="17"/>
  <c r="BP66" i="17"/>
  <c r="AZ66" i="17"/>
  <c r="BB66" i="17"/>
  <c r="BC66" i="15"/>
  <c r="BN66" i="15"/>
  <c r="AX66" i="15"/>
  <c r="BM66" i="15"/>
  <c r="AW66" i="15"/>
  <c r="BH66" i="15"/>
  <c r="AQ66" i="15"/>
  <c r="AI66" i="15"/>
  <c r="AA66" i="15"/>
  <c r="AT66" i="15"/>
  <c r="AL66" i="15"/>
  <c r="AD66" i="15"/>
  <c r="AS66" i="17"/>
  <c r="AK66" i="17"/>
  <c r="AC66" i="17"/>
  <c r="AN66" i="17"/>
  <c r="BG66" i="17"/>
  <c r="BM66" i="17"/>
  <c r="AW66" i="17"/>
  <c r="BL66" i="17"/>
  <c r="AV66" i="17"/>
  <c r="BN66" i="17"/>
  <c r="AX66" i="17"/>
  <c r="BO66" i="15"/>
  <c r="AY66" i="15"/>
  <c r="BJ66" i="15"/>
  <c r="BI66" i="15"/>
  <c r="BD66" i="15"/>
  <c r="AQ66" i="17"/>
  <c r="AI66" i="17"/>
  <c r="AA66" i="17"/>
  <c r="AT66" i="17"/>
  <c r="AL66" i="17"/>
  <c r="AD66" i="17"/>
  <c r="AO66" i="15"/>
  <c r="AG66" i="15"/>
  <c r="AR66" i="15"/>
  <c r="AJ66" i="15"/>
  <c r="AB66" i="15"/>
  <c r="D24" i="9" l="1"/>
  <c r="E24" i="9" s="1"/>
  <c r="C22" i="9"/>
  <c r="E22" i="9" s="1"/>
  <c r="BQ12" i="18"/>
  <c r="BQ30" i="18"/>
  <c r="BQ23" i="18"/>
  <c r="BQ34" i="18"/>
  <c r="BQ7" i="18"/>
  <c r="BQ33" i="18"/>
  <c r="BQ36" i="18"/>
  <c r="BQ39" i="18"/>
  <c r="BQ35" i="18"/>
  <c r="BQ38" i="18"/>
  <c r="BQ26" i="18"/>
  <c r="BQ20" i="18"/>
  <c r="BQ14" i="18"/>
  <c r="BQ11" i="18"/>
  <c r="BQ17" i="18"/>
  <c r="BQ25" i="18"/>
  <c r="BQ28" i="18"/>
  <c r="BQ31" i="18"/>
  <c r="BQ13" i="18"/>
  <c r="BQ21" i="18"/>
  <c r="BQ24" i="18"/>
  <c r="BQ27" i="18"/>
  <c r="BQ22" i="18"/>
  <c r="BQ16" i="18"/>
  <c r="BQ19" i="18"/>
  <c r="BQ10" i="18"/>
  <c r="BQ29" i="18"/>
  <c r="BQ32" i="18"/>
  <c r="BQ8" i="18"/>
  <c r="BQ18" i="18"/>
  <c r="BQ41" i="18"/>
  <c r="BQ37" i="18"/>
  <c r="BQ40" i="18"/>
  <c r="BQ15" i="18"/>
  <c r="BQ9" i="18"/>
  <c r="D290" i="4"/>
  <c r="D284" i="4"/>
  <c r="M278" i="4"/>
  <c r="N278" i="4" s="1"/>
  <c r="C50" i="2"/>
  <c r="C60" i="2" s="1"/>
  <c r="C73" i="2" s="1"/>
  <c r="E66" i="28"/>
  <c r="D58" i="23"/>
  <c r="D54" i="27"/>
  <c r="D69" i="2"/>
  <c r="A28" i="4"/>
  <c r="C28" i="4" s="1"/>
  <c r="H37" i="2" s="1"/>
  <c r="H22" i="2"/>
  <c r="H25" i="2" s="1"/>
  <c r="C21" i="2" s="1"/>
  <c r="C25" i="2" s="1"/>
  <c r="C14" i="2" s="1"/>
  <c r="E51" i="2" s="1"/>
  <c r="C37" i="2"/>
  <c r="H36" i="2"/>
  <c r="D26" i="9"/>
  <c r="E26" i="9" s="1"/>
  <c r="F99" i="9"/>
  <c r="I99" i="9"/>
  <c r="D25" i="9"/>
  <c r="E25" i="9" s="1"/>
  <c r="C23" i="9"/>
  <c r="E23" i="9" s="1"/>
  <c r="DJ66" i="5"/>
  <c r="BH66" i="18"/>
  <c r="BE66" i="18"/>
  <c r="AZ66" i="18"/>
  <c r="BM66" i="18"/>
  <c r="BP66" i="18"/>
  <c r="BI66" i="18"/>
  <c r="BD66" i="18"/>
  <c r="BC66" i="18"/>
  <c r="BF66" i="18"/>
  <c r="BJ66" i="18"/>
  <c r="AW66" i="18"/>
  <c r="BG66" i="18"/>
  <c r="BN66" i="18"/>
  <c r="BA66" i="18"/>
  <c r="AV66" i="18"/>
  <c r="BL66" i="18"/>
  <c r="BK66" i="18"/>
  <c r="AY66" i="18"/>
  <c r="BO66" i="18"/>
  <c r="AX66" i="18"/>
  <c r="BB66" i="18"/>
  <c r="BH66" i="14"/>
  <c r="CM66" i="5"/>
  <c r="BP66" i="14"/>
  <c r="BK66" i="14"/>
  <c r="BG66" i="14"/>
  <c r="BC66" i="14"/>
  <c r="BI66" i="14"/>
  <c r="BE66" i="14"/>
  <c r="BA66" i="14"/>
  <c r="BB66" i="14"/>
  <c r="BM66" i="14"/>
  <c r="AY66" i="14"/>
  <c r="BO66" i="14"/>
  <c r="BQ66" i="13"/>
  <c r="AA66" i="18"/>
  <c r="AQ66" i="18"/>
  <c r="AT66" i="18"/>
  <c r="AE66" i="18"/>
  <c r="Z66" i="18"/>
  <c r="BD66" i="14"/>
  <c r="AO66" i="18"/>
  <c r="AR66" i="18"/>
  <c r="AL66" i="18"/>
  <c r="AC66" i="18"/>
  <c r="AS66" i="18"/>
  <c r="AV66" i="14"/>
  <c r="AJ66" i="18"/>
  <c r="BN66" i="14"/>
  <c r="AI66" i="18"/>
  <c r="AD66" i="18"/>
  <c r="AN66" i="18"/>
  <c r="AM66" i="18"/>
  <c r="AP66" i="18"/>
  <c r="AG66" i="18"/>
  <c r="AB66" i="18"/>
  <c r="BF66" i="14"/>
  <c r="AK66" i="18"/>
  <c r="AF66" i="18"/>
  <c r="BJ66" i="14"/>
  <c r="AH66" i="18"/>
  <c r="BL66" i="14"/>
  <c r="AX66" i="14"/>
  <c r="AW66" i="14"/>
  <c r="BQ66" i="17"/>
  <c r="C9" i="27" s="1"/>
  <c r="BQ66" i="15"/>
  <c r="C9" i="23" s="1"/>
  <c r="C11" i="9" l="1"/>
  <c r="C12" i="9"/>
  <c r="E32" i="27"/>
  <c r="D292" i="4"/>
  <c r="E31" i="28" s="1"/>
  <c r="H38" i="2"/>
  <c r="H29" i="2" s="1"/>
  <c r="D55" i="2" s="1"/>
  <c r="D54" i="2" s="1"/>
  <c r="D51" i="2"/>
  <c r="H14" i="2"/>
  <c r="D66" i="28"/>
  <c r="C58" i="23"/>
  <c r="C61" i="23" s="1"/>
  <c r="C54" i="27"/>
  <c r="C69" i="2"/>
  <c r="D47" i="2"/>
  <c r="C34" i="9"/>
  <c r="C35" i="9"/>
  <c r="D34" i="9"/>
  <c r="BQ66" i="18"/>
  <c r="D32" i="27" s="1"/>
  <c r="D45" i="27" s="1"/>
  <c r="D58" i="27" s="1"/>
  <c r="C9" i="2"/>
  <c r="E47" i="2" s="1"/>
  <c r="D35" i="9"/>
  <c r="BQ66" i="14"/>
  <c r="E34" i="23"/>
  <c r="I27" i="28" l="1"/>
  <c r="E54" i="28"/>
  <c r="E52" i="28" s="1"/>
  <c r="E57" i="28" s="1"/>
  <c r="E70" i="28" s="1"/>
  <c r="E71" i="28" s="1"/>
  <c r="D50" i="2"/>
  <c r="D60" i="2" s="1"/>
  <c r="D73" i="2" s="1"/>
  <c r="D74" i="2" s="1"/>
  <c r="C63" i="23"/>
  <c r="C64" i="23" s="1"/>
  <c r="D60" i="23" s="1"/>
  <c r="D61" i="23" s="1"/>
  <c r="H32" i="2"/>
  <c r="H17" i="2" s="1"/>
  <c r="H18" i="2" s="1"/>
  <c r="F54" i="28"/>
  <c r="F52" i="28" s="1"/>
  <c r="F57" i="28" s="1"/>
  <c r="C57" i="27"/>
  <c r="C59" i="27"/>
  <c r="D69" i="28"/>
  <c r="D71" i="28"/>
  <c r="C72" i="2"/>
  <c r="C74" i="2"/>
  <c r="E37" i="23"/>
  <c r="E49" i="23" s="1"/>
  <c r="D34" i="23"/>
  <c r="D49" i="23" s="1"/>
  <c r="D62" i="23" s="1"/>
  <c r="D59" i="27"/>
  <c r="F70" i="28" l="1"/>
  <c r="F71" i="28" s="1"/>
  <c r="D72" i="28"/>
  <c r="E68" i="28" s="1"/>
  <c r="C75" i="2"/>
  <c r="D71" i="2" s="1"/>
  <c r="C60" i="27"/>
  <c r="D56" i="27" s="1"/>
  <c r="D63" i="23"/>
  <c r="D64" i="23" s="1"/>
  <c r="E62" i="23"/>
  <c r="E35" i="27"/>
  <c r="E45" i="27" s="1"/>
  <c r="D72" i="2" l="1"/>
  <c r="D75" i="2" s="1"/>
  <c r="E71" i="2" s="1"/>
  <c r="C28" i="2" s="1"/>
  <c r="D57" i="27"/>
  <c r="D60" i="27" s="1"/>
  <c r="E56" i="27" s="1"/>
  <c r="C15" i="27" s="1"/>
  <c r="E60" i="23"/>
  <c r="C15" i="23" s="1"/>
  <c r="E69" i="28"/>
  <c r="E58" i="27"/>
  <c r="E63" i="23"/>
  <c r="E72" i="2" l="1"/>
  <c r="E61" i="23"/>
  <c r="C17" i="23" s="1"/>
  <c r="C10" i="23" s="1"/>
  <c r="C11" i="23" s="1"/>
  <c r="E72" i="28"/>
  <c r="F68" i="28" s="1"/>
  <c r="D32" i="28" s="1"/>
  <c r="E57" i="27"/>
  <c r="C17" i="27" s="1"/>
  <c r="C10" i="27" s="1"/>
  <c r="C11" i="27" s="1"/>
  <c r="E59" i="27"/>
  <c r="B133" i="4"/>
  <c r="C35" i="2" s="1"/>
  <c r="C38" i="2" s="1"/>
  <c r="C29" i="2" s="1"/>
  <c r="E55" i="2" s="1"/>
  <c r="E54" i="2" s="1"/>
  <c r="E50" i="2" s="1"/>
  <c r="E60" i="2" s="1"/>
  <c r="E64" i="23" l="1"/>
  <c r="E60" i="27"/>
  <c r="F69" i="28"/>
  <c r="F72" i="28" s="1"/>
  <c r="E73" i="2"/>
  <c r="E74" i="2" l="1"/>
  <c r="E75" i="2" l="1"/>
  <c r="C32" i="2"/>
  <c r="C17" i="2" s="1"/>
  <c r="I28" i="28"/>
  <c r="I30" i="28" s="1"/>
  <c r="D33" i="28"/>
  <c r="D26" i="28" s="1"/>
  <c r="D27" i="28" s="1"/>
  <c r="L9" i="28" l="1"/>
  <c r="L10" i="28"/>
  <c r="L8" i="28"/>
  <c r="C13" i="9"/>
  <c r="C16" i="9" s="1"/>
  <c r="C18" i="2"/>
  <c r="C10" i="2" s="1"/>
  <c r="C11" i="2" s="1"/>
  <c r="F23" i="9" l="1"/>
  <c r="F22" i="9"/>
  <c r="F26" i="9"/>
  <c r="F25" i="9"/>
  <c r="F24" i="9"/>
</calcChain>
</file>

<file path=xl/comments1.xml><?xml version="1.0" encoding="utf-8"?>
<comments xmlns="http://schemas.openxmlformats.org/spreadsheetml/2006/main">
  <authors>
    <author>Harrigan, Paul</author>
    <author>AER</author>
  </authors>
  <commentList>
    <comment ref="E32" authorId="0">
      <text>
        <r>
          <rPr>
            <b/>
            <sz val="9"/>
            <color indexed="81"/>
            <rFont val="Tahoma"/>
            <family val="2"/>
          </rPr>
          <t>AER:</t>
        </r>
        <r>
          <rPr>
            <sz val="9"/>
            <color indexed="81"/>
            <rFont val="Tahoma"/>
            <family val="2"/>
          </rPr>
          <t xml:space="preserve">
Taken from previous year's pricing proposal.</t>
        </r>
      </text>
    </comment>
    <comment ref="D36" authorId="0">
      <text>
        <r>
          <rPr>
            <b/>
            <sz val="9"/>
            <color indexed="81"/>
            <rFont val="Tahoma"/>
            <family val="2"/>
          </rPr>
          <t>AER:</t>
        </r>
        <r>
          <rPr>
            <sz val="9"/>
            <color indexed="81"/>
            <rFont val="Tahoma"/>
            <family val="2"/>
          </rPr>
          <t xml:space="preserve">
Taken from previous year's pricing proposal.</t>
        </r>
      </text>
    </comment>
    <comment ref="D49" authorId="1">
      <text>
        <r>
          <rPr>
            <b/>
            <sz val="9"/>
            <color indexed="81"/>
            <rFont val="Tahoma"/>
            <family val="2"/>
          </rPr>
          <t>AER:</t>
        </r>
        <r>
          <rPr>
            <sz val="9"/>
            <color indexed="81"/>
            <rFont val="Tahoma"/>
            <family val="2"/>
          </rPr>
          <t xml:space="preserve">
T-2 Annual RIN</t>
        </r>
      </text>
    </comment>
    <comment ref="D53" authorId="0">
      <text>
        <r>
          <rPr>
            <b/>
            <sz val="9"/>
            <color indexed="81"/>
            <rFont val="Tahoma"/>
            <family val="2"/>
          </rPr>
          <t>AER:</t>
        </r>
        <r>
          <rPr>
            <sz val="9"/>
            <color indexed="81"/>
            <rFont val="Tahoma"/>
            <family val="2"/>
          </rPr>
          <t xml:space="preserve">
Taken from previous year's pricing proposal.</t>
        </r>
      </text>
    </comment>
    <comment ref="D54" authorId="0">
      <text>
        <r>
          <rPr>
            <b/>
            <sz val="9"/>
            <color indexed="81"/>
            <rFont val="Tahoma"/>
            <family val="2"/>
          </rPr>
          <t>AER:</t>
        </r>
        <r>
          <rPr>
            <sz val="9"/>
            <color indexed="81"/>
            <rFont val="Tahoma"/>
            <family val="2"/>
          </rPr>
          <t xml:space="preserve">
Taken from previous year's pricing proposal.</t>
        </r>
      </text>
    </comment>
    <comment ref="D68" authorId="0">
      <text>
        <r>
          <rPr>
            <b/>
            <sz val="9"/>
            <color indexed="81"/>
            <rFont val="Tahoma"/>
            <family val="2"/>
          </rPr>
          <t>AER:</t>
        </r>
        <r>
          <rPr>
            <sz val="9"/>
            <color indexed="81"/>
            <rFont val="Tahoma"/>
            <family val="2"/>
          </rPr>
          <t xml:space="preserve">
Taken from previous year's pricing proposal.</t>
        </r>
      </text>
    </comment>
  </commentList>
</comments>
</file>

<file path=xl/comments2.xml><?xml version="1.0" encoding="utf-8"?>
<comments xmlns="http://schemas.openxmlformats.org/spreadsheetml/2006/main">
  <authors>
    <author>Harrigan, Paul</author>
    <author>AER</author>
  </authors>
  <commentList>
    <comment ref="H21" authorId="0">
      <text>
        <r>
          <rPr>
            <b/>
            <sz val="9"/>
            <color indexed="81"/>
            <rFont val="Tahoma"/>
            <family val="2"/>
          </rPr>
          <t>AER:</t>
        </r>
        <r>
          <rPr>
            <sz val="9"/>
            <color indexed="81"/>
            <rFont val="Tahoma"/>
            <family val="2"/>
          </rPr>
          <t xml:space="preserve">
Taken from previous year's pricing proposal.</t>
        </r>
      </text>
    </comment>
    <comment ref="H28" authorId="0">
      <text>
        <r>
          <rPr>
            <b/>
            <sz val="9"/>
            <color indexed="81"/>
            <rFont val="Tahoma"/>
            <family val="2"/>
          </rPr>
          <t>AER:</t>
        </r>
        <r>
          <rPr>
            <sz val="9"/>
            <color indexed="81"/>
            <rFont val="Tahoma"/>
            <family val="2"/>
          </rPr>
          <t xml:space="preserve">
Taken from previous year's pricing proposal.</t>
        </r>
      </text>
    </comment>
    <comment ref="H31" authorId="0">
      <text>
        <r>
          <rPr>
            <b/>
            <sz val="9"/>
            <color indexed="81"/>
            <rFont val="Tahoma"/>
            <family val="2"/>
          </rPr>
          <t>AER:</t>
        </r>
        <r>
          <rPr>
            <sz val="9"/>
            <color indexed="81"/>
            <rFont val="Tahoma"/>
            <family val="2"/>
          </rPr>
          <t xml:space="preserve">
Taken from previous year's pricing proposal.</t>
        </r>
      </text>
    </comment>
    <comment ref="C47" authorId="1">
      <text>
        <r>
          <rPr>
            <b/>
            <sz val="9"/>
            <color indexed="81"/>
            <rFont val="Tahoma"/>
            <family val="2"/>
          </rPr>
          <t>AER:</t>
        </r>
        <r>
          <rPr>
            <sz val="9"/>
            <color indexed="81"/>
            <rFont val="Tahoma"/>
            <family val="2"/>
          </rPr>
          <t xml:space="preserve">
T-2 Annual RIN</t>
        </r>
      </text>
    </comment>
    <comment ref="C55" authorId="0">
      <text>
        <r>
          <rPr>
            <b/>
            <sz val="9"/>
            <color indexed="81"/>
            <rFont val="Tahoma"/>
            <family val="2"/>
          </rPr>
          <t>AER:</t>
        </r>
        <r>
          <rPr>
            <sz val="9"/>
            <color indexed="81"/>
            <rFont val="Tahoma"/>
            <family val="2"/>
          </rPr>
          <t xml:space="preserve">
Taken from previous year's pricing proposal.</t>
        </r>
      </text>
    </comment>
    <comment ref="C57" authorId="0">
      <text>
        <r>
          <rPr>
            <b/>
            <sz val="9"/>
            <color indexed="81"/>
            <rFont val="Tahoma"/>
            <family val="2"/>
          </rPr>
          <t>AER:</t>
        </r>
        <r>
          <rPr>
            <sz val="9"/>
            <color indexed="81"/>
            <rFont val="Tahoma"/>
            <family val="2"/>
          </rPr>
          <t xml:space="preserve">
Taken from previous year's pricing proposal.</t>
        </r>
      </text>
    </comment>
    <comment ref="C71" authorId="0">
      <text>
        <r>
          <rPr>
            <b/>
            <sz val="9"/>
            <color indexed="81"/>
            <rFont val="Tahoma"/>
            <family val="2"/>
          </rPr>
          <t>AER:</t>
        </r>
        <r>
          <rPr>
            <sz val="9"/>
            <color indexed="81"/>
            <rFont val="Tahoma"/>
            <family val="2"/>
          </rPr>
          <t xml:space="preserve">
Taken from previous year's pricing proposal.</t>
        </r>
      </text>
    </comment>
  </commentList>
</comments>
</file>

<file path=xl/comments3.xml><?xml version="1.0" encoding="utf-8"?>
<comments xmlns="http://schemas.openxmlformats.org/spreadsheetml/2006/main">
  <authors>
    <author>Author</author>
  </authors>
  <commentList>
    <comment ref="B38" authorId="0">
      <text>
        <r>
          <rPr>
            <b/>
            <sz val="9"/>
            <color indexed="81"/>
            <rFont val="Tahoma"/>
            <family val="2"/>
          </rPr>
          <t>AER:</t>
        </r>
        <r>
          <rPr>
            <sz val="9"/>
            <color indexed="81"/>
            <rFont val="Tahoma"/>
            <family val="2"/>
          </rPr>
          <t xml:space="preserve">
Input Tariff Class Name consistent with Tariff Class Names in the Rebalancing control summary above.</t>
        </r>
      </text>
    </comment>
    <comment ref="C38" authorId="0">
      <text>
        <r>
          <rPr>
            <b/>
            <sz val="9"/>
            <color indexed="81"/>
            <rFont val="Tahoma"/>
            <family val="2"/>
          </rPr>
          <t>AER:</t>
        </r>
        <r>
          <rPr>
            <sz val="9"/>
            <color indexed="81"/>
            <rFont val="Tahoma"/>
            <family val="2"/>
          </rPr>
          <t xml:space="preserve">
Input Tariff Class Name consistent with Tariff Class Names in the Rebalancing control summary above.</t>
        </r>
      </text>
    </comment>
  </commentList>
</comments>
</file>

<file path=xl/comments4.xml><?xml version="1.0" encoding="utf-8"?>
<comments xmlns="http://schemas.openxmlformats.org/spreadsheetml/2006/main">
  <authors>
    <author>AER</author>
    <author>Harrigan, Paul</author>
  </authors>
  <commentList>
    <comment ref="C34" authorId="0">
      <text>
        <r>
          <rPr>
            <b/>
            <sz val="9"/>
            <color indexed="81"/>
            <rFont val="Tahoma"/>
            <family val="2"/>
          </rPr>
          <t xml:space="preserve">CitiPower:
</t>
        </r>
        <r>
          <rPr>
            <sz val="9"/>
            <color indexed="81"/>
            <rFont val="Tahoma"/>
            <family val="2"/>
          </rPr>
          <t>Updated per audit</t>
        </r>
        <r>
          <rPr>
            <b/>
            <sz val="9"/>
            <color indexed="81"/>
            <rFont val="Tahoma"/>
            <family val="2"/>
          </rPr>
          <t xml:space="preserve">
AER:</t>
        </r>
        <r>
          <rPr>
            <sz val="9"/>
            <color indexed="81"/>
            <rFont val="Tahoma"/>
            <family val="2"/>
          </rPr>
          <t xml:space="preserve">
T-2 Annual RIN</t>
        </r>
      </text>
    </comment>
    <comment ref="C39" authorId="1">
      <text>
        <r>
          <rPr>
            <b/>
            <sz val="9"/>
            <color indexed="81"/>
            <rFont val="Tahoma"/>
            <family val="2"/>
          </rPr>
          <t>AER:</t>
        </r>
        <r>
          <rPr>
            <sz val="9"/>
            <color indexed="81"/>
            <rFont val="Tahoma"/>
            <family val="2"/>
          </rPr>
          <t xml:space="preserve">
Taken from previous year's pricing proposal.</t>
        </r>
      </text>
    </comment>
    <comment ref="D39" authorId="1">
      <text>
        <r>
          <rPr>
            <b/>
            <sz val="9"/>
            <color indexed="81"/>
            <rFont val="Tahoma"/>
            <family val="2"/>
          </rPr>
          <t>AER:</t>
        </r>
        <r>
          <rPr>
            <sz val="9"/>
            <color indexed="81"/>
            <rFont val="Tahoma"/>
            <family val="2"/>
          </rPr>
          <t xml:space="preserve">
Taken from previous year's pricing proposal.</t>
        </r>
      </text>
    </comment>
    <comment ref="C60" authorId="1">
      <text>
        <r>
          <rPr>
            <b/>
            <sz val="9"/>
            <color indexed="81"/>
            <rFont val="Tahoma"/>
            <family val="2"/>
          </rPr>
          <t>AER:</t>
        </r>
        <r>
          <rPr>
            <sz val="9"/>
            <color indexed="81"/>
            <rFont val="Tahoma"/>
            <family val="2"/>
          </rPr>
          <t xml:space="preserve">
Taken from previous year's pricing proposal.</t>
        </r>
      </text>
    </comment>
  </commentList>
</comments>
</file>

<file path=xl/comments5.xml><?xml version="1.0" encoding="utf-8"?>
<comments xmlns="http://schemas.openxmlformats.org/spreadsheetml/2006/main">
  <authors>
    <author>AER</author>
    <author>Harrigan, Paul</author>
  </authors>
  <commentList>
    <comment ref="C32" authorId="0">
      <text>
        <r>
          <rPr>
            <b/>
            <sz val="9"/>
            <color indexed="81"/>
            <rFont val="Tahoma"/>
            <family val="2"/>
          </rPr>
          <t xml:space="preserve">CitiPower:
</t>
        </r>
        <r>
          <rPr>
            <sz val="9"/>
            <color indexed="81"/>
            <rFont val="Tahoma"/>
            <family val="2"/>
          </rPr>
          <t>Updated per audit</t>
        </r>
        <r>
          <rPr>
            <b/>
            <sz val="9"/>
            <color indexed="81"/>
            <rFont val="Tahoma"/>
            <family val="2"/>
          </rPr>
          <t xml:space="preserve">
AER:</t>
        </r>
        <r>
          <rPr>
            <sz val="9"/>
            <color indexed="81"/>
            <rFont val="Tahoma"/>
            <family val="2"/>
          </rPr>
          <t xml:space="preserve">
T-2 Annual RIN</t>
        </r>
      </text>
    </comment>
    <comment ref="C37" authorId="1">
      <text>
        <r>
          <rPr>
            <b/>
            <sz val="9"/>
            <color indexed="81"/>
            <rFont val="Tahoma"/>
            <family val="2"/>
          </rPr>
          <t>AER:</t>
        </r>
        <r>
          <rPr>
            <sz val="9"/>
            <color indexed="81"/>
            <rFont val="Tahoma"/>
            <family val="2"/>
          </rPr>
          <t xml:space="preserve">
Taken from previous year's pricing proposal.</t>
        </r>
      </text>
    </comment>
    <comment ref="D37" authorId="1">
      <text>
        <r>
          <rPr>
            <b/>
            <sz val="9"/>
            <color indexed="81"/>
            <rFont val="Tahoma"/>
            <family val="2"/>
          </rPr>
          <t>AER:</t>
        </r>
        <r>
          <rPr>
            <sz val="9"/>
            <color indexed="81"/>
            <rFont val="Tahoma"/>
            <family val="2"/>
          </rPr>
          <t xml:space="preserve">
Taken from previous year's pricing proposal.</t>
        </r>
      </text>
    </comment>
    <comment ref="C56" authorId="1">
      <text>
        <r>
          <rPr>
            <b/>
            <sz val="9"/>
            <color indexed="81"/>
            <rFont val="Tahoma"/>
            <family val="2"/>
          </rPr>
          <t>AER:</t>
        </r>
        <r>
          <rPr>
            <sz val="9"/>
            <color indexed="81"/>
            <rFont val="Tahoma"/>
            <family val="2"/>
          </rPr>
          <t xml:space="preserve">
Taken from previous year's pricing proposal.</t>
        </r>
      </text>
    </comment>
  </commentList>
</comments>
</file>

<file path=xl/sharedStrings.xml><?xml version="1.0" encoding="utf-8"?>
<sst xmlns="http://schemas.openxmlformats.org/spreadsheetml/2006/main" count="1164" uniqueCount="766">
  <si>
    <t>Figure 14.1 Revenue cap formulae</t>
  </si>
  <si>
    <t>i=1,..,n and j=1,..,m and t=1,..,5</t>
  </si>
  <si>
    <t>t = 1,2,…,5</t>
  </si>
  <si>
    <t>t = 1</t>
  </si>
  <si>
    <t>t = 2,…,5</t>
  </si>
  <si>
    <t>where;</t>
  </si>
  <si>
    <t xml:space="preserve"> is the total annual revenue in year t.</t>
  </si>
  <si>
    <t>is the price of component 'j' of tariff 'i' in year t.</t>
  </si>
  <si>
    <t>is the forecast quantity of component 'j' of tariff 'i' in year t.</t>
  </si>
  <si>
    <t xml:space="preserve"> </t>
  </si>
  <si>
    <t>is the adjusted annual smoothed revenue requirement for year t.</t>
  </si>
  <si>
    <t>is the annual adjustment f–factor scheme amount in year t. This amount will be calculated as per the method set out in the relevant f–factor scheme.</t>
  </si>
  <si>
    <t>is the sum of:</t>
  </si>
  <si>
    <t>where:</t>
  </si>
  <si>
    <t>The ABS CPI All Groups, Weighted Average of Eight Capital Cities for the June quarter in regulatory year t–1</t>
  </si>
  <si>
    <t>divided by</t>
  </si>
  <si>
    <t>The ABS CPI All Groups, Weighted Average of Eight Capital Cities for the June quarter in regulatory year t–2</t>
  </si>
  <si>
    <t>minus one.</t>
  </si>
  <si>
    <t>For example, for the 2017 regulatory year, t–2 is June quarter 2015 and t–1 is June quarter 2016 and for the 2018 regulatory year, t–2 is June quarter 2016 and t–1 is June quarter 2017 and so on.</t>
  </si>
  <si>
    <t>is the X factor for each year of the 2016–20 regulatory control period as determined in the PTRM, and annually revised for the return on debt update in accordance with the formula specified in attachment 3—rate of return—calculated for the relevant year.</t>
  </si>
  <si>
    <t>where each tariff class has "n" tariffs, with each up to "m" components, and where:</t>
  </si>
  <si>
    <t>is the proposed price for component ‘j’ of tariff 'i' for year t.</t>
  </si>
  <si>
    <t>is the price charged for component ‘j’ of tariff 'i' in year t–1.</t>
  </si>
  <si>
    <t>is the forecast quantity of component ‘j’ of tariff 'i' in year t.</t>
  </si>
  <si>
    <t xml:space="preserve"> is the annual percentage change in the ABS CPI All Groups, Weighted Average of Eight Capital Cities[4] from the June quarter in year t–2 to the June quarter in year t–1, calculated using the following method :</t>
  </si>
  <si>
    <t>is the X factor for each year of the 2016–20 regulatory control period as determined in the PTRM, and annually revised for the return on debt update in accordance with the formula specified in attachment 3—rate of return—calculated for the relevant year. If X&gt;0, then X will be set equal to zero for the purposes of the side constraint formula.</t>
  </si>
  <si>
    <t>is the s‑factor determined in accordance with the STPIS for regulatory year t.[5]</t>
  </si>
  <si>
    <t>is the annual percentage change from the f–factor scheme amount in year t. This amount will be calculated as per the method set out in attachment 19—f–factor scheme.</t>
  </si>
  <si>
    <t>is the annual percentage change from the final carryover amount from the application of the DMIS from the 2011–15 regulatory control period. This amount will be calculated using the method set out in the DMIS and will be deducted from/added to allowed revenue in the 2017 pricing proposal.</t>
  </si>
  <si>
    <t>is annual percentage change from the sum of:</t>
  </si>
  <si>
    <t>With the exception of the CPI, X factor and S factor, the percentage for each of the other factors above can be calculated by dividing the incremental revenues (as used in the total annual revenue formula) for each factor by the expected revenues for regulatory year t–1 (based on the prices in year t–1 multiplied by the forecast quantities for year t).</t>
  </si>
  <si>
    <t>Our final F&amp;A stated that if necessary an adjustment for inflation may be required to the annual smoothed revenue requirement for year t. However, as the annual smoothed revenue requirement for year t as stated in our preliminary decision PTRM is in nominal dollars there is no need to adjust it for inflation. This approach is consistent with past regulatory practice.</t>
  </si>
  <si>
    <t>If the ABS does not or ceases to publish the index, then CPI will mean an index which the AER considers is the best available alternative index.</t>
  </si>
  <si>
    <t>Year t–2</t>
  </si>
  <si>
    <t>(actual)</t>
  </si>
  <si>
    <t>Year t</t>
  </si>
  <si>
    <t>(forecast)</t>
  </si>
  <si>
    <t>(A) Revenue from DUoS charges</t>
  </si>
  <si>
    <t>46 779</t>
  </si>
  <si>
    <t>(B) Less TAR for regulatory year =</t>
  </si>
  <si>
    <t>43 039</t>
  </si>
  <si>
    <t>44 393</t>
  </si>
  <si>
    <t>–12</t>
  </si>
  <si>
    <t>+ License fee recovery</t>
  </si>
  <si>
    <t>+ Approved pass through amounts</t>
  </si>
  <si>
    <t>(A minus B) Under/over recovery of revenue for regulatory year</t>
  </si>
  <si>
    <t>DUoS unders and overs account</t>
  </si>
  <si>
    <t>Opening balance</t>
  </si>
  <si>
    <t>Under/over recovery of revenue for regulatory year</t>
  </si>
  <si>
    <t>Closing balance</t>
  </si>
  <si>
    <r>
      <t>0</t>
    </r>
    <r>
      <rPr>
        <vertAlign val="superscript"/>
        <sz val="8"/>
        <color theme="1"/>
        <rFont val="Arial"/>
        <family val="2"/>
      </rPr>
      <t>c</t>
    </r>
  </si>
  <si>
    <t>Notes:</t>
  </si>
  <si>
    <t>(A) Revenue from designated pricing proposal charges (DPPC)</t>
  </si>
  <si>
    <t>40 077</t>
  </si>
  <si>
    <t>(B) Less DPPC related payments for regulatory year =</t>
  </si>
  <si>
    <t>+ DPPC charges to be paid to TNSP</t>
  </si>
  <si>
    <t>38 000</t>
  </si>
  <si>
    <t>+ Inter–distributor payments</t>
  </si>
  <si>
    <t>DPPC unders and overs account</t>
  </si>
  <si>
    <t>(A) Revenue from jurisdictional schemes</t>
  </si>
  <si>
    <t>19 777</t>
  </si>
  <si>
    <t>(B) Less jurisdictional scheme payments for regulatory year =</t>
  </si>
  <si>
    <t>+ Jurisdictional scheme 1 payments</t>
  </si>
  <si>
    <t>14 159</t>
  </si>
  <si>
    <t>13 954</t>
  </si>
  <si>
    <t>+ Jurisdictional scheme 2 payments</t>
  </si>
  <si>
    <t>6113</t>
  </si>
  <si>
    <t>Jurisdictional scheme amount unders and overs account</t>
  </si>
  <si>
    <t xml:space="preserve">Tariff Approval Template for </t>
  </si>
  <si>
    <t>calendar year commencing</t>
  </si>
  <si>
    <t>t</t>
  </si>
  <si>
    <t>=</t>
  </si>
  <si>
    <t>t-1</t>
  </si>
  <si>
    <t>t-2</t>
  </si>
  <si>
    <t>t-3</t>
  </si>
  <si>
    <t>Please fill in yellow highlighted cells where appropriate</t>
  </si>
  <si>
    <t>CPI</t>
  </si>
  <si>
    <t>The ABS changed the index reference base in September 2012 from 1989-90 to 2011-12.</t>
  </si>
  <si>
    <t>CPI Index Sept 2011</t>
  </si>
  <si>
    <t>CPI Index Sept 2012</t>
  </si>
  <si>
    <t>CPI Index Sept 2013</t>
  </si>
  <si>
    <t>CPI Index Sept 2014</t>
  </si>
  <si>
    <t>Jemena</t>
  </si>
  <si>
    <t>CitiPower</t>
  </si>
  <si>
    <t>Powercor</t>
  </si>
  <si>
    <t>United Energy</t>
  </si>
  <si>
    <t>Pass Through Costs</t>
  </si>
  <si>
    <t>VBRC</t>
  </si>
  <si>
    <t>Powerline Replacement program</t>
  </si>
  <si>
    <t>TOTAL PASS THROUGH AMOUNTS</t>
  </si>
  <si>
    <t>F factor Scheme</t>
  </si>
  <si>
    <t>F Factor pass through</t>
  </si>
  <si>
    <t>Pass through amounts approved (Nominal $) - Forecast CPI</t>
  </si>
  <si>
    <t>Forecast CPI in PTRM</t>
  </si>
  <si>
    <t>Pass through amounts approved (Real $2010)</t>
  </si>
  <si>
    <t>Actual CPI</t>
  </si>
  <si>
    <t>Pass through amounts approved (Nominal $) - Actual CPI</t>
  </si>
  <si>
    <t>Xt for 2017</t>
  </si>
  <si>
    <t>Xt for 2018</t>
  </si>
  <si>
    <t>Xt for 2019</t>
  </si>
  <si>
    <t>Xt for 2020</t>
  </si>
  <si>
    <t>CPI Index Sept 2015</t>
  </si>
  <si>
    <t>(As per AER's Final Decision on Powercor's VBRC pass through, table 7.2,  7 March 2012)</t>
  </si>
  <si>
    <t>AR for 2016</t>
  </si>
  <si>
    <t>Regulatory Period 2011-15</t>
  </si>
  <si>
    <t>VBRC pass through</t>
  </si>
  <si>
    <t>AusNet Services</t>
  </si>
  <si>
    <t>As per AER's Final Decision on AusNet Services's VBRC pass through, table 1.3,  19 October 2012</t>
  </si>
  <si>
    <t>Table 1- Compliance with AER Final Determination Total Annual Revenue</t>
  </si>
  <si>
    <t>B factor for year t</t>
  </si>
  <si>
    <t>CPI for period t</t>
  </si>
  <si>
    <t>X factor for period t</t>
  </si>
  <si>
    <t>S factor for period t</t>
  </si>
  <si>
    <t>DUoS revenue under/over recovery approved</t>
  </si>
  <si>
    <t>Table 3 -  Adjusted Annual Revenue for year t (AARt)</t>
  </si>
  <si>
    <t>Table 2 - Total Annual Revenue for year t (TARt)</t>
  </si>
  <si>
    <t>T factor for year t (DMIS carry over amount)</t>
  </si>
  <si>
    <t>I factor for year t (F factor Scheme)</t>
  </si>
  <si>
    <t>Revenue from DUoS charges for year t</t>
  </si>
  <si>
    <t>Total Annual Revenue for year t</t>
  </si>
  <si>
    <t>Adjusted Annual Smoothed Revenue for year t</t>
  </si>
  <si>
    <t>Adjusted Annual Smoothed Revenue for year t-1</t>
  </si>
  <si>
    <t>Total</t>
  </si>
  <si>
    <t>License Fee Recovery Amount for year t</t>
  </si>
  <si>
    <t>Approved Pass through Amount for year t</t>
  </si>
  <si>
    <t>Lt-1</t>
  </si>
  <si>
    <t>Nominal WACC t-1</t>
  </si>
  <si>
    <t>t-4</t>
  </si>
  <si>
    <t>Proposed tariff</t>
  </si>
  <si>
    <t>Existing tariff</t>
  </si>
  <si>
    <t>PropTar
Fixed</t>
  </si>
  <si>
    <t>PropTar
OPkBlk1</t>
  </si>
  <si>
    <t>PropTar
SumBlk1</t>
  </si>
  <si>
    <t>PropTar
SumBlk2</t>
  </si>
  <si>
    <t>PropTar
SumBlk3</t>
  </si>
  <si>
    <t>PropTar
WtrBlk1</t>
  </si>
  <si>
    <t>PropTar
WtrBlk2</t>
  </si>
  <si>
    <t>PropTar
WtrBlk3</t>
  </si>
  <si>
    <t>ExistTar
Fixed</t>
  </si>
  <si>
    <t>ExistTar
SumBlk1</t>
  </si>
  <si>
    <t>ExistTar
SumBlk2</t>
  </si>
  <si>
    <t>ExistTar
SumBlk3</t>
  </si>
  <si>
    <t>ExistTar
WtrBlk1</t>
  </si>
  <si>
    <t>ExistTar
WtrBlk2</t>
  </si>
  <si>
    <t>ExistTar
WtrBlk3</t>
  </si>
  <si>
    <t>PropRev
Fixed</t>
  </si>
  <si>
    <t>PropRev
SumBlk1</t>
  </si>
  <si>
    <t>PropRev
SumBlk2</t>
  </si>
  <si>
    <t>PropRev
SumBlk3</t>
  </si>
  <si>
    <t>PropRev
WtrBlk1</t>
  </si>
  <si>
    <t>PropRev
WtrBlk2</t>
  </si>
  <si>
    <t>PropRev
WtrBlk3</t>
  </si>
  <si>
    <t>PropRev
Total</t>
  </si>
  <si>
    <t>ExistRev
Fixed</t>
  </si>
  <si>
    <t>ExistRev
SumBlk1</t>
  </si>
  <si>
    <t>ExistRev
SumBlk2</t>
  </si>
  <si>
    <t>ExistRev
SumBlk3</t>
  </si>
  <si>
    <t>ExistRev
WtrBlk1</t>
  </si>
  <si>
    <t>ExistRev
WtrBlk2</t>
  </si>
  <si>
    <t>ExistRev
WtrBlk3</t>
  </si>
  <si>
    <t>ExistRev
Total</t>
  </si>
  <si>
    <t>FcastVol
Fixed</t>
  </si>
  <si>
    <t>FcastVol
SumBlk1</t>
  </si>
  <si>
    <t>FcastVol
SumBlk2</t>
  </si>
  <si>
    <t>FcastVol
SumBlk3</t>
  </si>
  <si>
    <t>FcastVol
WtrBlk1</t>
  </si>
  <si>
    <t>FcastVol
WtrBlk2</t>
  </si>
  <si>
    <t>FcastVol
WtrBlk3</t>
  </si>
  <si>
    <t>DUoS</t>
  </si>
  <si>
    <t>CPI Index June 2019</t>
  </si>
  <si>
    <t>CPI Index June 2018</t>
  </si>
  <si>
    <t>CPI Index June 2017</t>
  </si>
  <si>
    <t>CPI Index June 2016</t>
  </si>
  <si>
    <t>CPI Index June 2015</t>
  </si>
  <si>
    <t>CPI 2013</t>
  </si>
  <si>
    <t>CPI 2014</t>
  </si>
  <si>
    <t>CPI 2015</t>
  </si>
  <si>
    <t>CPI 2016</t>
  </si>
  <si>
    <t>CPI 2017</t>
  </si>
  <si>
    <t>CPI 2018</t>
  </si>
  <si>
    <t>CPI 2019</t>
  </si>
  <si>
    <t>CPI 2020</t>
  </si>
  <si>
    <t>Distribution tariff rebalancing control</t>
  </si>
  <si>
    <t>Rebalancing control summary</t>
  </si>
  <si>
    <t>Tariff Class (Input Class Name)</t>
  </si>
  <si>
    <t>Existing ($)</t>
  </si>
  <si>
    <t>Proposed ($)</t>
  </si>
  <si>
    <t>Movement</t>
  </si>
  <si>
    <t>Residential</t>
  </si>
  <si>
    <t>Small business</t>
  </si>
  <si>
    <t>LLV</t>
  </si>
  <si>
    <t>HV</t>
  </si>
  <si>
    <t>SubTrans</t>
  </si>
  <si>
    <t>Check Total</t>
  </si>
  <si>
    <t>New Tariff Test</t>
  </si>
  <si>
    <t>Destination tariff class</t>
  </si>
  <si>
    <t>Source tariff class</t>
  </si>
  <si>
    <t>EstRev
Fixed</t>
  </si>
  <si>
    <t>EstRev
SumBlk1</t>
  </si>
  <si>
    <t>EstRev
SumBlk2</t>
  </si>
  <si>
    <t>EstRev
SumBlk3</t>
  </si>
  <si>
    <t>EstRev
WtrBlk1</t>
  </si>
  <si>
    <t>EstRev
WtrBlk2</t>
  </si>
  <si>
    <t>EstRev
WtrBlk3</t>
  </si>
  <si>
    <t>EstRev
Total</t>
  </si>
  <si>
    <t>EstVol
Fixed</t>
  </si>
  <si>
    <t>EstVol
SumBlk1</t>
  </si>
  <si>
    <t>EstVol
SumBlk2</t>
  </si>
  <si>
    <t>EstVol
SumBlk3</t>
  </si>
  <si>
    <t>EstVol
WtrBlk1</t>
  </si>
  <si>
    <t>EstVol
WtrBlk2</t>
  </si>
  <si>
    <t>EstVol
WtrBlk3</t>
  </si>
  <si>
    <t xml:space="preserve">(A) Revenue from DUoS Charges </t>
  </si>
  <si>
    <t>+ Adjusted annual smoothed revenue</t>
  </si>
  <si>
    <t>+It</t>
  </si>
  <si>
    <t>+Tt</t>
  </si>
  <si>
    <t>+Bt =</t>
  </si>
  <si>
    <t>+Licence fee recovery</t>
  </si>
  <si>
    <t>+Approved pass throughs</t>
  </si>
  <si>
    <t>Year t-2</t>
  </si>
  <si>
    <t>Year (t)</t>
  </si>
  <si>
    <t>Calendar year</t>
  </si>
  <si>
    <t>Closing balance of DUoS overs/ (unders) account</t>
  </si>
  <si>
    <t>Table 7 - DUoS Unders and Overs Account</t>
  </si>
  <si>
    <t>TUOS charges (AEMO)</t>
  </si>
  <si>
    <t>t-2 actual</t>
  </si>
  <si>
    <t>Transmission connection fees (SPI Powernet)</t>
  </si>
  <si>
    <t>Cross boundary network charges (internetwork charges)</t>
  </si>
  <si>
    <t>Distribution Business</t>
  </si>
  <si>
    <t>Amount (payable)/receivable</t>
  </si>
  <si>
    <t>HV crossings</t>
  </si>
  <si>
    <t>Subtransmission crossings</t>
  </si>
  <si>
    <t>TUoS Adjustment</t>
  </si>
  <si>
    <t>Payments to embedded generators</t>
  </si>
  <si>
    <t>Avoided transmission costs</t>
  </si>
  <si>
    <t>Avoided TUoS payments</t>
  </si>
  <si>
    <t>Avoided TUoS usage charges</t>
  </si>
  <si>
    <t>Total payments to embedded generators</t>
  </si>
  <si>
    <t>Where the following definitions apply</t>
  </si>
  <si>
    <t>HV Crossings</t>
  </si>
  <si>
    <t>Payments/Receipts for energy transferred utilising the distributor’s HV and LV line assets.</t>
  </si>
  <si>
    <t>Sub-transmission Crossings</t>
  </si>
  <si>
    <t>Payments/Receipts for the Sub-transmission assets in shared loops that support each distributor’s Zone Substation capacity to ensure N-1 reliability is maintained.</t>
  </si>
  <si>
    <t xml:space="preserve">TuoS Adjustment </t>
  </si>
  <si>
    <t>Payments/Receipts for the adjustment of TuoS paid by a distributor for energy delivered to another distribution business through a shared loop.</t>
  </si>
  <si>
    <t>TC + G - D</t>
  </si>
  <si>
    <t xml:space="preserve"> DUoS</t>
  </si>
  <si>
    <t>AEMO (TCt)</t>
  </si>
  <si>
    <t>Embedded generators (Gt)</t>
  </si>
  <si>
    <t>Inter-network (Dt)</t>
  </si>
  <si>
    <t>Table 3 - Transmission charges for year t</t>
  </si>
  <si>
    <t>Transmission revenue under/over recovery for years 2014 and 2015</t>
  </si>
  <si>
    <t>Table 2 - Total DPPC related payments for year t</t>
  </si>
  <si>
    <t>Transmission charges for year t</t>
  </si>
  <si>
    <t>DPPC revenue under/over recovery approved</t>
  </si>
  <si>
    <t xml:space="preserve"> Designated pricing proposal charges (DPPC)</t>
  </si>
  <si>
    <t xml:space="preserve">(B) Less TAR for regulatory year = </t>
  </si>
  <si>
    <t>(B) Less Total DPPC related payments =</t>
  </si>
  <si>
    <t>Table 4 - DPPC Recovery Arrangements</t>
  </si>
  <si>
    <t>Table 5 - DPPC Unders and Overs Account</t>
  </si>
  <si>
    <t>+ Transmission revenue under/over recovery for years 2014 and 2015</t>
  </si>
  <si>
    <t>+Transmission charges  =</t>
  </si>
  <si>
    <t>+AEMO</t>
  </si>
  <si>
    <t xml:space="preserve">+PowerNet </t>
  </si>
  <si>
    <t>+Embedded generators</t>
  </si>
  <si>
    <t>-Inter-network</t>
  </si>
  <si>
    <t>Total DPPC related payments for year t</t>
  </si>
  <si>
    <t>(A) Revenue from designated pricing proposal charges</t>
  </si>
  <si>
    <t>Revenue from designated pricing proposal charges for year t</t>
  </si>
  <si>
    <t>Table 1- Compliance with DPPC Revenue Formula</t>
  </si>
  <si>
    <t>Jurisdictional scheme amounts</t>
  </si>
  <si>
    <t>PFIT</t>
  </si>
  <si>
    <t>TFIT</t>
  </si>
  <si>
    <t>Premium feed-in tariff payments</t>
  </si>
  <si>
    <t>Transitional feed-in tariff payments</t>
  </si>
  <si>
    <t>rptw for 2016</t>
  </si>
  <si>
    <t>rptw for 2017</t>
  </si>
  <si>
    <t>rptw for 2018</t>
  </si>
  <si>
    <t>rptw for 2019</t>
  </si>
  <si>
    <t>rptw for 2020</t>
  </si>
  <si>
    <t>Real Pre-tax WACC (rptw)</t>
  </si>
  <si>
    <t xml:space="preserve"> Jurisdictional Scheme Amounts (JSA)</t>
  </si>
  <si>
    <t>Table 1- Compliance with JSA Revenue Formula</t>
  </si>
  <si>
    <t>Revenue from  Jurisdictional Scheme Amounts charges for year t</t>
  </si>
  <si>
    <t>Total JSA related payments for year t</t>
  </si>
  <si>
    <t>JSA revenue under/over recovery approved</t>
  </si>
  <si>
    <t>JSA revenue under/over recovery for years 2014 and 2015</t>
  </si>
  <si>
    <t>Table 2 - Total JSA related payments for year t</t>
  </si>
  <si>
    <t>PFIT &amp; TFIT charges for year t</t>
  </si>
  <si>
    <t>Table 3 - PFIT &amp; TFIT charges for year t</t>
  </si>
  <si>
    <t>PFIT &amp; TFIT charges</t>
  </si>
  <si>
    <t>Table 4 - JSA Recovery Arrangements</t>
  </si>
  <si>
    <t>(A) Revenue from JSA proposal charges</t>
  </si>
  <si>
    <t>(B) Less Total JSA related payments =</t>
  </si>
  <si>
    <t>+ JSA revenue under/over recovery for years 2014 and 2015</t>
  </si>
  <si>
    <t>+PFIT &amp; TFIT charges  =</t>
  </si>
  <si>
    <t>+PFIT amount</t>
  </si>
  <si>
    <t>+TFIT amount</t>
  </si>
  <si>
    <t>Table 5 - JSA Unders and Overs Account</t>
  </si>
  <si>
    <t>PropTar
$/Cust/year</t>
  </si>
  <si>
    <t>Single phase</t>
  </si>
  <si>
    <t>Three phase direct connected meter</t>
  </si>
  <si>
    <t>Three phase CT connected meter</t>
  </si>
  <si>
    <t>ExistTar
$/Cust/year</t>
  </si>
  <si>
    <t>FcastVol
Cust #</t>
  </si>
  <si>
    <t>DuoS</t>
  </si>
  <si>
    <t>Metering</t>
  </si>
  <si>
    <t>Figure 16.3</t>
  </si>
  <si>
    <t>Annual metering charges revenue cap formula</t>
  </si>
  <si>
    <t>is the total annual revenue for annual metering charges in year t.</t>
  </si>
  <si>
    <t>is the price of component 'j' of metering service 'i' in year t.</t>
  </si>
  <si>
    <t>is the forecast quantity of component 'j' of metering service 'i' in year t.</t>
  </si>
  <si>
    <t>is the annual revenue requirement for year t. When year t is the first year of the 2016–20 regulatory control period,</t>
  </si>
  <si>
    <t xml:space="preserve"> is the annual revenue requirement in the annual metering charges Post Tax Revenue Model (PTRM) for year t.</t>
  </si>
  <si>
    <t>is equal to zero for all years except 2017 and is a once off adjustment to 2017 charges for the unders and overs recoveries relating to Advanced Metering Infrastructure actual revenues and actual costs incurred in 2014 and 2015.</t>
  </si>
  <si>
    <t>is the annual revenue requirement for year t–1.</t>
  </si>
  <si>
    <t>is the X factor for each year of the 2016–20 regulatory control period as determined in the annual metering charges PTRM.</t>
  </si>
  <si>
    <t>Figure 16.4 Side constraints</t>
  </si>
  <si>
    <t>is the price of annual metering charges service 'i' in year t.</t>
  </si>
  <si>
    <t>is the price of annual metering charges service 'i' in year t–1.</t>
  </si>
  <si>
    <t>is the annual percentage change for the unders and overs recoveries relating to Advanced Metering Infrastructure actual revenues and actual costs incurred in 2014 and 2015. It is equal to zero for all years except 2017 and is a once off adjustment to 2017 charges.</t>
  </si>
  <si>
    <t>With the exception of the CPI and the X factor, the percentage for each of the other factors above can be calculated by dividing the incremental revenues (as used in the total annual revenue formula) for each factor by the expected revenues for regulatory year t–1 (based on the prices in year t–1 multiplied by the forecast quantities for year t).</t>
  </si>
  <si>
    <t xml:space="preserve"> are the licence fees paid by DNSP to the Victorian Essential Services Commission in the financial year ending in June of regulatory year t–1,</t>
  </si>
  <si>
    <t xml:space="preserve"> are the licence fees paid byDNSP to the Victorian Essential Services Commission in the financial year ending in June of regulatory year t–1,</t>
  </si>
  <si>
    <t>(A) Revenue from annual metering charges</t>
  </si>
  <si>
    <t>(B) Less TARM for regulatory year =</t>
  </si>
  <si>
    <t>17</t>
  </si>
  <si>
    <t>Annual metering charges unders and overs account</t>
  </si>
  <si>
    <t>(t-1)</t>
  </si>
  <si>
    <t>(t-2)</t>
  </si>
  <si>
    <t>Pass through Amounts</t>
  </si>
  <si>
    <t>Table 1- Compliance with AER Final Determination Total Metering Annual Revenue</t>
  </si>
  <si>
    <t>Revenue from  Metering charges for year t</t>
  </si>
  <si>
    <t>Total Annual Metering Revenue for year t</t>
  </si>
  <si>
    <t>Adjusted Annual Smoothed Metering Revenue for year t</t>
  </si>
  <si>
    <t>Table 2 - Total Annual Revenue for year t (TARMt)</t>
  </si>
  <si>
    <t>Table 3 -  Adjusted Annual Revenue for year t (ARt)</t>
  </si>
  <si>
    <t>T factor for year t</t>
  </si>
  <si>
    <t>(A) Revenue from Metering proposal charges</t>
  </si>
  <si>
    <t xml:space="preserve">(B) Less TARM for regulatory year = </t>
  </si>
  <si>
    <t>+ T factor</t>
  </si>
  <si>
    <t>Table 5 - Metering Services Unders and Overs Account</t>
  </si>
  <si>
    <t>Table 4 - Metering Services Recovery Arrangements</t>
  </si>
  <si>
    <t>Metering tariff rebalancing control</t>
  </si>
  <si>
    <t>Side Constraint</t>
  </si>
  <si>
    <r>
      <t>(1)</t>
    </r>
    <r>
      <rPr>
        <sz val="7"/>
        <color theme="1"/>
        <rFont val="Arial"/>
        <family val="2"/>
      </rPr>
      <t xml:space="preserve">   </t>
    </r>
  </si>
  <si>
    <r>
      <t>(2)</t>
    </r>
    <r>
      <rPr>
        <sz val="7"/>
        <color theme="1"/>
        <rFont val="Arial"/>
        <family val="2"/>
      </rPr>
      <t xml:space="preserve">   </t>
    </r>
  </si>
  <si>
    <r>
      <t>(3)</t>
    </r>
    <r>
      <rPr>
        <sz val="7"/>
        <color theme="1"/>
        <rFont val="Arial"/>
        <family val="2"/>
      </rPr>
      <t xml:space="preserve">   </t>
    </r>
  </si>
  <si>
    <r>
      <t>(4)</t>
    </r>
    <r>
      <rPr>
        <sz val="7"/>
        <color theme="1"/>
        <rFont val="Arial"/>
        <family val="2"/>
      </rPr>
      <t xml:space="preserve">   </t>
    </r>
  </si>
  <si>
    <r>
      <t>·</t>
    </r>
    <r>
      <rPr>
        <sz val="7"/>
        <color theme="1"/>
        <rFont val="Arial"/>
        <family val="2"/>
      </rPr>
      <t xml:space="preserve">        </t>
    </r>
    <r>
      <rPr>
        <sz val="11"/>
        <color theme="1"/>
        <rFont val="Arial"/>
        <family val="2"/>
      </rPr>
      <t>the final carryover amount from the application of the DMIS from the 2011–15 regulatory control period. This amount will be calculated using the method set out in the DMIS and will be deducted from/added to allowed revenue in the 2017 pricing proposal.</t>
    </r>
  </si>
  <si>
    <r>
      <t>·</t>
    </r>
    <r>
      <rPr>
        <sz val="7"/>
        <color theme="1"/>
        <rFont val="Arial"/>
        <family val="2"/>
      </rPr>
      <t xml:space="preserve">        </t>
    </r>
    <r>
      <rPr>
        <sz val="11"/>
        <color theme="1"/>
        <rFont val="Arial"/>
        <family val="2"/>
      </rPr>
      <t>the recovery of license fee charges by the Victorian Essential Services Commission indexed by one and a half years of interest, calculated using the following method:</t>
    </r>
  </si>
  <si>
    <r>
      <t>·</t>
    </r>
    <r>
      <rPr>
        <sz val="7"/>
        <color theme="1"/>
        <rFont val="Arial"/>
        <family val="2"/>
      </rPr>
      <t xml:space="preserve">        </t>
    </r>
    <r>
      <rPr>
        <sz val="11"/>
        <color theme="1"/>
        <rFont val="Arial"/>
        <family val="2"/>
      </rPr>
      <t>any under or over recovery of actual revenue collected through DUoS charges in regulatory year t–2 as calculated using the method in appendix A,</t>
    </r>
  </si>
  <si>
    <r>
      <t>·</t>
    </r>
    <r>
      <rPr>
        <sz val="7"/>
        <color theme="1"/>
        <rFont val="Arial"/>
        <family val="2"/>
      </rPr>
      <t xml:space="preserve">        </t>
    </r>
    <r>
      <rPr>
        <sz val="11"/>
        <color theme="1"/>
        <rFont val="Arial"/>
        <family val="2"/>
      </rPr>
      <t>the AER approved pass through amounts (positive or negative) with respect to regulatory year t.</t>
    </r>
  </si>
  <si>
    <r>
      <t xml:space="preserve"> pretax WACC</t>
    </r>
    <r>
      <rPr>
        <b/>
        <vertAlign val="subscript"/>
        <sz val="10"/>
        <rFont val="Arial"/>
        <family val="2"/>
      </rPr>
      <t>D</t>
    </r>
  </si>
  <si>
    <t>Closing balance of Metering Services overs/ (unders) account</t>
  </si>
  <si>
    <t>Closing balance of DPPC overs/ (unders) account</t>
  </si>
  <si>
    <t>Closing balance of JSA overs/ (unders) account</t>
  </si>
  <si>
    <t>(t)</t>
  </si>
  <si>
    <t>rvw for 2016</t>
  </si>
  <si>
    <t>rvw for 2017</t>
  </si>
  <si>
    <t>rvw for 2018</t>
  </si>
  <si>
    <t>rvw for 2019</t>
  </si>
  <si>
    <t>rvw for 2020</t>
  </si>
  <si>
    <t>Real Vanilla WACC (rvw)</t>
  </si>
  <si>
    <t>Real Vanilla WACC for distribution tariffs</t>
  </si>
  <si>
    <t>Real Pre-tax WACC for distribution tariffs</t>
  </si>
  <si>
    <r>
      <t>Real Vanilla WACC</t>
    </r>
    <r>
      <rPr>
        <b/>
        <vertAlign val="subscript"/>
        <sz val="10"/>
        <rFont val="Arial"/>
        <family val="2"/>
      </rPr>
      <t>D</t>
    </r>
  </si>
  <si>
    <t>Pass Through revenue under/over recovery for years 2014 and 2015</t>
  </si>
  <si>
    <t>+Pass Through revenue under/over recovery for years 2014 and 2015</t>
  </si>
  <si>
    <t>Table 4- B factor for year t</t>
  </si>
  <si>
    <t>Table 5 - License Fee Recovery Amount for year t</t>
  </si>
  <si>
    <t>Table 6 - DUoS Recovery Arrangements</t>
  </si>
  <si>
    <t xml:space="preserve"> License Fees</t>
  </si>
  <si>
    <t>S factor Scheme</t>
  </si>
  <si>
    <t>Nominal WACC t</t>
  </si>
  <si>
    <t>is the approved nominal weighted average cost of capital  (WACC) for the relevant regulatory year using the following method:</t>
  </si>
  <si>
    <t>is the annual smoothed revenue requirement as stated in the Post Tax Revenue Model (PTRM) for year t (when year t is the first year of the 2016–20 regulatory control period).[43]</t>
  </si>
  <si>
    <t>is the s‑factor determined in accordance with the service target performance incentive scheme (STPIS) for regulatory year t.[44]</t>
  </si>
  <si>
    <t xml:space="preserve"> is the annual percentage change in the ABS CPI All Groups, Weighted Average of Eight Capital Cities[45] from the June quarter in year t–2 to the June quarter in year t–1, calculated using the following method :</t>
  </si>
  <si>
    <r>
      <t>[43]</t>
    </r>
    <r>
      <rPr>
        <b/>
        <sz val="10"/>
        <color theme="1"/>
        <rFont val="Arial"/>
        <family val="2"/>
      </rPr>
      <t xml:space="preserve"> </t>
    </r>
  </si>
  <si>
    <r>
      <t>[44]</t>
    </r>
    <r>
      <rPr>
        <b/>
        <sz val="10"/>
        <color theme="1"/>
        <rFont val="Arial"/>
        <family val="2"/>
      </rPr>
      <t xml:space="preserve"> </t>
    </r>
  </si>
  <si>
    <r>
      <t>For the first two regulatory years of the 2016–20 regulatory control period, the value of S</t>
    </r>
    <r>
      <rPr>
        <vertAlign val="subscript"/>
        <sz val="10"/>
        <color theme="1"/>
        <rFont val="Arial"/>
        <family val="2"/>
      </rPr>
      <t>t</t>
    </r>
    <r>
      <rPr>
        <sz val="10"/>
        <color theme="1"/>
        <rFont val="Arial"/>
        <family val="2"/>
      </rPr>
      <t xml:space="preserve"> is to be adjusted to account for the change in revenue requirements between the regulatory control periods, as explained in attachment 11. In the formulas in the STPIS, the AR</t>
    </r>
    <r>
      <rPr>
        <vertAlign val="subscript"/>
        <sz val="10"/>
        <color theme="1"/>
        <rFont val="Arial"/>
        <family val="2"/>
      </rPr>
      <t>(t+1)</t>
    </r>
    <r>
      <rPr>
        <sz val="10"/>
        <color theme="1"/>
        <rFont val="Arial"/>
        <family val="2"/>
      </rPr>
      <t xml:space="preserve"> is equivalent to AR</t>
    </r>
    <r>
      <rPr>
        <vertAlign val="subscript"/>
        <sz val="10"/>
        <color theme="1"/>
        <rFont val="Arial"/>
        <family val="2"/>
      </rPr>
      <t>t</t>
    </r>
    <r>
      <rPr>
        <sz val="10"/>
        <color theme="1"/>
        <rFont val="Arial"/>
        <family val="2"/>
      </rPr>
      <t xml:space="preserve"> in this formula. Calculations of the S factor adjustment are to be made accordingly.</t>
    </r>
  </si>
  <si>
    <r>
      <t>[45]</t>
    </r>
    <r>
      <rPr>
        <b/>
        <sz val="10"/>
        <color theme="1"/>
        <rFont val="Arial"/>
        <family val="2"/>
      </rPr>
      <t xml:space="preserve"> </t>
    </r>
  </si>
  <si>
    <t>If the ABS does not or ceases to publish the index, then CPI will mean an index which the AER considers is the best available alternative index</t>
  </si>
  <si>
    <t>Figure 14.2 Side constraints [46]</t>
  </si>
  <si>
    <t>The ABS CPI All Groups, Weighted Average of Eight Capital Cities[47] for the June quarter in regulatory year t–1</t>
  </si>
  <si>
    <t>is the approved nominal weighted average cost of capital (WACC) for the relevant regulatory year using the following method:</t>
  </si>
  <si>
    <t xml:space="preserve">where the </t>
  </si>
  <si>
    <t xml:space="preserve"> is as set out in our final decision PTRM and updated annually</t>
  </si>
  <si>
    <r>
      <t>[46]</t>
    </r>
    <r>
      <rPr>
        <b/>
        <sz val="10"/>
        <color theme="1"/>
        <rFont val="Arial"/>
        <family val="2"/>
      </rPr>
      <t xml:space="preserve"> </t>
    </r>
  </si>
  <si>
    <t>All parameters are in nominal terms unless otherwise specified.</t>
  </si>
  <si>
    <r>
      <t>[47]</t>
    </r>
    <r>
      <rPr>
        <b/>
        <sz val="10"/>
        <color theme="1"/>
        <rFont val="Arial"/>
        <family val="2"/>
      </rPr>
      <t xml:space="preserve"> </t>
    </r>
  </si>
  <si>
    <t>Table 14.1</t>
  </si>
  <si>
    <t>Example calculation of DUoS unders and overs account ($'000, nominal)</t>
  </si>
  <si>
    <t>Year t–1</t>
  </si>
  <si>
    <t>(estimate)</t>
  </si>
  <si>
    <t>40 269</t>
  </si>
  <si>
    <t>39 510</t>
  </si>
  <si>
    <t>41 427</t>
  </si>
  <si>
    <t>44 429</t>
  </si>
  <si>
    <r>
      <t>+ Adjusted annual smoothed revenues (AAR</t>
    </r>
    <r>
      <rPr>
        <vertAlign val="subscript"/>
        <sz val="8"/>
        <color theme="1"/>
        <rFont val="Arial"/>
        <family val="2"/>
      </rPr>
      <t>t</t>
    </r>
    <r>
      <rPr>
        <sz val="8"/>
        <color theme="1"/>
        <rFont val="Arial"/>
        <family val="2"/>
      </rPr>
      <t>)</t>
    </r>
  </si>
  <si>
    <t>40 189</t>
  </si>
  <si>
    <t>41 393</t>
  </si>
  <si>
    <r>
      <t>+ f–factor scheme amount (I</t>
    </r>
    <r>
      <rPr>
        <vertAlign val="subscript"/>
        <sz val="8"/>
        <color theme="1"/>
        <rFont val="Arial"/>
        <family val="2"/>
      </rPr>
      <t>t</t>
    </r>
    <r>
      <rPr>
        <sz val="8"/>
        <color theme="1"/>
        <rFont val="Arial"/>
        <family val="2"/>
      </rPr>
      <t xml:space="preserve">)  </t>
    </r>
  </si>
  <si>
    <r>
      <t>+ DMIS carryover amount (T</t>
    </r>
    <r>
      <rPr>
        <vertAlign val="subscript"/>
        <sz val="8"/>
        <color theme="1"/>
        <rFont val="Arial"/>
        <family val="2"/>
      </rPr>
      <t>t</t>
    </r>
    <r>
      <rPr>
        <sz val="8"/>
        <color theme="1"/>
        <rFont val="Arial"/>
        <family val="2"/>
      </rPr>
      <t xml:space="preserve">) </t>
    </r>
  </si>
  <si>
    <r>
      <t>+ Annual adjustments (B</t>
    </r>
    <r>
      <rPr>
        <vertAlign val="subscript"/>
        <sz val="8"/>
        <color theme="1"/>
        <rFont val="Arial"/>
        <family val="2"/>
      </rPr>
      <t>t</t>
    </r>
    <r>
      <rPr>
        <sz val="8"/>
        <color theme="1"/>
        <rFont val="Arial"/>
        <family val="2"/>
      </rPr>
      <t>)</t>
    </r>
    <r>
      <rPr>
        <vertAlign val="superscript"/>
        <sz val="8"/>
        <color theme="1"/>
        <rFont val="Arial"/>
        <family val="2"/>
      </rPr>
      <t>a</t>
    </r>
    <r>
      <rPr>
        <sz val="8"/>
        <color theme="1"/>
        <rFont val="Arial"/>
        <family val="2"/>
      </rPr>
      <t xml:space="preserve"> =</t>
    </r>
  </si>
  <si>
    <t>1849</t>
  </si>
  <si>
    <t>–1158</t>
  </si>
  <si>
    <r>
      <t>–4919</t>
    </r>
    <r>
      <rPr>
        <vertAlign val="superscript"/>
        <sz val="8"/>
        <color theme="1"/>
        <rFont val="Arial"/>
        <family val="2"/>
      </rPr>
      <t>b</t>
    </r>
  </si>
  <si>
    <t>Nominal WACC (per cent)</t>
  </si>
  <si>
    <r>
      <t>5656</t>
    </r>
    <r>
      <rPr>
        <vertAlign val="superscript"/>
        <sz val="8"/>
        <color theme="1"/>
        <rFont val="Arial"/>
        <family val="2"/>
      </rPr>
      <t>c</t>
    </r>
  </si>
  <si>
    <t>Interest on opening balance</t>
  </si>
  <si>
    <t>Interest on under/over recovery for regulatory year</t>
  </si>
  <si>
    <t>–31</t>
  </si>
  <si>
    <t>–145</t>
  </si>
  <si>
    <r>
      <t>0</t>
    </r>
    <r>
      <rPr>
        <vertAlign val="superscript"/>
        <sz val="8"/>
        <color theme="1"/>
        <rFont val="Arial"/>
        <family val="2"/>
      </rPr>
      <t>d</t>
    </r>
  </si>
  <si>
    <r>
      <t>(a) B</t>
    </r>
    <r>
      <rPr>
        <vertAlign val="subscript"/>
        <sz val="8"/>
        <color theme="1"/>
        <rFont val="Arial"/>
        <family val="2"/>
      </rPr>
      <t>t</t>
    </r>
    <r>
      <rPr>
        <sz val="8"/>
        <color theme="1"/>
        <rFont val="Arial"/>
        <family val="2"/>
      </rPr>
      <t xml:space="preserve"> parameter calculations in the DUoS unders and overs account exclude approved DUoS revenue under/over recovery for regulatory year.</t>
    </r>
  </si>
  <si>
    <t>(b) Approved DUoS revenue under/over recovery for regulatory year t.</t>
  </si>
  <si>
    <t>(c) Opening balance is the previous year's closing balance.</t>
  </si>
  <si>
    <t>(d) The DNSP is expected to achieve a closing balance as close to zero as practicable in its DUoS unders and overs account in each forecast year in its annual pricing proposals in the 2016–20 regulatory control period.</t>
  </si>
  <si>
    <t>Table 14.2</t>
  </si>
  <si>
    <t>Example calculation of designated pricing proposal charges unders and overs account ($'000, nominal)</t>
  </si>
  <si>
    <t>34 944</t>
  </si>
  <si>
    <t>36 609</t>
  </si>
  <si>
    <t>34 365</t>
  </si>
  <si>
    <t>38 734</t>
  </si>
  <si>
    <t>39 200</t>
  </si>
  <si>
    <t>33 672</t>
  </si>
  <si>
    <t>37 933</t>
  </si>
  <si>
    <t>+ Avoided TUoS/DPPC payments</t>
  </si>
  <si>
    <t>–3790</t>
  </si>
  <si>
    <r>
      <t>–2540</t>
    </r>
    <r>
      <rPr>
        <vertAlign val="superscript"/>
        <sz val="8"/>
        <color theme="1"/>
        <rFont val="Arial"/>
        <family val="2"/>
      </rPr>
      <t>a</t>
    </r>
  </si>
  <si>
    <t>Nominal WACC (per cent)</t>
  </si>
  <si>
    <r>
      <t>6028</t>
    </r>
    <r>
      <rPr>
        <vertAlign val="superscript"/>
        <sz val="8"/>
        <color theme="1"/>
        <rFont val="Arial"/>
        <family val="2"/>
      </rPr>
      <t>b</t>
    </r>
  </si>
  <si>
    <t>–103</t>
  </si>
  <si>
    <t>–75</t>
  </si>
  <si>
    <t>(a) Approved DPPC revenue under/over recovery for regulatory year t.</t>
  </si>
  <si>
    <t>(b) Opening balance is the previous year's closing balance.</t>
  </si>
  <si>
    <t>(c)The DNSP is expected to achieve a closing balance as close to zero as practicable in its DPPC unders and overs account in each forecast year in its annual pricing proposals in the 2016–20 regulatory control period.</t>
  </si>
  <si>
    <t>Table 14.3 Example calculation of jurisdictional scheme amounts unders and overs account ($'000, nominal)</t>
  </si>
  <si>
    <t>23 121</t>
  </si>
  <si>
    <t>26 965</t>
  </si>
  <si>
    <t>20 272</t>
  </si>
  <si>
    <t>20 959</t>
  </si>
  <si>
    <t>28 641</t>
  </si>
  <si>
    <t>13 961</t>
  </si>
  <si>
    <t>14 680</t>
  </si>
  <si>
    <t>–495</t>
  </si>
  <si>
    <r>
      <t>–1676</t>
    </r>
    <r>
      <rPr>
        <vertAlign val="superscript"/>
        <sz val="8"/>
        <color theme="1"/>
        <rFont val="Arial"/>
        <family val="2"/>
      </rPr>
      <t>a</t>
    </r>
  </si>
  <si>
    <t>–52</t>
  </si>
  <si>
    <r>
      <t>–562</t>
    </r>
    <r>
      <rPr>
        <vertAlign val="superscript"/>
        <sz val="8"/>
        <color theme="1"/>
        <rFont val="Arial"/>
        <family val="2"/>
      </rPr>
      <t>b</t>
    </r>
  </si>
  <si>
    <t>–3</t>
  </si>
  <si>
    <t>–50</t>
  </si>
  <si>
    <t>–562</t>
  </si>
  <si>
    <t>(a) Approved jurisdictional scheme amounts revenue under/over recovery for regulatory year t.</t>
  </si>
  <si>
    <t>(c) The DNSP is expected to achieve a closing balance as close to zero as practicable in its jurisdictional scheme amount unders and overs account in each forecast year in its annual pricing proposals in the 2016–20 regulatory control period.</t>
  </si>
  <si>
    <t>is the sum of annual adjustment factors in year t as calculated in the unders and overs account in appendix C.</t>
  </si>
  <si>
    <t>is the annual percentage change in the ABS CPI All Groups, Weighted Average of Eight Capital Cities[39] from the June quarter in year t–2 to the June quarter in year t–1, calculated using the following method:</t>
  </si>
  <si>
    <r>
      <t>[39]</t>
    </r>
    <r>
      <rPr>
        <b/>
        <sz val="10"/>
        <color theme="1"/>
        <rFont val="Arial"/>
        <family val="2"/>
      </rPr>
      <t xml:space="preserve"> </t>
    </r>
  </si>
  <si>
    <t>is the annual percentage change in the ABS CPI All Groups, Weighted Average of Eight Capital Cities from the June quarter in year t–2 to the June quarter in year t–1, calculated using the following method:</t>
  </si>
  <si>
    <t>The ABS CPI All Groups, Weighted Average of Eight Capital Cities[40] for the June quarter in regulatory year t–1</t>
  </si>
  <si>
    <t>is the annual percentage change from the sum of annual adjustment factors in year t as calculated in the unders and overs account in appendix C.</t>
  </si>
  <si>
    <r>
      <t>[40]</t>
    </r>
    <r>
      <rPr>
        <b/>
        <sz val="10"/>
        <color theme="1"/>
        <rFont val="Arial"/>
        <family val="2"/>
      </rPr>
      <t xml:space="preserve"> </t>
    </r>
  </si>
  <si>
    <t>Table 16.xx</t>
  </si>
  <si>
    <t>Example calculation of annual metering charges unders and overs account ($'000, nominal)</t>
  </si>
  <si>
    <t>8 449</t>
  </si>
  <si>
    <t>7 389</t>
  </si>
  <si>
    <t>6 460</t>
  </si>
  <si>
    <t>7 366</t>
  </si>
  <si>
    <t>7 422</t>
  </si>
  <si>
    <t>7 573</t>
  </si>
  <si>
    <r>
      <t>+ Annual revenue requirement (AR</t>
    </r>
    <r>
      <rPr>
        <vertAlign val="subscript"/>
        <sz val="8"/>
        <color theme="1"/>
        <rFont val="Arial"/>
        <family val="2"/>
      </rPr>
      <t>t</t>
    </r>
    <r>
      <rPr>
        <sz val="8"/>
        <color theme="1"/>
        <rFont val="Arial"/>
        <family val="2"/>
      </rPr>
      <t>)</t>
    </r>
  </si>
  <si>
    <t>7 349</t>
  </si>
  <si>
    <t>7 412</t>
  </si>
  <si>
    <t>7 559</t>
  </si>
  <si>
    <r>
      <t>+ T factor (T</t>
    </r>
    <r>
      <rPr>
        <vertAlign val="subscript"/>
        <sz val="8"/>
        <color theme="1"/>
        <rFont val="Arial"/>
        <family val="2"/>
      </rPr>
      <t>t</t>
    </r>
    <r>
      <rPr>
        <sz val="8"/>
        <color theme="1"/>
        <rFont val="Arial"/>
        <family val="2"/>
      </rPr>
      <t xml:space="preserve">) – true‑ups relating to the AMI–Order in Council  </t>
    </r>
  </si>
  <si>
    <t>1 083</t>
  </si>
  <si>
    <t>–33</t>
  </si>
  <si>
    <r>
      <t>–1 113</t>
    </r>
    <r>
      <rPr>
        <vertAlign val="superscript"/>
        <sz val="8"/>
        <color theme="1"/>
        <rFont val="Arial"/>
        <family val="2"/>
      </rPr>
      <t>a</t>
    </r>
  </si>
  <si>
    <r>
      <t>1 057</t>
    </r>
    <r>
      <rPr>
        <vertAlign val="superscript"/>
        <sz val="8"/>
        <color theme="1"/>
        <rFont val="Arial"/>
        <family val="2"/>
      </rPr>
      <t>b</t>
    </r>
  </si>
  <si>
    <t>1 081</t>
  </si>
  <si>
    <r>
      <t>–1 113</t>
    </r>
    <r>
      <rPr>
        <vertAlign val="superscript"/>
        <sz val="8"/>
        <color theme="1"/>
        <rFont val="Arial"/>
        <family val="2"/>
      </rPr>
      <t>b</t>
    </r>
  </si>
  <si>
    <t>–1</t>
  </si>
  <si>
    <t>1 057</t>
  </si>
  <si>
    <r>
      <t>(a) Approved annual metering charges revenue under/over recovery for regulatory year t. This is the B</t>
    </r>
    <r>
      <rPr>
        <vertAlign val="subscript"/>
        <sz val="8"/>
        <color theme="1"/>
        <rFont val="Arial"/>
        <family val="2"/>
      </rPr>
      <t>t</t>
    </r>
    <r>
      <rPr>
        <sz val="8"/>
        <color theme="1"/>
        <rFont val="Arial"/>
        <family val="2"/>
      </rPr>
      <t xml:space="preserve"> parameter in the annual metering charges revenue cap formula.</t>
    </r>
  </si>
  <si>
    <t>(c) The DNSP is expected to achieve a closing balance as close to zero as practicable in its annual metering charges unders and overs account in each forecast year in its annual pricing proposals in the 2016–20 regulatory control period.</t>
  </si>
  <si>
    <t>Year t-1</t>
  </si>
  <si>
    <t>Nominal WACC</t>
  </si>
  <si>
    <t>Interest on Opening balance</t>
  </si>
  <si>
    <t>Nominal</t>
  </si>
  <si>
    <t>DMIA Carryover adjustment</t>
  </si>
  <si>
    <t>2011-15</t>
  </si>
  <si>
    <t>CPI - PTRM</t>
  </si>
  <si>
    <t>Nominal Vanilla WACC - PTRM</t>
  </si>
  <si>
    <t>Ex-ante revenue minus ex post expenditure ($nominal)</t>
  </si>
  <si>
    <t>UED</t>
  </si>
  <si>
    <t>Issue</t>
  </si>
  <si>
    <t>Location</t>
  </si>
  <si>
    <t>Comment</t>
  </si>
  <si>
    <t>The DNSP is expected to achieve a closing balance as close to zero as practicable in its annual metering charges unders and overs account in each forecast year in its annual pricing proposals in the 2016–20 regulatory control period.</t>
  </si>
  <si>
    <t>The DNSP is expected to achieve a closing balance as close to zero as practicable in its DUoS unders and overs account in each forecast year in its annual pricing proposals in the 2016–20 regulatory control period.</t>
  </si>
  <si>
    <t>The DNSP is expected to achieve a closing balance as close to zero as practicable in its DPPC unders and overs account in each forecast year in its annual pricing proposals in the 2016–20 regulatory control period.</t>
  </si>
  <si>
    <t>The DNSP is expected to achieve a closing balance as close to zero as practicable in its jurisdictional scheme amount unders and overs account in each forecast year in its annual pricing proposals in the 2016–20 regulatory control period.</t>
  </si>
  <si>
    <t>PropRev
Anytime</t>
  </si>
  <si>
    <t>PropRev
Pk</t>
  </si>
  <si>
    <t>PropRev
Opk</t>
  </si>
  <si>
    <t>PropRev
Dem kVA</t>
  </si>
  <si>
    <t>PropRev
Dem kW</t>
  </si>
  <si>
    <t>PropRev
Dem kW Sum</t>
  </si>
  <si>
    <t>PropRev
Dem kW Win</t>
  </si>
  <si>
    <t>EstRev
Anytime</t>
  </si>
  <si>
    <t>EstRev
Pk</t>
  </si>
  <si>
    <t>EstRev
Opk</t>
  </si>
  <si>
    <t>EstRev
Dem kVA</t>
  </si>
  <si>
    <t>EstRev
Dem kW</t>
  </si>
  <si>
    <t>EstRev
Dem kW Sum</t>
  </si>
  <si>
    <t>EstRev
Dem kW Win</t>
  </si>
  <si>
    <t>PropTar
Anytime</t>
  </si>
  <si>
    <t>PropTar
PkBlk</t>
  </si>
  <si>
    <t>PropTar
Dem kVA</t>
  </si>
  <si>
    <t>PropTar
Dem kW</t>
  </si>
  <si>
    <t>PropTar
Dem kW Sum</t>
  </si>
  <si>
    <t>PropTar
Dem kW Win</t>
  </si>
  <si>
    <t>FcastVol
Anytime</t>
  </si>
  <si>
    <t>FcastVol
Pk</t>
  </si>
  <si>
    <t>FcastVol
Opk</t>
  </si>
  <si>
    <t>FcastVol
Dem kVA</t>
  </si>
  <si>
    <t>FcastVol
Dem kW</t>
  </si>
  <si>
    <t>FcastVol
Dem kW Sum</t>
  </si>
  <si>
    <t>FcastVol
Dem kW Win</t>
  </si>
  <si>
    <t>ExistTar
Anytime</t>
  </si>
  <si>
    <t>ExistTar
Pk</t>
  </si>
  <si>
    <t>ExistTar
OPkBlk</t>
  </si>
  <si>
    <t>ExistTar
Dem kVA</t>
  </si>
  <si>
    <t>ExistTar
Dem kW</t>
  </si>
  <si>
    <t>ExistTar
Dem kW Sum</t>
  </si>
  <si>
    <t>ExistTar
Dem kW Win</t>
  </si>
  <si>
    <t>EstVol
Anytime</t>
  </si>
  <si>
    <t>EstVol
Pk</t>
  </si>
  <si>
    <t>EstVol
Opk</t>
  </si>
  <si>
    <t>EstVol
Dem kVA</t>
  </si>
  <si>
    <t>EstVol
Dem kW</t>
  </si>
  <si>
    <t>EstVol
Dem kW Sum</t>
  </si>
  <si>
    <t>EstVol
Dem kW Win</t>
  </si>
  <si>
    <t>ExistRev
Anytime</t>
  </si>
  <si>
    <t>ExistRev
Pk</t>
  </si>
  <si>
    <t>ExistRev
Opk</t>
  </si>
  <si>
    <t>ExistRev
Dem kVA</t>
  </si>
  <si>
    <t xml:space="preserve">ExistRev
Dem kW </t>
  </si>
  <si>
    <t>ExistRev
Dem kW Sum</t>
  </si>
  <si>
    <t>ExistRev
Dem kW Win</t>
  </si>
  <si>
    <t>CurrentTar
Fixed</t>
  </si>
  <si>
    <t>CurrentTar
Anytime</t>
  </si>
  <si>
    <t>CurrentTar
PkBlk</t>
  </si>
  <si>
    <t>CurrentTar
OPkBlk1</t>
  </si>
  <si>
    <t>CurrentTar
Dem kVA</t>
  </si>
  <si>
    <t>CurrentTar
Dem kW</t>
  </si>
  <si>
    <t>CurrentTar
Dem kW Sum</t>
  </si>
  <si>
    <t>CurrentTar
Dem kW Win</t>
  </si>
  <si>
    <t>CurrentTar
SumBlk1</t>
  </si>
  <si>
    <t>CurrentTar
SumBlk2</t>
  </si>
  <si>
    <t>CurrentTar
SumBlk3</t>
  </si>
  <si>
    <t>CurrentTar
WtrBlk1</t>
  </si>
  <si>
    <t>CurrentTar
WtrBlk2</t>
  </si>
  <si>
    <t>CurrentTar
WtrBlk3</t>
  </si>
  <si>
    <t>Total AMI Transitional Adjustment in 2018 prices ($)</t>
  </si>
  <si>
    <t>AMI Transitional Adjustment in 2018 prices ($)</t>
  </si>
  <si>
    <t>Vanilla' WACC (Real)</t>
  </si>
  <si>
    <t>Vanilla' WACC (nominal)</t>
  </si>
  <si>
    <t>Future value index</t>
  </si>
  <si>
    <t>AMI Transitional Adjustment - Revenue and Costs 2009-2015</t>
  </si>
  <si>
    <t>Over \ (under) recovery of revenue and costs (000's)</t>
  </si>
  <si>
    <t>NPV at 1 January 2009</t>
  </si>
  <si>
    <t>AMI Transitional Adjustment - Revenue 2016-2020</t>
  </si>
  <si>
    <t>Increase \ (Reduction) in revenue 2016-2020 (000's)</t>
  </si>
  <si>
    <t>NPV at 1 January 2016</t>
  </si>
  <si>
    <t>The model has actual and test data to illustrate the workings of the model.</t>
  </si>
  <si>
    <t>Metering!D8:D10</t>
  </si>
  <si>
    <t>Metering!F8:F10</t>
  </si>
  <si>
    <t>Metering!D80:D82</t>
  </si>
  <si>
    <t>Transmission charges for year t-1</t>
  </si>
  <si>
    <t>PFIT &amp; TFIT charges for year t-1</t>
  </si>
  <si>
    <t>The following is test data to illustrate the workings of the model.</t>
  </si>
  <si>
    <t>Item</t>
  </si>
  <si>
    <t>Input data required from DNSPs</t>
  </si>
  <si>
    <t>Model update'!G37:G41</t>
  </si>
  <si>
    <t>Model update'!G54:G58</t>
  </si>
  <si>
    <t>DuoS Xt for2019</t>
  </si>
  <si>
    <t>Model update'!G66:G70</t>
  </si>
  <si>
    <t>Metering Xt for2019</t>
  </si>
  <si>
    <t>Model update'!G94:G98</t>
  </si>
  <si>
    <t>Model update'!G105:G109</t>
  </si>
  <si>
    <t>Model update'!G127:G131</t>
  </si>
  <si>
    <t>Model update'!G116:G120</t>
  </si>
  <si>
    <t xml:space="preserve">T - factor </t>
  </si>
  <si>
    <t>Added Tt-1 and adjusted formula in I27 so that it is (Tt-Tt-1)/R</t>
  </si>
  <si>
    <t>Indicative prices for 2020'!A1:O65</t>
  </si>
  <si>
    <t>TSS indicative prices for 2020</t>
  </si>
  <si>
    <t>Values may require updating</t>
  </si>
  <si>
    <t>NIL for 2019</t>
  </si>
  <si>
    <t>TSS name</t>
  </si>
  <si>
    <t>Materiality threshold</t>
  </si>
  <si>
    <t xml:space="preserve">
Fixed</t>
  </si>
  <si>
    <t xml:space="preserve">
PkBlk1</t>
  </si>
  <si>
    <t xml:space="preserve">
PkBlk2</t>
  </si>
  <si>
    <t xml:space="preserve">
PkBlk3</t>
  </si>
  <si>
    <t xml:space="preserve">
PkBlk4</t>
  </si>
  <si>
    <t xml:space="preserve">
OPkBlk1</t>
  </si>
  <si>
    <t xml:space="preserve">
OPkBlk2</t>
  </si>
  <si>
    <t xml:space="preserve">
OPkBlk3</t>
  </si>
  <si>
    <t xml:space="preserve">
OPkBlk4</t>
  </si>
  <si>
    <t xml:space="preserve">
DemBlk1</t>
  </si>
  <si>
    <t xml:space="preserve">
DemBlk2</t>
  </si>
  <si>
    <t xml:space="preserve">
DemBlk3</t>
  </si>
  <si>
    <t xml:space="preserve">
DemBlk4</t>
  </si>
  <si>
    <t xml:space="preserve">
SumBlk1</t>
  </si>
  <si>
    <t xml:space="preserve">
SumBlk2</t>
  </si>
  <si>
    <t xml:space="preserve">
SumBlk3</t>
  </si>
  <si>
    <t xml:space="preserve">
SumBlk4</t>
  </si>
  <si>
    <t xml:space="preserve">
WtrBlk1</t>
  </si>
  <si>
    <t xml:space="preserve">
WtrBlk2</t>
  </si>
  <si>
    <t xml:space="preserve">
WtrBlk3</t>
  </si>
  <si>
    <t xml:space="preserve">
WtrBlk4</t>
  </si>
  <si>
    <t>Explanation required?</t>
  </si>
  <si>
    <t>C1R</t>
  </si>
  <si>
    <t>Residential Single Rate</t>
  </si>
  <si>
    <t>C1RB</t>
  </si>
  <si>
    <t>Residential Single Rate - Bulk</t>
  </si>
  <si>
    <t>C13R</t>
  </si>
  <si>
    <t>Residential - flexible pricing</t>
  </si>
  <si>
    <t>C13RB</t>
  </si>
  <si>
    <t>Residential - flexible pricing bulk</t>
  </si>
  <si>
    <t>C2R</t>
  </si>
  <si>
    <t>Residential Two Rate 5d</t>
  </si>
  <si>
    <t>C2RB</t>
  </si>
  <si>
    <t>Residential Two Rate 5d - Bulk</t>
  </si>
  <si>
    <t>C3R</t>
  </si>
  <si>
    <t>Residential Interval</t>
  </si>
  <si>
    <t>C3RB</t>
  </si>
  <si>
    <t>Residential Interval - Bulk</t>
  </si>
  <si>
    <t>C2ROP</t>
  </si>
  <si>
    <t>Residential Two Rate 5d - Controlled Load</t>
  </si>
  <si>
    <t>C2RBOP</t>
  </si>
  <si>
    <t>Residential Two Rate 5d - Bulk - Controlled Load</t>
  </si>
  <si>
    <t>CDS</t>
  </si>
  <si>
    <t>Dedicated Circuit</t>
  </si>
  <si>
    <t>CDSB</t>
  </si>
  <si>
    <t>Dedicated Circuit - Bulk</t>
  </si>
  <si>
    <t>CR</t>
  </si>
  <si>
    <t>Residential Demand</t>
  </si>
  <si>
    <t>CRB</t>
  </si>
  <si>
    <t>Residential Bulk Demand</t>
  </si>
  <si>
    <t>C1G</t>
  </si>
  <si>
    <t>Non-Residential Single Rate</t>
  </si>
  <si>
    <t>C1GB</t>
  </si>
  <si>
    <t>Non-Residential Single Rate - Bulk</t>
  </si>
  <si>
    <t>C2G5</t>
  </si>
  <si>
    <t>Non-Residential Two Rate 5d</t>
  </si>
  <si>
    <t>C2G5B</t>
  </si>
  <si>
    <t>Non-Residential Two Rate 5d - Bulk</t>
  </si>
  <si>
    <t>C3G</t>
  </si>
  <si>
    <t>Non-Residential Interval</t>
  </si>
  <si>
    <t>C3GB</t>
  </si>
  <si>
    <t>Non-Residential Interval - Bulk</t>
  </si>
  <si>
    <t>C14G</t>
  </si>
  <si>
    <t>Non-Residential Flexible Pricing</t>
  </si>
  <si>
    <t>C14GB</t>
  </si>
  <si>
    <t>Non-Residential - Flexible Pricing Bulk</t>
  </si>
  <si>
    <t>C2G7</t>
  </si>
  <si>
    <t>Non-Residential Two Rate 7d</t>
  </si>
  <si>
    <t>C2G7B</t>
  </si>
  <si>
    <t>Non-Residential Two Rate 7d - Bulk</t>
  </si>
  <si>
    <t>C2L7</t>
  </si>
  <si>
    <t>Large Two Rate 7d</t>
  </si>
  <si>
    <t>CG</t>
  </si>
  <si>
    <t>Non-Residential Demand Tariff</t>
  </si>
  <si>
    <t>CGB</t>
  </si>
  <si>
    <t>Non-Residential Bulk Demand Tariff</t>
  </si>
  <si>
    <t>CMG</t>
  </si>
  <si>
    <t>Medium Business Demand</t>
  </si>
  <si>
    <t>CMGB</t>
  </si>
  <si>
    <t>Medium Business Bulk Demand</t>
  </si>
  <si>
    <t>CMGO</t>
  </si>
  <si>
    <t>Medium Business Opt-out</t>
  </si>
  <si>
    <t>CMGBO</t>
  </si>
  <si>
    <t>Medium Business Bulk Opt-out</t>
  </si>
  <si>
    <t>C2U</t>
  </si>
  <si>
    <t>Unmetered Supplies / Public Lighting</t>
  </si>
  <si>
    <t>CLLV</t>
  </si>
  <si>
    <t>Large low Voltage</t>
  </si>
  <si>
    <t>CLLVB</t>
  </si>
  <si>
    <t>Large low Voltage Bulk</t>
  </si>
  <si>
    <t>CHV</t>
  </si>
  <si>
    <t>High Voltage</t>
  </si>
  <si>
    <t>CST</t>
  </si>
  <si>
    <t>Subtransmission</t>
  </si>
  <si>
    <t>Residential flat</t>
  </si>
  <si>
    <t>Residential flat (bulk)</t>
  </si>
  <si>
    <t>Residential flexible</t>
  </si>
  <si>
    <t>Residential flexible (bulk)</t>
  </si>
  <si>
    <t>Residential two rate 5d</t>
  </si>
  <si>
    <t>Residential two rate 5d (bulk)</t>
  </si>
  <si>
    <t>Residential controlled load</t>
  </si>
  <si>
    <t>Residential controlled load (bulk)</t>
  </si>
  <si>
    <t>Residential cost-reflective</t>
  </si>
  <si>
    <t>Residential cost-reflective (bulk)</t>
  </si>
  <si>
    <t>Small business flat</t>
  </si>
  <si>
    <t>Small business flat (bulk)</t>
  </si>
  <si>
    <t>Non-residential two rate 5d</t>
  </si>
  <si>
    <t>Non-residential two rate 5d (bulk)</t>
  </si>
  <si>
    <t>Non-residential flexible pricing</t>
  </si>
  <si>
    <t>Non-residential flexible pricing (bulk)</t>
  </si>
  <si>
    <t>Non-residential two rate 7d</t>
  </si>
  <si>
    <t>Non-residential two rate 7d (bulk)</t>
  </si>
  <si>
    <t>Large two rate 7d</t>
  </si>
  <si>
    <t>Small business cost-reflective</t>
  </si>
  <si>
    <t>Small business cost-reflective (bulk)</t>
  </si>
  <si>
    <t>Medium business</t>
  </si>
  <si>
    <t>Medium business (bulk)</t>
  </si>
  <si>
    <t>Unmetered supplies</t>
  </si>
  <si>
    <t>Large low voltage</t>
  </si>
  <si>
    <t>Large low voltage (bulk)</t>
  </si>
  <si>
    <t>High voltage</t>
  </si>
  <si>
    <t>AEMO (Locational &amp; Non-Locational)</t>
  </si>
  <si>
    <t>AEMO (TUoS Common Service Charge)</t>
  </si>
  <si>
    <t>Grid equalisation</t>
  </si>
  <si>
    <t>Adjustment</t>
  </si>
  <si>
    <t>Ausnet Services (Connection)</t>
  </si>
  <si>
    <t>Ausnet Services (Augmentation)</t>
  </si>
  <si>
    <t>UE</t>
  </si>
  <si>
    <t>Est2018DistRev!Z7:AS42</t>
  </si>
  <si>
    <t>Prop2019DistTar!D7:W42</t>
  </si>
  <si>
    <t>Prop2019DistTar!AV7:BO42</t>
  </si>
  <si>
    <t>2019TransRevCont'!C20:C23</t>
  </si>
  <si>
    <t>2019TransRevCont'!D42:D45</t>
  </si>
  <si>
    <t>Prop2019JSTar!D7:W42</t>
  </si>
  <si>
    <t>2019JSRevCont'!C20:C21</t>
  </si>
  <si>
    <t>2019JSRevCont'!D40:D41</t>
  </si>
  <si>
    <t>Metering!E31 and I27</t>
  </si>
  <si>
    <t>Metering!E32 and I28</t>
  </si>
  <si>
    <t xml:space="preserve">B - factor </t>
  </si>
  <si>
    <t>Added Bt-1 and adjusted formula in I28 so that it is (Bt-Bt-1)/R</t>
  </si>
  <si>
    <t>Prop2018TransTar!D7:W42</t>
  </si>
  <si>
    <t>Ifactor (t) 2019</t>
  </si>
  <si>
    <t>S factor (t) 2019</t>
  </si>
  <si>
    <t>Pass through amounts (t) 2019</t>
  </si>
  <si>
    <t>Licence Fee (t-1) 2017-18</t>
  </si>
  <si>
    <t>Proposed Metering Tariffs P(t) for 2019</t>
  </si>
  <si>
    <t>Forecast Quantities   (Qt) for 2019</t>
  </si>
  <si>
    <t>Estimated Quantities   (Qt-1) for 2018</t>
  </si>
  <si>
    <t>Proposed Distribution Tariffs (Pt) for 2019</t>
  </si>
  <si>
    <t>Forecast Quantities (Qt) for 2019</t>
  </si>
  <si>
    <t xml:space="preserve"> Estimated Distribution Quantities for 2018 (Qt-1)</t>
  </si>
  <si>
    <t>Proposed Transmission Tariffs (Pt) for 2019</t>
  </si>
  <si>
    <t>Proposed Jurisdictional scheme Tariffs (Pt) for 2019</t>
  </si>
  <si>
    <t>Formula modified</t>
  </si>
  <si>
    <t>2019DistRevCapForm'!C28</t>
  </si>
  <si>
    <t>2019TransRevCont'!C15</t>
  </si>
  <si>
    <t>2019JSRevCont'!B15</t>
  </si>
  <si>
    <t>DNSP required to populate with relevant data</t>
  </si>
  <si>
    <t>Metering!D32</t>
  </si>
  <si>
    <t>Transmission connection (TCt)</t>
  </si>
  <si>
    <t>Values updated</t>
  </si>
  <si>
    <t>Values updated for 2019 cost of debt</t>
  </si>
  <si>
    <t>Values updated for 2019 cost of debt and inflation correction</t>
  </si>
  <si>
    <t>&lt;---Banking applied</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</si>
</sst>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44" formatCode="_-&quot;$&quot;* #,##0.00_-;\-&quot;$&quot;* #,##0.00_-;_-&quot;$&quot;* &quot;-&quot;??_-;_-@_-"/>
    <numFmt numFmtId="43" formatCode="_-* #,##0.00_-;\-* #,##0.00_-;_-* &quot;-&quot;??_-;_-@_-"/>
    <numFmt numFmtId="164" formatCode="0.0"/>
    <numFmt numFmtId="165" formatCode="0.000000%"/>
    <numFmt numFmtId="166" formatCode="&quot;$&quot;#,##0;[Red]&quot;$&quot;#,##0"/>
    <numFmt numFmtId="167" formatCode="&quot;$&quot;#,##0.00;[Red]&quot;$&quot;#,##0.00"/>
    <numFmt numFmtId="168" formatCode="_-* #,##0_-;\-* #,##0_-;_-* &quot;-&quot;??_-;_-@_-"/>
    <numFmt numFmtId="169" formatCode="0.000"/>
    <numFmt numFmtId="170" formatCode="#,##0.000"/>
    <numFmt numFmtId="171" formatCode="#,##0.000000000000000"/>
    <numFmt numFmtId="172" formatCode="_(* #,##0.00_);_(* \(#,##0.00\);_(* &quot;-&quot;??_);_(@_)"/>
    <numFmt numFmtId="173" formatCode="_-* #,##0.000_-;\-* #,##0.000_-;_-* &quot;-&quot;??_-;_-@_-"/>
    <numFmt numFmtId="174" formatCode="_-* #,##0.0000_-;\-* #,##0.0000_-;_-* &quot;-&quot;??_-;_-@_-"/>
    <numFmt numFmtId="175" formatCode="#,##0.00000"/>
    <numFmt numFmtId="176" formatCode="0.0%"/>
    <numFmt numFmtId="177" formatCode="0.0000%"/>
    <numFmt numFmtId="178" formatCode="0.000%"/>
  </numFmts>
  <fonts count="69" x14ac:knownFonts="1">
    <font>
      <sz val="10"/>
      <color theme="1"/>
      <name val="Arial"/>
      <family val="2"/>
    </font>
    <font>
      <sz val="10"/>
      <color theme="1"/>
      <name val="Arial"/>
      <family val="2"/>
    </font>
    <font>
      <b/>
      <sz val="12"/>
      <color rgb="FF076A92"/>
      <name val="Arial"/>
      <family val="2"/>
    </font>
    <font>
      <sz val="11"/>
      <color theme="1"/>
      <name val="Arial"/>
      <family val="2"/>
    </font>
    <font>
      <sz val="11"/>
      <name val="Arial"/>
      <family val="2"/>
    </font>
    <font>
      <sz val="8"/>
      <color theme="1"/>
      <name val="Arial"/>
      <family val="2"/>
    </font>
    <font>
      <vertAlign val="superscript"/>
      <sz val="8"/>
      <color theme="1"/>
      <name val="Arial"/>
      <family val="2"/>
    </font>
    <font>
      <vertAlign val="subscript"/>
      <sz val="8"/>
      <color theme="1"/>
      <name val="Arial"/>
      <family val="2"/>
    </font>
    <font>
      <b/>
      <sz val="8"/>
      <color rgb="FFFFFFFF"/>
      <name val="Arial"/>
      <family val="2"/>
    </font>
    <font>
      <b/>
      <sz val="8"/>
      <color theme="1"/>
      <name val="Arial"/>
      <family val="2"/>
    </font>
    <font>
      <i/>
      <sz val="8"/>
      <color theme="1"/>
      <name val="Arial"/>
      <family val="2"/>
    </font>
    <font>
      <b/>
      <i/>
      <sz val="8"/>
      <color theme="1"/>
      <name val="Arial"/>
      <family val="2"/>
    </font>
    <font>
      <sz val="10"/>
      <name val="Verdana"/>
      <family val="2"/>
    </font>
    <font>
      <sz val="10"/>
      <name val="Arial"/>
      <family val="2"/>
    </font>
    <font>
      <sz val="11"/>
      <color theme="1"/>
      <name val="Calibri"/>
      <family val="2"/>
      <scheme val="minor"/>
    </font>
    <font>
      <sz val="11"/>
      <color indexed="8"/>
      <name val="Calibri"/>
      <family val="2"/>
    </font>
    <font>
      <b/>
      <sz val="9"/>
      <color indexed="81"/>
      <name val="Tahoma"/>
      <family val="2"/>
    </font>
    <font>
      <sz val="9"/>
      <color indexed="81"/>
      <name val="Tahoma"/>
      <family val="2"/>
    </font>
    <font>
      <i/>
      <sz val="11"/>
      <color indexed="12"/>
      <name val="Arial"/>
      <family val="2"/>
    </font>
    <font>
      <b/>
      <sz val="11"/>
      <name val="Arial"/>
      <family val="2"/>
    </font>
    <font>
      <sz val="11"/>
      <color indexed="10"/>
      <name val="Arial"/>
      <family val="2"/>
    </font>
    <font>
      <b/>
      <sz val="11"/>
      <color indexed="10"/>
      <name val="Arial"/>
      <family val="2"/>
    </font>
    <font>
      <b/>
      <sz val="11"/>
      <color indexed="17"/>
      <name val="Arial"/>
      <family val="2"/>
    </font>
    <font>
      <b/>
      <sz val="11"/>
      <color indexed="8"/>
      <name val="Arial"/>
      <family val="2"/>
    </font>
    <font>
      <b/>
      <i/>
      <sz val="11"/>
      <color indexed="12"/>
      <name val="Arial"/>
      <family val="2"/>
    </font>
    <font>
      <sz val="11"/>
      <color rgb="FFFF0000"/>
      <name val="Arial"/>
      <family val="2"/>
    </font>
    <font>
      <b/>
      <sz val="11"/>
      <color theme="1"/>
      <name val="Arial"/>
      <family val="2"/>
    </font>
    <font>
      <b/>
      <sz val="10"/>
      <name val="Arial"/>
      <family val="2"/>
    </font>
    <font>
      <sz val="8"/>
      <name val="Arial"/>
      <family val="2"/>
    </font>
    <font>
      <sz val="10"/>
      <color indexed="12"/>
      <name val="Arial"/>
      <family val="2"/>
    </font>
    <font>
      <b/>
      <u/>
      <sz val="12"/>
      <color rgb="FFFF0000"/>
      <name val="Arial"/>
      <family val="2"/>
    </font>
    <font>
      <sz val="10"/>
      <color rgb="FF0000FF"/>
      <name val="Arial"/>
      <family val="2"/>
    </font>
    <font>
      <i/>
      <sz val="11"/>
      <name val="Arial"/>
      <family val="2"/>
    </font>
    <font>
      <b/>
      <sz val="12"/>
      <color theme="1"/>
      <name val="Arial"/>
      <family val="2"/>
    </font>
    <font>
      <b/>
      <i/>
      <sz val="14"/>
      <name val="Arial"/>
      <family val="2"/>
    </font>
    <font>
      <b/>
      <u/>
      <sz val="11"/>
      <name val="Arial"/>
      <family val="2"/>
    </font>
    <font>
      <b/>
      <sz val="10"/>
      <color indexed="10"/>
      <name val="Arial"/>
      <family val="2"/>
    </font>
    <font>
      <b/>
      <u/>
      <sz val="10"/>
      <name val="Arial"/>
      <family val="2"/>
    </font>
    <font>
      <sz val="10"/>
      <color rgb="FFFF0000"/>
      <name val="Arial"/>
      <family val="2"/>
    </font>
    <font>
      <b/>
      <sz val="10"/>
      <color rgb="FFFF0000"/>
      <name val="Arial"/>
      <family val="2"/>
    </font>
    <font>
      <sz val="10"/>
      <color indexed="10"/>
      <name val="Arial"/>
      <family val="2"/>
    </font>
    <font>
      <sz val="7"/>
      <color theme="1"/>
      <name val="Arial"/>
      <family val="2"/>
    </font>
    <font>
      <b/>
      <u/>
      <sz val="10"/>
      <color rgb="FFFF0000"/>
      <name val="Arial"/>
      <family val="2"/>
    </font>
    <font>
      <b/>
      <vertAlign val="subscript"/>
      <sz val="10"/>
      <name val="Arial"/>
      <family val="2"/>
    </font>
    <font>
      <b/>
      <sz val="10"/>
      <color indexed="8"/>
      <name val="Arial"/>
      <family val="2"/>
    </font>
    <font>
      <b/>
      <u/>
      <sz val="14"/>
      <color rgb="FFFF0000"/>
      <name val="Arial"/>
      <family val="2"/>
    </font>
    <font>
      <sz val="11"/>
      <color rgb="FF0000FF"/>
      <name val="Arial"/>
      <family val="2"/>
    </font>
    <font>
      <b/>
      <sz val="10"/>
      <color theme="1"/>
      <name val="Arial"/>
      <family val="2"/>
    </font>
    <font>
      <b/>
      <vertAlign val="superscript"/>
      <sz val="10"/>
      <color theme="1"/>
      <name val="Arial"/>
      <family val="2"/>
    </font>
    <font>
      <vertAlign val="subscript"/>
      <sz val="10"/>
      <color theme="1"/>
      <name val="Arial"/>
      <family val="2"/>
    </font>
    <font>
      <sz val="10"/>
      <color rgb="FF0000FF"/>
      <name val="Verdana"/>
      <family val="2"/>
    </font>
    <font>
      <b/>
      <sz val="10"/>
      <name val="Verdana"/>
      <family val="2"/>
    </font>
    <font>
      <b/>
      <sz val="11"/>
      <color theme="1"/>
      <name val="Calibri"/>
      <family val="2"/>
      <scheme val="minor"/>
    </font>
    <font>
      <sz val="11"/>
      <color rgb="FFFF0000"/>
      <name val="Calibri"/>
      <family val="2"/>
      <scheme val="minor"/>
    </font>
    <font>
      <sz val="11"/>
      <name val="Calibri"/>
      <family val="2"/>
      <scheme val="minor"/>
    </font>
    <font>
      <sz val="11"/>
      <color rgb="FF0000FF"/>
      <name val="Calibri"/>
      <family val="2"/>
      <scheme val="minor"/>
    </font>
    <font>
      <b/>
      <sz val="10"/>
      <color rgb="FF0000FF"/>
      <name val="Arial"/>
      <family val="2"/>
    </font>
    <font>
      <b/>
      <sz val="11"/>
      <color rgb="FFFF0000"/>
      <name val="Arial"/>
      <family val="2"/>
    </font>
    <font>
      <b/>
      <sz val="12"/>
      <color theme="1"/>
      <name val="Calibri"/>
      <family val="2"/>
      <scheme val="minor"/>
    </font>
    <font>
      <b/>
      <u/>
      <sz val="11"/>
      <color theme="1"/>
      <name val="Calibri"/>
      <family val="2"/>
      <scheme val="minor"/>
    </font>
    <font>
      <b/>
      <sz val="11"/>
      <name val="Calibri"/>
      <family val="2"/>
      <scheme val="minor"/>
    </font>
    <font>
      <b/>
      <sz val="12"/>
      <color rgb="FFFF0000"/>
      <name val="Calibri"/>
      <family val="2"/>
      <scheme val="minor"/>
    </font>
    <font>
      <sz val="8"/>
      <color rgb="FFFF0000"/>
      <name val="Arial"/>
      <family val="2"/>
    </font>
    <font>
      <sz val="10"/>
      <color rgb="FFFF00FF"/>
      <name val="Arial"/>
      <family val="2"/>
    </font>
    <font>
      <b/>
      <sz val="10"/>
      <color theme="0"/>
      <name val="Arial"/>
      <family val="2"/>
    </font>
    <font>
      <i/>
      <sz val="10"/>
      <name val="Arial"/>
      <family val="2"/>
    </font>
    <font>
      <b/>
      <sz val="10"/>
      <color rgb="FFFFFFFF"/>
      <name val="Arial"/>
      <family val="2"/>
    </font>
    <font>
      <b/>
      <sz val="11"/>
      <color rgb="FFFFFFFF"/>
      <name val="Arial"/>
      <family val="2"/>
    </font>
    <font>
      <b/>
      <sz val="11"/>
      <color theme="0"/>
      <name val="Arial"/>
      <family val="2"/>
    </font>
  </fonts>
  <fills count="25">
    <fill>
      <patternFill patternType="none"/>
    </fill>
    <fill>
      <patternFill patternType="gray125"/>
    </fill>
    <fill>
      <patternFill patternType="solid">
        <fgColor rgb="FF365F91"/>
        <bgColor indexed="64"/>
      </patternFill>
    </fill>
    <fill>
      <patternFill patternType="solid">
        <fgColor rgb="FFDBE5F1"/>
        <bgColor indexed="64"/>
      </patternFill>
    </fill>
    <fill>
      <patternFill patternType="solid">
        <fgColor indexed="9"/>
        <bgColor indexed="64"/>
      </patternFill>
    </fill>
    <fill>
      <patternFill patternType="solid">
        <fgColor indexed="43"/>
        <bgColor indexed="64"/>
      </patternFill>
    </fill>
    <fill>
      <patternFill patternType="solid">
        <fgColor rgb="FFFFFF00"/>
        <bgColor indexed="64"/>
      </patternFill>
    </fill>
    <fill>
      <patternFill patternType="solid">
        <fgColor indexed="13"/>
        <bgColor indexed="64"/>
      </patternFill>
    </fill>
    <fill>
      <patternFill patternType="solid">
        <fgColor theme="0"/>
        <bgColor indexed="64"/>
      </patternFill>
    </fill>
    <fill>
      <patternFill patternType="solid">
        <fgColor indexed="26"/>
        <bgColor indexed="64"/>
      </patternFill>
    </fill>
    <fill>
      <patternFill patternType="solid">
        <fgColor rgb="FFFFFFCC"/>
        <bgColor indexed="64"/>
      </patternFill>
    </fill>
    <fill>
      <patternFill patternType="solid">
        <fgColor indexed="41"/>
        <bgColor indexed="64"/>
      </patternFill>
    </fill>
    <fill>
      <patternFill patternType="solid">
        <fgColor rgb="FFCCFFFF"/>
        <bgColor indexed="64"/>
      </patternFill>
    </fill>
    <fill>
      <patternFill patternType="solid">
        <fgColor indexed="27"/>
        <bgColor indexed="64"/>
      </patternFill>
    </fill>
    <fill>
      <patternFill patternType="solid">
        <fgColor indexed="27"/>
      </patternFill>
    </fill>
    <fill>
      <patternFill patternType="solid">
        <fgColor rgb="FFFFFF99"/>
        <bgColor indexed="64"/>
      </patternFill>
    </fill>
    <fill>
      <patternFill patternType="solid">
        <fgColor indexed="22"/>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theme="9"/>
        <bgColor indexed="64"/>
      </patternFill>
    </fill>
    <fill>
      <patternFill patternType="solid">
        <fgColor theme="9" tint="0.59999389629810485"/>
        <bgColor indexed="64"/>
      </patternFill>
    </fill>
    <fill>
      <patternFill patternType="solid">
        <fgColor rgb="FF00B050"/>
        <bgColor rgb="FF000000"/>
      </patternFill>
    </fill>
    <fill>
      <patternFill patternType="solid">
        <fgColor rgb="FF00B050"/>
        <bgColor indexed="64"/>
      </patternFill>
    </fill>
  </fills>
  <borders count="62">
    <border>
      <left/>
      <right/>
      <top/>
      <bottom/>
      <diagonal/>
    </border>
    <border>
      <left/>
      <right/>
      <top/>
      <bottom style="medium">
        <color rgb="FF365F91"/>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top style="thin">
        <color indexed="64"/>
      </top>
      <bottom style="thin">
        <color indexed="64"/>
      </bottom>
      <diagonal/>
    </border>
    <border>
      <left/>
      <right/>
      <top style="thin">
        <color indexed="64"/>
      </top>
      <bottom style="double">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style="double">
        <color indexed="64"/>
      </bottom>
      <diagonal/>
    </border>
    <border>
      <left/>
      <right/>
      <top/>
      <bottom style="double">
        <color indexed="64"/>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s>
  <cellStyleXfs count="23">
    <xf numFmtId="0" fontId="0" fillId="0" borderId="0"/>
    <xf numFmtId="0" fontId="12" fillId="0" borderId="0"/>
    <xf numFmtId="0" fontId="13" fillId="0" borderId="0"/>
    <xf numFmtId="9" fontId="12" fillId="0" borderId="0" applyFont="0" applyFill="0" applyBorder="0" applyAlignment="0" applyProtection="0"/>
    <xf numFmtId="0" fontId="14" fillId="0" borderId="0"/>
    <xf numFmtId="43" fontId="1" fillId="0" borderId="0" applyFont="0" applyFill="0" applyBorder="0" applyAlignment="0" applyProtection="0"/>
    <xf numFmtId="9" fontId="1" fillId="0" borderId="0" applyFont="0" applyFill="0" applyBorder="0" applyAlignment="0" applyProtection="0"/>
    <xf numFmtId="0" fontId="13" fillId="0" borderId="0"/>
    <xf numFmtId="3" fontId="13" fillId="11" borderId="0" applyNumberFormat="0" applyFont="0" applyBorder="0" applyAlignment="0">
      <alignment horizontal="right"/>
      <protection locked="0"/>
    </xf>
    <xf numFmtId="0" fontId="13" fillId="0" borderId="0"/>
    <xf numFmtId="0" fontId="13" fillId="0" borderId="0"/>
    <xf numFmtId="0" fontId="13" fillId="0" borderId="0"/>
    <xf numFmtId="0" fontId="13" fillId="0" borderId="0"/>
    <xf numFmtId="0" fontId="13" fillId="0" borderId="0"/>
    <xf numFmtId="0" fontId="15" fillId="14" borderId="0" applyNumberFormat="0" applyBorder="0" applyAlignment="0" applyProtection="0"/>
    <xf numFmtId="172" fontId="12" fillId="0" borderId="0" applyFont="0" applyFill="0" applyBorder="0" applyAlignment="0" applyProtection="0"/>
    <xf numFmtId="0" fontId="12" fillId="0" borderId="0"/>
    <xf numFmtId="0" fontId="13" fillId="0" borderId="0"/>
    <xf numFmtId="0" fontId="13" fillId="0" borderId="0"/>
    <xf numFmtId="0" fontId="14" fillId="0" borderId="0"/>
    <xf numFmtId="0" fontId="13" fillId="0" borderId="0"/>
    <xf numFmtId="9" fontId="14" fillId="0" borderId="0" applyFont="0" applyFill="0" applyBorder="0" applyAlignment="0" applyProtection="0"/>
    <xf numFmtId="44" fontId="1" fillId="0" borderId="0" applyFont="0" applyFill="0" applyBorder="0" applyAlignment="0" applyProtection="0"/>
  </cellStyleXfs>
  <cellXfs count="821">
    <xf numFmtId="0" fontId="0" fillId="0" borderId="0" xfId="0"/>
    <xf numFmtId="0" fontId="2" fillId="0" borderId="0" xfId="0" applyFont="1" applyAlignment="1">
      <alignment vertical="center"/>
    </xf>
    <xf numFmtId="0" fontId="1" fillId="0" borderId="0" xfId="0" applyFont="1" applyAlignment="1">
      <alignment horizontal="left" vertical="center" indent="2"/>
    </xf>
    <xf numFmtId="0" fontId="3" fillId="0" borderId="0" xfId="0" applyFont="1" applyAlignment="1">
      <alignment horizontal="left" vertical="center" indent="2"/>
    </xf>
    <xf numFmtId="0" fontId="3" fillId="0" borderId="0" xfId="0" applyFont="1" applyAlignment="1">
      <alignment vertical="center"/>
    </xf>
    <xf numFmtId="0" fontId="3" fillId="0" borderId="0" xfId="0" applyFont="1" applyAlignment="1">
      <alignment horizontal="left" vertical="center" indent="3"/>
    </xf>
    <xf numFmtId="0" fontId="4" fillId="0" borderId="0" xfId="0" applyFont="1" applyAlignment="1">
      <alignment vertical="center"/>
    </xf>
    <xf numFmtId="0" fontId="3" fillId="0" borderId="0" xfId="0" applyFont="1" applyAlignment="1">
      <alignment horizontal="left" vertical="center" indent="1"/>
    </xf>
    <xf numFmtId="0" fontId="6" fillId="0" borderId="0" xfId="0" applyFont="1" applyAlignment="1">
      <alignment horizontal="left" vertical="center" indent="1"/>
    </xf>
    <xf numFmtId="0" fontId="5" fillId="0" borderId="0" xfId="0" applyFont="1" applyAlignment="1">
      <alignment horizontal="left" vertical="center" indent="1"/>
    </xf>
    <xf numFmtId="0" fontId="8" fillId="2" borderId="0" xfId="0" applyFont="1" applyFill="1" applyAlignment="1">
      <alignment horizontal="right" vertical="center" wrapText="1"/>
    </xf>
    <xf numFmtId="0" fontId="9" fillId="0" borderId="0" xfId="0" applyFont="1" applyAlignment="1">
      <alignment vertical="center" wrapText="1"/>
    </xf>
    <xf numFmtId="0" fontId="9" fillId="0" borderId="0" xfId="0" applyFont="1" applyAlignment="1">
      <alignment horizontal="right" vertical="center" wrapText="1"/>
    </xf>
    <xf numFmtId="0" fontId="9" fillId="3" borderId="0" xfId="0" applyFont="1" applyFill="1" applyAlignment="1">
      <alignment vertical="center" wrapText="1"/>
    </xf>
    <xf numFmtId="0" fontId="9" fillId="3" borderId="0" xfId="0" applyFont="1" applyFill="1" applyAlignment="1">
      <alignment horizontal="right" vertical="center" wrapText="1"/>
    </xf>
    <xf numFmtId="0" fontId="5" fillId="0" borderId="0" xfId="0" applyFont="1" applyAlignment="1">
      <alignment horizontal="left" vertical="center" wrapText="1" indent="1"/>
    </xf>
    <xf numFmtId="0" fontId="5" fillId="0" borderId="0" xfId="0" applyFont="1" applyAlignment="1">
      <alignment horizontal="right" vertical="center" wrapText="1"/>
    </xf>
    <xf numFmtId="0" fontId="5" fillId="3" borderId="0" xfId="0" applyFont="1" applyFill="1" applyAlignment="1">
      <alignment horizontal="left" vertical="center" wrapText="1" indent="1"/>
    </xf>
    <xf numFmtId="0" fontId="5" fillId="3" borderId="0" xfId="0" applyFont="1" applyFill="1" applyAlignment="1">
      <alignment horizontal="right" vertical="center" wrapText="1"/>
    </xf>
    <xf numFmtId="0" fontId="10" fillId="0" borderId="0" xfId="0" applyFont="1" applyAlignment="1">
      <alignment horizontal="left" vertical="center" wrapText="1" indent="3"/>
    </xf>
    <xf numFmtId="0" fontId="10" fillId="0" borderId="0" xfId="0" applyFont="1" applyAlignment="1">
      <alignment horizontal="right" vertical="center" wrapText="1"/>
    </xf>
    <xf numFmtId="0" fontId="10" fillId="3" borderId="0" xfId="0" applyFont="1" applyFill="1" applyAlignment="1">
      <alignment horizontal="left" vertical="center" wrapText="1" indent="3"/>
    </xf>
    <xf numFmtId="0" fontId="10" fillId="3" borderId="0" xfId="0" applyFont="1" applyFill="1" applyAlignment="1">
      <alignment horizontal="right" vertical="center" wrapText="1"/>
    </xf>
    <xf numFmtId="0" fontId="5" fillId="3" borderId="0" xfId="0" applyFont="1" applyFill="1" applyAlignment="1">
      <alignment vertical="center" wrapText="1"/>
    </xf>
    <xf numFmtId="10" fontId="5" fillId="3" borderId="0" xfId="0" applyNumberFormat="1" applyFont="1" applyFill="1" applyAlignment="1">
      <alignment horizontal="right" vertical="center" wrapText="1"/>
    </xf>
    <xf numFmtId="0" fontId="5" fillId="0" borderId="0" xfId="0" applyFont="1" applyAlignment="1">
      <alignment vertical="center" wrapText="1"/>
    </xf>
    <xf numFmtId="10" fontId="5" fillId="0" borderId="0" xfId="0" applyNumberFormat="1" applyFont="1" applyAlignment="1">
      <alignment horizontal="right" vertical="center" wrapText="1"/>
    </xf>
    <xf numFmtId="0" fontId="9" fillId="0" borderId="1" xfId="0" applyFont="1" applyBorder="1" applyAlignment="1">
      <alignment vertical="center" wrapText="1"/>
    </xf>
    <xf numFmtId="0" fontId="9" fillId="0" borderId="1" xfId="0" applyFont="1" applyBorder="1" applyAlignment="1">
      <alignment horizontal="right" vertical="center" wrapText="1"/>
    </xf>
    <xf numFmtId="0" fontId="5" fillId="0" borderId="0" xfId="0" applyFont="1" applyAlignment="1">
      <alignment horizontal="justify" vertical="center"/>
    </xf>
    <xf numFmtId="0" fontId="9" fillId="3" borderId="1" xfId="0" applyFont="1" applyFill="1" applyBorder="1" applyAlignment="1">
      <alignment vertical="center" wrapText="1"/>
    </xf>
    <xf numFmtId="0" fontId="9" fillId="3" borderId="1" xfId="0" applyFont="1" applyFill="1" applyBorder="1" applyAlignment="1">
      <alignment horizontal="right" vertical="center" wrapText="1"/>
    </xf>
    <xf numFmtId="0" fontId="4" fillId="0" borderId="0" xfId="0" applyFont="1" applyProtection="1">
      <protection locked="0"/>
    </xf>
    <xf numFmtId="0" fontId="3" fillId="0" borderId="0" xfId="0" applyFont="1" applyProtection="1"/>
    <xf numFmtId="169" fontId="3" fillId="0" borderId="0" xfId="0" applyNumberFormat="1" applyFont="1" applyAlignment="1" applyProtection="1">
      <alignment horizontal="center"/>
    </xf>
    <xf numFmtId="0" fontId="3" fillId="0" borderId="0" xfId="0" applyFont="1" applyProtection="1">
      <protection locked="0"/>
    </xf>
    <xf numFmtId="170" fontId="3" fillId="0" borderId="0" xfId="0" applyNumberFormat="1" applyFont="1" applyProtection="1">
      <protection locked="0"/>
    </xf>
    <xf numFmtId="2" fontId="19" fillId="0" borderId="0" xfId="5" applyNumberFormat="1" applyFont="1" applyAlignment="1" applyProtection="1">
      <alignment horizontal="left"/>
    </xf>
    <xf numFmtId="2" fontId="19" fillId="0" borderId="0" xfId="5" applyNumberFormat="1" applyFont="1" applyAlignment="1" applyProtection="1">
      <alignment horizontal="left"/>
      <protection locked="0"/>
    </xf>
    <xf numFmtId="2" fontId="18" fillId="0" borderId="0" xfId="5" applyNumberFormat="1" applyFont="1" applyFill="1" applyAlignment="1" applyProtection="1">
      <alignment horizontal="left"/>
      <protection locked="0"/>
    </xf>
    <xf numFmtId="0" fontId="4" fillId="0" borderId="0" xfId="0" applyFont="1" applyProtection="1"/>
    <xf numFmtId="169" fontId="4" fillId="0" borderId="0" xfId="0" applyNumberFormat="1" applyFont="1" applyAlignment="1" applyProtection="1">
      <alignment horizontal="center"/>
    </xf>
    <xf numFmtId="170" fontId="4" fillId="0" borderId="0" xfId="0" applyNumberFormat="1" applyFont="1" applyProtection="1">
      <protection locked="0"/>
    </xf>
    <xf numFmtId="0" fontId="4" fillId="0" borderId="0" xfId="0" applyFont="1" applyAlignment="1" applyProtection="1">
      <alignment vertical="center"/>
      <protection locked="0"/>
    </xf>
    <xf numFmtId="0" fontId="19" fillId="0" borderId="0" xfId="0" applyFont="1" applyBorder="1" applyAlignment="1" applyProtection="1">
      <alignment vertical="center"/>
    </xf>
    <xf numFmtId="0" fontId="3" fillId="0" borderId="0" xfId="0" applyFont="1" applyBorder="1" applyAlignment="1" applyProtection="1">
      <alignment vertical="center"/>
    </xf>
    <xf numFmtId="169" fontId="19" fillId="0" borderId="0" xfId="0" applyNumberFormat="1" applyFont="1" applyBorder="1" applyAlignment="1" applyProtection="1">
      <alignment horizontal="center" vertical="center"/>
    </xf>
    <xf numFmtId="0" fontId="3" fillId="0" borderId="0" xfId="0" applyFont="1" applyFill="1" applyBorder="1" applyProtection="1">
      <protection locked="0"/>
    </xf>
    <xf numFmtId="0" fontId="4" fillId="0" borderId="11" xfId="0" applyFont="1" applyFill="1" applyBorder="1" applyAlignment="1" applyProtection="1">
      <alignment vertical="center"/>
    </xf>
    <xf numFmtId="171" fontId="4" fillId="0" borderId="0" xfId="0" applyNumberFormat="1" applyFont="1" applyFill="1" applyBorder="1" applyProtection="1">
      <protection locked="0"/>
    </xf>
    <xf numFmtId="3" fontId="20" fillId="0" borderId="0" xfId="8" applyFont="1" applyFill="1" applyBorder="1" applyAlignment="1" applyProtection="1">
      <alignment horizontal="left"/>
      <protection locked="0"/>
    </xf>
    <xf numFmtId="0" fontId="22" fillId="0" borderId="0" xfId="0" applyFont="1" applyFill="1" applyProtection="1">
      <protection locked="0"/>
    </xf>
    <xf numFmtId="0" fontId="3" fillId="0" borderId="7" xfId="0" applyFont="1" applyFill="1" applyBorder="1" applyAlignment="1" applyProtection="1">
      <alignment vertical="center"/>
    </xf>
    <xf numFmtId="0" fontId="4" fillId="0" borderId="11" xfId="0" applyFont="1" applyBorder="1" applyAlignment="1" applyProtection="1">
      <alignment vertical="center"/>
    </xf>
    <xf numFmtId="0" fontId="4" fillId="4" borderId="11" xfId="0" applyFont="1" applyFill="1" applyBorder="1" applyAlignment="1" applyProtection="1">
      <alignment vertical="center"/>
    </xf>
    <xf numFmtId="0" fontId="4" fillId="0" borderId="7" xfId="0" applyFont="1" applyFill="1" applyBorder="1" applyAlignment="1" applyProtection="1">
      <alignment vertical="center"/>
    </xf>
    <xf numFmtId="0" fontId="19" fillId="0" borderId="7" xfId="0" applyFont="1" applyBorder="1" applyAlignment="1" applyProtection="1">
      <alignment vertical="center"/>
    </xf>
    <xf numFmtId="0" fontId="4" fillId="0" borderId="0" xfId="0" applyFont="1" applyBorder="1" applyAlignment="1" applyProtection="1">
      <alignment vertical="center"/>
    </xf>
    <xf numFmtId="0" fontId="19" fillId="0" borderId="0" xfId="9" applyFont="1" applyProtection="1"/>
    <xf numFmtId="0" fontId="19" fillId="0" borderId="11" xfId="9" applyFont="1" applyBorder="1" applyProtection="1"/>
    <xf numFmtId="0" fontId="4" fillId="0" borderId="11" xfId="9" applyFont="1" applyBorder="1" applyProtection="1"/>
    <xf numFmtId="0" fontId="4" fillId="0" borderId="0" xfId="7" applyFont="1"/>
    <xf numFmtId="169" fontId="4" fillId="0" borderId="0" xfId="7" applyNumberFormat="1" applyFont="1" applyFill="1" applyAlignment="1" applyProtection="1">
      <alignment horizontal="center"/>
    </xf>
    <xf numFmtId="2" fontId="24" fillId="11" borderId="0" xfId="5" applyNumberFormat="1" applyFont="1" applyFill="1" applyAlignment="1" applyProtection="1">
      <alignment horizontal="left"/>
      <protection locked="0"/>
    </xf>
    <xf numFmtId="3" fontId="4" fillId="0" borderId="11" xfId="6" applyNumberFormat="1" applyFont="1" applyFill="1" applyBorder="1" applyAlignment="1" applyProtection="1">
      <alignment horizontal="right" vertical="center"/>
    </xf>
    <xf numFmtId="3" fontId="19" fillId="12" borderId="11" xfId="6" applyNumberFormat="1" applyFont="1" applyFill="1" applyBorder="1" applyAlignment="1" applyProtection="1">
      <alignment horizontal="right" vertical="center"/>
      <protection hidden="1"/>
    </xf>
    <xf numFmtId="3" fontId="4" fillId="10" borderId="11" xfId="0" applyNumberFormat="1" applyFont="1" applyFill="1" applyBorder="1" applyAlignment="1" applyProtection="1">
      <alignment horizontal="right" vertical="center"/>
    </xf>
    <xf numFmtId="10" fontId="4" fillId="0" borderId="11" xfId="6" applyNumberFormat="1" applyFont="1" applyFill="1" applyBorder="1" applyAlignment="1" applyProtection="1">
      <alignment horizontal="right" vertical="center"/>
      <protection hidden="1"/>
    </xf>
    <xf numFmtId="170" fontId="19" fillId="0" borderId="0" xfId="6" applyNumberFormat="1" applyFont="1" applyFill="1" applyBorder="1" applyAlignment="1" applyProtection="1">
      <alignment horizontal="right" vertical="center"/>
      <protection hidden="1"/>
    </xf>
    <xf numFmtId="3" fontId="20" fillId="0" borderId="0" xfId="8" applyFont="1" applyFill="1" applyBorder="1" applyAlignment="1" applyProtection="1">
      <alignment horizontal="right"/>
      <protection locked="0"/>
    </xf>
    <xf numFmtId="3" fontId="4" fillId="0" borderId="11" xfId="9" applyNumberFormat="1" applyFont="1" applyFill="1" applyBorder="1" applyAlignment="1" applyProtection="1">
      <alignment horizontal="right"/>
    </xf>
    <xf numFmtId="3" fontId="19" fillId="13" borderId="11" xfId="6" applyNumberFormat="1" applyFont="1" applyFill="1" applyBorder="1" applyAlignment="1" applyProtection="1">
      <alignment horizontal="right" vertical="center"/>
      <protection hidden="1"/>
    </xf>
    <xf numFmtId="3" fontId="19" fillId="0" borderId="11" xfId="0" applyNumberFormat="1" applyFont="1" applyFill="1" applyBorder="1" applyAlignment="1" applyProtection="1">
      <alignment horizontal="right" vertical="center"/>
    </xf>
    <xf numFmtId="0" fontId="19" fillId="11" borderId="0" xfId="5" applyNumberFormat="1" applyFont="1" applyFill="1" applyAlignment="1" applyProtection="1">
      <alignment horizontal="left"/>
      <protection locked="0"/>
    </xf>
    <xf numFmtId="170" fontId="4" fillId="0" borderId="0" xfId="8" applyNumberFormat="1" applyFont="1" applyFill="1" applyBorder="1" applyProtection="1">
      <alignment horizontal="right"/>
      <protection locked="0"/>
    </xf>
    <xf numFmtId="3" fontId="4" fillId="0" borderId="0" xfId="8" applyFont="1" applyFill="1" applyBorder="1" applyProtection="1">
      <alignment horizontal="right"/>
      <protection locked="0"/>
    </xf>
    <xf numFmtId="0" fontId="4" fillId="0" borderId="0" xfId="7" applyFont="1" applyFill="1"/>
    <xf numFmtId="0" fontId="3" fillId="0" borderId="0" xfId="0" applyFont="1" applyFill="1" applyProtection="1">
      <protection locked="0"/>
    </xf>
    <xf numFmtId="0" fontId="4" fillId="0" borderId="6" xfId="7" applyFont="1" applyBorder="1"/>
    <xf numFmtId="0" fontId="3" fillId="0" borderId="38" xfId="0" applyFont="1" applyBorder="1" applyProtection="1">
      <protection locked="0"/>
    </xf>
    <xf numFmtId="10" fontId="3" fillId="0" borderId="11" xfId="0" applyNumberFormat="1" applyFont="1" applyBorder="1" applyProtection="1">
      <protection locked="0"/>
    </xf>
    <xf numFmtId="0" fontId="26" fillId="0" borderId="13" xfId="0" applyFont="1" applyBorder="1" applyProtection="1"/>
    <xf numFmtId="3" fontId="19" fillId="0" borderId="12" xfId="6" applyNumberFormat="1" applyFont="1" applyFill="1" applyBorder="1" applyAlignment="1" applyProtection="1">
      <alignment horizontal="right" vertical="center"/>
    </xf>
    <xf numFmtId="0" fontId="4" fillId="0" borderId="0" xfId="0" applyFont="1" applyFill="1" applyProtection="1">
      <protection locked="0"/>
    </xf>
    <xf numFmtId="0" fontId="4" fillId="0" borderId="8" xfId="0" applyFont="1" applyFill="1" applyBorder="1" applyAlignment="1" applyProtection="1">
      <alignment vertical="center"/>
    </xf>
    <xf numFmtId="3" fontId="19" fillId="0" borderId="8" xfId="0" applyNumberFormat="1" applyFont="1" applyFill="1" applyBorder="1" applyAlignment="1" applyProtection="1">
      <alignment horizontal="right" vertical="center"/>
    </xf>
    <xf numFmtId="0" fontId="3" fillId="0" borderId="38" xfId="0" applyFont="1" applyBorder="1" applyProtection="1"/>
    <xf numFmtId="0" fontId="3" fillId="0" borderId="19" xfId="0" applyFont="1" applyFill="1" applyBorder="1" applyAlignment="1" applyProtection="1">
      <alignment vertical="center"/>
    </xf>
    <xf numFmtId="0" fontId="21" fillId="4" borderId="39" xfId="0" applyFont="1" applyFill="1" applyBorder="1" applyAlignment="1" applyProtection="1">
      <alignment horizontal="right" vertical="center"/>
    </xf>
    <xf numFmtId="0" fontId="27" fillId="16" borderId="0" xfId="2" applyFont="1" applyFill="1"/>
    <xf numFmtId="0" fontId="30" fillId="0" borderId="0" xfId="0" applyFont="1" applyAlignment="1">
      <alignment vertical="center"/>
    </xf>
    <xf numFmtId="10" fontId="23" fillId="0" borderId="7" xfId="5" applyNumberFormat="1" applyFont="1" applyFill="1" applyBorder="1" applyAlignment="1" applyProtection="1">
      <alignment horizontal="center" vertical="center"/>
    </xf>
    <xf numFmtId="10" fontId="23" fillId="0" borderId="0" xfId="5" applyNumberFormat="1" applyFont="1" applyFill="1" applyBorder="1" applyAlignment="1" applyProtection="1">
      <alignment horizontal="center" vertical="center"/>
    </xf>
    <xf numFmtId="0" fontId="19" fillId="11" borderId="0" xfId="5" applyNumberFormat="1" applyFont="1" applyFill="1" applyAlignment="1" applyProtection="1">
      <alignment horizontal="center"/>
      <protection locked="0"/>
    </xf>
    <xf numFmtId="3" fontId="3" fillId="0" borderId="11" xfId="0" applyNumberFormat="1" applyFont="1" applyBorder="1" applyProtection="1">
      <protection locked="0"/>
    </xf>
    <xf numFmtId="3" fontId="26" fillId="0" borderId="11" xfId="0" applyNumberFormat="1" applyFont="1" applyBorder="1" applyProtection="1">
      <protection locked="0"/>
    </xf>
    <xf numFmtId="169" fontId="3" fillId="0" borderId="18" xfId="0" applyNumberFormat="1" applyFont="1" applyBorder="1" applyAlignment="1" applyProtection="1">
      <alignment horizontal="center"/>
    </xf>
    <xf numFmtId="0" fontId="3" fillId="0" borderId="8" xfId="0" applyFont="1" applyFill="1" applyBorder="1" applyProtection="1"/>
    <xf numFmtId="0" fontId="3" fillId="0" borderId="18" xfId="0" applyFont="1" applyFill="1" applyBorder="1" applyProtection="1"/>
    <xf numFmtId="0" fontId="4" fillId="0" borderId="18" xfId="0" applyFont="1" applyFill="1" applyBorder="1" applyAlignment="1" applyProtection="1">
      <alignment wrapText="1"/>
    </xf>
    <xf numFmtId="0" fontId="19" fillId="0" borderId="18" xfId="0" applyFont="1" applyFill="1" applyBorder="1" applyProtection="1"/>
    <xf numFmtId="49" fontId="4" fillId="0" borderId="18" xfId="0" applyNumberFormat="1" applyFont="1" applyFill="1" applyBorder="1" applyAlignment="1" applyProtection="1">
      <alignment horizontal="left" indent="1"/>
    </xf>
    <xf numFmtId="49" fontId="32" fillId="0" borderId="18" xfId="0" applyNumberFormat="1" applyFont="1" applyFill="1" applyBorder="1" applyAlignment="1" applyProtection="1">
      <alignment horizontal="left" indent="2"/>
    </xf>
    <xf numFmtId="49" fontId="19" fillId="0" borderId="18" xfId="0" applyNumberFormat="1" applyFont="1" applyFill="1" applyBorder="1" applyProtection="1"/>
    <xf numFmtId="0" fontId="4" fillId="0" borderId="18" xfId="0" applyFont="1" applyFill="1" applyBorder="1" applyProtection="1"/>
    <xf numFmtId="0" fontId="33" fillId="0" borderId="0" xfId="0" applyFont="1" applyProtection="1"/>
    <xf numFmtId="10" fontId="3" fillId="0" borderId="18" xfId="6" applyNumberFormat="1" applyFont="1" applyBorder="1" applyAlignment="1" applyProtection="1">
      <alignment horizontal="right"/>
    </xf>
    <xf numFmtId="3" fontId="3" fillId="0" borderId="18" xfId="0" applyNumberFormat="1" applyFont="1" applyBorder="1" applyProtection="1">
      <protection locked="0"/>
    </xf>
    <xf numFmtId="0" fontId="3" fillId="0" borderId="18" xfId="0" applyFont="1" applyBorder="1" applyProtection="1">
      <protection locked="0"/>
    </xf>
    <xf numFmtId="3" fontId="25" fillId="0" borderId="18" xfId="0" applyNumberFormat="1" applyFont="1" applyBorder="1" applyProtection="1">
      <protection locked="0"/>
    </xf>
    <xf numFmtId="0" fontId="19" fillId="0" borderId="8" xfId="17" applyFont="1" applyFill="1" applyBorder="1" applyAlignment="1" applyProtection="1">
      <alignment horizontal="right"/>
    </xf>
    <xf numFmtId="1" fontId="19" fillId="0" borderId="18" xfId="17" applyNumberFormat="1" applyFont="1" applyFill="1" applyBorder="1" applyAlignment="1" applyProtection="1">
      <alignment horizontal="right"/>
    </xf>
    <xf numFmtId="1" fontId="19" fillId="0" borderId="12" xfId="17" applyNumberFormat="1" applyFont="1" applyFill="1" applyBorder="1" applyAlignment="1" applyProtection="1">
      <alignment horizontal="right"/>
    </xf>
    <xf numFmtId="0" fontId="19" fillId="0" borderId="6" xfId="0" applyFont="1" applyFill="1" applyBorder="1" applyProtection="1"/>
    <xf numFmtId="0" fontId="4" fillId="0" borderId="10" xfId="0" applyFont="1" applyFill="1" applyBorder="1" applyProtection="1"/>
    <xf numFmtId="0" fontId="19" fillId="0" borderId="13" xfId="0" applyFont="1" applyFill="1" applyBorder="1" applyProtection="1"/>
    <xf numFmtId="0" fontId="3" fillId="0" borderId="0" xfId="0" applyFont="1" applyBorder="1" applyProtection="1"/>
    <xf numFmtId="3" fontId="3" fillId="0" borderId="12" xfId="0" applyNumberFormat="1" applyFont="1" applyBorder="1" applyProtection="1">
      <protection locked="0"/>
    </xf>
    <xf numFmtId="0" fontId="27" fillId="0" borderId="5" xfId="18" applyFont="1" applyBorder="1"/>
    <xf numFmtId="4" fontId="13" fillId="9" borderId="9" xfId="18" applyNumberFormat="1" applyFont="1" applyFill="1" applyBorder="1" applyAlignment="1">
      <alignment horizontal="center"/>
    </xf>
    <xf numFmtId="0" fontId="13" fillId="0" borderId="16" xfId="18" applyFont="1" applyBorder="1" applyAlignment="1">
      <alignment horizontal="right"/>
    </xf>
    <xf numFmtId="4" fontId="13" fillId="0" borderId="57" xfId="18" applyNumberFormat="1" applyFont="1" applyBorder="1" applyAlignment="1">
      <alignment horizontal="center"/>
    </xf>
    <xf numFmtId="0" fontId="27" fillId="0" borderId="3" xfId="18" applyFont="1" applyBorder="1"/>
    <xf numFmtId="0" fontId="27" fillId="0" borderId="4" xfId="18" applyFont="1" applyBorder="1"/>
    <xf numFmtId="0" fontId="27" fillId="0" borderId="5" xfId="18" applyFont="1" applyBorder="1" applyAlignment="1">
      <alignment horizontal="left"/>
    </xf>
    <xf numFmtId="0" fontId="13" fillId="0" borderId="14" xfId="18" applyFont="1" applyBorder="1" applyAlignment="1">
      <alignment horizontal="center" vertical="center" wrapText="1"/>
    </xf>
    <xf numFmtId="0" fontId="13" fillId="0" borderId="37" xfId="18" applyFont="1" applyBorder="1" applyAlignment="1">
      <alignment horizontal="center" vertical="center" wrapText="1"/>
    </xf>
    <xf numFmtId="4" fontId="13" fillId="9" borderId="0" xfId="18" applyNumberFormat="1" applyFont="1" applyFill="1" applyBorder="1" applyAlignment="1">
      <alignment horizontal="center"/>
    </xf>
    <xf numFmtId="4" fontId="13" fillId="9" borderId="7" xfId="18" applyNumberFormat="1" applyFont="1" applyFill="1" applyBorder="1" applyAlignment="1">
      <alignment horizontal="center"/>
    </xf>
    <xf numFmtId="4" fontId="13" fillId="9" borderId="23" xfId="18" applyNumberFormat="1" applyFont="1" applyFill="1" applyBorder="1" applyAlignment="1">
      <alignment horizontal="center"/>
    </xf>
    <xf numFmtId="4" fontId="13" fillId="4" borderId="9" xfId="18" applyNumberFormat="1" applyFont="1" applyFill="1" applyBorder="1" applyAlignment="1">
      <alignment horizontal="center"/>
    </xf>
    <xf numFmtId="4" fontId="13" fillId="4" borderId="49" xfId="18" applyNumberFormat="1" applyFont="1" applyFill="1" applyBorder="1" applyAlignment="1">
      <alignment horizontal="center"/>
    </xf>
    <xf numFmtId="4" fontId="13" fillId="9" borderId="21" xfId="18" applyNumberFormat="1" applyFont="1" applyFill="1" applyBorder="1" applyAlignment="1">
      <alignment horizontal="center"/>
    </xf>
    <xf numFmtId="0" fontId="27" fillId="0" borderId="15" xfId="18" applyFont="1" applyBorder="1" applyAlignment="1">
      <alignment horizontal="right"/>
    </xf>
    <xf numFmtId="4" fontId="13" fillId="0" borderId="58" xfId="18" applyNumberFormat="1" applyFont="1" applyBorder="1" applyAlignment="1">
      <alignment horizontal="center"/>
    </xf>
    <xf numFmtId="4" fontId="13" fillId="0" borderId="59" xfId="18" applyNumberFormat="1" applyFont="1" applyBorder="1" applyAlignment="1">
      <alignment horizontal="center"/>
    </xf>
    <xf numFmtId="0" fontId="13" fillId="0" borderId="9" xfId="18" applyFont="1" applyBorder="1"/>
    <xf numFmtId="4" fontId="13" fillId="9" borderId="37" xfId="18" applyNumberFormat="1" applyFont="1" applyFill="1" applyBorder="1" applyAlignment="1">
      <alignment horizontal="center"/>
    </xf>
    <xf numFmtId="4" fontId="13" fillId="0" borderId="9" xfId="18" applyNumberFormat="1" applyFont="1" applyBorder="1" applyAlignment="1">
      <alignment horizontal="center"/>
    </xf>
    <xf numFmtId="2" fontId="24" fillId="0" borderId="0" xfId="5" applyNumberFormat="1" applyFont="1" applyFill="1" applyAlignment="1" applyProtection="1">
      <alignment horizontal="left"/>
      <protection locked="0"/>
    </xf>
    <xf numFmtId="2" fontId="34" fillId="6" borderId="0" xfId="5" applyNumberFormat="1" applyFont="1" applyFill="1" applyAlignment="1" applyProtection="1">
      <alignment horizontal="left"/>
      <protection locked="0"/>
    </xf>
    <xf numFmtId="169" fontId="3" fillId="6" borderId="0" xfId="0" applyNumberFormat="1" applyFont="1" applyFill="1" applyAlignment="1" applyProtection="1">
      <alignment horizontal="center"/>
    </xf>
    <xf numFmtId="3" fontId="4" fillId="0" borderId="18" xfId="0" applyNumberFormat="1" applyFont="1" applyBorder="1" applyProtection="1">
      <protection locked="0"/>
    </xf>
    <xf numFmtId="49" fontId="4" fillId="0" borderId="10" xfId="0" applyNumberFormat="1" applyFont="1" applyFill="1" applyBorder="1" applyAlignment="1" applyProtection="1">
      <alignment horizontal="left" indent="1"/>
    </xf>
    <xf numFmtId="3" fontId="4" fillId="0" borderId="18" xfId="6" applyNumberFormat="1" applyFont="1" applyFill="1" applyBorder="1" applyAlignment="1" applyProtection="1">
      <alignment horizontal="right" vertical="center"/>
    </xf>
    <xf numFmtId="3" fontId="3" fillId="0" borderId="0" xfId="0" applyNumberFormat="1" applyFont="1" applyProtection="1">
      <protection locked="0"/>
    </xf>
    <xf numFmtId="0" fontId="27" fillId="16" borderId="0" xfId="16" applyFont="1" applyFill="1"/>
    <xf numFmtId="10" fontId="13" fillId="4" borderId="18" xfId="3" applyNumberFormat="1" applyFont="1" applyFill="1" applyBorder="1"/>
    <xf numFmtId="10" fontId="13" fillId="4" borderId="12" xfId="3" applyNumberFormat="1" applyFont="1" applyFill="1" applyBorder="1"/>
    <xf numFmtId="10" fontId="13" fillId="4" borderId="0" xfId="3" applyNumberFormat="1" applyFont="1" applyFill="1" applyBorder="1"/>
    <xf numFmtId="0" fontId="35" fillId="16" borderId="0" xfId="1" applyFont="1" applyFill="1"/>
    <xf numFmtId="0" fontId="13" fillId="16" borderId="0" xfId="1" applyFont="1" applyFill="1" applyBorder="1"/>
    <xf numFmtId="0" fontId="13" fillId="4" borderId="17" xfId="1" applyFont="1" applyFill="1" applyBorder="1"/>
    <xf numFmtId="0" fontId="1" fillId="0" borderId="0" xfId="0" applyFont="1"/>
    <xf numFmtId="0" fontId="13" fillId="0" borderId="16" xfId="18" applyFont="1" applyBorder="1" applyAlignment="1"/>
    <xf numFmtId="0" fontId="13" fillId="0" borderId="4" xfId="18" applyFont="1" applyBorder="1" applyAlignment="1"/>
    <xf numFmtId="0" fontId="13" fillId="9" borderId="2" xfId="18" applyFont="1" applyFill="1" applyBorder="1" applyAlignment="1">
      <alignment horizontal="center"/>
    </xf>
    <xf numFmtId="0" fontId="13" fillId="0" borderId="0" xfId="18" applyFont="1" applyBorder="1" applyAlignment="1"/>
    <xf numFmtId="0" fontId="13" fillId="9" borderId="0" xfId="18" applyFont="1" applyFill="1" applyBorder="1" applyAlignment="1"/>
    <xf numFmtId="3" fontId="4" fillId="0" borderId="8" xfId="6" applyNumberFormat="1" applyFont="1" applyFill="1" applyBorder="1" applyAlignment="1" applyProtection="1">
      <alignment horizontal="right" vertical="center"/>
    </xf>
    <xf numFmtId="0" fontId="3" fillId="0" borderId="39" xfId="0" applyFont="1" applyFill="1" applyBorder="1" applyAlignment="1" applyProtection="1">
      <alignment vertical="center"/>
    </xf>
    <xf numFmtId="0" fontId="3" fillId="0" borderId="23" xfId="0" applyFont="1" applyFill="1" applyBorder="1" applyAlignment="1" applyProtection="1">
      <alignment vertical="center"/>
    </xf>
    <xf numFmtId="0" fontId="4" fillId="4" borderId="39" xfId="0" applyFont="1" applyFill="1" applyBorder="1" applyAlignment="1" applyProtection="1">
      <alignment vertical="center"/>
    </xf>
    <xf numFmtId="0" fontId="19" fillId="0" borderId="39" xfId="0" applyFont="1" applyBorder="1" applyAlignment="1" applyProtection="1">
      <alignment vertical="center"/>
    </xf>
    <xf numFmtId="0" fontId="4" fillId="0" borderId="38" xfId="0" applyFont="1" applyFill="1" applyBorder="1" applyAlignment="1" applyProtection="1">
      <alignment vertical="center"/>
    </xf>
    <xf numFmtId="0" fontId="4" fillId="0" borderId="6" xfId="0" applyFont="1" applyFill="1" applyBorder="1" applyAlignment="1" applyProtection="1">
      <alignment vertical="center"/>
    </xf>
    <xf numFmtId="0" fontId="4" fillId="0" borderId="38" xfId="0" applyFont="1" applyBorder="1" applyAlignment="1" applyProtection="1">
      <alignment vertical="center"/>
    </xf>
    <xf numFmtId="0" fontId="4" fillId="4" borderId="38" xfId="0" applyFont="1" applyFill="1" applyBorder="1" applyAlignment="1" applyProtection="1">
      <alignment vertical="center"/>
    </xf>
    <xf numFmtId="0" fontId="19" fillId="0" borderId="10" xfId="0" applyFont="1" applyFill="1" applyBorder="1" applyAlignment="1" applyProtection="1"/>
    <xf numFmtId="0" fontId="3" fillId="0" borderId="6" xfId="0" applyFont="1" applyFill="1" applyBorder="1" applyProtection="1"/>
    <xf numFmtId="0" fontId="3" fillId="0" borderId="10" xfId="0" applyFont="1" applyFill="1" applyBorder="1" applyProtection="1"/>
    <xf numFmtId="0" fontId="4" fillId="0" borderId="10" xfId="0" applyFont="1" applyFill="1" applyBorder="1" applyAlignment="1" applyProtection="1">
      <alignment wrapText="1"/>
    </xf>
    <xf numFmtId="0" fontId="19" fillId="0" borderId="10" xfId="0" applyFont="1" applyFill="1" applyBorder="1" applyProtection="1"/>
    <xf numFmtId="0" fontId="3" fillId="0" borderId="23" xfId="0" applyFont="1" applyBorder="1" applyProtection="1"/>
    <xf numFmtId="0" fontId="3" fillId="0" borderId="21" xfId="0" applyFont="1" applyBorder="1" applyProtection="1"/>
    <xf numFmtId="0" fontId="4" fillId="0" borderId="6" xfId="0" applyFont="1" applyFill="1" applyBorder="1" applyProtection="1"/>
    <xf numFmtId="0" fontId="3" fillId="0" borderId="8" xfId="0" applyFont="1" applyBorder="1" applyProtection="1">
      <protection locked="0"/>
    </xf>
    <xf numFmtId="0" fontId="3" fillId="0" borderId="22" xfId="0" applyFont="1" applyBorder="1" applyProtection="1"/>
    <xf numFmtId="3" fontId="19" fillId="18" borderId="11" xfId="6" applyNumberFormat="1" applyFont="1" applyFill="1" applyBorder="1" applyAlignment="1" applyProtection="1">
      <alignment horizontal="right" vertical="center"/>
      <protection hidden="1"/>
    </xf>
    <xf numFmtId="0" fontId="35" fillId="16" borderId="0" xfId="0" applyFont="1" applyFill="1"/>
    <xf numFmtId="0" fontId="13" fillId="0" borderId="0" xfId="1" applyFont="1" applyFill="1"/>
    <xf numFmtId="0" fontId="27" fillId="16" borderId="0" xfId="0" applyFont="1" applyFill="1"/>
    <xf numFmtId="0" fontId="13" fillId="17" borderId="0" xfId="1" applyFont="1" applyFill="1"/>
    <xf numFmtId="0" fontId="27" fillId="6" borderId="30" xfId="1" applyFont="1" applyFill="1" applyBorder="1" applyAlignment="1">
      <alignment horizontal="center" wrapText="1"/>
    </xf>
    <xf numFmtId="0" fontId="13" fillId="6" borderId="0" xfId="1" applyFont="1" applyFill="1" applyBorder="1"/>
    <xf numFmtId="0" fontId="13" fillId="17" borderId="0" xfId="1" applyFont="1" applyFill="1" applyBorder="1"/>
    <xf numFmtId="0" fontId="13" fillId="0" borderId="41" xfId="1" applyFont="1" applyFill="1" applyBorder="1"/>
    <xf numFmtId="0" fontId="13" fillId="0" borderId="42" xfId="1" applyFont="1" applyFill="1" applyBorder="1"/>
    <xf numFmtId="0" fontId="13" fillId="0" borderId="41" xfId="1" applyFont="1" applyFill="1" applyBorder="1" applyAlignment="1">
      <alignment horizontal="center" wrapText="1"/>
    </xf>
    <xf numFmtId="0" fontId="13" fillId="15" borderId="31" xfId="1" applyFont="1" applyFill="1" applyBorder="1"/>
    <xf numFmtId="0" fontId="13" fillId="15" borderId="2" xfId="1" applyFont="1" applyFill="1" applyBorder="1"/>
    <xf numFmtId="168" fontId="13" fillId="15" borderId="31" xfId="15" applyNumberFormat="1" applyFont="1" applyFill="1" applyBorder="1"/>
    <xf numFmtId="0" fontId="13" fillId="15" borderId="32" xfId="1" applyFont="1" applyFill="1" applyBorder="1"/>
    <xf numFmtId="0" fontId="13" fillId="15" borderId="15" xfId="1" applyFont="1" applyFill="1" applyBorder="1"/>
    <xf numFmtId="0" fontId="13" fillId="0" borderId="0" xfId="1" applyFont="1" applyFill="1" applyBorder="1"/>
    <xf numFmtId="0" fontId="13" fillId="4" borderId="0" xfId="16" applyFont="1" applyFill="1" applyBorder="1"/>
    <xf numFmtId="0" fontId="13" fillId="16" borderId="0" xfId="1" applyFont="1" applyFill="1"/>
    <xf numFmtId="0" fontId="3" fillId="0" borderId="10" xfId="0" applyFont="1" applyBorder="1" applyProtection="1">
      <protection locked="0"/>
    </xf>
    <xf numFmtId="0" fontId="3" fillId="0" borderId="0" xfId="0" applyFont="1" applyBorder="1" applyProtection="1">
      <protection locked="0"/>
    </xf>
    <xf numFmtId="3" fontId="4" fillId="0" borderId="13" xfId="8" applyFont="1" applyFill="1" applyBorder="1" applyProtection="1">
      <alignment horizontal="right"/>
      <protection locked="0"/>
    </xf>
    <xf numFmtId="3" fontId="4" fillId="0" borderId="22" xfId="8" applyFont="1" applyFill="1" applyBorder="1" applyProtection="1">
      <alignment horizontal="right"/>
      <protection locked="0"/>
    </xf>
    <xf numFmtId="0" fontId="4" fillId="0" borderId="0" xfId="0" applyFont="1" applyBorder="1" applyProtection="1">
      <protection locked="0"/>
    </xf>
    <xf numFmtId="170" fontId="4" fillId="0" borderId="0" xfId="0" applyNumberFormat="1" applyFont="1" applyBorder="1" applyProtection="1">
      <protection locked="0"/>
    </xf>
    <xf numFmtId="0" fontId="13" fillId="0" borderId="6" xfId="16" applyFont="1" applyFill="1" applyBorder="1" applyAlignment="1">
      <alignment horizontal="center"/>
    </xf>
    <xf numFmtId="0" fontId="13" fillId="0" borderId="10" xfId="16" applyFont="1" applyFill="1" applyBorder="1" applyAlignment="1">
      <alignment horizontal="center"/>
    </xf>
    <xf numFmtId="0" fontId="33" fillId="0" borderId="0" xfId="0" applyFont="1" applyBorder="1" applyProtection="1"/>
    <xf numFmtId="0" fontId="4" fillId="0" borderId="0" xfId="0" applyFont="1" applyBorder="1" applyProtection="1"/>
    <xf numFmtId="10" fontId="3" fillId="0" borderId="8" xfId="0" applyNumberFormat="1" applyFont="1" applyBorder="1" applyAlignment="1" applyProtection="1">
      <alignment horizontal="center"/>
      <protection locked="0"/>
    </xf>
    <xf numFmtId="10" fontId="4" fillId="0" borderId="18" xfId="6" applyNumberFormat="1" applyFont="1" applyFill="1" applyBorder="1" applyAlignment="1" applyProtection="1">
      <alignment horizontal="center"/>
      <protection locked="0"/>
    </xf>
    <xf numFmtId="0" fontId="3" fillId="0" borderId="21" xfId="0" applyFont="1" applyBorder="1" applyAlignment="1" applyProtection="1">
      <alignment horizontal="center"/>
      <protection locked="0"/>
    </xf>
    <xf numFmtId="10" fontId="4" fillId="0" borderId="11" xfId="6" applyNumberFormat="1" applyFont="1" applyFill="1" applyBorder="1" applyAlignment="1" applyProtection="1">
      <alignment horizontal="center"/>
      <protection locked="0"/>
    </xf>
    <xf numFmtId="0" fontId="27" fillId="4" borderId="3" xfId="2" applyFont="1" applyFill="1" applyBorder="1"/>
    <xf numFmtId="0" fontId="13" fillId="4" borderId="5" xfId="2" applyFont="1" applyFill="1" applyBorder="1"/>
    <xf numFmtId="0" fontId="13" fillId="4" borderId="2" xfId="2" applyFont="1" applyFill="1" applyBorder="1"/>
    <xf numFmtId="0" fontId="13" fillId="4" borderId="9" xfId="2" applyFont="1" applyFill="1" applyBorder="1"/>
    <xf numFmtId="0" fontId="13" fillId="4" borderId="15" xfId="2" applyFont="1" applyFill="1" applyBorder="1"/>
    <xf numFmtId="0" fontId="13" fillId="4" borderId="17" xfId="2" applyFont="1" applyFill="1" applyBorder="1"/>
    <xf numFmtId="0" fontId="13" fillId="4" borderId="4" xfId="2" applyFont="1" applyFill="1" applyBorder="1"/>
    <xf numFmtId="0" fontId="13" fillId="4" borderId="0" xfId="2" applyFont="1" applyFill="1" applyBorder="1"/>
    <xf numFmtId="168" fontId="13" fillId="4" borderId="8" xfId="15" applyNumberFormat="1" applyFont="1" applyFill="1" applyBorder="1"/>
    <xf numFmtId="168" fontId="13" fillId="4" borderId="18" xfId="15" applyNumberFormat="1" applyFont="1" applyFill="1" applyBorder="1"/>
    <xf numFmtId="0" fontId="13" fillId="4" borderId="16" xfId="2" applyFont="1" applyFill="1" applyBorder="1"/>
    <xf numFmtId="0" fontId="13" fillId="0" borderId="0" xfId="18" applyFont="1"/>
    <xf numFmtId="0" fontId="27" fillId="16" borderId="0" xfId="1" applyFont="1" applyFill="1"/>
    <xf numFmtId="0" fontId="13" fillId="0" borderId="0" xfId="18" applyFont="1" applyAlignment="1">
      <alignment vertical="top"/>
    </xf>
    <xf numFmtId="0" fontId="27" fillId="7" borderId="0" xfId="1" applyFont="1" applyFill="1"/>
    <xf numFmtId="0" fontId="13" fillId="7" borderId="0" xfId="1" applyFont="1" applyFill="1"/>
    <xf numFmtId="0" fontId="27" fillId="6" borderId="0" xfId="1" applyFont="1" applyFill="1"/>
    <xf numFmtId="0" fontId="13" fillId="6" borderId="0" xfId="1" applyFont="1" applyFill="1"/>
    <xf numFmtId="0" fontId="13" fillId="4" borderId="41" xfId="1" applyFont="1" applyFill="1" applyBorder="1"/>
    <xf numFmtId="0" fontId="13" fillId="4" borderId="43" xfId="1" applyFont="1" applyFill="1" applyBorder="1" applyAlignment="1">
      <alignment horizontal="center" wrapText="1"/>
    </xf>
    <xf numFmtId="0" fontId="13" fillId="4" borderId="28" xfId="1" applyFont="1" applyFill="1" applyBorder="1" applyAlignment="1">
      <alignment horizontal="center" wrapText="1"/>
    </xf>
    <xf numFmtId="0" fontId="13" fillId="4" borderId="44" xfId="1" applyFont="1" applyFill="1" applyBorder="1" applyAlignment="1">
      <alignment horizontal="center" wrapText="1"/>
    </xf>
    <xf numFmtId="0" fontId="13" fillId="4" borderId="45" xfId="1" applyFont="1" applyFill="1" applyBorder="1" applyAlignment="1">
      <alignment horizontal="center" wrapText="1"/>
    </xf>
    <xf numFmtId="0" fontId="13" fillId="9" borderId="31" xfId="1" applyFont="1" applyFill="1" applyBorder="1"/>
    <xf numFmtId="173" fontId="13" fillId="9" borderId="47" xfId="15" applyNumberFormat="1" applyFont="1" applyFill="1" applyBorder="1"/>
    <xf numFmtId="173" fontId="13" fillId="9" borderId="8" xfId="15" applyNumberFormat="1" applyFont="1" applyFill="1" applyBorder="1"/>
    <xf numFmtId="172" fontId="13" fillId="9" borderId="8" xfId="15" applyFont="1" applyFill="1" applyBorder="1"/>
    <xf numFmtId="172" fontId="13" fillId="9" borderId="48" xfId="15" applyFont="1" applyFill="1" applyBorder="1"/>
    <xf numFmtId="168" fontId="13" fillId="9" borderId="47" xfId="15" applyNumberFormat="1" applyFont="1" applyFill="1" applyBorder="1"/>
    <xf numFmtId="168" fontId="13" fillId="9" borderId="8" xfId="15" applyNumberFormat="1" applyFont="1" applyFill="1" applyBorder="1"/>
    <xf numFmtId="168" fontId="13" fillId="9" borderId="48" xfId="15" applyNumberFormat="1" applyFont="1" applyFill="1" applyBorder="1"/>
    <xf numFmtId="168" fontId="13" fillId="4" borderId="6" xfId="15" applyNumberFormat="1" applyFont="1" applyFill="1" applyBorder="1"/>
    <xf numFmtId="168" fontId="13" fillId="4" borderId="48" xfId="1" applyNumberFormat="1" applyFont="1" applyFill="1" applyBorder="1"/>
    <xf numFmtId="0" fontId="1" fillId="9" borderId="31" xfId="0" applyFont="1" applyFill="1" applyBorder="1"/>
    <xf numFmtId="0" fontId="1" fillId="16" borderId="0" xfId="0" applyFont="1" applyFill="1"/>
    <xf numFmtId="174" fontId="13" fillId="9" borderId="2" xfId="15" applyNumberFormat="1" applyFont="1" applyFill="1" applyBorder="1"/>
    <xf numFmtId="174" fontId="13" fillId="9" borderId="18" xfId="15" applyNumberFormat="1" applyFont="1" applyFill="1" applyBorder="1"/>
    <xf numFmtId="174" fontId="13" fillId="9" borderId="49" xfId="15" applyNumberFormat="1" applyFont="1" applyFill="1" applyBorder="1"/>
    <xf numFmtId="168" fontId="13" fillId="9" borderId="26" xfId="15" applyNumberFormat="1" applyFont="1" applyFill="1" applyBorder="1"/>
    <xf numFmtId="168" fontId="13" fillId="9" borderId="18" xfId="15" applyNumberFormat="1" applyFont="1" applyFill="1" applyBorder="1"/>
    <xf numFmtId="168" fontId="13" fillId="9" borderId="49" xfId="15" applyNumberFormat="1" applyFont="1" applyFill="1" applyBorder="1"/>
    <xf numFmtId="168" fontId="13" fillId="4" borderId="26" xfId="15" applyNumberFormat="1" applyFont="1" applyFill="1" applyBorder="1"/>
    <xf numFmtId="168" fontId="13" fillId="4" borderId="10" xfId="15" applyNumberFormat="1" applyFont="1" applyFill="1" applyBorder="1"/>
    <xf numFmtId="168" fontId="13" fillId="4" borderId="49" xfId="1" applyNumberFormat="1" applyFont="1" applyFill="1" applyBorder="1"/>
    <xf numFmtId="172" fontId="13" fillId="9" borderId="26" xfId="15" applyFont="1" applyFill="1" applyBorder="1"/>
    <xf numFmtId="173" fontId="13" fillId="9" borderId="18" xfId="15" applyNumberFormat="1" applyFont="1" applyFill="1" applyBorder="1"/>
    <xf numFmtId="172" fontId="13" fillId="9" borderId="18" xfId="15" applyNumberFormat="1" applyFont="1" applyFill="1" applyBorder="1"/>
    <xf numFmtId="172" fontId="13" fillId="9" borderId="49" xfId="15" applyNumberFormat="1" applyFont="1" applyFill="1" applyBorder="1"/>
    <xf numFmtId="0" fontId="13" fillId="9" borderId="32" xfId="1" applyFont="1" applyFill="1" applyBorder="1"/>
    <xf numFmtId="172" fontId="13" fillId="9" borderId="27" xfId="15" applyFont="1" applyFill="1" applyBorder="1"/>
    <xf numFmtId="173" fontId="13" fillId="9" borderId="25" xfId="15" applyNumberFormat="1" applyFont="1" applyFill="1" applyBorder="1"/>
    <xf numFmtId="172" fontId="13" fillId="9" borderId="25" xfId="15" applyNumberFormat="1" applyFont="1" applyFill="1" applyBorder="1"/>
    <xf numFmtId="172" fontId="13" fillId="9" borderId="51" xfId="15" applyNumberFormat="1" applyFont="1" applyFill="1" applyBorder="1"/>
    <xf numFmtId="168" fontId="13" fillId="9" borderId="27" xfId="15" applyNumberFormat="1" applyFont="1" applyFill="1" applyBorder="1"/>
    <xf numFmtId="168" fontId="13" fillId="9" borderId="25" xfId="15" applyNumberFormat="1" applyFont="1" applyFill="1" applyBorder="1"/>
    <xf numFmtId="168" fontId="13" fillId="9" borderId="51" xfId="15" applyNumberFormat="1" applyFont="1" applyFill="1" applyBorder="1"/>
    <xf numFmtId="168" fontId="13" fillId="4" borderId="27" xfId="15" applyNumberFormat="1" applyFont="1" applyFill="1" applyBorder="1"/>
    <xf numFmtId="168" fontId="13" fillId="4" borderId="25" xfId="15" applyNumberFormat="1" applyFont="1" applyFill="1" applyBorder="1"/>
    <xf numFmtId="168" fontId="13" fillId="4" borderId="56" xfId="15" applyNumberFormat="1" applyFont="1" applyFill="1" applyBorder="1"/>
    <xf numFmtId="168" fontId="13" fillId="4" borderId="51" xfId="1" applyNumberFormat="1" applyFont="1" applyFill="1" applyBorder="1"/>
    <xf numFmtId="0" fontId="13" fillId="16" borderId="18" xfId="1" applyFont="1" applyFill="1" applyBorder="1"/>
    <xf numFmtId="168" fontId="13" fillId="4" borderId="53" xfId="1" applyNumberFormat="1" applyFont="1" applyFill="1" applyBorder="1"/>
    <xf numFmtId="168" fontId="13" fillId="4" borderId="53" xfId="15" applyNumberFormat="1" applyFont="1" applyFill="1" applyBorder="1"/>
    <xf numFmtId="0" fontId="1" fillId="16" borderId="2" xfId="0" applyFont="1" applyFill="1" applyBorder="1"/>
    <xf numFmtId="174" fontId="13" fillId="9" borderId="9" xfId="15" applyNumberFormat="1" applyFont="1" applyFill="1" applyBorder="1"/>
    <xf numFmtId="168" fontId="13" fillId="9" borderId="2" xfId="15" applyNumberFormat="1" applyFont="1" applyFill="1" applyBorder="1"/>
    <xf numFmtId="168" fontId="13" fillId="9" borderId="9" xfId="15" applyNumberFormat="1" applyFont="1" applyFill="1" applyBorder="1"/>
    <xf numFmtId="0" fontId="13" fillId="16" borderId="42" xfId="1" applyFont="1" applyFill="1" applyBorder="1"/>
    <xf numFmtId="0" fontId="13" fillId="16" borderId="31" xfId="1" applyFont="1" applyFill="1" applyBorder="1"/>
    <xf numFmtId="173" fontId="1" fillId="9" borderId="23" xfId="15" applyNumberFormat="1" applyFont="1" applyFill="1" applyBorder="1"/>
    <xf numFmtId="173" fontId="1" fillId="9" borderId="8" xfId="15" applyNumberFormat="1" applyFont="1" applyFill="1" applyBorder="1"/>
    <xf numFmtId="173" fontId="1" fillId="9" borderId="48" xfId="15" applyNumberFormat="1" applyFont="1" applyFill="1" applyBorder="1"/>
    <xf numFmtId="168" fontId="13" fillId="4" borderId="47" xfId="15" applyNumberFormat="1" applyFont="1" applyFill="1" applyBorder="1"/>
    <xf numFmtId="0" fontId="13" fillId="16" borderId="2" xfId="1" applyFont="1" applyFill="1" applyBorder="1"/>
    <xf numFmtId="173" fontId="13" fillId="9" borderId="26" xfId="15" applyNumberFormat="1" applyFont="1" applyFill="1" applyBorder="1"/>
    <xf numFmtId="173" fontId="1" fillId="9" borderId="21" xfId="15" applyNumberFormat="1" applyFont="1" applyFill="1" applyBorder="1"/>
    <xf numFmtId="173" fontId="1" fillId="9" borderId="18" xfId="15" applyNumberFormat="1" applyFont="1" applyFill="1" applyBorder="1"/>
    <xf numFmtId="173" fontId="1" fillId="9" borderId="49" xfId="15" applyNumberFormat="1" applyFont="1" applyFill="1" applyBorder="1"/>
    <xf numFmtId="0" fontId="13" fillId="16" borderId="15" xfId="1" applyFont="1" applyFill="1" applyBorder="1"/>
    <xf numFmtId="173" fontId="13" fillId="9" borderId="27" xfId="15" applyNumberFormat="1" applyFont="1" applyFill="1" applyBorder="1"/>
    <xf numFmtId="173" fontId="1" fillId="9" borderId="50" xfId="15" applyNumberFormat="1" applyFont="1" applyFill="1" applyBorder="1"/>
    <xf numFmtId="173" fontId="1" fillId="9" borderId="25" xfId="15" applyNumberFormat="1" applyFont="1" applyFill="1" applyBorder="1"/>
    <xf numFmtId="173" fontId="1" fillId="9" borderId="51" xfId="15" applyNumberFormat="1" applyFont="1" applyFill="1" applyBorder="1"/>
    <xf numFmtId="174" fontId="1" fillId="9" borderId="26" xfId="15" applyNumberFormat="1" applyFont="1" applyFill="1" applyBorder="1"/>
    <xf numFmtId="174" fontId="1" fillId="9" borderId="18" xfId="15" applyNumberFormat="1" applyFont="1" applyFill="1" applyBorder="1"/>
    <xf numFmtId="174" fontId="1" fillId="9" borderId="49" xfId="15" applyNumberFormat="1" applyFont="1" applyFill="1" applyBorder="1"/>
    <xf numFmtId="173" fontId="1" fillId="9" borderId="47" xfId="15" applyNumberFormat="1" applyFont="1" applyFill="1" applyBorder="1"/>
    <xf numFmtId="168" fontId="1" fillId="4" borderId="47" xfId="15" applyNumberFormat="1" applyFont="1" applyFill="1" applyBorder="1"/>
    <xf numFmtId="168" fontId="1" fillId="4" borderId="8" xfId="15" applyNumberFormat="1" applyFont="1" applyFill="1" applyBorder="1"/>
    <xf numFmtId="168" fontId="1" fillId="4" borderId="6" xfId="15" applyNumberFormat="1" applyFont="1" applyFill="1" applyBorder="1"/>
    <xf numFmtId="168" fontId="1" fillId="4" borderId="26" xfId="15" applyNumberFormat="1" applyFont="1" applyFill="1" applyBorder="1"/>
    <xf numFmtId="168" fontId="1" fillId="4" borderId="18" xfId="15" applyNumberFormat="1" applyFont="1" applyFill="1" applyBorder="1"/>
    <xf numFmtId="168" fontId="1" fillId="4" borderId="10" xfId="15" applyNumberFormat="1" applyFont="1" applyFill="1" applyBorder="1"/>
    <xf numFmtId="173" fontId="1" fillId="9" borderId="26" xfId="15" applyNumberFormat="1" applyFont="1" applyFill="1" applyBorder="1"/>
    <xf numFmtId="168" fontId="1" fillId="9" borderId="26" xfId="15" applyNumberFormat="1" applyFont="1" applyFill="1" applyBorder="1"/>
    <xf numFmtId="168" fontId="1" fillId="9" borderId="18" xfId="15" applyNumberFormat="1" applyFont="1" applyFill="1" applyBorder="1"/>
    <xf numFmtId="168" fontId="1" fillId="9" borderId="49" xfId="15" applyNumberFormat="1" applyFont="1" applyFill="1" applyBorder="1"/>
    <xf numFmtId="173" fontId="1" fillId="9" borderId="27" xfId="15" applyNumberFormat="1" applyFont="1" applyFill="1" applyBorder="1"/>
    <xf numFmtId="168" fontId="1" fillId="9" borderId="27" xfId="15" applyNumberFormat="1" applyFont="1" applyFill="1" applyBorder="1"/>
    <xf numFmtId="168" fontId="1" fillId="9" borderId="25" xfId="15" applyNumberFormat="1" applyFont="1" applyFill="1" applyBorder="1"/>
    <xf numFmtId="168" fontId="1" fillId="9" borderId="51" xfId="15" applyNumberFormat="1" applyFont="1" applyFill="1" applyBorder="1"/>
    <xf numFmtId="168" fontId="1" fillId="4" borderId="27" xfId="15" applyNumberFormat="1" applyFont="1" applyFill="1" applyBorder="1"/>
    <xf numFmtId="168" fontId="1" fillId="4" borderId="25" xfId="15" applyNumberFormat="1" applyFont="1" applyFill="1" applyBorder="1"/>
    <xf numFmtId="168" fontId="1" fillId="4" borderId="56" xfId="15" applyNumberFormat="1" applyFont="1" applyFill="1" applyBorder="1"/>
    <xf numFmtId="168" fontId="1" fillId="4" borderId="53" xfId="15" applyNumberFormat="1" applyFont="1" applyFill="1" applyBorder="1"/>
    <xf numFmtId="10" fontId="1" fillId="16" borderId="0" xfId="3" applyNumberFormat="1" applyFont="1" applyFill="1"/>
    <xf numFmtId="174" fontId="13" fillId="9" borderId="26" xfId="15" applyNumberFormat="1" applyFont="1" applyFill="1" applyBorder="1"/>
    <xf numFmtId="173" fontId="13" fillId="9" borderId="48" xfId="15" applyNumberFormat="1" applyFont="1" applyFill="1" applyBorder="1"/>
    <xf numFmtId="173" fontId="13" fillId="9" borderId="49" xfId="15" applyNumberFormat="1" applyFont="1" applyFill="1" applyBorder="1"/>
    <xf numFmtId="173" fontId="13" fillId="9" borderId="51" xfId="15" applyNumberFormat="1" applyFont="1" applyFill="1" applyBorder="1"/>
    <xf numFmtId="168" fontId="13" fillId="16" borderId="0" xfId="1" applyNumberFormat="1" applyFont="1" applyFill="1"/>
    <xf numFmtId="0" fontId="35" fillId="16" borderId="0" xfId="16" applyFont="1" applyFill="1"/>
    <xf numFmtId="0" fontId="13" fillId="7" borderId="0" xfId="16" applyFont="1" applyFill="1"/>
    <xf numFmtId="0" fontId="13" fillId="16" borderId="0" xfId="16" applyFont="1" applyFill="1"/>
    <xf numFmtId="0" fontId="13" fillId="4" borderId="3" xfId="16" applyFont="1" applyFill="1" applyBorder="1"/>
    <xf numFmtId="0" fontId="13" fillId="4" borderId="4" xfId="16" applyFont="1" applyFill="1" applyBorder="1"/>
    <xf numFmtId="0" fontId="13" fillId="4" borderId="5" xfId="16" applyFont="1" applyFill="1" applyBorder="1"/>
    <xf numFmtId="0" fontId="27" fillId="4" borderId="2" xfId="16" applyFont="1" applyFill="1" applyBorder="1"/>
    <xf numFmtId="0" fontId="13" fillId="4" borderId="9" xfId="16" applyFont="1" applyFill="1" applyBorder="1"/>
    <xf numFmtId="0" fontId="13" fillId="4" borderId="2" xfId="16" applyFont="1" applyFill="1" applyBorder="1"/>
    <xf numFmtId="10" fontId="13" fillId="4" borderId="8" xfId="3" applyNumberFormat="1" applyFont="1" applyFill="1" applyBorder="1"/>
    <xf numFmtId="0" fontId="40" fillId="4" borderId="2" xfId="16" applyFont="1" applyFill="1" applyBorder="1"/>
    <xf numFmtId="10" fontId="13" fillId="4" borderId="11" xfId="16" applyNumberFormat="1" applyFont="1" applyFill="1" applyBorder="1"/>
    <xf numFmtId="0" fontId="13" fillId="4" borderId="15" xfId="16" applyFont="1" applyFill="1" applyBorder="1"/>
    <xf numFmtId="0" fontId="13" fillId="4" borderId="16" xfId="16" applyFont="1" applyFill="1" applyBorder="1"/>
    <xf numFmtId="0" fontId="13" fillId="4" borderId="17" xfId="16" applyFont="1" applyFill="1" applyBorder="1"/>
    <xf numFmtId="0" fontId="13" fillId="16" borderId="0" xfId="16" applyFont="1" applyFill="1" applyBorder="1"/>
    <xf numFmtId="0" fontId="13" fillId="7" borderId="54" xfId="16" applyFont="1" applyFill="1" applyBorder="1"/>
    <xf numFmtId="0" fontId="13" fillId="4" borderId="8" xfId="16" applyFont="1" applyFill="1" applyBorder="1" applyAlignment="1">
      <alignment horizontal="center"/>
    </xf>
    <xf numFmtId="0" fontId="36" fillId="4" borderId="9" xfId="16" applyFont="1" applyFill="1" applyBorder="1"/>
    <xf numFmtId="0" fontId="29" fillId="9" borderId="2" xfId="16" applyFont="1" applyFill="1" applyBorder="1"/>
    <xf numFmtId="168" fontId="13" fillId="4" borderId="8" xfId="16" applyNumberFormat="1" applyFont="1" applyFill="1" applyBorder="1"/>
    <xf numFmtId="0" fontId="29" fillId="9" borderId="26" xfId="16" applyFont="1" applyFill="1" applyBorder="1"/>
    <xf numFmtId="168" fontId="13" fillId="4" borderId="18" xfId="16" applyNumberFormat="1" applyFont="1" applyFill="1" applyBorder="1"/>
    <xf numFmtId="0" fontId="13" fillId="9" borderId="26" xfId="16" applyFont="1" applyFill="1" applyBorder="1"/>
    <xf numFmtId="0" fontId="13" fillId="9" borderId="27" xfId="16" applyFont="1" applyFill="1" applyBorder="1"/>
    <xf numFmtId="168" fontId="13" fillId="4" borderId="25" xfId="16" applyNumberFormat="1" applyFont="1" applyFill="1" applyBorder="1"/>
    <xf numFmtId="10" fontId="13" fillId="4" borderId="25" xfId="3" applyNumberFormat="1" applyFont="1" applyFill="1" applyBorder="1"/>
    <xf numFmtId="0" fontId="36" fillId="4" borderId="51" xfId="16" applyFont="1" applyFill="1" applyBorder="1"/>
    <xf numFmtId="0" fontId="40" fillId="4" borderId="24" xfId="16" applyFont="1" applyFill="1" applyBorder="1"/>
    <xf numFmtId="168" fontId="40" fillId="4" borderId="55" xfId="16" applyNumberFormat="1" applyFont="1" applyFill="1" applyBorder="1" applyAlignment="1">
      <alignment horizontal="right"/>
    </xf>
    <xf numFmtId="168" fontId="40" fillId="4" borderId="24" xfId="16" applyNumberFormat="1" applyFont="1" applyFill="1" applyBorder="1" applyAlignment="1">
      <alignment horizontal="right"/>
    </xf>
    <xf numFmtId="0" fontId="27" fillId="4" borderId="12" xfId="16" applyFont="1" applyFill="1" applyBorder="1"/>
    <xf numFmtId="168" fontId="40" fillId="4" borderId="12" xfId="16" applyNumberFormat="1" applyFont="1" applyFill="1" applyBorder="1" applyAlignment="1">
      <alignment horizontal="right"/>
    </xf>
    <xf numFmtId="168" fontId="27" fillId="16" borderId="0" xfId="16" applyNumberFormat="1" applyFont="1" applyFill="1"/>
    <xf numFmtId="0" fontId="27" fillId="7" borderId="0" xfId="16" applyFont="1" applyFill="1"/>
    <xf numFmtId="172" fontId="13" fillId="16" borderId="0" xfId="16" applyNumberFormat="1" applyFont="1" applyFill="1"/>
    <xf numFmtId="0" fontId="13" fillId="4" borderId="40" xfId="1" applyFont="1" applyFill="1" applyBorder="1" applyAlignment="1">
      <alignment horizontal="center" wrapText="1"/>
    </xf>
    <xf numFmtId="0" fontId="13" fillId="4" borderId="41" xfId="16" applyFont="1" applyFill="1" applyBorder="1"/>
    <xf numFmtId="0" fontId="13" fillId="4" borderId="42" xfId="16" applyFont="1" applyFill="1" applyBorder="1"/>
    <xf numFmtId="0" fontId="13" fillId="4" borderId="0" xfId="1" applyFont="1" applyFill="1"/>
    <xf numFmtId="0" fontId="13" fillId="4" borderId="31" xfId="16" applyFont="1" applyFill="1" applyBorder="1"/>
    <xf numFmtId="0" fontId="13" fillId="9" borderId="32" xfId="16" applyFont="1" applyFill="1" applyBorder="1"/>
    <xf numFmtId="0" fontId="13" fillId="4" borderId="32" xfId="16" applyFont="1" applyFill="1" applyBorder="1"/>
    <xf numFmtId="168" fontId="13" fillId="4" borderId="53" xfId="16" applyNumberFormat="1" applyFont="1" applyFill="1" applyBorder="1"/>
    <xf numFmtId="172" fontId="13" fillId="16" borderId="0" xfId="1" applyNumberFormat="1" applyFont="1" applyFill="1"/>
    <xf numFmtId="0" fontId="13" fillId="4" borderId="42" xfId="1" applyFont="1" applyFill="1" applyBorder="1"/>
    <xf numFmtId="0" fontId="13" fillId="4" borderId="46" xfId="1" applyFont="1" applyFill="1" applyBorder="1" applyAlignment="1">
      <alignment horizontal="center" wrapText="1"/>
    </xf>
    <xf numFmtId="172" fontId="13" fillId="9" borderId="23" xfId="15" applyFont="1" applyFill="1" applyBorder="1"/>
    <xf numFmtId="168" fontId="13" fillId="9" borderId="21" xfId="15" applyNumberFormat="1" applyFont="1" applyFill="1" applyBorder="1"/>
    <xf numFmtId="174" fontId="1" fillId="9" borderId="21" xfId="15" applyNumberFormat="1" applyFont="1" applyFill="1" applyBorder="1"/>
    <xf numFmtId="168" fontId="1" fillId="9" borderId="21" xfId="15" applyNumberFormat="1" applyFont="1" applyFill="1" applyBorder="1"/>
    <xf numFmtId="0" fontId="13" fillId="9" borderId="2" xfId="1" applyFont="1" applyFill="1" applyBorder="1"/>
    <xf numFmtId="172" fontId="13" fillId="9" borderId="21" xfId="15" applyNumberFormat="1" applyFont="1" applyFill="1" applyBorder="1"/>
    <xf numFmtId="0" fontId="13" fillId="9" borderId="15" xfId="1" applyFont="1" applyFill="1" applyBorder="1"/>
    <xf numFmtId="172" fontId="13" fillId="9" borderId="50" xfId="15" applyNumberFormat="1" applyFont="1" applyFill="1" applyBorder="1"/>
    <xf numFmtId="168" fontId="1" fillId="9" borderId="50" xfId="15" applyNumberFormat="1" applyFont="1" applyFill="1" applyBorder="1"/>
    <xf numFmtId="168" fontId="13" fillId="4" borderId="52" xfId="1" applyNumberFormat="1" applyFont="1" applyFill="1" applyBorder="1"/>
    <xf numFmtId="168" fontId="1" fillId="4" borderId="52" xfId="15" applyNumberFormat="1" applyFont="1" applyFill="1" applyBorder="1"/>
    <xf numFmtId="3" fontId="1" fillId="16" borderId="0" xfId="0" applyNumberFormat="1" applyFont="1" applyFill="1"/>
    <xf numFmtId="173" fontId="1" fillId="15" borderId="60" xfId="15" applyNumberFormat="1" applyFont="1" applyFill="1" applyBorder="1"/>
    <xf numFmtId="43" fontId="1" fillId="15" borderId="31" xfId="15" applyNumberFormat="1" applyFont="1" applyFill="1" applyBorder="1"/>
    <xf numFmtId="173" fontId="1" fillId="15" borderId="31" xfId="15" applyNumberFormat="1" applyFont="1" applyFill="1" applyBorder="1"/>
    <xf numFmtId="168" fontId="1" fillId="15" borderId="31" xfId="15" applyNumberFormat="1" applyFont="1" applyFill="1" applyBorder="1"/>
    <xf numFmtId="173" fontId="1" fillId="15" borderId="32" xfId="15" applyNumberFormat="1" applyFont="1" applyFill="1" applyBorder="1"/>
    <xf numFmtId="168" fontId="1" fillId="15" borderId="32" xfId="15" applyNumberFormat="1" applyFont="1" applyFill="1" applyBorder="1"/>
    <xf numFmtId="0" fontId="28" fillId="16" borderId="0" xfId="1" applyFont="1" applyFill="1"/>
    <xf numFmtId="0" fontId="28" fillId="0" borderId="18" xfId="0" applyFont="1" applyFill="1" applyBorder="1" applyAlignment="1" applyProtection="1">
      <alignment wrapText="1"/>
    </xf>
    <xf numFmtId="0" fontId="28" fillId="9" borderId="31" xfId="0" applyFont="1" applyFill="1" applyBorder="1"/>
    <xf numFmtId="0" fontId="28" fillId="9" borderId="31" xfId="1" applyFont="1" applyFill="1" applyBorder="1"/>
    <xf numFmtId="0" fontId="28" fillId="0" borderId="18" xfId="0" applyFont="1" applyFill="1" applyBorder="1" applyProtection="1"/>
    <xf numFmtId="0" fontId="28" fillId="9" borderId="27" xfId="16" applyFont="1" applyFill="1" applyBorder="1"/>
    <xf numFmtId="0" fontId="28" fillId="0" borderId="0" xfId="0" applyFont="1" applyAlignment="1">
      <alignment vertical="center"/>
    </xf>
    <xf numFmtId="0" fontId="36" fillId="0" borderId="0" xfId="1" applyFont="1"/>
    <xf numFmtId="0" fontId="13" fillId="0" borderId="0" xfId="1" applyFont="1"/>
    <xf numFmtId="0" fontId="37" fillId="0" borderId="0" xfId="1" applyFont="1"/>
    <xf numFmtId="0" fontId="37" fillId="5" borderId="0" xfId="1" applyFont="1" applyFill="1" applyAlignment="1">
      <alignment horizontal="center"/>
    </xf>
    <xf numFmtId="0" fontId="27" fillId="5" borderId="0" xfId="1" applyFont="1" applyFill="1"/>
    <xf numFmtId="0" fontId="31" fillId="4" borderId="6" xfId="2" applyFont="1" applyFill="1" applyBorder="1"/>
    <xf numFmtId="0" fontId="13" fillId="4" borderId="7" xfId="2" applyFont="1" applyFill="1" applyBorder="1"/>
    <xf numFmtId="164" fontId="13" fillId="5" borderId="8" xfId="2" applyNumberFormat="1" applyFont="1" applyFill="1" applyBorder="1"/>
    <xf numFmtId="0" fontId="13" fillId="0" borderId="0" xfId="1" applyFont="1" applyBorder="1"/>
    <xf numFmtId="0" fontId="31" fillId="4" borderId="10" xfId="2" applyFont="1" applyFill="1" applyBorder="1"/>
    <xf numFmtId="164" fontId="13" fillId="5" borderId="11" xfId="2" applyNumberFormat="1" applyFont="1" applyFill="1" applyBorder="1"/>
    <xf numFmtId="0" fontId="13" fillId="0" borderId="6" xfId="1" applyFont="1" applyBorder="1" applyAlignment="1">
      <alignment horizontal="center"/>
    </xf>
    <xf numFmtId="10" fontId="13" fillId="0" borderId="23" xfId="6" applyNumberFormat="1" applyFont="1" applyBorder="1" applyAlignment="1">
      <alignment horizontal="center"/>
    </xf>
    <xf numFmtId="164" fontId="13" fillId="5" borderId="12" xfId="2" applyNumberFormat="1" applyFont="1" applyFill="1" applyBorder="1"/>
    <xf numFmtId="0" fontId="13" fillId="0" borderId="10" xfId="1" applyFont="1" applyBorder="1" applyAlignment="1">
      <alignment horizontal="center"/>
    </xf>
    <xf numFmtId="10" fontId="13" fillId="0" borderId="21" xfId="6" applyNumberFormat="1" applyFont="1" applyBorder="1" applyAlignment="1">
      <alignment horizontal="center"/>
    </xf>
    <xf numFmtId="0" fontId="13" fillId="4" borderId="21" xfId="2" applyFont="1" applyFill="1" applyBorder="1"/>
    <xf numFmtId="164" fontId="38" fillId="5" borderId="12" xfId="2" applyNumberFormat="1" applyFont="1" applyFill="1" applyBorder="1"/>
    <xf numFmtId="0" fontId="13" fillId="0" borderId="21" xfId="1" applyFont="1" applyBorder="1" applyAlignment="1">
      <alignment horizontal="center"/>
    </xf>
    <xf numFmtId="0" fontId="31" fillId="4" borderId="13" xfId="2" applyFont="1" applyFill="1" applyBorder="1"/>
    <xf numFmtId="0" fontId="13" fillId="4" borderId="14" xfId="2" applyFont="1" applyFill="1" applyBorder="1"/>
    <xf numFmtId="0" fontId="13" fillId="0" borderId="13" xfId="1" applyFont="1" applyBorder="1" applyAlignment="1">
      <alignment horizontal="center"/>
    </xf>
    <xf numFmtId="10" fontId="13" fillId="0" borderId="22" xfId="6" applyNumberFormat="1" applyFont="1" applyBorder="1" applyAlignment="1">
      <alignment horizontal="center"/>
    </xf>
    <xf numFmtId="165" fontId="13" fillId="4" borderId="0" xfId="3" applyNumberFormat="1" applyFont="1" applyFill="1" applyBorder="1"/>
    <xf numFmtId="10" fontId="13" fillId="4" borderId="11" xfId="3" applyNumberFormat="1" applyFont="1" applyFill="1" applyBorder="1"/>
    <xf numFmtId="0" fontId="27" fillId="0" borderId="6" xfId="1" applyFont="1" applyBorder="1" applyAlignment="1"/>
    <xf numFmtId="0" fontId="13" fillId="0" borderId="23" xfId="1" applyFont="1" applyBorder="1" applyAlignment="1"/>
    <xf numFmtId="0" fontId="27" fillId="0" borderId="8" xfId="1" applyFont="1" applyBorder="1" applyAlignment="1">
      <alignment horizontal="right"/>
    </xf>
    <xf numFmtId="0" fontId="27" fillId="0" borderId="7" xfId="1" applyFont="1" applyBorder="1" applyAlignment="1">
      <alignment horizontal="right"/>
    </xf>
    <xf numFmtId="0" fontId="27" fillId="0" borderId="13" xfId="1" applyFont="1" applyBorder="1"/>
    <xf numFmtId="0" fontId="13" fillId="0" borderId="22" xfId="1" applyFont="1" applyBorder="1" applyAlignment="1"/>
    <xf numFmtId="0" fontId="27" fillId="0" borderId="12" xfId="1" applyFont="1" applyBorder="1" applyAlignment="1">
      <alignment horizontal="right"/>
    </xf>
    <xf numFmtId="0" fontId="27" fillId="0" borderId="14" xfId="1" applyFont="1" applyBorder="1" applyAlignment="1">
      <alignment horizontal="right"/>
    </xf>
    <xf numFmtId="0" fontId="13" fillId="0" borderId="2" xfId="1" applyFont="1" applyBorder="1"/>
    <xf numFmtId="10" fontId="13" fillId="0" borderId="9" xfId="3" applyNumberFormat="1" applyFont="1" applyBorder="1"/>
    <xf numFmtId="10" fontId="29" fillId="0" borderId="18" xfId="3" applyNumberFormat="1" applyFont="1" applyBorder="1"/>
    <xf numFmtId="10" fontId="29" fillId="0" borderId="0" xfId="3" applyNumberFormat="1" applyFont="1" applyBorder="1"/>
    <xf numFmtId="10" fontId="29" fillId="15" borderId="0" xfId="3" applyNumberFormat="1" applyFont="1" applyFill="1" applyBorder="1"/>
    <xf numFmtId="10" fontId="29" fillId="15" borderId="18" xfId="3" applyNumberFormat="1" applyFont="1" applyFill="1" applyBorder="1"/>
    <xf numFmtId="0" fontId="27" fillId="6" borderId="15" xfId="1" applyFont="1" applyFill="1" applyBorder="1" applyAlignment="1">
      <alignment wrapText="1"/>
    </xf>
    <xf numFmtId="10" fontId="27" fillId="6" borderId="17" xfId="3" applyNumberFormat="1" applyFont="1" applyFill="1" applyBorder="1"/>
    <xf numFmtId="10" fontId="27" fillId="6" borderId="12" xfId="3" applyNumberFormat="1" applyFont="1" applyFill="1" applyBorder="1"/>
    <xf numFmtId="10" fontId="27" fillId="6" borderId="14" xfId="3" applyNumberFormat="1" applyFont="1" applyFill="1" applyBorder="1"/>
    <xf numFmtId="0" fontId="13" fillId="0" borderId="5" xfId="1" applyFont="1" applyBorder="1"/>
    <xf numFmtId="0" fontId="27" fillId="6" borderId="2" xfId="1" applyFont="1" applyFill="1" applyBorder="1"/>
    <xf numFmtId="10" fontId="27" fillId="6" borderId="9" xfId="6" applyNumberFormat="1" applyFont="1" applyFill="1" applyBorder="1" applyAlignment="1">
      <alignment horizontal="right"/>
    </xf>
    <xf numFmtId="0" fontId="27" fillId="0" borderId="0" xfId="1" applyFont="1"/>
    <xf numFmtId="0" fontId="27" fillId="0" borderId="9" xfId="1" applyFont="1" applyBorder="1"/>
    <xf numFmtId="0" fontId="27" fillId="6" borderId="15" xfId="1" applyFont="1" applyFill="1" applyBorder="1"/>
    <xf numFmtId="10" fontId="27" fillId="6" borderId="17" xfId="6" applyNumberFormat="1" applyFont="1" applyFill="1" applyBorder="1" applyAlignment="1">
      <alignment horizontal="right"/>
    </xf>
    <xf numFmtId="0" fontId="39" fillId="0" borderId="0" xfId="1" applyFont="1"/>
    <xf numFmtId="0" fontId="27" fillId="0" borderId="3" xfId="1" applyFont="1" applyBorder="1"/>
    <xf numFmtId="0" fontId="27" fillId="0" borderId="30" xfId="1" applyFont="1" applyBorder="1" applyAlignment="1">
      <alignment horizontal="right"/>
    </xf>
    <xf numFmtId="0" fontId="27" fillId="0" borderId="23" xfId="1" applyFont="1" applyBorder="1" applyAlignment="1">
      <alignment horizontal="right"/>
    </xf>
    <xf numFmtId="10" fontId="13" fillId="0" borderId="9" xfId="3" applyNumberFormat="1" applyFont="1" applyBorder="1" applyAlignment="1">
      <alignment horizontal="right"/>
    </xf>
    <xf numFmtId="166" fontId="31" fillId="0" borderId="31" xfId="1" applyNumberFormat="1" applyFont="1" applyBorder="1"/>
    <xf numFmtId="10" fontId="29" fillId="15" borderId="21" xfId="3" applyNumberFormat="1" applyFont="1" applyFill="1" applyBorder="1"/>
    <xf numFmtId="0" fontId="13" fillId="0" borderId="31" xfId="1" applyFont="1" applyBorder="1"/>
    <xf numFmtId="0" fontId="13" fillId="0" borderId="21" xfId="1" applyFont="1" applyBorder="1"/>
    <xf numFmtId="0" fontId="13" fillId="0" borderId="18" xfId="1" applyFont="1" applyBorder="1"/>
    <xf numFmtId="0" fontId="27" fillId="6" borderId="15" xfId="1" applyFont="1" applyFill="1" applyBorder="1" applyAlignment="1">
      <alignment horizontal="left" wrapText="1"/>
    </xf>
    <xf numFmtId="10" fontId="27" fillId="6" borderId="17" xfId="3" applyNumberFormat="1" applyFont="1" applyFill="1" applyBorder="1" applyAlignment="1">
      <alignment horizontal="right"/>
    </xf>
    <xf numFmtId="166" fontId="27" fillId="6" borderId="32" xfId="3" applyNumberFormat="1" applyFont="1" applyFill="1" applyBorder="1"/>
    <xf numFmtId="167" fontId="13" fillId="0" borderId="0" xfId="1" applyNumberFormat="1" applyFont="1"/>
    <xf numFmtId="0" fontId="13" fillId="0" borderId="3" xfId="1" applyFont="1" applyBorder="1"/>
    <xf numFmtId="10" fontId="27" fillId="6" borderId="9" xfId="6" applyNumberFormat="1" applyFont="1" applyFill="1" applyBorder="1"/>
    <xf numFmtId="10" fontId="27" fillId="6" borderId="17" xfId="6" applyNumberFormat="1" applyFont="1" applyFill="1" applyBorder="1"/>
    <xf numFmtId="0" fontId="27" fillId="6" borderId="3" xfId="1" applyFont="1" applyFill="1" applyBorder="1"/>
    <xf numFmtId="0" fontId="27" fillId="0" borderId="4" xfId="1" applyFont="1" applyBorder="1"/>
    <xf numFmtId="0" fontId="27" fillId="8" borderId="44" xfId="1" applyFont="1" applyFill="1" applyBorder="1"/>
    <xf numFmtId="0" fontId="27" fillId="8" borderId="29" xfId="1" applyFont="1" applyFill="1" applyBorder="1"/>
    <xf numFmtId="166" fontId="13" fillId="8" borderId="0" xfId="3" applyNumberFormat="1" applyFont="1" applyFill="1" applyBorder="1"/>
    <xf numFmtId="0" fontId="13" fillId="0" borderId="9" xfId="1" applyFont="1" applyBorder="1"/>
    <xf numFmtId="166" fontId="31" fillId="10" borderId="21" xfId="3" applyNumberFormat="1" applyFont="1" applyFill="1" applyBorder="1"/>
    <xf numFmtId="166" fontId="31" fillId="10" borderId="9" xfId="3" applyNumberFormat="1" applyFont="1" applyFill="1" applyBorder="1"/>
    <xf numFmtId="10" fontId="13" fillId="0" borderId="21" xfId="3" applyNumberFormat="1" applyFont="1" applyBorder="1"/>
    <xf numFmtId="166" fontId="27" fillId="6" borderId="16" xfId="3" applyNumberFormat="1" applyFont="1" applyFill="1" applyBorder="1"/>
    <xf numFmtId="0" fontId="13" fillId="0" borderId="17" xfId="1" applyFont="1" applyBorder="1"/>
    <xf numFmtId="166" fontId="27" fillId="6" borderId="50" xfId="3" applyNumberFormat="1" applyFont="1" applyFill="1" applyBorder="1"/>
    <xf numFmtId="166" fontId="27" fillId="6" borderId="17" xfId="3" applyNumberFormat="1" applyFont="1" applyFill="1" applyBorder="1"/>
    <xf numFmtId="0" fontId="42" fillId="6" borderId="3" xfId="0" applyFont="1" applyFill="1" applyBorder="1" applyAlignment="1"/>
    <xf numFmtId="0" fontId="38" fillId="6" borderId="5" xfId="0" applyFont="1" applyFill="1" applyBorder="1" applyAlignment="1">
      <alignment wrapText="1"/>
    </xf>
    <xf numFmtId="0" fontId="13" fillId="0" borderId="0" xfId="0" applyFont="1" applyBorder="1"/>
    <xf numFmtId="0" fontId="13" fillId="0" borderId="0" xfId="0" applyFont="1"/>
    <xf numFmtId="0" fontId="38" fillId="8" borderId="2" xfId="0" applyFont="1" applyFill="1" applyBorder="1" applyAlignment="1">
      <alignment wrapText="1"/>
    </xf>
    <xf numFmtId="0" fontId="38" fillId="8" borderId="9" xfId="0" applyFont="1" applyFill="1" applyBorder="1" applyAlignment="1">
      <alignment wrapText="1"/>
    </xf>
    <xf numFmtId="0" fontId="13" fillId="0" borderId="0" xfId="0" applyFont="1" applyFill="1" applyBorder="1"/>
    <xf numFmtId="10" fontId="29" fillId="0" borderId="9" xfId="3" applyNumberFormat="1" applyFont="1" applyBorder="1"/>
    <xf numFmtId="0" fontId="13" fillId="0" borderId="2" xfId="0" applyFont="1" applyBorder="1"/>
    <xf numFmtId="0" fontId="27" fillId="6" borderId="15" xfId="0" applyFont="1" applyFill="1" applyBorder="1" applyAlignment="1">
      <alignment wrapText="1"/>
    </xf>
    <xf numFmtId="0" fontId="13" fillId="0" borderId="4" xfId="1" applyFont="1" applyBorder="1"/>
    <xf numFmtId="167" fontId="13" fillId="0" borderId="4" xfId="1" applyNumberFormat="1" applyFont="1" applyBorder="1"/>
    <xf numFmtId="0" fontId="42" fillId="7" borderId="2" xfId="1" applyFont="1" applyFill="1" applyBorder="1"/>
    <xf numFmtId="0" fontId="27" fillId="0" borderId="19" xfId="1" applyFont="1" applyBorder="1"/>
    <xf numFmtId="0" fontId="27" fillId="0" borderId="2" xfId="1" applyFont="1" applyBorder="1"/>
    <xf numFmtId="166" fontId="27" fillId="0" borderId="0" xfId="1" applyNumberFormat="1" applyFont="1" applyBorder="1"/>
    <xf numFmtId="168" fontId="13" fillId="0" borderId="0" xfId="1" applyNumberFormat="1" applyFont="1"/>
    <xf numFmtId="3" fontId="27" fillId="0" borderId="0" xfId="1" applyNumberFormat="1" applyFont="1" applyBorder="1"/>
    <xf numFmtId="0" fontId="39" fillId="6" borderId="2" xfId="1" applyFont="1" applyFill="1" applyBorder="1"/>
    <xf numFmtId="3" fontId="39" fillId="6" borderId="20" xfId="1" applyNumberFormat="1" applyFont="1" applyFill="1" applyBorder="1"/>
    <xf numFmtId="168" fontId="13" fillId="0" borderId="0" xfId="5" applyNumberFormat="1" applyFont="1"/>
    <xf numFmtId="0" fontId="39" fillId="8" borderId="2" xfId="1" applyFont="1" applyFill="1" applyBorder="1"/>
    <xf numFmtId="0" fontId="13" fillId="8" borderId="0" xfId="1" applyFont="1" applyFill="1" applyBorder="1"/>
    <xf numFmtId="3" fontId="39" fillId="8" borderId="0" xfId="1" applyNumberFormat="1" applyFont="1" applyFill="1" applyBorder="1"/>
    <xf numFmtId="0" fontId="13" fillId="8" borderId="9" xfId="1" applyFont="1" applyFill="1" applyBorder="1"/>
    <xf numFmtId="0" fontId="13" fillId="8" borderId="0" xfId="1" applyFont="1" applyFill="1"/>
    <xf numFmtId="0" fontId="27" fillId="8" borderId="28" xfId="1" applyFont="1" applyFill="1" applyBorder="1"/>
    <xf numFmtId="166" fontId="31" fillId="10" borderId="26" xfId="3" applyNumberFormat="1" applyFont="1" applyFill="1" applyBorder="1"/>
    <xf numFmtId="10" fontId="13" fillId="0" borderId="26" xfId="3" applyNumberFormat="1" applyFont="1" applyBorder="1"/>
    <xf numFmtId="0" fontId="27" fillId="5" borderId="15" xfId="1" applyFont="1" applyFill="1" applyBorder="1" applyAlignment="1">
      <alignment wrapText="1"/>
    </xf>
    <xf numFmtId="166" fontId="27" fillId="6" borderId="27" xfId="3" applyNumberFormat="1" applyFont="1" applyFill="1" applyBorder="1"/>
    <xf numFmtId="0" fontId="27" fillId="6" borderId="3" xfId="1" applyFont="1" applyFill="1" applyBorder="1" applyAlignment="1">
      <alignment wrapText="1"/>
    </xf>
    <xf numFmtId="0" fontId="27" fillId="6" borderId="33" xfId="1" applyFont="1" applyFill="1" applyBorder="1"/>
    <xf numFmtId="0" fontId="13" fillId="0" borderId="7" xfId="1" applyFont="1" applyBorder="1"/>
    <xf numFmtId="0" fontId="13" fillId="0" borderId="34" xfId="1" applyFont="1" applyBorder="1"/>
    <xf numFmtId="0" fontId="37" fillId="0" borderId="2" xfId="1" applyFont="1" applyBorder="1"/>
    <xf numFmtId="0" fontId="27" fillId="0" borderId="35" xfId="1" applyFont="1" applyBorder="1"/>
    <xf numFmtId="0" fontId="44" fillId="0" borderId="2" xfId="4" applyFont="1" applyFill="1" applyBorder="1" applyAlignment="1">
      <alignment horizontal="left"/>
    </xf>
    <xf numFmtId="3" fontId="29" fillId="0" borderId="0" xfId="1" applyNumberFormat="1" applyFont="1" applyBorder="1"/>
    <xf numFmtId="3" fontId="29" fillId="0" borderId="9" xfId="1" applyNumberFormat="1" applyFont="1" applyBorder="1"/>
    <xf numFmtId="0" fontId="13" fillId="7" borderId="2" xfId="1" applyFont="1" applyFill="1" applyBorder="1"/>
    <xf numFmtId="0" fontId="13" fillId="7" borderId="0" xfId="1" applyFont="1" applyFill="1" applyBorder="1"/>
    <xf numFmtId="10" fontId="1" fillId="9" borderId="0" xfId="4" applyNumberFormat="1" applyFont="1" applyFill="1" applyBorder="1"/>
    <xf numFmtId="10" fontId="1" fillId="9" borderId="9" xfId="4" applyNumberFormat="1" applyFont="1" applyFill="1" applyBorder="1"/>
    <xf numFmtId="10" fontId="1" fillId="0" borderId="0" xfId="4" applyNumberFormat="1" applyFont="1" applyBorder="1"/>
    <xf numFmtId="10" fontId="1" fillId="0" borderId="9" xfId="4" applyNumberFormat="1" applyFont="1" applyBorder="1"/>
    <xf numFmtId="3" fontId="27" fillId="0" borderId="9" xfId="1" applyNumberFormat="1" applyFont="1" applyBorder="1"/>
    <xf numFmtId="10" fontId="13" fillId="0" borderId="0" xfId="1" applyNumberFormat="1" applyFont="1" applyBorder="1"/>
    <xf numFmtId="10" fontId="13" fillId="0" borderId="9" xfId="1" applyNumberFormat="1" applyFont="1" applyBorder="1"/>
    <xf numFmtId="3" fontId="27" fillId="0" borderId="19" xfId="1" applyNumberFormat="1" applyFont="1" applyBorder="1"/>
    <xf numFmtId="3" fontId="27" fillId="0" borderId="35" xfId="1" applyNumberFormat="1" applyFont="1" applyBorder="1"/>
    <xf numFmtId="0" fontId="13" fillId="0" borderId="36" xfId="1" applyFont="1" applyBorder="1"/>
    <xf numFmtId="0" fontId="13" fillId="0" borderId="14" xfId="1" applyFont="1" applyBorder="1"/>
    <xf numFmtId="0" fontId="13" fillId="0" borderId="37" xfId="1" applyFont="1" applyBorder="1"/>
    <xf numFmtId="0" fontId="13" fillId="7" borderId="2" xfId="0" applyFont="1" applyFill="1" applyBorder="1"/>
    <xf numFmtId="0" fontId="13" fillId="7" borderId="0" xfId="0" applyFont="1" applyFill="1" applyBorder="1"/>
    <xf numFmtId="0" fontId="13" fillId="8" borderId="0" xfId="0" applyFont="1" applyFill="1" applyBorder="1"/>
    <xf numFmtId="0" fontId="13" fillId="8" borderId="9" xfId="0" applyFont="1" applyFill="1" applyBorder="1"/>
    <xf numFmtId="0" fontId="13" fillId="0" borderId="15" xfId="1" applyFont="1" applyBorder="1"/>
    <xf numFmtId="0" fontId="13" fillId="0" borderId="16" xfId="1" applyFont="1" applyBorder="1"/>
    <xf numFmtId="167" fontId="13" fillId="0" borderId="0" xfId="1" applyNumberFormat="1" applyFont="1" applyBorder="1"/>
    <xf numFmtId="0" fontId="39" fillId="0" borderId="2" xfId="1" applyFont="1" applyBorder="1"/>
    <xf numFmtId="0" fontId="13" fillId="0" borderId="9" xfId="0" applyFont="1" applyBorder="1"/>
    <xf numFmtId="167" fontId="13" fillId="0" borderId="16" xfId="1" applyNumberFormat="1" applyFont="1" applyBorder="1"/>
    <xf numFmtId="0" fontId="45" fillId="0" borderId="2" xfId="1" applyFont="1" applyBorder="1"/>
    <xf numFmtId="0" fontId="3" fillId="0" borderId="0" xfId="0" applyFont="1"/>
    <xf numFmtId="2" fontId="19" fillId="12" borderId="0" xfId="5" applyNumberFormat="1" applyFont="1" applyFill="1" applyAlignment="1" applyProtection="1">
      <alignment horizontal="left"/>
    </xf>
    <xf numFmtId="0" fontId="27" fillId="0" borderId="0" xfId="1" applyFont="1" applyBorder="1"/>
    <xf numFmtId="168" fontId="1" fillId="8" borderId="31" xfId="15" applyNumberFormat="1" applyFont="1" applyFill="1" applyBorder="1"/>
    <xf numFmtId="168" fontId="1" fillId="8" borderId="60" xfId="15" applyNumberFormat="1" applyFont="1" applyFill="1" applyBorder="1"/>
    <xf numFmtId="168" fontId="1" fillId="8" borderId="32" xfId="15" applyNumberFormat="1" applyFont="1" applyFill="1" applyBorder="1"/>
    <xf numFmtId="168" fontId="13" fillId="8" borderId="53" xfId="1" applyNumberFormat="1" applyFont="1" applyFill="1" applyBorder="1"/>
    <xf numFmtId="0" fontId="27" fillId="8" borderId="30" xfId="1" applyFont="1" applyFill="1" applyBorder="1" applyAlignment="1">
      <alignment horizontal="center" wrapText="1"/>
    </xf>
    <xf numFmtId="0" fontId="39" fillId="8" borderId="30" xfId="1" applyFont="1" applyFill="1" applyBorder="1" applyAlignment="1">
      <alignment horizontal="center" wrapText="1"/>
    </xf>
    <xf numFmtId="0" fontId="13" fillId="8" borderId="61" xfId="1" applyFont="1" applyFill="1" applyBorder="1"/>
    <xf numFmtId="0" fontId="13" fillId="8" borderId="31" xfId="1" applyFont="1" applyFill="1" applyBorder="1" applyAlignment="1">
      <alignment horizontal="center"/>
    </xf>
    <xf numFmtId="0" fontId="13" fillId="8" borderId="31" xfId="1" applyFont="1" applyFill="1" applyBorder="1"/>
    <xf numFmtId="10" fontId="13" fillId="8" borderId="31" xfId="3" applyNumberFormat="1" applyFont="1" applyFill="1" applyBorder="1" applyAlignment="1">
      <alignment horizontal="center"/>
    </xf>
    <xf numFmtId="0" fontId="39" fillId="8" borderId="31" xfId="1" applyFont="1" applyFill="1" applyBorder="1"/>
    <xf numFmtId="10" fontId="13" fillId="8" borderId="31" xfId="6" applyNumberFormat="1" applyFont="1" applyFill="1" applyBorder="1"/>
    <xf numFmtId="10" fontId="13" fillId="8" borderId="32" xfId="6" applyNumberFormat="1" applyFont="1" applyFill="1" applyBorder="1"/>
    <xf numFmtId="0" fontId="39" fillId="8" borderId="32" xfId="1" applyFont="1" applyFill="1" applyBorder="1"/>
    <xf numFmtId="3" fontId="3" fillId="0" borderId="8" xfId="0" applyNumberFormat="1" applyFont="1" applyBorder="1" applyProtection="1">
      <protection locked="0"/>
    </xf>
    <xf numFmtId="0" fontId="27" fillId="6" borderId="15" xfId="0" applyFont="1" applyFill="1" applyBorder="1" applyAlignment="1"/>
    <xf numFmtId="0" fontId="39" fillId="6" borderId="3" xfId="1" applyFont="1" applyFill="1" applyBorder="1" applyAlignment="1"/>
    <xf numFmtId="0" fontId="38" fillId="6" borderId="4" xfId="0" applyFont="1" applyFill="1" applyBorder="1"/>
    <xf numFmtId="0" fontId="38" fillId="6" borderId="5" xfId="0" applyFont="1" applyFill="1" applyBorder="1"/>
    <xf numFmtId="0" fontId="13" fillId="6" borderId="16" xfId="0" applyFont="1" applyFill="1" applyBorder="1"/>
    <xf numFmtId="166" fontId="31" fillId="19" borderId="21" xfId="3" applyNumberFormat="1" applyFont="1" applyFill="1" applyBorder="1"/>
    <xf numFmtId="10" fontId="4" fillId="0" borderId="0" xfId="6" applyNumberFormat="1" applyFont="1" applyFill="1" applyBorder="1" applyAlignment="1" applyProtection="1">
      <alignment horizontal="right"/>
      <protection locked="0"/>
    </xf>
    <xf numFmtId="165" fontId="4" fillId="0" borderId="0" xfId="6" applyNumberFormat="1" applyFont="1" applyFill="1" applyBorder="1" applyAlignment="1" applyProtection="1">
      <alignment horizontal="right"/>
      <protection locked="0"/>
    </xf>
    <xf numFmtId="175" fontId="4" fillId="0" borderId="0" xfId="8" applyNumberFormat="1" applyFont="1" applyFill="1" applyBorder="1" applyProtection="1">
      <alignment horizontal="right"/>
      <protection locked="0"/>
    </xf>
    <xf numFmtId="166" fontId="31" fillId="8" borderId="31" xfId="1" applyNumberFormat="1" applyFont="1" applyFill="1" applyBorder="1"/>
    <xf numFmtId="0" fontId="13" fillId="8" borderId="2" xfId="1" applyFont="1" applyFill="1" applyBorder="1"/>
    <xf numFmtId="10" fontId="13" fillId="8" borderId="0" xfId="6" applyNumberFormat="1" applyFont="1" applyFill="1" applyBorder="1"/>
    <xf numFmtId="10" fontId="31" fillId="10" borderId="21" xfId="6" applyNumberFormat="1" applyFont="1" applyFill="1" applyBorder="1"/>
    <xf numFmtId="10" fontId="31" fillId="10" borderId="9" xfId="6" applyNumberFormat="1" applyFont="1" applyFill="1" applyBorder="1"/>
    <xf numFmtId="10" fontId="13" fillId="0" borderId="0" xfId="6" applyNumberFormat="1" applyFont="1" applyBorder="1"/>
    <xf numFmtId="10" fontId="27" fillId="6" borderId="16" xfId="6" applyNumberFormat="1" applyFont="1" applyFill="1" applyBorder="1"/>
    <xf numFmtId="10" fontId="27" fillId="6" borderId="50" xfId="6" applyNumberFormat="1" applyFont="1" applyFill="1" applyBorder="1"/>
    <xf numFmtId="0" fontId="11" fillId="0" borderId="0" xfId="0" applyFont="1" applyAlignment="1">
      <alignment vertical="center" wrapText="1"/>
    </xf>
    <xf numFmtId="0" fontId="11" fillId="3" borderId="0" xfId="0" applyFont="1" applyFill="1" applyAlignment="1">
      <alignment vertical="center" wrapText="1"/>
    </xf>
    <xf numFmtId="3" fontId="1" fillId="0" borderId="0" xfId="0" applyNumberFormat="1" applyFont="1"/>
    <xf numFmtId="0" fontId="0" fillId="0" borderId="0" xfId="0" applyFont="1"/>
    <xf numFmtId="0" fontId="48" fillId="0" borderId="0" xfId="0" applyFont="1" applyAlignment="1">
      <alignment horizontal="center" vertical="center"/>
    </xf>
    <xf numFmtId="0" fontId="0" fillId="0" borderId="0" xfId="0" applyFont="1" applyAlignment="1">
      <alignment horizontal="left" vertical="center" indent="1"/>
    </xf>
    <xf numFmtId="0" fontId="48" fillId="0" borderId="0" xfId="0" applyFont="1" applyAlignment="1">
      <alignment horizontal="center"/>
    </xf>
    <xf numFmtId="0" fontId="48" fillId="0" borderId="0" xfId="0" applyFont="1" applyAlignment="1">
      <alignment horizontal="left" vertical="center" indent="1"/>
    </xf>
    <xf numFmtId="0" fontId="11" fillId="3" borderId="0" xfId="0" applyFont="1" applyFill="1" applyAlignment="1">
      <alignment horizontal="right" vertical="center" wrapText="1"/>
    </xf>
    <xf numFmtId="0" fontId="11" fillId="0" borderId="0" xfId="0" applyFont="1" applyAlignment="1">
      <alignment horizontal="right" vertical="center" wrapText="1"/>
    </xf>
    <xf numFmtId="0" fontId="48" fillId="0" borderId="0" xfId="0" applyFont="1"/>
    <xf numFmtId="168" fontId="13" fillId="16" borderId="0" xfId="1" applyNumberFormat="1" applyFont="1" applyFill="1" applyBorder="1"/>
    <xf numFmtId="168" fontId="12" fillId="4" borderId="53" xfId="16" applyNumberFormat="1" applyFill="1" applyBorder="1"/>
    <xf numFmtId="0" fontId="27" fillId="6" borderId="0" xfId="16" applyFont="1" applyFill="1"/>
    <xf numFmtId="0" fontId="13" fillId="6" borderId="0" xfId="16" applyFont="1" applyFill="1"/>
    <xf numFmtId="168" fontId="13" fillId="4" borderId="32" xfId="16" applyNumberFormat="1" applyFont="1" applyFill="1" applyBorder="1"/>
    <xf numFmtId="168" fontId="13" fillId="4" borderId="31" xfId="16" applyNumberFormat="1" applyFont="1" applyFill="1" applyBorder="1"/>
    <xf numFmtId="173" fontId="13" fillId="4" borderId="32" xfId="15" applyNumberFormat="1" applyFont="1" applyFill="1" applyBorder="1"/>
    <xf numFmtId="173" fontId="13" fillId="4" borderId="31" xfId="15" applyNumberFormat="1" applyFont="1" applyFill="1" applyBorder="1"/>
    <xf numFmtId="173" fontId="13" fillId="4" borderId="60" xfId="15" applyNumberFormat="1" applyFont="1" applyFill="1" applyBorder="1"/>
    <xf numFmtId="0" fontId="12" fillId="4" borderId="41" xfId="16" applyFill="1" applyBorder="1" applyAlignment="1">
      <alignment horizontal="center" wrapText="1"/>
    </xf>
    <xf numFmtId="0" fontId="50" fillId="9" borderId="26" xfId="16" applyFont="1" applyFill="1" applyBorder="1"/>
    <xf numFmtId="0" fontId="0" fillId="16" borderId="0" xfId="0" applyFill="1"/>
    <xf numFmtId="0" fontId="12" fillId="4" borderId="3" xfId="16" applyFill="1" applyBorder="1"/>
    <xf numFmtId="0" fontId="12" fillId="4" borderId="4" xfId="16" applyFill="1" applyBorder="1"/>
    <xf numFmtId="0" fontId="12" fillId="4" borderId="5" xfId="16" applyFill="1" applyBorder="1"/>
    <xf numFmtId="0" fontId="12" fillId="16" borderId="0" xfId="16" applyFill="1"/>
    <xf numFmtId="0" fontId="51" fillId="4" borderId="2" xfId="16" applyFont="1" applyFill="1" applyBorder="1"/>
    <xf numFmtId="0" fontId="51" fillId="0" borderId="0" xfId="16" applyFont="1" applyFill="1" applyBorder="1" applyAlignment="1">
      <alignment horizontal="center"/>
    </xf>
    <xf numFmtId="0" fontId="12" fillId="4" borderId="0" xfId="16" applyFill="1" applyBorder="1"/>
    <xf numFmtId="0" fontId="12" fillId="4" borderId="9" xfId="16" applyFill="1" applyBorder="1"/>
    <xf numFmtId="3" fontId="19" fillId="0" borderId="11" xfId="6" applyNumberFormat="1" applyFont="1" applyFill="1" applyBorder="1" applyAlignment="1" applyProtection="1">
      <alignment horizontal="right" vertical="center"/>
    </xf>
    <xf numFmtId="10" fontId="3" fillId="0" borderId="0" xfId="6" applyNumberFormat="1" applyFont="1" applyProtection="1">
      <protection locked="0"/>
    </xf>
    <xf numFmtId="10" fontId="3" fillId="0" borderId="18" xfId="6" applyNumberFormat="1" applyFont="1" applyBorder="1" applyProtection="1">
      <protection locked="0"/>
    </xf>
    <xf numFmtId="0" fontId="4" fillId="0" borderId="0" xfId="0" applyFont="1" applyFill="1" applyBorder="1" applyProtection="1"/>
    <xf numFmtId="0" fontId="3" fillId="0" borderId="0" xfId="0" applyFont="1" applyFill="1" applyProtection="1"/>
    <xf numFmtId="169" fontId="3" fillId="0" borderId="0" xfId="0" applyNumberFormat="1" applyFont="1" applyFill="1" applyAlignment="1" applyProtection="1">
      <alignment horizontal="center"/>
    </xf>
    <xf numFmtId="170" fontId="3" fillId="0" borderId="0" xfId="0" applyNumberFormat="1" applyFont="1" applyFill="1" applyProtection="1">
      <protection locked="0"/>
    </xf>
    <xf numFmtId="168" fontId="38" fillId="15" borderId="31" xfId="15" applyNumberFormat="1" applyFont="1" applyFill="1" applyBorder="1"/>
    <xf numFmtId="0" fontId="19" fillId="0" borderId="18" xfId="0" applyFont="1" applyFill="1" applyBorder="1" applyAlignment="1" applyProtection="1">
      <alignment wrapText="1"/>
    </xf>
    <xf numFmtId="0" fontId="19" fillId="0" borderId="12" xfId="0" applyFont="1" applyFill="1" applyBorder="1" applyProtection="1"/>
    <xf numFmtId="0" fontId="19" fillId="0" borderId="8" xfId="0" applyFont="1" applyFill="1" applyBorder="1" applyProtection="1"/>
    <xf numFmtId="0" fontId="4" fillId="0" borderId="12" xfId="0" applyFont="1" applyFill="1" applyBorder="1" applyProtection="1"/>
    <xf numFmtId="0" fontId="26" fillId="21" borderId="0" xfId="0" applyFont="1" applyFill="1" applyProtection="1">
      <protection locked="0"/>
    </xf>
    <xf numFmtId="3" fontId="13" fillId="16" borderId="0" xfId="1" applyNumberFormat="1" applyFont="1" applyFill="1"/>
    <xf numFmtId="3" fontId="25" fillId="0" borderId="18" xfId="0" applyNumberFormat="1" applyFont="1" applyFill="1" applyBorder="1" applyProtection="1">
      <protection locked="0"/>
    </xf>
    <xf numFmtId="10" fontId="29" fillId="17" borderId="18" xfId="3" applyNumberFormat="1" applyFont="1" applyFill="1" applyBorder="1"/>
    <xf numFmtId="10" fontId="29" fillId="17" borderId="0" xfId="3" applyNumberFormat="1" applyFont="1" applyFill="1" applyBorder="1"/>
    <xf numFmtId="166" fontId="31" fillId="17" borderId="21" xfId="3" applyNumberFormat="1" applyFont="1" applyFill="1" applyBorder="1"/>
    <xf numFmtId="166" fontId="13" fillId="10" borderId="9" xfId="3" applyNumberFormat="1" applyFont="1" applyFill="1" applyBorder="1"/>
    <xf numFmtId="166" fontId="31" fillId="17" borderId="9" xfId="3" applyNumberFormat="1" applyFont="1" applyFill="1" applyBorder="1"/>
    <xf numFmtId="0" fontId="52" fillId="0" borderId="10" xfId="0" applyFont="1" applyBorder="1"/>
    <xf numFmtId="0" fontId="53" fillId="0" borderId="6" xfId="0" applyFont="1" applyBorder="1"/>
    <xf numFmtId="0" fontId="52" fillId="0" borderId="19" xfId="0" applyFont="1" applyBorder="1" applyAlignment="1">
      <alignment horizontal="right"/>
    </xf>
    <xf numFmtId="0" fontId="52" fillId="0" borderId="19" xfId="0" applyFont="1" applyBorder="1"/>
    <xf numFmtId="0" fontId="0" fillId="0" borderId="7" xfId="0" applyBorder="1"/>
    <xf numFmtId="0" fontId="0" fillId="0" borderId="23" xfId="0" applyBorder="1"/>
    <xf numFmtId="0" fontId="54" fillId="0" borderId="10" xfId="0" applyFont="1" applyBorder="1"/>
    <xf numFmtId="0" fontId="52" fillId="0" borderId="0" xfId="0" applyFont="1" applyBorder="1" applyAlignment="1">
      <alignment horizontal="right"/>
    </xf>
    <xf numFmtId="10" fontId="55" fillId="0" borderId="0" xfId="6" applyNumberFormat="1" applyFont="1" applyBorder="1"/>
    <xf numFmtId="0" fontId="0" fillId="0" borderId="0" xfId="0" applyBorder="1"/>
    <xf numFmtId="0" fontId="0" fillId="0" borderId="21" xfId="0" applyBorder="1"/>
    <xf numFmtId="0" fontId="0" fillId="0" borderId="10" xfId="0" applyBorder="1"/>
    <xf numFmtId="10" fontId="54" fillId="0" borderId="0" xfId="6" applyNumberFormat="1" applyFont="1" applyBorder="1"/>
    <xf numFmtId="0" fontId="52" fillId="0" borderId="39" xfId="0" applyFont="1" applyBorder="1" applyAlignment="1">
      <alignment horizontal="right"/>
    </xf>
    <xf numFmtId="168" fontId="55" fillId="0" borderId="0" xfId="0" applyNumberFormat="1" applyFont="1" applyBorder="1"/>
    <xf numFmtId="168" fontId="0" fillId="0" borderId="21" xfId="0" applyNumberFormat="1" applyBorder="1"/>
    <xf numFmtId="168" fontId="0" fillId="0" borderId="0" xfId="0" applyNumberFormat="1" applyBorder="1"/>
    <xf numFmtId="168" fontId="53" fillId="6" borderId="21" xfId="0" applyNumberFormat="1" applyFont="1" applyFill="1" applyBorder="1"/>
    <xf numFmtId="168" fontId="13" fillId="0" borderId="0" xfId="1" applyNumberFormat="1" applyFont="1" applyBorder="1"/>
    <xf numFmtId="0" fontId="0" fillId="0" borderId="13" xfId="0" applyBorder="1"/>
    <xf numFmtId="168" fontId="0" fillId="0" borderId="14" xfId="0" applyNumberFormat="1" applyBorder="1"/>
    <xf numFmtId="0" fontId="0" fillId="0" borderId="14" xfId="0" applyBorder="1"/>
    <xf numFmtId="168" fontId="53" fillId="0" borderId="14" xfId="0" applyNumberFormat="1" applyFont="1" applyBorder="1"/>
    <xf numFmtId="176" fontId="53" fillId="0" borderId="22" xfId="6" applyNumberFormat="1" applyFont="1" applyBorder="1"/>
    <xf numFmtId="168" fontId="53" fillId="0" borderId="22" xfId="0" applyNumberFormat="1" applyFont="1" applyBorder="1"/>
    <xf numFmtId="174" fontId="31" fillId="9" borderId="2" xfId="15" applyNumberFormat="1" applyFont="1" applyFill="1" applyBorder="1"/>
    <xf numFmtId="174" fontId="31" fillId="9" borderId="18" xfId="15" applyNumberFormat="1" applyFont="1" applyFill="1" applyBorder="1"/>
    <xf numFmtId="174" fontId="31" fillId="9" borderId="49" xfId="15" applyNumberFormat="1" applyFont="1" applyFill="1" applyBorder="1"/>
    <xf numFmtId="168" fontId="31" fillId="9" borderId="26" xfId="15" applyNumberFormat="1" applyFont="1" applyFill="1" applyBorder="1"/>
    <xf numFmtId="168" fontId="31" fillId="9" borderId="18" xfId="15" applyNumberFormat="1" applyFont="1" applyFill="1" applyBorder="1"/>
    <xf numFmtId="168" fontId="31" fillId="9" borderId="49" xfId="15" applyNumberFormat="1" applyFont="1" applyFill="1" applyBorder="1"/>
    <xf numFmtId="168" fontId="31" fillId="9" borderId="2" xfId="15" applyNumberFormat="1" applyFont="1" applyFill="1" applyBorder="1"/>
    <xf numFmtId="173" fontId="31" fillId="9" borderId="47" xfId="15" applyNumberFormat="1" applyFont="1" applyFill="1" applyBorder="1"/>
    <xf numFmtId="173" fontId="31" fillId="9" borderId="8" xfId="15" applyNumberFormat="1" applyFont="1" applyFill="1" applyBorder="1"/>
    <xf numFmtId="173" fontId="31" fillId="9" borderId="48" xfId="15" applyNumberFormat="1" applyFont="1" applyFill="1" applyBorder="1"/>
    <xf numFmtId="174" fontId="31" fillId="9" borderId="26" xfId="15" applyNumberFormat="1" applyFont="1" applyFill="1" applyBorder="1"/>
    <xf numFmtId="3" fontId="46" fillId="10" borderId="12" xfId="6" applyNumberFormat="1" applyFont="1" applyFill="1" applyBorder="1" applyAlignment="1" applyProtection="1">
      <alignment horizontal="right" vertical="center"/>
    </xf>
    <xf numFmtId="173" fontId="31" fillId="9" borderId="23" xfId="15" applyNumberFormat="1" applyFont="1" applyFill="1" applyBorder="1"/>
    <xf numFmtId="174" fontId="31" fillId="9" borderId="9" xfId="15" applyNumberFormat="1" applyFont="1" applyFill="1" applyBorder="1"/>
    <xf numFmtId="3" fontId="46" fillId="10" borderId="11" xfId="6" applyNumberFormat="1" applyFont="1" applyFill="1" applyBorder="1" applyAlignment="1" applyProtection="1">
      <alignment horizontal="right" vertical="center"/>
    </xf>
    <xf numFmtId="0" fontId="47" fillId="0" borderId="19" xfId="0" applyFont="1" applyBorder="1" applyAlignment="1">
      <alignment horizontal="center"/>
    </xf>
    <xf numFmtId="0" fontId="47" fillId="0" borderId="19" xfId="0" applyFont="1" applyBorder="1"/>
    <xf numFmtId="0" fontId="56" fillId="0" borderId="0" xfId="0" applyFont="1" applyAlignment="1">
      <alignment horizontal="center"/>
    </xf>
    <xf numFmtId="0" fontId="0" fillId="0" borderId="0" xfId="0" quotePrefix="1"/>
    <xf numFmtId="0" fontId="47" fillId="0" borderId="0" xfId="0" applyFont="1"/>
    <xf numFmtId="0" fontId="57" fillId="0" borderId="0" xfId="0" applyFont="1" applyAlignment="1">
      <alignment vertical="center"/>
    </xf>
    <xf numFmtId="10" fontId="29" fillId="0" borderId="0" xfId="3" applyNumberFormat="1" applyFont="1" applyFill="1" applyBorder="1"/>
    <xf numFmtId="10" fontId="29" fillId="0" borderId="21" xfId="3" applyNumberFormat="1" applyFont="1" applyFill="1" applyBorder="1"/>
    <xf numFmtId="0" fontId="39" fillId="0" borderId="0" xfId="0" applyFont="1"/>
    <xf numFmtId="3" fontId="3" fillId="0" borderId="21" xfId="0" applyNumberFormat="1" applyFont="1" applyBorder="1" applyProtection="1">
      <protection locked="0"/>
    </xf>
    <xf numFmtId="3" fontId="4" fillId="20" borderId="11" xfId="6" applyNumberFormat="1" applyFont="1" applyFill="1" applyBorder="1" applyAlignment="1" applyProtection="1">
      <alignment horizontal="right" vertical="center"/>
    </xf>
    <xf numFmtId="3" fontId="3" fillId="20" borderId="12" xfId="0" applyNumberFormat="1" applyFont="1" applyFill="1" applyBorder="1" applyProtection="1">
      <protection locked="0"/>
    </xf>
    <xf numFmtId="49" fontId="32" fillId="0" borderId="10" xfId="0" applyNumberFormat="1" applyFont="1" applyFill="1" applyBorder="1" applyAlignment="1" applyProtection="1">
      <alignment horizontal="left" indent="2"/>
    </xf>
    <xf numFmtId="3" fontId="4" fillId="0" borderId="21" xfId="6" applyNumberFormat="1" applyFont="1" applyFill="1" applyBorder="1" applyAlignment="1" applyProtection="1">
      <alignment horizontal="right" vertical="center"/>
    </xf>
    <xf numFmtId="3" fontId="4" fillId="0" borderId="22" xfId="6" applyNumberFormat="1" applyFont="1" applyFill="1" applyBorder="1" applyAlignment="1" applyProtection="1">
      <alignment horizontal="right" vertical="center"/>
    </xf>
    <xf numFmtId="3" fontId="4" fillId="0" borderId="12" xfId="0" applyNumberFormat="1" applyFont="1" applyFill="1" applyBorder="1" applyAlignment="1" applyProtection="1">
      <alignment horizontal="right" vertical="center"/>
    </xf>
    <xf numFmtId="168" fontId="31" fillId="9" borderId="21" xfId="15" applyNumberFormat="1" applyFont="1" applyFill="1" applyBorder="1"/>
    <xf numFmtId="174" fontId="31" fillId="9" borderId="21" xfId="15" applyNumberFormat="1" applyFont="1" applyFill="1" applyBorder="1"/>
    <xf numFmtId="0" fontId="27" fillId="0" borderId="19" xfId="20" quotePrefix="1" applyFont="1" applyFill="1" applyBorder="1" applyAlignment="1">
      <alignment horizontal="right"/>
    </xf>
    <xf numFmtId="0" fontId="52" fillId="0" borderId="19" xfId="19" applyFont="1" applyBorder="1" applyAlignment="1">
      <alignment horizontal="right"/>
    </xf>
    <xf numFmtId="3" fontId="60" fillId="15" borderId="0" xfId="19" applyNumberFormat="1" applyFont="1" applyFill="1" applyBorder="1" applyAlignment="1">
      <alignment horizontal="right"/>
    </xf>
    <xf numFmtId="3" fontId="52" fillId="0" borderId="0" xfId="19" applyNumberFormat="1" applyFont="1" applyBorder="1" applyAlignment="1">
      <alignment horizontal="right"/>
    </xf>
    <xf numFmtId="10" fontId="13" fillId="0" borderId="21" xfId="1" applyNumberFormat="1" applyFont="1" applyBorder="1"/>
    <xf numFmtId="10" fontId="0" fillId="0" borderId="21" xfId="21" applyNumberFormat="1" applyFont="1" applyBorder="1"/>
    <xf numFmtId="170" fontId="14" fillId="0" borderId="21" xfId="19" applyNumberFormat="1" applyBorder="1" applyAlignment="1">
      <alignment horizontal="right"/>
    </xf>
    <xf numFmtId="0" fontId="27" fillId="0" borderId="39" xfId="20" quotePrefix="1" applyFont="1" applyFill="1" applyBorder="1" applyAlignment="1">
      <alignment horizontal="right"/>
    </xf>
    <xf numFmtId="10" fontId="13" fillId="0" borderId="21" xfId="1" applyNumberFormat="1" applyFont="1" applyFill="1" applyBorder="1"/>
    <xf numFmtId="3" fontId="61" fillId="6" borderId="11" xfId="19" applyNumberFormat="1" applyFont="1" applyFill="1" applyBorder="1" applyAlignment="1">
      <alignment horizontal="right"/>
    </xf>
    <xf numFmtId="0" fontId="58" fillId="6" borderId="3" xfId="19" applyFont="1" applyFill="1" applyBorder="1" applyAlignment="1">
      <alignment horizontal="left"/>
    </xf>
    <xf numFmtId="0" fontId="13" fillId="6" borderId="4" xfId="1" applyFont="1" applyFill="1" applyBorder="1"/>
    <xf numFmtId="0" fontId="52" fillId="0" borderId="35" xfId="19" applyFont="1" applyBorder="1" applyAlignment="1">
      <alignment horizontal="right"/>
    </xf>
    <xf numFmtId="0" fontId="52" fillId="0" borderId="2" xfId="19" applyFont="1" applyBorder="1"/>
    <xf numFmtId="10" fontId="13" fillId="15" borderId="0" xfId="6" applyNumberFormat="1" applyFont="1" applyFill="1" applyBorder="1"/>
    <xf numFmtId="0" fontId="52" fillId="0" borderId="2" xfId="19" applyFont="1" applyFill="1" applyBorder="1"/>
    <xf numFmtId="10" fontId="13" fillId="0" borderId="0" xfId="6" applyNumberFormat="1" applyFont="1" applyFill="1" applyBorder="1"/>
    <xf numFmtId="10" fontId="13" fillId="0" borderId="0" xfId="1" applyNumberFormat="1" applyFont="1" applyFill="1" applyBorder="1"/>
    <xf numFmtId="10" fontId="13" fillId="0" borderId="9" xfId="1" applyNumberFormat="1" applyFont="1" applyFill="1" applyBorder="1"/>
    <xf numFmtId="10" fontId="0" fillId="0" borderId="0" xfId="21" applyNumberFormat="1" applyFont="1" applyBorder="1"/>
    <xf numFmtId="10" fontId="0" fillId="0" borderId="9" xfId="21" applyNumberFormat="1" applyFont="1" applyBorder="1"/>
    <xf numFmtId="170" fontId="14" fillId="0" borderId="0" xfId="19" applyNumberFormat="1" applyFont="1" applyBorder="1" applyAlignment="1">
      <alignment horizontal="right"/>
    </xf>
    <xf numFmtId="170" fontId="14" fillId="0" borderId="0" xfId="19" applyNumberFormat="1" applyBorder="1" applyAlignment="1">
      <alignment horizontal="right"/>
    </xf>
    <xf numFmtId="170" fontId="14" fillId="0" borderId="9" xfId="19" applyNumberFormat="1" applyBorder="1" applyAlignment="1">
      <alignment horizontal="right"/>
    </xf>
    <xf numFmtId="0" fontId="14" fillId="0" borderId="2" xfId="19" applyBorder="1"/>
    <xf numFmtId="0" fontId="59" fillId="0" borderId="2" xfId="19" applyFont="1" applyBorder="1"/>
    <xf numFmtId="0" fontId="60" fillId="0" borderId="2" xfId="19" applyFont="1" applyBorder="1" applyAlignment="1">
      <alignment horizontal="left"/>
    </xf>
    <xf numFmtId="0" fontId="52" fillId="0" borderId="2" xfId="19" applyFont="1" applyBorder="1" applyAlignment="1">
      <alignment horizontal="left"/>
    </xf>
    <xf numFmtId="0" fontId="27" fillId="0" borderId="2" xfId="0" applyFont="1" applyBorder="1"/>
    <xf numFmtId="0" fontId="59" fillId="0" borderId="2" xfId="19" applyFont="1" applyFill="1" applyBorder="1"/>
    <xf numFmtId="0" fontId="61" fillId="0" borderId="2" xfId="19" applyFont="1" applyFill="1" applyBorder="1" applyAlignment="1">
      <alignment horizontal="left"/>
    </xf>
    <xf numFmtId="0" fontId="62" fillId="0" borderId="0" xfId="1" applyFont="1" applyFill="1" applyBorder="1"/>
    <xf numFmtId="3" fontId="13" fillId="17" borderId="0" xfId="1" applyNumberFormat="1" applyFont="1" applyFill="1"/>
    <xf numFmtId="3" fontId="4" fillId="0" borderId="12" xfId="6" applyNumberFormat="1" applyFont="1" applyFill="1" applyBorder="1" applyAlignment="1" applyProtection="1">
      <alignment horizontal="right" vertical="center"/>
    </xf>
    <xf numFmtId="173" fontId="31" fillId="9" borderId="26" xfId="15" applyNumberFormat="1" applyFont="1" applyFill="1" applyBorder="1"/>
    <xf numFmtId="173" fontId="31" fillId="9" borderId="18" xfId="15" applyNumberFormat="1" applyFont="1" applyFill="1" applyBorder="1"/>
    <xf numFmtId="173" fontId="31" fillId="9" borderId="49" xfId="15" applyNumberFormat="1" applyFont="1" applyFill="1" applyBorder="1"/>
    <xf numFmtId="3" fontId="3" fillId="20" borderId="18" xfId="0" applyNumberFormat="1" applyFont="1" applyFill="1" applyBorder="1" applyProtection="1">
      <protection locked="0"/>
    </xf>
    <xf numFmtId="3" fontId="25" fillId="0" borderId="12" xfId="0" applyNumberFormat="1" applyFont="1" applyBorder="1" applyProtection="1">
      <protection locked="0"/>
    </xf>
    <xf numFmtId="173" fontId="31" fillId="9" borderId="21" xfId="15" applyNumberFormat="1" applyFont="1" applyFill="1" applyBorder="1"/>
    <xf numFmtId="168" fontId="13" fillId="9" borderId="23" xfId="15" applyNumberFormat="1" applyFont="1" applyFill="1" applyBorder="1"/>
    <xf numFmtId="177" fontId="13" fillId="0" borderId="0" xfId="6" applyNumberFormat="1" applyFont="1" applyBorder="1"/>
    <xf numFmtId="3" fontId="19" fillId="10" borderId="11" xfId="6" applyNumberFormat="1" applyFont="1" applyFill="1" applyBorder="1" applyAlignment="1" applyProtection="1">
      <alignment horizontal="right" vertical="center"/>
    </xf>
    <xf numFmtId="3" fontId="4" fillId="10" borderId="8" xfId="0" applyNumberFormat="1" applyFont="1" applyFill="1" applyBorder="1" applyAlignment="1" applyProtection="1">
      <alignment horizontal="right" vertical="center"/>
    </xf>
    <xf numFmtId="3" fontId="4" fillId="10" borderId="12" xfId="0" applyNumberFormat="1" applyFont="1" applyFill="1" applyBorder="1" applyAlignment="1" applyProtection="1">
      <alignment horizontal="right" vertical="center"/>
    </xf>
    <xf numFmtId="3" fontId="4" fillId="10" borderId="18" xfId="0" applyNumberFormat="1" applyFont="1" applyFill="1" applyBorder="1" applyAlignment="1" applyProtection="1">
      <alignment horizontal="right" vertical="center"/>
    </xf>
    <xf numFmtId="3" fontId="4" fillId="10" borderId="12" xfId="6" applyNumberFormat="1" applyFont="1" applyFill="1" applyBorder="1" applyAlignment="1" applyProtection="1">
      <alignment horizontal="right" vertical="center"/>
    </xf>
    <xf numFmtId="0" fontId="0" fillId="6" borderId="0" xfId="0" applyFill="1"/>
    <xf numFmtId="0" fontId="35" fillId="6" borderId="0" xfId="0" applyFont="1" applyFill="1" applyAlignment="1">
      <alignment vertical="center"/>
    </xf>
    <xf numFmtId="0" fontId="0" fillId="0" borderId="0" xfId="0" applyAlignment="1">
      <alignment horizontal="left"/>
    </xf>
    <xf numFmtId="3" fontId="4" fillId="0" borderId="11" xfId="0" applyNumberFormat="1" applyFont="1" applyFill="1" applyBorder="1" applyAlignment="1" applyProtection="1">
      <alignment horizontal="right" vertical="center"/>
    </xf>
    <xf numFmtId="10" fontId="57" fillId="0" borderId="18" xfId="6" applyNumberFormat="1" applyFont="1" applyFill="1" applyBorder="1" applyAlignment="1" applyProtection="1">
      <alignment horizontal="center"/>
      <protection locked="0"/>
    </xf>
    <xf numFmtId="0" fontId="57" fillId="22" borderId="0" xfId="5" applyNumberFormat="1" applyFont="1" applyFill="1" applyAlignment="1" applyProtection="1">
      <alignment horizontal="right"/>
      <protection locked="0"/>
    </xf>
    <xf numFmtId="0" fontId="3" fillId="22" borderId="0" xfId="0" applyFont="1" applyFill="1" applyBorder="1" applyProtection="1">
      <protection locked="0"/>
    </xf>
    <xf numFmtId="0" fontId="3" fillId="22" borderId="0" xfId="0" applyFont="1" applyFill="1" applyProtection="1">
      <protection locked="0"/>
    </xf>
    <xf numFmtId="170" fontId="4" fillId="22" borderId="0" xfId="8" applyNumberFormat="1" applyFont="1" applyFill="1" applyBorder="1" applyProtection="1">
      <alignment horizontal="right"/>
      <protection locked="0"/>
    </xf>
    <xf numFmtId="3" fontId="57" fillId="22" borderId="0" xfId="6" applyNumberFormat="1" applyFont="1" applyFill="1" applyBorder="1" applyAlignment="1" applyProtection="1">
      <alignment horizontal="right" vertical="center"/>
    </xf>
    <xf numFmtId="0" fontId="19" fillId="12" borderId="0" xfId="5" applyNumberFormat="1" applyFont="1" applyFill="1" applyAlignment="1" applyProtection="1">
      <alignment horizontal="right"/>
      <protection locked="0"/>
    </xf>
    <xf numFmtId="0" fontId="0" fillId="0" borderId="0" xfId="0" applyFill="1"/>
    <xf numFmtId="0" fontId="0" fillId="0" borderId="0" xfId="0" quotePrefix="1" applyFill="1"/>
    <xf numFmtId="3" fontId="4" fillId="20" borderId="18" xfId="0" applyNumberFormat="1" applyFont="1" applyFill="1" applyBorder="1" applyAlignment="1" applyProtection="1">
      <alignment horizontal="right" vertical="center"/>
    </xf>
    <xf numFmtId="0" fontId="38" fillId="9" borderId="0" xfId="18" applyFont="1" applyFill="1" applyBorder="1" applyAlignment="1"/>
    <xf numFmtId="0" fontId="13" fillId="9" borderId="2" xfId="18" applyFont="1" applyFill="1" applyBorder="1" applyAlignment="1">
      <alignment horizontal="center"/>
    </xf>
    <xf numFmtId="0" fontId="13" fillId="9" borderId="0" xfId="18" applyFont="1" applyFill="1" applyBorder="1" applyAlignment="1"/>
    <xf numFmtId="3" fontId="4" fillId="20" borderId="11" xfId="0" applyNumberFormat="1" applyFont="1" applyFill="1" applyBorder="1" applyAlignment="1" applyProtection="1">
      <alignment horizontal="right" vertical="center"/>
    </xf>
    <xf numFmtId="168" fontId="13" fillId="16" borderId="0" xfId="16" applyNumberFormat="1" applyFont="1" applyFill="1"/>
    <xf numFmtId="176" fontId="3" fillId="0" borderId="0" xfId="6" applyNumberFormat="1" applyFont="1" applyProtection="1">
      <protection locked="0"/>
    </xf>
    <xf numFmtId="178" fontId="57" fillId="0" borderId="0" xfId="6" applyNumberFormat="1" applyFont="1" applyAlignment="1" applyProtection="1">
      <alignment horizontal="center"/>
      <protection locked="0"/>
    </xf>
    <xf numFmtId="9" fontId="57" fillId="0" borderId="0" xfId="6" applyNumberFormat="1" applyFont="1" applyAlignment="1" applyProtection="1">
      <alignment horizontal="center"/>
      <protection locked="0"/>
    </xf>
    <xf numFmtId="166" fontId="63" fillId="10" borderId="9" xfId="3" applyNumberFormat="1" applyFont="1" applyFill="1" applyBorder="1"/>
    <xf numFmtId="10" fontId="63" fillId="10" borderId="9" xfId="6" applyNumberFormat="1" applyFont="1" applyFill="1" applyBorder="1"/>
    <xf numFmtId="10" fontId="57" fillId="0" borderId="0" xfId="6" applyNumberFormat="1" applyFont="1" applyAlignment="1" applyProtection="1">
      <alignment horizontal="center"/>
      <protection locked="0"/>
    </xf>
    <xf numFmtId="0" fontId="47" fillId="0" borderId="0" xfId="0" applyFont="1" applyBorder="1" applyAlignment="1">
      <alignment horizontal="center"/>
    </xf>
    <xf numFmtId="0" fontId="47" fillId="0" borderId="0" xfId="0" applyFont="1" applyBorder="1"/>
    <xf numFmtId="0" fontId="31" fillId="9" borderId="31" xfId="1" applyFont="1" applyFill="1" applyBorder="1"/>
    <xf numFmtId="0" fontId="13" fillId="8" borderId="30" xfId="1" applyFont="1" applyFill="1" applyBorder="1"/>
    <xf numFmtId="176" fontId="39" fillId="10" borderId="31" xfId="1" applyNumberFormat="1" applyFont="1" applyFill="1" applyBorder="1" applyAlignment="1">
      <alignment horizontal="center"/>
    </xf>
    <xf numFmtId="0" fontId="31" fillId="4" borderId="43" xfId="1" applyFont="1" applyFill="1" applyBorder="1" applyAlignment="1">
      <alignment horizontal="center" wrapText="1"/>
    </xf>
    <xf numFmtId="0" fontId="31" fillId="4" borderId="28" xfId="1" applyFont="1" applyFill="1" applyBorder="1" applyAlignment="1">
      <alignment horizontal="center" wrapText="1"/>
    </xf>
    <xf numFmtId="0" fontId="31" fillId="4" borderId="46" xfId="1" applyFont="1" applyFill="1" applyBorder="1" applyAlignment="1">
      <alignment horizontal="center" wrapText="1"/>
    </xf>
    <xf numFmtId="0" fontId="13" fillId="8" borderId="30" xfId="1" applyFont="1" applyFill="1" applyBorder="1" applyAlignment="1">
      <alignment horizontal="center" wrapText="1"/>
    </xf>
    <xf numFmtId="176" fontId="1" fillId="4" borderId="26" xfId="6" applyNumberFormat="1" applyFont="1" applyFill="1" applyBorder="1"/>
    <xf numFmtId="176" fontId="1" fillId="4" borderId="18" xfId="6" applyNumberFormat="1" applyFont="1" applyFill="1" applyBorder="1"/>
    <xf numFmtId="176" fontId="1" fillId="4" borderId="10" xfId="6" applyNumberFormat="1" applyFont="1" applyFill="1" applyBorder="1"/>
    <xf numFmtId="176" fontId="1" fillId="4" borderId="27" xfId="6" applyNumberFormat="1" applyFont="1" applyFill="1" applyBorder="1"/>
    <xf numFmtId="176" fontId="1" fillId="4" borderId="25" xfId="6" applyNumberFormat="1" applyFont="1" applyFill="1" applyBorder="1"/>
    <xf numFmtId="176" fontId="1" fillId="4" borderId="56" xfId="6" applyNumberFormat="1" applyFont="1" applyFill="1" applyBorder="1"/>
    <xf numFmtId="0" fontId="13" fillId="8" borderId="32" xfId="1" applyFont="1" applyFill="1" applyBorder="1"/>
    <xf numFmtId="10" fontId="57" fillId="0" borderId="12" xfId="6" applyNumberFormat="1" applyFont="1" applyFill="1" applyBorder="1" applyAlignment="1" applyProtection="1">
      <alignment horizontal="center"/>
      <protection locked="0"/>
    </xf>
    <xf numFmtId="3" fontId="57" fillId="0" borderId="11" xfId="6" applyNumberFormat="1" applyFont="1" applyFill="1" applyBorder="1" applyAlignment="1" applyProtection="1">
      <alignment horizontal="right" vertical="center"/>
    </xf>
    <xf numFmtId="3" fontId="57" fillId="8" borderId="11" xfId="9" applyNumberFormat="1" applyFont="1" applyFill="1" applyBorder="1" applyAlignment="1" applyProtection="1">
      <alignment horizontal="right"/>
    </xf>
    <xf numFmtId="3" fontId="57" fillId="8" borderId="11" xfId="6" applyNumberFormat="1" applyFont="1" applyFill="1" applyBorder="1" applyAlignment="1" applyProtection="1">
      <alignment horizontal="right" vertical="center"/>
    </xf>
    <xf numFmtId="3" fontId="3" fillId="0" borderId="0" xfId="0" applyNumberFormat="1" applyFont="1" applyFill="1" applyBorder="1" applyProtection="1">
      <protection locked="0"/>
    </xf>
    <xf numFmtId="10" fontId="29" fillId="0" borderId="18" xfId="3" applyNumberFormat="1" applyFont="1" applyFill="1" applyBorder="1"/>
    <xf numFmtId="0" fontId="38" fillId="0" borderId="0" xfId="1" applyFont="1"/>
    <xf numFmtId="10" fontId="29" fillId="15" borderId="8" xfId="3" applyNumberFormat="1" applyFont="1" applyFill="1" applyBorder="1"/>
    <xf numFmtId="10" fontId="29" fillId="8" borderId="0" xfId="3" applyNumberFormat="1" applyFont="1" applyFill="1" applyBorder="1"/>
    <xf numFmtId="174" fontId="31" fillId="9" borderId="0" xfId="15" applyNumberFormat="1" applyFont="1" applyFill="1" applyBorder="1"/>
    <xf numFmtId="44" fontId="3" fillId="0" borderId="0" xfId="22" applyFont="1" applyProtection="1">
      <protection locked="0"/>
    </xf>
    <xf numFmtId="0" fontId="65" fillId="0" borderId="0" xfId="1" applyFont="1" applyBorder="1"/>
    <xf numFmtId="10" fontId="66" fillId="23" borderId="9" xfId="6" applyNumberFormat="1" applyFont="1" applyFill="1" applyBorder="1"/>
    <xf numFmtId="43" fontId="64" fillId="24" borderId="31" xfId="15" applyNumberFormat="1" applyFont="1" applyFill="1" applyBorder="1"/>
    <xf numFmtId="168" fontId="64" fillId="24" borderId="31" xfId="15" applyNumberFormat="1" applyFont="1" applyFill="1" applyBorder="1"/>
    <xf numFmtId="174" fontId="64" fillId="24" borderId="2" xfId="15" applyNumberFormat="1" applyFont="1" applyFill="1" applyBorder="1"/>
    <xf numFmtId="174" fontId="64" fillId="24" borderId="18" xfId="15" applyNumberFormat="1" applyFont="1" applyFill="1" applyBorder="1"/>
    <xf numFmtId="168" fontId="64" fillId="24" borderId="26" xfId="15" applyNumberFormat="1" applyFont="1" applyFill="1" applyBorder="1"/>
    <xf numFmtId="168" fontId="64" fillId="24" borderId="18" xfId="15" applyNumberFormat="1" applyFont="1" applyFill="1" applyBorder="1"/>
    <xf numFmtId="168" fontId="64" fillId="24" borderId="2" xfId="15" applyNumberFormat="1" applyFont="1" applyFill="1" applyBorder="1"/>
    <xf numFmtId="174" fontId="64" fillId="24" borderId="26" xfId="15" applyNumberFormat="1" applyFont="1" applyFill="1" applyBorder="1"/>
    <xf numFmtId="174" fontId="64" fillId="24" borderId="49" xfId="15" applyNumberFormat="1" applyFont="1" applyFill="1" applyBorder="1"/>
    <xf numFmtId="3" fontId="67" fillId="23" borderId="11" xfId="6" applyNumberFormat="1" applyFont="1" applyFill="1" applyBorder="1" applyAlignment="1" applyProtection="1">
      <alignment horizontal="right" vertical="center"/>
    </xf>
    <xf numFmtId="3" fontId="68" fillId="23" borderId="18" xfId="6" applyNumberFormat="1" applyFont="1" applyFill="1" applyBorder="1" applyAlignment="1" applyProtection="1">
      <alignment horizontal="right" vertical="center"/>
    </xf>
    <xf numFmtId="3" fontId="68" fillId="23" borderId="12" xfId="6" applyNumberFormat="1" applyFont="1" applyFill="1" applyBorder="1" applyAlignment="1" applyProtection="1">
      <alignment horizontal="right" vertical="center"/>
    </xf>
    <xf numFmtId="174" fontId="64" fillId="24" borderId="9" xfId="15" applyNumberFormat="1" applyFont="1" applyFill="1" applyBorder="1"/>
    <xf numFmtId="3" fontId="68" fillId="24" borderId="11" xfId="6" applyNumberFormat="1" applyFont="1" applyFill="1" applyBorder="1" applyAlignment="1" applyProtection="1">
      <alignment horizontal="right" vertical="center"/>
    </xf>
    <xf numFmtId="3" fontId="68" fillId="24" borderId="18" xfId="6" applyNumberFormat="1" applyFont="1" applyFill="1" applyBorder="1" applyAlignment="1" applyProtection="1">
      <alignment horizontal="right" vertical="center"/>
    </xf>
    <xf numFmtId="0" fontId="8" fillId="2" borderId="0" xfId="0" applyFont="1" applyFill="1" applyAlignment="1">
      <alignment vertical="center" wrapText="1"/>
    </xf>
    <xf numFmtId="0" fontId="27" fillId="4" borderId="38" xfId="16" applyFont="1" applyFill="1" applyBorder="1" applyAlignment="1">
      <alignment horizontal="center"/>
    </xf>
    <xf numFmtId="0" fontId="1" fillId="0" borderId="39" xfId="0" applyFont="1" applyBorder="1" applyAlignment="1">
      <alignment horizontal="center"/>
    </xf>
    <xf numFmtId="0" fontId="13" fillId="0" borderId="15" xfId="18" applyFont="1" applyBorder="1" applyAlignment="1">
      <alignment horizontal="right"/>
    </xf>
    <xf numFmtId="0" fontId="13" fillId="0" borderId="16" xfId="18" applyFont="1" applyBorder="1" applyAlignment="1"/>
    <xf numFmtId="0" fontId="27" fillId="0" borderId="3" xfId="18" applyFont="1" applyBorder="1" applyAlignment="1"/>
    <xf numFmtId="0" fontId="13" fillId="0" borderId="4" xfId="18" applyFont="1" applyBorder="1" applyAlignment="1"/>
    <xf numFmtId="0" fontId="13" fillId="9" borderId="2" xfId="18" applyFont="1" applyFill="1" applyBorder="1" applyAlignment="1">
      <alignment horizontal="center"/>
    </xf>
    <xf numFmtId="0" fontId="13" fillId="9" borderId="0" xfId="18" applyFont="1" applyFill="1" applyBorder="1" applyAlignment="1">
      <alignment horizontal="center"/>
    </xf>
    <xf numFmtId="0" fontId="27" fillId="0" borderId="33" xfId="18" applyFont="1" applyBorder="1" applyAlignment="1">
      <alignment horizontal="center" vertical="center" wrapText="1"/>
    </xf>
    <xf numFmtId="0" fontId="13" fillId="0" borderId="36" xfId="18" applyFont="1" applyBorder="1" applyAlignment="1">
      <alignment horizontal="center" vertical="center" wrapText="1"/>
    </xf>
    <xf numFmtId="0" fontId="27" fillId="0" borderId="7" xfId="18" applyFont="1" applyBorder="1" applyAlignment="1">
      <alignment horizontal="center"/>
    </xf>
    <xf numFmtId="0" fontId="27" fillId="0" borderId="34" xfId="18" applyFont="1" applyBorder="1" applyAlignment="1">
      <alignment horizontal="center"/>
    </xf>
    <xf numFmtId="0" fontId="13" fillId="0" borderId="2" xfId="18" applyFont="1" applyBorder="1" applyAlignment="1"/>
    <xf numFmtId="0" fontId="13" fillId="0" borderId="0" xfId="18" applyFont="1" applyBorder="1" applyAlignment="1"/>
    <xf numFmtId="0" fontId="13" fillId="9" borderId="0" xfId="18" applyFont="1" applyFill="1" applyBorder="1" applyAlignment="1"/>
    <xf numFmtId="0" fontId="13" fillId="0" borderId="15" xfId="18" applyFont="1" applyBorder="1" applyAlignment="1">
      <alignment horizontal="left"/>
    </xf>
    <xf numFmtId="0" fontId="28" fillId="0" borderId="2" xfId="18" applyFont="1" applyBorder="1" applyAlignment="1">
      <alignment horizontal="right"/>
    </xf>
    <xf numFmtId="0" fontId="13" fillId="0" borderId="0" xfId="18" applyFont="1" applyBorder="1" applyAlignment="1">
      <alignment horizontal="right"/>
    </xf>
    <xf numFmtId="0" fontId="13" fillId="0" borderId="2" xfId="18" applyFont="1" applyBorder="1" applyAlignment="1">
      <alignment horizontal="center"/>
    </xf>
    <xf numFmtId="0" fontId="13" fillId="0" borderId="2" xfId="18" applyFont="1" applyBorder="1" applyAlignment="1">
      <alignment horizontal="right"/>
    </xf>
    <xf numFmtId="0" fontId="13" fillId="0" borderId="0" xfId="18" applyFont="1" applyAlignment="1"/>
  </cellXfs>
  <cellStyles count="23">
    <cellStyle name="20% - Accent5 2 2 2" xfId="14"/>
    <cellStyle name="Comma" xfId="5" builtinId="3"/>
    <cellStyle name="Comma 2" xfId="15"/>
    <cellStyle name="Currency" xfId="22" builtinId="4"/>
    <cellStyle name="Input1" xfId="8"/>
    <cellStyle name="Normal" xfId="0" builtinId="0"/>
    <cellStyle name="Normal 2" xfId="1"/>
    <cellStyle name="Normal 3" xfId="4"/>
    <cellStyle name="Normal 4" xfId="19"/>
    <cellStyle name="Normal 70" xfId="7"/>
    <cellStyle name="Normal 71" xfId="12"/>
    <cellStyle name="Normal 72" xfId="9"/>
    <cellStyle name="Normal 73" xfId="11"/>
    <cellStyle name="Normal 74" xfId="13"/>
    <cellStyle name="Normal 75" xfId="17"/>
    <cellStyle name="Normal 80" xfId="10"/>
    <cellStyle name="Normal_051020 Meter tariff approval model" xfId="2"/>
    <cellStyle name="Normal_Audit template" xfId="18"/>
    <cellStyle name="Normal_CP Templates 260209 am" xfId="20"/>
    <cellStyle name="Normal_JEM 2011 Tariff Approval mr check v2.0 test code v1.2" xfId="16"/>
    <cellStyle name="Percent" xfId="6" builtinId="5"/>
    <cellStyle name="Percent 2" xfId="3"/>
    <cellStyle name="Percent 3" xfId="21"/>
  </cellStyles>
  <dxfs count="15">
    <dxf>
      <font>
        <b/>
        <i val="0"/>
        <color rgb="FFFF0000"/>
      </font>
      <fill>
        <patternFill>
          <bgColor rgb="FFFFFF00"/>
        </patternFill>
      </fill>
    </dxf>
    <dxf>
      <font>
        <b/>
        <i val="0"/>
        <color rgb="FFFF0000"/>
      </font>
      <fill>
        <patternFill>
          <bgColor rgb="FFFFFF00"/>
        </patternFill>
      </fill>
    </dxf>
    <dxf>
      <font>
        <b/>
        <i val="0"/>
        <color theme="1"/>
      </font>
      <fill>
        <patternFill>
          <bgColor rgb="FFFFFF00"/>
        </patternFill>
      </fill>
    </dxf>
    <dxf>
      <font>
        <b/>
        <i val="0"/>
        <color rgb="FFFF0000"/>
      </font>
    </dxf>
    <dxf>
      <font>
        <b/>
        <i val="0"/>
        <color rgb="FFFF0000"/>
      </font>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dxf>
    <dxf>
      <font>
        <b val="0"/>
        <i val="0"/>
        <condense val="0"/>
        <extend val="0"/>
        <color indexed="8"/>
      </font>
    </dxf>
    <dxf>
      <font>
        <b/>
        <i val="0"/>
        <condense val="0"/>
        <extend val="0"/>
        <color indexed="10"/>
      </font>
    </dxf>
    <dxf>
      <font>
        <b val="0"/>
        <i val="0"/>
        <condense val="0"/>
        <extend val="0"/>
        <color indexed="8"/>
      </font>
    </dxf>
    <dxf>
      <font>
        <b/>
        <i val="0"/>
        <condense val="0"/>
        <extend val="0"/>
        <color indexed="10"/>
      </font>
    </dxf>
    <dxf>
      <font>
        <b val="0"/>
        <i val="0"/>
        <condense val="0"/>
        <extend val="0"/>
        <color indexed="8"/>
      </font>
    </dxf>
  </dxfs>
  <tableStyles count="0" defaultTableStyle="TableStyleMedium2" defaultPivotStyle="PivotStyleLight16"/>
  <colors>
    <mruColors>
      <color rgb="FF0000FF"/>
      <color rgb="FFFF00FF"/>
      <color rgb="FFFFFF99"/>
      <color rgb="FFCCFFFF"/>
      <color rgb="FF00FFFF"/>
      <color rgb="FF00FF00"/>
      <color rgb="FFFF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44.w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8.wmf"/><Relationship Id="rId13" Type="http://schemas.openxmlformats.org/officeDocument/2006/relationships/image" Target="../media/image13.wmf"/><Relationship Id="rId18" Type="http://schemas.openxmlformats.org/officeDocument/2006/relationships/image" Target="../media/image18.wmf"/><Relationship Id="rId26" Type="http://schemas.openxmlformats.org/officeDocument/2006/relationships/image" Target="../media/image26.wmf"/><Relationship Id="rId39" Type="http://schemas.openxmlformats.org/officeDocument/2006/relationships/image" Target="../media/image39.wmf"/><Relationship Id="rId3" Type="http://schemas.openxmlformats.org/officeDocument/2006/relationships/image" Target="../media/image3.wmf"/><Relationship Id="rId21" Type="http://schemas.openxmlformats.org/officeDocument/2006/relationships/image" Target="../media/image21.wmf"/><Relationship Id="rId34" Type="http://schemas.openxmlformats.org/officeDocument/2006/relationships/image" Target="../media/image34.wmf"/><Relationship Id="rId42" Type="http://schemas.openxmlformats.org/officeDocument/2006/relationships/image" Target="../media/image42.wmf"/><Relationship Id="rId7" Type="http://schemas.openxmlformats.org/officeDocument/2006/relationships/image" Target="../media/image7.wmf"/><Relationship Id="rId12" Type="http://schemas.openxmlformats.org/officeDocument/2006/relationships/image" Target="../media/image12.wmf"/><Relationship Id="rId17" Type="http://schemas.openxmlformats.org/officeDocument/2006/relationships/image" Target="../media/image17.wmf"/><Relationship Id="rId25" Type="http://schemas.openxmlformats.org/officeDocument/2006/relationships/image" Target="../media/image25.wmf"/><Relationship Id="rId33" Type="http://schemas.openxmlformats.org/officeDocument/2006/relationships/image" Target="../media/image33.wmf"/><Relationship Id="rId38" Type="http://schemas.openxmlformats.org/officeDocument/2006/relationships/image" Target="../media/image38.wmf"/><Relationship Id="rId2" Type="http://schemas.openxmlformats.org/officeDocument/2006/relationships/image" Target="../media/image2.wmf"/><Relationship Id="rId16" Type="http://schemas.openxmlformats.org/officeDocument/2006/relationships/image" Target="../media/image16.wmf"/><Relationship Id="rId20" Type="http://schemas.openxmlformats.org/officeDocument/2006/relationships/image" Target="../media/image20.wmf"/><Relationship Id="rId29" Type="http://schemas.openxmlformats.org/officeDocument/2006/relationships/image" Target="../media/image29.wmf"/><Relationship Id="rId41" Type="http://schemas.openxmlformats.org/officeDocument/2006/relationships/image" Target="../media/image41.wmf"/><Relationship Id="rId1" Type="http://schemas.openxmlformats.org/officeDocument/2006/relationships/image" Target="../media/image1.wmf"/><Relationship Id="rId6" Type="http://schemas.openxmlformats.org/officeDocument/2006/relationships/image" Target="../media/image6.wmf"/><Relationship Id="rId11" Type="http://schemas.openxmlformats.org/officeDocument/2006/relationships/image" Target="../media/image11.wmf"/><Relationship Id="rId24" Type="http://schemas.openxmlformats.org/officeDocument/2006/relationships/image" Target="../media/image24.wmf"/><Relationship Id="rId32" Type="http://schemas.openxmlformats.org/officeDocument/2006/relationships/image" Target="../media/image32.wmf"/><Relationship Id="rId37" Type="http://schemas.openxmlformats.org/officeDocument/2006/relationships/image" Target="../media/image37.wmf"/><Relationship Id="rId40" Type="http://schemas.openxmlformats.org/officeDocument/2006/relationships/image" Target="../media/image40.wmf"/><Relationship Id="rId5" Type="http://schemas.openxmlformats.org/officeDocument/2006/relationships/image" Target="../media/image5.wmf"/><Relationship Id="rId15" Type="http://schemas.openxmlformats.org/officeDocument/2006/relationships/image" Target="../media/image15.wmf"/><Relationship Id="rId23" Type="http://schemas.openxmlformats.org/officeDocument/2006/relationships/image" Target="../media/image23.wmf"/><Relationship Id="rId28" Type="http://schemas.openxmlformats.org/officeDocument/2006/relationships/image" Target="../media/image28.wmf"/><Relationship Id="rId36" Type="http://schemas.openxmlformats.org/officeDocument/2006/relationships/image" Target="../media/image36.wmf"/><Relationship Id="rId10" Type="http://schemas.openxmlformats.org/officeDocument/2006/relationships/image" Target="../media/image10.wmf"/><Relationship Id="rId19" Type="http://schemas.openxmlformats.org/officeDocument/2006/relationships/image" Target="../media/image19.wmf"/><Relationship Id="rId31" Type="http://schemas.openxmlformats.org/officeDocument/2006/relationships/image" Target="../media/image31.w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wmf"/><Relationship Id="rId22" Type="http://schemas.openxmlformats.org/officeDocument/2006/relationships/image" Target="../media/image22.wmf"/><Relationship Id="rId27" Type="http://schemas.openxmlformats.org/officeDocument/2006/relationships/image" Target="../media/image27.wmf"/><Relationship Id="rId30" Type="http://schemas.openxmlformats.org/officeDocument/2006/relationships/image" Target="../media/image30.wmf"/><Relationship Id="rId35" Type="http://schemas.openxmlformats.org/officeDocument/2006/relationships/image" Target="../media/image35.wmf"/><Relationship Id="rId43" Type="http://schemas.openxmlformats.org/officeDocument/2006/relationships/image" Target="../media/image43.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95250</xdr:colOff>
          <xdr:row>3</xdr:row>
          <xdr:rowOff>38100</xdr:rowOff>
        </xdr:from>
        <xdr:to>
          <xdr:col>4</xdr:col>
          <xdr:colOff>142875</xdr:colOff>
          <xdr:row>4</xdr:row>
          <xdr:rowOff>0</xdr:rowOff>
        </xdr:to>
        <xdr:sp macro="" textlink="">
          <xdr:nvSpPr>
            <xdr:cNvPr id="1078" name="Object 54" hidden="1">
              <a:extLst>
                <a:ext uri="{63B3BB69-23CF-44E3-9099-C40C66FF867C}">
                  <a14:compatExt spid="_x0000_s1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85725</xdr:rowOff>
        </xdr:from>
        <xdr:to>
          <xdr:col>4</xdr:col>
          <xdr:colOff>495300</xdr:colOff>
          <xdr:row>4</xdr:row>
          <xdr:rowOff>361950</xdr:rowOff>
        </xdr:to>
        <xdr:sp macro="" textlink="">
          <xdr:nvSpPr>
            <xdr:cNvPr id="1079" name="Object 55" hidden="1">
              <a:extLst>
                <a:ext uri="{63B3BB69-23CF-44E3-9099-C40C66FF867C}">
                  <a14:compatExt spid="_x0000_s10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6</xdr:row>
          <xdr:rowOff>19050</xdr:rowOff>
        </xdr:from>
        <xdr:to>
          <xdr:col>6</xdr:col>
          <xdr:colOff>180975</xdr:colOff>
          <xdr:row>6</xdr:row>
          <xdr:rowOff>295275</xdr:rowOff>
        </xdr:to>
        <xdr:sp macro="" textlink="">
          <xdr:nvSpPr>
            <xdr:cNvPr id="1080" name="Object 56" hidden="1">
              <a:extLst>
                <a:ext uri="{63B3BB69-23CF-44E3-9099-C40C66FF867C}">
                  <a14:compatExt spid="_x0000_s1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123825</xdr:rowOff>
        </xdr:from>
        <xdr:to>
          <xdr:col>1</xdr:col>
          <xdr:colOff>342900</xdr:colOff>
          <xdr:row>10</xdr:row>
          <xdr:rowOff>19050</xdr:rowOff>
        </xdr:to>
        <xdr:sp macro="" textlink="">
          <xdr:nvSpPr>
            <xdr:cNvPr id="1081" name="Object 57" hidden="1">
              <a:extLst>
                <a:ext uri="{63B3BB69-23CF-44E3-9099-C40C66FF867C}">
                  <a14:compatExt spid="_x0000_s1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209550</xdr:colOff>
          <xdr:row>11</xdr:row>
          <xdr:rowOff>76200</xdr:rowOff>
        </xdr:to>
        <xdr:sp macro="" textlink="">
          <xdr:nvSpPr>
            <xdr:cNvPr id="1082" name="Object 58" hidden="1">
              <a:extLst>
                <a:ext uri="{63B3BB69-23CF-44E3-9099-C40C66FF867C}">
                  <a14:compatExt spid="_x0000_s1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190500</xdr:colOff>
          <xdr:row>12</xdr:row>
          <xdr:rowOff>76200</xdr:rowOff>
        </xdr:to>
        <xdr:sp macro="" textlink="">
          <xdr:nvSpPr>
            <xdr:cNvPr id="1083" name="Object 59" hidden="1">
              <a:extLst>
                <a:ext uri="{63B3BB69-23CF-44E3-9099-C40C66FF867C}">
                  <a14:compatExt spid="_x0000_s1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1</xdr:col>
          <xdr:colOff>400050</xdr:colOff>
          <xdr:row>13</xdr:row>
          <xdr:rowOff>85725</xdr:rowOff>
        </xdr:to>
        <xdr:sp macro="" textlink="">
          <xdr:nvSpPr>
            <xdr:cNvPr id="1084" name="Object 60" hidden="1">
              <a:extLst>
                <a:ext uri="{63B3BB69-23CF-44E3-9099-C40C66FF867C}">
                  <a14:compatExt spid="_x0000_s1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142875</xdr:colOff>
          <xdr:row>14</xdr:row>
          <xdr:rowOff>76200</xdr:rowOff>
        </xdr:to>
        <xdr:sp macro="" textlink="">
          <xdr:nvSpPr>
            <xdr:cNvPr id="1085" name="Object 61" hidden="1">
              <a:extLst>
                <a:ext uri="{63B3BB69-23CF-44E3-9099-C40C66FF867C}">
                  <a14:compatExt spid="_x0000_s1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0</xdr:rowOff>
        </xdr:from>
        <xdr:to>
          <xdr:col>1</xdr:col>
          <xdr:colOff>142875</xdr:colOff>
          <xdr:row>15</xdr:row>
          <xdr:rowOff>76200</xdr:rowOff>
        </xdr:to>
        <xdr:sp macro="" textlink="">
          <xdr:nvSpPr>
            <xdr:cNvPr id="1086" name="Object 62" hidden="1">
              <a:extLst>
                <a:ext uri="{63B3BB69-23CF-44E3-9099-C40C66FF867C}">
                  <a14:compatExt spid="_x0000_s1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1</xdr:col>
          <xdr:colOff>161925</xdr:colOff>
          <xdr:row>17</xdr:row>
          <xdr:rowOff>76200</xdr:rowOff>
        </xdr:to>
        <xdr:sp macro="" textlink="">
          <xdr:nvSpPr>
            <xdr:cNvPr id="1087" name="Object 63" hidden="1">
              <a:extLst>
                <a:ext uri="{63B3BB69-23CF-44E3-9099-C40C66FF867C}">
                  <a14:compatExt spid="_x0000_s10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95250</xdr:colOff>
          <xdr:row>19</xdr:row>
          <xdr:rowOff>152400</xdr:rowOff>
        </xdr:from>
        <xdr:to>
          <xdr:col>1</xdr:col>
          <xdr:colOff>352425</xdr:colOff>
          <xdr:row>21</xdr:row>
          <xdr:rowOff>47625</xdr:rowOff>
        </xdr:to>
        <xdr:sp macro="" textlink="">
          <xdr:nvSpPr>
            <xdr:cNvPr id="1088" name="Object 64" hidden="1">
              <a:extLst>
                <a:ext uri="{63B3BB69-23CF-44E3-9099-C40C66FF867C}">
                  <a14:compatExt spid="_x0000_s1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1</xdr:col>
          <xdr:colOff>285750</xdr:colOff>
          <xdr:row>27</xdr:row>
          <xdr:rowOff>104775</xdr:rowOff>
        </xdr:to>
        <xdr:sp macro="" textlink="">
          <xdr:nvSpPr>
            <xdr:cNvPr id="1089" name="Object 65" hidden="1">
              <a:extLst>
                <a:ext uri="{63B3BB69-23CF-44E3-9099-C40C66FF867C}">
                  <a14:compatExt spid="_x0000_s1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27</xdr:row>
          <xdr:rowOff>28575</xdr:rowOff>
        </xdr:from>
        <xdr:to>
          <xdr:col>1</xdr:col>
          <xdr:colOff>323850</xdr:colOff>
          <xdr:row>28</xdr:row>
          <xdr:rowOff>123825</xdr:rowOff>
        </xdr:to>
        <xdr:sp macro="" textlink="">
          <xdr:nvSpPr>
            <xdr:cNvPr id="1090" name="Object 66" hidden="1">
              <a:extLst>
                <a:ext uri="{63B3BB69-23CF-44E3-9099-C40C66FF867C}">
                  <a14:compatExt spid="_x0000_s1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161925</xdr:rowOff>
        </xdr:from>
        <xdr:to>
          <xdr:col>1</xdr:col>
          <xdr:colOff>361950</xdr:colOff>
          <xdr:row>29</xdr:row>
          <xdr:rowOff>47625</xdr:rowOff>
        </xdr:to>
        <xdr:sp macro="" textlink="">
          <xdr:nvSpPr>
            <xdr:cNvPr id="1091" name="Object 67" hidden="1">
              <a:extLst>
                <a:ext uri="{63B3BB69-23CF-44E3-9099-C40C66FF867C}">
                  <a14:compatExt spid="_x0000_s1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43</xdr:row>
          <xdr:rowOff>180975</xdr:rowOff>
        </xdr:from>
        <xdr:to>
          <xdr:col>7</xdr:col>
          <xdr:colOff>600075</xdr:colOff>
          <xdr:row>48</xdr:row>
          <xdr:rowOff>76200</xdr:rowOff>
        </xdr:to>
        <xdr:sp macro="" textlink="">
          <xdr:nvSpPr>
            <xdr:cNvPr id="1092" name="Object 68" hidden="1">
              <a:extLst>
                <a:ext uri="{63B3BB69-23CF-44E3-9099-C40C66FF867C}">
                  <a14:compatExt spid="_x0000_s1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50</xdr:row>
          <xdr:rowOff>0</xdr:rowOff>
        </xdr:from>
        <xdr:to>
          <xdr:col>1</xdr:col>
          <xdr:colOff>190500</xdr:colOff>
          <xdr:row>51</xdr:row>
          <xdr:rowOff>85725</xdr:rowOff>
        </xdr:to>
        <xdr:sp macro="" textlink="">
          <xdr:nvSpPr>
            <xdr:cNvPr id="1093" name="Object 69" hidden="1">
              <a:extLst>
                <a:ext uri="{63B3BB69-23CF-44E3-9099-C40C66FF867C}">
                  <a14:compatExt spid="_x0000_s1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0</xdr:rowOff>
        </xdr:from>
        <xdr:to>
          <xdr:col>1</xdr:col>
          <xdr:colOff>276225</xdr:colOff>
          <xdr:row>52</xdr:row>
          <xdr:rowOff>85725</xdr:rowOff>
        </xdr:to>
        <xdr:sp macro="" textlink="">
          <xdr:nvSpPr>
            <xdr:cNvPr id="1094" name="Object 70" hidden="1">
              <a:extLst>
                <a:ext uri="{63B3BB69-23CF-44E3-9099-C40C66FF867C}">
                  <a14:compatExt spid="_x0000_s1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171450</xdr:rowOff>
        </xdr:from>
        <xdr:to>
          <xdr:col>1</xdr:col>
          <xdr:colOff>190500</xdr:colOff>
          <xdr:row>53</xdr:row>
          <xdr:rowOff>76200</xdr:rowOff>
        </xdr:to>
        <xdr:sp macro="" textlink="">
          <xdr:nvSpPr>
            <xdr:cNvPr id="1095" name="Object 71" hidden="1">
              <a:extLst>
                <a:ext uri="{63B3BB69-23CF-44E3-9099-C40C66FF867C}">
                  <a14:compatExt spid="_x0000_s1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53</xdr:row>
          <xdr:rowOff>76200</xdr:rowOff>
        </xdr:from>
        <xdr:to>
          <xdr:col>1</xdr:col>
          <xdr:colOff>276225</xdr:colOff>
          <xdr:row>54</xdr:row>
          <xdr:rowOff>171450</xdr:rowOff>
        </xdr:to>
        <xdr:sp macro="" textlink="">
          <xdr:nvSpPr>
            <xdr:cNvPr id="1096" name="Object 72" hidden="1">
              <a:extLst>
                <a:ext uri="{63B3BB69-23CF-44E3-9099-C40C66FF867C}">
                  <a14:compatExt spid="_x0000_s1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59</xdr:row>
          <xdr:rowOff>0</xdr:rowOff>
        </xdr:from>
        <xdr:to>
          <xdr:col>1</xdr:col>
          <xdr:colOff>209550</xdr:colOff>
          <xdr:row>60</xdr:row>
          <xdr:rowOff>47625</xdr:rowOff>
        </xdr:to>
        <xdr:sp macro="" textlink="">
          <xdr:nvSpPr>
            <xdr:cNvPr id="1097" name="Object 73" hidden="1">
              <a:extLst>
                <a:ext uri="{63B3BB69-23CF-44E3-9099-C40C66FF867C}">
                  <a14:compatExt spid="_x0000_s1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60</xdr:row>
          <xdr:rowOff>0</xdr:rowOff>
        </xdr:from>
        <xdr:to>
          <xdr:col>1</xdr:col>
          <xdr:colOff>276225</xdr:colOff>
          <xdr:row>61</xdr:row>
          <xdr:rowOff>95250</xdr:rowOff>
        </xdr:to>
        <xdr:sp macro="" textlink="">
          <xdr:nvSpPr>
            <xdr:cNvPr id="1098" name="Object 74" hidden="1">
              <a:extLst>
                <a:ext uri="{63B3BB69-23CF-44E3-9099-C40C66FF867C}">
                  <a14:compatExt spid="_x0000_s1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61</xdr:row>
          <xdr:rowOff>0</xdr:rowOff>
        </xdr:from>
        <xdr:to>
          <xdr:col>1</xdr:col>
          <xdr:colOff>161925</xdr:colOff>
          <xdr:row>62</xdr:row>
          <xdr:rowOff>85725</xdr:rowOff>
        </xdr:to>
        <xdr:sp macro="" textlink="">
          <xdr:nvSpPr>
            <xdr:cNvPr id="1099" name="Object 75" hidden="1">
              <a:extLst>
                <a:ext uri="{63B3BB69-23CF-44E3-9099-C40C66FF867C}">
                  <a14:compatExt spid="_x0000_s1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62</xdr:row>
          <xdr:rowOff>0</xdr:rowOff>
        </xdr:from>
        <xdr:to>
          <xdr:col>1</xdr:col>
          <xdr:colOff>190500</xdr:colOff>
          <xdr:row>63</xdr:row>
          <xdr:rowOff>85725</xdr:rowOff>
        </xdr:to>
        <xdr:sp macro="" textlink="">
          <xdr:nvSpPr>
            <xdr:cNvPr id="1100" name="Object 76" hidden="1">
              <a:extLst>
                <a:ext uri="{63B3BB69-23CF-44E3-9099-C40C66FF867C}">
                  <a14:compatExt spid="_x0000_s1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63</xdr:row>
          <xdr:rowOff>0</xdr:rowOff>
        </xdr:from>
        <xdr:to>
          <xdr:col>1</xdr:col>
          <xdr:colOff>190500</xdr:colOff>
          <xdr:row>64</xdr:row>
          <xdr:rowOff>85725</xdr:rowOff>
        </xdr:to>
        <xdr:sp macro="" textlink="">
          <xdr:nvSpPr>
            <xdr:cNvPr id="1101" name="Object 77" hidden="1">
              <a:extLst>
                <a:ext uri="{63B3BB69-23CF-44E3-9099-C40C66FF867C}">
                  <a14:compatExt spid="_x0000_s1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66</xdr:row>
          <xdr:rowOff>171450</xdr:rowOff>
        </xdr:from>
        <xdr:to>
          <xdr:col>1</xdr:col>
          <xdr:colOff>209550</xdr:colOff>
          <xdr:row>68</xdr:row>
          <xdr:rowOff>66675</xdr:rowOff>
        </xdr:to>
        <xdr:sp macro="" textlink="">
          <xdr:nvSpPr>
            <xdr:cNvPr id="1102" name="Object 78" hidden="1">
              <a:extLst>
                <a:ext uri="{63B3BB69-23CF-44E3-9099-C40C66FF867C}">
                  <a14:compatExt spid="_x0000_s1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9525</xdr:rowOff>
        </xdr:from>
        <xdr:to>
          <xdr:col>4</xdr:col>
          <xdr:colOff>123825</xdr:colOff>
          <xdr:row>5</xdr:row>
          <xdr:rowOff>266700</xdr:rowOff>
        </xdr:to>
        <xdr:sp macro="" textlink="">
          <xdr:nvSpPr>
            <xdr:cNvPr id="1103" name="Object 79" hidden="1">
              <a:extLst>
                <a:ext uri="{63B3BB69-23CF-44E3-9099-C40C66FF867C}">
                  <a14:compatExt spid="_x0000_s1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180975</xdr:colOff>
          <xdr:row>33</xdr:row>
          <xdr:rowOff>142875</xdr:rowOff>
        </xdr:from>
        <xdr:to>
          <xdr:col>1</xdr:col>
          <xdr:colOff>438150</xdr:colOff>
          <xdr:row>36</xdr:row>
          <xdr:rowOff>9525</xdr:rowOff>
        </xdr:to>
        <xdr:sp macro="" textlink="">
          <xdr:nvSpPr>
            <xdr:cNvPr id="1104" name="Object 80" hidden="1">
              <a:extLst>
                <a:ext uri="{63B3BB69-23CF-44E3-9099-C40C66FF867C}">
                  <a14:compatExt spid="_x0000_s1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167</xdr:row>
          <xdr:rowOff>57150</xdr:rowOff>
        </xdr:from>
        <xdr:to>
          <xdr:col>3</xdr:col>
          <xdr:colOff>371475</xdr:colOff>
          <xdr:row>167</xdr:row>
          <xdr:rowOff>514350</xdr:rowOff>
        </xdr:to>
        <xdr:sp macro="" textlink="">
          <xdr:nvSpPr>
            <xdr:cNvPr id="1105" name="Object 81" hidden="1">
              <a:extLst>
                <a:ext uri="{63B3BB69-23CF-44E3-9099-C40C66FF867C}">
                  <a14:compatExt spid="_x0000_s11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169</xdr:row>
          <xdr:rowOff>47625</xdr:rowOff>
        </xdr:from>
        <xdr:to>
          <xdr:col>3</xdr:col>
          <xdr:colOff>314325</xdr:colOff>
          <xdr:row>169</xdr:row>
          <xdr:rowOff>314325</xdr:rowOff>
        </xdr:to>
        <xdr:sp macro="" textlink="">
          <xdr:nvSpPr>
            <xdr:cNvPr id="1106" name="Object 82" hidden="1">
              <a:extLst>
                <a:ext uri="{63B3BB69-23CF-44E3-9099-C40C66FF867C}">
                  <a14:compatExt spid="_x0000_s11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171</xdr:row>
          <xdr:rowOff>38100</xdr:rowOff>
        </xdr:from>
        <xdr:to>
          <xdr:col>4</xdr:col>
          <xdr:colOff>190500</xdr:colOff>
          <xdr:row>171</xdr:row>
          <xdr:rowOff>295275</xdr:rowOff>
        </xdr:to>
        <xdr:sp macro="" textlink="">
          <xdr:nvSpPr>
            <xdr:cNvPr id="1107" name="Object 83" hidden="1">
              <a:extLst>
                <a:ext uri="{63B3BB69-23CF-44E3-9099-C40C66FF867C}">
                  <a14:compatExt spid="_x0000_s1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175</xdr:row>
          <xdr:rowOff>0</xdr:rowOff>
        </xdr:from>
        <xdr:to>
          <xdr:col>1</xdr:col>
          <xdr:colOff>504825</xdr:colOff>
          <xdr:row>176</xdr:row>
          <xdr:rowOff>76200</xdr:rowOff>
        </xdr:to>
        <xdr:sp macro="" textlink="">
          <xdr:nvSpPr>
            <xdr:cNvPr id="1108" name="Object 84" hidden="1">
              <a:extLst>
                <a:ext uri="{63B3BB69-23CF-44E3-9099-C40C66FF867C}">
                  <a14:compatExt spid="_x0000_s1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180975</xdr:colOff>
          <xdr:row>176</xdr:row>
          <xdr:rowOff>28575</xdr:rowOff>
        </xdr:from>
        <xdr:to>
          <xdr:col>1</xdr:col>
          <xdr:colOff>390525</xdr:colOff>
          <xdr:row>176</xdr:row>
          <xdr:rowOff>285750</xdr:rowOff>
        </xdr:to>
        <xdr:sp macro="" textlink="">
          <xdr:nvSpPr>
            <xdr:cNvPr id="1109" name="Object 85" hidden="1">
              <a:extLst>
                <a:ext uri="{63B3BB69-23CF-44E3-9099-C40C66FF867C}">
                  <a14:compatExt spid="_x0000_s11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177</xdr:row>
          <xdr:rowOff>28575</xdr:rowOff>
        </xdr:from>
        <xdr:to>
          <xdr:col>1</xdr:col>
          <xdr:colOff>361950</xdr:colOff>
          <xdr:row>177</xdr:row>
          <xdr:rowOff>285750</xdr:rowOff>
        </xdr:to>
        <xdr:sp macro="" textlink="">
          <xdr:nvSpPr>
            <xdr:cNvPr id="1110" name="Object 86" hidden="1">
              <a:extLst>
                <a:ext uri="{63B3BB69-23CF-44E3-9099-C40C66FF867C}">
                  <a14:compatExt spid="_x0000_s1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178</xdr:row>
          <xdr:rowOff>28575</xdr:rowOff>
        </xdr:from>
        <xdr:to>
          <xdr:col>1</xdr:col>
          <xdr:colOff>409575</xdr:colOff>
          <xdr:row>179</xdr:row>
          <xdr:rowOff>66675</xdr:rowOff>
        </xdr:to>
        <xdr:sp macro="" textlink="">
          <xdr:nvSpPr>
            <xdr:cNvPr id="1111" name="Object 87" hidden="1">
              <a:extLst>
                <a:ext uri="{63B3BB69-23CF-44E3-9099-C40C66FF867C}">
                  <a14:compatExt spid="_x0000_s1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179</xdr:row>
          <xdr:rowOff>28575</xdr:rowOff>
        </xdr:from>
        <xdr:to>
          <xdr:col>1</xdr:col>
          <xdr:colOff>419100</xdr:colOff>
          <xdr:row>180</xdr:row>
          <xdr:rowOff>19050</xdr:rowOff>
        </xdr:to>
        <xdr:sp macro="" textlink="">
          <xdr:nvSpPr>
            <xdr:cNvPr id="1112" name="Object 88" hidden="1">
              <a:extLst>
                <a:ext uri="{63B3BB69-23CF-44E3-9099-C40C66FF867C}">
                  <a14:compatExt spid="_x0000_s1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161925</xdr:colOff>
          <xdr:row>179</xdr:row>
          <xdr:rowOff>266700</xdr:rowOff>
        </xdr:from>
        <xdr:to>
          <xdr:col>1</xdr:col>
          <xdr:colOff>323850</xdr:colOff>
          <xdr:row>181</xdr:row>
          <xdr:rowOff>19050</xdr:rowOff>
        </xdr:to>
        <xdr:sp macro="" textlink="">
          <xdr:nvSpPr>
            <xdr:cNvPr id="1113" name="Object 89" hidden="1">
              <a:extLst>
                <a:ext uri="{63B3BB69-23CF-44E3-9099-C40C66FF867C}">
                  <a14:compatExt spid="_x0000_s1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152400</xdr:colOff>
          <xdr:row>181</xdr:row>
          <xdr:rowOff>0</xdr:rowOff>
        </xdr:from>
        <xdr:to>
          <xdr:col>1</xdr:col>
          <xdr:colOff>323850</xdr:colOff>
          <xdr:row>182</xdr:row>
          <xdr:rowOff>47625</xdr:rowOff>
        </xdr:to>
        <xdr:sp macro="" textlink="">
          <xdr:nvSpPr>
            <xdr:cNvPr id="1114" name="Object 90" hidden="1">
              <a:extLst>
                <a:ext uri="{63B3BB69-23CF-44E3-9099-C40C66FF867C}">
                  <a14:compatExt spid="_x0000_s1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183</xdr:row>
          <xdr:rowOff>9525</xdr:rowOff>
        </xdr:from>
        <xdr:to>
          <xdr:col>1</xdr:col>
          <xdr:colOff>409575</xdr:colOff>
          <xdr:row>183</xdr:row>
          <xdr:rowOff>276225</xdr:rowOff>
        </xdr:to>
        <xdr:sp macro="" textlink="">
          <xdr:nvSpPr>
            <xdr:cNvPr id="1115" name="Object 91" hidden="1">
              <a:extLst>
                <a:ext uri="{63B3BB69-23CF-44E3-9099-C40C66FF867C}">
                  <a14:compatExt spid="_x0000_s1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184</xdr:row>
          <xdr:rowOff>38100</xdr:rowOff>
        </xdr:from>
        <xdr:to>
          <xdr:col>1</xdr:col>
          <xdr:colOff>438150</xdr:colOff>
          <xdr:row>185</xdr:row>
          <xdr:rowOff>47625</xdr:rowOff>
        </xdr:to>
        <xdr:sp macro="" textlink="">
          <xdr:nvSpPr>
            <xdr:cNvPr id="1116" name="Object 92" hidden="1">
              <a:extLst>
                <a:ext uri="{63B3BB69-23CF-44E3-9099-C40C66FF867C}">
                  <a14:compatExt spid="_x0000_s1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190</xdr:row>
          <xdr:rowOff>0</xdr:rowOff>
        </xdr:from>
        <xdr:to>
          <xdr:col>1</xdr:col>
          <xdr:colOff>257175</xdr:colOff>
          <xdr:row>191</xdr:row>
          <xdr:rowOff>76200</xdr:rowOff>
        </xdr:to>
        <xdr:sp macro="" textlink="">
          <xdr:nvSpPr>
            <xdr:cNvPr id="1117" name="Object 93" hidden="1">
              <a:extLst>
                <a:ext uri="{63B3BB69-23CF-44E3-9099-C40C66FF867C}">
                  <a14:compatExt spid="_x0000_s1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199</xdr:row>
          <xdr:rowOff>0</xdr:rowOff>
        </xdr:from>
        <xdr:to>
          <xdr:col>5</xdr:col>
          <xdr:colOff>295275</xdr:colOff>
          <xdr:row>200</xdr:row>
          <xdr:rowOff>76200</xdr:rowOff>
        </xdr:to>
        <xdr:sp macro="" textlink="">
          <xdr:nvSpPr>
            <xdr:cNvPr id="1118" name="Object 94" hidden="1">
              <a:extLst>
                <a:ext uri="{63B3BB69-23CF-44E3-9099-C40C66FF867C}">
                  <a14:compatExt spid="_x0000_s1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201</xdr:row>
          <xdr:rowOff>0</xdr:rowOff>
        </xdr:from>
        <xdr:to>
          <xdr:col>1</xdr:col>
          <xdr:colOff>180975</xdr:colOff>
          <xdr:row>202</xdr:row>
          <xdr:rowOff>57150</xdr:rowOff>
        </xdr:to>
        <xdr:sp macro="" textlink="">
          <xdr:nvSpPr>
            <xdr:cNvPr id="1119" name="Object 95" hidden="1">
              <a:extLst>
                <a:ext uri="{63B3BB69-23CF-44E3-9099-C40C66FF867C}">
                  <a14:compatExt spid="_x0000_s1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202</xdr:row>
          <xdr:rowOff>0</xdr:rowOff>
        </xdr:from>
        <xdr:to>
          <xdr:col>1</xdr:col>
          <xdr:colOff>257175</xdr:colOff>
          <xdr:row>203</xdr:row>
          <xdr:rowOff>57150</xdr:rowOff>
        </xdr:to>
        <xdr:sp macro="" textlink="">
          <xdr:nvSpPr>
            <xdr:cNvPr id="1120" name="Object 96" hidden="1">
              <a:extLst>
                <a:ext uri="{63B3BB69-23CF-44E3-9099-C40C66FF867C}">
                  <a14:compatExt spid="_x0000_s1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203</xdr:row>
          <xdr:rowOff>0</xdr:rowOff>
        </xdr:from>
        <xdr:to>
          <xdr:col>1</xdr:col>
          <xdr:colOff>466725</xdr:colOff>
          <xdr:row>204</xdr:row>
          <xdr:rowOff>76200</xdr:rowOff>
        </xdr:to>
        <xdr:sp macro="" textlink="">
          <xdr:nvSpPr>
            <xdr:cNvPr id="1121" name="Object 97" hidden="1">
              <a:extLst>
                <a:ext uri="{63B3BB69-23CF-44E3-9099-C40C66FF867C}">
                  <a14:compatExt spid="_x0000_s1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209</xdr:row>
          <xdr:rowOff>0</xdr:rowOff>
        </xdr:from>
        <xdr:to>
          <xdr:col>1</xdr:col>
          <xdr:colOff>257175</xdr:colOff>
          <xdr:row>210</xdr:row>
          <xdr:rowOff>76200</xdr:rowOff>
        </xdr:to>
        <xdr:sp macro="" textlink="">
          <xdr:nvSpPr>
            <xdr:cNvPr id="1122" name="Object 98" hidden="1">
              <a:extLst>
                <a:ext uri="{63B3BB69-23CF-44E3-9099-C40C66FF867C}">
                  <a14:compatExt spid="_x0000_s1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210</xdr:row>
          <xdr:rowOff>0</xdr:rowOff>
        </xdr:from>
        <xdr:to>
          <xdr:col>1</xdr:col>
          <xdr:colOff>171450</xdr:colOff>
          <xdr:row>211</xdr:row>
          <xdr:rowOff>85725</xdr:rowOff>
        </xdr:to>
        <xdr:sp macro="" textlink="">
          <xdr:nvSpPr>
            <xdr:cNvPr id="1123" name="Object 99" hidden="1">
              <a:extLst>
                <a:ext uri="{63B3BB69-23CF-44E3-9099-C40C66FF867C}">
                  <a14:compatExt spid="_x0000_s1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211</xdr:row>
          <xdr:rowOff>0</xdr:rowOff>
        </xdr:from>
        <xdr:to>
          <xdr:col>1</xdr:col>
          <xdr:colOff>171450</xdr:colOff>
          <xdr:row>212</xdr:row>
          <xdr:rowOff>85725</xdr:rowOff>
        </xdr:to>
        <xdr:sp macro="" textlink="">
          <xdr:nvSpPr>
            <xdr:cNvPr id="1124" name="Object 100" hidden="1">
              <a:extLst>
                <a:ext uri="{63B3BB69-23CF-44E3-9099-C40C66FF867C}">
                  <a14:compatExt spid="_x0000_s1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xdr:row>
          <xdr:rowOff>0</xdr:rowOff>
        </xdr:from>
        <xdr:to>
          <xdr:col>4</xdr:col>
          <xdr:colOff>371475</xdr:colOff>
          <xdr:row>19</xdr:row>
          <xdr:rowOff>104775</xdr:rowOff>
        </xdr:to>
        <xdr:sp macro="" textlink="">
          <xdr:nvSpPr>
            <xdr:cNvPr id="1125" name="Object 101" hidden="1">
              <a:extLst>
                <a:ext uri="{63B3BB69-23CF-44E3-9099-C40C66FF867C}">
                  <a14:compatExt spid="_x0000_s1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21</xdr:row>
          <xdr:rowOff>47625</xdr:rowOff>
        </xdr:from>
        <xdr:to>
          <xdr:col>1</xdr:col>
          <xdr:colOff>542925</xdr:colOff>
          <xdr:row>22</xdr:row>
          <xdr:rowOff>28575</xdr:rowOff>
        </xdr:to>
        <xdr:sp macro="" textlink="">
          <xdr:nvSpPr>
            <xdr:cNvPr id="1126" name="Object 102" hidden="1">
              <a:extLst>
                <a:ext uri="{63B3BB69-23CF-44E3-9099-C40C66FF867C}">
                  <a14:compatExt spid="_x0000_s1126"/>
                </a:ext>
              </a:extLst>
            </xdr:cNvPr>
            <xdr:cNvSpPr/>
          </xdr:nvSpPr>
          <xdr:spPr>
            <a:xfrm>
              <a:off x="0" y="0"/>
              <a:ext cx="0" cy="0"/>
            </a:xfrm>
            <a:prstGeom prst="rect">
              <a:avLst/>
            </a:prstGeom>
          </xdr:spPr>
        </xdr:sp>
        <xdr:clientData/>
      </xdr:twoCellAnchor>
    </mc:Choice>
    <mc:Fallback/>
  </mc:AlternateContent>
  <xdr:twoCellAnchor editAs="oneCell">
    <xdr:from>
      <xdr:col>1</xdr:col>
      <xdr:colOff>0</xdr:colOff>
      <xdr:row>22</xdr:row>
      <xdr:rowOff>0</xdr:rowOff>
    </xdr:from>
    <xdr:to>
      <xdr:col>7</xdr:col>
      <xdr:colOff>608965</xdr:colOff>
      <xdr:row>23</xdr:row>
      <xdr:rowOff>115570</xdr:rowOff>
    </xdr:to>
    <xdr:pic>
      <xdr:nvPicPr>
        <xdr:cNvPr id="102" name="Picture 10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0525" y="4724400"/>
          <a:ext cx="5123815" cy="27749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xdr:col>
          <xdr:colOff>0</xdr:colOff>
          <xdr:row>65</xdr:row>
          <xdr:rowOff>0</xdr:rowOff>
        </xdr:from>
        <xdr:to>
          <xdr:col>4</xdr:col>
          <xdr:colOff>123825</xdr:colOff>
          <xdr:row>66</xdr:row>
          <xdr:rowOff>104775</xdr:rowOff>
        </xdr:to>
        <xdr:sp macro="" textlink="">
          <xdr:nvSpPr>
            <xdr:cNvPr id="1127" name="Object 103" hidden="1">
              <a:extLst>
                <a:ext uri="{63B3BB69-23CF-44E3-9099-C40C66FF867C}">
                  <a14:compatExt spid="_x0000_s1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68</xdr:row>
          <xdr:rowOff>0</xdr:rowOff>
        </xdr:from>
        <xdr:to>
          <xdr:col>1</xdr:col>
          <xdr:colOff>476250</xdr:colOff>
          <xdr:row>68</xdr:row>
          <xdr:rowOff>161925</xdr:rowOff>
        </xdr:to>
        <xdr:sp macro="" textlink="">
          <xdr:nvSpPr>
            <xdr:cNvPr id="1128" name="Object 104" hidden="1">
              <a:extLst>
                <a:ext uri="{63B3BB69-23CF-44E3-9099-C40C66FF867C}">
                  <a14:compatExt spid="_x0000_s1128"/>
                </a:ext>
              </a:extLst>
            </xdr:cNvPr>
            <xdr:cNvSpPr/>
          </xdr:nvSpPr>
          <xdr:spPr>
            <a:xfrm>
              <a:off x="0" y="0"/>
              <a:ext cx="0" cy="0"/>
            </a:xfrm>
            <a:prstGeom prst="rect">
              <a:avLst/>
            </a:prstGeom>
          </xdr:spPr>
        </xdr:sp>
        <xdr:clientData/>
      </xdr:twoCellAnchor>
    </mc:Choice>
    <mc:Fallback/>
  </mc:AlternateContent>
  <xdr:twoCellAnchor editAs="oneCell">
    <xdr:from>
      <xdr:col>1</xdr:col>
      <xdr:colOff>0</xdr:colOff>
      <xdr:row>70</xdr:row>
      <xdr:rowOff>0</xdr:rowOff>
    </xdr:from>
    <xdr:to>
      <xdr:col>7</xdr:col>
      <xdr:colOff>606425</xdr:colOff>
      <xdr:row>71</xdr:row>
      <xdr:rowOff>97155</xdr:rowOff>
    </xdr:to>
    <xdr:pic>
      <xdr:nvPicPr>
        <xdr:cNvPr id="105" name="Picture 104"/>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0525" y="13411200"/>
          <a:ext cx="5035550" cy="27813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3</xdr:col>
          <xdr:colOff>0</xdr:colOff>
          <xdr:row>71</xdr:row>
          <xdr:rowOff>0</xdr:rowOff>
        </xdr:from>
        <xdr:to>
          <xdr:col>5</xdr:col>
          <xdr:colOff>142875</xdr:colOff>
          <xdr:row>72</xdr:row>
          <xdr:rowOff>57150</xdr:rowOff>
        </xdr:to>
        <xdr:sp macro="" textlink="">
          <xdr:nvSpPr>
            <xdr:cNvPr id="1129" name="Object 105" hidden="1">
              <a:extLst>
                <a:ext uri="{63B3BB69-23CF-44E3-9099-C40C66FF867C}">
                  <a14:compatExt spid="_x0000_s112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6" Type="http://schemas.openxmlformats.org/officeDocument/2006/relationships/image" Target="../media/image12.wmf"/><Relationship Id="rId21" Type="http://schemas.openxmlformats.org/officeDocument/2006/relationships/oleObject" Target="../embeddings/oleObject10.bin"/><Relationship Id="rId34" Type="http://schemas.openxmlformats.org/officeDocument/2006/relationships/image" Target="../media/image16.wmf"/><Relationship Id="rId42" Type="http://schemas.openxmlformats.org/officeDocument/2006/relationships/image" Target="../media/image20.wmf"/><Relationship Id="rId47" Type="http://schemas.openxmlformats.org/officeDocument/2006/relationships/oleObject" Target="../embeddings/oleObject23.bin"/><Relationship Id="rId50" Type="http://schemas.openxmlformats.org/officeDocument/2006/relationships/image" Target="../media/image24.wmf"/><Relationship Id="rId55" Type="http://schemas.openxmlformats.org/officeDocument/2006/relationships/image" Target="../media/image26.wmf"/><Relationship Id="rId63" Type="http://schemas.openxmlformats.org/officeDocument/2006/relationships/image" Target="../media/image30.wmf"/><Relationship Id="rId68" Type="http://schemas.openxmlformats.org/officeDocument/2006/relationships/oleObject" Target="../embeddings/oleObject35.bin"/><Relationship Id="rId76" Type="http://schemas.openxmlformats.org/officeDocument/2006/relationships/oleObject" Target="../embeddings/oleObject41.bin"/><Relationship Id="rId84" Type="http://schemas.openxmlformats.org/officeDocument/2006/relationships/oleObject" Target="../embeddings/oleObject46.bin"/><Relationship Id="rId89" Type="http://schemas.openxmlformats.org/officeDocument/2006/relationships/image" Target="../media/image39.wmf"/><Relationship Id="rId97" Type="http://schemas.openxmlformats.org/officeDocument/2006/relationships/image" Target="../media/image43.wmf"/><Relationship Id="rId7" Type="http://schemas.openxmlformats.org/officeDocument/2006/relationships/oleObject" Target="../embeddings/oleObject3.bin"/><Relationship Id="rId71" Type="http://schemas.openxmlformats.org/officeDocument/2006/relationships/oleObject" Target="../embeddings/oleObject37.bin"/><Relationship Id="rId92" Type="http://schemas.openxmlformats.org/officeDocument/2006/relationships/oleObject" Target="../embeddings/oleObject50.bin"/><Relationship Id="rId2" Type="http://schemas.openxmlformats.org/officeDocument/2006/relationships/vmlDrawing" Target="../drawings/vmlDrawing1.vml"/><Relationship Id="rId16" Type="http://schemas.openxmlformats.org/officeDocument/2006/relationships/image" Target="../media/image7.wmf"/><Relationship Id="rId29" Type="http://schemas.openxmlformats.org/officeDocument/2006/relationships/oleObject" Target="../embeddings/oleObject14.bin"/><Relationship Id="rId11" Type="http://schemas.openxmlformats.org/officeDocument/2006/relationships/oleObject" Target="../embeddings/oleObject5.bin"/><Relationship Id="rId24" Type="http://schemas.openxmlformats.org/officeDocument/2006/relationships/image" Target="../media/image11.wmf"/><Relationship Id="rId32" Type="http://schemas.openxmlformats.org/officeDocument/2006/relationships/image" Target="../media/image15.wmf"/><Relationship Id="rId37" Type="http://schemas.openxmlformats.org/officeDocument/2006/relationships/oleObject" Target="../embeddings/oleObject18.bin"/><Relationship Id="rId40" Type="http://schemas.openxmlformats.org/officeDocument/2006/relationships/image" Target="../media/image19.wmf"/><Relationship Id="rId45" Type="http://schemas.openxmlformats.org/officeDocument/2006/relationships/oleObject" Target="../embeddings/oleObject22.bin"/><Relationship Id="rId53" Type="http://schemas.openxmlformats.org/officeDocument/2006/relationships/image" Target="../media/image25.wmf"/><Relationship Id="rId58" Type="http://schemas.openxmlformats.org/officeDocument/2006/relationships/oleObject" Target="../embeddings/oleObject29.bin"/><Relationship Id="rId66" Type="http://schemas.openxmlformats.org/officeDocument/2006/relationships/oleObject" Target="../embeddings/oleObject34.bin"/><Relationship Id="rId74" Type="http://schemas.openxmlformats.org/officeDocument/2006/relationships/oleObject" Target="../embeddings/oleObject39.bin"/><Relationship Id="rId79" Type="http://schemas.openxmlformats.org/officeDocument/2006/relationships/image" Target="../media/image35.wmf"/><Relationship Id="rId87" Type="http://schemas.openxmlformats.org/officeDocument/2006/relationships/image" Target="../media/image38.wmf"/><Relationship Id="rId5" Type="http://schemas.openxmlformats.org/officeDocument/2006/relationships/oleObject" Target="../embeddings/oleObject2.bin"/><Relationship Id="rId61" Type="http://schemas.openxmlformats.org/officeDocument/2006/relationships/image" Target="../media/image29.wmf"/><Relationship Id="rId82" Type="http://schemas.openxmlformats.org/officeDocument/2006/relationships/oleObject" Target="../embeddings/oleObject44.bin"/><Relationship Id="rId90" Type="http://schemas.openxmlformats.org/officeDocument/2006/relationships/oleObject" Target="../embeddings/oleObject49.bin"/><Relationship Id="rId95" Type="http://schemas.openxmlformats.org/officeDocument/2006/relationships/image" Target="../media/image42.wmf"/><Relationship Id="rId19" Type="http://schemas.openxmlformats.org/officeDocument/2006/relationships/oleObject" Target="../embeddings/oleObject9.bin"/><Relationship Id="rId14" Type="http://schemas.openxmlformats.org/officeDocument/2006/relationships/image" Target="../media/image6.wmf"/><Relationship Id="rId22" Type="http://schemas.openxmlformats.org/officeDocument/2006/relationships/image" Target="../media/image10.wmf"/><Relationship Id="rId27" Type="http://schemas.openxmlformats.org/officeDocument/2006/relationships/oleObject" Target="../embeddings/oleObject13.bin"/><Relationship Id="rId30" Type="http://schemas.openxmlformats.org/officeDocument/2006/relationships/image" Target="../media/image14.wmf"/><Relationship Id="rId35" Type="http://schemas.openxmlformats.org/officeDocument/2006/relationships/oleObject" Target="../embeddings/oleObject17.bin"/><Relationship Id="rId43" Type="http://schemas.openxmlformats.org/officeDocument/2006/relationships/oleObject" Target="../embeddings/oleObject21.bin"/><Relationship Id="rId48" Type="http://schemas.openxmlformats.org/officeDocument/2006/relationships/image" Target="../media/image23.wmf"/><Relationship Id="rId56" Type="http://schemas.openxmlformats.org/officeDocument/2006/relationships/oleObject" Target="../embeddings/oleObject28.bin"/><Relationship Id="rId64" Type="http://schemas.openxmlformats.org/officeDocument/2006/relationships/oleObject" Target="../embeddings/oleObject32.bin"/><Relationship Id="rId69" Type="http://schemas.openxmlformats.org/officeDocument/2006/relationships/image" Target="../media/image32.wmf"/><Relationship Id="rId77" Type="http://schemas.openxmlformats.org/officeDocument/2006/relationships/image" Target="../media/image34.wmf"/><Relationship Id="rId8" Type="http://schemas.openxmlformats.org/officeDocument/2006/relationships/image" Target="../media/image3.wmf"/><Relationship Id="rId51" Type="http://schemas.openxmlformats.org/officeDocument/2006/relationships/oleObject" Target="../embeddings/oleObject25.bin"/><Relationship Id="rId72" Type="http://schemas.openxmlformats.org/officeDocument/2006/relationships/oleObject" Target="../embeddings/oleObject38.bin"/><Relationship Id="rId80" Type="http://schemas.openxmlformats.org/officeDocument/2006/relationships/oleObject" Target="../embeddings/oleObject43.bin"/><Relationship Id="rId85" Type="http://schemas.openxmlformats.org/officeDocument/2006/relationships/image" Target="../media/image37.wmf"/><Relationship Id="rId93" Type="http://schemas.openxmlformats.org/officeDocument/2006/relationships/image" Target="../media/image41.wmf"/><Relationship Id="rId3" Type="http://schemas.openxmlformats.org/officeDocument/2006/relationships/oleObject" Target="../embeddings/oleObject1.bin"/><Relationship Id="rId12" Type="http://schemas.openxmlformats.org/officeDocument/2006/relationships/image" Target="../media/image5.wmf"/><Relationship Id="rId17" Type="http://schemas.openxmlformats.org/officeDocument/2006/relationships/oleObject" Target="../embeddings/oleObject8.bin"/><Relationship Id="rId25" Type="http://schemas.openxmlformats.org/officeDocument/2006/relationships/oleObject" Target="../embeddings/oleObject12.bin"/><Relationship Id="rId33" Type="http://schemas.openxmlformats.org/officeDocument/2006/relationships/oleObject" Target="../embeddings/oleObject16.bin"/><Relationship Id="rId38" Type="http://schemas.openxmlformats.org/officeDocument/2006/relationships/image" Target="../media/image18.wmf"/><Relationship Id="rId46" Type="http://schemas.openxmlformats.org/officeDocument/2006/relationships/image" Target="../media/image22.wmf"/><Relationship Id="rId59" Type="http://schemas.openxmlformats.org/officeDocument/2006/relationships/image" Target="../media/image28.wmf"/><Relationship Id="rId67" Type="http://schemas.openxmlformats.org/officeDocument/2006/relationships/image" Target="../media/image31.wmf"/><Relationship Id="rId20" Type="http://schemas.openxmlformats.org/officeDocument/2006/relationships/image" Target="../media/image9.wmf"/><Relationship Id="rId41" Type="http://schemas.openxmlformats.org/officeDocument/2006/relationships/oleObject" Target="../embeddings/oleObject20.bin"/><Relationship Id="rId54" Type="http://schemas.openxmlformats.org/officeDocument/2006/relationships/oleObject" Target="../embeddings/oleObject27.bin"/><Relationship Id="rId62" Type="http://schemas.openxmlformats.org/officeDocument/2006/relationships/oleObject" Target="../embeddings/oleObject31.bin"/><Relationship Id="rId70" Type="http://schemas.openxmlformats.org/officeDocument/2006/relationships/oleObject" Target="../embeddings/oleObject36.bin"/><Relationship Id="rId75" Type="http://schemas.openxmlformats.org/officeDocument/2006/relationships/oleObject" Target="../embeddings/oleObject40.bin"/><Relationship Id="rId83" Type="http://schemas.openxmlformats.org/officeDocument/2006/relationships/oleObject" Target="../embeddings/oleObject45.bin"/><Relationship Id="rId88" Type="http://schemas.openxmlformats.org/officeDocument/2006/relationships/oleObject" Target="../embeddings/oleObject48.bin"/><Relationship Id="rId91" Type="http://schemas.openxmlformats.org/officeDocument/2006/relationships/image" Target="../media/image40.wmf"/><Relationship Id="rId96" Type="http://schemas.openxmlformats.org/officeDocument/2006/relationships/oleObject" Target="../embeddings/oleObject52.bin"/><Relationship Id="rId1" Type="http://schemas.openxmlformats.org/officeDocument/2006/relationships/drawing" Target="../drawings/drawing1.xml"/><Relationship Id="rId6" Type="http://schemas.openxmlformats.org/officeDocument/2006/relationships/image" Target="../media/image2.wmf"/><Relationship Id="rId15" Type="http://schemas.openxmlformats.org/officeDocument/2006/relationships/oleObject" Target="../embeddings/oleObject7.bin"/><Relationship Id="rId23" Type="http://schemas.openxmlformats.org/officeDocument/2006/relationships/oleObject" Target="../embeddings/oleObject11.bin"/><Relationship Id="rId28" Type="http://schemas.openxmlformats.org/officeDocument/2006/relationships/image" Target="../media/image13.wmf"/><Relationship Id="rId36" Type="http://schemas.openxmlformats.org/officeDocument/2006/relationships/image" Target="../media/image17.wmf"/><Relationship Id="rId49" Type="http://schemas.openxmlformats.org/officeDocument/2006/relationships/oleObject" Target="../embeddings/oleObject24.bin"/><Relationship Id="rId57" Type="http://schemas.openxmlformats.org/officeDocument/2006/relationships/image" Target="../media/image27.wmf"/><Relationship Id="rId10" Type="http://schemas.openxmlformats.org/officeDocument/2006/relationships/image" Target="../media/image4.wmf"/><Relationship Id="rId31" Type="http://schemas.openxmlformats.org/officeDocument/2006/relationships/oleObject" Target="../embeddings/oleObject15.bin"/><Relationship Id="rId44" Type="http://schemas.openxmlformats.org/officeDocument/2006/relationships/image" Target="../media/image21.wmf"/><Relationship Id="rId52" Type="http://schemas.openxmlformats.org/officeDocument/2006/relationships/oleObject" Target="../embeddings/oleObject26.bin"/><Relationship Id="rId60" Type="http://schemas.openxmlformats.org/officeDocument/2006/relationships/oleObject" Target="../embeddings/oleObject30.bin"/><Relationship Id="rId65" Type="http://schemas.openxmlformats.org/officeDocument/2006/relationships/oleObject" Target="../embeddings/oleObject33.bin"/><Relationship Id="rId73" Type="http://schemas.openxmlformats.org/officeDocument/2006/relationships/image" Target="../media/image33.wmf"/><Relationship Id="rId78" Type="http://schemas.openxmlformats.org/officeDocument/2006/relationships/oleObject" Target="../embeddings/oleObject42.bin"/><Relationship Id="rId81" Type="http://schemas.openxmlformats.org/officeDocument/2006/relationships/image" Target="../media/image36.wmf"/><Relationship Id="rId86" Type="http://schemas.openxmlformats.org/officeDocument/2006/relationships/oleObject" Target="../embeddings/oleObject47.bin"/><Relationship Id="rId94" Type="http://schemas.openxmlformats.org/officeDocument/2006/relationships/oleObject" Target="../embeddings/oleObject51.bin"/><Relationship Id="rId4" Type="http://schemas.openxmlformats.org/officeDocument/2006/relationships/image" Target="../media/image1.wmf"/><Relationship Id="rId9" Type="http://schemas.openxmlformats.org/officeDocument/2006/relationships/oleObject" Target="../embeddings/oleObject4.bin"/><Relationship Id="rId13" Type="http://schemas.openxmlformats.org/officeDocument/2006/relationships/oleObject" Target="../embeddings/oleObject6.bin"/><Relationship Id="rId18" Type="http://schemas.openxmlformats.org/officeDocument/2006/relationships/image" Target="../media/image8.wmf"/><Relationship Id="rId39" Type="http://schemas.openxmlformats.org/officeDocument/2006/relationships/oleObject" Target="../embeddings/oleObject19.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2:D52"/>
  <sheetViews>
    <sheetView tabSelected="1" zoomScale="90" zoomScaleNormal="90" workbookViewId="0">
      <pane ySplit="4" topLeftCell="A5" activePane="bottomLeft" state="frozen"/>
      <selection pane="bottomLeft" activeCell="C30" sqref="C30"/>
    </sheetView>
  </sheetViews>
  <sheetFormatPr defaultRowHeight="12.75" x14ac:dyDescent="0.2"/>
  <cols>
    <col min="2" max="2" width="33.140625" customWidth="1"/>
    <col min="3" max="3" width="46.140625" customWidth="1"/>
    <col min="4" max="4" width="57.140625" customWidth="1"/>
    <col min="5" max="5" width="25" customWidth="1"/>
    <col min="6" max="6" width="13.140625" customWidth="1"/>
    <col min="11" max="11" width="12.140625" customWidth="1"/>
  </cols>
  <sheetData>
    <row r="2" spans="1:4" ht="15" x14ac:dyDescent="0.2">
      <c r="A2" s="731" t="s">
        <v>576</v>
      </c>
      <c r="B2" s="730"/>
      <c r="C2" s="730"/>
    </row>
    <row r="4" spans="1:4" x14ac:dyDescent="0.2">
      <c r="A4" s="665" t="s">
        <v>496</v>
      </c>
      <c r="B4" s="666" t="s">
        <v>497</v>
      </c>
      <c r="C4" s="666" t="s">
        <v>583</v>
      </c>
      <c r="D4" s="666" t="s">
        <v>498</v>
      </c>
    </row>
    <row r="5" spans="1:4" x14ac:dyDescent="0.2">
      <c r="A5" s="755"/>
      <c r="B5" s="756"/>
      <c r="C5" s="756"/>
      <c r="D5" s="756"/>
    </row>
    <row r="6" spans="1:4" x14ac:dyDescent="0.2">
      <c r="A6" s="667">
        <v>1</v>
      </c>
      <c r="B6" s="668" t="s">
        <v>585</v>
      </c>
      <c r="C6" s="732" t="s">
        <v>363</v>
      </c>
      <c r="D6" t="s">
        <v>764</v>
      </c>
    </row>
    <row r="7" spans="1:4" x14ac:dyDescent="0.2">
      <c r="A7" s="669"/>
      <c r="C7" s="732"/>
    </row>
    <row r="8" spans="1:4" x14ac:dyDescent="0.2">
      <c r="A8" s="667">
        <f>A6+1</f>
        <v>2</v>
      </c>
      <c r="B8" s="668" t="s">
        <v>586</v>
      </c>
      <c r="C8" s="732" t="s">
        <v>587</v>
      </c>
      <c r="D8" t="s">
        <v>764</v>
      </c>
    </row>
    <row r="9" spans="1:4" x14ac:dyDescent="0.2">
      <c r="A9" s="669"/>
      <c r="C9" s="732"/>
    </row>
    <row r="10" spans="1:4" x14ac:dyDescent="0.2">
      <c r="A10" s="667">
        <f>A8+1</f>
        <v>3</v>
      </c>
      <c r="B10" s="668" t="s">
        <v>588</v>
      </c>
      <c r="C10" s="732" t="s">
        <v>589</v>
      </c>
      <c r="D10" t="s">
        <v>763</v>
      </c>
    </row>
    <row r="11" spans="1:4" x14ac:dyDescent="0.2">
      <c r="C11" s="732"/>
    </row>
    <row r="12" spans="1:4" x14ac:dyDescent="0.2">
      <c r="A12" s="667">
        <f>A10+1</f>
        <v>4</v>
      </c>
      <c r="B12" s="668" t="s">
        <v>590</v>
      </c>
      <c r="C12" s="732" t="s">
        <v>743</v>
      </c>
      <c r="D12" t="s">
        <v>598</v>
      </c>
    </row>
    <row r="13" spans="1:4" x14ac:dyDescent="0.2">
      <c r="A13" s="669"/>
      <c r="C13" s="732"/>
    </row>
    <row r="14" spans="1:4" x14ac:dyDescent="0.2">
      <c r="A14" s="667">
        <f>A12+1</f>
        <v>5</v>
      </c>
      <c r="B14" s="668" t="s">
        <v>591</v>
      </c>
      <c r="C14" s="732" t="s">
        <v>744</v>
      </c>
      <c r="D14" t="s">
        <v>598</v>
      </c>
    </row>
    <row r="15" spans="1:4" x14ac:dyDescent="0.2">
      <c r="A15" s="669"/>
      <c r="C15" s="732"/>
    </row>
    <row r="16" spans="1:4" x14ac:dyDescent="0.2">
      <c r="A16" s="667">
        <f>A14+1</f>
        <v>6</v>
      </c>
      <c r="B16" s="668" t="s">
        <v>593</v>
      </c>
      <c r="C16" s="732" t="s">
        <v>745</v>
      </c>
      <c r="D16" s="741" t="s">
        <v>599</v>
      </c>
    </row>
    <row r="17" spans="1:4" x14ac:dyDescent="0.2">
      <c r="A17" s="669"/>
    </row>
    <row r="18" spans="1:4" x14ac:dyDescent="0.2">
      <c r="A18" s="667">
        <f>A16+1</f>
        <v>7</v>
      </c>
      <c r="B18" s="668" t="s">
        <v>592</v>
      </c>
      <c r="C18" s="732" t="s">
        <v>746</v>
      </c>
      <c r="D18" t="s">
        <v>762</v>
      </c>
    </row>
    <row r="19" spans="1:4" x14ac:dyDescent="0.2">
      <c r="A19" s="669"/>
    </row>
    <row r="20" spans="1:4" x14ac:dyDescent="0.2">
      <c r="A20" s="667">
        <f>A18+1</f>
        <v>8</v>
      </c>
      <c r="B20" t="s">
        <v>760</v>
      </c>
      <c r="C20" s="732" t="s">
        <v>109</v>
      </c>
      <c r="D20" t="s">
        <v>755</v>
      </c>
    </row>
    <row r="21" spans="1:4" x14ac:dyDescent="0.2">
      <c r="A21" s="669"/>
    </row>
    <row r="22" spans="1:4" x14ac:dyDescent="0.2">
      <c r="A22" s="667">
        <f>A20+1</f>
        <v>9</v>
      </c>
      <c r="B22" t="s">
        <v>738</v>
      </c>
      <c r="C22" t="s">
        <v>594</v>
      </c>
      <c r="D22" t="s">
        <v>595</v>
      </c>
    </row>
    <row r="23" spans="1:4" x14ac:dyDescent="0.2">
      <c r="A23" s="669"/>
    </row>
    <row r="24" spans="1:4" x14ac:dyDescent="0.2">
      <c r="A24" s="667">
        <f>A22+1</f>
        <v>10</v>
      </c>
      <c r="B24" t="s">
        <v>739</v>
      </c>
      <c r="C24" t="s">
        <v>740</v>
      </c>
      <c r="D24" t="s">
        <v>741</v>
      </c>
    </row>
    <row r="25" spans="1:4" x14ac:dyDescent="0.2">
      <c r="A25" s="669"/>
    </row>
    <row r="26" spans="1:4" x14ac:dyDescent="0.2">
      <c r="A26" s="667">
        <f>A24+1</f>
        <v>11</v>
      </c>
      <c r="B26" s="668" t="s">
        <v>756</v>
      </c>
      <c r="C26" t="s">
        <v>740</v>
      </c>
      <c r="D26" t="s">
        <v>755</v>
      </c>
    </row>
    <row r="27" spans="1:4" x14ac:dyDescent="0.2">
      <c r="A27" s="669"/>
    </row>
    <row r="28" spans="1:4" x14ac:dyDescent="0.2">
      <c r="A28" s="667">
        <f>A26+1</f>
        <v>12</v>
      </c>
      <c r="B28" s="668" t="s">
        <v>757</v>
      </c>
      <c r="C28" t="s">
        <v>254</v>
      </c>
      <c r="D28" t="s">
        <v>755</v>
      </c>
    </row>
    <row r="29" spans="1:4" x14ac:dyDescent="0.2">
      <c r="A29" s="669"/>
    </row>
    <row r="30" spans="1:4" x14ac:dyDescent="0.2">
      <c r="A30" s="667">
        <f>A28+1</f>
        <v>13</v>
      </c>
      <c r="B30" s="668" t="s">
        <v>758</v>
      </c>
      <c r="C30" t="s">
        <v>285</v>
      </c>
      <c r="D30" t="s">
        <v>755</v>
      </c>
    </row>
    <row r="31" spans="1:4" x14ac:dyDescent="0.2">
      <c r="A31" s="669"/>
    </row>
    <row r="32" spans="1:4" x14ac:dyDescent="0.2">
      <c r="A32" s="667">
        <f>A30+1</f>
        <v>14</v>
      </c>
      <c r="B32" s="668" t="s">
        <v>596</v>
      </c>
      <c r="C32" t="s">
        <v>597</v>
      </c>
      <c r="D32" t="s">
        <v>759</v>
      </c>
    </row>
    <row r="33" spans="1:4" x14ac:dyDescent="0.2">
      <c r="A33" s="669"/>
    </row>
    <row r="34" spans="1:4" ht="15" x14ac:dyDescent="0.2">
      <c r="A34" s="667">
        <f>A32+1</f>
        <v>15</v>
      </c>
      <c r="B34" s="670" t="s">
        <v>582</v>
      </c>
      <c r="D34" s="673" t="s">
        <v>584</v>
      </c>
    </row>
    <row r="35" spans="1:4" x14ac:dyDescent="0.2">
      <c r="A35" s="667"/>
      <c r="B35" t="s">
        <v>577</v>
      </c>
      <c r="C35" t="s">
        <v>747</v>
      </c>
      <c r="D35" s="673"/>
    </row>
    <row r="36" spans="1:4" x14ac:dyDescent="0.2">
      <c r="A36" s="667"/>
      <c r="B36" s="668" t="s">
        <v>578</v>
      </c>
      <c r="C36" t="s">
        <v>748</v>
      </c>
      <c r="D36" s="673"/>
    </row>
    <row r="37" spans="1:4" x14ac:dyDescent="0.2">
      <c r="A37" s="667"/>
      <c r="B37" s="668" t="s">
        <v>579</v>
      </c>
      <c r="C37" t="s">
        <v>749</v>
      </c>
      <c r="D37" s="673"/>
    </row>
    <row r="38" spans="1:4" x14ac:dyDescent="0.2">
      <c r="A38" s="669"/>
    </row>
    <row r="39" spans="1:4" x14ac:dyDescent="0.2">
      <c r="A39" s="667"/>
      <c r="B39" s="668" t="s">
        <v>731</v>
      </c>
      <c r="C39" t="s">
        <v>750</v>
      </c>
    </row>
    <row r="40" spans="1:4" x14ac:dyDescent="0.2">
      <c r="A40" s="669"/>
      <c r="B40" t="s">
        <v>732</v>
      </c>
      <c r="C40" t="s">
        <v>751</v>
      </c>
    </row>
    <row r="41" spans="1:4" x14ac:dyDescent="0.2">
      <c r="A41" s="667"/>
      <c r="B41" s="741" t="s">
        <v>730</v>
      </c>
      <c r="C41" t="s">
        <v>752</v>
      </c>
    </row>
    <row r="42" spans="1:4" x14ac:dyDescent="0.2">
      <c r="A42" s="669"/>
      <c r="B42" s="741"/>
      <c r="C42" s="741"/>
    </row>
    <row r="43" spans="1:4" x14ac:dyDescent="0.2">
      <c r="A43" s="667"/>
      <c r="B43" s="742" t="s">
        <v>742</v>
      </c>
      <c r="C43" s="741" t="s">
        <v>753</v>
      </c>
    </row>
    <row r="44" spans="1:4" x14ac:dyDescent="0.2">
      <c r="A44" s="669"/>
      <c r="B44" s="741" t="s">
        <v>733</v>
      </c>
      <c r="C44" s="741" t="s">
        <v>250</v>
      </c>
    </row>
    <row r="45" spans="1:4" x14ac:dyDescent="0.2">
      <c r="A45" s="667"/>
      <c r="B45" s="742" t="s">
        <v>734</v>
      </c>
      <c r="C45" s="741" t="s">
        <v>580</v>
      </c>
    </row>
    <row r="46" spans="1:4" x14ac:dyDescent="0.2">
      <c r="A46" s="669"/>
      <c r="B46" s="741"/>
      <c r="C46" s="741"/>
    </row>
    <row r="47" spans="1:4" x14ac:dyDescent="0.2">
      <c r="A47" s="667"/>
      <c r="B47" s="742" t="s">
        <v>735</v>
      </c>
      <c r="C47" s="741" t="s">
        <v>754</v>
      </c>
    </row>
    <row r="48" spans="1:4" x14ac:dyDescent="0.2">
      <c r="A48" s="669"/>
      <c r="B48" s="742" t="s">
        <v>736</v>
      </c>
      <c r="C48" s="741" t="s">
        <v>289</v>
      </c>
    </row>
    <row r="49" spans="1:3" x14ac:dyDescent="0.2">
      <c r="A49" s="667"/>
      <c r="B49" s="742" t="s">
        <v>737</v>
      </c>
      <c r="C49" s="741" t="s">
        <v>581</v>
      </c>
    </row>
    <row r="50" spans="1:3" x14ac:dyDescent="0.2">
      <c r="A50" s="667"/>
      <c r="B50" s="741"/>
      <c r="C50" s="741"/>
    </row>
    <row r="51" spans="1:3" x14ac:dyDescent="0.2">
      <c r="A51" s="667"/>
      <c r="B51" s="742"/>
      <c r="C51" s="741"/>
    </row>
    <row r="52" spans="1:3" x14ac:dyDescent="0.2">
      <c r="B52" s="742"/>
      <c r="C52" s="74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K239"/>
  <sheetViews>
    <sheetView zoomScaleNormal="100" workbookViewId="0"/>
  </sheetViews>
  <sheetFormatPr defaultRowHeight="12.75" x14ac:dyDescent="0.2"/>
  <cols>
    <col min="1" max="1" width="5.85546875" style="153" customWidth="1"/>
    <col min="2" max="2" width="9.140625" style="153" customWidth="1"/>
    <col min="3" max="7" width="9.140625" style="153"/>
    <col min="8" max="8" width="44.5703125" style="153" customWidth="1"/>
    <col min="9" max="16384" width="9.140625" style="153"/>
  </cols>
  <sheetData>
    <row r="2" spans="2:8" ht="15.75" x14ac:dyDescent="0.2">
      <c r="B2" s="90" t="s">
        <v>168</v>
      </c>
      <c r="G2" s="576"/>
    </row>
    <row r="3" spans="2:8" ht="15.75" x14ac:dyDescent="0.2">
      <c r="B3" s="1" t="s">
        <v>0</v>
      </c>
    </row>
    <row r="4" spans="2:8" ht="36" customHeight="1" x14ac:dyDescent="0.2">
      <c r="B4" s="2" t="s">
        <v>345</v>
      </c>
      <c r="H4" s="3" t="s">
        <v>1</v>
      </c>
    </row>
    <row r="5" spans="2:8" ht="30" customHeight="1" x14ac:dyDescent="0.2">
      <c r="B5" s="2" t="s">
        <v>346</v>
      </c>
      <c r="H5" s="3" t="s">
        <v>2</v>
      </c>
    </row>
    <row r="6" spans="2:8" ht="24" customHeight="1" x14ac:dyDescent="0.2">
      <c r="B6" s="2" t="s">
        <v>347</v>
      </c>
      <c r="H6" s="3" t="s">
        <v>3</v>
      </c>
    </row>
    <row r="7" spans="2:8" ht="27" customHeight="1" x14ac:dyDescent="0.2">
      <c r="B7" s="2" t="s">
        <v>348</v>
      </c>
      <c r="H7" s="3" t="s">
        <v>4</v>
      </c>
    </row>
    <row r="9" spans="2:8" ht="14.25" x14ac:dyDescent="0.2">
      <c r="B9" s="4" t="s">
        <v>5</v>
      </c>
    </row>
    <row r="10" spans="2:8" ht="14.25" x14ac:dyDescent="0.2">
      <c r="C10" s="4" t="s">
        <v>6</v>
      </c>
    </row>
    <row r="11" spans="2:8" ht="14.25" x14ac:dyDescent="0.2">
      <c r="D11" s="4" t="s">
        <v>7</v>
      </c>
    </row>
    <row r="12" spans="2:8" ht="14.25" x14ac:dyDescent="0.2">
      <c r="D12" s="4" t="s">
        <v>8</v>
      </c>
    </row>
    <row r="13" spans="2:8" ht="14.25" x14ac:dyDescent="0.2">
      <c r="B13" s="4" t="s">
        <v>9</v>
      </c>
      <c r="C13" s="4" t="s">
        <v>10</v>
      </c>
    </row>
    <row r="14" spans="2:8" ht="14.25" x14ac:dyDescent="0.2">
      <c r="B14" s="4" t="s">
        <v>9</v>
      </c>
      <c r="D14" s="4" t="s">
        <v>11</v>
      </c>
    </row>
    <row r="15" spans="2:8" ht="14.25" x14ac:dyDescent="0.2">
      <c r="D15" s="4" t="s">
        <v>12</v>
      </c>
    </row>
    <row r="16" spans="2:8" ht="14.25" x14ac:dyDescent="0.2">
      <c r="B16" s="3" t="s">
        <v>349</v>
      </c>
    </row>
    <row r="17" spans="2:4" ht="14.25" x14ac:dyDescent="0.2">
      <c r="D17" s="4" t="s">
        <v>12</v>
      </c>
    </row>
    <row r="18" spans="2:4" ht="14.25" x14ac:dyDescent="0.2">
      <c r="B18" s="3" t="s">
        <v>350</v>
      </c>
    </row>
    <row r="19" spans="2:4" x14ac:dyDescent="0.2">
      <c r="B19"/>
    </row>
    <row r="20" spans="2:4" ht="14.25" x14ac:dyDescent="0.2">
      <c r="B20" s="5" t="s">
        <v>13</v>
      </c>
    </row>
    <row r="21" spans="2:4" ht="14.25" x14ac:dyDescent="0.2">
      <c r="C21" s="5" t="s">
        <v>322</v>
      </c>
    </row>
    <row r="22" spans="2:4" ht="14.25" x14ac:dyDescent="0.2">
      <c r="C22" s="7" t="s">
        <v>375</v>
      </c>
    </row>
    <row r="23" spans="2:4" x14ac:dyDescent="0.2">
      <c r="C23"/>
    </row>
    <row r="24" spans="2:4" ht="14.25" x14ac:dyDescent="0.2">
      <c r="C24" s="5"/>
    </row>
    <row r="25" spans="2:4" ht="14.25" x14ac:dyDescent="0.2">
      <c r="B25" s="3" t="s">
        <v>351</v>
      </c>
    </row>
    <row r="26" spans="2:4" ht="14.25" x14ac:dyDescent="0.2">
      <c r="B26" s="3" t="s">
        <v>352</v>
      </c>
    </row>
    <row r="27" spans="2:4" x14ac:dyDescent="0.2">
      <c r="C27" s="577" t="s">
        <v>376</v>
      </c>
    </row>
    <row r="28" spans="2:4" ht="14.25" x14ac:dyDescent="0.2">
      <c r="B28" s="4" t="s">
        <v>9</v>
      </c>
      <c r="C28" s="577" t="s">
        <v>377</v>
      </c>
    </row>
    <row r="29" spans="2:4" x14ac:dyDescent="0.2">
      <c r="C29" s="577" t="s">
        <v>378</v>
      </c>
    </row>
    <row r="30" spans="2:4" ht="14.25" x14ac:dyDescent="0.2">
      <c r="B30" s="7" t="s">
        <v>14</v>
      </c>
    </row>
    <row r="31" spans="2:4" ht="14.25" x14ac:dyDescent="0.2">
      <c r="B31" s="7" t="s">
        <v>15</v>
      </c>
    </row>
    <row r="32" spans="2:4" ht="14.25" x14ac:dyDescent="0.2">
      <c r="B32" s="7" t="s">
        <v>16</v>
      </c>
    </row>
    <row r="33" spans="2:3" ht="14.25" x14ac:dyDescent="0.2">
      <c r="B33" s="7" t="s">
        <v>17</v>
      </c>
    </row>
    <row r="34" spans="2:3" ht="14.25" x14ac:dyDescent="0.2">
      <c r="B34" s="4" t="s">
        <v>18</v>
      </c>
    </row>
    <row r="35" spans="2:3" ht="14.25" x14ac:dyDescent="0.2">
      <c r="B35" s="393" t="s">
        <v>9</v>
      </c>
      <c r="C35" s="4" t="s">
        <v>19</v>
      </c>
    </row>
    <row r="36" spans="2:3" ht="14.25" x14ac:dyDescent="0.2">
      <c r="B36" s="4"/>
      <c r="C36" s="4"/>
    </row>
    <row r="37" spans="2:3" ht="14.25" x14ac:dyDescent="0.2">
      <c r="B37" s="4"/>
      <c r="C37" s="4"/>
    </row>
    <row r="38" spans="2:3" ht="14.25" x14ac:dyDescent="0.2">
      <c r="B38" s="578" t="s">
        <v>379</v>
      </c>
      <c r="C38" s="579" t="s">
        <v>31</v>
      </c>
    </row>
    <row r="39" spans="2:3" ht="15.75" x14ac:dyDescent="0.2">
      <c r="B39" s="578" t="s">
        <v>380</v>
      </c>
      <c r="C39" s="579" t="s">
        <v>381</v>
      </c>
    </row>
    <row r="40" spans="2:3" ht="14.25" x14ac:dyDescent="0.2">
      <c r="B40" s="580" t="s">
        <v>382</v>
      </c>
      <c r="C40" s="577" t="s">
        <v>383</v>
      </c>
    </row>
    <row r="41" spans="2:3" ht="14.25" x14ac:dyDescent="0.2">
      <c r="B41" s="4"/>
      <c r="C41" s="4"/>
    </row>
    <row r="42" spans="2:3" ht="14.25" x14ac:dyDescent="0.2">
      <c r="B42" s="4"/>
      <c r="C42" s="4"/>
    </row>
    <row r="43" spans="2:3" ht="14.25" x14ac:dyDescent="0.2">
      <c r="B43" s="4"/>
      <c r="C43" s="4"/>
    </row>
    <row r="44" spans="2:3" ht="15.75" x14ac:dyDescent="0.2">
      <c r="B44" s="1" t="s">
        <v>384</v>
      </c>
    </row>
    <row r="45" spans="2:3" ht="15.75" x14ac:dyDescent="0.2">
      <c r="B45" s="1"/>
    </row>
    <row r="46" spans="2:3" ht="15.75" x14ac:dyDescent="0.2">
      <c r="B46" s="1"/>
    </row>
    <row r="47" spans="2:3" ht="15.75" x14ac:dyDescent="0.2">
      <c r="B47" s="1"/>
    </row>
    <row r="48" spans="2:3" ht="15.75" x14ac:dyDescent="0.2">
      <c r="B48" s="1"/>
    </row>
    <row r="50" spans="2:4" ht="14.25" x14ac:dyDescent="0.2">
      <c r="C50" s="4" t="s">
        <v>20</v>
      </c>
    </row>
    <row r="51" spans="2:4" ht="14.25" x14ac:dyDescent="0.2">
      <c r="D51" s="6" t="s">
        <v>21</v>
      </c>
    </row>
    <row r="52" spans="2:4" ht="14.25" x14ac:dyDescent="0.2">
      <c r="C52" s="6" t="s">
        <v>22</v>
      </c>
    </row>
    <row r="53" spans="2:4" ht="14.25" x14ac:dyDescent="0.2">
      <c r="D53" s="6" t="s">
        <v>23</v>
      </c>
    </row>
    <row r="54" spans="2:4" x14ac:dyDescent="0.2">
      <c r="C54" s="153" t="s">
        <v>24</v>
      </c>
    </row>
    <row r="55" spans="2:4" ht="14.25" x14ac:dyDescent="0.2">
      <c r="C55" s="7" t="s">
        <v>385</v>
      </c>
    </row>
    <row r="56" spans="2:4" ht="14.25" x14ac:dyDescent="0.2">
      <c r="C56" s="7" t="s">
        <v>15</v>
      </c>
    </row>
    <row r="57" spans="2:4" ht="14.25" x14ac:dyDescent="0.2">
      <c r="C57" s="7" t="s">
        <v>16</v>
      </c>
    </row>
    <row r="58" spans="2:4" ht="14.25" x14ac:dyDescent="0.2">
      <c r="C58" s="7" t="s">
        <v>17</v>
      </c>
    </row>
    <row r="59" spans="2:4" ht="14.25" x14ac:dyDescent="0.2">
      <c r="B59" s="4" t="s">
        <v>18</v>
      </c>
    </row>
    <row r="60" spans="2:4" ht="14.25" x14ac:dyDescent="0.2">
      <c r="D60" s="6" t="s">
        <v>25</v>
      </c>
    </row>
    <row r="61" spans="2:4" ht="14.25" x14ac:dyDescent="0.2">
      <c r="B61" s="4" t="s">
        <v>9</v>
      </c>
      <c r="C61" s="153" t="s">
        <v>26</v>
      </c>
    </row>
    <row r="62" spans="2:4" ht="14.25" x14ac:dyDescent="0.2">
      <c r="D62" s="4" t="s">
        <v>27</v>
      </c>
    </row>
    <row r="63" spans="2:4" ht="14.25" x14ac:dyDescent="0.2">
      <c r="D63" s="4" t="s">
        <v>28</v>
      </c>
    </row>
    <row r="64" spans="2:4" ht="14.25" x14ac:dyDescent="0.2">
      <c r="D64" s="4" t="s">
        <v>29</v>
      </c>
    </row>
    <row r="65" spans="2:4" ht="14.25" x14ac:dyDescent="0.2">
      <c r="B65" s="3" t="s">
        <v>350</v>
      </c>
    </row>
    <row r="66" spans="2:4" x14ac:dyDescent="0.2">
      <c r="B66"/>
    </row>
    <row r="67" spans="2:4" ht="14.25" x14ac:dyDescent="0.2">
      <c r="B67" s="5" t="s">
        <v>13</v>
      </c>
    </row>
    <row r="68" spans="2:4" ht="14.25" x14ac:dyDescent="0.2">
      <c r="B68" s="5" t="s">
        <v>323</v>
      </c>
    </row>
    <row r="69" spans="2:4" ht="14.25" x14ac:dyDescent="0.2">
      <c r="B69" s="539" t="s">
        <v>9</v>
      </c>
      <c r="C69" s="7" t="s">
        <v>386</v>
      </c>
    </row>
    <row r="70" spans="2:4" ht="14.25" x14ac:dyDescent="0.2">
      <c r="C70" s="5"/>
    </row>
    <row r="71" spans="2:4" ht="14.25" x14ac:dyDescent="0.2">
      <c r="C71" s="5"/>
    </row>
    <row r="72" spans="2:4" ht="14.25" x14ac:dyDescent="0.2">
      <c r="B72" s="7" t="s">
        <v>387</v>
      </c>
      <c r="C72" s="5"/>
      <c r="D72"/>
    </row>
    <row r="73" spans="2:4" ht="14.25" x14ac:dyDescent="0.2">
      <c r="B73" s="7" t="s">
        <v>388</v>
      </c>
    </row>
    <row r="74" spans="2:4" ht="14.25" x14ac:dyDescent="0.2">
      <c r="B74" s="3" t="s">
        <v>352</v>
      </c>
    </row>
    <row r="75" spans="2:4" ht="14.25" x14ac:dyDescent="0.2">
      <c r="B75" s="4" t="s">
        <v>30</v>
      </c>
    </row>
    <row r="77" spans="2:4" ht="14.25" x14ac:dyDescent="0.2">
      <c r="B77" s="581" t="s">
        <v>389</v>
      </c>
      <c r="C77" s="579" t="s">
        <v>390</v>
      </c>
    </row>
    <row r="78" spans="2:4" ht="14.25" x14ac:dyDescent="0.2">
      <c r="B78" s="581" t="s">
        <v>391</v>
      </c>
      <c r="C78" s="579" t="s">
        <v>32</v>
      </c>
    </row>
    <row r="81" spans="2:11" x14ac:dyDescent="0.2">
      <c r="B81" s="8"/>
    </row>
    <row r="83" spans="2:11" ht="15.75" x14ac:dyDescent="0.2">
      <c r="H83" s="1" t="s">
        <v>392</v>
      </c>
      <c r="I83" s="1" t="s">
        <v>393</v>
      </c>
      <c r="J83"/>
      <c r="K83"/>
    </row>
    <row r="84" spans="2:11" x14ac:dyDescent="0.2">
      <c r="H84" s="799"/>
      <c r="I84" s="10" t="s">
        <v>33</v>
      </c>
      <c r="J84" s="10" t="s">
        <v>394</v>
      </c>
      <c r="K84" s="10" t="s">
        <v>35</v>
      </c>
    </row>
    <row r="85" spans="2:11" x14ac:dyDescent="0.2">
      <c r="H85" s="799"/>
      <c r="I85" s="10" t="s">
        <v>34</v>
      </c>
      <c r="J85" s="10" t="s">
        <v>395</v>
      </c>
      <c r="K85" s="10" t="s">
        <v>36</v>
      </c>
    </row>
    <row r="86" spans="2:11" x14ac:dyDescent="0.2">
      <c r="H86" s="11" t="s">
        <v>37</v>
      </c>
      <c r="I86" s="12" t="s">
        <v>38</v>
      </c>
      <c r="J86" s="12" t="s">
        <v>396</v>
      </c>
      <c r="K86" s="12" t="s">
        <v>397</v>
      </c>
    </row>
    <row r="87" spans="2:11" x14ac:dyDescent="0.2">
      <c r="H87" s="13" t="s">
        <v>39</v>
      </c>
      <c r="I87" s="14" t="s">
        <v>40</v>
      </c>
      <c r="J87" s="14" t="s">
        <v>398</v>
      </c>
      <c r="K87" s="14" t="s">
        <v>399</v>
      </c>
    </row>
    <row r="88" spans="2:11" x14ac:dyDescent="0.2">
      <c r="H88" s="15" t="s">
        <v>400</v>
      </c>
      <c r="I88" s="16" t="s">
        <v>401</v>
      </c>
      <c r="J88" s="16" t="s">
        <v>402</v>
      </c>
      <c r="K88" s="16" t="s">
        <v>41</v>
      </c>
    </row>
    <row r="89" spans="2:11" x14ac:dyDescent="0.2">
      <c r="H89" s="17" t="s">
        <v>403</v>
      </c>
      <c r="I89" s="18" t="s">
        <v>42</v>
      </c>
      <c r="J89" s="18">
        <v>10</v>
      </c>
      <c r="K89" s="18">
        <v>14</v>
      </c>
    </row>
    <row r="90" spans="2:11" x14ac:dyDescent="0.2">
      <c r="H90" s="15" t="s">
        <v>404</v>
      </c>
      <c r="I90" s="16">
        <v>1013</v>
      </c>
      <c r="J90" s="16">
        <v>0</v>
      </c>
      <c r="K90" s="16">
        <v>0</v>
      </c>
    </row>
    <row r="91" spans="2:11" x14ac:dyDescent="0.2">
      <c r="H91" s="17" t="s">
        <v>405</v>
      </c>
      <c r="I91" s="18" t="s">
        <v>406</v>
      </c>
      <c r="J91" s="18">
        <v>24</v>
      </c>
      <c r="K91" s="18">
        <v>22</v>
      </c>
    </row>
    <row r="92" spans="2:11" x14ac:dyDescent="0.2">
      <c r="H92" s="19" t="s">
        <v>43</v>
      </c>
      <c r="I92" s="20">
        <v>25</v>
      </c>
      <c r="J92" s="20">
        <v>24</v>
      </c>
      <c r="K92" s="20">
        <v>22</v>
      </c>
    </row>
    <row r="93" spans="2:11" x14ac:dyDescent="0.2">
      <c r="H93" s="21" t="s">
        <v>44</v>
      </c>
      <c r="I93" s="22">
        <v>1824</v>
      </c>
      <c r="J93" s="22">
        <v>0</v>
      </c>
      <c r="K93" s="22">
        <v>0</v>
      </c>
    </row>
    <row r="94" spans="2:11" x14ac:dyDescent="0.2">
      <c r="H94" s="25"/>
      <c r="I94" s="16"/>
      <c r="J94" s="16"/>
      <c r="K94" s="16"/>
    </row>
    <row r="95" spans="2:11" ht="22.5" x14ac:dyDescent="0.2">
      <c r="H95" s="13" t="s">
        <v>45</v>
      </c>
      <c r="I95" s="14">
        <v>3740</v>
      </c>
      <c r="J95" s="14" t="s">
        <v>407</v>
      </c>
      <c r="K95" s="14" t="s">
        <v>408</v>
      </c>
    </row>
    <row r="96" spans="2:11" x14ac:dyDescent="0.2">
      <c r="H96" s="25"/>
      <c r="I96" s="16"/>
      <c r="J96" s="16"/>
      <c r="K96" s="16"/>
    </row>
    <row r="97" spans="7:11" x14ac:dyDescent="0.2">
      <c r="H97" s="575" t="s">
        <v>46</v>
      </c>
      <c r="I97" s="582"/>
      <c r="J97" s="582"/>
      <c r="K97" s="582"/>
    </row>
    <row r="98" spans="7:11" x14ac:dyDescent="0.2">
      <c r="H98" s="25" t="s">
        <v>409</v>
      </c>
      <c r="I98" s="26">
        <v>0.05</v>
      </c>
      <c r="J98" s="26">
        <v>5.5E-2</v>
      </c>
      <c r="K98" s="26">
        <v>0.06</v>
      </c>
    </row>
    <row r="99" spans="7:11" x14ac:dyDescent="0.2">
      <c r="H99" s="23" t="s">
        <v>47</v>
      </c>
      <c r="I99" s="18">
        <v>1737</v>
      </c>
      <c r="J99" s="18" t="s">
        <v>410</v>
      </c>
      <c r="K99" s="18">
        <v>4778</v>
      </c>
    </row>
    <row r="100" spans="7:11" x14ac:dyDescent="0.2">
      <c r="H100" s="25" t="s">
        <v>411</v>
      </c>
      <c r="I100" s="16">
        <v>87</v>
      </c>
      <c r="J100" s="16">
        <v>311</v>
      </c>
      <c r="K100" s="16">
        <v>287</v>
      </c>
    </row>
    <row r="101" spans="7:11" x14ac:dyDescent="0.2">
      <c r="H101" s="23" t="s">
        <v>48</v>
      </c>
      <c r="I101" s="18">
        <v>3740</v>
      </c>
      <c r="J101" s="18" t="s">
        <v>407</v>
      </c>
      <c r="K101" s="18" t="s">
        <v>408</v>
      </c>
    </row>
    <row r="102" spans="7:11" x14ac:dyDescent="0.2">
      <c r="H102" s="25" t="s">
        <v>412</v>
      </c>
      <c r="I102" s="16">
        <v>92</v>
      </c>
      <c r="J102" s="16" t="s">
        <v>413</v>
      </c>
      <c r="K102" s="16" t="s">
        <v>414</v>
      </c>
    </row>
    <row r="103" spans="7:11" ht="13.5" thickBot="1" x14ac:dyDescent="0.25">
      <c r="H103" s="30" t="s">
        <v>49</v>
      </c>
      <c r="I103" s="31">
        <v>5656</v>
      </c>
      <c r="J103" s="31">
        <v>4778</v>
      </c>
      <c r="K103" s="31" t="s">
        <v>415</v>
      </c>
    </row>
    <row r="104" spans="7:11" x14ac:dyDescent="0.2">
      <c r="G104" s="29" t="s">
        <v>51</v>
      </c>
      <c r="H104" s="153" t="s">
        <v>416</v>
      </c>
      <c r="J104"/>
      <c r="K104"/>
    </row>
    <row r="105" spans="7:11" x14ac:dyDescent="0.2">
      <c r="G105"/>
      <c r="H105" s="153" t="s">
        <v>417</v>
      </c>
      <c r="J105"/>
      <c r="K105"/>
    </row>
    <row r="106" spans="7:11" x14ac:dyDescent="0.2">
      <c r="G106"/>
      <c r="H106" s="153" t="s">
        <v>418</v>
      </c>
      <c r="J106"/>
      <c r="K106"/>
    </row>
    <row r="107" spans="7:11" x14ac:dyDescent="0.2">
      <c r="G107"/>
      <c r="H107" s="577" t="s">
        <v>419</v>
      </c>
      <c r="J107"/>
      <c r="K107"/>
    </row>
    <row r="113" spans="8:11" ht="15.75" x14ac:dyDescent="0.2">
      <c r="H113" s="1" t="s">
        <v>420</v>
      </c>
      <c r="I113" s="1" t="s">
        <v>421</v>
      </c>
      <c r="J113"/>
      <c r="K113"/>
    </row>
    <row r="114" spans="8:11" x14ac:dyDescent="0.2">
      <c r="H114" s="799"/>
      <c r="I114" s="10" t="s">
        <v>33</v>
      </c>
      <c r="J114" s="10" t="s">
        <v>394</v>
      </c>
      <c r="K114" s="10" t="s">
        <v>35</v>
      </c>
    </row>
    <row r="115" spans="8:11" x14ac:dyDescent="0.2">
      <c r="H115" s="799"/>
      <c r="I115" s="10" t="s">
        <v>34</v>
      </c>
      <c r="J115" s="10" t="s">
        <v>395</v>
      </c>
      <c r="K115" s="10" t="s">
        <v>36</v>
      </c>
    </row>
    <row r="116" spans="8:11" ht="22.5" x14ac:dyDescent="0.2">
      <c r="H116" s="11" t="s">
        <v>52</v>
      </c>
      <c r="I116" s="12" t="s">
        <v>53</v>
      </c>
      <c r="J116" s="12" t="s">
        <v>422</v>
      </c>
      <c r="K116" s="12" t="s">
        <v>423</v>
      </c>
    </row>
    <row r="117" spans="8:11" x14ac:dyDescent="0.2">
      <c r="H117" s="13" t="s">
        <v>54</v>
      </c>
      <c r="I117" s="14" t="s">
        <v>424</v>
      </c>
      <c r="J117" s="14" t="s">
        <v>425</v>
      </c>
      <c r="K117" s="14" t="s">
        <v>426</v>
      </c>
    </row>
    <row r="118" spans="8:11" x14ac:dyDescent="0.2">
      <c r="H118" s="15" t="s">
        <v>55</v>
      </c>
      <c r="I118" s="16" t="s">
        <v>427</v>
      </c>
      <c r="J118" s="16" t="s">
        <v>428</v>
      </c>
      <c r="K118" s="16" t="s">
        <v>56</v>
      </c>
    </row>
    <row r="119" spans="8:11" x14ac:dyDescent="0.2">
      <c r="H119" s="17" t="s">
        <v>429</v>
      </c>
      <c r="I119" s="18">
        <v>572</v>
      </c>
      <c r="J119" s="18">
        <v>734</v>
      </c>
      <c r="K119" s="18">
        <v>800</v>
      </c>
    </row>
    <row r="120" spans="8:11" x14ac:dyDescent="0.2">
      <c r="H120" s="15" t="s">
        <v>57</v>
      </c>
      <c r="I120" s="16">
        <v>121</v>
      </c>
      <c r="J120" s="16">
        <v>67</v>
      </c>
      <c r="K120" s="16">
        <v>400</v>
      </c>
    </row>
    <row r="121" spans="8:11" x14ac:dyDescent="0.2">
      <c r="H121" s="23"/>
      <c r="I121" s="18"/>
      <c r="J121" s="18"/>
      <c r="K121" s="18"/>
    </row>
    <row r="122" spans="8:11" ht="22.5" x14ac:dyDescent="0.2">
      <c r="H122" s="11" t="s">
        <v>45</v>
      </c>
      <c r="I122" s="12">
        <v>5712</v>
      </c>
      <c r="J122" s="12" t="s">
        <v>430</v>
      </c>
      <c r="K122" s="12" t="s">
        <v>431</v>
      </c>
    </row>
    <row r="123" spans="8:11" x14ac:dyDescent="0.2">
      <c r="H123" s="23"/>
      <c r="I123" s="18"/>
      <c r="J123" s="18"/>
      <c r="K123" s="18"/>
    </row>
    <row r="124" spans="8:11" x14ac:dyDescent="0.2">
      <c r="H124" s="574" t="s">
        <v>58</v>
      </c>
      <c r="I124" s="583"/>
      <c r="J124" s="583"/>
      <c r="K124" s="583"/>
    </row>
    <row r="125" spans="8:11" x14ac:dyDescent="0.2">
      <c r="H125" s="23" t="s">
        <v>432</v>
      </c>
      <c r="I125" s="24">
        <v>0.05</v>
      </c>
      <c r="J125" s="24">
        <v>5.5E-2</v>
      </c>
      <c r="K125" s="24">
        <v>0.06</v>
      </c>
    </row>
    <row r="126" spans="8:11" x14ac:dyDescent="0.2">
      <c r="H126" s="25" t="s">
        <v>47</v>
      </c>
      <c r="I126" s="16">
        <v>167</v>
      </c>
      <c r="J126" s="16" t="s">
        <v>433</v>
      </c>
      <c r="K126" s="16">
        <v>2467</v>
      </c>
    </row>
    <row r="127" spans="8:11" x14ac:dyDescent="0.2">
      <c r="H127" s="23" t="s">
        <v>411</v>
      </c>
      <c r="I127" s="18">
        <v>8</v>
      </c>
      <c r="J127" s="18">
        <v>332</v>
      </c>
      <c r="K127" s="18">
        <v>148</v>
      </c>
    </row>
    <row r="128" spans="8:11" x14ac:dyDescent="0.2">
      <c r="H128" s="25" t="s">
        <v>48</v>
      </c>
      <c r="I128" s="16">
        <v>5712</v>
      </c>
      <c r="J128" s="16" t="s">
        <v>430</v>
      </c>
      <c r="K128" s="16" t="s">
        <v>431</v>
      </c>
    </row>
    <row r="129" spans="7:11" x14ac:dyDescent="0.2">
      <c r="H129" s="23" t="s">
        <v>412</v>
      </c>
      <c r="I129" s="18">
        <v>141</v>
      </c>
      <c r="J129" s="18" t="s">
        <v>434</v>
      </c>
      <c r="K129" s="18" t="s">
        <v>435</v>
      </c>
    </row>
    <row r="130" spans="7:11" ht="13.5" thickBot="1" x14ac:dyDescent="0.25">
      <c r="H130" s="27" t="s">
        <v>49</v>
      </c>
      <c r="I130" s="28">
        <v>6028</v>
      </c>
      <c r="J130" s="28">
        <v>2467</v>
      </c>
      <c r="K130" s="28" t="s">
        <v>50</v>
      </c>
    </row>
    <row r="131" spans="7:11" x14ac:dyDescent="0.2">
      <c r="G131" s="29" t="s">
        <v>51</v>
      </c>
      <c r="H131" s="153" t="s">
        <v>436</v>
      </c>
      <c r="J131"/>
      <c r="K131"/>
    </row>
    <row r="132" spans="7:11" x14ac:dyDescent="0.2">
      <c r="H132" s="153" t="s">
        <v>437</v>
      </c>
      <c r="J132"/>
      <c r="K132"/>
    </row>
    <row r="133" spans="7:11" x14ac:dyDescent="0.2">
      <c r="H133" s="577" t="s">
        <v>438</v>
      </c>
      <c r="J133"/>
      <c r="K133"/>
    </row>
    <row r="139" spans="7:11" ht="15.75" x14ac:dyDescent="0.2">
      <c r="H139" s="1" t="s">
        <v>439</v>
      </c>
      <c r="I139"/>
      <c r="J139"/>
      <c r="K139"/>
    </row>
    <row r="140" spans="7:11" x14ac:dyDescent="0.2">
      <c r="H140" s="799"/>
      <c r="I140" s="10" t="s">
        <v>33</v>
      </c>
      <c r="J140" s="10" t="s">
        <v>394</v>
      </c>
      <c r="K140" s="10" t="s">
        <v>35</v>
      </c>
    </row>
    <row r="141" spans="7:11" x14ac:dyDescent="0.2">
      <c r="H141" s="799"/>
      <c r="I141" s="10" t="s">
        <v>34</v>
      </c>
      <c r="J141" s="10" t="s">
        <v>395</v>
      </c>
      <c r="K141" s="10" t="s">
        <v>36</v>
      </c>
    </row>
    <row r="142" spans="7:11" x14ac:dyDescent="0.2">
      <c r="H142" s="11" t="s">
        <v>59</v>
      </c>
      <c r="I142" s="12" t="s">
        <v>60</v>
      </c>
      <c r="J142" s="12" t="s">
        <v>440</v>
      </c>
      <c r="K142" s="12" t="s">
        <v>441</v>
      </c>
    </row>
    <row r="143" spans="7:11" ht="22.5" x14ac:dyDescent="0.2">
      <c r="H143" s="13" t="s">
        <v>61</v>
      </c>
      <c r="I143" s="14" t="s">
        <v>442</v>
      </c>
      <c r="J143" s="14" t="s">
        <v>443</v>
      </c>
      <c r="K143" s="14" t="s">
        <v>444</v>
      </c>
    </row>
    <row r="144" spans="7:11" x14ac:dyDescent="0.2">
      <c r="H144" s="15" t="s">
        <v>62</v>
      </c>
      <c r="I144" s="16" t="s">
        <v>63</v>
      </c>
      <c r="J144" s="16" t="s">
        <v>64</v>
      </c>
      <c r="K144" s="16" t="s">
        <v>445</v>
      </c>
    </row>
    <row r="145" spans="7:11" x14ac:dyDescent="0.2">
      <c r="H145" s="17" t="s">
        <v>65</v>
      </c>
      <c r="I145" s="18" t="s">
        <v>66</v>
      </c>
      <c r="J145" s="18">
        <v>7005</v>
      </c>
      <c r="K145" s="18" t="s">
        <v>446</v>
      </c>
    </row>
    <row r="146" spans="7:11" x14ac:dyDescent="0.2">
      <c r="H146" s="25"/>
      <c r="I146" s="16"/>
      <c r="J146" s="16"/>
      <c r="K146" s="16"/>
    </row>
    <row r="147" spans="7:11" ht="22.5" x14ac:dyDescent="0.2">
      <c r="H147" s="13" t="s">
        <v>45</v>
      </c>
      <c r="I147" s="14" t="s">
        <v>447</v>
      </c>
      <c r="J147" s="14">
        <v>2162</v>
      </c>
      <c r="K147" s="14" t="s">
        <v>448</v>
      </c>
    </row>
    <row r="148" spans="7:11" x14ac:dyDescent="0.2">
      <c r="H148" s="25"/>
      <c r="I148" s="16"/>
      <c r="J148" s="16"/>
      <c r="K148" s="16"/>
    </row>
    <row r="149" spans="7:11" ht="21" x14ac:dyDescent="0.2">
      <c r="H149" s="575" t="s">
        <v>67</v>
      </c>
      <c r="I149" s="582"/>
      <c r="J149" s="582"/>
      <c r="K149" s="582"/>
    </row>
    <row r="150" spans="7:11" x14ac:dyDescent="0.2">
      <c r="H150" s="25" t="s">
        <v>432</v>
      </c>
      <c r="I150" s="26">
        <v>0.05</v>
      </c>
      <c r="J150" s="26">
        <v>5.5E-2</v>
      </c>
      <c r="K150" s="26">
        <v>0.06</v>
      </c>
    </row>
    <row r="151" spans="7:11" x14ac:dyDescent="0.2">
      <c r="H151" s="23" t="s">
        <v>47</v>
      </c>
      <c r="I151" s="18" t="s">
        <v>449</v>
      </c>
      <c r="J151" s="18" t="s">
        <v>450</v>
      </c>
      <c r="K151" s="18">
        <v>1628</v>
      </c>
    </row>
    <row r="152" spans="7:11" x14ac:dyDescent="0.2">
      <c r="H152" s="25" t="s">
        <v>411</v>
      </c>
      <c r="I152" s="16" t="s">
        <v>451</v>
      </c>
      <c r="J152" s="16" t="s">
        <v>413</v>
      </c>
      <c r="K152" s="16">
        <v>98</v>
      </c>
    </row>
    <row r="153" spans="7:11" x14ac:dyDescent="0.2">
      <c r="H153" s="23" t="s">
        <v>48</v>
      </c>
      <c r="I153" s="18" t="s">
        <v>447</v>
      </c>
      <c r="J153" s="18">
        <v>2162</v>
      </c>
      <c r="K153" s="18" t="s">
        <v>448</v>
      </c>
    </row>
    <row r="154" spans="7:11" x14ac:dyDescent="0.2">
      <c r="H154" s="25" t="s">
        <v>412</v>
      </c>
      <c r="I154" s="16" t="s">
        <v>42</v>
      </c>
      <c r="J154" s="16">
        <v>59</v>
      </c>
      <c r="K154" s="16" t="s">
        <v>452</v>
      </c>
    </row>
    <row r="155" spans="7:11" ht="13.5" thickBot="1" x14ac:dyDescent="0.25">
      <c r="H155" s="30" t="s">
        <v>49</v>
      </c>
      <c r="I155" s="31" t="s">
        <v>453</v>
      </c>
      <c r="J155" s="31">
        <v>1628</v>
      </c>
      <c r="K155" s="31" t="s">
        <v>50</v>
      </c>
    </row>
    <row r="156" spans="7:11" x14ac:dyDescent="0.2">
      <c r="G156" s="29" t="s">
        <v>51</v>
      </c>
      <c r="H156" s="153" t="s">
        <v>454</v>
      </c>
      <c r="J156"/>
      <c r="K156"/>
    </row>
    <row r="157" spans="7:11" x14ac:dyDescent="0.2">
      <c r="H157" s="153" t="s">
        <v>437</v>
      </c>
      <c r="J157"/>
      <c r="K157"/>
    </row>
    <row r="158" spans="7:11" x14ac:dyDescent="0.2">
      <c r="H158" s="577" t="s">
        <v>455</v>
      </c>
      <c r="J158"/>
      <c r="K158"/>
    </row>
    <row r="166" spans="1:8" ht="15.75" x14ac:dyDescent="0.2">
      <c r="B166" s="90" t="s">
        <v>306</v>
      </c>
    </row>
    <row r="167" spans="1:8" ht="15.75" x14ac:dyDescent="0.2">
      <c r="B167" s="1" t="s">
        <v>307</v>
      </c>
      <c r="C167" s="1" t="s">
        <v>308</v>
      </c>
    </row>
    <row r="168" spans="1:8" ht="41.25" customHeight="1" x14ac:dyDescent="0.2">
      <c r="A168" s="2" t="s">
        <v>345</v>
      </c>
      <c r="B168" s="1"/>
      <c r="C168" s="1"/>
      <c r="H168" s="3" t="s">
        <v>1</v>
      </c>
    </row>
    <row r="170" spans="1:8" ht="27.75" customHeight="1" x14ac:dyDescent="0.2">
      <c r="A170" s="2" t="s">
        <v>346</v>
      </c>
      <c r="H170" s="3" t="s">
        <v>2</v>
      </c>
    </row>
    <row r="172" spans="1:8" ht="27" customHeight="1" x14ac:dyDescent="0.2">
      <c r="A172" s="2" t="s">
        <v>347</v>
      </c>
      <c r="H172" s="3" t="s">
        <v>2</v>
      </c>
    </row>
    <row r="175" spans="1:8" ht="14.25" x14ac:dyDescent="0.2">
      <c r="B175" s="6" t="s">
        <v>5</v>
      </c>
    </row>
    <row r="176" spans="1:8" ht="14.25" x14ac:dyDescent="0.2">
      <c r="B176" s="4" t="s">
        <v>9</v>
      </c>
      <c r="C176" s="4" t="s">
        <v>309</v>
      </c>
    </row>
    <row r="177" spans="2:5" ht="25.5" customHeight="1" x14ac:dyDescent="0.2">
      <c r="E177" s="4" t="s">
        <v>310</v>
      </c>
    </row>
    <row r="178" spans="2:5" ht="24.75" customHeight="1" x14ac:dyDescent="0.2">
      <c r="E178" s="4" t="s">
        <v>311</v>
      </c>
    </row>
    <row r="179" spans="2:5" ht="18" customHeight="1" x14ac:dyDescent="0.2">
      <c r="D179" s="4" t="s">
        <v>312</v>
      </c>
    </row>
    <row r="180" spans="2:5" ht="21.75" customHeight="1" x14ac:dyDescent="0.2">
      <c r="D180" s="4" t="s">
        <v>313</v>
      </c>
    </row>
    <row r="181" spans="2:5" ht="18" customHeight="1" x14ac:dyDescent="0.2">
      <c r="E181" s="4" t="s">
        <v>314</v>
      </c>
    </row>
    <row r="182" spans="2:5" ht="16.5" customHeight="1" x14ac:dyDescent="0.2">
      <c r="E182" s="4" t="s">
        <v>456</v>
      </c>
    </row>
    <row r="184" spans="2:5" ht="22.5" customHeight="1" x14ac:dyDescent="0.2">
      <c r="D184" s="4" t="s">
        <v>315</v>
      </c>
    </row>
    <row r="185" spans="2:5" ht="19.5" customHeight="1" x14ac:dyDescent="0.2">
      <c r="B185" s="4" t="s">
        <v>9</v>
      </c>
      <c r="C185" s="577" t="s">
        <v>457</v>
      </c>
    </row>
    <row r="186" spans="2:5" ht="14.25" x14ac:dyDescent="0.2">
      <c r="B186" s="4" t="s">
        <v>14</v>
      </c>
    </row>
    <row r="187" spans="2:5" ht="14.25" x14ac:dyDescent="0.2">
      <c r="B187" s="4" t="s">
        <v>15</v>
      </c>
    </row>
    <row r="188" spans="2:5" ht="14.25" x14ac:dyDescent="0.2">
      <c r="B188" s="4" t="s">
        <v>16</v>
      </c>
    </row>
    <row r="189" spans="2:5" ht="14.25" x14ac:dyDescent="0.2">
      <c r="B189" s="4" t="s">
        <v>17</v>
      </c>
    </row>
    <row r="190" spans="2:5" ht="14.25" x14ac:dyDescent="0.2">
      <c r="B190" s="4" t="s">
        <v>18</v>
      </c>
    </row>
    <row r="191" spans="2:5" ht="14.25" x14ac:dyDescent="0.2">
      <c r="B191" s="4" t="s">
        <v>9</v>
      </c>
      <c r="D191" s="4" t="s">
        <v>316</v>
      </c>
    </row>
    <row r="193" spans="2:5" x14ac:dyDescent="0.2">
      <c r="B193" s="8"/>
    </row>
    <row r="194" spans="2:5" ht="14.25" x14ac:dyDescent="0.2">
      <c r="B194" s="584" t="s">
        <v>458</v>
      </c>
      <c r="C194" s="577" t="s">
        <v>383</v>
      </c>
    </row>
    <row r="199" spans="2:5" ht="15.75" x14ac:dyDescent="0.2">
      <c r="B199" s="1" t="s">
        <v>317</v>
      </c>
    </row>
    <row r="201" spans="2:5" ht="14.25" x14ac:dyDescent="0.2">
      <c r="B201" s="4" t="s">
        <v>13</v>
      </c>
    </row>
    <row r="202" spans="2:5" ht="14.25" x14ac:dyDescent="0.2">
      <c r="E202" s="4" t="s">
        <v>318</v>
      </c>
    </row>
    <row r="203" spans="2:5" ht="14.25" x14ac:dyDescent="0.2">
      <c r="D203" s="4" t="s">
        <v>319</v>
      </c>
    </row>
    <row r="204" spans="2:5" ht="14.25" x14ac:dyDescent="0.2">
      <c r="B204" s="4" t="s">
        <v>9</v>
      </c>
      <c r="C204" s="577" t="s">
        <v>459</v>
      </c>
    </row>
    <row r="205" spans="2:5" ht="14.25" x14ac:dyDescent="0.2">
      <c r="B205" s="4" t="s">
        <v>460</v>
      </c>
    </row>
    <row r="206" spans="2:5" ht="14.25" x14ac:dyDescent="0.2">
      <c r="B206" s="4" t="s">
        <v>15</v>
      </c>
    </row>
    <row r="207" spans="2:5" ht="14.25" x14ac:dyDescent="0.2">
      <c r="B207" s="4" t="s">
        <v>16</v>
      </c>
    </row>
    <row r="208" spans="2:5" ht="14.25" x14ac:dyDescent="0.2">
      <c r="B208" s="4" t="s">
        <v>17</v>
      </c>
    </row>
    <row r="209" spans="2:11" ht="14.25" x14ac:dyDescent="0.2">
      <c r="B209" s="4" t="s">
        <v>18</v>
      </c>
    </row>
    <row r="210" spans="2:11" ht="14.25" x14ac:dyDescent="0.2">
      <c r="B210" s="4" t="s">
        <v>9</v>
      </c>
      <c r="D210" s="4" t="s">
        <v>316</v>
      </c>
    </row>
    <row r="211" spans="2:11" ht="14.25" x14ac:dyDescent="0.2">
      <c r="E211" s="4" t="s">
        <v>320</v>
      </c>
    </row>
    <row r="212" spans="2:11" ht="14.25" x14ac:dyDescent="0.2">
      <c r="E212" s="4" t="s">
        <v>461</v>
      </c>
    </row>
    <row r="213" spans="2:11" ht="14.25" x14ac:dyDescent="0.2">
      <c r="B213" s="4" t="s">
        <v>321</v>
      </c>
    </row>
    <row r="215" spans="2:11" ht="14.25" x14ac:dyDescent="0.2">
      <c r="B215" s="581" t="s">
        <v>462</v>
      </c>
      <c r="C215" s="579" t="s">
        <v>32</v>
      </c>
    </row>
    <row r="216" spans="2:11" x14ac:dyDescent="0.2">
      <c r="C216" s="9"/>
    </row>
    <row r="220" spans="2:11" ht="15.75" x14ac:dyDescent="0.2">
      <c r="H220" s="1" t="s">
        <v>463</v>
      </c>
      <c r="I220" s="1" t="s">
        <v>464</v>
      </c>
      <c r="J220"/>
      <c r="K220"/>
    </row>
    <row r="221" spans="2:11" x14ac:dyDescent="0.2">
      <c r="H221" s="799"/>
      <c r="I221" s="10" t="s">
        <v>33</v>
      </c>
      <c r="J221" s="10" t="s">
        <v>394</v>
      </c>
      <c r="K221" s="10" t="s">
        <v>35</v>
      </c>
    </row>
    <row r="222" spans="2:11" x14ac:dyDescent="0.2">
      <c r="H222" s="799"/>
      <c r="I222" s="10" t="s">
        <v>34</v>
      </c>
      <c r="J222" s="10" t="s">
        <v>395</v>
      </c>
      <c r="K222" s="10" t="s">
        <v>36</v>
      </c>
    </row>
    <row r="223" spans="2:11" x14ac:dyDescent="0.2">
      <c r="H223" s="11" t="s">
        <v>324</v>
      </c>
      <c r="I223" s="12" t="s">
        <v>465</v>
      </c>
      <c r="J223" s="12" t="s">
        <v>466</v>
      </c>
      <c r="K223" s="12" t="s">
        <v>467</v>
      </c>
    </row>
    <row r="224" spans="2:11" x14ac:dyDescent="0.2">
      <c r="H224" s="13" t="s">
        <v>325</v>
      </c>
      <c r="I224" s="14" t="s">
        <v>468</v>
      </c>
      <c r="J224" s="14" t="s">
        <v>469</v>
      </c>
      <c r="K224" s="14" t="s">
        <v>470</v>
      </c>
    </row>
    <row r="225" spans="7:11" x14ac:dyDescent="0.2">
      <c r="H225" s="15" t="s">
        <v>471</v>
      </c>
      <c r="I225" s="16" t="s">
        <v>472</v>
      </c>
      <c r="J225" s="16" t="s">
        <v>473</v>
      </c>
      <c r="K225" s="16" t="s">
        <v>474</v>
      </c>
    </row>
    <row r="226" spans="7:11" ht="22.5" x14ac:dyDescent="0.2">
      <c r="H226" s="17" t="s">
        <v>475</v>
      </c>
      <c r="I226" s="18" t="s">
        <v>326</v>
      </c>
      <c r="J226" s="18">
        <v>10</v>
      </c>
      <c r="K226" s="18">
        <v>14</v>
      </c>
    </row>
    <row r="227" spans="7:11" x14ac:dyDescent="0.2">
      <c r="H227" s="25"/>
      <c r="I227" s="16"/>
      <c r="J227" s="16"/>
      <c r="K227" s="16"/>
    </row>
    <row r="228" spans="7:11" ht="22.5" x14ac:dyDescent="0.2">
      <c r="H228" s="13" t="s">
        <v>45</v>
      </c>
      <c r="I228" s="14" t="s">
        <v>476</v>
      </c>
      <c r="J228" s="14" t="s">
        <v>477</v>
      </c>
      <c r="K228" s="14" t="s">
        <v>478</v>
      </c>
    </row>
    <row r="229" spans="7:11" x14ac:dyDescent="0.2">
      <c r="H229" s="25"/>
      <c r="I229" s="16"/>
      <c r="J229" s="16"/>
      <c r="K229" s="16"/>
    </row>
    <row r="230" spans="7:11" x14ac:dyDescent="0.2">
      <c r="H230" s="575" t="s">
        <v>327</v>
      </c>
      <c r="I230" s="582"/>
      <c r="J230" s="582"/>
      <c r="K230" s="582"/>
    </row>
    <row r="231" spans="7:11" x14ac:dyDescent="0.2">
      <c r="H231" s="25" t="s">
        <v>409</v>
      </c>
      <c r="I231" s="26">
        <v>0.05</v>
      </c>
      <c r="J231" s="26">
        <v>5.5E-2</v>
      </c>
      <c r="K231" s="26">
        <v>0.06</v>
      </c>
    </row>
    <row r="232" spans="7:11" x14ac:dyDescent="0.2">
      <c r="H232" s="23" t="s">
        <v>47</v>
      </c>
      <c r="I232" s="18" t="s">
        <v>452</v>
      </c>
      <c r="J232" s="18" t="s">
        <v>479</v>
      </c>
      <c r="K232" s="18" t="s">
        <v>480</v>
      </c>
    </row>
    <row r="233" spans="7:11" x14ac:dyDescent="0.2">
      <c r="H233" s="25" t="s">
        <v>411</v>
      </c>
      <c r="I233" s="16" t="s">
        <v>451</v>
      </c>
      <c r="J233" s="16">
        <v>58</v>
      </c>
      <c r="K233" s="16">
        <v>65</v>
      </c>
    </row>
    <row r="234" spans="7:11" x14ac:dyDescent="0.2">
      <c r="H234" s="23" t="s">
        <v>48</v>
      </c>
      <c r="I234" s="18" t="s">
        <v>476</v>
      </c>
      <c r="J234" s="18" t="s">
        <v>477</v>
      </c>
      <c r="K234" s="18" t="s">
        <v>481</v>
      </c>
    </row>
    <row r="235" spans="7:11" x14ac:dyDescent="0.2">
      <c r="H235" s="25" t="s">
        <v>412</v>
      </c>
      <c r="I235" s="16">
        <v>27</v>
      </c>
      <c r="J235" s="16" t="s">
        <v>482</v>
      </c>
      <c r="K235" s="16" t="s">
        <v>477</v>
      </c>
    </row>
    <row r="236" spans="7:11" ht="13.5" thickBot="1" x14ac:dyDescent="0.25">
      <c r="H236" s="30" t="s">
        <v>49</v>
      </c>
      <c r="I236" s="31" t="s">
        <v>483</v>
      </c>
      <c r="J236" s="31" t="s">
        <v>480</v>
      </c>
      <c r="K236" s="31" t="s">
        <v>50</v>
      </c>
    </row>
    <row r="237" spans="7:11" x14ac:dyDescent="0.2">
      <c r="G237" s="29" t="s">
        <v>51</v>
      </c>
      <c r="H237" s="153" t="s">
        <v>484</v>
      </c>
      <c r="J237"/>
      <c r="K237"/>
    </row>
    <row r="238" spans="7:11" x14ac:dyDescent="0.2">
      <c r="H238" s="153" t="s">
        <v>437</v>
      </c>
      <c r="J238"/>
      <c r="K238"/>
    </row>
    <row r="239" spans="7:11" x14ac:dyDescent="0.2">
      <c r="H239" s="577" t="s">
        <v>485</v>
      </c>
      <c r="J239"/>
      <c r="K239"/>
    </row>
  </sheetData>
  <mergeCells count="4">
    <mergeCell ref="H84:H85"/>
    <mergeCell ref="H114:H115"/>
    <mergeCell ref="H140:H141"/>
    <mergeCell ref="H221:H222"/>
  </mergeCells>
  <pageMargins left="0.7" right="0.7" top="0.75" bottom="0.75" header="0.3" footer="0.3"/>
  <drawing r:id="rId1"/>
  <legacyDrawing r:id="rId2"/>
  <oleObjects>
    <mc:AlternateContent xmlns:mc="http://schemas.openxmlformats.org/markup-compatibility/2006">
      <mc:Choice Requires="x14">
        <oleObject progId="Equation.3" shapeId="1078" r:id="rId3">
          <objectPr defaultSize="0" autoPict="0" r:id="rId4">
            <anchor moveWithCells="1" sizeWithCells="1">
              <from>
                <xdr:col>2</xdr:col>
                <xdr:colOff>95250</xdr:colOff>
                <xdr:row>3</xdr:row>
                <xdr:rowOff>38100</xdr:rowOff>
              </from>
              <to>
                <xdr:col>4</xdr:col>
                <xdr:colOff>142875</xdr:colOff>
                <xdr:row>4</xdr:row>
                <xdr:rowOff>0</xdr:rowOff>
              </to>
            </anchor>
          </objectPr>
        </oleObject>
      </mc:Choice>
      <mc:Fallback>
        <oleObject progId="Equation.3" shapeId="1078" r:id="rId3"/>
      </mc:Fallback>
    </mc:AlternateContent>
    <mc:AlternateContent xmlns:mc="http://schemas.openxmlformats.org/markup-compatibility/2006">
      <mc:Choice Requires="x14">
        <oleObject progId="Equation.3" shapeId="1079" r:id="rId5">
          <objectPr defaultSize="0" autoPict="0" r:id="rId6">
            <anchor moveWithCells="1" sizeWithCells="1">
              <from>
                <xdr:col>2</xdr:col>
                <xdr:colOff>28575</xdr:colOff>
                <xdr:row>4</xdr:row>
                <xdr:rowOff>85725</xdr:rowOff>
              </from>
              <to>
                <xdr:col>4</xdr:col>
                <xdr:colOff>495300</xdr:colOff>
                <xdr:row>4</xdr:row>
                <xdr:rowOff>361950</xdr:rowOff>
              </to>
            </anchor>
          </objectPr>
        </oleObject>
      </mc:Choice>
      <mc:Fallback>
        <oleObject progId="Equation.3" shapeId="1079" r:id="rId5"/>
      </mc:Fallback>
    </mc:AlternateContent>
    <mc:AlternateContent xmlns:mc="http://schemas.openxmlformats.org/markup-compatibility/2006">
      <mc:Choice Requires="x14">
        <oleObject progId="Equation.3" shapeId="1080" r:id="rId7">
          <objectPr defaultSize="0" autoPict="0" r:id="rId8">
            <anchor moveWithCells="1" sizeWithCells="1">
              <from>
                <xdr:col>2</xdr:col>
                <xdr:colOff>19050</xdr:colOff>
                <xdr:row>6</xdr:row>
                <xdr:rowOff>19050</xdr:rowOff>
              </from>
              <to>
                <xdr:col>6</xdr:col>
                <xdr:colOff>180975</xdr:colOff>
                <xdr:row>6</xdr:row>
                <xdr:rowOff>295275</xdr:rowOff>
              </to>
            </anchor>
          </objectPr>
        </oleObject>
      </mc:Choice>
      <mc:Fallback>
        <oleObject progId="Equation.3" shapeId="1080" r:id="rId7"/>
      </mc:Fallback>
    </mc:AlternateContent>
    <mc:AlternateContent xmlns:mc="http://schemas.openxmlformats.org/markup-compatibility/2006">
      <mc:Choice Requires="x14">
        <oleObject progId="Equation.3" shapeId="1081" r:id="rId9">
          <objectPr defaultSize="0" autoPict="0" r:id="rId10">
            <anchor moveWithCells="1" sizeWithCells="1">
              <from>
                <xdr:col>1</xdr:col>
                <xdr:colOff>0</xdr:colOff>
                <xdr:row>8</xdr:row>
                <xdr:rowOff>123825</xdr:rowOff>
              </from>
              <to>
                <xdr:col>1</xdr:col>
                <xdr:colOff>342900</xdr:colOff>
                <xdr:row>10</xdr:row>
                <xdr:rowOff>19050</xdr:rowOff>
              </to>
            </anchor>
          </objectPr>
        </oleObject>
      </mc:Choice>
      <mc:Fallback>
        <oleObject progId="Equation.3" shapeId="1081" r:id="rId9"/>
      </mc:Fallback>
    </mc:AlternateContent>
    <mc:AlternateContent xmlns:mc="http://schemas.openxmlformats.org/markup-compatibility/2006">
      <mc:Choice Requires="x14">
        <oleObject progId="Equation.3" shapeId="1082" r:id="rId11">
          <objectPr defaultSize="0" autoPict="0" r:id="rId12">
            <anchor moveWithCells="1" sizeWithCells="1">
              <from>
                <xdr:col>1</xdr:col>
                <xdr:colOff>0</xdr:colOff>
                <xdr:row>10</xdr:row>
                <xdr:rowOff>0</xdr:rowOff>
              </from>
              <to>
                <xdr:col>1</xdr:col>
                <xdr:colOff>209550</xdr:colOff>
                <xdr:row>11</xdr:row>
                <xdr:rowOff>76200</xdr:rowOff>
              </to>
            </anchor>
          </objectPr>
        </oleObject>
      </mc:Choice>
      <mc:Fallback>
        <oleObject progId="Equation.3" shapeId="1082" r:id="rId11"/>
      </mc:Fallback>
    </mc:AlternateContent>
    <mc:AlternateContent xmlns:mc="http://schemas.openxmlformats.org/markup-compatibility/2006">
      <mc:Choice Requires="x14">
        <oleObject progId="Equation.3" shapeId="1083" r:id="rId13">
          <objectPr defaultSize="0" autoPict="0" r:id="rId14">
            <anchor moveWithCells="1" sizeWithCells="1">
              <from>
                <xdr:col>1</xdr:col>
                <xdr:colOff>0</xdr:colOff>
                <xdr:row>11</xdr:row>
                <xdr:rowOff>0</xdr:rowOff>
              </from>
              <to>
                <xdr:col>1</xdr:col>
                <xdr:colOff>190500</xdr:colOff>
                <xdr:row>12</xdr:row>
                <xdr:rowOff>76200</xdr:rowOff>
              </to>
            </anchor>
          </objectPr>
        </oleObject>
      </mc:Choice>
      <mc:Fallback>
        <oleObject progId="Equation.3" shapeId="1083" r:id="rId13"/>
      </mc:Fallback>
    </mc:AlternateContent>
    <mc:AlternateContent xmlns:mc="http://schemas.openxmlformats.org/markup-compatibility/2006">
      <mc:Choice Requires="x14">
        <oleObject progId="Equation.3" shapeId="1084" r:id="rId15">
          <objectPr defaultSize="0" autoPict="0" r:id="rId16">
            <anchor moveWithCells="1" sizeWithCells="1">
              <from>
                <xdr:col>1</xdr:col>
                <xdr:colOff>0</xdr:colOff>
                <xdr:row>12</xdr:row>
                <xdr:rowOff>0</xdr:rowOff>
              </from>
              <to>
                <xdr:col>1</xdr:col>
                <xdr:colOff>400050</xdr:colOff>
                <xdr:row>13</xdr:row>
                <xdr:rowOff>85725</xdr:rowOff>
              </to>
            </anchor>
          </objectPr>
        </oleObject>
      </mc:Choice>
      <mc:Fallback>
        <oleObject progId="Equation.3" shapeId="1084" r:id="rId15"/>
      </mc:Fallback>
    </mc:AlternateContent>
    <mc:AlternateContent xmlns:mc="http://schemas.openxmlformats.org/markup-compatibility/2006">
      <mc:Choice Requires="x14">
        <oleObject progId="Equation.3" shapeId="1085" r:id="rId17">
          <objectPr defaultSize="0" autoPict="0" r:id="rId18">
            <anchor moveWithCells="1" sizeWithCells="1">
              <from>
                <xdr:col>1</xdr:col>
                <xdr:colOff>0</xdr:colOff>
                <xdr:row>13</xdr:row>
                <xdr:rowOff>0</xdr:rowOff>
              </from>
              <to>
                <xdr:col>1</xdr:col>
                <xdr:colOff>142875</xdr:colOff>
                <xdr:row>14</xdr:row>
                <xdr:rowOff>76200</xdr:rowOff>
              </to>
            </anchor>
          </objectPr>
        </oleObject>
      </mc:Choice>
      <mc:Fallback>
        <oleObject progId="Equation.3" shapeId="1085" r:id="rId17"/>
      </mc:Fallback>
    </mc:AlternateContent>
    <mc:AlternateContent xmlns:mc="http://schemas.openxmlformats.org/markup-compatibility/2006">
      <mc:Choice Requires="x14">
        <oleObject progId="Equation.3" shapeId="1086" r:id="rId19">
          <objectPr defaultSize="0" autoPict="0" r:id="rId20">
            <anchor moveWithCells="1" sizeWithCells="1">
              <from>
                <xdr:col>1</xdr:col>
                <xdr:colOff>0</xdr:colOff>
                <xdr:row>14</xdr:row>
                <xdr:rowOff>0</xdr:rowOff>
              </from>
              <to>
                <xdr:col>1</xdr:col>
                <xdr:colOff>142875</xdr:colOff>
                <xdr:row>15</xdr:row>
                <xdr:rowOff>76200</xdr:rowOff>
              </to>
            </anchor>
          </objectPr>
        </oleObject>
      </mc:Choice>
      <mc:Fallback>
        <oleObject progId="Equation.3" shapeId="1086" r:id="rId19"/>
      </mc:Fallback>
    </mc:AlternateContent>
    <mc:AlternateContent xmlns:mc="http://schemas.openxmlformats.org/markup-compatibility/2006">
      <mc:Choice Requires="x14">
        <oleObject progId="Equation.3" shapeId="1087" r:id="rId21">
          <objectPr defaultSize="0" autoPict="0" r:id="rId22">
            <anchor moveWithCells="1" sizeWithCells="1">
              <from>
                <xdr:col>1</xdr:col>
                <xdr:colOff>0</xdr:colOff>
                <xdr:row>16</xdr:row>
                <xdr:rowOff>0</xdr:rowOff>
              </from>
              <to>
                <xdr:col>1</xdr:col>
                <xdr:colOff>161925</xdr:colOff>
                <xdr:row>17</xdr:row>
                <xdr:rowOff>76200</xdr:rowOff>
              </to>
            </anchor>
          </objectPr>
        </oleObject>
      </mc:Choice>
      <mc:Fallback>
        <oleObject progId="Equation.3" shapeId="1087" r:id="rId21"/>
      </mc:Fallback>
    </mc:AlternateContent>
    <mc:AlternateContent xmlns:mc="http://schemas.openxmlformats.org/markup-compatibility/2006">
      <mc:Choice Requires="x14">
        <oleObject progId="Equation.3" shapeId="1088" r:id="rId23">
          <objectPr defaultSize="0" autoPict="0" r:id="rId24">
            <anchor moveWithCells="1" sizeWithCells="1">
              <from>
                <xdr:col>1</xdr:col>
                <xdr:colOff>95250</xdr:colOff>
                <xdr:row>19</xdr:row>
                <xdr:rowOff>152400</xdr:rowOff>
              </from>
              <to>
                <xdr:col>1</xdr:col>
                <xdr:colOff>352425</xdr:colOff>
                <xdr:row>21</xdr:row>
                <xdr:rowOff>47625</xdr:rowOff>
              </to>
            </anchor>
          </objectPr>
        </oleObject>
      </mc:Choice>
      <mc:Fallback>
        <oleObject progId="Equation.3" shapeId="1088" r:id="rId23"/>
      </mc:Fallback>
    </mc:AlternateContent>
    <mc:AlternateContent xmlns:mc="http://schemas.openxmlformats.org/markup-compatibility/2006">
      <mc:Choice Requires="x14">
        <oleObject progId="Equation.3" shapeId="1089" r:id="rId25">
          <objectPr defaultSize="0" autoPict="0" r:id="rId26">
            <anchor moveWithCells="1" sizeWithCells="1">
              <from>
                <xdr:col>1</xdr:col>
                <xdr:colOff>0</xdr:colOff>
                <xdr:row>26</xdr:row>
                <xdr:rowOff>0</xdr:rowOff>
              </from>
              <to>
                <xdr:col>1</xdr:col>
                <xdr:colOff>285750</xdr:colOff>
                <xdr:row>27</xdr:row>
                <xdr:rowOff>104775</xdr:rowOff>
              </to>
            </anchor>
          </objectPr>
        </oleObject>
      </mc:Choice>
      <mc:Fallback>
        <oleObject progId="Equation.3" shapeId="1089" r:id="rId25"/>
      </mc:Fallback>
    </mc:AlternateContent>
    <mc:AlternateContent xmlns:mc="http://schemas.openxmlformats.org/markup-compatibility/2006">
      <mc:Choice Requires="x14">
        <oleObject progId="Equation.3" shapeId="1090" r:id="rId27">
          <objectPr defaultSize="0" autoPict="0" r:id="rId28">
            <anchor moveWithCells="1" sizeWithCells="1">
              <from>
                <xdr:col>1</xdr:col>
                <xdr:colOff>47625</xdr:colOff>
                <xdr:row>27</xdr:row>
                <xdr:rowOff>28575</xdr:rowOff>
              </from>
              <to>
                <xdr:col>1</xdr:col>
                <xdr:colOff>323850</xdr:colOff>
                <xdr:row>28</xdr:row>
                <xdr:rowOff>123825</xdr:rowOff>
              </to>
            </anchor>
          </objectPr>
        </oleObject>
      </mc:Choice>
      <mc:Fallback>
        <oleObject progId="Equation.3" shapeId="1090" r:id="rId27"/>
      </mc:Fallback>
    </mc:AlternateContent>
    <mc:AlternateContent xmlns:mc="http://schemas.openxmlformats.org/markup-compatibility/2006">
      <mc:Choice Requires="x14">
        <oleObject progId="Equation.3" shapeId="1091" r:id="rId29">
          <objectPr defaultSize="0" autoPict="0" r:id="rId30">
            <anchor moveWithCells="1" sizeWithCells="1">
              <from>
                <xdr:col>1</xdr:col>
                <xdr:colOff>0</xdr:colOff>
                <xdr:row>27</xdr:row>
                <xdr:rowOff>161925</xdr:rowOff>
              </from>
              <to>
                <xdr:col>1</xdr:col>
                <xdr:colOff>361950</xdr:colOff>
                <xdr:row>29</xdr:row>
                <xdr:rowOff>47625</xdr:rowOff>
              </to>
            </anchor>
          </objectPr>
        </oleObject>
      </mc:Choice>
      <mc:Fallback>
        <oleObject progId="Equation.3" shapeId="1091" r:id="rId29"/>
      </mc:Fallback>
    </mc:AlternateContent>
    <mc:AlternateContent xmlns:mc="http://schemas.openxmlformats.org/markup-compatibility/2006">
      <mc:Choice Requires="x14">
        <oleObject progId="Equation.3" shapeId="1092" r:id="rId31">
          <objectPr defaultSize="0" autoPict="0" r:id="rId32">
            <anchor moveWithCells="1" sizeWithCells="1">
              <from>
                <xdr:col>1</xdr:col>
                <xdr:colOff>0</xdr:colOff>
                <xdr:row>43</xdr:row>
                <xdr:rowOff>180975</xdr:rowOff>
              </from>
              <to>
                <xdr:col>7</xdr:col>
                <xdr:colOff>600075</xdr:colOff>
                <xdr:row>48</xdr:row>
                <xdr:rowOff>76200</xdr:rowOff>
              </to>
            </anchor>
          </objectPr>
        </oleObject>
      </mc:Choice>
      <mc:Fallback>
        <oleObject progId="Equation.3" shapeId="1092" r:id="rId31"/>
      </mc:Fallback>
    </mc:AlternateContent>
    <mc:AlternateContent xmlns:mc="http://schemas.openxmlformats.org/markup-compatibility/2006">
      <mc:Choice Requires="x14">
        <oleObject progId="Equation.3" shapeId="1093" r:id="rId33">
          <objectPr defaultSize="0" autoPict="0" r:id="rId34">
            <anchor moveWithCells="1" sizeWithCells="1">
              <from>
                <xdr:col>1</xdr:col>
                <xdr:colOff>0</xdr:colOff>
                <xdr:row>50</xdr:row>
                <xdr:rowOff>0</xdr:rowOff>
              </from>
              <to>
                <xdr:col>1</xdr:col>
                <xdr:colOff>190500</xdr:colOff>
                <xdr:row>51</xdr:row>
                <xdr:rowOff>85725</xdr:rowOff>
              </to>
            </anchor>
          </objectPr>
        </oleObject>
      </mc:Choice>
      <mc:Fallback>
        <oleObject progId="Equation.3" shapeId="1093" r:id="rId33"/>
      </mc:Fallback>
    </mc:AlternateContent>
    <mc:AlternateContent xmlns:mc="http://schemas.openxmlformats.org/markup-compatibility/2006">
      <mc:Choice Requires="x14">
        <oleObject progId="Equation.3" shapeId="1094" r:id="rId35">
          <objectPr defaultSize="0" autoPict="0" r:id="rId36">
            <anchor moveWithCells="1" sizeWithCells="1">
              <from>
                <xdr:col>1</xdr:col>
                <xdr:colOff>0</xdr:colOff>
                <xdr:row>51</xdr:row>
                <xdr:rowOff>0</xdr:rowOff>
              </from>
              <to>
                <xdr:col>1</xdr:col>
                <xdr:colOff>276225</xdr:colOff>
                <xdr:row>52</xdr:row>
                <xdr:rowOff>85725</xdr:rowOff>
              </to>
            </anchor>
          </objectPr>
        </oleObject>
      </mc:Choice>
      <mc:Fallback>
        <oleObject progId="Equation.3" shapeId="1094" r:id="rId35"/>
      </mc:Fallback>
    </mc:AlternateContent>
    <mc:AlternateContent xmlns:mc="http://schemas.openxmlformats.org/markup-compatibility/2006">
      <mc:Choice Requires="x14">
        <oleObject progId="Equation.3" shapeId="1095" r:id="rId37">
          <objectPr defaultSize="0" autoPict="0" r:id="rId38">
            <anchor moveWithCells="1" sizeWithCells="1">
              <from>
                <xdr:col>1</xdr:col>
                <xdr:colOff>0</xdr:colOff>
                <xdr:row>51</xdr:row>
                <xdr:rowOff>171450</xdr:rowOff>
              </from>
              <to>
                <xdr:col>1</xdr:col>
                <xdr:colOff>190500</xdr:colOff>
                <xdr:row>53</xdr:row>
                <xdr:rowOff>76200</xdr:rowOff>
              </to>
            </anchor>
          </objectPr>
        </oleObject>
      </mc:Choice>
      <mc:Fallback>
        <oleObject progId="Equation.3" shapeId="1095" r:id="rId37"/>
      </mc:Fallback>
    </mc:AlternateContent>
    <mc:AlternateContent xmlns:mc="http://schemas.openxmlformats.org/markup-compatibility/2006">
      <mc:Choice Requires="x14">
        <oleObject progId="Equation.3" shapeId="1096" r:id="rId39">
          <objectPr defaultSize="0" autoPict="0" r:id="rId40">
            <anchor moveWithCells="1" sizeWithCells="1">
              <from>
                <xdr:col>1</xdr:col>
                <xdr:colOff>0</xdr:colOff>
                <xdr:row>53</xdr:row>
                <xdr:rowOff>76200</xdr:rowOff>
              </from>
              <to>
                <xdr:col>1</xdr:col>
                <xdr:colOff>276225</xdr:colOff>
                <xdr:row>54</xdr:row>
                <xdr:rowOff>171450</xdr:rowOff>
              </to>
            </anchor>
          </objectPr>
        </oleObject>
      </mc:Choice>
      <mc:Fallback>
        <oleObject progId="Equation.3" shapeId="1096" r:id="rId39"/>
      </mc:Fallback>
    </mc:AlternateContent>
    <mc:AlternateContent xmlns:mc="http://schemas.openxmlformats.org/markup-compatibility/2006">
      <mc:Choice Requires="x14">
        <oleObject progId="Equation.3" shapeId="1097" r:id="rId41">
          <objectPr defaultSize="0" autoPict="0" r:id="rId42">
            <anchor moveWithCells="1" sizeWithCells="1">
              <from>
                <xdr:col>1</xdr:col>
                <xdr:colOff>0</xdr:colOff>
                <xdr:row>59</xdr:row>
                <xdr:rowOff>0</xdr:rowOff>
              </from>
              <to>
                <xdr:col>1</xdr:col>
                <xdr:colOff>209550</xdr:colOff>
                <xdr:row>60</xdr:row>
                <xdr:rowOff>47625</xdr:rowOff>
              </to>
            </anchor>
          </objectPr>
        </oleObject>
      </mc:Choice>
      <mc:Fallback>
        <oleObject progId="Equation.3" shapeId="1097" r:id="rId41"/>
      </mc:Fallback>
    </mc:AlternateContent>
    <mc:AlternateContent xmlns:mc="http://schemas.openxmlformats.org/markup-compatibility/2006">
      <mc:Choice Requires="x14">
        <oleObject progId="Equation.3" shapeId="1098" r:id="rId43">
          <objectPr defaultSize="0" autoPict="0" r:id="rId44">
            <anchor moveWithCells="1" sizeWithCells="1">
              <from>
                <xdr:col>1</xdr:col>
                <xdr:colOff>0</xdr:colOff>
                <xdr:row>60</xdr:row>
                <xdr:rowOff>0</xdr:rowOff>
              </from>
              <to>
                <xdr:col>1</xdr:col>
                <xdr:colOff>276225</xdr:colOff>
                <xdr:row>61</xdr:row>
                <xdr:rowOff>95250</xdr:rowOff>
              </to>
            </anchor>
          </objectPr>
        </oleObject>
      </mc:Choice>
      <mc:Fallback>
        <oleObject progId="Equation.3" shapeId="1098" r:id="rId43"/>
      </mc:Fallback>
    </mc:AlternateContent>
    <mc:AlternateContent xmlns:mc="http://schemas.openxmlformats.org/markup-compatibility/2006">
      <mc:Choice Requires="x14">
        <oleObject progId="Equation.3" shapeId="1099" r:id="rId45">
          <objectPr defaultSize="0" autoPict="0" r:id="rId46">
            <anchor moveWithCells="1" sizeWithCells="1">
              <from>
                <xdr:col>1</xdr:col>
                <xdr:colOff>0</xdr:colOff>
                <xdr:row>61</xdr:row>
                <xdr:rowOff>0</xdr:rowOff>
              </from>
              <to>
                <xdr:col>1</xdr:col>
                <xdr:colOff>161925</xdr:colOff>
                <xdr:row>62</xdr:row>
                <xdr:rowOff>85725</xdr:rowOff>
              </to>
            </anchor>
          </objectPr>
        </oleObject>
      </mc:Choice>
      <mc:Fallback>
        <oleObject progId="Equation.3" shapeId="1099" r:id="rId45"/>
      </mc:Fallback>
    </mc:AlternateContent>
    <mc:AlternateContent xmlns:mc="http://schemas.openxmlformats.org/markup-compatibility/2006">
      <mc:Choice Requires="x14">
        <oleObject progId="Equation.3" shapeId="1100" r:id="rId47">
          <objectPr defaultSize="0" autoPict="0" r:id="rId48">
            <anchor moveWithCells="1" sizeWithCells="1">
              <from>
                <xdr:col>1</xdr:col>
                <xdr:colOff>0</xdr:colOff>
                <xdr:row>62</xdr:row>
                <xdr:rowOff>0</xdr:rowOff>
              </from>
              <to>
                <xdr:col>1</xdr:col>
                <xdr:colOff>190500</xdr:colOff>
                <xdr:row>63</xdr:row>
                <xdr:rowOff>85725</xdr:rowOff>
              </to>
            </anchor>
          </objectPr>
        </oleObject>
      </mc:Choice>
      <mc:Fallback>
        <oleObject progId="Equation.3" shapeId="1100" r:id="rId47"/>
      </mc:Fallback>
    </mc:AlternateContent>
    <mc:AlternateContent xmlns:mc="http://schemas.openxmlformats.org/markup-compatibility/2006">
      <mc:Choice Requires="x14">
        <oleObject progId="Equation.3" shapeId="1101" r:id="rId49">
          <objectPr defaultSize="0" autoPict="0" r:id="rId50">
            <anchor moveWithCells="1" sizeWithCells="1">
              <from>
                <xdr:col>1</xdr:col>
                <xdr:colOff>0</xdr:colOff>
                <xdr:row>63</xdr:row>
                <xdr:rowOff>0</xdr:rowOff>
              </from>
              <to>
                <xdr:col>1</xdr:col>
                <xdr:colOff>190500</xdr:colOff>
                <xdr:row>64</xdr:row>
                <xdr:rowOff>85725</xdr:rowOff>
              </to>
            </anchor>
          </objectPr>
        </oleObject>
      </mc:Choice>
      <mc:Fallback>
        <oleObject progId="Equation.3" shapeId="1101" r:id="rId49"/>
      </mc:Fallback>
    </mc:AlternateContent>
    <mc:AlternateContent xmlns:mc="http://schemas.openxmlformats.org/markup-compatibility/2006">
      <mc:Choice Requires="x14">
        <oleObject progId="Equation.3" shapeId="1102" r:id="rId51">
          <objectPr defaultSize="0" autoPict="0" r:id="rId24">
            <anchor moveWithCells="1" sizeWithCells="1">
              <from>
                <xdr:col>1</xdr:col>
                <xdr:colOff>0</xdr:colOff>
                <xdr:row>66</xdr:row>
                <xdr:rowOff>171450</xdr:rowOff>
              </from>
              <to>
                <xdr:col>1</xdr:col>
                <xdr:colOff>209550</xdr:colOff>
                <xdr:row>68</xdr:row>
                <xdr:rowOff>66675</xdr:rowOff>
              </to>
            </anchor>
          </objectPr>
        </oleObject>
      </mc:Choice>
      <mc:Fallback>
        <oleObject progId="Equation.3" shapeId="1102" r:id="rId51"/>
      </mc:Fallback>
    </mc:AlternateContent>
    <mc:AlternateContent xmlns:mc="http://schemas.openxmlformats.org/markup-compatibility/2006">
      <mc:Choice Requires="x14">
        <oleObject progId="Equation.3" shapeId="1103" r:id="rId52">
          <objectPr defaultSize="0" autoPict="0" r:id="rId53">
            <anchor moveWithCells="1" sizeWithCells="1">
              <from>
                <xdr:col>2</xdr:col>
                <xdr:colOff>95250</xdr:colOff>
                <xdr:row>5</xdr:row>
                <xdr:rowOff>9525</xdr:rowOff>
              </from>
              <to>
                <xdr:col>4</xdr:col>
                <xdr:colOff>123825</xdr:colOff>
                <xdr:row>5</xdr:row>
                <xdr:rowOff>266700</xdr:rowOff>
              </to>
            </anchor>
          </objectPr>
        </oleObject>
      </mc:Choice>
      <mc:Fallback>
        <oleObject progId="Equation.3" shapeId="1103" r:id="rId52"/>
      </mc:Fallback>
    </mc:AlternateContent>
    <mc:AlternateContent xmlns:mc="http://schemas.openxmlformats.org/markup-compatibility/2006">
      <mc:Choice Requires="x14">
        <oleObject progId="Equation.3" shapeId="1104" r:id="rId54">
          <objectPr defaultSize="0" autoPict="0" r:id="rId55">
            <anchor moveWithCells="1" sizeWithCells="1">
              <from>
                <xdr:col>1</xdr:col>
                <xdr:colOff>180975</xdr:colOff>
                <xdr:row>33</xdr:row>
                <xdr:rowOff>142875</xdr:rowOff>
              </from>
              <to>
                <xdr:col>1</xdr:col>
                <xdr:colOff>438150</xdr:colOff>
                <xdr:row>36</xdr:row>
                <xdr:rowOff>9525</xdr:rowOff>
              </to>
            </anchor>
          </objectPr>
        </oleObject>
      </mc:Choice>
      <mc:Fallback>
        <oleObject progId="Equation.3" shapeId="1104" r:id="rId54"/>
      </mc:Fallback>
    </mc:AlternateContent>
    <mc:AlternateContent xmlns:mc="http://schemas.openxmlformats.org/markup-compatibility/2006">
      <mc:Choice Requires="x14">
        <oleObject progId="Equation.3" shapeId="1105" r:id="rId56">
          <objectPr defaultSize="0" autoPict="0" r:id="rId57">
            <anchor moveWithCells="1" sizeWithCells="1">
              <from>
                <xdr:col>1</xdr:col>
                <xdr:colOff>190500</xdr:colOff>
                <xdr:row>167</xdr:row>
                <xdr:rowOff>57150</xdr:rowOff>
              </from>
              <to>
                <xdr:col>3</xdr:col>
                <xdr:colOff>371475</xdr:colOff>
                <xdr:row>167</xdr:row>
                <xdr:rowOff>514350</xdr:rowOff>
              </to>
            </anchor>
          </objectPr>
        </oleObject>
      </mc:Choice>
      <mc:Fallback>
        <oleObject progId="Equation.3" shapeId="1105" r:id="rId56"/>
      </mc:Fallback>
    </mc:AlternateContent>
    <mc:AlternateContent xmlns:mc="http://schemas.openxmlformats.org/markup-compatibility/2006">
      <mc:Choice Requires="x14">
        <oleObject progId="Equation.3" shapeId="1106" r:id="rId58">
          <objectPr defaultSize="0" autoPict="0" r:id="rId59">
            <anchor moveWithCells="1" sizeWithCells="1">
              <from>
                <xdr:col>1</xdr:col>
                <xdr:colOff>133350</xdr:colOff>
                <xdr:row>169</xdr:row>
                <xdr:rowOff>47625</xdr:rowOff>
              </from>
              <to>
                <xdr:col>3</xdr:col>
                <xdr:colOff>314325</xdr:colOff>
                <xdr:row>169</xdr:row>
                <xdr:rowOff>314325</xdr:rowOff>
              </to>
            </anchor>
          </objectPr>
        </oleObject>
      </mc:Choice>
      <mc:Fallback>
        <oleObject progId="Equation.3" shapeId="1106" r:id="rId58"/>
      </mc:Fallback>
    </mc:AlternateContent>
    <mc:AlternateContent xmlns:mc="http://schemas.openxmlformats.org/markup-compatibility/2006">
      <mc:Choice Requires="x14">
        <oleObject progId="Equation.3" shapeId="1107" r:id="rId60">
          <objectPr defaultSize="0" autoPict="0" r:id="rId61">
            <anchor moveWithCells="1" sizeWithCells="1">
              <from>
                <xdr:col>1</xdr:col>
                <xdr:colOff>114300</xdr:colOff>
                <xdr:row>171</xdr:row>
                <xdr:rowOff>38100</xdr:rowOff>
              </from>
              <to>
                <xdr:col>4</xdr:col>
                <xdr:colOff>190500</xdr:colOff>
                <xdr:row>171</xdr:row>
                <xdr:rowOff>295275</xdr:rowOff>
              </to>
            </anchor>
          </objectPr>
        </oleObject>
      </mc:Choice>
      <mc:Fallback>
        <oleObject progId="Equation.3" shapeId="1107" r:id="rId60"/>
      </mc:Fallback>
    </mc:AlternateContent>
    <mc:AlternateContent xmlns:mc="http://schemas.openxmlformats.org/markup-compatibility/2006">
      <mc:Choice Requires="x14">
        <oleObject progId="Equation.3" shapeId="1108" r:id="rId62">
          <objectPr defaultSize="0" autoPict="0" r:id="rId63">
            <anchor moveWithCells="1" sizeWithCells="1">
              <from>
                <xdr:col>1</xdr:col>
                <xdr:colOff>0</xdr:colOff>
                <xdr:row>175</xdr:row>
                <xdr:rowOff>0</xdr:rowOff>
              </from>
              <to>
                <xdr:col>1</xdr:col>
                <xdr:colOff>504825</xdr:colOff>
                <xdr:row>176</xdr:row>
                <xdr:rowOff>76200</xdr:rowOff>
              </to>
            </anchor>
          </objectPr>
        </oleObject>
      </mc:Choice>
      <mc:Fallback>
        <oleObject progId="Equation.3" shapeId="1108" r:id="rId62"/>
      </mc:Fallback>
    </mc:AlternateContent>
    <mc:AlternateContent xmlns:mc="http://schemas.openxmlformats.org/markup-compatibility/2006">
      <mc:Choice Requires="x14">
        <oleObject progId="Equation.3" shapeId="1109" r:id="rId64">
          <objectPr defaultSize="0" autoPict="0" r:id="rId12">
            <anchor moveWithCells="1" sizeWithCells="1">
              <from>
                <xdr:col>1</xdr:col>
                <xdr:colOff>180975</xdr:colOff>
                <xdr:row>176</xdr:row>
                <xdr:rowOff>28575</xdr:rowOff>
              </from>
              <to>
                <xdr:col>1</xdr:col>
                <xdr:colOff>390525</xdr:colOff>
                <xdr:row>176</xdr:row>
                <xdr:rowOff>285750</xdr:rowOff>
              </to>
            </anchor>
          </objectPr>
        </oleObject>
      </mc:Choice>
      <mc:Fallback>
        <oleObject progId="Equation.3" shapeId="1109" r:id="rId64"/>
      </mc:Fallback>
    </mc:AlternateContent>
    <mc:AlternateContent xmlns:mc="http://schemas.openxmlformats.org/markup-compatibility/2006">
      <mc:Choice Requires="x14">
        <oleObject progId="Equation.3" shapeId="1110" r:id="rId65">
          <objectPr defaultSize="0" autoPict="0" r:id="rId14">
            <anchor moveWithCells="1" sizeWithCells="1">
              <from>
                <xdr:col>1</xdr:col>
                <xdr:colOff>171450</xdr:colOff>
                <xdr:row>177</xdr:row>
                <xdr:rowOff>28575</xdr:rowOff>
              </from>
              <to>
                <xdr:col>1</xdr:col>
                <xdr:colOff>361950</xdr:colOff>
                <xdr:row>177</xdr:row>
                <xdr:rowOff>285750</xdr:rowOff>
              </to>
            </anchor>
          </objectPr>
        </oleObject>
      </mc:Choice>
      <mc:Fallback>
        <oleObject progId="Equation.3" shapeId="1110" r:id="rId65"/>
      </mc:Fallback>
    </mc:AlternateContent>
    <mc:AlternateContent xmlns:mc="http://schemas.openxmlformats.org/markup-compatibility/2006">
      <mc:Choice Requires="x14">
        <oleObject progId="Equation.3" shapeId="1111" r:id="rId66">
          <objectPr defaultSize="0" autoPict="0" r:id="rId67">
            <anchor moveWithCells="1" sizeWithCells="1">
              <from>
                <xdr:col>1</xdr:col>
                <xdr:colOff>114300</xdr:colOff>
                <xdr:row>178</xdr:row>
                <xdr:rowOff>28575</xdr:rowOff>
              </from>
              <to>
                <xdr:col>1</xdr:col>
                <xdr:colOff>409575</xdr:colOff>
                <xdr:row>179</xdr:row>
                <xdr:rowOff>66675</xdr:rowOff>
              </to>
            </anchor>
          </objectPr>
        </oleObject>
      </mc:Choice>
      <mc:Fallback>
        <oleObject progId="Equation.3" shapeId="1111" r:id="rId66"/>
      </mc:Fallback>
    </mc:AlternateContent>
    <mc:AlternateContent xmlns:mc="http://schemas.openxmlformats.org/markup-compatibility/2006">
      <mc:Choice Requires="x14">
        <oleObject progId="Equation.3" shapeId="1112" r:id="rId68">
          <objectPr defaultSize="0" autoPict="0" r:id="rId69">
            <anchor moveWithCells="1" sizeWithCells="1">
              <from>
                <xdr:col>1</xdr:col>
                <xdr:colOff>123825</xdr:colOff>
                <xdr:row>179</xdr:row>
                <xdr:rowOff>28575</xdr:rowOff>
              </from>
              <to>
                <xdr:col>1</xdr:col>
                <xdr:colOff>419100</xdr:colOff>
                <xdr:row>180</xdr:row>
                <xdr:rowOff>19050</xdr:rowOff>
              </to>
            </anchor>
          </objectPr>
        </oleObject>
      </mc:Choice>
      <mc:Fallback>
        <oleObject progId="Equation.3" shapeId="1112" r:id="rId68"/>
      </mc:Fallback>
    </mc:AlternateContent>
    <mc:AlternateContent xmlns:mc="http://schemas.openxmlformats.org/markup-compatibility/2006">
      <mc:Choice Requires="x14">
        <oleObject progId="Equation.3" shapeId="1113" r:id="rId70">
          <objectPr defaultSize="0" autoPict="0" r:id="rId20">
            <anchor moveWithCells="1" sizeWithCells="1">
              <from>
                <xdr:col>1</xdr:col>
                <xdr:colOff>161925</xdr:colOff>
                <xdr:row>179</xdr:row>
                <xdr:rowOff>266700</xdr:rowOff>
              </from>
              <to>
                <xdr:col>1</xdr:col>
                <xdr:colOff>323850</xdr:colOff>
                <xdr:row>181</xdr:row>
                <xdr:rowOff>19050</xdr:rowOff>
              </to>
            </anchor>
          </objectPr>
        </oleObject>
      </mc:Choice>
      <mc:Fallback>
        <oleObject progId="Equation.3" shapeId="1113" r:id="rId70"/>
      </mc:Fallback>
    </mc:AlternateContent>
    <mc:AlternateContent xmlns:mc="http://schemas.openxmlformats.org/markup-compatibility/2006">
      <mc:Choice Requires="x14">
        <oleObject progId="Equation.3" shapeId="1114" r:id="rId71">
          <objectPr defaultSize="0" autoPict="0" r:id="rId22">
            <anchor moveWithCells="1" sizeWithCells="1">
              <from>
                <xdr:col>1</xdr:col>
                <xdr:colOff>152400</xdr:colOff>
                <xdr:row>181</xdr:row>
                <xdr:rowOff>0</xdr:rowOff>
              </from>
              <to>
                <xdr:col>1</xdr:col>
                <xdr:colOff>323850</xdr:colOff>
                <xdr:row>182</xdr:row>
                <xdr:rowOff>47625</xdr:rowOff>
              </to>
            </anchor>
          </objectPr>
        </oleObject>
      </mc:Choice>
      <mc:Fallback>
        <oleObject progId="Equation.3" shapeId="1114" r:id="rId71"/>
      </mc:Fallback>
    </mc:AlternateContent>
    <mc:AlternateContent xmlns:mc="http://schemas.openxmlformats.org/markup-compatibility/2006">
      <mc:Choice Requires="x14">
        <oleObject progId="Equation.3" shapeId="1115" r:id="rId72">
          <objectPr defaultSize="0" autoPict="0" r:id="rId73">
            <anchor moveWithCells="1" sizeWithCells="1">
              <from>
                <xdr:col>1</xdr:col>
                <xdr:colOff>66675</xdr:colOff>
                <xdr:row>183</xdr:row>
                <xdr:rowOff>9525</xdr:rowOff>
              </from>
              <to>
                <xdr:col>1</xdr:col>
                <xdr:colOff>409575</xdr:colOff>
                <xdr:row>183</xdr:row>
                <xdr:rowOff>276225</xdr:rowOff>
              </to>
            </anchor>
          </objectPr>
        </oleObject>
      </mc:Choice>
      <mc:Fallback>
        <oleObject progId="Equation.3" shapeId="1115" r:id="rId72"/>
      </mc:Fallback>
    </mc:AlternateContent>
    <mc:AlternateContent xmlns:mc="http://schemas.openxmlformats.org/markup-compatibility/2006">
      <mc:Choice Requires="x14">
        <oleObject progId="Equation.3" shapeId="1116" r:id="rId74">
          <objectPr defaultSize="0" autoPict="0" r:id="rId30">
            <anchor moveWithCells="1" sizeWithCells="1">
              <from>
                <xdr:col>1</xdr:col>
                <xdr:colOff>0</xdr:colOff>
                <xdr:row>184</xdr:row>
                <xdr:rowOff>38100</xdr:rowOff>
              </from>
              <to>
                <xdr:col>1</xdr:col>
                <xdr:colOff>438150</xdr:colOff>
                <xdr:row>185</xdr:row>
                <xdr:rowOff>47625</xdr:rowOff>
              </to>
            </anchor>
          </objectPr>
        </oleObject>
      </mc:Choice>
      <mc:Fallback>
        <oleObject progId="Equation.3" shapeId="1116" r:id="rId74"/>
      </mc:Fallback>
    </mc:AlternateContent>
    <mc:AlternateContent xmlns:mc="http://schemas.openxmlformats.org/markup-compatibility/2006">
      <mc:Choice Requires="x14">
        <oleObject progId="Equation.3" shapeId="1117" r:id="rId75">
          <objectPr defaultSize="0" autoPict="0" r:id="rId55">
            <anchor moveWithCells="1" sizeWithCells="1">
              <from>
                <xdr:col>1</xdr:col>
                <xdr:colOff>0</xdr:colOff>
                <xdr:row>190</xdr:row>
                <xdr:rowOff>0</xdr:rowOff>
              </from>
              <to>
                <xdr:col>1</xdr:col>
                <xdr:colOff>257175</xdr:colOff>
                <xdr:row>191</xdr:row>
                <xdr:rowOff>76200</xdr:rowOff>
              </to>
            </anchor>
          </objectPr>
        </oleObject>
      </mc:Choice>
      <mc:Fallback>
        <oleObject progId="Equation.3" shapeId="1117" r:id="rId75"/>
      </mc:Fallback>
    </mc:AlternateContent>
    <mc:AlternateContent xmlns:mc="http://schemas.openxmlformats.org/markup-compatibility/2006">
      <mc:Choice Requires="x14">
        <oleObject progId="Equation.3" shapeId="1118" r:id="rId76">
          <objectPr defaultSize="0" autoPict="0" r:id="rId77">
            <anchor moveWithCells="1" sizeWithCells="1">
              <from>
                <xdr:col>1</xdr:col>
                <xdr:colOff>0</xdr:colOff>
                <xdr:row>199</xdr:row>
                <xdr:rowOff>0</xdr:rowOff>
              </from>
              <to>
                <xdr:col>5</xdr:col>
                <xdr:colOff>295275</xdr:colOff>
                <xdr:row>200</xdr:row>
                <xdr:rowOff>76200</xdr:rowOff>
              </to>
            </anchor>
          </objectPr>
        </oleObject>
      </mc:Choice>
      <mc:Fallback>
        <oleObject progId="Equation.3" shapeId="1118" r:id="rId76"/>
      </mc:Fallback>
    </mc:AlternateContent>
    <mc:AlternateContent xmlns:mc="http://schemas.openxmlformats.org/markup-compatibility/2006">
      <mc:Choice Requires="x14">
        <oleObject progId="Equation.3" shapeId="1119" r:id="rId78">
          <objectPr defaultSize="0" autoPict="0" r:id="rId79">
            <anchor moveWithCells="1" sizeWithCells="1">
              <from>
                <xdr:col>1</xdr:col>
                <xdr:colOff>0</xdr:colOff>
                <xdr:row>201</xdr:row>
                <xdr:rowOff>0</xdr:rowOff>
              </from>
              <to>
                <xdr:col>1</xdr:col>
                <xdr:colOff>180975</xdr:colOff>
                <xdr:row>202</xdr:row>
                <xdr:rowOff>57150</xdr:rowOff>
              </to>
            </anchor>
          </objectPr>
        </oleObject>
      </mc:Choice>
      <mc:Fallback>
        <oleObject progId="Equation.3" shapeId="1119" r:id="rId78"/>
      </mc:Fallback>
    </mc:AlternateContent>
    <mc:AlternateContent xmlns:mc="http://schemas.openxmlformats.org/markup-compatibility/2006">
      <mc:Choice Requires="x14">
        <oleObject progId="Equation.3" shapeId="1120" r:id="rId80">
          <objectPr defaultSize="0" autoPict="0" r:id="rId81">
            <anchor moveWithCells="1" sizeWithCells="1">
              <from>
                <xdr:col>1</xdr:col>
                <xdr:colOff>0</xdr:colOff>
                <xdr:row>202</xdr:row>
                <xdr:rowOff>0</xdr:rowOff>
              </from>
              <to>
                <xdr:col>1</xdr:col>
                <xdr:colOff>257175</xdr:colOff>
                <xdr:row>203</xdr:row>
                <xdr:rowOff>57150</xdr:rowOff>
              </to>
            </anchor>
          </objectPr>
        </oleObject>
      </mc:Choice>
      <mc:Fallback>
        <oleObject progId="Equation.3" shapeId="1120" r:id="rId80"/>
      </mc:Fallback>
    </mc:AlternateContent>
    <mc:AlternateContent xmlns:mc="http://schemas.openxmlformats.org/markup-compatibility/2006">
      <mc:Choice Requires="x14">
        <oleObject progId="Equation.3" shapeId="1121" r:id="rId82">
          <objectPr defaultSize="0" autoPict="0" r:id="rId30">
            <anchor moveWithCells="1" sizeWithCells="1">
              <from>
                <xdr:col>1</xdr:col>
                <xdr:colOff>0</xdr:colOff>
                <xdr:row>203</xdr:row>
                <xdr:rowOff>0</xdr:rowOff>
              </from>
              <to>
                <xdr:col>1</xdr:col>
                <xdr:colOff>466725</xdr:colOff>
                <xdr:row>204</xdr:row>
                <xdr:rowOff>76200</xdr:rowOff>
              </to>
            </anchor>
          </objectPr>
        </oleObject>
      </mc:Choice>
      <mc:Fallback>
        <oleObject progId="Equation.3" shapeId="1121" r:id="rId82"/>
      </mc:Fallback>
    </mc:AlternateContent>
    <mc:AlternateContent xmlns:mc="http://schemas.openxmlformats.org/markup-compatibility/2006">
      <mc:Choice Requires="x14">
        <oleObject progId="Equation.3" shapeId="1122" r:id="rId83">
          <objectPr defaultSize="0" autoPict="0" r:id="rId55">
            <anchor moveWithCells="1" sizeWithCells="1">
              <from>
                <xdr:col>1</xdr:col>
                <xdr:colOff>0</xdr:colOff>
                <xdr:row>209</xdr:row>
                <xdr:rowOff>0</xdr:rowOff>
              </from>
              <to>
                <xdr:col>1</xdr:col>
                <xdr:colOff>257175</xdr:colOff>
                <xdr:row>210</xdr:row>
                <xdr:rowOff>76200</xdr:rowOff>
              </to>
            </anchor>
          </objectPr>
        </oleObject>
      </mc:Choice>
      <mc:Fallback>
        <oleObject progId="Equation.3" shapeId="1122" r:id="rId83"/>
      </mc:Fallback>
    </mc:AlternateContent>
    <mc:AlternateContent xmlns:mc="http://schemas.openxmlformats.org/markup-compatibility/2006">
      <mc:Choice Requires="x14">
        <oleObject progId="Equation.3" shapeId="1123" r:id="rId84">
          <objectPr defaultSize="0" autoPict="0" r:id="rId85">
            <anchor moveWithCells="1" sizeWithCells="1">
              <from>
                <xdr:col>1</xdr:col>
                <xdr:colOff>0</xdr:colOff>
                <xdr:row>210</xdr:row>
                <xdr:rowOff>0</xdr:rowOff>
              </from>
              <to>
                <xdr:col>1</xdr:col>
                <xdr:colOff>171450</xdr:colOff>
                <xdr:row>211</xdr:row>
                <xdr:rowOff>85725</xdr:rowOff>
              </to>
            </anchor>
          </objectPr>
        </oleObject>
      </mc:Choice>
      <mc:Fallback>
        <oleObject progId="Equation.3" shapeId="1123" r:id="rId84"/>
      </mc:Fallback>
    </mc:AlternateContent>
    <mc:AlternateContent xmlns:mc="http://schemas.openxmlformats.org/markup-compatibility/2006">
      <mc:Choice Requires="x14">
        <oleObject progId="Equation.3" shapeId="1124" r:id="rId86">
          <objectPr defaultSize="0" autoPict="0" r:id="rId87">
            <anchor moveWithCells="1" sizeWithCells="1">
              <from>
                <xdr:col>1</xdr:col>
                <xdr:colOff>0</xdr:colOff>
                <xdr:row>211</xdr:row>
                <xdr:rowOff>0</xdr:rowOff>
              </from>
              <to>
                <xdr:col>1</xdr:col>
                <xdr:colOff>171450</xdr:colOff>
                <xdr:row>212</xdr:row>
                <xdr:rowOff>85725</xdr:rowOff>
              </to>
            </anchor>
          </objectPr>
        </oleObject>
      </mc:Choice>
      <mc:Fallback>
        <oleObject progId="Equation.3" shapeId="1124" r:id="rId86"/>
      </mc:Fallback>
    </mc:AlternateContent>
    <mc:AlternateContent xmlns:mc="http://schemas.openxmlformats.org/markup-compatibility/2006">
      <mc:Choice Requires="x14">
        <oleObject progId="Equation.3" shapeId="1125" r:id="rId88">
          <objectPr defaultSize="0" autoPict="0" r:id="rId89">
            <anchor moveWithCells="1" sizeWithCells="1">
              <from>
                <xdr:col>1</xdr:col>
                <xdr:colOff>0</xdr:colOff>
                <xdr:row>18</xdr:row>
                <xdr:rowOff>0</xdr:rowOff>
              </from>
              <to>
                <xdr:col>4</xdr:col>
                <xdr:colOff>371475</xdr:colOff>
                <xdr:row>19</xdr:row>
                <xdr:rowOff>104775</xdr:rowOff>
              </to>
            </anchor>
          </objectPr>
        </oleObject>
      </mc:Choice>
      <mc:Fallback>
        <oleObject progId="Equation.3" shapeId="1125" r:id="rId88"/>
      </mc:Fallback>
    </mc:AlternateContent>
    <mc:AlternateContent xmlns:mc="http://schemas.openxmlformats.org/markup-compatibility/2006">
      <mc:Choice Requires="x14">
        <oleObject progId="Equation.3" shapeId="1126" r:id="rId90">
          <objectPr defaultSize="0" autoPict="0" r:id="rId91">
            <anchor moveWithCells="1" sizeWithCells="1">
              <from>
                <xdr:col>1</xdr:col>
                <xdr:colOff>66675</xdr:colOff>
                <xdr:row>21</xdr:row>
                <xdr:rowOff>47625</xdr:rowOff>
              </from>
              <to>
                <xdr:col>1</xdr:col>
                <xdr:colOff>542925</xdr:colOff>
                <xdr:row>22</xdr:row>
                <xdr:rowOff>28575</xdr:rowOff>
              </to>
            </anchor>
          </objectPr>
        </oleObject>
      </mc:Choice>
      <mc:Fallback>
        <oleObject progId="Equation.3" shapeId="1126" r:id="rId90"/>
      </mc:Fallback>
    </mc:AlternateContent>
    <mc:AlternateContent xmlns:mc="http://schemas.openxmlformats.org/markup-compatibility/2006">
      <mc:Choice Requires="x14">
        <oleObject progId="Equation.3" shapeId="1127" r:id="rId92">
          <objectPr defaultSize="0" autoPict="0" r:id="rId93">
            <anchor moveWithCells="1" sizeWithCells="1">
              <from>
                <xdr:col>1</xdr:col>
                <xdr:colOff>0</xdr:colOff>
                <xdr:row>65</xdr:row>
                <xdr:rowOff>0</xdr:rowOff>
              </from>
              <to>
                <xdr:col>4</xdr:col>
                <xdr:colOff>123825</xdr:colOff>
                <xdr:row>66</xdr:row>
                <xdr:rowOff>104775</xdr:rowOff>
              </to>
            </anchor>
          </objectPr>
        </oleObject>
      </mc:Choice>
      <mc:Fallback>
        <oleObject progId="Equation.3" shapeId="1127" r:id="rId92"/>
      </mc:Fallback>
    </mc:AlternateContent>
    <mc:AlternateContent xmlns:mc="http://schemas.openxmlformats.org/markup-compatibility/2006">
      <mc:Choice Requires="x14">
        <oleObject progId="Equation.3" shapeId="1128" r:id="rId94">
          <objectPr defaultSize="0" autoPict="0" r:id="rId95">
            <anchor moveWithCells="1" sizeWithCells="1">
              <from>
                <xdr:col>1</xdr:col>
                <xdr:colOff>0</xdr:colOff>
                <xdr:row>68</xdr:row>
                <xdr:rowOff>0</xdr:rowOff>
              </from>
              <to>
                <xdr:col>1</xdr:col>
                <xdr:colOff>476250</xdr:colOff>
                <xdr:row>68</xdr:row>
                <xdr:rowOff>161925</xdr:rowOff>
              </to>
            </anchor>
          </objectPr>
        </oleObject>
      </mc:Choice>
      <mc:Fallback>
        <oleObject progId="Equation.3" shapeId="1128" r:id="rId94"/>
      </mc:Fallback>
    </mc:AlternateContent>
    <mc:AlternateContent xmlns:mc="http://schemas.openxmlformats.org/markup-compatibility/2006">
      <mc:Choice Requires="x14">
        <oleObject progId="Equation.3" shapeId="1129" r:id="rId96">
          <objectPr defaultSize="0" autoPict="0" r:id="rId97">
            <anchor moveWithCells="1" sizeWithCells="1">
              <from>
                <xdr:col>3</xdr:col>
                <xdr:colOff>0</xdr:colOff>
                <xdr:row>71</xdr:row>
                <xdr:rowOff>0</xdr:rowOff>
              </from>
              <to>
                <xdr:col>5</xdr:col>
                <xdr:colOff>142875</xdr:colOff>
                <xdr:row>72</xdr:row>
                <xdr:rowOff>57150</xdr:rowOff>
              </to>
            </anchor>
          </objectPr>
        </oleObject>
      </mc:Choice>
      <mc:Fallback>
        <oleObject progId="Equation.3" shapeId="1129" r:id="rId9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S293"/>
  <sheetViews>
    <sheetView showGridLines="0" topLeftCell="A94" zoomScaleNormal="100" workbookViewId="0">
      <selection activeCell="J107" sqref="J107"/>
    </sheetView>
  </sheetViews>
  <sheetFormatPr defaultRowHeight="12.75" x14ac:dyDescent="0.2"/>
  <cols>
    <col min="1" max="1" width="30.28515625" style="395" customWidth="1"/>
    <col min="2" max="2" width="14.28515625" style="395" customWidth="1"/>
    <col min="3" max="3" width="12.85546875" style="395" customWidth="1"/>
    <col min="4" max="8" width="13.5703125" style="395" customWidth="1"/>
    <col min="9" max="9" width="12" style="395" bestFit="1" customWidth="1"/>
    <col min="10" max="10" width="9.7109375" style="395" customWidth="1"/>
    <col min="11" max="11" width="9.140625" style="395"/>
    <col min="12" max="13" width="7.7109375" style="395" customWidth="1"/>
    <col min="14" max="16384" width="9.140625" style="395"/>
  </cols>
  <sheetData>
    <row r="1" spans="1:10" x14ac:dyDescent="0.2">
      <c r="A1" s="394"/>
    </row>
    <row r="2" spans="1:10" x14ac:dyDescent="0.2">
      <c r="A2" s="394"/>
    </row>
    <row r="3" spans="1:10" x14ac:dyDescent="0.2">
      <c r="A3" s="396" t="s">
        <v>68</v>
      </c>
      <c r="C3" s="397" t="str">
        <f>A55</f>
        <v>CitiPower</v>
      </c>
    </row>
    <row r="5" spans="1:10" x14ac:dyDescent="0.2">
      <c r="A5" s="395" t="s">
        <v>69</v>
      </c>
      <c r="C5" s="398">
        <v>2019</v>
      </c>
    </row>
    <row r="7" spans="1:10" x14ac:dyDescent="0.2">
      <c r="A7" s="395" t="s">
        <v>70</v>
      </c>
      <c r="B7" s="395" t="s">
        <v>71</v>
      </c>
      <c r="C7" s="395">
        <f>C5</f>
        <v>2019</v>
      </c>
    </row>
    <row r="8" spans="1:10" x14ac:dyDescent="0.2">
      <c r="A8" s="395" t="s">
        <v>72</v>
      </c>
      <c r="B8" s="395" t="s">
        <v>71</v>
      </c>
      <c r="C8" s="395">
        <f t="shared" ref="C8:C11" si="0">C7-1</f>
        <v>2018</v>
      </c>
    </row>
    <row r="9" spans="1:10" x14ac:dyDescent="0.2">
      <c r="A9" s="395" t="s">
        <v>73</v>
      </c>
      <c r="B9" s="395" t="s">
        <v>71</v>
      </c>
      <c r="C9" s="395">
        <f t="shared" si="0"/>
        <v>2017</v>
      </c>
    </row>
    <row r="10" spans="1:10" x14ac:dyDescent="0.2">
      <c r="A10" s="395" t="s">
        <v>74</v>
      </c>
      <c r="B10" s="395" t="s">
        <v>71</v>
      </c>
      <c r="C10" s="395">
        <f t="shared" si="0"/>
        <v>2016</v>
      </c>
    </row>
    <row r="11" spans="1:10" x14ac:dyDescent="0.2">
      <c r="A11" s="395" t="s">
        <v>127</v>
      </c>
      <c r="B11" s="395" t="s">
        <v>71</v>
      </c>
      <c r="C11" s="395">
        <f t="shared" si="0"/>
        <v>2015</v>
      </c>
    </row>
    <row r="13" spans="1:10" x14ac:dyDescent="0.2">
      <c r="A13" s="395" t="s">
        <v>75</v>
      </c>
    </row>
    <row r="14" spans="1:10" ht="13.5" thickBot="1" x14ac:dyDescent="0.25"/>
    <row r="15" spans="1:10" ht="24" customHeight="1" x14ac:dyDescent="0.2">
      <c r="A15" s="211" t="s">
        <v>76</v>
      </c>
      <c r="B15" s="217" t="s">
        <v>77</v>
      </c>
      <c r="C15" s="217"/>
      <c r="D15" s="217"/>
      <c r="E15" s="217"/>
      <c r="F15" s="217"/>
      <c r="G15" s="212"/>
    </row>
    <row r="16" spans="1:10" x14ac:dyDescent="0.2">
      <c r="A16" s="399" t="s">
        <v>78</v>
      </c>
      <c r="B16" s="400"/>
      <c r="C16" s="401">
        <v>99.8</v>
      </c>
      <c r="D16" s="218"/>
      <c r="G16" s="214"/>
      <c r="J16" s="402"/>
    </row>
    <row r="17" spans="1:10" x14ac:dyDescent="0.2">
      <c r="A17" s="403" t="s">
        <v>79</v>
      </c>
      <c r="B17" s="218"/>
      <c r="C17" s="404">
        <v>101.8</v>
      </c>
      <c r="E17" s="405" t="s">
        <v>174</v>
      </c>
      <c r="F17" s="406">
        <f>C17/C16-1</f>
        <v>2.0040080160320661E-2</v>
      </c>
      <c r="G17" s="214"/>
      <c r="J17" s="149"/>
    </row>
    <row r="18" spans="1:10" x14ac:dyDescent="0.2">
      <c r="A18" s="403" t="s">
        <v>80</v>
      </c>
      <c r="B18" s="218"/>
      <c r="C18" s="407">
        <v>104</v>
      </c>
      <c r="E18" s="408" t="s">
        <v>175</v>
      </c>
      <c r="F18" s="409">
        <f>C18/C17-1</f>
        <v>2.16110019646365E-2</v>
      </c>
      <c r="G18" s="214"/>
      <c r="J18" s="402"/>
    </row>
    <row r="19" spans="1:10" x14ac:dyDescent="0.2">
      <c r="A19" s="403" t="s">
        <v>81</v>
      </c>
      <c r="B19" s="410"/>
      <c r="C19" s="407">
        <v>106.4</v>
      </c>
      <c r="E19" s="408" t="s">
        <v>176</v>
      </c>
      <c r="F19" s="409">
        <f>C19/C18-1</f>
        <v>2.3076923076923217E-2</v>
      </c>
      <c r="G19" s="214"/>
    </row>
    <row r="20" spans="1:10" x14ac:dyDescent="0.2">
      <c r="A20" s="403" t="s">
        <v>101</v>
      </c>
      <c r="B20" s="410"/>
      <c r="C20" s="407">
        <v>108</v>
      </c>
      <c r="E20" s="408" t="s">
        <v>177</v>
      </c>
      <c r="F20" s="409">
        <f>C20/C19-1</f>
        <v>1.5037593984962294E-2</v>
      </c>
      <c r="G20" s="214"/>
    </row>
    <row r="21" spans="1:10" x14ac:dyDescent="0.2">
      <c r="A21" s="403" t="s">
        <v>173</v>
      </c>
      <c r="B21" s="410"/>
      <c r="C21" s="411">
        <v>107.5</v>
      </c>
      <c r="E21" s="408"/>
      <c r="F21" s="412"/>
      <c r="G21" s="214"/>
    </row>
    <row r="22" spans="1:10" x14ac:dyDescent="0.2">
      <c r="A22" s="403" t="s">
        <v>172</v>
      </c>
      <c r="B22" s="410"/>
      <c r="C22" s="407">
        <v>108.6</v>
      </c>
      <c r="E22" s="408" t="s">
        <v>178</v>
      </c>
      <c r="F22" s="409">
        <f>IF(OR(C21="",C22=""),0,C22/C21-1)</f>
        <v>1.0232558139534831E-2</v>
      </c>
      <c r="G22" s="214"/>
    </row>
    <row r="23" spans="1:10" x14ac:dyDescent="0.2">
      <c r="A23" s="403" t="s">
        <v>171</v>
      </c>
      <c r="B23" s="410"/>
      <c r="C23" s="407">
        <v>110.7</v>
      </c>
      <c r="E23" s="408" t="s">
        <v>179</v>
      </c>
      <c r="F23" s="409">
        <f t="shared" ref="F23:F25" si="1">IF(OR(C22="",C23=""),0,C23/C22-1)</f>
        <v>1.9337016574585641E-2</v>
      </c>
      <c r="G23" s="214"/>
    </row>
    <row r="24" spans="1:10" x14ac:dyDescent="0.2">
      <c r="A24" s="403" t="s">
        <v>170</v>
      </c>
      <c r="B24" s="410"/>
      <c r="C24" s="407">
        <v>113</v>
      </c>
      <c r="E24" s="408" t="s">
        <v>180</v>
      </c>
      <c r="F24" s="409">
        <f t="shared" si="1"/>
        <v>2.0776874435411097E-2</v>
      </c>
      <c r="G24" s="214"/>
    </row>
    <row r="25" spans="1:10" x14ac:dyDescent="0.2">
      <c r="A25" s="413" t="s">
        <v>169</v>
      </c>
      <c r="B25" s="414"/>
      <c r="C25" s="407"/>
      <c r="E25" s="415" t="s">
        <v>181</v>
      </c>
      <c r="F25" s="416">
        <f t="shared" si="1"/>
        <v>0</v>
      </c>
      <c r="G25" s="214"/>
    </row>
    <row r="26" spans="1:10" x14ac:dyDescent="0.2">
      <c r="A26" s="213"/>
      <c r="B26" s="218"/>
      <c r="C26" s="417"/>
      <c r="D26" s="218"/>
      <c r="G26" s="214"/>
    </row>
    <row r="27" spans="1:10" x14ac:dyDescent="0.2">
      <c r="A27" s="213"/>
      <c r="B27" s="218"/>
      <c r="C27" s="417"/>
      <c r="D27" s="218"/>
      <c r="G27" s="214"/>
    </row>
    <row r="28" spans="1:10" x14ac:dyDescent="0.2">
      <c r="A28" s="213" t="str">
        <f>"CPI " &amp;$C$9</f>
        <v>CPI 2017</v>
      </c>
      <c r="B28" s="218"/>
      <c r="C28" s="418">
        <f>VLOOKUP(A28,E$17:F$25,2,FALSE)</f>
        <v>1.0232558139534831E-2</v>
      </c>
      <c r="D28" s="440" t="s">
        <v>329</v>
      </c>
      <c r="G28" s="214"/>
    </row>
    <row r="29" spans="1:10" x14ac:dyDescent="0.2">
      <c r="A29" s="213" t="str">
        <f>"CPI " &amp;$C$8</f>
        <v>CPI 2018</v>
      </c>
      <c r="B29" s="218"/>
      <c r="C29" s="418">
        <f t="shared" ref="C29:C30" si="2">VLOOKUP(A29,E$17:F$25,2,FALSE)</f>
        <v>1.9337016574585641E-2</v>
      </c>
      <c r="D29" s="440" t="s">
        <v>328</v>
      </c>
      <c r="G29" s="214"/>
    </row>
    <row r="30" spans="1:10" x14ac:dyDescent="0.2">
      <c r="A30" s="213" t="str">
        <f>"CPI " &amp;$C$5</f>
        <v>CPI 2019</v>
      </c>
      <c r="B30" s="218"/>
      <c r="C30" s="418">
        <f t="shared" si="2"/>
        <v>2.0776874435411097E-2</v>
      </c>
      <c r="D30" s="541" t="s">
        <v>357</v>
      </c>
      <c r="G30" s="214"/>
    </row>
    <row r="31" spans="1:10" ht="13.5" thickBot="1" x14ac:dyDescent="0.25">
      <c r="A31" s="215"/>
      <c r="B31" s="221"/>
      <c r="C31" s="221"/>
      <c r="D31" s="221"/>
      <c r="E31" s="221"/>
      <c r="F31" s="221"/>
      <c r="G31" s="216"/>
    </row>
    <row r="35" spans="1:8" x14ac:dyDescent="0.2">
      <c r="A35" s="419" t="s">
        <v>363</v>
      </c>
      <c r="B35" s="420"/>
      <c r="C35" s="402"/>
      <c r="D35" s="421"/>
      <c r="E35" s="421"/>
      <c r="F35" s="421"/>
      <c r="G35" s="422"/>
      <c r="H35" s="421"/>
    </row>
    <row r="36" spans="1:8" x14ac:dyDescent="0.2">
      <c r="A36" s="423" t="str">
        <f>"rvw for "&amp;C$5</f>
        <v>rvw for 2019</v>
      </c>
      <c r="B36" s="424"/>
      <c r="C36" s="194"/>
      <c r="D36" s="425" t="s">
        <v>358</v>
      </c>
      <c r="E36" s="425" t="s">
        <v>359</v>
      </c>
      <c r="F36" s="425" t="s">
        <v>360</v>
      </c>
      <c r="G36" s="426" t="s">
        <v>361</v>
      </c>
      <c r="H36" s="425" t="s">
        <v>362</v>
      </c>
    </row>
    <row r="37" spans="1:8" x14ac:dyDescent="0.2">
      <c r="A37" s="427" t="str">
        <f>$A$54</f>
        <v>Jemena</v>
      </c>
      <c r="B37" s="428">
        <f>HLOOKUP($A$36,$D$36:$H$41,2,FALSE)</f>
        <v>3.7669116070430331E-2</v>
      </c>
      <c r="C37" s="402"/>
      <c r="D37" s="429">
        <v>3.9328628706946173E-2</v>
      </c>
      <c r="E37" s="671">
        <v>3.8730571453602453E-2</v>
      </c>
      <c r="F37" s="432">
        <v>3.8214665412155749E-2</v>
      </c>
      <c r="G37" s="431">
        <v>3.7669116070430331E-2</v>
      </c>
      <c r="H37" s="432">
        <v>3.7669116070430331E-2</v>
      </c>
    </row>
    <row r="38" spans="1:8" x14ac:dyDescent="0.2">
      <c r="A38" s="427" t="str">
        <f>$A$55</f>
        <v>CitiPower</v>
      </c>
      <c r="B38" s="428">
        <f>HLOOKUP($A$36,$D$36:$H$41,3,FALSE)</f>
        <v>3.5080474747029383E-2</v>
      </c>
      <c r="C38" s="402"/>
      <c r="D38" s="429">
        <v>3.6700024103140591E-2</v>
      </c>
      <c r="E38" s="671">
        <v>3.6127568814887212E-2</v>
      </c>
      <c r="F38" s="432">
        <v>3.5630478851561828E-2</v>
      </c>
      <c r="G38" s="431">
        <v>3.5080474747029383E-2</v>
      </c>
      <c r="H38" s="432">
        <v>3.5080474747029383E-2</v>
      </c>
    </row>
    <row r="39" spans="1:8" x14ac:dyDescent="0.2">
      <c r="A39" s="427" t="str">
        <f>$A$56</f>
        <v>Powercor</v>
      </c>
      <c r="B39" s="428">
        <f>HLOOKUP($A$36,$D$36:$H$41,4,FALSE)</f>
        <v>3.5080474747029383E-2</v>
      </c>
      <c r="C39" s="402"/>
      <c r="D39" s="429">
        <v>3.6700024103140591E-2</v>
      </c>
      <c r="E39" s="671">
        <v>3.6127568814887212E-2</v>
      </c>
      <c r="F39" s="432">
        <v>3.5630478851561828E-2</v>
      </c>
      <c r="G39" s="431">
        <v>3.5080474747029383E-2</v>
      </c>
      <c r="H39" s="432">
        <v>3.5080474747029383E-2</v>
      </c>
    </row>
    <row r="40" spans="1:8" x14ac:dyDescent="0.2">
      <c r="A40" s="427" t="str">
        <f>$A$57</f>
        <v>AusNet Services</v>
      </c>
      <c r="B40" s="428">
        <f>HLOOKUP($A$36,$D$36:$H$41,5,FALSE)</f>
        <v>3.7427334064515393E-2</v>
      </c>
      <c r="C40" s="402"/>
      <c r="D40" s="429">
        <v>3.8716794887975373E-2</v>
      </c>
      <c r="E40" s="671">
        <v>3.8262336193053012E-2</v>
      </c>
      <c r="F40" s="432">
        <v>3.8013284689562575E-2</v>
      </c>
      <c r="G40" s="431">
        <v>3.7427334064515393E-2</v>
      </c>
      <c r="H40" s="432">
        <v>3.7427334064515393E-2</v>
      </c>
    </row>
    <row r="41" spans="1:8" x14ac:dyDescent="0.2">
      <c r="A41" s="427" t="str">
        <f>$A$58</f>
        <v>United Energy</v>
      </c>
      <c r="B41" s="428">
        <f>HLOOKUP($A$36,$D$36:$H$41,6,FALSE)</f>
        <v>3.7516149645275165E-2</v>
      </c>
      <c r="C41" s="402"/>
      <c r="D41" s="429">
        <v>3.9330190400643471E-2</v>
      </c>
      <c r="E41" s="671">
        <v>3.869503168791262E-2</v>
      </c>
      <c r="F41" s="432">
        <v>3.8123822021083775E-2</v>
      </c>
      <c r="G41" s="431">
        <v>3.7516149645275165E-2</v>
      </c>
      <c r="H41" s="432">
        <v>3.7516149645275165E-2</v>
      </c>
    </row>
    <row r="42" spans="1:8" x14ac:dyDescent="0.2">
      <c r="A42" s="427"/>
      <c r="B42" s="428"/>
      <c r="C42" s="402"/>
      <c r="D42" s="429"/>
      <c r="E42" s="430"/>
      <c r="F42" s="429"/>
      <c r="G42" s="430"/>
      <c r="H42" s="429"/>
    </row>
    <row r="43" spans="1:8" ht="13.5" thickBot="1" x14ac:dyDescent="0.25">
      <c r="A43" s="433" t="str">
        <f>"rvw (t) "&amp;C$5</f>
        <v>rvw (t) 2019</v>
      </c>
      <c r="B43" s="434">
        <f>VLOOKUP(C$3,A37:B41,2,FALSE)</f>
        <v>3.5080474747029383E-2</v>
      </c>
      <c r="C43" s="541" t="s">
        <v>357</v>
      </c>
      <c r="D43" s="435">
        <f>VLOOKUP($C$3,$A$37:$H$41,4,FALSE)</f>
        <v>3.6700024103140591E-2</v>
      </c>
      <c r="E43" s="436">
        <f>VLOOKUP($C$3,$A37:$H$41,5,FALSE)</f>
        <v>3.6127568814887212E-2</v>
      </c>
      <c r="F43" s="435">
        <f>VLOOKUP($C$3,$A$37:$H$41,6,FALSE)</f>
        <v>3.5630478851561828E-2</v>
      </c>
      <c r="G43" s="436">
        <f>VLOOKUP($C$3,$A$37:$H$41,7,FALSE)</f>
        <v>3.5080474747029383E-2</v>
      </c>
      <c r="H43" s="435">
        <f>VLOOKUP($C$3,$A$37:$H$41,8,FALSE)</f>
        <v>3.5080474747029383E-2</v>
      </c>
    </row>
    <row r="44" spans="1:8" x14ac:dyDescent="0.2">
      <c r="B44" s="437"/>
    </row>
    <row r="45" spans="1:8" x14ac:dyDescent="0.2">
      <c r="A45" s="438" t="str">
        <f>"rvw for "&amp;C$5-1</f>
        <v>rvw for 2018</v>
      </c>
      <c r="B45" s="439">
        <f>IF(C$5=2016,F$184,HLOOKUP($A45,D$36:H$43,8,FALSE))</f>
        <v>3.5630478851561828E-2</v>
      </c>
      <c r="C45" s="440" t="s">
        <v>328</v>
      </c>
    </row>
    <row r="46" spans="1:8" x14ac:dyDescent="0.2">
      <c r="A46" s="427"/>
      <c r="B46" s="441"/>
    </row>
    <row r="47" spans="1:8" ht="13.5" thickBot="1" x14ac:dyDescent="0.25">
      <c r="A47" s="442" t="str">
        <f>"rvw for "&amp;C$5-2</f>
        <v>rvw for 2017</v>
      </c>
      <c r="B47" s="443">
        <f>IF(OR(C$5=2016,C$5=2017),F$183,HLOOKUP($A47,D$36:H$43,8,FALSE))</f>
        <v>3.6127568814887212E-2</v>
      </c>
      <c r="C47" s="440" t="s">
        <v>329</v>
      </c>
    </row>
    <row r="52" spans="1:9" ht="13.5" thickBot="1" x14ac:dyDescent="0.25">
      <c r="A52" s="444" t="s">
        <v>305</v>
      </c>
    </row>
    <row r="53" spans="1:9" x14ac:dyDescent="0.2">
      <c r="A53" s="445" t="str">
        <f>"Xt for "&amp;C$5</f>
        <v>Xt for 2019</v>
      </c>
      <c r="B53" s="437"/>
      <c r="D53" s="446" t="s">
        <v>103</v>
      </c>
      <c r="E53" s="447" t="s">
        <v>97</v>
      </c>
      <c r="F53" s="421" t="s">
        <v>98</v>
      </c>
      <c r="G53" s="421" t="s">
        <v>99</v>
      </c>
      <c r="H53" s="447" t="s">
        <v>100</v>
      </c>
    </row>
    <row r="54" spans="1:9" x14ac:dyDescent="0.2">
      <c r="A54" s="427" t="s">
        <v>82</v>
      </c>
      <c r="B54" s="448">
        <f>IF(C$5=2016,"n/a",HLOOKUP($A$53,$E$53:$H$58,2,FALSE))</f>
        <v>-1.1948008629939944E-2</v>
      </c>
      <c r="D54" s="449">
        <v>238498758</v>
      </c>
      <c r="E54" s="672">
        <v>-3.2500000000000001E-2</v>
      </c>
      <c r="F54" s="776">
        <v>2.7000000000000001E-3</v>
      </c>
      <c r="G54" s="432">
        <v>-1.1948008629939944E-2</v>
      </c>
      <c r="H54" s="450">
        <v>-2.3862451569061083E-2</v>
      </c>
    </row>
    <row r="55" spans="1:9" x14ac:dyDescent="0.2">
      <c r="A55" s="567" t="s">
        <v>83</v>
      </c>
      <c r="B55" s="448">
        <f>IF(C$5=2016,"n/a",HLOOKUP($A$53,$E$53:$H$58,3,FALSE))</f>
        <v>-1.2324590345473526E-3</v>
      </c>
      <c r="D55" s="566">
        <v>282881283</v>
      </c>
      <c r="E55" s="672">
        <v>4.0000000000000001E-3</v>
      </c>
      <c r="F55" s="776">
        <v>-5.0000000000000001E-4</v>
      </c>
      <c r="G55" s="432">
        <v>-1.2324590345473526E-3</v>
      </c>
      <c r="H55" s="450">
        <v>-2.9476372686176595E-2</v>
      </c>
    </row>
    <row r="56" spans="1:9" x14ac:dyDescent="0.2">
      <c r="A56" s="427" t="s">
        <v>84</v>
      </c>
      <c r="B56" s="448">
        <f>IF(C$5=2016,"n/a",HLOOKUP($A$53,$E$53:$H$58,4,FALSE))</f>
        <v>-3.0211641246695703E-2</v>
      </c>
      <c r="D56" s="449">
        <v>621773294</v>
      </c>
      <c r="E56" s="672">
        <v>4.6800000000000001E-2</v>
      </c>
      <c r="F56" s="776">
        <v>-8.0999999999999996E-3</v>
      </c>
      <c r="G56" s="432">
        <v>-3.0211641246695703E-2</v>
      </c>
      <c r="H56" s="450">
        <v>-3.390125882779764E-2</v>
      </c>
    </row>
    <row r="57" spans="1:9" x14ac:dyDescent="0.2">
      <c r="A57" s="427" t="s">
        <v>106</v>
      </c>
      <c r="B57" s="448">
        <f>IF(C$5=2016,"n/a",HLOOKUP($A$53,$E$53:$H$58,5,FALSE))</f>
        <v>-3.0132176370631356E-2</v>
      </c>
      <c r="D57" s="449">
        <v>586045137</v>
      </c>
      <c r="E57" s="672">
        <v>3.0000000000000001E-3</v>
      </c>
      <c r="F57" s="776">
        <v>-1.84E-2</v>
      </c>
      <c r="G57" s="432">
        <v>-3.0132176370631356E-2</v>
      </c>
      <c r="H57" s="450">
        <v>-3.0132176370631356E-2</v>
      </c>
      <c r="I57" s="777"/>
    </row>
    <row r="58" spans="1:9" x14ac:dyDescent="0.2">
      <c r="A58" s="427" t="s">
        <v>85</v>
      </c>
      <c r="B58" s="448">
        <f>IF(C$5=2016,"n/a",HLOOKUP($A$53,$E$53:$H$58,6,FALSE))</f>
        <v>-2.6112020009605556E-2</v>
      </c>
      <c r="D58" s="449">
        <v>375069867</v>
      </c>
      <c r="E58" s="672">
        <v>-3.8300000000000001E-2</v>
      </c>
      <c r="F58" s="776">
        <v>-3.1600000000000003E-2</v>
      </c>
      <c r="G58" s="432">
        <v>-2.6112020009605556E-2</v>
      </c>
      <c r="H58" s="450">
        <v>-3.9571175264950659E-3</v>
      </c>
    </row>
    <row r="59" spans="1:9" x14ac:dyDescent="0.2">
      <c r="A59" s="427"/>
      <c r="B59" s="428"/>
      <c r="D59" s="451"/>
      <c r="E59" s="452"/>
      <c r="F59" s="453"/>
      <c r="G59" s="453"/>
      <c r="H59" s="452"/>
    </row>
    <row r="60" spans="1:9" ht="13.5" thickBot="1" x14ac:dyDescent="0.25">
      <c r="A60" s="454" t="str">
        <f>"Xt for"&amp;C$5</f>
        <v>Xt for2019</v>
      </c>
      <c r="B60" s="455">
        <f>VLOOKUP(C$3,A54:B58,2,FALSE)</f>
        <v>-1.2324590345473526E-3</v>
      </c>
      <c r="D60" s="456">
        <f>VLOOKUP($C$3,$A$54:$H$58,4,FALSE)</f>
        <v>282881283</v>
      </c>
      <c r="E60" s="436">
        <f>VLOOKUP($C$3,$A$54:$H$58,5,FALSE)</f>
        <v>4.0000000000000001E-3</v>
      </c>
      <c r="F60" s="435">
        <f>VLOOKUP($C$3,$A$54:$H$58,6,FALSE)</f>
        <v>-5.0000000000000001E-4</v>
      </c>
      <c r="G60" s="436">
        <f>VLOOKUP($C$3,$A$54:$H$58,7,FALSE)</f>
        <v>-1.2324590345473526E-3</v>
      </c>
      <c r="H60" s="435">
        <f>VLOOKUP($C$3,$A$54:$H$58,8,FALSE)</f>
        <v>-2.9476372686176595E-2</v>
      </c>
    </row>
    <row r="64" spans="1:9" ht="13.5" thickBot="1" x14ac:dyDescent="0.25">
      <c r="A64" s="444" t="s">
        <v>306</v>
      </c>
    </row>
    <row r="65" spans="1:8" x14ac:dyDescent="0.2">
      <c r="A65" s="445" t="str">
        <f>"Xt for "&amp;C$5</f>
        <v>Xt for 2019</v>
      </c>
      <c r="B65" s="437"/>
      <c r="D65" s="446" t="s">
        <v>103</v>
      </c>
      <c r="E65" s="447" t="s">
        <v>97</v>
      </c>
      <c r="F65" s="421" t="s">
        <v>98</v>
      </c>
      <c r="G65" s="421" t="s">
        <v>99</v>
      </c>
      <c r="H65" s="447" t="s">
        <v>100</v>
      </c>
    </row>
    <row r="66" spans="1:8" x14ac:dyDescent="0.2">
      <c r="A66" s="427" t="s">
        <v>82</v>
      </c>
      <c r="B66" s="448">
        <f>IF(C$5=2016,"n/a",HLOOKUP($A$65,$E$65:$H$70,2,FALSE))</f>
        <v>-1.1818442457176899E-2</v>
      </c>
      <c r="D66" s="449">
        <v>44212949.016624629</v>
      </c>
      <c r="E66" s="672">
        <v>0.3473</v>
      </c>
      <c r="F66" s="776">
        <v>-1.3599999999999999E-2</v>
      </c>
      <c r="G66" s="432">
        <v>-1.1818442457176899E-2</v>
      </c>
      <c r="H66" s="450">
        <v>-1.4999999999999999E-2</v>
      </c>
    </row>
    <row r="67" spans="1:8" x14ac:dyDescent="0.2">
      <c r="A67" s="427" t="s">
        <v>83</v>
      </c>
      <c r="B67" s="448">
        <f>IF(C$5=2016,"n/a",HLOOKUP($A$65,$E$65:$H$70,3,FALSE))</f>
        <v>7.9367999046920018E-2</v>
      </c>
      <c r="D67" s="449">
        <v>32973195.03847561</v>
      </c>
      <c r="E67" s="672">
        <v>0.14019999999999999</v>
      </c>
      <c r="F67" s="776">
        <v>7.6700000000000004E-2</v>
      </c>
      <c r="G67" s="432">
        <v>7.9367999046920018E-2</v>
      </c>
      <c r="H67" s="450">
        <v>7.4999999999999997E-2</v>
      </c>
    </row>
    <row r="68" spans="1:8" x14ac:dyDescent="0.2">
      <c r="A68" s="427" t="s">
        <v>84</v>
      </c>
      <c r="B68" s="448">
        <f>IF(C$5=2016,"n/a",HLOOKUP($A$65,$E$65:$H$70,4,FALSE))</f>
        <v>8.490086085041551E-2</v>
      </c>
      <c r="D68" s="449">
        <v>79145313.202280506</v>
      </c>
      <c r="E68" s="672">
        <v>0.1096</v>
      </c>
      <c r="F68" s="776">
        <v>8.1900000000000001E-2</v>
      </c>
      <c r="G68" s="432">
        <v>8.490086085041551E-2</v>
      </c>
      <c r="H68" s="450">
        <v>0.08</v>
      </c>
    </row>
    <row r="69" spans="1:8" x14ac:dyDescent="0.2">
      <c r="A69" s="567" t="s">
        <v>106</v>
      </c>
      <c r="B69" s="448">
        <f>IF(C$5=2016,"n/a",HLOOKUP($A$65,$E$65:$H$70,5,FALSE))</f>
        <v>0.16934859267057342</v>
      </c>
      <c r="D69" s="566">
        <v>92754610.443801105</v>
      </c>
      <c r="E69" s="672">
        <v>2.3099999999999999E-2</v>
      </c>
      <c r="F69" s="776">
        <v>0.1658</v>
      </c>
      <c r="G69" s="432">
        <v>0.16934859267057342</v>
      </c>
      <c r="H69" s="450">
        <v>0.16500000000000001</v>
      </c>
    </row>
    <row r="70" spans="1:8" x14ac:dyDescent="0.2">
      <c r="A70" s="427" t="s">
        <v>85</v>
      </c>
      <c r="B70" s="448">
        <f>IF(C$5=2016,"n/a",HLOOKUP($A$65,$E$65:$H$70,6,FALSE))</f>
        <v>5.9542008892518941E-2</v>
      </c>
      <c r="D70" s="449">
        <v>62733316.946996652</v>
      </c>
      <c r="E70" s="672">
        <v>0.30809999999999998</v>
      </c>
      <c r="F70" s="776">
        <v>5.7000000000000002E-2</v>
      </c>
      <c r="G70" s="432">
        <v>5.9542008892518941E-2</v>
      </c>
      <c r="H70" s="450">
        <v>5.5E-2</v>
      </c>
    </row>
    <row r="71" spans="1:8" x14ac:dyDescent="0.2">
      <c r="A71" s="427"/>
      <c r="B71" s="428"/>
      <c r="D71" s="451"/>
      <c r="E71" s="452"/>
      <c r="F71" s="453"/>
      <c r="G71" s="453"/>
      <c r="H71" s="452"/>
    </row>
    <row r="72" spans="1:8" ht="13.5" thickBot="1" x14ac:dyDescent="0.25">
      <c r="A72" s="454" t="str">
        <f>"Xt for"&amp;C$5</f>
        <v>Xt for2019</v>
      </c>
      <c r="B72" s="455">
        <f>VLOOKUP(C$3,A66:B70,2,FALSE)</f>
        <v>7.9367999046920018E-2</v>
      </c>
      <c r="D72" s="456">
        <f>VLOOKUP($C$3,$A$66:$H$70,4,FALSE)</f>
        <v>32973195.03847561</v>
      </c>
      <c r="E72" s="436">
        <f>VLOOKUP($C$3,$A$66:$H$70,5,FALSE)</f>
        <v>0.14019999999999999</v>
      </c>
      <c r="F72" s="435">
        <f>VLOOKUP($C$3,$A$66:$H$70,6,FALSE)</f>
        <v>7.6700000000000004E-2</v>
      </c>
      <c r="G72" s="436">
        <f>VLOOKUP($C$3,$A$66:$H$70,7,FALSE)</f>
        <v>7.9367999046920018E-2</v>
      </c>
      <c r="H72" s="435">
        <f>VLOOKUP($C$3,$A$66:$H$70,8,FALSE)</f>
        <v>7.4999999999999997E-2</v>
      </c>
    </row>
    <row r="76" spans="1:8" x14ac:dyDescent="0.2">
      <c r="A76" s="444" t="s">
        <v>305</v>
      </c>
      <c r="D76" s="457"/>
    </row>
    <row r="77" spans="1:8" x14ac:dyDescent="0.2">
      <c r="A77" s="419" t="s">
        <v>280</v>
      </c>
      <c r="B77" s="420"/>
      <c r="C77" s="402"/>
      <c r="D77" s="421"/>
      <c r="E77" s="421"/>
      <c r="F77" s="421"/>
      <c r="G77" s="422"/>
      <c r="H77" s="421"/>
    </row>
    <row r="78" spans="1:8" x14ac:dyDescent="0.2">
      <c r="A78" s="423" t="str">
        <f>"rptw for "&amp;C$5</f>
        <v>rptw for 2019</v>
      </c>
      <c r="B78" s="424"/>
      <c r="C78" s="194"/>
      <c r="D78" s="425" t="s">
        <v>275</v>
      </c>
      <c r="E78" s="425" t="s">
        <v>276</v>
      </c>
      <c r="F78" s="425" t="s">
        <v>277</v>
      </c>
      <c r="G78" s="426" t="s">
        <v>278</v>
      </c>
      <c r="H78" s="425" t="s">
        <v>279</v>
      </c>
    </row>
    <row r="79" spans="1:8" x14ac:dyDescent="0.2">
      <c r="A79" s="427" t="str">
        <f>$A$54</f>
        <v>Jemena</v>
      </c>
      <c r="B79" s="428">
        <f>HLOOKUP($A$78,$D$78:$H$83,2,FALSE)</f>
        <v>4.5303932925675694E-2</v>
      </c>
      <c r="C79" s="402"/>
      <c r="D79" s="429">
        <v>4.7233747078506916E-2</v>
      </c>
      <c r="E79" s="671">
        <v>4.6635535420744167E-2</v>
      </c>
      <c r="F79" s="778">
        <v>4.6119496184403141E-2</v>
      </c>
      <c r="G79" s="621">
        <v>4.5303932925675694E-2</v>
      </c>
      <c r="H79" s="620"/>
    </row>
    <row r="80" spans="1:8" x14ac:dyDescent="0.2">
      <c r="A80" s="427" t="str">
        <f>$A$55</f>
        <v>CitiPower</v>
      </c>
      <c r="B80" s="428">
        <f>HLOOKUP($A$78,$D$78:$H$83,3,FALSE)</f>
        <v>4.2579429629849841E-2</v>
      </c>
      <c r="C80" s="402"/>
      <c r="D80" s="429">
        <v>4.6963445562191453E-2</v>
      </c>
      <c r="E80" s="671">
        <v>4.6365388308847733E-2</v>
      </c>
      <c r="F80" s="432">
        <v>4.5849482267400932E-2</v>
      </c>
      <c r="G80" s="621">
        <v>4.2579429629849841E-2</v>
      </c>
      <c r="H80" s="620"/>
    </row>
    <row r="81" spans="1:10" x14ac:dyDescent="0.2">
      <c r="A81" s="427" t="str">
        <f>$A$56</f>
        <v>Powercor</v>
      </c>
      <c r="B81" s="428">
        <f>HLOOKUP($A$78,$D$78:$H$83,4,FALSE)</f>
        <v>4.1582008638181511E-2</v>
      </c>
      <c r="C81" s="402"/>
      <c r="D81" s="429">
        <v>4.3470888279073527E-2</v>
      </c>
      <c r="E81" s="671">
        <v>4.2898285196230956E-2</v>
      </c>
      <c r="F81" s="432">
        <v>4.240106689588341E-2</v>
      </c>
      <c r="G81" s="621">
        <v>4.1582008638181511E-2</v>
      </c>
      <c r="H81" s="620"/>
    </row>
    <row r="82" spans="1:10" x14ac:dyDescent="0.2">
      <c r="A82" s="427" t="str">
        <f>$A$57</f>
        <v>AusNet Services</v>
      </c>
      <c r="B82" s="428">
        <f>HLOOKUP($A$78,$D$78:$H$83,5,FALSE)</f>
        <v>4.3779497233430886E-2</v>
      </c>
      <c r="C82" s="402"/>
      <c r="D82" s="429">
        <v>4.5338770460766176E-2</v>
      </c>
      <c r="E82" s="671">
        <v>4.4884194435220071E-2</v>
      </c>
      <c r="F82" s="432">
        <v>4.4635078632446534E-2</v>
      </c>
      <c r="G82" s="779">
        <v>4.3779497233430886E-2</v>
      </c>
      <c r="H82" s="620"/>
    </row>
    <row r="83" spans="1:10" x14ac:dyDescent="0.2">
      <c r="A83" s="427" t="str">
        <f>$A$58</f>
        <v>United Energy</v>
      </c>
      <c r="B83" s="428">
        <f>HLOOKUP($A$78,$D$78:$H$83,6,FALSE)</f>
        <v>4.6107228153634994E-2</v>
      </c>
      <c r="C83" s="402"/>
      <c r="D83" s="429">
        <v>4.8191817712942786E-2</v>
      </c>
      <c r="E83" s="671">
        <v>4.7556495017062606E-2</v>
      </c>
      <c r="F83" s="432">
        <v>4.6985137877234795E-2</v>
      </c>
      <c r="G83" s="621">
        <v>4.6107228153634994E-2</v>
      </c>
      <c r="H83" s="620"/>
    </row>
    <row r="84" spans="1:10" x14ac:dyDescent="0.2">
      <c r="A84" s="427"/>
      <c r="B84" s="428"/>
      <c r="C84" s="402"/>
      <c r="D84" s="429"/>
      <c r="E84" s="430"/>
      <c r="F84" s="429"/>
      <c r="G84" s="430"/>
      <c r="H84" s="429"/>
    </row>
    <row r="85" spans="1:10" ht="13.5" thickBot="1" x14ac:dyDescent="0.25">
      <c r="A85" s="433" t="str">
        <f>"rptw (t) "&amp;C$5</f>
        <v>rptw (t) 2019</v>
      </c>
      <c r="B85" s="434">
        <f>VLOOKUP(C$3,A79:B83,2,FALSE)</f>
        <v>4.2579429629849841E-2</v>
      </c>
      <c r="C85" s="541" t="s">
        <v>357</v>
      </c>
      <c r="D85" s="435">
        <f>VLOOKUP($C$3,$A$79:$H$83,4,FALSE)</f>
        <v>4.6963445562191453E-2</v>
      </c>
      <c r="E85" s="436">
        <f>VLOOKUP($C$3,$A79:$H$83,5,FALSE)</f>
        <v>4.6365388308847733E-2</v>
      </c>
      <c r="F85" s="435">
        <f>VLOOKUP($C$3,$A$79:$H$83,6,FALSE)</f>
        <v>4.5849482267400932E-2</v>
      </c>
      <c r="G85" s="436">
        <f>VLOOKUP($C$3,$A$79:$H$83,7,FALSE)</f>
        <v>4.2579429629849841E-2</v>
      </c>
      <c r="H85" s="435">
        <f>VLOOKUP($C$3,$A$79:$H$83,8,FALSE)</f>
        <v>0</v>
      </c>
    </row>
    <row r="86" spans="1:10" x14ac:dyDescent="0.2">
      <c r="A86" s="458"/>
      <c r="B86" s="437"/>
      <c r="D86" s="457"/>
    </row>
    <row r="87" spans="1:10" x14ac:dyDescent="0.2">
      <c r="A87" s="438" t="str">
        <f>"rptw for "&amp;C$5-1</f>
        <v>rptw for 2018</v>
      </c>
      <c r="B87" s="459">
        <f>IF(C$5=2016,B$183,HLOOKUP($A87,D$78:H$85,8,FALSE))</f>
        <v>4.5849482267400932E-2</v>
      </c>
      <c r="C87" s="440" t="s">
        <v>328</v>
      </c>
      <c r="D87" s="457"/>
    </row>
    <row r="88" spans="1:10" x14ac:dyDescent="0.2">
      <c r="A88" s="427"/>
      <c r="B88" s="441"/>
      <c r="D88" s="457"/>
    </row>
    <row r="89" spans="1:10" ht="13.5" thickBot="1" x14ac:dyDescent="0.25">
      <c r="A89" s="442" t="str">
        <f>"rptw for "&amp;C$5-2</f>
        <v>rptw for 2017</v>
      </c>
      <c r="B89" s="460">
        <f>IF(OR(C$5=2016,C$5=2017),B$183,HLOOKUP($A89,D$78:H$85,8,FALSE))</f>
        <v>4.6365388308847733E-2</v>
      </c>
      <c r="C89" s="440" t="s">
        <v>329</v>
      </c>
      <c r="D89" s="457"/>
    </row>
    <row r="90" spans="1:10" x14ac:dyDescent="0.2">
      <c r="D90" s="457"/>
    </row>
    <row r="91" spans="1:10" x14ac:dyDescent="0.2">
      <c r="D91" s="457"/>
    </row>
    <row r="92" spans="1:10" ht="13.5" thickBot="1" x14ac:dyDescent="0.25">
      <c r="D92" s="457"/>
    </row>
    <row r="93" spans="1:10" x14ac:dyDescent="0.2">
      <c r="A93" s="461" t="s">
        <v>90</v>
      </c>
      <c r="B93" s="462">
        <f>$C$5</f>
        <v>2019</v>
      </c>
      <c r="C93" s="437"/>
      <c r="D93" s="463">
        <v>2016</v>
      </c>
      <c r="E93" s="464">
        <f>+D93+1</f>
        <v>2017</v>
      </c>
      <c r="F93" s="464">
        <f t="shared" ref="F93:H93" si="3">+E93+1</f>
        <v>2018</v>
      </c>
      <c r="G93" s="464">
        <f t="shared" si="3"/>
        <v>2019</v>
      </c>
      <c r="H93" s="464">
        <f t="shared" si="3"/>
        <v>2020</v>
      </c>
      <c r="I93" s="402"/>
      <c r="J93" s="402"/>
    </row>
    <row r="94" spans="1:10" x14ac:dyDescent="0.2">
      <c r="A94" s="427" t="str">
        <f>$A$54</f>
        <v>Jemena</v>
      </c>
      <c r="B94" s="465">
        <f>HLOOKUP($B$93,$D$93:$H$98,2,FALSE)</f>
        <v>117300</v>
      </c>
      <c r="C94" s="466"/>
      <c r="D94" s="467">
        <v>-680000</v>
      </c>
      <c r="E94" s="468">
        <v>70000</v>
      </c>
      <c r="F94" s="468">
        <v>655000</v>
      </c>
      <c r="G94" s="752">
        <v>117300</v>
      </c>
      <c r="H94" s="468"/>
      <c r="I94" s="402"/>
      <c r="J94" s="402"/>
    </row>
    <row r="95" spans="1:10" x14ac:dyDescent="0.2">
      <c r="A95" s="427" t="str">
        <f>$A$55</f>
        <v>CitiPower</v>
      </c>
      <c r="B95" s="465">
        <f>HLOOKUP($B$93,$D$93:$H$98,3,FALSE)</f>
        <v>43200</v>
      </c>
      <c r="C95" s="466"/>
      <c r="D95" s="467">
        <v>-15000</v>
      </c>
      <c r="E95" s="468">
        <v>410000</v>
      </c>
      <c r="F95" s="468">
        <v>140000</v>
      </c>
      <c r="G95" s="752">
        <v>43200</v>
      </c>
      <c r="H95" s="468"/>
      <c r="I95" s="402"/>
      <c r="J95" s="402"/>
    </row>
    <row r="96" spans="1:10" x14ac:dyDescent="0.2">
      <c r="A96" s="427" t="str">
        <f>$A$56</f>
        <v>Powercor</v>
      </c>
      <c r="B96" s="465">
        <f>HLOOKUP($B$93,$D$93:$H$98,4,FALSE)</f>
        <v>4639200</v>
      </c>
      <c r="C96" s="466"/>
      <c r="D96" s="467">
        <v>-1530000</v>
      </c>
      <c r="E96" s="468">
        <v>1420000</v>
      </c>
      <c r="F96" s="468">
        <v>1755000</v>
      </c>
      <c r="G96" s="752">
        <v>4639200</v>
      </c>
      <c r="H96" s="468"/>
      <c r="I96" s="402"/>
      <c r="J96" s="402"/>
    </row>
    <row r="97" spans="1:11" x14ac:dyDescent="0.2">
      <c r="A97" s="427" t="str">
        <f>$A$57</f>
        <v>AusNet Services</v>
      </c>
      <c r="B97" s="465">
        <f>HLOOKUP($B$93,$D$93:$H$98,5,FALSE)</f>
        <v>1485000</v>
      </c>
      <c r="C97" s="466"/>
      <c r="D97" s="467">
        <v>1870000</v>
      </c>
      <c r="E97" s="468">
        <v>3420000</v>
      </c>
      <c r="F97" s="468">
        <v>750000</v>
      </c>
      <c r="G97" s="752">
        <v>1485000</v>
      </c>
      <c r="H97" s="468"/>
      <c r="I97" s="402"/>
      <c r="J97" s="402"/>
    </row>
    <row r="98" spans="1:11" x14ac:dyDescent="0.2">
      <c r="A98" s="427" t="str">
        <f>$A$58</f>
        <v>United Energy</v>
      </c>
      <c r="B98" s="465">
        <f>HLOOKUP($B$93,$D$93:$H$98,6,FALSE)</f>
        <v>224400</v>
      </c>
      <c r="C98" s="466"/>
      <c r="D98" s="467">
        <v>-2245000</v>
      </c>
      <c r="E98" s="468">
        <v>555000</v>
      </c>
      <c r="F98" s="468">
        <v>1000000</v>
      </c>
      <c r="G98" s="752">
        <v>224400</v>
      </c>
      <c r="H98" s="468"/>
      <c r="I98" s="402"/>
      <c r="J98" s="402"/>
    </row>
    <row r="99" spans="1:11" x14ac:dyDescent="0.2">
      <c r="A99" s="427"/>
      <c r="B99" s="402"/>
      <c r="C99" s="466"/>
      <c r="D99" s="469"/>
      <c r="E99" s="428"/>
      <c r="F99" s="428"/>
      <c r="G99" s="428"/>
      <c r="H99" s="428"/>
      <c r="I99" s="402"/>
      <c r="J99" s="402"/>
    </row>
    <row r="100" spans="1:11" ht="13.5" thickBot="1" x14ac:dyDescent="0.25">
      <c r="A100" s="433" t="str">
        <f>"Ifactor (t) "&amp;C$5</f>
        <v>Ifactor (t) 2019</v>
      </c>
      <c r="B100" s="470">
        <f>VLOOKUP(C$3,A94:B98,2,FALSE)</f>
        <v>43200</v>
      </c>
      <c r="C100" s="471"/>
      <c r="D100" s="472">
        <f>VLOOKUP($C$3,$A$94:$H$98,4,FALSE)</f>
        <v>-15000</v>
      </c>
      <c r="E100" s="473">
        <f>VLOOKUP($C$3,$A$94:$H$98,5,FALSE)</f>
        <v>410000</v>
      </c>
      <c r="F100" s="473">
        <f>VLOOKUP($C$3,$A$94:$H$98,6,FALSE)</f>
        <v>140000</v>
      </c>
      <c r="G100" s="473">
        <f>VLOOKUP($C$3,$A$94:$H$98,7,FALSE)</f>
        <v>43200</v>
      </c>
      <c r="H100" s="473">
        <f>VLOOKUP($C$3,$A$94:$H$98,8,FALSE)</f>
        <v>0</v>
      </c>
      <c r="I100" s="402"/>
      <c r="J100" s="402"/>
    </row>
    <row r="101" spans="1:11" x14ac:dyDescent="0.2">
      <c r="D101" s="457"/>
    </row>
    <row r="102" spans="1:11" x14ac:dyDescent="0.2">
      <c r="D102" s="457"/>
    </row>
    <row r="103" spans="1:11" ht="13.5" thickBot="1" x14ac:dyDescent="0.25">
      <c r="D103" s="457"/>
    </row>
    <row r="104" spans="1:11" x14ac:dyDescent="0.2">
      <c r="A104" s="461" t="s">
        <v>373</v>
      </c>
      <c r="B104" s="462">
        <f>$C$5</f>
        <v>2019</v>
      </c>
      <c r="C104" s="437"/>
      <c r="D104" s="463">
        <v>2016</v>
      </c>
      <c r="E104" s="464">
        <f>+D104+1</f>
        <v>2017</v>
      </c>
      <c r="F104" s="464">
        <f t="shared" ref="F104:H104" si="4">+E104+1</f>
        <v>2018</v>
      </c>
      <c r="G104" s="464">
        <f t="shared" si="4"/>
        <v>2019</v>
      </c>
      <c r="H104" s="464">
        <f t="shared" si="4"/>
        <v>2020</v>
      </c>
      <c r="I104" s="402"/>
      <c r="J104" s="402"/>
    </row>
    <row r="105" spans="1:11" x14ac:dyDescent="0.2">
      <c r="A105" s="427" t="str">
        <f>$A$54</f>
        <v>Jemena</v>
      </c>
      <c r="B105" s="568">
        <f>HLOOKUP($B$104,$D$104:$H$109,2,FALSE)</f>
        <v>6.9506796510601099E-3</v>
      </c>
      <c r="C105" s="466"/>
      <c r="D105" s="569">
        <v>3.997406405685925E-2</v>
      </c>
      <c r="E105" s="570">
        <v>1.4883104689629834E-2</v>
      </c>
      <c r="F105" s="570">
        <v>-3.9711537226499671E-2</v>
      </c>
      <c r="G105" s="753">
        <v>6.9506796510601099E-3</v>
      </c>
      <c r="H105" s="570"/>
      <c r="I105" s="402"/>
      <c r="J105" s="571"/>
      <c r="K105" s="724"/>
    </row>
    <row r="106" spans="1:11" x14ac:dyDescent="0.2">
      <c r="A106" s="427" t="str">
        <f>$A$55</f>
        <v>CitiPower</v>
      </c>
      <c r="B106" s="568">
        <f>HLOOKUP($B$104,$D$104:$H$109,3,FALSE)</f>
        <v>-9.6087080522934132E-3</v>
      </c>
      <c r="C106" s="466"/>
      <c r="D106" s="569">
        <v>-1.2687890034873129E-2</v>
      </c>
      <c r="E106" s="570">
        <v>4.0321456836540648E-3</v>
      </c>
      <c r="F106" s="570">
        <v>1.8570526636221274E-2</v>
      </c>
      <c r="G106" s="783">
        <v>-9.6087080522934132E-3</v>
      </c>
      <c r="H106" s="570"/>
      <c r="I106" s="782" t="s">
        <v>765</v>
      </c>
      <c r="J106" s="571"/>
      <c r="K106" s="724"/>
    </row>
    <row r="107" spans="1:11" x14ac:dyDescent="0.2">
      <c r="A107" s="427" t="str">
        <f>$A$56</f>
        <v>Powercor</v>
      </c>
      <c r="B107" s="568">
        <f>HLOOKUP($B$104,$D$104:$H$109,4,FALSE)</f>
        <v>2.5212739324660394E-2</v>
      </c>
      <c r="C107" s="466"/>
      <c r="D107" s="569">
        <v>-1.184910821327374E-2</v>
      </c>
      <c r="E107" s="570">
        <v>5.1006485422781411E-2</v>
      </c>
      <c r="F107" s="570">
        <v>-1.3841682273256106E-2</v>
      </c>
      <c r="G107" s="753">
        <v>2.5212739324660394E-2</v>
      </c>
      <c r="H107" s="570"/>
      <c r="J107" s="571"/>
      <c r="K107" s="724"/>
    </row>
    <row r="108" spans="1:11" x14ac:dyDescent="0.2">
      <c r="A108" s="427" t="str">
        <f>$A$57</f>
        <v>AusNet Services</v>
      </c>
      <c r="B108" s="568">
        <f>HLOOKUP($B$104,$D$104:$H$109,5,FALSE)</f>
        <v>3.0147907486967496E-2</v>
      </c>
      <c r="C108" s="466"/>
      <c r="D108" s="569">
        <v>3.3573974889361931E-2</v>
      </c>
      <c r="E108" s="570">
        <v>3.2178765868161374E-2</v>
      </c>
      <c r="F108" s="570">
        <v>-6.3433641222553572E-2</v>
      </c>
      <c r="G108" s="753">
        <v>3.0147907486967496E-2</v>
      </c>
      <c r="H108" s="570"/>
      <c r="I108" s="402"/>
      <c r="J108" s="571"/>
      <c r="K108" s="724"/>
    </row>
    <row r="109" spans="1:11" x14ac:dyDescent="0.2">
      <c r="A109" s="427" t="str">
        <f>$A$58</f>
        <v>United Energy</v>
      </c>
      <c r="B109" s="568">
        <f>HLOOKUP($B$104,$D$104:$H$109,6,FALSE)</f>
        <v>1.6824143991347684E-2</v>
      </c>
      <c r="C109" s="466"/>
      <c r="D109" s="569">
        <v>-2.9478704479005153E-2</v>
      </c>
      <c r="E109" s="570">
        <v>2.8366723271978866E-2</v>
      </c>
      <c r="F109" s="570">
        <v>2.2767038821999375E-2</v>
      </c>
      <c r="G109" s="753">
        <v>1.6824143991347684E-2</v>
      </c>
      <c r="H109" s="570"/>
      <c r="I109" s="402"/>
      <c r="J109" s="571"/>
      <c r="K109" s="724"/>
    </row>
    <row r="110" spans="1:11" x14ac:dyDescent="0.2">
      <c r="A110" s="427"/>
      <c r="B110" s="571"/>
      <c r="C110" s="466"/>
      <c r="D110" s="469"/>
      <c r="E110" s="428"/>
      <c r="F110" s="428"/>
      <c r="G110" s="428"/>
      <c r="H110" s="428"/>
      <c r="I110" s="402"/>
      <c r="J110" s="571"/>
      <c r="K110" s="571"/>
    </row>
    <row r="111" spans="1:11" ht="13.5" thickBot="1" x14ac:dyDescent="0.25">
      <c r="A111" s="433" t="str">
        <f>"S factor (t) "&amp;C$5</f>
        <v>S factor (t) 2019</v>
      </c>
      <c r="B111" s="572">
        <f>VLOOKUP(C$3,A105:B109,2,FALSE)</f>
        <v>-9.6087080522934132E-3</v>
      </c>
      <c r="C111" s="471"/>
      <c r="D111" s="573">
        <f>VLOOKUP($C$3,$A$105:$H$109,4,FALSE)</f>
        <v>-1.2687890034873129E-2</v>
      </c>
      <c r="E111" s="460">
        <f>VLOOKUP($C$3,$A$105:$H$109,5,FALSE)</f>
        <v>4.0321456836540648E-3</v>
      </c>
      <c r="F111" s="460">
        <f>VLOOKUP($C$3,$A$105:$H$109,6,FALSE)</f>
        <v>1.8570526636221274E-2</v>
      </c>
      <c r="G111" s="460">
        <f>VLOOKUP($C$3,$A$105:$H$109,7,FALSE)</f>
        <v>-9.6087080522934132E-3</v>
      </c>
      <c r="H111" s="460">
        <f>VLOOKUP($C$3,$A$105:$H$109,8,FALSE)</f>
        <v>0</v>
      </c>
      <c r="I111" s="402"/>
      <c r="J111" s="571"/>
      <c r="K111" s="571"/>
    </row>
    <row r="112" spans="1:11" x14ac:dyDescent="0.2">
      <c r="D112" s="457"/>
    </row>
    <row r="113" spans="1:8" x14ac:dyDescent="0.2">
      <c r="D113" s="457"/>
    </row>
    <row r="114" spans="1:8" ht="13.5" thickBot="1" x14ac:dyDescent="0.25">
      <c r="D114" s="457"/>
    </row>
    <row r="115" spans="1:8" x14ac:dyDescent="0.2">
      <c r="A115" s="461" t="s">
        <v>330</v>
      </c>
      <c r="B115" s="462">
        <f>$C$5</f>
        <v>2019</v>
      </c>
      <c r="C115" s="437"/>
      <c r="D115" s="463">
        <v>2016</v>
      </c>
      <c r="E115" s="464">
        <f>+D115+1</f>
        <v>2017</v>
      </c>
      <c r="F115" s="464">
        <f t="shared" ref="F115:H115" si="5">+E115+1</f>
        <v>2018</v>
      </c>
      <c r="G115" s="464">
        <f t="shared" si="5"/>
        <v>2019</v>
      </c>
      <c r="H115" s="464">
        <f t="shared" si="5"/>
        <v>2020</v>
      </c>
    </row>
    <row r="116" spans="1:8" x14ac:dyDescent="0.2">
      <c r="A116" s="427" t="str">
        <f>$A$54</f>
        <v>Jemena</v>
      </c>
      <c r="B116" s="465">
        <f>HLOOKUP($B$115,$D$115:$H$120,2,FALSE)</f>
        <v>0</v>
      </c>
      <c r="C116" s="466"/>
      <c r="D116" s="467">
        <v>0</v>
      </c>
      <c r="E116" s="468">
        <v>0</v>
      </c>
      <c r="F116" s="468">
        <v>0</v>
      </c>
      <c r="G116" s="752">
        <v>0</v>
      </c>
      <c r="H116" s="468"/>
    </row>
    <row r="117" spans="1:8" x14ac:dyDescent="0.2">
      <c r="A117" s="427" t="str">
        <f>$A$55</f>
        <v>CitiPower</v>
      </c>
      <c r="B117" s="465">
        <f>HLOOKUP($B$115,$D$115:$H$120,3,FALSE)</f>
        <v>0</v>
      </c>
      <c r="C117" s="466"/>
      <c r="D117" s="467">
        <v>0</v>
      </c>
      <c r="E117" s="468">
        <v>0</v>
      </c>
      <c r="F117" s="468">
        <v>0</v>
      </c>
      <c r="G117" s="752">
        <v>0</v>
      </c>
      <c r="H117" s="468"/>
    </row>
    <row r="118" spans="1:8" x14ac:dyDescent="0.2">
      <c r="A118" s="427" t="str">
        <f>$A$56</f>
        <v>Powercor</v>
      </c>
      <c r="B118" s="465">
        <f>HLOOKUP($B$115,$D$115:$H$120,4,FALSE)</f>
        <v>0</v>
      </c>
      <c r="C118" s="466"/>
      <c r="D118" s="467">
        <v>0</v>
      </c>
      <c r="E118" s="468">
        <v>0</v>
      </c>
      <c r="F118" s="468">
        <v>0</v>
      </c>
      <c r="G118" s="752">
        <v>0</v>
      </c>
      <c r="H118" s="468"/>
    </row>
    <row r="119" spans="1:8" x14ac:dyDescent="0.2">
      <c r="A119" s="567" t="str">
        <f>$A$57</f>
        <v>AusNet Services</v>
      </c>
      <c r="B119" s="465">
        <f>HLOOKUP($B$115,$D$115:$H$120,5,FALSE)</f>
        <v>0</v>
      </c>
      <c r="C119" s="466"/>
      <c r="D119" s="562">
        <f>-(5723000*(1+0.0975))</f>
        <v>-6280992.5</v>
      </c>
      <c r="E119" s="468">
        <v>0</v>
      </c>
      <c r="F119" s="468">
        <v>0</v>
      </c>
      <c r="G119" s="752">
        <v>0</v>
      </c>
      <c r="H119" s="468"/>
    </row>
    <row r="120" spans="1:8" x14ac:dyDescent="0.2">
      <c r="A120" s="427" t="str">
        <f>$A$58</f>
        <v>United Energy</v>
      </c>
      <c r="B120" s="465">
        <f>HLOOKUP($B$115,$D$115:$H$120,6,FALSE)</f>
        <v>0</v>
      </c>
      <c r="C120" s="466"/>
      <c r="D120" s="467">
        <v>0</v>
      </c>
      <c r="E120" s="468">
        <v>0</v>
      </c>
      <c r="F120" s="468">
        <v>0</v>
      </c>
      <c r="G120" s="752">
        <v>0</v>
      </c>
      <c r="H120" s="468"/>
    </row>
    <row r="121" spans="1:8" x14ac:dyDescent="0.2">
      <c r="A121" s="427"/>
      <c r="B121" s="402"/>
      <c r="C121" s="466"/>
      <c r="D121" s="469"/>
      <c r="E121" s="428"/>
      <c r="F121" s="428"/>
      <c r="G121" s="428"/>
      <c r="H121" s="428"/>
    </row>
    <row r="122" spans="1:8" ht="13.5" thickBot="1" x14ac:dyDescent="0.25">
      <c r="A122" s="454" t="str">
        <f>"Pass through amounts (t) "&amp;C$5</f>
        <v>Pass through amounts (t) 2019</v>
      </c>
      <c r="B122" s="470">
        <f>VLOOKUP(C$3,A116:B120,2,FALSE)</f>
        <v>0</v>
      </c>
      <c r="C122" s="471"/>
      <c r="D122" s="472">
        <f>VLOOKUP($C$3,$A$116:$H$120,4,FALSE)</f>
        <v>0</v>
      </c>
      <c r="E122" s="473">
        <f>VLOOKUP($C$3,$A$116:$H$120,5,FALSE)</f>
        <v>0</v>
      </c>
      <c r="F122" s="473">
        <f>VLOOKUP($C$3,$A$116:$H$120,6,FALSE)</f>
        <v>0</v>
      </c>
      <c r="G122" s="473">
        <f>VLOOKUP($C$3,$A$116:$H$120,7,FALSE)</f>
        <v>0</v>
      </c>
      <c r="H122" s="473">
        <f>VLOOKUP($C$3,$A$116:$H$120,8,FALSE)</f>
        <v>0</v>
      </c>
    </row>
    <row r="123" spans="1:8" x14ac:dyDescent="0.2">
      <c r="D123" s="457"/>
    </row>
    <row r="124" spans="1:8" x14ac:dyDescent="0.2">
      <c r="D124" s="457"/>
    </row>
    <row r="125" spans="1:8" ht="13.5" thickBot="1" x14ac:dyDescent="0.25">
      <c r="D125" s="457"/>
    </row>
    <row r="126" spans="1:8" x14ac:dyDescent="0.2">
      <c r="A126" s="461" t="s">
        <v>372</v>
      </c>
      <c r="B126" s="462">
        <f>$C$5</f>
        <v>2019</v>
      </c>
      <c r="C126" s="437"/>
      <c r="D126" s="463">
        <v>2016</v>
      </c>
      <c r="E126" s="464">
        <f>+D126+1</f>
        <v>2017</v>
      </c>
      <c r="F126" s="464">
        <f t="shared" ref="F126:H126" si="6">+E126+1</f>
        <v>2018</v>
      </c>
      <c r="G126" s="464">
        <f t="shared" si="6"/>
        <v>2019</v>
      </c>
      <c r="H126" s="464">
        <f t="shared" si="6"/>
        <v>2020</v>
      </c>
    </row>
    <row r="127" spans="1:8" x14ac:dyDescent="0.2">
      <c r="A127" s="427" t="str">
        <f>$A$54</f>
        <v>Jemena</v>
      </c>
      <c r="B127" s="465">
        <f>HLOOKUP($B$126,$D$126:$H$131,2,FALSE)</f>
        <v>77350</v>
      </c>
      <c r="C127" s="466"/>
      <c r="D127" s="467">
        <v>36033</v>
      </c>
      <c r="E127" s="468">
        <v>39516</v>
      </c>
      <c r="F127" s="468">
        <v>76545</v>
      </c>
      <c r="G127" s="468">
        <v>77350</v>
      </c>
      <c r="H127" s="468"/>
    </row>
    <row r="128" spans="1:8" x14ac:dyDescent="0.2">
      <c r="A128" s="427" t="str">
        <f>$A$55</f>
        <v>CitiPower</v>
      </c>
      <c r="B128" s="465">
        <f>HLOOKUP($B$126,$D$126:$H$131,3,FALSE)</f>
        <v>78912</v>
      </c>
      <c r="C128" s="466"/>
      <c r="D128" s="467">
        <v>36475</v>
      </c>
      <c r="E128" s="468">
        <v>40445</v>
      </c>
      <c r="F128" s="468">
        <v>78091</v>
      </c>
      <c r="G128" s="468">
        <v>78912</v>
      </c>
      <c r="H128" s="468"/>
    </row>
    <row r="129" spans="1:8" x14ac:dyDescent="0.2">
      <c r="A129" s="427" t="str">
        <f>$A$56</f>
        <v>Powercor</v>
      </c>
      <c r="B129" s="465">
        <f>HLOOKUP($B$126,$D$126:$H$131,4,FALSE)</f>
        <v>187026</v>
      </c>
      <c r="C129" s="466"/>
      <c r="D129" s="467">
        <v>85205</v>
      </c>
      <c r="E129" s="468">
        <v>94964</v>
      </c>
      <c r="F129" s="468">
        <v>185081</v>
      </c>
      <c r="G129" s="468">
        <v>187026</v>
      </c>
      <c r="H129" s="468"/>
    </row>
    <row r="130" spans="1:8" x14ac:dyDescent="0.2">
      <c r="A130" s="567" t="str">
        <f>$A$57</f>
        <v>AusNet Services</v>
      </c>
      <c r="B130" s="465">
        <f>HLOOKUP($B$126,$D$126:$H$131,5,FALSE)</f>
        <v>170003</v>
      </c>
      <c r="C130" s="466"/>
      <c r="D130" s="562">
        <v>74811</v>
      </c>
      <c r="E130" s="468">
        <v>85031</v>
      </c>
      <c r="F130" s="468">
        <v>168235</v>
      </c>
      <c r="G130" s="468">
        <v>170003</v>
      </c>
      <c r="H130" s="468"/>
    </row>
    <row r="131" spans="1:8" x14ac:dyDescent="0.2">
      <c r="A131" s="427" t="str">
        <f>$A$58</f>
        <v>United Energy</v>
      </c>
      <c r="B131" s="465">
        <f>HLOOKUP($B$126,$D$126:$H$131,6,FALSE)</f>
        <v>159925</v>
      </c>
      <c r="C131" s="466"/>
      <c r="D131" s="467">
        <v>74197</v>
      </c>
      <c r="E131" s="468">
        <v>81712</v>
      </c>
      <c r="F131" s="468">
        <v>158262</v>
      </c>
      <c r="G131" s="468">
        <v>159925</v>
      </c>
      <c r="H131" s="468"/>
    </row>
    <row r="132" spans="1:8" x14ac:dyDescent="0.2">
      <c r="A132" s="427"/>
      <c r="B132" s="402"/>
      <c r="C132" s="466"/>
      <c r="D132" s="469"/>
      <c r="E132" s="428"/>
      <c r="F132" s="428"/>
      <c r="G132" s="428"/>
      <c r="H132" s="428"/>
    </row>
    <row r="133" spans="1:8" ht="13.5" thickBot="1" x14ac:dyDescent="0.25">
      <c r="A133" s="454" t="str">
        <f>"Licence Fee (t-1) "&amp;TEXT(C$5-2,"####")&amp;"-"&amp;RIGHT(TEXT(C$5-1,"##"),2)</f>
        <v>Licence Fee (t-1) 2017-18</v>
      </c>
      <c r="B133" s="470">
        <f>VLOOKUP(C$3,A127:B131,2,FALSE)</f>
        <v>78912</v>
      </c>
      <c r="C133" s="471"/>
      <c r="D133" s="472">
        <f>VLOOKUP($C$3,$A$127:$H$131,4,FALSE)</f>
        <v>36475</v>
      </c>
      <c r="E133" s="473">
        <f>VLOOKUP($C$3,$A$127:$H$131,5,FALSE)</f>
        <v>40445</v>
      </c>
      <c r="F133" s="473">
        <f>VLOOKUP($C$3,$A$127:$H$131,6,FALSE)</f>
        <v>78091</v>
      </c>
      <c r="G133" s="473">
        <f>VLOOKUP($C$3,$A$127:$H$131,7,FALSE)</f>
        <v>78912</v>
      </c>
      <c r="H133" s="473">
        <f>VLOOKUP($C$3,$A$127:$H$131,8,FALSE)</f>
        <v>0</v>
      </c>
    </row>
    <row r="134" spans="1:8" x14ac:dyDescent="0.2">
      <c r="D134" s="457"/>
    </row>
    <row r="135" spans="1:8" x14ac:dyDescent="0.2">
      <c r="D135" s="457"/>
    </row>
    <row r="136" spans="1:8" ht="13.5" thickBot="1" x14ac:dyDescent="0.25">
      <c r="D136" s="457"/>
    </row>
    <row r="137" spans="1:8" x14ac:dyDescent="0.2">
      <c r="A137" s="461" t="s">
        <v>490</v>
      </c>
      <c r="B137" s="462">
        <f>$C$5</f>
        <v>2019</v>
      </c>
      <c r="C137" s="437"/>
      <c r="D137" s="463">
        <v>2016</v>
      </c>
      <c r="E137" s="464">
        <f>+D137+1</f>
        <v>2017</v>
      </c>
      <c r="F137" s="464">
        <f t="shared" ref="F137:H137" si="7">+E137+1</f>
        <v>2018</v>
      </c>
      <c r="G137" s="464">
        <f t="shared" si="7"/>
        <v>2019</v>
      </c>
      <c r="H137" s="464">
        <f t="shared" si="7"/>
        <v>2020</v>
      </c>
    </row>
    <row r="138" spans="1:8" x14ac:dyDescent="0.2">
      <c r="A138" s="427" t="str">
        <f>$A$54</f>
        <v>Jemena</v>
      </c>
      <c r="B138" s="465">
        <f>HLOOKUP($B$137,$D$137:$H$142,2,FALSE)</f>
        <v>0</v>
      </c>
      <c r="C138" s="466"/>
      <c r="D138" s="622"/>
      <c r="E138" s="623">
        <f>H154</f>
        <v>-91239.844462589012</v>
      </c>
      <c r="F138" s="624"/>
      <c r="G138" s="624"/>
      <c r="H138" s="624"/>
    </row>
    <row r="139" spans="1:8" x14ac:dyDescent="0.2">
      <c r="A139" s="427" t="str">
        <f>$A$55</f>
        <v>CitiPower</v>
      </c>
      <c r="B139" s="465">
        <f>HLOOKUP($B$137,$D$137:$H$142,3,FALSE)</f>
        <v>0</v>
      </c>
      <c r="C139" s="466"/>
      <c r="D139" s="622"/>
      <c r="E139" s="624"/>
      <c r="F139" s="624"/>
      <c r="G139" s="624"/>
      <c r="H139" s="624"/>
    </row>
    <row r="140" spans="1:8" x14ac:dyDescent="0.2">
      <c r="A140" s="427" t="str">
        <f>$A$56</f>
        <v>Powercor</v>
      </c>
      <c r="B140" s="465">
        <f>HLOOKUP($B$137,$D$137:$H$142,4,FALSE)</f>
        <v>0</v>
      </c>
      <c r="C140" s="466"/>
      <c r="D140" s="622"/>
      <c r="E140" s="624"/>
      <c r="F140" s="624"/>
      <c r="G140" s="624"/>
      <c r="H140" s="624"/>
    </row>
    <row r="141" spans="1:8" x14ac:dyDescent="0.2">
      <c r="A141" s="567" t="str">
        <f>$A$57</f>
        <v>AusNet Services</v>
      </c>
      <c r="B141" s="465">
        <f>HLOOKUP($B$137,$D$137:$H$142,5,FALSE)</f>
        <v>0</v>
      </c>
      <c r="C141" s="466"/>
      <c r="D141" s="622"/>
      <c r="E141" s="624"/>
      <c r="F141" s="624"/>
      <c r="G141" s="624"/>
      <c r="H141" s="624"/>
    </row>
    <row r="142" spans="1:8" x14ac:dyDescent="0.2">
      <c r="A142" s="427" t="str">
        <f>$A$58</f>
        <v>United Energy</v>
      </c>
      <c r="B142" s="465">
        <f>HLOOKUP($B$137,$D$137:$H$142,6,FALSE)</f>
        <v>0</v>
      </c>
      <c r="C142" s="466"/>
      <c r="D142" s="622"/>
      <c r="E142" s="468">
        <f>H163</f>
        <v>-479660.69376433094</v>
      </c>
      <c r="F142" s="624"/>
      <c r="G142" s="624"/>
      <c r="H142" s="624"/>
    </row>
    <row r="143" spans="1:8" x14ac:dyDescent="0.2">
      <c r="A143" s="427"/>
      <c r="B143" s="402"/>
      <c r="C143" s="466"/>
      <c r="D143" s="469"/>
      <c r="E143" s="428"/>
      <c r="F143" s="428"/>
      <c r="G143" s="428"/>
      <c r="H143" s="428"/>
    </row>
    <row r="144" spans="1:8" ht="13.5" thickBot="1" x14ac:dyDescent="0.25">
      <c r="A144" s="433" t="str">
        <f>"T factor (t) "&amp;C$5</f>
        <v>T factor (t) 2019</v>
      </c>
      <c r="B144" s="470">
        <f>VLOOKUP(C$3,A138:B142,2,FALSE)</f>
        <v>0</v>
      </c>
      <c r="C144" s="471"/>
      <c r="D144" s="472">
        <f>VLOOKUP($C$3,$A$138:$H$142,4,FALSE)</f>
        <v>0</v>
      </c>
      <c r="E144" s="473">
        <f>VLOOKUP($C$3,$A$138:$H$142,5,FALSE)</f>
        <v>0</v>
      </c>
      <c r="F144" s="473">
        <f>VLOOKUP($C$3,$A$138:$H$142,6,FALSE)</f>
        <v>0</v>
      </c>
      <c r="G144" s="473">
        <f>VLOOKUP($C$3,$A$138:$H$142,7,FALSE)</f>
        <v>0</v>
      </c>
      <c r="H144" s="473">
        <f>VLOOKUP($C$3,$A$138:$H$142,8,FALSE)</f>
        <v>0</v>
      </c>
    </row>
    <row r="145" spans="1:13" x14ac:dyDescent="0.2">
      <c r="D145" s="457"/>
    </row>
    <row r="146" spans="1:13" x14ac:dyDescent="0.2">
      <c r="D146" s="457"/>
    </row>
    <row r="147" spans="1:13" ht="15" x14ac:dyDescent="0.25">
      <c r="A147" s="625" t="s">
        <v>490</v>
      </c>
      <c r="B147" s="402"/>
      <c r="C147" s="402"/>
      <c r="D147" s="534"/>
      <c r="E147" s="402"/>
      <c r="F147" s="402"/>
      <c r="G147" s="402"/>
      <c r="H147" s="402"/>
      <c r="I147" s="402"/>
      <c r="J147" s="402"/>
      <c r="K147" s="402"/>
      <c r="L147" s="402"/>
      <c r="M147" s="402"/>
    </row>
    <row r="148" spans="1:13" ht="15" x14ac:dyDescent="0.25">
      <c r="A148" s="626" t="s">
        <v>82</v>
      </c>
      <c r="B148" s="507"/>
      <c r="C148" s="627" t="s">
        <v>491</v>
      </c>
      <c r="D148" s="628">
        <v>2016</v>
      </c>
      <c r="E148" s="628">
        <v>2017</v>
      </c>
      <c r="F148" s="629"/>
      <c r="G148" s="629"/>
      <c r="H148" s="630"/>
      <c r="J148" s="402"/>
      <c r="K148" s="402"/>
      <c r="L148" s="402"/>
      <c r="M148" s="402"/>
    </row>
    <row r="149" spans="1:13" ht="15" x14ac:dyDescent="0.25">
      <c r="A149" s="631" t="s">
        <v>492</v>
      </c>
      <c r="B149" s="402"/>
      <c r="C149" s="632"/>
      <c r="D149" s="633">
        <v>2.3230798209937155E-2</v>
      </c>
      <c r="E149" s="633">
        <v>2.3230798209937155E-2</v>
      </c>
      <c r="F149" s="634"/>
      <c r="G149" s="634"/>
      <c r="H149" s="635"/>
      <c r="J149" s="402"/>
      <c r="K149" s="402"/>
      <c r="L149" s="402"/>
      <c r="M149" s="402"/>
    </row>
    <row r="150" spans="1:13" ht="15" x14ac:dyDescent="0.25">
      <c r="A150" s="636" t="s">
        <v>493</v>
      </c>
      <c r="B150" s="402"/>
      <c r="C150" s="633">
        <v>0.1033058647680111</v>
      </c>
      <c r="D150" s="637">
        <f>(1+D149)*(1+D37)-1</f>
        <v>6.3473062354247878E-2</v>
      </c>
      <c r="E150" s="637">
        <f>(1+E149)*(1+E37)-1</f>
        <v>6.2861111753533594E-2</v>
      </c>
      <c r="F150" s="634"/>
      <c r="G150" s="634"/>
      <c r="H150" s="635"/>
      <c r="J150" s="402"/>
      <c r="K150" s="402"/>
      <c r="L150" s="402"/>
      <c r="M150" s="402"/>
    </row>
    <row r="151" spans="1:13" x14ac:dyDescent="0.2">
      <c r="A151" s="636"/>
      <c r="B151" s="402"/>
      <c r="C151" s="634"/>
      <c r="D151" s="634"/>
      <c r="E151" s="634"/>
      <c r="F151" s="634"/>
      <c r="G151" s="634"/>
      <c r="H151" s="635"/>
      <c r="J151" s="402"/>
      <c r="K151" s="402"/>
      <c r="L151" s="402"/>
      <c r="M151" s="402"/>
    </row>
    <row r="152" spans="1:13" ht="15" x14ac:dyDescent="0.25">
      <c r="A152" s="636"/>
      <c r="B152" s="402"/>
      <c r="C152" s="628">
        <v>2011</v>
      </c>
      <c r="D152" s="628">
        <v>2012</v>
      </c>
      <c r="E152" s="628">
        <v>2013</v>
      </c>
      <c r="F152" s="628">
        <v>2014</v>
      </c>
      <c r="G152" s="628">
        <v>2015</v>
      </c>
      <c r="H152" s="638" t="s">
        <v>122</v>
      </c>
      <c r="J152" s="402"/>
      <c r="K152" s="402"/>
      <c r="L152" s="402"/>
      <c r="M152" s="402"/>
    </row>
    <row r="153" spans="1:13" ht="15" x14ac:dyDescent="0.25">
      <c r="A153" s="636" t="s">
        <v>494</v>
      </c>
      <c r="B153" s="402"/>
      <c r="C153" s="639">
        <v>-263938</v>
      </c>
      <c r="D153" s="639">
        <v>-16375.399999999965</v>
      </c>
      <c r="E153" s="639">
        <v>163676.67136000004</v>
      </c>
      <c r="F153" s="639">
        <v>153066.62606841602</v>
      </c>
      <c r="G153" s="639">
        <v>125690.58545944223</v>
      </c>
      <c r="H153" s="640">
        <f>SUM(C153:G153)</f>
        <v>162120.48288785832</v>
      </c>
      <c r="J153" s="402"/>
      <c r="K153" s="402"/>
      <c r="L153" s="402"/>
      <c r="M153" s="402"/>
    </row>
    <row r="154" spans="1:13" ht="15" x14ac:dyDescent="0.25">
      <c r="A154" s="636" t="s">
        <v>490</v>
      </c>
      <c r="B154" s="402"/>
      <c r="C154" s="641">
        <f>0-(C153/(1+$C150))*(1+$C150)^5*(1+$D150)*(1+$E150)</f>
        <v>442067.55283107725</v>
      </c>
      <c r="D154" s="641">
        <f>C154-(D153/(1+$C150))*(1+$C150)^4*(1+$D150)*(1+$E150)</f>
        <v>466926.49868923979</v>
      </c>
      <c r="E154" s="641">
        <f>D154-(E153/(1+$C150))*(1+$C150)^3*(1+$D150)*(1+$E150)</f>
        <v>241719.62134028116</v>
      </c>
      <c r="F154" s="641">
        <f>E154-(F153/(1+$C150))*(1+$C150)^2*(1+$D150)*(1+$E150)</f>
        <v>50831.261139433307</v>
      </c>
      <c r="G154" s="641">
        <f>F154-(G153/(1+$C150))*(1+$C150)^1*(1+$D150)*(1+$E150)</f>
        <v>-91239.844462589012</v>
      </c>
      <c r="H154" s="642">
        <f>G154</f>
        <v>-91239.844462589012</v>
      </c>
      <c r="J154" s="643"/>
      <c r="K154" s="402"/>
      <c r="L154" s="402"/>
      <c r="M154" s="402"/>
    </row>
    <row r="155" spans="1:13" ht="15" x14ac:dyDescent="0.25">
      <c r="A155" s="644"/>
      <c r="B155" s="526"/>
      <c r="C155" s="645"/>
      <c r="D155" s="646"/>
      <c r="E155" s="646"/>
      <c r="F155" s="646"/>
      <c r="G155" s="647"/>
      <c r="H155" s="648"/>
      <c r="J155" s="402"/>
      <c r="K155" s="402"/>
      <c r="L155" s="402"/>
      <c r="M155" s="402"/>
    </row>
    <row r="156" spans="1:13" x14ac:dyDescent="0.2">
      <c r="A156" s="636"/>
      <c r="B156" s="402"/>
      <c r="C156" s="534"/>
      <c r="D156" s="402"/>
      <c r="E156" s="402"/>
      <c r="F156" s="402"/>
      <c r="G156" s="402"/>
      <c r="H156" s="402"/>
      <c r="J156" s="402"/>
      <c r="K156" s="402"/>
      <c r="L156" s="402"/>
      <c r="M156" s="402"/>
    </row>
    <row r="157" spans="1:13" ht="15" x14ac:dyDescent="0.25">
      <c r="A157" s="626" t="s">
        <v>495</v>
      </c>
      <c r="B157" s="507"/>
      <c r="C157" s="627" t="s">
        <v>491</v>
      </c>
      <c r="D157" s="628">
        <v>2016</v>
      </c>
      <c r="E157" s="628">
        <v>2017</v>
      </c>
      <c r="F157" s="629"/>
      <c r="G157" s="629"/>
      <c r="H157" s="630"/>
      <c r="J157" s="402"/>
      <c r="K157" s="402"/>
      <c r="L157" s="402"/>
      <c r="M157" s="402"/>
    </row>
    <row r="158" spans="1:13" ht="15" x14ac:dyDescent="0.25">
      <c r="A158" s="631" t="s">
        <v>492</v>
      </c>
      <c r="B158" s="402"/>
      <c r="C158" s="632"/>
      <c r="D158" s="633">
        <v>2.3230798209937155E-2</v>
      </c>
      <c r="E158" s="633">
        <v>2.3230798209937155E-2</v>
      </c>
      <c r="F158" s="634"/>
      <c r="G158" s="634"/>
      <c r="H158" s="635"/>
      <c r="J158" s="402"/>
      <c r="K158" s="402"/>
      <c r="L158" s="402"/>
      <c r="M158" s="402"/>
    </row>
    <row r="159" spans="1:13" ht="15" x14ac:dyDescent="0.25">
      <c r="A159" s="636" t="s">
        <v>493</v>
      </c>
      <c r="B159" s="402"/>
      <c r="C159" s="633">
        <v>9.4897728819182986E-2</v>
      </c>
      <c r="D159" s="637">
        <f>(1+D158)*(1+D41)-1</f>
        <v>6.3474660327336396E-2</v>
      </c>
      <c r="E159" s="637">
        <f>(1+E158)*(1+E41)-1</f>
        <v>6.2824746370718776E-2</v>
      </c>
      <c r="F159" s="634"/>
      <c r="G159" s="634"/>
      <c r="H159" s="635"/>
      <c r="J159" s="402"/>
      <c r="K159" s="402"/>
      <c r="L159" s="402"/>
      <c r="M159" s="402"/>
    </row>
    <row r="160" spans="1:13" x14ac:dyDescent="0.2">
      <c r="A160" s="636"/>
      <c r="B160" s="402"/>
      <c r="C160" s="634"/>
      <c r="D160" s="634"/>
      <c r="E160" s="634"/>
      <c r="F160" s="634"/>
      <c r="G160" s="634"/>
      <c r="H160" s="635"/>
      <c r="J160" s="402"/>
      <c r="K160" s="402"/>
      <c r="L160" s="402"/>
      <c r="M160" s="402"/>
    </row>
    <row r="161" spans="1:13" ht="15" x14ac:dyDescent="0.25">
      <c r="A161" s="636"/>
      <c r="B161" s="402"/>
      <c r="C161" s="628">
        <v>2011</v>
      </c>
      <c r="D161" s="628">
        <v>2012</v>
      </c>
      <c r="E161" s="628">
        <v>2013</v>
      </c>
      <c r="F161" s="628">
        <v>2014</v>
      </c>
      <c r="G161" s="628">
        <v>2015</v>
      </c>
      <c r="H161" s="638" t="s">
        <v>122</v>
      </c>
      <c r="J161" s="402"/>
      <c r="K161" s="402"/>
      <c r="L161" s="402"/>
      <c r="M161" s="402"/>
    </row>
    <row r="162" spans="1:13" ht="15" x14ac:dyDescent="0.25">
      <c r="A162" s="636" t="s">
        <v>494</v>
      </c>
      <c r="B162" s="402"/>
      <c r="C162" s="639">
        <v>406960</v>
      </c>
      <c r="D162" s="639">
        <v>327739.20000000007</v>
      </c>
      <c r="E162" s="639">
        <v>91075.342720000073</v>
      </c>
      <c r="F162" s="639">
        <v>-227853.74786316796</v>
      </c>
      <c r="G162" s="639">
        <v>-450364.82908111555</v>
      </c>
      <c r="H162" s="640">
        <f>SUM(C162:G162)</f>
        <v>147555.96577571658</v>
      </c>
      <c r="J162" s="402"/>
      <c r="K162" s="402"/>
      <c r="L162" s="402"/>
      <c r="M162" s="402"/>
    </row>
    <row r="163" spans="1:13" ht="15" x14ac:dyDescent="0.25">
      <c r="A163" s="636" t="s">
        <v>490</v>
      </c>
      <c r="B163" s="402"/>
      <c r="C163" s="641">
        <f>0-(C162/(1+$C159))*(1+$C159)^5*(1+$D159)*(1+$E159)</f>
        <v>-661050.66784974851</v>
      </c>
      <c r="D163" s="641">
        <f>C163-(D162/(1+$C159))*(1+$C159)^4*(1+$D159)*(1+$E159)</f>
        <v>-1147276.3094659143</v>
      </c>
      <c r="E163" s="641">
        <f>D163-(E162/(1+$C159))*(1+$C159)^3*(1+$D159)*(1+$E159)</f>
        <v>-1270682.4380397256</v>
      </c>
      <c r="F163" s="641">
        <f>E163-(F162/(1+$C159))*(1+$C159)^2*(1+$D159)*(1+$E159)</f>
        <v>-988702.28916018433</v>
      </c>
      <c r="G163" s="641">
        <f>F163-(G162/(1+$C159))*(1+$C159)^1*(1+$D159)*(1+$E159)</f>
        <v>-479660.69376433094</v>
      </c>
      <c r="H163" s="642">
        <f>G163</f>
        <v>-479660.69376433094</v>
      </c>
      <c r="J163" s="643"/>
      <c r="K163" s="402"/>
      <c r="L163" s="402"/>
      <c r="M163" s="402"/>
    </row>
    <row r="164" spans="1:13" ht="15" x14ac:dyDescent="0.25">
      <c r="A164" s="644"/>
      <c r="B164" s="526"/>
      <c r="C164" s="526"/>
      <c r="D164" s="646"/>
      <c r="E164" s="646"/>
      <c r="F164" s="646"/>
      <c r="G164" s="646"/>
      <c r="H164" s="649"/>
      <c r="J164" s="402"/>
      <c r="K164" s="402"/>
      <c r="L164" s="402"/>
      <c r="M164" s="402"/>
    </row>
    <row r="165" spans="1:13" x14ac:dyDescent="0.2">
      <c r="D165" s="457"/>
    </row>
    <row r="166" spans="1:13" x14ac:dyDescent="0.2">
      <c r="D166" s="457"/>
    </row>
    <row r="167" spans="1:13" x14ac:dyDescent="0.2">
      <c r="D167" s="457"/>
    </row>
    <row r="168" spans="1:13" x14ac:dyDescent="0.2">
      <c r="D168" s="457"/>
    </row>
    <row r="169" spans="1:13" x14ac:dyDescent="0.2">
      <c r="D169" s="457"/>
    </row>
    <row r="170" spans="1:13" ht="13.5" thickBot="1" x14ac:dyDescent="0.25">
      <c r="D170" s="457"/>
      <c r="J170" s="402"/>
      <c r="K170" s="402"/>
    </row>
    <row r="171" spans="1:13" x14ac:dyDescent="0.2">
      <c r="A171" s="458"/>
      <c r="B171" s="484"/>
      <c r="C171" s="484"/>
      <c r="D171" s="485"/>
      <c r="E171" s="484"/>
      <c r="F171" s="484"/>
      <c r="G171" s="484"/>
      <c r="H171" s="484"/>
      <c r="I171" s="437"/>
      <c r="J171" s="402"/>
      <c r="K171" s="402"/>
    </row>
    <row r="172" spans="1:13" ht="18" x14ac:dyDescent="0.25">
      <c r="A172" s="538" t="s">
        <v>104</v>
      </c>
      <c r="B172" s="402"/>
      <c r="C172" s="402"/>
      <c r="D172" s="534"/>
      <c r="E172" s="402"/>
      <c r="F172" s="402"/>
      <c r="G172" s="402"/>
      <c r="H172" s="402"/>
      <c r="I172" s="466"/>
      <c r="J172" s="402"/>
      <c r="K172" s="402"/>
    </row>
    <row r="173" spans="1:13" x14ac:dyDescent="0.2">
      <c r="A173" s="427"/>
      <c r="B173" s="402"/>
      <c r="C173" s="402"/>
      <c r="D173" s="534"/>
      <c r="E173" s="402"/>
      <c r="F173" s="402"/>
      <c r="G173" s="402"/>
      <c r="H173" s="402"/>
      <c r="I173" s="466"/>
      <c r="J173" s="402"/>
      <c r="K173" s="402"/>
    </row>
    <row r="174" spans="1:13" ht="13.5" thickBot="1" x14ac:dyDescent="0.25">
      <c r="A174" s="535" t="s">
        <v>305</v>
      </c>
      <c r="B174" s="402"/>
      <c r="C174" s="402"/>
      <c r="D174" s="534"/>
      <c r="E174" s="402"/>
      <c r="F174" s="402"/>
      <c r="G174" s="402"/>
      <c r="H174" s="402"/>
      <c r="I174" s="466"/>
      <c r="J174" s="402"/>
      <c r="K174" s="402"/>
    </row>
    <row r="175" spans="1:13" s="477" customFormat="1" x14ac:dyDescent="0.2">
      <c r="A175" s="474" t="s">
        <v>365</v>
      </c>
      <c r="B175" s="475"/>
      <c r="C175" s="476"/>
      <c r="D175" s="558" t="s">
        <v>364</v>
      </c>
      <c r="E175" s="559"/>
      <c r="F175" s="560"/>
      <c r="G175" s="476"/>
      <c r="H175" s="476"/>
      <c r="I175" s="536"/>
      <c r="J175" s="476"/>
      <c r="K175" s="476"/>
    </row>
    <row r="176" spans="1:13" s="477" customFormat="1" x14ac:dyDescent="0.2">
      <c r="A176" s="478"/>
      <c r="B176" s="479"/>
      <c r="C176" s="480"/>
      <c r="D176" s="482"/>
      <c r="E176" s="476"/>
      <c r="F176" s="536"/>
      <c r="G176" s="476"/>
      <c r="H176" s="476"/>
      <c r="I176" s="536"/>
      <c r="J176" s="476"/>
      <c r="K176" s="476"/>
    </row>
    <row r="177" spans="1:12" s="477" customFormat="1" x14ac:dyDescent="0.2">
      <c r="A177" s="427" t="str">
        <f>$A$54</f>
        <v>Jemena</v>
      </c>
      <c r="B177" s="481">
        <v>8.6999999999999994E-2</v>
      </c>
      <c r="C177" s="402"/>
      <c r="D177" s="427" t="str">
        <f>$A$54</f>
        <v>Jemena</v>
      </c>
      <c r="E177" s="402"/>
      <c r="F177" s="481">
        <v>7.5600000000000001E-2</v>
      </c>
      <c r="G177" s="402"/>
      <c r="H177" s="476"/>
      <c r="I177" s="536"/>
      <c r="J177" s="476"/>
      <c r="K177" s="476"/>
    </row>
    <row r="178" spans="1:12" s="477" customFormat="1" x14ac:dyDescent="0.2">
      <c r="A178" s="427" t="str">
        <f>$A$55</f>
        <v>CitiPower</v>
      </c>
      <c r="B178" s="481">
        <v>7.8600000000000003E-2</v>
      </c>
      <c r="C178" s="476"/>
      <c r="D178" s="427" t="str">
        <f>$A$55</f>
        <v>CitiPower</v>
      </c>
      <c r="E178" s="476"/>
      <c r="F178" s="481">
        <v>6.7400000000000002E-2</v>
      </c>
      <c r="G178" s="476"/>
      <c r="H178" s="476"/>
      <c r="I178" s="536"/>
      <c r="J178" s="476"/>
      <c r="K178" s="476"/>
    </row>
    <row r="179" spans="1:12" s="477" customFormat="1" x14ac:dyDescent="0.2">
      <c r="A179" s="427" t="str">
        <f>$A$56</f>
        <v>Powercor</v>
      </c>
      <c r="B179" s="481">
        <v>7.7600000000000002E-2</v>
      </c>
      <c r="C179" s="476"/>
      <c r="D179" s="427" t="str">
        <f>$A$56</f>
        <v>Powercor</v>
      </c>
      <c r="E179" s="476"/>
      <c r="F179" s="481">
        <v>6.7400000000000002E-2</v>
      </c>
      <c r="G179" s="476"/>
      <c r="H179" s="476"/>
      <c r="I179" s="536"/>
      <c r="J179" s="476"/>
      <c r="K179" s="476"/>
    </row>
    <row r="180" spans="1:12" s="477" customFormat="1" x14ac:dyDescent="0.2">
      <c r="A180" s="427" t="str">
        <f>$A$57</f>
        <v>AusNet Services</v>
      </c>
      <c r="B180" s="481">
        <v>7.8E-2</v>
      </c>
      <c r="C180" s="476"/>
      <c r="D180" s="427" t="str">
        <f>$A$57</f>
        <v>AusNet Services</v>
      </c>
      <c r="E180" s="476"/>
      <c r="F180" s="481">
        <v>6.9900000000000004E-2</v>
      </c>
      <c r="G180" s="476"/>
      <c r="H180" s="476"/>
      <c r="I180" s="536"/>
      <c r="J180" s="476"/>
      <c r="K180" s="476"/>
    </row>
    <row r="181" spans="1:12" s="477" customFormat="1" x14ac:dyDescent="0.2">
      <c r="A181" s="427" t="str">
        <f>$A$58</f>
        <v>United Energy</v>
      </c>
      <c r="B181" s="481">
        <v>7.9100000000000004E-2</v>
      </c>
      <c r="C181" s="476"/>
      <c r="D181" s="427" t="str">
        <f>$A$58</f>
        <v>United Energy</v>
      </c>
      <c r="E181" s="476"/>
      <c r="F181" s="481">
        <v>6.7400000000000002E-2</v>
      </c>
      <c r="G181" s="476"/>
      <c r="H181" s="476"/>
      <c r="I181" s="536"/>
      <c r="J181" s="476"/>
      <c r="K181" s="476"/>
    </row>
    <row r="182" spans="1:12" s="477" customFormat="1" x14ac:dyDescent="0.2">
      <c r="A182" s="482"/>
      <c r="B182" s="428"/>
      <c r="C182" s="476"/>
      <c r="D182" s="482"/>
      <c r="E182" s="476"/>
      <c r="F182" s="428"/>
      <c r="G182" s="476"/>
      <c r="H182" s="476"/>
      <c r="I182" s="536"/>
      <c r="J182" s="476"/>
      <c r="K182" s="476"/>
    </row>
    <row r="183" spans="1:12" s="477" customFormat="1" ht="15" thickBot="1" x14ac:dyDescent="0.3">
      <c r="A183" s="483" t="s">
        <v>353</v>
      </c>
      <c r="B183" s="434">
        <f>VLOOKUP($C$3,A177:B181,2,FALSE)</f>
        <v>7.8600000000000003E-2</v>
      </c>
      <c r="C183" s="476"/>
      <c r="D183" s="557" t="s">
        <v>366</v>
      </c>
      <c r="E183" s="561"/>
      <c r="F183" s="434">
        <f>VLOOKUP($C$3,D177:F181,3,FALSE)</f>
        <v>6.7400000000000002E-2</v>
      </c>
      <c r="G183" s="476"/>
      <c r="H183" s="476"/>
      <c r="I183" s="536"/>
      <c r="J183" s="476"/>
      <c r="K183" s="476"/>
    </row>
    <row r="184" spans="1:12" x14ac:dyDescent="0.2">
      <c r="A184" s="427"/>
      <c r="B184" s="402"/>
      <c r="C184" s="402"/>
      <c r="D184" s="534"/>
      <c r="E184" s="402"/>
      <c r="F184" s="402"/>
      <c r="G184" s="402"/>
      <c r="H184" s="402"/>
      <c r="I184" s="466"/>
      <c r="J184" s="402"/>
      <c r="K184" s="402"/>
    </row>
    <row r="185" spans="1:12" x14ac:dyDescent="0.2">
      <c r="A185" s="427"/>
      <c r="B185" s="402"/>
      <c r="C185" s="402"/>
      <c r="D185" s="534"/>
      <c r="E185" s="402"/>
      <c r="F185" s="402"/>
      <c r="G185" s="402"/>
      <c r="H185" s="402"/>
      <c r="I185" s="466"/>
      <c r="J185" s="402"/>
      <c r="K185" s="402"/>
    </row>
    <row r="186" spans="1:12" ht="13.5" thickBot="1" x14ac:dyDescent="0.25">
      <c r="A186" s="532"/>
      <c r="B186" s="533"/>
      <c r="C186" s="533"/>
      <c r="D186" s="537"/>
      <c r="E186" s="533"/>
      <c r="F186" s="533"/>
      <c r="G186" s="533"/>
      <c r="H186" s="533"/>
      <c r="I186" s="471"/>
      <c r="J186" s="402"/>
      <c r="K186" s="402"/>
    </row>
    <row r="187" spans="1:12" x14ac:dyDescent="0.2">
      <c r="A187" s="458"/>
      <c r="B187" s="484"/>
      <c r="C187" s="484"/>
      <c r="D187" s="485"/>
      <c r="E187" s="484"/>
      <c r="F187" s="484"/>
      <c r="G187" s="484"/>
      <c r="H187" s="484"/>
      <c r="I187" s="437"/>
      <c r="J187" s="402"/>
      <c r="K187" s="402"/>
    </row>
    <row r="188" spans="1:12" x14ac:dyDescent="0.2">
      <c r="A188" s="486" t="s">
        <v>86</v>
      </c>
      <c r="B188" s="402"/>
      <c r="C188" s="402"/>
      <c r="D188" s="402"/>
      <c r="E188" s="487">
        <v>2014</v>
      </c>
      <c r="F188" s="487">
        <v>2015</v>
      </c>
      <c r="G188" s="402"/>
      <c r="H188" s="402"/>
      <c r="I188" s="466"/>
      <c r="J188" s="402"/>
      <c r="K188" s="402"/>
    </row>
    <row r="189" spans="1:12" x14ac:dyDescent="0.2">
      <c r="A189" s="427"/>
      <c r="B189" s="402"/>
      <c r="C189" s="402"/>
      <c r="D189" s="402"/>
      <c r="E189" s="402"/>
      <c r="F189" s="402"/>
      <c r="G189" s="402"/>
      <c r="H189" s="402"/>
      <c r="I189" s="466"/>
      <c r="J189" s="402"/>
      <c r="K189" s="402"/>
    </row>
    <row r="190" spans="1:12" x14ac:dyDescent="0.2">
      <c r="A190" s="488" t="str">
        <f>A204</f>
        <v>F Factor pass through</v>
      </c>
      <c r="B190" s="402"/>
      <c r="C190" s="402"/>
      <c r="D190" s="402"/>
      <c r="E190" s="489">
        <f>B204</f>
        <v>10000</v>
      </c>
      <c r="F190" s="489">
        <f>C204</f>
        <v>-65000</v>
      </c>
      <c r="G190" s="402"/>
      <c r="H190" s="402"/>
      <c r="I190" s="466"/>
      <c r="J190" s="402"/>
      <c r="K190" s="402"/>
      <c r="L190" s="490"/>
    </row>
    <row r="191" spans="1:12" x14ac:dyDescent="0.2">
      <c r="A191" s="488" t="s">
        <v>87</v>
      </c>
      <c r="B191" s="402"/>
      <c r="C191" s="402"/>
      <c r="D191" s="402"/>
      <c r="E191" s="491">
        <f>B215</f>
        <v>0</v>
      </c>
      <c r="F191" s="491">
        <f>C215</f>
        <v>0</v>
      </c>
      <c r="G191" s="402"/>
      <c r="H191" s="402"/>
      <c r="I191" s="466"/>
      <c r="J191" s="402"/>
      <c r="K191" s="402"/>
    </row>
    <row r="192" spans="1:12" x14ac:dyDescent="0.2">
      <c r="A192" s="488" t="s">
        <v>88</v>
      </c>
      <c r="B192" s="402"/>
      <c r="C192" s="402"/>
      <c r="D192" s="402"/>
      <c r="E192" s="491">
        <f>B226</f>
        <v>0</v>
      </c>
      <c r="F192" s="491">
        <f>C226</f>
        <v>0</v>
      </c>
      <c r="G192" s="402"/>
      <c r="H192" s="402"/>
      <c r="I192" s="466"/>
      <c r="J192" s="402"/>
      <c r="K192" s="402"/>
    </row>
    <row r="193" spans="1:12" ht="13.5" thickBot="1" x14ac:dyDescent="0.25">
      <c r="A193" s="492" t="s">
        <v>89</v>
      </c>
      <c r="B193" s="184"/>
      <c r="C193" s="184"/>
      <c r="D193" s="184"/>
      <c r="E193" s="493">
        <f t="shared" ref="E193" si="8">SUM(E190:E192)</f>
        <v>10000</v>
      </c>
      <c r="F193" s="493">
        <f>SUM(F190:F192)</f>
        <v>-65000</v>
      </c>
      <c r="G193" s="402"/>
      <c r="H193" s="402"/>
      <c r="I193" s="466"/>
      <c r="J193" s="402"/>
      <c r="K193" s="402"/>
      <c r="L193" s="494"/>
    </row>
    <row r="194" spans="1:12" s="499" customFormat="1" ht="13.5" thickTop="1" x14ac:dyDescent="0.2">
      <c r="A194" s="495"/>
      <c r="B194" s="496"/>
      <c r="C194" s="496"/>
      <c r="D194" s="496"/>
      <c r="E194" s="497"/>
      <c r="F194" s="497"/>
      <c r="G194" s="497"/>
      <c r="H194" s="496"/>
      <c r="I194" s="498"/>
      <c r="J194" s="496"/>
      <c r="K194" s="496"/>
    </row>
    <row r="195" spans="1:12" x14ac:dyDescent="0.2">
      <c r="A195" s="427"/>
      <c r="B195" s="402"/>
      <c r="C195" s="402"/>
      <c r="D195" s="402"/>
      <c r="E195" s="402"/>
      <c r="F195" s="402"/>
      <c r="G195" s="402"/>
      <c r="H195" s="402"/>
      <c r="I195" s="466"/>
      <c r="J195" s="402"/>
      <c r="K195" s="402"/>
    </row>
    <row r="196" spans="1:12" ht="13.5" thickBot="1" x14ac:dyDescent="0.25">
      <c r="A196" s="427"/>
      <c r="B196" s="402"/>
      <c r="C196" s="402"/>
      <c r="D196" s="402"/>
      <c r="E196" s="402"/>
      <c r="F196" s="402"/>
      <c r="G196" s="402"/>
      <c r="H196" s="402"/>
      <c r="I196" s="466"/>
      <c r="J196" s="402"/>
      <c r="K196" s="402"/>
    </row>
    <row r="197" spans="1:12" x14ac:dyDescent="0.2">
      <c r="A197" s="461" t="s">
        <v>90</v>
      </c>
      <c r="B197" s="500">
        <v>2014</v>
      </c>
      <c r="C197" s="464">
        <v>2015</v>
      </c>
      <c r="D197" s="402"/>
      <c r="E197" s="402"/>
      <c r="F197" s="402"/>
      <c r="G197" s="402"/>
      <c r="H197" s="402"/>
      <c r="I197" s="466"/>
      <c r="J197" s="402"/>
      <c r="K197" s="402"/>
    </row>
    <row r="198" spans="1:12" x14ac:dyDescent="0.2">
      <c r="A198" s="427" t="str">
        <f>$A$54</f>
        <v>Jemena</v>
      </c>
      <c r="B198" s="501">
        <v>370000</v>
      </c>
      <c r="C198" s="468">
        <v>-855000</v>
      </c>
      <c r="D198" s="402"/>
      <c r="E198" s="402"/>
      <c r="F198" s="402"/>
      <c r="G198" s="402"/>
      <c r="H198" s="402"/>
      <c r="I198" s="466"/>
      <c r="J198" s="402"/>
      <c r="K198" s="402"/>
    </row>
    <row r="199" spans="1:12" x14ac:dyDescent="0.2">
      <c r="A199" s="427" t="str">
        <f>$A$55</f>
        <v>CitiPower</v>
      </c>
      <c r="B199" s="501">
        <v>10000</v>
      </c>
      <c r="C199" s="468">
        <v>-65000</v>
      </c>
      <c r="D199" s="402"/>
      <c r="E199" s="402"/>
      <c r="F199" s="402"/>
      <c r="G199" s="402"/>
      <c r="H199" s="402"/>
      <c r="I199" s="466"/>
      <c r="J199" s="402"/>
      <c r="K199" s="402"/>
    </row>
    <row r="200" spans="1:12" x14ac:dyDescent="0.2">
      <c r="A200" s="427" t="str">
        <f>$A$56</f>
        <v>Powercor</v>
      </c>
      <c r="B200" s="501">
        <v>2470000</v>
      </c>
      <c r="C200" s="468">
        <v>-2405000</v>
      </c>
      <c r="D200" s="402"/>
      <c r="E200" s="402"/>
      <c r="F200" s="402"/>
      <c r="G200" s="402"/>
      <c r="H200" s="402"/>
      <c r="I200" s="466"/>
      <c r="J200" s="402"/>
      <c r="K200" s="402"/>
    </row>
    <row r="201" spans="1:12" x14ac:dyDescent="0.2">
      <c r="A201" s="427" t="str">
        <f>$A$57</f>
        <v>AusNet Services</v>
      </c>
      <c r="B201" s="501">
        <v>1970000</v>
      </c>
      <c r="C201" s="468">
        <v>2020000</v>
      </c>
      <c r="D201" s="402"/>
      <c r="E201" s="402"/>
      <c r="F201" s="402"/>
      <c r="G201" s="402"/>
      <c r="H201" s="402"/>
      <c r="I201" s="466"/>
      <c r="J201" s="402"/>
      <c r="K201" s="402"/>
    </row>
    <row r="202" spans="1:12" x14ac:dyDescent="0.2">
      <c r="A202" s="427" t="str">
        <f>$A$58</f>
        <v>United Energy</v>
      </c>
      <c r="B202" s="501">
        <v>980000</v>
      </c>
      <c r="C202" s="468">
        <v>-70000</v>
      </c>
      <c r="D202" s="402"/>
      <c r="E202" s="402"/>
      <c r="F202" s="402"/>
      <c r="G202" s="402"/>
      <c r="H202" s="402"/>
      <c r="I202" s="466"/>
      <c r="J202" s="402"/>
      <c r="K202" s="402"/>
    </row>
    <row r="203" spans="1:12" x14ac:dyDescent="0.2">
      <c r="A203" s="427"/>
      <c r="B203" s="502"/>
      <c r="C203" s="428"/>
      <c r="D203" s="402"/>
      <c r="E203" s="402"/>
      <c r="F203" s="402"/>
      <c r="G203" s="402"/>
      <c r="H203" s="402"/>
      <c r="I203" s="466"/>
      <c r="J203" s="402"/>
      <c r="K203" s="402"/>
    </row>
    <row r="204" spans="1:12" ht="13.5" thickBot="1" x14ac:dyDescent="0.25">
      <c r="A204" s="503" t="s">
        <v>91</v>
      </c>
      <c r="B204" s="504">
        <f>VLOOKUP($C$3,$A$198:$C$202,2,FALSE)</f>
        <v>10000</v>
      </c>
      <c r="C204" s="473">
        <f>VLOOKUP($C$3,$A$198:$C$202,3,FALSE)</f>
        <v>-65000</v>
      </c>
      <c r="D204" s="402"/>
      <c r="E204" s="402"/>
      <c r="F204" s="402"/>
      <c r="G204" s="402"/>
      <c r="H204" s="402"/>
      <c r="I204" s="466"/>
      <c r="J204" s="402"/>
      <c r="K204" s="402"/>
    </row>
    <row r="205" spans="1:12" x14ac:dyDescent="0.2">
      <c r="A205" s="427"/>
      <c r="B205" s="402"/>
      <c r="C205" s="402"/>
      <c r="D205" s="402"/>
      <c r="E205" s="402"/>
      <c r="F205" s="402"/>
      <c r="G205" s="402"/>
      <c r="H205" s="402"/>
      <c r="I205" s="466"/>
      <c r="J205" s="402"/>
      <c r="K205" s="402"/>
    </row>
    <row r="206" spans="1:12" x14ac:dyDescent="0.2">
      <c r="A206" s="427"/>
      <c r="B206" s="402"/>
      <c r="C206" s="402"/>
      <c r="D206" s="402"/>
      <c r="E206" s="402"/>
      <c r="F206" s="402"/>
      <c r="G206" s="402"/>
      <c r="H206" s="402"/>
      <c r="I206" s="466"/>
      <c r="J206" s="402"/>
      <c r="K206" s="402"/>
    </row>
    <row r="207" spans="1:12" ht="13.5" thickBot="1" x14ac:dyDescent="0.25">
      <c r="A207" s="427"/>
      <c r="B207" s="402"/>
      <c r="C207" s="402"/>
      <c r="D207" s="402"/>
      <c r="E207" s="402"/>
      <c r="F207" s="402"/>
      <c r="G207" s="402"/>
      <c r="H207" s="402"/>
      <c r="I207" s="466"/>
      <c r="J207" s="402"/>
      <c r="K207" s="402"/>
    </row>
    <row r="208" spans="1:12" x14ac:dyDescent="0.2">
      <c r="A208" s="461" t="s">
        <v>87</v>
      </c>
      <c r="B208" s="500">
        <v>2014</v>
      </c>
      <c r="C208" s="464">
        <v>2015</v>
      </c>
      <c r="D208" s="402"/>
      <c r="E208" s="402"/>
      <c r="F208" s="402"/>
      <c r="G208" s="402"/>
      <c r="H208" s="402"/>
      <c r="I208" s="466"/>
      <c r="J208" s="402"/>
      <c r="K208" s="402"/>
    </row>
    <row r="209" spans="1:11" x14ac:dyDescent="0.2">
      <c r="A209" s="427" t="str">
        <f>$A$54</f>
        <v>Jemena</v>
      </c>
      <c r="B209" s="501">
        <v>0</v>
      </c>
      <c r="C209" s="468">
        <v>0</v>
      </c>
      <c r="D209" s="402"/>
      <c r="E209" s="402"/>
      <c r="F209" s="402"/>
      <c r="G209" s="402"/>
      <c r="H209" s="402"/>
      <c r="I209" s="466"/>
      <c r="J209" s="402"/>
      <c r="K209" s="402"/>
    </row>
    <row r="210" spans="1:11" x14ac:dyDescent="0.2">
      <c r="A210" s="427" t="str">
        <f>$A$55</f>
        <v>CitiPower</v>
      </c>
      <c r="B210" s="501">
        <v>0</v>
      </c>
      <c r="C210" s="468">
        <v>0</v>
      </c>
      <c r="D210" s="402"/>
      <c r="E210" s="402"/>
      <c r="F210" s="402"/>
      <c r="G210" s="402"/>
      <c r="H210" s="402"/>
      <c r="I210" s="466"/>
      <c r="J210" s="402"/>
      <c r="K210" s="402"/>
    </row>
    <row r="211" spans="1:11" x14ac:dyDescent="0.2">
      <c r="A211" s="427" t="str">
        <f>$A$56</f>
        <v>Powercor</v>
      </c>
      <c r="B211" s="501">
        <f>H245</f>
        <v>7193170.4538582545</v>
      </c>
      <c r="C211" s="468">
        <f>I245</f>
        <v>8768550.3783121537</v>
      </c>
      <c r="D211" s="402"/>
      <c r="E211" s="402"/>
      <c r="F211" s="402"/>
      <c r="G211" s="402"/>
      <c r="H211" s="402"/>
      <c r="I211" s="466"/>
      <c r="J211" s="402"/>
      <c r="K211" s="402"/>
    </row>
    <row r="212" spans="1:11" x14ac:dyDescent="0.2">
      <c r="A212" s="427" t="str">
        <f>$A$57</f>
        <v>AusNet Services</v>
      </c>
      <c r="B212" s="501">
        <f>H262</f>
        <v>6039778.1580883265</v>
      </c>
      <c r="C212" s="468">
        <f>I262</f>
        <v>8341755.2122622114</v>
      </c>
      <c r="D212" s="402"/>
      <c r="E212" s="402"/>
      <c r="F212" s="402"/>
      <c r="G212" s="402"/>
      <c r="H212" s="402"/>
      <c r="I212" s="466"/>
      <c r="J212" s="402"/>
      <c r="K212" s="402"/>
    </row>
    <row r="213" spans="1:11" x14ac:dyDescent="0.2">
      <c r="A213" s="427" t="str">
        <f>$A$58</f>
        <v>United Energy</v>
      </c>
      <c r="B213" s="501">
        <v>0</v>
      </c>
      <c r="C213" s="468">
        <v>0</v>
      </c>
      <c r="D213" s="402"/>
      <c r="E213" s="402"/>
      <c r="F213" s="402"/>
      <c r="G213" s="402"/>
      <c r="H213" s="402"/>
      <c r="I213" s="466"/>
      <c r="J213" s="402"/>
      <c r="K213" s="402"/>
    </row>
    <row r="214" spans="1:11" x14ac:dyDescent="0.2">
      <c r="A214" s="427"/>
      <c r="B214" s="502"/>
      <c r="C214" s="428"/>
      <c r="D214" s="402"/>
      <c r="E214" s="402"/>
      <c r="F214" s="402"/>
      <c r="G214" s="402"/>
      <c r="H214" s="402"/>
      <c r="I214" s="466"/>
      <c r="J214" s="402"/>
      <c r="K214" s="402"/>
    </row>
    <row r="215" spans="1:11" ht="13.5" thickBot="1" x14ac:dyDescent="0.25">
      <c r="A215" s="503" t="s">
        <v>105</v>
      </c>
      <c r="B215" s="504">
        <f>VLOOKUP($C$3,$A$209:$C$213,2,FALSE)</f>
        <v>0</v>
      </c>
      <c r="C215" s="473">
        <f>VLOOKUP($C$3,$A$209:$C$213,3,FALSE)</f>
        <v>0</v>
      </c>
      <c r="D215" s="402"/>
      <c r="E215" s="402"/>
      <c r="F215" s="402"/>
      <c r="G215" s="402"/>
      <c r="H215" s="402"/>
      <c r="I215" s="466"/>
      <c r="J215" s="402"/>
      <c r="K215" s="402"/>
    </row>
    <row r="216" spans="1:11" x14ac:dyDescent="0.2">
      <c r="A216" s="427"/>
      <c r="B216" s="402"/>
      <c r="C216" s="402"/>
      <c r="D216" s="402"/>
      <c r="E216" s="402"/>
      <c r="F216" s="402"/>
      <c r="G216" s="402"/>
      <c r="H216" s="402"/>
      <c r="I216" s="466"/>
      <c r="J216" s="402"/>
      <c r="K216" s="402"/>
    </row>
    <row r="217" spans="1:11" x14ac:dyDescent="0.2">
      <c r="A217" s="427"/>
      <c r="B217" s="402"/>
      <c r="C217" s="402"/>
      <c r="D217" s="402"/>
      <c r="E217" s="402"/>
      <c r="F217" s="402"/>
      <c r="G217" s="402"/>
      <c r="H217" s="402"/>
      <c r="I217" s="466"/>
      <c r="J217" s="402"/>
      <c r="K217" s="402"/>
    </row>
    <row r="218" spans="1:11" ht="13.5" thickBot="1" x14ac:dyDescent="0.25">
      <c r="A218" s="427"/>
      <c r="B218" s="402"/>
      <c r="C218" s="402"/>
      <c r="D218" s="402"/>
      <c r="E218" s="402"/>
      <c r="F218" s="402"/>
      <c r="G218" s="402"/>
      <c r="H218" s="402"/>
      <c r="I218" s="466"/>
      <c r="J218" s="402"/>
      <c r="K218" s="402"/>
    </row>
    <row r="219" spans="1:11" ht="25.5" x14ac:dyDescent="0.2">
      <c r="A219" s="505" t="s">
        <v>88</v>
      </c>
      <c r="B219" s="500">
        <v>2014</v>
      </c>
      <c r="C219" s="464">
        <v>2015</v>
      </c>
      <c r="D219" s="402"/>
      <c r="E219" s="402"/>
      <c r="F219" s="402"/>
      <c r="G219" s="402"/>
      <c r="H219" s="402"/>
      <c r="I219" s="466"/>
      <c r="J219" s="402"/>
      <c r="K219" s="402"/>
    </row>
    <row r="220" spans="1:11" x14ac:dyDescent="0.2">
      <c r="A220" s="427" t="str">
        <f>$A$54</f>
        <v>Jemena</v>
      </c>
      <c r="B220" s="501">
        <v>0</v>
      </c>
      <c r="C220" s="468">
        <v>0</v>
      </c>
      <c r="D220" s="402"/>
      <c r="E220" s="402"/>
      <c r="F220" s="402"/>
      <c r="G220" s="402"/>
      <c r="H220" s="402"/>
      <c r="I220" s="466"/>
      <c r="J220" s="402"/>
      <c r="K220" s="402"/>
    </row>
    <row r="221" spans="1:11" x14ac:dyDescent="0.2">
      <c r="A221" s="427" t="str">
        <f>$A$55</f>
        <v>CitiPower</v>
      </c>
      <c r="B221" s="501">
        <v>0</v>
      </c>
      <c r="C221" s="468">
        <v>0</v>
      </c>
      <c r="D221" s="402"/>
      <c r="E221" s="402"/>
      <c r="F221" s="402"/>
      <c r="G221" s="402"/>
      <c r="H221" s="402"/>
      <c r="I221" s="466"/>
      <c r="J221" s="402"/>
      <c r="K221" s="402"/>
    </row>
    <row r="222" spans="1:11" x14ac:dyDescent="0.2">
      <c r="A222" s="427" t="str">
        <f>$A$56</f>
        <v>Powercor</v>
      </c>
      <c r="B222" s="501">
        <f>H249</f>
        <v>0</v>
      </c>
      <c r="C222" s="468">
        <v>8777690.4553783704</v>
      </c>
      <c r="D222" s="402"/>
      <c r="E222" s="402"/>
      <c r="F222" s="402"/>
      <c r="G222" s="402"/>
      <c r="H222" s="402"/>
      <c r="I222" s="466"/>
      <c r="J222" s="402"/>
      <c r="K222" s="402"/>
    </row>
    <row r="223" spans="1:11" x14ac:dyDescent="0.2">
      <c r="A223" s="427" t="str">
        <f>$A$57</f>
        <v>AusNet Services</v>
      </c>
      <c r="B223" s="501">
        <v>0</v>
      </c>
      <c r="C223" s="468">
        <v>5723419.3099999996</v>
      </c>
      <c r="D223" s="402"/>
      <c r="E223" s="402"/>
      <c r="F223" s="402"/>
      <c r="G223" s="402"/>
      <c r="H223" s="402"/>
      <c r="I223" s="466"/>
      <c r="J223" s="402"/>
      <c r="K223" s="402"/>
    </row>
    <row r="224" spans="1:11" x14ac:dyDescent="0.2">
      <c r="A224" s="427" t="str">
        <f>$A$58</f>
        <v>United Energy</v>
      </c>
      <c r="B224" s="501">
        <v>0</v>
      </c>
      <c r="C224" s="468">
        <v>0</v>
      </c>
      <c r="D224" s="402"/>
      <c r="E224" s="402"/>
      <c r="F224" s="402"/>
      <c r="G224" s="402"/>
      <c r="H224" s="402"/>
      <c r="I224" s="466"/>
      <c r="J224" s="402"/>
      <c r="K224" s="402"/>
    </row>
    <row r="225" spans="1:19" x14ac:dyDescent="0.2">
      <c r="A225" s="427"/>
      <c r="B225" s="502"/>
      <c r="C225" s="428"/>
      <c r="D225" s="402"/>
      <c r="E225" s="402"/>
      <c r="F225" s="402"/>
      <c r="G225" s="402"/>
      <c r="H225" s="402"/>
      <c r="I225" s="466"/>
      <c r="J225" s="402"/>
      <c r="K225" s="402"/>
    </row>
    <row r="226" spans="1:19" ht="26.25" thickBot="1" x14ac:dyDescent="0.25">
      <c r="A226" s="503" t="s">
        <v>88</v>
      </c>
      <c r="B226" s="504">
        <f>VLOOKUP($C$3,$A$219:$C$224,2,FALSE)</f>
        <v>0</v>
      </c>
      <c r="C226" s="473">
        <f>VLOOKUP($C$3,$A$219:$C$224,3,FALSE)</f>
        <v>0</v>
      </c>
      <c r="D226" s="402"/>
      <c r="E226" s="402"/>
      <c r="F226" s="402"/>
      <c r="G226" s="402"/>
      <c r="H226" s="402"/>
      <c r="I226" s="466"/>
      <c r="J226" s="402"/>
      <c r="K226" s="402"/>
    </row>
    <row r="227" spans="1:19" x14ac:dyDescent="0.2">
      <c r="A227" s="427"/>
      <c r="B227" s="402"/>
      <c r="C227" s="402"/>
      <c r="D227" s="402"/>
      <c r="E227" s="402"/>
      <c r="F227" s="402"/>
      <c r="G227" s="402"/>
      <c r="H227" s="402"/>
      <c r="I227" s="466"/>
      <c r="J227" s="402"/>
      <c r="K227" s="402"/>
    </row>
    <row r="228" spans="1:19" x14ac:dyDescent="0.2">
      <c r="A228" s="427"/>
      <c r="B228" s="402"/>
      <c r="C228" s="402"/>
      <c r="D228" s="402"/>
      <c r="E228" s="402"/>
      <c r="F228" s="402"/>
      <c r="G228" s="402"/>
      <c r="H228" s="402"/>
      <c r="I228" s="466"/>
      <c r="J228" s="402"/>
      <c r="K228" s="402"/>
    </row>
    <row r="229" spans="1:19" x14ac:dyDescent="0.2">
      <c r="A229" s="427"/>
      <c r="B229" s="402"/>
      <c r="C229" s="402"/>
      <c r="D229" s="402"/>
      <c r="E229" s="402"/>
      <c r="F229" s="402"/>
      <c r="G229" s="402"/>
      <c r="H229" s="402"/>
      <c r="I229" s="466"/>
      <c r="J229" s="402"/>
      <c r="K229" s="402"/>
    </row>
    <row r="230" spans="1:19" x14ac:dyDescent="0.2">
      <c r="A230" s="427"/>
      <c r="B230" s="402"/>
      <c r="C230" s="402"/>
      <c r="D230" s="402"/>
      <c r="E230" s="402"/>
      <c r="F230" s="402"/>
      <c r="G230" s="402"/>
      <c r="H230" s="402"/>
      <c r="I230" s="466"/>
      <c r="J230" s="402"/>
      <c r="K230" s="402"/>
    </row>
    <row r="231" spans="1:19" x14ac:dyDescent="0.2">
      <c r="A231" s="506" t="s">
        <v>87</v>
      </c>
      <c r="B231" s="507"/>
      <c r="C231" s="507"/>
      <c r="D231" s="507"/>
      <c r="E231" s="507"/>
      <c r="F231" s="507"/>
      <c r="G231" s="507"/>
      <c r="H231" s="507"/>
      <c r="I231" s="508"/>
      <c r="J231" s="402"/>
      <c r="K231" s="402"/>
    </row>
    <row r="232" spans="1:19" x14ac:dyDescent="0.2">
      <c r="A232" s="427"/>
      <c r="B232" s="402"/>
      <c r="C232" s="402"/>
      <c r="D232" s="402"/>
      <c r="E232" s="402"/>
      <c r="F232" s="402"/>
      <c r="G232" s="402"/>
      <c r="H232" s="402"/>
      <c r="I232" s="466"/>
      <c r="J232" s="402"/>
      <c r="K232" s="402"/>
    </row>
    <row r="233" spans="1:19" x14ac:dyDescent="0.2">
      <c r="A233" s="509" t="s">
        <v>84</v>
      </c>
      <c r="B233" s="402"/>
      <c r="C233" s="402"/>
      <c r="D233" s="402"/>
      <c r="E233" s="487">
        <v>2011</v>
      </c>
      <c r="F233" s="487">
        <v>2012</v>
      </c>
      <c r="G233" s="487">
        <v>2013</v>
      </c>
      <c r="H233" s="487">
        <v>2014</v>
      </c>
      <c r="I233" s="510">
        <v>2015</v>
      </c>
      <c r="J233" s="402"/>
      <c r="K233" s="402"/>
    </row>
    <row r="234" spans="1:19" x14ac:dyDescent="0.2">
      <c r="A234" s="511" t="s">
        <v>92</v>
      </c>
      <c r="B234" s="194"/>
      <c r="C234" s="194"/>
      <c r="D234" s="402"/>
      <c r="E234" s="402"/>
      <c r="F234" s="402"/>
      <c r="G234" s="512">
        <v>10270612</v>
      </c>
      <c r="H234" s="512">
        <v>7181525</v>
      </c>
      <c r="I234" s="513">
        <v>8777217</v>
      </c>
      <c r="J234" s="402"/>
      <c r="K234" s="402"/>
      <c r="S234" s="226"/>
    </row>
    <row r="235" spans="1:19" x14ac:dyDescent="0.2">
      <c r="A235" s="514" t="s">
        <v>102</v>
      </c>
      <c r="B235" s="515"/>
      <c r="C235" s="515"/>
      <c r="D235" s="515"/>
      <c r="E235" s="515"/>
      <c r="F235" s="496"/>
      <c r="G235" s="496"/>
      <c r="H235" s="496"/>
      <c r="I235" s="466"/>
      <c r="J235" s="402"/>
      <c r="K235" s="402"/>
    </row>
    <row r="236" spans="1:19" x14ac:dyDescent="0.2">
      <c r="A236" s="427" t="s">
        <v>93</v>
      </c>
      <c r="B236" s="402"/>
      <c r="C236" s="402"/>
      <c r="D236" s="402"/>
      <c r="E236" s="516">
        <v>2.5748753401775293E-2</v>
      </c>
      <c r="F236" s="516">
        <v>2.5748753401775293E-2</v>
      </c>
      <c r="G236" s="516">
        <v>2.5748753401775293E-2</v>
      </c>
      <c r="H236" s="516">
        <v>2.5748753401775293E-2</v>
      </c>
      <c r="I236" s="517">
        <v>2.5748753401775293E-2</v>
      </c>
      <c r="J236" s="402"/>
      <c r="K236" s="402"/>
    </row>
    <row r="237" spans="1:19" x14ac:dyDescent="0.2">
      <c r="A237" s="427"/>
      <c r="B237" s="402"/>
      <c r="C237" s="402"/>
      <c r="D237" s="402"/>
      <c r="E237" s="518">
        <f>1+E236</f>
        <v>1.0257487534017753</v>
      </c>
      <c r="F237" s="518">
        <f>E237*(1+F236)</f>
        <v>1.052160505105296</v>
      </c>
      <c r="G237" s="518">
        <f>F237*(1+G236)</f>
        <v>1.0792523264903395</v>
      </c>
      <c r="H237" s="518">
        <f>G237*(1+H236)</f>
        <v>1.1070417285034315</v>
      </c>
      <c r="I237" s="519">
        <f>H237*(1+I236)</f>
        <v>1.1355466729761414</v>
      </c>
      <c r="J237" s="402"/>
      <c r="K237" s="402"/>
    </row>
    <row r="238" spans="1:19" x14ac:dyDescent="0.2">
      <c r="A238" s="427"/>
      <c r="B238" s="402"/>
      <c r="C238" s="402"/>
      <c r="D238" s="402"/>
      <c r="E238" s="402"/>
      <c r="F238" s="402"/>
      <c r="G238" s="402"/>
      <c r="H238" s="402"/>
      <c r="I238" s="466"/>
      <c r="J238" s="402"/>
      <c r="K238" s="402"/>
    </row>
    <row r="239" spans="1:19" x14ac:dyDescent="0.2">
      <c r="A239" s="511" t="s">
        <v>94</v>
      </c>
      <c r="B239" s="402"/>
      <c r="C239" s="402"/>
      <c r="D239" s="402"/>
      <c r="E239" s="402"/>
      <c r="F239" s="402"/>
      <c r="G239" s="491">
        <f>G234/G237</f>
        <v>9516414.0469350498</v>
      </c>
      <c r="H239" s="491">
        <f>H234/H237</f>
        <v>6487131.257200608</v>
      </c>
      <c r="I239" s="520">
        <f>I234/I237</f>
        <v>7729507.9179756576</v>
      </c>
      <c r="J239" s="402"/>
      <c r="K239" s="402"/>
    </row>
    <row r="240" spans="1:19" x14ac:dyDescent="0.2">
      <c r="A240" s="427"/>
      <c r="B240" s="402"/>
      <c r="C240" s="402"/>
      <c r="D240" s="402"/>
      <c r="E240" s="402"/>
      <c r="F240" s="402"/>
      <c r="G240" s="402"/>
      <c r="H240" s="402"/>
      <c r="I240" s="466"/>
      <c r="J240" s="402"/>
      <c r="K240" s="402"/>
    </row>
    <row r="241" spans="1:11" x14ac:dyDescent="0.2">
      <c r="A241" s="427"/>
      <c r="B241" s="402"/>
      <c r="C241" s="402"/>
      <c r="D241" s="402"/>
      <c r="E241" s="402"/>
      <c r="F241" s="402"/>
      <c r="G241" s="402"/>
      <c r="H241" s="402"/>
      <c r="I241" s="466"/>
      <c r="J241" s="402"/>
      <c r="K241" s="402"/>
    </row>
    <row r="242" spans="1:11" x14ac:dyDescent="0.2">
      <c r="A242" s="427" t="s">
        <v>95</v>
      </c>
      <c r="B242" s="402"/>
      <c r="C242" s="402"/>
      <c r="D242" s="402"/>
      <c r="E242" s="521">
        <f>173.3/168.6-1</f>
        <v>2.7876631079478242E-2</v>
      </c>
      <c r="F242" s="521">
        <f>179.4/173.3-1</f>
        <v>3.5199076745527913E-2</v>
      </c>
      <c r="G242" s="521">
        <f>C17/C16-1</f>
        <v>2.0040080160320661E-2</v>
      </c>
      <c r="H242" s="521">
        <f>C18/C17-1</f>
        <v>2.16110019646365E-2</v>
      </c>
      <c r="I242" s="428">
        <f>C19/C18-1</f>
        <v>2.3076923076923217E-2</v>
      </c>
      <c r="J242" s="402"/>
      <c r="K242" s="402"/>
    </row>
    <row r="243" spans="1:11" x14ac:dyDescent="0.2">
      <c r="A243" s="427"/>
      <c r="B243" s="402"/>
      <c r="C243" s="402"/>
      <c r="D243" s="402"/>
      <c r="E243" s="521">
        <f>1+E242</f>
        <v>1.0278766310794782</v>
      </c>
      <c r="F243" s="521">
        <f>E243*(1+F242)</f>
        <v>1.0640569395017794</v>
      </c>
      <c r="G243" s="521">
        <f>F243*(1+G242)</f>
        <v>1.0853807258645405</v>
      </c>
      <c r="H243" s="521">
        <f t="shared" ref="H243:I243" si="9">G243*(1+H242)</f>
        <v>1.1088368908635777</v>
      </c>
      <c r="I243" s="522">
        <f t="shared" si="9"/>
        <v>1.1344254344988911</v>
      </c>
      <c r="J243" s="402"/>
      <c r="K243" s="402"/>
    </row>
    <row r="244" spans="1:11" x14ac:dyDescent="0.2">
      <c r="A244" s="427"/>
      <c r="B244" s="402"/>
      <c r="C244" s="402"/>
      <c r="D244" s="402"/>
      <c r="E244" s="402"/>
      <c r="F244" s="402"/>
      <c r="G244" s="402"/>
      <c r="H244" s="402"/>
      <c r="I244" s="466"/>
      <c r="J244" s="402"/>
      <c r="K244" s="402"/>
    </row>
    <row r="245" spans="1:11" x14ac:dyDescent="0.2">
      <c r="A245" s="511" t="s">
        <v>96</v>
      </c>
      <c r="B245" s="402"/>
      <c r="C245" s="402"/>
      <c r="D245" s="402"/>
      <c r="E245" s="402"/>
      <c r="F245" s="402"/>
      <c r="G245" s="523">
        <f>G239*G243</f>
        <v>10328932.385889873</v>
      </c>
      <c r="H245" s="523">
        <f>H239*H243</f>
        <v>7193170.4538582545</v>
      </c>
      <c r="I245" s="524">
        <f>I239*I243</f>
        <v>8768550.3783121537</v>
      </c>
      <c r="J245" s="402"/>
      <c r="K245" s="402"/>
    </row>
    <row r="246" spans="1:11" x14ac:dyDescent="0.2">
      <c r="A246" s="427"/>
      <c r="B246" s="402"/>
      <c r="C246" s="402"/>
      <c r="D246" s="402"/>
      <c r="E246" s="402"/>
      <c r="F246" s="402"/>
      <c r="G246" s="402"/>
      <c r="H246" s="402"/>
      <c r="I246" s="466"/>
      <c r="J246" s="402"/>
      <c r="K246" s="402"/>
    </row>
    <row r="247" spans="1:11" x14ac:dyDescent="0.2">
      <c r="A247" s="525"/>
      <c r="B247" s="526"/>
      <c r="C247" s="526"/>
      <c r="D247" s="526"/>
      <c r="E247" s="526"/>
      <c r="F247" s="526"/>
      <c r="G247" s="526"/>
      <c r="H247" s="526"/>
      <c r="I247" s="527"/>
      <c r="J247" s="402"/>
      <c r="K247" s="402"/>
    </row>
    <row r="248" spans="1:11" x14ac:dyDescent="0.2">
      <c r="A248" s="427"/>
      <c r="B248" s="402"/>
      <c r="C248" s="402"/>
      <c r="D248" s="402"/>
      <c r="E248" s="402"/>
      <c r="F248" s="402"/>
      <c r="G248" s="402"/>
      <c r="H248" s="402"/>
      <c r="I248" s="466"/>
      <c r="J248" s="402"/>
      <c r="K248" s="402"/>
    </row>
    <row r="249" spans="1:11" s="477" customFormat="1" x14ac:dyDescent="0.2">
      <c r="A249" s="482"/>
      <c r="B249" s="402"/>
      <c r="C249" s="402"/>
      <c r="D249" s="402"/>
      <c r="E249" s="402"/>
      <c r="F249" s="402"/>
      <c r="G249" s="402"/>
      <c r="H249" s="402"/>
      <c r="I249" s="466"/>
      <c r="J249" s="402"/>
      <c r="K249" s="476"/>
    </row>
    <row r="250" spans="1:11" s="477" customFormat="1" x14ac:dyDescent="0.2">
      <c r="A250" s="509" t="s">
        <v>106</v>
      </c>
      <c r="B250" s="402"/>
      <c r="C250" s="402"/>
      <c r="D250" s="402"/>
      <c r="E250" s="487">
        <v>2011</v>
      </c>
      <c r="F250" s="487">
        <v>2012</v>
      </c>
      <c r="G250" s="487">
        <v>2013</v>
      </c>
      <c r="H250" s="487">
        <v>2014</v>
      </c>
      <c r="I250" s="510">
        <v>2015</v>
      </c>
      <c r="J250" s="402"/>
      <c r="K250" s="476"/>
    </row>
    <row r="251" spans="1:11" s="477" customFormat="1" x14ac:dyDescent="0.2">
      <c r="A251" s="511" t="s">
        <v>92</v>
      </c>
      <c r="B251" s="194"/>
      <c r="C251" s="194"/>
      <c r="D251" s="402"/>
      <c r="E251" s="402"/>
      <c r="F251" s="402"/>
      <c r="G251" s="512">
        <v>5790000</v>
      </c>
      <c r="H251" s="512">
        <v>6030000</v>
      </c>
      <c r="I251" s="513">
        <v>8350000</v>
      </c>
      <c r="J251" s="402"/>
      <c r="K251" s="476"/>
    </row>
    <row r="252" spans="1:11" s="477" customFormat="1" x14ac:dyDescent="0.2">
      <c r="A252" s="528" t="s">
        <v>107</v>
      </c>
      <c r="B252" s="529"/>
      <c r="C252" s="529"/>
      <c r="D252" s="529"/>
      <c r="E252" s="529"/>
      <c r="F252" s="529"/>
      <c r="G252" s="530"/>
      <c r="H252" s="530"/>
      <c r="I252" s="531"/>
      <c r="J252" s="476"/>
      <c r="K252" s="476"/>
    </row>
    <row r="253" spans="1:11" s="477" customFormat="1" x14ac:dyDescent="0.2">
      <c r="A253" s="427" t="s">
        <v>93</v>
      </c>
      <c r="B253" s="402"/>
      <c r="C253" s="402"/>
      <c r="D253" s="402"/>
      <c r="E253" s="516">
        <v>2.5748753401775293E-2</v>
      </c>
      <c r="F253" s="516">
        <v>2.5748753401775293E-2</v>
      </c>
      <c r="G253" s="516">
        <v>2.5748753401775293E-2</v>
      </c>
      <c r="H253" s="516">
        <v>2.5748753401775293E-2</v>
      </c>
      <c r="I253" s="517">
        <v>2.5748753401775293E-2</v>
      </c>
      <c r="J253" s="402"/>
      <c r="K253" s="476"/>
    </row>
    <row r="254" spans="1:11" s="477" customFormat="1" x14ac:dyDescent="0.2">
      <c r="A254" s="427"/>
      <c r="B254" s="402"/>
      <c r="C254" s="402"/>
      <c r="D254" s="402"/>
      <c r="E254" s="518">
        <f>1+E253</f>
        <v>1.0257487534017753</v>
      </c>
      <c r="F254" s="518">
        <f>E254*(1+F253)</f>
        <v>1.052160505105296</v>
      </c>
      <c r="G254" s="518">
        <f>F254*(1+G253)</f>
        <v>1.0792523264903395</v>
      </c>
      <c r="H254" s="518">
        <f>G254*(1+H253)</f>
        <v>1.1070417285034315</v>
      </c>
      <c r="I254" s="519">
        <f>H254*(1+I253)</f>
        <v>1.1355466729761414</v>
      </c>
      <c r="J254" s="402"/>
      <c r="K254" s="476"/>
    </row>
    <row r="255" spans="1:11" s="477" customFormat="1" x14ac:dyDescent="0.2">
      <c r="A255" s="427"/>
      <c r="B255" s="402"/>
      <c r="C255" s="402"/>
      <c r="D255" s="402"/>
      <c r="E255" s="402"/>
      <c r="F255" s="402"/>
      <c r="G255" s="402"/>
      <c r="H255" s="402"/>
      <c r="I255" s="466"/>
      <c r="J255" s="402"/>
      <c r="K255" s="476"/>
    </row>
    <row r="256" spans="1:11" s="477" customFormat="1" x14ac:dyDescent="0.2">
      <c r="A256" s="511" t="s">
        <v>94</v>
      </c>
      <c r="B256" s="402"/>
      <c r="C256" s="402"/>
      <c r="D256" s="402"/>
      <c r="E256" s="402"/>
      <c r="F256" s="402"/>
      <c r="G256" s="491">
        <f>G251/G254</f>
        <v>5364825.1274368009</v>
      </c>
      <c r="H256" s="491">
        <f>H251/H254</f>
        <v>5446949.14811543</v>
      </c>
      <c r="I256" s="520">
        <f>I251/I254</f>
        <v>7353286.4819334811</v>
      </c>
      <c r="J256" s="402"/>
      <c r="K256" s="476"/>
    </row>
    <row r="257" spans="1:14" s="477" customFormat="1" x14ac:dyDescent="0.2">
      <c r="A257" s="427"/>
      <c r="B257" s="402"/>
      <c r="C257" s="402"/>
      <c r="D257" s="402"/>
      <c r="E257" s="402"/>
      <c r="F257" s="402"/>
      <c r="G257" s="402"/>
      <c r="H257" s="402"/>
      <c r="I257" s="466"/>
      <c r="J257" s="402"/>
      <c r="K257" s="476"/>
    </row>
    <row r="258" spans="1:14" s="477" customFormat="1" x14ac:dyDescent="0.2">
      <c r="A258" s="427"/>
      <c r="B258" s="402"/>
      <c r="C258" s="402"/>
      <c r="D258" s="402"/>
      <c r="E258" s="476"/>
      <c r="F258" s="402"/>
      <c r="G258" s="402"/>
      <c r="H258" s="402"/>
      <c r="I258" s="466"/>
      <c r="J258" s="402"/>
      <c r="K258" s="476"/>
    </row>
    <row r="259" spans="1:14" s="477" customFormat="1" x14ac:dyDescent="0.2">
      <c r="A259" s="427" t="s">
        <v>95</v>
      </c>
      <c r="B259" s="402"/>
      <c r="C259" s="402"/>
      <c r="D259" s="402"/>
      <c r="E259" s="521">
        <f>173.3/168.6-1</f>
        <v>2.7876631079478242E-2</v>
      </c>
      <c r="F259" s="521">
        <f>179.4/173.3-1</f>
        <v>3.5199076745527913E-2</v>
      </c>
      <c r="G259" s="521">
        <f>C17/C16-1</f>
        <v>2.0040080160320661E-2</v>
      </c>
      <c r="H259" s="521">
        <f>C18/C17-1</f>
        <v>2.16110019646365E-2</v>
      </c>
      <c r="I259" s="428">
        <f>C19/C18-1</f>
        <v>2.3076923076923217E-2</v>
      </c>
      <c r="J259" s="402"/>
      <c r="K259" s="476"/>
    </row>
    <row r="260" spans="1:14" s="477" customFormat="1" x14ac:dyDescent="0.2">
      <c r="A260" s="427"/>
      <c r="B260" s="402"/>
      <c r="C260" s="402"/>
      <c r="D260" s="402"/>
      <c r="E260" s="521">
        <f>1+E259</f>
        <v>1.0278766310794782</v>
      </c>
      <c r="F260" s="521">
        <f>E260*(1+F259)</f>
        <v>1.0640569395017794</v>
      </c>
      <c r="G260" s="521">
        <f>F260*(1+G259)</f>
        <v>1.0853807258645405</v>
      </c>
      <c r="H260" s="521">
        <f t="shared" ref="H260:I260" si="10">G260*(1+H259)</f>
        <v>1.1088368908635777</v>
      </c>
      <c r="I260" s="522">
        <f t="shared" si="10"/>
        <v>1.1344254344988911</v>
      </c>
      <c r="J260" s="402"/>
      <c r="K260" s="476"/>
    </row>
    <row r="261" spans="1:14" s="477" customFormat="1" x14ac:dyDescent="0.2">
      <c r="A261" s="427"/>
      <c r="B261" s="402"/>
      <c r="C261" s="402"/>
      <c r="D261" s="402"/>
      <c r="E261" s="402"/>
      <c r="F261" s="402"/>
      <c r="G261" s="402"/>
      <c r="H261" s="402"/>
      <c r="I261" s="466"/>
      <c r="J261" s="402"/>
      <c r="K261" s="476"/>
    </row>
    <row r="262" spans="1:14" s="477" customFormat="1" x14ac:dyDescent="0.2">
      <c r="A262" s="511" t="s">
        <v>96</v>
      </c>
      <c r="B262" s="402"/>
      <c r="C262" s="402"/>
      <c r="D262" s="402"/>
      <c r="E262" s="402"/>
      <c r="F262" s="402"/>
      <c r="G262" s="523">
        <f>G256*G260</f>
        <v>5822877.7909536809</v>
      </c>
      <c r="H262" s="523">
        <f>H256*H260</f>
        <v>6039778.1580883265</v>
      </c>
      <c r="I262" s="524">
        <f>I256*I260</f>
        <v>8341755.2122622114</v>
      </c>
      <c r="J262" s="402"/>
      <c r="K262" s="476"/>
    </row>
    <row r="263" spans="1:14" x14ac:dyDescent="0.2">
      <c r="A263" s="427"/>
      <c r="B263" s="402"/>
      <c r="C263" s="402"/>
      <c r="D263" s="402"/>
      <c r="E263" s="402"/>
      <c r="F263" s="402"/>
      <c r="G263" s="402"/>
      <c r="H263" s="402"/>
      <c r="I263" s="466"/>
      <c r="J263" s="402"/>
      <c r="K263" s="402"/>
    </row>
    <row r="264" spans="1:14" ht="13.5" thickBot="1" x14ac:dyDescent="0.25">
      <c r="A264" s="532"/>
      <c r="B264" s="533"/>
      <c r="C264" s="533"/>
      <c r="D264" s="533"/>
      <c r="E264" s="533"/>
      <c r="F264" s="533"/>
      <c r="G264" s="533"/>
      <c r="H264" s="533"/>
      <c r="I264" s="471"/>
      <c r="J264" s="402"/>
      <c r="K264" s="402"/>
    </row>
    <row r="265" spans="1:14" x14ac:dyDescent="0.2">
      <c r="A265" s="427"/>
      <c r="B265" s="402"/>
      <c r="C265" s="402"/>
      <c r="D265" s="402"/>
      <c r="E265" s="402"/>
      <c r="F265" s="402"/>
      <c r="G265" s="402"/>
      <c r="H265" s="402"/>
      <c r="I265" s="402"/>
      <c r="J265" s="402"/>
      <c r="K265" s="402"/>
    </row>
    <row r="266" spans="1:14" x14ac:dyDescent="0.2">
      <c r="A266" s="402"/>
      <c r="B266" s="402"/>
      <c r="C266" s="402"/>
      <c r="D266" s="402"/>
      <c r="E266" s="402"/>
      <c r="F266" s="402"/>
      <c r="G266" s="402"/>
      <c r="H266" s="402"/>
      <c r="I266" s="402"/>
      <c r="J266" s="402"/>
      <c r="K266" s="402"/>
    </row>
    <row r="267" spans="1:14" x14ac:dyDescent="0.2">
      <c r="A267" s="402"/>
      <c r="B267" s="402"/>
      <c r="C267" s="402"/>
      <c r="D267" s="402"/>
      <c r="E267" s="402"/>
      <c r="F267" s="402"/>
      <c r="G267" s="402"/>
      <c r="H267" s="402"/>
      <c r="I267" s="402"/>
      <c r="J267" s="402"/>
      <c r="K267" s="402"/>
    </row>
    <row r="268" spans="1:14" x14ac:dyDescent="0.2">
      <c r="A268" s="402"/>
      <c r="B268" s="402"/>
      <c r="C268" s="402"/>
      <c r="D268" s="402"/>
      <c r="E268" s="402"/>
      <c r="F268" s="402"/>
      <c r="G268" s="402"/>
      <c r="H268" s="402"/>
      <c r="I268" s="402"/>
      <c r="J268" s="402"/>
      <c r="K268" s="402"/>
    </row>
    <row r="269" spans="1:14" ht="13.5" thickBot="1" x14ac:dyDescent="0.25">
      <c r="A269" s="402"/>
      <c r="B269" s="402"/>
      <c r="C269" s="402"/>
      <c r="D269" s="402"/>
      <c r="E269" s="402"/>
      <c r="F269" s="402"/>
      <c r="G269" s="402"/>
      <c r="H269" s="402"/>
      <c r="I269" s="402"/>
      <c r="J269" s="402"/>
      <c r="K269" s="402"/>
      <c r="L269" s="402"/>
      <c r="M269" s="402"/>
      <c r="N269" s="402"/>
    </row>
    <row r="270" spans="1:14" ht="15.75" x14ac:dyDescent="0.25">
      <c r="A270" s="693" t="s">
        <v>566</v>
      </c>
      <c r="B270" s="694"/>
      <c r="C270" s="694"/>
      <c r="D270" s="484"/>
      <c r="E270" s="484"/>
      <c r="F270" s="484"/>
      <c r="G270" s="484"/>
      <c r="H270" s="484"/>
      <c r="I270" s="484"/>
      <c r="J270" s="484"/>
      <c r="K270" s="484"/>
      <c r="L270" s="484"/>
      <c r="M270" s="484"/>
      <c r="N270" s="437"/>
    </row>
    <row r="271" spans="1:14" x14ac:dyDescent="0.2">
      <c r="A271" s="438" t="str">
        <f>C3</f>
        <v>CitiPower</v>
      </c>
      <c r="B271" s="184"/>
      <c r="C271" s="184"/>
      <c r="D271" s="402"/>
      <c r="E271" s="402"/>
      <c r="F271" s="402"/>
      <c r="G271" s="402"/>
      <c r="H271" s="402"/>
      <c r="I271" s="402"/>
      <c r="J271" s="402"/>
      <c r="K271" s="402"/>
      <c r="L271" s="402"/>
      <c r="M271" s="402"/>
      <c r="N271" s="466"/>
    </row>
    <row r="272" spans="1:14" ht="15" x14ac:dyDescent="0.25">
      <c r="A272" s="427"/>
      <c r="B272" s="402"/>
      <c r="C272" s="683">
        <v>2009</v>
      </c>
      <c r="D272" s="683">
        <v>2010</v>
      </c>
      <c r="E272" s="683">
        <v>2011</v>
      </c>
      <c r="F272" s="683">
        <v>2012</v>
      </c>
      <c r="G272" s="690">
        <v>2013</v>
      </c>
      <c r="H272" s="683">
        <v>2014</v>
      </c>
      <c r="I272" s="690">
        <v>2015</v>
      </c>
      <c r="J272" s="684">
        <v>2016</v>
      </c>
      <c r="K272" s="684">
        <v>2017</v>
      </c>
      <c r="L272" s="684">
        <v>2018</v>
      </c>
      <c r="M272" s="684">
        <v>2019</v>
      </c>
      <c r="N272" s="695">
        <v>2020</v>
      </c>
    </row>
    <row r="273" spans="1:14" ht="15" x14ac:dyDescent="0.25">
      <c r="A273" s="696" t="s">
        <v>76</v>
      </c>
      <c r="B273" s="402"/>
      <c r="C273" s="697">
        <v>4.9810844892812067E-2</v>
      </c>
      <c r="D273" s="697">
        <v>1.2612612612612484E-2</v>
      </c>
      <c r="E273" s="697">
        <v>2.7876631079478242E-2</v>
      </c>
      <c r="F273" s="697">
        <v>3.5199076745527913E-2</v>
      </c>
      <c r="G273" s="687">
        <f>$F17</f>
        <v>2.0040080160320661E-2</v>
      </c>
      <c r="H273" s="521">
        <f>$F18</f>
        <v>2.16110019646365E-2</v>
      </c>
      <c r="I273" s="687">
        <f>$F19</f>
        <v>2.3076923076923217E-2</v>
      </c>
      <c r="J273" s="521">
        <f>$F20</f>
        <v>1.5037593984962294E-2</v>
      </c>
      <c r="K273" s="521">
        <f>$F22</f>
        <v>1.0232558139534831E-2</v>
      </c>
      <c r="L273" s="521">
        <f>$F23</f>
        <v>1.9337016574585641E-2</v>
      </c>
      <c r="M273" s="521">
        <f>$F24</f>
        <v>2.0776874435411097E-2</v>
      </c>
      <c r="N273" s="522">
        <f>$F25</f>
        <v>0</v>
      </c>
    </row>
    <row r="274" spans="1:14" s="180" customFormat="1" ht="15" x14ac:dyDescent="0.25">
      <c r="A274" s="698"/>
      <c r="B274" s="194"/>
      <c r="C274" s="699"/>
      <c r="D274" s="699"/>
      <c r="E274" s="699"/>
      <c r="F274" s="699"/>
      <c r="G274" s="691"/>
      <c r="H274" s="700"/>
      <c r="I274" s="691"/>
      <c r="J274" s="700"/>
      <c r="K274" s="700"/>
      <c r="L274" s="700"/>
      <c r="M274" s="700"/>
      <c r="N274" s="701"/>
    </row>
    <row r="275" spans="1:14" ht="15" x14ac:dyDescent="0.25">
      <c r="A275" s="696" t="s">
        <v>567</v>
      </c>
      <c r="B275" s="402"/>
      <c r="C275" s="697">
        <v>6.7716458658346301E-2</v>
      </c>
      <c r="D275" s="521">
        <f>$C275</f>
        <v>6.7716458658346301E-2</v>
      </c>
      <c r="E275" s="521">
        <f t="shared" ref="E275:G275" si="11">$C275</f>
        <v>6.7716458658346301E-2</v>
      </c>
      <c r="F275" s="521">
        <f t="shared" si="11"/>
        <v>6.7716458658346301E-2</v>
      </c>
      <c r="G275" s="687">
        <f t="shared" si="11"/>
        <v>6.7716458658346301E-2</v>
      </c>
      <c r="H275" s="697">
        <v>5.0239094369083762E-2</v>
      </c>
      <c r="I275" s="687">
        <f>H275</f>
        <v>5.0239094369083762E-2</v>
      </c>
      <c r="J275" s="521">
        <f>D43</f>
        <v>3.6700024103140591E-2</v>
      </c>
      <c r="K275" s="521">
        <f>E43</f>
        <v>3.6127568814887212E-2</v>
      </c>
      <c r="L275" s="521">
        <f>F43</f>
        <v>3.5630478851561828E-2</v>
      </c>
      <c r="M275" s="521">
        <f>G43</f>
        <v>3.5080474747029383E-2</v>
      </c>
      <c r="N275" s="522">
        <f>H43</f>
        <v>3.5080474747029383E-2</v>
      </c>
    </row>
    <row r="276" spans="1:14" ht="15" x14ac:dyDescent="0.25">
      <c r="A276" s="696" t="s">
        <v>568</v>
      </c>
      <c r="B276" s="402"/>
      <c r="C276" s="702">
        <f t="shared" ref="C276:N276" si="12">(1+C275)*(1+C273)-1</f>
        <v>0.1209003175700798</v>
      </c>
      <c r="D276" s="702">
        <f t="shared" si="12"/>
        <v>8.1183152731514552E-2</v>
      </c>
      <c r="E276" s="702">
        <f t="shared" si="12"/>
        <v>9.7480796473851994E-2</v>
      </c>
      <c r="F276" s="702">
        <f t="shared" si="12"/>
        <v>0.10529909222912481</v>
      </c>
      <c r="G276" s="688">
        <f t="shared" si="12"/>
        <v>8.9113582078353293E-2</v>
      </c>
      <c r="H276" s="702">
        <f t="shared" si="12"/>
        <v>7.2935813500832225E-2</v>
      </c>
      <c r="I276" s="688">
        <f t="shared" si="12"/>
        <v>7.4475381162216747E-2</v>
      </c>
      <c r="J276" s="702">
        <f t="shared" si="12"/>
        <v>5.2289498149804103E-2</v>
      </c>
      <c r="K276" s="702">
        <f t="shared" si="12"/>
        <v>4.6729804402760422E-2</v>
      </c>
      <c r="L276" s="702">
        <f t="shared" si="12"/>
        <v>5.5656482586260436E-2</v>
      </c>
      <c r="M276" s="702">
        <f t="shared" si="12"/>
        <v>5.6586211801394226E-2</v>
      </c>
      <c r="N276" s="703">
        <f t="shared" si="12"/>
        <v>3.5080474747029466E-2</v>
      </c>
    </row>
    <row r="277" spans="1:14" ht="15" x14ac:dyDescent="0.25">
      <c r="A277" s="696"/>
      <c r="B277" s="402"/>
      <c r="C277" s="402"/>
      <c r="D277" s="402"/>
      <c r="E277" s="402"/>
      <c r="F277" s="402"/>
      <c r="G277" s="452"/>
      <c r="H277" s="402"/>
      <c r="I277" s="452"/>
      <c r="J277" s="402"/>
      <c r="K277" s="402"/>
      <c r="L277" s="402"/>
      <c r="M277" s="402"/>
      <c r="N277" s="466"/>
    </row>
    <row r="278" spans="1:14" ht="15" x14ac:dyDescent="0.25">
      <c r="A278" s="696" t="s">
        <v>569</v>
      </c>
      <c r="B278" s="402"/>
      <c r="C278" s="704">
        <f>(1+C276)^0.5</f>
        <v>1.0587257990481198</v>
      </c>
      <c r="D278" s="705">
        <f t="shared" ref="D278:L278" si="13">C278*(D276+1)</f>
        <v>1.1446764972930381</v>
      </c>
      <c r="E278" s="705">
        <f t="shared" si="13"/>
        <v>1.2562604739540626</v>
      </c>
      <c r="F278" s="705">
        <f t="shared" si="13"/>
        <v>1.3885435614647554</v>
      </c>
      <c r="G278" s="689">
        <f t="shared" si="13"/>
        <v>1.5122816520987139</v>
      </c>
      <c r="H278" s="705">
        <f t="shared" si="13"/>
        <v>1.6225811446369161</v>
      </c>
      <c r="I278" s="689">
        <f t="shared" si="13"/>
        <v>1.7434234938503763</v>
      </c>
      <c r="J278" s="705">
        <f t="shared" si="13"/>
        <v>1.8345862334063905</v>
      </c>
      <c r="K278" s="705">
        <f t="shared" si="13"/>
        <v>1.9203160892534681</v>
      </c>
      <c r="L278" s="705">
        <f t="shared" si="13"/>
        <v>2.0271941282351196</v>
      </c>
      <c r="M278" s="705">
        <f t="shared" ref="M278" si="14">L278*(M276+1)</f>
        <v>2.1419053645379749</v>
      </c>
      <c r="N278" s="706">
        <f t="shared" ref="N278" si="15">M278*(N276+1)</f>
        <v>2.217044421589176</v>
      </c>
    </row>
    <row r="279" spans="1:14" ht="15" x14ac:dyDescent="0.25">
      <c r="A279" s="707"/>
      <c r="B279" s="402"/>
      <c r="C279" s="402"/>
      <c r="D279" s="402"/>
      <c r="E279" s="402"/>
      <c r="F279" s="402"/>
      <c r="G279" s="402"/>
      <c r="H279" s="402"/>
      <c r="I279" s="402"/>
      <c r="J279" s="402"/>
      <c r="K279" s="402"/>
      <c r="L279" s="402"/>
      <c r="M279" s="402"/>
      <c r="N279" s="466"/>
    </row>
    <row r="280" spans="1:14" ht="15" x14ac:dyDescent="0.25">
      <c r="A280" s="708" t="s">
        <v>570</v>
      </c>
      <c r="B280" s="402"/>
      <c r="C280" s="402"/>
      <c r="D280" s="402"/>
      <c r="E280" s="402"/>
      <c r="F280" s="402"/>
      <c r="G280" s="402"/>
      <c r="H280" s="402"/>
      <c r="I280" s="402"/>
      <c r="J280" s="402"/>
      <c r="K280" s="402"/>
      <c r="L280" s="402"/>
      <c r="M280" s="402"/>
      <c r="N280" s="466"/>
    </row>
    <row r="281" spans="1:14" ht="15" x14ac:dyDescent="0.25">
      <c r="A281" s="709" t="s">
        <v>571</v>
      </c>
      <c r="B281" s="402"/>
      <c r="C281" s="402"/>
      <c r="D281" s="402"/>
      <c r="E281" s="402"/>
      <c r="F281" s="402"/>
      <c r="G281" s="402"/>
      <c r="H281" s="402"/>
      <c r="I281" s="402"/>
      <c r="J281" s="402"/>
      <c r="K281" s="402"/>
      <c r="L281" s="402"/>
      <c r="M281" s="402"/>
      <c r="N281" s="466"/>
    </row>
    <row r="282" spans="1:14" ht="15" x14ac:dyDescent="0.25">
      <c r="A282" s="710" t="s">
        <v>572</v>
      </c>
      <c r="B282" s="402"/>
      <c r="C282" s="402"/>
      <c r="D282" s="685">
        <v>296.83499067157391</v>
      </c>
      <c r="E282" s="402"/>
      <c r="F282" s="402"/>
      <c r="G282" s="402"/>
      <c r="H282" s="402"/>
      <c r="I282" s="402"/>
      <c r="J282" s="402"/>
      <c r="K282" s="402"/>
      <c r="L282" s="402"/>
      <c r="M282" s="402"/>
      <c r="N282" s="466"/>
    </row>
    <row r="283" spans="1:14" ht="15" x14ac:dyDescent="0.25">
      <c r="A283" s="707"/>
      <c r="B283" s="402"/>
      <c r="C283" s="402"/>
      <c r="D283" s="402"/>
      <c r="E283" s="402"/>
      <c r="F283" s="402"/>
      <c r="G283" s="402"/>
      <c r="H283" s="402"/>
      <c r="I283" s="402"/>
      <c r="J283" s="402"/>
      <c r="K283" s="402"/>
      <c r="L283" s="402"/>
      <c r="M283" s="402"/>
      <c r="N283" s="466"/>
    </row>
    <row r="284" spans="1:14" ht="15" x14ac:dyDescent="0.25">
      <c r="A284" s="710" t="s">
        <v>566</v>
      </c>
      <c r="B284" s="402"/>
      <c r="C284" s="402"/>
      <c r="D284" s="686">
        <f>-D282*L278*10^3</f>
        <v>-601742.15014414105</v>
      </c>
      <c r="E284" s="402"/>
      <c r="F284" s="402"/>
      <c r="G284" s="402"/>
      <c r="H284" s="402"/>
      <c r="I284" s="402"/>
      <c r="J284" s="402"/>
      <c r="K284" s="402"/>
      <c r="L284" s="402"/>
      <c r="M284" s="402"/>
      <c r="N284" s="466"/>
    </row>
    <row r="285" spans="1:14" ht="15" x14ac:dyDescent="0.25">
      <c r="A285" s="707"/>
      <c r="B285" s="402"/>
      <c r="C285" s="402"/>
      <c r="D285" s="402"/>
      <c r="E285" s="402"/>
      <c r="F285" s="402"/>
      <c r="G285" s="402"/>
      <c r="H285" s="402"/>
      <c r="I285" s="402"/>
      <c r="J285" s="402"/>
      <c r="K285" s="402"/>
      <c r="L285" s="402"/>
      <c r="M285" s="402"/>
      <c r="N285" s="466"/>
    </row>
    <row r="286" spans="1:14" ht="15" x14ac:dyDescent="0.25">
      <c r="A286" s="708" t="s">
        <v>573</v>
      </c>
      <c r="B286" s="402"/>
      <c r="C286" s="402"/>
      <c r="D286" s="402"/>
      <c r="E286" s="402"/>
      <c r="F286" s="402"/>
      <c r="G286" s="402"/>
      <c r="H286" s="402"/>
      <c r="I286" s="402"/>
      <c r="J286" s="402"/>
      <c r="K286" s="402"/>
      <c r="L286" s="402"/>
      <c r="M286" s="402"/>
      <c r="N286" s="466"/>
    </row>
    <row r="287" spans="1:14" x14ac:dyDescent="0.2">
      <c r="A287" s="711" t="s">
        <v>574</v>
      </c>
      <c r="B287" s="402"/>
      <c r="C287" s="402"/>
      <c r="D287" s="402"/>
      <c r="E287" s="402"/>
      <c r="F287" s="402"/>
      <c r="G287" s="402"/>
      <c r="H287" s="402"/>
      <c r="I287" s="402"/>
      <c r="J287" s="402"/>
      <c r="K287" s="402"/>
      <c r="L287" s="402"/>
      <c r="M287" s="402"/>
      <c r="N287" s="466"/>
    </row>
    <row r="288" spans="1:14" ht="15" x14ac:dyDescent="0.25">
      <c r="A288" s="710" t="s">
        <v>575</v>
      </c>
      <c r="B288" s="402"/>
      <c r="C288" s="402"/>
      <c r="D288" s="685">
        <v>-1035.5446757456407</v>
      </c>
      <c r="E288" s="402"/>
      <c r="F288" s="402"/>
      <c r="G288" s="402"/>
      <c r="H288" s="402"/>
      <c r="I288" s="402"/>
      <c r="J288" s="402"/>
      <c r="K288" s="402"/>
      <c r="L288" s="402"/>
      <c r="M288" s="402"/>
      <c r="N288" s="466"/>
    </row>
    <row r="289" spans="1:14" ht="15" x14ac:dyDescent="0.25">
      <c r="A289" s="712"/>
      <c r="B289" s="402"/>
      <c r="C289" s="402"/>
      <c r="D289" s="402"/>
      <c r="E289" s="402"/>
      <c r="F289" s="402"/>
      <c r="G289" s="402"/>
      <c r="H289" s="402"/>
      <c r="I289" s="402"/>
      <c r="J289" s="402"/>
      <c r="K289" s="402"/>
      <c r="L289" s="402"/>
      <c r="M289" s="402"/>
      <c r="N289" s="466"/>
    </row>
    <row r="290" spans="1:14" ht="15" x14ac:dyDescent="0.25">
      <c r="A290" s="710" t="s">
        <v>566</v>
      </c>
      <c r="B290" s="402"/>
      <c r="C290" s="402"/>
      <c r="D290" s="686">
        <f>D288*L278/I278*10^3</f>
        <v>-1204096.4766170951</v>
      </c>
      <c r="E290" s="402"/>
      <c r="F290" s="402"/>
      <c r="G290" s="402"/>
      <c r="H290" s="402"/>
      <c r="I290" s="402"/>
      <c r="J290" s="402"/>
      <c r="K290" s="402"/>
      <c r="L290" s="402"/>
      <c r="M290" s="402"/>
      <c r="N290" s="466"/>
    </row>
    <row r="291" spans="1:14" ht="15" x14ac:dyDescent="0.25">
      <c r="A291" s="707"/>
      <c r="B291" s="402"/>
      <c r="C291" s="402"/>
      <c r="D291" s="402"/>
      <c r="E291" s="402"/>
      <c r="F291" s="402"/>
      <c r="G291" s="402"/>
      <c r="H291" s="402"/>
      <c r="I291" s="402"/>
      <c r="J291" s="402"/>
      <c r="K291" s="402"/>
      <c r="L291" s="402"/>
      <c r="M291" s="402"/>
      <c r="N291" s="466"/>
    </row>
    <row r="292" spans="1:14" ht="15.75" x14ac:dyDescent="0.25">
      <c r="A292" s="713" t="s">
        <v>565</v>
      </c>
      <c r="B292" s="714"/>
      <c r="C292" s="402"/>
      <c r="D292" s="692">
        <f>SUM(D284,D290)</f>
        <v>-1805838.6267612362</v>
      </c>
      <c r="E292" s="402"/>
      <c r="F292" s="402"/>
      <c r="G292" s="402"/>
      <c r="H292" s="402"/>
      <c r="I292" s="402"/>
      <c r="J292" s="402"/>
      <c r="K292" s="402"/>
      <c r="L292" s="402"/>
      <c r="M292" s="402"/>
      <c r="N292" s="466"/>
    </row>
    <row r="293" spans="1:14" ht="13.5" thickBot="1" x14ac:dyDescent="0.25">
      <c r="A293" s="532"/>
      <c r="B293" s="533"/>
      <c r="C293" s="533"/>
      <c r="D293" s="533"/>
      <c r="E293" s="533"/>
      <c r="F293" s="533"/>
      <c r="G293" s="533"/>
      <c r="H293" s="533"/>
      <c r="I293" s="533"/>
      <c r="J293" s="533"/>
      <c r="K293" s="533"/>
      <c r="L293" s="533"/>
      <c r="M293" s="533"/>
      <c r="N293" s="471"/>
    </row>
  </sheetData>
  <pageMargins left="0.74803149606299213" right="0.74803149606299213" top="0.98425196850393704" bottom="0.98425196850393704" header="0.51181102362204722" footer="0.51181102362204722"/>
  <pageSetup paperSize="9" scale="48" orientation="landscape"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00FF"/>
  </sheetPr>
  <dimension ref="A1:V93"/>
  <sheetViews>
    <sheetView topLeftCell="A10" zoomScale="85" zoomScaleNormal="85" workbookViewId="0">
      <selection activeCell="F37" sqref="F37"/>
    </sheetView>
  </sheetViews>
  <sheetFormatPr defaultRowHeight="12.75" x14ac:dyDescent="0.2"/>
  <cols>
    <col min="1" max="1" width="1.85546875" style="196" customWidth="1"/>
    <col min="2" max="2" width="37.28515625" style="196" customWidth="1"/>
    <col min="3" max="3" width="33.42578125" style="196" customWidth="1"/>
    <col min="4" max="4" width="22" style="196" customWidth="1"/>
    <col min="5" max="5" width="20" style="196" customWidth="1"/>
    <col min="6" max="6" width="19.7109375" style="196" customWidth="1"/>
    <col min="7" max="7" width="2.28515625" style="196" customWidth="1"/>
    <col min="8" max="8" width="19.42578125" style="196" customWidth="1"/>
    <col min="9" max="9" width="20.28515625" style="196" customWidth="1"/>
    <col min="10" max="10" width="2.28515625" style="196" customWidth="1"/>
    <col min="11" max="11" width="14.7109375" style="196" customWidth="1"/>
    <col min="12" max="12" width="16.140625" style="196" customWidth="1"/>
    <col min="13" max="16384" width="9.140625" style="196"/>
  </cols>
  <sheetData>
    <row r="1" spans="1:18" s="180" customFormat="1" ht="15" x14ac:dyDescent="0.25">
      <c r="A1" s="245"/>
      <c r="B1" s="179" t="str">
        <f>"Tariff Approval - "&amp;'Model update'!C3</f>
        <v>Tariff Approval - CitiPower</v>
      </c>
      <c r="C1" s="179"/>
      <c r="D1" s="380"/>
      <c r="E1" s="380"/>
      <c r="F1" s="245"/>
      <c r="G1" s="245"/>
      <c r="H1" s="245"/>
      <c r="I1" s="179"/>
      <c r="J1" s="245"/>
      <c r="K1" s="245"/>
      <c r="L1" s="245"/>
      <c r="M1" s="182"/>
      <c r="N1" s="182"/>
      <c r="O1" s="182"/>
      <c r="P1" s="182"/>
      <c r="Q1" s="182"/>
      <c r="R1" s="182"/>
    </row>
    <row r="2" spans="1:18" s="180" customFormat="1" x14ac:dyDescent="0.2">
      <c r="A2" s="245"/>
      <c r="B2" s="245"/>
      <c r="C2" s="245"/>
      <c r="D2" s="245"/>
      <c r="E2" s="245"/>
      <c r="F2" s="245"/>
      <c r="G2" s="245"/>
      <c r="H2" s="380"/>
      <c r="I2" s="245"/>
      <c r="J2" s="245"/>
      <c r="K2" s="245"/>
      <c r="L2" s="245"/>
      <c r="M2" s="182"/>
      <c r="N2" s="182"/>
      <c r="O2" s="182"/>
      <c r="P2" s="182"/>
      <c r="Q2" s="182"/>
      <c r="R2" s="182"/>
    </row>
    <row r="3" spans="1:18" s="180" customFormat="1" x14ac:dyDescent="0.2">
      <c r="A3" s="245"/>
      <c r="B3" s="181" t="str">
        <f>"PROPOSED "&amp;'Model update'!$C$5&amp;" METERING TARIFFS AND REVENUE"</f>
        <v>PROPOSED 2019 METERING TARIFFS AND REVENUE</v>
      </c>
      <c r="C3" s="181"/>
      <c r="D3" s="380"/>
      <c r="E3" s="380"/>
      <c r="F3" s="245"/>
      <c r="G3" s="245"/>
      <c r="H3" s="245"/>
      <c r="I3" s="181"/>
      <c r="J3" s="245"/>
      <c r="K3" s="245"/>
      <c r="L3" s="245"/>
      <c r="M3" s="182"/>
      <c r="N3" s="182"/>
      <c r="O3" s="182"/>
      <c r="P3" s="182"/>
      <c r="Q3" s="182"/>
      <c r="R3" s="182"/>
    </row>
    <row r="4" spans="1:18" s="180" customFormat="1" ht="15.75" thickBot="1" x14ac:dyDescent="0.3">
      <c r="A4" s="245"/>
      <c r="B4" s="179"/>
      <c r="C4" s="179"/>
      <c r="D4" s="245"/>
      <c r="E4" s="245"/>
      <c r="F4" s="245"/>
      <c r="G4" s="245"/>
      <c r="H4" s="245"/>
      <c r="I4" s="179"/>
      <c r="J4" s="245"/>
      <c r="K4" s="245"/>
      <c r="L4" s="245"/>
      <c r="M4" s="182"/>
      <c r="N4" s="182"/>
      <c r="O4" s="182"/>
      <c r="P4" s="182"/>
      <c r="Q4" s="182"/>
      <c r="R4" s="182"/>
    </row>
    <row r="5" spans="1:18" s="180" customFormat="1" ht="26.25" thickBot="1" x14ac:dyDescent="0.25">
      <c r="A5" s="182"/>
      <c r="B5" s="182"/>
      <c r="C5" s="182"/>
      <c r="D5" s="183" t="str">
        <f>"Proposed Metering Tariffs P(t) for " &amp;'Model update'!$C$5</f>
        <v>Proposed Metering Tariffs P(t) for 2019</v>
      </c>
      <c r="E5" s="183" t="str">
        <f>"Current Metering Tariffs P(t-1) for" &amp;'Model update'!$C$8</f>
        <v>Current Metering Tariffs P(t-1) for2018</v>
      </c>
      <c r="F5" s="183" t="str">
        <f>"Forecast Quantities   (Qt) for "&amp;'Model update'!$C$5</f>
        <v>Forecast Quantities   (Qt) for 2019</v>
      </c>
      <c r="G5" s="185"/>
      <c r="H5" s="183" t="str">
        <f>"Forecast Revenue (Pt "&amp;'Model update'!$C$5&amp;")*(Qt " &amp;'Model update'!$C$5&amp;")"</f>
        <v>Forecast Revenue (Pt 2019)*(Qt 2019)</v>
      </c>
      <c r="I5" s="183" t="str">
        <f>"Revenue                    (Pt-1 "&amp;'Model update'!$C$8&amp;")*(Qt " &amp;'Model update'!$C$5&amp;")"</f>
        <v>Revenue                    (Pt-1 2018)*(Qt 2019)</v>
      </c>
      <c r="J5" s="185"/>
      <c r="K5" s="546" t="s">
        <v>187</v>
      </c>
      <c r="L5" s="547" t="s">
        <v>344</v>
      </c>
      <c r="M5" s="182"/>
      <c r="N5" s="182"/>
      <c r="O5" s="182"/>
      <c r="P5" s="182"/>
      <c r="Q5" s="182"/>
      <c r="R5" s="182"/>
    </row>
    <row r="6" spans="1:18" s="180" customFormat="1" ht="25.5" x14ac:dyDescent="0.2">
      <c r="A6" s="182"/>
      <c r="B6" s="186" t="s">
        <v>128</v>
      </c>
      <c r="C6" s="187" t="s">
        <v>129</v>
      </c>
      <c r="D6" s="188" t="s">
        <v>299</v>
      </c>
      <c r="E6" s="188" t="s">
        <v>303</v>
      </c>
      <c r="F6" s="188" t="s">
        <v>304</v>
      </c>
      <c r="G6" s="185"/>
      <c r="H6" s="188" t="s">
        <v>145</v>
      </c>
      <c r="I6" s="188" t="s">
        <v>153</v>
      </c>
      <c r="J6" s="185"/>
      <c r="K6" s="548"/>
      <c r="L6" s="548"/>
      <c r="M6" s="182"/>
      <c r="N6" s="182"/>
      <c r="O6" s="182"/>
      <c r="P6" s="182"/>
      <c r="Q6" s="182"/>
      <c r="R6" s="182"/>
    </row>
    <row r="7" spans="1:18" s="180" customFormat="1" x14ac:dyDescent="0.2">
      <c r="A7" s="182"/>
      <c r="B7" s="189"/>
      <c r="C7" s="190"/>
      <c r="D7" s="381"/>
      <c r="E7" s="381"/>
      <c r="F7" s="191"/>
      <c r="G7" s="185"/>
      <c r="H7" s="542"/>
      <c r="I7" s="543"/>
      <c r="J7" s="185"/>
      <c r="K7" s="549"/>
      <c r="L7" s="550"/>
      <c r="M7" s="182"/>
      <c r="N7" s="182"/>
      <c r="O7" s="182"/>
      <c r="P7" s="182"/>
      <c r="Q7" s="182"/>
      <c r="R7" s="182"/>
    </row>
    <row r="8" spans="1:18" s="180" customFormat="1" x14ac:dyDescent="0.2">
      <c r="A8" s="182"/>
      <c r="B8" s="189" t="s">
        <v>300</v>
      </c>
      <c r="C8" s="190" t="s">
        <v>300</v>
      </c>
      <c r="D8" s="784">
        <v>73</v>
      </c>
      <c r="E8" s="382">
        <v>73</v>
      </c>
      <c r="F8" s="785">
        <v>262817.01513024658</v>
      </c>
      <c r="G8" s="185"/>
      <c r="H8" s="542">
        <f t="shared" ref="H8:H16" si="0">D8*F8</f>
        <v>19185642.104508001</v>
      </c>
      <c r="I8" s="542">
        <f t="shared" ref="I8:I16" si="1">E8*F8</f>
        <v>19185642.104508001</v>
      </c>
      <c r="J8" s="185"/>
      <c r="K8" s="551">
        <f>IFERROR(H8/I8,"")</f>
        <v>1</v>
      </c>
      <c r="L8" s="552" t="str">
        <f t="shared" ref="L8:L16" si="2">IF(B8="","",IF(K8&lt;$I$30,"COMPLIANT","BREACHED"))</f>
        <v>COMPLIANT</v>
      </c>
      <c r="M8" s="182"/>
      <c r="N8" s="182"/>
      <c r="O8" s="182"/>
      <c r="P8" s="182"/>
      <c r="Q8" s="182"/>
      <c r="R8" s="182"/>
    </row>
    <row r="9" spans="1:18" s="180" customFormat="1" x14ac:dyDescent="0.2">
      <c r="A9" s="182"/>
      <c r="B9" s="189" t="s">
        <v>301</v>
      </c>
      <c r="C9" s="190" t="s">
        <v>301</v>
      </c>
      <c r="D9" s="784">
        <v>91.25</v>
      </c>
      <c r="E9" s="382">
        <v>91.25</v>
      </c>
      <c r="F9" s="785">
        <v>64015.147371495907</v>
      </c>
      <c r="G9" s="185"/>
      <c r="H9" s="542">
        <f t="shared" si="0"/>
        <v>5841382.1976490011</v>
      </c>
      <c r="I9" s="542">
        <f t="shared" si="1"/>
        <v>5841382.1976490011</v>
      </c>
      <c r="J9" s="185"/>
      <c r="K9" s="551">
        <f t="shared" ref="K9:K16" si="3">IFERROR(H9/I9,"")</f>
        <v>1</v>
      </c>
      <c r="L9" s="552" t="str">
        <f t="shared" si="2"/>
        <v>COMPLIANT</v>
      </c>
      <c r="M9" s="182"/>
      <c r="N9" s="182"/>
      <c r="O9" s="182"/>
      <c r="P9" s="182"/>
      <c r="Q9" s="182"/>
      <c r="R9" s="182"/>
    </row>
    <row r="10" spans="1:18" s="180" customFormat="1" x14ac:dyDescent="0.2">
      <c r="A10" s="182"/>
      <c r="B10" s="189" t="s">
        <v>302</v>
      </c>
      <c r="C10" s="190" t="s">
        <v>302</v>
      </c>
      <c r="D10" s="784">
        <v>113.15</v>
      </c>
      <c r="E10" s="382">
        <v>113.15</v>
      </c>
      <c r="F10" s="785">
        <v>3075.2472681247182</v>
      </c>
      <c r="G10" s="185"/>
      <c r="H10" s="542">
        <f t="shared" si="0"/>
        <v>347964.22838831187</v>
      </c>
      <c r="I10" s="542">
        <f t="shared" si="1"/>
        <v>347964.22838831187</v>
      </c>
      <c r="J10" s="185"/>
      <c r="K10" s="551">
        <f t="shared" si="3"/>
        <v>1</v>
      </c>
      <c r="L10" s="552" t="str">
        <f t="shared" si="2"/>
        <v>COMPLIANT</v>
      </c>
      <c r="M10" s="182"/>
      <c r="N10" s="182"/>
      <c r="O10" s="182"/>
      <c r="P10" s="182"/>
      <c r="Q10" s="182"/>
      <c r="R10" s="182"/>
    </row>
    <row r="11" spans="1:18" s="180" customFormat="1" x14ac:dyDescent="0.2">
      <c r="A11" s="182"/>
      <c r="B11" s="189"/>
      <c r="C11" s="190"/>
      <c r="D11" s="383"/>
      <c r="E11" s="383"/>
      <c r="F11" s="384"/>
      <c r="G11" s="185"/>
      <c r="H11" s="542">
        <f t="shared" si="0"/>
        <v>0</v>
      </c>
      <c r="I11" s="542">
        <f t="shared" si="1"/>
        <v>0</v>
      </c>
      <c r="J11" s="185"/>
      <c r="K11" s="553" t="str">
        <f t="shared" si="3"/>
        <v/>
      </c>
      <c r="L11" s="552" t="str">
        <f t="shared" si="2"/>
        <v/>
      </c>
      <c r="M11" s="182"/>
      <c r="N11" s="182"/>
      <c r="O11" s="182"/>
      <c r="P11" s="182"/>
      <c r="Q11" s="182"/>
      <c r="R11" s="182"/>
    </row>
    <row r="12" spans="1:18" s="180" customFormat="1" x14ac:dyDescent="0.2">
      <c r="A12" s="182"/>
      <c r="B12" s="189"/>
      <c r="C12" s="190"/>
      <c r="D12" s="383"/>
      <c r="E12" s="383"/>
      <c r="F12" s="384"/>
      <c r="G12" s="185"/>
      <c r="H12" s="542">
        <f t="shared" si="0"/>
        <v>0</v>
      </c>
      <c r="I12" s="542">
        <f t="shared" si="1"/>
        <v>0</v>
      </c>
      <c r="J12" s="185"/>
      <c r="K12" s="553" t="str">
        <f t="shared" si="3"/>
        <v/>
      </c>
      <c r="L12" s="552" t="str">
        <f t="shared" si="2"/>
        <v/>
      </c>
      <c r="M12" s="182"/>
      <c r="N12" s="182"/>
      <c r="O12" s="182"/>
      <c r="P12" s="182"/>
      <c r="Q12" s="182"/>
      <c r="R12" s="182"/>
    </row>
    <row r="13" spans="1:18" s="180" customFormat="1" x14ac:dyDescent="0.2">
      <c r="A13" s="182"/>
      <c r="B13" s="189"/>
      <c r="C13" s="190"/>
      <c r="D13" s="383"/>
      <c r="E13" s="383"/>
      <c r="F13" s="384"/>
      <c r="G13" s="185"/>
      <c r="H13" s="542">
        <f t="shared" si="0"/>
        <v>0</v>
      </c>
      <c r="I13" s="542">
        <f t="shared" si="1"/>
        <v>0</v>
      </c>
      <c r="J13" s="185"/>
      <c r="K13" s="553" t="str">
        <f t="shared" si="3"/>
        <v/>
      </c>
      <c r="L13" s="552" t="str">
        <f t="shared" si="2"/>
        <v/>
      </c>
      <c r="M13" s="182"/>
      <c r="N13" s="182"/>
      <c r="O13" s="182"/>
      <c r="P13" s="182"/>
      <c r="Q13" s="182"/>
      <c r="R13" s="182"/>
    </row>
    <row r="14" spans="1:18" s="180" customFormat="1" x14ac:dyDescent="0.2">
      <c r="A14" s="182"/>
      <c r="B14" s="189"/>
      <c r="C14" s="190"/>
      <c r="D14" s="383"/>
      <c r="E14" s="383"/>
      <c r="F14" s="384"/>
      <c r="G14" s="185"/>
      <c r="H14" s="542">
        <f t="shared" si="0"/>
        <v>0</v>
      </c>
      <c r="I14" s="542">
        <f t="shared" si="1"/>
        <v>0</v>
      </c>
      <c r="J14" s="185"/>
      <c r="K14" s="553" t="str">
        <f t="shared" si="3"/>
        <v/>
      </c>
      <c r="L14" s="552" t="str">
        <f t="shared" si="2"/>
        <v/>
      </c>
      <c r="M14" s="182"/>
      <c r="N14" s="182"/>
      <c r="O14" s="182"/>
      <c r="P14" s="182"/>
      <c r="Q14" s="182"/>
      <c r="R14" s="182"/>
    </row>
    <row r="15" spans="1:18" s="180" customFormat="1" x14ac:dyDescent="0.2">
      <c r="A15" s="182"/>
      <c r="B15" s="189"/>
      <c r="C15" s="190"/>
      <c r="D15" s="383"/>
      <c r="E15" s="383"/>
      <c r="F15" s="384"/>
      <c r="G15" s="185"/>
      <c r="H15" s="542">
        <f t="shared" si="0"/>
        <v>0</v>
      </c>
      <c r="I15" s="542">
        <f t="shared" si="1"/>
        <v>0</v>
      </c>
      <c r="J15" s="185"/>
      <c r="K15" s="553" t="str">
        <f t="shared" si="3"/>
        <v/>
      </c>
      <c r="L15" s="552" t="str">
        <f t="shared" si="2"/>
        <v/>
      </c>
      <c r="M15" s="182"/>
      <c r="N15" s="182"/>
      <c r="O15" s="182"/>
      <c r="P15" s="182"/>
      <c r="Q15" s="182"/>
      <c r="R15" s="182"/>
    </row>
    <row r="16" spans="1:18" s="180" customFormat="1" ht="13.5" thickBot="1" x14ac:dyDescent="0.25">
      <c r="A16" s="182"/>
      <c r="B16" s="192"/>
      <c r="C16" s="193"/>
      <c r="D16" s="385"/>
      <c r="E16" s="385"/>
      <c r="F16" s="386"/>
      <c r="G16" s="185"/>
      <c r="H16" s="544">
        <f t="shared" si="0"/>
        <v>0</v>
      </c>
      <c r="I16" s="544">
        <f t="shared" si="1"/>
        <v>0</v>
      </c>
      <c r="J16" s="185"/>
      <c r="K16" s="554" t="str">
        <f t="shared" si="3"/>
        <v/>
      </c>
      <c r="L16" s="555" t="str">
        <f t="shared" si="2"/>
        <v/>
      </c>
      <c r="M16" s="182"/>
      <c r="N16" s="182"/>
      <c r="O16" s="182"/>
      <c r="P16" s="182"/>
      <c r="Q16" s="182"/>
      <c r="R16" s="182"/>
    </row>
    <row r="17" spans="1:22" s="194" customFormat="1" ht="13.5" thickBot="1" x14ac:dyDescent="0.25">
      <c r="A17" s="185"/>
      <c r="B17" s="185"/>
      <c r="C17" s="185"/>
      <c r="D17" s="185"/>
      <c r="E17" s="185"/>
      <c r="F17" s="185"/>
      <c r="G17" s="185"/>
      <c r="H17" s="545">
        <f>SUM(H7:H16)</f>
        <v>25374988.530545317</v>
      </c>
      <c r="I17" s="545">
        <f>SUM(I7:I16)</f>
        <v>25374988.530545317</v>
      </c>
      <c r="J17" s="185"/>
      <c r="K17" s="185"/>
      <c r="L17" s="185"/>
      <c r="M17" s="185"/>
      <c r="N17" s="185"/>
      <c r="O17" s="185"/>
      <c r="P17" s="185"/>
      <c r="Q17" s="185"/>
      <c r="R17" s="185"/>
    </row>
    <row r="18" spans="1:22" s="180" customFormat="1" ht="13.5" thickTop="1" x14ac:dyDescent="0.2">
      <c r="A18" s="182"/>
      <c r="B18" s="182"/>
      <c r="C18" s="182"/>
      <c r="D18" s="715"/>
      <c r="E18" s="182"/>
      <c r="F18" s="182"/>
      <c r="G18" s="182"/>
      <c r="H18" s="182"/>
      <c r="I18" s="182"/>
      <c r="J18" s="182"/>
      <c r="K18" s="182"/>
      <c r="L18" s="182"/>
      <c r="M18" s="182"/>
      <c r="N18" s="182"/>
      <c r="O18" s="182"/>
      <c r="P18" s="182"/>
      <c r="Q18" s="182"/>
      <c r="R18" s="182"/>
    </row>
    <row r="19" spans="1:22" s="180" customFormat="1" x14ac:dyDescent="0.2">
      <c r="A19" s="182"/>
      <c r="B19" s="182"/>
      <c r="C19" s="182"/>
      <c r="D19" s="182"/>
      <c r="E19" s="182"/>
      <c r="F19" s="182"/>
      <c r="G19" s="182"/>
      <c r="H19" s="182"/>
      <c r="I19" s="182"/>
      <c r="J19" s="182"/>
      <c r="K19" s="182"/>
      <c r="L19" s="182"/>
      <c r="M19" s="182"/>
      <c r="N19" s="182"/>
      <c r="O19" s="182"/>
      <c r="P19" s="182"/>
      <c r="Q19" s="182"/>
      <c r="R19" s="182"/>
    </row>
    <row r="20" spans="1:22" s="180" customFormat="1" x14ac:dyDescent="0.2">
      <c r="A20" s="182"/>
      <c r="B20" s="182"/>
      <c r="C20" s="182"/>
      <c r="D20" s="182"/>
      <c r="E20" s="182"/>
      <c r="F20" s="182"/>
      <c r="G20" s="182"/>
      <c r="H20" s="182"/>
      <c r="I20" s="182"/>
      <c r="J20" s="182"/>
      <c r="K20" s="182"/>
      <c r="L20" s="182"/>
      <c r="M20" s="182"/>
      <c r="N20" s="182"/>
      <c r="O20" s="182"/>
      <c r="P20" s="182"/>
      <c r="Q20" s="182"/>
      <c r="R20" s="182"/>
    </row>
    <row r="21" spans="1:22" s="180" customFormat="1" x14ac:dyDescent="0.2">
      <c r="A21" s="182"/>
      <c r="B21" s="182"/>
      <c r="C21" s="182"/>
      <c r="D21" s="182"/>
      <c r="E21" s="182"/>
      <c r="F21" s="182"/>
      <c r="G21" s="182"/>
      <c r="H21" s="182"/>
      <c r="I21" s="182"/>
      <c r="J21" s="182"/>
      <c r="K21" s="182"/>
      <c r="L21" s="182"/>
      <c r="M21" s="182"/>
      <c r="N21" s="182"/>
      <c r="O21" s="182"/>
      <c r="P21" s="182"/>
      <c r="Q21" s="182"/>
      <c r="R21" s="182"/>
    </row>
    <row r="22" spans="1:22" s="35" customFormat="1" ht="15" x14ac:dyDescent="0.25">
      <c r="A22" s="32"/>
      <c r="B22" s="73" t="s">
        <v>220</v>
      </c>
      <c r="C22" s="540"/>
      <c r="D22" s="740">
        <f>'Model update'!C5</f>
        <v>2019</v>
      </c>
      <c r="E22" s="735">
        <f>D22-1</f>
        <v>2018</v>
      </c>
      <c r="H22" s="75"/>
      <c r="I22" s="75"/>
      <c r="J22" s="75"/>
      <c r="K22" s="75"/>
      <c r="L22" s="75"/>
      <c r="M22" s="180"/>
      <c r="N22" s="77"/>
      <c r="O22" s="77"/>
      <c r="P22" s="77"/>
      <c r="Q22" s="77"/>
      <c r="R22" s="77"/>
    </row>
    <row r="23" spans="1:22" s="35" customFormat="1" ht="15" x14ac:dyDescent="0.25">
      <c r="A23" s="32"/>
      <c r="B23" s="37"/>
      <c r="C23" s="40"/>
      <c r="D23" s="41"/>
      <c r="E23" s="736"/>
      <c r="F23" s="781"/>
      <c r="G23" s="201"/>
      <c r="H23" s="202"/>
      <c r="I23" s="201"/>
      <c r="J23" s="201"/>
      <c r="K23" s="83"/>
      <c r="L23" s="83"/>
      <c r="M23" s="83"/>
      <c r="N23" s="83"/>
      <c r="O23" s="83"/>
      <c r="P23" s="83"/>
      <c r="Q23" s="32"/>
    </row>
    <row r="24" spans="1:22" s="35" customFormat="1" ht="18" customHeight="1" x14ac:dyDescent="0.2">
      <c r="A24" s="43"/>
      <c r="B24" s="44" t="s">
        <v>331</v>
      </c>
      <c r="C24" s="45"/>
      <c r="D24" s="46"/>
      <c r="E24" s="737"/>
      <c r="G24" s="198"/>
      <c r="H24" s="800" t="s">
        <v>343</v>
      </c>
      <c r="I24" s="801"/>
      <c r="J24" s="198"/>
      <c r="K24" s="47"/>
      <c r="L24" s="77"/>
      <c r="M24" s="77"/>
      <c r="N24" s="77"/>
      <c r="O24" s="77"/>
      <c r="P24" s="77"/>
    </row>
    <row r="25" spans="1:22" s="35" customFormat="1" ht="18" customHeight="1" x14ac:dyDescent="0.2">
      <c r="A25" s="43"/>
      <c r="B25" s="164" t="s">
        <v>332</v>
      </c>
      <c r="C25" s="160"/>
      <c r="D25" s="72">
        <f>H17</f>
        <v>25374988.530545317</v>
      </c>
      <c r="E25" s="737"/>
      <c r="G25" s="198"/>
      <c r="H25" s="203" t="str">
        <f>"CPI "&amp;'Model update'!$C$5</f>
        <v>CPI 2019</v>
      </c>
      <c r="I25" s="207">
        <f>D37</f>
        <v>2.0776874435411097E-2</v>
      </c>
      <c r="J25" s="198"/>
      <c r="K25" s="47"/>
      <c r="L25" s="77"/>
      <c r="M25" s="77"/>
      <c r="N25" s="77"/>
      <c r="O25" s="77"/>
      <c r="P25" s="77"/>
    </row>
    <row r="26" spans="1:22" s="35" customFormat="1" ht="18" customHeight="1" x14ac:dyDescent="0.2">
      <c r="A26" s="43"/>
      <c r="B26" s="165" t="s">
        <v>333</v>
      </c>
      <c r="C26" s="161"/>
      <c r="D26" s="85">
        <f>D33</f>
        <v>25450628.93145591</v>
      </c>
      <c r="E26" s="737"/>
      <c r="G26" s="75"/>
      <c r="H26" s="204" t="str">
        <f>"X "&amp; 'Model update'!$C$5</f>
        <v>X 2019</v>
      </c>
      <c r="I26" s="208">
        <f>MIN(D38,0)</f>
        <v>0</v>
      </c>
      <c r="J26" s="75"/>
      <c r="K26" s="47"/>
      <c r="L26" s="77"/>
      <c r="M26" s="77"/>
      <c r="N26" s="77"/>
      <c r="O26" s="77"/>
      <c r="P26" s="77"/>
    </row>
    <row r="27" spans="1:22" s="35" customFormat="1" ht="18" customHeight="1" x14ac:dyDescent="0.25">
      <c r="A27" s="43"/>
      <c r="B27" s="86"/>
      <c r="C27" s="87"/>
      <c r="D27" s="88" t="str">
        <f>IF(D25="","",IF(D26&gt;=D25,"METERING REVENUE CAP FORMULA COMPLIANT","METERING REVENUE CAP FORMULA BREACHED"))</f>
        <v>METERING REVENUE CAP FORMULA COMPLIANT</v>
      </c>
      <c r="E27" s="738"/>
      <c r="G27" s="75"/>
      <c r="H27" s="204" t="str">
        <f>"Tt "&amp;'Model update'!$C$5</f>
        <v>Tt 2019</v>
      </c>
      <c r="I27" s="734">
        <f>(D31-E31)/I$17</f>
        <v>7.1166086423544411E-2</v>
      </c>
      <c r="J27" s="75"/>
      <c r="K27" s="47"/>
      <c r="L27" s="77"/>
      <c r="M27" s="77"/>
      <c r="N27" s="77"/>
      <c r="O27" s="77"/>
      <c r="P27" s="77"/>
      <c r="T27" s="51"/>
      <c r="U27" s="51"/>
      <c r="V27" s="51"/>
    </row>
    <row r="28" spans="1:22" s="35" customFormat="1" ht="18" customHeight="1" x14ac:dyDescent="0.25">
      <c r="A28" s="43"/>
      <c r="B28" s="50"/>
      <c r="C28" s="50"/>
      <c r="D28" s="50"/>
      <c r="E28" s="738"/>
      <c r="G28" s="75"/>
      <c r="H28" s="204" t="str">
        <f>"Bt "&amp;'Model update'!$C$5</f>
        <v>Bt 2019</v>
      </c>
      <c r="I28" s="771">
        <f>(D32-E32)/I$17</f>
        <v>1.2881942991233292E-2</v>
      </c>
      <c r="J28" s="75"/>
      <c r="K28" s="47"/>
      <c r="L28" s="77"/>
      <c r="M28" s="77"/>
      <c r="N28" s="77"/>
      <c r="O28" s="77"/>
      <c r="P28" s="77"/>
      <c r="T28" s="51"/>
      <c r="U28" s="51"/>
      <c r="V28" s="51"/>
    </row>
    <row r="29" spans="1:22" s="35" customFormat="1" ht="18" customHeight="1" x14ac:dyDescent="0.25">
      <c r="A29" s="43"/>
      <c r="B29" s="44" t="s">
        <v>335</v>
      </c>
      <c r="C29" s="50"/>
      <c r="D29" s="50"/>
      <c r="E29" s="738"/>
      <c r="G29" s="75"/>
      <c r="H29" s="197"/>
      <c r="I29" s="209"/>
      <c r="J29" s="75"/>
      <c r="K29" s="47"/>
      <c r="L29" s="77"/>
      <c r="M29" s="77"/>
      <c r="N29" s="77"/>
      <c r="O29" s="77"/>
      <c r="P29" s="77"/>
      <c r="T29" s="51"/>
      <c r="U29" s="51"/>
      <c r="V29" s="51"/>
    </row>
    <row r="30" spans="1:22" s="35" customFormat="1" ht="18" customHeight="1" x14ac:dyDescent="0.25">
      <c r="A30" s="43"/>
      <c r="B30" s="166" t="s">
        <v>334</v>
      </c>
      <c r="C30" s="52"/>
      <c r="D30" s="64">
        <f>D39</f>
        <v>25331292.739726018</v>
      </c>
      <c r="E30" s="738"/>
      <c r="G30" s="75"/>
      <c r="H30" s="197"/>
      <c r="I30" s="210">
        <f>(1+I25)*(1-I26)*(1+0.02)+SUM(I27:I28)</f>
        <v>1.125240441338897</v>
      </c>
      <c r="J30" s="75"/>
      <c r="K30" s="47"/>
      <c r="L30" s="77"/>
      <c r="M30" s="77"/>
      <c r="N30" s="77"/>
      <c r="O30" s="77"/>
      <c r="P30" s="77"/>
      <c r="T30" s="51"/>
      <c r="U30" s="51"/>
      <c r="V30" s="51"/>
    </row>
    <row r="31" spans="1:22" s="35" customFormat="1" ht="18" customHeight="1" x14ac:dyDescent="0.25">
      <c r="A31" s="43"/>
      <c r="B31" s="167" t="s">
        <v>337</v>
      </c>
      <c r="C31" s="162"/>
      <c r="D31" s="675"/>
      <c r="E31" s="739">
        <f>'Model update'!D292</f>
        <v>-1805838.6267612362</v>
      </c>
      <c r="G31" s="75"/>
      <c r="H31" s="199"/>
      <c r="I31" s="200"/>
      <c r="J31" s="75"/>
      <c r="K31" s="47"/>
      <c r="L31" s="77"/>
      <c r="M31" s="77"/>
      <c r="N31" s="77"/>
      <c r="O31" s="77"/>
      <c r="P31" s="77"/>
      <c r="T31" s="51"/>
      <c r="U31" s="51"/>
      <c r="V31" s="51"/>
    </row>
    <row r="32" spans="1:22" s="35" customFormat="1" ht="18" customHeight="1" x14ac:dyDescent="0.25">
      <c r="A32" s="43"/>
      <c r="B32" s="167" t="s">
        <v>109</v>
      </c>
      <c r="C32" s="55"/>
      <c r="D32" s="772">
        <f>-F68*(1+F66)^0.5</f>
        <v>119336.19172989385</v>
      </c>
      <c r="E32" s="739">
        <v>-207542.96392378956</v>
      </c>
      <c r="G32" s="198"/>
      <c r="K32" s="77"/>
      <c r="L32" s="77"/>
      <c r="M32" s="77"/>
      <c r="N32" s="77"/>
      <c r="O32" s="77"/>
      <c r="P32" s="77"/>
      <c r="T32" s="51"/>
      <c r="U32" s="51"/>
      <c r="V32" s="51"/>
    </row>
    <row r="33" spans="1:22" s="35" customFormat="1" ht="18" customHeight="1" x14ac:dyDescent="0.25">
      <c r="A33" s="43"/>
      <c r="B33" s="164" t="s">
        <v>119</v>
      </c>
      <c r="C33" s="163"/>
      <c r="D33" s="178">
        <f>SUM(D30:D32)</f>
        <v>25450628.93145591</v>
      </c>
      <c r="E33" s="738"/>
      <c r="G33" s="75"/>
      <c r="H33" s="75"/>
      <c r="I33" s="75"/>
      <c r="J33" s="75"/>
      <c r="K33" s="77"/>
      <c r="L33" s="77"/>
      <c r="M33" s="77"/>
      <c r="N33" s="77"/>
      <c r="O33" s="77"/>
      <c r="P33" s="77"/>
      <c r="T33" s="51"/>
      <c r="U33" s="51"/>
      <c r="V33" s="51"/>
    </row>
    <row r="34" spans="1:22" s="35" customFormat="1" ht="18" customHeight="1" x14ac:dyDescent="0.25">
      <c r="A34" s="43"/>
      <c r="B34" s="56"/>
      <c r="C34" s="56"/>
      <c r="D34" s="91"/>
      <c r="E34" s="74"/>
      <c r="F34" s="75"/>
      <c r="G34" s="75"/>
      <c r="H34" s="75"/>
      <c r="I34" s="75"/>
      <c r="J34" s="75"/>
      <c r="K34" s="77"/>
      <c r="L34" s="77"/>
      <c r="M34" s="77"/>
      <c r="N34" s="77"/>
      <c r="O34" s="77"/>
      <c r="P34" s="77"/>
      <c r="T34" s="51"/>
      <c r="U34" s="51"/>
      <c r="V34" s="51"/>
    </row>
    <row r="35" spans="1:22" s="35" customFormat="1" ht="18" customHeight="1" x14ac:dyDescent="0.25">
      <c r="A35" s="43"/>
      <c r="B35" s="44" t="s">
        <v>336</v>
      </c>
      <c r="C35" s="50"/>
      <c r="D35" s="50"/>
      <c r="E35" s="74"/>
      <c r="F35" s="75"/>
      <c r="G35" s="75"/>
      <c r="H35" s="75"/>
      <c r="I35" s="75"/>
      <c r="J35" s="75"/>
      <c r="K35" s="77"/>
      <c r="L35" s="77"/>
      <c r="M35" s="77"/>
      <c r="N35" s="77"/>
      <c r="O35" s="77"/>
      <c r="P35" s="77"/>
      <c r="T35" s="51"/>
      <c r="U35" s="51"/>
      <c r="V35" s="51"/>
    </row>
    <row r="36" spans="1:22" s="35" customFormat="1" ht="18" customHeight="1" x14ac:dyDescent="0.25">
      <c r="A36" s="43"/>
      <c r="B36" s="164" t="s">
        <v>121</v>
      </c>
      <c r="C36" s="161"/>
      <c r="D36" s="66">
        <v>26955070.027929466</v>
      </c>
      <c r="E36" s="74"/>
      <c r="F36" s="75"/>
      <c r="G36" s="75"/>
      <c r="H36" s="75"/>
      <c r="I36" s="75"/>
      <c r="J36" s="75"/>
      <c r="K36" s="77"/>
      <c r="L36" s="77"/>
      <c r="M36" s="77"/>
      <c r="N36" s="77"/>
      <c r="O36" s="77"/>
      <c r="P36" s="77"/>
      <c r="T36" s="51"/>
      <c r="U36" s="51"/>
      <c r="V36" s="51"/>
    </row>
    <row r="37" spans="1:22" s="35" customFormat="1" ht="18" customHeight="1" x14ac:dyDescent="0.25">
      <c r="A37" s="43"/>
      <c r="B37" s="166" t="s">
        <v>110</v>
      </c>
      <c r="C37" s="161"/>
      <c r="D37" s="67">
        <f>'Model update'!C30</f>
        <v>2.0776874435411097E-2</v>
      </c>
      <c r="E37" s="74"/>
      <c r="F37" s="75"/>
      <c r="G37" s="75"/>
      <c r="H37" s="75"/>
      <c r="I37" s="75"/>
      <c r="J37" s="75"/>
      <c r="K37" s="77"/>
      <c r="L37" s="77"/>
      <c r="M37" s="77"/>
      <c r="N37" s="77"/>
      <c r="O37" s="77"/>
      <c r="P37" s="77"/>
      <c r="T37" s="51"/>
      <c r="U37" s="51"/>
      <c r="V37" s="51"/>
    </row>
    <row r="38" spans="1:22" s="35" customFormat="1" ht="18" customHeight="1" x14ac:dyDescent="0.25">
      <c r="A38" s="43"/>
      <c r="B38" s="166" t="s">
        <v>111</v>
      </c>
      <c r="C38" s="162"/>
      <c r="D38" s="67">
        <f>'Model update'!B72</f>
        <v>7.9367999046920018E-2</v>
      </c>
      <c r="E38" s="74"/>
      <c r="F38" s="75"/>
      <c r="G38" s="75"/>
      <c r="H38" s="75"/>
      <c r="I38" s="75"/>
      <c r="J38" s="75"/>
      <c r="K38" s="77"/>
      <c r="L38" s="77"/>
      <c r="M38" s="77"/>
      <c r="N38" s="77"/>
      <c r="O38" s="77"/>
      <c r="P38" s="77"/>
      <c r="T38" s="51"/>
      <c r="U38" s="51"/>
      <c r="V38" s="51"/>
    </row>
    <row r="39" spans="1:22" s="35" customFormat="1" ht="18" customHeight="1" x14ac:dyDescent="0.25">
      <c r="A39" s="43"/>
      <c r="B39" s="164" t="s">
        <v>120</v>
      </c>
      <c r="C39" s="163"/>
      <c r="D39" s="65">
        <f>IF(D22=2016,'Model update'!D72,(D36*(1+D37)*(1-D38)))</f>
        <v>25331292.739726018</v>
      </c>
      <c r="E39" s="74"/>
      <c r="F39" s="75"/>
      <c r="G39" s="75"/>
      <c r="H39" s="75"/>
      <c r="I39" s="75"/>
      <c r="J39" s="75"/>
      <c r="K39" s="77"/>
      <c r="L39" s="77"/>
      <c r="M39" s="77"/>
      <c r="N39" s="77"/>
      <c r="O39" s="77"/>
      <c r="P39" s="77"/>
      <c r="T39" s="51"/>
      <c r="U39" s="51"/>
      <c r="V39" s="51"/>
    </row>
    <row r="40" spans="1:22" s="35" customFormat="1" ht="18" customHeight="1" x14ac:dyDescent="0.25">
      <c r="A40" s="43"/>
      <c r="B40" s="57"/>
      <c r="C40" s="44"/>
      <c r="D40" s="68"/>
      <c r="E40" s="74"/>
      <c r="F40" s="75"/>
      <c r="G40" s="75"/>
      <c r="H40" s="75"/>
      <c r="I40" s="75"/>
      <c r="J40" s="75"/>
      <c r="K40" s="77"/>
      <c r="L40" s="77"/>
      <c r="M40" s="77"/>
      <c r="N40" s="77"/>
      <c r="O40" s="77"/>
      <c r="P40" s="77"/>
      <c r="T40" s="51"/>
      <c r="U40" s="51"/>
      <c r="V40" s="51"/>
    </row>
    <row r="41" spans="1:22" s="35" customFormat="1" ht="14.25" x14ac:dyDescent="0.2">
      <c r="A41" s="32"/>
      <c r="B41" s="116"/>
      <c r="C41" s="33"/>
      <c r="D41" s="34"/>
      <c r="H41" s="36"/>
    </row>
    <row r="42" spans="1:22" s="35" customFormat="1" ht="14.25" x14ac:dyDescent="0.2">
      <c r="A42" s="32"/>
      <c r="B42" s="116"/>
      <c r="C42" s="33"/>
      <c r="D42" s="34"/>
      <c r="H42" s="36"/>
    </row>
    <row r="43" spans="1:22" s="35" customFormat="1" ht="14.25" x14ac:dyDescent="0.2">
      <c r="A43" s="32"/>
      <c r="B43" s="116"/>
      <c r="C43" s="33"/>
      <c r="D43" s="34"/>
      <c r="H43" s="36"/>
    </row>
    <row r="44" spans="1:22" s="35" customFormat="1" ht="15.75" x14ac:dyDescent="0.25">
      <c r="A44" s="32"/>
      <c r="B44" s="205" t="s">
        <v>342</v>
      </c>
      <c r="C44" s="33"/>
      <c r="D44" s="34"/>
      <c r="H44" s="36"/>
    </row>
    <row r="45" spans="1:22" s="35" customFormat="1" ht="15" x14ac:dyDescent="0.25">
      <c r="A45" s="32"/>
      <c r="B45" s="169"/>
      <c r="C45" s="173"/>
      <c r="D45" s="110" t="s">
        <v>219</v>
      </c>
      <c r="E45" s="110" t="s">
        <v>486</v>
      </c>
      <c r="F45" s="110" t="s">
        <v>35</v>
      </c>
      <c r="H45" s="36"/>
    </row>
    <row r="46" spans="1:22" s="35" customFormat="1" ht="15" x14ac:dyDescent="0.25">
      <c r="A46" s="32"/>
      <c r="B46" s="170"/>
      <c r="C46" s="174"/>
      <c r="D46" s="111" t="s">
        <v>34</v>
      </c>
      <c r="E46" s="111" t="s">
        <v>395</v>
      </c>
      <c r="F46" s="111" t="s">
        <v>36</v>
      </c>
      <c r="H46" s="36"/>
    </row>
    <row r="47" spans="1:22" s="35" customFormat="1" ht="15" x14ac:dyDescent="0.25">
      <c r="A47" s="32"/>
      <c r="B47" s="170"/>
      <c r="C47" s="174"/>
      <c r="D47" s="112">
        <f>E47-1</f>
        <v>2017</v>
      </c>
      <c r="E47" s="112">
        <f>F47-1</f>
        <v>2018</v>
      </c>
      <c r="F47" s="112">
        <f>D$22</f>
        <v>2019</v>
      </c>
      <c r="H47" s="36"/>
    </row>
    <row r="48" spans="1:22" s="35" customFormat="1" ht="14.25" x14ac:dyDescent="0.2">
      <c r="A48" s="32"/>
      <c r="B48" s="170"/>
      <c r="C48" s="174"/>
      <c r="D48" s="96"/>
      <c r="E48" s="96"/>
      <c r="F48" s="108"/>
      <c r="H48" s="36"/>
    </row>
    <row r="49" spans="1:8" s="35" customFormat="1" ht="15" x14ac:dyDescent="0.25">
      <c r="A49" s="32"/>
      <c r="B49" s="168" t="s">
        <v>338</v>
      </c>
      <c r="C49" s="174"/>
      <c r="D49" s="725">
        <v>29244493</v>
      </c>
      <c r="E49" s="605">
        <f>E89</f>
        <v>25073174.999999996</v>
      </c>
      <c r="F49" s="95">
        <f>D25</f>
        <v>25374988.530545317</v>
      </c>
      <c r="H49" s="36"/>
    </row>
    <row r="50" spans="1:8" s="35" customFormat="1" ht="14.25" x14ac:dyDescent="0.2">
      <c r="A50" s="32"/>
      <c r="B50" s="171"/>
      <c r="C50" s="174"/>
      <c r="D50" s="96"/>
      <c r="E50" s="96"/>
      <c r="F50" s="107"/>
      <c r="H50" s="36"/>
    </row>
    <row r="51" spans="1:8" s="35" customFormat="1" ht="14.25" x14ac:dyDescent="0.2">
      <c r="A51" s="32"/>
      <c r="B51" s="171"/>
      <c r="C51" s="174"/>
      <c r="D51" s="96"/>
      <c r="E51" s="96"/>
      <c r="F51" s="107"/>
      <c r="H51" s="36"/>
    </row>
    <row r="52" spans="1:8" s="35" customFormat="1" ht="15" x14ac:dyDescent="0.25">
      <c r="A52" s="32"/>
      <c r="B52" s="172" t="s">
        <v>339</v>
      </c>
      <c r="C52" s="174"/>
      <c r="D52" s="95">
        <f>SUM(D53:D54)</f>
        <v>28640449.730392858</v>
      </c>
      <c r="E52" s="95">
        <f>SUM(E53:E54)</f>
        <v>25149231.401168231</v>
      </c>
      <c r="F52" s="95">
        <f>SUM(F53:F54)</f>
        <v>25331292.739726018</v>
      </c>
      <c r="H52" s="36"/>
    </row>
    <row r="53" spans="1:8" s="35" customFormat="1" ht="14.25" x14ac:dyDescent="0.2">
      <c r="A53" s="32"/>
      <c r="B53" s="143" t="s">
        <v>213</v>
      </c>
      <c r="C53" s="174"/>
      <c r="D53" s="726">
        <v>28640449.730392858</v>
      </c>
      <c r="E53" s="159">
        <f>D36</f>
        <v>26955070.027929466</v>
      </c>
      <c r="F53" s="556">
        <f>D30</f>
        <v>25331292.739726018</v>
      </c>
      <c r="H53" s="36"/>
    </row>
    <row r="54" spans="1:8" s="35" customFormat="1" ht="14.25" x14ac:dyDescent="0.2">
      <c r="A54" s="32"/>
      <c r="B54" s="143" t="s">
        <v>340</v>
      </c>
      <c r="C54" s="174"/>
      <c r="D54" s="729">
        <v>0</v>
      </c>
      <c r="E54" s="729">
        <f>E31</f>
        <v>-1805838.6267612362</v>
      </c>
      <c r="F54" s="117">
        <f>D31</f>
        <v>0</v>
      </c>
      <c r="H54" s="36"/>
    </row>
    <row r="55" spans="1:8" s="35" customFormat="1" ht="14.25" x14ac:dyDescent="0.2">
      <c r="A55" s="32"/>
      <c r="B55" s="143"/>
      <c r="C55" s="174"/>
      <c r="D55" s="144"/>
      <c r="E55" s="144"/>
      <c r="F55" s="109"/>
      <c r="H55" s="36"/>
    </row>
    <row r="56" spans="1:8" s="35" customFormat="1" ht="14.25" x14ac:dyDescent="0.2">
      <c r="A56" s="32"/>
      <c r="B56" s="114"/>
      <c r="C56" s="174"/>
      <c r="D56" s="96"/>
      <c r="E56" s="96"/>
      <c r="F56" s="107"/>
      <c r="H56" s="36"/>
    </row>
    <row r="57" spans="1:8" s="35" customFormat="1" ht="15" x14ac:dyDescent="0.25">
      <c r="A57" s="32"/>
      <c r="B57" s="115" t="s">
        <v>45</v>
      </c>
      <c r="C57" s="177"/>
      <c r="D57" s="95">
        <f>D49-D52</f>
        <v>604043.26960714161</v>
      </c>
      <c r="E57" s="95">
        <f>E49-E52</f>
        <v>-76056.401168234646</v>
      </c>
      <c r="F57" s="95">
        <f>F49-F52</f>
        <v>43695.790819298476</v>
      </c>
      <c r="H57" s="36"/>
    </row>
    <row r="58" spans="1:8" s="35" customFormat="1" ht="14.25" x14ac:dyDescent="0.2">
      <c r="A58" s="32"/>
      <c r="B58" s="206"/>
      <c r="C58" s="33"/>
      <c r="E58" s="34"/>
      <c r="H58" s="36"/>
    </row>
    <row r="59" spans="1:8" s="35" customFormat="1" ht="14.25" x14ac:dyDescent="0.2">
      <c r="A59" s="32"/>
      <c r="B59" s="206"/>
      <c r="C59" s="33"/>
      <c r="E59" s="34"/>
      <c r="H59" s="36"/>
    </row>
    <row r="60" spans="1:8" s="35" customFormat="1" ht="14.25" x14ac:dyDescent="0.2">
      <c r="A60" s="32"/>
      <c r="B60" s="206"/>
      <c r="C60" s="33"/>
      <c r="E60" s="34"/>
      <c r="H60" s="36"/>
    </row>
    <row r="61" spans="1:8" s="35" customFormat="1" ht="15.75" x14ac:dyDescent="0.25">
      <c r="A61" s="32"/>
      <c r="B61" s="205" t="s">
        <v>341</v>
      </c>
      <c r="C61" s="33"/>
      <c r="E61" s="34"/>
      <c r="H61" s="36"/>
    </row>
    <row r="62" spans="1:8" s="35" customFormat="1" ht="15" x14ac:dyDescent="0.25">
      <c r="A62" s="32"/>
      <c r="B62" s="113"/>
      <c r="C62" s="173"/>
      <c r="D62" s="110" t="s">
        <v>219</v>
      </c>
      <c r="E62" s="110" t="s">
        <v>486</v>
      </c>
      <c r="F62" s="110" t="s">
        <v>35</v>
      </c>
      <c r="H62" s="36"/>
    </row>
    <row r="63" spans="1:8" s="35" customFormat="1" ht="15" x14ac:dyDescent="0.25">
      <c r="A63" s="32"/>
      <c r="B63" s="114"/>
      <c r="C63" s="174"/>
      <c r="D63" s="111" t="s">
        <v>34</v>
      </c>
      <c r="E63" s="111" t="s">
        <v>395</v>
      </c>
      <c r="F63" s="111" t="s">
        <v>36</v>
      </c>
      <c r="H63" s="36"/>
    </row>
    <row r="64" spans="1:8" s="35" customFormat="1" ht="15" x14ac:dyDescent="0.25">
      <c r="A64" s="32"/>
      <c r="B64" s="114" t="s">
        <v>221</v>
      </c>
      <c r="C64" s="174"/>
      <c r="D64" s="112">
        <f>E64-1</f>
        <v>2017</v>
      </c>
      <c r="E64" s="112">
        <f>F64-1</f>
        <v>2018</v>
      </c>
      <c r="F64" s="112">
        <f>D$22</f>
        <v>2019</v>
      </c>
      <c r="H64" s="36"/>
    </row>
    <row r="65" spans="1:22" s="35" customFormat="1" ht="14.25" x14ac:dyDescent="0.2">
      <c r="A65" s="32"/>
      <c r="B65" s="175"/>
      <c r="C65" s="173"/>
      <c r="D65" s="106"/>
      <c r="E65" s="106"/>
      <c r="F65" s="176"/>
      <c r="H65" s="36"/>
    </row>
    <row r="66" spans="1:22" s="35" customFormat="1" ht="14.25" x14ac:dyDescent="0.2">
      <c r="A66" s="32"/>
      <c r="B66" s="114" t="s">
        <v>487</v>
      </c>
      <c r="C66" s="174"/>
      <c r="D66" s="606">
        <f>(1+'Model update'!$B$47)*(1+'Model update'!$C$28)-1</f>
        <v>4.6729804402760422E-2</v>
      </c>
      <c r="E66" s="106">
        <f>(1+'Model update'!$B$45)*(1+'Model update'!$C$29)-1</f>
        <v>5.5656482586260436E-2</v>
      </c>
      <c r="F66" s="607">
        <f>(1+'Model update'!$B$43)*(1+'Model update'!$C$30)-1</f>
        <v>5.6586211801394226E-2</v>
      </c>
      <c r="H66" s="36"/>
    </row>
    <row r="67" spans="1:22" s="35" customFormat="1" ht="14.25" x14ac:dyDescent="0.2">
      <c r="A67" s="32"/>
      <c r="B67" s="114"/>
      <c r="C67" s="174"/>
      <c r="D67" s="96"/>
      <c r="E67" s="96"/>
      <c r="F67" s="108"/>
      <c r="H67" s="36"/>
    </row>
    <row r="68" spans="1:22" s="35" customFormat="1" ht="14.25" x14ac:dyDescent="0.2">
      <c r="A68" s="32"/>
      <c r="B68" s="114" t="s">
        <v>47</v>
      </c>
      <c r="C68" s="174"/>
      <c r="D68" s="728">
        <v>-624752.44881554891</v>
      </c>
      <c r="E68" s="107">
        <f>D72</f>
        <v>-35951.462836458959</v>
      </c>
      <c r="F68" s="107">
        <f>E72</f>
        <v>-116096.654481586</v>
      </c>
      <c r="H68" s="36"/>
    </row>
    <row r="69" spans="1:22" s="35" customFormat="1" ht="14.25" x14ac:dyDescent="0.2">
      <c r="A69" s="32"/>
      <c r="B69" s="114" t="s">
        <v>488</v>
      </c>
      <c r="C69" s="174"/>
      <c r="D69" s="144">
        <f>D68*D66</f>
        <v>-29194.559733296192</v>
      </c>
      <c r="E69" s="144">
        <f>E68*E66</f>
        <v>-2000.9319653079672</v>
      </c>
      <c r="F69" s="144">
        <f>F68*F66</f>
        <v>-6569.4698799283096</v>
      </c>
      <c r="H69" s="36"/>
    </row>
    <row r="70" spans="1:22" s="35" customFormat="1" ht="14.25" x14ac:dyDescent="0.2">
      <c r="A70" s="32"/>
      <c r="B70" s="104" t="s">
        <v>48</v>
      </c>
      <c r="C70" s="174"/>
      <c r="D70" s="107">
        <f>D57</f>
        <v>604043.26960714161</v>
      </c>
      <c r="E70" s="107">
        <f>E57</f>
        <v>-76056.401168234646</v>
      </c>
      <c r="F70" s="107">
        <f>F57</f>
        <v>43695.790819298476</v>
      </c>
      <c r="H70" s="36"/>
    </row>
    <row r="71" spans="1:22" s="35" customFormat="1" ht="14.25" x14ac:dyDescent="0.2">
      <c r="A71" s="32"/>
      <c r="B71" s="104" t="s">
        <v>412</v>
      </c>
      <c r="C71" s="174"/>
      <c r="D71" s="144">
        <f>D70*((1+D66)^0.5-1)</f>
        <v>13952.276105244502</v>
      </c>
      <c r="E71" s="144">
        <f>E70*((1+E66)^0.5-1)</f>
        <v>-2087.8585115844116</v>
      </c>
      <c r="F71" s="144">
        <f>F70*((1+F66)^0.5-1)</f>
        <v>1219.2783899370449</v>
      </c>
      <c r="H71" s="36"/>
    </row>
    <row r="72" spans="1:22" s="35" customFormat="1" ht="15" x14ac:dyDescent="0.25">
      <c r="A72" s="32"/>
      <c r="B72" s="115" t="s">
        <v>354</v>
      </c>
      <c r="C72" s="177"/>
      <c r="D72" s="95">
        <f>SUM(D68:D71)</f>
        <v>-35951.462836458959</v>
      </c>
      <c r="E72" s="95">
        <f t="shared" ref="E72:F72" si="4">SUM(E68:E71)</f>
        <v>-116096.654481586</v>
      </c>
      <c r="F72" s="95">
        <f t="shared" si="4"/>
        <v>-77751.055152278786</v>
      </c>
      <c r="H72" s="750"/>
    </row>
    <row r="73" spans="1:22" s="35" customFormat="1" ht="14.25" x14ac:dyDescent="0.2">
      <c r="A73" s="32"/>
      <c r="B73" s="206"/>
      <c r="C73" s="33"/>
      <c r="E73" s="34"/>
      <c r="H73" s="36"/>
      <c r="K73" s="77"/>
      <c r="L73" s="77"/>
      <c r="M73" s="77"/>
      <c r="N73" s="77"/>
      <c r="O73" s="77"/>
      <c r="P73" s="77"/>
      <c r="Q73" s="77"/>
      <c r="R73" s="77"/>
      <c r="S73" s="77"/>
      <c r="T73" s="77"/>
      <c r="U73" s="77"/>
      <c r="V73" s="77"/>
    </row>
    <row r="74" spans="1:22" s="35" customFormat="1" ht="14.25" x14ac:dyDescent="0.2">
      <c r="A74" s="32"/>
      <c r="B74" s="673" t="s">
        <v>499</v>
      </c>
      <c r="C74" s="33"/>
      <c r="E74" s="34"/>
      <c r="H74" s="36"/>
      <c r="K74" s="77"/>
      <c r="L74" s="77"/>
      <c r="M74" s="77"/>
      <c r="N74" s="77"/>
      <c r="O74" s="77"/>
      <c r="P74" s="77"/>
      <c r="Q74" s="77"/>
      <c r="R74" s="77"/>
      <c r="S74" s="77"/>
      <c r="T74" s="77"/>
      <c r="U74" s="77"/>
      <c r="V74" s="77"/>
    </row>
    <row r="75" spans="1:22" s="35" customFormat="1" ht="14.25" x14ac:dyDescent="0.2">
      <c r="A75" s="32"/>
      <c r="B75" s="206"/>
      <c r="C75" s="33"/>
      <c r="D75" s="34"/>
      <c r="E75" s="34"/>
      <c r="H75" s="36"/>
      <c r="K75" s="77"/>
      <c r="L75" s="77"/>
      <c r="M75" s="77"/>
      <c r="N75" s="77"/>
      <c r="O75" s="77"/>
      <c r="P75" s="77"/>
      <c r="Q75" s="77"/>
      <c r="R75" s="77"/>
      <c r="S75" s="77"/>
      <c r="T75" s="77"/>
      <c r="U75" s="77"/>
      <c r="V75" s="77"/>
    </row>
    <row r="76" spans="1:22" s="35" customFormat="1" ht="15" thickBot="1" x14ac:dyDescent="0.25">
      <c r="A76" s="83"/>
      <c r="B76" s="608"/>
      <c r="C76" s="609"/>
      <c r="D76" s="77"/>
      <c r="E76" s="610"/>
      <c r="F76" s="77"/>
      <c r="G76" s="77"/>
      <c r="H76" s="611"/>
      <c r="I76" s="77"/>
      <c r="J76" s="77"/>
      <c r="K76" s="77"/>
      <c r="L76" s="77"/>
      <c r="M76" s="77"/>
      <c r="N76" s="77"/>
      <c r="O76" s="77"/>
      <c r="P76" s="77"/>
      <c r="Q76" s="77"/>
      <c r="R76" s="77"/>
      <c r="S76" s="77"/>
      <c r="T76" s="77"/>
      <c r="U76" s="77"/>
      <c r="V76" s="77"/>
    </row>
    <row r="77" spans="1:22" s="180" customFormat="1" ht="39" thickBot="1" x14ac:dyDescent="0.25">
      <c r="C77" s="183" t="str">
        <f>"Current Metering Tariffs P(t-1) for " &amp;'Model update'!$C$8</f>
        <v>Current Metering Tariffs P(t-1) for 2018</v>
      </c>
      <c r="D77" s="183" t="str">
        <f>"Estimated Quantities   (Qt-1) for "&amp;'Model update'!$C$5-1</f>
        <v>Estimated Quantities   (Qt-1) for 2018</v>
      </c>
      <c r="E77" s="183" t="str">
        <f>"Revenue                    (Pt-1 "&amp;'Model update'!$C$8&amp;")*(Qt-1 " &amp;'Model update'!$C$5-1&amp;")"</f>
        <v>Revenue                    (Pt-1 2018)*(Qt-1 2018)</v>
      </c>
      <c r="G77" s="194"/>
      <c r="H77" s="77"/>
      <c r="J77" s="194"/>
      <c r="K77" s="77"/>
      <c r="L77" s="77"/>
    </row>
    <row r="78" spans="1:22" s="180" customFormat="1" ht="25.5" x14ac:dyDescent="0.2">
      <c r="B78" s="187" t="s">
        <v>129</v>
      </c>
      <c r="C78" s="188" t="s">
        <v>303</v>
      </c>
      <c r="D78" s="188" t="s">
        <v>304</v>
      </c>
      <c r="E78" s="188" t="s">
        <v>153</v>
      </c>
      <c r="G78" s="194"/>
      <c r="H78" s="77"/>
      <c r="J78" s="194"/>
      <c r="K78" s="77"/>
      <c r="L78" s="77"/>
    </row>
    <row r="79" spans="1:22" s="180" customFormat="1" ht="14.25" x14ac:dyDescent="0.2">
      <c r="B79" s="190"/>
      <c r="C79" s="381"/>
      <c r="D79" s="191"/>
      <c r="E79" s="543"/>
      <c r="G79" s="194"/>
      <c r="H79" s="77"/>
      <c r="J79" s="194"/>
      <c r="K79" s="77"/>
      <c r="L79" s="77"/>
    </row>
    <row r="80" spans="1:22" s="180" customFormat="1" ht="14.25" x14ac:dyDescent="0.2">
      <c r="B80" s="190" t="s">
        <v>300</v>
      </c>
      <c r="C80" s="382">
        <f>E8</f>
        <v>73</v>
      </c>
      <c r="D80" s="785">
        <v>260629.59971075473</v>
      </c>
      <c r="E80" s="542">
        <f t="shared" ref="E80:E88" si="5">C80*D80</f>
        <v>19025960.778885096</v>
      </c>
      <c r="G80" s="194"/>
      <c r="H80" s="77"/>
      <c r="J80" s="194"/>
      <c r="K80" s="77"/>
      <c r="L80" s="77"/>
    </row>
    <row r="81" spans="1:22" s="180" customFormat="1" ht="14.25" x14ac:dyDescent="0.2">
      <c r="B81" s="190" t="s">
        <v>301</v>
      </c>
      <c r="C81" s="382">
        <f t="shared" ref="C81:C82" si="6">E9</f>
        <v>91.25</v>
      </c>
      <c r="D81" s="785">
        <v>62562.994179238369</v>
      </c>
      <c r="E81" s="542">
        <f t="shared" si="5"/>
        <v>5708873.2188555012</v>
      </c>
      <c r="G81" s="194"/>
      <c r="H81" s="77"/>
      <c r="J81" s="194"/>
      <c r="K81" s="77"/>
      <c r="L81" s="77"/>
    </row>
    <row r="82" spans="1:22" s="180" customFormat="1" ht="14.25" x14ac:dyDescent="0.2">
      <c r="B82" s="190" t="s">
        <v>302</v>
      </c>
      <c r="C82" s="382">
        <f t="shared" si="6"/>
        <v>113.15</v>
      </c>
      <c r="D82" s="785">
        <v>2990.1988710508199</v>
      </c>
      <c r="E82" s="542">
        <f t="shared" si="5"/>
        <v>338341.00225940027</v>
      </c>
      <c r="G82" s="194"/>
      <c r="H82" s="77"/>
      <c r="J82" s="194"/>
      <c r="K82" s="77"/>
      <c r="L82" s="77"/>
    </row>
    <row r="83" spans="1:22" s="180" customFormat="1" ht="14.25" x14ac:dyDescent="0.2">
      <c r="B83" s="190"/>
      <c r="C83" s="382"/>
      <c r="D83" s="612"/>
      <c r="E83" s="542">
        <f t="shared" si="5"/>
        <v>0</v>
      </c>
      <c r="G83" s="194"/>
      <c r="H83" s="77"/>
      <c r="J83" s="194"/>
      <c r="K83" s="77"/>
      <c r="L83" s="77"/>
    </row>
    <row r="84" spans="1:22" s="180" customFormat="1" ht="14.25" x14ac:dyDescent="0.2">
      <c r="B84" s="190"/>
      <c r="C84" s="382"/>
      <c r="D84" s="612"/>
      <c r="E84" s="542">
        <f t="shared" si="5"/>
        <v>0</v>
      </c>
      <c r="G84" s="194"/>
      <c r="H84" s="77"/>
      <c r="J84" s="194"/>
      <c r="K84" s="77"/>
      <c r="L84" s="77"/>
    </row>
    <row r="85" spans="1:22" s="180" customFormat="1" ht="14.25" x14ac:dyDescent="0.2">
      <c r="B85" s="190"/>
      <c r="C85" s="383"/>
      <c r="D85" s="384"/>
      <c r="E85" s="542">
        <f t="shared" si="5"/>
        <v>0</v>
      </c>
      <c r="G85" s="194"/>
      <c r="H85" s="77"/>
      <c r="J85" s="194"/>
      <c r="K85" s="77"/>
      <c r="L85" s="77"/>
    </row>
    <row r="86" spans="1:22" s="180" customFormat="1" ht="14.25" x14ac:dyDescent="0.2">
      <c r="B86" s="190"/>
      <c r="C86" s="383"/>
      <c r="D86" s="384"/>
      <c r="E86" s="542">
        <f t="shared" si="5"/>
        <v>0</v>
      </c>
      <c r="G86" s="194"/>
      <c r="H86" s="77"/>
      <c r="J86" s="194"/>
      <c r="K86" s="77"/>
      <c r="L86" s="77"/>
    </row>
    <row r="87" spans="1:22" s="180" customFormat="1" ht="14.25" x14ac:dyDescent="0.2">
      <c r="B87" s="190"/>
      <c r="C87" s="383"/>
      <c r="D87" s="384"/>
      <c r="E87" s="542">
        <f t="shared" si="5"/>
        <v>0</v>
      </c>
      <c r="G87" s="194"/>
      <c r="H87" s="77"/>
      <c r="J87" s="194"/>
      <c r="K87" s="77"/>
      <c r="L87" s="77"/>
    </row>
    <row r="88" spans="1:22" s="180" customFormat="1" ht="15" thickBot="1" x14ac:dyDescent="0.25">
      <c r="B88" s="193"/>
      <c r="C88" s="385"/>
      <c r="D88" s="386"/>
      <c r="E88" s="544">
        <f t="shared" si="5"/>
        <v>0</v>
      </c>
      <c r="G88" s="194"/>
      <c r="H88" s="77"/>
      <c r="J88" s="194"/>
      <c r="K88" s="77"/>
      <c r="L88" s="77"/>
    </row>
    <row r="89" spans="1:22" s="194" customFormat="1" ht="15" thickBot="1" x14ac:dyDescent="0.25">
      <c r="E89" s="545">
        <f>SUM(E79:E88)</f>
        <v>25073174.999999996</v>
      </c>
      <c r="H89" s="77"/>
    </row>
    <row r="90" spans="1:22" ht="13.5" thickTop="1" x14ac:dyDescent="0.2">
      <c r="A90" s="180"/>
      <c r="B90" s="180"/>
      <c r="C90" s="180"/>
      <c r="D90" s="180"/>
      <c r="E90" s="180"/>
      <c r="F90" s="180"/>
      <c r="G90" s="180"/>
      <c r="H90" s="180"/>
      <c r="I90" s="180"/>
      <c r="J90" s="180"/>
      <c r="K90" s="180"/>
      <c r="L90" s="180"/>
      <c r="M90" s="180"/>
      <c r="N90" s="180"/>
      <c r="O90" s="180"/>
      <c r="P90" s="180"/>
      <c r="Q90" s="180"/>
      <c r="R90" s="180"/>
      <c r="S90" s="180"/>
      <c r="T90" s="180"/>
      <c r="U90" s="180"/>
      <c r="V90" s="180"/>
    </row>
    <row r="91" spans="1:22" x14ac:dyDescent="0.2">
      <c r="A91" s="180"/>
      <c r="B91" s="180"/>
      <c r="C91" s="180"/>
      <c r="D91" s="180"/>
      <c r="E91" s="180"/>
      <c r="F91" s="180"/>
      <c r="G91" s="180"/>
      <c r="H91" s="180"/>
      <c r="I91" s="180"/>
      <c r="J91" s="180"/>
      <c r="K91" s="180"/>
      <c r="L91" s="180"/>
      <c r="M91" s="180"/>
      <c r="N91" s="180"/>
      <c r="O91" s="180"/>
      <c r="P91" s="180"/>
      <c r="Q91" s="180"/>
      <c r="R91" s="180"/>
      <c r="S91" s="180"/>
      <c r="T91" s="180"/>
      <c r="U91" s="180"/>
      <c r="V91" s="180"/>
    </row>
    <row r="92" spans="1:22" x14ac:dyDescent="0.2">
      <c r="A92" s="180"/>
      <c r="B92" s="180"/>
      <c r="C92" s="180"/>
      <c r="D92" s="180"/>
      <c r="E92" s="180"/>
      <c r="F92" s="180"/>
      <c r="G92" s="180"/>
      <c r="H92" s="180"/>
      <c r="I92" s="180"/>
      <c r="J92" s="180"/>
      <c r="K92" s="180"/>
      <c r="L92" s="180"/>
      <c r="M92" s="180"/>
      <c r="N92" s="180"/>
      <c r="O92" s="180"/>
      <c r="P92" s="180"/>
      <c r="Q92" s="180"/>
      <c r="R92" s="180"/>
      <c r="S92" s="180"/>
      <c r="T92" s="180"/>
      <c r="U92" s="180"/>
      <c r="V92" s="180"/>
    </row>
    <row r="93" spans="1:22" x14ac:dyDescent="0.2">
      <c r="A93" s="180"/>
      <c r="B93" s="180"/>
      <c r="C93" s="180"/>
      <c r="D93" s="180"/>
      <c r="E93" s="180"/>
      <c r="F93" s="180"/>
      <c r="G93" s="180"/>
      <c r="H93" s="180"/>
      <c r="I93" s="180"/>
      <c r="J93" s="180"/>
      <c r="K93" s="180"/>
      <c r="L93" s="180"/>
      <c r="M93" s="180"/>
      <c r="N93" s="180"/>
      <c r="O93" s="180"/>
      <c r="P93" s="180"/>
      <c r="Q93" s="180"/>
      <c r="R93" s="180"/>
      <c r="S93" s="180"/>
      <c r="T93" s="180"/>
      <c r="U93" s="180"/>
      <c r="V93" s="180"/>
    </row>
  </sheetData>
  <mergeCells count="1">
    <mergeCell ref="H24:I24"/>
  </mergeCells>
  <pageMargins left="0.7" right="0.7" top="0.75" bottom="0.75" header="0.3" footer="0.3"/>
  <pageSetup scale="5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pageSetUpPr autoPageBreaks="0"/>
  </sheetPr>
  <dimension ref="A1:DJ105"/>
  <sheetViews>
    <sheetView zoomScale="80" zoomScaleNormal="80" zoomScaleSheetLayoutView="85" workbookViewId="0">
      <pane xSplit="3" ySplit="5" topLeftCell="D6" activePane="bottomRight" state="frozen"/>
      <selection activeCell="B2" sqref="B2:D2"/>
      <selection pane="topRight" activeCell="B2" sqref="B2:D2"/>
      <selection pane="bottomLeft" activeCell="B2" sqref="B2:D2"/>
      <selection pane="bottomRight" activeCell="D6" sqref="D6"/>
    </sheetView>
  </sheetViews>
  <sheetFormatPr defaultRowHeight="12.75" x14ac:dyDescent="0.2"/>
  <cols>
    <col min="1" max="1" width="9.7109375" style="196" customWidth="1"/>
    <col min="2" max="3" width="45" style="196" customWidth="1"/>
    <col min="4" max="4" width="14.7109375" style="196" customWidth="1"/>
    <col min="5" max="5" width="11.28515625" style="196" bestFit="1" customWidth="1"/>
    <col min="6" max="6" width="12.42578125" style="196" bestFit="1" customWidth="1"/>
    <col min="7" max="7" width="13.5703125" style="196" customWidth="1"/>
    <col min="8" max="8" width="12.42578125" style="196" bestFit="1" customWidth="1"/>
    <col min="9" max="9" width="11.28515625" style="196" bestFit="1" customWidth="1"/>
    <col min="10" max="11" width="9.140625" style="196"/>
    <col min="12" max="12" width="9.7109375" style="196" customWidth="1"/>
    <col min="13" max="13" width="13.28515625" style="196" customWidth="1"/>
    <col min="14" max="14" width="10.5703125" style="196" customWidth="1"/>
    <col min="15" max="16" width="11" style="196" bestFit="1" customWidth="1"/>
    <col min="17" max="24" width="11" style="196" customWidth="1"/>
    <col min="25" max="25" width="1.85546875" style="196" customWidth="1"/>
    <col min="26" max="26" width="17.42578125" style="196" customWidth="1"/>
    <col min="27" max="30" width="11.28515625" style="196" bestFit="1" customWidth="1"/>
    <col min="31" max="31" width="10" style="196" bestFit="1" customWidth="1"/>
    <col min="32" max="34" width="9.85546875" style="196" bestFit="1" customWidth="1"/>
    <col min="35" max="35" width="12.42578125" style="196" customWidth="1"/>
    <col min="36" max="38" width="10.5703125" style="196" customWidth="1"/>
    <col min="39" max="39" width="11.28515625" style="196" bestFit="1" customWidth="1"/>
    <col min="40" max="40" width="11.7109375" style="196" customWidth="1"/>
    <col min="41" max="41" width="12.7109375" style="196" customWidth="1"/>
    <col min="42" max="42" width="9.140625" style="196"/>
    <col min="43" max="43" width="10.85546875" style="196" customWidth="1"/>
    <col min="44" max="45" width="10" style="196" bestFit="1" customWidth="1"/>
    <col min="46" max="46" width="9.42578125" style="196" bestFit="1" customWidth="1"/>
    <col min="47" max="47" width="1.85546875" style="196" customWidth="1"/>
    <col min="48" max="48" width="15.7109375" style="196" bestFit="1" customWidth="1"/>
    <col min="49" max="49" width="19.140625" style="196" bestFit="1" customWidth="1"/>
    <col min="50" max="50" width="17.85546875" style="196" bestFit="1" customWidth="1"/>
    <col min="51" max="51" width="15.7109375" style="196" customWidth="1"/>
    <col min="52" max="52" width="17.85546875" style="196" bestFit="1" customWidth="1"/>
    <col min="53" max="53" width="19.140625" style="196" bestFit="1" customWidth="1"/>
    <col min="54" max="55" width="17.85546875" style="196" bestFit="1" customWidth="1"/>
    <col min="56" max="56" width="10" style="196" bestFit="1" customWidth="1"/>
    <col min="57" max="57" width="13.140625" style="196" bestFit="1" customWidth="1"/>
    <col min="58" max="59" width="10.5703125" style="196" bestFit="1" customWidth="1"/>
    <col min="60" max="60" width="12" style="196" customWidth="1"/>
    <col min="61" max="63" width="15.7109375" style="196" bestFit="1" customWidth="1"/>
    <col min="64" max="64" width="10.28515625" style="196" customWidth="1"/>
    <col min="65" max="65" width="14.7109375" style="196" customWidth="1"/>
    <col min="66" max="66" width="14.85546875" style="196" bestFit="1" customWidth="1"/>
    <col min="67" max="67" width="14.85546875" style="196" customWidth="1"/>
    <col min="68" max="68" width="10.7109375" style="196" customWidth="1"/>
    <col min="69" max="69" width="1.85546875" style="196" customWidth="1"/>
    <col min="70" max="70" width="14.42578125" style="196" bestFit="1" customWidth="1"/>
    <col min="71" max="71" width="15.7109375" style="196" bestFit="1" customWidth="1"/>
    <col min="72" max="72" width="15.5703125" style="196" customWidth="1"/>
    <col min="73" max="75" width="14.42578125" style="196" bestFit="1" customWidth="1"/>
    <col min="76" max="78" width="9.85546875" style="196" bestFit="1" customWidth="1"/>
    <col min="79" max="79" width="16.28515625" style="196" customWidth="1"/>
    <col min="80" max="80" width="12" style="196" customWidth="1"/>
    <col min="81" max="81" width="11.42578125" style="196" customWidth="1"/>
    <col min="82" max="82" width="11.7109375" style="196" customWidth="1"/>
    <col min="83" max="84" width="17.85546875" style="196" bestFit="1" customWidth="1"/>
    <col min="85" max="85" width="15.7109375" style="196" bestFit="1" customWidth="1"/>
    <col min="86" max="86" width="10.42578125" style="196" customWidth="1"/>
    <col min="87" max="87" width="14.42578125" style="196" bestFit="1" customWidth="1"/>
    <col min="88" max="88" width="13.140625" style="196" bestFit="1" customWidth="1"/>
    <col min="89" max="89" width="12.42578125" style="196" bestFit="1" customWidth="1"/>
    <col min="90" max="90" width="9.85546875" style="196" bestFit="1" customWidth="1"/>
    <col min="91" max="91" width="17.85546875" style="196" customWidth="1"/>
    <col min="92" max="92" width="1.85546875" style="196" customWidth="1"/>
    <col min="93" max="93" width="14.5703125" style="196" customWidth="1"/>
    <col min="94" max="94" width="15.7109375" style="196" bestFit="1" customWidth="1"/>
    <col min="95" max="95" width="15.85546875" style="196" customWidth="1"/>
    <col min="96" max="98" width="14.42578125" style="196" bestFit="1" customWidth="1"/>
    <col min="99" max="101" width="10" style="196" bestFit="1" customWidth="1"/>
    <col min="102" max="102" width="18.140625" style="196" customWidth="1"/>
    <col min="103" max="103" width="15.28515625" style="196" customWidth="1"/>
    <col min="104" max="104" width="11.28515625" style="196" customWidth="1"/>
    <col min="105" max="105" width="11.85546875" style="196" customWidth="1"/>
    <col min="106" max="108" width="17.85546875" style="196" bestFit="1" customWidth="1"/>
    <col min="109" max="109" width="9.140625" style="196"/>
    <col min="110" max="110" width="14.42578125" style="196" bestFit="1" customWidth="1"/>
    <col min="111" max="111" width="13.28515625" style="196" customWidth="1"/>
    <col min="112" max="112" width="12.42578125" style="196" bestFit="1" customWidth="1"/>
    <col min="113" max="113" width="10" style="196" bestFit="1" customWidth="1"/>
    <col min="114" max="114" width="17.85546875" style="196" bestFit="1" customWidth="1"/>
    <col min="115" max="16384" width="9.140625" style="196"/>
  </cols>
  <sheetData>
    <row r="1" spans="1:114" ht="15" x14ac:dyDescent="0.25">
      <c r="B1" s="150" t="str">
        <f>"Tariff Approval - "&amp;'Model update'!$C$3</f>
        <v>Tariff Approval - CitiPower</v>
      </c>
      <c r="C1" s="150"/>
      <c r="D1" s="618"/>
      <c r="E1" s="618"/>
      <c r="F1" s="618"/>
    </row>
    <row r="2" spans="1:114" x14ac:dyDescent="0.2">
      <c r="D2" s="618"/>
      <c r="E2" s="618"/>
      <c r="F2" s="618"/>
    </row>
    <row r="3" spans="1:114" x14ac:dyDescent="0.2">
      <c r="B3" s="223" t="str">
        <f>"PROPOSED "&amp;'Model update'!$C$5&amp;" DISTRIBUTION TARIFFS"</f>
        <v>PROPOSED 2019 DISTRIBUTION TARIFFS</v>
      </c>
      <c r="C3" s="223"/>
    </row>
    <row r="4" spans="1:114" ht="13.5" thickBot="1" x14ac:dyDescent="0.25">
      <c r="D4" s="225" t="str">
        <f>"Proposed Distribution Tariffs (Pt) for "&amp;'Model update'!$C$5</f>
        <v>Proposed Distribution Tariffs (Pt) for 2019</v>
      </c>
      <c r="E4" s="226"/>
      <c r="F4" s="226"/>
      <c r="G4" s="226"/>
      <c r="H4" s="182"/>
      <c r="M4" s="366"/>
      <c r="Z4" s="225" t="str">
        <f>"Current Distribution Tariffs (Pt-1) for "&amp;'Model update'!$C$8</f>
        <v>Current Distribution Tariffs (Pt-1) for 2018</v>
      </c>
      <c r="AA4" s="226"/>
      <c r="AB4" s="226"/>
      <c r="AC4" s="226"/>
      <c r="AD4" s="182"/>
      <c r="AV4" s="225" t="str">
        <f>"Forecast Quantities (Qt) for "&amp;'Model update'!$C$5</f>
        <v>Forecast Quantities (Qt) for 2019</v>
      </c>
      <c r="AW4" s="226"/>
      <c r="AX4" s="182"/>
      <c r="AY4" s="182"/>
      <c r="AZ4" s="182"/>
      <c r="BR4" s="225" t="str">
        <f>"Forecast Revenue (Pt "&amp;'Model update'!$C$5&amp;")*(Qt " &amp;'Model update'!$C$5&amp;")"</f>
        <v>Forecast Revenue (Pt 2019)*(Qt 2019)</v>
      </c>
      <c r="BS4" s="226"/>
      <c r="BT4" s="226"/>
      <c r="BU4" s="182"/>
      <c r="BV4" s="182"/>
      <c r="CO4" s="225" t="str">
        <f>"Revenue (Pt-1 "&amp;'Model update'!$C$8&amp;")*(Qt " &amp;'Model update'!$C$5&amp;")"</f>
        <v>Revenue (Pt-1 2018)*(Qt 2019)</v>
      </c>
      <c r="CP4" s="226"/>
      <c r="CQ4" s="182"/>
      <c r="CR4" s="182"/>
      <c r="CS4" s="182"/>
    </row>
    <row r="5" spans="1:114" ht="38.25" x14ac:dyDescent="0.2">
      <c r="B5" s="229" t="s">
        <v>128</v>
      </c>
      <c r="C5" s="367" t="s">
        <v>129</v>
      </c>
      <c r="D5" s="230" t="s">
        <v>130</v>
      </c>
      <c r="E5" s="231" t="s">
        <v>517</v>
      </c>
      <c r="F5" s="231" t="s">
        <v>518</v>
      </c>
      <c r="G5" s="231"/>
      <c r="H5" s="231"/>
      <c r="I5" s="231" t="s">
        <v>131</v>
      </c>
      <c r="J5" s="231"/>
      <c r="K5" s="231"/>
      <c r="L5" s="231"/>
      <c r="M5" s="231" t="s">
        <v>519</v>
      </c>
      <c r="N5" s="231" t="s">
        <v>520</v>
      </c>
      <c r="O5" s="231" t="s">
        <v>521</v>
      </c>
      <c r="P5" s="231" t="s">
        <v>522</v>
      </c>
      <c r="Q5" s="232" t="s">
        <v>132</v>
      </c>
      <c r="R5" s="231" t="s">
        <v>133</v>
      </c>
      <c r="S5" s="231" t="s">
        <v>134</v>
      </c>
      <c r="T5" s="231"/>
      <c r="U5" s="231" t="s">
        <v>135</v>
      </c>
      <c r="V5" s="231" t="s">
        <v>136</v>
      </c>
      <c r="W5" s="231" t="s">
        <v>137</v>
      </c>
      <c r="X5" s="233"/>
      <c r="Z5" s="230" t="s">
        <v>138</v>
      </c>
      <c r="AA5" s="231" t="s">
        <v>530</v>
      </c>
      <c r="AB5" s="231" t="s">
        <v>531</v>
      </c>
      <c r="AC5" s="231"/>
      <c r="AD5" s="231"/>
      <c r="AE5" s="231" t="s">
        <v>532</v>
      </c>
      <c r="AF5" s="231"/>
      <c r="AG5" s="231"/>
      <c r="AH5" s="231"/>
      <c r="AI5" s="231" t="s">
        <v>533</v>
      </c>
      <c r="AJ5" s="231" t="s">
        <v>534</v>
      </c>
      <c r="AK5" s="231" t="s">
        <v>535</v>
      </c>
      <c r="AL5" s="231" t="s">
        <v>536</v>
      </c>
      <c r="AM5" s="232" t="s">
        <v>139</v>
      </c>
      <c r="AN5" s="231" t="s">
        <v>140</v>
      </c>
      <c r="AO5" s="231" t="s">
        <v>141</v>
      </c>
      <c r="AP5" s="231"/>
      <c r="AQ5" s="231" t="s">
        <v>142</v>
      </c>
      <c r="AR5" s="231" t="s">
        <v>143</v>
      </c>
      <c r="AS5" s="231" t="s">
        <v>144</v>
      </c>
      <c r="AT5" s="233"/>
      <c r="AV5" s="230" t="s">
        <v>161</v>
      </c>
      <c r="AW5" s="231" t="s">
        <v>523</v>
      </c>
      <c r="AX5" s="231" t="s">
        <v>524</v>
      </c>
      <c r="AY5" s="231"/>
      <c r="AZ5" s="231"/>
      <c r="BA5" s="231" t="s">
        <v>525</v>
      </c>
      <c r="BB5" s="231"/>
      <c r="BC5" s="231"/>
      <c r="BD5" s="231"/>
      <c r="BE5" s="231" t="s">
        <v>526</v>
      </c>
      <c r="BF5" s="231" t="s">
        <v>527</v>
      </c>
      <c r="BG5" s="231" t="s">
        <v>528</v>
      </c>
      <c r="BH5" s="231" t="s">
        <v>529</v>
      </c>
      <c r="BI5" s="232" t="s">
        <v>162</v>
      </c>
      <c r="BJ5" s="231" t="s">
        <v>163</v>
      </c>
      <c r="BK5" s="231" t="s">
        <v>164</v>
      </c>
      <c r="BL5" s="231"/>
      <c r="BM5" s="231" t="s">
        <v>165</v>
      </c>
      <c r="BN5" s="231" t="s">
        <v>166</v>
      </c>
      <c r="BO5" s="231" t="s">
        <v>167</v>
      </c>
      <c r="BP5" s="233"/>
      <c r="BR5" s="230" t="s">
        <v>145</v>
      </c>
      <c r="BS5" s="231" t="s">
        <v>503</v>
      </c>
      <c r="BT5" s="231" t="s">
        <v>504</v>
      </c>
      <c r="BU5" s="231"/>
      <c r="BV5" s="231"/>
      <c r="BW5" s="231" t="s">
        <v>505</v>
      </c>
      <c r="BX5" s="231"/>
      <c r="BY5" s="231"/>
      <c r="BZ5" s="231"/>
      <c r="CA5" s="231" t="s">
        <v>506</v>
      </c>
      <c r="CB5" s="231" t="s">
        <v>507</v>
      </c>
      <c r="CC5" s="231" t="s">
        <v>508</v>
      </c>
      <c r="CD5" s="231" t="s">
        <v>509</v>
      </c>
      <c r="CE5" s="368" t="s">
        <v>146</v>
      </c>
      <c r="CF5" s="368" t="s">
        <v>147</v>
      </c>
      <c r="CG5" s="368" t="s">
        <v>148</v>
      </c>
      <c r="CH5" s="368"/>
      <c r="CI5" s="368" t="s">
        <v>149</v>
      </c>
      <c r="CJ5" s="368" t="s">
        <v>150</v>
      </c>
      <c r="CK5" s="368" t="s">
        <v>151</v>
      </c>
      <c r="CL5" s="368"/>
      <c r="CM5" s="233" t="s">
        <v>152</v>
      </c>
      <c r="CO5" s="230" t="s">
        <v>153</v>
      </c>
      <c r="CP5" s="231" t="s">
        <v>544</v>
      </c>
      <c r="CQ5" s="231" t="s">
        <v>545</v>
      </c>
      <c r="CR5" s="231"/>
      <c r="CS5" s="231"/>
      <c r="CT5" s="231" t="s">
        <v>546</v>
      </c>
      <c r="CU5" s="231"/>
      <c r="CV5" s="231"/>
      <c r="CW5" s="231"/>
      <c r="CX5" s="231" t="s">
        <v>547</v>
      </c>
      <c r="CY5" s="231" t="s">
        <v>548</v>
      </c>
      <c r="CZ5" s="231" t="s">
        <v>549</v>
      </c>
      <c r="DA5" s="231" t="s">
        <v>550</v>
      </c>
      <c r="DB5" s="368" t="s">
        <v>154</v>
      </c>
      <c r="DC5" s="368" t="s">
        <v>155</v>
      </c>
      <c r="DD5" s="368" t="s">
        <v>156</v>
      </c>
      <c r="DE5" s="368"/>
      <c r="DF5" s="368" t="s">
        <v>157</v>
      </c>
      <c r="DG5" s="368" t="s">
        <v>158</v>
      </c>
      <c r="DH5" s="368" t="s">
        <v>159</v>
      </c>
      <c r="DI5" s="368"/>
      <c r="DJ5" s="233" t="s">
        <v>160</v>
      </c>
    </row>
    <row r="6" spans="1:114" x14ac:dyDescent="0.2">
      <c r="B6" s="234"/>
      <c r="C6" s="234"/>
      <c r="D6" s="297"/>
      <c r="E6" s="281"/>
      <c r="F6" s="281"/>
      <c r="G6" s="281"/>
      <c r="H6" s="281"/>
      <c r="I6" s="281"/>
      <c r="J6" s="281"/>
      <c r="K6" s="281"/>
      <c r="L6" s="281"/>
      <c r="M6" s="281"/>
      <c r="N6" s="281"/>
      <c r="O6" s="281"/>
      <c r="P6" s="281"/>
      <c r="Q6" s="280"/>
      <c r="R6" s="281"/>
      <c r="S6" s="281"/>
      <c r="T6" s="281"/>
      <c r="U6" s="281"/>
      <c r="V6" s="281"/>
      <c r="W6" s="281"/>
      <c r="X6" s="282"/>
      <c r="Z6" s="235"/>
      <c r="AA6" s="236"/>
      <c r="AB6" s="236"/>
      <c r="AC6" s="236"/>
      <c r="AD6" s="236"/>
      <c r="AE6" s="236"/>
      <c r="AF6" s="236"/>
      <c r="AG6" s="236"/>
      <c r="AH6" s="236"/>
      <c r="AI6" s="237"/>
      <c r="AJ6" s="237"/>
      <c r="AK6" s="237"/>
      <c r="AL6" s="237"/>
      <c r="AM6" s="369"/>
      <c r="AN6" s="237"/>
      <c r="AO6" s="237"/>
      <c r="AP6" s="237"/>
      <c r="AQ6" s="237"/>
      <c r="AR6" s="237"/>
      <c r="AS6" s="237"/>
      <c r="AT6" s="238"/>
      <c r="AV6" s="249"/>
      <c r="AW6" s="250"/>
      <c r="AX6" s="250"/>
      <c r="AY6" s="250"/>
      <c r="AZ6" s="250"/>
      <c r="BA6" s="250"/>
      <c r="BB6" s="250"/>
      <c r="BC6" s="250"/>
      <c r="BD6" s="250"/>
      <c r="BE6" s="250"/>
      <c r="BF6" s="250"/>
      <c r="BG6" s="250"/>
      <c r="BH6" s="250"/>
      <c r="BI6" s="370"/>
      <c r="BJ6" s="250"/>
      <c r="BK6" s="250"/>
      <c r="BL6" s="250"/>
      <c r="BM6" s="250"/>
      <c r="BN6" s="250"/>
      <c r="BO6" s="250"/>
      <c r="BP6" s="251"/>
      <c r="BR6" s="301">
        <f t="shared" ref="BR6" si="0">D6*AV6</f>
        <v>0</v>
      </c>
      <c r="BS6" s="302">
        <f t="shared" ref="BS6" si="1">E6/100*AW6</f>
        <v>0</v>
      </c>
      <c r="BT6" s="302">
        <f t="shared" ref="BT6" si="2">F6/100*AX6</f>
        <v>0</v>
      </c>
      <c r="BU6" s="302">
        <f t="shared" ref="BU6" si="3">G6/100*AY6</f>
        <v>0</v>
      </c>
      <c r="BV6" s="302">
        <f t="shared" ref="BV6" si="4">H6/100*AZ6</f>
        <v>0</v>
      </c>
      <c r="BW6" s="302">
        <f t="shared" ref="BW6" si="5">I6/100*BA6</f>
        <v>0</v>
      </c>
      <c r="BX6" s="302">
        <f t="shared" ref="BX6" si="6">J6/100*BB6</f>
        <v>0</v>
      </c>
      <c r="BY6" s="302">
        <f t="shared" ref="BY6" si="7">K6/100*BC6</f>
        <v>0</v>
      </c>
      <c r="BZ6" s="302">
        <f t="shared" ref="BZ6" si="8">L6/100*BD6</f>
        <v>0</v>
      </c>
      <c r="CA6" s="302">
        <f t="shared" ref="CA6" si="9">M6*BE6</f>
        <v>0</v>
      </c>
      <c r="CB6" s="302">
        <f t="shared" ref="CB6" si="10">N6*BF6</f>
        <v>0</v>
      </c>
      <c r="CC6" s="302">
        <f t="shared" ref="CC6" si="11">O6*BG6</f>
        <v>0</v>
      </c>
      <c r="CD6" s="302">
        <f t="shared" ref="CD6" si="12">P6*BH6</f>
        <v>0</v>
      </c>
      <c r="CE6" s="302">
        <f t="shared" ref="CE6" si="13">Q6/100*BI6</f>
        <v>0</v>
      </c>
      <c r="CF6" s="302">
        <f t="shared" ref="CF6" si="14">R6/100*BJ6</f>
        <v>0</v>
      </c>
      <c r="CG6" s="302">
        <f t="shared" ref="CG6" si="15">S6/100*BK6</f>
        <v>0</v>
      </c>
      <c r="CH6" s="302">
        <f t="shared" ref="CH6" si="16">T6/100*BL6</f>
        <v>0</v>
      </c>
      <c r="CI6" s="302">
        <f t="shared" ref="CI6" si="17">U6/100*BM6</f>
        <v>0</v>
      </c>
      <c r="CJ6" s="302">
        <f t="shared" ref="CJ6" si="18">V6/100*BN6</f>
        <v>0</v>
      </c>
      <c r="CK6" s="302">
        <f t="shared" ref="CK6" si="19">W6/100*BO6</f>
        <v>0</v>
      </c>
      <c r="CL6" s="302">
        <f t="shared" ref="CL6" si="20">X6/100*BP6</f>
        <v>0</v>
      </c>
      <c r="CM6" s="254">
        <f t="shared" ref="CM6" si="21">SUM(BR6:CL6)</f>
        <v>0</v>
      </c>
      <c r="CO6" s="301">
        <f t="shared" ref="CO6" si="22">Z6*AV6</f>
        <v>0</v>
      </c>
      <c r="CP6" s="302">
        <f t="shared" ref="CP6" si="23">AA6/100*AW6</f>
        <v>0</v>
      </c>
      <c r="CQ6" s="302">
        <f t="shared" ref="CQ6" si="24">AB6/100*AX6</f>
        <v>0</v>
      </c>
      <c r="CR6" s="302">
        <f t="shared" ref="CR6" si="25">AC6/100*AY6</f>
        <v>0</v>
      </c>
      <c r="CS6" s="302">
        <f t="shared" ref="CS6" si="26">AD6/100*AZ6</f>
        <v>0</v>
      </c>
      <c r="CT6" s="302">
        <f t="shared" ref="CT6" si="27">AE6/100*BA6</f>
        <v>0</v>
      </c>
      <c r="CU6" s="302">
        <f t="shared" ref="CU6" si="28">AF6/100*BB6</f>
        <v>0</v>
      </c>
      <c r="CV6" s="302">
        <f t="shared" ref="CV6" si="29">AG6/100*BC6</f>
        <v>0</v>
      </c>
      <c r="CW6" s="302">
        <f t="shared" ref="CW6" si="30">AH6/100*BD6</f>
        <v>0</v>
      </c>
      <c r="CX6" s="302">
        <f t="shared" ref="CX6" si="31">AI6*BE6</f>
        <v>0</v>
      </c>
      <c r="CY6" s="302">
        <f t="shared" ref="CY6" si="32">AJ6*BF6</f>
        <v>0</v>
      </c>
      <c r="CZ6" s="302">
        <f t="shared" ref="CZ6" si="33">AK6*BG6</f>
        <v>0</v>
      </c>
      <c r="DA6" s="302">
        <f t="shared" ref="DA6" si="34">AL6*BH6</f>
        <v>0</v>
      </c>
      <c r="DB6" s="302">
        <f t="shared" ref="DB6" si="35">AM6/100*BI6</f>
        <v>0</v>
      </c>
      <c r="DC6" s="302">
        <f t="shared" ref="DC6" si="36">AN6/100*BJ6</f>
        <v>0</v>
      </c>
      <c r="DD6" s="302">
        <f t="shared" ref="DD6" si="37">AO6/100*BK6</f>
        <v>0</v>
      </c>
      <c r="DE6" s="302">
        <f t="shared" ref="DE6" si="38">AP6/100*BL6</f>
        <v>0</v>
      </c>
      <c r="DF6" s="302">
        <f t="shared" ref="DF6" si="39">AQ6/100*BM6</f>
        <v>0</v>
      </c>
      <c r="DG6" s="302">
        <f t="shared" ref="DG6" si="40">AR6/100*BN6</f>
        <v>0</v>
      </c>
      <c r="DH6" s="302">
        <f t="shared" ref="DH6" si="41">AS6/100*BO6</f>
        <v>0</v>
      </c>
      <c r="DI6" s="302">
        <f t="shared" ref="DI6" si="42">AT6/100*BP6</f>
        <v>0</v>
      </c>
      <c r="DJ6" s="254">
        <f t="shared" ref="DJ6" si="43">SUM(CO6:DI6)</f>
        <v>0</v>
      </c>
    </row>
    <row r="7" spans="1:114" x14ac:dyDescent="0.2">
      <c r="A7" s="196" t="str">
        <f>Est2018DistRev!A7</f>
        <v>C1R</v>
      </c>
      <c r="B7" s="234" t="str">
        <f>C7</f>
        <v>Residential Single Rate</v>
      </c>
      <c r="C7" s="234" t="str">
        <f>Est2018DistRev!B7</f>
        <v>Residential Single Rate</v>
      </c>
      <c r="D7" s="786">
        <v>90</v>
      </c>
      <c r="E7" s="787">
        <v>4.72</v>
      </c>
      <c r="F7" s="787">
        <v>0</v>
      </c>
      <c r="G7" s="787">
        <v>0</v>
      </c>
      <c r="H7" s="787">
        <v>0</v>
      </c>
      <c r="I7" s="787">
        <v>0</v>
      </c>
      <c r="J7" s="787">
        <v>0</v>
      </c>
      <c r="K7" s="787">
        <v>0</v>
      </c>
      <c r="L7" s="787">
        <v>0</v>
      </c>
      <c r="M7" s="787">
        <v>0</v>
      </c>
      <c r="N7" s="787">
        <v>0</v>
      </c>
      <c r="O7" s="787">
        <v>0</v>
      </c>
      <c r="P7" s="787">
        <v>0</v>
      </c>
      <c r="Q7" s="787">
        <v>0</v>
      </c>
      <c r="R7" s="787">
        <v>0</v>
      </c>
      <c r="S7" s="787">
        <v>0</v>
      </c>
      <c r="T7" s="787">
        <v>0</v>
      </c>
      <c r="U7" s="787">
        <v>0</v>
      </c>
      <c r="V7" s="787">
        <v>0</v>
      </c>
      <c r="W7" s="787">
        <v>0</v>
      </c>
      <c r="X7" s="682">
        <v>0</v>
      </c>
      <c r="Z7" s="246">
        <f>Est2018DistRev!D7</f>
        <v>85</v>
      </c>
      <c r="AA7" s="247">
        <f>Est2018DistRev!E7</f>
        <v>4.6100000000000003</v>
      </c>
      <c r="AB7" s="247">
        <f>Est2018DistRev!F7</f>
        <v>0</v>
      </c>
      <c r="AC7" s="247">
        <f>Est2018DistRev!G7</f>
        <v>0</v>
      </c>
      <c r="AD7" s="247">
        <f>Est2018DistRev!H7</f>
        <v>0</v>
      </c>
      <c r="AE7" s="247">
        <f>Est2018DistRev!I7</f>
        <v>0</v>
      </c>
      <c r="AF7" s="247">
        <f>Est2018DistRev!J7</f>
        <v>0</v>
      </c>
      <c r="AG7" s="247">
        <f>Est2018DistRev!K7</f>
        <v>0</v>
      </c>
      <c r="AH7" s="247">
        <f>Est2018DistRev!L7</f>
        <v>0</v>
      </c>
      <c r="AI7" s="247">
        <f>Est2018DistRev!M7</f>
        <v>0</v>
      </c>
      <c r="AJ7" s="247">
        <f>Est2018DistRev!N7</f>
        <v>0</v>
      </c>
      <c r="AK7" s="247">
        <f>Est2018DistRev!O7</f>
        <v>0</v>
      </c>
      <c r="AL7" s="247">
        <f>Est2018DistRev!P7</f>
        <v>0</v>
      </c>
      <c r="AM7" s="247">
        <f>Est2018DistRev!Q7</f>
        <v>0</v>
      </c>
      <c r="AN7" s="247">
        <f>Est2018DistRev!R7</f>
        <v>0</v>
      </c>
      <c r="AO7" s="247">
        <f>Est2018DistRev!S7</f>
        <v>0</v>
      </c>
      <c r="AP7" s="247">
        <f>Est2018DistRev!T7</f>
        <v>0</v>
      </c>
      <c r="AQ7" s="247">
        <f>Est2018DistRev!U7</f>
        <v>0</v>
      </c>
      <c r="AR7" s="247">
        <f>Est2018DistRev!V7</f>
        <v>0</v>
      </c>
      <c r="AS7" s="247">
        <f>Est2018DistRev!W7</f>
        <v>0</v>
      </c>
      <c r="AT7" s="248">
        <f>Est2018DistRev!X7</f>
        <v>0</v>
      </c>
      <c r="AV7" s="788">
        <v>205044.5</v>
      </c>
      <c r="AW7" s="789">
        <v>853857291.19384253</v>
      </c>
      <c r="AX7" s="789">
        <v>0</v>
      </c>
      <c r="AY7" s="789">
        <v>0</v>
      </c>
      <c r="AZ7" s="789">
        <v>0</v>
      </c>
      <c r="BA7" s="789">
        <v>0</v>
      </c>
      <c r="BB7" s="789">
        <v>0</v>
      </c>
      <c r="BC7" s="789">
        <v>0</v>
      </c>
      <c r="BD7" s="789">
        <v>0</v>
      </c>
      <c r="BE7" s="789">
        <v>0</v>
      </c>
      <c r="BF7" s="789">
        <v>0</v>
      </c>
      <c r="BG7" s="789">
        <v>0</v>
      </c>
      <c r="BH7" s="789">
        <v>0</v>
      </c>
      <c r="BI7" s="789">
        <v>0</v>
      </c>
      <c r="BJ7" s="789">
        <v>0</v>
      </c>
      <c r="BK7" s="789">
        <v>0</v>
      </c>
      <c r="BL7" s="789">
        <v>0</v>
      </c>
      <c r="BM7" s="789">
        <v>0</v>
      </c>
      <c r="BN7" s="789">
        <v>0</v>
      </c>
      <c r="BO7" s="789">
        <v>0</v>
      </c>
      <c r="BP7" s="655">
        <v>0</v>
      </c>
      <c r="BR7" s="301">
        <f t="shared" ref="BR7" si="44">D7*AV7</f>
        <v>18454005</v>
      </c>
      <c r="BS7" s="302">
        <f t="shared" ref="BS7:BZ7" si="45">E7/100*AW7</f>
        <v>40302064.144349366</v>
      </c>
      <c r="BT7" s="302">
        <f t="shared" si="45"/>
        <v>0</v>
      </c>
      <c r="BU7" s="302">
        <f t="shared" si="45"/>
        <v>0</v>
      </c>
      <c r="BV7" s="302">
        <f t="shared" si="45"/>
        <v>0</v>
      </c>
      <c r="BW7" s="302">
        <f t="shared" si="45"/>
        <v>0</v>
      </c>
      <c r="BX7" s="302">
        <f t="shared" si="45"/>
        <v>0</v>
      </c>
      <c r="BY7" s="302">
        <f t="shared" si="45"/>
        <v>0</v>
      </c>
      <c r="BZ7" s="302">
        <f t="shared" si="45"/>
        <v>0</v>
      </c>
      <c r="CA7" s="302">
        <f t="shared" ref="CA7:CD7" si="46">M7*BE7</f>
        <v>0</v>
      </c>
      <c r="CB7" s="302">
        <f t="shared" si="46"/>
        <v>0</v>
      </c>
      <c r="CC7" s="302">
        <f t="shared" si="46"/>
        <v>0</v>
      </c>
      <c r="CD7" s="302">
        <f t="shared" si="46"/>
        <v>0</v>
      </c>
      <c r="CE7" s="302">
        <f t="shared" ref="CE7" si="47">Q7/100*BI7</f>
        <v>0</v>
      </c>
      <c r="CF7" s="302">
        <f t="shared" ref="CF7:CL7" si="48">R7/100*BJ7</f>
        <v>0</v>
      </c>
      <c r="CG7" s="302">
        <f t="shared" si="48"/>
        <v>0</v>
      </c>
      <c r="CH7" s="302">
        <f t="shared" si="48"/>
        <v>0</v>
      </c>
      <c r="CI7" s="302">
        <f t="shared" si="48"/>
        <v>0</v>
      </c>
      <c r="CJ7" s="302">
        <f t="shared" si="48"/>
        <v>0</v>
      </c>
      <c r="CK7" s="302">
        <f t="shared" si="48"/>
        <v>0</v>
      </c>
      <c r="CL7" s="302">
        <f t="shared" si="48"/>
        <v>0</v>
      </c>
      <c r="CM7" s="254">
        <f t="shared" ref="CM7:CM65" si="49">SUM(BR7:CL7)</f>
        <v>58756069.144349366</v>
      </c>
      <c r="CO7" s="301">
        <f t="shared" ref="CO7" si="50">Z7*AV7</f>
        <v>17428782.5</v>
      </c>
      <c r="CP7" s="302">
        <f t="shared" ref="CP7:CW7" si="51">AA7/100*AW7</f>
        <v>39362821.124036141</v>
      </c>
      <c r="CQ7" s="302">
        <f t="shared" si="51"/>
        <v>0</v>
      </c>
      <c r="CR7" s="302">
        <f t="shared" si="51"/>
        <v>0</v>
      </c>
      <c r="CS7" s="302">
        <f t="shared" si="51"/>
        <v>0</v>
      </c>
      <c r="CT7" s="302">
        <f t="shared" si="51"/>
        <v>0</v>
      </c>
      <c r="CU7" s="302">
        <f t="shared" si="51"/>
        <v>0</v>
      </c>
      <c r="CV7" s="302">
        <f t="shared" si="51"/>
        <v>0</v>
      </c>
      <c r="CW7" s="302">
        <f t="shared" si="51"/>
        <v>0</v>
      </c>
      <c r="CX7" s="302">
        <f t="shared" ref="CX7:DA7" si="52">AI7*BE7</f>
        <v>0</v>
      </c>
      <c r="CY7" s="302">
        <f t="shared" si="52"/>
        <v>0</v>
      </c>
      <c r="CZ7" s="302">
        <f t="shared" si="52"/>
        <v>0</v>
      </c>
      <c r="DA7" s="302">
        <f t="shared" si="52"/>
        <v>0</v>
      </c>
      <c r="DB7" s="302">
        <f t="shared" ref="DB7" si="53">AM7/100*BI7</f>
        <v>0</v>
      </c>
      <c r="DC7" s="302">
        <f t="shared" ref="DC7:DI7" si="54">AN7/100*BJ7</f>
        <v>0</v>
      </c>
      <c r="DD7" s="302">
        <f t="shared" si="54"/>
        <v>0</v>
      </c>
      <c r="DE7" s="302">
        <f t="shared" si="54"/>
        <v>0</v>
      </c>
      <c r="DF7" s="302">
        <f t="shared" si="54"/>
        <v>0</v>
      </c>
      <c r="DG7" s="302">
        <f t="shared" si="54"/>
        <v>0</v>
      </c>
      <c r="DH7" s="302">
        <f t="shared" si="54"/>
        <v>0</v>
      </c>
      <c r="DI7" s="302">
        <f t="shared" si="54"/>
        <v>0</v>
      </c>
      <c r="DJ7" s="254">
        <f t="shared" ref="DJ7:DJ64" si="55">SUM(CO7:DI7)</f>
        <v>56791603.624036141</v>
      </c>
    </row>
    <row r="8" spans="1:114" x14ac:dyDescent="0.2">
      <c r="A8" s="196" t="str">
        <f>Est2018DistRev!A8</f>
        <v>C1RB</v>
      </c>
      <c r="B8" s="234" t="str">
        <f t="shared" ref="B8:B42" si="56">C8</f>
        <v>Residential Single Rate - Bulk</v>
      </c>
      <c r="C8" s="234" t="str">
        <f>Est2018DistRev!B8</f>
        <v>Residential Single Rate - Bulk</v>
      </c>
      <c r="D8" s="786">
        <v>85</v>
      </c>
      <c r="E8" s="787">
        <v>4.1500000000000004</v>
      </c>
      <c r="F8" s="787">
        <v>0</v>
      </c>
      <c r="G8" s="787">
        <v>0</v>
      </c>
      <c r="H8" s="787">
        <v>0</v>
      </c>
      <c r="I8" s="787">
        <v>0</v>
      </c>
      <c r="J8" s="787">
        <v>0</v>
      </c>
      <c r="K8" s="787">
        <v>0</v>
      </c>
      <c r="L8" s="787">
        <v>0</v>
      </c>
      <c r="M8" s="787">
        <v>0</v>
      </c>
      <c r="N8" s="787">
        <v>0</v>
      </c>
      <c r="O8" s="787">
        <v>0</v>
      </c>
      <c r="P8" s="787">
        <v>0</v>
      </c>
      <c r="Q8" s="787">
        <v>0</v>
      </c>
      <c r="R8" s="787">
        <v>0</v>
      </c>
      <c r="S8" s="787">
        <v>0</v>
      </c>
      <c r="T8" s="787">
        <v>0</v>
      </c>
      <c r="U8" s="787">
        <v>0</v>
      </c>
      <c r="V8" s="787">
        <v>0</v>
      </c>
      <c r="W8" s="787">
        <v>0</v>
      </c>
      <c r="X8" s="682">
        <v>0</v>
      </c>
      <c r="Z8" s="246">
        <f>Est2018DistRev!D8</f>
        <v>75</v>
      </c>
      <c r="AA8" s="247">
        <f>Est2018DistRev!E8</f>
        <v>3.95</v>
      </c>
      <c r="AB8" s="247">
        <f>Est2018DistRev!F8</f>
        <v>0</v>
      </c>
      <c r="AC8" s="247">
        <f>Est2018DistRev!G8</f>
        <v>0</v>
      </c>
      <c r="AD8" s="247">
        <f>Est2018DistRev!H8</f>
        <v>0</v>
      </c>
      <c r="AE8" s="247">
        <f>Est2018DistRev!I8</f>
        <v>0</v>
      </c>
      <c r="AF8" s="247">
        <f>Est2018DistRev!J8</f>
        <v>0</v>
      </c>
      <c r="AG8" s="247">
        <f>Est2018DistRev!K8</f>
        <v>0</v>
      </c>
      <c r="AH8" s="247">
        <f>Est2018DistRev!L8</f>
        <v>0</v>
      </c>
      <c r="AI8" s="247">
        <f>Est2018DistRev!M8</f>
        <v>0</v>
      </c>
      <c r="AJ8" s="247">
        <f>Est2018DistRev!N8</f>
        <v>0</v>
      </c>
      <c r="AK8" s="247">
        <f>Est2018DistRev!O8</f>
        <v>0</v>
      </c>
      <c r="AL8" s="247">
        <f>Est2018DistRev!P8</f>
        <v>0</v>
      </c>
      <c r="AM8" s="247">
        <f>Est2018DistRev!Q8</f>
        <v>0</v>
      </c>
      <c r="AN8" s="247">
        <f>Est2018DistRev!R8</f>
        <v>0</v>
      </c>
      <c r="AO8" s="247">
        <f>Est2018DistRev!S8</f>
        <v>0</v>
      </c>
      <c r="AP8" s="247">
        <f>Est2018DistRev!T8</f>
        <v>0</v>
      </c>
      <c r="AQ8" s="247">
        <f>Est2018DistRev!U8</f>
        <v>0</v>
      </c>
      <c r="AR8" s="247">
        <f>Est2018DistRev!V8</f>
        <v>0</v>
      </c>
      <c r="AS8" s="247">
        <f>Est2018DistRev!W8</f>
        <v>0</v>
      </c>
      <c r="AT8" s="248">
        <f>Est2018DistRev!X8</f>
        <v>0</v>
      </c>
      <c r="AV8" s="790">
        <v>31480.916666666668</v>
      </c>
      <c r="AW8" s="789">
        <v>106631799.39951396</v>
      </c>
      <c r="AX8" s="789">
        <v>0</v>
      </c>
      <c r="AY8" s="789">
        <v>0</v>
      </c>
      <c r="AZ8" s="789">
        <v>0</v>
      </c>
      <c r="BA8" s="789">
        <v>0</v>
      </c>
      <c r="BB8" s="789">
        <v>0</v>
      </c>
      <c r="BC8" s="789">
        <v>0</v>
      </c>
      <c r="BD8" s="789">
        <v>0</v>
      </c>
      <c r="BE8" s="789">
        <v>0</v>
      </c>
      <c r="BF8" s="789">
        <v>0</v>
      </c>
      <c r="BG8" s="789">
        <v>0</v>
      </c>
      <c r="BH8" s="789">
        <v>0</v>
      </c>
      <c r="BI8" s="789">
        <v>0</v>
      </c>
      <c r="BJ8" s="789">
        <v>0</v>
      </c>
      <c r="BK8" s="789">
        <v>0</v>
      </c>
      <c r="BL8" s="789">
        <v>0</v>
      </c>
      <c r="BM8" s="789">
        <v>0</v>
      </c>
      <c r="BN8" s="789">
        <v>0</v>
      </c>
      <c r="BO8" s="789">
        <v>0</v>
      </c>
      <c r="BP8" s="655">
        <v>0</v>
      </c>
      <c r="BR8" s="301">
        <f t="shared" ref="BR8:BR65" si="57">D8*AV8</f>
        <v>2675877.916666667</v>
      </c>
      <c r="BS8" s="302">
        <f t="shared" ref="BS8:BS65" si="58">E8/100*AW8</f>
        <v>4425219.67507983</v>
      </c>
      <c r="BT8" s="302">
        <f t="shared" ref="BT8:BT65" si="59">F8/100*AX8</f>
        <v>0</v>
      </c>
      <c r="BU8" s="302">
        <f t="shared" ref="BU8:BU65" si="60">G8/100*AY8</f>
        <v>0</v>
      </c>
      <c r="BV8" s="302">
        <f t="shared" ref="BV8:BV65" si="61">H8/100*AZ8</f>
        <v>0</v>
      </c>
      <c r="BW8" s="302">
        <f t="shared" ref="BW8:BW65" si="62">I8/100*BA8</f>
        <v>0</v>
      </c>
      <c r="BX8" s="302">
        <f t="shared" ref="BX8:BX65" si="63">J8/100*BB8</f>
        <v>0</v>
      </c>
      <c r="BY8" s="302">
        <f t="shared" ref="BY8:BY65" si="64">K8/100*BC8</f>
        <v>0</v>
      </c>
      <c r="BZ8" s="302">
        <f t="shared" ref="BZ8:BZ65" si="65">L8/100*BD8</f>
        <v>0</v>
      </c>
      <c r="CA8" s="302">
        <f t="shared" ref="CA8:CA65" si="66">M8*BE8</f>
        <v>0</v>
      </c>
      <c r="CB8" s="302">
        <f t="shared" ref="CB8:CB65" si="67">N8*BF8</f>
        <v>0</v>
      </c>
      <c r="CC8" s="302">
        <f t="shared" ref="CC8:CC65" si="68">O8*BG8</f>
        <v>0</v>
      </c>
      <c r="CD8" s="302">
        <f t="shared" ref="CD8:CD65" si="69">P8*BH8</f>
        <v>0</v>
      </c>
      <c r="CE8" s="302">
        <f t="shared" ref="CE8:CE65" si="70">Q8/100*BI8</f>
        <v>0</v>
      </c>
      <c r="CF8" s="302">
        <f t="shared" ref="CF8:CF65" si="71">R8/100*BJ8</f>
        <v>0</v>
      </c>
      <c r="CG8" s="302">
        <f t="shared" ref="CG8:CG65" si="72">S8/100*BK8</f>
        <v>0</v>
      </c>
      <c r="CH8" s="302">
        <f t="shared" ref="CH8:CH65" si="73">T8/100*BL8</f>
        <v>0</v>
      </c>
      <c r="CI8" s="302">
        <f t="shared" ref="CI8:CI65" si="74">U8/100*BM8</f>
        <v>0</v>
      </c>
      <c r="CJ8" s="302">
        <f t="shared" ref="CJ8:CJ65" si="75">V8/100*BN8</f>
        <v>0</v>
      </c>
      <c r="CK8" s="302">
        <f t="shared" ref="CK8:CK65" si="76">W8/100*BO8</f>
        <v>0</v>
      </c>
      <c r="CL8" s="302">
        <f t="shared" ref="CL8:CL65" si="77">X8/100*BP8</f>
        <v>0</v>
      </c>
      <c r="CM8" s="254">
        <f t="shared" si="49"/>
        <v>7101097.591746497</v>
      </c>
      <c r="CO8" s="301">
        <f t="shared" ref="CO8:CO65" si="78">Z8*AV8</f>
        <v>2361068.75</v>
      </c>
      <c r="CP8" s="302">
        <f t="shared" ref="CP8:CP65" si="79">AA8/100*AW8</f>
        <v>4211956.0762808016</v>
      </c>
      <c r="CQ8" s="302">
        <f t="shared" ref="CQ8:CQ65" si="80">AB8/100*AX8</f>
        <v>0</v>
      </c>
      <c r="CR8" s="302">
        <f t="shared" ref="CR8:CR65" si="81">AC8/100*AY8</f>
        <v>0</v>
      </c>
      <c r="CS8" s="302">
        <f t="shared" ref="CS8:CS65" si="82">AD8/100*AZ8</f>
        <v>0</v>
      </c>
      <c r="CT8" s="302">
        <f t="shared" ref="CT8:CT65" si="83">AE8/100*BA8</f>
        <v>0</v>
      </c>
      <c r="CU8" s="302">
        <f t="shared" ref="CU8:CU65" si="84">AF8/100*BB8</f>
        <v>0</v>
      </c>
      <c r="CV8" s="302">
        <f t="shared" ref="CV8:CV65" si="85">AG8/100*BC8</f>
        <v>0</v>
      </c>
      <c r="CW8" s="302">
        <f t="shared" ref="CW8:CW65" si="86">AH8/100*BD8</f>
        <v>0</v>
      </c>
      <c r="CX8" s="302">
        <f t="shared" ref="CX8:CX65" si="87">AI8*BE8</f>
        <v>0</v>
      </c>
      <c r="CY8" s="302">
        <f t="shared" ref="CY8:CY65" si="88">AJ8*BF8</f>
        <v>0</v>
      </c>
      <c r="CZ8" s="302">
        <f t="shared" ref="CZ8:CZ65" si="89">AK8*BG8</f>
        <v>0</v>
      </c>
      <c r="DA8" s="302">
        <f t="shared" ref="DA8:DA65" si="90">AL8*BH8</f>
        <v>0</v>
      </c>
      <c r="DB8" s="302">
        <f t="shared" ref="DB8:DB65" si="91">AM8/100*BI8</f>
        <v>0</v>
      </c>
      <c r="DC8" s="302">
        <f t="shared" ref="DC8:DC65" si="92">AN8/100*BJ8</f>
        <v>0</v>
      </c>
      <c r="DD8" s="302">
        <f t="shared" ref="DD8:DD65" si="93">AO8/100*BK8</f>
        <v>0</v>
      </c>
      <c r="DE8" s="302">
        <f t="shared" ref="DE8:DE65" si="94">AP8/100*BL8</f>
        <v>0</v>
      </c>
      <c r="DF8" s="302">
        <f t="shared" ref="DF8:DF65" si="95">AQ8/100*BM8</f>
        <v>0</v>
      </c>
      <c r="DG8" s="302">
        <f t="shared" ref="DG8:DG65" si="96">AR8/100*BN8</f>
        <v>0</v>
      </c>
      <c r="DH8" s="302">
        <f t="shared" ref="DH8:DH65" si="97">AS8/100*BO8</f>
        <v>0</v>
      </c>
      <c r="DI8" s="302">
        <f t="shared" ref="DI8:DI65" si="98">AT8/100*BP8</f>
        <v>0</v>
      </c>
      <c r="DJ8" s="254">
        <f t="shared" si="55"/>
        <v>6573024.8262808016</v>
      </c>
    </row>
    <row r="9" spans="1:114" x14ac:dyDescent="0.2">
      <c r="A9" s="196" t="str">
        <f>Est2018DistRev!A9</f>
        <v>C13R</v>
      </c>
      <c r="B9" s="234" t="str">
        <f t="shared" si="56"/>
        <v>Residential - flexible pricing</v>
      </c>
      <c r="C9" s="234" t="str">
        <f>Est2018DistRev!B9</f>
        <v>Residential - flexible pricing</v>
      </c>
      <c r="D9" s="786">
        <v>90</v>
      </c>
      <c r="E9" s="787">
        <v>0</v>
      </c>
      <c r="F9" s="787">
        <v>0</v>
      </c>
      <c r="G9" s="787">
        <v>0</v>
      </c>
      <c r="H9" s="787">
        <v>0</v>
      </c>
      <c r="I9" s="787">
        <v>0</v>
      </c>
      <c r="J9" s="787">
        <v>0</v>
      </c>
      <c r="K9" s="787">
        <v>0</v>
      </c>
      <c r="L9" s="787">
        <v>0</v>
      </c>
      <c r="M9" s="787">
        <v>0</v>
      </c>
      <c r="N9" s="787">
        <v>0</v>
      </c>
      <c r="O9" s="787">
        <v>0</v>
      </c>
      <c r="P9" s="787">
        <v>0</v>
      </c>
      <c r="Q9" s="787">
        <v>10.79</v>
      </c>
      <c r="R9" s="787">
        <v>7.27</v>
      </c>
      <c r="S9" s="787">
        <v>2.86</v>
      </c>
      <c r="T9" s="787">
        <v>0</v>
      </c>
      <c r="U9" s="787">
        <v>10.79</v>
      </c>
      <c r="V9" s="787">
        <v>7.27</v>
      </c>
      <c r="W9" s="787">
        <v>2.86</v>
      </c>
      <c r="X9" s="682">
        <v>0</v>
      </c>
      <c r="Z9" s="246">
        <f>Est2018DistRev!D9</f>
        <v>85</v>
      </c>
      <c r="AA9" s="247">
        <f>Est2018DistRev!E9</f>
        <v>0</v>
      </c>
      <c r="AB9" s="247">
        <f>Est2018DistRev!F9</f>
        <v>0</v>
      </c>
      <c r="AC9" s="247">
        <f>Est2018DistRev!G9</f>
        <v>0</v>
      </c>
      <c r="AD9" s="247">
        <f>Est2018DistRev!H9</f>
        <v>0</v>
      </c>
      <c r="AE9" s="247">
        <f>Est2018DistRev!I9</f>
        <v>0</v>
      </c>
      <c r="AF9" s="247">
        <f>Est2018DistRev!J9</f>
        <v>0</v>
      </c>
      <c r="AG9" s="247">
        <f>Est2018DistRev!K9</f>
        <v>0</v>
      </c>
      <c r="AH9" s="247">
        <f>Est2018DistRev!L9</f>
        <v>0</v>
      </c>
      <c r="AI9" s="247">
        <f>Est2018DistRev!M9</f>
        <v>0</v>
      </c>
      <c r="AJ9" s="247">
        <f>Est2018DistRev!N9</f>
        <v>0</v>
      </c>
      <c r="AK9" s="247">
        <f>Est2018DistRev!O9</f>
        <v>0</v>
      </c>
      <c r="AL9" s="247">
        <f>Est2018DistRev!P9</f>
        <v>0</v>
      </c>
      <c r="AM9" s="247">
        <f>Est2018DistRev!Q9</f>
        <v>10.96</v>
      </c>
      <c r="AN9" s="247">
        <f>Est2018DistRev!R9</f>
        <v>7.38</v>
      </c>
      <c r="AO9" s="247">
        <f>Est2018DistRev!S9</f>
        <v>2.9</v>
      </c>
      <c r="AP9" s="247">
        <f>Est2018DistRev!T9</f>
        <v>0</v>
      </c>
      <c r="AQ9" s="247">
        <f>Est2018DistRev!U9</f>
        <v>10.96</v>
      </c>
      <c r="AR9" s="247">
        <f>Est2018DistRev!V9</f>
        <v>7.38</v>
      </c>
      <c r="AS9" s="247">
        <f>Est2018DistRev!W9</f>
        <v>2.9</v>
      </c>
      <c r="AT9" s="248">
        <f>Est2018DistRev!X9</f>
        <v>0</v>
      </c>
      <c r="AV9" s="790">
        <v>693.41666666666663</v>
      </c>
      <c r="AW9" s="789">
        <v>0</v>
      </c>
      <c r="AX9" s="789">
        <v>0</v>
      </c>
      <c r="AY9" s="789">
        <v>0</v>
      </c>
      <c r="AZ9" s="789">
        <v>0</v>
      </c>
      <c r="BA9" s="789">
        <v>0</v>
      </c>
      <c r="BB9" s="789">
        <v>0</v>
      </c>
      <c r="BC9" s="789">
        <v>0</v>
      </c>
      <c r="BD9" s="789">
        <v>0</v>
      </c>
      <c r="BE9" s="789">
        <v>0</v>
      </c>
      <c r="BF9" s="789">
        <v>0</v>
      </c>
      <c r="BG9" s="789">
        <v>0</v>
      </c>
      <c r="BH9" s="789">
        <v>0</v>
      </c>
      <c r="BI9" s="789">
        <v>205405.52138504913</v>
      </c>
      <c r="BJ9" s="789">
        <v>427210.15422574908</v>
      </c>
      <c r="BK9" s="789">
        <v>316794.33869324729</v>
      </c>
      <c r="BL9" s="789">
        <v>0</v>
      </c>
      <c r="BM9" s="789">
        <v>740099.69108086498</v>
      </c>
      <c r="BN9" s="789">
        <v>1539287.2647098142</v>
      </c>
      <c r="BO9" s="789">
        <v>1141446.3964847678</v>
      </c>
      <c r="BP9" s="655">
        <v>0</v>
      </c>
      <c r="BR9" s="301">
        <f t="shared" si="57"/>
        <v>62407.5</v>
      </c>
      <c r="BS9" s="302">
        <f t="shared" si="58"/>
        <v>0</v>
      </c>
      <c r="BT9" s="302">
        <f t="shared" si="59"/>
        <v>0</v>
      </c>
      <c r="BU9" s="302">
        <f t="shared" si="60"/>
        <v>0</v>
      </c>
      <c r="BV9" s="302">
        <f t="shared" si="61"/>
        <v>0</v>
      </c>
      <c r="BW9" s="302">
        <f t="shared" si="62"/>
        <v>0</v>
      </c>
      <c r="BX9" s="302">
        <f t="shared" si="63"/>
        <v>0</v>
      </c>
      <c r="BY9" s="302">
        <f t="shared" si="64"/>
        <v>0</v>
      </c>
      <c r="BZ9" s="302">
        <f t="shared" si="65"/>
        <v>0</v>
      </c>
      <c r="CA9" s="302">
        <f t="shared" si="66"/>
        <v>0</v>
      </c>
      <c r="CB9" s="302">
        <f t="shared" si="67"/>
        <v>0</v>
      </c>
      <c r="CC9" s="302">
        <f t="shared" si="68"/>
        <v>0</v>
      </c>
      <c r="CD9" s="302">
        <f t="shared" si="69"/>
        <v>0</v>
      </c>
      <c r="CE9" s="302">
        <f t="shared" si="70"/>
        <v>22163.255757446801</v>
      </c>
      <c r="CF9" s="302">
        <f t="shared" si="71"/>
        <v>31058.178212211958</v>
      </c>
      <c r="CG9" s="302">
        <f t="shared" si="72"/>
        <v>9060.3180866268722</v>
      </c>
      <c r="CH9" s="302">
        <f t="shared" si="73"/>
        <v>0</v>
      </c>
      <c r="CI9" s="302">
        <f t="shared" si="74"/>
        <v>79856.756667625334</v>
      </c>
      <c r="CJ9" s="302">
        <f t="shared" si="75"/>
        <v>111906.18414440349</v>
      </c>
      <c r="CK9" s="302">
        <f t="shared" si="76"/>
        <v>32645.366939464358</v>
      </c>
      <c r="CL9" s="302">
        <f t="shared" si="77"/>
        <v>0</v>
      </c>
      <c r="CM9" s="254">
        <f t="shared" si="49"/>
        <v>349097.5598077788</v>
      </c>
      <c r="CO9" s="301">
        <f t="shared" si="78"/>
        <v>58940.416666666664</v>
      </c>
      <c r="CP9" s="302">
        <f t="shared" si="79"/>
        <v>0</v>
      </c>
      <c r="CQ9" s="302">
        <f t="shared" si="80"/>
        <v>0</v>
      </c>
      <c r="CR9" s="302">
        <f t="shared" si="81"/>
        <v>0</v>
      </c>
      <c r="CS9" s="302">
        <f t="shared" si="82"/>
        <v>0</v>
      </c>
      <c r="CT9" s="302">
        <f t="shared" si="83"/>
        <v>0</v>
      </c>
      <c r="CU9" s="302">
        <f t="shared" si="84"/>
        <v>0</v>
      </c>
      <c r="CV9" s="302">
        <f t="shared" si="85"/>
        <v>0</v>
      </c>
      <c r="CW9" s="302">
        <f t="shared" si="86"/>
        <v>0</v>
      </c>
      <c r="CX9" s="302">
        <f t="shared" si="87"/>
        <v>0</v>
      </c>
      <c r="CY9" s="302">
        <f t="shared" si="88"/>
        <v>0</v>
      </c>
      <c r="CZ9" s="302">
        <f t="shared" si="89"/>
        <v>0</v>
      </c>
      <c r="DA9" s="302">
        <f t="shared" si="90"/>
        <v>0</v>
      </c>
      <c r="DB9" s="302">
        <f t="shared" si="91"/>
        <v>22512.445143801386</v>
      </c>
      <c r="DC9" s="302">
        <f t="shared" si="92"/>
        <v>31528.109381860286</v>
      </c>
      <c r="DD9" s="302">
        <f t="shared" si="93"/>
        <v>9187.0358221041715</v>
      </c>
      <c r="DE9" s="302">
        <f t="shared" si="94"/>
        <v>0</v>
      </c>
      <c r="DF9" s="302">
        <f t="shared" si="95"/>
        <v>81114.926142462806</v>
      </c>
      <c r="DG9" s="302">
        <f t="shared" si="96"/>
        <v>113599.40013558429</v>
      </c>
      <c r="DH9" s="302">
        <f t="shared" si="97"/>
        <v>33101.945498058267</v>
      </c>
      <c r="DI9" s="302">
        <f t="shared" si="98"/>
        <v>0</v>
      </c>
      <c r="DJ9" s="254">
        <f t="shared" si="55"/>
        <v>349984.27879053791</v>
      </c>
    </row>
    <row r="10" spans="1:114" x14ac:dyDescent="0.2">
      <c r="A10" s="196" t="str">
        <f>Est2018DistRev!A10</f>
        <v>C13RB</v>
      </c>
      <c r="B10" s="234" t="str">
        <f t="shared" si="56"/>
        <v>Residential - flexible pricing bulk</v>
      </c>
      <c r="C10" s="234" t="str">
        <f>Est2018DistRev!B10</f>
        <v>Residential - flexible pricing bulk</v>
      </c>
      <c r="D10" s="786">
        <v>85</v>
      </c>
      <c r="E10" s="787">
        <v>0</v>
      </c>
      <c r="F10" s="787">
        <v>0</v>
      </c>
      <c r="G10" s="787">
        <v>0</v>
      </c>
      <c r="H10" s="787">
        <v>0</v>
      </c>
      <c r="I10" s="787">
        <v>0</v>
      </c>
      <c r="J10" s="787">
        <v>0</v>
      </c>
      <c r="K10" s="787">
        <v>0</v>
      </c>
      <c r="L10" s="787">
        <v>0</v>
      </c>
      <c r="M10" s="787">
        <v>0</v>
      </c>
      <c r="N10" s="787">
        <v>0</v>
      </c>
      <c r="O10" s="787">
        <v>0</v>
      </c>
      <c r="P10" s="787">
        <v>0</v>
      </c>
      <c r="Q10" s="787">
        <v>9.0500000000000007</v>
      </c>
      <c r="R10" s="787">
        <v>6.1</v>
      </c>
      <c r="S10" s="787">
        <v>2.39</v>
      </c>
      <c r="T10" s="787">
        <v>0</v>
      </c>
      <c r="U10" s="787">
        <v>9.0500000000000007</v>
      </c>
      <c r="V10" s="787">
        <v>6.1</v>
      </c>
      <c r="W10" s="787">
        <v>2.39</v>
      </c>
      <c r="X10" s="682">
        <v>0</v>
      </c>
      <c r="Z10" s="246">
        <f>Est2018DistRev!D10</f>
        <v>75</v>
      </c>
      <c r="AA10" s="247">
        <f>Est2018DistRev!E10</f>
        <v>0</v>
      </c>
      <c r="AB10" s="247">
        <f>Est2018DistRev!F10</f>
        <v>0</v>
      </c>
      <c r="AC10" s="247">
        <f>Est2018DistRev!G10</f>
        <v>0</v>
      </c>
      <c r="AD10" s="247">
        <f>Est2018DistRev!H10</f>
        <v>0</v>
      </c>
      <c r="AE10" s="247">
        <f>Est2018DistRev!I10</f>
        <v>0</v>
      </c>
      <c r="AF10" s="247">
        <f>Est2018DistRev!J10</f>
        <v>0</v>
      </c>
      <c r="AG10" s="247">
        <f>Est2018DistRev!K10</f>
        <v>0</v>
      </c>
      <c r="AH10" s="247">
        <f>Est2018DistRev!L10</f>
        <v>0</v>
      </c>
      <c r="AI10" s="247">
        <f>Est2018DistRev!M10</f>
        <v>0</v>
      </c>
      <c r="AJ10" s="247">
        <f>Est2018DistRev!N10</f>
        <v>0</v>
      </c>
      <c r="AK10" s="247">
        <f>Est2018DistRev!O10</f>
        <v>0</v>
      </c>
      <c r="AL10" s="247">
        <f>Est2018DistRev!P10</f>
        <v>0</v>
      </c>
      <c r="AM10" s="247">
        <f>Est2018DistRev!Q10</f>
        <v>8.76</v>
      </c>
      <c r="AN10" s="247">
        <f>Est2018DistRev!R10</f>
        <v>5.9</v>
      </c>
      <c r="AO10" s="247">
        <f>Est2018DistRev!S10</f>
        <v>2.3199999999999998</v>
      </c>
      <c r="AP10" s="247">
        <f>Est2018DistRev!T10</f>
        <v>0</v>
      </c>
      <c r="AQ10" s="247">
        <f>Est2018DistRev!U10</f>
        <v>8.76</v>
      </c>
      <c r="AR10" s="247">
        <f>Est2018DistRev!V10</f>
        <v>5.9</v>
      </c>
      <c r="AS10" s="247">
        <f>Est2018DistRev!W10</f>
        <v>2.3199999999999998</v>
      </c>
      <c r="AT10" s="248">
        <f>Est2018DistRev!X10</f>
        <v>0</v>
      </c>
      <c r="AV10" s="790">
        <v>90</v>
      </c>
      <c r="AW10" s="789">
        <v>0</v>
      </c>
      <c r="AX10" s="789">
        <v>0</v>
      </c>
      <c r="AY10" s="789">
        <v>0</v>
      </c>
      <c r="AZ10" s="789">
        <v>0</v>
      </c>
      <c r="BA10" s="789">
        <v>0</v>
      </c>
      <c r="BB10" s="789">
        <v>0</v>
      </c>
      <c r="BC10" s="789">
        <v>0</v>
      </c>
      <c r="BD10" s="789">
        <v>0</v>
      </c>
      <c r="BE10" s="789">
        <v>0</v>
      </c>
      <c r="BF10" s="789">
        <v>0</v>
      </c>
      <c r="BG10" s="789">
        <v>0</v>
      </c>
      <c r="BH10" s="789">
        <v>0</v>
      </c>
      <c r="BI10" s="789">
        <v>15231.12129347165</v>
      </c>
      <c r="BJ10" s="789">
        <v>32311.930045800349</v>
      </c>
      <c r="BK10" s="789">
        <v>23662.580933605816</v>
      </c>
      <c r="BL10" s="789">
        <v>0</v>
      </c>
      <c r="BM10" s="789">
        <v>55378.784196646673</v>
      </c>
      <c r="BN10" s="789">
        <v>117482.84098758313</v>
      </c>
      <c r="BO10" s="789">
        <v>86034.700781977721</v>
      </c>
      <c r="BP10" s="655">
        <v>0</v>
      </c>
      <c r="BR10" s="301">
        <f t="shared" si="57"/>
        <v>7650</v>
      </c>
      <c r="BS10" s="302">
        <f t="shared" si="58"/>
        <v>0</v>
      </c>
      <c r="BT10" s="302">
        <f t="shared" si="59"/>
        <v>0</v>
      </c>
      <c r="BU10" s="302">
        <f t="shared" si="60"/>
        <v>0</v>
      </c>
      <c r="BV10" s="302">
        <f t="shared" si="61"/>
        <v>0</v>
      </c>
      <c r="BW10" s="302">
        <f t="shared" si="62"/>
        <v>0</v>
      </c>
      <c r="BX10" s="302">
        <f t="shared" si="63"/>
        <v>0</v>
      </c>
      <c r="BY10" s="302">
        <f t="shared" si="64"/>
        <v>0</v>
      </c>
      <c r="BZ10" s="302">
        <f t="shared" si="65"/>
        <v>0</v>
      </c>
      <c r="CA10" s="302">
        <f t="shared" si="66"/>
        <v>0</v>
      </c>
      <c r="CB10" s="302">
        <f t="shared" si="67"/>
        <v>0</v>
      </c>
      <c r="CC10" s="302">
        <f t="shared" si="68"/>
        <v>0</v>
      </c>
      <c r="CD10" s="302">
        <f t="shared" si="69"/>
        <v>0</v>
      </c>
      <c r="CE10" s="302">
        <f t="shared" si="70"/>
        <v>1378.4164770591844</v>
      </c>
      <c r="CF10" s="302">
        <f t="shared" si="71"/>
        <v>1971.0277327938213</v>
      </c>
      <c r="CG10" s="302">
        <f t="shared" si="72"/>
        <v>565.53568431317899</v>
      </c>
      <c r="CH10" s="302">
        <f t="shared" si="73"/>
        <v>0</v>
      </c>
      <c r="CI10" s="302">
        <f t="shared" si="74"/>
        <v>5011.7799697965247</v>
      </c>
      <c r="CJ10" s="302">
        <f t="shared" si="75"/>
        <v>7166.4533002425705</v>
      </c>
      <c r="CK10" s="302">
        <f t="shared" si="76"/>
        <v>2056.2293486892677</v>
      </c>
      <c r="CL10" s="302">
        <f t="shared" si="77"/>
        <v>0</v>
      </c>
      <c r="CM10" s="254">
        <f t="shared" si="49"/>
        <v>25799.442512894548</v>
      </c>
      <c r="CO10" s="301">
        <f t="shared" si="78"/>
        <v>6750</v>
      </c>
      <c r="CP10" s="302">
        <f t="shared" si="79"/>
        <v>0</v>
      </c>
      <c r="CQ10" s="302">
        <f t="shared" si="80"/>
        <v>0</v>
      </c>
      <c r="CR10" s="302">
        <f t="shared" si="81"/>
        <v>0</v>
      </c>
      <c r="CS10" s="302">
        <f t="shared" si="82"/>
        <v>0</v>
      </c>
      <c r="CT10" s="302">
        <f t="shared" si="83"/>
        <v>0</v>
      </c>
      <c r="CU10" s="302">
        <f t="shared" si="84"/>
        <v>0</v>
      </c>
      <c r="CV10" s="302">
        <f t="shared" si="85"/>
        <v>0</v>
      </c>
      <c r="CW10" s="302">
        <f t="shared" si="86"/>
        <v>0</v>
      </c>
      <c r="CX10" s="302">
        <f t="shared" si="87"/>
        <v>0</v>
      </c>
      <c r="CY10" s="302">
        <f t="shared" si="88"/>
        <v>0</v>
      </c>
      <c r="CZ10" s="302">
        <f t="shared" si="89"/>
        <v>0</v>
      </c>
      <c r="DA10" s="302">
        <f t="shared" si="90"/>
        <v>0</v>
      </c>
      <c r="DB10" s="302">
        <f t="shared" si="91"/>
        <v>1334.2462253081164</v>
      </c>
      <c r="DC10" s="302">
        <f t="shared" si="92"/>
        <v>1906.4038727022207</v>
      </c>
      <c r="DD10" s="302">
        <f t="shared" si="93"/>
        <v>548.97187765965487</v>
      </c>
      <c r="DE10" s="302">
        <f t="shared" si="94"/>
        <v>0</v>
      </c>
      <c r="DF10" s="302">
        <f t="shared" si="95"/>
        <v>4851.1814956262488</v>
      </c>
      <c r="DG10" s="302">
        <f t="shared" si="96"/>
        <v>6931.4876182674052</v>
      </c>
      <c r="DH10" s="302">
        <f t="shared" si="97"/>
        <v>1996.005058141883</v>
      </c>
      <c r="DI10" s="302">
        <f t="shared" si="98"/>
        <v>0</v>
      </c>
      <c r="DJ10" s="254">
        <f t="shared" si="55"/>
        <v>24318.296147705529</v>
      </c>
    </row>
    <row r="11" spans="1:114" x14ac:dyDescent="0.2">
      <c r="A11" s="196" t="str">
        <f>Est2018DistRev!A11</f>
        <v>C2R</v>
      </c>
      <c r="B11" s="234" t="str">
        <f t="shared" si="56"/>
        <v>Residential Two Rate 5d</v>
      </c>
      <c r="C11" s="234" t="str">
        <f>Est2018DistRev!B11</f>
        <v>Residential Two Rate 5d</v>
      </c>
      <c r="D11" s="786">
        <v>90</v>
      </c>
      <c r="E11" s="787">
        <v>0</v>
      </c>
      <c r="F11" s="787">
        <v>9.7200000000000006</v>
      </c>
      <c r="G11" s="787">
        <v>0</v>
      </c>
      <c r="H11" s="787">
        <v>0</v>
      </c>
      <c r="I11" s="787">
        <v>2.31</v>
      </c>
      <c r="J11" s="787">
        <v>0</v>
      </c>
      <c r="K11" s="787">
        <v>0</v>
      </c>
      <c r="L11" s="787">
        <v>0</v>
      </c>
      <c r="M11" s="787">
        <v>0</v>
      </c>
      <c r="N11" s="787">
        <v>0</v>
      </c>
      <c r="O11" s="787">
        <v>0</v>
      </c>
      <c r="P11" s="787">
        <v>0</v>
      </c>
      <c r="Q11" s="787">
        <v>0</v>
      </c>
      <c r="R11" s="787">
        <v>0</v>
      </c>
      <c r="S11" s="787">
        <v>0</v>
      </c>
      <c r="T11" s="787">
        <v>0</v>
      </c>
      <c r="U11" s="787">
        <v>0</v>
      </c>
      <c r="V11" s="787">
        <v>0</v>
      </c>
      <c r="W11" s="787">
        <v>0</v>
      </c>
      <c r="X11" s="682">
        <v>0</v>
      </c>
      <c r="Z11" s="246">
        <f>Est2018DistRev!D11</f>
        <v>85</v>
      </c>
      <c r="AA11" s="247">
        <f>Est2018DistRev!E11</f>
        <v>0</v>
      </c>
      <c r="AB11" s="247">
        <f>Est2018DistRev!F11</f>
        <v>9.8800000000000008</v>
      </c>
      <c r="AC11" s="247">
        <f>Est2018DistRev!G11</f>
        <v>0</v>
      </c>
      <c r="AD11" s="247">
        <f>Est2018DistRev!H11</f>
        <v>0</v>
      </c>
      <c r="AE11" s="247">
        <f>Est2018DistRev!I11</f>
        <v>2.11</v>
      </c>
      <c r="AF11" s="247">
        <f>Est2018DistRev!J11</f>
        <v>0</v>
      </c>
      <c r="AG11" s="247">
        <f>Est2018DistRev!K11</f>
        <v>0</v>
      </c>
      <c r="AH11" s="247">
        <f>Est2018DistRev!L11</f>
        <v>0</v>
      </c>
      <c r="AI11" s="247">
        <f>Est2018DistRev!M11</f>
        <v>0</v>
      </c>
      <c r="AJ11" s="247">
        <f>Est2018DistRev!N11</f>
        <v>0</v>
      </c>
      <c r="AK11" s="247">
        <f>Est2018DistRev!O11</f>
        <v>0</v>
      </c>
      <c r="AL11" s="247">
        <f>Est2018DistRev!P11</f>
        <v>0</v>
      </c>
      <c r="AM11" s="247">
        <f>Est2018DistRev!Q11</f>
        <v>0</v>
      </c>
      <c r="AN11" s="247">
        <f>Est2018DistRev!R11</f>
        <v>0</v>
      </c>
      <c r="AO11" s="247">
        <f>Est2018DistRev!S11</f>
        <v>0</v>
      </c>
      <c r="AP11" s="247">
        <f>Est2018DistRev!T11</f>
        <v>0</v>
      </c>
      <c r="AQ11" s="247">
        <f>Est2018DistRev!U11</f>
        <v>0</v>
      </c>
      <c r="AR11" s="247">
        <f>Est2018DistRev!V11</f>
        <v>0</v>
      </c>
      <c r="AS11" s="247">
        <f>Est2018DistRev!W11</f>
        <v>0</v>
      </c>
      <c r="AT11" s="248">
        <f>Est2018DistRev!X11</f>
        <v>0</v>
      </c>
      <c r="AV11" s="790">
        <v>10820.083333333334</v>
      </c>
      <c r="AW11" s="789">
        <v>0</v>
      </c>
      <c r="AX11" s="789">
        <v>35024034.503626086</v>
      </c>
      <c r="AY11" s="789">
        <v>0</v>
      </c>
      <c r="AZ11" s="789">
        <v>0</v>
      </c>
      <c r="BA11" s="789">
        <v>30157186.273130894</v>
      </c>
      <c r="BB11" s="789">
        <v>0</v>
      </c>
      <c r="BC11" s="789">
        <v>0</v>
      </c>
      <c r="BD11" s="789">
        <v>0</v>
      </c>
      <c r="BE11" s="789">
        <v>0</v>
      </c>
      <c r="BF11" s="789">
        <v>0</v>
      </c>
      <c r="BG11" s="789">
        <v>0</v>
      </c>
      <c r="BH11" s="789">
        <v>0</v>
      </c>
      <c r="BI11" s="789">
        <v>0</v>
      </c>
      <c r="BJ11" s="789">
        <v>0</v>
      </c>
      <c r="BK11" s="789">
        <v>0</v>
      </c>
      <c r="BL11" s="789">
        <v>0</v>
      </c>
      <c r="BM11" s="789">
        <v>0</v>
      </c>
      <c r="BN11" s="789">
        <v>0</v>
      </c>
      <c r="BO11" s="789">
        <v>0</v>
      </c>
      <c r="BP11" s="655">
        <v>0</v>
      </c>
      <c r="BR11" s="301">
        <f t="shared" si="57"/>
        <v>973807.5</v>
      </c>
      <c r="BS11" s="302">
        <f t="shared" si="58"/>
        <v>0</v>
      </c>
      <c r="BT11" s="302">
        <f t="shared" si="59"/>
        <v>3404336.153752456</v>
      </c>
      <c r="BU11" s="302">
        <f t="shared" si="60"/>
        <v>0</v>
      </c>
      <c r="BV11" s="302">
        <f t="shared" si="61"/>
        <v>0</v>
      </c>
      <c r="BW11" s="302">
        <f t="shared" si="62"/>
        <v>696631.00290932367</v>
      </c>
      <c r="BX11" s="302">
        <f t="shared" si="63"/>
        <v>0</v>
      </c>
      <c r="BY11" s="302">
        <f t="shared" si="64"/>
        <v>0</v>
      </c>
      <c r="BZ11" s="302">
        <f t="shared" si="65"/>
        <v>0</v>
      </c>
      <c r="CA11" s="302">
        <f t="shared" si="66"/>
        <v>0</v>
      </c>
      <c r="CB11" s="302">
        <f t="shared" si="67"/>
        <v>0</v>
      </c>
      <c r="CC11" s="302">
        <f t="shared" si="68"/>
        <v>0</v>
      </c>
      <c r="CD11" s="302">
        <f t="shared" si="69"/>
        <v>0</v>
      </c>
      <c r="CE11" s="302">
        <f t="shared" si="70"/>
        <v>0</v>
      </c>
      <c r="CF11" s="302">
        <f t="shared" si="71"/>
        <v>0</v>
      </c>
      <c r="CG11" s="302">
        <f t="shared" si="72"/>
        <v>0</v>
      </c>
      <c r="CH11" s="302">
        <f t="shared" si="73"/>
        <v>0</v>
      </c>
      <c r="CI11" s="302">
        <f t="shared" si="74"/>
        <v>0</v>
      </c>
      <c r="CJ11" s="302">
        <f t="shared" si="75"/>
        <v>0</v>
      </c>
      <c r="CK11" s="302">
        <f t="shared" si="76"/>
        <v>0</v>
      </c>
      <c r="CL11" s="302">
        <f t="shared" si="77"/>
        <v>0</v>
      </c>
      <c r="CM11" s="254">
        <f t="shared" si="49"/>
        <v>5074774.6566617787</v>
      </c>
      <c r="CO11" s="301">
        <f t="shared" si="78"/>
        <v>919707.08333333337</v>
      </c>
      <c r="CP11" s="302">
        <f t="shared" si="79"/>
        <v>0</v>
      </c>
      <c r="CQ11" s="302">
        <f t="shared" si="80"/>
        <v>3460374.6089582578</v>
      </c>
      <c r="CR11" s="302">
        <f t="shared" si="81"/>
        <v>0</v>
      </c>
      <c r="CS11" s="302">
        <f t="shared" si="82"/>
        <v>0</v>
      </c>
      <c r="CT11" s="302">
        <f t="shared" si="83"/>
        <v>636316.63036306179</v>
      </c>
      <c r="CU11" s="302">
        <f t="shared" si="84"/>
        <v>0</v>
      </c>
      <c r="CV11" s="302">
        <f t="shared" si="85"/>
        <v>0</v>
      </c>
      <c r="CW11" s="302">
        <f t="shared" si="86"/>
        <v>0</v>
      </c>
      <c r="CX11" s="302">
        <f t="shared" si="87"/>
        <v>0</v>
      </c>
      <c r="CY11" s="302">
        <f t="shared" si="88"/>
        <v>0</v>
      </c>
      <c r="CZ11" s="302">
        <f t="shared" si="89"/>
        <v>0</v>
      </c>
      <c r="DA11" s="302">
        <f t="shared" si="90"/>
        <v>0</v>
      </c>
      <c r="DB11" s="302">
        <f t="shared" si="91"/>
        <v>0</v>
      </c>
      <c r="DC11" s="302">
        <f t="shared" si="92"/>
        <v>0</v>
      </c>
      <c r="DD11" s="302">
        <f t="shared" si="93"/>
        <v>0</v>
      </c>
      <c r="DE11" s="302">
        <f t="shared" si="94"/>
        <v>0</v>
      </c>
      <c r="DF11" s="302">
        <f t="shared" si="95"/>
        <v>0</v>
      </c>
      <c r="DG11" s="302">
        <f t="shared" si="96"/>
        <v>0</v>
      </c>
      <c r="DH11" s="302">
        <f t="shared" si="97"/>
        <v>0</v>
      </c>
      <c r="DI11" s="302">
        <f t="shared" si="98"/>
        <v>0</v>
      </c>
      <c r="DJ11" s="254">
        <f t="shared" si="55"/>
        <v>5016398.3226546533</v>
      </c>
    </row>
    <row r="12" spans="1:114" x14ac:dyDescent="0.2">
      <c r="A12" s="196" t="str">
        <f>Est2018DistRev!A12</f>
        <v>C2RB</v>
      </c>
      <c r="B12" s="234" t="str">
        <f t="shared" si="56"/>
        <v>Residential Two Rate 5d - Bulk</v>
      </c>
      <c r="C12" s="234" t="str">
        <f>Est2018DistRev!B12</f>
        <v>Residential Two Rate 5d - Bulk</v>
      </c>
      <c r="D12" s="786">
        <v>85</v>
      </c>
      <c r="E12" s="787">
        <v>0</v>
      </c>
      <c r="F12" s="787">
        <v>8.56</v>
      </c>
      <c r="G12" s="787">
        <v>0</v>
      </c>
      <c r="H12" s="787">
        <v>0</v>
      </c>
      <c r="I12" s="787">
        <v>2.16</v>
      </c>
      <c r="J12" s="787">
        <v>0</v>
      </c>
      <c r="K12" s="787">
        <v>0</v>
      </c>
      <c r="L12" s="787">
        <v>0</v>
      </c>
      <c r="M12" s="787">
        <v>0</v>
      </c>
      <c r="N12" s="787">
        <v>0</v>
      </c>
      <c r="O12" s="787">
        <v>0</v>
      </c>
      <c r="P12" s="787">
        <v>0</v>
      </c>
      <c r="Q12" s="787">
        <v>0</v>
      </c>
      <c r="R12" s="787">
        <v>0</v>
      </c>
      <c r="S12" s="787">
        <v>0</v>
      </c>
      <c r="T12" s="787">
        <v>0</v>
      </c>
      <c r="U12" s="787">
        <v>0</v>
      </c>
      <c r="V12" s="787">
        <v>0</v>
      </c>
      <c r="W12" s="787">
        <v>0</v>
      </c>
      <c r="X12" s="682">
        <v>0</v>
      </c>
      <c r="Z12" s="246">
        <f>Est2018DistRev!D12</f>
        <v>75</v>
      </c>
      <c r="AA12" s="247">
        <f>Est2018DistRev!E12</f>
        <v>0</v>
      </c>
      <c r="AB12" s="247">
        <f>Est2018DistRev!F12</f>
        <v>8.41</v>
      </c>
      <c r="AC12" s="247">
        <f>Est2018DistRev!G12</f>
        <v>0</v>
      </c>
      <c r="AD12" s="247">
        <f>Est2018DistRev!H12</f>
        <v>0</v>
      </c>
      <c r="AE12" s="247">
        <f>Est2018DistRev!I12</f>
        <v>1.91</v>
      </c>
      <c r="AF12" s="247">
        <f>Est2018DistRev!J12</f>
        <v>0</v>
      </c>
      <c r="AG12" s="247">
        <f>Est2018DistRev!K12</f>
        <v>0</v>
      </c>
      <c r="AH12" s="247">
        <f>Est2018DistRev!L12</f>
        <v>0</v>
      </c>
      <c r="AI12" s="247">
        <f>Est2018DistRev!M12</f>
        <v>0</v>
      </c>
      <c r="AJ12" s="247">
        <f>Est2018DistRev!N12</f>
        <v>0</v>
      </c>
      <c r="AK12" s="247">
        <f>Est2018DistRev!O12</f>
        <v>0</v>
      </c>
      <c r="AL12" s="247">
        <f>Est2018DistRev!P12</f>
        <v>0</v>
      </c>
      <c r="AM12" s="247">
        <f>Est2018DistRev!Q12</f>
        <v>0</v>
      </c>
      <c r="AN12" s="247">
        <f>Est2018DistRev!R12</f>
        <v>0</v>
      </c>
      <c r="AO12" s="247">
        <f>Est2018DistRev!S12</f>
        <v>0</v>
      </c>
      <c r="AP12" s="247">
        <f>Est2018DistRev!T12</f>
        <v>0</v>
      </c>
      <c r="AQ12" s="247">
        <f>Est2018DistRev!U12</f>
        <v>0</v>
      </c>
      <c r="AR12" s="247">
        <f>Est2018DistRev!V12</f>
        <v>0</v>
      </c>
      <c r="AS12" s="247">
        <f>Est2018DistRev!W12</f>
        <v>0</v>
      </c>
      <c r="AT12" s="248">
        <f>Est2018DistRev!X12</f>
        <v>0</v>
      </c>
      <c r="AV12" s="790">
        <v>4352.5</v>
      </c>
      <c r="AW12" s="789">
        <v>0</v>
      </c>
      <c r="AX12" s="789">
        <v>12294584.523796603</v>
      </c>
      <c r="AY12" s="789">
        <v>0</v>
      </c>
      <c r="AZ12" s="789">
        <v>0</v>
      </c>
      <c r="BA12" s="789">
        <v>10585730.046510926</v>
      </c>
      <c r="BB12" s="789">
        <v>0</v>
      </c>
      <c r="BC12" s="789">
        <v>0</v>
      </c>
      <c r="BD12" s="789">
        <v>0</v>
      </c>
      <c r="BE12" s="789">
        <v>0</v>
      </c>
      <c r="BF12" s="789">
        <v>0</v>
      </c>
      <c r="BG12" s="789">
        <v>0</v>
      </c>
      <c r="BH12" s="789">
        <v>0</v>
      </c>
      <c r="BI12" s="789">
        <v>0</v>
      </c>
      <c r="BJ12" s="789">
        <v>0</v>
      </c>
      <c r="BK12" s="789">
        <v>0</v>
      </c>
      <c r="BL12" s="789">
        <v>0</v>
      </c>
      <c r="BM12" s="789">
        <v>0</v>
      </c>
      <c r="BN12" s="789">
        <v>0</v>
      </c>
      <c r="BO12" s="789">
        <v>0</v>
      </c>
      <c r="BP12" s="655">
        <v>0</v>
      </c>
      <c r="BR12" s="301">
        <f t="shared" si="57"/>
        <v>369962.5</v>
      </c>
      <c r="BS12" s="302">
        <f t="shared" si="58"/>
        <v>0</v>
      </c>
      <c r="BT12" s="302">
        <f t="shared" si="59"/>
        <v>1052416.4352369893</v>
      </c>
      <c r="BU12" s="302">
        <f t="shared" si="60"/>
        <v>0</v>
      </c>
      <c r="BV12" s="302">
        <f t="shared" si="61"/>
        <v>0</v>
      </c>
      <c r="BW12" s="302">
        <f t="shared" si="62"/>
        <v>228651.76900463601</v>
      </c>
      <c r="BX12" s="302">
        <f t="shared" si="63"/>
        <v>0</v>
      </c>
      <c r="BY12" s="302">
        <f t="shared" si="64"/>
        <v>0</v>
      </c>
      <c r="BZ12" s="302">
        <f t="shared" si="65"/>
        <v>0</v>
      </c>
      <c r="CA12" s="302">
        <f t="shared" si="66"/>
        <v>0</v>
      </c>
      <c r="CB12" s="302">
        <f t="shared" si="67"/>
        <v>0</v>
      </c>
      <c r="CC12" s="302">
        <f t="shared" si="68"/>
        <v>0</v>
      </c>
      <c r="CD12" s="302">
        <f t="shared" si="69"/>
        <v>0</v>
      </c>
      <c r="CE12" s="302">
        <f t="shared" si="70"/>
        <v>0</v>
      </c>
      <c r="CF12" s="302">
        <f t="shared" si="71"/>
        <v>0</v>
      </c>
      <c r="CG12" s="302">
        <f t="shared" si="72"/>
        <v>0</v>
      </c>
      <c r="CH12" s="302">
        <f t="shared" si="73"/>
        <v>0</v>
      </c>
      <c r="CI12" s="302">
        <f t="shared" si="74"/>
        <v>0</v>
      </c>
      <c r="CJ12" s="302">
        <f t="shared" si="75"/>
        <v>0</v>
      </c>
      <c r="CK12" s="302">
        <f t="shared" si="76"/>
        <v>0</v>
      </c>
      <c r="CL12" s="302">
        <f t="shared" si="77"/>
        <v>0</v>
      </c>
      <c r="CM12" s="254">
        <f t="shared" si="49"/>
        <v>1651030.7042416253</v>
      </c>
      <c r="CO12" s="301">
        <f t="shared" si="78"/>
        <v>326437.5</v>
      </c>
      <c r="CP12" s="302">
        <f t="shared" si="79"/>
        <v>0</v>
      </c>
      <c r="CQ12" s="302">
        <f t="shared" si="80"/>
        <v>1033974.5584512944</v>
      </c>
      <c r="CR12" s="302">
        <f t="shared" si="81"/>
        <v>0</v>
      </c>
      <c r="CS12" s="302">
        <f t="shared" si="82"/>
        <v>0</v>
      </c>
      <c r="CT12" s="302">
        <f t="shared" si="83"/>
        <v>202187.44388835866</v>
      </c>
      <c r="CU12" s="302">
        <f t="shared" si="84"/>
        <v>0</v>
      </c>
      <c r="CV12" s="302">
        <f t="shared" si="85"/>
        <v>0</v>
      </c>
      <c r="CW12" s="302">
        <f t="shared" si="86"/>
        <v>0</v>
      </c>
      <c r="CX12" s="302">
        <f t="shared" si="87"/>
        <v>0</v>
      </c>
      <c r="CY12" s="302">
        <f t="shared" si="88"/>
        <v>0</v>
      </c>
      <c r="CZ12" s="302">
        <f t="shared" si="89"/>
        <v>0</v>
      </c>
      <c r="DA12" s="302">
        <f t="shared" si="90"/>
        <v>0</v>
      </c>
      <c r="DB12" s="302">
        <f t="shared" si="91"/>
        <v>0</v>
      </c>
      <c r="DC12" s="302">
        <f t="shared" si="92"/>
        <v>0</v>
      </c>
      <c r="DD12" s="302">
        <f t="shared" si="93"/>
        <v>0</v>
      </c>
      <c r="DE12" s="302">
        <f t="shared" si="94"/>
        <v>0</v>
      </c>
      <c r="DF12" s="302">
        <f t="shared" si="95"/>
        <v>0</v>
      </c>
      <c r="DG12" s="302">
        <f t="shared" si="96"/>
        <v>0</v>
      </c>
      <c r="DH12" s="302">
        <f t="shared" si="97"/>
        <v>0</v>
      </c>
      <c r="DI12" s="302">
        <f t="shared" si="98"/>
        <v>0</v>
      </c>
      <c r="DJ12" s="254">
        <f t="shared" si="55"/>
        <v>1562599.5023396532</v>
      </c>
    </row>
    <row r="13" spans="1:114" x14ac:dyDescent="0.2">
      <c r="A13" s="196" t="str">
        <f>Est2018DistRev!A13</f>
        <v>C3R</v>
      </c>
      <c r="B13" s="234" t="str">
        <f t="shared" si="56"/>
        <v>Residential Interval</v>
      </c>
      <c r="C13" s="234" t="str">
        <f>Est2018DistRev!B13</f>
        <v>Residential Interval</v>
      </c>
      <c r="D13" s="786">
        <v>90</v>
      </c>
      <c r="E13" s="787">
        <v>0</v>
      </c>
      <c r="F13" s="787">
        <v>9.7200000000000006</v>
      </c>
      <c r="G13" s="787">
        <v>0</v>
      </c>
      <c r="H13" s="787">
        <v>0</v>
      </c>
      <c r="I13" s="787">
        <v>2.31</v>
      </c>
      <c r="J13" s="787">
        <v>0</v>
      </c>
      <c r="K13" s="787">
        <v>0</v>
      </c>
      <c r="L13" s="787">
        <v>0</v>
      </c>
      <c r="M13" s="787">
        <v>0</v>
      </c>
      <c r="N13" s="787">
        <v>0</v>
      </c>
      <c r="O13" s="787">
        <v>0</v>
      </c>
      <c r="P13" s="787">
        <v>0</v>
      </c>
      <c r="Q13" s="787">
        <v>0</v>
      </c>
      <c r="R13" s="787">
        <v>0</v>
      </c>
      <c r="S13" s="787">
        <v>0</v>
      </c>
      <c r="T13" s="787">
        <v>0</v>
      </c>
      <c r="U13" s="787">
        <v>0</v>
      </c>
      <c r="V13" s="787">
        <v>0</v>
      </c>
      <c r="W13" s="787">
        <v>0</v>
      </c>
      <c r="X13" s="682">
        <v>0</v>
      </c>
      <c r="Z13" s="246">
        <f>Est2018DistRev!D13</f>
        <v>85</v>
      </c>
      <c r="AA13" s="247">
        <f>Est2018DistRev!E13</f>
        <v>0</v>
      </c>
      <c r="AB13" s="247">
        <f>Est2018DistRev!F13</f>
        <v>9.8800000000000008</v>
      </c>
      <c r="AC13" s="247">
        <f>Est2018DistRev!G13</f>
        <v>0</v>
      </c>
      <c r="AD13" s="247">
        <f>Est2018DistRev!H13</f>
        <v>0</v>
      </c>
      <c r="AE13" s="247">
        <f>Est2018DistRev!I13</f>
        <v>2.11</v>
      </c>
      <c r="AF13" s="247">
        <f>Est2018DistRev!J13</f>
        <v>0</v>
      </c>
      <c r="AG13" s="247">
        <f>Est2018DistRev!K13</f>
        <v>0</v>
      </c>
      <c r="AH13" s="247">
        <f>Est2018DistRev!L13</f>
        <v>0</v>
      </c>
      <c r="AI13" s="247">
        <f>Est2018DistRev!M13</f>
        <v>0</v>
      </c>
      <c r="AJ13" s="247">
        <f>Est2018DistRev!N13</f>
        <v>0</v>
      </c>
      <c r="AK13" s="247">
        <f>Est2018DistRev!O13</f>
        <v>0</v>
      </c>
      <c r="AL13" s="247">
        <f>Est2018DistRev!P13</f>
        <v>0</v>
      </c>
      <c r="AM13" s="247">
        <f>Est2018DistRev!Q13</f>
        <v>0</v>
      </c>
      <c r="AN13" s="247">
        <f>Est2018DistRev!R13</f>
        <v>0</v>
      </c>
      <c r="AO13" s="247">
        <f>Est2018DistRev!S13</f>
        <v>0</v>
      </c>
      <c r="AP13" s="247">
        <f>Est2018DistRev!T13</f>
        <v>0</v>
      </c>
      <c r="AQ13" s="247">
        <f>Est2018DistRev!U13</f>
        <v>0</v>
      </c>
      <c r="AR13" s="247">
        <f>Est2018DistRev!V13</f>
        <v>0</v>
      </c>
      <c r="AS13" s="247">
        <f>Est2018DistRev!W13</f>
        <v>0</v>
      </c>
      <c r="AT13" s="248">
        <f>Est2018DistRev!X13</f>
        <v>0</v>
      </c>
      <c r="AV13" s="790">
        <v>17057.166666666668</v>
      </c>
      <c r="AW13" s="789">
        <v>0</v>
      </c>
      <c r="AX13" s="789">
        <v>60669728.275751241</v>
      </c>
      <c r="AY13" s="789">
        <v>0</v>
      </c>
      <c r="AZ13" s="789">
        <v>0</v>
      </c>
      <c r="BA13" s="789">
        <v>52545941.858520873</v>
      </c>
      <c r="BB13" s="789">
        <v>0</v>
      </c>
      <c r="BC13" s="789">
        <v>0</v>
      </c>
      <c r="BD13" s="789">
        <v>0</v>
      </c>
      <c r="BE13" s="789">
        <v>0</v>
      </c>
      <c r="BF13" s="789">
        <v>0</v>
      </c>
      <c r="BG13" s="789">
        <v>0</v>
      </c>
      <c r="BH13" s="789">
        <v>0</v>
      </c>
      <c r="BI13" s="789">
        <v>0</v>
      </c>
      <c r="BJ13" s="789">
        <v>0</v>
      </c>
      <c r="BK13" s="789">
        <v>0</v>
      </c>
      <c r="BL13" s="789">
        <v>0</v>
      </c>
      <c r="BM13" s="789">
        <v>0</v>
      </c>
      <c r="BN13" s="789">
        <v>0</v>
      </c>
      <c r="BO13" s="789">
        <v>0</v>
      </c>
      <c r="BP13" s="655">
        <v>0</v>
      </c>
      <c r="BR13" s="301">
        <f t="shared" si="57"/>
        <v>1535145</v>
      </c>
      <c r="BS13" s="302">
        <f t="shared" si="58"/>
        <v>0</v>
      </c>
      <c r="BT13" s="302">
        <f t="shared" si="59"/>
        <v>5897097.588403021</v>
      </c>
      <c r="BU13" s="302">
        <f t="shared" si="60"/>
        <v>0</v>
      </c>
      <c r="BV13" s="302">
        <f t="shared" si="61"/>
        <v>0</v>
      </c>
      <c r="BW13" s="302">
        <f t="shared" si="62"/>
        <v>1213811.2569318321</v>
      </c>
      <c r="BX13" s="302">
        <f t="shared" si="63"/>
        <v>0</v>
      </c>
      <c r="BY13" s="302">
        <f t="shared" si="64"/>
        <v>0</v>
      </c>
      <c r="BZ13" s="302">
        <f t="shared" si="65"/>
        <v>0</v>
      </c>
      <c r="CA13" s="302">
        <f t="shared" si="66"/>
        <v>0</v>
      </c>
      <c r="CB13" s="302">
        <f t="shared" si="67"/>
        <v>0</v>
      </c>
      <c r="CC13" s="302">
        <f t="shared" si="68"/>
        <v>0</v>
      </c>
      <c r="CD13" s="302">
        <f t="shared" si="69"/>
        <v>0</v>
      </c>
      <c r="CE13" s="302">
        <f t="shared" si="70"/>
        <v>0</v>
      </c>
      <c r="CF13" s="302">
        <f t="shared" si="71"/>
        <v>0</v>
      </c>
      <c r="CG13" s="302">
        <f t="shared" si="72"/>
        <v>0</v>
      </c>
      <c r="CH13" s="302">
        <f t="shared" si="73"/>
        <v>0</v>
      </c>
      <c r="CI13" s="302">
        <f t="shared" si="74"/>
        <v>0</v>
      </c>
      <c r="CJ13" s="302">
        <f t="shared" si="75"/>
        <v>0</v>
      </c>
      <c r="CK13" s="302">
        <f t="shared" si="76"/>
        <v>0</v>
      </c>
      <c r="CL13" s="302">
        <f t="shared" si="77"/>
        <v>0</v>
      </c>
      <c r="CM13" s="254">
        <f t="shared" si="49"/>
        <v>8646053.845334854</v>
      </c>
      <c r="CO13" s="301">
        <f t="shared" si="78"/>
        <v>1449859.1666666667</v>
      </c>
      <c r="CP13" s="302">
        <f t="shared" si="79"/>
        <v>0</v>
      </c>
      <c r="CQ13" s="302">
        <f t="shared" si="80"/>
        <v>5994169.1536442237</v>
      </c>
      <c r="CR13" s="302">
        <f t="shared" si="81"/>
        <v>0</v>
      </c>
      <c r="CS13" s="302">
        <f t="shared" si="82"/>
        <v>0</v>
      </c>
      <c r="CT13" s="302">
        <f t="shared" si="83"/>
        <v>1108719.3732147904</v>
      </c>
      <c r="CU13" s="302">
        <f t="shared" si="84"/>
        <v>0</v>
      </c>
      <c r="CV13" s="302">
        <f t="shared" si="85"/>
        <v>0</v>
      </c>
      <c r="CW13" s="302">
        <f t="shared" si="86"/>
        <v>0</v>
      </c>
      <c r="CX13" s="302">
        <f t="shared" si="87"/>
        <v>0</v>
      </c>
      <c r="CY13" s="302">
        <f t="shared" si="88"/>
        <v>0</v>
      </c>
      <c r="CZ13" s="302">
        <f t="shared" si="89"/>
        <v>0</v>
      </c>
      <c r="DA13" s="302">
        <f t="shared" si="90"/>
        <v>0</v>
      </c>
      <c r="DB13" s="302">
        <f t="shared" si="91"/>
        <v>0</v>
      </c>
      <c r="DC13" s="302">
        <f t="shared" si="92"/>
        <v>0</v>
      </c>
      <c r="DD13" s="302">
        <f t="shared" si="93"/>
        <v>0</v>
      </c>
      <c r="DE13" s="302">
        <f t="shared" si="94"/>
        <v>0</v>
      </c>
      <c r="DF13" s="302">
        <f t="shared" si="95"/>
        <v>0</v>
      </c>
      <c r="DG13" s="302">
        <f t="shared" si="96"/>
        <v>0</v>
      </c>
      <c r="DH13" s="302">
        <f t="shared" si="97"/>
        <v>0</v>
      </c>
      <c r="DI13" s="302">
        <f t="shared" si="98"/>
        <v>0</v>
      </c>
      <c r="DJ13" s="254">
        <f t="shared" si="55"/>
        <v>8552747.6935256813</v>
      </c>
    </row>
    <row r="14" spans="1:114" x14ac:dyDescent="0.2">
      <c r="A14" s="196" t="str">
        <f>Est2018DistRev!A14</f>
        <v>C3RB</v>
      </c>
      <c r="B14" s="234" t="str">
        <f t="shared" si="56"/>
        <v>Residential Interval - Bulk</v>
      </c>
      <c r="C14" s="234" t="str">
        <f>Est2018DistRev!B14</f>
        <v>Residential Interval - Bulk</v>
      </c>
      <c r="D14" s="786">
        <v>85</v>
      </c>
      <c r="E14" s="787">
        <v>0</v>
      </c>
      <c r="F14" s="787">
        <v>8.56</v>
      </c>
      <c r="G14" s="787">
        <v>0</v>
      </c>
      <c r="H14" s="787">
        <v>0</v>
      </c>
      <c r="I14" s="787">
        <v>2.16</v>
      </c>
      <c r="J14" s="787">
        <v>0</v>
      </c>
      <c r="K14" s="787">
        <v>0</v>
      </c>
      <c r="L14" s="787">
        <v>0</v>
      </c>
      <c r="M14" s="787">
        <v>0</v>
      </c>
      <c r="N14" s="787">
        <v>0</v>
      </c>
      <c r="O14" s="787">
        <v>0</v>
      </c>
      <c r="P14" s="787">
        <v>0</v>
      </c>
      <c r="Q14" s="787">
        <v>0</v>
      </c>
      <c r="R14" s="787">
        <v>0</v>
      </c>
      <c r="S14" s="787">
        <v>0</v>
      </c>
      <c r="T14" s="787">
        <v>0</v>
      </c>
      <c r="U14" s="787">
        <v>0</v>
      </c>
      <c r="V14" s="787">
        <v>0</v>
      </c>
      <c r="W14" s="787">
        <v>0</v>
      </c>
      <c r="X14" s="682">
        <v>0</v>
      </c>
      <c r="Z14" s="246">
        <f>Est2018DistRev!D14</f>
        <v>75</v>
      </c>
      <c r="AA14" s="247">
        <f>Est2018DistRev!E14</f>
        <v>0</v>
      </c>
      <c r="AB14" s="247">
        <f>Est2018DistRev!F14</f>
        <v>8.41</v>
      </c>
      <c r="AC14" s="247">
        <f>Est2018DistRev!G14</f>
        <v>0</v>
      </c>
      <c r="AD14" s="247">
        <f>Est2018DistRev!H14</f>
        <v>0</v>
      </c>
      <c r="AE14" s="247">
        <f>Est2018DistRev!I14</f>
        <v>1.91</v>
      </c>
      <c r="AF14" s="247">
        <f>Est2018DistRev!J14</f>
        <v>0</v>
      </c>
      <c r="AG14" s="247">
        <f>Est2018DistRev!K14</f>
        <v>0</v>
      </c>
      <c r="AH14" s="247">
        <f>Est2018DistRev!L14</f>
        <v>0</v>
      </c>
      <c r="AI14" s="247">
        <f>Est2018DistRev!M14</f>
        <v>0</v>
      </c>
      <c r="AJ14" s="247">
        <f>Est2018DistRev!N14</f>
        <v>0</v>
      </c>
      <c r="AK14" s="247">
        <f>Est2018DistRev!O14</f>
        <v>0</v>
      </c>
      <c r="AL14" s="247">
        <f>Est2018DistRev!P14</f>
        <v>0</v>
      </c>
      <c r="AM14" s="247">
        <f>Est2018DistRev!Q14</f>
        <v>0</v>
      </c>
      <c r="AN14" s="247">
        <f>Est2018DistRev!R14</f>
        <v>0</v>
      </c>
      <c r="AO14" s="247">
        <f>Est2018DistRev!S14</f>
        <v>0</v>
      </c>
      <c r="AP14" s="247">
        <f>Est2018DistRev!T14</f>
        <v>0</v>
      </c>
      <c r="AQ14" s="247">
        <f>Est2018DistRev!U14</f>
        <v>0</v>
      </c>
      <c r="AR14" s="247">
        <f>Est2018DistRev!V14</f>
        <v>0</v>
      </c>
      <c r="AS14" s="247">
        <f>Est2018DistRev!W14</f>
        <v>0</v>
      </c>
      <c r="AT14" s="248">
        <f>Est2018DistRev!X14</f>
        <v>0</v>
      </c>
      <c r="AV14" s="790">
        <v>8658</v>
      </c>
      <c r="AW14" s="789">
        <v>0</v>
      </c>
      <c r="AX14" s="789">
        <v>15600572.119172478</v>
      </c>
      <c r="AY14" s="789">
        <v>0</v>
      </c>
      <c r="AZ14" s="789">
        <v>0</v>
      </c>
      <c r="BA14" s="789">
        <v>14572772.142298045</v>
      </c>
      <c r="BB14" s="789">
        <v>0</v>
      </c>
      <c r="BC14" s="789">
        <v>0</v>
      </c>
      <c r="BD14" s="789">
        <v>0</v>
      </c>
      <c r="BE14" s="789">
        <v>0</v>
      </c>
      <c r="BF14" s="789">
        <v>0</v>
      </c>
      <c r="BG14" s="789">
        <v>0</v>
      </c>
      <c r="BH14" s="789">
        <v>0</v>
      </c>
      <c r="BI14" s="789">
        <v>0</v>
      </c>
      <c r="BJ14" s="789">
        <v>0</v>
      </c>
      <c r="BK14" s="789">
        <v>0</v>
      </c>
      <c r="BL14" s="789">
        <v>0</v>
      </c>
      <c r="BM14" s="789">
        <v>0</v>
      </c>
      <c r="BN14" s="789">
        <v>0</v>
      </c>
      <c r="BO14" s="789">
        <v>0</v>
      </c>
      <c r="BP14" s="655">
        <v>0</v>
      </c>
      <c r="BR14" s="301">
        <f t="shared" si="57"/>
        <v>735930</v>
      </c>
      <c r="BS14" s="302">
        <f t="shared" si="58"/>
        <v>0</v>
      </c>
      <c r="BT14" s="302">
        <f t="shared" si="59"/>
        <v>1335408.9734011642</v>
      </c>
      <c r="BU14" s="302">
        <f t="shared" si="60"/>
        <v>0</v>
      </c>
      <c r="BV14" s="302">
        <f t="shared" si="61"/>
        <v>0</v>
      </c>
      <c r="BW14" s="302">
        <f t="shared" si="62"/>
        <v>314771.87827363779</v>
      </c>
      <c r="BX14" s="302">
        <f t="shared" si="63"/>
        <v>0</v>
      </c>
      <c r="BY14" s="302">
        <f t="shared" si="64"/>
        <v>0</v>
      </c>
      <c r="BZ14" s="302">
        <f t="shared" si="65"/>
        <v>0</v>
      </c>
      <c r="CA14" s="302">
        <f t="shared" si="66"/>
        <v>0</v>
      </c>
      <c r="CB14" s="302">
        <f t="shared" si="67"/>
        <v>0</v>
      </c>
      <c r="CC14" s="302">
        <f t="shared" si="68"/>
        <v>0</v>
      </c>
      <c r="CD14" s="302">
        <f t="shared" si="69"/>
        <v>0</v>
      </c>
      <c r="CE14" s="302">
        <f t="shared" si="70"/>
        <v>0</v>
      </c>
      <c r="CF14" s="302">
        <f t="shared" si="71"/>
        <v>0</v>
      </c>
      <c r="CG14" s="302">
        <f t="shared" si="72"/>
        <v>0</v>
      </c>
      <c r="CH14" s="302">
        <f t="shared" si="73"/>
        <v>0</v>
      </c>
      <c r="CI14" s="302">
        <f t="shared" si="74"/>
        <v>0</v>
      </c>
      <c r="CJ14" s="302">
        <f t="shared" si="75"/>
        <v>0</v>
      </c>
      <c r="CK14" s="302">
        <f t="shared" si="76"/>
        <v>0</v>
      </c>
      <c r="CL14" s="302">
        <f t="shared" si="77"/>
        <v>0</v>
      </c>
      <c r="CM14" s="254">
        <f t="shared" si="49"/>
        <v>2386110.8516748021</v>
      </c>
      <c r="CO14" s="301">
        <f t="shared" si="78"/>
        <v>649350</v>
      </c>
      <c r="CP14" s="302">
        <f t="shared" si="79"/>
        <v>0</v>
      </c>
      <c r="CQ14" s="302">
        <f t="shared" si="80"/>
        <v>1312008.1152224056</v>
      </c>
      <c r="CR14" s="302">
        <f t="shared" si="81"/>
        <v>0</v>
      </c>
      <c r="CS14" s="302">
        <f t="shared" si="82"/>
        <v>0</v>
      </c>
      <c r="CT14" s="302">
        <f t="shared" si="83"/>
        <v>278339.94791789266</v>
      </c>
      <c r="CU14" s="302">
        <f t="shared" si="84"/>
        <v>0</v>
      </c>
      <c r="CV14" s="302">
        <f t="shared" si="85"/>
        <v>0</v>
      </c>
      <c r="CW14" s="302">
        <f t="shared" si="86"/>
        <v>0</v>
      </c>
      <c r="CX14" s="302">
        <f t="shared" si="87"/>
        <v>0</v>
      </c>
      <c r="CY14" s="302">
        <f t="shared" si="88"/>
        <v>0</v>
      </c>
      <c r="CZ14" s="302">
        <f t="shared" si="89"/>
        <v>0</v>
      </c>
      <c r="DA14" s="302">
        <f t="shared" si="90"/>
        <v>0</v>
      </c>
      <c r="DB14" s="302">
        <f t="shared" si="91"/>
        <v>0</v>
      </c>
      <c r="DC14" s="302">
        <f t="shared" si="92"/>
        <v>0</v>
      </c>
      <c r="DD14" s="302">
        <f t="shared" si="93"/>
        <v>0</v>
      </c>
      <c r="DE14" s="302">
        <f t="shared" si="94"/>
        <v>0</v>
      </c>
      <c r="DF14" s="302">
        <f t="shared" si="95"/>
        <v>0</v>
      </c>
      <c r="DG14" s="302">
        <f t="shared" si="96"/>
        <v>0</v>
      </c>
      <c r="DH14" s="302">
        <f t="shared" si="97"/>
        <v>0</v>
      </c>
      <c r="DI14" s="302">
        <f t="shared" si="98"/>
        <v>0</v>
      </c>
      <c r="DJ14" s="254">
        <f t="shared" si="55"/>
        <v>2239698.0631402982</v>
      </c>
    </row>
    <row r="15" spans="1:114" x14ac:dyDescent="0.2">
      <c r="A15" s="196" t="str">
        <f>Est2018DistRev!A15</f>
        <v>C2ROP</v>
      </c>
      <c r="B15" s="234" t="str">
        <f t="shared" si="56"/>
        <v>Residential Two Rate 5d - Controlled Load</v>
      </c>
      <c r="C15" s="234" t="str">
        <f>Est2018DistRev!B15</f>
        <v>Residential Two Rate 5d - Controlled Load</v>
      </c>
      <c r="D15" s="786">
        <v>0</v>
      </c>
      <c r="E15" s="787">
        <v>0</v>
      </c>
      <c r="F15" s="787">
        <v>0</v>
      </c>
      <c r="G15" s="787">
        <v>0</v>
      </c>
      <c r="H15" s="787">
        <v>0</v>
      </c>
      <c r="I15" s="787">
        <v>1.76</v>
      </c>
      <c r="J15" s="787">
        <v>0</v>
      </c>
      <c r="K15" s="787">
        <v>0</v>
      </c>
      <c r="L15" s="787">
        <v>0</v>
      </c>
      <c r="M15" s="787">
        <v>0</v>
      </c>
      <c r="N15" s="787">
        <v>0</v>
      </c>
      <c r="O15" s="787">
        <v>0</v>
      </c>
      <c r="P15" s="787">
        <v>0</v>
      </c>
      <c r="Q15" s="787">
        <v>0</v>
      </c>
      <c r="R15" s="787">
        <v>0</v>
      </c>
      <c r="S15" s="787">
        <v>0</v>
      </c>
      <c r="T15" s="787">
        <v>0</v>
      </c>
      <c r="U15" s="787">
        <v>0</v>
      </c>
      <c r="V15" s="787">
        <v>0</v>
      </c>
      <c r="W15" s="787">
        <v>0</v>
      </c>
      <c r="X15" s="682">
        <v>0</v>
      </c>
      <c r="Z15" s="246">
        <f>Est2018DistRev!D15</f>
        <v>0</v>
      </c>
      <c r="AA15" s="247">
        <f>Est2018DistRev!E15</f>
        <v>0</v>
      </c>
      <c r="AB15" s="247">
        <f>Est2018DistRev!F15</f>
        <v>0</v>
      </c>
      <c r="AC15" s="247">
        <f>Est2018DistRev!G15</f>
        <v>0</v>
      </c>
      <c r="AD15" s="247">
        <f>Est2018DistRev!H15</f>
        <v>0</v>
      </c>
      <c r="AE15" s="247">
        <f>Est2018DistRev!I15</f>
        <v>1.78</v>
      </c>
      <c r="AF15" s="247">
        <f>Est2018DistRev!J15</f>
        <v>0</v>
      </c>
      <c r="AG15" s="247">
        <f>Est2018DistRev!K15</f>
        <v>0</v>
      </c>
      <c r="AH15" s="247">
        <f>Est2018DistRev!L15</f>
        <v>0</v>
      </c>
      <c r="AI15" s="247">
        <f>Est2018DistRev!M15</f>
        <v>0</v>
      </c>
      <c r="AJ15" s="247">
        <f>Est2018DistRev!N15</f>
        <v>0</v>
      </c>
      <c r="AK15" s="247">
        <f>Est2018DistRev!O15</f>
        <v>0</v>
      </c>
      <c r="AL15" s="247">
        <f>Est2018DistRev!P15</f>
        <v>0</v>
      </c>
      <c r="AM15" s="247">
        <f>Est2018DistRev!Q15</f>
        <v>0</v>
      </c>
      <c r="AN15" s="247">
        <f>Est2018DistRev!R15</f>
        <v>0</v>
      </c>
      <c r="AO15" s="247">
        <f>Est2018DistRev!S15</f>
        <v>0</v>
      </c>
      <c r="AP15" s="247">
        <f>Est2018DistRev!T15</f>
        <v>0</v>
      </c>
      <c r="AQ15" s="247">
        <f>Est2018DistRev!U15</f>
        <v>0</v>
      </c>
      <c r="AR15" s="247">
        <f>Est2018DistRev!V15</f>
        <v>0</v>
      </c>
      <c r="AS15" s="247">
        <f>Est2018DistRev!W15</f>
        <v>0</v>
      </c>
      <c r="AT15" s="248">
        <f>Est2018DistRev!X15</f>
        <v>0</v>
      </c>
      <c r="AV15" s="790">
        <v>9732.6666666666661</v>
      </c>
      <c r="AW15" s="789">
        <v>0</v>
      </c>
      <c r="AX15" s="789">
        <v>0</v>
      </c>
      <c r="AY15" s="789">
        <v>0</v>
      </c>
      <c r="AZ15" s="789">
        <v>0</v>
      </c>
      <c r="BA15" s="789">
        <v>19246331.235837448</v>
      </c>
      <c r="BB15" s="789">
        <v>0</v>
      </c>
      <c r="BC15" s="789">
        <v>0</v>
      </c>
      <c r="BD15" s="789">
        <v>0</v>
      </c>
      <c r="BE15" s="789">
        <v>0</v>
      </c>
      <c r="BF15" s="789">
        <v>0</v>
      </c>
      <c r="BG15" s="789">
        <v>0</v>
      </c>
      <c r="BH15" s="789">
        <v>0</v>
      </c>
      <c r="BI15" s="789">
        <v>0</v>
      </c>
      <c r="BJ15" s="789">
        <v>0</v>
      </c>
      <c r="BK15" s="789">
        <v>0</v>
      </c>
      <c r="BL15" s="789">
        <v>0</v>
      </c>
      <c r="BM15" s="789">
        <v>0</v>
      </c>
      <c r="BN15" s="789">
        <v>0</v>
      </c>
      <c r="BO15" s="789">
        <v>0</v>
      </c>
      <c r="BP15" s="655">
        <v>0</v>
      </c>
      <c r="BR15" s="301">
        <f t="shared" si="57"/>
        <v>0</v>
      </c>
      <c r="BS15" s="302">
        <f t="shared" si="58"/>
        <v>0</v>
      </c>
      <c r="BT15" s="302">
        <f t="shared" si="59"/>
        <v>0</v>
      </c>
      <c r="BU15" s="302">
        <f t="shared" si="60"/>
        <v>0</v>
      </c>
      <c r="BV15" s="302">
        <f t="shared" si="61"/>
        <v>0</v>
      </c>
      <c r="BW15" s="302">
        <f t="shared" si="62"/>
        <v>338735.42975073913</v>
      </c>
      <c r="BX15" s="302">
        <f t="shared" si="63"/>
        <v>0</v>
      </c>
      <c r="BY15" s="302">
        <f t="shared" si="64"/>
        <v>0</v>
      </c>
      <c r="BZ15" s="302">
        <f t="shared" si="65"/>
        <v>0</v>
      </c>
      <c r="CA15" s="302">
        <f t="shared" si="66"/>
        <v>0</v>
      </c>
      <c r="CB15" s="302">
        <f t="shared" si="67"/>
        <v>0</v>
      </c>
      <c r="CC15" s="302">
        <f t="shared" si="68"/>
        <v>0</v>
      </c>
      <c r="CD15" s="302">
        <f t="shared" si="69"/>
        <v>0</v>
      </c>
      <c r="CE15" s="302">
        <f t="shared" si="70"/>
        <v>0</v>
      </c>
      <c r="CF15" s="302">
        <f t="shared" si="71"/>
        <v>0</v>
      </c>
      <c r="CG15" s="302">
        <f t="shared" si="72"/>
        <v>0</v>
      </c>
      <c r="CH15" s="302">
        <f t="shared" si="73"/>
        <v>0</v>
      </c>
      <c r="CI15" s="302">
        <f t="shared" si="74"/>
        <v>0</v>
      </c>
      <c r="CJ15" s="302">
        <f t="shared" si="75"/>
        <v>0</v>
      </c>
      <c r="CK15" s="302">
        <f t="shared" si="76"/>
        <v>0</v>
      </c>
      <c r="CL15" s="302">
        <f t="shared" si="77"/>
        <v>0</v>
      </c>
      <c r="CM15" s="254">
        <f t="shared" si="49"/>
        <v>338735.42975073913</v>
      </c>
      <c r="CO15" s="301">
        <f t="shared" si="78"/>
        <v>0</v>
      </c>
      <c r="CP15" s="302">
        <f t="shared" si="79"/>
        <v>0</v>
      </c>
      <c r="CQ15" s="302">
        <f t="shared" si="80"/>
        <v>0</v>
      </c>
      <c r="CR15" s="302">
        <f t="shared" si="81"/>
        <v>0</v>
      </c>
      <c r="CS15" s="302">
        <f t="shared" si="82"/>
        <v>0</v>
      </c>
      <c r="CT15" s="302">
        <f t="shared" si="83"/>
        <v>342584.69599790656</v>
      </c>
      <c r="CU15" s="302">
        <f t="shared" si="84"/>
        <v>0</v>
      </c>
      <c r="CV15" s="302">
        <f t="shared" si="85"/>
        <v>0</v>
      </c>
      <c r="CW15" s="302">
        <f t="shared" si="86"/>
        <v>0</v>
      </c>
      <c r="CX15" s="302">
        <f t="shared" si="87"/>
        <v>0</v>
      </c>
      <c r="CY15" s="302">
        <f t="shared" si="88"/>
        <v>0</v>
      </c>
      <c r="CZ15" s="302">
        <f t="shared" si="89"/>
        <v>0</v>
      </c>
      <c r="DA15" s="302">
        <f t="shared" si="90"/>
        <v>0</v>
      </c>
      <c r="DB15" s="302">
        <f t="shared" si="91"/>
        <v>0</v>
      </c>
      <c r="DC15" s="302">
        <f t="shared" si="92"/>
        <v>0</v>
      </c>
      <c r="DD15" s="302">
        <f t="shared" si="93"/>
        <v>0</v>
      </c>
      <c r="DE15" s="302">
        <f t="shared" si="94"/>
        <v>0</v>
      </c>
      <c r="DF15" s="302">
        <f t="shared" si="95"/>
        <v>0</v>
      </c>
      <c r="DG15" s="302">
        <f t="shared" si="96"/>
        <v>0</v>
      </c>
      <c r="DH15" s="302">
        <f t="shared" si="97"/>
        <v>0</v>
      </c>
      <c r="DI15" s="302">
        <f t="shared" si="98"/>
        <v>0</v>
      </c>
      <c r="DJ15" s="254">
        <f t="shared" si="55"/>
        <v>342584.69599790656</v>
      </c>
    </row>
    <row r="16" spans="1:114" x14ac:dyDescent="0.2">
      <c r="A16" s="196" t="str">
        <f>Est2018DistRev!A16</f>
        <v>C2RBOP</v>
      </c>
      <c r="B16" s="234" t="str">
        <f t="shared" si="56"/>
        <v>Residential Two Rate 5d - Bulk - Controlled Load</v>
      </c>
      <c r="C16" s="234" t="str">
        <f>Est2018DistRev!B16</f>
        <v>Residential Two Rate 5d - Bulk - Controlled Load</v>
      </c>
      <c r="D16" s="786">
        <v>0</v>
      </c>
      <c r="E16" s="787">
        <v>0</v>
      </c>
      <c r="F16" s="787">
        <v>0</v>
      </c>
      <c r="G16" s="787">
        <v>0</v>
      </c>
      <c r="H16" s="787">
        <v>0</v>
      </c>
      <c r="I16" s="787">
        <v>1.44</v>
      </c>
      <c r="J16" s="787">
        <v>0</v>
      </c>
      <c r="K16" s="787">
        <v>0</v>
      </c>
      <c r="L16" s="787">
        <v>0</v>
      </c>
      <c r="M16" s="787">
        <v>0</v>
      </c>
      <c r="N16" s="787">
        <v>0</v>
      </c>
      <c r="O16" s="787">
        <v>0</v>
      </c>
      <c r="P16" s="787">
        <v>0</v>
      </c>
      <c r="Q16" s="787">
        <v>0</v>
      </c>
      <c r="R16" s="787">
        <v>0</v>
      </c>
      <c r="S16" s="787">
        <v>0</v>
      </c>
      <c r="T16" s="787">
        <v>0</v>
      </c>
      <c r="U16" s="787">
        <v>0</v>
      </c>
      <c r="V16" s="787">
        <v>0</v>
      </c>
      <c r="W16" s="787">
        <v>0</v>
      </c>
      <c r="X16" s="682">
        <v>0</v>
      </c>
      <c r="Z16" s="246">
        <f>Est2018DistRev!D16</f>
        <v>0</v>
      </c>
      <c r="AA16" s="247">
        <f>Est2018DistRev!E16</f>
        <v>0</v>
      </c>
      <c r="AB16" s="247">
        <f>Est2018DistRev!F16</f>
        <v>0</v>
      </c>
      <c r="AC16" s="247">
        <f>Est2018DistRev!G16</f>
        <v>0</v>
      </c>
      <c r="AD16" s="247">
        <f>Est2018DistRev!H16</f>
        <v>0</v>
      </c>
      <c r="AE16" s="247">
        <f>Est2018DistRev!I16</f>
        <v>1.38</v>
      </c>
      <c r="AF16" s="247">
        <f>Est2018DistRev!J16</f>
        <v>0</v>
      </c>
      <c r="AG16" s="247">
        <f>Est2018DistRev!K16</f>
        <v>0</v>
      </c>
      <c r="AH16" s="247">
        <f>Est2018DistRev!L16</f>
        <v>0</v>
      </c>
      <c r="AI16" s="247">
        <f>Est2018DistRev!M16</f>
        <v>0</v>
      </c>
      <c r="AJ16" s="247">
        <f>Est2018DistRev!N16</f>
        <v>0</v>
      </c>
      <c r="AK16" s="247">
        <f>Est2018DistRev!O16</f>
        <v>0</v>
      </c>
      <c r="AL16" s="247">
        <f>Est2018DistRev!P16</f>
        <v>0</v>
      </c>
      <c r="AM16" s="247">
        <f>Est2018DistRev!Q16</f>
        <v>0</v>
      </c>
      <c r="AN16" s="247">
        <f>Est2018DistRev!R16</f>
        <v>0</v>
      </c>
      <c r="AO16" s="247">
        <f>Est2018DistRev!S16</f>
        <v>0</v>
      </c>
      <c r="AP16" s="247">
        <f>Est2018DistRev!T16</f>
        <v>0</v>
      </c>
      <c r="AQ16" s="247">
        <f>Est2018DistRev!U16</f>
        <v>0</v>
      </c>
      <c r="AR16" s="247">
        <f>Est2018DistRev!V16</f>
        <v>0</v>
      </c>
      <c r="AS16" s="247">
        <f>Est2018DistRev!W16</f>
        <v>0</v>
      </c>
      <c r="AT16" s="248">
        <f>Est2018DistRev!X16</f>
        <v>0</v>
      </c>
      <c r="AV16" s="790">
        <v>3683.8333333333335</v>
      </c>
      <c r="AW16" s="789">
        <v>0</v>
      </c>
      <c r="AX16" s="789">
        <v>0</v>
      </c>
      <c r="AY16" s="789">
        <v>0</v>
      </c>
      <c r="AZ16" s="789">
        <v>0</v>
      </c>
      <c r="BA16" s="789">
        <v>7176762.3174721245</v>
      </c>
      <c r="BB16" s="789">
        <v>0</v>
      </c>
      <c r="BC16" s="789">
        <v>0</v>
      </c>
      <c r="BD16" s="789">
        <v>0</v>
      </c>
      <c r="BE16" s="789">
        <v>0</v>
      </c>
      <c r="BF16" s="789">
        <v>0</v>
      </c>
      <c r="BG16" s="789">
        <v>0</v>
      </c>
      <c r="BH16" s="789">
        <v>0</v>
      </c>
      <c r="BI16" s="789">
        <v>0</v>
      </c>
      <c r="BJ16" s="789">
        <v>0</v>
      </c>
      <c r="BK16" s="789">
        <v>0</v>
      </c>
      <c r="BL16" s="789">
        <v>0</v>
      </c>
      <c r="BM16" s="789">
        <v>0</v>
      </c>
      <c r="BN16" s="789">
        <v>0</v>
      </c>
      <c r="BO16" s="789">
        <v>0</v>
      </c>
      <c r="BP16" s="655">
        <v>0</v>
      </c>
      <c r="BR16" s="301">
        <f t="shared" si="57"/>
        <v>0</v>
      </c>
      <c r="BS16" s="302">
        <f t="shared" si="58"/>
        <v>0</v>
      </c>
      <c r="BT16" s="302">
        <f t="shared" si="59"/>
        <v>0</v>
      </c>
      <c r="BU16" s="302">
        <f t="shared" si="60"/>
        <v>0</v>
      </c>
      <c r="BV16" s="302">
        <f t="shared" si="61"/>
        <v>0</v>
      </c>
      <c r="BW16" s="302">
        <f t="shared" si="62"/>
        <v>103345.37737159859</v>
      </c>
      <c r="BX16" s="302">
        <f t="shared" si="63"/>
        <v>0</v>
      </c>
      <c r="BY16" s="302">
        <f t="shared" si="64"/>
        <v>0</v>
      </c>
      <c r="BZ16" s="302">
        <f t="shared" si="65"/>
        <v>0</v>
      </c>
      <c r="CA16" s="302">
        <f t="shared" si="66"/>
        <v>0</v>
      </c>
      <c r="CB16" s="302">
        <f t="shared" si="67"/>
        <v>0</v>
      </c>
      <c r="CC16" s="302">
        <f t="shared" si="68"/>
        <v>0</v>
      </c>
      <c r="CD16" s="302">
        <f t="shared" si="69"/>
        <v>0</v>
      </c>
      <c r="CE16" s="302">
        <f t="shared" si="70"/>
        <v>0</v>
      </c>
      <c r="CF16" s="302">
        <f t="shared" si="71"/>
        <v>0</v>
      </c>
      <c r="CG16" s="302">
        <f t="shared" si="72"/>
        <v>0</v>
      </c>
      <c r="CH16" s="302">
        <f t="shared" si="73"/>
        <v>0</v>
      </c>
      <c r="CI16" s="302">
        <f t="shared" si="74"/>
        <v>0</v>
      </c>
      <c r="CJ16" s="302">
        <f t="shared" si="75"/>
        <v>0</v>
      </c>
      <c r="CK16" s="302">
        <f t="shared" si="76"/>
        <v>0</v>
      </c>
      <c r="CL16" s="302">
        <f t="shared" si="77"/>
        <v>0</v>
      </c>
      <c r="CM16" s="254">
        <f t="shared" si="49"/>
        <v>103345.37737159859</v>
      </c>
      <c r="CO16" s="301">
        <f t="shared" si="78"/>
        <v>0</v>
      </c>
      <c r="CP16" s="302">
        <f t="shared" si="79"/>
        <v>0</v>
      </c>
      <c r="CQ16" s="302">
        <f t="shared" si="80"/>
        <v>0</v>
      </c>
      <c r="CR16" s="302">
        <f t="shared" si="81"/>
        <v>0</v>
      </c>
      <c r="CS16" s="302">
        <f t="shared" si="82"/>
        <v>0</v>
      </c>
      <c r="CT16" s="302">
        <f t="shared" si="83"/>
        <v>99039.319981115317</v>
      </c>
      <c r="CU16" s="302">
        <f t="shared" si="84"/>
        <v>0</v>
      </c>
      <c r="CV16" s="302">
        <f t="shared" si="85"/>
        <v>0</v>
      </c>
      <c r="CW16" s="302">
        <f t="shared" si="86"/>
        <v>0</v>
      </c>
      <c r="CX16" s="302">
        <f t="shared" si="87"/>
        <v>0</v>
      </c>
      <c r="CY16" s="302">
        <f t="shared" si="88"/>
        <v>0</v>
      </c>
      <c r="CZ16" s="302">
        <f t="shared" si="89"/>
        <v>0</v>
      </c>
      <c r="DA16" s="302">
        <f t="shared" si="90"/>
        <v>0</v>
      </c>
      <c r="DB16" s="302">
        <f t="shared" si="91"/>
        <v>0</v>
      </c>
      <c r="DC16" s="302">
        <f t="shared" si="92"/>
        <v>0</v>
      </c>
      <c r="DD16" s="302">
        <f t="shared" si="93"/>
        <v>0</v>
      </c>
      <c r="DE16" s="302">
        <f t="shared" si="94"/>
        <v>0</v>
      </c>
      <c r="DF16" s="302">
        <f t="shared" si="95"/>
        <v>0</v>
      </c>
      <c r="DG16" s="302">
        <f t="shared" si="96"/>
        <v>0</v>
      </c>
      <c r="DH16" s="302">
        <f t="shared" si="97"/>
        <v>0</v>
      </c>
      <c r="DI16" s="302">
        <f t="shared" si="98"/>
        <v>0</v>
      </c>
      <c r="DJ16" s="254">
        <f t="shared" si="55"/>
        <v>99039.319981115317</v>
      </c>
    </row>
    <row r="17" spans="1:114" x14ac:dyDescent="0.2">
      <c r="A17" s="196" t="str">
        <f>Est2018DistRev!A17</f>
        <v>CDS</v>
      </c>
      <c r="B17" s="234" t="str">
        <f t="shared" si="56"/>
        <v>Dedicated Circuit</v>
      </c>
      <c r="C17" s="234" t="str">
        <f>Est2018DistRev!B17</f>
        <v>Dedicated Circuit</v>
      </c>
      <c r="D17" s="786">
        <v>0</v>
      </c>
      <c r="E17" s="787">
        <v>0</v>
      </c>
      <c r="F17" s="787">
        <v>0</v>
      </c>
      <c r="G17" s="787">
        <v>0</v>
      </c>
      <c r="H17" s="787">
        <v>0</v>
      </c>
      <c r="I17" s="787">
        <v>1.76</v>
      </c>
      <c r="J17" s="787">
        <v>0</v>
      </c>
      <c r="K17" s="787">
        <v>0</v>
      </c>
      <c r="L17" s="787">
        <v>0</v>
      </c>
      <c r="M17" s="787">
        <v>0</v>
      </c>
      <c r="N17" s="787">
        <v>0</v>
      </c>
      <c r="O17" s="787">
        <v>0</v>
      </c>
      <c r="P17" s="787">
        <v>0</v>
      </c>
      <c r="Q17" s="787">
        <v>0</v>
      </c>
      <c r="R17" s="787">
        <v>0</v>
      </c>
      <c r="S17" s="787">
        <v>0</v>
      </c>
      <c r="T17" s="787">
        <v>0</v>
      </c>
      <c r="U17" s="787">
        <v>0</v>
      </c>
      <c r="V17" s="787">
        <v>0</v>
      </c>
      <c r="W17" s="787">
        <v>0</v>
      </c>
      <c r="X17" s="682">
        <v>0</v>
      </c>
      <c r="Z17" s="246">
        <f>Est2018DistRev!D17</f>
        <v>0</v>
      </c>
      <c r="AA17" s="247">
        <f>Est2018DistRev!E17</f>
        <v>0</v>
      </c>
      <c r="AB17" s="247">
        <f>Est2018DistRev!F17</f>
        <v>0</v>
      </c>
      <c r="AC17" s="247">
        <f>Est2018DistRev!G17</f>
        <v>0</v>
      </c>
      <c r="AD17" s="247">
        <f>Est2018DistRev!H17</f>
        <v>0</v>
      </c>
      <c r="AE17" s="247">
        <f>Est2018DistRev!I17</f>
        <v>1.78</v>
      </c>
      <c r="AF17" s="247">
        <f>Est2018DistRev!J17</f>
        <v>0</v>
      </c>
      <c r="AG17" s="247">
        <f>Est2018DistRev!K17</f>
        <v>0</v>
      </c>
      <c r="AH17" s="247">
        <f>Est2018DistRev!L17</f>
        <v>0</v>
      </c>
      <c r="AI17" s="247">
        <f>Est2018DistRev!M17</f>
        <v>0</v>
      </c>
      <c r="AJ17" s="247">
        <f>Est2018DistRev!N17</f>
        <v>0</v>
      </c>
      <c r="AK17" s="247">
        <f>Est2018DistRev!O17</f>
        <v>0</v>
      </c>
      <c r="AL17" s="247">
        <f>Est2018DistRev!P17</f>
        <v>0</v>
      </c>
      <c r="AM17" s="247">
        <f>Est2018DistRev!Q17</f>
        <v>0</v>
      </c>
      <c r="AN17" s="247">
        <f>Est2018DistRev!R17</f>
        <v>0</v>
      </c>
      <c r="AO17" s="247">
        <f>Est2018DistRev!S17</f>
        <v>0</v>
      </c>
      <c r="AP17" s="247">
        <f>Est2018DistRev!T17</f>
        <v>0</v>
      </c>
      <c r="AQ17" s="247">
        <f>Est2018DistRev!U17</f>
        <v>0</v>
      </c>
      <c r="AR17" s="247">
        <f>Est2018DistRev!V17</f>
        <v>0</v>
      </c>
      <c r="AS17" s="247">
        <f>Est2018DistRev!W17</f>
        <v>0</v>
      </c>
      <c r="AT17" s="248">
        <f>Est2018DistRev!X17</f>
        <v>0</v>
      </c>
      <c r="AV17" s="790">
        <v>22825.5</v>
      </c>
      <c r="AW17" s="789">
        <v>0</v>
      </c>
      <c r="AX17" s="789">
        <v>0</v>
      </c>
      <c r="AY17" s="789">
        <v>0</v>
      </c>
      <c r="AZ17" s="789">
        <v>0</v>
      </c>
      <c r="BA17" s="789">
        <v>31802481.572760597</v>
      </c>
      <c r="BB17" s="789">
        <v>0</v>
      </c>
      <c r="BC17" s="789">
        <v>0</v>
      </c>
      <c r="BD17" s="789">
        <v>0</v>
      </c>
      <c r="BE17" s="789">
        <v>0</v>
      </c>
      <c r="BF17" s="789">
        <v>0</v>
      </c>
      <c r="BG17" s="789">
        <v>0</v>
      </c>
      <c r="BH17" s="789">
        <v>0</v>
      </c>
      <c r="BI17" s="789">
        <v>0</v>
      </c>
      <c r="BJ17" s="789">
        <v>0</v>
      </c>
      <c r="BK17" s="789">
        <v>0</v>
      </c>
      <c r="BL17" s="789">
        <v>0</v>
      </c>
      <c r="BM17" s="789">
        <v>0</v>
      </c>
      <c r="BN17" s="789">
        <v>0</v>
      </c>
      <c r="BO17" s="789">
        <v>0</v>
      </c>
      <c r="BP17" s="655">
        <v>0</v>
      </c>
      <c r="BR17" s="301">
        <f t="shared" si="57"/>
        <v>0</v>
      </c>
      <c r="BS17" s="302">
        <f t="shared" si="58"/>
        <v>0</v>
      </c>
      <c r="BT17" s="302">
        <f t="shared" si="59"/>
        <v>0</v>
      </c>
      <c r="BU17" s="302">
        <f t="shared" si="60"/>
        <v>0</v>
      </c>
      <c r="BV17" s="302">
        <f t="shared" si="61"/>
        <v>0</v>
      </c>
      <c r="BW17" s="302">
        <f t="shared" si="62"/>
        <v>559723.67568058649</v>
      </c>
      <c r="BX17" s="302">
        <f t="shared" si="63"/>
        <v>0</v>
      </c>
      <c r="BY17" s="302">
        <f t="shared" si="64"/>
        <v>0</v>
      </c>
      <c r="BZ17" s="302">
        <f t="shared" si="65"/>
        <v>0</v>
      </c>
      <c r="CA17" s="302">
        <f t="shared" si="66"/>
        <v>0</v>
      </c>
      <c r="CB17" s="302">
        <f t="shared" si="67"/>
        <v>0</v>
      </c>
      <c r="CC17" s="302">
        <f t="shared" si="68"/>
        <v>0</v>
      </c>
      <c r="CD17" s="302">
        <f t="shared" si="69"/>
        <v>0</v>
      </c>
      <c r="CE17" s="302">
        <f t="shared" si="70"/>
        <v>0</v>
      </c>
      <c r="CF17" s="302">
        <f t="shared" si="71"/>
        <v>0</v>
      </c>
      <c r="CG17" s="302">
        <f t="shared" si="72"/>
        <v>0</v>
      </c>
      <c r="CH17" s="302">
        <f t="shared" si="73"/>
        <v>0</v>
      </c>
      <c r="CI17" s="302">
        <f t="shared" si="74"/>
        <v>0</v>
      </c>
      <c r="CJ17" s="302">
        <f t="shared" si="75"/>
        <v>0</v>
      </c>
      <c r="CK17" s="302">
        <f t="shared" si="76"/>
        <v>0</v>
      </c>
      <c r="CL17" s="302">
        <f t="shared" si="77"/>
        <v>0</v>
      </c>
      <c r="CM17" s="254">
        <f t="shared" si="49"/>
        <v>559723.67568058649</v>
      </c>
      <c r="CO17" s="301">
        <f t="shared" si="78"/>
        <v>0</v>
      </c>
      <c r="CP17" s="302">
        <f t="shared" si="79"/>
        <v>0</v>
      </c>
      <c r="CQ17" s="302">
        <f t="shared" si="80"/>
        <v>0</v>
      </c>
      <c r="CR17" s="302">
        <f t="shared" si="81"/>
        <v>0</v>
      </c>
      <c r="CS17" s="302">
        <f t="shared" si="82"/>
        <v>0</v>
      </c>
      <c r="CT17" s="302">
        <f t="shared" si="83"/>
        <v>566084.17199513863</v>
      </c>
      <c r="CU17" s="302">
        <f t="shared" si="84"/>
        <v>0</v>
      </c>
      <c r="CV17" s="302">
        <f t="shared" si="85"/>
        <v>0</v>
      </c>
      <c r="CW17" s="302">
        <f t="shared" si="86"/>
        <v>0</v>
      </c>
      <c r="CX17" s="302">
        <f t="shared" si="87"/>
        <v>0</v>
      </c>
      <c r="CY17" s="302">
        <f t="shared" si="88"/>
        <v>0</v>
      </c>
      <c r="CZ17" s="302">
        <f t="shared" si="89"/>
        <v>0</v>
      </c>
      <c r="DA17" s="302">
        <f t="shared" si="90"/>
        <v>0</v>
      </c>
      <c r="DB17" s="302">
        <f t="shared" si="91"/>
        <v>0</v>
      </c>
      <c r="DC17" s="302">
        <f t="shared" si="92"/>
        <v>0</v>
      </c>
      <c r="DD17" s="302">
        <f t="shared" si="93"/>
        <v>0</v>
      </c>
      <c r="DE17" s="302">
        <f t="shared" si="94"/>
        <v>0</v>
      </c>
      <c r="DF17" s="302">
        <f t="shared" si="95"/>
        <v>0</v>
      </c>
      <c r="DG17" s="302">
        <f t="shared" si="96"/>
        <v>0</v>
      </c>
      <c r="DH17" s="302">
        <f t="shared" si="97"/>
        <v>0</v>
      </c>
      <c r="DI17" s="302">
        <f t="shared" si="98"/>
        <v>0</v>
      </c>
      <c r="DJ17" s="254">
        <f t="shared" si="55"/>
        <v>566084.17199513863</v>
      </c>
    </row>
    <row r="18" spans="1:114" x14ac:dyDescent="0.2">
      <c r="A18" s="196" t="str">
        <f>Est2018DistRev!A18</f>
        <v>CDSB</v>
      </c>
      <c r="B18" s="234" t="str">
        <f t="shared" si="56"/>
        <v>Dedicated Circuit - Bulk</v>
      </c>
      <c r="C18" s="234" t="str">
        <f>Est2018DistRev!B18</f>
        <v>Dedicated Circuit - Bulk</v>
      </c>
      <c r="D18" s="786">
        <v>0</v>
      </c>
      <c r="E18" s="787">
        <v>0</v>
      </c>
      <c r="F18" s="787">
        <v>0</v>
      </c>
      <c r="G18" s="787">
        <v>0</v>
      </c>
      <c r="H18" s="787">
        <v>0</v>
      </c>
      <c r="I18" s="787">
        <v>1.44</v>
      </c>
      <c r="J18" s="787">
        <v>0</v>
      </c>
      <c r="K18" s="787">
        <v>0</v>
      </c>
      <c r="L18" s="787">
        <v>0</v>
      </c>
      <c r="M18" s="787">
        <v>0</v>
      </c>
      <c r="N18" s="787">
        <v>0</v>
      </c>
      <c r="O18" s="787">
        <v>0</v>
      </c>
      <c r="P18" s="787">
        <v>0</v>
      </c>
      <c r="Q18" s="787">
        <v>0</v>
      </c>
      <c r="R18" s="787">
        <v>0</v>
      </c>
      <c r="S18" s="787">
        <v>0</v>
      </c>
      <c r="T18" s="787">
        <v>0</v>
      </c>
      <c r="U18" s="787">
        <v>0</v>
      </c>
      <c r="V18" s="787">
        <v>0</v>
      </c>
      <c r="W18" s="787">
        <v>0</v>
      </c>
      <c r="X18" s="682">
        <v>0</v>
      </c>
      <c r="Z18" s="246">
        <f>Est2018DistRev!D18</f>
        <v>0</v>
      </c>
      <c r="AA18" s="247">
        <f>Est2018DistRev!E18</f>
        <v>0</v>
      </c>
      <c r="AB18" s="247">
        <f>Est2018DistRev!F18</f>
        <v>0</v>
      </c>
      <c r="AC18" s="247">
        <f>Est2018DistRev!G18</f>
        <v>0</v>
      </c>
      <c r="AD18" s="247">
        <f>Est2018DistRev!H18</f>
        <v>0</v>
      </c>
      <c r="AE18" s="247">
        <f>Est2018DistRev!I18</f>
        <v>1.38</v>
      </c>
      <c r="AF18" s="247">
        <f>Est2018DistRev!J18</f>
        <v>0</v>
      </c>
      <c r="AG18" s="247">
        <f>Est2018DistRev!K18</f>
        <v>0</v>
      </c>
      <c r="AH18" s="247">
        <f>Est2018DistRev!L18</f>
        <v>0</v>
      </c>
      <c r="AI18" s="247">
        <f>Est2018DistRev!M18</f>
        <v>0</v>
      </c>
      <c r="AJ18" s="247">
        <f>Est2018DistRev!N18</f>
        <v>0</v>
      </c>
      <c r="AK18" s="247">
        <f>Est2018DistRev!O18</f>
        <v>0</v>
      </c>
      <c r="AL18" s="247">
        <f>Est2018DistRev!P18</f>
        <v>0</v>
      </c>
      <c r="AM18" s="247">
        <f>Est2018DistRev!Q18</f>
        <v>0</v>
      </c>
      <c r="AN18" s="247">
        <f>Est2018DistRev!R18</f>
        <v>0</v>
      </c>
      <c r="AO18" s="247">
        <f>Est2018DistRev!S18</f>
        <v>0</v>
      </c>
      <c r="AP18" s="247">
        <f>Est2018DistRev!T18</f>
        <v>0</v>
      </c>
      <c r="AQ18" s="247">
        <f>Est2018DistRev!U18</f>
        <v>0</v>
      </c>
      <c r="AR18" s="247">
        <f>Est2018DistRev!V18</f>
        <v>0</v>
      </c>
      <c r="AS18" s="247">
        <f>Est2018DistRev!W18</f>
        <v>0</v>
      </c>
      <c r="AT18" s="248">
        <f>Est2018DistRev!X18</f>
        <v>0</v>
      </c>
      <c r="AV18" s="790">
        <v>1105.5833333333333</v>
      </c>
      <c r="AW18" s="789">
        <v>0</v>
      </c>
      <c r="AX18" s="789">
        <v>0</v>
      </c>
      <c r="AY18" s="789">
        <v>0</v>
      </c>
      <c r="AZ18" s="789">
        <v>0</v>
      </c>
      <c r="BA18" s="789">
        <v>2202095.0102876872</v>
      </c>
      <c r="BB18" s="789">
        <v>0</v>
      </c>
      <c r="BC18" s="789">
        <v>0</v>
      </c>
      <c r="BD18" s="789">
        <v>0</v>
      </c>
      <c r="BE18" s="789">
        <v>0</v>
      </c>
      <c r="BF18" s="789">
        <v>0</v>
      </c>
      <c r="BG18" s="789">
        <v>0</v>
      </c>
      <c r="BH18" s="789">
        <v>0</v>
      </c>
      <c r="BI18" s="789">
        <v>0</v>
      </c>
      <c r="BJ18" s="789">
        <v>0</v>
      </c>
      <c r="BK18" s="789">
        <v>0</v>
      </c>
      <c r="BL18" s="789">
        <v>0</v>
      </c>
      <c r="BM18" s="789">
        <v>0</v>
      </c>
      <c r="BN18" s="789">
        <v>0</v>
      </c>
      <c r="BO18" s="789">
        <v>0</v>
      </c>
      <c r="BP18" s="655">
        <v>0</v>
      </c>
      <c r="BR18" s="301">
        <f t="shared" si="57"/>
        <v>0</v>
      </c>
      <c r="BS18" s="302">
        <f t="shared" si="58"/>
        <v>0</v>
      </c>
      <c r="BT18" s="302">
        <f t="shared" si="59"/>
        <v>0</v>
      </c>
      <c r="BU18" s="302">
        <f t="shared" si="60"/>
        <v>0</v>
      </c>
      <c r="BV18" s="302">
        <f t="shared" si="61"/>
        <v>0</v>
      </c>
      <c r="BW18" s="302">
        <f t="shared" si="62"/>
        <v>31710.168148142693</v>
      </c>
      <c r="BX18" s="302">
        <f t="shared" si="63"/>
        <v>0</v>
      </c>
      <c r="BY18" s="302">
        <f t="shared" si="64"/>
        <v>0</v>
      </c>
      <c r="BZ18" s="302">
        <f t="shared" si="65"/>
        <v>0</v>
      </c>
      <c r="CA18" s="302">
        <f t="shared" si="66"/>
        <v>0</v>
      </c>
      <c r="CB18" s="302">
        <f t="shared" si="67"/>
        <v>0</v>
      </c>
      <c r="CC18" s="302">
        <f t="shared" si="68"/>
        <v>0</v>
      </c>
      <c r="CD18" s="302">
        <f t="shared" si="69"/>
        <v>0</v>
      </c>
      <c r="CE18" s="302">
        <f t="shared" si="70"/>
        <v>0</v>
      </c>
      <c r="CF18" s="302">
        <f t="shared" si="71"/>
        <v>0</v>
      </c>
      <c r="CG18" s="302">
        <f t="shared" si="72"/>
        <v>0</v>
      </c>
      <c r="CH18" s="302">
        <f t="shared" si="73"/>
        <v>0</v>
      </c>
      <c r="CI18" s="302">
        <f t="shared" si="74"/>
        <v>0</v>
      </c>
      <c r="CJ18" s="302">
        <f t="shared" si="75"/>
        <v>0</v>
      </c>
      <c r="CK18" s="302">
        <f t="shared" si="76"/>
        <v>0</v>
      </c>
      <c r="CL18" s="302">
        <f t="shared" si="77"/>
        <v>0</v>
      </c>
      <c r="CM18" s="254">
        <f t="shared" si="49"/>
        <v>31710.168148142693</v>
      </c>
      <c r="CO18" s="301">
        <f t="shared" si="78"/>
        <v>0</v>
      </c>
      <c r="CP18" s="302">
        <f t="shared" si="79"/>
        <v>0</v>
      </c>
      <c r="CQ18" s="302">
        <f t="shared" si="80"/>
        <v>0</v>
      </c>
      <c r="CR18" s="302">
        <f t="shared" si="81"/>
        <v>0</v>
      </c>
      <c r="CS18" s="302">
        <f t="shared" si="82"/>
        <v>0</v>
      </c>
      <c r="CT18" s="302">
        <f t="shared" si="83"/>
        <v>30388.911141970082</v>
      </c>
      <c r="CU18" s="302">
        <f t="shared" si="84"/>
        <v>0</v>
      </c>
      <c r="CV18" s="302">
        <f t="shared" si="85"/>
        <v>0</v>
      </c>
      <c r="CW18" s="302">
        <f t="shared" si="86"/>
        <v>0</v>
      </c>
      <c r="CX18" s="302">
        <f t="shared" si="87"/>
        <v>0</v>
      </c>
      <c r="CY18" s="302">
        <f t="shared" si="88"/>
        <v>0</v>
      </c>
      <c r="CZ18" s="302">
        <f t="shared" si="89"/>
        <v>0</v>
      </c>
      <c r="DA18" s="302">
        <f t="shared" si="90"/>
        <v>0</v>
      </c>
      <c r="DB18" s="302">
        <f t="shared" si="91"/>
        <v>0</v>
      </c>
      <c r="DC18" s="302">
        <f t="shared" si="92"/>
        <v>0</v>
      </c>
      <c r="DD18" s="302">
        <f t="shared" si="93"/>
        <v>0</v>
      </c>
      <c r="DE18" s="302">
        <f t="shared" si="94"/>
        <v>0</v>
      </c>
      <c r="DF18" s="302">
        <f t="shared" si="95"/>
        <v>0</v>
      </c>
      <c r="DG18" s="302">
        <f t="shared" si="96"/>
        <v>0</v>
      </c>
      <c r="DH18" s="302">
        <f t="shared" si="97"/>
        <v>0</v>
      </c>
      <c r="DI18" s="302">
        <f t="shared" si="98"/>
        <v>0</v>
      </c>
      <c r="DJ18" s="254">
        <f t="shared" si="55"/>
        <v>30388.911141970082</v>
      </c>
    </row>
    <row r="19" spans="1:114" x14ac:dyDescent="0.2">
      <c r="A19" s="196" t="str">
        <f>Est2018DistRev!A19</f>
        <v>CR</v>
      </c>
      <c r="B19" s="234" t="str">
        <f t="shared" si="56"/>
        <v>Residential Demand</v>
      </c>
      <c r="C19" s="234" t="str">
        <f>Est2018DistRev!B19</f>
        <v>Residential Demand</v>
      </c>
      <c r="D19" s="786">
        <v>90</v>
      </c>
      <c r="E19" s="787">
        <v>2.89</v>
      </c>
      <c r="F19" s="787">
        <v>0</v>
      </c>
      <c r="G19" s="787">
        <v>0</v>
      </c>
      <c r="H19" s="787">
        <v>0</v>
      </c>
      <c r="I19" s="787">
        <v>0</v>
      </c>
      <c r="J19" s="787">
        <v>0</v>
      </c>
      <c r="K19" s="787">
        <v>0</v>
      </c>
      <c r="L19" s="787">
        <v>0</v>
      </c>
      <c r="M19" s="787">
        <v>0</v>
      </c>
      <c r="N19" s="787">
        <v>0</v>
      </c>
      <c r="O19" s="787">
        <v>7.04</v>
      </c>
      <c r="P19" s="787">
        <v>2.41</v>
      </c>
      <c r="Q19" s="787">
        <v>0</v>
      </c>
      <c r="R19" s="787">
        <v>0</v>
      </c>
      <c r="S19" s="787">
        <v>0</v>
      </c>
      <c r="T19" s="787">
        <v>0</v>
      </c>
      <c r="U19" s="787">
        <v>0</v>
      </c>
      <c r="V19" s="787">
        <v>0</v>
      </c>
      <c r="W19" s="787">
        <v>0</v>
      </c>
      <c r="X19" s="682">
        <v>0</v>
      </c>
      <c r="Z19" s="246">
        <f>Est2018DistRev!D19</f>
        <v>85</v>
      </c>
      <c r="AA19" s="247">
        <f>Est2018DistRev!E19</f>
        <v>2.93</v>
      </c>
      <c r="AB19" s="247">
        <f>Est2018DistRev!F19</f>
        <v>0</v>
      </c>
      <c r="AC19" s="247">
        <f>Est2018DistRev!G19</f>
        <v>0</v>
      </c>
      <c r="AD19" s="247">
        <f>Est2018DistRev!H19</f>
        <v>0</v>
      </c>
      <c r="AE19" s="247">
        <f>Est2018DistRev!I19</f>
        <v>0</v>
      </c>
      <c r="AF19" s="247">
        <f>Est2018DistRev!J19</f>
        <v>0</v>
      </c>
      <c r="AG19" s="247">
        <f>Est2018DistRev!K19</f>
        <v>0</v>
      </c>
      <c r="AH19" s="247">
        <f>Est2018DistRev!L19</f>
        <v>0</v>
      </c>
      <c r="AI19" s="247">
        <f>Est2018DistRev!M19</f>
        <v>0</v>
      </c>
      <c r="AJ19" s="247">
        <f>Est2018DistRev!N19</f>
        <v>0</v>
      </c>
      <c r="AK19" s="247">
        <f>Est2018DistRev!O19</f>
        <v>7.16</v>
      </c>
      <c r="AL19" s="247">
        <f>Est2018DistRev!P19</f>
        <v>2.4500000000000002</v>
      </c>
      <c r="AM19" s="247">
        <f>Est2018DistRev!Q19</f>
        <v>0</v>
      </c>
      <c r="AN19" s="247">
        <f>Est2018DistRev!R19</f>
        <v>0</v>
      </c>
      <c r="AO19" s="247">
        <f>Est2018DistRev!S19</f>
        <v>0</v>
      </c>
      <c r="AP19" s="247">
        <f>Est2018DistRev!T19</f>
        <v>0</v>
      </c>
      <c r="AQ19" s="247">
        <f>Est2018DistRev!U19</f>
        <v>0</v>
      </c>
      <c r="AR19" s="247">
        <f>Est2018DistRev!V19</f>
        <v>0</v>
      </c>
      <c r="AS19" s="247">
        <f>Est2018DistRev!W19</f>
        <v>0</v>
      </c>
      <c r="AT19" s="248">
        <f>Est2018DistRev!X19</f>
        <v>0</v>
      </c>
      <c r="AV19" s="790">
        <v>4</v>
      </c>
      <c r="AW19" s="789">
        <v>14863.138507993855</v>
      </c>
      <c r="AX19" s="789">
        <v>0</v>
      </c>
      <c r="AY19" s="789">
        <v>0</v>
      </c>
      <c r="AZ19" s="789">
        <v>0</v>
      </c>
      <c r="BA19" s="789">
        <v>0</v>
      </c>
      <c r="BB19" s="789">
        <v>0</v>
      </c>
      <c r="BC19" s="789">
        <v>0</v>
      </c>
      <c r="BD19" s="789">
        <v>0</v>
      </c>
      <c r="BE19" s="789">
        <v>0</v>
      </c>
      <c r="BF19" s="789">
        <v>0</v>
      </c>
      <c r="BG19" s="789">
        <v>50.493333333333332</v>
      </c>
      <c r="BH19" s="789">
        <v>120.75099999999999</v>
      </c>
      <c r="BI19" s="789">
        <v>0</v>
      </c>
      <c r="BJ19" s="789">
        <v>0</v>
      </c>
      <c r="BK19" s="789">
        <v>0</v>
      </c>
      <c r="BL19" s="789">
        <v>0</v>
      </c>
      <c r="BM19" s="789">
        <v>0</v>
      </c>
      <c r="BN19" s="789">
        <v>0</v>
      </c>
      <c r="BO19" s="789">
        <v>0</v>
      </c>
      <c r="BP19" s="655">
        <v>0</v>
      </c>
      <c r="BR19" s="301">
        <f t="shared" si="57"/>
        <v>360</v>
      </c>
      <c r="BS19" s="302">
        <f t="shared" si="58"/>
        <v>429.54470288102243</v>
      </c>
      <c r="BT19" s="302">
        <f t="shared" si="59"/>
        <v>0</v>
      </c>
      <c r="BU19" s="302">
        <f t="shared" si="60"/>
        <v>0</v>
      </c>
      <c r="BV19" s="302">
        <f t="shared" si="61"/>
        <v>0</v>
      </c>
      <c r="BW19" s="302">
        <f t="shared" si="62"/>
        <v>0</v>
      </c>
      <c r="BX19" s="302">
        <f t="shared" si="63"/>
        <v>0</v>
      </c>
      <c r="BY19" s="302">
        <f t="shared" si="64"/>
        <v>0</v>
      </c>
      <c r="BZ19" s="302">
        <f t="shared" si="65"/>
        <v>0</v>
      </c>
      <c r="CA19" s="302">
        <f t="shared" si="66"/>
        <v>0</v>
      </c>
      <c r="CB19" s="302">
        <f t="shared" si="67"/>
        <v>0</v>
      </c>
      <c r="CC19" s="302">
        <f t="shared" si="68"/>
        <v>355.47306666666668</v>
      </c>
      <c r="CD19" s="302">
        <f t="shared" si="69"/>
        <v>291.00990999999999</v>
      </c>
      <c r="CE19" s="302">
        <f t="shared" si="70"/>
        <v>0</v>
      </c>
      <c r="CF19" s="302">
        <f t="shared" si="71"/>
        <v>0</v>
      </c>
      <c r="CG19" s="302">
        <f t="shared" si="72"/>
        <v>0</v>
      </c>
      <c r="CH19" s="302">
        <f t="shared" si="73"/>
        <v>0</v>
      </c>
      <c r="CI19" s="302">
        <f t="shared" si="74"/>
        <v>0</v>
      </c>
      <c r="CJ19" s="302">
        <f t="shared" si="75"/>
        <v>0</v>
      </c>
      <c r="CK19" s="302">
        <f t="shared" si="76"/>
        <v>0</v>
      </c>
      <c r="CL19" s="302">
        <f t="shared" si="77"/>
        <v>0</v>
      </c>
      <c r="CM19" s="254">
        <f t="shared" si="49"/>
        <v>1436.0276795476891</v>
      </c>
      <c r="CO19" s="301">
        <f t="shared" si="78"/>
        <v>340</v>
      </c>
      <c r="CP19" s="302">
        <f t="shared" si="79"/>
        <v>435.48995828421999</v>
      </c>
      <c r="CQ19" s="302">
        <f t="shared" si="80"/>
        <v>0</v>
      </c>
      <c r="CR19" s="302">
        <f t="shared" si="81"/>
        <v>0</v>
      </c>
      <c r="CS19" s="302">
        <f t="shared" si="82"/>
        <v>0</v>
      </c>
      <c r="CT19" s="302">
        <f t="shared" si="83"/>
        <v>0</v>
      </c>
      <c r="CU19" s="302">
        <f t="shared" si="84"/>
        <v>0</v>
      </c>
      <c r="CV19" s="302">
        <f t="shared" si="85"/>
        <v>0</v>
      </c>
      <c r="CW19" s="302">
        <f t="shared" si="86"/>
        <v>0</v>
      </c>
      <c r="CX19" s="302">
        <f t="shared" si="87"/>
        <v>0</v>
      </c>
      <c r="CY19" s="302">
        <f t="shared" si="88"/>
        <v>0</v>
      </c>
      <c r="CZ19" s="302">
        <f t="shared" si="89"/>
        <v>361.53226666666666</v>
      </c>
      <c r="DA19" s="302">
        <f t="shared" si="90"/>
        <v>295.83994999999999</v>
      </c>
      <c r="DB19" s="302">
        <f t="shared" si="91"/>
        <v>0</v>
      </c>
      <c r="DC19" s="302">
        <f t="shared" si="92"/>
        <v>0</v>
      </c>
      <c r="DD19" s="302">
        <f t="shared" si="93"/>
        <v>0</v>
      </c>
      <c r="DE19" s="302">
        <f t="shared" si="94"/>
        <v>0</v>
      </c>
      <c r="DF19" s="302">
        <f t="shared" si="95"/>
        <v>0</v>
      </c>
      <c r="DG19" s="302">
        <f t="shared" si="96"/>
        <v>0</v>
      </c>
      <c r="DH19" s="302">
        <f t="shared" si="97"/>
        <v>0</v>
      </c>
      <c r="DI19" s="302">
        <f t="shared" si="98"/>
        <v>0</v>
      </c>
      <c r="DJ19" s="254">
        <f t="shared" si="55"/>
        <v>1432.8621749508866</v>
      </c>
    </row>
    <row r="20" spans="1:114" x14ac:dyDescent="0.2">
      <c r="A20" s="196" t="str">
        <f>Est2018DistRev!A20</f>
        <v>CRB</v>
      </c>
      <c r="B20" s="234" t="str">
        <f t="shared" si="56"/>
        <v>Residential Bulk Demand</v>
      </c>
      <c r="C20" s="234" t="str">
        <f>Est2018DistRev!B20</f>
        <v>Residential Bulk Demand</v>
      </c>
      <c r="D20" s="786">
        <v>85</v>
      </c>
      <c r="E20" s="787">
        <v>2.0299999999999998</v>
      </c>
      <c r="F20" s="787">
        <v>0</v>
      </c>
      <c r="G20" s="787">
        <v>0</v>
      </c>
      <c r="H20" s="787">
        <v>0</v>
      </c>
      <c r="I20" s="787">
        <v>0</v>
      </c>
      <c r="J20" s="787">
        <v>0</v>
      </c>
      <c r="K20" s="787">
        <v>0</v>
      </c>
      <c r="L20" s="787">
        <v>0</v>
      </c>
      <c r="M20" s="787">
        <v>0</v>
      </c>
      <c r="N20" s="787">
        <v>0</v>
      </c>
      <c r="O20" s="787">
        <v>5.54</v>
      </c>
      <c r="P20" s="787">
        <v>1.86</v>
      </c>
      <c r="Q20" s="787">
        <v>0</v>
      </c>
      <c r="R20" s="787">
        <v>0</v>
      </c>
      <c r="S20" s="787">
        <v>0</v>
      </c>
      <c r="T20" s="787">
        <v>0</v>
      </c>
      <c r="U20" s="787">
        <v>0</v>
      </c>
      <c r="V20" s="787">
        <v>0</v>
      </c>
      <c r="W20" s="787">
        <v>0</v>
      </c>
      <c r="X20" s="682">
        <v>0</v>
      </c>
      <c r="Z20" s="246">
        <f>Est2018DistRev!D20</f>
        <v>75</v>
      </c>
      <c r="AA20" s="247">
        <f>Est2018DistRev!E20</f>
        <v>1.85</v>
      </c>
      <c r="AB20" s="247">
        <f>Est2018DistRev!F20</f>
        <v>0</v>
      </c>
      <c r="AC20" s="247">
        <f>Est2018DistRev!G20</f>
        <v>0</v>
      </c>
      <c r="AD20" s="247">
        <f>Est2018DistRev!H20</f>
        <v>0</v>
      </c>
      <c r="AE20" s="247">
        <f>Est2018DistRev!I20</f>
        <v>0</v>
      </c>
      <c r="AF20" s="247">
        <f>Est2018DistRev!J20</f>
        <v>0</v>
      </c>
      <c r="AG20" s="247">
        <f>Est2018DistRev!K20</f>
        <v>0</v>
      </c>
      <c r="AH20" s="247">
        <f>Est2018DistRev!L20</f>
        <v>0</v>
      </c>
      <c r="AI20" s="247">
        <f>Est2018DistRev!M20</f>
        <v>0</v>
      </c>
      <c r="AJ20" s="247">
        <f>Est2018DistRev!N20</f>
        <v>0</v>
      </c>
      <c r="AK20" s="247">
        <f>Est2018DistRev!O20</f>
        <v>5.24</v>
      </c>
      <c r="AL20" s="247">
        <f>Est2018DistRev!P20</f>
        <v>1.75</v>
      </c>
      <c r="AM20" s="247">
        <f>Est2018DistRev!Q20</f>
        <v>0</v>
      </c>
      <c r="AN20" s="247">
        <f>Est2018DistRev!R20</f>
        <v>0</v>
      </c>
      <c r="AO20" s="247">
        <f>Est2018DistRev!S20</f>
        <v>0</v>
      </c>
      <c r="AP20" s="247">
        <f>Est2018DistRev!T20</f>
        <v>0</v>
      </c>
      <c r="AQ20" s="247">
        <f>Est2018DistRev!U20</f>
        <v>0</v>
      </c>
      <c r="AR20" s="247">
        <f>Est2018DistRev!V20</f>
        <v>0</v>
      </c>
      <c r="AS20" s="247">
        <f>Est2018DistRev!W20</f>
        <v>0</v>
      </c>
      <c r="AT20" s="248">
        <f>Est2018DistRev!X20</f>
        <v>0</v>
      </c>
      <c r="AV20" s="790">
        <v>0</v>
      </c>
      <c r="AW20" s="789">
        <v>0</v>
      </c>
      <c r="AX20" s="789">
        <v>0</v>
      </c>
      <c r="AY20" s="789">
        <v>0</v>
      </c>
      <c r="AZ20" s="789">
        <v>0</v>
      </c>
      <c r="BA20" s="789">
        <v>0</v>
      </c>
      <c r="BB20" s="789">
        <v>0</v>
      </c>
      <c r="BC20" s="789">
        <v>0</v>
      </c>
      <c r="BD20" s="789">
        <v>0</v>
      </c>
      <c r="BE20" s="789">
        <v>0</v>
      </c>
      <c r="BF20" s="789">
        <v>0</v>
      </c>
      <c r="BG20" s="789">
        <v>0</v>
      </c>
      <c r="BH20" s="789">
        <v>0</v>
      </c>
      <c r="BI20" s="789">
        <v>0</v>
      </c>
      <c r="BJ20" s="789">
        <v>0</v>
      </c>
      <c r="BK20" s="789">
        <v>0</v>
      </c>
      <c r="BL20" s="789">
        <v>0</v>
      </c>
      <c r="BM20" s="789">
        <v>0</v>
      </c>
      <c r="BN20" s="789">
        <v>0</v>
      </c>
      <c r="BO20" s="789">
        <v>0</v>
      </c>
      <c r="BP20" s="655">
        <v>0</v>
      </c>
      <c r="BR20" s="301">
        <f t="shared" si="57"/>
        <v>0</v>
      </c>
      <c r="BS20" s="302">
        <f t="shared" si="58"/>
        <v>0</v>
      </c>
      <c r="BT20" s="302">
        <f t="shared" si="59"/>
        <v>0</v>
      </c>
      <c r="BU20" s="302">
        <f t="shared" si="60"/>
        <v>0</v>
      </c>
      <c r="BV20" s="302">
        <f t="shared" si="61"/>
        <v>0</v>
      </c>
      <c r="BW20" s="302">
        <f t="shared" si="62"/>
        <v>0</v>
      </c>
      <c r="BX20" s="302">
        <f t="shared" si="63"/>
        <v>0</v>
      </c>
      <c r="BY20" s="302">
        <f t="shared" si="64"/>
        <v>0</v>
      </c>
      <c r="BZ20" s="302">
        <f t="shared" si="65"/>
        <v>0</v>
      </c>
      <c r="CA20" s="302">
        <f t="shared" si="66"/>
        <v>0</v>
      </c>
      <c r="CB20" s="302">
        <f t="shared" si="67"/>
        <v>0</v>
      </c>
      <c r="CC20" s="302">
        <f t="shared" si="68"/>
        <v>0</v>
      </c>
      <c r="CD20" s="302">
        <f t="shared" si="69"/>
        <v>0</v>
      </c>
      <c r="CE20" s="302">
        <f t="shared" si="70"/>
        <v>0</v>
      </c>
      <c r="CF20" s="302">
        <f t="shared" si="71"/>
        <v>0</v>
      </c>
      <c r="CG20" s="302">
        <f t="shared" si="72"/>
        <v>0</v>
      </c>
      <c r="CH20" s="302">
        <f t="shared" si="73"/>
        <v>0</v>
      </c>
      <c r="CI20" s="302">
        <f t="shared" si="74"/>
        <v>0</v>
      </c>
      <c r="CJ20" s="302">
        <f t="shared" si="75"/>
        <v>0</v>
      </c>
      <c r="CK20" s="302">
        <f t="shared" si="76"/>
        <v>0</v>
      </c>
      <c r="CL20" s="302">
        <f t="shared" si="77"/>
        <v>0</v>
      </c>
      <c r="CM20" s="254">
        <f t="shared" si="49"/>
        <v>0</v>
      </c>
      <c r="CO20" s="301">
        <f t="shared" si="78"/>
        <v>0</v>
      </c>
      <c r="CP20" s="302">
        <f t="shared" si="79"/>
        <v>0</v>
      </c>
      <c r="CQ20" s="302">
        <f t="shared" si="80"/>
        <v>0</v>
      </c>
      <c r="CR20" s="302">
        <f t="shared" si="81"/>
        <v>0</v>
      </c>
      <c r="CS20" s="302">
        <f t="shared" si="82"/>
        <v>0</v>
      </c>
      <c r="CT20" s="302">
        <f t="shared" si="83"/>
        <v>0</v>
      </c>
      <c r="CU20" s="302">
        <f t="shared" si="84"/>
        <v>0</v>
      </c>
      <c r="CV20" s="302">
        <f t="shared" si="85"/>
        <v>0</v>
      </c>
      <c r="CW20" s="302">
        <f t="shared" si="86"/>
        <v>0</v>
      </c>
      <c r="CX20" s="302">
        <f t="shared" si="87"/>
        <v>0</v>
      </c>
      <c r="CY20" s="302">
        <f t="shared" si="88"/>
        <v>0</v>
      </c>
      <c r="CZ20" s="302">
        <f t="shared" si="89"/>
        <v>0</v>
      </c>
      <c r="DA20" s="302">
        <f t="shared" si="90"/>
        <v>0</v>
      </c>
      <c r="DB20" s="302">
        <f t="shared" si="91"/>
        <v>0</v>
      </c>
      <c r="DC20" s="302">
        <f t="shared" si="92"/>
        <v>0</v>
      </c>
      <c r="DD20" s="302">
        <f t="shared" si="93"/>
        <v>0</v>
      </c>
      <c r="DE20" s="302">
        <f t="shared" si="94"/>
        <v>0</v>
      </c>
      <c r="DF20" s="302">
        <f t="shared" si="95"/>
        <v>0</v>
      </c>
      <c r="DG20" s="302">
        <f t="shared" si="96"/>
        <v>0</v>
      </c>
      <c r="DH20" s="302">
        <f t="shared" si="97"/>
        <v>0</v>
      </c>
      <c r="DI20" s="302">
        <f t="shared" si="98"/>
        <v>0</v>
      </c>
      <c r="DJ20" s="254">
        <f t="shared" si="55"/>
        <v>0</v>
      </c>
    </row>
    <row r="21" spans="1:114" x14ac:dyDescent="0.2">
      <c r="A21" s="196" t="str">
        <f>Est2018DistRev!A21</f>
        <v>C1G</v>
      </c>
      <c r="B21" s="234" t="str">
        <f t="shared" si="56"/>
        <v>Non-Residential Single Rate</v>
      </c>
      <c r="C21" s="234" t="str">
        <f>Est2018DistRev!B21</f>
        <v>Non-Residential Single Rate</v>
      </c>
      <c r="D21" s="786">
        <v>150</v>
      </c>
      <c r="E21" s="787">
        <v>5.96</v>
      </c>
      <c r="F21" s="787">
        <v>0</v>
      </c>
      <c r="G21" s="787">
        <v>0</v>
      </c>
      <c r="H21" s="787">
        <v>0</v>
      </c>
      <c r="I21" s="787">
        <v>0</v>
      </c>
      <c r="J21" s="787">
        <v>0</v>
      </c>
      <c r="K21" s="787">
        <v>0</v>
      </c>
      <c r="L21" s="787">
        <v>0</v>
      </c>
      <c r="M21" s="787">
        <v>0</v>
      </c>
      <c r="N21" s="787">
        <v>0</v>
      </c>
      <c r="O21" s="787">
        <v>0</v>
      </c>
      <c r="P21" s="787">
        <v>0</v>
      </c>
      <c r="Q21" s="787">
        <v>0</v>
      </c>
      <c r="R21" s="787">
        <v>0</v>
      </c>
      <c r="S21" s="787">
        <v>0</v>
      </c>
      <c r="T21" s="787">
        <v>0</v>
      </c>
      <c r="U21" s="787">
        <v>0</v>
      </c>
      <c r="V21" s="787">
        <v>0</v>
      </c>
      <c r="W21" s="787">
        <v>0</v>
      </c>
      <c r="X21" s="682">
        <v>0</v>
      </c>
      <c r="Z21" s="246">
        <f>Est2018DistRev!D21</f>
        <v>145</v>
      </c>
      <c r="AA21" s="247">
        <f>Est2018DistRev!E21</f>
        <v>6.05</v>
      </c>
      <c r="AB21" s="247">
        <f>Est2018DistRev!F21</f>
        <v>0</v>
      </c>
      <c r="AC21" s="247">
        <f>Est2018DistRev!G21</f>
        <v>0</v>
      </c>
      <c r="AD21" s="247">
        <f>Est2018DistRev!H21</f>
        <v>0</v>
      </c>
      <c r="AE21" s="247">
        <f>Est2018DistRev!I21</f>
        <v>0</v>
      </c>
      <c r="AF21" s="247">
        <f>Est2018DistRev!J21</f>
        <v>0</v>
      </c>
      <c r="AG21" s="247">
        <f>Est2018DistRev!K21</f>
        <v>0</v>
      </c>
      <c r="AH21" s="247">
        <f>Est2018DistRev!L21</f>
        <v>0</v>
      </c>
      <c r="AI21" s="247">
        <f>Est2018DistRev!M21</f>
        <v>0</v>
      </c>
      <c r="AJ21" s="247">
        <f>Est2018DistRev!N21</f>
        <v>0</v>
      </c>
      <c r="AK21" s="247">
        <f>Est2018DistRev!O21</f>
        <v>0</v>
      </c>
      <c r="AL21" s="247">
        <f>Est2018DistRev!P21</f>
        <v>0</v>
      </c>
      <c r="AM21" s="247">
        <f>Est2018DistRev!Q21</f>
        <v>0</v>
      </c>
      <c r="AN21" s="247">
        <f>Est2018DistRev!R21</f>
        <v>0</v>
      </c>
      <c r="AO21" s="247">
        <f>Est2018DistRev!S21</f>
        <v>0</v>
      </c>
      <c r="AP21" s="247">
        <f>Est2018DistRev!T21</f>
        <v>0</v>
      </c>
      <c r="AQ21" s="247">
        <f>Est2018DistRev!U21</f>
        <v>0</v>
      </c>
      <c r="AR21" s="247">
        <f>Est2018DistRev!V21</f>
        <v>0</v>
      </c>
      <c r="AS21" s="247">
        <f>Est2018DistRev!W21</f>
        <v>0</v>
      </c>
      <c r="AT21" s="248">
        <f>Est2018DistRev!X21</f>
        <v>0</v>
      </c>
      <c r="AV21" s="790">
        <v>20319.916666666668</v>
      </c>
      <c r="AW21" s="789">
        <v>233254649.14212352</v>
      </c>
      <c r="AX21" s="789">
        <v>0</v>
      </c>
      <c r="AY21" s="789">
        <v>0</v>
      </c>
      <c r="AZ21" s="789">
        <v>0</v>
      </c>
      <c r="BA21" s="789">
        <v>0</v>
      </c>
      <c r="BB21" s="789">
        <v>0</v>
      </c>
      <c r="BC21" s="789">
        <v>0</v>
      </c>
      <c r="BD21" s="789">
        <v>0</v>
      </c>
      <c r="BE21" s="789">
        <v>0</v>
      </c>
      <c r="BF21" s="789">
        <v>0</v>
      </c>
      <c r="BG21" s="789">
        <v>0</v>
      </c>
      <c r="BH21" s="789">
        <v>0</v>
      </c>
      <c r="BI21" s="789">
        <v>0</v>
      </c>
      <c r="BJ21" s="789">
        <v>0</v>
      </c>
      <c r="BK21" s="789">
        <v>0</v>
      </c>
      <c r="BL21" s="789">
        <v>0</v>
      </c>
      <c r="BM21" s="789">
        <v>0</v>
      </c>
      <c r="BN21" s="789">
        <v>0</v>
      </c>
      <c r="BO21" s="789">
        <v>0</v>
      </c>
      <c r="BP21" s="655">
        <v>0</v>
      </c>
      <c r="BR21" s="301">
        <f t="shared" si="57"/>
        <v>3047987.5</v>
      </c>
      <c r="BS21" s="302">
        <f t="shared" si="58"/>
        <v>13901977.088870563</v>
      </c>
      <c r="BT21" s="302">
        <f t="shared" si="59"/>
        <v>0</v>
      </c>
      <c r="BU21" s="302">
        <f t="shared" si="60"/>
        <v>0</v>
      </c>
      <c r="BV21" s="302">
        <f t="shared" si="61"/>
        <v>0</v>
      </c>
      <c r="BW21" s="302">
        <f t="shared" si="62"/>
        <v>0</v>
      </c>
      <c r="BX21" s="302">
        <f t="shared" si="63"/>
        <v>0</v>
      </c>
      <c r="BY21" s="302">
        <f t="shared" si="64"/>
        <v>0</v>
      </c>
      <c r="BZ21" s="302">
        <f t="shared" si="65"/>
        <v>0</v>
      </c>
      <c r="CA21" s="302">
        <f t="shared" si="66"/>
        <v>0</v>
      </c>
      <c r="CB21" s="302">
        <f t="shared" si="67"/>
        <v>0</v>
      </c>
      <c r="CC21" s="302">
        <f t="shared" si="68"/>
        <v>0</v>
      </c>
      <c r="CD21" s="302">
        <f t="shared" si="69"/>
        <v>0</v>
      </c>
      <c r="CE21" s="302">
        <f t="shared" si="70"/>
        <v>0</v>
      </c>
      <c r="CF21" s="302">
        <f t="shared" si="71"/>
        <v>0</v>
      </c>
      <c r="CG21" s="302">
        <f t="shared" si="72"/>
        <v>0</v>
      </c>
      <c r="CH21" s="302">
        <f t="shared" si="73"/>
        <v>0</v>
      </c>
      <c r="CI21" s="302">
        <f t="shared" si="74"/>
        <v>0</v>
      </c>
      <c r="CJ21" s="302">
        <f t="shared" si="75"/>
        <v>0</v>
      </c>
      <c r="CK21" s="302">
        <f t="shared" si="76"/>
        <v>0</v>
      </c>
      <c r="CL21" s="302">
        <f t="shared" si="77"/>
        <v>0</v>
      </c>
      <c r="CM21" s="254">
        <f t="shared" si="49"/>
        <v>16949964.588870563</v>
      </c>
      <c r="CO21" s="301">
        <f t="shared" si="78"/>
        <v>2946387.916666667</v>
      </c>
      <c r="CP21" s="302">
        <f t="shared" si="79"/>
        <v>14111906.273098473</v>
      </c>
      <c r="CQ21" s="302">
        <f t="shared" si="80"/>
        <v>0</v>
      </c>
      <c r="CR21" s="302">
        <f t="shared" si="81"/>
        <v>0</v>
      </c>
      <c r="CS21" s="302">
        <f t="shared" si="82"/>
        <v>0</v>
      </c>
      <c r="CT21" s="302">
        <f t="shared" si="83"/>
        <v>0</v>
      </c>
      <c r="CU21" s="302">
        <f t="shared" si="84"/>
        <v>0</v>
      </c>
      <c r="CV21" s="302">
        <f t="shared" si="85"/>
        <v>0</v>
      </c>
      <c r="CW21" s="302">
        <f t="shared" si="86"/>
        <v>0</v>
      </c>
      <c r="CX21" s="302">
        <f t="shared" si="87"/>
        <v>0</v>
      </c>
      <c r="CY21" s="302">
        <f t="shared" si="88"/>
        <v>0</v>
      </c>
      <c r="CZ21" s="302">
        <f t="shared" si="89"/>
        <v>0</v>
      </c>
      <c r="DA21" s="302">
        <f t="shared" si="90"/>
        <v>0</v>
      </c>
      <c r="DB21" s="302">
        <f t="shared" si="91"/>
        <v>0</v>
      </c>
      <c r="DC21" s="302">
        <f t="shared" si="92"/>
        <v>0</v>
      </c>
      <c r="DD21" s="302">
        <f t="shared" si="93"/>
        <v>0</v>
      </c>
      <c r="DE21" s="302">
        <f t="shared" si="94"/>
        <v>0</v>
      </c>
      <c r="DF21" s="302">
        <f t="shared" si="95"/>
        <v>0</v>
      </c>
      <c r="DG21" s="302">
        <f t="shared" si="96"/>
        <v>0</v>
      </c>
      <c r="DH21" s="302">
        <f t="shared" si="97"/>
        <v>0</v>
      </c>
      <c r="DI21" s="302">
        <f t="shared" si="98"/>
        <v>0</v>
      </c>
      <c r="DJ21" s="254">
        <f t="shared" si="55"/>
        <v>17058294.18976514</v>
      </c>
    </row>
    <row r="22" spans="1:114" x14ac:dyDescent="0.2">
      <c r="A22" s="196" t="str">
        <f>Est2018DistRev!A22</f>
        <v>C1GB</v>
      </c>
      <c r="B22" s="234" t="str">
        <f t="shared" si="56"/>
        <v>Non-Residential Single Rate - Bulk</v>
      </c>
      <c r="C22" s="234" t="str">
        <f>Est2018DistRev!B22</f>
        <v>Non-Residential Single Rate - Bulk</v>
      </c>
      <c r="D22" s="786">
        <v>140</v>
      </c>
      <c r="E22" s="787">
        <v>4.84</v>
      </c>
      <c r="F22" s="787">
        <v>0</v>
      </c>
      <c r="G22" s="787">
        <v>0</v>
      </c>
      <c r="H22" s="787">
        <v>0</v>
      </c>
      <c r="I22" s="787">
        <v>0</v>
      </c>
      <c r="J22" s="787">
        <v>0</v>
      </c>
      <c r="K22" s="787">
        <v>0</v>
      </c>
      <c r="L22" s="787">
        <v>0</v>
      </c>
      <c r="M22" s="787">
        <v>0</v>
      </c>
      <c r="N22" s="787">
        <v>0</v>
      </c>
      <c r="O22" s="787">
        <v>0</v>
      </c>
      <c r="P22" s="787">
        <v>0</v>
      </c>
      <c r="Q22" s="787">
        <v>0</v>
      </c>
      <c r="R22" s="787">
        <v>0</v>
      </c>
      <c r="S22" s="787">
        <v>0</v>
      </c>
      <c r="T22" s="787">
        <v>0</v>
      </c>
      <c r="U22" s="787">
        <v>0</v>
      </c>
      <c r="V22" s="787">
        <v>0</v>
      </c>
      <c r="W22" s="787">
        <v>0</v>
      </c>
      <c r="X22" s="682">
        <v>0</v>
      </c>
      <c r="Z22" s="246">
        <f>Est2018DistRev!D22</f>
        <v>125</v>
      </c>
      <c r="AA22" s="247">
        <f>Est2018DistRev!E22</f>
        <v>4.6399999999999997</v>
      </c>
      <c r="AB22" s="247">
        <f>Est2018DistRev!F22</f>
        <v>0</v>
      </c>
      <c r="AC22" s="247">
        <f>Est2018DistRev!G22</f>
        <v>0</v>
      </c>
      <c r="AD22" s="247">
        <f>Est2018DistRev!H22</f>
        <v>0</v>
      </c>
      <c r="AE22" s="247">
        <f>Est2018DistRev!I22</f>
        <v>0</v>
      </c>
      <c r="AF22" s="247">
        <f>Est2018DistRev!J22</f>
        <v>0</v>
      </c>
      <c r="AG22" s="247">
        <f>Est2018DistRev!K22</f>
        <v>0</v>
      </c>
      <c r="AH22" s="247">
        <f>Est2018DistRev!L22</f>
        <v>0</v>
      </c>
      <c r="AI22" s="247">
        <f>Est2018DistRev!M22</f>
        <v>0</v>
      </c>
      <c r="AJ22" s="247">
        <f>Est2018DistRev!N22</f>
        <v>0</v>
      </c>
      <c r="AK22" s="247">
        <f>Est2018DistRev!O22</f>
        <v>0</v>
      </c>
      <c r="AL22" s="247">
        <f>Est2018DistRev!P22</f>
        <v>0</v>
      </c>
      <c r="AM22" s="247">
        <f>Est2018DistRev!Q22</f>
        <v>0</v>
      </c>
      <c r="AN22" s="247">
        <f>Est2018DistRev!R22</f>
        <v>0</v>
      </c>
      <c r="AO22" s="247">
        <f>Est2018DistRev!S22</f>
        <v>0</v>
      </c>
      <c r="AP22" s="247">
        <f>Est2018DistRev!T22</f>
        <v>0</v>
      </c>
      <c r="AQ22" s="247">
        <f>Est2018DistRev!U22</f>
        <v>0</v>
      </c>
      <c r="AR22" s="247">
        <f>Est2018DistRev!V22</f>
        <v>0</v>
      </c>
      <c r="AS22" s="247">
        <f>Est2018DistRev!W22</f>
        <v>0</v>
      </c>
      <c r="AT22" s="248">
        <f>Est2018DistRev!X22</f>
        <v>0</v>
      </c>
      <c r="AV22" s="790">
        <v>5859.166666666667</v>
      </c>
      <c r="AW22" s="789">
        <v>77076676.161172211</v>
      </c>
      <c r="AX22" s="789">
        <v>0</v>
      </c>
      <c r="AY22" s="789">
        <v>0</v>
      </c>
      <c r="AZ22" s="789">
        <v>0</v>
      </c>
      <c r="BA22" s="789">
        <v>0</v>
      </c>
      <c r="BB22" s="789">
        <v>0</v>
      </c>
      <c r="BC22" s="789">
        <v>0</v>
      </c>
      <c r="BD22" s="789">
        <v>0</v>
      </c>
      <c r="BE22" s="789">
        <v>0</v>
      </c>
      <c r="BF22" s="789">
        <v>0</v>
      </c>
      <c r="BG22" s="789">
        <v>0</v>
      </c>
      <c r="BH22" s="789">
        <v>0</v>
      </c>
      <c r="BI22" s="789">
        <v>0</v>
      </c>
      <c r="BJ22" s="789">
        <v>0</v>
      </c>
      <c r="BK22" s="789">
        <v>0</v>
      </c>
      <c r="BL22" s="789">
        <v>0</v>
      </c>
      <c r="BM22" s="789">
        <v>0</v>
      </c>
      <c r="BN22" s="789">
        <v>0</v>
      </c>
      <c r="BO22" s="789">
        <v>0</v>
      </c>
      <c r="BP22" s="655">
        <v>0</v>
      </c>
      <c r="BR22" s="301">
        <f t="shared" si="57"/>
        <v>820283.33333333337</v>
      </c>
      <c r="BS22" s="302">
        <f t="shared" si="58"/>
        <v>3730511.1262007351</v>
      </c>
      <c r="BT22" s="302">
        <f t="shared" si="59"/>
        <v>0</v>
      </c>
      <c r="BU22" s="302">
        <f t="shared" si="60"/>
        <v>0</v>
      </c>
      <c r="BV22" s="302">
        <f t="shared" si="61"/>
        <v>0</v>
      </c>
      <c r="BW22" s="302">
        <f t="shared" si="62"/>
        <v>0</v>
      </c>
      <c r="BX22" s="302">
        <f t="shared" si="63"/>
        <v>0</v>
      </c>
      <c r="BY22" s="302">
        <f t="shared" si="64"/>
        <v>0</v>
      </c>
      <c r="BZ22" s="302">
        <f t="shared" si="65"/>
        <v>0</v>
      </c>
      <c r="CA22" s="302">
        <f t="shared" si="66"/>
        <v>0</v>
      </c>
      <c r="CB22" s="302">
        <f t="shared" si="67"/>
        <v>0</v>
      </c>
      <c r="CC22" s="302">
        <f t="shared" si="68"/>
        <v>0</v>
      </c>
      <c r="CD22" s="302">
        <f t="shared" si="69"/>
        <v>0</v>
      </c>
      <c r="CE22" s="302">
        <f t="shared" si="70"/>
        <v>0</v>
      </c>
      <c r="CF22" s="302">
        <f t="shared" si="71"/>
        <v>0</v>
      </c>
      <c r="CG22" s="302">
        <f t="shared" si="72"/>
        <v>0</v>
      </c>
      <c r="CH22" s="302">
        <f t="shared" si="73"/>
        <v>0</v>
      </c>
      <c r="CI22" s="302">
        <f t="shared" si="74"/>
        <v>0</v>
      </c>
      <c r="CJ22" s="302">
        <f t="shared" si="75"/>
        <v>0</v>
      </c>
      <c r="CK22" s="302">
        <f t="shared" si="76"/>
        <v>0</v>
      </c>
      <c r="CL22" s="302">
        <f t="shared" si="77"/>
        <v>0</v>
      </c>
      <c r="CM22" s="254">
        <f t="shared" si="49"/>
        <v>4550794.4595340686</v>
      </c>
      <c r="CO22" s="301">
        <f t="shared" si="78"/>
        <v>732395.83333333337</v>
      </c>
      <c r="CP22" s="302">
        <f t="shared" si="79"/>
        <v>3576357.7738783904</v>
      </c>
      <c r="CQ22" s="302">
        <f t="shared" si="80"/>
        <v>0</v>
      </c>
      <c r="CR22" s="302">
        <f t="shared" si="81"/>
        <v>0</v>
      </c>
      <c r="CS22" s="302">
        <f t="shared" si="82"/>
        <v>0</v>
      </c>
      <c r="CT22" s="302">
        <f t="shared" si="83"/>
        <v>0</v>
      </c>
      <c r="CU22" s="302">
        <f t="shared" si="84"/>
        <v>0</v>
      </c>
      <c r="CV22" s="302">
        <f t="shared" si="85"/>
        <v>0</v>
      </c>
      <c r="CW22" s="302">
        <f t="shared" si="86"/>
        <v>0</v>
      </c>
      <c r="CX22" s="302">
        <f t="shared" si="87"/>
        <v>0</v>
      </c>
      <c r="CY22" s="302">
        <f t="shared" si="88"/>
        <v>0</v>
      </c>
      <c r="CZ22" s="302">
        <f t="shared" si="89"/>
        <v>0</v>
      </c>
      <c r="DA22" s="302">
        <f t="shared" si="90"/>
        <v>0</v>
      </c>
      <c r="DB22" s="302">
        <f t="shared" si="91"/>
        <v>0</v>
      </c>
      <c r="DC22" s="302">
        <f t="shared" si="92"/>
        <v>0</v>
      </c>
      <c r="DD22" s="302">
        <f t="shared" si="93"/>
        <v>0</v>
      </c>
      <c r="DE22" s="302">
        <f t="shared" si="94"/>
        <v>0</v>
      </c>
      <c r="DF22" s="302">
        <f t="shared" si="95"/>
        <v>0</v>
      </c>
      <c r="DG22" s="302">
        <f t="shared" si="96"/>
        <v>0</v>
      </c>
      <c r="DH22" s="302">
        <f t="shared" si="97"/>
        <v>0</v>
      </c>
      <c r="DI22" s="302">
        <f t="shared" si="98"/>
        <v>0</v>
      </c>
      <c r="DJ22" s="254">
        <f t="shared" si="55"/>
        <v>4308753.6072117239</v>
      </c>
    </row>
    <row r="23" spans="1:114" x14ac:dyDescent="0.2">
      <c r="A23" s="196" t="str">
        <f>Est2018DistRev!A23</f>
        <v>C2G5</v>
      </c>
      <c r="B23" s="234" t="str">
        <f t="shared" si="56"/>
        <v>Non-Residential Two Rate 5d</v>
      </c>
      <c r="C23" s="234" t="str">
        <f>Est2018DistRev!B23</f>
        <v>Non-Residential Two Rate 5d</v>
      </c>
      <c r="D23" s="786">
        <v>150</v>
      </c>
      <c r="E23" s="787">
        <v>0</v>
      </c>
      <c r="F23" s="787">
        <v>8.9600000000000009</v>
      </c>
      <c r="G23" s="787">
        <v>0</v>
      </c>
      <c r="H23" s="787">
        <v>0</v>
      </c>
      <c r="I23" s="787">
        <v>2.58</v>
      </c>
      <c r="J23" s="787">
        <v>0</v>
      </c>
      <c r="K23" s="787">
        <v>0</v>
      </c>
      <c r="L23" s="787">
        <v>0</v>
      </c>
      <c r="M23" s="787">
        <v>0</v>
      </c>
      <c r="N23" s="787">
        <v>0</v>
      </c>
      <c r="O23" s="787">
        <v>0</v>
      </c>
      <c r="P23" s="787">
        <v>0</v>
      </c>
      <c r="Q23" s="787">
        <v>0</v>
      </c>
      <c r="R23" s="787">
        <v>0</v>
      </c>
      <c r="S23" s="787">
        <v>0</v>
      </c>
      <c r="T23" s="787">
        <v>0</v>
      </c>
      <c r="U23" s="787">
        <v>0</v>
      </c>
      <c r="V23" s="787">
        <v>0</v>
      </c>
      <c r="W23" s="787">
        <v>0</v>
      </c>
      <c r="X23" s="682">
        <v>0</v>
      </c>
      <c r="Z23" s="246">
        <f>Est2018DistRev!D23</f>
        <v>145</v>
      </c>
      <c r="AA23" s="247">
        <f>Est2018DistRev!E23</f>
        <v>0</v>
      </c>
      <c r="AB23" s="247">
        <f>Est2018DistRev!F23</f>
        <v>9.1</v>
      </c>
      <c r="AC23" s="247">
        <f>Est2018DistRev!G23</f>
        <v>0</v>
      </c>
      <c r="AD23" s="247">
        <f>Est2018DistRev!H23</f>
        <v>0</v>
      </c>
      <c r="AE23" s="247">
        <f>Est2018DistRev!I23</f>
        <v>2.41</v>
      </c>
      <c r="AF23" s="247">
        <f>Est2018DistRev!J23</f>
        <v>0</v>
      </c>
      <c r="AG23" s="247">
        <f>Est2018DistRev!K23</f>
        <v>0</v>
      </c>
      <c r="AH23" s="247">
        <f>Est2018DistRev!L23</f>
        <v>0</v>
      </c>
      <c r="AI23" s="247">
        <f>Est2018DistRev!M23</f>
        <v>0</v>
      </c>
      <c r="AJ23" s="247">
        <f>Est2018DistRev!N23</f>
        <v>0</v>
      </c>
      <c r="AK23" s="247">
        <f>Est2018DistRev!O23</f>
        <v>0</v>
      </c>
      <c r="AL23" s="247">
        <f>Est2018DistRev!P23</f>
        <v>0</v>
      </c>
      <c r="AM23" s="247">
        <f>Est2018DistRev!Q23</f>
        <v>0</v>
      </c>
      <c r="AN23" s="247">
        <f>Est2018DistRev!R23</f>
        <v>0</v>
      </c>
      <c r="AO23" s="247">
        <f>Est2018DistRev!S23</f>
        <v>0</v>
      </c>
      <c r="AP23" s="247">
        <f>Est2018DistRev!T23</f>
        <v>0</v>
      </c>
      <c r="AQ23" s="247">
        <f>Est2018DistRev!U23</f>
        <v>0</v>
      </c>
      <c r="AR23" s="247">
        <f>Est2018DistRev!V23</f>
        <v>0</v>
      </c>
      <c r="AS23" s="247">
        <f>Est2018DistRev!W23</f>
        <v>0</v>
      </c>
      <c r="AT23" s="248">
        <f>Est2018DistRev!X23</f>
        <v>0</v>
      </c>
      <c r="AV23" s="790">
        <v>8457.4166666666661</v>
      </c>
      <c r="AW23" s="789">
        <v>0</v>
      </c>
      <c r="AX23" s="789">
        <v>92130994.291198537</v>
      </c>
      <c r="AY23" s="789">
        <v>0</v>
      </c>
      <c r="AZ23" s="789">
        <v>0</v>
      </c>
      <c r="BA23" s="789">
        <v>57478450.853033125</v>
      </c>
      <c r="BB23" s="789">
        <v>0</v>
      </c>
      <c r="BC23" s="789">
        <v>0</v>
      </c>
      <c r="BD23" s="789">
        <v>0</v>
      </c>
      <c r="BE23" s="789">
        <v>0</v>
      </c>
      <c r="BF23" s="789">
        <v>0</v>
      </c>
      <c r="BG23" s="789">
        <v>0</v>
      </c>
      <c r="BH23" s="789">
        <v>0</v>
      </c>
      <c r="BI23" s="789">
        <v>0</v>
      </c>
      <c r="BJ23" s="789">
        <v>0</v>
      </c>
      <c r="BK23" s="789">
        <v>0</v>
      </c>
      <c r="BL23" s="789">
        <v>0</v>
      </c>
      <c r="BM23" s="789">
        <v>0</v>
      </c>
      <c r="BN23" s="789">
        <v>0</v>
      </c>
      <c r="BO23" s="789">
        <v>0</v>
      </c>
      <c r="BP23" s="655">
        <v>0</v>
      </c>
      <c r="BR23" s="301">
        <f t="shared" si="57"/>
        <v>1268612.5</v>
      </c>
      <c r="BS23" s="302">
        <f t="shared" si="58"/>
        <v>0</v>
      </c>
      <c r="BT23" s="302">
        <f t="shared" si="59"/>
        <v>8254937.0884913905</v>
      </c>
      <c r="BU23" s="302">
        <f t="shared" si="60"/>
        <v>0</v>
      </c>
      <c r="BV23" s="302">
        <f t="shared" si="61"/>
        <v>0</v>
      </c>
      <c r="BW23" s="302">
        <f t="shared" si="62"/>
        <v>1482944.0320082547</v>
      </c>
      <c r="BX23" s="302">
        <f t="shared" si="63"/>
        <v>0</v>
      </c>
      <c r="BY23" s="302">
        <f t="shared" si="64"/>
        <v>0</v>
      </c>
      <c r="BZ23" s="302">
        <f t="shared" si="65"/>
        <v>0</v>
      </c>
      <c r="CA23" s="302">
        <f t="shared" si="66"/>
        <v>0</v>
      </c>
      <c r="CB23" s="302">
        <f t="shared" si="67"/>
        <v>0</v>
      </c>
      <c r="CC23" s="302">
        <f t="shared" si="68"/>
        <v>0</v>
      </c>
      <c r="CD23" s="302">
        <f t="shared" si="69"/>
        <v>0</v>
      </c>
      <c r="CE23" s="302">
        <f t="shared" si="70"/>
        <v>0</v>
      </c>
      <c r="CF23" s="302">
        <f t="shared" si="71"/>
        <v>0</v>
      </c>
      <c r="CG23" s="302">
        <f t="shared" si="72"/>
        <v>0</v>
      </c>
      <c r="CH23" s="302">
        <f t="shared" si="73"/>
        <v>0</v>
      </c>
      <c r="CI23" s="302">
        <f t="shared" si="74"/>
        <v>0</v>
      </c>
      <c r="CJ23" s="302">
        <f t="shared" si="75"/>
        <v>0</v>
      </c>
      <c r="CK23" s="302">
        <f t="shared" si="76"/>
        <v>0</v>
      </c>
      <c r="CL23" s="302">
        <f t="shared" si="77"/>
        <v>0</v>
      </c>
      <c r="CM23" s="254">
        <f t="shared" si="49"/>
        <v>11006493.620499646</v>
      </c>
      <c r="CO23" s="301">
        <f t="shared" si="78"/>
        <v>1226325.4166666665</v>
      </c>
      <c r="CP23" s="302">
        <f t="shared" si="79"/>
        <v>0</v>
      </c>
      <c r="CQ23" s="302">
        <f t="shared" si="80"/>
        <v>8383920.4804990664</v>
      </c>
      <c r="CR23" s="302">
        <f t="shared" si="81"/>
        <v>0</v>
      </c>
      <c r="CS23" s="302">
        <f t="shared" si="82"/>
        <v>0</v>
      </c>
      <c r="CT23" s="302">
        <f t="shared" si="83"/>
        <v>1385230.6655580983</v>
      </c>
      <c r="CU23" s="302">
        <f t="shared" si="84"/>
        <v>0</v>
      </c>
      <c r="CV23" s="302">
        <f t="shared" si="85"/>
        <v>0</v>
      </c>
      <c r="CW23" s="302">
        <f t="shared" si="86"/>
        <v>0</v>
      </c>
      <c r="CX23" s="302">
        <f t="shared" si="87"/>
        <v>0</v>
      </c>
      <c r="CY23" s="302">
        <f t="shared" si="88"/>
        <v>0</v>
      </c>
      <c r="CZ23" s="302">
        <f t="shared" si="89"/>
        <v>0</v>
      </c>
      <c r="DA23" s="302">
        <f t="shared" si="90"/>
        <v>0</v>
      </c>
      <c r="DB23" s="302">
        <f t="shared" si="91"/>
        <v>0</v>
      </c>
      <c r="DC23" s="302">
        <f t="shared" si="92"/>
        <v>0</v>
      </c>
      <c r="DD23" s="302">
        <f t="shared" si="93"/>
        <v>0</v>
      </c>
      <c r="DE23" s="302">
        <f t="shared" si="94"/>
        <v>0</v>
      </c>
      <c r="DF23" s="302">
        <f t="shared" si="95"/>
        <v>0</v>
      </c>
      <c r="DG23" s="302">
        <f t="shared" si="96"/>
        <v>0</v>
      </c>
      <c r="DH23" s="302">
        <f t="shared" si="97"/>
        <v>0</v>
      </c>
      <c r="DI23" s="302">
        <f t="shared" si="98"/>
        <v>0</v>
      </c>
      <c r="DJ23" s="254">
        <f t="shared" si="55"/>
        <v>10995476.56272383</v>
      </c>
    </row>
    <row r="24" spans="1:114" x14ac:dyDescent="0.2">
      <c r="A24" s="196" t="str">
        <f>Est2018DistRev!A24</f>
        <v>C2G5B</v>
      </c>
      <c r="B24" s="234" t="str">
        <f t="shared" si="56"/>
        <v>Non-Residential Two Rate 5d - Bulk</v>
      </c>
      <c r="C24" s="234" t="str">
        <f>Est2018DistRev!B24</f>
        <v>Non-Residential Two Rate 5d - Bulk</v>
      </c>
      <c r="D24" s="786">
        <v>140</v>
      </c>
      <c r="E24" s="787">
        <v>0</v>
      </c>
      <c r="F24" s="787">
        <v>6.99</v>
      </c>
      <c r="G24" s="787">
        <v>0</v>
      </c>
      <c r="H24" s="787">
        <v>0</v>
      </c>
      <c r="I24" s="787">
        <v>2.11</v>
      </c>
      <c r="J24" s="787">
        <v>0</v>
      </c>
      <c r="K24" s="787">
        <v>0</v>
      </c>
      <c r="L24" s="787">
        <v>0</v>
      </c>
      <c r="M24" s="787">
        <v>0</v>
      </c>
      <c r="N24" s="787">
        <v>0</v>
      </c>
      <c r="O24" s="787">
        <v>0</v>
      </c>
      <c r="P24" s="787">
        <v>0</v>
      </c>
      <c r="Q24" s="787">
        <v>0</v>
      </c>
      <c r="R24" s="787">
        <v>0</v>
      </c>
      <c r="S24" s="787">
        <v>0</v>
      </c>
      <c r="T24" s="787">
        <v>0</v>
      </c>
      <c r="U24" s="787">
        <v>0</v>
      </c>
      <c r="V24" s="787">
        <v>0</v>
      </c>
      <c r="W24" s="787">
        <v>0</v>
      </c>
      <c r="X24" s="682">
        <v>0</v>
      </c>
      <c r="Z24" s="246">
        <f>Est2018DistRev!D24</f>
        <v>125</v>
      </c>
      <c r="AA24" s="247">
        <f>Est2018DistRev!E24</f>
        <v>0</v>
      </c>
      <c r="AB24" s="247">
        <f>Est2018DistRev!F24</f>
        <v>6.6</v>
      </c>
      <c r="AC24" s="247">
        <f>Est2018DistRev!G24</f>
        <v>0</v>
      </c>
      <c r="AD24" s="247">
        <f>Est2018DistRev!H24</f>
        <v>0</v>
      </c>
      <c r="AE24" s="247">
        <f>Est2018DistRev!I24</f>
        <v>1.8</v>
      </c>
      <c r="AF24" s="247">
        <f>Est2018DistRev!J24</f>
        <v>0</v>
      </c>
      <c r="AG24" s="247">
        <f>Est2018DistRev!K24</f>
        <v>0</v>
      </c>
      <c r="AH24" s="247">
        <f>Est2018DistRev!L24</f>
        <v>0</v>
      </c>
      <c r="AI24" s="247">
        <f>Est2018DistRev!M24</f>
        <v>0</v>
      </c>
      <c r="AJ24" s="247">
        <f>Est2018DistRev!N24</f>
        <v>0</v>
      </c>
      <c r="AK24" s="247">
        <f>Est2018DistRev!O24</f>
        <v>0</v>
      </c>
      <c r="AL24" s="247">
        <f>Est2018DistRev!P24</f>
        <v>0</v>
      </c>
      <c r="AM24" s="247">
        <f>Est2018DistRev!Q24</f>
        <v>0</v>
      </c>
      <c r="AN24" s="247">
        <f>Est2018DistRev!R24</f>
        <v>0</v>
      </c>
      <c r="AO24" s="247">
        <f>Est2018DistRev!S24</f>
        <v>0</v>
      </c>
      <c r="AP24" s="247">
        <f>Est2018DistRev!T24</f>
        <v>0</v>
      </c>
      <c r="AQ24" s="247">
        <f>Est2018DistRev!U24</f>
        <v>0</v>
      </c>
      <c r="AR24" s="247">
        <f>Est2018DistRev!V24</f>
        <v>0</v>
      </c>
      <c r="AS24" s="247">
        <f>Est2018DistRev!W24</f>
        <v>0</v>
      </c>
      <c r="AT24" s="248">
        <f>Est2018DistRev!X24</f>
        <v>0</v>
      </c>
      <c r="AV24" s="790">
        <v>1060</v>
      </c>
      <c r="AW24" s="789">
        <v>0</v>
      </c>
      <c r="AX24" s="789">
        <v>17530830.09980379</v>
      </c>
      <c r="AY24" s="789">
        <v>0</v>
      </c>
      <c r="AZ24" s="789">
        <v>0</v>
      </c>
      <c r="BA24" s="789">
        <v>10374374.192942632</v>
      </c>
      <c r="BB24" s="789">
        <v>0</v>
      </c>
      <c r="BC24" s="789">
        <v>0</v>
      </c>
      <c r="BD24" s="789">
        <v>0</v>
      </c>
      <c r="BE24" s="789">
        <v>0</v>
      </c>
      <c r="BF24" s="789">
        <v>0</v>
      </c>
      <c r="BG24" s="789">
        <v>0</v>
      </c>
      <c r="BH24" s="789">
        <v>0</v>
      </c>
      <c r="BI24" s="789">
        <v>0</v>
      </c>
      <c r="BJ24" s="789">
        <v>0</v>
      </c>
      <c r="BK24" s="789">
        <v>0</v>
      </c>
      <c r="BL24" s="789">
        <v>0</v>
      </c>
      <c r="BM24" s="789">
        <v>0</v>
      </c>
      <c r="BN24" s="789">
        <v>0</v>
      </c>
      <c r="BO24" s="789">
        <v>0</v>
      </c>
      <c r="BP24" s="655">
        <v>0</v>
      </c>
      <c r="BR24" s="301">
        <f t="shared" si="57"/>
        <v>148400</v>
      </c>
      <c r="BS24" s="302">
        <f t="shared" si="58"/>
        <v>0</v>
      </c>
      <c r="BT24" s="302">
        <f t="shared" si="59"/>
        <v>1225405.023976285</v>
      </c>
      <c r="BU24" s="302">
        <f t="shared" si="60"/>
        <v>0</v>
      </c>
      <c r="BV24" s="302">
        <f t="shared" si="61"/>
        <v>0</v>
      </c>
      <c r="BW24" s="302">
        <f t="shared" si="62"/>
        <v>218899.29547108951</v>
      </c>
      <c r="BX24" s="302">
        <f t="shared" si="63"/>
        <v>0</v>
      </c>
      <c r="BY24" s="302">
        <f t="shared" si="64"/>
        <v>0</v>
      </c>
      <c r="BZ24" s="302">
        <f t="shared" si="65"/>
        <v>0</v>
      </c>
      <c r="CA24" s="302">
        <f t="shared" si="66"/>
        <v>0</v>
      </c>
      <c r="CB24" s="302">
        <f t="shared" si="67"/>
        <v>0</v>
      </c>
      <c r="CC24" s="302">
        <f t="shared" si="68"/>
        <v>0</v>
      </c>
      <c r="CD24" s="302">
        <f t="shared" si="69"/>
        <v>0</v>
      </c>
      <c r="CE24" s="302">
        <f t="shared" si="70"/>
        <v>0</v>
      </c>
      <c r="CF24" s="302">
        <f t="shared" si="71"/>
        <v>0</v>
      </c>
      <c r="CG24" s="302">
        <f t="shared" si="72"/>
        <v>0</v>
      </c>
      <c r="CH24" s="302">
        <f t="shared" si="73"/>
        <v>0</v>
      </c>
      <c r="CI24" s="302">
        <f t="shared" si="74"/>
        <v>0</v>
      </c>
      <c r="CJ24" s="302">
        <f t="shared" si="75"/>
        <v>0</v>
      </c>
      <c r="CK24" s="302">
        <f t="shared" si="76"/>
        <v>0</v>
      </c>
      <c r="CL24" s="302">
        <f t="shared" si="77"/>
        <v>0</v>
      </c>
      <c r="CM24" s="254">
        <f t="shared" si="49"/>
        <v>1592704.3194473744</v>
      </c>
      <c r="CO24" s="301">
        <f t="shared" si="78"/>
        <v>132500</v>
      </c>
      <c r="CP24" s="302">
        <f t="shared" si="79"/>
        <v>0</v>
      </c>
      <c r="CQ24" s="302">
        <f t="shared" si="80"/>
        <v>1157034.7865870502</v>
      </c>
      <c r="CR24" s="302">
        <f t="shared" si="81"/>
        <v>0</v>
      </c>
      <c r="CS24" s="302">
        <f t="shared" si="82"/>
        <v>0</v>
      </c>
      <c r="CT24" s="302">
        <f t="shared" si="83"/>
        <v>186738.73547296741</v>
      </c>
      <c r="CU24" s="302">
        <f t="shared" si="84"/>
        <v>0</v>
      </c>
      <c r="CV24" s="302">
        <f t="shared" si="85"/>
        <v>0</v>
      </c>
      <c r="CW24" s="302">
        <f t="shared" si="86"/>
        <v>0</v>
      </c>
      <c r="CX24" s="302">
        <f t="shared" si="87"/>
        <v>0</v>
      </c>
      <c r="CY24" s="302">
        <f t="shared" si="88"/>
        <v>0</v>
      </c>
      <c r="CZ24" s="302">
        <f t="shared" si="89"/>
        <v>0</v>
      </c>
      <c r="DA24" s="302">
        <f t="shared" si="90"/>
        <v>0</v>
      </c>
      <c r="DB24" s="302">
        <f t="shared" si="91"/>
        <v>0</v>
      </c>
      <c r="DC24" s="302">
        <f t="shared" si="92"/>
        <v>0</v>
      </c>
      <c r="DD24" s="302">
        <f t="shared" si="93"/>
        <v>0</v>
      </c>
      <c r="DE24" s="302">
        <f t="shared" si="94"/>
        <v>0</v>
      </c>
      <c r="DF24" s="302">
        <f t="shared" si="95"/>
        <v>0</v>
      </c>
      <c r="DG24" s="302">
        <f t="shared" si="96"/>
        <v>0</v>
      </c>
      <c r="DH24" s="302">
        <f t="shared" si="97"/>
        <v>0</v>
      </c>
      <c r="DI24" s="302">
        <f t="shared" si="98"/>
        <v>0</v>
      </c>
      <c r="DJ24" s="254">
        <f t="shared" si="55"/>
        <v>1476273.5220600176</v>
      </c>
    </row>
    <row r="25" spans="1:114" x14ac:dyDescent="0.2">
      <c r="A25" s="196" t="str">
        <f>Est2018DistRev!A25</f>
        <v>C3G</v>
      </c>
      <c r="B25" s="234" t="str">
        <f t="shared" si="56"/>
        <v>Non-Residential Interval</v>
      </c>
      <c r="C25" s="234" t="str">
        <f>Est2018DistRev!B25</f>
        <v>Non-Residential Interval</v>
      </c>
      <c r="D25" s="786">
        <v>150</v>
      </c>
      <c r="E25" s="787">
        <v>0</v>
      </c>
      <c r="F25" s="787">
        <v>8.9600000000000009</v>
      </c>
      <c r="G25" s="787">
        <v>0</v>
      </c>
      <c r="H25" s="787">
        <v>0</v>
      </c>
      <c r="I25" s="787">
        <v>2.37</v>
      </c>
      <c r="J25" s="787">
        <v>0</v>
      </c>
      <c r="K25" s="787">
        <v>0</v>
      </c>
      <c r="L25" s="787">
        <v>0</v>
      </c>
      <c r="M25" s="787">
        <v>0</v>
      </c>
      <c r="N25" s="787">
        <v>0</v>
      </c>
      <c r="O25" s="787">
        <v>0</v>
      </c>
      <c r="P25" s="787">
        <v>0</v>
      </c>
      <c r="Q25" s="787">
        <v>0</v>
      </c>
      <c r="R25" s="787">
        <v>0</v>
      </c>
      <c r="S25" s="787">
        <v>0</v>
      </c>
      <c r="T25" s="787">
        <v>0</v>
      </c>
      <c r="U25" s="787">
        <v>0</v>
      </c>
      <c r="V25" s="787">
        <v>0</v>
      </c>
      <c r="W25" s="787">
        <v>0</v>
      </c>
      <c r="X25" s="682">
        <v>0</v>
      </c>
      <c r="Z25" s="246">
        <f>Est2018DistRev!D25</f>
        <v>145</v>
      </c>
      <c r="AA25" s="247">
        <f>Est2018DistRev!E25</f>
        <v>0</v>
      </c>
      <c r="AB25" s="247">
        <f>Est2018DistRev!F25</f>
        <v>9.1</v>
      </c>
      <c r="AC25" s="247">
        <f>Est2018DistRev!G25</f>
        <v>0</v>
      </c>
      <c r="AD25" s="247">
        <f>Est2018DistRev!H25</f>
        <v>0</v>
      </c>
      <c r="AE25" s="247">
        <f>Est2018DistRev!I25</f>
        <v>2.41</v>
      </c>
      <c r="AF25" s="247">
        <f>Est2018DistRev!J25</f>
        <v>0</v>
      </c>
      <c r="AG25" s="247">
        <f>Est2018DistRev!K25</f>
        <v>0</v>
      </c>
      <c r="AH25" s="247">
        <f>Est2018DistRev!L25</f>
        <v>0</v>
      </c>
      <c r="AI25" s="247">
        <f>Est2018DistRev!M25</f>
        <v>0</v>
      </c>
      <c r="AJ25" s="247">
        <f>Est2018DistRev!N25</f>
        <v>0</v>
      </c>
      <c r="AK25" s="247">
        <f>Est2018DistRev!O25</f>
        <v>0</v>
      </c>
      <c r="AL25" s="247">
        <f>Est2018DistRev!P25</f>
        <v>0</v>
      </c>
      <c r="AM25" s="247">
        <f>Est2018DistRev!Q25</f>
        <v>0</v>
      </c>
      <c r="AN25" s="247">
        <f>Est2018DistRev!R25</f>
        <v>0</v>
      </c>
      <c r="AO25" s="247">
        <f>Est2018DistRev!S25</f>
        <v>0</v>
      </c>
      <c r="AP25" s="247">
        <f>Est2018DistRev!T25</f>
        <v>0</v>
      </c>
      <c r="AQ25" s="247">
        <f>Est2018DistRev!U25</f>
        <v>0</v>
      </c>
      <c r="AR25" s="247">
        <f>Est2018DistRev!V25</f>
        <v>0</v>
      </c>
      <c r="AS25" s="247">
        <f>Est2018DistRev!W25</f>
        <v>0</v>
      </c>
      <c r="AT25" s="248">
        <f>Est2018DistRev!X25</f>
        <v>0</v>
      </c>
      <c r="AV25" s="790">
        <v>3960.0833333333335</v>
      </c>
      <c r="AW25" s="789">
        <v>0</v>
      </c>
      <c r="AX25" s="789">
        <v>45937500.616836645</v>
      </c>
      <c r="AY25" s="789">
        <v>0</v>
      </c>
      <c r="AZ25" s="789">
        <v>0</v>
      </c>
      <c r="BA25" s="789">
        <v>25953497.24992197</v>
      </c>
      <c r="BB25" s="789">
        <v>0</v>
      </c>
      <c r="BC25" s="789">
        <v>0</v>
      </c>
      <c r="BD25" s="789">
        <v>0</v>
      </c>
      <c r="BE25" s="789">
        <v>0</v>
      </c>
      <c r="BF25" s="789">
        <v>0</v>
      </c>
      <c r="BG25" s="789">
        <v>0</v>
      </c>
      <c r="BH25" s="789">
        <v>0</v>
      </c>
      <c r="BI25" s="789">
        <v>0</v>
      </c>
      <c r="BJ25" s="789">
        <v>0</v>
      </c>
      <c r="BK25" s="789">
        <v>0</v>
      </c>
      <c r="BL25" s="789">
        <v>0</v>
      </c>
      <c r="BM25" s="789">
        <v>0</v>
      </c>
      <c r="BN25" s="789">
        <v>0</v>
      </c>
      <c r="BO25" s="789">
        <v>0</v>
      </c>
      <c r="BP25" s="655">
        <v>0</v>
      </c>
      <c r="BR25" s="301">
        <f t="shared" si="57"/>
        <v>594012.5</v>
      </c>
      <c r="BS25" s="302">
        <f t="shared" si="58"/>
        <v>0</v>
      </c>
      <c r="BT25" s="302">
        <f t="shared" si="59"/>
        <v>4116000.0552685638</v>
      </c>
      <c r="BU25" s="302">
        <f t="shared" si="60"/>
        <v>0</v>
      </c>
      <c r="BV25" s="302">
        <f t="shared" si="61"/>
        <v>0</v>
      </c>
      <c r="BW25" s="302">
        <f t="shared" si="62"/>
        <v>615097.8848231507</v>
      </c>
      <c r="BX25" s="302">
        <f t="shared" si="63"/>
        <v>0</v>
      </c>
      <c r="BY25" s="302">
        <f t="shared" si="64"/>
        <v>0</v>
      </c>
      <c r="BZ25" s="302">
        <f t="shared" si="65"/>
        <v>0</v>
      </c>
      <c r="CA25" s="302">
        <f t="shared" si="66"/>
        <v>0</v>
      </c>
      <c r="CB25" s="302">
        <f t="shared" si="67"/>
        <v>0</v>
      </c>
      <c r="CC25" s="302">
        <f t="shared" si="68"/>
        <v>0</v>
      </c>
      <c r="CD25" s="302">
        <f t="shared" si="69"/>
        <v>0</v>
      </c>
      <c r="CE25" s="302">
        <f t="shared" si="70"/>
        <v>0</v>
      </c>
      <c r="CF25" s="302">
        <f t="shared" si="71"/>
        <v>0</v>
      </c>
      <c r="CG25" s="302">
        <f t="shared" si="72"/>
        <v>0</v>
      </c>
      <c r="CH25" s="302">
        <f t="shared" si="73"/>
        <v>0</v>
      </c>
      <c r="CI25" s="302">
        <f t="shared" si="74"/>
        <v>0</v>
      </c>
      <c r="CJ25" s="302">
        <f t="shared" si="75"/>
        <v>0</v>
      </c>
      <c r="CK25" s="302">
        <f t="shared" si="76"/>
        <v>0</v>
      </c>
      <c r="CL25" s="302">
        <f t="shared" si="77"/>
        <v>0</v>
      </c>
      <c r="CM25" s="254">
        <f t="shared" si="49"/>
        <v>5325110.4400917143</v>
      </c>
      <c r="CO25" s="301">
        <f t="shared" si="78"/>
        <v>574212.08333333337</v>
      </c>
      <c r="CP25" s="302">
        <f t="shared" si="79"/>
        <v>0</v>
      </c>
      <c r="CQ25" s="302">
        <f t="shared" si="80"/>
        <v>4180312.5561321345</v>
      </c>
      <c r="CR25" s="302">
        <f t="shared" si="81"/>
        <v>0</v>
      </c>
      <c r="CS25" s="302">
        <f t="shared" si="82"/>
        <v>0</v>
      </c>
      <c r="CT25" s="302">
        <f t="shared" si="83"/>
        <v>625479.28372311953</v>
      </c>
      <c r="CU25" s="302">
        <f t="shared" si="84"/>
        <v>0</v>
      </c>
      <c r="CV25" s="302">
        <f t="shared" si="85"/>
        <v>0</v>
      </c>
      <c r="CW25" s="302">
        <f t="shared" si="86"/>
        <v>0</v>
      </c>
      <c r="CX25" s="302">
        <f t="shared" si="87"/>
        <v>0</v>
      </c>
      <c r="CY25" s="302">
        <f t="shared" si="88"/>
        <v>0</v>
      </c>
      <c r="CZ25" s="302">
        <f t="shared" si="89"/>
        <v>0</v>
      </c>
      <c r="DA25" s="302">
        <f t="shared" si="90"/>
        <v>0</v>
      </c>
      <c r="DB25" s="302">
        <f t="shared" si="91"/>
        <v>0</v>
      </c>
      <c r="DC25" s="302">
        <f t="shared" si="92"/>
        <v>0</v>
      </c>
      <c r="DD25" s="302">
        <f t="shared" si="93"/>
        <v>0</v>
      </c>
      <c r="DE25" s="302">
        <f t="shared" si="94"/>
        <v>0</v>
      </c>
      <c r="DF25" s="302">
        <f t="shared" si="95"/>
        <v>0</v>
      </c>
      <c r="DG25" s="302">
        <f t="shared" si="96"/>
        <v>0</v>
      </c>
      <c r="DH25" s="302">
        <f t="shared" si="97"/>
        <v>0</v>
      </c>
      <c r="DI25" s="302">
        <f t="shared" si="98"/>
        <v>0</v>
      </c>
      <c r="DJ25" s="254">
        <f t="shared" si="55"/>
        <v>5380003.9231885877</v>
      </c>
    </row>
    <row r="26" spans="1:114" x14ac:dyDescent="0.2">
      <c r="A26" s="196" t="str">
        <f>Est2018DistRev!A26</f>
        <v>C3GB</v>
      </c>
      <c r="B26" s="234" t="str">
        <f t="shared" si="56"/>
        <v>Non-Residential Interval - Bulk</v>
      </c>
      <c r="C26" s="234" t="str">
        <f>Est2018DistRev!B26</f>
        <v>Non-Residential Interval - Bulk</v>
      </c>
      <c r="D26" s="786">
        <v>140</v>
      </c>
      <c r="E26" s="787">
        <v>0</v>
      </c>
      <c r="F26" s="787">
        <v>6.99</v>
      </c>
      <c r="G26" s="787">
        <v>0</v>
      </c>
      <c r="H26" s="787">
        <v>0</v>
      </c>
      <c r="I26" s="787">
        <v>2.11</v>
      </c>
      <c r="J26" s="787">
        <v>0</v>
      </c>
      <c r="K26" s="787">
        <v>0</v>
      </c>
      <c r="L26" s="787">
        <v>0</v>
      </c>
      <c r="M26" s="787">
        <v>0</v>
      </c>
      <c r="N26" s="787">
        <v>0</v>
      </c>
      <c r="O26" s="787">
        <v>0</v>
      </c>
      <c r="P26" s="787">
        <v>0</v>
      </c>
      <c r="Q26" s="787">
        <v>0</v>
      </c>
      <c r="R26" s="787">
        <v>0</v>
      </c>
      <c r="S26" s="787">
        <v>0</v>
      </c>
      <c r="T26" s="787">
        <v>0</v>
      </c>
      <c r="U26" s="787">
        <v>0</v>
      </c>
      <c r="V26" s="787">
        <v>0</v>
      </c>
      <c r="W26" s="787">
        <v>0</v>
      </c>
      <c r="X26" s="682">
        <v>0</v>
      </c>
      <c r="Z26" s="246">
        <f>Est2018DistRev!D26</f>
        <v>125</v>
      </c>
      <c r="AA26" s="247">
        <f>Est2018DistRev!E26</f>
        <v>0</v>
      </c>
      <c r="AB26" s="247">
        <f>Est2018DistRev!F26</f>
        <v>6.6</v>
      </c>
      <c r="AC26" s="247">
        <f>Est2018DistRev!G26</f>
        <v>0</v>
      </c>
      <c r="AD26" s="247">
        <f>Est2018DistRev!H26</f>
        <v>0</v>
      </c>
      <c r="AE26" s="247">
        <f>Est2018DistRev!I26</f>
        <v>1.8</v>
      </c>
      <c r="AF26" s="247">
        <f>Est2018DistRev!J26</f>
        <v>0</v>
      </c>
      <c r="AG26" s="247">
        <f>Est2018DistRev!K26</f>
        <v>0</v>
      </c>
      <c r="AH26" s="247">
        <f>Est2018DistRev!L26</f>
        <v>0</v>
      </c>
      <c r="AI26" s="247">
        <f>Est2018DistRev!M26</f>
        <v>0</v>
      </c>
      <c r="AJ26" s="247">
        <f>Est2018DistRev!N26</f>
        <v>0</v>
      </c>
      <c r="AK26" s="247">
        <f>Est2018DistRev!O26</f>
        <v>0</v>
      </c>
      <c r="AL26" s="247">
        <f>Est2018DistRev!P26</f>
        <v>0</v>
      </c>
      <c r="AM26" s="247">
        <f>Est2018DistRev!Q26</f>
        <v>0</v>
      </c>
      <c r="AN26" s="247">
        <f>Est2018DistRev!R26</f>
        <v>0</v>
      </c>
      <c r="AO26" s="247">
        <f>Est2018DistRev!S26</f>
        <v>0</v>
      </c>
      <c r="AP26" s="247">
        <f>Est2018DistRev!T26</f>
        <v>0</v>
      </c>
      <c r="AQ26" s="247">
        <f>Est2018DistRev!U26</f>
        <v>0</v>
      </c>
      <c r="AR26" s="247">
        <f>Est2018DistRev!V26</f>
        <v>0</v>
      </c>
      <c r="AS26" s="247">
        <f>Est2018DistRev!W26</f>
        <v>0</v>
      </c>
      <c r="AT26" s="248">
        <f>Est2018DistRev!X26</f>
        <v>0</v>
      </c>
      <c r="AV26" s="790">
        <v>1945.0833333333333</v>
      </c>
      <c r="AW26" s="789">
        <v>0</v>
      </c>
      <c r="AX26" s="789">
        <v>29899979.142567024</v>
      </c>
      <c r="AY26" s="789">
        <v>0</v>
      </c>
      <c r="AZ26" s="789">
        <v>0</v>
      </c>
      <c r="BA26" s="789">
        <v>15763990.484742738</v>
      </c>
      <c r="BB26" s="789">
        <v>0</v>
      </c>
      <c r="BC26" s="789">
        <v>0</v>
      </c>
      <c r="BD26" s="789">
        <v>0</v>
      </c>
      <c r="BE26" s="789">
        <v>0</v>
      </c>
      <c r="BF26" s="789">
        <v>0</v>
      </c>
      <c r="BG26" s="789">
        <v>0</v>
      </c>
      <c r="BH26" s="789">
        <v>0</v>
      </c>
      <c r="BI26" s="789">
        <v>0</v>
      </c>
      <c r="BJ26" s="789">
        <v>0</v>
      </c>
      <c r="BK26" s="789">
        <v>0</v>
      </c>
      <c r="BL26" s="789">
        <v>0</v>
      </c>
      <c r="BM26" s="789">
        <v>0</v>
      </c>
      <c r="BN26" s="789">
        <v>0</v>
      </c>
      <c r="BO26" s="789">
        <v>0</v>
      </c>
      <c r="BP26" s="655">
        <v>0</v>
      </c>
      <c r="BR26" s="301">
        <f t="shared" si="57"/>
        <v>272311.66666666663</v>
      </c>
      <c r="BS26" s="302">
        <f t="shared" si="58"/>
        <v>0</v>
      </c>
      <c r="BT26" s="302">
        <f t="shared" si="59"/>
        <v>2090008.5420654351</v>
      </c>
      <c r="BU26" s="302">
        <f t="shared" si="60"/>
        <v>0</v>
      </c>
      <c r="BV26" s="302">
        <f t="shared" si="61"/>
        <v>0</v>
      </c>
      <c r="BW26" s="302">
        <f t="shared" si="62"/>
        <v>332620.19922807172</v>
      </c>
      <c r="BX26" s="302">
        <f t="shared" si="63"/>
        <v>0</v>
      </c>
      <c r="BY26" s="302">
        <f t="shared" si="64"/>
        <v>0</v>
      </c>
      <c r="BZ26" s="302">
        <f t="shared" si="65"/>
        <v>0</v>
      </c>
      <c r="CA26" s="302">
        <f t="shared" si="66"/>
        <v>0</v>
      </c>
      <c r="CB26" s="302">
        <f t="shared" si="67"/>
        <v>0</v>
      </c>
      <c r="CC26" s="302">
        <f t="shared" si="68"/>
        <v>0</v>
      </c>
      <c r="CD26" s="302">
        <f t="shared" si="69"/>
        <v>0</v>
      </c>
      <c r="CE26" s="302">
        <f t="shared" si="70"/>
        <v>0</v>
      </c>
      <c r="CF26" s="302">
        <f t="shared" si="71"/>
        <v>0</v>
      </c>
      <c r="CG26" s="302">
        <f t="shared" si="72"/>
        <v>0</v>
      </c>
      <c r="CH26" s="302">
        <f t="shared" si="73"/>
        <v>0</v>
      </c>
      <c r="CI26" s="302">
        <f t="shared" si="74"/>
        <v>0</v>
      </c>
      <c r="CJ26" s="302">
        <f t="shared" si="75"/>
        <v>0</v>
      </c>
      <c r="CK26" s="302">
        <f t="shared" si="76"/>
        <v>0</v>
      </c>
      <c r="CL26" s="302">
        <f t="shared" si="77"/>
        <v>0</v>
      </c>
      <c r="CM26" s="254">
        <f t="shared" si="49"/>
        <v>2694940.4079601732</v>
      </c>
      <c r="CO26" s="301">
        <f t="shared" si="78"/>
        <v>243135.41666666666</v>
      </c>
      <c r="CP26" s="302">
        <f t="shared" si="79"/>
        <v>0</v>
      </c>
      <c r="CQ26" s="302">
        <f t="shared" si="80"/>
        <v>1973398.6234094237</v>
      </c>
      <c r="CR26" s="302">
        <f t="shared" si="81"/>
        <v>0</v>
      </c>
      <c r="CS26" s="302">
        <f t="shared" si="82"/>
        <v>0</v>
      </c>
      <c r="CT26" s="302">
        <f t="shared" si="83"/>
        <v>283751.8287253693</v>
      </c>
      <c r="CU26" s="302">
        <f t="shared" si="84"/>
        <v>0</v>
      </c>
      <c r="CV26" s="302">
        <f t="shared" si="85"/>
        <v>0</v>
      </c>
      <c r="CW26" s="302">
        <f t="shared" si="86"/>
        <v>0</v>
      </c>
      <c r="CX26" s="302">
        <f t="shared" si="87"/>
        <v>0</v>
      </c>
      <c r="CY26" s="302">
        <f t="shared" si="88"/>
        <v>0</v>
      </c>
      <c r="CZ26" s="302">
        <f t="shared" si="89"/>
        <v>0</v>
      </c>
      <c r="DA26" s="302">
        <f t="shared" si="90"/>
        <v>0</v>
      </c>
      <c r="DB26" s="302">
        <f t="shared" si="91"/>
        <v>0</v>
      </c>
      <c r="DC26" s="302">
        <f t="shared" si="92"/>
        <v>0</v>
      </c>
      <c r="DD26" s="302">
        <f t="shared" si="93"/>
        <v>0</v>
      </c>
      <c r="DE26" s="302">
        <f t="shared" si="94"/>
        <v>0</v>
      </c>
      <c r="DF26" s="302">
        <f t="shared" si="95"/>
        <v>0</v>
      </c>
      <c r="DG26" s="302">
        <f t="shared" si="96"/>
        <v>0</v>
      </c>
      <c r="DH26" s="302">
        <f t="shared" si="97"/>
        <v>0</v>
      </c>
      <c r="DI26" s="302">
        <f t="shared" si="98"/>
        <v>0</v>
      </c>
      <c r="DJ26" s="254">
        <f t="shared" si="55"/>
        <v>2500285.8688014597</v>
      </c>
    </row>
    <row r="27" spans="1:114" x14ac:dyDescent="0.2">
      <c r="A27" s="196" t="str">
        <f>Est2018DistRev!A27</f>
        <v>C14G</v>
      </c>
      <c r="B27" s="234" t="str">
        <f t="shared" si="56"/>
        <v>Non-Residential Flexible Pricing</v>
      </c>
      <c r="C27" s="234" t="str">
        <f>Est2018DistRev!B27</f>
        <v>Non-Residential Flexible Pricing</v>
      </c>
      <c r="D27" s="786">
        <v>150</v>
      </c>
      <c r="E27" s="787">
        <v>0</v>
      </c>
      <c r="F27" s="787">
        <v>0</v>
      </c>
      <c r="G27" s="787">
        <v>0</v>
      </c>
      <c r="H27" s="787">
        <v>0</v>
      </c>
      <c r="I27" s="787">
        <v>0</v>
      </c>
      <c r="J27" s="787">
        <v>0</v>
      </c>
      <c r="K27" s="787">
        <v>0</v>
      </c>
      <c r="L27" s="787">
        <v>0</v>
      </c>
      <c r="M27" s="787">
        <v>0</v>
      </c>
      <c r="N27" s="787">
        <v>0</v>
      </c>
      <c r="O27" s="787">
        <v>0</v>
      </c>
      <c r="P27" s="787">
        <v>0</v>
      </c>
      <c r="Q27" s="787">
        <v>10.92</v>
      </c>
      <c r="R27" s="787">
        <v>7.63</v>
      </c>
      <c r="S27" s="787">
        <v>3</v>
      </c>
      <c r="T27" s="787">
        <v>0</v>
      </c>
      <c r="U27" s="787">
        <v>10.92</v>
      </c>
      <c r="V27" s="787">
        <v>7.63</v>
      </c>
      <c r="W27" s="787">
        <v>3</v>
      </c>
      <c r="X27" s="682">
        <v>0</v>
      </c>
      <c r="Z27" s="246">
        <f>Est2018DistRev!D27</f>
        <v>145</v>
      </c>
      <c r="AA27" s="247">
        <f>Est2018DistRev!E27</f>
        <v>0</v>
      </c>
      <c r="AB27" s="247">
        <f>Est2018DistRev!F27</f>
        <v>0</v>
      </c>
      <c r="AC27" s="247">
        <f>Est2018DistRev!G27</f>
        <v>0</v>
      </c>
      <c r="AD27" s="247">
        <f>Est2018DistRev!H27</f>
        <v>0</v>
      </c>
      <c r="AE27" s="247">
        <f>Est2018DistRev!I27</f>
        <v>0</v>
      </c>
      <c r="AF27" s="247">
        <f>Est2018DistRev!J27</f>
        <v>0</v>
      </c>
      <c r="AG27" s="247">
        <f>Est2018DistRev!K27</f>
        <v>0</v>
      </c>
      <c r="AH27" s="247">
        <f>Est2018DistRev!L27</f>
        <v>0</v>
      </c>
      <c r="AI27" s="247">
        <f>Est2018DistRev!M27</f>
        <v>0</v>
      </c>
      <c r="AJ27" s="247">
        <f>Est2018DistRev!N27</f>
        <v>0</v>
      </c>
      <c r="AK27" s="247">
        <f>Est2018DistRev!O27</f>
        <v>0</v>
      </c>
      <c r="AL27" s="247">
        <f>Est2018DistRev!P27</f>
        <v>0</v>
      </c>
      <c r="AM27" s="247">
        <f>Est2018DistRev!Q27</f>
        <v>11.09</v>
      </c>
      <c r="AN27" s="247">
        <f>Est2018DistRev!R27</f>
        <v>7.75</v>
      </c>
      <c r="AO27" s="247">
        <f>Est2018DistRev!S27</f>
        <v>3.06</v>
      </c>
      <c r="AP27" s="247">
        <f>Est2018DistRev!T27</f>
        <v>0</v>
      </c>
      <c r="AQ27" s="247">
        <f>Est2018DistRev!U27</f>
        <v>11.09</v>
      </c>
      <c r="AR27" s="247">
        <f>Est2018DistRev!V27</f>
        <v>7.75</v>
      </c>
      <c r="AS27" s="247">
        <f>Est2018DistRev!W27</f>
        <v>3.06</v>
      </c>
      <c r="AT27" s="248">
        <f>Est2018DistRev!X27</f>
        <v>0</v>
      </c>
      <c r="AV27" s="790">
        <v>22</v>
      </c>
      <c r="AW27" s="789">
        <v>0</v>
      </c>
      <c r="AX27" s="789">
        <v>0</v>
      </c>
      <c r="AY27" s="789">
        <v>0</v>
      </c>
      <c r="AZ27" s="789">
        <v>0</v>
      </c>
      <c r="BA27" s="789">
        <v>0</v>
      </c>
      <c r="BB27" s="789">
        <v>0</v>
      </c>
      <c r="BC27" s="789">
        <v>0</v>
      </c>
      <c r="BD27" s="789">
        <v>0</v>
      </c>
      <c r="BE27" s="789">
        <v>0</v>
      </c>
      <c r="BF27" s="789">
        <v>0</v>
      </c>
      <c r="BG27" s="789">
        <v>0</v>
      </c>
      <c r="BH27" s="789">
        <v>0</v>
      </c>
      <c r="BI27" s="789">
        <v>90532.516087055192</v>
      </c>
      <c r="BJ27" s="789">
        <v>28600.363735072933</v>
      </c>
      <c r="BK27" s="789">
        <v>77063.914568834094</v>
      </c>
      <c r="BL27" s="789">
        <v>0</v>
      </c>
      <c r="BM27" s="789">
        <v>309844.84003868263</v>
      </c>
      <c r="BN27" s="789">
        <v>97883.893097818145</v>
      </c>
      <c r="BO27" s="789">
        <v>263748.95246890507</v>
      </c>
      <c r="BP27" s="655">
        <v>0</v>
      </c>
      <c r="BR27" s="301">
        <f t="shared" si="57"/>
        <v>3300</v>
      </c>
      <c r="BS27" s="302">
        <f t="shared" si="58"/>
        <v>0</v>
      </c>
      <c r="BT27" s="302">
        <f t="shared" si="59"/>
        <v>0</v>
      </c>
      <c r="BU27" s="302">
        <f t="shared" si="60"/>
        <v>0</v>
      </c>
      <c r="BV27" s="302">
        <f t="shared" si="61"/>
        <v>0</v>
      </c>
      <c r="BW27" s="302">
        <f t="shared" si="62"/>
        <v>0</v>
      </c>
      <c r="BX27" s="302">
        <f t="shared" si="63"/>
        <v>0</v>
      </c>
      <c r="BY27" s="302">
        <f t="shared" si="64"/>
        <v>0</v>
      </c>
      <c r="BZ27" s="302">
        <f t="shared" si="65"/>
        <v>0</v>
      </c>
      <c r="CA27" s="302">
        <f t="shared" si="66"/>
        <v>0</v>
      </c>
      <c r="CB27" s="302">
        <f t="shared" si="67"/>
        <v>0</v>
      </c>
      <c r="CC27" s="302">
        <f t="shared" si="68"/>
        <v>0</v>
      </c>
      <c r="CD27" s="302">
        <f t="shared" si="69"/>
        <v>0</v>
      </c>
      <c r="CE27" s="302">
        <f t="shared" si="70"/>
        <v>9886.1507567064273</v>
      </c>
      <c r="CF27" s="302">
        <f t="shared" si="71"/>
        <v>2182.2077529860644</v>
      </c>
      <c r="CG27" s="302">
        <f t="shared" si="72"/>
        <v>2311.9174370650226</v>
      </c>
      <c r="CH27" s="302">
        <f t="shared" si="73"/>
        <v>0</v>
      </c>
      <c r="CI27" s="302">
        <f t="shared" si="74"/>
        <v>33835.056532224145</v>
      </c>
      <c r="CJ27" s="302">
        <f t="shared" si="75"/>
        <v>7468.5410433635234</v>
      </c>
      <c r="CK27" s="302">
        <f t="shared" si="76"/>
        <v>7912.4685740671521</v>
      </c>
      <c r="CL27" s="302">
        <f t="shared" si="77"/>
        <v>0</v>
      </c>
      <c r="CM27" s="254">
        <f t="shared" si="49"/>
        <v>66896.342096412336</v>
      </c>
      <c r="CO27" s="301">
        <f t="shared" si="78"/>
        <v>3190</v>
      </c>
      <c r="CP27" s="302">
        <f t="shared" si="79"/>
        <v>0</v>
      </c>
      <c r="CQ27" s="302">
        <f t="shared" si="80"/>
        <v>0</v>
      </c>
      <c r="CR27" s="302">
        <f t="shared" si="81"/>
        <v>0</v>
      </c>
      <c r="CS27" s="302">
        <f t="shared" si="82"/>
        <v>0</v>
      </c>
      <c r="CT27" s="302">
        <f t="shared" si="83"/>
        <v>0</v>
      </c>
      <c r="CU27" s="302">
        <f t="shared" si="84"/>
        <v>0</v>
      </c>
      <c r="CV27" s="302">
        <f t="shared" si="85"/>
        <v>0</v>
      </c>
      <c r="CW27" s="302">
        <f t="shared" si="86"/>
        <v>0</v>
      </c>
      <c r="CX27" s="302">
        <f t="shared" si="87"/>
        <v>0</v>
      </c>
      <c r="CY27" s="302">
        <f t="shared" si="88"/>
        <v>0</v>
      </c>
      <c r="CZ27" s="302">
        <f t="shared" si="89"/>
        <v>0</v>
      </c>
      <c r="DA27" s="302">
        <f t="shared" si="90"/>
        <v>0</v>
      </c>
      <c r="DB27" s="302">
        <f t="shared" si="91"/>
        <v>10040.05603405442</v>
      </c>
      <c r="DC27" s="302">
        <f t="shared" si="92"/>
        <v>2216.5281894681525</v>
      </c>
      <c r="DD27" s="302">
        <f t="shared" si="93"/>
        <v>2358.1557858063234</v>
      </c>
      <c r="DE27" s="302">
        <f t="shared" si="94"/>
        <v>0</v>
      </c>
      <c r="DF27" s="302">
        <f t="shared" si="95"/>
        <v>34361.7927602899</v>
      </c>
      <c r="DG27" s="302">
        <f t="shared" si="96"/>
        <v>7586.0017150809063</v>
      </c>
      <c r="DH27" s="302">
        <f t="shared" si="97"/>
        <v>8070.7179455484957</v>
      </c>
      <c r="DI27" s="302">
        <f t="shared" si="98"/>
        <v>0</v>
      </c>
      <c r="DJ27" s="254">
        <f t="shared" si="55"/>
        <v>67823.252430248205</v>
      </c>
    </row>
    <row r="28" spans="1:114" x14ac:dyDescent="0.2">
      <c r="A28" s="196" t="str">
        <f>Est2018DistRev!A28</f>
        <v>C14GB</v>
      </c>
      <c r="B28" s="234" t="str">
        <f t="shared" si="56"/>
        <v>Non-Residential - Flexible Pricing Bulk</v>
      </c>
      <c r="C28" s="234" t="str">
        <f>Est2018DistRev!B28</f>
        <v>Non-Residential - Flexible Pricing Bulk</v>
      </c>
      <c r="D28" s="786">
        <v>140</v>
      </c>
      <c r="E28" s="787">
        <v>0</v>
      </c>
      <c r="F28" s="787">
        <v>0</v>
      </c>
      <c r="G28" s="787">
        <v>0</v>
      </c>
      <c r="H28" s="787">
        <v>0</v>
      </c>
      <c r="I28" s="787">
        <v>0</v>
      </c>
      <c r="J28" s="787">
        <v>0</v>
      </c>
      <c r="K28" s="787">
        <v>0</v>
      </c>
      <c r="L28" s="787">
        <v>0</v>
      </c>
      <c r="M28" s="787">
        <v>0</v>
      </c>
      <c r="N28" s="787">
        <v>0</v>
      </c>
      <c r="O28" s="787">
        <v>0</v>
      </c>
      <c r="P28" s="787">
        <v>0</v>
      </c>
      <c r="Q28" s="787">
        <v>9.6</v>
      </c>
      <c r="R28" s="787">
        <v>6.71</v>
      </c>
      <c r="S28" s="787">
        <v>2.64</v>
      </c>
      <c r="T28" s="787">
        <v>0</v>
      </c>
      <c r="U28" s="787">
        <v>9.6</v>
      </c>
      <c r="V28" s="787">
        <v>6.71</v>
      </c>
      <c r="W28" s="787">
        <v>2.64</v>
      </c>
      <c r="X28" s="682">
        <v>0</v>
      </c>
      <c r="Z28" s="246">
        <f>Est2018DistRev!D28</f>
        <v>125</v>
      </c>
      <c r="AA28" s="247">
        <f>Est2018DistRev!E28</f>
        <v>0</v>
      </c>
      <c r="AB28" s="247">
        <f>Est2018DistRev!F28</f>
        <v>0</v>
      </c>
      <c r="AC28" s="247">
        <f>Est2018DistRev!G28</f>
        <v>0</v>
      </c>
      <c r="AD28" s="247">
        <f>Est2018DistRev!H28</f>
        <v>0</v>
      </c>
      <c r="AE28" s="247">
        <f>Est2018DistRev!I28</f>
        <v>0</v>
      </c>
      <c r="AF28" s="247">
        <f>Est2018DistRev!J28</f>
        <v>0</v>
      </c>
      <c r="AG28" s="247">
        <f>Est2018DistRev!K28</f>
        <v>0</v>
      </c>
      <c r="AH28" s="247">
        <f>Est2018DistRev!L28</f>
        <v>0</v>
      </c>
      <c r="AI28" s="247">
        <f>Est2018DistRev!M28</f>
        <v>0</v>
      </c>
      <c r="AJ28" s="247">
        <f>Est2018DistRev!N28</f>
        <v>0</v>
      </c>
      <c r="AK28" s="247">
        <f>Est2018DistRev!O28</f>
        <v>0</v>
      </c>
      <c r="AL28" s="247">
        <f>Est2018DistRev!P28</f>
        <v>0</v>
      </c>
      <c r="AM28" s="247">
        <f>Est2018DistRev!Q28</f>
        <v>9.42</v>
      </c>
      <c r="AN28" s="247">
        <f>Est2018DistRev!R28</f>
        <v>6.58</v>
      </c>
      <c r="AO28" s="247">
        <f>Est2018DistRev!S28</f>
        <v>2.59</v>
      </c>
      <c r="AP28" s="247">
        <f>Est2018DistRev!T28</f>
        <v>0</v>
      </c>
      <c r="AQ28" s="247">
        <f>Est2018DistRev!U28</f>
        <v>9.42</v>
      </c>
      <c r="AR28" s="247">
        <f>Est2018DistRev!V28</f>
        <v>6.58</v>
      </c>
      <c r="AS28" s="247">
        <f>Est2018DistRev!W28</f>
        <v>2.59</v>
      </c>
      <c r="AT28" s="248">
        <f>Est2018DistRev!X28</f>
        <v>0</v>
      </c>
      <c r="AV28" s="790">
        <v>7</v>
      </c>
      <c r="AW28" s="789">
        <v>0</v>
      </c>
      <c r="AX28" s="789">
        <v>0</v>
      </c>
      <c r="AY28" s="789">
        <v>0</v>
      </c>
      <c r="AZ28" s="789">
        <v>0</v>
      </c>
      <c r="BA28" s="789">
        <v>0</v>
      </c>
      <c r="BB28" s="789">
        <v>0</v>
      </c>
      <c r="BC28" s="789">
        <v>0</v>
      </c>
      <c r="BD28" s="789">
        <v>0</v>
      </c>
      <c r="BE28" s="789">
        <v>0</v>
      </c>
      <c r="BF28" s="789">
        <v>0</v>
      </c>
      <c r="BG28" s="789">
        <v>0</v>
      </c>
      <c r="BH28" s="789">
        <v>0</v>
      </c>
      <c r="BI28" s="789">
        <v>103639.4071436401</v>
      </c>
      <c r="BJ28" s="789">
        <v>27419.302376645079</v>
      </c>
      <c r="BK28" s="789">
        <v>92664.296651991201</v>
      </c>
      <c r="BL28" s="789">
        <v>0</v>
      </c>
      <c r="BM28" s="789">
        <v>277642.32949385105</v>
      </c>
      <c r="BN28" s="789">
        <v>73454.289200989399</v>
      </c>
      <c r="BO28" s="789">
        <v>248240.81777803652</v>
      </c>
      <c r="BP28" s="655">
        <v>0</v>
      </c>
      <c r="BR28" s="301">
        <f t="shared" si="57"/>
        <v>980</v>
      </c>
      <c r="BS28" s="302">
        <f t="shared" si="58"/>
        <v>0</v>
      </c>
      <c r="BT28" s="302">
        <f t="shared" si="59"/>
        <v>0</v>
      </c>
      <c r="BU28" s="302">
        <f t="shared" si="60"/>
        <v>0</v>
      </c>
      <c r="BV28" s="302">
        <f t="shared" si="61"/>
        <v>0</v>
      </c>
      <c r="BW28" s="302">
        <f t="shared" si="62"/>
        <v>0</v>
      </c>
      <c r="BX28" s="302">
        <f t="shared" si="63"/>
        <v>0</v>
      </c>
      <c r="BY28" s="302">
        <f t="shared" si="64"/>
        <v>0</v>
      </c>
      <c r="BZ28" s="302">
        <f t="shared" si="65"/>
        <v>0</v>
      </c>
      <c r="CA28" s="302">
        <f t="shared" si="66"/>
        <v>0</v>
      </c>
      <c r="CB28" s="302">
        <f t="shared" si="67"/>
        <v>0</v>
      </c>
      <c r="CC28" s="302">
        <f t="shared" si="68"/>
        <v>0</v>
      </c>
      <c r="CD28" s="302">
        <f t="shared" si="69"/>
        <v>0</v>
      </c>
      <c r="CE28" s="302">
        <f t="shared" si="70"/>
        <v>9949.38308578945</v>
      </c>
      <c r="CF28" s="302">
        <f t="shared" si="71"/>
        <v>1839.8351894728846</v>
      </c>
      <c r="CG28" s="302">
        <f t="shared" si="72"/>
        <v>2446.3374316125678</v>
      </c>
      <c r="CH28" s="302">
        <f t="shared" si="73"/>
        <v>0</v>
      </c>
      <c r="CI28" s="302">
        <f t="shared" si="74"/>
        <v>26653.663631409701</v>
      </c>
      <c r="CJ28" s="302">
        <f t="shared" si="75"/>
        <v>4928.7828053863877</v>
      </c>
      <c r="CK28" s="302">
        <f t="shared" si="76"/>
        <v>6553.5575893401638</v>
      </c>
      <c r="CL28" s="302">
        <f t="shared" si="77"/>
        <v>0</v>
      </c>
      <c r="CM28" s="254">
        <f t="shared" si="49"/>
        <v>53351.559733011149</v>
      </c>
      <c r="CO28" s="301">
        <f t="shared" si="78"/>
        <v>875</v>
      </c>
      <c r="CP28" s="302">
        <f t="shared" si="79"/>
        <v>0</v>
      </c>
      <c r="CQ28" s="302">
        <f t="shared" si="80"/>
        <v>0</v>
      </c>
      <c r="CR28" s="302">
        <f t="shared" si="81"/>
        <v>0</v>
      </c>
      <c r="CS28" s="302">
        <f t="shared" si="82"/>
        <v>0</v>
      </c>
      <c r="CT28" s="302">
        <f t="shared" si="83"/>
        <v>0</v>
      </c>
      <c r="CU28" s="302">
        <f t="shared" si="84"/>
        <v>0</v>
      </c>
      <c r="CV28" s="302">
        <f t="shared" si="85"/>
        <v>0</v>
      </c>
      <c r="CW28" s="302">
        <f t="shared" si="86"/>
        <v>0</v>
      </c>
      <c r="CX28" s="302">
        <f t="shared" si="87"/>
        <v>0</v>
      </c>
      <c r="CY28" s="302">
        <f t="shared" si="88"/>
        <v>0</v>
      </c>
      <c r="CZ28" s="302">
        <f t="shared" si="89"/>
        <v>0</v>
      </c>
      <c r="DA28" s="302">
        <f t="shared" si="90"/>
        <v>0</v>
      </c>
      <c r="DB28" s="302">
        <f t="shared" si="91"/>
        <v>9762.8321529308978</v>
      </c>
      <c r="DC28" s="302">
        <f t="shared" si="92"/>
        <v>1804.1900963832461</v>
      </c>
      <c r="DD28" s="302">
        <f t="shared" si="93"/>
        <v>2400.0052832865722</v>
      </c>
      <c r="DE28" s="302">
        <f t="shared" si="94"/>
        <v>0</v>
      </c>
      <c r="DF28" s="302">
        <f t="shared" si="95"/>
        <v>26153.90743832077</v>
      </c>
      <c r="DG28" s="302">
        <f t="shared" si="96"/>
        <v>4833.2922294251021</v>
      </c>
      <c r="DH28" s="302">
        <f t="shared" si="97"/>
        <v>6429.4371804511457</v>
      </c>
      <c r="DI28" s="302">
        <f t="shared" si="98"/>
        <v>0</v>
      </c>
      <c r="DJ28" s="254">
        <f t="shared" si="55"/>
        <v>52258.664380797738</v>
      </c>
    </row>
    <row r="29" spans="1:114" x14ac:dyDescent="0.2">
      <c r="A29" s="196" t="str">
        <f>Est2018DistRev!A29</f>
        <v>C2G7</v>
      </c>
      <c r="B29" s="234" t="str">
        <f t="shared" si="56"/>
        <v>Non-Residential Two Rate 7d</v>
      </c>
      <c r="C29" s="234" t="str">
        <f>Est2018DistRev!B29</f>
        <v>Non-Residential Two Rate 7d</v>
      </c>
      <c r="D29" s="786">
        <v>150</v>
      </c>
      <c r="E29" s="787">
        <v>0</v>
      </c>
      <c r="F29" s="787">
        <v>7.05</v>
      </c>
      <c r="G29" s="787">
        <v>0</v>
      </c>
      <c r="H29" s="787">
        <v>0</v>
      </c>
      <c r="I29" s="787">
        <v>2.37</v>
      </c>
      <c r="J29" s="787">
        <v>0</v>
      </c>
      <c r="K29" s="787">
        <v>0</v>
      </c>
      <c r="L29" s="787">
        <v>0</v>
      </c>
      <c r="M29" s="787">
        <v>0</v>
      </c>
      <c r="N29" s="787">
        <v>0</v>
      </c>
      <c r="O29" s="787">
        <v>0</v>
      </c>
      <c r="P29" s="787">
        <v>0</v>
      </c>
      <c r="Q29" s="787">
        <v>0</v>
      </c>
      <c r="R29" s="787">
        <v>0</v>
      </c>
      <c r="S29" s="787">
        <v>0</v>
      </c>
      <c r="T29" s="787">
        <v>0</v>
      </c>
      <c r="U29" s="787">
        <v>0</v>
      </c>
      <c r="V29" s="787">
        <v>0</v>
      </c>
      <c r="W29" s="787">
        <v>0</v>
      </c>
      <c r="X29" s="682">
        <v>0</v>
      </c>
      <c r="Z29" s="246">
        <f>Est2018DistRev!D29</f>
        <v>145</v>
      </c>
      <c r="AA29" s="247">
        <f>Est2018DistRev!E29</f>
        <v>0</v>
      </c>
      <c r="AB29" s="247">
        <f>Est2018DistRev!F29</f>
        <v>7.16</v>
      </c>
      <c r="AC29" s="247">
        <f>Est2018DistRev!G29</f>
        <v>0</v>
      </c>
      <c r="AD29" s="247">
        <f>Est2018DistRev!H29</f>
        <v>0</v>
      </c>
      <c r="AE29" s="247">
        <f>Est2018DistRev!I29</f>
        <v>2.41</v>
      </c>
      <c r="AF29" s="247">
        <f>Est2018DistRev!J29</f>
        <v>0</v>
      </c>
      <c r="AG29" s="247">
        <f>Est2018DistRev!K29</f>
        <v>0</v>
      </c>
      <c r="AH29" s="247">
        <f>Est2018DistRev!L29</f>
        <v>0</v>
      </c>
      <c r="AI29" s="247">
        <f>Est2018DistRev!M29</f>
        <v>0</v>
      </c>
      <c r="AJ29" s="247">
        <f>Est2018DistRev!N29</f>
        <v>0</v>
      </c>
      <c r="AK29" s="247">
        <f>Est2018DistRev!O29</f>
        <v>0</v>
      </c>
      <c r="AL29" s="247">
        <f>Est2018DistRev!P29</f>
        <v>0</v>
      </c>
      <c r="AM29" s="247">
        <f>Est2018DistRev!Q29</f>
        <v>0</v>
      </c>
      <c r="AN29" s="247">
        <f>Est2018DistRev!R29</f>
        <v>0</v>
      </c>
      <c r="AO29" s="247">
        <f>Est2018DistRev!S29</f>
        <v>0</v>
      </c>
      <c r="AP29" s="247">
        <f>Est2018DistRev!T29</f>
        <v>0</v>
      </c>
      <c r="AQ29" s="247">
        <f>Est2018DistRev!U29</f>
        <v>0</v>
      </c>
      <c r="AR29" s="247">
        <f>Est2018DistRev!V29</f>
        <v>0</v>
      </c>
      <c r="AS29" s="247">
        <f>Est2018DistRev!W29</f>
        <v>0</v>
      </c>
      <c r="AT29" s="248">
        <f>Est2018DistRev!X29</f>
        <v>0</v>
      </c>
      <c r="AV29" s="790">
        <v>2325</v>
      </c>
      <c r="AW29" s="789">
        <v>0</v>
      </c>
      <c r="AX29" s="789">
        <v>39141830.195678435</v>
      </c>
      <c r="AY29" s="789">
        <v>0</v>
      </c>
      <c r="AZ29" s="789">
        <v>0</v>
      </c>
      <c r="BA29" s="789">
        <v>9312690.0588423535</v>
      </c>
      <c r="BB29" s="789">
        <v>0</v>
      </c>
      <c r="BC29" s="789">
        <v>0</v>
      </c>
      <c r="BD29" s="789">
        <v>0</v>
      </c>
      <c r="BE29" s="789">
        <v>0</v>
      </c>
      <c r="BF29" s="789">
        <v>0</v>
      </c>
      <c r="BG29" s="789">
        <v>0</v>
      </c>
      <c r="BH29" s="789">
        <v>0</v>
      </c>
      <c r="BI29" s="789">
        <v>0</v>
      </c>
      <c r="BJ29" s="789">
        <v>0</v>
      </c>
      <c r="BK29" s="789">
        <v>0</v>
      </c>
      <c r="BL29" s="789">
        <v>0</v>
      </c>
      <c r="BM29" s="789">
        <v>0</v>
      </c>
      <c r="BN29" s="789">
        <v>0</v>
      </c>
      <c r="BO29" s="789">
        <v>0</v>
      </c>
      <c r="BP29" s="655">
        <v>0</v>
      </c>
      <c r="BR29" s="301">
        <f t="shared" si="57"/>
        <v>348750</v>
      </c>
      <c r="BS29" s="302">
        <f t="shared" si="58"/>
        <v>0</v>
      </c>
      <c r="BT29" s="302">
        <f t="shared" si="59"/>
        <v>2759499.0287953294</v>
      </c>
      <c r="BU29" s="302">
        <f t="shared" si="60"/>
        <v>0</v>
      </c>
      <c r="BV29" s="302">
        <f t="shared" si="61"/>
        <v>0</v>
      </c>
      <c r="BW29" s="302">
        <f t="shared" si="62"/>
        <v>220710.75439456379</v>
      </c>
      <c r="BX29" s="302">
        <f t="shared" si="63"/>
        <v>0</v>
      </c>
      <c r="BY29" s="302">
        <f t="shared" si="64"/>
        <v>0</v>
      </c>
      <c r="BZ29" s="302">
        <f t="shared" si="65"/>
        <v>0</v>
      </c>
      <c r="CA29" s="302">
        <f t="shared" si="66"/>
        <v>0</v>
      </c>
      <c r="CB29" s="302">
        <f t="shared" si="67"/>
        <v>0</v>
      </c>
      <c r="CC29" s="302">
        <f t="shared" si="68"/>
        <v>0</v>
      </c>
      <c r="CD29" s="302">
        <f t="shared" si="69"/>
        <v>0</v>
      </c>
      <c r="CE29" s="302">
        <f t="shared" si="70"/>
        <v>0</v>
      </c>
      <c r="CF29" s="302">
        <f t="shared" si="71"/>
        <v>0</v>
      </c>
      <c r="CG29" s="302">
        <f t="shared" si="72"/>
        <v>0</v>
      </c>
      <c r="CH29" s="302">
        <f t="shared" si="73"/>
        <v>0</v>
      </c>
      <c r="CI29" s="302">
        <f t="shared" si="74"/>
        <v>0</v>
      </c>
      <c r="CJ29" s="302">
        <f t="shared" si="75"/>
        <v>0</v>
      </c>
      <c r="CK29" s="302">
        <f t="shared" si="76"/>
        <v>0</v>
      </c>
      <c r="CL29" s="302">
        <f t="shared" si="77"/>
        <v>0</v>
      </c>
      <c r="CM29" s="254">
        <f t="shared" si="49"/>
        <v>3328959.7831898932</v>
      </c>
      <c r="CO29" s="301">
        <f t="shared" si="78"/>
        <v>337125</v>
      </c>
      <c r="CP29" s="302">
        <f t="shared" si="79"/>
        <v>0</v>
      </c>
      <c r="CQ29" s="302">
        <f t="shared" si="80"/>
        <v>2802555.042010576</v>
      </c>
      <c r="CR29" s="302">
        <f t="shared" si="81"/>
        <v>0</v>
      </c>
      <c r="CS29" s="302">
        <f t="shared" si="82"/>
        <v>0</v>
      </c>
      <c r="CT29" s="302">
        <f t="shared" si="83"/>
        <v>224435.83041810073</v>
      </c>
      <c r="CU29" s="302">
        <f t="shared" si="84"/>
        <v>0</v>
      </c>
      <c r="CV29" s="302">
        <f t="shared" si="85"/>
        <v>0</v>
      </c>
      <c r="CW29" s="302">
        <f t="shared" si="86"/>
        <v>0</v>
      </c>
      <c r="CX29" s="302">
        <f t="shared" si="87"/>
        <v>0</v>
      </c>
      <c r="CY29" s="302">
        <f t="shared" si="88"/>
        <v>0</v>
      </c>
      <c r="CZ29" s="302">
        <f t="shared" si="89"/>
        <v>0</v>
      </c>
      <c r="DA29" s="302">
        <f t="shared" si="90"/>
        <v>0</v>
      </c>
      <c r="DB29" s="302">
        <f t="shared" si="91"/>
        <v>0</v>
      </c>
      <c r="DC29" s="302">
        <f t="shared" si="92"/>
        <v>0</v>
      </c>
      <c r="DD29" s="302">
        <f t="shared" si="93"/>
        <v>0</v>
      </c>
      <c r="DE29" s="302">
        <f t="shared" si="94"/>
        <v>0</v>
      </c>
      <c r="DF29" s="302">
        <f t="shared" si="95"/>
        <v>0</v>
      </c>
      <c r="DG29" s="302">
        <f t="shared" si="96"/>
        <v>0</v>
      </c>
      <c r="DH29" s="302">
        <f t="shared" si="97"/>
        <v>0</v>
      </c>
      <c r="DI29" s="302">
        <f t="shared" si="98"/>
        <v>0</v>
      </c>
      <c r="DJ29" s="254">
        <f t="shared" si="55"/>
        <v>3364115.8724286766</v>
      </c>
    </row>
    <row r="30" spans="1:114" x14ac:dyDescent="0.2">
      <c r="A30" s="196" t="str">
        <f>Est2018DistRev!A30</f>
        <v>C2G7B</v>
      </c>
      <c r="B30" s="234" t="str">
        <f t="shared" si="56"/>
        <v>Non-Residential Two Rate 7d - Bulk</v>
      </c>
      <c r="C30" s="234" t="str">
        <f>Est2018DistRev!B30</f>
        <v>Non-Residential Two Rate 7d - Bulk</v>
      </c>
      <c r="D30" s="786">
        <v>140</v>
      </c>
      <c r="E30" s="787">
        <v>0</v>
      </c>
      <c r="F30" s="787">
        <v>6.27</v>
      </c>
      <c r="G30" s="787">
        <v>0</v>
      </c>
      <c r="H30" s="787">
        <v>0</v>
      </c>
      <c r="I30" s="787">
        <v>2.11</v>
      </c>
      <c r="J30" s="787">
        <v>0</v>
      </c>
      <c r="K30" s="787">
        <v>0</v>
      </c>
      <c r="L30" s="787">
        <v>0</v>
      </c>
      <c r="M30" s="787">
        <v>0</v>
      </c>
      <c r="N30" s="787">
        <v>0</v>
      </c>
      <c r="O30" s="787">
        <v>0</v>
      </c>
      <c r="P30" s="787">
        <v>0</v>
      </c>
      <c r="Q30" s="787">
        <v>0</v>
      </c>
      <c r="R30" s="787">
        <v>0</v>
      </c>
      <c r="S30" s="787">
        <v>0</v>
      </c>
      <c r="T30" s="787">
        <v>0</v>
      </c>
      <c r="U30" s="787">
        <v>0</v>
      </c>
      <c r="V30" s="787">
        <v>0</v>
      </c>
      <c r="W30" s="787">
        <v>0</v>
      </c>
      <c r="X30" s="682">
        <v>0</v>
      </c>
      <c r="Z30" s="246">
        <f>Est2018DistRev!D30</f>
        <v>125</v>
      </c>
      <c r="AA30" s="247">
        <f>Est2018DistRev!E30</f>
        <v>0</v>
      </c>
      <c r="AB30" s="247">
        <f>Est2018DistRev!F30</f>
        <v>6.17</v>
      </c>
      <c r="AC30" s="247">
        <f>Est2018DistRev!G30</f>
        <v>0</v>
      </c>
      <c r="AD30" s="247">
        <f>Est2018DistRev!H30</f>
        <v>0</v>
      </c>
      <c r="AE30" s="247">
        <f>Est2018DistRev!I30</f>
        <v>1.8</v>
      </c>
      <c r="AF30" s="247">
        <f>Est2018DistRev!J30</f>
        <v>0</v>
      </c>
      <c r="AG30" s="247">
        <f>Est2018DistRev!K30</f>
        <v>0</v>
      </c>
      <c r="AH30" s="247">
        <f>Est2018DistRev!L30</f>
        <v>0</v>
      </c>
      <c r="AI30" s="247">
        <f>Est2018DistRev!M30</f>
        <v>0</v>
      </c>
      <c r="AJ30" s="247">
        <f>Est2018DistRev!N30</f>
        <v>0</v>
      </c>
      <c r="AK30" s="247">
        <f>Est2018DistRev!O30</f>
        <v>0</v>
      </c>
      <c r="AL30" s="247">
        <f>Est2018DistRev!P30</f>
        <v>0</v>
      </c>
      <c r="AM30" s="247">
        <f>Est2018DistRev!Q30</f>
        <v>0</v>
      </c>
      <c r="AN30" s="247">
        <f>Est2018DistRev!R30</f>
        <v>0</v>
      </c>
      <c r="AO30" s="247">
        <f>Est2018DistRev!S30</f>
        <v>0</v>
      </c>
      <c r="AP30" s="247">
        <f>Est2018DistRev!T30</f>
        <v>0</v>
      </c>
      <c r="AQ30" s="247">
        <f>Est2018DistRev!U30</f>
        <v>0</v>
      </c>
      <c r="AR30" s="247">
        <f>Est2018DistRev!V30</f>
        <v>0</v>
      </c>
      <c r="AS30" s="247">
        <f>Est2018DistRev!W30</f>
        <v>0</v>
      </c>
      <c r="AT30" s="248">
        <f>Est2018DistRev!X30</f>
        <v>0</v>
      </c>
      <c r="AV30" s="790">
        <v>253.08333333333334</v>
      </c>
      <c r="AW30" s="789">
        <v>0</v>
      </c>
      <c r="AX30" s="789">
        <v>5750711.7271070778</v>
      </c>
      <c r="AY30" s="789">
        <v>0</v>
      </c>
      <c r="AZ30" s="789">
        <v>0</v>
      </c>
      <c r="BA30" s="789">
        <v>1391434.2626145822</v>
      </c>
      <c r="BB30" s="789">
        <v>0</v>
      </c>
      <c r="BC30" s="789">
        <v>0</v>
      </c>
      <c r="BD30" s="789">
        <v>0</v>
      </c>
      <c r="BE30" s="789">
        <v>0</v>
      </c>
      <c r="BF30" s="789">
        <v>0</v>
      </c>
      <c r="BG30" s="789">
        <v>0</v>
      </c>
      <c r="BH30" s="789">
        <v>0</v>
      </c>
      <c r="BI30" s="789">
        <v>0</v>
      </c>
      <c r="BJ30" s="789">
        <v>0</v>
      </c>
      <c r="BK30" s="789">
        <v>0</v>
      </c>
      <c r="BL30" s="789">
        <v>0</v>
      </c>
      <c r="BM30" s="789">
        <v>0</v>
      </c>
      <c r="BN30" s="789">
        <v>0</v>
      </c>
      <c r="BO30" s="789">
        <v>0</v>
      </c>
      <c r="BP30" s="655">
        <v>0</v>
      </c>
      <c r="BR30" s="301">
        <f t="shared" si="57"/>
        <v>35431.666666666672</v>
      </c>
      <c r="BS30" s="302">
        <f t="shared" si="58"/>
        <v>0</v>
      </c>
      <c r="BT30" s="302">
        <f t="shared" si="59"/>
        <v>360569.62528961373</v>
      </c>
      <c r="BU30" s="302">
        <f t="shared" si="60"/>
        <v>0</v>
      </c>
      <c r="BV30" s="302">
        <f t="shared" si="61"/>
        <v>0</v>
      </c>
      <c r="BW30" s="302">
        <f t="shared" si="62"/>
        <v>29359.262941167679</v>
      </c>
      <c r="BX30" s="302">
        <f t="shared" si="63"/>
        <v>0</v>
      </c>
      <c r="BY30" s="302">
        <f t="shared" si="64"/>
        <v>0</v>
      </c>
      <c r="BZ30" s="302">
        <f t="shared" si="65"/>
        <v>0</v>
      </c>
      <c r="CA30" s="302">
        <f t="shared" si="66"/>
        <v>0</v>
      </c>
      <c r="CB30" s="302">
        <f t="shared" si="67"/>
        <v>0</v>
      </c>
      <c r="CC30" s="302">
        <f t="shared" si="68"/>
        <v>0</v>
      </c>
      <c r="CD30" s="302">
        <f t="shared" si="69"/>
        <v>0</v>
      </c>
      <c r="CE30" s="302">
        <f t="shared" si="70"/>
        <v>0</v>
      </c>
      <c r="CF30" s="302">
        <f t="shared" si="71"/>
        <v>0</v>
      </c>
      <c r="CG30" s="302">
        <f t="shared" si="72"/>
        <v>0</v>
      </c>
      <c r="CH30" s="302">
        <f t="shared" si="73"/>
        <v>0</v>
      </c>
      <c r="CI30" s="302">
        <f t="shared" si="74"/>
        <v>0</v>
      </c>
      <c r="CJ30" s="302">
        <f t="shared" si="75"/>
        <v>0</v>
      </c>
      <c r="CK30" s="302">
        <f t="shared" si="76"/>
        <v>0</v>
      </c>
      <c r="CL30" s="302">
        <f t="shared" si="77"/>
        <v>0</v>
      </c>
      <c r="CM30" s="254">
        <f t="shared" si="49"/>
        <v>425360.55489744811</v>
      </c>
      <c r="CO30" s="301">
        <f t="shared" si="78"/>
        <v>31635.416666666668</v>
      </c>
      <c r="CP30" s="302">
        <f t="shared" si="79"/>
        <v>0</v>
      </c>
      <c r="CQ30" s="302">
        <f t="shared" si="80"/>
        <v>354818.91356250667</v>
      </c>
      <c r="CR30" s="302">
        <f t="shared" si="81"/>
        <v>0</v>
      </c>
      <c r="CS30" s="302">
        <f t="shared" si="82"/>
        <v>0</v>
      </c>
      <c r="CT30" s="302">
        <f t="shared" si="83"/>
        <v>25045.816727062484</v>
      </c>
      <c r="CU30" s="302">
        <f t="shared" si="84"/>
        <v>0</v>
      </c>
      <c r="CV30" s="302">
        <f t="shared" si="85"/>
        <v>0</v>
      </c>
      <c r="CW30" s="302">
        <f t="shared" si="86"/>
        <v>0</v>
      </c>
      <c r="CX30" s="302">
        <f t="shared" si="87"/>
        <v>0</v>
      </c>
      <c r="CY30" s="302">
        <f t="shared" si="88"/>
        <v>0</v>
      </c>
      <c r="CZ30" s="302">
        <f t="shared" si="89"/>
        <v>0</v>
      </c>
      <c r="DA30" s="302">
        <f t="shared" si="90"/>
        <v>0</v>
      </c>
      <c r="DB30" s="302">
        <f t="shared" si="91"/>
        <v>0</v>
      </c>
      <c r="DC30" s="302">
        <f t="shared" si="92"/>
        <v>0</v>
      </c>
      <c r="DD30" s="302">
        <f t="shared" si="93"/>
        <v>0</v>
      </c>
      <c r="DE30" s="302">
        <f t="shared" si="94"/>
        <v>0</v>
      </c>
      <c r="DF30" s="302">
        <f t="shared" si="95"/>
        <v>0</v>
      </c>
      <c r="DG30" s="302">
        <f t="shared" si="96"/>
        <v>0</v>
      </c>
      <c r="DH30" s="302">
        <f t="shared" si="97"/>
        <v>0</v>
      </c>
      <c r="DI30" s="302">
        <f t="shared" si="98"/>
        <v>0</v>
      </c>
      <c r="DJ30" s="254">
        <f t="shared" si="55"/>
        <v>411500.14695623587</v>
      </c>
    </row>
    <row r="31" spans="1:114" x14ac:dyDescent="0.2">
      <c r="A31" s="196" t="str">
        <f>Est2018DistRev!A31</f>
        <v>C2L7</v>
      </c>
      <c r="B31" s="234" t="str">
        <f t="shared" si="56"/>
        <v>Large Two Rate 7d</v>
      </c>
      <c r="C31" s="234" t="str">
        <f>Est2018DistRev!B31</f>
        <v>Large Two Rate 7d</v>
      </c>
      <c r="D31" s="786">
        <v>150</v>
      </c>
      <c r="E31" s="787">
        <v>0</v>
      </c>
      <c r="F31" s="787">
        <v>8.9600000000000009</v>
      </c>
      <c r="G31" s="787">
        <v>0</v>
      </c>
      <c r="H31" s="787">
        <v>0</v>
      </c>
      <c r="I31" s="787">
        <v>2.58</v>
      </c>
      <c r="J31" s="787">
        <v>0</v>
      </c>
      <c r="K31" s="787">
        <v>0</v>
      </c>
      <c r="L31" s="787">
        <v>0</v>
      </c>
      <c r="M31" s="787">
        <v>0</v>
      </c>
      <c r="N31" s="787">
        <v>0</v>
      </c>
      <c r="O31" s="787">
        <v>0</v>
      </c>
      <c r="P31" s="787">
        <v>0</v>
      </c>
      <c r="Q31" s="787">
        <v>0</v>
      </c>
      <c r="R31" s="787">
        <v>0</v>
      </c>
      <c r="S31" s="787">
        <v>0</v>
      </c>
      <c r="T31" s="787">
        <v>0</v>
      </c>
      <c r="U31" s="787">
        <v>0</v>
      </c>
      <c r="V31" s="787">
        <v>0</v>
      </c>
      <c r="W31" s="787">
        <v>0</v>
      </c>
      <c r="X31" s="682">
        <v>0</v>
      </c>
      <c r="Z31" s="246">
        <f>Est2018DistRev!D31</f>
        <v>145</v>
      </c>
      <c r="AA31" s="247">
        <f>Est2018DistRev!E31</f>
        <v>0</v>
      </c>
      <c r="AB31" s="247">
        <f>Est2018DistRev!F31</f>
        <v>9.1</v>
      </c>
      <c r="AC31" s="247">
        <f>Est2018DistRev!G31</f>
        <v>0</v>
      </c>
      <c r="AD31" s="247">
        <f>Est2018DistRev!H31</f>
        <v>0</v>
      </c>
      <c r="AE31" s="247">
        <f>Est2018DistRev!I31</f>
        <v>2.41</v>
      </c>
      <c r="AF31" s="247">
        <f>Est2018DistRev!J31</f>
        <v>0</v>
      </c>
      <c r="AG31" s="247">
        <f>Est2018DistRev!K31</f>
        <v>0</v>
      </c>
      <c r="AH31" s="247">
        <f>Est2018DistRev!L31</f>
        <v>0</v>
      </c>
      <c r="AI31" s="247">
        <f>Est2018DistRev!M31</f>
        <v>0</v>
      </c>
      <c r="AJ31" s="247">
        <f>Est2018DistRev!N31</f>
        <v>0</v>
      </c>
      <c r="AK31" s="247">
        <f>Est2018DistRev!O31</f>
        <v>0</v>
      </c>
      <c r="AL31" s="247">
        <f>Est2018DistRev!P31</f>
        <v>0</v>
      </c>
      <c r="AM31" s="247">
        <f>Est2018DistRev!Q31</f>
        <v>0</v>
      </c>
      <c r="AN31" s="247">
        <f>Est2018DistRev!R31</f>
        <v>0</v>
      </c>
      <c r="AO31" s="247">
        <f>Est2018DistRev!S31</f>
        <v>0</v>
      </c>
      <c r="AP31" s="247">
        <f>Est2018DistRev!T31</f>
        <v>0</v>
      </c>
      <c r="AQ31" s="247">
        <f>Est2018DistRev!U31</f>
        <v>0</v>
      </c>
      <c r="AR31" s="247">
        <f>Est2018DistRev!V31</f>
        <v>0</v>
      </c>
      <c r="AS31" s="247">
        <f>Est2018DistRev!W31</f>
        <v>0</v>
      </c>
      <c r="AT31" s="248">
        <f>Est2018DistRev!X31</f>
        <v>0</v>
      </c>
      <c r="AV31" s="790">
        <v>4</v>
      </c>
      <c r="AW31" s="789">
        <v>0</v>
      </c>
      <c r="AX31" s="789">
        <v>168556.17919268721</v>
      </c>
      <c r="AY31" s="789">
        <v>0</v>
      </c>
      <c r="AZ31" s="789">
        <v>0</v>
      </c>
      <c r="BA31" s="789">
        <v>75139.006775332673</v>
      </c>
      <c r="BB31" s="789">
        <v>0</v>
      </c>
      <c r="BC31" s="789">
        <v>0</v>
      </c>
      <c r="BD31" s="789">
        <v>0</v>
      </c>
      <c r="BE31" s="789">
        <v>0</v>
      </c>
      <c r="BF31" s="789">
        <v>0</v>
      </c>
      <c r="BG31" s="789">
        <v>0</v>
      </c>
      <c r="BH31" s="789">
        <v>0</v>
      </c>
      <c r="BI31" s="789">
        <v>0</v>
      </c>
      <c r="BJ31" s="789">
        <v>0</v>
      </c>
      <c r="BK31" s="789">
        <v>0</v>
      </c>
      <c r="BL31" s="789">
        <v>0</v>
      </c>
      <c r="BM31" s="789">
        <v>0</v>
      </c>
      <c r="BN31" s="789">
        <v>0</v>
      </c>
      <c r="BO31" s="789">
        <v>0</v>
      </c>
      <c r="BP31" s="655">
        <v>0</v>
      </c>
      <c r="BR31" s="301">
        <f t="shared" si="57"/>
        <v>600</v>
      </c>
      <c r="BS31" s="302">
        <f t="shared" si="58"/>
        <v>0</v>
      </c>
      <c r="BT31" s="302">
        <f t="shared" si="59"/>
        <v>15102.633655664777</v>
      </c>
      <c r="BU31" s="302">
        <f t="shared" si="60"/>
        <v>0</v>
      </c>
      <c r="BV31" s="302">
        <f t="shared" si="61"/>
        <v>0</v>
      </c>
      <c r="BW31" s="302">
        <f t="shared" si="62"/>
        <v>1938.5863748035829</v>
      </c>
      <c r="BX31" s="302">
        <f t="shared" si="63"/>
        <v>0</v>
      </c>
      <c r="BY31" s="302">
        <f t="shared" si="64"/>
        <v>0</v>
      </c>
      <c r="BZ31" s="302">
        <f t="shared" si="65"/>
        <v>0</v>
      </c>
      <c r="CA31" s="302">
        <f t="shared" si="66"/>
        <v>0</v>
      </c>
      <c r="CB31" s="302">
        <f t="shared" si="67"/>
        <v>0</v>
      </c>
      <c r="CC31" s="302">
        <f t="shared" si="68"/>
        <v>0</v>
      </c>
      <c r="CD31" s="302">
        <f t="shared" si="69"/>
        <v>0</v>
      </c>
      <c r="CE31" s="302">
        <f t="shared" si="70"/>
        <v>0</v>
      </c>
      <c r="CF31" s="302">
        <f t="shared" si="71"/>
        <v>0</v>
      </c>
      <c r="CG31" s="302">
        <f t="shared" si="72"/>
        <v>0</v>
      </c>
      <c r="CH31" s="302">
        <f t="shared" si="73"/>
        <v>0</v>
      </c>
      <c r="CI31" s="302">
        <f t="shared" si="74"/>
        <v>0</v>
      </c>
      <c r="CJ31" s="302">
        <f t="shared" si="75"/>
        <v>0</v>
      </c>
      <c r="CK31" s="302">
        <f t="shared" si="76"/>
        <v>0</v>
      </c>
      <c r="CL31" s="302">
        <f t="shared" si="77"/>
        <v>0</v>
      </c>
      <c r="CM31" s="254">
        <f t="shared" si="49"/>
        <v>17641.220030468361</v>
      </c>
      <c r="CO31" s="301">
        <f t="shared" si="78"/>
        <v>580</v>
      </c>
      <c r="CP31" s="302">
        <f t="shared" si="79"/>
        <v>0</v>
      </c>
      <c r="CQ31" s="302">
        <f t="shared" si="80"/>
        <v>15338.612306534536</v>
      </c>
      <c r="CR31" s="302">
        <f t="shared" si="81"/>
        <v>0</v>
      </c>
      <c r="CS31" s="302">
        <f t="shared" si="82"/>
        <v>0</v>
      </c>
      <c r="CT31" s="302">
        <f t="shared" si="83"/>
        <v>1810.8500632855173</v>
      </c>
      <c r="CU31" s="302">
        <f t="shared" si="84"/>
        <v>0</v>
      </c>
      <c r="CV31" s="302">
        <f t="shared" si="85"/>
        <v>0</v>
      </c>
      <c r="CW31" s="302">
        <f t="shared" si="86"/>
        <v>0</v>
      </c>
      <c r="CX31" s="302">
        <f t="shared" si="87"/>
        <v>0</v>
      </c>
      <c r="CY31" s="302">
        <f t="shared" si="88"/>
        <v>0</v>
      </c>
      <c r="CZ31" s="302">
        <f t="shared" si="89"/>
        <v>0</v>
      </c>
      <c r="DA31" s="302">
        <f t="shared" si="90"/>
        <v>0</v>
      </c>
      <c r="DB31" s="302">
        <f t="shared" si="91"/>
        <v>0</v>
      </c>
      <c r="DC31" s="302">
        <f t="shared" si="92"/>
        <v>0</v>
      </c>
      <c r="DD31" s="302">
        <f t="shared" si="93"/>
        <v>0</v>
      </c>
      <c r="DE31" s="302">
        <f t="shared" si="94"/>
        <v>0</v>
      </c>
      <c r="DF31" s="302">
        <f t="shared" si="95"/>
        <v>0</v>
      </c>
      <c r="DG31" s="302">
        <f t="shared" si="96"/>
        <v>0</v>
      </c>
      <c r="DH31" s="302">
        <f t="shared" si="97"/>
        <v>0</v>
      </c>
      <c r="DI31" s="302">
        <f t="shared" si="98"/>
        <v>0</v>
      </c>
      <c r="DJ31" s="254">
        <f t="shared" si="55"/>
        <v>17729.462369820052</v>
      </c>
    </row>
    <row r="32" spans="1:114" x14ac:dyDescent="0.2">
      <c r="A32" s="196" t="str">
        <f>Est2018DistRev!A32</f>
        <v>CG</v>
      </c>
      <c r="B32" s="234" t="str">
        <f t="shared" si="56"/>
        <v>Non-Residential Demand Tariff</v>
      </c>
      <c r="C32" s="234" t="str">
        <f>Est2018DistRev!B32</f>
        <v>Non-Residential Demand Tariff</v>
      </c>
      <c r="D32" s="786">
        <v>150</v>
      </c>
      <c r="E32" s="787">
        <v>3.27</v>
      </c>
      <c r="F32" s="787">
        <v>0</v>
      </c>
      <c r="G32" s="787">
        <v>0</v>
      </c>
      <c r="H32" s="787">
        <v>0</v>
      </c>
      <c r="I32" s="787">
        <v>0</v>
      </c>
      <c r="J32" s="787">
        <v>0</v>
      </c>
      <c r="K32" s="787">
        <v>0</v>
      </c>
      <c r="L32" s="787">
        <v>0</v>
      </c>
      <c r="M32" s="787">
        <v>0</v>
      </c>
      <c r="N32" s="787">
        <v>0</v>
      </c>
      <c r="O32" s="787">
        <v>10.43</v>
      </c>
      <c r="P32" s="787">
        <v>3.48</v>
      </c>
      <c r="Q32" s="787">
        <v>0</v>
      </c>
      <c r="R32" s="787">
        <v>0</v>
      </c>
      <c r="S32" s="787">
        <v>0</v>
      </c>
      <c r="T32" s="787">
        <v>0</v>
      </c>
      <c r="U32" s="787">
        <v>0</v>
      </c>
      <c r="V32" s="787">
        <v>0</v>
      </c>
      <c r="W32" s="787">
        <v>0</v>
      </c>
      <c r="X32" s="682">
        <v>0</v>
      </c>
      <c r="Z32" s="246">
        <f>Est2018DistRev!D32</f>
        <v>145</v>
      </c>
      <c r="AA32" s="247">
        <f>Est2018DistRev!E32</f>
        <v>3.32</v>
      </c>
      <c r="AB32" s="247">
        <f>Est2018DistRev!F32</f>
        <v>0</v>
      </c>
      <c r="AC32" s="247">
        <f>Est2018DistRev!G32</f>
        <v>0</v>
      </c>
      <c r="AD32" s="247">
        <f>Est2018DistRev!H32</f>
        <v>0</v>
      </c>
      <c r="AE32" s="247">
        <f>Est2018DistRev!I32</f>
        <v>0</v>
      </c>
      <c r="AF32" s="247">
        <f>Est2018DistRev!J32</f>
        <v>0</v>
      </c>
      <c r="AG32" s="247">
        <f>Est2018DistRev!K32</f>
        <v>0</v>
      </c>
      <c r="AH32" s="247">
        <f>Est2018DistRev!L32</f>
        <v>0</v>
      </c>
      <c r="AI32" s="247">
        <f>Est2018DistRev!M32</f>
        <v>0</v>
      </c>
      <c r="AJ32" s="247">
        <f>Est2018DistRev!N32</f>
        <v>0</v>
      </c>
      <c r="AK32" s="247">
        <f>Est2018DistRev!O32</f>
        <v>10.59</v>
      </c>
      <c r="AL32" s="247">
        <f>Est2018DistRev!P32</f>
        <v>3.53</v>
      </c>
      <c r="AM32" s="247">
        <f>Est2018DistRev!Q32</f>
        <v>0</v>
      </c>
      <c r="AN32" s="247">
        <f>Est2018DistRev!R32</f>
        <v>0</v>
      </c>
      <c r="AO32" s="247">
        <f>Est2018DistRev!S32</f>
        <v>0</v>
      </c>
      <c r="AP32" s="247">
        <f>Est2018DistRev!T32</f>
        <v>0</v>
      </c>
      <c r="AQ32" s="247">
        <f>Est2018DistRev!U32</f>
        <v>0</v>
      </c>
      <c r="AR32" s="247">
        <f>Est2018DistRev!V32</f>
        <v>0</v>
      </c>
      <c r="AS32" s="247">
        <f>Est2018DistRev!W32</f>
        <v>0</v>
      </c>
      <c r="AT32" s="248">
        <f>Est2018DistRev!X32</f>
        <v>0</v>
      </c>
      <c r="AV32" s="790">
        <v>8</v>
      </c>
      <c r="AW32" s="789">
        <v>717136.61553414329</v>
      </c>
      <c r="AX32" s="789">
        <v>0</v>
      </c>
      <c r="AY32" s="789">
        <v>0</v>
      </c>
      <c r="AZ32" s="789">
        <v>0</v>
      </c>
      <c r="BA32" s="789">
        <v>0</v>
      </c>
      <c r="BB32" s="789">
        <v>0</v>
      </c>
      <c r="BC32" s="789">
        <v>0</v>
      </c>
      <c r="BD32" s="789">
        <v>0</v>
      </c>
      <c r="BE32" s="789">
        <v>0</v>
      </c>
      <c r="BF32" s="789">
        <v>0</v>
      </c>
      <c r="BG32" s="789">
        <v>822.73759999999993</v>
      </c>
      <c r="BH32" s="789">
        <v>1909.0406952380938</v>
      </c>
      <c r="BI32" s="789">
        <v>0</v>
      </c>
      <c r="BJ32" s="789">
        <v>0</v>
      </c>
      <c r="BK32" s="789">
        <v>0</v>
      </c>
      <c r="BL32" s="789">
        <v>0</v>
      </c>
      <c r="BM32" s="789">
        <v>0</v>
      </c>
      <c r="BN32" s="789">
        <v>0</v>
      </c>
      <c r="BO32" s="789">
        <v>0</v>
      </c>
      <c r="BP32" s="655">
        <v>0</v>
      </c>
      <c r="BR32" s="301">
        <f t="shared" si="57"/>
        <v>1200</v>
      </c>
      <c r="BS32" s="302">
        <f t="shared" si="58"/>
        <v>23450.367327966487</v>
      </c>
      <c r="BT32" s="302">
        <f t="shared" si="59"/>
        <v>0</v>
      </c>
      <c r="BU32" s="302">
        <f t="shared" si="60"/>
        <v>0</v>
      </c>
      <c r="BV32" s="302">
        <f t="shared" si="61"/>
        <v>0</v>
      </c>
      <c r="BW32" s="302">
        <f t="shared" si="62"/>
        <v>0</v>
      </c>
      <c r="BX32" s="302">
        <f t="shared" si="63"/>
        <v>0</v>
      </c>
      <c r="BY32" s="302">
        <f t="shared" si="64"/>
        <v>0</v>
      </c>
      <c r="BZ32" s="302">
        <f t="shared" si="65"/>
        <v>0</v>
      </c>
      <c r="CA32" s="302">
        <f t="shared" si="66"/>
        <v>0</v>
      </c>
      <c r="CB32" s="302">
        <f t="shared" si="67"/>
        <v>0</v>
      </c>
      <c r="CC32" s="302">
        <f t="shared" si="68"/>
        <v>8581.1531679999989</v>
      </c>
      <c r="CD32" s="302">
        <f t="shared" si="69"/>
        <v>6643.4616194285663</v>
      </c>
      <c r="CE32" s="302">
        <f t="shared" si="70"/>
        <v>0</v>
      </c>
      <c r="CF32" s="302">
        <f t="shared" si="71"/>
        <v>0</v>
      </c>
      <c r="CG32" s="302">
        <f t="shared" si="72"/>
        <v>0</v>
      </c>
      <c r="CH32" s="302">
        <f t="shared" si="73"/>
        <v>0</v>
      </c>
      <c r="CI32" s="302">
        <f t="shared" si="74"/>
        <v>0</v>
      </c>
      <c r="CJ32" s="302">
        <f t="shared" si="75"/>
        <v>0</v>
      </c>
      <c r="CK32" s="302">
        <f t="shared" si="76"/>
        <v>0</v>
      </c>
      <c r="CL32" s="302">
        <f t="shared" si="77"/>
        <v>0</v>
      </c>
      <c r="CM32" s="254">
        <f t="shared" si="49"/>
        <v>39874.982115395047</v>
      </c>
      <c r="CO32" s="301">
        <f t="shared" si="78"/>
        <v>1160</v>
      </c>
      <c r="CP32" s="302">
        <f t="shared" si="79"/>
        <v>23808.935635733556</v>
      </c>
      <c r="CQ32" s="302">
        <f t="shared" si="80"/>
        <v>0</v>
      </c>
      <c r="CR32" s="302">
        <f t="shared" si="81"/>
        <v>0</v>
      </c>
      <c r="CS32" s="302">
        <f t="shared" si="82"/>
        <v>0</v>
      </c>
      <c r="CT32" s="302">
        <f t="shared" si="83"/>
        <v>0</v>
      </c>
      <c r="CU32" s="302">
        <f t="shared" si="84"/>
        <v>0</v>
      </c>
      <c r="CV32" s="302">
        <f t="shared" si="85"/>
        <v>0</v>
      </c>
      <c r="CW32" s="302">
        <f t="shared" si="86"/>
        <v>0</v>
      </c>
      <c r="CX32" s="302">
        <f t="shared" si="87"/>
        <v>0</v>
      </c>
      <c r="CY32" s="302">
        <f t="shared" si="88"/>
        <v>0</v>
      </c>
      <c r="CZ32" s="302">
        <f t="shared" si="89"/>
        <v>8712.7911839999997</v>
      </c>
      <c r="DA32" s="302">
        <f t="shared" si="90"/>
        <v>6738.9136541904709</v>
      </c>
      <c r="DB32" s="302">
        <f t="shared" si="91"/>
        <v>0</v>
      </c>
      <c r="DC32" s="302">
        <f t="shared" si="92"/>
        <v>0</v>
      </c>
      <c r="DD32" s="302">
        <f t="shared" si="93"/>
        <v>0</v>
      </c>
      <c r="DE32" s="302">
        <f t="shared" si="94"/>
        <v>0</v>
      </c>
      <c r="DF32" s="302">
        <f t="shared" si="95"/>
        <v>0</v>
      </c>
      <c r="DG32" s="302">
        <f t="shared" si="96"/>
        <v>0</v>
      </c>
      <c r="DH32" s="302">
        <f t="shared" si="97"/>
        <v>0</v>
      </c>
      <c r="DI32" s="302">
        <f t="shared" si="98"/>
        <v>0</v>
      </c>
      <c r="DJ32" s="254">
        <f t="shared" ref="DJ32:DJ45" si="99">SUM(CO32:DI32)</f>
        <v>40420.640473924032</v>
      </c>
    </row>
    <row r="33" spans="1:114" x14ac:dyDescent="0.2">
      <c r="A33" s="196" t="str">
        <f>Est2018DistRev!A33</f>
        <v>CGB</v>
      </c>
      <c r="B33" s="234" t="str">
        <f t="shared" si="56"/>
        <v>Non-Residential Bulk Demand Tariff</v>
      </c>
      <c r="C33" s="234" t="str">
        <f>Est2018DistRev!B33</f>
        <v>Non-Residential Bulk Demand Tariff</v>
      </c>
      <c r="D33" s="786">
        <v>140</v>
      </c>
      <c r="E33" s="787">
        <v>3</v>
      </c>
      <c r="F33" s="787">
        <v>0</v>
      </c>
      <c r="G33" s="787">
        <v>0</v>
      </c>
      <c r="H33" s="787">
        <v>0</v>
      </c>
      <c r="I33" s="787">
        <v>0</v>
      </c>
      <c r="J33" s="787">
        <v>0</v>
      </c>
      <c r="K33" s="787">
        <v>0</v>
      </c>
      <c r="L33" s="787">
        <v>0</v>
      </c>
      <c r="M33" s="787">
        <v>0</v>
      </c>
      <c r="N33" s="787">
        <v>0</v>
      </c>
      <c r="O33" s="787">
        <v>8.35</v>
      </c>
      <c r="P33" s="787">
        <v>2.78</v>
      </c>
      <c r="Q33" s="787">
        <v>0</v>
      </c>
      <c r="R33" s="787">
        <v>0</v>
      </c>
      <c r="S33" s="787">
        <v>0</v>
      </c>
      <c r="T33" s="787">
        <v>0</v>
      </c>
      <c r="U33" s="787">
        <v>0</v>
      </c>
      <c r="V33" s="787">
        <v>0</v>
      </c>
      <c r="W33" s="787">
        <v>0</v>
      </c>
      <c r="X33" s="682">
        <v>0</v>
      </c>
      <c r="Z33" s="246">
        <f>Est2018DistRev!D33</f>
        <v>125</v>
      </c>
      <c r="AA33" s="247">
        <f>Est2018DistRev!E33</f>
        <v>2.99</v>
      </c>
      <c r="AB33" s="247">
        <f>Est2018DistRev!F33</f>
        <v>0</v>
      </c>
      <c r="AC33" s="247">
        <f>Est2018DistRev!G33</f>
        <v>0</v>
      </c>
      <c r="AD33" s="247">
        <f>Est2018DistRev!H33</f>
        <v>0</v>
      </c>
      <c r="AE33" s="247">
        <f>Est2018DistRev!I33</f>
        <v>0</v>
      </c>
      <c r="AF33" s="247">
        <f>Est2018DistRev!J33</f>
        <v>0</v>
      </c>
      <c r="AG33" s="247">
        <f>Est2018DistRev!K33</f>
        <v>0</v>
      </c>
      <c r="AH33" s="247">
        <f>Est2018DistRev!L33</f>
        <v>0</v>
      </c>
      <c r="AI33" s="247">
        <f>Est2018DistRev!M33</f>
        <v>0</v>
      </c>
      <c r="AJ33" s="247">
        <f>Est2018DistRev!N33</f>
        <v>0</v>
      </c>
      <c r="AK33" s="247">
        <f>Est2018DistRev!O33</f>
        <v>7.94</v>
      </c>
      <c r="AL33" s="247">
        <f>Est2018DistRev!P33</f>
        <v>2.64</v>
      </c>
      <c r="AM33" s="247">
        <f>Est2018DistRev!Q33</f>
        <v>0</v>
      </c>
      <c r="AN33" s="247">
        <f>Est2018DistRev!R33</f>
        <v>0</v>
      </c>
      <c r="AO33" s="247">
        <f>Est2018DistRev!S33</f>
        <v>0</v>
      </c>
      <c r="AP33" s="247">
        <f>Est2018DistRev!T33</f>
        <v>0</v>
      </c>
      <c r="AQ33" s="247">
        <f>Est2018DistRev!U33</f>
        <v>0</v>
      </c>
      <c r="AR33" s="247">
        <f>Est2018DistRev!V33</f>
        <v>0</v>
      </c>
      <c r="AS33" s="247">
        <f>Est2018DistRev!W33</f>
        <v>0</v>
      </c>
      <c r="AT33" s="248">
        <f>Est2018DistRev!X33</f>
        <v>0</v>
      </c>
      <c r="AV33" s="790">
        <v>4</v>
      </c>
      <c r="AW33" s="789">
        <v>534045.01309481997</v>
      </c>
      <c r="AX33" s="789">
        <v>0</v>
      </c>
      <c r="AY33" s="789">
        <v>0</v>
      </c>
      <c r="AZ33" s="789">
        <v>0</v>
      </c>
      <c r="BA33" s="789">
        <v>0</v>
      </c>
      <c r="BB33" s="789">
        <v>0</v>
      </c>
      <c r="BC33" s="789">
        <v>0</v>
      </c>
      <c r="BD33" s="789">
        <v>0</v>
      </c>
      <c r="BE33" s="789">
        <v>0</v>
      </c>
      <c r="BF33" s="789">
        <v>0</v>
      </c>
      <c r="BG33" s="789">
        <v>411.36879999999996</v>
      </c>
      <c r="BH33" s="789">
        <v>954.5203476190469</v>
      </c>
      <c r="BI33" s="789">
        <v>0</v>
      </c>
      <c r="BJ33" s="789">
        <v>0</v>
      </c>
      <c r="BK33" s="789">
        <v>0</v>
      </c>
      <c r="BL33" s="789">
        <v>0</v>
      </c>
      <c r="BM33" s="789">
        <v>0</v>
      </c>
      <c r="BN33" s="789">
        <v>0</v>
      </c>
      <c r="BO33" s="789">
        <v>0</v>
      </c>
      <c r="BP33" s="655">
        <v>0</v>
      </c>
      <c r="BR33" s="301">
        <f t="shared" si="57"/>
        <v>560</v>
      </c>
      <c r="BS33" s="302">
        <f t="shared" si="58"/>
        <v>16021.350392844599</v>
      </c>
      <c r="BT33" s="302">
        <f t="shared" si="59"/>
        <v>0</v>
      </c>
      <c r="BU33" s="302">
        <f t="shared" si="60"/>
        <v>0</v>
      </c>
      <c r="BV33" s="302">
        <f t="shared" si="61"/>
        <v>0</v>
      </c>
      <c r="BW33" s="302">
        <f t="shared" si="62"/>
        <v>0</v>
      </c>
      <c r="BX33" s="302">
        <f t="shared" si="63"/>
        <v>0</v>
      </c>
      <c r="BY33" s="302">
        <f t="shared" si="64"/>
        <v>0</v>
      </c>
      <c r="BZ33" s="302">
        <f t="shared" si="65"/>
        <v>0</v>
      </c>
      <c r="CA33" s="302">
        <f t="shared" si="66"/>
        <v>0</v>
      </c>
      <c r="CB33" s="302">
        <f t="shared" si="67"/>
        <v>0</v>
      </c>
      <c r="CC33" s="302">
        <f t="shared" si="68"/>
        <v>3434.9294799999998</v>
      </c>
      <c r="CD33" s="302">
        <f t="shared" si="69"/>
        <v>2653.56656638095</v>
      </c>
      <c r="CE33" s="302">
        <f t="shared" si="70"/>
        <v>0</v>
      </c>
      <c r="CF33" s="302">
        <f t="shared" si="71"/>
        <v>0</v>
      </c>
      <c r="CG33" s="302">
        <f t="shared" si="72"/>
        <v>0</v>
      </c>
      <c r="CH33" s="302">
        <f t="shared" si="73"/>
        <v>0</v>
      </c>
      <c r="CI33" s="302">
        <f t="shared" si="74"/>
        <v>0</v>
      </c>
      <c r="CJ33" s="302">
        <f t="shared" si="75"/>
        <v>0</v>
      </c>
      <c r="CK33" s="302">
        <f t="shared" si="76"/>
        <v>0</v>
      </c>
      <c r="CL33" s="302">
        <f t="shared" si="77"/>
        <v>0</v>
      </c>
      <c r="CM33" s="254">
        <f t="shared" si="49"/>
        <v>22669.846439225548</v>
      </c>
      <c r="CO33" s="301">
        <f t="shared" si="78"/>
        <v>500</v>
      </c>
      <c r="CP33" s="302">
        <f t="shared" si="79"/>
        <v>15967.945891535119</v>
      </c>
      <c r="CQ33" s="302">
        <f t="shared" si="80"/>
        <v>0</v>
      </c>
      <c r="CR33" s="302">
        <f t="shared" si="81"/>
        <v>0</v>
      </c>
      <c r="CS33" s="302">
        <f t="shared" si="82"/>
        <v>0</v>
      </c>
      <c r="CT33" s="302">
        <f t="shared" si="83"/>
        <v>0</v>
      </c>
      <c r="CU33" s="302">
        <f t="shared" si="84"/>
        <v>0</v>
      </c>
      <c r="CV33" s="302">
        <f t="shared" si="85"/>
        <v>0</v>
      </c>
      <c r="CW33" s="302">
        <f t="shared" si="86"/>
        <v>0</v>
      </c>
      <c r="CX33" s="302">
        <f t="shared" si="87"/>
        <v>0</v>
      </c>
      <c r="CY33" s="302">
        <f t="shared" si="88"/>
        <v>0</v>
      </c>
      <c r="CZ33" s="302">
        <f t="shared" si="89"/>
        <v>3266.2682719999998</v>
      </c>
      <c r="DA33" s="302">
        <f t="shared" si="90"/>
        <v>2519.9337177142838</v>
      </c>
      <c r="DB33" s="302">
        <f t="shared" si="91"/>
        <v>0</v>
      </c>
      <c r="DC33" s="302">
        <f t="shared" si="92"/>
        <v>0</v>
      </c>
      <c r="DD33" s="302">
        <f t="shared" si="93"/>
        <v>0</v>
      </c>
      <c r="DE33" s="302">
        <f t="shared" si="94"/>
        <v>0</v>
      </c>
      <c r="DF33" s="302">
        <f t="shared" si="95"/>
        <v>0</v>
      </c>
      <c r="DG33" s="302">
        <f t="shared" si="96"/>
        <v>0</v>
      </c>
      <c r="DH33" s="302">
        <f t="shared" si="97"/>
        <v>0</v>
      </c>
      <c r="DI33" s="302">
        <f t="shared" si="98"/>
        <v>0</v>
      </c>
      <c r="DJ33" s="254">
        <f t="shared" si="99"/>
        <v>22254.147881249406</v>
      </c>
    </row>
    <row r="34" spans="1:114" x14ac:dyDescent="0.2">
      <c r="A34" s="196" t="str">
        <f>Est2018DistRev!A34</f>
        <v>CMG</v>
      </c>
      <c r="B34" s="234" t="str">
        <f t="shared" si="56"/>
        <v>Medium Business Demand</v>
      </c>
      <c r="C34" s="234" t="str">
        <f>Est2018DistRev!B34</f>
        <v>Medium Business Demand</v>
      </c>
      <c r="D34" s="786">
        <v>1000</v>
      </c>
      <c r="E34" s="787">
        <v>0</v>
      </c>
      <c r="F34" s="787">
        <v>4.2</v>
      </c>
      <c r="G34" s="787">
        <v>0</v>
      </c>
      <c r="H34" s="787">
        <v>0</v>
      </c>
      <c r="I34" s="787">
        <v>3.21</v>
      </c>
      <c r="J34" s="787">
        <v>0</v>
      </c>
      <c r="K34" s="787">
        <v>0</v>
      </c>
      <c r="L34" s="787">
        <v>0</v>
      </c>
      <c r="M34" s="787">
        <v>0</v>
      </c>
      <c r="N34" s="787">
        <v>0</v>
      </c>
      <c r="O34" s="787">
        <v>5.69</v>
      </c>
      <c r="P34" s="787">
        <v>2.84</v>
      </c>
      <c r="Q34" s="787">
        <v>0</v>
      </c>
      <c r="R34" s="787">
        <v>0</v>
      </c>
      <c r="S34" s="787">
        <v>0</v>
      </c>
      <c r="T34" s="787">
        <v>0</v>
      </c>
      <c r="U34" s="787">
        <v>0</v>
      </c>
      <c r="V34" s="787">
        <v>0</v>
      </c>
      <c r="W34" s="787">
        <v>0</v>
      </c>
      <c r="X34" s="682">
        <v>0</v>
      </c>
      <c r="Z34" s="246">
        <f>Est2018DistRev!D34</f>
        <v>800</v>
      </c>
      <c r="AA34" s="247">
        <f>Est2018DistRev!E34</f>
        <v>0</v>
      </c>
      <c r="AB34" s="247">
        <f>Est2018DistRev!F34</f>
        <v>5.44</v>
      </c>
      <c r="AC34" s="247">
        <f>Est2018DistRev!G34</f>
        <v>0</v>
      </c>
      <c r="AD34" s="247">
        <f>Est2018DistRev!H34</f>
        <v>0</v>
      </c>
      <c r="AE34" s="247">
        <f>Est2018DistRev!I34</f>
        <v>3.21</v>
      </c>
      <c r="AF34" s="247">
        <f>Est2018DistRev!J34</f>
        <v>0</v>
      </c>
      <c r="AG34" s="247">
        <f>Est2018DistRev!K34</f>
        <v>0</v>
      </c>
      <c r="AH34" s="247">
        <f>Est2018DistRev!L34</f>
        <v>0</v>
      </c>
      <c r="AI34" s="247">
        <f>Est2018DistRev!M34</f>
        <v>0</v>
      </c>
      <c r="AJ34" s="247">
        <f>Est2018DistRev!N34</f>
        <v>0</v>
      </c>
      <c r="AK34" s="247">
        <f>Est2018DistRev!O34</f>
        <v>2.73</v>
      </c>
      <c r="AL34" s="247">
        <f>Est2018DistRev!P34</f>
        <v>1.37</v>
      </c>
      <c r="AM34" s="247">
        <f>Est2018DistRev!Q34</f>
        <v>0</v>
      </c>
      <c r="AN34" s="247">
        <f>Est2018DistRev!R34</f>
        <v>0</v>
      </c>
      <c r="AO34" s="247">
        <f>Est2018DistRev!S34</f>
        <v>0</v>
      </c>
      <c r="AP34" s="247">
        <f>Est2018DistRev!T34</f>
        <v>0</v>
      </c>
      <c r="AQ34" s="247">
        <f>Est2018DistRev!U34</f>
        <v>0</v>
      </c>
      <c r="AR34" s="247">
        <f>Est2018DistRev!V34</f>
        <v>0</v>
      </c>
      <c r="AS34" s="247">
        <f>Est2018DistRev!W34</f>
        <v>0</v>
      </c>
      <c r="AT34" s="248">
        <f>Est2018DistRev!X34</f>
        <v>0</v>
      </c>
      <c r="AV34" s="790">
        <v>4548</v>
      </c>
      <c r="AW34" s="789">
        <v>0</v>
      </c>
      <c r="AX34" s="789">
        <v>365166105.04280096</v>
      </c>
      <c r="AY34" s="789">
        <v>0</v>
      </c>
      <c r="AZ34" s="789">
        <v>0</v>
      </c>
      <c r="BA34" s="789">
        <v>263865736.50712213</v>
      </c>
      <c r="BB34" s="789">
        <v>0</v>
      </c>
      <c r="BC34" s="789">
        <v>0</v>
      </c>
      <c r="BD34" s="789">
        <v>0</v>
      </c>
      <c r="BE34" s="789">
        <v>0</v>
      </c>
      <c r="BF34" s="789">
        <v>0</v>
      </c>
      <c r="BG34" s="789">
        <v>730223.77142460272</v>
      </c>
      <c r="BH34" s="789">
        <v>1303005.7703119123</v>
      </c>
      <c r="BI34" s="789">
        <v>0</v>
      </c>
      <c r="BJ34" s="789">
        <v>0</v>
      </c>
      <c r="BK34" s="789">
        <v>0</v>
      </c>
      <c r="BL34" s="789">
        <v>0</v>
      </c>
      <c r="BM34" s="789">
        <v>0</v>
      </c>
      <c r="BN34" s="789">
        <v>0</v>
      </c>
      <c r="BO34" s="789">
        <v>0</v>
      </c>
      <c r="BP34" s="655">
        <v>0</v>
      </c>
      <c r="BR34" s="301">
        <f t="shared" si="57"/>
        <v>4548000</v>
      </c>
      <c r="BS34" s="302">
        <f t="shared" si="58"/>
        <v>0</v>
      </c>
      <c r="BT34" s="302">
        <f t="shared" si="59"/>
        <v>15336976.411797641</v>
      </c>
      <c r="BU34" s="302">
        <f t="shared" si="60"/>
        <v>0</v>
      </c>
      <c r="BV34" s="302">
        <f t="shared" si="61"/>
        <v>0</v>
      </c>
      <c r="BW34" s="302">
        <f t="shared" si="62"/>
        <v>8470090.1418786198</v>
      </c>
      <c r="BX34" s="302">
        <f t="shared" si="63"/>
        <v>0</v>
      </c>
      <c r="BY34" s="302">
        <f t="shared" si="64"/>
        <v>0</v>
      </c>
      <c r="BZ34" s="302">
        <f t="shared" si="65"/>
        <v>0</v>
      </c>
      <c r="CA34" s="302">
        <f t="shared" si="66"/>
        <v>0</v>
      </c>
      <c r="CB34" s="302">
        <f t="shared" si="67"/>
        <v>0</v>
      </c>
      <c r="CC34" s="302">
        <f t="shared" si="68"/>
        <v>4154973.2594059897</v>
      </c>
      <c r="CD34" s="302">
        <f t="shared" si="69"/>
        <v>3700536.3876858307</v>
      </c>
      <c r="CE34" s="302">
        <f t="shared" si="70"/>
        <v>0</v>
      </c>
      <c r="CF34" s="302">
        <f t="shared" si="71"/>
        <v>0</v>
      </c>
      <c r="CG34" s="302">
        <f t="shared" si="72"/>
        <v>0</v>
      </c>
      <c r="CH34" s="302">
        <f t="shared" si="73"/>
        <v>0</v>
      </c>
      <c r="CI34" s="302">
        <f t="shared" si="74"/>
        <v>0</v>
      </c>
      <c r="CJ34" s="302">
        <f t="shared" si="75"/>
        <v>0</v>
      </c>
      <c r="CK34" s="302">
        <f t="shared" si="76"/>
        <v>0</v>
      </c>
      <c r="CL34" s="302">
        <f t="shared" si="77"/>
        <v>0</v>
      </c>
      <c r="CM34" s="254">
        <f t="shared" si="49"/>
        <v>36210576.200768083</v>
      </c>
      <c r="CO34" s="301">
        <f t="shared" si="78"/>
        <v>3638400</v>
      </c>
      <c r="CP34" s="302">
        <f t="shared" si="79"/>
        <v>0</v>
      </c>
      <c r="CQ34" s="302">
        <f t="shared" si="80"/>
        <v>19865036.114328373</v>
      </c>
      <c r="CR34" s="302">
        <f t="shared" si="81"/>
        <v>0</v>
      </c>
      <c r="CS34" s="302">
        <f t="shared" si="82"/>
        <v>0</v>
      </c>
      <c r="CT34" s="302">
        <f t="shared" si="83"/>
        <v>8470090.1418786198</v>
      </c>
      <c r="CU34" s="302">
        <f t="shared" si="84"/>
        <v>0</v>
      </c>
      <c r="CV34" s="302">
        <f t="shared" si="85"/>
        <v>0</v>
      </c>
      <c r="CW34" s="302">
        <f t="shared" si="86"/>
        <v>0</v>
      </c>
      <c r="CX34" s="302">
        <f t="shared" si="87"/>
        <v>0</v>
      </c>
      <c r="CY34" s="302">
        <f t="shared" si="88"/>
        <v>0</v>
      </c>
      <c r="CZ34" s="302">
        <f t="shared" si="89"/>
        <v>1993510.8959891654</v>
      </c>
      <c r="DA34" s="302">
        <f t="shared" si="90"/>
        <v>1785117.9053273199</v>
      </c>
      <c r="DB34" s="302">
        <f t="shared" si="91"/>
        <v>0</v>
      </c>
      <c r="DC34" s="302">
        <f t="shared" si="92"/>
        <v>0</v>
      </c>
      <c r="DD34" s="302">
        <f t="shared" si="93"/>
        <v>0</v>
      </c>
      <c r="DE34" s="302">
        <f t="shared" si="94"/>
        <v>0</v>
      </c>
      <c r="DF34" s="302">
        <f t="shared" si="95"/>
        <v>0</v>
      </c>
      <c r="DG34" s="302">
        <f t="shared" si="96"/>
        <v>0</v>
      </c>
      <c r="DH34" s="302">
        <f t="shared" si="97"/>
        <v>0</v>
      </c>
      <c r="DI34" s="302">
        <f t="shared" si="98"/>
        <v>0</v>
      </c>
      <c r="DJ34" s="254">
        <f t="shared" si="99"/>
        <v>35752155.057523482</v>
      </c>
    </row>
    <row r="35" spans="1:114" x14ac:dyDescent="0.2">
      <c r="A35" s="196" t="str">
        <f>Est2018DistRev!A35</f>
        <v>CMGB</v>
      </c>
      <c r="B35" s="234" t="str">
        <f t="shared" si="56"/>
        <v>Medium Business Bulk Demand</v>
      </c>
      <c r="C35" s="234" t="str">
        <f>Est2018DistRev!B35</f>
        <v>Medium Business Bulk Demand</v>
      </c>
      <c r="D35" s="786">
        <v>975</v>
      </c>
      <c r="E35" s="787">
        <v>0</v>
      </c>
      <c r="F35" s="787">
        <v>3.33</v>
      </c>
      <c r="G35" s="787">
        <v>0</v>
      </c>
      <c r="H35" s="787">
        <v>0</v>
      </c>
      <c r="I35" s="787">
        <v>2.66</v>
      </c>
      <c r="J35" s="787">
        <v>0</v>
      </c>
      <c r="K35" s="787">
        <v>0</v>
      </c>
      <c r="L35" s="787">
        <v>0</v>
      </c>
      <c r="M35" s="787">
        <v>0</v>
      </c>
      <c r="N35" s="787">
        <v>0</v>
      </c>
      <c r="O35" s="787">
        <v>4.55</v>
      </c>
      <c r="P35" s="787">
        <v>2.2799999999999998</v>
      </c>
      <c r="Q35" s="787">
        <v>0</v>
      </c>
      <c r="R35" s="787">
        <v>0</v>
      </c>
      <c r="S35" s="787">
        <v>0</v>
      </c>
      <c r="T35" s="787">
        <v>0</v>
      </c>
      <c r="U35" s="787">
        <v>0</v>
      </c>
      <c r="V35" s="787">
        <v>0</v>
      </c>
      <c r="W35" s="787">
        <v>0</v>
      </c>
      <c r="X35" s="682">
        <v>0</v>
      </c>
      <c r="Z35" s="246">
        <f>Est2018DistRev!D35</f>
        <v>800</v>
      </c>
      <c r="AA35" s="247">
        <f>Est2018DistRev!E35</f>
        <v>0</v>
      </c>
      <c r="AB35" s="247">
        <f>Est2018DistRev!F35</f>
        <v>3.99</v>
      </c>
      <c r="AC35" s="247">
        <f>Est2018DistRev!G35</f>
        <v>0</v>
      </c>
      <c r="AD35" s="247">
        <f>Est2018DistRev!H35</f>
        <v>0</v>
      </c>
      <c r="AE35" s="247">
        <f>Est2018DistRev!I35</f>
        <v>2.5299999999999998</v>
      </c>
      <c r="AF35" s="247">
        <f>Est2018DistRev!J35</f>
        <v>0</v>
      </c>
      <c r="AG35" s="247">
        <f>Est2018DistRev!K35</f>
        <v>0</v>
      </c>
      <c r="AH35" s="247">
        <f>Est2018DistRev!L35</f>
        <v>0</v>
      </c>
      <c r="AI35" s="247">
        <f>Est2018DistRev!M35</f>
        <v>0</v>
      </c>
      <c r="AJ35" s="247">
        <f>Est2018DistRev!N35</f>
        <v>0</v>
      </c>
      <c r="AK35" s="247">
        <f>Est2018DistRev!O35</f>
        <v>2.0499999999999998</v>
      </c>
      <c r="AL35" s="247">
        <f>Est2018DistRev!P35</f>
        <v>1.03</v>
      </c>
      <c r="AM35" s="247">
        <f>Est2018DistRev!Q35</f>
        <v>0</v>
      </c>
      <c r="AN35" s="247">
        <f>Est2018DistRev!R35</f>
        <v>0</v>
      </c>
      <c r="AO35" s="247">
        <f>Est2018DistRev!S35</f>
        <v>0</v>
      </c>
      <c r="AP35" s="247">
        <f>Est2018DistRev!T35</f>
        <v>0</v>
      </c>
      <c r="AQ35" s="247">
        <f>Est2018DistRev!U35</f>
        <v>0</v>
      </c>
      <c r="AR35" s="247">
        <f>Est2018DistRev!V35</f>
        <v>0</v>
      </c>
      <c r="AS35" s="247">
        <f>Est2018DistRev!W35</f>
        <v>0</v>
      </c>
      <c r="AT35" s="248">
        <f>Est2018DistRev!X35</f>
        <v>0</v>
      </c>
      <c r="AV35" s="790">
        <v>2221.9166666666665</v>
      </c>
      <c r="AW35" s="789">
        <v>0</v>
      </c>
      <c r="AX35" s="789">
        <v>255479964.6620293</v>
      </c>
      <c r="AY35" s="789">
        <v>0</v>
      </c>
      <c r="AZ35" s="789">
        <v>0</v>
      </c>
      <c r="BA35" s="789">
        <v>173141256.77774215</v>
      </c>
      <c r="BB35" s="789">
        <v>0</v>
      </c>
      <c r="BC35" s="789">
        <v>0</v>
      </c>
      <c r="BD35" s="789">
        <v>0</v>
      </c>
      <c r="BE35" s="789">
        <v>0</v>
      </c>
      <c r="BF35" s="789">
        <v>0</v>
      </c>
      <c r="BG35" s="789">
        <v>520621.07651825261</v>
      </c>
      <c r="BH35" s="789">
        <v>868527.91268999258</v>
      </c>
      <c r="BI35" s="789">
        <v>0</v>
      </c>
      <c r="BJ35" s="789">
        <v>0</v>
      </c>
      <c r="BK35" s="789">
        <v>0</v>
      </c>
      <c r="BL35" s="789">
        <v>0</v>
      </c>
      <c r="BM35" s="789">
        <v>0</v>
      </c>
      <c r="BN35" s="789">
        <v>0</v>
      </c>
      <c r="BO35" s="789">
        <v>0</v>
      </c>
      <c r="BP35" s="655">
        <v>0</v>
      </c>
      <c r="BR35" s="301">
        <f t="shared" si="57"/>
        <v>2166368.75</v>
      </c>
      <c r="BS35" s="302">
        <f t="shared" si="58"/>
        <v>0</v>
      </c>
      <c r="BT35" s="302">
        <f t="shared" si="59"/>
        <v>8507482.8232455757</v>
      </c>
      <c r="BU35" s="302">
        <f t="shared" si="60"/>
        <v>0</v>
      </c>
      <c r="BV35" s="302">
        <f t="shared" si="61"/>
        <v>0</v>
      </c>
      <c r="BW35" s="302">
        <f t="shared" si="62"/>
        <v>4605557.4302879414</v>
      </c>
      <c r="BX35" s="302">
        <f t="shared" si="63"/>
        <v>0</v>
      </c>
      <c r="BY35" s="302">
        <f t="shared" si="64"/>
        <v>0</v>
      </c>
      <c r="BZ35" s="302">
        <f t="shared" si="65"/>
        <v>0</v>
      </c>
      <c r="CA35" s="302">
        <f t="shared" si="66"/>
        <v>0</v>
      </c>
      <c r="CB35" s="302">
        <f t="shared" si="67"/>
        <v>0</v>
      </c>
      <c r="CC35" s="302">
        <f t="shared" si="68"/>
        <v>2368825.8981580492</v>
      </c>
      <c r="CD35" s="302">
        <f t="shared" si="69"/>
        <v>1980243.6409331828</v>
      </c>
      <c r="CE35" s="302">
        <f t="shared" si="70"/>
        <v>0</v>
      </c>
      <c r="CF35" s="302">
        <f t="shared" si="71"/>
        <v>0</v>
      </c>
      <c r="CG35" s="302">
        <f t="shared" si="72"/>
        <v>0</v>
      </c>
      <c r="CH35" s="302">
        <f t="shared" si="73"/>
        <v>0</v>
      </c>
      <c r="CI35" s="302">
        <f t="shared" si="74"/>
        <v>0</v>
      </c>
      <c r="CJ35" s="302">
        <f t="shared" si="75"/>
        <v>0</v>
      </c>
      <c r="CK35" s="302">
        <f t="shared" si="76"/>
        <v>0</v>
      </c>
      <c r="CL35" s="302">
        <f t="shared" si="77"/>
        <v>0</v>
      </c>
      <c r="CM35" s="254">
        <f t="shared" si="49"/>
        <v>19628478.542624746</v>
      </c>
      <c r="CO35" s="301">
        <f t="shared" si="78"/>
        <v>1777533.3333333333</v>
      </c>
      <c r="CP35" s="302">
        <f t="shared" si="79"/>
        <v>0</v>
      </c>
      <c r="CQ35" s="302">
        <f t="shared" si="80"/>
        <v>10193650.59001497</v>
      </c>
      <c r="CR35" s="302">
        <f t="shared" si="81"/>
        <v>0</v>
      </c>
      <c r="CS35" s="302">
        <f t="shared" si="82"/>
        <v>0</v>
      </c>
      <c r="CT35" s="302">
        <f t="shared" si="83"/>
        <v>4380473.7964768764</v>
      </c>
      <c r="CU35" s="302">
        <f t="shared" si="84"/>
        <v>0</v>
      </c>
      <c r="CV35" s="302">
        <f t="shared" si="85"/>
        <v>0</v>
      </c>
      <c r="CW35" s="302">
        <f t="shared" si="86"/>
        <v>0</v>
      </c>
      <c r="CX35" s="302">
        <f t="shared" si="87"/>
        <v>0</v>
      </c>
      <c r="CY35" s="302">
        <f t="shared" si="88"/>
        <v>0</v>
      </c>
      <c r="CZ35" s="302">
        <f t="shared" si="89"/>
        <v>1067273.2068624177</v>
      </c>
      <c r="DA35" s="302">
        <f t="shared" si="90"/>
        <v>894583.75007069239</v>
      </c>
      <c r="DB35" s="302">
        <f t="shared" si="91"/>
        <v>0</v>
      </c>
      <c r="DC35" s="302">
        <f t="shared" si="92"/>
        <v>0</v>
      </c>
      <c r="DD35" s="302">
        <f t="shared" si="93"/>
        <v>0</v>
      </c>
      <c r="DE35" s="302">
        <f t="shared" si="94"/>
        <v>0</v>
      </c>
      <c r="DF35" s="302">
        <f t="shared" si="95"/>
        <v>0</v>
      </c>
      <c r="DG35" s="302">
        <f t="shared" si="96"/>
        <v>0</v>
      </c>
      <c r="DH35" s="302">
        <f t="shared" si="97"/>
        <v>0</v>
      </c>
      <c r="DI35" s="302">
        <f t="shared" si="98"/>
        <v>0</v>
      </c>
      <c r="DJ35" s="254">
        <f t="shared" si="99"/>
        <v>18313514.676758289</v>
      </c>
    </row>
    <row r="36" spans="1:114" x14ac:dyDescent="0.2">
      <c r="A36" s="196" t="str">
        <f>Est2018DistRev!A36</f>
        <v>CMGO</v>
      </c>
      <c r="B36" s="234" t="str">
        <f t="shared" si="56"/>
        <v>Medium Business Opt-out</v>
      </c>
      <c r="C36" s="234" t="str">
        <f>Est2018DistRev!B36</f>
        <v>Medium Business Opt-out</v>
      </c>
      <c r="D36" s="786">
        <v>1000</v>
      </c>
      <c r="E36" s="787">
        <v>0</v>
      </c>
      <c r="F36" s="787">
        <v>8.32</v>
      </c>
      <c r="G36" s="787">
        <v>0</v>
      </c>
      <c r="H36" s="787">
        <v>0</v>
      </c>
      <c r="I36" s="787">
        <v>3.32</v>
      </c>
      <c r="J36" s="787">
        <v>0</v>
      </c>
      <c r="K36" s="787">
        <v>0</v>
      </c>
      <c r="L36" s="787">
        <v>0</v>
      </c>
      <c r="M36" s="787">
        <v>0</v>
      </c>
      <c r="N36" s="787">
        <v>0</v>
      </c>
      <c r="O36" s="787">
        <v>0</v>
      </c>
      <c r="P36" s="787">
        <v>0</v>
      </c>
      <c r="Q36" s="787">
        <v>0</v>
      </c>
      <c r="R36" s="787">
        <v>0</v>
      </c>
      <c r="S36" s="787">
        <v>0</v>
      </c>
      <c r="T36" s="787">
        <v>0</v>
      </c>
      <c r="U36" s="787">
        <v>0</v>
      </c>
      <c r="V36" s="787">
        <v>0</v>
      </c>
      <c r="W36" s="787">
        <v>0</v>
      </c>
      <c r="X36" s="682">
        <v>0</v>
      </c>
      <c r="Z36" s="246">
        <f>Est2018DistRev!D36</f>
        <v>800</v>
      </c>
      <c r="AA36" s="247">
        <f>Est2018DistRev!E36</f>
        <v>0</v>
      </c>
      <c r="AB36" s="247">
        <f>Est2018DistRev!F36</f>
        <v>8.33</v>
      </c>
      <c r="AC36" s="247">
        <f>Est2018DistRev!G36</f>
        <v>0</v>
      </c>
      <c r="AD36" s="247">
        <f>Est2018DistRev!H36</f>
        <v>0</v>
      </c>
      <c r="AE36" s="247">
        <f>Est2018DistRev!I36</f>
        <v>3.34</v>
      </c>
      <c r="AF36" s="247">
        <f>Est2018DistRev!J36</f>
        <v>0</v>
      </c>
      <c r="AG36" s="247">
        <f>Est2018DistRev!K36</f>
        <v>0</v>
      </c>
      <c r="AH36" s="247">
        <f>Est2018DistRev!L36</f>
        <v>0</v>
      </c>
      <c r="AI36" s="247">
        <f>Est2018DistRev!M36</f>
        <v>0</v>
      </c>
      <c r="AJ36" s="247">
        <f>Est2018DistRev!N36</f>
        <v>0</v>
      </c>
      <c r="AK36" s="247">
        <f>Est2018DistRev!O36</f>
        <v>0</v>
      </c>
      <c r="AL36" s="247">
        <f>Est2018DistRev!P36</f>
        <v>0</v>
      </c>
      <c r="AM36" s="247">
        <f>Est2018DistRev!Q36</f>
        <v>0</v>
      </c>
      <c r="AN36" s="247">
        <f>Est2018DistRev!R36</f>
        <v>0</v>
      </c>
      <c r="AO36" s="247">
        <f>Est2018DistRev!S36</f>
        <v>0</v>
      </c>
      <c r="AP36" s="247">
        <f>Est2018DistRev!T36</f>
        <v>0</v>
      </c>
      <c r="AQ36" s="247">
        <f>Est2018DistRev!U36</f>
        <v>0</v>
      </c>
      <c r="AR36" s="247">
        <f>Est2018DistRev!V36</f>
        <v>0</v>
      </c>
      <c r="AS36" s="247">
        <f>Est2018DistRev!W36</f>
        <v>0</v>
      </c>
      <c r="AT36" s="248">
        <f>Est2018DistRev!X36</f>
        <v>0</v>
      </c>
      <c r="AV36" s="790">
        <v>7</v>
      </c>
      <c r="AW36" s="789">
        <v>0</v>
      </c>
      <c r="AX36" s="789">
        <v>296417.25372207933</v>
      </c>
      <c r="AY36" s="789">
        <v>0</v>
      </c>
      <c r="AZ36" s="789">
        <v>0</v>
      </c>
      <c r="BA36" s="789">
        <v>286499.78848501295</v>
      </c>
      <c r="BB36" s="789">
        <v>0</v>
      </c>
      <c r="BC36" s="789">
        <v>0</v>
      </c>
      <c r="BD36" s="789">
        <v>0</v>
      </c>
      <c r="BE36" s="789">
        <v>0</v>
      </c>
      <c r="BF36" s="789">
        <v>0</v>
      </c>
      <c r="BG36" s="789">
        <v>0</v>
      </c>
      <c r="BH36" s="789">
        <v>0</v>
      </c>
      <c r="BI36" s="789">
        <v>0</v>
      </c>
      <c r="BJ36" s="789">
        <v>0</v>
      </c>
      <c r="BK36" s="789">
        <v>0</v>
      </c>
      <c r="BL36" s="789">
        <v>0</v>
      </c>
      <c r="BM36" s="789">
        <v>0</v>
      </c>
      <c r="BN36" s="789">
        <v>0</v>
      </c>
      <c r="BO36" s="789">
        <v>0</v>
      </c>
      <c r="BP36" s="655">
        <v>0</v>
      </c>
      <c r="BR36" s="301">
        <f t="shared" si="57"/>
        <v>7000</v>
      </c>
      <c r="BS36" s="302">
        <f t="shared" si="58"/>
        <v>0</v>
      </c>
      <c r="BT36" s="302">
        <f t="shared" si="59"/>
        <v>24661.915509677001</v>
      </c>
      <c r="BU36" s="302">
        <f t="shared" si="60"/>
        <v>0</v>
      </c>
      <c r="BV36" s="302">
        <f t="shared" si="61"/>
        <v>0</v>
      </c>
      <c r="BW36" s="302">
        <f t="shared" si="62"/>
        <v>9511.7929777024292</v>
      </c>
      <c r="BX36" s="302">
        <f t="shared" si="63"/>
        <v>0</v>
      </c>
      <c r="BY36" s="302">
        <f t="shared" si="64"/>
        <v>0</v>
      </c>
      <c r="BZ36" s="302">
        <f t="shared" si="65"/>
        <v>0</v>
      </c>
      <c r="CA36" s="302">
        <f t="shared" si="66"/>
        <v>0</v>
      </c>
      <c r="CB36" s="302">
        <f t="shared" si="67"/>
        <v>0</v>
      </c>
      <c r="CC36" s="302">
        <f t="shared" si="68"/>
        <v>0</v>
      </c>
      <c r="CD36" s="302">
        <f t="shared" si="69"/>
        <v>0</v>
      </c>
      <c r="CE36" s="302">
        <f t="shared" si="70"/>
        <v>0</v>
      </c>
      <c r="CF36" s="302">
        <f t="shared" si="71"/>
        <v>0</v>
      </c>
      <c r="CG36" s="302">
        <f t="shared" si="72"/>
        <v>0</v>
      </c>
      <c r="CH36" s="302">
        <f t="shared" si="73"/>
        <v>0</v>
      </c>
      <c r="CI36" s="302">
        <f t="shared" si="74"/>
        <v>0</v>
      </c>
      <c r="CJ36" s="302">
        <f t="shared" si="75"/>
        <v>0</v>
      </c>
      <c r="CK36" s="302">
        <f t="shared" si="76"/>
        <v>0</v>
      </c>
      <c r="CL36" s="302">
        <f t="shared" si="77"/>
        <v>0</v>
      </c>
      <c r="CM36" s="254">
        <f t="shared" si="49"/>
        <v>41173.70848737943</v>
      </c>
      <c r="CO36" s="301">
        <f t="shared" si="78"/>
        <v>5600</v>
      </c>
      <c r="CP36" s="302">
        <f t="shared" si="79"/>
        <v>0</v>
      </c>
      <c r="CQ36" s="302">
        <f t="shared" si="80"/>
        <v>24691.557235049208</v>
      </c>
      <c r="CR36" s="302">
        <f t="shared" si="81"/>
        <v>0</v>
      </c>
      <c r="CS36" s="302">
        <f t="shared" si="82"/>
        <v>0</v>
      </c>
      <c r="CT36" s="302">
        <f t="shared" si="83"/>
        <v>9569.0929353994325</v>
      </c>
      <c r="CU36" s="302">
        <f t="shared" si="84"/>
        <v>0</v>
      </c>
      <c r="CV36" s="302">
        <f t="shared" si="85"/>
        <v>0</v>
      </c>
      <c r="CW36" s="302">
        <f t="shared" si="86"/>
        <v>0</v>
      </c>
      <c r="CX36" s="302">
        <f t="shared" si="87"/>
        <v>0</v>
      </c>
      <c r="CY36" s="302">
        <f t="shared" si="88"/>
        <v>0</v>
      </c>
      <c r="CZ36" s="302">
        <f t="shared" si="89"/>
        <v>0</v>
      </c>
      <c r="DA36" s="302">
        <f t="shared" si="90"/>
        <v>0</v>
      </c>
      <c r="DB36" s="302">
        <f t="shared" si="91"/>
        <v>0</v>
      </c>
      <c r="DC36" s="302">
        <f t="shared" si="92"/>
        <v>0</v>
      </c>
      <c r="DD36" s="302">
        <f t="shared" si="93"/>
        <v>0</v>
      </c>
      <c r="DE36" s="302">
        <f t="shared" si="94"/>
        <v>0</v>
      </c>
      <c r="DF36" s="302">
        <f t="shared" si="95"/>
        <v>0</v>
      </c>
      <c r="DG36" s="302">
        <f t="shared" si="96"/>
        <v>0</v>
      </c>
      <c r="DH36" s="302">
        <f t="shared" si="97"/>
        <v>0</v>
      </c>
      <c r="DI36" s="302">
        <f t="shared" si="98"/>
        <v>0</v>
      </c>
      <c r="DJ36" s="254">
        <f t="shared" si="99"/>
        <v>39860.650170448644</v>
      </c>
    </row>
    <row r="37" spans="1:114" x14ac:dyDescent="0.2">
      <c r="A37" s="196" t="str">
        <f>Est2018DistRev!A37</f>
        <v>CMGBO</v>
      </c>
      <c r="B37" s="234" t="str">
        <f t="shared" si="56"/>
        <v>Medium Business Bulk Opt-out</v>
      </c>
      <c r="C37" s="234" t="str">
        <f>Est2018DistRev!B37</f>
        <v>Medium Business Bulk Opt-out</v>
      </c>
      <c r="D37" s="786">
        <v>975</v>
      </c>
      <c r="E37" s="787">
        <v>0</v>
      </c>
      <c r="F37" s="787">
        <v>6.54</v>
      </c>
      <c r="G37" s="787">
        <v>0</v>
      </c>
      <c r="H37" s="787">
        <v>0</v>
      </c>
      <c r="I37" s="787">
        <v>2.75</v>
      </c>
      <c r="J37" s="787">
        <v>0</v>
      </c>
      <c r="K37" s="787">
        <v>0</v>
      </c>
      <c r="L37" s="787">
        <v>0</v>
      </c>
      <c r="M37" s="787">
        <v>0</v>
      </c>
      <c r="N37" s="787">
        <v>0</v>
      </c>
      <c r="O37" s="787">
        <v>0</v>
      </c>
      <c r="P37" s="787">
        <v>0</v>
      </c>
      <c r="Q37" s="787">
        <v>0</v>
      </c>
      <c r="R37" s="787">
        <v>0</v>
      </c>
      <c r="S37" s="787">
        <v>0</v>
      </c>
      <c r="T37" s="787">
        <v>0</v>
      </c>
      <c r="U37" s="787">
        <v>0</v>
      </c>
      <c r="V37" s="787">
        <v>0</v>
      </c>
      <c r="W37" s="787">
        <v>0</v>
      </c>
      <c r="X37" s="682">
        <v>0</v>
      </c>
      <c r="Z37" s="246">
        <f>Est2018DistRev!D37</f>
        <v>800</v>
      </c>
      <c r="AA37" s="247">
        <f>Est2018DistRev!E37</f>
        <v>0</v>
      </c>
      <c r="AB37" s="247">
        <f>Est2018DistRev!F37</f>
        <v>6.11</v>
      </c>
      <c r="AC37" s="247">
        <f>Est2018DistRev!G37</f>
        <v>0</v>
      </c>
      <c r="AD37" s="247">
        <f>Est2018DistRev!H37</f>
        <v>0</v>
      </c>
      <c r="AE37" s="247">
        <f>Est2018DistRev!I37</f>
        <v>2.62</v>
      </c>
      <c r="AF37" s="247">
        <f>Est2018DistRev!J37</f>
        <v>0</v>
      </c>
      <c r="AG37" s="247">
        <f>Est2018DistRev!K37</f>
        <v>0</v>
      </c>
      <c r="AH37" s="247">
        <f>Est2018DistRev!L37</f>
        <v>0</v>
      </c>
      <c r="AI37" s="247">
        <f>Est2018DistRev!M37</f>
        <v>0</v>
      </c>
      <c r="AJ37" s="247">
        <f>Est2018DistRev!N37</f>
        <v>0</v>
      </c>
      <c r="AK37" s="247">
        <f>Est2018DistRev!O37</f>
        <v>0</v>
      </c>
      <c r="AL37" s="247">
        <f>Est2018DistRev!P37</f>
        <v>0</v>
      </c>
      <c r="AM37" s="247">
        <f>Est2018DistRev!Q37</f>
        <v>0</v>
      </c>
      <c r="AN37" s="247">
        <f>Est2018DistRev!R37</f>
        <v>0</v>
      </c>
      <c r="AO37" s="247">
        <f>Est2018DistRev!S37</f>
        <v>0</v>
      </c>
      <c r="AP37" s="247">
        <f>Est2018DistRev!T37</f>
        <v>0</v>
      </c>
      <c r="AQ37" s="247">
        <f>Est2018DistRev!U37</f>
        <v>0</v>
      </c>
      <c r="AR37" s="247">
        <f>Est2018DistRev!V37</f>
        <v>0</v>
      </c>
      <c r="AS37" s="247">
        <f>Est2018DistRev!W37</f>
        <v>0</v>
      </c>
      <c r="AT37" s="248">
        <f>Est2018DistRev!X37</f>
        <v>0</v>
      </c>
      <c r="AV37" s="790">
        <v>9</v>
      </c>
      <c r="AW37" s="789">
        <v>0</v>
      </c>
      <c r="AX37" s="789">
        <v>630002.22370326216</v>
      </c>
      <c r="AY37" s="789">
        <v>0</v>
      </c>
      <c r="AZ37" s="789">
        <v>0</v>
      </c>
      <c r="BA37" s="789">
        <v>505149.35184775549</v>
      </c>
      <c r="BB37" s="789">
        <v>0</v>
      </c>
      <c r="BC37" s="789">
        <v>0</v>
      </c>
      <c r="BD37" s="789">
        <v>0</v>
      </c>
      <c r="BE37" s="789">
        <v>0</v>
      </c>
      <c r="BF37" s="789">
        <v>0</v>
      </c>
      <c r="BG37" s="789">
        <v>0</v>
      </c>
      <c r="BH37" s="789">
        <v>0</v>
      </c>
      <c r="BI37" s="789">
        <v>0</v>
      </c>
      <c r="BJ37" s="789">
        <v>0</v>
      </c>
      <c r="BK37" s="789">
        <v>0</v>
      </c>
      <c r="BL37" s="789">
        <v>0</v>
      </c>
      <c r="BM37" s="789">
        <v>0</v>
      </c>
      <c r="BN37" s="789">
        <v>0</v>
      </c>
      <c r="BO37" s="789">
        <v>0</v>
      </c>
      <c r="BP37" s="655">
        <v>0</v>
      </c>
      <c r="BR37" s="301">
        <f t="shared" si="57"/>
        <v>8775</v>
      </c>
      <c r="BS37" s="302">
        <f t="shared" si="58"/>
        <v>0</v>
      </c>
      <c r="BT37" s="302">
        <f t="shared" si="59"/>
        <v>41202.145430193348</v>
      </c>
      <c r="BU37" s="302">
        <f t="shared" si="60"/>
        <v>0</v>
      </c>
      <c r="BV37" s="302">
        <f t="shared" si="61"/>
        <v>0</v>
      </c>
      <c r="BW37" s="302">
        <f t="shared" si="62"/>
        <v>13891.607175813277</v>
      </c>
      <c r="BX37" s="302">
        <f t="shared" si="63"/>
        <v>0</v>
      </c>
      <c r="BY37" s="302">
        <f t="shared" si="64"/>
        <v>0</v>
      </c>
      <c r="BZ37" s="302">
        <f t="shared" si="65"/>
        <v>0</v>
      </c>
      <c r="CA37" s="302">
        <f t="shared" si="66"/>
        <v>0</v>
      </c>
      <c r="CB37" s="302">
        <f t="shared" si="67"/>
        <v>0</v>
      </c>
      <c r="CC37" s="302">
        <f t="shared" si="68"/>
        <v>0</v>
      </c>
      <c r="CD37" s="302">
        <f t="shared" si="69"/>
        <v>0</v>
      </c>
      <c r="CE37" s="302">
        <f t="shared" si="70"/>
        <v>0</v>
      </c>
      <c r="CF37" s="302">
        <f t="shared" si="71"/>
        <v>0</v>
      </c>
      <c r="CG37" s="302">
        <f t="shared" si="72"/>
        <v>0</v>
      </c>
      <c r="CH37" s="302">
        <f t="shared" si="73"/>
        <v>0</v>
      </c>
      <c r="CI37" s="302">
        <f t="shared" si="74"/>
        <v>0</v>
      </c>
      <c r="CJ37" s="302">
        <f t="shared" si="75"/>
        <v>0</v>
      </c>
      <c r="CK37" s="302">
        <f t="shared" si="76"/>
        <v>0</v>
      </c>
      <c r="CL37" s="302">
        <f t="shared" si="77"/>
        <v>0</v>
      </c>
      <c r="CM37" s="254">
        <f t="shared" si="49"/>
        <v>63868.752606006623</v>
      </c>
      <c r="CO37" s="301">
        <f t="shared" si="78"/>
        <v>7200</v>
      </c>
      <c r="CP37" s="302">
        <f t="shared" si="79"/>
        <v>0</v>
      </c>
      <c r="CQ37" s="302">
        <f t="shared" si="80"/>
        <v>38493.135868269317</v>
      </c>
      <c r="CR37" s="302">
        <f t="shared" si="81"/>
        <v>0</v>
      </c>
      <c r="CS37" s="302">
        <f t="shared" si="82"/>
        <v>0</v>
      </c>
      <c r="CT37" s="302">
        <f t="shared" si="83"/>
        <v>13234.913018411195</v>
      </c>
      <c r="CU37" s="302">
        <f t="shared" si="84"/>
        <v>0</v>
      </c>
      <c r="CV37" s="302">
        <f t="shared" si="85"/>
        <v>0</v>
      </c>
      <c r="CW37" s="302">
        <f t="shared" si="86"/>
        <v>0</v>
      </c>
      <c r="CX37" s="302">
        <f t="shared" si="87"/>
        <v>0</v>
      </c>
      <c r="CY37" s="302">
        <f t="shared" si="88"/>
        <v>0</v>
      </c>
      <c r="CZ37" s="302">
        <f t="shared" si="89"/>
        <v>0</v>
      </c>
      <c r="DA37" s="302">
        <f t="shared" si="90"/>
        <v>0</v>
      </c>
      <c r="DB37" s="302">
        <f t="shared" si="91"/>
        <v>0</v>
      </c>
      <c r="DC37" s="302">
        <f t="shared" si="92"/>
        <v>0</v>
      </c>
      <c r="DD37" s="302">
        <f t="shared" si="93"/>
        <v>0</v>
      </c>
      <c r="DE37" s="302">
        <f t="shared" si="94"/>
        <v>0</v>
      </c>
      <c r="DF37" s="302">
        <f t="shared" si="95"/>
        <v>0</v>
      </c>
      <c r="DG37" s="302">
        <f t="shared" si="96"/>
        <v>0</v>
      </c>
      <c r="DH37" s="302">
        <f t="shared" si="97"/>
        <v>0</v>
      </c>
      <c r="DI37" s="302">
        <f t="shared" si="98"/>
        <v>0</v>
      </c>
      <c r="DJ37" s="254">
        <f t="shared" si="99"/>
        <v>58928.04888668051</v>
      </c>
    </row>
    <row r="38" spans="1:114" x14ac:dyDescent="0.2">
      <c r="A38" s="196" t="str">
        <f>Est2018DistRev!A38</f>
        <v>C2U</v>
      </c>
      <c r="B38" s="234" t="str">
        <f t="shared" si="56"/>
        <v>Unmetered Supplies / Public Lighting</v>
      </c>
      <c r="C38" s="234" t="str">
        <f>Est2018DistRev!B38</f>
        <v>Unmetered Supplies / Public Lighting</v>
      </c>
      <c r="D38" s="786">
        <v>0</v>
      </c>
      <c r="E38" s="787">
        <v>0</v>
      </c>
      <c r="F38" s="787">
        <v>11.24</v>
      </c>
      <c r="G38" s="787">
        <v>0</v>
      </c>
      <c r="H38" s="787">
        <v>0</v>
      </c>
      <c r="I38" s="787">
        <v>3.15</v>
      </c>
      <c r="J38" s="787">
        <v>0</v>
      </c>
      <c r="K38" s="787">
        <v>0</v>
      </c>
      <c r="L38" s="787">
        <v>0</v>
      </c>
      <c r="M38" s="787">
        <v>0</v>
      </c>
      <c r="N38" s="787">
        <v>0</v>
      </c>
      <c r="O38" s="787">
        <v>0</v>
      </c>
      <c r="P38" s="787">
        <v>0</v>
      </c>
      <c r="Q38" s="787">
        <v>0</v>
      </c>
      <c r="R38" s="787">
        <v>0</v>
      </c>
      <c r="S38" s="787">
        <v>0</v>
      </c>
      <c r="T38" s="787">
        <v>0</v>
      </c>
      <c r="U38" s="787">
        <v>0</v>
      </c>
      <c r="V38" s="787">
        <v>0</v>
      </c>
      <c r="W38" s="787">
        <v>0</v>
      </c>
      <c r="X38" s="682">
        <v>0</v>
      </c>
      <c r="Z38" s="246">
        <f>Est2018DistRev!D38</f>
        <v>0</v>
      </c>
      <c r="AA38" s="247">
        <f>Est2018DistRev!E38</f>
        <v>0</v>
      </c>
      <c r="AB38" s="247">
        <f>Est2018DistRev!F38</f>
        <v>8.5299999999999994</v>
      </c>
      <c r="AC38" s="247">
        <f>Est2018DistRev!G38</f>
        <v>0</v>
      </c>
      <c r="AD38" s="247">
        <f>Est2018DistRev!H38</f>
        <v>0</v>
      </c>
      <c r="AE38" s="247">
        <f>Est2018DistRev!I38</f>
        <v>2.36</v>
      </c>
      <c r="AF38" s="247">
        <f>Est2018DistRev!J38</f>
        <v>0</v>
      </c>
      <c r="AG38" s="247">
        <f>Est2018DistRev!K38</f>
        <v>0</v>
      </c>
      <c r="AH38" s="247">
        <f>Est2018DistRev!L38</f>
        <v>0</v>
      </c>
      <c r="AI38" s="247">
        <f>Est2018DistRev!M38</f>
        <v>0</v>
      </c>
      <c r="AJ38" s="247">
        <f>Est2018DistRev!N38</f>
        <v>0</v>
      </c>
      <c r="AK38" s="247">
        <f>Est2018DistRev!O38</f>
        <v>0</v>
      </c>
      <c r="AL38" s="247">
        <f>Est2018DistRev!P38</f>
        <v>0</v>
      </c>
      <c r="AM38" s="247">
        <f>Est2018DistRev!Q38</f>
        <v>0</v>
      </c>
      <c r="AN38" s="247">
        <f>Est2018DistRev!R38</f>
        <v>0</v>
      </c>
      <c r="AO38" s="247">
        <f>Est2018DistRev!S38</f>
        <v>0</v>
      </c>
      <c r="AP38" s="247">
        <f>Est2018DistRev!T38</f>
        <v>0</v>
      </c>
      <c r="AQ38" s="247">
        <f>Est2018DistRev!U38</f>
        <v>0</v>
      </c>
      <c r="AR38" s="247">
        <f>Est2018DistRev!V38</f>
        <v>0</v>
      </c>
      <c r="AS38" s="247">
        <f>Est2018DistRev!W38</f>
        <v>0</v>
      </c>
      <c r="AT38" s="248">
        <f>Est2018DistRev!X38</f>
        <v>0</v>
      </c>
      <c r="AV38" s="790">
        <v>4425.5</v>
      </c>
      <c r="AW38" s="789">
        <v>0</v>
      </c>
      <c r="AX38" s="789">
        <v>7430325.4446869912</v>
      </c>
      <c r="AY38" s="789">
        <v>0</v>
      </c>
      <c r="AZ38" s="789">
        <v>0</v>
      </c>
      <c r="BA38" s="789">
        <v>18727648.893831097</v>
      </c>
      <c r="BB38" s="789">
        <v>0</v>
      </c>
      <c r="BC38" s="789">
        <v>0</v>
      </c>
      <c r="BD38" s="789">
        <v>0</v>
      </c>
      <c r="BE38" s="789">
        <v>0</v>
      </c>
      <c r="BF38" s="789">
        <v>0</v>
      </c>
      <c r="BG38" s="789">
        <v>0</v>
      </c>
      <c r="BH38" s="789">
        <v>0</v>
      </c>
      <c r="BI38" s="789">
        <v>0</v>
      </c>
      <c r="BJ38" s="789">
        <v>0</v>
      </c>
      <c r="BK38" s="789">
        <v>0</v>
      </c>
      <c r="BL38" s="789">
        <v>0</v>
      </c>
      <c r="BM38" s="789">
        <v>0</v>
      </c>
      <c r="BN38" s="789">
        <v>0</v>
      </c>
      <c r="BO38" s="789">
        <v>0</v>
      </c>
      <c r="BP38" s="655">
        <v>0</v>
      </c>
      <c r="BR38" s="301">
        <f t="shared" si="57"/>
        <v>0</v>
      </c>
      <c r="BS38" s="302">
        <f t="shared" si="58"/>
        <v>0</v>
      </c>
      <c r="BT38" s="302">
        <f t="shared" si="59"/>
        <v>835168.57998281776</v>
      </c>
      <c r="BU38" s="302">
        <f t="shared" si="60"/>
        <v>0</v>
      </c>
      <c r="BV38" s="302">
        <f t="shared" si="61"/>
        <v>0</v>
      </c>
      <c r="BW38" s="302">
        <f t="shared" si="62"/>
        <v>589920.94015567959</v>
      </c>
      <c r="BX38" s="302">
        <f t="shared" si="63"/>
        <v>0</v>
      </c>
      <c r="BY38" s="302">
        <f t="shared" si="64"/>
        <v>0</v>
      </c>
      <c r="BZ38" s="302">
        <f t="shared" si="65"/>
        <v>0</v>
      </c>
      <c r="CA38" s="302">
        <f t="shared" si="66"/>
        <v>0</v>
      </c>
      <c r="CB38" s="302">
        <f t="shared" si="67"/>
        <v>0</v>
      </c>
      <c r="CC38" s="302">
        <f t="shared" si="68"/>
        <v>0</v>
      </c>
      <c r="CD38" s="302">
        <f t="shared" si="69"/>
        <v>0</v>
      </c>
      <c r="CE38" s="302">
        <f t="shared" si="70"/>
        <v>0</v>
      </c>
      <c r="CF38" s="302">
        <f t="shared" si="71"/>
        <v>0</v>
      </c>
      <c r="CG38" s="302">
        <f t="shared" si="72"/>
        <v>0</v>
      </c>
      <c r="CH38" s="302">
        <f t="shared" si="73"/>
        <v>0</v>
      </c>
      <c r="CI38" s="302">
        <f t="shared" si="74"/>
        <v>0</v>
      </c>
      <c r="CJ38" s="302">
        <f t="shared" si="75"/>
        <v>0</v>
      </c>
      <c r="CK38" s="302">
        <f t="shared" si="76"/>
        <v>0</v>
      </c>
      <c r="CL38" s="302">
        <f t="shared" si="77"/>
        <v>0</v>
      </c>
      <c r="CM38" s="254">
        <f t="shared" si="49"/>
        <v>1425089.5201384975</v>
      </c>
      <c r="CO38" s="301">
        <f t="shared" si="78"/>
        <v>0</v>
      </c>
      <c r="CP38" s="302">
        <f t="shared" si="79"/>
        <v>0</v>
      </c>
      <c r="CQ38" s="302">
        <f t="shared" si="80"/>
        <v>633806.76043180027</v>
      </c>
      <c r="CR38" s="302">
        <f t="shared" si="81"/>
        <v>0</v>
      </c>
      <c r="CS38" s="302">
        <f t="shared" si="82"/>
        <v>0</v>
      </c>
      <c r="CT38" s="302">
        <f t="shared" si="83"/>
        <v>441972.51389441389</v>
      </c>
      <c r="CU38" s="302">
        <f t="shared" si="84"/>
        <v>0</v>
      </c>
      <c r="CV38" s="302">
        <f t="shared" si="85"/>
        <v>0</v>
      </c>
      <c r="CW38" s="302">
        <f t="shared" si="86"/>
        <v>0</v>
      </c>
      <c r="CX38" s="302">
        <f t="shared" si="87"/>
        <v>0</v>
      </c>
      <c r="CY38" s="302">
        <f t="shared" si="88"/>
        <v>0</v>
      </c>
      <c r="CZ38" s="302">
        <f t="shared" si="89"/>
        <v>0</v>
      </c>
      <c r="DA38" s="302">
        <f t="shared" si="90"/>
        <v>0</v>
      </c>
      <c r="DB38" s="302">
        <f t="shared" si="91"/>
        <v>0</v>
      </c>
      <c r="DC38" s="302">
        <f t="shared" si="92"/>
        <v>0</v>
      </c>
      <c r="DD38" s="302">
        <f t="shared" si="93"/>
        <v>0</v>
      </c>
      <c r="DE38" s="302">
        <f t="shared" si="94"/>
        <v>0</v>
      </c>
      <c r="DF38" s="302">
        <f t="shared" si="95"/>
        <v>0</v>
      </c>
      <c r="DG38" s="302">
        <f t="shared" si="96"/>
        <v>0</v>
      </c>
      <c r="DH38" s="302">
        <f t="shared" si="97"/>
        <v>0</v>
      </c>
      <c r="DI38" s="302">
        <f t="shared" si="98"/>
        <v>0</v>
      </c>
      <c r="DJ38" s="254">
        <f t="shared" si="99"/>
        <v>1075779.2743262141</v>
      </c>
    </row>
    <row r="39" spans="1:114" x14ac:dyDescent="0.2">
      <c r="A39" s="196" t="str">
        <f>Est2018DistRev!A39</f>
        <v>CLLV</v>
      </c>
      <c r="B39" s="234" t="str">
        <f t="shared" si="56"/>
        <v>Large low Voltage</v>
      </c>
      <c r="C39" s="234" t="str">
        <f>Est2018DistRev!B39</f>
        <v>Large low Voltage</v>
      </c>
      <c r="D39" s="786">
        <v>6200</v>
      </c>
      <c r="E39" s="787">
        <v>0</v>
      </c>
      <c r="F39" s="787">
        <v>2.33</v>
      </c>
      <c r="G39" s="787">
        <v>0</v>
      </c>
      <c r="H39" s="787">
        <v>0</v>
      </c>
      <c r="I39" s="787">
        <v>1.41</v>
      </c>
      <c r="J39" s="787">
        <v>0</v>
      </c>
      <c r="K39" s="787">
        <v>0</v>
      </c>
      <c r="L39" s="787">
        <v>0</v>
      </c>
      <c r="M39" s="787">
        <v>71.900000000000006</v>
      </c>
      <c r="N39" s="787">
        <v>0</v>
      </c>
      <c r="O39" s="787">
        <v>0</v>
      </c>
      <c r="P39" s="787">
        <v>0</v>
      </c>
      <c r="Q39" s="787">
        <v>0</v>
      </c>
      <c r="R39" s="787">
        <v>0</v>
      </c>
      <c r="S39" s="787">
        <v>0</v>
      </c>
      <c r="T39" s="787">
        <v>0</v>
      </c>
      <c r="U39" s="787">
        <v>0</v>
      </c>
      <c r="V39" s="787">
        <v>0</v>
      </c>
      <c r="W39" s="787">
        <v>0</v>
      </c>
      <c r="X39" s="682">
        <v>0</v>
      </c>
      <c r="Z39" s="246">
        <f>Est2018DistRev!D39</f>
        <v>6300</v>
      </c>
      <c r="AA39" s="247">
        <f>Est2018DistRev!E39</f>
        <v>0</v>
      </c>
      <c r="AB39" s="247">
        <f>Est2018DistRev!F39</f>
        <v>2.33</v>
      </c>
      <c r="AC39" s="247">
        <f>Est2018DistRev!G39</f>
        <v>0</v>
      </c>
      <c r="AD39" s="247">
        <f>Est2018DistRev!H39</f>
        <v>0</v>
      </c>
      <c r="AE39" s="247">
        <f>Est2018DistRev!I39</f>
        <v>1.41</v>
      </c>
      <c r="AF39" s="247">
        <f>Est2018DistRev!J39</f>
        <v>0</v>
      </c>
      <c r="AG39" s="247">
        <f>Est2018DistRev!K39</f>
        <v>0</v>
      </c>
      <c r="AH39" s="247">
        <f>Est2018DistRev!L39</f>
        <v>0</v>
      </c>
      <c r="AI39" s="247">
        <f>Est2018DistRev!M39</f>
        <v>72.02</v>
      </c>
      <c r="AJ39" s="247">
        <f>Est2018DistRev!N39</f>
        <v>0</v>
      </c>
      <c r="AK39" s="247">
        <f>Est2018DistRev!O39</f>
        <v>0</v>
      </c>
      <c r="AL39" s="247">
        <f>Est2018DistRev!P39</f>
        <v>0</v>
      </c>
      <c r="AM39" s="247">
        <f>Est2018DistRev!Q39</f>
        <v>0</v>
      </c>
      <c r="AN39" s="247">
        <f>Est2018DistRev!R39</f>
        <v>0</v>
      </c>
      <c r="AO39" s="247">
        <f>Est2018DistRev!S39</f>
        <v>0</v>
      </c>
      <c r="AP39" s="247">
        <f>Est2018DistRev!T39</f>
        <v>0</v>
      </c>
      <c r="AQ39" s="247">
        <f>Est2018DistRev!U39</f>
        <v>0</v>
      </c>
      <c r="AR39" s="247">
        <f>Est2018DistRev!V39</f>
        <v>0</v>
      </c>
      <c r="AS39" s="247">
        <f>Est2018DistRev!W39</f>
        <v>0</v>
      </c>
      <c r="AT39" s="248">
        <f>Est2018DistRev!X39</f>
        <v>0</v>
      </c>
      <c r="AV39" s="790">
        <v>334.33333333333331</v>
      </c>
      <c r="AW39" s="789">
        <v>0</v>
      </c>
      <c r="AX39" s="789">
        <v>103909055.5023116</v>
      </c>
      <c r="AY39" s="789">
        <v>0</v>
      </c>
      <c r="AZ39" s="789">
        <v>0</v>
      </c>
      <c r="BA39" s="789">
        <v>80266733.268921614</v>
      </c>
      <c r="BB39" s="789">
        <v>0</v>
      </c>
      <c r="BC39" s="789">
        <v>0</v>
      </c>
      <c r="BD39" s="789">
        <v>0</v>
      </c>
      <c r="BE39" s="789">
        <v>59781.404083333327</v>
      </c>
      <c r="BF39" s="789">
        <v>0</v>
      </c>
      <c r="BG39" s="789">
        <v>0</v>
      </c>
      <c r="BH39" s="789">
        <v>0</v>
      </c>
      <c r="BI39" s="789">
        <v>0</v>
      </c>
      <c r="BJ39" s="789">
        <v>0</v>
      </c>
      <c r="BK39" s="789">
        <v>0</v>
      </c>
      <c r="BL39" s="789">
        <v>0</v>
      </c>
      <c r="BM39" s="789">
        <v>0</v>
      </c>
      <c r="BN39" s="789">
        <v>0</v>
      </c>
      <c r="BO39" s="789">
        <v>0</v>
      </c>
      <c r="BP39" s="655">
        <v>0</v>
      </c>
      <c r="BR39" s="301">
        <f t="shared" si="57"/>
        <v>2072866.6666666665</v>
      </c>
      <c r="BS39" s="302">
        <f t="shared" si="58"/>
        <v>0</v>
      </c>
      <c r="BT39" s="302">
        <f t="shared" si="59"/>
        <v>2421080.9932038602</v>
      </c>
      <c r="BU39" s="302">
        <f t="shared" si="60"/>
        <v>0</v>
      </c>
      <c r="BV39" s="302">
        <f t="shared" si="61"/>
        <v>0</v>
      </c>
      <c r="BW39" s="302">
        <f t="shared" si="62"/>
        <v>1131760.9390917947</v>
      </c>
      <c r="BX39" s="302">
        <f t="shared" si="63"/>
        <v>0</v>
      </c>
      <c r="BY39" s="302">
        <f t="shared" si="64"/>
        <v>0</v>
      </c>
      <c r="BZ39" s="302">
        <f t="shared" si="65"/>
        <v>0</v>
      </c>
      <c r="CA39" s="302">
        <f t="shared" si="66"/>
        <v>4298282.9535916662</v>
      </c>
      <c r="CB39" s="302">
        <f t="shared" si="67"/>
        <v>0</v>
      </c>
      <c r="CC39" s="302">
        <f t="shared" si="68"/>
        <v>0</v>
      </c>
      <c r="CD39" s="302">
        <f t="shared" si="69"/>
        <v>0</v>
      </c>
      <c r="CE39" s="302">
        <f t="shared" si="70"/>
        <v>0</v>
      </c>
      <c r="CF39" s="302">
        <f t="shared" si="71"/>
        <v>0</v>
      </c>
      <c r="CG39" s="302">
        <f t="shared" si="72"/>
        <v>0</v>
      </c>
      <c r="CH39" s="302">
        <f t="shared" si="73"/>
        <v>0</v>
      </c>
      <c r="CI39" s="302">
        <f t="shared" si="74"/>
        <v>0</v>
      </c>
      <c r="CJ39" s="302">
        <f t="shared" si="75"/>
        <v>0</v>
      </c>
      <c r="CK39" s="302">
        <f t="shared" si="76"/>
        <v>0</v>
      </c>
      <c r="CL39" s="302">
        <f t="shared" si="77"/>
        <v>0</v>
      </c>
      <c r="CM39" s="254">
        <f t="shared" si="49"/>
        <v>9923991.552553989</v>
      </c>
      <c r="CO39" s="301">
        <f t="shared" si="78"/>
        <v>2106300</v>
      </c>
      <c r="CP39" s="302">
        <f t="shared" si="79"/>
        <v>0</v>
      </c>
      <c r="CQ39" s="302">
        <f t="shared" si="80"/>
        <v>2421080.9932038602</v>
      </c>
      <c r="CR39" s="302">
        <f t="shared" si="81"/>
        <v>0</v>
      </c>
      <c r="CS39" s="302">
        <f t="shared" si="82"/>
        <v>0</v>
      </c>
      <c r="CT39" s="302">
        <f t="shared" si="83"/>
        <v>1131760.9390917947</v>
      </c>
      <c r="CU39" s="302">
        <f t="shared" si="84"/>
        <v>0</v>
      </c>
      <c r="CV39" s="302">
        <f t="shared" si="85"/>
        <v>0</v>
      </c>
      <c r="CW39" s="302">
        <f t="shared" si="86"/>
        <v>0</v>
      </c>
      <c r="CX39" s="302">
        <f t="shared" si="87"/>
        <v>4305456.7220816659</v>
      </c>
      <c r="CY39" s="302">
        <f t="shared" si="88"/>
        <v>0</v>
      </c>
      <c r="CZ39" s="302">
        <f t="shared" si="89"/>
        <v>0</v>
      </c>
      <c r="DA39" s="302">
        <f t="shared" si="90"/>
        <v>0</v>
      </c>
      <c r="DB39" s="302">
        <f t="shared" si="91"/>
        <v>0</v>
      </c>
      <c r="DC39" s="302">
        <f t="shared" si="92"/>
        <v>0</v>
      </c>
      <c r="DD39" s="302">
        <f t="shared" si="93"/>
        <v>0</v>
      </c>
      <c r="DE39" s="302">
        <f t="shared" si="94"/>
        <v>0</v>
      </c>
      <c r="DF39" s="302">
        <f t="shared" si="95"/>
        <v>0</v>
      </c>
      <c r="DG39" s="302">
        <f t="shared" si="96"/>
        <v>0</v>
      </c>
      <c r="DH39" s="302">
        <f t="shared" si="97"/>
        <v>0</v>
      </c>
      <c r="DI39" s="302">
        <f t="shared" si="98"/>
        <v>0</v>
      </c>
      <c r="DJ39" s="254">
        <f t="shared" si="99"/>
        <v>9964598.6543773189</v>
      </c>
    </row>
    <row r="40" spans="1:114" x14ac:dyDescent="0.2">
      <c r="A40" s="196" t="str">
        <f>Est2018DistRev!A40</f>
        <v>CLLVB</v>
      </c>
      <c r="B40" s="234" t="str">
        <f t="shared" si="56"/>
        <v>Large low Voltage Bulk</v>
      </c>
      <c r="C40" s="234" t="str">
        <f>Est2018DistRev!B40</f>
        <v>Large low Voltage Bulk</v>
      </c>
      <c r="D40" s="786">
        <v>6000</v>
      </c>
      <c r="E40" s="787">
        <v>0</v>
      </c>
      <c r="F40" s="787">
        <v>2.11</v>
      </c>
      <c r="G40" s="787">
        <v>0</v>
      </c>
      <c r="H40" s="787">
        <v>0</v>
      </c>
      <c r="I40" s="787">
        <v>1.31</v>
      </c>
      <c r="J40" s="787">
        <v>0</v>
      </c>
      <c r="K40" s="787">
        <v>0</v>
      </c>
      <c r="L40" s="787">
        <v>0</v>
      </c>
      <c r="M40" s="787">
        <v>66.14</v>
      </c>
      <c r="N40" s="787">
        <v>0</v>
      </c>
      <c r="O40" s="787">
        <v>0</v>
      </c>
      <c r="P40" s="787">
        <v>0</v>
      </c>
      <c r="Q40" s="787">
        <v>0</v>
      </c>
      <c r="R40" s="787">
        <v>0</v>
      </c>
      <c r="S40" s="787">
        <v>0</v>
      </c>
      <c r="T40" s="787">
        <v>0</v>
      </c>
      <c r="U40" s="787">
        <v>0</v>
      </c>
      <c r="V40" s="787">
        <v>0</v>
      </c>
      <c r="W40" s="787">
        <v>0</v>
      </c>
      <c r="X40" s="682">
        <v>0</v>
      </c>
      <c r="Z40" s="246">
        <f>Est2018DistRev!D40</f>
        <v>5850</v>
      </c>
      <c r="AA40" s="247">
        <f>Est2018DistRev!E40</f>
        <v>0</v>
      </c>
      <c r="AB40" s="247">
        <f>Est2018DistRev!F40</f>
        <v>2.0699999999999998</v>
      </c>
      <c r="AC40" s="247">
        <f>Est2018DistRev!G40</f>
        <v>0</v>
      </c>
      <c r="AD40" s="247">
        <f>Est2018DistRev!H40</f>
        <v>0</v>
      </c>
      <c r="AE40" s="247">
        <f>Est2018DistRev!I40</f>
        <v>1.29</v>
      </c>
      <c r="AF40" s="247">
        <f>Est2018DistRev!J40</f>
        <v>0</v>
      </c>
      <c r="AG40" s="247">
        <f>Est2018DistRev!K40</f>
        <v>0</v>
      </c>
      <c r="AH40" s="247">
        <f>Est2018DistRev!L40</f>
        <v>0</v>
      </c>
      <c r="AI40" s="247">
        <f>Est2018DistRev!M40</f>
        <v>64.819999999999993</v>
      </c>
      <c r="AJ40" s="247">
        <f>Est2018DistRev!N40</f>
        <v>0</v>
      </c>
      <c r="AK40" s="247">
        <f>Est2018DistRev!O40</f>
        <v>0</v>
      </c>
      <c r="AL40" s="247">
        <f>Est2018DistRev!P40</f>
        <v>0</v>
      </c>
      <c r="AM40" s="247">
        <f>Est2018DistRev!Q40</f>
        <v>0</v>
      </c>
      <c r="AN40" s="247">
        <f>Est2018DistRev!R40</f>
        <v>0</v>
      </c>
      <c r="AO40" s="247">
        <f>Est2018DistRev!S40</f>
        <v>0</v>
      </c>
      <c r="AP40" s="247">
        <f>Est2018DistRev!T40</f>
        <v>0</v>
      </c>
      <c r="AQ40" s="247">
        <f>Est2018DistRev!U40</f>
        <v>0</v>
      </c>
      <c r="AR40" s="247">
        <f>Est2018DistRev!V40</f>
        <v>0</v>
      </c>
      <c r="AS40" s="247">
        <f>Est2018DistRev!W40</f>
        <v>0</v>
      </c>
      <c r="AT40" s="248">
        <f>Est2018DistRev!X40</f>
        <v>0</v>
      </c>
      <c r="AV40" s="790">
        <v>1731.1666666666667</v>
      </c>
      <c r="AW40" s="789">
        <v>0</v>
      </c>
      <c r="AX40" s="789">
        <v>1101354717.2937953</v>
      </c>
      <c r="AY40" s="789">
        <v>0</v>
      </c>
      <c r="AZ40" s="789">
        <v>0</v>
      </c>
      <c r="BA40" s="789">
        <v>829525555.83137512</v>
      </c>
      <c r="BB40" s="789">
        <v>0</v>
      </c>
      <c r="BC40" s="789">
        <v>0</v>
      </c>
      <c r="BD40" s="789">
        <v>0</v>
      </c>
      <c r="BE40" s="789">
        <v>627630.98033333279</v>
      </c>
      <c r="BF40" s="789">
        <v>0</v>
      </c>
      <c r="BG40" s="789">
        <v>0</v>
      </c>
      <c r="BH40" s="789">
        <v>0</v>
      </c>
      <c r="BI40" s="789">
        <v>0</v>
      </c>
      <c r="BJ40" s="789">
        <v>0</v>
      </c>
      <c r="BK40" s="789">
        <v>0</v>
      </c>
      <c r="BL40" s="789">
        <v>0</v>
      </c>
      <c r="BM40" s="789">
        <v>0</v>
      </c>
      <c r="BN40" s="789">
        <v>0</v>
      </c>
      <c r="BO40" s="789">
        <v>0</v>
      </c>
      <c r="BP40" s="655">
        <v>0</v>
      </c>
      <c r="BR40" s="301">
        <f t="shared" si="57"/>
        <v>10387000</v>
      </c>
      <c r="BS40" s="302">
        <f t="shared" si="58"/>
        <v>0</v>
      </c>
      <c r="BT40" s="302">
        <f t="shared" si="59"/>
        <v>23238584.534899078</v>
      </c>
      <c r="BU40" s="302">
        <f t="shared" si="60"/>
        <v>0</v>
      </c>
      <c r="BV40" s="302">
        <f t="shared" si="61"/>
        <v>0</v>
      </c>
      <c r="BW40" s="302">
        <f t="shared" si="62"/>
        <v>10866784.781391015</v>
      </c>
      <c r="BX40" s="302">
        <f t="shared" si="63"/>
        <v>0</v>
      </c>
      <c r="BY40" s="302">
        <f t="shared" si="64"/>
        <v>0</v>
      </c>
      <c r="BZ40" s="302">
        <f t="shared" si="65"/>
        <v>0</v>
      </c>
      <c r="CA40" s="302">
        <f t="shared" si="66"/>
        <v>41511513.039246634</v>
      </c>
      <c r="CB40" s="302">
        <f t="shared" si="67"/>
        <v>0</v>
      </c>
      <c r="CC40" s="302">
        <f t="shared" si="68"/>
        <v>0</v>
      </c>
      <c r="CD40" s="302">
        <f t="shared" si="69"/>
        <v>0</v>
      </c>
      <c r="CE40" s="302">
        <f t="shared" si="70"/>
        <v>0</v>
      </c>
      <c r="CF40" s="302">
        <f t="shared" si="71"/>
        <v>0</v>
      </c>
      <c r="CG40" s="302">
        <f t="shared" si="72"/>
        <v>0</v>
      </c>
      <c r="CH40" s="302">
        <f t="shared" si="73"/>
        <v>0</v>
      </c>
      <c r="CI40" s="302">
        <f t="shared" si="74"/>
        <v>0</v>
      </c>
      <c r="CJ40" s="302">
        <f t="shared" si="75"/>
        <v>0</v>
      </c>
      <c r="CK40" s="302">
        <f t="shared" si="76"/>
        <v>0</v>
      </c>
      <c r="CL40" s="302">
        <f t="shared" si="77"/>
        <v>0</v>
      </c>
      <c r="CM40" s="254">
        <f t="shared" si="49"/>
        <v>86003882.355536729</v>
      </c>
      <c r="CO40" s="301">
        <f t="shared" si="78"/>
        <v>10127325</v>
      </c>
      <c r="CP40" s="302">
        <f t="shared" si="79"/>
        <v>0</v>
      </c>
      <c r="CQ40" s="302">
        <f t="shared" si="80"/>
        <v>22798042.647981562</v>
      </c>
      <c r="CR40" s="302">
        <f t="shared" si="81"/>
        <v>0</v>
      </c>
      <c r="CS40" s="302">
        <f t="shared" si="82"/>
        <v>0</v>
      </c>
      <c r="CT40" s="302">
        <f t="shared" si="83"/>
        <v>10700879.670224739</v>
      </c>
      <c r="CU40" s="302">
        <f t="shared" si="84"/>
        <v>0</v>
      </c>
      <c r="CV40" s="302">
        <f t="shared" si="85"/>
        <v>0</v>
      </c>
      <c r="CW40" s="302">
        <f t="shared" si="86"/>
        <v>0</v>
      </c>
      <c r="CX40" s="302">
        <f t="shared" si="87"/>
        <v>40683040.14520663</v>
      </c>
      <c r="CY40" s="302">
        <f t="shared" si="88"/>
        <v>0</v>
      </c>
      <c r="CZ40" s="302">
        <f t="shared" si="89"/>
        <v>0</v>
      </c>
      <c r="DA40" s="302">
        <f t="shared" si="90"/>
        <v>0</v>
      </c>
      <c r="DB40" s="302">
        <f t="shared" si="91"/>
        <v>0</v>
      </c>
      <c r="DC40" s="302">
        <f t="shared" si="92"/>
        <v>0</v>
      </c>
      <c r="DD40" s="302">
        <f t="shared" si="93"/>
        <v>0</v>
      </c>
      <c r="DE40" s="302">
        <f t="shared" si="94"/>
        <v>0</v>
      </c>
      <c r="DF40" s="302">
        <f t="shared" si="95"/>
        <v>0</v>
      </c>
      <c r="DG40" s="302">
        <f t="shared" si="96"/>
        <v>0</v>
      </c>
      <c r="DH40" s="302">
        <f t="shared" si="97"/>
        <v>0</v>
      </c>
      <c r="DI40" s="302">
        <f t="shared" si="98"/>
        <v>0</v>
      </c>
      <c r="DJ40" s="254">
        <f t="shared" si="99"/>
        <v>84309287.463412941</v>
      </c>
    </row>
    <row r="41" spans="1:114" x14ac:dyDescent="0.2">
      <c r="A41" s="196" t="str">
        <f>Est2018DistRev!A41</f>
        <v>CHV</v>
      </c>
      <c r="B41" s="234" t="str">
        <f t="shared" si="56"/>
        <v>High Voltage</v>
      </c>
      <c r="C41" s="234" t="str">
        <f>Est2018DistRev!B41</f>
        <v>High Voltage</v>
      </c>
      <c r="D41" s="786">
        <v>31800</v>
      </c>
      <c r="E41" s="787">
        <v>0</v>
      </c>
      <c r="F41" s="787">
        <v>1.24</v>
      </c>
      <c r="G41" s="787">
        <v>0</v>
      </c>
      <c r="H41" s="787">
        <v>0</v>
      </c>
      <c r="I41" s="787">
        <v>0.64</v>
      </c>
      <c r="J41" s="787">
        <v>0</v>
      </c>
      <c r="K41" s="787">
        <v>0</v>
      </c>
      <c r="L41" s="787">
        <v>0</v>
      </c>
      <c r="M41" s="787">
        <v>35.020000000000003</v>
      </c>
      <c r="N41" s="787">
        <v>0</v>
      </c>
      <c r="O41" s="787">
        <v>0</v>
      </c>
      <c r="P41" s="787">
        <v>0</v>
      </c>
      <c r="Q41" s="787">
        <v>0</v>
      </c>
      <c r="R41" s="787">
        <v>0</v>
      </c>
      <c r="S41" s="787">
        <v>0</v>
      </c>
      <c r="T41" s="787">
        <v>0</v>
      </c>
      <c r="U41" s="787">
        <v>0</v>
      </c>
      <c r="V41" s="787">
        <v>0</v>
      </c>
      <c r="W41" s="787">
        <v>0</v>
      </c>
      <c r="X41" s="682">
        <v>0</v>
      </c>
      <c r="Z41" s="246">
        <f>Est2018DistRev!D41</f>
        <v>31200</v>
      </c>
      <c r="AA41" s="247">
        <f>Est2018DistRev!E41</f>
        <v>0</v>
      </c>
      <c r="AB41" s="247">
        <f>Est2018DistRev!F41</f>
        <v>1.18</v>
      </c>
      <c r="AC41" s="247">
        <f>Est2018DistRev!G41</f>
        <v>0</v>
      </c>
      <c r="AD41" s="247">
        <f>Est2018DistRev!H41</f>
        <v>0</v>
      </c>
      <c r="AE41" s="247">
        <f>Est2018DistRev!I41</f>
        <v>0.61</v>
      </c>
      <c r="AF41" s="247">
        <f>Est2018DistRev!J41</f>
        <v>0</v>
      </c>
      <c r="AG41" s="247">
        <f>Est2018DistRev!K41</f>
        <v>0</v>
      </c>
      <c r="AH41" s="247">
        <f>Est2018DistRev!L41</f>
        <v>0</v>
      </c>
      <c r="AI41" s="247">
        <f>Est2018DistRev!M41</f>
        <v>33.44</v>
      </c>
      <c r="AJ41" s="247">
        <f>Est2018DistRev!N41</f>
        <v>0</v>
      </c>
      <c r="AK41" s="247">
        <f>Est2018DistRev!O41</f>
        <v>0</v>
      </c>
      <c r="AL41" s="247">
        <f>Est2018DistRev!P41</f>
        <v>0</v>
      </c>
      <c r="AM41" s="247">
        <f>Est2018DistRev!Q41</f>
        <v>0</v>
      </c>
      <c r="AN41" s="247">
        <f>Est2018DistRev!R41</f>
        <v>0</v>
      </c>
      <c r="AO41" s="247">
        <f>Est2018DistRev!S41</f>
        <v>0</v>
      </c>
      <c r="AP41" s="247">
        <f>Est2018DistRev!T41</f>
        <v>0</v>
      </c>
      <c r="AQ41" s="247">
        <f>Est2018DistRev!U41</f>
        <v>0</v>
      </c>
      <c r="AR41" s="247">
        <f>Est2018DistRev!V41</f>
        <v>0</v>
      </c>
      <c r="AS41" s="247">
        <f>Est2018DistRev!W41</f>
        <v>0</v>
      </c>
      <c r="AT41" s="248">
        <f>Est2018DistRev!X41</f>
        <v>0</v>
      </c>
      <c r="AV41" s="790">
        <v>88</v>
      </c>
      <c r="AW41" s="789">
        <v>0</v>
      </c>
      <c r="AX41" s="789">
        <v>345704462.09037936</v>
      </c>
      <c r="AY41" s="789">
        <v>0</v>
      </c>
      <c r="AZ41" s="789">
        <v>0</v>
      </c>
      <c r="BA41" s="789">
        <v>319905209.40701491</v>
      </c>
      <c r="BB41" s="789">
        <v>0</v>
      </c>
      <c r="BC41" s="789">
        <v>0</v>
      </c>
      <c r="BD41" s="789">
        <v>0</v>
      </c>
      <c r="BE41" s="789">
        <v>191921.57674999998</v>
      </c>
      <c r="BF41" s="789">
        <v>0</v>
      </c>
      <c r="BG41" s="789">
        <v>0</v>
      </c>
      <c r="BH41" s="789">
        <v>0</v>
      </c>
      <c r="BI41" s="789">
        <v>0</v>
      </c>
      <c r="BJ41" s="789">
        <v>0</v>
      </c>
      <c r="BK41" s="789">
        <v>0</v>
      </c>
      <c r="BL41" s="789">
        <v>0</v>
      </c>
      <c r="BM41" s="789">
        <v>0</v>
      </c>
      <c r="BN41" s="789">
        <v>0</v>
      </c>
      <c r="BO41" s="789">
        <v>0</v>
      </c>
      <c r="BP41" s="655">
        <v>0</v>
      </c>
      <c r="BR41" s="301">
        <f t="shared" si="57"/>
        <v>2798400</v>
      </c>
      <c r="BS41" s="302">
        <f t="shared" si="58"/>
        <v>0</v>
      </c>
      <c r="BT41" s="302">
        <f t="shared" si="59"/>
        <v>4286735.3299207035</v>
      </c>
      <c r="BU41" s="302">
        <f t="shared" si="60"/>
        <v>0</v>
      </c>
      <c r="BV41" s="302">
        <f t="shared" si="61"/>
        <v>0</v>
      </c>
      <c r="BW41" s="302">
        <f t="shared" si="62"/>
        <v>2047393.3402048955</v>
      </c>
      <c r="BX41" s="302">
        <f t="shared" si="63"/>
        <v>0</v>
      </c>
      <c r="BY41" s="302">
        <f t="shared" si="64"/>
        <v>0</v>
      </c>
      <c r="BZ41" s="302">
        <f t="shared" si="65"/>
        <v>0</v>
      </c>
      <c r="CA41" s="302">
        <f t="shared" si="66"/>
        <v>6721093.6177850002</v>
      </c>
      <c r="CB41" s="302">
        <f t="shared" si="67"/>
        <v>0</v>
      </c>
      <c r="CC41" s="302">
        <f t="shared" si="68"/>
        <v>0</v>
      </c>
      <c r="CD41" s="302">
        <f t="shared" si="69"/>
        <v>0</v>
      </c>
      <c r="CE41" s="302">
        <f t="shared" si="70"/>
        <v>0</v>
      </c>
      <c r="CF41" s="302">
        <f t="shared" si="71"/>
        <v>0</v>
      </c>
      <c r="CG41" s="302">
        <f t="shared" si="72"/>
        <v>0</v>
      </c>
      <c r="CH41" s="302">
        <f t="shared" si="73"/>
        <v>0</v>
      </c>
      <c r="CI41" s="302">
        <f t="shared" si="74"/>
        <v>0</v>
      </c>
      <c r="CJ41" s="302">
        <f t="shared" si="75"/>
        <v>0</v>
      </c>
      <c r="CK41" s="302">
        <f t="shared" si="76"/>
        <v>0</v>
      </c>
      <c r="CL41" s="302">
        <f t="shared" si="77"/>
        <v>0</v>
      </c>
      <c r="CM41" s="254">
        <f t="shared" si="49"/>
        <v>15853622.287910599</v>
      </c>
      <c r="CO41" s="301">
        <f t="shared" si="78"/>
        <v>2745600</v>
      </c>
      <c r="CP41" s="302">
        <f t="shared" si="79"/>
        <v>0</v>
      </c>
      <c r="CQ41" s="302">
        <f t="shared" si="80"/>
        <v>4079312.6526664761</v>
      </c>
      <c r="CR41" s="302">
        <f t="shared" si="81"/>
        <v>0</v>
      </c>
      <c r="CS41" s="302">
        <f t="shared" si="82"/>
        <v>0</v>
      </c>
      <c r="CT41" s="302">
        <f t="shared" si="83"/>
        <v>1951421.7773827908</v>
      </c>
      <c r="CU41" s="302">
        <f t="shared" si="84"/>
        <v>0</v>
      </c>
      <c r="CV41" s="302">
        <f t="shared" si="85"/>
        <v>0</v>
      </c>
      <c r="CW41" s="302">
        <f t="shared" si="86"/>
        <v>0</v>
      </c>
      <c r="CX41" s="302">
        <f t="shared" si="87"/>
        <v>6417857.5265199989</v>
      </c>
      <c r="CY41" s="302">
        <f t="shared" si="88"/>
        <v>0</v>
      </c>
      <c r="CZ41" s="302">
        <f t="shared" si="89"/>
        <v>0</v>
      </c>
      <c r="DA41" s="302">
        <f t="shared" si="90"/>
        <v>0</v>
      </c>
      <c r="DB41" s="302">
        <f t="shared" si="91"/>
        <v>0</v>
      </c>
      <c r="DC41" s="302">
        <f t="shared" si="92"/>
        <v>0</v>
      </c>
      <c r="DD41" s="302">
        <f t="shared" si="93"/>
        <v>0</v>
      </c>
      <c r="DE41" s="302">
        <f t="shared" si="94"/>
        <v>0</v>
      </c>
      <c r="DF41" s="302">
        <f t="shared" si="95"/>
        <v>0</v>
      </c>
      <c r="DG41" s="302">
        <f t="shared" si="96"/>
        <v>0</v>
      </c>
      <c r="DH41" s="302">
        <f t="shared" si="97"/>
        <v>0</v>
      </c>
      <c r="DI41" s="302">
        <f t="shared" si="98"/>
        <v>0</v>
      </c>
      <c r="DJ41" s="254">
        <f t="shared" si="99"/>
        <v>15194191.956569266</v>
      </c>
    </row>
    <row r="42" spans="1:114" x14ac:dyDescent="0.2">
      <c r="A42" s="196" t="str">
        <f>Est2018DistRev!A42</f>
        <v>CST</v>
      </c>
      <c r="B42" s="234" t="str">
        <f t="shared" si="56"/>
        <v>Subtransmission</v>
      </c>
      <c r="C42" s="234" t="str">
        <f>Est2018DistRev!B42</f>
        <v>Subtransmission</v>
      </c>
      <c r="D42" s="786">
        <v>146800</v>
      </c>
      <c r="E42" s="787">
        <v>0</v>
      </c>
      <c r="F42" s="787">
        <v>0.11</v>
      </c>
      <c r="G42" s="787">
        <v>0</v>
      </c>
      <c r="H42" s="787">
        <v>0</v>
      </c>
      <c r="I42" s="787">
        <v>0.04</v>
      </c>
      <c r="J42" s="787">
        <v>0</v>
      </c>
      <c r="K42" s="787">
        <v>0</v>
      </c>
      <c r="L42" s="787">
        <v>0</v>
      </c>
      <c r="M42" s="787">
        <v>0.86</v>
      </c>
      <c r="N42" s="787">
        <v>0</v>
      </c>
      <c r="O42" s="787">
        <v>0</v>
      </c>
      <c r="P42" s="787">
        <v>0</v>
      </c>
      <c r="Q42" s="787">
        <v>0</v>
      </c>
      <c r="R42" s="787">
        <v>0</v>
      </c>
      <c r="S42" s="787">
        <v>0</v>
      </c>
      <c r="T42" s="787">
        <v>0</v>
      </c>
      <c r="U42" s="787">
        <v>0</v>
      </c>
      <c r="V42" s="787">
        <v>0</v>
      </c>
      <c r="W42" s="787">
        <v>0</v>
      </c>
      <c r="X42" s="780">
        <v>0</v>
      </c>
      <c r="Z42" s="246">
        <f>Est2018DistRev!D42</f>
        <v>144000</v>
      </c>
      <c r="AA42" s="247">
        <f>Est2018DistRev!E42</f>
        <v>0</v>
      </c>
      <c r="AB42" s="247">
        <f>Est2018DistRev!F42</f>
        <v>0.1</v>
      </c>
      <c r="AC42" s="247">
        <f>Est2018DistRev!G42</f>
        <v>0</v>
      </c>
      <c r="AD42" s="247">
        <f>Est2018DistRev!H42</f>
        <v>0</v>
      </c>
      <c r="AE42" s="247">
        <f>Est2018DistRev!I42</f>
        <v>0.04</v>
      </c>
      <c r="AF42" s="247">
        <f>Est2018DistRev!J42</f>
        <v>0</v>
      </c>
      <c r="AG42" s="247">
        <f>Est2018DistRev!K42</f>
        <v>0</v>
      </c>
      <c r="AH42" s="247">
        <f>Est2018DistRev!L42</f>
        <v>0</v>
      </c>
      <c r="AI42" s="247">
        <f>Est2018DistRev!M42</f>
        <v>0.84</v>
      </c>
      <c r="AJ42" s="247">
        <f>Est2018DistRev!N42</f>
        <v>0</v>
      </c>
      <c r="AK42" s="247">
        <f>Est2018DistRev!O42</f>
        <v>0</v>
      </c>
      <c r="AL42" s="247">
        <f>Est2018DistRev!P42</f>
        <v>0</v>
      </c>
      <c r="AM42" s="247">
        <f>Est2018DistRev!Q42</f>
        <v>0</v>
      </c>
      <c r="AN42" s="247">
        <f>Est2018DistRev!R42</f>
        <v>0</v>
      </c>
      <c r="AO42" s="247">
        <f>Est2018DistRev!S42</f>
        <v>0</v>
      </c>
      <c r="AP42" s="247">
        <f>Est2018DistRev!T42</f>
        <v>0</v>
      </c>
      <c r="AQ42" s="247">
        <f>Est2018DistRev!U42</f>
        <v>0</v>
      </c>
      <c r="AR42" s="247">
        <f>Est2018DistRev!V42</f>
        <v>0</v>
      </c>
      <c r="AS42" s="247">
        <f>Est2018DistRev!W42</f>
        <v>0</v>
      </c>
      <c r="AT42" s="248">
        <f>Est2018DistRev!X42</f>
        <v>0</v>
      </c>
      <c r="AV42" s="790">
        <v>6</v>
      </c>
      <c r="AW42" s="789">
        <v>0</v>
      </c>
      <c r="AX42" s="789">
        <v>63161450.703406543</v>
      </c>
      <c r="AY42" s="789">
        <v>0</v>
      </c>
      <c r="AZ42" s="789">
        <v>0</v>
      </c>
      <c r="BA42" s="789">
        <v>37546309.7185238</v>
      </c>
      <c r="BB42" s="789">
        <v>0</v>
      </c>
      <c r="BC42" s="789">
        <v>0</v>
      </c>
      <c r="BD42" s="789">
        <v>0</v>
      </c>
      <c r="BE42" s="789">
        <v>35559.269916666664</v>
      </c>
      <c r="BF42" s="789">
        <v>0</v>
      </c>
      <c r="BG42" s="789">
        <v>0</v>
      </c>
      <c r="BH42" s="789">
        <v>0</v>
      </c>
      <c r="BI42" s="789">
        <v>0</v>
      </c>
      <c r="BJ42" s="789">
        <v>0</v>
      </c>
      <c r="BK42" s="789">
        <v>0</v>
      </c>
      <c r="BL42" s="789">
        <v>0</v>
      </c>
      <c r="BM42" s="789">
        <v>0</v>
      </c>
      <c r="BN42" s="789">
        <v>0</v>
      </c>
      <c r="BO42" s="789">
        <v>0</v>
      </c>
      <c r="BP42" s="655">
        <v>0</v>
      </c>
      <c r="BR42" s="301">
        <f t="shared" si="57"/>
        <v>880800</v>
      </c>
      <c r="BS42" s="302">
        <f t="shared" si="58"/>
        <v>0</v>
      </c>
      <c r="BT42" s="302">
        <f t="shared" si="59"/>
        <v>69477.595773747205</v>
      </c>
      <c r="BU42" s="302">
        <f t="shared" si="60"/>
        <v>0</v>
      </c>
      <c r="BV42" s="302">
        <f t="shared" si="61"/>
        <v>0</v>
      </c>
      <c r="BW42" s="302">
        <f t="shared" si="62"/>
        <v>15018.523887409521</v>
      </c>
      <c r="BX42" s="302">
        <f t="shared" si="63"/>
        <v>0</v>
      </c>
      <c r="BY42" s="302">
        <f t="shared" si="64"/>
        <v>0</v>
      </c>
      <c r="BZ42" s="302">
        <f t="shared" si="65"/>
        <v>0</v>
      </c>
      <c r="CA42" s="302">
        <f t="shared" si="66"/>
        <v>30580.972128333331</v>
      </c>
      <c r="CB42" s="302">
        <f t="shared" si="67"/>
        <v>0</v>
      </c>
      <c r="CC42" s="302">
        <f t="shared" si="68"/>
        <v>0</v>
      </c>
      <c r="CD42" s="302">
        <f t="shared" si="69"/>
        <v>0</v>
      </c>
      <c r="CE42" s="302">
        <f t="shared" si="70"/>
        <v>0</v>
      </c>
      <c r="CF42" s="302">
        <f t="shared" si="71"/>
        <v>0</v>
      </c>
      <c r="CG42" s="302">
        <f t="shared" si="72"/>
        <v>0</v>
      </c>
      <c r="CH42" s="302">
        <f t="shared" si="73"/>
        <v>0</v>
      </c>
      <c r="CI42" s="302">
        <f t="shared" si="74"/>
        <v>0</v>
      </c>
      <c r="CJ42" s="302">
        <f t="shared" si="75"/>
        <v>0</v>
      </c>
      <c r="CK42" s="302">
        <f t="shared" si="76"/>
        <v>0</v>
      </c>
      <c r="CL42" s="302">
        <f t="shared" si="77"/>
        <v>0</v>
      </c>
      <c r="CM42" s="254">
        <f t="shared" si="49"/>
        <v>995877.09178948996</v>
      </c>
      <c r="CO42" s="301">
        <f t="shared" si="78"/>
        <v>864000</v>
      </c>
      <c r="CP42" s="302">
        <f t="shared" si="79"/>
        <v>0</v>
      </c>
      <c r="CQ42" s="302">
        <f t="shared" si="80"/>
        <v>63161.450703406546</v>
      </c>
      <c r="CR42" s="302">
        <f t="shared" si="81"/>
        <v>0</v>
      </c>
      <c r="CS42" s="302">
        <f t="shared" si="82"/>
        <v>0</v>
      </c>
      <c r="CT42" s="302">
        <f t="shared" si="83"/>
        <v>15018.523887409521</v>
      </c>
      <c r="CU42" s="302">
        <f t="shared" si="84"/>
        <v>0</v>
      </c>
      <c r="CV42" s="302">
        <f t="shared" si="85"/>
        <v>0</v>
      </c>
      <c r="CW42" s="302">
        <f t="shared" si="86"/>
        <v>0</v>
      </c>
      <c r="CX42" s="302">
        <f t="shared" si="87"/>
        <v>29869.786729999996</v>
      </c>
      <c r="CY42" s="302">
        <f t="shared" si="88"/>
        <v>0</v>
      </c>
      <c r="CZ42" s="302">
        <f t="shared" si="89"/>
        <v>0</v>
      </c>
      <c r="DA42" s="302">
        <f t="shared" si="90"/>
        <v>0</v>
      </c>
      <c r="DB42" s="302">
        <f t="shared" si="91"/>
        <v>0</v>
      </c>
      <c r="DC42" s="302">
        <f t="shared" si="92"/>
        <v>0</v>
      </c>
      <c r="DD42" s="302">
        <f t="shared" si="93"/>
        <v>0</v>
      </c>
      <c r="DE42" s="302">
        <f t="shared" si="94"/>
        <v>0</v>
      </c>
      <c r="DF42" s="302">
        <f t="shared" si="95"/>
        <v>0</v>
      </c>
      <c r="DG42" s="302">
        <f t="shared" si="96"/>
        <v>0</v>
      </c>
      <c r="DH42" s="302">
        <f t="shared" si="97"/>
        <v>0</v>
      </c>
      <c r="DI42" s="302">
        <f t="shared" si="98"/>
        <v>0</v>
      </c>
      <c r="DJ42" s="254">
        <f t="shared" si="99"/>
        <v>972049.76132081612</v>
      </c>
    </row>
    <row r="43" spans="1:114" x14ac:dyDescent="0.2">
      <c r="B43" s="234"/>
      <c r="C43" s="234"/>
      <c r="D43" s="650"/>
      <c r="E43" s="651"/>
      <c r="F43" s="651"/>
      <c r="G43" s="651"/>
      <c r="H43" s="651"/>
      <c r="I43" s="651"/>
      <c r="J43" s="651"/>
      <c r="K43" s="651"/>
      <c r="L43" s="651"/>
      <c r="M43" s="651"/>
      <c r="N43" s="651"/>
      <c r="O43" s="651"/>
      <c r="P43" s="651"/>
      <c r="Q43" s="651"/>
      <c r="R43" s="651"/>
      <c r="S43" s="651"/>
      <c r="T43" s="651"/>
      <c r="U43" s="651"/>
      <c r="V43" s="651"/>
      <c r="W43" s="651"/>
      <c r="X43" s="663"/>
      <c r="Z43" s="246"/>
      <c r="AA43" s="247"/>
      <c r="AB43" s="247"/>
      <c r="AC43" s="247"/>
      <c r="AD43" s="247"/>
      <c r="AE43" s="247"/>
      <c r="AF43" s="247"/>
      <c r="AG43" s="247"/>
      <c r="AH43" s="247"/>
      <c r="AI43" s="247"/>
      <c r="AJ43" s="247"/>
      <c r="AK43" s="247"/>
      <c r="AL43" s="247"/>
      <c r="AM43" s="247"/>
      <c r="AN43" s="247"/>
      <c r="AO43" s="247"/>
      <c r="AP43" s="247"/>
      <c r="AQ43" s="247"/>
      <c r="AR43" s="247"/>
      <c r="AS43" s="247"/>
      <c r="AT43" s="248"/>
      <c r="AV43" s="656"/>
      <c r="AW43" s="654"/>
      <c r="AX43" s="654"/>
      <c r="AY43" s="654"/>
      <c r="AZ43" s="654"/>
      <c r="BA43" s="654"/>
      <c r="BB43" s="654"/>
      <c r="BC43" s="654"/>
      <c r="BD43" s="654"/>
      <c r="BE43" s="654"/>
      <c r="BF43" s="654"/>
      <c r="BG43" s="654"/>
      <c r="BH43" s="654"/>
      <c r="BI43" s="654"/>
      <c r="BJ43" s="654"/>
      <c r="BK43" s="654"/>
      <c r="BL43" s="654"/>
      <c r="BM43" s="654"/>
      <c r="BN43" s="654"/>
      <c r="BO43" s="654"/>
      <c r="BP43" s="655"/>
      <c r="BR43" s="301">
        <f t="shared" si="57"/>
        <v>0</v>
      </c>
      <c r="BS43" s="302">
        <f t="shared" si="58"/>
        <v>0</v>
      </c>
      <c r="BT43" s="302">
        <f t="shared" si="59"/>
        <v>0</v>
      </c>
      <c r="BU43" s="302">
        <f t="shared" si="60"/>
        <v>0</v>
      </c>
      <c r="BV43" s="302">
        <f t="shared" si="61"/>
        <v>0</v>
      </c>
      <c r="BW43" s="302">
        <f t="shared" si="62"/>
        <v>0</v>
      </c>
      <c r="BX43" s="302">
        <f t="shared" si="63"/>
        <v>0</v>
      </c>
      <c r="BY43" s="302">
        <f t="shared" si="64"/>
        <v>0</v>
      </c>
      <c r="BZ43" s="302">
        <f t="shared" si="65"/>
        <v>0</v>
      </c>
      <c r="CA43" s="302">
        <f t="shared" si="66"/>
        <v>0</v>
      </c>
      <c r="CB43" s="302">
        <f t="shared" si="67"/>
        <v>0</v>
      </c>
      <c r="CC43" s="302">
        <f t="shared" si="68"/>
        <v>0</v>
      </c>
      <c r="CD43" s="302">
        <f t="shared" si="69"/>
        <v>0</v>
      </c>
      <c r="CE43" s="302">
        <f t="shared" si="70"/>
        <v>0</v>
      </c>
      <c r="CF43" s="302">
        <f t="shared" si="71"/>
        <v>0</v>
      </c>
      <c r="CG43" s="302">
        <f t="shared" si="72"/>
        <v>0</v>
      </c>
      <c r="CH43" s="302">
        <f t="shared" si="73"/>
        <v>0</v>
      </c>
      <c r="CI43" s="302">
        <f t="shared" si="74"/>
        <v>0</v>
      </c>
      <c r="CJ43" s="302">
        <f t="shared" si="75"/>
        <v>0</v>
      </c>
      <c r="CK43" s="302">
        <f t="shared" si="76"/>
        <v>0</v>
      </c>
      <c r="CL43" s="302">
        <f t="shared" si="77"/>
        <v>0</v>
      </c>
      <c r="CM43" s="254">
        <f t="shared" si="49"/>
        <v>0</v>
      </c>
      <c r="CO43" s="301">
        <f t="shared" si="78"/>
        <v>0</v>
      </c>
      <c r="CP43" s="302">
        <f t="shared" si="79"/>
        <v>0</v>
      </c>
      <c r="CQ43" s="302">
        <f t="shared" si="80"/>
        <v>0</v>
      </c>
      <c r="CR43" s="302">
        <f t="shared" si="81"/>
        <v>0</v>
      </c>
      <c r="CS43" s="302">
        <f t="shared" si="82"/>
        <v>0</v>
      </c>
      <c r="CT43" s="302">
        <f t="shared" si="83"/>
        <v>0</v>
      </c>
      <c r="CU43" s="302">
        <f t="shared" si="84"/>
        <v>0</v>
      </c>
      <c r="CV43" s="302">
        <f t="shared" si="85"/>
        <v>0</v>
      </c>
      <c r="CW43" s="302">
        <f t="shared" si="86"/>
        <v>0</v>
      </c>
      <c r="CX43" s="302">
        <f t="shared" si="87"/>
        <v>0</v>
      </c>
      <c r="CY43" s="302">
        <f t="shared" si="88"/>
        <v>0</v>
      </c>
      <c r="CZ43" s="302">
        <f t="shared" si="89"/>
        <v>0</v>
      </c>
      <c r="DA43" s="302">
        <f t="shared" si="90"/>
        <v>0</v>
      </c>
      <c r="DB43" s="302">
        <f t="shared" si="91"/>
        <v>0</v>
      </c>
      <c r="DC43" s="302">
        <f t="shared" si="92"/>
        <v>0</v>
      </c>
      <c r="DD43" s="302">
        <f t="shared" si="93"/>
        <v>0</v>
      </c>
      <c r="DE43" s="302">
        <f t="shared" si="94"/>
        <v>0</v>
      </c>
      <c r="DF43" s="302">
        <f t="shared" si="95"/>
        <v>0</v>
      </c>
      <c r="DG43" s="302">
        <f t="shared" si="96"/>
        <v>0</v>
      </c>
      <c r="DH43" s="302">
        <f t="shared" si="97"/>
        <v>0</v>
      </c>
      <c r="DI43" s="302">
        <f t="shared" si="98"/>
        <v>0</v>
      </c>
      <c r="DJ43" s="254">
        <f t="shared" si="99"/>
        <v>0</v>
      </c>
    </row>
    <row r="44" spans="1:114" x14ac:dyDescent="0.2">
      <c r="B44" s="234"/>
      <c r="C44" s="234"/>
      <c r="D44" s="650"/>
      <c r="E44" s="651"/>
      <c r="F44" s="651"/>
      <c r="G44" s="651"/>
      <c r="H44" s="651"/>
      <c r="I44" s="651"/>
      <c r="J44" s="651"/>
      <c r="K44" s="651"/>
      <c r="L44" s="651"/>
      <c r="M44" s="651"/>
      <c r="N44" s="651"/>
      <c r="O44" s="651"/>
      <c r="P44" s="651"/>
      <c r="Q44" s="651"/>
      <c r="R44" s="651"/>
      <c r="S44" s="651"/>
      <c r="T44" s="651"/>
      <c r="U44" s="651"/>
      <c r="V44" s="651"/>
      <c r="W44" s="651"/>
      <c r="X44" s="652"/>
      <c r="Z44" s="246"/>
      <c r="AA44" s="247"/>
      <c r="AB44" s="247"/>
      <c r="AC44" s="247"/>
      <c r="AD44" s="247"/>
      <c r="AE44" s="247"/>
      <c r="AF44" s="247"/>
      <c r="AG44" s="247"/>
      <c r="AH44" s="247"/>
      <c r="AI44" s="247"/>
      <c r="AJ44" s="247"/>
      <c r="AK44" s="247"/>
      <c r="AL44" s="247"/>
      <c r="AM44" s="247"/>
      <c r="AN44" s="247"/>
      <c r="AO44" s="247"/>
      <c r="AP44" s="247"/>
      <c r="AQ44" s="247"/>
      <c r="AR44" s="247"/>
      <c r="AS44" s="247"/>
      <c r="AT44" s="248"/>
      <c r="AV44" s="656"/>
      <c r="AW44" s="654"/>
      <c r="AX44" s="654"/>
      <c r="AY44" s="654"/>
      <c r="AZ44" s="654"/>
      <c r="BA44" s="654"/>
      <c r="BB44" s="654"/>
      <c r="BC44" s="654"/>
      <c r="BD44" s="654"/>
      <c r="BE44" s="654"/>
      <c r="BF44" s="654"/>
      <c r="BG44" s="654"/>
      <c r="BH44" s="654"/>
      <c r="BI44" s="654"/>
      <c r="BJ44" s="654"/>
      <c r="BK44" s="654"/>
      <c r="BL44" s="654"/>
      <c r="BM44" s="654"/>
      <c r="BN44" s="654"/>
      <c r="BO44" s="654"/>
      <c r="BP44" s="655"/>
      <c r="BR44" s="301">
        <f t="shared" si="57"/>
        <v>0</v>
      </c>
      <c r="BS44" s="302">
        <f t="shared" si="58"/>
        <v>0</v>
      </c>
      <c r="BT44" s="302">
        <f t="shared" si="59"/>
        <v>0</v>
      </c>
      <c r="BU44" s="302">
        <f t="shared" si="60"/>
        <v>0</v>
      </c>
      <c r="BV44" s="302">
        <f t="shared" si="61"/>
        <v>0</v>
      </c>
      <c r="BW44" s="302">
        <f t="shared" si="62"/>
        <v>0</v>
      </c>
      <c r="BX44" s="302">
        <f t="shared" si="63"/>
        <v>0</v>
      </c>
      <c r="BY44" s="302">
        <f t="shared" si="64"/>
        <v>0</v>
      </c>
      <c r="BZ44" s="302">
        <f t="shared" si="65"/>
        <v>0</v>
      </c>
      <c r="CA44" s="302">
        <f t="shared" si="66"/>
        <v>0</v>
      </c>
      <c r="CB44" s="302">
        <f t="shared" si="67"/>
        <v>0</v>
      </c>
      <c r="CC44" s="302">
        <f t="shared" si="68"/>
        <v>0</v>
      </c>
      <c r="CD44" s="302">
        <f t="shared" si="69"/>
        <v>0</v>
      </c>
      <c r="CE44" s="302">
        <f t="shared" si="70"/>
        <v>0</v>
      </c>
      <c r="CF44" s="302">
        <f t="shared" si="71"/>
        <v>0</v>
      </c>
      <c r="CG44" s="302">
        <f t="shared" si="72"/>
        <v>0</v>
      </c>
      <c r="CH44" s="302">
        <f t="shared" si="73"/>
        <v>0</v>
      </c>
      <c r="CI44" s="302">
        <f t="shared" si="74"/>
        <v>0</v>
      </c>
      <c r="CJ44" s="302">
        <f t="shared" si="75"/>
        <v>0</v>
      </c>
      <c r="CK44" s="302">
        <f t="shared" si="76"/>
        <v>0</v>
      </c>
      <c r="CL44" s="302">
        <f t="shared" si="77"/>
        <v>0</v>
      </c>
      <c r="CM44" s="254">
        <f t="shared" si="49"/>
        <v>0</v>
      </c>
      <c r="CO44" s="301">
        <f t="shared" si="78"/>
        <v>0</v>
      </c>
      <c r="CP44" s="302">
        <f t="shared" si="79"/>
        <v>0</v>
      </c>
      <c r="CQ44" s="302">
        <f t="shared" si="80"/>
        <v>0</v>
      </c>
      <c r="CR44" s="302">
        <f t="shared" si="81"/>
        <v>0</v>
      </c>
      <c r="CS44" s="302">
        <f t="shared" si="82"/>
        <v>0</v>
      </c>
      <c r="CT44" s="302">
        <f t="shared" si="83"/>
        <v>0</v>
      </c>
      <c r="CU44" s="302">
        <f t="shared" si="84"/>
        <v>0</v>
      </c>
      <c r="CV44" s="302">
        <f t="shared" si="85"/>
        <v>0</v>
      </c>
      <c r="CW44" s="302">
        <f t="shared" si="86"/>
        <v>0</v>
      </c>
      <c r="CX44" s="302">
        <f t="shared" si="87"/>
        <v>0</v>
      </c>
      <c r="CY44" s="302">
        <f t="shared" si="88"/>
        <v>0</v>
      </c>
      <c r="CZ44" s="302">
        <f t="shared" si="89"/>
        <v>0</v>
      </c>
      <c r="DA44" s="302">
        <f t="shared" si="90"/>
        <v>0</v>
      </c>
      <c r="DB44" s="302">
        <f t="shared" si="91"/>
        <v>0</v>
      </c>
      <c r="DC44" s="302">
        <f t="shared" si="92"/>
        <v>0</v>
      </c>
      <c r="DD44" s="302">
        <f t="shared" si="93"/>
        <v>0</v>
      </c>
      <c r="DE44" s="302">
        <f t="shared" si="94"/>
        <v>0</v>
      </c>
      <c r="DF44" s="302">
        <f t="shared" si="95"/>
        <v>0</v>
      </c>
      <c r="DG44" s="302">
        <f t="shared" si="96"/>
        <v>0</v>
      </c>
      <c r="DH44" s="302">
        <f t="shared" si="97"/>
        <v>0</v>
      </c>
      <c r="DI44" s="302">
        <f t="shared" si="98"/>
        <v>0</v>
      </c>
      <c r="DJ44" s="254">
        <f t="shared" si="99"/>
        <v>0</v>
      </c>
    </row>
    <row r="45" spans="1:114" x14ac:dyDescent="0.2">
      <c r="B45" s="234"/>
      <c r="C45" s="234"/>
      <c r="D45" s="650"/>
      <c r="E45" s="651"/>
      <c r="F45" s="651"/>
      <c r="G45" s="651"/>
      <c r="H45" s="651"/>
      <c r="I45" s="651"/>
      <c r="J45" s="651"/>
      <c r="K45" s="651"/>
      <c r="L45" s="651"/>
      <c r="M45" s="651"/>
      <c r="N45" s="651"/>
      <c r="O45" s="651"/>
      <c r="P45" s="651"/>
      <c r="Q45" s="651"/>
      <c r="R45" s="651"/>
      <c r="S45" s="651"/>
      <c r="T45" s="651"/>
      <c r="U45" s="651"/>
      <c r="V45" s="651"/>
      <c r="W45" s="651"/>
      <c r="X45" s="652"/>
      <c r="Z45" s="246"/>
      <c r="AA45" s="247"/>
      <c r="AB45" s="247"/>
      <c r="AC45" s="247"/>
      <c r="AD45" s="247"/>
      <c r="AE45" s="247"/>
      <c r="AF45" s="247"/>
      <c r="AG45" s="247"/>
      <c r="AH45" s="247"/>
      <c r="AI45" s="247"/>
      <c r="AJ45" s="247"/>
      <c r="AK45" s="247"/>
      <c r="AL45" s="247"/>
      <c r="AM45" s="247"/>
      <c r="AN45" s="247"/>
      <c r="AO45" s="247"/>
      <c r="AP45" s="247"/>
      <c r="AQ45" s="247"/>
      <c r="AR45" s="247"/>
      <c r="AS45" s="247"/>
      <c r="AT45" s="248"/>
      <c r="AV45" s="656"/>
      <c r="AW45" s="654"/>
      <c r="AX45" s="654"/>
      <c r="AY45" s="654"/>
      <c r="AZ45" s="654"/>
      <c r="BA45" s="654"/>
      <c r="BB45" s="654"/>
      <c r="BC45" s="654"/>
      <c r="BD45" s="654"/>
      <c r="BE45" s="654"/>
      <c r="BF45" s="654"/>
      <c r="BG45" s="654"/>
      <c r="BH45" s="654"/>
      <c r="BI45" s="654"/>
      <c r="BJ45" s="654"/>
      <c r="BK45" s="654"/>
      <c r="BL45" s="654"/>
      <c r="BM45" s="654"/>
      <c r="BN45" s="654"/>
      <c r="BO45" s="654"/>
      <c r="BP45" s="655"/>
      <c r="BR45" s="301">
        <f t="shared" si="57"/>
        <v>0</v>
      </c>
      <c r="BS45" s="302">
        <f t="shared" si="58"/>
        <v>0</v>
      </c>
      <c r="BT45" s="302">
        <f t="shared" si="59"/>
        <v>0</v>
      </c>
      <c r="BU45" s="302">
        <f t="shared" si="60"/>
        <v>0</v>
      </c>
      <c r="BV45" s="302">
        <f t="shared" si="61"/>
        <v>0</v>
      </c>
      <c r="BW45" s="302">
        <f t="shared" si="62"/>
        <v>0</v>
      </c>
      <c r="BX45" s="302">
        <f t="shared" si="63"/>
        <v>0</v>
      </c>
      <c r="BY45" s="302">
        <f t="shared" si="64"/>
        <v>0</v>
      </c>
      <c r="BZ45" s="302">
        <f t="shared" si="65"/>
        <v>0</v>
      </c>
      <c r="CA45" s="302">
        <f t="shared" si="66"/>
        <v>0</v>
      </c>
      <c r="CB45" s="302">
        <f t="shared" si="67"/>
        <v>0</v>
      </c>
      <c r="CC45" s="302">
        <f t="shared" si="68"/>
        <v>0</v>
      </c>
      <c r="CD45" s="302">
        <f t="shared" si="69"/>
        <v>0</v>
      </c>
      <c r="CE45" s="302">
        <f t="shared" si="70"/>
        <v>0</v>
      </c>
      <c r="CF45" s="302">
        <f t="shared" si="71"/>
        <v>0</v>
      </c>
      <c r="CG45" s="302">
        <f t="shared" si="72"/>
        <v>0</v>
      </c>
      <c r="CH45" s="302">
        <f t="shared" si="73"/>
        <v>0</v>
      </c>
      <c r="CI45" s="302">
        <f t="shared" si="74"/>
        <v>0</v>
      </c>
      <c r="CJ45" s="302">
        <f t="shared" si="75"/>
        <v>0</v>
      </c>
      <c r="CK45" s="302">
        <f t="shared" si="76"/>
        <v>0</v>
      </c>
      <c r="CL45" s="302">
        <f t="shared" si="77"/>
        <v>0</v>
      </c>
      <c r="CM45" s="254">
        <f t="shared" si="49"/>
        <v>0</v>
      </c>
      <c r="CO45" s="301">
        <f t="shared" si="78"/>
        <v>0</v>
      </c>
      <c r="CP45" s="302">
        <f t="shared" si="79"/>
        <v>0</v>
      </c>
      <c r="CQ45" s="302">
        <f t="shared" si="80"/>
        <v>0</v>
      </c>
      <c r="CR45" s="302">
        <f t="shared" si="81"/>
        <v>0</v>
      </c>
      <c r="CS45" s="302">
        <f t="shared" si="82"/>
        <v>0</v>
      </c>
      <c r="CT45" s="302">
        <f t="shared" si="83"/>
        <v>0</v>
      </c>
      <c r="CU45" s="302">
        <f t="shared" si="84"/>
        <v>0</v>
      </c>
      <c r="CV45" s="302">
        <f t="shared" si="85"/>
        <v>0</v>
      </c>
      <c r="CW45" s="302">
        <f t="shared" si="86"/>
        <v>0</v>
      </c>
      <c r="CX45" s="302">
        <f t="shared" si="87"/>
        <v>0</v>
      </c>
      <c r="CY45" s="302">
        <f t="shared" si="88"/>
        <v>0</v>
      </c>
      <c r="CZ45" s="302">
        <f t="shared" si="89"/>
        <v>0</v>
      </c>
      <c r="DA45" s="302">
        <f t="shared" si="90"/>
        <v>0</v>
      </c>
      <c r="DB45" s="302">
        <f t="shared" si="91"/>
        <v>0</v>
      </c>
      <c r="DC45" s="302">
        <f t="shared" si="92"/>
        <v>0</v>
      </c>
      <c r="DD45" s="302">
        <f t="shared" si="93"/>
        <v>0</v>
      </c>
      <c r="DE45" s="302">
        <f t="shared" si="94"/>
        <v>0</v>
      </c>
      <c r="DF45" s="302">
        <f t="shared" si="95"/>
        <v>0</v>
      </c>
      <c r="DG45" s="302">
        <f t="shared" si="96"/>
        <v>0</v>
      </c>
      <c r="DH45" s="302">
        <f t="shared" si="97"/>
        <v>0</v>
      </c>
      <c r="DI45" s="302">
        <f t="shared" si="98"/>
        <v>0</v>
      </c>
      <c r="DJ45" s="254">
        <f t="shared" si="99"/>
        <v>0</v>
      </c>
    </row>
    <row r="46" spans="1:114" x14ac:dyDescent="0.2">
      <c r="B46" s="234"/>
      <c r="C46" s="234"/>
      <c r="D46" s="650"/>
      <c r="E46" s="651"/>
      <c r="F46" s="651"/>
      <c r="G46" s="651"/>
      <c r="H46" s="651"/>
      <c r="I46" s="651"/>
      <c r="J46" s="651"/>
      <c r="K46" s="651"/>
      <c r="L46" s="651"/>
      <c r="M46" s="651"/>
      <c r="N46" s="651"/>
      <c r="O46" s="651"/>
      <c r="P46" s="651"/>
      <c r="Q46" s="651"/>
      <c r="R46" s="651"/>
      <c r="S46" s="651"/>
      <c r="T46" s="651"/>
      <c r="U46" s="651"/>
      <c r="V46" s="651"/>
      <c r="W46" s="651"/>
      <c r="X46" s="652"/>
      <c r="Z46" s="246"/>
      <c r="AA46" s="247"/>
      <c r="AB46" s="247"/>
      <c r="AC46" s="247"/>
      <c r="AD46" s="247"/>
      <c r="AE46" s="247"/>
      <c r="AF46" s="247"/>
      <c r="AG46" s="247"/>
      <c r="AH46" s="247"/>
      <c r="AI46" s="247"/>
      <c r="AJ46" s="247"/>
      <c r="AK46" s="247"/>
      <c r="AL46" s="247"/>
      <c r="AM46" s="247"/>
      <c r="AN46" s="247"/>
      <c r="AO46" s="247"/>
      <c r="AP46" s="247"/>
      <c r="AQ46" s="247"/>
      <c r="AR46" s="247"/>
      <c r="AS46" s="247"/>
      <c r="AT46" s="248"/>
      <c r="AV46" s="656"/>
      <c r="AW46" s="654"/>
      <c r="AX46" s="654"/>
      <c r="AY46" s="654"/>
      <c r="AZ46" s="654"/>
      <c r="BA46" s="654"/>
      <c r="BB46" s="654"/>
      <c r="BC46" s="654"/>
      <c r="BD46" s="654"/>
      <c r="BE46" s="654"/>
      <c r="BF46" s="654"/>
      <c r="BG46" s="654"/>
      <c r="BH46" s="654"/>
      <c r="BI46" s="654"/>
      <c r="BJ46" s="654"/>
      <c r="BK46" s="654"/>
      <c r="BL46" s="654"/>
      <c r="BM46" s="654"/>
      <c r="BN46" s="654"/>
      <c r="BO46" s="654"/>
      <c r="BP46" s="655"/>
      <c r="BR46" s="301">
        <f t="shared" si="57"/>
        <v>0</v>
      </c>
      <c r="BS46" s="302">
        <f t="shared" si="58"/>
        <v>0</v>
      </c>
      <c r="BT46" s="302">
        <f t="shared" si="59"/>
        <v>0</v>
      </c>
      <c r="BU46" s="302">
        <f t="shared" si="60"/>
        <v>0</v>
      </c>
      <c r="BV46" s="302">
        <f t="shared" si="61"/>
        <v>0</v>
      </c>
      <c r="BW46" s="302">
        <f t="shared" si="62"/>
        <v>0</v>
      </c>
      <c r="BX46" s="302">
        <f t="shared" si="63"/>
        <v>0</v>
      </c>
      <c r="BY46" s="302">
        <f t="shared" si="64"/>
        <v>0</v>
      </c>
      <c r="BZ46" s="302">
        <f t="shared" si="65"/>
        <v>0</v>
      </c>
      <c r="CA46" s="302">
        <f t="shared" si="66"/>
        <v>0</v>
      </c>
      <c r="CB46" s="302">
        <f t="shared" si="67"/>
        <v>0</v>
      </c>
      <c r="CC46" s="302">
        <f t="shared" si="68"/>
        <v>0</v>
      </c>
      <c r="CD46" s="302">
        <f t="shared" si="69"/>
        <v>0</v>
      </c>
      <c r="CE46" s="302">
        <f t="shared" si="70"/>
        <v>0</v>
      </c>
      <c r="CF46" s="302">
        <f t="shared" si="71"/>
        <v>0</v>
      </c>
      <c r="CG46" s="302">
        <f t="shared" si="72"/>
        <v>0</v>
      </c>
      <c r="CH46" s="302">
        <f t="shared" si="73"/>
        <v>0</v>
      </c>
      <c r="CI46" s="302">
        <f t="shared" si="74"/>
        <v>0</v>
      </c>
      <c r="CJ46" s="302">
        <f t="shared" si="75"/>
        <v>0</v>
      </c>
      <c r="CK46" s="302">
        <f t="shared" si="76"/>
        <v>0</v>
      </c>
      <c r="CL46" s="302">
        <f t="shared" si="77"/>
        <v>0</v>
      </c>
      <c r="CM46" s="254">
        <f t="shared" si="49"/>
        <v>0</v>
      </c>
      <c r="CO46" s="301">
        <f t="shared" si="78"/>
        <v>0</v>
      </c>
      <c r="CP46" s="302">
        <f t="shared" si="79"/>
        <v>0</v>
      </c>
      <c r="CQ46" s="302">
        <f t="shared" si="80"/>
        <v>0</v>
      </c>
      <c r="CR46" s="302">
        <f t="shared" si="81"/>
        <v>0</v>
      </c>
      <c r="CS46" s="302">
        <f t="shared" si="82"/>
        <v>0</v>
      </c>
      <c r="CT46" s="302">
        <f t="shared" si="83"/>
        <v>0</v>
      </c>
      <c r="CU46" s="302">
        <f t="shared" si="84"/>
        <v>0</v>
      </c>
      <c r="CV46" s="302">
        <f t="shared" si="85"/>
        <v>0</v>
      </c>
      <c r="CW46" s="302">
        <f t="shared" si="86"/>
        <v>0</v>
      </c>
      <c r="CX46" s="302">
        <f t="shared" si="87"/>
        <v>0</v>
      </c>
      <c r="CY46" s="302">
        <f t="shared" si="88"/>
        <v>0</v>
      </c>
      <c r="CZ46" s="302">
        <f t="shared" si="89"/>
        <v>0</v>
      </c>
      <c r="DA46" s="302">
        <f t="shared" si="90"/>
        <v>0</v>
      </c>
      <c r="DB46" s="302">
        <f t="shared" si="91"/>
        <v>0</v>
      </c>
      <c r="DC46" s="302">
        <f t="shared" si="92"/>
        <v>0</v>
      </c>
      <c r="DD46" s="302">
        <f t="shared" si="93"/>
        <v>0</v>
      </c>
      <c r="DE46" s="302">
        <f t="shared" si="94"/>
        <v>0</v>
      </c>
      <c r="DF46" s="302">
        <f t="shared" si="95"/>
        <v>0</v>
      </c>
      <c r="DG46" s="302">
        <f t="shared" si="96"/>
        <v>0</v>
      </c>
      <c r="DH46" s="302">
        <f t="shared" si="97"/>
        <v>0</v>
      </c>
      <c r="DI46" s="302">
        <f t="shared" si="98"/>
        <v>0</v>
      </c>
      <c r="DJ46" s="254">
        <f t="shared" si="55"/>
        <v>0</v>
      </c>
    </row>
    <row r="47" spans="1:114" x14ac:dyDescent="0.2">
      <c r="B47" s="234"/>
      <c r="C47" s="234"/>
      <c r="D47" s="650"/>
      <c r="E47" s="651"/>
      <c r="F47" s="651"/>
      <c r="G47" s="651"/>
      <c r="H47" s="651"/>
      <c r="I47" s="651"/>
      <c r="J47" s="651"/>
      <c r="K47" s="651"/>
      <c r="L47" s="651"/>
      <c r="M47" s="651"/>
      <c r="N47" s="651"/>
      <c r="O47" s="651"/>
      <c r="P47" s="651"/>
      <c r="Q47" s="651"/>
      <c r="R47" s="651"/>
      <c r="S47" s="651"/>
      <c r="T47" s="651"/>
      <c r="U47" s="651"/>
      <c r="V47" s="651"/>
      <c r="W47" s="651"/>
      <c r="X47" s="652"/>
      <c r="Z47" s="246"/>
      <c r="AA47" s="247"/>
      <c r="AB47" s="247"/>
      <c r="AC47" s="247"/>
      <c r="AD47" s="247"/>
      <c r="AE47" s="247"/>
      <c r="AF47" s="247"/>
      <c r="AG47" s="247"/>
      <c r="AH47" s="247"/>
      <c r="AI47" s="247"/>
      <c r="AJ47" s="247"/>
      <c r="AK47" s="247"/>
      <c r="AL47" s="247"/>
      <c r="AM47" s="247"/>
      <c r="AN47" s="247"/>
      <c r="AO47" s="247"/>
      <c r="AP47" s="247"/>
      <c r="AQ47" s="247"/>
      <c r="AR47" s="247"/>
      <c r="AS47" s="247"/>
      <c r="AT47" s="248"/>
      <c r="AV47" s="656"/>
      <c r="AW47" s="654"/>
      <c r="AX47" s="654"/>
      <c r="AY47" s="654"/>
      <c r="AZ47" s="654"/>
      <c r="BA47" s="654"/>
      <c r="BB47" s="654"/>
      <c r="BC47" s="654"/>
      <c r="BD47" s="654"/>
      <c r="BE47" s="654"/>
      <c r="BF47" s="654"/>
      <c r="BG47" s="654"/>
      <c r="BH47" s="654"/>
      <c r="BI47" s="654"/>
      <c r="BJ47" s="654"/>
      <c r="BK47" s="654"/>
      <c r="BL47" s="654"/>
      <c r="BM47" s="654"/>
      <c r="BN47" s="654"/>
      <c r="BO47" s="654"/>
      <c r="BP47" s="655"/>
      <c r="BR47" s="301">
        <f t="shared" si="57"/>
        <v>0</v>
      </c>
      <c r="BS47" s="302">
        <f t="shared" si="58"/>
        <v>0</v>
      </c>
      <c r="BT47" s="302">
        <f t="shared" si="59"/>
        <v>0</v>
      </c>
      <c r="BU47" s="302">
        <f t="shared" si="60"/>
        <v>0</v>
      </c>
      <c r="BV47" s="302">
        <f t="shared" si="61"/>
        <v>0</v>
      </c>
      <c r="BW47" s="302">
        <f t="shared" si="62"/>
        <v>0</v>
      </c>
      <c r="BX47" s="302">
        <f t="shared" si="63"/>
        <v>0</v>
      </c>
      <c r="BY47" s="302">
        <f t="shared" si="64"/>
        <v>0</v>
      </c>
      <c r="BZ47" s="302">
        <f t="shared" si="65"/>
        <v>0</v>
      </c>
      <c r="CA47" s="302">
        <f t="shared" si="66"/>
        <v>0</v>
      </c>
      <c r="CB47" s="302">
        <f t="shared" si="67"/>
        <v>0</v>
      </c>
      <c r="CC47" s="302">
        <f t="shared" si="68"/>
        <v>0</v>
      </c>
      <c r="CD47" s="302">
        <f t="shared" si="69"/>
        <v>0</v>
      </c>
      <c r="CE47" s="302">
        <f t="shared" si="70"/>
        <v>0</v>
      </c>
      <c r="CF47" s="302">
        <f t="shared" si="71"/>
        <v>0</v>
      </c>
      <c r="CG47" s="302">
        <f t="shared" si="72"/>
        <v>0</v>
      </c>
      <c r="CH47" s="302">
        <f t="shared" si="73"/>
        <v>0</v>
      </c>
      <c r="CI47" s="302">
        <f t="shared" si="74"/>
        <v>0</v>
      </c>
      <c r="CJ47" s="302">
        <f t="shared" si="75"/>
        <v>0</v>
      </c>
      <c r="CK47" s="302">
        <f t="shared" si="76"/>
        <v>0</v>
      </c>
      <c r="CL47" s="302">
        <f t="shared" si="77"/>
        <v>0</v>
      </c>
      <c r="CM47" s="254">
        <f t="shared" si="49"/>
        <v>0</v>
      </c>
      <c r="CO47" s="301">
        <f t="shared" si="78"/>
        <v>0</v>
      </c>
      <c r="CP47" s="302">
        <f t="shared" si="79"/>
        <v>0</v>
      </c>
      <c r="CQ47" s="302">
        <f t="shared" si="80"/>
        <v>0</v>
      </c>
      <c r="CR47" s="302">
        <f t="shared" si="81"/>
        <v>0</v>
      </c>
      <c r="CS47" s="302">
        <f t="shared" si="82"/>
        <v>0</v>
      </c>
      <c r="CT47" s="302">
        <f t="shared" si="83"/>
        <v>0</v>
      </c>
      <c r="CU47" s="302">
        <f t="shared" si="84"/>
        <v>0</v>
      </c>
      <c r="CV47" s="302">
        <f t="shared" si="85"/>
        <v>0</v>
      </c>
      <c r="CW47" s="302">
        <f t="shared" si="86"/>
        <v>0</v>
      </c>
      <c r="CX47" s="302">
        <f t="shared" si="87"/>
        <v>0</v>
      </c>
      <c r="CY47" s="302">
        <f t="shared" si="88"/>
        <v>0</v>
      </c>
      <c r="CZ47" s="302">
        <f t="shared" si="89"/>
        <v>0</v>
      </c>
      <c r="DA47" s="302">
        <f t="shared" si="90"/>
        <v>0</v>
      </c>
      <c r="DB47" s="302">
        <f t="shared" si="91"/>
        <v>0</v>
      </c>
      <c r="DC47" s="302">
        <f t="shared" si="92"/>
        <v>0</v>
      </c>
      <c r="DD47" s="302">
        <f t="shared" si="93"/>
        <v>0</v>
      </c>
      <c r="DE47" s="302">
        <f t="shared" si="94"/>
        <v>0</v>
      </c>
      <c r="DF47" s="302">
        <f t="shared" si="95"/>
        <v>0</v>
      </c>
      <c r="DG47" s="302">
        <f t="shared" si="96"/>
        <v>0</v>
      </c>
      <c r="DH47" s="302">
        <f t="shared" si="97"/>
        <v>0</v>
      </c>
      <c r="DI47" s="302">
        <f t="shared" si="98"/>
        <v>0</v>
      </c>
      <c r="DJ47" s="254">
        <f t="shared" si="55"/>
        <v>0</v>
      </c>
    </row>
    <row r="48" spans="1:114" x14ac:dyDescent="0.2">
      <c r="B48" s="234"/>
      <c r="C48" s="234"/>
      <c r="D48" s="660"/>
      <c r="E48" s="651"/>
      <c r="F48" s="651"/>
      <c r="G48" s="651"/>
      <c r="H48" s="651"/>
      <c r="I48" s="651"/>
      <c r="J48" s="651"/>
      <c r="K48" s="651"/>
      <c r="L48" s="651"/>
      <c r="M48" s="651"/>
      <c r="N48" s="651"/>
      <c r="O48" s="651"/>
      <c r="P48" s="651"/>
      <c r="Q48" s="682"/>
      <c r="R48" s="651"/>
      <c r="S48" s="651"/>
      <c r="T48" s="651"/>
      <c r="U48" s="651"/>
      <c r="V48" s="651"/>
      <c r="W48" s="651"/>
      <c r="X48" s="652"/>
      <c r="Z48" s="246"/>
      <c r="AA48" s="247"/>
      <c r="AB48" s="247"/>
      <c r="AC48" s="247"/>
      <c r="AD48" s="247"/>
      <c r="AE48" s="247"/>
      <c r="AF48" s="247"/>
      <c r="AG48" s="247"/>
      <c r="AH48" s="247"/>
      <c r="AI48" s="247"/>
      <c r="AJ48" s="247"/>
      <c r="AK48" s="247"/>
      <c r="AL48" s="247"/>
      <c r="AM48" s="247"/>
      <c r="AN48" s="247"/>
      <c r="AO48" s="247"/>
      <c r="AP48" s="247"/>
      <c r="AQ48" s="247"/>
      <c r="AR48" s="247"/>
      <c r="AS48" s="247"/>
      <c r="AT48" s="248"/>
      <c r="AV48" s="653"/>
      <c r="AW48" s="654"/>
      <c r="AX48" s="654"/>
      <c r="AY48" s="654"/>
      <c r="AZ48" s="654"/>
      <c r="BA48" s="654"/>
      <c r="BB48" s="654"/>
      <c r="BC48" s="654"/>
      <c r="BD48" s="654"/>
      <c r="BE48" s="654"/>
      <c r="BF48" s="654"/>
      <c r="BG48" s="654"/>
      <c r="BH48" s="654"/>
      <c r="BI48" s="681"/>
      <c r="BJ48" s="654"/>
      <c r="BK48" s="654"/>
      <c r="BL48" s="654"/>
      <c r="BM48" s="654"/>
      <c r="BN48" s="654"/>
      <c r="BO48" s="654"/>
      <c r="BP48" s="655"/>
      <c r="BR48" s="301">
        <f t="shared" si="57"/>
        <v>0</v>
      </c>
      <c r="BS48" s="302">
        <f t="shared" si="58"/>
        <v>0</v>
      </c>
      <c r="BT48" s="302">
        <f t="shared" si="59"/>
        <v>0</v>
      </c>
      <c r="BU48" s="302">
        <f t="shared" si="60"/>
        <v>0</v>
      </c>
      <c r="BV48" s="302">
        <f t="shared" si="61"/>
        <v>0</v>
      </c>
      <c r="BW48" s="302">
        <f t="shared" si="62"/>
        <v>0</v>
      </c>
      <c r="BX48" s="302">
        <f t="shared" si="63"/>
        <v>0</v>
      </c>
      <c r="BY48" s="302">
        <f t="shared" si="64"/>
        <v>0</v>
      </c>
      <c r="BZ48" s="302">
        <f t="shared" si="65"/>
        <v>0</v>
      </c>
      <c r="CA48" s="302">
        <f t="shared" si="66"/>
        <v>0</v>
      </c>
      <c r="CB48" s="302">
        <f t="shared" si="67"/>
        <v>0</v>
      </c>
      <c r="CC48" s="302">
        <f t="shared" si="68"/>
        <v>0</v>
      </c>
      <c r="CD48" s="302">
        <f t="shared" si="69"/>
        <v>0</v>
      </c>
      <c r="CE48" s="302">
        <f t="shared" si="70"/>
        <v>0</v>
      </c>
      <c r="CF48" s="302">
        <f t="shared" si="71"/>
        <v>0</v>
      </c>
      <c r="CG48" s="302">
        <f t="shared" si="72"/>
        <v>0</v>
      </c>
      <c r="CH48" s="302">
        <f t="shared" si="73"/>
        <v>0</v>
      </c>
      <c r="CI48" s="302">
        <f t="shared" si="74"/>
        <v>0</v>
      </c>
      <c r="CJ48" s="302">
        <f t="shared" si="75"/>
        <v>0</v>
      </c>
      <c r="CK48" s="302">
        <f t="shared" si="76"/>
        <v>0</v>
      </c>
      <c r="CL48" s="302">
        <f t="shared" si="77"/>
        <v>0</v>
      </c>
      <c r="CM48" s="254">
        <f t="shared" si="49"/>
        <v>0</v>
      </c>
      <c r="CO48" s="301">
        <f t="shared" si="78"/>
        <v>0</v>
      </c>
      <c r="CP48" s="302">
        <f t="shared" si="79"/>
        <v>0</v>
      </c>
      <c r="CQ48" s="302">
        <f t="shared" si="80"/>
        <v>0</v>
      </c>
      <c r="CR48" s="302">
        <f t="shared" si="81"/>
        <v>0</v>
      </c>
      <c r="CS48" s="302">
        <f t="shared" si="82"/>
        <v>0</v>
      </c>
      <c r="CT48" s="302">
        <f t="shared" si="83"/>
        <v>0</v>
      </c>
      <c r="CU48" s="302">
        <f t="shared" si="84"/>
        <v>0</v>
      </c>
      <c r="CV48" s="302">
        <f t="shared" si="85"/>
        <v>0</v>
      </c>
      <c r="CW48" s="302">
        <f t="shared" si="86"/>
        <v>0</v>
      </c>
      <c r="CX48" s="302">
        <f t="shared" si="87"/>
        <v>0</v>
      </c>
      <c r="CY48" s="302">
        <f t="shared" si="88"/>
        <v>0</v>
      </c>
      <c r="CZ48" s="302">
        <f t="shared" si="89"/>
        <v>0</v>
      </c>
      <c r="DA48" s="302">
        <f t="shared" si="90"/>
        <v>0</v>
      </c>
      <c r="DB48" s="302">
        <f t="shared" si="91"/>
        <v>0</v>
      </c>
      <c r="DC48" s="302">
        <f t="shared" si="92"/>
        <v>0</v>
      </c>
      <c r="DD48" s="302">
        <f t="shared" si="93"/>
        <v>0</v>
      </c>
      <c r="DE48" s="302">
        <f t="shared" si="94"/>
        <v>0</v>
      </c>
      <c r="DF48" s="302">
        <f t="shared" si="95"/>
        <v>0</v>
      </c>
      <c r="DG48" s="302">
        <f t="shared" si="96"/>
        <v>0</v>
      </c>
      <c r="DH48" s="302">
        <f t="shared" si="97"/>
        <v>0</v>
      </c>
      <c r="DI48" s="302">
        <f t="shared" si="98"/>
        <v>0</v>
      </c>
      <c r="DJ48" s="254">
        <f t="shared" si="55"/>
        <v>0</v>
      </c>
    </row>
    <row r="49" spans="2:114" x14ac:dyDescent="0.2">
      <c r="B49" s="234"/>
      <c r="C49" s="234"/>
      <c r="D49" s="660"/>
      <c r="E49" s="651"/>
      <c r="F49" s="651"/>
      <c r="G49" s="651"/>
      <c r="H49" s="651"/>
      <c r="I49" s="651"/>
      <c r="J49" s="651"/>
      <c r="K49" s="651"/>
      <c r="L49" s="651"/>
      <c r="M49" s="651"/>
      <c r="N49" s="651"/>
      <c r="O49" s="651"/>
      <c r="P49" s="651"/>
      <c r="Q49" s="682"/>
      <c r="R49" s="651"/>
      <c r="S49" s="651"/>
      <c r="T49" s="651"/>
      <c r="U49" s="651"/>
      <c r="V49" s="651"/>
      <c r="W49" s="651"/>
      <c r="X49" s="652"/>
      <c r="Z49" s="246"/>
      <c r="AA49" s="247"/>
      <c r="AB49" s="247"/>
      <c r="AC49" s="247"/>
      <c r="AD49" s="247"/>
      <c r="AE49" s="247"/>
      <c r="AF49" s="247"/>
      <c r="AG49" s="247"/>
      <c r="AH49" s="247"/>
      <c r="AI49" s="247"/>
      <c r="AJ49" s="247"/>
      <c r="AK49" s="247"/>
      <c r="AL49" s="247"/>
      <c r="AM49" s="247"/>
      <c r="AN49" s="247"/>
      <c r="AO49" s="247"/>
      <c r="AP49" s="247"/>
      <c r="AQ49" s="247"/>
      <c r="AR49" s="247"/>
      <c r="AS49" s="247"/>
      <c r="AT49" s="248"/>
      <c r="AV49" s="653"/>
      <c r="AW49" s="654"/>
      <c r="AX49" s="654"/>
      <c r="AY49" s="654"/>
      <c r="AZ49" s="654"/>
      <c r="BA49" s="654"/>
      <c r="BB49" s="654"/>
      <c r="BC49" s="654"/>
      <c r="BD49" s="654"/>
      <c r="BE49" s="654"/>
      <c r="BF49" s="654"/>
      <c r="BG49" s="654"/>
      <c r="BH49" s="654"/>
      <c r="BI49" s="681"/>
      <c r="BJ49" s="654"/>
      <c r="BK49" s="654"/>
      <c r="BL49" s="654"/>
      <c r="BM49" s="654"/>
      <c r="BN49" s="654"/>
      <c r="BO49" s="654"/>
      <c r="BP49" s="655"/>
      <c r="BR49" s="301">
        <f t="shared" si="57"/>
        <v>0</v>
      </c>
      <c r="BS49" s="302">
        <f t="shared" si="58"/>
        <v>0</v>
      </c>
      <c r="BT49" s="302">
        <f t="shared" si="59"/>
        <v>0</v>
      </c>
      <c r="BU49" s="302">
        <f t="shared" si="60"/>
        <v>0</v>
      </c>
      <c r="BV49" s="302">
        <f t="shared" si="61"/>
        <v>0</v>
      </c>
      <c r="BW49" s="302">
        <f t="shared" si="62"/>
        <v>0</v>
      </c>
      <c r="BX49" s="302">
        <f t="shared" si="63"/>
        <v>0</v>
      </c>
      <c r="BY49" s="302">
        <f t="shared" si="64"/>
        <v>0</v>
      </c>
      <c r="BZ49" s="302">
        <f t="shared" si="65"/>
        <v>0</v>
      </c>
      <c r="CA49" s="302">
        <f t="shared" si="66"/>
        <v>0</v>
      </c>
      <c r="CB49" s="302">
        <f t="shared" si="67"/>
        <v>0</v>
      </c>
      <c r="CC49" s="302">
        <f t="shared" si="68"/>
        <v>0</v>
      </c>
      <c r="CD49" s="302">
        <f t="shared" si="69"/>
        <v>0</v>
      </c>
      <c r="CE49" s="302">
        <f t="shared" si="70"/>
        <v>0</v>
      </c>
      <c r="CF49" s="302">
        <f t="shared" si="71"/>
        <v>0</v>
      </c>
      <c r="CG49" s="302">
        <f t="shared" si="72"/>
        <v>0</v>
      </c>
      <c r="CH49" s="302">
        <f t="shared" si="73"/>
        <v>0</v>
      </c>
      <c r="CI49" s="302">
        <f t="shared" si="74"/>
        <v>0</v>
      </c>
      <c r="CJ49" s="302">
        <f t="shared" si="75"/>
        <v>0</v>
      </c>
      <c r="CK49" s="302">
        <f t="shared" si="76"/>
        <v>0</v>
      </c>
      <c r="CL49" s="302">
        <f t="shared" si="77"/>
        <v>0</v>
      </c>
      <c r="CM49" s="254">
        <f t="shared" si="49"/>
        <v>0</v>
      </c>
      <c r="CO49" s="301">
        <f t="shared" si="78"/>
        <v>0</v>
      </c>
      <c r="CP49" s="302">
        <f t="shared" si="79"/>
        <v>0</v>
      </c>
      <c r="CQ49" s="302">
        <f t="shared" si="80"/>
        <v>0</v>
      </c>
      <c r="CR49" s="302">
        <f t="shared" si="81"/>
        <v>0</v>
      </c>
      <c r="CS49" s="302">
        <f t="shared" si="82"/>
        <v>0</v>
      </c>
      <c r="CT49" s="302">
        <f t="shared" si="83"/>
        <v>0</v>
      </c>
      <c r="CU49" s="302">
        <f t="shared" si="84"/>
        <v>0</v>
      </c>
      <c r="CV49" s="302">
        <f t="shared" si="85"/>
        <v>0</v>
      </c>
      <c r="CW49" s="302">
        <f t="shared" si="86"/>
        <v>0</v>
      </c>
      <c r="CX49" s="302">
        <f t="shared" si="87"/>
        <v>0</v>
      </c>
      <c r="CY49" s="302">
        <f t="shared" si="88"/>
        <v>0</v>
      </c>
      <c r="CZ49" s="302">
        <f t="shared" si="89"/>
        <v>0</v>
      </c>
      <c r="DA49" s="302">
        <f t="shared" si="90"/>
        <v>0</v>
      </c>
      <c r="DB49" s="302">
        <f t="shared" si="91"/>
        <v>0</v>
      </c>
      <c r="DC49" s="302">
        <f t="shared" si="92"/>
        <v>0</v>
      </c>
      <c r="DD49" s="302">
        <f t="shared" si="93"/>
        <v>0</v>
      </c>
      <c r="DE49" s="302">
        <f t="shared" si="94"/>
        <v>0</v>
      </c>
      <c r="DF49" s="302">
        <f t="shared" si="95"/>
        <v>0</v>
      </c>
      <c r="DG49" s="302">
        <f t="shared" si="96"/>
        <v>0</v>
      </c>
      <c r="DH49" s="302">
        <f t="shared" si="97"/>
        <v>0</v>
      </c>
      <c r="DI49" s="302">
        <f t="shared" si="98"/>
        <v>0</v>
      </c>
      <c r="DJ49" s="254">
        <f t="shared" si="55"/>
        <v>0</v>
      </c>
    </row>
    <row r="50" spans="2:114" x14ac:dyDescent="0.2">
      <c r="B50" s="234"/>
      <c r="C50" s="234"/>
      <c r="D50" s="660"/>
      <c r="E50" s="651"/>
      <c r="F50" s="651"/>
      <c r="G50" s="651"/>
      <c r="H50" s="651"/>
      <c r="I50" s="651"/>
      <c r="J50" s="651"/>
      <c r="K50" s="651"/>
      <c r="L50" s="651"/>
      <c r="M50" s="651"/>
      <c r="N50" s="651"/>
      <c r="O50" s="651"/>
      <c r="P50" s="651"/>
      <c r="Q50" s="682"/>
      <c r="R50" s="651"/>
      <c r="S50" s="651"/>
      <c r="T50" s="651"/>
      <c r="U50" s="651"/>
      <c r="V50" s="651"/>
      <c r="W50" s="651"/>
      <c r="X50" s="652"/>
      <c r="Z50" s="246"/>
      <c r="AA50" s="247"/>
      <c r="AB50" s="247"/>
      <c r="AC50" s="247"/>
      <c r="AD50" s="247"/>
      <c r="AE50" s="247"/>
      <c r="AF50" s="247"/>
      <c r="AG50" s="247"/>
      <c r="AH50" s="247"/>
      <c r="AI50" s="247"/>
      <c r="AJ50" s="247"/>
      <c r="AK50" s="247"/>
      <c r="AL50" s="247"/>
      <c r="AM50" s="247"/>
      <c r="AN50" s="247"/>
      <c r="AO50" s="247"/>
      <c r="AP50" s="247"/>
      <c r="AQ50" s="247"/>
      <c r="AR50" s="247"/>
      <c r="AS50" s="247"/>
      <c r="AT50" s="248"/>
      <c r="AV50" s="653"/>
      <c r="AW50" s="654"/>
      <c r="AX50" s="654"/>
      <c r="AY50" s="654"/>
      <c r="AZ50" s="654"/>
      <c r="BA50" s="654"/>
      <c r="BB50" s="654"/>
      <c r="BC50" s="654"/>
      <c r="BD50" s="654"/>
      <c r="BE50" s="654"/>
      <c r="BF50" s="654"/>
      <c r="BG50" s="654"/>
      <c r="BH50" s="654"/>
      <c r="BI50" s="681"/>
      <c r="BJ50" s="654"/>
      <c r="BK50" s="654"/>
      <c r="BL50" s="654"/>
      <c r="BM50" s="654"/>
      <c r="BN50" s="654"/>
      <c r="BO50" s="654"/>
      <c r="BP50" s="655"/>
      <c r="BR50" s="301">
        <f t="shared" si="57"/>
        <v>0</v>
      </c>
      <c r="BS50" s="302">
        <f t="shared" si="58"/>
        <v>0</v>
      </c>
      <c r="BT50" s="302">
        <f t="shared" si="59"/>
        <v>0</v>
      </c>
      <c r="BU50" s="302">
        <f t="shared" si="60"/>
        <v>0</v>
      </c>
      <c r="BV50" s="302">
        <f t="shared" si="61"/>
        <v>0</v>
      </c>
      <c r="BW50" s="302">
        <f t="shared" si="62"/>
        <v>0</v>
      </c>
      <c r="BX50" s="302">
        <f t="shared" si="63"/>
        <v>0</v>
      </c>
      <c r="BY50" s="302">
        <f t="shared" si="64"/>
        <v>0</v>
      </c>
      <c r="BZ50" s="302">
        <f t="shared" si="65"/>
        <v>0</v>
      </c>
      <c r="CA50" s="302">
        <f t="shared" si="66"/>
        <v>0</v>
      </c>
      <c r="CB50" s="302">
        <f t="shared" si="67"/>
        <v>0</v>
      </c>
      <c r="CC50" s="302">
        <f t="shared" si="68"/>
        <v>0</v>
      </c>
      <c r="CD50" s="302">
        <f t="shared" si="69"/>
        <v>0</v>
      </c>
      <c r="CE50" s="302">
        <f t="shared" si="70"/>
        <v>0</v>
      </c>
      <c r="CF50" s="302">
        <f t="shared" si="71"/>
        <v>0</v>
      </c>
      <c r="CG50" s="302">
        <f t="shared" si="72"/>
        <v>0</v>
      </c>
      <c r="CH50" s="302">
        <f t="shared" si="73"/>
        <v>0</v>
      </c>
      <c r="CI50" s="302">
        <f t="shared" si="74"/>
        <v>0</v>
      </c>
      <c r="CJ50" s="302">
        <f t="shared" si="75"/>
        <v>0</v>
      </c>
      <c r="CK50" s="302">
        <f t="shared" si="76"/>
        <v>0</v>
      </c>
      <c r="CL50" s="302">
        <f t="shared" si="77"/>
        <v>0</v>
      </c>
      <c r="CM50" s="254">
        <f t="shared" si="49"/>
        <v>0</v>
      </c>
      <c r="CO50" s="301">
        <f t="shared" si="78"/>
        <v>0</v>
      </c>
      <c r="CP50" s="302">
        <f t="shared" si="79"/>
        <v>0</v>
      </c>
      <c r="CQ50" s="302">
        <f t="shared" si="80"/>
        <v>0</v>
      </c>
      <c r="CR50" s="302">
        <f t="shared" si="81"/>
        <v>0</v>
      </c>
      <c r="CS50" s="302">
        <f t="shared" si="82"/>
        <v>0</v>
      </c>
      <c r="CT50" s="302">
        <f t="shared" si="83"/>
        <v>0</v>
      </c>
      <c r="CU50" s="302">
        <f t="shared" si="84"/>
        <v>0</v>
      </c>
      <c r="CV50" s="302">
        <f t="shared" si="85"/>
        <v>0</v>
      </c>
      <c r="CW50" s="302">
        <f t="shared" si="86"/>
        <v>0</v>
      </c>
      <c r="CX50" s="302">
        <f t="shared" si="87"/>
        <v>0</v>
      </c>
      <c r="CY50" s="302">
        <f t="shared" si="88"/>
        <v>0</v>
      </c>
      <c r="CZ50" s="302">
        <f t="shared" si="89"/>
        <v>0</v>
      </c>
      <c r="DA50" s="302">
        <f t="shared" si="90"/>
        <v>0</v>
      </c>
      <c r="DB50" s="302">
        <f t="shared" si="91"/>
        <v>0</v>
      </c>
      <c r="DC50" s="302">
        <f t="shared" si="92"/>
        <v>0</v>
      </c>
      <c r="DD50" s="302">
        <f t="shared" si="93"/>
        <v>0</v>
      </c>
      <c r="DE50" s="302">
        <f t="shared" si="94"/>
        <v>0</v>
      </c>
      <c r="DF50" s="302">
        <f t="shared" si="95"/>
        <v>0</v>
      </c>
      <c r="DG50" s="302">
        <f t="shared" si="96"/>
        <v>0</v>
      </c>
      <c r="DH50" s="302">
        <f t="shared" si="97"/>
        <v>0</v>
      </c>
      <c r="DI50" s="302">
        <f t="shared" si="98"/>
        <v>0</v>
      </c>
      <c r="DJ50" s="254">
        <f t="shared" si="55"/>
        <v>0</v>
      </c>
    </row>
    <row r="51" spans="2:114" x14ac:dyDescent="0.2">
      <c r="B51" s="234"/>
      <c r="C51" s="234"/>
      <c r="D51" s="660"/>
      <c r="E51" s="651"/>
      <c r="F51" s="651"/>
      <c r="G51" s="651"/>
      <c r="H51" s="651"/>
      <c r="I51" s="651"/>
      <c r="J51" s="651"/>
      <c r="K51" s="651"/>
      <c r="L51" s="651"/>
      <c r="M51" s="651"/>
      <c r="N51" s="651"/>
      <c r="O51" s="651"/>
      <c r="P51" s="651"/>
      <c r="Q51" s="682"/>
      <c r="R51" s="651"/>
      <c r="S51" s="651"/>
      <c r="T51" s="651"/>
      <c r="U51" s="651"/>
      <c r="V51" s="651"/>
      <c r="W51" s="651"/>
      <c r="X51" s="652"/>
      <c r="Z51" s="246"/>
      <c r="AA51" s="247"/>
      <c r="AB51" s="247"/>
      <c r="AC51" s="247"/>
      <c r="AD51" s="247"/>
      <c r="AE51" s="247"/>
      <c r="AF51" s="247"/>
      <c r="AG51" s="247"/>
      <c r="AH51" s="247"/>
      <c r="AI51" s="247"/>
      <c r="AJ51" s="247"/>
      <c r="AK51" s="247"/>
      <c r="AL51" s="247"/>
      <c r="AM51" s="247"/>
      <c r="AN51" s="247"/>
      <c r="AO51" s="247"/>
      <c r="AP51" s="247"/>
      <c r="AQ51" s="247"/>
      <c r="AR51" s="247"/>
      <c r="AS51" s="247"/>
      <c r="AT51" s="248"/>
      <c r="AV51" s="653"/>
      <c r="AW51" s="654"/>
      <c r="AX51" s="654"/>
      <c r="AY51" s="654"/>
      <c r="AZ51" s="654"/>
      <c r="BA51" s="654"/>
      <c r="BB51" s="654"/>
      <c r="BC51" s="654"/>
      <c r="BD51" s="654"/>
      <c r="BE51" s="654"/>
      <c r="BF51" s="654"/>
      <c r="BG51" s="654"/>
      <c r="BH51" s="654"/>
      <c r="BI51" s="681"/>
      <c r="BJ51" s="654"/>
      <c r="BK51" s="654"/>
      <c r="BL51" s="654"/>
      <c r="BM51" s="654"/>
      <c r="BN51" s="654"/>
      <c r="BO51" s="654"/>
      <c r="BP51" s="655"/>
      <c r="BR51" s="301">
        <f t="shared" si="57"/>
        <v>0</v>
      </c>
      <c r="BS51" s="302">
        <f t="shared" si="58"/>
        <v>0</v>
      </c>
      <c r="BT51" s="302">
        <f t="shared" si="59"/>
        <v>0</v>
      </c>
      <c r="BU51" s="302">
        <f t="shared" si="60"/>
        <v>0</v>
      </c>
      <c r="BV51" s="302">
        <f t="shared" si="61"/>
        <v>0</v>
      </c>
      <c r="BW51" s="302">
        <f t="shared" si="62"/>
        <v>0</v>
      </c>
      <c r="BX51" s="302">
        <f t="shared" si="63"/>
        <v>0</v>
      </c>
      <c r="BY51" s="302">
        <f t="shared" si="64"/>
        <v>0</v>
      </c>
      <c r="BZ51" s="302">
        <f t="shared" si="65"/>
        <v>0</v>
      </c>
      <c r="CA51" s="302">
        <f t="shared" si="66"/>
        <v>0</v>
      </c>
      <c r="CB51" s="302">
        <f t="shared" si="67"/>
        <v>0</v>
      </c>
      <c r="CC51" s="302">
        <f t="shared" si="68"/>
        <v>0</v>
      </c>
      <c r="CD51" s="302">
        <f t="shared" si="69"/>
        <v>0</v>
      </c>
      <c r="CE51" s="302">
        <f t="shared" si="70"/>
        <v>0</v>
      </c>
      <c r="CF51" s="302">
        <f t="shared" si="71"/>
        <v>0</v>
      </c>
      <c r="CG51" s="302">
        <f t="shared" si="72"/>
        <v>0</v>
      </c>
      <c r="CH51" s="302">
        <f t="shared" si="73"/>
        <v>0</v>
      </c>
      <c r="CI51" s="302">
        <f t="shared" si="74"/>
        <v>0</v>
      </c>
      <c r="CJ51" s="302">
        <f t="shared" si="75"/>
        <v>0</v>
      </c>
      <c r="CK51" s="302">
        <f t="shared" si="76"/>
        <v>0</v>
      </c>
      <c r="CL51" s="302">
        <f t="shared" si="77"/>
        <v>0</v>
      </c>
      <c r="CM51" s="254">
        <f t="shared" si="49"/>
        <v>0</v>
      </c>
      <c r="CO51" s="301">
        <f t="shared" si="78"/>
        <v>0</v>
      </c>
      <c r="CP51" s="302">
        <f t="shared" si="79"/>
        <v>0</v>
      </c>
      <c r="CQ51" s="302">
        <f t="shared" si="80"/>
        <v>0</v>
      </c>
      <c r="CR51" s="302">
        <f t="shared" si="81"/>
        <v>0</v>
      </c>
      <c r="CS51" s="302">
        <f t="shared" si="82"/>
        <v>0</v>
      </c>
      <c r="CT51" s="302">
        <f t="shared" si="83"/>
        <v>0</v>
      </c>
      <c r="CU51" s="302">
        <f t="shared" si="84"/>
        <v>0</v>
      </c>
      <c r="CV51" s="302">
        <f t="shared" si="85"/>
        <v>0</v>
      </c>
      <c r="CW51" s="302">
        <f t="shared" si="86"/>
        <v>0</v>
      </c>
      <c r="CX51" s="302">
        <f t="shared" si="87"/>
        <v>0</v>
      </c>
      <c r="CY51" s="302">
        <f t="shared" si="88"/>
        <v>0</v>
      </c>
      <c r="CZ51" s="302">
        <f t="shared" si="89"/>
        <v>0</v>
      </c>
      <c r="DA51" s="302">
        <f t="shared" si="90"/>
        <v>0</v>
      </c>
      <c r="DB51" s="302">
        <f t="shared" si="91"/>
        <v>0</v>
      </c>
      <c r="DC51" s="302">
        <f t="shared" si="92"/>
        <v>0</v>
      </c>
      <c r="DD51" s="302">
        <f t="shared" si="93"/>
        <v>0</v>
      </c>
      <c r="DE51" s="302">
        <f t="shared" si="94"/>
        <v>0</v>
      </c>
      <c r="DF51" s="302">
        <f t="shared" si="95"/>
        <v>0</v>
      </c>
      <c r="DG51" s="302">
        <f t="shared" si="96"/>
        <v>0</v>
      </c>
      <c r="DH51" s="302">
        <f t="shared" si="97"/>
        <v>0</v>
      </c>
      <c r="DI51" s="302">
        <f t="shared" si="98"/>
        <v>0</v>
      </c>
      <c r="DJ51" s="254">
        <f t="shared" si="55"/>
        <v>0</v>
      </c>
    </row>
    <row r="52" spans="2:114" x14ac:dyDescent="0.2">
      <c r="B52" s="234"/>
      <c r="C52" s="234"/>
      <c r="D52" s="660"/>
      <c r="E52" s="651"/>
      <c r="F52" s="651"/>
      <c r="G52" s="651"/>
      <c r="H52" s="651"/>
      <c r="I52" s="651"/>
      <c r="J52" s="651"/>
      <c r="K52" s="651"/>
      <c r="L52" s="651"/>
      <c r="M52" s="651"/>
      <c r="N52" s="651"/>
      <c r="O52" s="651"/>
      <c r="P52" s="651"/>
      <c r="Q52" s="682"/>
      <c r="R52" s="651"/>
      <c r="S52" s="651"/>
      <c r="T52" s="651"/>
      <c r="U52" s="651"/>
      <c r="V52" s="651"/>
      <c r="W52" s="651"/>
      <c r="X52" s="652"/>
      <c r="Z52" s="246"/>
      <c r="AA52" s="247"/>
      <c r="AB52" s="247"/>
      <c r="AC52" s="247"/>
      <c r="AD52" s="247"/>
      <c r="AE52" s="247"/>
      <c r="AF52" s="247"/>
      <c r="AG52" s="247"/>
      <c r="AH52" s="247"/>
      <c r="AI52" s="247"/>
      <c r="AJ52" s="247"/>
      <c r="AK52" s="247"/>
      <c r="AL52" s="247"/>
      <c r="AM52" s="247"/>
      <c r="AN52" s="247"/>
      <c r="AO52" s="247"/>
      <c r="AP52" s="247"/>
      <c r="AQ52" s="247"/>
      <c r="AR52" s="247"/>
      <c r="AS52" s="247"/>
      <c r="AT52" s="248"/>
      <c r="AV52" s="653"/>
      <c r="AW52" s="654"/>
      <c r="AX52" s="654"/>
      <c r="AY52" s="654"/>
      <c r="AZ52" s="654"/>
      <c r="BA52" s="654"/>
      <c r="BB52" s="654"/>
      <c r="BC52" s="654"/>
      <c r="BD52" s="654"/>
      <c r="BE52" s="654"/>
      <c r="BF52" s="654"/>
      <c r="BG52" s="654"/>
      <c r="BH52" s="654"/>
      <c r="BI52" s="681"/>
      <c r="BJ52" s="654"/>
      <c r="BK52" s="654"/>
      <c r="BL52" s="654"/>
      <c r="BM52" s="654"/>
      <c r="BN52" s="654"/>
      <c r="BO52" s="654"/>
      <c r="BP52" s="655"/>
      <c r="BR52" s="301">
        <f t="shared" si="57"/>
        <v>0</v>
      </c>
      <c r="BS52" s="302">
        <f t="shared" si="58"/>
        <v>0</v>
      </c>
      <c r="BT52" s="302">
        <f t="shared" si="59"/>
        <v>0</v>
      </c>
      <c r="BU52" s="302">
        <f t="shared" si="60"/>
        <v>0</v>
      </c>
      <c r="BV52" s="302">
        <f t="shared" si="61"/>
        <v>0</v>
      </c>
      <c r="BW52" s="302">
        <f t="shared" si="62"/>
        <v>0</v>
      </c>
      <c r="BX52" s="302">
        <f t="shared" si="63"/>
        <v>0</v>
      </c>
      <c r="BY52" s="302">
        <f t="shared" si="64"/>
        <v>0</v>
      </c>
      <c r="BZ52" s="302">
        <f t="shared" si="65"/>
        <v>0</v>
      </c>
      <c r="CA52" s="302">
        <f t="shared" si="66"/>
        <v>0</v>
      </c>
      <c r="CB52" s="302">
        <f t="shared" si="67"/>
        <v>0</v>
      </c>
      <c r="CC52" s="302">
        <f t="shared" si="68"/>
        <v>0</v>
      </c>
      <c r="CD52" s="302">
        <f t="shared" si="69"/>
        <v>0</v>
      </c>
      <c r="CE52" s="302">
        <f t="shared" si="70"/>
        <v>0</v>
      </c>
      <c r="CF52" s="302">
        <f t="shared" si="71"/>
        <v>0</v>
      </c>
      <c r="CG52" s="302">
        <f t="shared" si="72"/>
        <v>0</v>
      </c>
      <c r="CH52" s="302">
        <f t="shared" si="73"/>
        <v>0</v>
      </c>
      <c r="CI52" s="302">
        <f t="shared" si="74"/>
        <v>0</v>
      </c>
      <c r="CJ52" s="302">
        <f t="shared" si="75"/>
        <v>0</v>
      </c>
      <c r="CK52" s="302">
        <f t="shared" si="76"/>
        <v>0</v>
      </c>
      <c r="CL52" s="302">
        <f t="shared" si="77"/>
        <v>0</v>
      </c>
      <c r="CM52" s="254">
        <f t="shared" si="49"/>
        <v>0</v>
      </c>
      <c r="CO52" s="301">
        <f t="shared" si="78"/>
        <v>0</v>
      </c>
      <c r="CP52" s="302">
        <f t="shared" si="79"/>
        <v>0</v>
      </c>
      <c r="CQ52" s="302">
        <f t="shared" si="80"/>
        <v>0</v>
      </c>
      <c r="CR52" s="302">
        <f t="shared" si="81"/>
        <v>0</v>
      </c>
      <c r="CS52" s="302">
        <f t="shared" si="82"/>
        <v>0</v>
      </c>
      <c r="CT52" s="302">
        <f t="shared" si="83"/>
        <v>0</v>
      </c>
      <c r="CU52" s="302">
        <f t="shared" si="84"/>
        <v>0</v>
      </c>
      <c r="CV52" s="302">
        <f t="shared" si="85"/>
        <v>0</v>
      </c>
      <c r="CW52" s="302">
        <f t="shared" si="86"/>
        <v>0</v>
      </c>
      <c r="CX52" s="302">
        <f t="shared" si="87"/>
        <v>0</v>
      </c>
      <c r="CY52" s="302">
        <f t="shared" si="88"/>
        <v>0</v>
      </c>
      <c r="CZ52" s="302">
        <f t="shared" si="89"/>
        <v>0</v>
      </c>
      <c r="DA52" s="302">
        <f t="shared" si="90"/>
        <v>0</v>
      </c>
      <c r="DB52" s="302">
        <f t="shared" si="91"/>
        <v>0</v>
      </c>
      <c r="DC52" s="302">
        <f t="shared" si="92"/>
        <v>0</v>
      </c>
      <c r="DD52" s="302">
        <f t="shared" si="93"/>
        <v>0</v>
      </c>
      <c r="DE52" s="302">
        <f t="shared" si="94"/>
        <v>0</v>
      </c>
      <c r="DF52" s="302">
        <f t="shared" si="95"/>
        <v>0</v>
      </c>
      <c r="DG52" s="302">
        <f t="shared" si="96"/>
        <v>0</v>
      </c>
      <c r="DH52" s="302">
        <f t="shared" si="97"/>
        <v>0</v>
      </c>
      <c r="DI52" s="302">
        <f t="shared" si="98"/>
        <v>0</v>
      </c>
      <c r="DJ52" s="254">
        <f t="shared" si="55"/>
        <v>0</v>
      </c>
    </row>
    <row r="53" spans="2:114" x14ac:dyDescent="0.2">
      <c r="B53" s="234"/>
      <c r="C53" s="234"/>
      <c r="D53" s="294"/>
      <c r="E53" s="295"/>
      <c r="F53" s="295"/>
      <c r="G53" s="295"/>
      <c r="H53" s="295"/>
      <c r="I53" s="295"/>
      <c r="J53" s="295"/>
      <c r="K53" s="295"/>
      <c r="L53" s="295"/>
      <c r="M53" s="295"/>
      <c r="N53" s="295"/>
      <c r="O53" s="295"/>
      <c r="P53" s="295"/>
      <c r="Q53" s="371"/>
      <c r="R53" s="295"/>
      <c r="S53" s="295"/>
      <c r="T53" s="295"/>
      <c r="U53" s="295"/>
      <c r="V53" s="295"/>
      <c r="W53" s="295"/>
      <c r="X53" s="296"/>
      <c r="Z53" s="317"/>
      <c r="AA53" s="247"/>
      <c r="AB53" s="247"/>
      <c r="AC53" s="247"/>
      <c r="AD53" s="247"/>
      <c r="AE53" s="247"/>
      <c r="AF53" s="247"/>
      <c r="AG53" s="247"/>
      <c r="AH53" s="247"/>
      <c r="AI53" s="247"/>
      <c r="AJ53" s="247"/>
      <c r="AK53" s="247"/>
      <c r="AL53" s="247"/>
      <c r="AM53" s="371"/>
      <c r="AN53" s="295"/>
      <c r="AO53" s="295"/>
      <c r="AP53" s="295"/>
      <c r="AQ53" s="295"/>
      <c r="AR53" s="295"/>
      <c r="AS53" s="295"/>
      <c r="AT53" s="296"/>
      <c r="AV53" s="249"/>
      <c r="AW53" s="306"/>
      <c r="AX53" s="306"/>
      <c r="AY53" s="306"/>
      <c r="AZ53" s="306"/>
      <c r="BA53" s="306"/>
      <c r="BB53" s="306"/>
      <c r="BC53" s="306"/>
      <c r="BD53" s="306"/>
      <c r="BE53" s="306"/>
      <c r="BF53" s="306"/>
      <c r="BG53" s="306"/>
      <c r="BH53" s="306"/>
      <c r="BI53" s="372"/>
      <c r="BJ53" s="306"/>
      <c r="BK53" s="306"/>
      <c r="BL53" s="306"/>
      <c r="BM53" s="306"/>
      <c r="BN53" s="306"/>
      <c r="BO53" s="306"/>
      <c r="BP53" s="307"/>
      <c r="BR53" s="301">
        <f t="shared" si="57"/>
        <v>0</v>
      </c>
      <c r="BS53" s="302">
        <f t="shared" si="58"/>
        <v>0</v>
      </c>
      <c r="BT53" s="302">
        <f t="shared" si="59"/>
        <v>0</v>
      </c>
      <c r="BU53" s="302">
        <f t="shared" si="60"/>
        <v>0</v>
      </c>
      <c r="BV53" s="302">
        <f t="shared" si="61"/>
        <v>0</v>
      </c>
      <c r="BW53" s="302">
        <f t="shared" si="62"/>
        <v>0</v>
      </c>
      <c r="BX53" s="302">
        <f t="shared" si="63"/>
        <v>0</v>
      </c>
      <c r="BY53" s="302">
        <f t="shared" si="64"/>
        <v>0</v>
      </c>
      <c r="BZ53" s="302">
        <f t="shared" si="65"/>
        <v>0</v>
      </c>
      <c r="CA53" s="302">
        <f t="shared" si="66"/>
        <v>0</v>
      </c>
      <c r="CB53" s="302">
        <f t="shared" si="67"/>
        <v>0</v>
      </c>
      <c r="CC53" s="302">
        <f t="shared" si="68"/>
        <v>0</v>
      </c>
      <c r="CD53" s="302">
        <f t="shared" si="69"/>
        <v>0</v>
      </c>
      <c r="CE53" s="302">
        <f t="shared" si="70"/>
        <v>0</v>
      </c>
      <c r="CF53" s="302">
        <f t="shared" si="71"/>
        <v>0</v>
      </c>
      <c r="CG53" s="302">
        <f t="shared" si="72"/>
        <v>0</v>
      </c>
      <c r="CH53" s="302">
        <f t="shared" si="73"/>
        <v>0</v>
      </c>
      <c r="CI53" s="302">
        <f t="shared" si="74"/>
        <v>0</v>
      </c>
      <c r="CJ53" s="302">
        <f t="shared" si="75"/>
        <v>0</v>
      </c>
      <c r="CK53" s="302">
        <f t="shared" si="76"/>
        <v>0</v>
      </c>
      <c r="CL53" s="302">
        <f t="shared" si="77"/>
        <v>0</v>
      </c>
      <c r="CM53" s="254">
        <f t="shared" si="49"/>
        <v>0</v>
      </c>
      <c r="CO53" s="301">
        <f t="shared" si="78"/>
        <v>0</v>
      </c>
      <c r="CP53" s="302">
        <f t="shared" si="79"/>
        <v>0</v>
      </c>
      <c r="CQ53" s="302">
        <f t="shared" si="80"/>
        <v>0</v>
      </c>
      <c r="CR53" s="302">
        <f t="shared" si="81"/>
        <v>0</v>
      </c>
      <c r="CS53" s="302">
        <f t="shared" si="82"/>
        <v>0</v>
      </c>
      <c r="CT53" s="302">
        <f t="shared" si="83"/>
        <v>0</v>
      </c>
      <c r="CU53" s="302">
        <f t="shared" si="84"/>
        <v>0</v>
      </c>
      <c r="CV53" s="302">
        <f t="shared" si="85"/>
        <v>0</v>
      </c>
      <c r="CW53" s="302">
        <f t="shared" si="86"/>
        <v>0</v>
      </c>
      <c r="CX53" s="302">
        <f t="shared" si="87"/>
        <v>0</v>
      </c>
      <c r="CY53" s="302">
        <f t="shared" si="88"/>
        <v>0</v>
      </c>
      <c r="CZ53" s="302">
        <f t="shared" si="89"/>
        <v>0</v>
      </c>
      <c r="DA53" s="302">
        <f t="shared" si="90"/>
        <v>0</v>
      </c>
      <c r="DB53" s="302">
        <f t="shared" si="91"/>
        <v>0</v>
      </c>
      <c r="DC53" s="302">
        <f t="shared" si="92"/>
        <v>0</v>
      </c>
      <c r="DD53" s="302">
        <f t="shared" si="93"/>
        <v>0</v>
      </c>
      <c r="DE53" s="302">
        <f t="shared" si="94"/>
        <v>0</v>
      </c>
      <c r="DF53" s="302">
        <f t="shared" si="95"/>
        <v>0</v>
      </c>
      <c r="DG53" s="302">
        <f t="shared" si="96"/>
        <v>0</v>
      </c>
      <c r="DH53" s="302">
        <f t="shared" si="97"/>
        <v>0</v>
      </c>
      <c r="DI53" s="302">
        <f t="shared" si="98"/>
        <v>0</v>
      </c>
      <c r="DJ53" s="254">
        <f t="shared" si="55"/>
        <v>0</v>
      </c>
    </row>
    <row r="54" spans="2:114" x14ac:dyDescent="0.2">
      <c r="B54" s="234"/>
      <c r="C54" s="234"/>
      <c r="D54" s="294"/>
      <c r="E54" s="295"/>
      <c r="F54" s="295"/>
      <c r="G54" s="295"/>
      <c r="H54" s="295"/>
      <c r="I54" s="295"/>
      <c r="J54" s="295"/>
      <c r="K54" s="295"/>
      <c r="L54" s="295"/>
      <c r="M54" s="295"/>
      <c r="N54" s="295"/>
      <c r="O54" s="295"/>
      <c r="P54" s="295"/>
      <c r="Q54" s="371"/>
      <c r="R54" s="295"/>
      <c r="S54" s="295"/>
      <c r="T54" s="295"/>
      <c r="U54" s="295"/>
      <c r="V54" s="295"/>
      <c r="W54" s="295"/>
      <c r="X54" s="296"/>
      <c r="Z54" s="317"/>
      <c r="AA54" s="247"/>
      <c r="AB54" s="247"/>
      <c r="AC54" s="247"/>
      <c r="AD54" s="247"/>
      <c r="AE54" s="247"/>
      <c r="AF54" s="247"/>
      <c r="AG54" s="247"/>
      <c r="AH54" s="247"/>
      <c r="AI54" s="247"/>
      <c r="AJ54" s="247"/>
      <c r="AK54" s="247"/>
      <c r="AL54" s="247"/>
      <c r="AM54" s="371"/>
      <c r="AN54" s="295"/>
      <c r="AO54" s="295"/>
      <c r="AP54" s="295"/>
      <c r="AQ54" s="295"/>
      <c r="AR54" s="295"/>
      <c r="AS54" s="295"/>
      <c r="AT54" s="296"/>
      <c r="AV54" s="249"/>
      <c r="AW54" s="306"/>
      <c r="AX54" s="306"/>
      <c r="AY54" s="306"/>
      <c r="AZ54" s="306"/>
      <c r="BA54" s="306"/>
      <c r="BB54" s="306"/>
      <c r="BC54" s="306"/>
      <c r="BD54" s="306"/>
      <c r="BE54" s="306"/>
      <c r="BF54" s="306"/>
      <c r="BG54" s="306"/>
      <c r="BH54" s="306"/>
      <c r="BI54" s="372"/>
      <c r="BJ54" s="306"/>
      <c r="BK54" s="306"/>
      <c r="BL54" s="306"/>
      <c r="BM54" s="306"/>
      <c r="BN54" s="306"/>
      <c r="BO54" s="306"/>
      <c r="BP54" s="307"/>
      <c r="BR54" s="301">
        <f t="shared" si="57"/>
        <v>0</v>
      </c>
      <c r="BS54" s="302">
        <f t="shared" si="58"/>
        <v>0</v>
      </c>
      <c r="BT54" s="302">
        <f t="shared" si="59"/>
        <v>0</v>
      </c>
      <c r="BU54" s="302">
        <f t="shared" si="60"/>
        <v>0</v>
      </c>
      <c r="BV54" s="302">
        <f t="shared" si="61"/>
        <v>0</v>
      </c>
      <c r="BW54" s="302">
        <f t="shared" si="62"/>
        <v>0</v>
      </c>
      <c r="BX54" s="302">
        <f t="shared" si="63"/>
        <v>0</v>
      </c>
      <c r="BY54" s="302">
        <f t="shared" si="64"/>
        <v>0</v>
      </c>
      <c r="BZ54" s="302">
        <f t="shared" si="65"/>
        <v>0</v>
      </c>
      <c r="CA54" s="302">
        <f t="shared" si="66"/>
        <v>0</v>
      </c>
      <c r="CB54" s="302">
        <f t="shared" si="67"/>
        <v>0</v>
      </c>
      <c r="CC54" s="302">
        <f t="shared" si="68"/>
        <v>0</v>
      </c>
      <c r="CD54" s="302">
        <f t="shared" si="69"/>
        <v>0</v>
      </c>
      <c r="CE54" s="302">
        <f t="shared" si="70"/>
        <v>0</v>
      </c>
      <c r="CF54" s="302">
        <f t="shared" si="71"/>
        <v>0</v>
      </c>
      <c r="CG54" s="302">
        <f t="shared" si="72"/>
        <v>0</v>
      </c>
      <c r="CH54" s="302">
        <f t="shared" si="73"/>
        <v>0</v>
      </c>
      <c r="CI54" s="302">
        <f t="shared" si="74"/>
        <v>0</v>
      </c>
      <c r="CJ54" s="302">
        <f t="shared" si="75"/>
        <v>0</v>
      </c>
      <c r="CK54" s="302">
        <f t="shared" si="76"/>
        <v>0</v>
      </c>
      <c r="CL54" s="302">
        <f t="shared" si="77"/>
        <v>0</v>
      </c>
      <c r="CM54" s="254">
        <f t="shared" si="49"/>
        <v>0</v>
      </c>
      <c r="CO54" s="301">
        <f t="shared" si="78"/>
        <v>0</v>
      </c>
      <c r="CP54" s="302">
        <f t="shared" si="79"/>
        <v>0</v>
      </c>
      <c r="CQ54" s="302">
        <f t="shared" si="80"/>
        <v>0</v>
      </c>
      <c r="CR54" s="302">
        <f t="shared" si="81"/>
        <v>0</v>
      </c>
      <c r="CS54" s="302">
        <f t="shared" si="82"/>
        <v>0</v>
      </c>
      <c r="CT54" s="302">
        <f t="shared" si="83"/>
        <v>0</v>
      </c>
      <c r="CU54" s="302">
        <f t="shared" si="84"/>
        <v>0</v>
      </c>
      <c r="CV54" s="302">
        <f t="shared" si="85"/>
        <v>0</v>
      </c>
      <c r="CW54" s="302">
        <f t="shared" si="86"/>
        <v>0</v>
      </c>
      <c r="CX54" s="302">
        <f t="shared" si="87"/>
        <v>0</v>
      </c>
      <c r="CY54" s="302">
        <f t="shared" si="88"/>
        <v>0</v>
      </c>
      <c r="CZ54" s="302">
        <f t="shared" si="89"/>
        <v>0</v>
      </c>
      <c r="DA54" s="302">
        <f t="shared" si="90"/>
        <v>0</v>
      </c>
      <c r="DB54" s="302">
        <f t="shared" si="91"/>
        <v>0</v>
      </c>
      <c r="DC54" s="302">
        <f t="shared" si="92"/>
        <v>0</v>
      </c>
      <c r="DD54" s="302">
        <f t="shared" si="93"/>
        <v>0</v>
      </c>
      <c r="DE54" s="302">
        <f t="shared" si="94"/>
        <v>0</v>
      </c>
      <c r="DF54" s="302">
        <f t="shared" si="95"/>
        <v>0</v>
      </c>
      <c r="DG54" s="302">
        <f t="shared" si="96"/>
        <v>0</v>
      </c>
      <c r="DH54" s="302">
        <f t="shared" si="97"/>
        <v>0</v>
      </c>
      <c r="DI54" s="302">
        <f t="shared" si="98"/>
        <v>0</v>
      </c>
      <c r="DJ54" s="254">
        <f t="shared" si="55"/>
        <v>0</v>
      </c>
    </row>
    <row r="55" spans="2:114" x14ac:dyDescent="0.2">
      <c r="B55" s="234"/>
      <c r="C55" s="234"/>
      <c r="D55" s="294"/>
      <c r="E55" s="295"/>
      <c r="F55" s="295"/>
      <c r="G55" s="295"/>
      <c r="H55" s="295"/>
      <c r="I55" s="295"/>
      <c r="J55" s="295"/>
      <c r="K55" s="295"/>
      <c r="L55" s="295"/>
      <c r="M55" s="295"/>
      <c r="N55" s="295"/>
      <c r="O55" s="295"/>
      <c r="P55" s="295"/>
      <c r="Q55" s="371"/>
      <c r="R55" s="295"/>
      <c r="S55" s="295"/>
      <c r="T55" s="295"/>
      <c r="U55" s="295"/>
      <c r="V55" s="295"/>
      <c r="W55" s="295"/>
      <c r="X55" s="296"/>
      <c r="Z55" s="317"/>
      <c r="AA55" s="247"/>
      <c r="AB55" s="247"/>
      <c r="AC55" s="247"/>
      <c r="AD55" s="247"/>
      <c r="AE55" s="247"/>
      <c r="AF55" s="247"/>
      <c r="AG55" s="247"/>
      <c r="AH55" s="247"/>
      <c r="AI55" s="247"/>
      <c r="AJ55" s="247"/>
      <c r="AK55" s="247"/>
      <c r="AL55" s="247"/>
      <c r="AM55" s="371"/>
      <c r="AN55" s="295"/>
      <c r="AO55" s="295"/>
      <c r="AP55" s="295"/>
      <c r="AQ55" s="295"/>
      <c r="AR55" s="295"/>
      <c r="AS55" s="295"/>
      <c r="AT55" s="296"/>
      <c r="AV55" s="249"/>
      <c r="AW55" s="306"/>
      <c r="AX55" s="306"/>
      <c r="AY55" s="306"/>
      <c r="AZ55" s="306"/>
      <c r="BA55" s="306"/>
      <c r="BB55" s="306"/>
      <c r="BC55" s="306"/>
      <c r="BD55" s="306"/>
      <c r="BE55" s="306"/>
      <c r="BF55" s="306"/>
      <c r="BG55" s="306"/>
      <c r="BH55" s="306"/>
      <c r="BI55" s="372"/>
      <c r="BJ55" s="306"/>
      <c r="BK55" s="306"/>
      <c r="BL55" s="306"/>
      <c r="BM55" s="306"/>
      <c r="BN55" s="306"/>
      <c r="BO55" s="306"/>
      <c r="BP55" s="307"/>
      <c r="BR55" s="301">
        <f t="shared" si="57"/>
        <v>0</v>
      </c>
      <c r="BS55" s="302">
        <f t="shared" si="58"/>
        <v>0</v>
      </c>
      <c r="BT55" s="302">
        <f t="shared" si="59"/>
        <v>0</v>
      </c>
      <c r="BU55" s="302">
        <f t="shared" si="60"/>
        <v>0</v>
      </c>
      <c r="BV55" s="302">
        <f t="shared" si="61"/>
        <v>0</v>
      </c>
      <c r="BW55" s="302">
        <f t="shared" si="62"/>
        <v>0</v>
      </c>
      <c r="BX55" s="302">
        <f t="shared" si="63"/>
        <v>0</v>
      </c>
      <c r="BY55" s="302">
        <f t="shared" si="64"/>
        <v>0</v>
      </c>
      <c r="BZ55" s="302">
        <f t="shared" si="65"/>
        <v>0</v>
      </c>
      <c r="CA55" s="302">
        <f t="shared" si="66"/>
        <v>0</v>
      </c>
      <c r="CB55" s="302">
        <f t="shared" si="67"/>
        <v>0</v>
      </c>
      <c r="CC55" s="302">
        <f t="shared" si="68"/>
        <v>0</v>
      </c>
      <c r="CD55" s="302">
        <f t="shared" si="69"/>
        <v>0</v>
      </c>
      <c r="CE55" s="302">
        <f t="shared" si="70"/>
        <v>0</v>
      </c>
      <c r="CF55" s="302">
        <f t="shared" si="71"/>
        <v>0</v>
      </c>
      <c r="CG55" s="302">
        <f t="shared" si="72"/>
        <v>0</v>
      </c>
      <c r="CH55" s="302">
        <f t="shared" si="73"/>
        <v>0</v>
      </c>
      <c r="CI55" s="302">
        <f t="shared" si="74"/>
        <v>0</v>
      </c>
      <c r="CJ55" s="302">
        <f t="shared" si="75"/>
        <v>0</v>
      </c>
      <c r="CK55" s="302">
        <f t="shared" si="76"/>
        <v>0</v>
      </c>
      <c r="CL55" s="302">
        <f t="shared" si="77"/>
        <v>0</v>
      </c>
      <c r="CM55" s="254">
        <f t="shared" si="49"/>
        <v>0</v>
      </c>
      <c r="CO55" s="301">
        <f t="shared" si="78"/>
        <v>0</v>
      </c>
      <c r="CP55" s="302">
        <f t="shared" si="79"/>
        <v>0</v>
      </c>
      <c r="CQ55" s="302">
        <f t="shared" si="80"/>
        <v>0</v>
      </c>
      <c r="CR55" s="302">
        <f t="shared" si="81"/>
        <v>0</v>
      </c>
      <c r="CS55" s="302">
        <f t="shared" si="82"/>
        <v>0</v>
      </c>
      <c r="CT55" s="302">
        <f t="shared" si="83"/>
        <v>0</v>
      </c>
      <c r="CU55" s="302">
        <f t="shared" si="84"/>
        <v>0</v>
      </c>
      <c r="CV55" s="302">
        <f t="shared" si="85"/>
        <v>0</v>
      </c>
      <c r="CW55" s="302">
        <f t="shared" si="86"/>
        <v>0</v>
      </c>
      <c r="CX55" s="302">
        <f t="shared" si="87"/>
        <v>0</v>
      </c>
      <c r="CY55" s="302">
        <f t="shared" si="88"/>
        <v>0</v>
      </c>
      <c r="CZ55" s="302">
        <f t="shared" si="89"/>
        <v>0</v>
      </c>
      <c r="DA55" s="302">
        <f t="shared" si="90"/>
        <v>0</v>
      </c>
      <c r="DB55" s="302">
        <f t="shared" si="91"/>
        <v>0</v>
      </c>
      <c r="DC55" s="302">
        <f t="shared" si="92"/>
        <v>0</v>
      </c>
      <c r="DD55" s="302">
        <f t="shared" si="93"/>
        <v>0</v>
      </c>
      <c r="DE55" s="302">
        <f t="shared" si="94"/>
        <v>0</v>
      </c>
      <c r="DF55" s="302">
        <f t="shared" si="95"/>
        <v>0</v>
      </c>
      <c r="DG55" s="302">
        <f t="shared" si="96"/>
        <v>0</v>
      </c>
      <c r="DH55" s="302">
        <f t="shared" si="97"/>
        <v>0</v>
      </c>
      <c r="DI55" s="302">
        <f t="shared" si="98"/>
        <v>0</v>
      </c>
      <c r="DJ55" s="254">
        <f t="shared" si="55"/>
        <v>0</v>
      </c>
    </row>
    <row r="56" spans="2:114" x14ac:dyDescent="0.2">
      <c r="B56" s="234"/>
      <c r="C56" s="234"/>
      <c r="D56" s="294"/>
      <c r="E56" s="295"/>
      <c r="F56" s="295"/>
      <c r="G56" s="295"/>
      <c r="H56" s="295"/>
      <c r="I56" s="295"/>
      <c r="J56" s="295"/>
      <c r="K56" s="295"/>
      <c r="L56" s="295"/>
      <c r="M56" s="295"/>
      <c r="N56" s="295"/>
      <c r="O56" s="295"/>
      <c r="P56" s="295"/>
      <c r="Q56" s="371"/>
      <c r="R56" s="295"/>
      <c r="S56" s="295"/>
      <c r="T56" s="295"/>
      <c r="U56" s="295"/>
      <c r="V56" s="295"/>
      <c r="W56" s="295"/>
      <c r="X56" s="296"/>
      <c r="Z56" s="317"/>
      <c r="AA56" s="247"/>
      <c r="AB56" s="247"/>
      <c r="AC56" s="247"/>
      <c r="AD56" s="247"/>
      <c r="AE56" s="247"/>
      <c r="AF56" s="247"/>
      <c r="AG56" s="247"/>
      <c r="AH56" s="247"/>
      <c r="AI56" s="247"/>
      <c r="AJ56" s="247"/>
      <c r="AK56" s="247"/>
      <c r="AL56" s="247"/>
      <c r="AM56" s="371"/>
      <c r="AN56" s="295"/>
      <c r="AO56" s="295"/>
      <c r="AP56" s="295"/>
      <c r="AQ56" s="295"/>
      <c r="AR56" s="295"/>
      <c r="AS56" s="295"/>
      <c r="AT56" s="296"/>
      <c r="AV56" s="249"/>
      <c r="AW56" s="306"/>
      <c r="AX56" s="306"/>
      <c r="AY56" s="306"/>
      <c r="AZ56" s="306"/>
      <c r="BA56" s="306"/>
      <c r="BB56" s="306"/>
      <c r="BC56" s="306"/>
      <c r="BD56" s="306"/>
      <c r="BE56" s="306"/>
      <c r="BF56" s="306"/>
      <c r="BG56" s="306"/>
      <c r="BH56" s="306"/>
      <c r="BI56" s="372"/>
      <c r="BJ56" s="306"/>
      <c r="BK56" s="306"/>
      <c r="BL56" s="306"/>
      <c r="BM56" s="306"/>
      <c r="BN56" s="306"/>
      <c r="BO56" s="306"/>
      <c r="BP56" s="307"/>
      <c r="BR56" s="301">
        <f t="shared" si="57"/>
        <v>0</v>
      </c>
      <c r="BS56" s="302">
        <f t="shared" si="58"/>
        <v>0</v>
      </c>
      <c r="BT56" s="302">
        <f t="shared" si="59"/>
        <v>0</v>
      </c>
      <c r="BU56" s="302">
        <f t="shared" si="60"/>
        <v>0</v>
      </c>
      <c r="BV56" s="302">
        <f t="shared" si="61"/>
        <v>0</v>
      </c>
      <c r="BW56" s="302">
        <f t="shared" si="62"/>
        <v>0</v>
      </c>
      <c r="BX56" s="302">
        <f t="shared" si="63"/>
        <v>0</v>
      </c>
      <c r="BY56" s="302">
        <f t="shared" si="64"/>
        <v>0</v>
      </c>
      <c r="BZ56" s="302">
        <f t="shared" si="65"/>
        <v>0</v>
      </c>
      <c r="CA56" s="302">
        <f t="shared" si="66"/>
        <v>0</v>
      </c>
      <c r="CB56" s="302">
        <f t="shared" si="67"/>
        <v>0</v>
      </c>
      <c r="CC56" s="302">
        <f t="shared" si="68"/>
        <v>0</v>
      </c>
      <c r="CD56" s="302">
        <f t="shared" si="69"/>
        <v>0</v>
      </c>
      <c r="CE56" s="302">
        <f t="shared" si="70"/>
        <v>0</v>
      </c>
      <c r="CF56" s="302">
        <f t="shared" si="71"/>
        <v>0</v>
      </c>
      <c r="CG56" s="302">
        <f t="shared" si="72"/>
        <v>0</v>
      </c>
      <c r="CH56" s="302">
        <f t="shared" si="73"/>
        <v>0</v>
      </c>
      <c r="CI56" s="302">
        <f t="shared" si="74"/>
        <v>0</v>
      </c>
      <c r="CJ56" s="302">
        <f t="shared" si="75"/>
        <v>0</v>
      </c>
      <c r="CK56" s="302">
        <f t="shared" si="76"/>
        <v>0</v>
      </c>
      <c r="CL56" s="302">
        <f t="shared" si="77"/>
        <v>0</v>
      </c>
      <c r="CM56" s="254">
        <f t="shared" si="49"/>
        <v>0</v>
      </c>
      <c r="CO56" s="301">
        <f t="shared" si="78"/>
        <v>0</v>
      </c>
      <c r="CP56" s="302">
        <f t="shared" si="79"/>
        <v>0</v>
      </c>
      <c r="CQ56" s="302">
        <f t="shared" si="80"/>
        <v>0</v>
      </c>
      <c r="CR56" s="302">
        <f t="shared" si="81"/>
        <v>0</v>
      </c>
      <c r="CS56" s="302">
        <f t="shared" si="82"/>
        <v>0</v>
      </c>
      <c r="CT56" s="302">
        <f t="shared" si="83"/>
        <v>0</v>
      </c>
      <c r="CU56" s="302">
        <f t="shared" si="84"/>
        <v>0</v>
      </c>
      <c r="CV56" s="302">
        <f t="shared" si="85"/>
        <v>0</v>
      </c>
      <c r="CW56" s="302">
        <f t="shared" si="86"/>
        <v>0</v>
      </c>
      <c r="CX56" s="302">
        <f t="shared" si="87"/>
        <v>0</v>
      </c>
      <c r="CY56" s="302">
        <f t="shared" si="88"/>
        <v>0</v>
      </c>
      <c r="CZ56" s="302">
        <f t="shared" si="89"/>
        <v>0</v>
      </c>
      <c r="DA56" s="302">
        <f t="shared" si="90"/>
        <v>0</v>
      </c>
      <c r="DB56" s="302">
        <f t="shared" si="91"/>
        <v>0</v>
      </c>
      <c r="DC56" s="302">
        <f t="shared" si="92"/>
        <v>0</v>
      </c>
      <c r="DD56" s="302">
        <f t="shared" si="93"/>
        <v>0</v>
      </c>
      <c r="DE56" s="302">
        <f t="shared" si="94"/>
        <v>0</v>
      </c>
      <c r="DF56" s="302">
        <f t="shared" si="95"/>
        <v>0</v>
      </c>
      <c r="DG56" s="302">
        <f t="shared" si="96"/>
        <v>0</v>
      </c>
      <c r="DH56" s="302">
        <f t="shared" si="97"/>
        <v>0</v>
      </c>
      <c r="DI56" s="302">
        <f t="shared" si="98"/>
        <v>0</v>
      </c>
      <c r="DJ56" s="254">
        <f t="shared" si="55"/>
        <v>0</v>
      </c>
    </row>
    <row r="57" spans="2:114" x14ac:dyDescent="0.2">
      <c r="B57" s="234"/>
      <c r="C57" s="234"/>
      <c r="D57" s="294"/>
      <c r="E57" s="295"/>
      <c r="F57" s="295"/>
      <c r="G57" s="295"/>
      <c r="H57" s="295"/>
      <c r="I57" s="295"/>
      <c r="J57" s="295"/>
      <c r="K57" s="295"/>
      <c r="L57" s="295"/>
      <c r="M57" s="295"/>
      <c r="N57" s="295"/>
      <c r="O57" s="295"/>
      <c r="P57" s="295"/>
      <c r="Q57" s="371"/>
      <c r="R57" s="295"/>
      <c r="S57" s="295"/>
      <c r="T57" s="295"/>
      <c r="U57" s="295"/>
      <c r="V57" s="295"/>
      <c r="W57" s="295"/>
      <c r="X57" s="296"/>
      <c r="Z57" s="317"/>
      <c r="AA57" s="247"/>
      <c r="AB57" s="247"/>
      <c r="AC57" s="247"/>
      <c r="AD57" s="247"/>
      <c r="AE57" s="247"/>
      <c r="AF57" s="247"/>
      <c r="AG57" s="247"/>
      <c r="AH57" s="247"/>
      <c r="AI57" s="247"/>
      <c r="AJ57" s="247"/>
      <c r="AK57" s="247"/>
      <c r="AL57" s="247"/>
      <c r="AM57" s="371"/>
      <c r="AN57" s="295"/>
      <c r="AO57" s="295"/>
      <c r="AP57" s="295"/>
      <c r="AQ57" s="295"/>
      <c r="AR57" s="295"/>
      <c r="AS57" s="295"/>
      <c r="AT57" s="296"/>
      <c r="AV57" s="249"/>
      <c r="AW57" s="306"/>
      <c r="AX57" s="306"/>
      <c r="AY57" s="306"/>
      <c r="AZ57" s="306"/>
      <c r="BA57" s="306"/>
      <c r="BB57" s="306"/>
      <c r="BC57" s="306"/>
      <c r="BD57" s="306"/>
      <c r="BE57" s="306"/>
      <c r="BF57" s="306"/>
      <c r="BG57" s="306"/>
      <c r="BH57" s="306"/>
      <c r="BI57" s="372"/>
      <c r="BJ57" s="306"/>
      <c r="BK57" s="306"/>
      <c r="BL57" s="306"/>
      <c r="BM57" s="306"/>
      <c r="BN57" s="306"/>
      <c r="BO57" s="306"/>
      <c r="BP57" s="307"/>
      <c r="BR57" s="301">
        <f t="shared" si="57"/>
        <v>0</v>
      </c>
      <c r="BS57" s="302">
        <f t="shared" si="58"/>
        <v>0</v>
      </c>
      <c r="BT57" s="302">
        <f t="shared" si="59"/>
        <v>0</v>
      </c>
      <c r="BU57" s="302">
        <f t="shared" si="60"/>
        <v>0</v>
      </c>
      <c r="BV57" s="302">
        <f t="shared" si="61"/>
        <v>0</v>
      </c>
      <c r="BW57" s="302">
        <f t="shared" si="62"/>
        <v>0</v>
      </c>
      <c r="BX57" s="302">
        <f t="shared" si="63"/>
        <v>0</v>
      </c>
      <c r="BY57" s="302">
        <f t="shared" si="64"/>
        <v>0</v>
      </c>
      <c r="BZ57" s="302">
        <f t="shared" si="65"/>
        <v>0</v>
      </c>
      <c r="CA57" s="302">
        <f t="shared" si="66"/>
        <v>0</v>
      </c>
      <c r="CB57" s="302">
        <f t="shared" si="67"/>
        <v>0</v>
      </c>
      <c r="CC57" s="302">
        <f t="shared" si="68"/>
        <v>0</v>
      </c>
      <c r="CD57" s="302">
        <f t="shared" si="69"/>
        <v>0</v>
      </c>
      <c r="CE57" s="302">
        <f t="shared" si="70"/>
        <v>0</v>
      </c>
      <c r="CF57" s="302">
        <f t="shared" si="71"/>
        <v>0</v>
      </c>
      <c r="CG57" s="302">
        <f t="shared" si="72"/>
        <v>0</v>
      </c>
      <c r="CH57" s="302">
        <f t="shared" si="73"/>
        <v>0</v>
      </c>
      <c r="CI57" s="302">
        <f t="shared" si="74"/>
        <v>0</v>
      </c>
      <c r="CJ57" s="302">
        <f t="shared" si="75"/>
        <v>0</v>
      </c>
      <c r="CK57" s="302">
        <f t="shared" si="76"/>
        <v>0</v>
      </c>
      <c r="CL57" s="302">
        <f t="shared" si="77"/>
        <v>0</v>
      </c>
      <c r="CM57" s="254">
        <f t="shared" si="49"/>
        <v>0</v>
      </c>
      <c r="CO57" s="301">
        <f t="shared" si="78"/>
        <v>0</v>
      </c>
      <c r="CP57" s="302">
        <f t="shared" si="79"/>
        <v>0</v>
      </c>
      <c r="CQ57" s="302">
        <f t="shared" si="80"/>
        <v>0</v>
      </c>
      <c r="CR57" s="302">
        <f t="shared" si="81"/>
        <v>0</v>
      </c>
      <c r="CS57" s="302">
        <f t="shared" si="82"/>
        <v>0</v>
      </c>
      <c r="CT57" s="302">
        <f t="shared" si="83"/>
        <v>0</v>
      </c>
      <c r="CU57" s="302">
        <f t="shared" si="84"/>
        <v>0</v>
      </c>
      <c r="CV57" s="302">
        <f t="shared" si="85"/>
        <v>0</v>
      </c>
      <c r="CW57" s="302">
        <f t="shared" si="86"/>
        <v>0</v>
      </c>
      <c r="CX57" s="302">
        <f t="shared" si="87"/>
        <v>0</v>
      </c>
      <c r="CY57" s="302">
        <f t="shared" si="88"/>
        <v>0</v>
      </c>
      <c r="CZ57" s="302">
        <f t="shared" si="89"/>
        <v>0</v>
      </c>
      <c r="DA57" s="302">
        <f t="shared" si="90"/>
        <v>0</v>
      </c>
      <c r="DB57" s="302">
        <f t="shared" si="91"/>
        <v>0</v>
      </c>
      <c r="DC57" s="302">
        <f t="shared" si="92"/>
        <v>0</v>
      </c>
      <c r="DD57" s="302">
        <f t="shared" si="93"/>
        <v>0</v>
      </c>
      <c r="DE57" s="302">
        <f t="shared" si="94"/>
        <v>0</v>
      </c>
      <c r="DF57" s="302">
        <f t="shared" si="95"/>
        <v>0</v>
      </c>
      <c r="DG57" s="302">
        <f t="shared" si="96"/>
        <v>0</v>
      </c>
      <c r="DH57" s="302">
        <f t="shared" si="97"/>
        <v>0</v>
      </c>
      <c r="DI57" s="302">
        <f t="shared" si="98"/>
        <v>0</v>
      </c>
      <c r="DJ57" s="254">
        <f t="shared" si="55"/>
        <v>0</v>
      </c>
    </row>
    <row r="58" spans="2:114" x14ac:dyDescent="0.2">
      <c r="B58" s="234"/>
      <c r="C58" s="234"/>
      <c r="D58" s="294"/>
      <c r="E58" s="295"/>
      <c r="F58" s="295"/>
      <c r="G58" s="295"/>
      <c r="H58" s="295"/>
      <c r="I58" s="295"/>
      <c r="J58" s="295"/>
      <c r="K58" s="295"/>
      <c r="L58" s="295"/>
      <c r="M58" s="295"/>
      <c r="N58" s="295"/>
      <c r="O58" s="295"/>
      <c r="P58" s="295"/>
      <c r="Q58" s="371"/>
      <c r="R58" s="295"/>
      <c r="S58" s="295"/>
      <c r="T58" s="295"/>
      <c r="U58" s="295"/>
      <c r="V58" s="295"/>
      <c r="W58" s="295"/>
      <c r="X58" s="296"/>
      <c r="Z58" s="317"/>
      <c r="AA58" s="247"/>
      <c r="AB58" s="247"/>
      <c r="AC58" s="247"/>
      <c r="AD58" s="247"/>
      <c r="AE58" s="247"/>
      <c r="AF58" s="247"/>
      <c r="AG58" s="247"/>
      <c r="AH58" s="247"/>
      <c r="AI58" s="247"/>
      <c r="AJ58" s="247"/>
      <c r="AK58" s="247"/>
      <c r="AL58" s="247"/>
      <c r="AM58" s="371"/>
      <c r="AN58" s="295"/>
      <c r="AO58" s="295"/>
      <c r="AP58" s="295"/>
      <c r="AQ58" s="295"/>
      <c r="AR58" s="295"/>
      <c r="AS58" s="295"/>
      <c r="AT58" s="296"/>
      <c r="AV58" s="249"/>
      <c r="AW58" s="306"/>
      <c r="AX58" s="306"/>
      <c r="AY58" s="306"/>
      <c r="AZ58" s="306"/>
      <c r="BA58" s="306"/>
      <c r="BB58" s="306"/>
      <c r="BC58" s="306"/>
      <c r="BD58" s="306"/>
      <c r="BE58" s="306"/>
      <c r="BF58" s="306"/>
      <c r="BG58" s="306"/>
      <c r="BH58" s="306"/>
      <c r="BI58" s="372"/>
      <c r="BJ58" s="306"/>
      <c r="BK58" s="306"/>
      <c r="BL58" s="306"/>
      <c r="BM58" s="306"/>
      <c r="BN58" s="306"/>
      <c r="BO58" s="306"/>
      <c r="BP58" s="307"/>
      <c r="BR58" s="301">
        <f t="shared" si="57"/>
        <v>0</v>
      </c>
      <c r="BS58" s="302">
        <f t="shared" si="58"/>
        <v>0</v>
      </c>
      <c r="BT58" s="302">
        <f t="shared" si="59"/>
        <v>0</v>
      </c>
      <c r="BU58" s="302">
        <f t="shared" si="60"/>
        <v>0</v>
      </c>
      <c r="BV58" s="302">
        <f t="shared" si="61"/>
        <v>0</v>
      </c>
      <c r="BW58" s="302">
        <f t="shared" si="62"/>
        <v>0</v>
      </c>
      <c r="BX58" s="302">
        <f t="shared" si="63"/>
        <v>0</v>
      </c>
      <c r="BY58" s="302">
        <f t="shared" si="64"/>
        <v>0</v>
      </c>
      <c r="BZ58" s="302">
        <f t="shared" si="65"/>
        <v>0</v>
      </c>
      <c r="CA58" s="302">
        <f t="shared" si="66"/>
        <v>0</v>
      </c>
      <c r="CB58" s="302">
        <f t="shared" si="67"/>
        <v>0</v>
      </c>
      <c r="CC58" s="302">
        <f t="shared" si="68"/>
        <v>0</v>
      </c>
      <c r="CD58" s="302">
        <f t="shared" si="69"/>
        <v>0</v>
      </c>
      <c r="CE58" s="302">
        <f t="shared" si="70"/>
        <v>0</v>
      </c>
      <c r="CF58" s="302">
        <f t="shared" si="71"/>
        <v>0</v>
      </c>
      <c r="CG58" s="302">
        <f t="shared" si="72"/>
        <v>0</v>
      </c>
      <c r="CH58" s="302">
        <f t="shared" si="73"/>
        <v>0</v>
      </c>
      <c r="CI58" s="302">
        <f t="shared" si="74"/>
        <v>0</v>
      </c>
      <c r="CJ58" s="302">
        <f t="shared" si="75"/>
        <v>0</v>
      </c>
      <c r="CK58" s="302">
        <f t="shared" si="76"/>
        <v>0</v>
      </c>
      <c r="CL58" s="302">
        <f t="shared" si="77"/>
        <v>0</v>
      </c>
      <c r="CM58" s="254">
        <f t="shared" si="49"/>
        <v>0</v>
      </c>
      <c r="CO58" s="301">
        <f t="shared" si="78"/>
        <v>0</v>
      </c>
      <c r="CP58" s="302">
        <f t="shared" si="79"/>
        <v>0</v>
      </c>
      <c r="CQ58" s="302">
        <f t="shared" si="80"/>
        <v>0</v>
      </c>
      <c r="CR58" s="302">
        <f t="shared" si="81"/>
        <v>0</v>
      </c>
      <c r="CS58" s="302">
        <f t="shared" si="82"/>
        <v>0</v>
      </c>
      <c r="CT58" s="302">
        <f t="shared" si="83"/>
        <v>0</v>
      </c>
      <c r="CU58" s="302">
        <f t="shared" si="84"/>
        <v>0</v>
      </c>
      <c r="CV58" s="302">
        <f t="shared" si="85"/>
        <v>0</v>
      </c>
      <c r="CW58" s="302">
        <f t="shared" si="86"/>
        <v>0</v>
      </c>
      <c r="CX58" s="302">
        <f t="shared" si="87"/>
        <v>0</v>
      </c>
      <c r="CY58" s="302">
        <f t="shared" si="88"/>
        <v>0</v>
      </c>
      <c r="CZ58" s="302">
        <f t="shared" si="89"/>
        <v>0</v>
      </c>
      <c r="DA58" s="302">
        <f t="shared" si="90"/>
        <v>0</v>
      </c>
      <c r="DB58" s="302">
        <f t="shared" si="91"/>
        <v>0</v>
      </c>
      <c r="DC58" s="302">
        <f t="shared" si="92"/>
        <v>0</v>
      </c>
      <c r="DD58" s="302">
        <f t="shared" si="93"/>
        <v>0</v>
      </c>
      <c r="DE58" s="302">
        <f t="shared" si="94"/>
        <v>0</v>
      </c>
      <c r="DF58" s="302">
        <f t="shared" si="95"/>
        <v>0</v>
      </c>
      <c r="DG58" s="302">
        <f t="shared" si="96"/>
        <v>0</v>
      </c>
      <c r="DH58" s="302">
        <f t="shared" si="97"/>
        <v>0</v>
      </c>
      <c r="DI58" s="302">
        <f t="shared" si="98"/>
        <v>0</v>
      </c>
      <c r="DJ58" s="254">
        <f t="shared" si="55"/>
        <v>0</v>
      </c>
    </row>
    <row r="59" spans="2:114" x14ac:dyDescent="0.2">
      <c r="B59" s="234"/>
      <c r="C59" s="373"/>
      <c r="D59" s="304"/>
      <c r="E59" s="287"/>
      <c r="F59" s="287"/>
      <c r="G59" s="287"/>
      <c r="H59" s="287"/>
      <c r="I59" s="287"/>
      <c r="J59" s="287"/>
      <c r="K59" s="287"/>
      <c r="L59" s="287"/>
      <c r="M59" s="287"/>
      <c r="N59" s="287"/>
      <c r="O59" s="287"/>
      <c r="P59" s="287"/>
      <c r="Q59" s="286"/>
      <c r="R59" s="287"/>
      <c r="S59" s="287"/>
      <c r="T59" s="287"/>
      <c r="U59" s="287"/>
      <c r="V59" s="287"/>
      <c r="W59" s="287"/>
      <c r="X59" s="288"/>
      <c r="Z59" s="255"/>
      <c r="AA59" s="256"/>
      <c r="AB59" s="256"/>
      <c r="AC59" s="256"/>
      <c r="AD59" s="256"/>
      <c r="AE59" s="256"/>
      <c r="AF59" s="256"/>
      <c r="AG59" s="256"/>
      <c r="AH59" s="256"/>
      <c r="AI59" s="257"/>
      <c r="AJ59" s="257"/>
      <c r="AK59" s="257"/>
      <c r="AL59" s="257"/>
      <c r="AM59" s="374"/>
      <c r="AN59" s="257"/>
      <c r="AO59" s="257"/>
      <c r="AP59" s="257"/>
      <c r="AQ59" s="257"/>
      <c r="AR59" s="257"/>
      <c r="AS59" s="257"/>
      <c r="AT59" s="258"/>
      <c r="AV59" s="305"/>
      <c r="AW59" s="306"/>
      <c r="AX59" s="306"/>
      <c r="AY59" s="306"/>
      <c r="AZ59" s="306"/>
      <c r="BA59" s="306"/>
      <c r="BB59" s="306"/>
      <c r="BC59" s="306"/>
      <c r="BD59" s="306"/>
      <c r="BE59" s="306"/>
      <c r="BF59" s="306"/>
      <c r="BG59" s="306"/>
      <c r="BH59" s="306"/>
      <c r="BI59" s="372"/>
      <c r="BJ59" s="306"/>
      <c r="BK59" s="306"/>
      <c r="BL59" s="306"/>
      <c r="BM59" s="306"/>
      <c r="BN59" s="306"/>
      <c r="BO59" s="306"/>
      <c r="BP59" s="307"/>
      <c r="BR59" s="301">
        <f t="shared" si="57"/>
        <v>0</v>
      </c>
      <c r="BS59" s="302">
        <f t="shared" si="58"/>
        <v>0</v>
      </c>
      <c r="BT59" s="302">
        <f t="shared" si="59"/>
        <v>0</v>
      </c>
      <c r="BU59" s="302">
        <f t="shared" si="60"/>
        <v>0</v>
      </c>
      <c r="BV59" s="302">
        <f t="shared" si="61"/>
        <v>0</v>
      </c>
      <c r="BW59" s="302">
        <f t="shared" si="62"/>
        <v>0</v>
      </c>
      <c r="BX59" s="302">
        <f t="shared" si="63"/>
        <v>0</v>
      </c>
      <c r="BY59" s="302">
        <f t="shared" si="64"/>
        <v>0</v>
      </c>
      <c r="BZ59" s="302">
        <f t="shared" si="65"/>
        <v>0</v>
      </c>
      <c r="CA59" s="302">
        <f t="shared" si="66"/>
        <v>0</v>
      </c>
      <c r="CB59" s="302">
        <f t="shared" si="67"/>
        <v>0</v>
      </c>
      <c r="CC59" s="302">
        <f t="shared" si="68"/>
        <v>0</v>
      </c>
      <c r="CD59" s="302">
        <f t="shared" si="69"/>
        <v>0</v>
      </c>
      <c r="CE59" s="302">
        <f t="shared" si="70"/>
        <v>0</v>
      </c>
      <c r="CF59" s="302">
        <f t="shared" si="71"/>
        <v>0</v>
      </c>
      <c r="CG59" s="302">
        <f t="shared" si="72"/>
        <v>0</v>
      </c>
      <c r="CH59" s="302">
        <f t="shared" si="73"/>
        <v>0</v>
      </c>
      <c r="CI59" s="302">
        <f t="shared" si="74"/>
        <v>0</v>
      </c>
      <c r="CJ59" s="302">
        <f t="shared" si="75"/>
        <v>0</v>
      </c>
      <c r="CK59" s="302">
        <f t="shared" si="76"/>
        <v>0</v>
      </c>
      <c r="CL59" s="302">
        <f t="shared" si="77"/>
        <v>0</v>
      </c>
      <c r="CM59" s="254">
        <f t="shared" si="49"/>
        <v>0</v>
      </c>
      <c r="CO59" s="301">
        <f t="shared" si="78"/>
        <v>0</v>
      </c>
      <c r="CP59" s="302">
        <f t="shared" si="79"/>
        <v>0</v>
      </c>
      <c r="CQ59" s="302">
        <f t="shared" si="80"/>
        <v>0</v>
      </c>
      <c r="CR59" s="302">
        <f t="shared" si="81"/>
        <v>0</v>
      </c>
      <c r="CS59" s="302">
        <f t="shared" si="82"/>
        <v>0</v>
      </c>
      <c r="CT59" s="302">
        <f t="shared" si="83"/>
        <v>0</v>
      </c>
      <c r="CU59" s="302">
        <f t="shared" si="84"/>
        <v>0</v>
      </c>
      <c r="CV59" s="302">
        <f t="shared" si="85"/>
        <v>0</v>
      </c>
      <c r="CW59" s="302">
        <f t="shared" si="86"/>
        <v>0</v>
      </c>
      <c r="CX59" s="302">
        <f t="shared" si="87"/>
        <v>0</v>
      </c>
      <c r="CY59" s="302">
        <f t="shared" si="88"/>
        <v>0</v>
      </c>
      <c r="CZ59" s="302">
        <f t="shared" si="89"/>
        <v>0</v>
      </c>
      <c r="DA59" s="302">
        <f t="shared" si="90"/>
        <v>0</v>
      </c>
      <c r="DB59" s="302">
        <f t="shared" si="91"/>
        <v>0</v>
      </c>
      <c r="DC59" s="302">
        <f t="shared" si="92"/>
        <v>0</v>
      </c>
      <c r="DD59" s="302">
        <f t="shared" si="93"/>
        <v>0</v>
      </c>
      <c r="DE59" s="302">
        <f t="shared" si="94"/>
        <v>0</v>
      </c>
      <c r="DF59" s="302">
        <f t="shared" si="95"/>
        <v>0</v>
      </c>
      <c r="DG59" s="302">
        <f t="shared" si="96"/>
        <v>0</v>
      </c>
      <c r="DH59" s="302">
        <f t="shared" si="97"/>
        <v>0</v>
      </c>
      <c r="DI59" s="302">
        <f t="shared" si="98"/>
        <v>0</v>
      </c>
      <c r="DJ59" s="254">
        <f t="shared" si="55"/>
        <v>0</v>
      </c>
    </row>
    <row r="60" spans="2:114" x14ac:dyDescent="0.2">
      <c r="B60" s="234"/>
      <c r="C60" s="373"/>
      <c r="D60" s="304"/>
      <c r="E60" s="287"/>
      <c r="F60" s="287"/>
      <c r="G60" s="287"/>
      <c r="H60" s="287"/>
      <c r="I60" s="287"/>
      <c r="J60" s="287"/>
      <c r="K60" s="287"/>
      <c r="L60" s="287"/>
      <c r="M60" s="287"/>
      <c r="N60" s="287"/>
      <c r="O60" s="287"/>
      <c r="P60" s="287"/>
      <c r="Q60" s="286"/>
      <c r="R60" s="287"/>
      <c r="S60" s="287"/>
      <c r="T60" s="287"/>
      <c r="U60" s="287"/>
      <c r="V60" s="287"/>
      <c r="W60" s="287"/>
      <c r="X60" s="288"/>
      <c r="Z60" s="255"/>
      <c r="AA60" s="256"/>
      <c r="AB60" s="256"/>
      <c r="AC60" s="256"/>
      <c r="AD60" s="256"/>
      <c r="AE60" s="256"/>
      <c r="AF60" s="256"/>
      <c r="AG60" s="256"/>
      <c r="AH60" s="256"/>
      <c r="AI60" s="257"/>
      <c r="AJ60" s="257"/>
      <c r="AK60" s="257"/>
      <c r="AL60" s="257"/>
      <c r="AM60" s="374"/>
      <c r="AN60" s="257"/>
      <c r="AO60" s="257"/>
      <c r="AP60" s="257"/>
      <c r="AQ60" s="257"/>
      <c r="AR60" s="257"/>
      <c r="AS60" s="257"/>
      <c r="AT60" s="258"/>
      <c r="AV60" s="305"/>
      <c r="AW60" s="306"/>
      <c r="AX60" s="306"/>
      <c r="AY60" s="306"/>
      <c r="AZ60" s="306"/>
      <c r="BA60" s="306"/>
      <c r="BB60" s="306"/>
      <c r="BC60" s="306"/>
      <c r="BD60" s="306"/>
      <c r="BE60" s="306"/>
      <c r="BF60" s="306"/>
      <c r="BG60" s="306"/>
      <c r="BH60" s="306"/>
      <c r="BI60" s="372"/>
      <c r="BJ60" s="306"/>
      <c r="BK60" s="306"/>
      <c r="BL60" s="306"/>
      <c r="BM60" s="306"/>
      <c r="BN60" s="306"/>
      <c r="BO60" s="306"/>
      <c r="BP60" s="307"/>
      <c r="BR60" s="301">
        <f t="shared" si="57"/>
        <v>0</v>
      </c>
      <c r="BS60" s="302">
        <f t="shared" si="58"/>
        <v>0</v>
      </c>
      <c r="BT60" s="302">
        <f t="shared" si="59"/>
        <v>0</v>
      </c>
      <c r="BU60" s="302">
        <f t="shared" si="60"/>
        <v>0</v>
      </c>
      <c r="BV60" s="302">
        <f t="shared" si="61"/>
        <v>0</v>
      </c>
      <c r="BW60" s="302">
        <f t="shared" si="62"/>
        <v>0</v>
      </c>
      <c r="BX60" s="302">
        <f t="shared" si="63"/>
        <v>0</v>
      </c>
      <c r="BY60" s="302">
        <f t="shared" si="64"/>
        <v>0</v>
      </c>
      <c r="BZ60" s="302">
        <f t="shared" si="65"/>
        <v>0</v>
      </c>
      <c r="CA60" s="302">
        <f t="shared" si="66"/>
        <v>0</v>
      </c>
      <c r="CB60" s="302">
        <f t="shared" si="67"/>
        <v>0</v>
      </c>
      <c r="CC60" s="302">
        <f t="shared" si="68"/>
        <v>0</v>
      </c>
      <c r="CD60" s="302">
        <f t="shared" si="69"/>
        <v>0</v>
      </c>
      <c r="CE60" s="302">
        <f t="shared" si="70"/>
        <v>0</v>
      </c>
      <c r="CF60" s="302">
        <f t="shared" si="71"/>
        <v>0</v>
      </c>
      <c r="CG60" s="302">
        <f t="shared" si="72"/>
        <v>0</v>
      </c>
      <c r="CH60" s="302">
        <f t="shared" si="73"/>
        <v>0</v>
      </c>
      <c r="CI60" s="302">
        <f t="shared" si="74"/>
        <v>0</v>
      </c>
      <c r="CJ60" s="302">
        <f t="shared" si="75"/>
        <v>0</v>
      </c>
      <c r="CK60" s="302">
        <f t="shared" si="76"/>
        <v>0</v>
      </c>
      <c r="CL60" s="302">
        <f t="shared" si="77"/>
        <v>0</v>
      </c>
      <c r="CM60" s="254">
        <f t="shared" si="49"/>
        <v>0</v>
      </c>
      <c r="CO60" s="301">
        <f t="shared" si="78"/>
        <v>0</v>
      </c>
      <c r="CP60" s="302">
        <f t="shared" si="79"/>
        <v>0</v>
      </c>
      <c r="CQ60" s="302">
        <f t="shared" si="80"/>
        <v>0</v>
      </c>
      <c r="CR60" s="302">
        <f t="shared" si="81"/>
        <v>0</v>
      </c>
      <c r="CS60" s="302">
        <f t="shared" si="82"/>
        <v>0</v>
      </c>
      <c r="CT60" s="302">
        <f t="shared" si="83"/>
        <v>0</v>
      </c>
      <c r="CU60" s="302">
        <f t="shared" si="84"/>
        <v>0</v>
      </c>
      <c r="CV60" s="302">
        <f t="shared" si="85"/>
        <v>0</v>
      </c>
      <c r="CW60" s="302">
        <f t="shared" si="86"/>
        <v>0</v>
      </c>
      <c r="CX60" s="302">
        <f t="shared" si="87"/>
        <v>0</v>
      </c>
      <c r="CY60" s="302">
        <f t="shared" si="88"/>
        <v>0</v>
      </c>
      <c r="CZ60" s="302">
        <f t="shared" si="89"/>
        <v>0</v>
      </c>
      <c r="DA60" s="302">
        <f t="shared" si="90"/>
        <v>0</v>
      </c>
      <c r="DB60" s="302">
        <f t="shared" si="91"/>
        <v>0</v>
      </c>
      <c r="DC60" s="302">
        <f t="shared" si="92"/>
        <v>0</v>
      </c>
      <c r="DD60" s="302">
        <f t="shared" si="93"/>
        <v>0</v>
      </c>
      <c r="DE60" s="302">
        <f t="shared" si="94"/>
        <v>0</v>
      </c>
      <c r="DF60" s="302">
        <f t="shared" si="95"/>
        <v>0</v>
      </c>
      <c r="DG60" s="302">
        <f t="shared" si="96"/>
        <v>0</v>
      </c>
      <c r="DH60" s="302">
        <f t="shared" si="97"/>
        <v>0</v>
      </c>
      <c r="DI60" s="302">
        <f t="shared" si="98"/>
        <v>0</v>
      </c>
      <c r="DJ60" s="254">
        <f t="shared" si="55"/>
        <v>0</v>
      </c>
    </row>
    <row r="61" spans="2:114" x14ac:dyDescent="0.2">
      <c r="B61" s="234"/>
      <c r="C61" s="373"/>
      <c r="D61" s="304"/>
      <c r="E61" s="287"/>
      <c r="F61" s="287"/>
      <c r="G61" s="287"/>
      <c r="H61" s="287"/>
      <c r="I61" s="287"/>
      <c r="J61" s="287"/>
      <c r="K61" s="287"/>
      <c r="L61" s="287"/>
      <c r="M61" s="287"/>
      <c r="N61" s="287"/>
      <c r="O61" s="287"/>
      <c r="P61" s="287"/>
      <c r="Q61" s="286"/>
      <c r="R61" s="287"/>
      <c r="S61" s="287"/>
      <c r="T61" s="287"/>
      <c r="U61" s="287"/>
      <c r="V61" s="287"/>
      <c r="W61" s="287"/>
      <c r="X61" s="288"/>
      <c r="Z61" s="255"/>
      <c r="AA61" s="256"/>
      <c r="AB61" s="256"/>
      <c r="AC61" s="256"/>
      <c r="AD61" s="256"/>
      <c r="AE61" s="256"/>
      <c r="AF61" s="256"/>
      <c r="AG61" s="256"/>
      <c r="AH61" s="256"/>
      <c r="AI61" s="257"/>
      <c r="AJ61" s="257"/>
      <c r="AK61" s="257"/>
      <c r="AL61" s="257"/>
      <c r="AM61" s="374"/>
      <c r="AN61" s="257"/>
      <c r="AO61" s="257"/>
      <c r="AP61" s="257"/>
      <c r="AQ61" s="257"/>
      <c r="AR61" s="257"/>
      <c r="AS61" s="257"/>
      <c r="AT61" s="258"/>
      <c r="AV61" s="305"/>
      <c r="AW61" s="306"/>
      <c r="AX61" s="306"/>
      <c r="AY61" s="306"/>
      <c r="AZ61" s="306"/>
      <c r="BA61" s="306"/>
      <c r="BB61" s="306"/>
      <c r="BC61" s="306"/>
      <c r="BD61" s="306"/>
      <c r="BE61" s="306"/>
      <c r="BF61" s="306"/>
      <c r="BG61" s="306"/>
      <c r="BH61" s="306"/>
      <c r="BI61" s="372"/>
      <c r="BJ61" s="306"/>
      <c r="BK61" s="306"/>
      <c r="BL61" s="306"/>
      <c r="BM61" s="306"/>
      <c r="BN61" s="306"/>
      <c r="BO61" s="306"/>
      <c r="BP61" s="307"/>
      <c r="BR61" s="301">
        <f t="shared" si="57"/>
        <v>0</v>
      </c>
      <c r="BS61" s="302">
        <f t="shared" si="58"/>
        <v>0</v>
      </c>
      <c r="BT61" s="302">
        <f t="shared" si="59"/>
        <v>0</v>
      </c>
      <c r="BU61" s="302">
        <f t="shared" si="60"/>
        <v>0</v>
      </c>
      <c r="BV61" s="302">
        <f t="shared" si="61"/>
        <v>0</v>
      </c>
      <c r="BW61" s="302">
        <f t="shared" si="62"/>
        <v>0</v>
      </c>
      <c r="BX61" s="302">
        <f t="shared" si="63"/>
        <v>0</v>
      </c>
      <c r="BY61" s="302">
        <f t="shared" si="64"/>
        <v>0</v>
      </c>
      <c r="BZ61" s="302">
        <f t="shared" si="65"/>
        <v>0</v>
      </c>
      <c r="CA61" s="302">
        <f t="shared" si="66"/>
        <v>0</v>
      </c>
      <c r="CB61" s="302">
        <f t="shared" si="67"/>
        <v>0</v>
      </c>
      <c r="CC61" s="302">
        <f t="shared" si="68"/>
        <v>0</v>
      </c>
      <c r="CD61" s="302">
        <f t="shared" si="69"/>
        <v>0</v>
      </c>
      <c r="CE61" s="302">
        <f t="shared" si="70"/>
        <v>0</v>
      </c>
      <c r="CF61" s="302">
        <f t="shared" si="71"/>
        <v>0</v>
      </c>
      <c r="CG61" s="302">
        <f t="shared" si="72"/>
        <v>0</v>
      </c>
      <c r="CH61" s="302">
        <f t="shared" si="73"/>
        <v>0</v>
      </c>
      <c r="CI61" s="302">
        <f t="shared" si="74"/>
        <v>0</v>
      </c>
      <c r="CJ61" s="302">
        <f t="shared" si="75"/>
        <v>0</v>
      </c>
      <c r="CK61" s="302">
        <f t="shared" si="76"/>
        <v>0</v>
      </c>
      <c r="CL61" s="302">
        <f t="shared" si="77"/>
        <v>0</v>
      </c>
      <c r="CM61" s="254">
        <f t="shared" si="49"/>
        <v>0</v>
      </c>
      <c r="CO61" s="301">
        <f t="shared" si="78"/>
        <v>0</v>
      </c>
      <c r="CP61" s="302">
        <f t="shared" si="79"/>
        <v>0</v>
      </c>
      <c r="CQ61" s="302">
        <f t="shared" si="80"/>
        <v>0</v>
      </c>
      <c r="CR61" s="302">
        <f t="shared" si="81"/>
        <v>0</v>
      </c>
      <c r="CS61" s="302">
        <f t="shared" si="82"/>
        <v>0</v>
      </c>
      <c r="CT61" s="302">
        <f t="shared" si="83"/>
        <v>0</v>
      </c>
      <c r="CU61" s="302">
        <f t="shared" si="84"/>
        <v>0</v>
      </c>
      <c r="CV61" s="302">
        <f t="shared" si="85"/>
        <v>0</v>
      </c>
      <c r="CW61" s="302">
        <f t="shared" si="86"/>
        <v>0</v>
      </c>
      <c r="CX61" s="302">
        <f t="shared" si="87"/>
        <v>0</v>
      </c>
      <c r="CY61" s="302">
        <f t="shared" si="88"/>
        <v>0</v>
      </c>
      <c r="CZ61" s="302">
        <f t="shared" si="89"/>
        <v>0</v>
      </c>
      <c r="DA61" s="302">
        <f t="shared" si="90"/>
        <v>0</v>
      </c>
      <c r="DB61" s="302">
        <f t="shared" si="91"/>
        <v>0</v>
      </c>
      <c r="DC61" s="302">
        <f t="shared" si="92"/>
        <v>0</v>
      </c>
      <c r="DD61" s="302">
        <f t="shared" si="93"/>
        <v>0</v>
      </c>
      <c r="DE61" s="302">
        <f t="shared" si="94"/>
        <v>0</v>
      </c>
      <c r="DF61" s="302">
        <f t="shared" si="95"/>
        <v>0</v>
      </c>
      <c r="DG61" s="302">
        <f t="shared" si="96"/>
        <v>0</v>
      </c>
      <c r="DH61" s="302">
        <f t="shared" si="97"/>
        <v>0</v>
      </c>
      <c r="DI61" s="302">
        <f t="shared" si="98"/>
        <v>0</v>
      </c>
      <c r="DJ61" s="254">
        <f t="shared" si="55"/>
        <v>0</v>
      </c>
    </row>
    <row r="62" spans="2:114" x14ac:dyDescent="0.2">
      <c r="B62" s="234"/>
      <c r="C62" s="373"/>
      <c r="D62" s="304"/>
      <c r="E62" s="287"/>
      <c r="F62" s="287"/>
      <c r="G62" s="287"/>
      <c r="H62" s="287"/>
      <c r="I62" s="287"/>
      <c r="J62" s="287"/>
      <c r="K62" s="287"/>
      <c r="L62" s="287"/>
      <c r="M62" s="287"/>
      <c r="N62" s="287"/>
      <c r="O62" s="287"/>
      <c r="P62" s="287"/>
      <c r="Q62" s="286"/>
      <c r="R62" s="287"/>
      <c r="S62" s="287"/>
      <c r="T62" s="287"/>
      <c r="U62" s="287"/>
      <c r="V62" s="287"/>
      <c r="W62" s="287"/>
      <c r="X62" s="288"/>
      <c r="Z62" s="255"/>
      <c r="AA62" s="256"/>
      <c r="AB62" s="256"/>
      <c r="AC62" s="256"/>
      <c r="AD62" s="256"/>
      <c r="AE62" s="256"/>
      <c r="AF62" s="256"/>
      <c r="AG62" s="256"/>
      <c r="AH62" s="256"/>
      <c r="AI62" s="257"/>
      <c r="AJ62" s="257"/>
      <c r="AK62" s="257"/>
      <c r="AL62" s="257"/>
      <c r="AM62" s="374"/>
      <c r="AN62" s="257"/>
      <c r="AO62" s="257"/>
      <c r="AP62" s="257"/>
      <c r="AQ62" s="257"/>
      <c r="AR62" s="257"/>
      <c r="AS62" s="257"/>
      <c r="AT62" s="258"/>
      <c r="AV62" s="305"/>
      <c r="AW62" s="306"/>
      <c r="AX62" s="306"/>
      <c r="AY62" s="306"/>
      <c r="AZ62" s="306"/>
      <c r="BA62" s="306"/>
      <c r="BB62" s="306"/>
      <c r="BC62" s="306"/>
      <c r="BD62" s="306"/>
      <c r="BE62" s="306"/>
      <c r="BF62" s="306"/>
      <c r="BG62" s="306"/>
      <c r="BH62" s="306"/>
      <c r="BI62" s="372"/>
      <c r="BJ62" s="306"/>
      <c r="BK62" s="306"/>
      <c r="BL62" s="306"/>
      <c r="BM62" s="306"/>
      <c r="BN62" s="306"/>
      <c r="BO62" s="306"/>
      <c r="BP62" s="307"/>
      <c r="BR62" s="301">
        <f t="shared" si="57"/>
        <v>0</v>
      </c>
      <c r="BS62" s="302">
        <f t="shared" si="58"/>
        <v>0</v>
      </c>
      <c r="BT62" s="302">
        <f t="shared" si="59"/>
        <v>0</v>
      </c>
      <c r="BU62" s="302">
        <f t="shared" si="60"/>
        <v>0</v>
      </c>
      <c r="BV62" s="302">
        <f t="shared" si="61"/>
        <v>0</v>
      </c>
      <c r="BW62" s="302">
        <f t="shared" si="62"/>
        <v>0</v>
      </c>
      <c r="BX62" s="302">
        <f t="shared" si="63"/>
        <v>0</v>
      </c>
      <c r="BY62" s="302">
        <f t="shared" si="64"/>
        <v>0</v>
      </c>
      <c r="BZ62" s="302">
        <f t="shared" si="65"/>
        <v>0</v>
      </c>
      <c r="CA62" s="302">
        <f t="shared" si="66"/>
        <v>0</v>
      </c>
      <c r="CB62" s="302">
        <f t="shared" si="67"/>
        <v>0</v>
      </c>
      <c r="CC62" s="302">
        <f t="shared" si="68"/>
        <v>0</v>
      </c>
      <c r="CD62" s="302">
        <f t="shared" si="69"/>
        <v>0</v>
      </c>
      <c r="CE62" s="302">
        <f t="shared" si="70"/>
        <v>0</v>
      </c>
      <c r="CF62" s="302">
        <f t="shared" si="71"/>
        <v>0</v>
      </c>
      <c r="CG62" s="302">
        <f t="shared" si="72"/>
        <v>0</v>
      </c>
      <c r="CH62" s="302">
        <f t="shared" si="73"/>
        <v>0</v>
      </c>
      <c r="CI62" s="302">
        <f t="shared" si="74"/>
        <v>0</v>
      </c>
      <c r="CJ62" s="302">
        <f t="shared" si="75"/>
        <v>0</v>
      </c>
      <c r="CK62" s="302">
        <f t="shared" si="76"/>
        <v>0</v>
      </c>
      <c r="CL62" s="302">
        <f t="shared" si="77"/>
        <v>0</v>
      </c>
      <c r="CM62" s="254">
        <f t="shared" si="49"/>
        <v>0</v>
      </c>
      <c r="CO62" s="301">
        <f t="shared" si="78"/>
        <v>0</v>
      </c>
      <c r="CP62" s="302">
        <f t="shared" si="79"/>
        <v>0</v>
      </c>
      <c r="CQ62" s="302">
        <f t="shared" si="80"/>
        <v>0</v>
      </c>
      <c r="CR62" s="302">
        <f t="shared" si="81"/>
        <v>0</v>
      </c>
      <c r="CS62" s="302">
        <f t="shared" si="82"/>
        <v>0</v>
      </c>
      <c r="CT62" s="302">
        <f t="shared" si="83"/>
        <v>0</v>
      </c>
      <c r="CU62" s="302">
        <f t="shared" si="84"/>
        <v>0</v>
      </c>
      <c r="CV62" s="302">
        <f t="shared" si="85"/>
        <v>0</v>
      </c>
      <c r="CW62" s="302">
        <f t="shared" si="86"/>
        <v>0</v>
      </c>
      <c r="CX62" s="302">
        <f t="shared" si="87"/>
        <v>0</v>
      </c>
      <c r="CY62" s="302">
        <f t="shared" si="88"/>
        <v>0</v>
      </c>
      <c r="CZ62" s="302">
        <f t="shared" si="89"/>
        <v>0</v>
      </c>
      <c r="DA62" s="302">
        <f t="shared" si="90"/>
        <v>0</v>
      </c>
      <c r="DB62" s="302">
        <f t="shared" si="91"/>
        <v>0</v>
      </c>
      <c r="DC62" s="302">
        <f t="shared" si="92"/>
        <v>0</v>
      </c>
      <c r="DD62" s="302">
        <f t="shared" si="93"/>
        <v>0</v>
      </c>
      <c r="DE62" s="302">
        <f t="shared" si="94"/>
        <v>0</v>
      </c>
      <c r="DF62" s="302">
        <f t="shared" si="95"/>
        <v>0</v>
      </c>
      <c r="DG62" s="302">
        <f t="shared" si="96"/>
        <v>0</v>
      </c>
      <c r="DH62" s="302">
        <f t="shared" si="97"/>
        <v>0</v>
      </c>
      <c r="DI62" s="302">
        <f t="shared" si="98"/>
        <v>0</v>
      </c>
      <c r="DJ62" s="254">
        <f t="shared" si="55"/>
        <v>0</v>
      </c>
    </row>
    <row r="63" spans="2:114" x14ac:dyDescent="0.2">
      <c r="B63" s="234"/>
      <c r="C63" s="373"/>
      <c r="D63" s="304"/>
      <c r="E63" s="287"/>
      <c r="F63" s="287"/>
      <c r="G63" s="287"/>
      <c r="H63" s="287"/>
      <c r="I63" s="287"/>
      <c r="J63" s="287"/>
      <c r="K63" s="287"/>
      <c r="L63" s="287"/>
      <c r="M63" s="287"/>
      <c r="N63" s="287"/>
      <c r="O63" s="287"/>
      <c r="P63" s="287"/>
      <c r="Q63" s="286"/>
      <c r="R63" s="287"/>
      <c r="S63" s="287"/>
      <c r="T63" s="287"/>
      <c r="U63" s="287"/>
      <c r="V63" s="287"/>
      <c r="W63" s="287"/>
      <c r="X63" s="288"/>
      <c r="Z63" s="255"/>
      <c r="AA63" s="256"/>
      <c r="AB63" s="256"/>
      <c r="AC63" s="256"/>
      <c r="AD63" s="256"/>
      <c r="AE63" s="256"/>
      <c r="AF63" s="256"/>
      <c r="AG63" s="256"/>
      <c r="AH63" s="256"/>
      <c r="AI63" s="257"/>
      <c r="AJ63" s="257"/>
      <c r="AK63" s="257"/>
      <c r="AL63" s="257"/>
      <c r="AM63" s="374"/>
      <c r="AN63" s="257"/>
      <c r="AO63" s="257"/>
      <c r="AP63" s="257"/>
      <c r="AQ63" s="257"/>
      <c r="AR63" s="257"/>
      <c r="AS63" s="257"/>
      <c r="AT63" s="258"/>
      <c r="AV63" s="305"/>
      <c r="AW63" s="306"/>
      <c r="AX63" s="306"/>
      <c r="AY63" s="306"/>
      <c r="AZ63" s="306"/>
      <c r="BA63" s="306"/>
      <c r="BB63" s="306"/>
      <c r="BC63" s="306"/>
      <c r="BD63" s="306"/>
      <c r="BE63" s="306"/>
      <c r="BF63" s="306"/>
      <c r="BG63" s="306"/>
      <c r="BH63" s="306"/>
      <c r="BI63" s="372"/>
      <c r="BJ63" s="306"/>
      <c r="BK63" s="306"/>
      <c r="BL63" s="306"/>
      <c r="BM63" s="306"/>
      <c r="BN63" s="306"/>
      <c r="BO63" s="306"/>
      <c r="BP63" s="307"/>
      <c r="BR63" s="301">
        <f t="shared" si="57"/>
        <v>0</v>
      </c>
      <c r="BS63" s="302">
        <f t="shared" si="58"/>
        <v>0</v>
      </c>
      <c r="BT63" s="302">
        <f t="shared" si="59"/>
        <v>0</v>
      </c>
      <c r="BU63" s="302">
        <f t="shared" si="60"/>
        <v>0</v>
      </c>
      <c r="BV63" s="302">
        <f t="shared" si="61"/>
        <v>0</v>
      </c>
      <c r="BW63" s="302">
        <f t="shared" si="62"/>
        <v>0</v>
      </c>
      <c r="BX63" s="302">
        <f t="shared" si="63"/>
        <v>0</v>
      </c>
      <c r="BY63" s="302">
        <f t="shared" si="64"/>
        <v>0</v>
      </c>
      <c r="BZ63" s="302">
        <f t="shared" si="65"/>
        <v>0</v>
      </c>
      <c r="CA63" s="302">
        <f t="shared" si="66"/>
        <v>0</v>
      </c>
      <c r="CB63" s="302">
        <f t="shared" si="67"/>
        <v>0</v>
      </c>
      <c r="CC63" s="302">
        <f t="shared" si="68"/>
        <v>0</v>
      </c>
      <c r="CD63" s="302">
        <f t="shared" si="69"/>
        <v>0</v>
      </c>
      <c r="CE63" s="302">
        <f t="shared" si="70"/>
        <v>0</v>
      </c>
      <c r="CF63" s="302">
        <f t="shared" si="71"/>
        <v>0</v>
      </c>
      <c r="CG63" s="302">
        <f t="shared" si="72"/>
        <v>0</v>
      </c>
      <c r="CH63" s="302">
        <f t="shared" si="73"/>
        <v>0</v>
      </c>
      <c r="CI63" s="302">
        <f t="shared" si="74"/>
        <v>0</v>
      </c>
      <c r="CJ63" s="302">
        <f t="shared" si="75"/>
        <v>0</v>
      </c>
      <c r="CK63" s="302">
        <f t="shared" si="76"/>
        <v>0</v>
      </c>
      <c r="CL63" s="302">
        <f t="shared" si="77"/>
        <v>0</v>
      </c>
      <c r="CM63" s="254">
        <f t="shared" si="49"/>
        <v>0</v>
      </c>
      <c r="CO63" s="301">
        <f t="shared" si="78"/>
        <v>0</v>
      </c>
      <c r="CP63" s="302">
        <f t="shared" si="79"/>
        <v>0</v>
      </c>
      <c r="CQ63" s="302">
        <f t="shared" si="80"/>
        <v>0</v>
      </c>
      <c r="CR63" s="302">
        <f t="shared" si="81"/>
        <v>0</v>
      </c>
      <c r="CS63" s="302">
        <f t="shared" si="82"/>
        <v>0</v>
      </c>
      <c r="CT63" s="302">
        <f t="shared" si="83"/>
        <v>0</v>
      </c>
      <c r="CU63" s="302">
        <f t="shared" si="84"/>
        <v>0</v>
      </c>
      <c r="CV63" s="302">
        <f t="shared" si="85"/>
        <v>0</v>
      </c>
      <c r="CW63" s="302">
        <f t="shared" si="86"/>
        <v>0</v>
      </c>
      <c r="CX63" s="302">
        <f t="shared" si="87"/>
        <v>0</v>
      </c>
      <c r="CY63" s="302">
        <f t="shared" si="88"/>
        <v>0</v>
      </c>
      <c r="CZ63" s="302">
        <f t="shared" si="89"/>
        <v>0</v>
      </c>
      <c r="DA63" s="302">
        <f t="shared" si="90"/>
        <v>0</v>
      </c>
      <c r="DB63" s="302">
        <f t="shared" si="91"/>
        <v>0</v>
      </c>
      <c r="DC63" s="302">
        <f t="shared" si="92"/>
        <v>0</v>
      </c>
      <c r="DD63" s="302">
        <f t="shared" si="93"/>
        <v>0</v>
      </c>
      <c r="DE63" s="302">
        <f t="shared" si="94"/>
        <v>0</v>
      </c>
      <c r="DF63" s="302">
        <f t="shared" si="95"/>
        <v>0</v>
      </c>
      <c r="DG63" s="302">
        <f t="shared" si="96"/>
        <v>0</v>
      </c>
      <c r="DH63" s="302">
        <f t="shared" si="97"/>
        <v>0</v>
      </c>
      <c r="DI63" s="302">
        <f t="shared" si="98"/>
        <v>0</v>
      </c>
      <c r="DJ63" s="254">
        <f t="shared" si="55"/>
        <v>0</v>
      </c>
    </row>
    <row r="64" spans="2:114" x14ac:dyDescent="0.2">
      <c r="B64" s="234"/>
      <c r="C64" s="373"/>
      <c r="D64" s="304"/>
      <c r="E64" s="287"/>
      <c r="F64" s="287"/>
      <c r="G64" s="287"/>
      <c r="H64" s="287"/>
      <c r="I64" s="287"/>
      <c r="J64" s="287"/>
      <c r="K64" s="287"/>
      <c r="L64" s="287"/>
      <c r="M64" s="287"/>
      <c r="N64" s="287"/>
      <c r="O64" s="287"/>
      <c r="P64" s="287"/>
      <c r="Q64" s="286"/>
      <c r="R64" s="287"/>
      <c r="S64" s="287"/>
      <c r="T64" s="287"/>
      <c r="U64" s="287"/>
      <c r="V64" s="287"/>
      <c r="W64" s="287"/>
      <c r="X64" s="288"/>
      <c r="Z64" s="255"/>
      <c r="AA64" s="256"/>
      <c r="AB64" s="256"/>
      <c r="AC64" s="256"/>
      <c r="AD64" s="256"/>
      <c r="AE64" s="256"/>
      <c r="AF64" s="256"/>
      <c r="AG64" s="256"/>
      <c r="AH64" s="256"/>
      <c r="AI64" s="257"/>
      <c r="AJ64" s="257"/>
      <c r="AK64" s="257"/>
      <c r="AL64" s="257"/>
      <c r="AM64" s="374"/>
      <c r="AN64" s="257"/>
      <c r="AO64" s="257"/>
      <c r="AP64" s="257"/>
      <c r="AQ64" s="257"/>
      <c r="AR64" s="257"/>
      <c r="AS64" s="257"/>
      <c r="AT64" s="258"/>
      <c r="AV64" s="305"/>
      <c r="AW64" s="306"/>
      <c r="AX64" s="306"/>
      <c r="AY64" s="306"/>
      <c r="AZ64" s="306"/>
      <c r="BA64" s="306"/>
      <c r="BB64" s="306"/>
      <c r="BC64" s="306"/>
      <c r="BD64" s="306"/>
      <c r="BE64" s="306"/>
      <c r="BF64" s="306"/>
      <c r="BG64" s="306"/>
      <c r="BH64" s="306"/>
      <c r="BI64" s="372"/>
      <c r="BJ64" s="306"/>
      <c r="BK64" s="306"/>
      <c r="BL64" s="306"/>
      <c r="BM64" s="306"/>
      <c r="BN64" s="306"/>
      <c r="BO64" s="306"/>
      <c r="BP64" s="307"/>
      <c r="BR64" s="301">
        <f t="shared" si="57"/>
        <v>0</v>
      </c>
      <c r="BS64" s="302">
        <f t="shared" si="58"/>
        <v>0</v>
      </c>
      <c r="BT64" s="302">
        <f t="shared" si="59"/>
        <v>0</v>
      </c>
      <c r="BU64" s="302">
        <f t="shared" si="60"/>
        <v>0</v>
      </c>
      <c r="BV64" s="302">
        <f t="shared" si="61"/>
        <v>0</v>
      </c>
      <c r="BW64" s="302">
        <f t="shared" si="62"/>
        <v>0</v>
      </c>
      <c r="BX64" s="302">
        <f t="shared" si="63"/>
        <v>0</v>
      </c>
      <c r="BY64" s="302">
        <f t="shared" si="64"/>
        <v>0</v>
      </c>
      <c r="BZ64" s="302">
        <f t="shared" si="65"/>
        <v>0</v>
      </c>
      <c r="CA64" s="302">
        <f t="shared" si="66"/>
        <v>0</v>
      </c>
      <c r="CB64" s="302">
        <f t="shared" si="67"/>
        <v>0</v>
      </c>
      <c r="CC64" s="302">
        <f t="shared" si="68"/>
        <v>0</v>
      </c>
      <c r="CD64" s="302">
        <f t="shared" si="69"/>
        <v>0</v>
      </c>
      <c r="CE64" s="302">
        <f t="shared" si="70"/>
        <v>0</v>
      </c>
      <c r="CF64" s="302">
        <f t="shared" si="71"/>
        <v>0</v>
      </c>
      <c r="CG64" s="302">
        <f t="shared" si="72"/>
        <v>0</v>
      </c>
      <c r="CH64" s="302">
        <f t="shared" si="73"/>
        <v>0</v>
      </c>
      <c r="CI64" s="302">
        <f t="shared" si="74"/>
        <v>0</v>
      </c>
      <c r="CJ64" s="302">
        <f t="shared" si="75"/>
        <v>0</v>
      </c>
      <c r="CK64" s="302">
        <f t="shared" si="76"/>
        <v>0</v>
      </c>
      <c r="CL64" s="302">
        <f t="shared" si="77"/>
        <v>0</v>
      </c>
      <c r="CM64" s="254">
        <f t="shared" si="49"/>
        <v>0</v>
      </c>
      <c r="CO64" s="301">
        <f t="shared" si="78"/>
        <v>0</v>
      </c>
      <c r="CP64" s="302">
        <f t="shared" si="79"/>
        <v>0</v>
      </c>
      <c r="CQ64" s="302">
        <f t="shared" si="80"/>
        <v>0</v>
      </c>
      <c r="CR64" s="302">
        <f t="shared" si="81"/>
        <v>0</v>
      </c>
      <c r="CS64" s="302">
        <f t="shared" si="82"/>
        <v>0</v>
      </c>
      <c r="CT64" s="302">
        <f t="shared" si="83"/>
        <v>0</v>
      </c>
      <c r="CU64" s="302">
        <f t="shared" si="84"/>
        <v>0</v>
      </c>
      <c r="CV64" s="302">
        <f t="shared" si="85"/>
        <v>0</v>
      </c>
      <c r="CW64" s="302">
        <f t="shared" si="86"/>
        <v>0</v>
      </c>
      <c r="CX64" s="302">
        <f t="shared" si="87"/>
        <v>0</v>
      </c>
      <c r="CY64" s="302">
        <f t="shared" si="88"/>
        <v>0</v>
      </c>
      <c r="CZ64" s="302">
        <f t="shared" si="89"/>
        <v>0</v>
      </c>
      <c r="DA64" s="302">
        <f t="shared" si="90"/>
        <v>0</v>
      </c>
      <c r="DB64" s="302">
        <f t="shared" si="91"/>
        <v>0</v>
      </c>
      <c r="DC64" s="302">
        <f t="shared" si="92"/>
        <v>0</v>
      </c>
      <c r="DD64" s="302">
        <f t="shared" si="93"/>
        <v>0</v>
      </c>
      <c r="DE64" s="302">
        <f t="shared" si="94"/>
        <v>0</v>
      </c>
      <c r="DF64" s="302">
        <f t="shared" si="95"/>
        <v>0</v>
      </c>
      <c r="DG64" s="302">
        <f t="shared" si="96"/>
        <v>0</v>
      </c>
      <c r="DH64" s="302">
        <f t="shared" si="97"/>
        <v>0</v>
      </c>
      <c r="DI64" s="302">
        <f t="shared" si="98"/>
        <v>0</v>
      </c>
      <c r="DJ64" s="254">
        <f t="shared" si="55"/>
        <v>0</v>
      </c>
    </row>
    <row r="65" spans="2:114" ht="13.5" thickBot="1" x14ac:dyDescent="0.25">
      <c r="B65" s="259"/>
      <c r="C65" s="375"/>
      <c r="D65" s="308"/>
      <c r="E65" s="292"/>
      <c r="F65" s="292"/>
      <c r="G65" s="292"/>
      <c r="H65" s="292"/>
      <c r="I65" s="292"/>
      <c r="J65" s="292"/>
      <c r="K65" s="292"/>
      <c r="L65" s="292"/>
      <c r="M65" s="292"/>
      <c r="N65" s="292"/>
      <c r="O65" s="292"/>
      <c r="P65" s="292"/>
      <c r="Q65" s="291"/>
      <c r="R65" s="292"/>
      <c r="S65" s="292"/>
      <c r="T65" s="292"/>
      <c r="U65" s="292"/>
      <c r="V65" s="292"/>
      <c r="W65" s="292"/>
      <c r="X65" s="293"/>
      <c r="Z65" s="260"/>
      <c r="AA65" s="261"/>
      <c r="AB65" s="261"/>
      <c r="AC65" s="261"/>
      <c r="AD65" s="261"/>
      <c r="AE65" s="261"/>
      <c r="AF65" s="261"/>
      <c r="AG65" s="261"/>
      <c r="AH65" s="261"/>
      <c r="AI65" s="262"/>
      <c r="AJ65" s="262"/>
      <c r="AK65" s="262"/>
      <c r="AL65" s="262"/>
      <c r="AM65" s="376"/>
      <c r="AN65" s="262"/>
      <c r="AO65" s="262"/>
      <c r="AP65" s="262"/>
      <c r="AQ65" s="262"/>
      <c r="AR65" s="262"/>
      <c r="AS65" s="262"/>
      <c r="AT65" s="263"/>
      <c r="AV65" s="309"/>
      <c r="AW65" s="310"/>
      <c r="AX65" s="310"/>
      <c r="AY65" s="310"/>
      <c r="AZ65" s="310"/>
      <c r="BA65" s="310"/>
      <c r="BB65" s="310"/>
      <c r="BC65" s="310"/>
      <c r="BD65" s="310"/>
      <c r="BE65" s="310"/>
      <c r="BF65" s="310"/>
      <c r="BG65" s="310"/>
      <c r="BH65" s="310"/>
      <c r="BI65" s="377"/>
      <c r="BJ65" s="310"/>
      <c r="BK65" s="310"/>
      <c r="BL65" s="310"/>
      <c r="BM65" s="310"/>
      <c r="BN65" s="310"/>
      <c r="BO65" s="310"/>
      <c r="BP65" s="311"/>
      <c r="BR65" s="312">
        <f t="shared" si="57"/>
        <v>0</v>
      </c>
      <c r="BS65" s="313">
        <f t="shared" si="58"/>
        <v>0</v>
      </c>
      <c r="BT65" s="313">
        <f t="shared" si="59"/>
        <v>0</v>
      </c>
      <c r="BU65" s="313">
        <f t="shared" si="60"/>
        <v>0</v>
      </c>
      <c r="BV65" s="313">
        <f t="shared" si="61"/>
        <v>0</v>
      </c>
      <c r="BW65" s="313">
        <f t="shared" si="62"/>
        <v>0</v>
      </c>
      <c r="BX65" s="313">
        <f t="shared" si="63"/>
        <v>0</v>
      </c>
      <c r="BY65" s="313">
        <f t="shared" si="64"/>
        <v>0</v>
      </c>
      <c r="BZ65" s="313">
        <f t="shared" si="65"/>
        <v>0</v>
      </c>
      <c r="CA65" s="313">
        <f t="shared" si="66"/>
        <v>0</v>
      </c>
      <c r="CB65" s="313">
        <f t="shared" si="67"/>
        <v>0</v>
      </c>
      <c r="CC65" s="313">
        <f t="shared" si="68"/>
        <v>0</v>
      </c>
      <c r="CD65" s="313">
        <f t="shared" si="69"/>
        <v>0</v>
      </c>
      <c r="CE65" s="313">
        <f t="shared" si="70"/>
        <v>0</v>
      </c>
      <c r="CF65" s="313">
        <f t="shared" si="71"/>
        <v>0</v>
      </c>
      <c r="CG65" s="313">
        <f t="shared" si="72"/>
        <v>0</v>
      </c>
      <c r="CH65" s="313">
        <f t="shared" si="73"/>
        <v>0</v>
      </c>
      <c r="CI65" s="313">
        <f t="shared" si="74"/>
        <v>0</v>
      </c>
      <c r="CJ65" s="313">
        <f t="shared" si="75"/>
        <v>0</v>
      </c>
      <c r="CK65" s="313">
        <f t="shared" si="76"/>
        <v>0</v>
      </c>
      <c r="CL65" s="313">
        <f t="shared" si="77"/>
        <v>0</v>
      </c>
      <c r="CM65" s="270">
        <f t="shared" si="49"/>
        <v>0</v>
      </c>
      <c r="CO65" s="312">
        <f t="shared" si="78"/>
        <v>0</v>
      </c>
      <c r="CP65" s="313">
        <f t="shared" si="79"/>
        <v>0</v>
      </c>
      <c r="CQ65" s="313">
        <f t="shared" si="80"/>
        <v>0</v>
      </c>
      <c r="CR65" s="313">
        <f t="shared" si="81"/>
        <v>0</v>
      </c>
      <c r="CS65" s="313">
        <f t="shared" si="82"/>
        <v>0</v>
      </c>
      <c r="CT65" s="313">
        <f t="shared" si="83"/>
        <v>0</v>
      </c>
      <c r="CU65" s="313">
        <f t="shared" si="84"/>
        <v>0</v>
      </c>
      <c r="CV65" s="313">
        <f t="shared" si="85"/>
        <v>0</v>
      </c>
      <c r="CW65" s="313">
        <f t="shared" si="86"/>
        <v>0</v>
      </c>
      <c r="CX65" s="313">
        <f t="shared" si="87"/>
        <v>0</v>
      </c>
      <c r="CY65" s="313">
        <f t="shared" si="88"/>
        <v>0</v>
      </c>
      <c r="CZ65" s="313">
        <f t="shared" si="89"/>
        <v>0</v>
      </c>
      <c r="DA65" s="313">
        <f t="shared" si="90"/>
        <v>0</v>
      </c>
      <c r="DB65" s="313">
        <f t="shared" si="91"/>
        <v>0</v>
      </c>
      <c r="DC65" s="313">
        <f t="shared" si="92"/>
        <v>0</v>
      </c>
      <c r="DD65" s="313">
        <f t="shared" si="93"/>
        <v>0</v>
      </c>
      <c r="DE65" s="313">
        <f t="shared" si="94"/>
        <v>0</v>
      </c>
      <c r="DF65" s="313">
        <f t="shared" si="95"/>
        <v>0</v>
      </c>
      <c r="DG65" s="313">
        <f t="shared" si="96"/>
        <v>0</v>
      </c>
      <c r="DH65" s="313">
        <f t="shared" si="97"/>
        <v>0</v>
      </c>
      <c r="DI65" s="313">
        <f t="shared" si="98"/>
        <v>0</v>
      </c>
      <c r="DJ65" s="270">
        <f>SUM(CO65:DI65)</f>
        <v>0</v>
      </c>
    </row>
    <row r="66" spans="2:114" s="151" customFormat="1" ht="13.5" thickBot="1" x14ac:dyDescent="0.25">
      <c r="AV66" s="378">
        <f t="shared" ref="AV66:BP66" si="100">SUM(AV6:AV65)</f>
        <v>373143.83333333331</v>
      </c>
      <c r="AW66" s="378">
        <f t="shared" si="100"/>
        <v>1272086460.663789</v>
      </c>
      <c r="AX66" s="378">
        <f t="shared" si="100"/>
        <v>2597281821.8915658</v>
      </c>
      <c r="AY66" s="379">
        <f t="shared" si="100"/>
        <v>0</v>
      </c>
      <c r="AZ66" s="379">
        <f t="shared" si="100"/>
        <v>0</v>
      </c>
      <c r="BA66" s="378">
        <f t="shared" si="100"/>
        <v>2012408976.1105549</v>
      </c>
      <c r="BB66" s="378">
        <f t="shared" si="100"/>
        <v>0</v>
      </c>
      <c r="BC66" s="378">
        <f t="shared" si="100"/>
        <v>0</v>
      </c>
      <c r="BD66" s="378">
        <f t="shared" si="100"/>
        <v>0</v>
      </c>
      <c r="BE66" s="378">
        <f t="shared" si="100"/>
        <v>914893.23108333279</v>
      </c>
      <c r="BF66" s="378">
        <f t="shared" si="100"/>
        <v>0</v>
      </c>
      <c r="BG66" s="378">
        <f t="shared" si="100"/>
        <v>1252129.4476761888</v>
      </c>
      <c r="BH66" s="378">
        <f t="shared" si="100"/>
        <v>2174517.9950447618</v>
      </c>
      <c r="BI66" s="378">
        <f t="shared" si="100"/>
        <v>414808.56590921606</v>
      </c>
      <c r="BJ66" s="378">
        <f t="shared" si="100"/>
        <v>515541.75038326747</v>
      </c>
      <c r="BK66" s="378">
        <f t="shared" si="100"/>
        <v>510185.1308476784</v>
      </c>
      <c r="BL66" s="378">
        <f t="shared" si="100"/>
        <v>0</v>
      </c>
      <c r="BM66" s="378">
        <f t="shared" si="100"/>
        <v>1382965.6448100451</v>
      </c>
      <c r="BN66" s="378">
        <f t="shared" si="100"/>
        <v>1828108.2879962048</v>
      </c>
      <c r="BO66" s="378">
        <f t="shared" si="100"/>
        <v>1739470.8675136871</v>
      </c>
      <c r="BP66" s="378">
        <f t="shared" si="100"/>
        <v>0</v>
      </c>
      <c r="BR66" s="272">
        <f t="shared" ref="BR66:CM66" si="101">SUM(BR6:BR65)</f>
        <v>54226785</v>
      </c>
      <c r="BS66" s="272">
        <f t="shared" si="101"/>
        <v>62399673.296924189</v>
      </c>
      <c r="BT66" s="272">
        <f t="shared" si="101"/>
        <v>85272151.478099212</v>
      </c>
      <c r="BU66" s="272">
        <f t="shared" si="101"/>
        <v>0</v>
      </c>
      <c r="BV66" s="272">
        <f t="shared" si="101"/>
        <v>0</v>
      </c>
      <c r="BW66" s="272">
        <f t="shared" si="101"/>
        <v>34138880.070362471</v>
      </c>
      <c r="BX66" s="272">
        <f t="shared" si="101"/>
        <v>0</v>
      </c>
      <c r="BY66" s="272">
        <f t="shared" si="101"/>
        <v>0</v>
      </c>
      <c r="BZ66" s="272">
        <f t="shared" si="101"/>
        <v>0</v>
      </c>
      <c r="CA66" s="272">
        <f t="shared" si="101"/>
        <v>52561470.582751632</v>
      </c>
      <c r="CB66" s="272">
        <f t="shared" si="101"/>
        <v>0</v>
      </c>
      <c r="CC66" s="272">
        <f t="shared" si="101"/>
        <v>6536170.7132787053</v>
      </c>
      <c r="CD66" s="272">
        <f t="shared" si="101"/>
        <v>5690368.0667148232</v>
      </c>
      <c r="CE66" s="272">
        <f t="shared" si="101"/>
        <v>43377.206077001865</v>
      </c>
      <c r="CF66" s="272">
        <f t="shared" si="101"/>
        <v>37051.248887464724</v>
      </c>
      <c r="CG66" s="272">
        <f t="shared" si="101"/>
        <v>14384.108639617642</v>
      </c>
      <c r="CH66" s="272">
        <f t="shared" si="101"/>
        <v>0</v>
      </c>
      <c r="CI66" s="272">
        <f t="shared" si="101"/>
        <v>145357.25680105572</v>
      </c>
      <c r="CJ66" s="272">
        <f t="shared" si="101"/>
        <v>131469.96129339599</v>
      </c>
      <c r="CK66" s="272">
        <f t="shared" si="101"/>
        <v>49167.622451560943</v>
      </c>
      <c r="CL66" s="272">
        <f t="shared" si="101"/>
        <v>0</v>
      </c>
      <c r="CM66" s="272">
        <f t="shared" si="101"/>
        <v>301246306.61228108</v>
      </c>
      <c r="CO66" s="272">
        <f t="shared" ref="CO66:DJ66" si="102">SUM(CO6:CO65)</f>
        <v>50703215.833333336</v>
      </c>
      <c r="CP66" s="272">
        <f t="shared" si="102"/>
        <v>61303253.618779361</v>
      </c>
      <c r="CQ66" s="272">
        <f t="shared" si="102"/>
        <v>90785181.353217244</v>
      </c>
      <c r="CR66" s="272">
        <f t="shared" si="102"/>
        <v>0</v>
      </c>
      <c r="CS66" s="272">
        <f t="shared" si="102"/>
        <v>0</v>
      </c>
      <c r="CT66" s="272">
        <f t="shared" si="102"/>
        <v>33110574.873978689</v>
      </c>
      <c r="CU66" s="272">
        <f t="shared" si="102"/>
        <v>0</v>
      </c>
      <c r="CV66" s="272">
        <f t="shared" si="102"/>
        <v>0</v>
      </c>
      <c r="CW66" s="272">
        <f t="shared" si="102"/>
        <v>0</v>
      </c>
      <c r="CX66" s="272">
        <f t="shared" si="102"/>
        <v>51436224.180538297</v>
      </c>
      <c r="CY66" s="272">
        <f t="shared" si="102"/>
        <v>0</v>
      </c>
      <c r="CZ66" s="272">
        <f t="shared" si="102"/>
        <v>3073124.6945742499</v>
      </c>
      <c r="DA66" s="272">
        <f t="shared" si="102"/>
        <v>2689256.3427199172</v>
      </c>
      <c r="DB66" s="272">
        <f t="shared" si="102"/>
        <v>43649.579556094817</v>
      </c>
      <c r="DC66" s="272">
        <f t="shared" si="102"/>
        <v>37455.231540413908</v>
      </c>
      <c r="DD66" s="272">
        <f t="shared" si="102"/>
        <v>14494.168768856722</v>
      </c>
      <c r="DE66" s="272">
        <f t="shared" si="102"/>
        <v>0</v>
      </c>
      <c r="DF66" s="272">
        <f t="shared" si="102"/>
        <v>146481.80783669974</v>
      </c>
      <c r="DG66" s="272">
        <f t="shared" si="102"/>
        <v>132950.18169835769</v>
      </c>
      <c r="DH66" s="272">
        <f t="shared" si="102"/>
        <v>49598.105682199792</v>
      </c>
      <c r="DI66" s="272">
        <f t="shared" si="102"/>
        <v>0</v>
      </c>
      <c r="DJ66" s="272">
        <f t="shared" si="102"/>
        <v>293525459.9722237</v>
      </c>
    </row>
    <row r="67" spans="2:114" s="151" customFormat="1" ht="13.5" thickTop="1" x14ac:dyDescent="0.2"/>
    <row r="68" spans="2:114" s="151" customFormat="1" x14ac:dyDescent="0.2">
      <c r="CM68" s="585"/>
      <c r="CO68" s="585"/>
      <c r="CP68" s="585"/>
      <c r="CQ68" s="585"/>
      <c r="CR68" s="585"/>
      <c r="CS68" s="585"/>
      <c r="CT68" s="585"/>
      <c r="CU68" s="585"/>
      <c r="CV68" s="585"/>
      <c r="CW68" s="585"/>
      <c r="CX68" s="585"/>
      <c r="CY68" s="585"/>
      <c r="CZ68" s="585"/>
      <c r="DA68" s="585"/>
      <c r="DB68" s="585"/>
      <c r="DC68" s="585"/>
      <c r="DD68" s="585"/>
      <c r="DE68" s="585"/>
      <c r="DF68" s="585"/>
      <c r="DG68" s="585"/>
      <c r="DH68" s="585"/>
      <c r="DI68" s="585"/>
      <c r="DJ68" s="585"/>
    </row>
    <row r="69" spans="2:114" s="151" customFormat="1" x14ac:dyDescent="0.2">
      <c r="CM69" s="585"/>
      <c r="DJ69" s="585"/>
    </row>
    <row r="70" spans="2:114" s="151" customFormat="1" x14ac:dyDescent="0.2">
      <c r="CM70" s="585"/>
      <c r="DJ70" s="585"/>
    </row>
    <row r="71" spans="2:114" s="151" customFormat="1" x14ac:dyDescent="0.2">
      <c r="CM71" s="585"/>
    </row>
    <row r="72" spans="2:114" s="151" customFormat="1" x14ac:dyDescent="0.2"/>
    <row r="73" spans="2:114" s="151" customFormat="1" x14ac:dyDescent="0.2"/>
    <row r="74" spans="2:114" s="151" customFormat="1" x14ac:dyDescent="0.2"/>
    <row r="75" spans="2:114" s="151" customFormat="1" x14ac:dyDescent="0.2"/>
    <row r="76" spans="2:114" s="151" customFormat="1" x14ac:dyDescent="0.2"/>
    <row r="77" spans="2:114" s="151" customFormat="1" x14ac:dyDescent="0.2"/>
    <row r="78" spans="2:114" s="151" customFormat="1" x14ac:dyDescent="0.2"/>
    <row r="79" spans="2:114" s="151" customFormat="1" x14ac:dyDescent="0.2"/>
    <row r="80" spans="2:114" s="151" customFormat="1" x14ac:dyDescent="0.2"/>
    <row r="81" s="151" customFormat="1" x14ac:dyDescent="0.2"/>
    <row r="82" s="151" customFormat="1" x14ac:dyDescent="0.2"/>
    <row r="83" s="151" customFormat="1" x14ac:dyDescent="0.2"/>
    <row r="84" s="151" customFormat="1" x14ac:dyDescent="0.2"/>
    <row r="85" s="151" customFormat="1" x14ac:dyDescent="0.2"/>
    <row r="86" s="151" customFormat="1" x14ac:dyDescent="0.2"/>
    <row r="87" s="151" customFormat="1" x14ac:dyDescent="0.2"/>
    <row r="88" s="151" customFormat="1" x14ac:dyDescent="0.2"/>
    <row r="89" s="151" customFormat="1" x14ac:dyDescent="0.2"/>
    <row r="90" s="151" customFormat="1" x14ac:dyDescent="0.2"/>
    <row r="91" s="151" customFormat="1" x14ac:dyDescent="0.2"/>
    <row r="92" s="151" customFormat="1" x14ac:dyDescent="0.2"/>
    <row r="93" s="151" customFormat="1" x14ac:dyDescent="0.2"/>
    <row r="94" s="151" customFormat="1" x14ac:dyDescent="0.2"/>
    <row r="95" s="151" customFormat="1" x14ac:dyDescent="0.2"/>
    <row r="96" s="151" customFormat="1" x14ac:dyDescent="0.2"/>
    <row r="97" s="151" customFormat="1" x14ac:dyDescent="0.2"/>
    <row r="98" s="151" customFormat="1" x14ac:dyDescent="0.2"/>
    <row r="99" s="151" customFormat="1" x14ac:dyDescent="0.2"/>
    <row r="100" s="151" customFormat="1" x14ac:dyDescent="0.2"/>
    <row r="101" s="151" customFormat="1" x14ac:dyDescent="0.2"/>
    <row r="102" s="151" customFormat="1" x14ac:dyDescent="0.2"/>
    <row r="103" s="151" customFormat="1" x14ac:dyDescent="0.2"/>
    <row r="104" s="151" customFormat="1" x14ac:dyDescent="0.2"/>
    <row r="105" s="151" customFormat="1" x14ac:dyDescent="0.2"/>
  </sheetData>
  <printOptions horizontalCentered="1"/>
  <pageMargins left="0.15748031496062992" right="0.15748031496062992" top="0.39370078740157483" bottom="0.39370078740157483" header="0.11811023622047245" footer="0.11811023622047245"/>
  <pageSetup paperSize="9" scale="33"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4" manualBreakCount="4">
    <brk id="25" max="65" man="1"/>
    <brk id="47" max="1048575" man="1"/>
    <brk id="69" max="1048575" man="1"/>
    <brk id="92" max="1048575" man="1"/>
  </col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A2:AC78"/>
  <sheetViews>
    <sheetView topLeftCell="A4" zoomScale="80" zoomScaleNormal="80" workbookViewId="0">
      <selection activeCell="G29" sqref="G29"/>
    </sheetView>
  </sheetViews>
  <sheetFormatPr defaultRowHeight="14.25" x14ac:dyDescent="0.2"/>
  <cols>
    <col min="1" max="1" width="5.42578125" style="32" customWidth="1"/>
    <col min="2" max="2" width="78.42578125" style="33" customWidth="1"/>
    <col min="3" max="3" width="18.5703125" style="34" customWidth="1"/>
    <col min="4" max="5" width="18.5703125" style="35" customWidth="1"/>
    <col min="6" max="6" width="9.140625" style="35" customWidth="1"/>
    <col min="7" max="7" width="18.5703125" style="35" customWidth="1"/>
    <col min="8" max="8" width="18.42578125" style="35" customWidth="1"/>
    <col min="9" max="10" width="9.140625" style="36" customWidth="1"/>
    <col min="11" max="16" width="9.140625" style="35" customWidth="1"/>
    <col min="17" max="20" width="9.140625" style="35"/>
    <col min="21" max="21" width="9.140625" style="35" customWidth="1"/>
    <col min="22" max="255" width="9.140625" style="35"/>
    <col min="256" max="256" width="2.7109375" style="35" customWidth="1"/>
    <col min="257" max="257" width="114.42578125" style="35" customWidth="1"/>
    <col min="258" max="258" width="0" style="35" hidden="1" customWidth="1"/>
    <col min="259" max="259" width="27.5703125" style="35" customWidth="1"/>
    <col min="260" max="260" width="20" style="35" customWidth="1"/>
    <col min="261" max="261" width="18.28515625" style="35" customWidth="1"/>
    <col min="262" max="262" width="20.140625" style="35" customWidth="1"/>
    <col min="263" max="263" width="10.7109375" style="35" customWidth="1"/>
    <col min="264" max="264" width="14.42578125" style="35" bestFit="1" customWidth="1"/>
    <col min="265" max="265" width="10.7109375" style="35" customWidth="1"/>
    <col min="266" max="266" width="12.7109375" style="35" bestFit="1" customWidth="1"/>
    <col min="267" max="269" width="8.42578125" style="35" customWidth="1"/>
    <col min="270" max="272" width="13" style="35" customWidth="1"/>
    <col min="273" max="276" width="9.140625" style="35"/>
    <col min="277" max="277" width="8.7109375" style="35" customWidth="1"/>
    <col min="278" max="511" width="9.140625" style="35"/>
    <col min="512" max="512" width="2.7109375" style="35" customWidth="1"/>
    <col min="513" max="513" width="114.42578125" style="35" customWidth="1"/>
    <col min="514" max="514" width="0" style="35" hidden="1" customWidth="1"/>
    <col min="515" max="515" width="27.5703125" style="35" customWidth="1"/>
    <col min="516" max="516" width="20" style="35" customWidth="1"/>
    <col min="517" max="517" width="18.28515625" style="35" customWidth="1"/>
    <col min="518" max="518" width="20.140625" style="35" customWidth="1"/>
    <col min="519" max="519" width="10.7109375" style="35" customWidth="1"/>
    <col min="520" max="520" width="14.42578125" style="35" bestFit="1" customWidth="1"/>
    <col min="521" max="521" width="10.7109375" style="35" customWidth="1"/>
    <col min="522" max="522" width="12.7109375" style="35" bestFit="1" customWidth="1"/>
    <col min="523" max="525" width="8.42578125" style="35" customWidth="1"/>
    <col min="526" max="528" width="13" style="35" customWidth="1"/>
    <col min="529" max="532" width="9.140625" style="35"/>
    <col min="533" max="533" width="8.7109375" style="35" customWidth="1"/>
    <col min="534" max="767" width="9.140625" style="35"/>
    <col min="768" max="768" width="2.7109375" style="35" customWidth="1"/>
    <col min="769" max="769" width="114.42578125" style="35" customWidth="1"/>
    <col min="770" max="770" width="0" style="35" hidden="1" customWidth="1"/>
    <col min="771" max="771" width="27.5703125" style="35" customWidth="1"/>
    <col min="772" max="772" width="20" style="35" customWidth="1"/>
    <col min="773" max="773" width="18.28515625" style="35" customWidth="1"/>
    <col min="774" max="774" width="20.140625" style="35" customWidth="1"/>
    <col min="775" max="775" width="10.7109375" style="35" customWidth="1"/>
    <col min="776" max="776" width="14.42578125" style="35" bestFit="1" customWidth="1"/>
    <col min="777" max="777" width="10.7109375" style="35" customWidth="1"/>
    <col min="778" max="778" width="12.7109375" style="35" bestFit="1" customWidth="1"/>
    <col min="779" max="781" width="8.42578125" style="35" customWidth="1"/>
    <col min="782" max="784" width="13" style="35" customWidth="1"/>
    <col min="785" max="788" width="9.140625" style="35"/>
    <col min="789" max="789" width="8.7109375" style="35" customWidth="1"/>
    <col min="790" max="1023" width="9.140625" style="35"/>
    <col min="1024" max="1024" width="2.7109375" style="35" customWidth="1"/>
    <col min="1025" max="1025" width="114.42578125" style="35" customWidth="1"/>
    <col min="1026" max="1026" width="0" style="35" hidden="1" customWidth="1"/>
    <col min="1027" max="1027" width="27.5703125" style="35" customWidth="1"/>
    <col min="1028" max="1028" width="20" style="35" customWidth="1"/>
    <col min="1029" max="1029" width="18.28515625" style="35" customWidth="1"/>
    <col min="1030" max="1030" width="20.140625" style="35" customWidth="1"/>
    <col min="1031" max="1031" width="10.7109375" style="35" customWidth="1"/>
    <col min="1032" max="1032" width="14.42578125" style="35" bestFit="1" customWidth="1"/>
    <col min="1033" max="1033" width="10.7109375" style="35" customWidth="1"/>
    <col min="1034" max="1034" width="12.7109375" style="35" bestFit="1" customWidth="1"/>
    <col min="1035" max="1037" width="8.42578125" style="35" customWidth="1"/>
    <col min="1038" max="1040" width="13" style="35" customWidth="1"/>
    <col min="1041" max="1044" width="9.140625" style="35"/>
    <col min="1045" max="1045" width="8.7109375" style="35" customWidth="1"/>
    <col min="1046" max="1279" width="9.140625" style="35"/>
    <col min="1280" max="1280" width="2.7109375" style="35" customWidth="1"/>
    <col min="1281" max="1281" width="114.42578125" style="35" customWidth="1"/>
    <col min="1282" max="1282" width="0" style="35" hidden="1" customWidth="1"/>
    <col min="1283" max="1283" width="27.5703125" style="35" customWidth="1"/>
    <col min="1284" max="1284" width="20" style="35" customWidth="1"/>
    <col min="1285" max="1285" width="18.28515625" style="35" customWidth="1"/>
    <col min="1286" max="1286" width="20.140625" style="35" customWidth="1"/>
    <col min="1287" max="1287" width="10.7109375" style="35" customWidth="1"/>
    <col min="1288" max="1288" width="14.42578125" style="35" bestFit="1" customWidth="1"/>
    <col min="1289" max="1289" width="10.7109375" style="35" customWidth="1"/>
    <col min="1290" max="1290" width="12.7109375" style="35" bestFit="1" customWidth="1"/>
    <col min="1291" max="1293" width="8.42578125" style="35" customWidth="1"/>
    <col min="1294" max="1296" width="13" style="35" customWidth="1"/>
    <col min="1297" max="1300" width="9.140625" style="35"/>
    <col min="1301" max="1301" width="8.7109375" style="35" customWidth="1"/>
    <col min="1302" max="1535" width="9.140625" style="35"/>
    <col min="1536" max="1536" width="2.7109375" style="35" customWidth="1"/>
    <col min="1537" max="1537" width="114.42578125" style="35" customWidth="1"/>
    <col min="1538" max="1538" width="0" style="35" hidden="1" customWidth="1"/>
    <col min="1539" max="1539" width="27.5703125" style="35" customWidth="1"/>
    <col min="1540" max="1540" width="20" style="35" customWidth="1"/>
    <col min="1541" max="1541" width="18.28515625" style="35" customWidth="1"/>
    <col min="1542" max="1542" width="20.140625" style="35" customWidth="1"/>
    <col min="1543" max="1543" width="10.7109375" style="35" customWidth="1"/>
    <col min="1544" max="1544" width="14.42578125" style="35" bestFit="1" customWidth="1"/>
    <col min="1545" max="1545" width="10.7109375" style="35" customWidth="1"/>
    <col min="1546" max="1546" width="12.7109375" style="35" bestFit="1" customWidth="1"/>
    <col min="1547" max="1549" width="8.42578125" style="35" customWidth="1"/>
    <col min="1550" max="1552" width="13" style="35" customWidth="1"/>
    <col min="1553" max="1556" width="9.140625" style="35"/>
    <col min="1557" max="1557" width="8.7109375" style="35" customWidth="1"/>
    <col min="1558" max="1791" width="9.140625" style="35"/>
    <col min="1792" max="1792" width="2.7109375" style="35" customWidth="1"/>
    <col min="1793" max="1793" width="114.42578125" style="35" customWidth="1"/>
    <col min="1794" max="1794" width="0" style="35" hidden="1" customWidth="1"/>
    <col min="1795" max="1795" width="27.5703125" style="35" customWidth="1"/>
    <col min="1796" max="1796" width="20" style="35" customWidth="1"/>
    <col min="1797" max="1797" width="18.28515625" style="35" customWidth="1"/>
    <col min="1798" max="1798" width="20.140625" style="35" customWidth="1"/>
    <col min="1799" max="1799" width="10.7109375" style="35" customWidth="1"/>
    <col min="1800" max="1800" width="14.42578125" style="35" bestFit="1" customWidth="1"/>
    <col min="1801" max="1801" width="10.7109375" style="35" customWidth="1"/>
    <col min="1802" max="1802" width="12.7109375" style="35" bestFit="1" customWidth="1"/>
    <col min="1803" max="1805" width="8.42578125" style="35" customWidth="1"/>
    <col min="1806" max="1808" width="13" style="35" customWidth="1"/>
    <col min="1809" max="1812" width="9.140625" style="35"/>
    <col min="1813" max="1813" width="8.7109375" style="35" customWidth="1"/>
    <col min="1814" max="2047" width="9.140625" style="35"/>
    <col min="2048" max="2048" width="2.7109375" style="35" customWidth="1"/>
    <col min="2049" max="2049" width="114.42578125" style="35" customWidth="1"/>
    <col min="2050" max="2050" width="0" style="35" hidden="1" customWidth="1"/>
    <col min="2051" max="2051" width="27.5703125" style="35" customWidth="1"/>
    <col min="2052" max="2052" width="20" style="35" customWidth="1"/>
    <col min="2053" max="2053" width="18.28515625" style="35" customWidth="1"/>
    <col min="2054" max="2054" width="20.140625" style="35" customWidth="1"/>
    <col min="2055" max="2055" width="10.7109375" style="35" customWidth="1"/>
    <col min="2056" max="2056" width="14.42578125" style="35" bestFit="1" customWidth="1"/>
    <col min="2057" max="2057" width="10.7109375" style="35" customWidth="1"/>
    <col min="2058" max="2058" width="12.7109375" style="35" bestFit="1" customWidth="1"/>
    <col min="2059" max="2061" width="8.42578125" style="35" customWidth="1"/>
    <col min="2062" max="2064" width="13" style="35" customWidth="1"/>
    <col min="2065" max="2068" width="9.140625" style="35"/>
    <col min="2069" max="2069" width="8.7109375" style="35" customWidth="1"/>
    <col min="2070" max="2303" width="9.140625" style="35"/>
    <col min="2304" max="2304" width="2.7109375" style="35" customWidth="1"/>
    <col min="2305" max="2305" width="114.42578125" style="35" customWidth="1"/>
    <col min="2306" max="2306" width="0" style="35" hidden="1" customWidth="1"/>
    <col min="2307" max="2307" width="27.5703125" style="35" customWidth="1"/>
    <col min="2308" max="2308" width="20" style="35" customWidth="1"/>
    <col min="2309" max="2309" width="18.28515625" style="35" customWidth="1"/>
    <col min="2310" max="2310" width="20.140625" style="35" customWidth="1"/>
    <col min="2311" max="2311" width="10.7109375" style="35" customWidth="1"/>
    <col min="2312" max="2312" width="14.42578125" style="35" bestFit="1" customWidth="1"/>
    <col min="2313" max="2313" width="10.7109375" style="35" customWidth="1"/>
    <col min="2314" max="2314" width="12.7109375" style="35" bestFit="1" customWidth="1"/>
    <col min="2315" max="2317" width="8.42578125" style="35" customWidth="1"/>
    <col min="2318" max="2320" width="13" style="35" customWidth="1"/>
    <col min="2321" max="2324" width="9.140625" style="35"/>
    <col min="2325" max="2325" width="8.7109375" style="35" customWidth="1"/>
    <col min="2326" max="2559" width="9.140625" style="35"/>
    <col min="2560" max="2560" width="2.7109375" style="35" customWidth="1"/>
    <col min="2561" max="2561" width="114.42578125" style="35" customWidth="1"/>
    <col min="2562" max="2562" width="0" style="35" hidden="1" customWidth="1"/>
    <col min="2563" max="2563" width="27.5703125" style="35" customWidth="1"/>
    <col min="2564" max="2564" width="20" style="35" customWidth="1"/>
    <col min="2565" max="2565" width="18.28515625" style="35" customWidth="1"/>
    <col min="2566" max="2566" width="20.140625" style="35" customWidth="1"/>
    <col min="2567" max="2567" width="10.7109375" style="35" customWidth="1"/>
    <col min="2568" max="2568" width="14.42578125" style="35" bestFit="1" customWidth="1"/>
    <col min="2569" max="2569" width="10.7109375" style="35" customWidth="1"/>
    <col min="2570" max="2570" width="12.7109375" style="35" bestFit="1" customWidth="1"/>
    <col min="2571" max="2573" width="8.42578125" style="35" customWidth="1"/>
    <col min="2574" max="2576" width="13" style="35" customWidth="1"/>
    <col min="2577" max="2580" width="9.140625" style="35"/>
    <col min="2581" max="2581" width="8.7109375" style="35" customWidth="1"/>
    <col min="2582" max="2815" width="9.140625" style="35"/>
    <col min="2816" max="2816" width="2.7109375" style="35" customWidth="1"/>
    <col min="2817" max="2817" width="114.42578125" style="35" customWidth="1"/>
    <col min="2818" max="2818" width="0" style="35" hidden="1" customWidth="1"/>
    <col min="2819" max="2819" width="27.5703125" style="35" customWidth="1"/>
    <col min="2820" max="2820" width="20" style="35" customWidth="1"/>
    <col min="2821" max="2821" width="18.28515625" style="35" customWidth="1"/>
    <col min="2822" max="2822" width="20.140625" style="35" customWidth="1"/>
    <col min="2823" max="2823" width="10.7109375" style="35" customWidth="1"/>
    <col min="2824" max="2824" width="14.42578125" style="35" bestFit="1" customWidth="1"/>
    <col min="2825" max="2825" width="10.7109375" style="35" customWidth="1"/>
    <col min="2826" max="2826" width="12.7109375" style="35" bestFit="1" customWidth="1"/>
    <col min="2827" max="2829" width="8.42578125" style="35" customWidth="1"/>
    <col min="2830" max="2832" width="13" style="35" customWidth="1"/>
    <col min="2833" max="2836" width="9.140625" style="35"/>
    <col min="2837" max="2837" width="8.7109375" style="35" customWidth="1"/>
    <col min="2838" max="3071" width="9.140625" style="35"/>
    <col min="3072" max="3072" width="2.7109375" style="35" customWidth="1"/>
    <col min="3073" max="3073" width="114.42578125" style="35" customWidth="1"/>
    <col min="3074" max="3074" width="0" style="35" hidden="1" customWidth="1"/>
    <col min="3075" max="3075" width="27.5703125" style="35" customWidth="1"/>
    <col min="3076" max="3076" width="20" style="35" customWidth="1"/>
    <col min="3077" max="3077" width="18.28515625" style="35" customWidth="1"/>
    <col min="3078" max="3078" width="20.140625" style="35" customWidth="1"/>
    <col min="3079" max="3079" width="10.7109375" style="35" customWidth="1"/>
    <col min="3080" max="3080" width="14.42578125" style="35" bestFit="1" customWidth="1"/>
    <col min="3081" max="3081" width="10.7109375" style="35" customWidth="1"/>
    <col min="3082" max="3082" width="12.7109375" style="35" bestFit="1" customWidth="1"/>
    <col min="3083" max="3085" width="8.42578125" style="35" customWidth="1"/>
    <col min="3086" max="3088" width="13" style="35" customWidth="1"/>
    <col min="3089" max="3092" width="9.140625" style="35"/>
    <col min="3093" max="3093" width="8.7109375" style="35" customWidth="1"/>
    <col min="3094" max="3327" width="9.140625" style="35"/>
    <col min="3328" max="3328" width="2.7109375" style="35" customWidth="1"/>
    <col min="3329" max="3329" width="114.42578125" style="35" customWidth="1"/>
    <col min="3330" max="3330" width="0" style="35" hidden="1" customWidth="1"/>
    <col min="3331" max="3331" width="27.5703125" style="35" customWidth="1"/>
    <col min="3332" max="3332" width="20" style="35" customWidth="1"/>
    <col min="3333" max="3333" width="18.28515625" style="35" customWidth="1"/>
    <col min="3334" max="3334" width="20.140625" style="35" customWidth="1"/>
    <col min="3335" max="3335" width="10.7109375" style="35" customWidth="1"/>
    <col min="3336" max="3336" width="14.42578125" style="35" bestFit="1" customWidth="1"/>
    <col min="3337" max="3337" width="10.7109375" style="35" customWidth="1"/>
    <col min="3338" max="3338" width="12.7109375" style="35" bestFit="1" customWidth="1"/>
    <col min="3339" max="3341" width="8.42578125" style="35" customWidth="1"/>
    <col min="3342" max="3344" width="13" style="35" customWidth="1"/>
    <col min="3345" max="3348" width="9.140625" style="35"/>
    <col min="3349" max="3349" width="8.7109375" style="35" customWidth="1"/>
    <col min="3350" max="3583" width="9.140625" style="35"/>
    <col min="3584" max="3584" width="2.7109375" style="35" customWidth="1"/>
    <col min="3585" max="3585" width="114.42578125" style="35" customWidth="1"/>
    <col min="3586" max="3586" width="0" style="35" hidden="1" customWidth="1"/>
    <col min="3587" max="3587" width="27.5703125" style="35" customWidth="1"/>
    <col min="3588" max="3588" width="20" style="35" customWidth="1"/>
    <col min="3589" max="3589" width="18.28515625" style="35" customWidth="1"/>
    <col min="3590" max="3590" width="20.140625" style="35" customWidth="1"/>
    <col min="3591" max="3591" width="10.7109375" style="35" customWidth="1"/>
    <col min="3592" max="3592" width="14.42578125" style="35" bestFit="1" customWidth="1"/>
    <col min="3593" max="3593" width="10.7109375" style="35" customWidth="1"/>
    <col min="3594" max="3594" width="12.7109375" style="35" bestFit="1" customWidth="1"/>
    <col min="3595" max="3597" width="8.42578125" style="35" customWidth="1"/>
    <col min="3598" max="3600" width="13" style="35" customWidth="1"/>
    <col min="3601" max="3604" width="9.140625" style="35"/>
    <col min="3605" max="3605" width="8.7109375" style="35" customWidth="1"/>
    <col min="3606" max="3839" width="9.140625" style="35"/>
    <col min="3840" max="3840" width="2.7109375" style="35" customWidth="1"/>
    <col min="3841" max="3841" width="114.42578125" style="35" customWidth="1"/>
    <col min="3842" max="3842" width="0" style="35" hidden="1" customWidth="1"/>
    <col min="3843" max="3843" width="27.5703125" style="35" customWidth="1"/>
    <col min="3844" max="3844" width="20" style="35" customWidth="1"/>
    <col min="3845" max="3845" width="18.28515625" style="35" customWidth="1"/>
    <col min="3846" max="3846" width="20.140625" style="35" customWidth="1"/>
    <col min="3847" max="3847" width="10.7109375" style="35" customWidth="1"/>
    <col min="3848" max="3848" width="14.42578125" style="35" bestFit="1" customWidth="1"/>
    <col min="3849" max="3849" width="10.7109375" style="35" customWidth="1"/>
    <col min="3850" max="3850" width="12.7109375" style="35" bestFit="1" customWidth="1"/>
    <col min="3851" max="3853" width="8.42578125" style="35" customWidth="1"/>
    <col min="3854" max="3856" width="13" style="35" customWidth="1"/>
    <col min="3857" max="3860" width="9.140625" style="35"/>
    <col min="3861" max="3861" width="8.7109375" style="35" customWidth="1"/>
    <col min="3862" max="4095" width="9.140625" style="35"/>
    <col min="4096" max="4096" width="2.7109375" style="35" customWidth="1"/>
    <col min="4097" max="4097" width="114.42578125" style="35" customWidth="1"/>
    <col min="4098" max="4098" width="0" style="35" hidden="1" customWidth="1"/>
    <col min="4099" max="4099" width="27.5703125" style="35" customWidth="1"/>
    <col min="4100" max="4100" width="20" style="35" customWidth="1"/>
    <col min="4101" max="4101" width="18.28515625" style="35" customWidth="1"/>
    <col min="4102" max="4102" width="20.140625" style="35" customWidth="1"/>
    <col min="4103" max="4103" width="10.7109375" style="35" customWidth="1"/>
    <col min="4104" max="4104" width="14.42578125" style="35" bestFit="1" customWidth="1"/>
    <col min="4105" max="4105" width="10.7109375" style="35" customWidth="1"/>
    <col min="4106" max="4106" width="12.7109375" style="35" bestFit="1" customWidth="1"/>
    <col min="4107" max="4109" width="8.42578125" style="35" customWidth="1"/>
    <col min="4110" max="4112" width="13" style="35" customWidth="1"/>
    <col min="4113" max="4116" width="9.140625" style="35"/>
    <col min="4117" max="4117" width="8.7109375" style="35" customWidth="1"/>
    <col min="4118" max="4351" width="9.140625" style="35"/>
    <col min="4352" max="4352" width="2.7109375" style="35" customWidth="1"/>
    <col min="4353" max="4353" width="114.42578125" style="35" customWidth="1"/>
    <col min="4354" max="4354" width="0" style="35" hidden="1" customWidth="1"/>
    <col min="4355" max="4355" width="27.5703125" style="35" customWidth="1"/>
    <col min="4356" max="4356" width="20" style="35" customWidth="1"/>
    <col min="4357" max="4357" width="18.28515625" style="35" customWidth="1"/>
    <col min="4358" max="4358" width="20.140625" style="35" customWidth="1"/>
    <col min="4359" max="4359" width="10.7109375" style="35" customWidth="1"/>
    <col min="4360" max="4360" width="14.42578125" style="35" bestFit="1" customWidth="1"/>
    <col min="4361" max="4361" width="10.7109375" style="35" customWidth="1"/>
    <col min="4362" max="4362" width="12.7109375" style="35" bestFit="1" customWidth="1"/>
    <col min="4363" max="4365" width="8.42578125" style="35" customWidth="1"/>
    <col min="4366" max="4368" width="13" style="35" customWidth="1"/>
    <col min="4369" max="4372" width="9.140625" style="35"/>
    <col min="4373" max="4373" width="8.7109375" style="35" customWidth="1"/>
    <col min="4374" max="4607" width="9.140625" style="35"/>
    <col min="4608" max="4608" width="2.7109375" style="35" customWidth="1"/>
    <col min="4609" max="4609" width="114.42578125" style="35" customWidth="1"/>
    <col min="4610" max="4610" width="0" style="35" hidden="1" customWidth="1"/>
    <col min="4611" max="4611" width="27.5703125" style="35" customWidth="1"/>
    <col min="4612" max="4612" width="20" style="35" customWidth="1"/>
    <col min="4613" max="4613" width="18.28515625" style="35" customWidth="1"/>
    <col min="4614" max="4614" width="20.140625" style="35" customWidth="1"/>
    <col min="4615" max="4615" width="10.7109375" style="35" customWidth="1"/>
    <col min="4616" max="4616" width="14.42578125" style="35" bestFit="1" customWidth="1"/>
    <col min="4617" max="4617" width="10.7109375" style="35" customWidth="1"/>
    <col min="4618" max="4618" width="12.7109375" style="35" bestFit="1" customWidth="1"/>
    <col min="4619" max="4621" width="8.42578125" style="35" customWidth="1"/>
    <col min="4622" max="4624" width="13" style="35" customWidth="1"/>
    <col min="4625" max="4628" width="9.140625" style="35"/>
    <col min="4629" max="4629" width="8.7109375" style="35" customWidth="1"/>
    <col min="4630" max="4863" width="9.140625" style="35"/>
    <col min="4864" max="4864" width="2.7109375" style="35" customWidth="1"/>
    <col min="4865" max="4865" width="114.42578125" style="35" customWidth="1"/>
    <col min="4866" max="4866" width="0" style="35" hidden="1" customWidth="1"/>
    <col min="4867" max="4867" width="27.5703125" style="35" customWidth="1"/>
    <col min="4868" max="4868" width="20" style="35" customWidth="1"/>
    <col min="4869" max="4869" width="18.28515625" style="35" customWidth="1"/>
    <col min="4870" max="4870" width="20.140625" style="35" customWidth="1"/>
    <col min="4871" max="4871" width="10.7109375" style="35" customWidth="1"/>
    <col min="4872" max="4872" width="14.42578125" style="35" bestFit="1" customWidth="1"/>
    <col min="4873" max="4873" width="10.7109375" style="35" customWidth="1"/>
    <col min="4874" max="4874" width="12.7109375" style="35" bestFit="1" customWidth="1"/>
    <col min="4875" max="4877" width="8.42578125" style="35" customWidth="1"/>
    <col min="4878" max="4880" width="13" style="35" customWidth="1"/>
    <col min="4881" max="4884" width="9.140625" style="35"/>
    <col min="4885" max="4885" width="8.7109375" style="35" customWidth="1"/>
    <col min="4886" max="5119" width="9.140625" style="35"/>
    <col min="5120" max="5120" width="2.7109375" style="35" customWidth="1"/>
    <col min="5121" max="5121" width="114.42578125" style="35" customWidth="1"/>
    <col min="5122" max="5122" width="0" style="35" hidden="1" customWidth="1"/>
    <col min="5123" max="5123" width="27.5703125" style="35" customWidth="1"/>
    <col min="5124" max="5124" width="20" style="35" customWidth="1"/>
    <col min="5125" max="5125" width="18.28515625" style="35" customWidth="1"/>
    <col min="5126" max="5126" width="20.140625" style="35" customWidth="1"/>
    <col min="5127" max="5127" width="10.7109375" style="35" customWidth="1"/>
    <col min="5128" max="5128" width="14.42578125" style="35" bestFit="1" customWidth="1"/>
    <col min="5129" max="5129" width="10.7109375" style="35" customWidth="1"/>
    <col min="5130" max="5130" width="12.7109375" style="35" bestFit="1" customWidth="1"/>
    <col min="5131" max="5133" width="8.42578125" style="35" customWidth="1"/>
    <col min="5134" max="5136" width="13" style="35" customWidth="1"/>
    <col min="5137" max="5140" width="9.140625" style="35"/>
    <col min="5141" max="5141" width="8.7109375" style="35" customWidth="1"/>
    <col min="5142" max="5375" width="9.140625" style="35"/>
    <col min="5376" max="5376" width="2.7109375" style="35" customWidth="1"/>
    <col min="5377" max="5377" width="114.42578125" style="35" customWidth="1"/>
    <col min="5378" max="5378" width="0" style="35" hidden="1" customWidth="1"/>
    <col min="5379" max="5379" width="27.5703125" style="35" customWidth="1"/>
    <col min="5380" max="5380" width="20" style="35" customWidth="1"/>
    <col min="5381" max="5381" width="18.28515625" style="35" customWidth="1"/>
    <col min="5382" max="5382" width="20.140625" style="35" customWidth="1"/>
    <col min="5383" max="5383" width="10.7109375" style="35" customWidth="1"/>
    <col min="5384" max="5384" width="14.42578125" style="35" bestFit="1" customWidth="1"/>
    <col min="5385" max="5385" width="10.7109375" style="35" customWidth="1"/>
    <col min="5386" max="5386" width="12.7109375" style="35" bestFit="1" customWidth="1"/>
    <col min="5387" max="5389" width="8.42578125" style="35" customWidth="1"/>
    <col min="5390" max="5392" width="13" style="35" customWidth="1"/>
    <col min="5393" max="5396" width="9.140625" style="35"/>
    <col min="5397" max="5397" width="8.7109375" style="35" customWidth="1"/>
    <col min="5398" max="5631" width="9.140625" style="35"/>
    <col min="5632" max="5632" width="2.7109375" style="35" customWidth="1"/>
    <col min="5633" max="5633" width="114.42578125" style="35" customWidth="1"/>
    <col min="5634" max="5634" width="0" style="35" hidden="1" customWidth="1"/>
    <col min="5635" max="5635" width="27.5703125" style="35" customWidth="1"/>
    <col min="5636" max="5636" width="20" style="35" customWidth="1"/>
    <col min="5637" max="5637" width="18.28515625" style="35" customWidth="1"/>
    <col min="5638" max="5638" width="20.140625" style="35" customWidth="1"/>
    <col min="5639" max="5639" width="10.7109375" style="35" customWidth="1"/>
    <col min="5640" max="5640" width="14.42578125" style="35" bestFit="1" customWidth="1"/>
    <col min="5641" max="5641" width="10.7109375" style="35" customWidth="1"/>
    <col min="5642" max="5642" width="12.7109375" style="35" bestFit="1" customWidth="1"/>
    <col min="5643" max="5645" width="8.42578125" style="35" customWidth="1"/>
    <col min="5646" max="5648" width="13" style="35" customWidth="1"/>
    <col min="5649" max="5652" width="9.140625" style="35"/>
    <col min="5653" max="5653" width="8.7109375" style="35" customWidth="1"/>
    <col min="5654" max="5887" width="9.140625" style="35"/>
    <col min="5888" max="5888" width="2.7109375" style="35" customWidth="1"/>
    <col min="5889" max="5889" width="114.42578125" style="35" customWidth="1"/>
    <col min="5890" max="5890" width="0" style="35" hidden="1" customWidth="1"/>
    <col min="5891" max="5891" width="27.5703125" style="35" customWidth="1"/>
    <col min="5892" max="5892" width="20" style="35" customWidth="1"/>
    <col min="5893" max="5893" width="18.28515625" style="35" customWidth="1"/>
    <col min="5894" max="5894" width="20.140625" style="35" customWidth="1"/>
    <col min="5895" max="5895" width="10.7109375" style="35" customWidth="1"/>
    <col min="5896" max="5896" width="14.42578125" style="35" bestFit="1" customWidth="1"/>
    <col min="5897" max="5897" width="10.7109375" style="35" customWidth="1"/>
    <col min="5898" max="5898" width="12.7109375" style="35" bestFit="1" customWidth="1"/>
    <col min="5899" max="5901" width="8.42578125" style="35" customWidth="1"/>
    <col min="5902" max="5904" width="13" style="35" customWidth="1"/>
    <col min="5905" max="5908" width="9.140625" style="35"/>
    <col min="5909" max="5909" width="8.7109375" style="35" customWidth="1"/>
    <col min="5910" max="6143" width="9.140625" style="35"/>
    <col min="6144" max="6144" width="2.7109375" style="35" customWidth="1"/>
    <col min="6145" max="6145" width="114.42578125" style="35" customWidth="1"/>
    <col min="6146" max="6146" width="0" style="35" hidden="1" customWidth="1"/>
    <col min="6147" max="6147" width="27.5703125" style="35" customWidth="1"/>
    <col min="6148" max="6148" width="20" style="35" customWidth="1"/>
    <col min="6149" max="6149" width="18.28515625" style="35" customWidth="1"/>
    <col min="6150" max="6150" width="20.140625" style="35" customWidth="1"/>
    <col min="6151" max="6151" width="10.7109375" style="35" customWidth="1"/>
    <col min="6152" max="6152" width="14.42578125" style="35" bestFit="1" customWidth="1"/>
    <col min="6153" max="6153" width="10.7109375" style="35" customWidth="1"/>
    <col min="6154" max="6154" width="12.7109375" style="35" bestFit="1" customWidth="1"/>
    <col min="6155" max="6157" width="8.42578125" style="35" customWidth="1"/>
    <col min="6158" max="6160" width="13" style="35" customWidth="1"/>
    <col min="6161" max="6164" width="9.140625" style="35"/>
    <col min="6165" max="6165" width="8.7109375" style="35" customWidth="1"/>
    <col min="6166" max="6399" width="9.140625" style="35"/>
    <col min="6400" max="6400" width="2.7109375" style="35" customWidth="1"/>
    <col min="6401" max="6401" width="114.42578125" style="35" customWidth="1"/>
    <col min="6402" max="6402" width="0" style="35" hidden="1" customWidth="1"/>
    <col min="6403" max="6403" width="27.5703125" style="35" customWidth="1"/>
    <col min="6404" max="6404" width="20" style="35" customWidth="1"/>
    <col min="6405" max="6405" width="18.28515625" style="35" customWidth="1"/>
    <col min="6406" max="6406" width="20.140625" style="35" customWidth="1"/>
    <col min="6407" max="6407" width="10.7109375" style="35" customWidth="1"/>
    <col min="6408" max="6408" width="14.42578125" style="35" bestFit="1" customWidth="1"/>
    <col min="6409" max="6409" width="10.7109375" style="35" customWidth="1"/>
    <col min="6410" max="6410" width="12.7109375" style="35" bestFit="1" customWidth="1"/>
    <col min="6411" max="6413" width="8.42578125" style="35" customWidth="1"/>
    <col min="6414" max="6416" width="13" style="35" customWidth="1"/>
    <col min="6417" max="6420" width="9.140625" style="35"/>
    <col min="6421" max="6421" width="8.7109375" style="35" customWidth="1"/>
    <col min="6422" max="6655" width="9.140625" style="35"/>
    <col min="6656" max="6656" width="2.7109375" style="35" customWidth="1"/>
    <col min="6657" max="6657" width="114.42578125" style="35" customWidth="1"/>
    <col min="6658" max="6658" width="0" style="35" hidden="1" customWidth="1"/>
    <col min="6659" max="6659" width="27.5703125" style="35" customWidth="1"/>
    <col min="6660" max="6660" width="20" style="35" customWidth="1"/>
    <col min="6661" max="6661" width="18.28515625" style="35" customWidth="1"/>
    <col min="6662" max="6662" width="20.140625" style="35" customWidth="1"/>
    <col min="6663" max="6663" width="10.7109375" style="35" customWidth="1"/>
    <col min="6664" max="6664" width="14.42578125" style="35" bestFit="1" customWidth="1"/>
    <col min="6665" max="6665" width="10.7109375" style="35" customWidth="1"/>
    <col min="6666" max="6666" width="12.7109375" style="35" bestFit="1" customWidth="1"/>
    <col min="6667" max="6669" width="8.42578125" style="35" customWidth="1"/>
    <col min="6670" max="6672" width="13" style="35" customWidth="1"/>
    <col min="6673" max="6676" width="9.140625" style="35"/>
    <col min="6677" max="6677" width="8.7109375" style="35" customWidth="1"/>
    <col min="6678" max="6911" width="9.140625" style="35"/>
    <col min="6912" max="6912" width="2.7109375" style="35" customWidth="1"/>
    <col min="6913" max="6913" width="114.42578125" style="35" customWidth="1"/>
    <col min="6914" max="6914" width="0" style="35" hidden="1" customWidth="1"/>
    <col min="6915" max="6915" width="27.5703125" style="35" customWidth="1"/>
    <col min="6916" max="6916" width="20" style="35" customWidth="1"/>
    <col min="6917" max="6917" width="18.28515625" style="35" customWidth="1"/>
    <col min="6918" max="6918" width="20.140625" style="35" customWidth="1"/>
    <col min="6919" max="6919" width="10.7109375" style="35" customWidth="1"/>
    <col min="6920" max="6920" width="14.42578125" style="35" bestFit="1" customWidth="1"/>
    <col min="6921" max="6921" width="10.7109375" style="35" customWidth="1"/>
    <col min="6922" max="6922" width="12.7109375" style="35" bestFit="1" customWidth="1"/>
    <col min="6923" max="6925" width="8.42578125" style="35" customWidth="1"/>
    <col min="6926" max="6928" width="13" style="35" customWidth="1"/>
    <col min="6929" max="6932" width="9.140625" style="35"/>
    <col min="6933" max="6933" width="8.7109375" style="35" customWidth="1"/>
    <col min="6934" max="7167" width="9.140625" style="35"/>
    <col min="7168" max="7168" width="2.7109375" style="35" customWidth="1"/>
    <col min="7169" max="7169" width="114.42578125" style="35" customWidth="1"/>
    <col min="7170" max="7170" width="0" style="35" hidden="1" customWidth="1"/>
    <col min="7171" max="7171" width="27.5703125" style="35" customWidth="1"/>
    <col min="7172" max="7172" width="20" style="35" customWidth="1"/>
    <col min="7173" max="7173" width="18.28515625" style="35" customWidth="1"/>
    <col min="7174" max="7174" width="20.140625" style="35" customWidth="1"/>
    <col min="7175" max="7175" width="10.7109375" style="35" customWidth="1"/>
    <col min="7176" max="7176" width="14.42578125" style="35" bestFit="1" customWidth="1"/>
    <col min="7177" max="7177" width="10.7109375" style="35" customWidth="1"/>
    <col min="7178" max="7178" width="12.7109375" style="35" bestFit="1" customWidth="1"/>
    <col min="7179" max="7181" width="8.42578125" style="35" customWidth="1"/>
    <col min="7182" max="7184" width="13" style="35" customWidth="1"/>
    <col min="7185" max="7188" width="9.140625" style="35"/>
    <col min="7189" max="7189" width="8.7109375" style="35" customWidth="1"/>
    <col min="7190" max="7423" width="9.140625" style="35"/>
    <col min="7424" max="7424" width="2.7109375" style="35" customWidth="1"/>
    <col min="7425" max="7425" width="114.42578125" style="35" customWidth="1"/>
    <col min="7426" max="7426" width="0" style="35" hidden="1" customWidth="1"/>
    <col min="7427" max="7427" width="27.5703125" style="35" customWidth="1"/>
    <col min="7428" max="7428" width="20" style="35" customWidth="1"/>
    <col min="7429" max="7429" width="18.28515625" style="35" customWidth="1"/>
    <col min="7430" max="7430" width="20.140625" style="35" customWidth="1"/>
    <col min="7431" max="7431" width="10.7109375" style="35" customWidth="1"/>
    <col min="7432" max="7432" width="14.42578125" style="35" bestFit="1" customWidth="1"/>
    <col min="7433" max="7433" width="10.7109375" style="35" customWidth="1"/>
    <col min="7434" max="7434" width="12.7109375" style="35" bestFit="1" customWidth="1"/>
    <col min="7435" max="7437" width="8.42578125" style="35" customWidth="1"/>
    <col min="7438" max="7440" width="13" style="35" customWidth="1"/>
    <col min="7441" max="7444" width="9.140625" style="35"/>
    <col min="7445" max="7445" width="8.7109375" style="35" customWidth="1"/>
    <col min="7446" max="7679" width="9.140625" style="35"/>
    <col min="7680" max="7680" width="2.7109375" style="35" customWidth="1"/>
    <col min="7681" max="7681" width="114.42578125" style="35" customWidth="1"/>
    <col min="7682" max="7682" width="0" style="35" hidden="1" customWidth="1"/>
    <col min="7683" max="7683" width="27.5703125" style="35" customWidth="1"/>
    <col min="7684" max="7684" width="20" style="35" customWidth="1"/>
    <col min="7685" max="7685" width="18.28515625" style="35" customWidth="1"/>
    <col min="7686" max="7686" width="20.140625" style="35" customWidth="1"/>
    <col min="7687" max="7687" width="10.7109375" style="35" customWidth="1"/>
    <col min="7688" max="7688" width="14.42578125" style="35" bestFit="1" customWidth="1"/>
    <col min="7689" max="7689" width="10.7109375" style="35" customWidth="1"/>
    <col min="7690" max="7690" width="12.7109375" style="35" bestFit="1" customWidth="1"/>
    <col min="7691" max="7693" width="8.42578125" style="35" customWidth="1"/>
    <col min="7694" max="7696" width="13" style="35" customWidth="1"/>
    <col min="7697" max="7700" width="9.140625" style="35"/>
    <col min="7701" max="7701" width="8.7109375" style="35" customWidth="1"/>
    <col min="7702" max="7935" width="9.140625" style="35"/>
    <col min="7936" max="7936" width="2.7109375" style="35" customWidth="1"/>
    <col min="7937" max="7937" width="114.42578125" style="35" customWidth="1"/>
    <col min="7938" max="7938" width="0" style="35" hidden="1" customWidth="1"/>
    <col min="7939" max="7939" width="27.5703125" style="35" customWidth="1"/>
    <col min="7940" max="7940" width="20" style="35" customWidth="1"/>
    <col min="7941" max="7941" width="18.28515625" style="35" customWidth="1"/>
    <col min="7942" max="7942" width="20.140625" style="35" customWidth="1"/>
    <col min="7943" max="7943" width="10.7109375" style="35" customWidth="1"/>
    <col min="7944" max="7944" width="14.42578125" style="35" bestFit="1" customWidth="1"/>
    <col min="7945" max="7945" width="10.7109375" style="35" customWidth="1"/>
    <col min="7946" max="7946" width="12.7109375" style="35" bestFit="1" customWidth="1"/>
    <col min="7947" max="7949" width="8.42578125" style="35" customWidth="1"/>
    <col min="7950" max="7952" width="13" style="35" customWidth="1"/>
    <col min="7953" max="7956" width="9.140625" style="35"/>
    <col min="7957" max="7957" width="8.7109375" style="35" customWidth="1"/>
    <col min="7958" max="8191" width="9.140625" style="35"/>
    <col min="8192" max="8192" width="2.7109375" style="35" customWidth="1"/>
    <col min="8193" max="8193" width="114.42578125" style="35" customWidth="1"/>
    <col min="8194" max="8194" width="0" style="35" hidden="1" customWidth="1"/>
    <col min="8195" max="8195" width="27.5703125" style="35" customWidth="1"/>
    <col min="8196" max="8196" width="20" style="35" customWidth="1"/>
    <col min="8197" max="8197" width="18.28515625" style="35" customWidth="1"/>
    <col min="8198" max="8198" width="20.140625" style="35" customWidth="1"/>
    <col min="8199" max="8199" width="10.7109375" style="35" customWidth="1"/>
    <col min="8200" max="8200" width="14.42578125" style="35" bestFit="1" customWidth="1"/>
    <col min="8201" max="8201" width="10.7109375" style="35" customWidth="1"/>
    <col min="8202" max="8202" width="12.7109375" style="35" bestFit="1" customWidth="1"/>
    <col min="8203" max="8205" width="8.42578125" style="35" customWidth="1"/>
    <col min="8206" max="8208" width="13" style="35" customWidth="1"/>
    <col min="8209" max="8212" width="9.140625" style="35"/>
    <col min="8213" max="8213" width="8.7109375" style="35" customWidth="1"/>
    <col min="8214" max="8447" width="9.140625" style="35"/>
    <col min="8448" max="8448" width="2.7109375" style="35" customWidth="1"/>
    <col min="8449" max="8449" width="114.42578125" style="35" customWidth="1"/>
    <col min="8450" max="8450" width="0" style="35" hidden="1" customWidth="1"/>
    <col min="8451" max="8451" width="27.5703125" style="35" customWidth="1"/>
    <col min="8452" max="8452" width="20" style="35" customWidth="1"/>
    <col min="8453" max="8453" width="18.28515625" style="35" customWidth="1"/>
    <col min="8454" max="8454" width="20.140625" style="35" customWidth="1"/>
    <col min="8455" max="8455" width="10.7109375" style="35" customWidth="1"/>
    <col min="8456" max="8456" width="14.42578125" style="35" bestFit="1" customWidth="1"/>
    <col min="8457" max="8457" width="10.7109375" style="35" customWidth="1"/>
    <col min="8458" max="8458" width="12.7109375" style="35" bestFit="1" customWidth="1"/>
    <col min="8459" max="8461" width="8.42578125" style="35" customWidth="1"/>
    <col min="8462" max="8464" width="13" style="35" customWidth="1"/>
    <col min="8465" max="8468" width="9.140625" style="35"/>
    <col min="8469" max="8469" width="8.7109375" style="35" customWidth="1"/>
    <col min="8470" max="8703" width="9.140625" style="35"/>
    <col min="8704" max="8704" width="2.7109375" style="35" customWidth="1"/>
    <col min="8705" max="8705" width="114.42578125" style="35" customWidth="1"/>
    <col min="8706" max="8706" width="0" style="35" hidden="1" customWidth="1"/>
    <col min="8707" max="8707" width="27.5703125" style="35" customWidth="1"/>
    <col min="8708" max="8708" width="20" style="35" customWidth="1"/>
    <col min="8709" max="8709" width="18.28515625" style="35" customWidth="1"/>
    <col min="8710" max="8710" width="20.140625" style="35" customWidth="1"/>
    <col min="8711" max="8711" width="10.7109375" style="35" customWidth="1"/>
    <col min="8712" max="8712" width="14.42578125" style="35" bestFit="1" customWidth="1"/>
    <col min="8713" max="8713" width="10.7109375" style="35" customWidth="1"/>
    <col min="8714" max="8714" width="12.7109375" style="35" bestFit="1" customWidth="1"/>
    <col min="8715" max="8717" width="8.42578125" style="35" customWidth="1"/>
    <col min="8718" max="8720" width="13" style="35" customWidth="1"/>
    <col min="8721" max="8724" width="9.140625" style="35"/>
    <col min="8725" max="8725" width="8.7109375" style="35" customWidth="1"/>
    <col min="8726" max="8959" width="9.140625" style="35"/>
    <col min="8960" max="8960" width="2.7109375" style="35" customWidth="1"/>
    <col min="8961" max="8961" width="114.42578125" style="35" customWidth="1"/>
    <col min="8962" max="8962" width="0" style="35" hidden="1" customWidth="1"/>
    <col min="8963" max="8963" width="27.5703125" style="35" customWidth="1"/>
    <col min="8964" max="8964" width="20" style="35" customWidth="1"/>
    <col min="8965" max="8965" width="18.28515625" style="35" customWidth="1"/>
    <col min="8966" max="8966" width="20.140625" style="35" customWidth="1"/>
    <col min="8967" max="8967" width="10.7109375" style="35" customWidth="1"/>
    <col min="8968" max="8968" width="14.42578125" style="35" bestFit="1" customWidth="1"/>
    <col min="8969" max="8969" width="10.7109375" style="35" customWidth="1"/>
    <col min="8970" max="8970" width="12.7109375" style="35" bestFit="1" customWidth="1"/>
    <col min="8971" max="8973" width="8.42578125" style="35" customWidth="1"/>
    <col min="8974" max="8976" width="13" style="35" customWidth="1"/>
    <col min="8977" max="8980" width="9.140625" style="35"/>
    <col min="8981" max="8981" width="8.7109375" style="35" customWidth="1"/>
    <col min="8982" max="9215" width="9.140625" style="35"/>
    <col min="9216" max="9216" width="2.7109375" style="35" customWidth="1"/>
    <col min="9217" max="9217" width="114.42578125" style="35" customWidth="1"/>
    <col min="9218" max="9218" width="0" style="35" hidden="1" customWidth="1"/>
    <col min="9219" max="9219" width="27.5703125" style="35" customWidth="1"/>
    <col min="9220" max="9220" width="20" style="35" customWidth="1"/>
    <col min="9221" max="9221" width="18.28515625" style="35" customWidth="1"/>
    <col min="9222" max="9222" width="20.140625" style="35" customWidth="1"/>
    <col min="9223" max="9223" width="10.7109375" style="35" customWidth="1"/>
    <col min="9224" max="9224" width="14.42578125" style="35" bestFit="1" customWidth="1"/>
    <col min="9225" max="9225" width="10.7109375" style="35" customWidth="1"/>
    <col min="9226" max="9226" width="12.7109375" style="35" bestFit="1" customWidth="1"/>
    <col min="9227" max="9229" width="8.42578125" style="35" customWidth="1"/>
    <col min="9230" max="9232" width="13" style="35" customWidth="1"/>
    <col min="9233" max="9236" width="9.140625" style="35"/>
    <col min="9237" max="9237" width="8.7109375" style="35" customWidth="1"/>
    <col min="9238" max="9471" width="9.140625" style="35"/>
    <col min="9472" max="9472" width="2.7109375" style="35" customWidth="1"/>
    <col min="9473" max="9473" width="114.42578125" style="35" customWidth="1"/>
    <col min="9474" max="9474" width="0" style="35" hidden="1" customWidth="1"/>
    <col min="9475" max="9475" width="27.5703125" style="35" customWidth="1"/>
    <col min="9476" max="9476" width="20" style="35" customWidth="1"/>
    <col min="9477" max="9477" width="18.28515625" style="35" customWidth="1"/>
    <col min="9478" max="9478" width="20.140625" style="35" customWidth="1"/>
    <col min="9479" max="9479" width="10.7109375" style="35" customWidth="1"/>
    <col min="9480" max="9480" width="14.42578125" style="35" bestFit="1" customWidth="1"/>
    <col min="9481" max="9481" width="10.7109375" style="35" customWidth="1"/>
    <col min="9482" max="9482" width="12.7109375" style="35" bestFit="1" customWidth="1"/>
    <col min="9483" max="9485" width="8.42578125" style="35" customWidth="1"/>
    <col min="9486" max="9488" width="13" style="35" customWidth="1"/>
    <col min="9489" max="9492" width="9.140625" style="35"/>
    <col min="9493" max="9493" width="8.7109375" style="35" customWidth="1"/>
    <col min="9494" max="9727" width="9.140625" style="35"/>
    <col min="9728" max="9728" width="2.7109375" style="35" customWidth="1"/>
    <col min="9729" max="9729" width="114.42578125" style="35" customWidth="1"/>
    <col min="9730" max="9730" width="0" style="35" hidden="1" customWidth="1"/>
    <col min="9731" max="9731" width="27.5703125" style="35" customWidth="1"/>
    <col min="9732" max="9732" width="20" style="35" customWidth="1"/>
    <col min="9733" max="9733" width="18.28515625" style="35" customWidth="1"/>
    <col min="9734" max="9734" width="20.140625" style="35" customWidth="1"/>
    <col min="9735" max="9735" width="10.7109375" style="35" customWidth="1"/>
    <col min="9736" max="9736" width="14.42578125" style="35" bestFit="1" customWidth="1"/>
    <col min="9737" max="9737" width="10.7109375" style="35" customWidth="1"/>
    <col min="9738" max="9738" width="12.7109375" style="35" bestFit="1" customWidth="1"/>
    <col min="9739" max="9741" width="8.42578125" style="35" customWidth="1"/>
    <col min="9742" max="9744" width="13" style="35" customWidth="1"/>
    <col min="9745" max="9748" width="9.140625" style="35"/>
    <col min="9749" max="9749" width="8.7109375" style="35" customWidth="1"/>
    <col min="9750" max="9983" width="9.140625" style="35"/>
    <col min="9984" max="9984" width="2.7109375" style="35" customWidth="1"/>
    <col min="9985" max="9985" width="114.42578125" style="35" customWidth="1"/>
    <col min="9986" max="9986" width="0" style="35" hidden="1" customWidth="1"/>
    <col min="9987" max="9987" width="27.5703125" style="35" customWidth="1"/>
    <col min="9988" max="9988" width="20" style="35" customWidth="1"/>
    <col min="9989" max="9989" width="18.28515625" style="35" customWidth="1"/>
    <col min="9990" max="9990" width="20.140625" style="35" customWidth="1"/>
    <col min="9991" max="9991" width="10.7109375" style="35" customWidth="1"/>
    <col min="9992" max="9992" width="14.42578125" style="35" bestFit="1" customWidth="1"/>
    <col min="9993" max="9993" width="10.7109375" style="35" customWidth="1"/>
    <col min="9994" max="9994" width="12.7109375" style="35" bestFit="1" customWidth="1"/>
    <col min="9995" max="9997" width="8.42578125" style="35" customWidth="1"/>
    <col min="9998" max="10000" width="13" style="35" customWidth="1"/>
    <col min="10001" max="10004" width="9.140625" style="35"/>
    <col min="10005" max="10005" width="8.7109375" style="35" customWidth="1"/>
    <col min="10006" max="10239" width="9.140625" style="35"/>
    <col min="10240" max="10240" width="2.7109375" style="35" customWidth="1"/>
    <col min="10241" max="10241" width="114.42578125" style="35" customWidth="1"/>
    <col min="10242" max="10242" width="0" style="35" hidden="1" customWidth="1"/>
    <col min="10243" max="10243" width="27.5703125" style="35" customWidth="1"/>
    <col min="10244" max="10244" width="20" style="35" customWidth="1"/>
    <col min="10245" max="10245" width="18.28515625" style="35" customWidth="1"/>
    <col min="10246" max="10246" width="20.140625" style="35" customWidth="1"/>
    <col min="10247" max="10247" width="10.7109375" style="35" customWidth="1"/>
    <col min="10248" max="10248" width="14.42578125" style="35" bestFit="1" customWidth="1"/>
    <col min="10249" max="10249" width="10.7109375" style="35" customWidth="1"/>
    <col min="10250" max="10250" width="12.7109375" style="35" bestFit="1" customWidth="1"/>
    <col min="10251" max="10253" width="8.42578125" style="35" customWidth="1"/>
    <col min="10254" max="10256" width="13" style="35" customWidth="1"/>
    <col min="10257" max="10260" width="9.140625" style="35"/>
    <col min="10261" max="10261" width="8.7109375" style="35" customWidth="1"/>
    <col min="10262" max="10495" width="9.140625" style="35"/>
    <col min="10496" max="10496" width="2.7109375" style="35" customWidth="1"/>
    <col min="10497" max="10497" width="114.42578125" style="35" customWidth="1"/>
    <col min="10498" max="10498" width="0" style="35" hidden="1" customWidth="1"/>
    <col min="10499" max="10499" width="27.5703125" style="35" customWidth="1"/>
    <col min="10500" max="10500" width="20" style="35" customWidth="1"/>
    <col min="10501" max="10501" width="18.28515625" style="35" customWidth="1"/>
    <col min="10502" max="10502" width="20.140625" style="35" customWidth="1"/>
    <col min="10503" max="10503" width="10.7109375" style="35" customWidth="1"/>
    <col min="10504" max="10504" width="14.42578125" style="35" bestFit="1" customWidth="1"/>
    <col min="10505" max="10505" width="10.7109375" style="35" customWidth="1"/>
    <col min="10506" max="10506" width="12.7109375" style="35" bestFit="1" customWidth="1"/>
    <col min="10507" max="10509" width="8.42578125" style="35" customWidth="1"/>
    <col min="10510" max="10512" width="13" style="35" customWidth="1"/>
    <col min="10513" max="10516" width="9.140625" style="35"/>
    <col min="10517" max="10517" width="8.7109375" style="35" customWidth="1"/>
    <col min="10518" max="10751" width="9.140625" style="35"/>
    <col min="10752" max="10752" width="2.7109375" style="35" customWidth="1"/>
    <col min="10753" max="10753" width="114.42578125" style="35" customWidth="1"/>
    <col min="10754" max="10754" width="0" style="35" hidden="1" customWidth="1"/>
    <col min="10755" max="10755" width="27.5703125" style="35" customWidth="1"/>
    <col min="10756" max="10756" width="20" style="35" customWidth="1"/>
    <col min="10757" max="10757" width="18.28515625" style="35" customWidth="1"/>
    <col min="10758" max="10758" width="20.140625" style="35" customWidth="1"/>
    <col min="10759" max="10759" width="10.7109375" style="35" customWidth="1"/>
    <col min="10760" max="10760" width="14.42578125" style="35" bestFit="1" customWidth="1"/>
    <col min="10761" max="10761" width="10.7109375" style="35" customWidth="1"/>
    <col min="10762" max="10762" width="12.7109375" style="35" bestFit="1" customWidth="1"/>
    <col min="10763" max="10765" width="8.42578125" style="35" customWidth="1"/>
    <col min="10766" max="10768" width="13" style="35" customWidth="1"/>
    <col min="10769" max="10772" width="9.140625" style="35"/>
    <col min="10773" max="10773" width="8.7109375" style="35" customWidth="1"/>
    <col min="10774" max="11007" width="9.140625" style="35"/>
    <col min="11008" max="11008" width="2.7109375" style="35" customWidth="1"/>
    <col min="11009" max="11009" width="114.42578125" style="35" customWidth="1"/>
    <col min="11010" max="11010" width="0" style="35" hidden="1" customWidth="1"/>
    <col min="11011" max="11011" width="27.5703125" style="35" customWidth="1"/>
    <col min="11012" max="11012" width="20" style="35" customWidth="1"/>
    <col min="11013" max="11013" width="18.28515625" style="35" customWidth="1"/>
    <col min="11014" max="11014" width="20.140625" style="35" customWidth="1"/>
    <col min="11015" max="11015" width="10.7109375" style="35" customWidth="1"/>
    <col min="11016" max="11016" width="14.42578125" style="35" bestFit="1" customWidth="1"/>
    <col min="11017" max="11017" width="10.7109375" style="35" customWidth="1"/>
    <col min="11018" max="11018" width="12.7109375" style="35" bestFit="1" customWidth="1"/>
    <col min="11019" max="11021" width="8.42578125" style="35" customWidth="1"/>
    <col min="11022" max="11024" width="13" style="35" customWidth="1"/>
    <col min="11025" max="11028" width="9.140625" style="35"/>
    <col min="11029" max="11029" width="8.7109375" style="35" customWidth="1"/>
    <col min="11030" max="11263" width="9.140625" style="35"/>
    <col min="11264" max="11264" width="2.7109375" style="35" customWidth="1"/>
    <col min="11265" max="11265" width="114.42578125" style="35" customWidth="1"/>
    <col min="11266" max="11266" width="0" style="35" hidden="1" customWidth="1"/>
    <col min="11267" max="11267" width="27.5703125" style="35" customWidth="1"/>
    <col min="11268" max="11268" width="20" style="35" customWidth="1"/>
    <col min="11269" max="11269" width="18.28515625" style="35" customWidth="1"/>
    <col min="11270" max="11270" width="20.140625" style="35" customWidth="1"/>
    <col min="11271" max="11271" width="10.7109375" style="35" customWidth="1"/>
    <col min="11272" max="11272" width="14.42578125" style="35" bestFit="1" customWidth="1"/>
    <col min="11273" max="11273" width="10.7109375" style="35" customWidth="1"/>
    <col min="11274" max="11274" width="12.7109375" style="35" bestFit="1" customWidth="1"/>
    <col min="11275" max="11277" width="8.42578125" style="35" customWidth="1"/>
    <col min="11278" max="11280" width="13" style="35" customWidth="1"/>
    <col min="11281" max="11284" width="9.140625" style="35"/>
    <col min="11285" max="11285" width="8.7109375" style="35" customWidth="1"/>
    <col min="11286" max="11519" width="9.140625" style="35"/>
    <col min="11520" max="11520" width="2.7109375" style="35" customWidth="1"/>
    <col min="11521" max="11521" width="114.42578125" style="35" customWidth="1"/>
    <col min="11522" max="11522" width="0" style="35" hidden="1" customWidth="1"/>
    <col min="11523" max="11523" width="27.5703125" style="35" customWidth="1"/>
    <col min="11524" max="11524" width="20" style="35" customWidth="1"/>
    <col min="11525" max="11525" width="18.28515625" style="35" customWidth="1"/>
    <col min="11526" max="11526" width="20.140625" style="35" customWidth="1"/>
    <col min="11527" max="11527" width="10.7109375" style="35" customWidth="1"/>
    <col min="11528" max="11528" width="14.42578125" style="35" bestFit="1" customWidth="1"/>
    <col min="11529" max="11529" width="10.7109375" style="35" customWidth="1"/>
    <col min="11530" max="11530" width="12.7109375" style="35" bestFit="1" customWidth="1"/>
    <col min="11531" max="11533" width="8.42578125" style="35" customWidth="1"/>
    <col min="11534" max="11536" width="13" style="35" customWidth="1"/>
    <col min="11537" max="11540" width="9.140625" style="35"/>
    <col min="11541" max="11541" width="8.7109375" style="35" customWidth="1"/>
    <col min="11542" max="11775" width="9.140625" style="35"/>
    <col min="11776" max="11776" width="2.7109375" style="35" customWidth="1"/>
    <col min="11777" max="11777" width="114.42578125" style="35" customWidth="1"/>
    <col min="11778" max="11778" width="0" style="35" hidden="1" customWidth="1"/>
    <col min="11779" max="11779" width="27.5703125" style="35" customWidth="1"/>
    <col min="11780" max="11780" width="20" style="35" customWidth="1"/>
    <col min="11781" max="11781" width="18.28515625" style="35" customWidth="1"/>
    <col min="11782" max="11782" width="20.140625" style="35" customWidth="1"/>
    <col min="11783" max="11783" width="10.7109375" style="35" customWidth="1"/>
    <col min="11784" max="11784" width="14.42578125" style="35" bestFit="1" customWidth="1"/>
    <col min="11785" max="11785" width="10.7109375" style="35" customWidth="1"/>
    <col min="11786" max="11786" width="12.7109375" style="35" bestFit="1" customWidth="1"/>
    <col min="11787" max="11789" width="8.42578125" style="35" customWidth="1"/>
    <col min="11790" max="11792" width="13" style="35" customWidth="1"/>
    <col min="11793" max="11796" width="9.140625" style="35"/>
    <col min="11797" max="11797" width="8.7109375" style="35" customWidth="1"/>
    <col min="11798" max="12031" width="9.140625" style="35"/>
    <col min="12032" max="12032" width="2.7109375" style="35" customWidth="1"/>
    <col min="12033" max="12033" width="114.42578125" style="35" customWidth="1"/>
    <col min="12034" max="12034" width="0" style="35" hidden="1" customWidth="1"/>
    <col min="12035" max="12035" width="27.5703125" style="35" customWidth="1"/>
    <col min="12036" max="12036" width="20" style="35" customWidth="1"/>
    <col min="12037" max="12037" width="18.28515625" style="35" customWidth="1"/>
    <col min="12038" max="12038" width="20.140625" style="35" customWidth="1"/>
    <col min="12039" max="12039" width="10.7109375" style="35" customWidth="1"/>
    <col min="12040" max="12040" width="14.42578125" style="35" bestFit="1" customWidth="1"/>
    <col min="12041" max="12041" width="10.7109375" style="35" customWidth="1"/>
    <col min="12042" max="12042" width="12.7109375" style="35" bestFit="1" customWidth="1"/>
    <col min="12043" max="12045" width="8.42578125" style="35" customWidth="1"/>
    <col min="12046" max="12048" width="13" style="35" customWidth="1"/>
    <col min="12049" max="12052" width="9.140625" style="35"/>
    <col min="12053" max="12053" width="8.7109375" style="35" customWidth="1"/>
    <col min="12054" max="12287" width="9.140625" style="35"/>
    <col min="12288" max="12288" width="2.7109375" style="35" customWidth="1"/>
    <col min="12289" max="12289" width="114.42578125" style="35" customWidth="1"/>
    <col min="12290" max="12290" width="0" style="35" hidden="1" customWidth="1"/>
    <col min="12291" max="12291" width="27.5703125" style="35" customWidth="1"/>
    <col min="12292" max="12292" width="20" style="35" customWidth="1"/>
    <col min="12293" max="12293" width="18.28515625" style="35" customWidth="1"/>
    <col min="12294" max="12294" width="20.140625" style="35" customWidth="1"/>
    <col min="12295" max="12295" width="10.7109375" style="35" customWidth="1"/>
    <col min="12296" max="12296" width="14.42578125" style="35" bestFit="1" customWidth="1"/>
    <col min="12297" max="12297" width="10.7109375" style="35" customWidth="1"/>
    <col min="12298" max="12298" width="12.7109375" style="35" bestFit="1" customWidth="1"/>
    <col min="12299" max="12301" width="8.42578125" style="35" customWidth="1"/>
    <col min="12302" max="12304" width="13" style="35" customWidth="1"/>
    <col min="12305" max="12308" width="9.140625" style="35"/>
    <col min="12309" max="12309" width="8.7109375" style="35" customWidth="1"/>
    <col min="12310" max="12543" width="9.140625" style="35"/>
    <col min="12544" max="12544" width="2.7109375" style="35" customWidth="1"/>
    <col min="12545" max="12545" width="114.42578125" style="35" customWidth="1"/>
    <col min="12546" max="12546" width="0" style="35" hidden="1" customWidth="1"/>
    <col min="12547" max="12547" width="27.5703125" style="35" customWidth="1"/>
    <col min="12548" max="12548" width="20" style="35" customWidth="1"/>
    <col min="12549" max="12549" width="18.28515625" style="35" customWidth="1"/>
    <col min="12550" max="12550" width="20.140625" style="35" customWidth="1"/>
    <col min="12551" max="12551" width="10.7109375" style="35" customWidth="1"/>
    <col min="12552" max="12552" width="14.42578125" style="35" bestFit="1" customWidth="1"/>
    <col min="12553" max="12553" width="10.7109375" style="35" customWidth="1"/>
    <col min="12554" max="12554" width="12.7109375" style="35" bestFit="1" customWidth="1"/>
    <col min="12555" max="12557" width="8.42578125" style="35" customWidth="1"/>
    <col min="12558" max="12560" width="13" style="35" customWidth="1"/>
    <col min="12561" max="12564" width="9.140625" style="35"/>
    <col min="12565" max="12565" width="8.7109375" style="35" customWidth="1"/>
    <col min="12566" max="12799" width="9.140625" style="35"/>
    <col min="12800" max="12800" width="2.7109375" style="35" customWidth="1"/>
    <col min="12801" max="12801" width="114.42578125" style="35" customWidth="1"/>
    <col min="12802" max="12802" width="0" style="35" hidden="1" customWidth="1"/>
    <col min="12803" max="12803" width="27.5703125" style="35" customWidth="1"/>
    <col min="12804" max="12804" width="20" style="35" customWidth="1"/>
    <col min="12805" max="12805" width="18.28515625" style="35" customWidth="1"/>
    <col min="12806" max="12806" width="20.140625" style="35" customWidth="1"/>
    <col min="12807" max="12807" width="10.7109375" style="35" customWidth="1"/>
    <col min="12808" max="12808" width="14.42578125" style="35" bestFit="1" customWidth="1"/>
    <col min="12809" max="12809" width="10.7109375" style="35" customWidth="1"/>
    <col min="12810" max="12810" width="12.7109375" style="35" bestFit="1" customWidth="1"/>
    <col min="12811" max="12813" width="8.42578125" style="35" customWidth="1"/>
    <col min="12814" max="12816" width="13" style="35" customWidth="1"/>
    <col min="12817" max="12820" width="9.140625" style="35"/>
    <col min="12821" max="12821" width="8.7109375" style="35" customWidth="1"/>
    <col min="12822" max="13055" width="9.140625" style="35"/>
    <col min="13056" max="13056" width="2.7109375" style="35" customWidth="1"/>
    <col min="13057" max="13057" width="114.42578125" style="35" customWidth="1"/>
    <col min="13058" max="13058" width="0" style="35" hidden="1" customWidth="1"/>
    <col min="13059" max="13059" width="27.5703125" style="35" customWidth="1"/>
    <col min="13060" max="13060" width="20" style="35" customWidth="1"/>
    <col min="13061" max="13061" width="18.28515625" style="35" customWidth="1"/>
    <col min="13062" max="13062" width="20.140625" style="35" customWidth="1"/>
    <col min="13063" max="13063" width="10.7109375" style="35" customWidth="1"/>
    <col min="13064" max="13064" width="14.42578125" style="35" bestFit="1" customWidth="1"/>
    <col min="13065" max="13065" width="10.7109375" style="35" customWidth="1"/>
    <col min="13066" max="13066" width="12.7109375" style="35" bestFit="1" customWidth="1"/>
    <col min="13067" max="13069" width="8.42578125" style="35" customWidth="1"/>
    <col min="13070" max="13072" width="13" style="35" customWidth="1"/>
    <col min="13073" max="13076" width="9.140625" style="35"/>
    <col min="13077" max="13077" width="8.7109375" style="35" customWidth="1"/>
    <col min="13078" max="13311" width="9.140625" style="35"/>
    <col min="13312" max="13312" width="2.7109375" style="35" customWidth="1"/>
    <col min="13313" max="13313" width="114.42578125" style="35" customWidth="1"/>
    <col min="13314" max="13314" width="0" style="35" hidden="1" customWidth="1"/>
    <col min="13315" max="13315" width="27.5703125" style="35" customWidth="1"/>
    <col min="13316" max="13316" width="20" style="35" customWidth="1"/>
    <col min="13317" max="13317" width="18.28515625" style="35" customWidth="1"/>
    <col min="13318" max="13318" width="20.140625" style="35" customWidth="1"/>
    <col min="13319" max="13319" width="10.7109375" style="35" customWidth="1"/>
    <col min="13320" max="13320" width="14.42578125" style="35" bestFit="1" customWidth="1"/>
    <col min="13321" max="13321" width="10.7109375" style="35" customWidth="1"/>
    <col min="13322" max="13322" width="12.7109375" style="35" bestFit="1" customWidth="1"/>
    <col min="13323" max="13325" width="8.42578125" style="35" customWidth="1"/>
    <col min="13326" max="13328" width="13" style="35" customWidth="1"/>
    <col min="13329" max="13332" width="9.140625" style="35"/>
    <col min="13333" max="13333" width="8.7109375" style="35" customWidth="1"/>
    <col min="13334" max="13567" width="9.140625" style="35"/>
    <col min="13568" max="13568" width="2.7109375" style="35" customWidth="1"/>
    <col min="13569" max="13569" width="114.42578125" style="35" customWidth="1"/>
    <col min="13570" max="13570" width="0" style="35" hidden="1" customWidth="1"/>
    <col min="13571" max="13571" width="27.5703125" style="35" customWidth="1"/>
    <col min="13572" max="13572" width="20" style="35" customWidth="1"/>
    <col min="13573" max="13573" width="18.28515625" style="35" customWidth="1"/>
    <col min="13574" max="13574" width="20.140625" style="35" customWidth="1"/>
    <col min="13575" max="13575" width="10.7109375" style="35" customWidth="1"/>
    <col min="13576" max="13576" width="14.42578125" style="35" bestFit="1" customWidth="1"/>
    <col min="13577" max="13577" width="10.7109375" style="35" customWidth="1"/>
    <col min="13578" max="13578" width="12.7109375" style="35" bestFit="1" customWidth="1"/>
    <col min="13579" max="13581" width="8.42578125" style="35" customWidth="1"/>
    <col min="13582" max="13584" width="13" style="35" customWidth="1"/>
    <col min="13585" max="13588" width="9.140625" style="35"/>
    <col min="13589" max="13589" width="8.7109375" style="35" customWidth="1"/>
    <col min="13590" max="13823" width="9.140625" style="35"/>
    <col min="13824" max="13824" width="2.7109375" style="35" customWidth="1"/>
    <col min="13825" max="13825" width="114.42578125" style="35" customWidth="1"/>
    <col min="13826" max="13826" width="0" style="35" hidden="1" customWidth="1"/>
    <col min="13827" max="13827" width="27.5703125" style="35" customWidth="1"/>
    <col min="13828" max="13828" width="20" style="35" customWidth="1"/>
    <col min="13829" max="13829" width="18.28515625" style="35" customWidth="1"/>
    <col min="13830" max="13830" width="20.140625" style="35" customWidth="1"/>
    <col min="13831" max="13831" width="10.7109375" style="35" customWidth="1"/>
    <col min="13832" max="13832" width="14.42578125" style="35" bestFit="1" customWidth="1"/>
    <col min="13833" max="13833" width="10.7109375" style="35" customWidth="1"/>
    <col min="13834" max="13834" width="12.7109375" style="35" bestFit="1" customWidth="1"/>
    <col min="13835" max="13837" width="8.42578125" style="35" customWidth="1"/>
    <col min="13838" max="13840" width="13" style="35" customWidth="1"/>
    <col min="13841" max="13844" width="9.140625" style="35"/>
    <col min="13845" max="13845" width="8.7109375" style="35" customWidth="1"/>
    <col min="13846" max="14079" width="9.140625" style="35"/>
    <col min="14080" max="14080" width="2.7109375" style="35" customWidth="1"/>
    <col min="14081" max="14081" width="114.42578125" style="35" customWidth="1"/>
    <col min="14082" max="14082" width="0" style="35" hidden="1" customWidth="1"/>
    <col min="14083" max="14083" width="27.5703125" style="35" customWidth="1"/>
    <col min="14084" max="14084" width="20" style="35" customWidth="1"/>
    <col min="14085" max="14085" width="18.28515625" style="35" customWidth="1"/>
    <col min="14086" max="14086" width="20.140625" style="35" customWidth="1"/>
    <col min="14087" max="14087" width="10.7109375" style="35" customWidth="1"/>
    <col min="14088" max="14088" width="14.42578125" style="35" bestFit="1" customWidth="1"/>
    <col min="14089" max="14089" width="10.7109375" style="35" customWidth="1"/>
    <col min="14090" max="14090" width="12.7109375" style="35" bestFit="1" customWidth="1"/>
    <col min="14091" max="14093" width="8.42578125" style="35" customWidth="1"/>
    <col min="14094" max="14096" width="13" style="35" customWidth="1"/>
    <col min="14097" max="14100" width="9.140625" style="35"/>
    <col min="14101" max="14101" width="8.7109375" style="35" customWidth="1"/>
    <col min="14102" max="14335" width="9.140625" style="35"/>
    <col min="14336" max="14336" width="2.7109375" style="35" customWidth="1"/>
    <col min="14337" max="14337" width="114.42578125" style="35" customWidth="1"/>
    <col min="14338" max="14338" width="0" style="35" hidden="1" customWidth="1"/>
    <col min="14339" max="14339" width="27.5703125" style="35" customWidth="1"/>
    <col min="14340" max="14340" width="20" style="35" customWidth="1"/>
    <col min="14341" max="14341" width="18.28515625" style="35" customWidth="1"/>
    <col min="14342" max="14342" width="20.140625" style="35" customWidth="1"/>
    <col min="14343" max="14343" width="10.7109375" style="35" customWidth="1"/>
    <col min="14344" max="14344" width="14.42578125" style="35" bestFit="1" customWidth="1"/>
    <col min="14345" max="14345" width="10.7109375" style="35" customWidth="1"/>
    <col min="14346" max="14346" width="12.7109375" style="35" bestFit="1" customWidth="1"/>
    <col min="14347" max="14349" width="8.42578125" style="35" customWidth="1"/>
    <col min="14350" max="14352" width="13" style="35" customWidth="1"/>
    <col min="14353" max="14356" width="9.140625" style="35"/>
    <col min="14357" max="14357" width="8.7109375" style="35" customWidth="1"/>
    <col min="14358" max="14591" width="9.140625" style="35"/>
    <col min="14592" max="14592" width="2.7109375" style="35" customWidth="1"/>
    <col min="14593" max="14593" width="114.42578125" style="35" customWidth="1"/>
    <col min="14594" max="14594" width="0" style="35" hidden="1" customWidth="1"/>
    <col min="14595" max="14595" width="27.5703125" style="35" customWidth="1"/>
    <col min="14596" max="14596" width="20" style="35" customWidth="1"/>
    <col min="14597" max="14597" width="18.28515625" style="35" customWidth="1"/>
    <col min="14598" max="14598" width="20.140625" style="35" customWidth="1"/>
    <col min="14599" max="14599" width="10.7109375" style="35" customWidth="1"/>
    <col min="14600" max="14600" width="14.42578125" style="35" bestFit="1" customWidth="1"/>
    <col min="14601" max="14601" width="10.7109375" style="35" customWidth="1"/>
    <col min="14602" max="14602" width="12.7109375" style="35" bestFit="1" customWidth="1"/>
    <col min="14603" max="14605" width="8.42578125" style="35" customWidth="1"/>
    <col min="14606" max="14608" width="13" style="35" customWidth="1"/>
    <col min="14609" max="14612" width="9.140625" style="35"/>
    <col min="14613" max="14613" width="8.7109375" style="35" customWidth="1"/>
    <col min="14614" max="14847" width="9.140625" style="35"/>
    <col min="14848" max="14848" width="2.7109375" style="35" customWidth="1"/>
    <col min="14849" max="14849" width="114.42578125" style="35" customWidth="1"/>
    <col min="14850" max="14850" width="0" style="35" hidden="1" customWidth="1"/>
    <col min="14851" max="14851" width="27.5703125" style="35" customWidth="1"/>
    <col min="14852" max="14852" width="20" style="35" customWidth="1"/>
    <col min="14853" max="14853" width="18.28515625" style="35" customWidth="1"/>
    <col min="14854" max="14854" width="20.140625" style="35" customWidth="1"/>
    <col min="14855" max="14855" width="10.7109375" style="35" customWidth="1"/>
    <col min="14856" max="14856" width="14.42578125" style="35" bestFit="1" customWidth="1"/>
    <col min="14857" max="14857" width="10.7109375" style="35" customWidth="1"/>
    <col min="14858" max="14858" width="12.7109375" style="35" bestFit="1" customWidth="1"/>
    <col min="14859" max="14861" width="8.42578125" style="35" customWidth="1"/>
    <col min="14862" max="14864" width="13" style="35" customWidth="1"/>
    <col min="14865" max="14868" width="9.140625" style="35"/>
    <col min="14869" max="14869" width="8.7109375" style="35" customWidth="1"/>
    <col min="14870" max="15103" width="9.140625" style="35"/>
    <col min="15104" max="15104" width="2.7109375" style="35" customWidth="1"/>
    <col min="15105" max="15105" width="114.42578125" style="35" customWidth="1"/>
    <col min="15106" max="15106" width="0" style="35" hidden="1" customWidth="1"/>
    <col min="15107" max="15107" width="27.5703125" style="35" customWidth="1"/>
    <col min="15108" max="15108" width="20" style="35" customWidth="1"/>
    <col min="15109" max="15109" width="18.28515625" style="35" customWidth="1"/>
    <col min="15110" max="15110" width="20.140625" style="35" customWidth="1"/>
    <col min="15111" max="15111" width="10.7109375" style="35" customWidth="1"/>
    <col min="15112" max="15112" width="14.42578125" style="35" bestFit="1" customWidth="1"/>
    <col min="15113" max="15113" width="10.7109375" style="35" customWidth="1"/>
    <col min="15114" max="15114" width="12.7109375" style="35" bestFit="1" customWidth="1"/>
    <col min="15115" max="15117" width="8.42578125" style="35" customWidth="1"/>
    <col min="15118" max="15120" width="13" style="35" customWidth="1"/>
    <col min="15121" max="15124" width="9.140625" style="35"/>
    <col min="15125" max="15125" width="8.7109375" style="35" customWidth="1"/>
    <col min="15126" max="15359" width="9.140625" style="35"/>
    <col min="15360" max="15360" width="2.7109375" style="35" customWidth="1"/>
    <col min="15361" max="15361" width="114.42578125" style="35" customWidth="1"/>
    <col min="15362" max="15362" width="0" style="35" hidden="1" customWidth="1"/>
    <col min="15363" max="15363" width="27.5703125" style="35" customWidth="1"/>
    <col min="15364" max="15364" width="20" style="35" customWidth="1"/>
    <col min="15365" max="15365" width="18.28515625" style="35" customWidth="1"/>
    <col min="15366" max="15366" width="20.140625" style="35" customWidth="1"/>
    <col min="15367" max="15367" width="10.7109375" style="35" customWidth="1"/>
    <col min="15368" max="15368" width="14.42578125" style="35" bestFit="1" customWidth="1"/>
    <col min="15369" max="15369" width="10.7109375" style="35" customWidth="1"/>
    <col min="15370" max="15370" width="12.7109375" style="35" bestFit="1" customWidth="1"/>
    <col min="15371" max="15373" width="8.42578125" style="35" customWidth="1"/>
    <col min="15374" max="15376" width="13" style="35" customWidth="1"/>
    <col min="15377" max="15380" width="9.140625" style="35"/>
    <col min="15381" max="15381" width="8.7109375" style="35" customWidth="1"/>
    <col min="15382" max="15615" width="9.140625" style="35"/>
    <col min="15616" max="15616" width="2.7109375" style="35" customWidth="1"/>
    <col min="15617" max="15617" width="114.42578125" style="35" customWidth="1"/>
    <col min="15618" max="15618" width="0" style="35" hidden="1" customWidth="1"/>
    <col min="15619" max="15619" width="27.5703125" style="35" customWidth="1"/>
    <col min="15620" max="15620" width="20" style="35" customWidth="1"/>
    <col min="15621" max="15621" width="18.28515625" style="35" customWidth="1"/>
    <col min="15622" max="15622" width="20.140625" style="35" customWidth="1"/>
    <col min="15623" max="15623" width="10.7109375" style="35" customWidth="1"/>
    <col min="15624" max="15624" width="14.42578125" style="35" bestFit="1" customWidth="1"/>
    <col min="15625" max="15625" width="10.7109375" style="35" customWidth="1"/>
    <col min="15626" max="15626" width="12.7109375" style="35" bestFit="1" customWidth="1"/>
    <col min="15627" max="15629" width="8.42578125" style="35" customWidth="1"/>
    <col min="15630" max="15632" width="13" style="35" customWidth="1"/>
    <col min="15633" max="15636" width="9.140625" style="35"/>
    <col min="15637" max="15637" width="8.7109375" style="35" customWidth="1"/>
    <col min="15638" max="15871" width="9.140625" style="35"/>
    <col min="15872" max="15872" width="2.7109375" style="35" customWidth="1"/>
    <col min="15873" max="15873" width="114.42578125" style="35" customWidth="1"/>
    <col min="15874" max="15874" width="0" style="35" hidden="1" customWidth="1"/>
    <col min="15875" max="15875" width="27.5703125" style="35" customWidth="1"/>
    <col min="15876" max="15876" width="20" style="35" customWidth="1"/>
    <col min="15877" max="15877" width="18.28515625" style="35" customWidth="1"/>
    <col min="15878" max="15878" width="20.140625" style="35" customWidth="1"/>
    <col min="15879" max="15879" width="10.7109375" style="35" customWidth="1"/>
    <col min="15880" max="15880" width="14.42578125" style="35" bestFit="1" customWidth="1"/>
    <col min="15881" max="15881" width="10.7109375" style="35" customWidth="1"/>
    <col min="15882" max="15882" width="12.7109375" style="35" bestFit="1" customWidth="1"/>
    <col min="15883" max="15885" width="8.42578125" style="35" customWidth="1"/>
    <col min="15886" max="15888" width="13" style="35" customWidth="1"/>
    <col min="15889" max="15892" width="9.140625" style="35"/>
    <col min="15893" max="15893" width="8.7109375" style="35" customWidth="1"/>
    <col min="15894" max="16127" width="9.140625" style="35"/>
    <col min="16128" max="16128" width="2.7109375" style="35" customWidth="1"/>
    <col min="16129" max="16129" width="114.42578125" style="35" customWidth="1"/>
    <col min="16130" max="16130" width="0" style="35" hidden="1" customWidth="1"/>
    <col min="16131" max="16131" width="27.5703125" style="35" customWidth="1"/>
    <col min="16132" max="16132" width="20" style="35" customWidth="1"/>
    <col min="16133" max="16133" width="18.28515625" style="35" customWidth="1"/>
    <col min="16134" max="16134" width="20.140625" style="35" customWidth="1"/>
    <col min="16135" max="16135" width="10.7109375" style="35" customWidth="1"/>
    <col min="16136" max="16136" width="14.42578125" style="35" bestFit="1" customWidth="1"/>
    <col min="16137" max="16137" width="10.7109375" style="35" customWidth="1"/>
    <col min="16138" max="16138" width="12.7109375" style="35" bestFit="1" customWidth="1"/>
    <col min="16139" max="16141" width="8.42578125" style="35" customWidth="1"/>
    <col min="16142" max="16144" width="13" style="35" customWidth="1"/>
    <col min="16145" max="16148" width="9.140625" style="35"/>
    <col min="16149" max="16149" width="8.7109375" style="35" customWidth="1"/>
    <col min="16150" max="16384" width="9.140625" style="35"/>
  </cols>
  <sheetData>
    <row r="2" spans="1:24" ht="15" x14ac:dyDescent="0.25">
      <c r="B2" s="63" t="str">
        <f>"Tariff Approval - "&amp;'Model update'!$C$3</f>
        <v>Tariff Approval - CitiPower</v>
      </c>
      <c r="D2" s="38"/>
      <c r="M2" s="77"/>
      <c r="N2" s="77"/>
      <c r="O2" s="77"/>
      <c r="P2" s="77"/>
      <c r="Q2" s="77"/>
      <c r="R2" s="77"/>
    </row>
    <row r="3" spans="1:24" ht="15" x14ac:dyDescent="0.25">
      <c r="B3" s="139"/>
      <c r="D3" s="38"/>
      <c r="M3" s="77"/>
      <c r="N3" s="77"/>
      <c r="O3" s="77"/>
      <c r="P3" s="77"/>
      <c r="Q3" s="77"/>
      <c r="R3" s="77"/>
    </row>
    <row r="4" spans="1:24" ht="18.75" x14ac:dyDescent="0.3">
      <c r="B4" s="140" t="s">
        <v>246</v>
      </c>
      <c r="C4" s="141"/>
      <c r="D4" s="38"/>
      <c r="M4" s="77"/>
      <c r="N4" s="77"/>
      <c r="O4" s="77"/>
      <c r="P4" s="77"/>
      <c r="Q4" s="77"/>
      <c r="R4" s="77"/>
    </row>
    <row r="5" spans="1:24" ht="15" x14ac:dyDescent="0.25">
      <c r="B5" s="39"/>
      <c r="D5" s="38"/>
      <c r="M5" s="77"/>
      <c r="N5" s="77"/>
      <c r="O5" s="77"/>
      <c r="P5" s="77"/>
      <c r="Q5" s="77"/>
      <c r="R5" s="77"/>
    </row>
    <row r="6" spans="1:24" ht="15" x14ac:dyDescent="0.25">
      <c r="B6" s="73" t="s">
        <v>220</v>
      </c>
      <c r="C6" s="93">
        <f>'Model update'!C5</f>
        <v>2019</v>
      </c>
      <c r="D6" s="38"/>
      <c r="H6" s="617">
        <f>C6-1</f>
        <v>2018</v>
      </c>
      <c r="M6" s="77"/>
      <c r="N6" s="77"/>
      <c r="O6" s="77"/>
      <c r="P6" s="77"/>
      <c r="Q6" s="77"/>
      <c r="R6" s="77"/>
    </row>
    <row r="7" spans="1:24" ht="15" x14ac:dyDescent="0.25">
      <c r="B7" s="37"/>
      <c r="C7" s="41"/>
      <c r="D7" s="38"/>
      <c r="E7" s="32"/>
      <c r="F7" s="32"/>
      <c r="G7" s="32"/>
      <c r="H7" s="32"/>
      <c r="I7" s="42"/>
      <c r="J7" s="42"/>
      <c r="K7" s="32"/>
      <c r="L7" s="32"/>
      <c r="M7" s="83"/>
      <c r="N7" s="83"/>
      <c r="O7" s="83"/>
      <c r="P7" s="83"/>
      <c r="Q7" s="83"/>
      <c r="R7" s="83"/>
      <c r="S7" s="32"/>
    </row>
    <row r="8" spans="1:24" ht="18" customHeight="1" x14ac:dyDescent="0.2">
      <c r="A8" s="43"/>
      <c r="B8" s="44" t="s">
        <v>108</v>
      </c>
      <c r="C8" s="46"/>
      <c r="D8" s="47"/>
      <c r="E8" s="47"/>
      <c r="M8" s="77"/>
      <c r="N8" s="77"/>
      <c r="O8" s="77"/>
      <c r="P8" s="77"/>
      <c r="Q8" s="77"/>
      <c r="R8" s="77"/>
    </row>
    <row r="9" spans="1:24" ht="18" customHeight="1" x14ac:dyDescent="0.2">
      <c r="A9" s="43"/>
      <c r="B9" s="48" t="s">
        <v>118</v>
      </c>
      <c r="C9" s="72">
        <f>Prop2019DistTar!CM66</f>
        <v>301246306.61228108</v>
      </c>
      <c r="D9" s="47"/>
      <c r="E9" s="36"/>
      <c r="H9" s="36"/>
      <c r="I9" s="35"/>
      <c r="J9" s="35"/>
      <c r="M9" s="77"/>
      <c r="N9" s="77"/>
      <c r="O9" s="77"/>
      <c r="P9" s="77"/>
      <c r="Q9" s="77"/>
      <c r="R9" s="77"/>
    </row>
    <row r="10" spans="1:24" ht="18" customHeight="1" x14ac:dyDescent="0.2">
      <c r="A10" s="43"/>
      <c r="B10" s="84" t="s">
        <v>119</v>
      </c>
      <c r="C10" s="85">
        <f>C18</f>
        <v>301283646.53289294</v>
      </c>
      <c r="D10" s="49"/>
      <c r="E10" s="36"/>
      <c r="H10" s="36"/>
      <c r="I10" s="35"/>
      <c r="J10" s="35"/>
      <c r="M10" s="77"/>
      <c r="N10" s="77"/>
      <c r="O10" s="77"/>
      <c r="P10" s="77"/>
      <c r="Q10" s="77"/>
      <c r="R10" s="77"/>
    </row>
    <row r="11" spans="1:24" ht="18" customHeight="1" x14ac:dyDescent="0.25">
      <c r="A11" s="43"/>
      <c r="B11" s="86"/>
      <c r="C11" s="88" t="str">
        <f>IF(C9="","",IF(C10&gt;=C9,"DUoS REVENUE CAP FORMULA COMPLIANT","DUoS REVENUE CAP FORMULA BREACHED"))</f>
        <v>DUoS REVENUE CAP FORMULA COMPLIANT</v>
      </c>
      <c r="D11" s="50"/>
      <c r="E11" s="74"/>
      <c r="F11" s="75"/>
      <c r="G11" s="75"/>
      <c r="H11" s="36"/>
      <c r="I11" s="75"/>
      <c r="J11" s="75"/>
      <c r="K11" s="75"/>
      <c r="L11" s="75"/>
      <c r="M11" s="77"/>
      <c r="N11" s="77"/>
      <c r="O11" s="77"/>
      <c r="P11" s="77"/>
      <c r="Q11" s="77"/>
      <c r="R11" s="77"/>
      <c r="V11" s="51"/>
      <c r="W11" s="51"/>
      <c r="X11" s="51"/>
    </row>
    <row r="12" spans="1:24" ht="18" customHeight="1" x14ac:dyDescent="0.25">
      <c r="A12" s="43"/>
      <c r="B12" s="50"/>
      <c r="C12" s="50"/>
      <c r="D12" s="50"/>
      <c r="E12" s="74"/>
      <c r="F12" s="75"/>
      <c r="G12" s="75"/>
      <c r="H12" s="50"/>
      <c r="I12" s="75"/>
      <c r="J12" s="75"/>
      <c r="K12" s="75"/>
      <c r="L12" s="75"/>
      <c r="M12" s="77"/>
      <c r="N12" s="77"/>
      <c r="O12" s="77"/>
      <c r="P12" s="77"/>
      <c r="Q12" s="77"/>
      <c r="R12" s="77"/>
      <c r="V12" s="51"/>
      <c r="W12" s="51"/>
      <c r="X12" s="51"/>
    </row>
    <row r="13" spans="1:24" ht="18" customHeight="1" x14ac:dyDescent="0.25">
      <c r="A13" s="43"/>
      <c r="B13" s="44" t="s">
        <v>115</v>
      </c>
      <c r="C13" s="50"/>
      <c r="D13" s="50"/>
      <c r="E13" s="74"/>
      <c r="F13" s="75"/>
      <c r="G13" s="75"/>
      <c r="H13" s="50"/>
      <c r="I13" s="75"/>
      <c r="J13" s="75"/>
      <c r="K13" s="75"/>
      <c r="L13" s="75"/>
      <c r="M13" s="77"/>
      <c r="N13" s="77"/>
      <c r="O13" s="77"/>
      <c r="P13" s="77"/>
      <c r="Q13" s="77"/>
      <c r="R13" s="77"/>
      <c r="V13" s="51"/>
      <c r="W13" s="51"/>
      <c r="X13" s="51"/>
    </row>
    <row r="14" spans="1:24" ht="18" customHeight="1" x14ac:dyDescent="0.25">
      <c r="A14" s="43"/>
      <c r="B14" s="53" t="s">
        <v>120</v>
      </c>
      <c r="C14" s="64">
        <f>C25</f>
        <v>296678137.75492048</v>
      </c>
      <c r="D14" s="50"/>
      <c r="E14" s="74"/>
      <c r="F14" s="75"/>
      <c r="G14" s="75"/>
      <c r="H14" s="64">
        <f>H25</f>
        <v>293098089.74326599</v>
      </c>
      <c r="I14" s="75"/>
      <c r="J14" s="75"/>
      <c r="K14" s="75"/>
      <c r="L14" s="75"/>
      <c r="M14" s="77"/>
      <c r="N14" s="77"/>
      <c r="O14" s="77"/>
      <c r="P14" s="77"/>
      <c r="Q14" s="77"/>
      <c r="R14" s="77"/>
      <c r="V14" s="51"/>
      <c r="W14" s="51"/>
      <c r="X14" s="51"/>
    </row>
    <row r="15" spans="1:24" ht="18" customHeight="1" x14ac:dyDescent="0.25">
      <c r="A15" s="43"/>
      <c r="B15" s="54" t="s">
        <v>117</v>
      </c>
      <c r="C15" s="159">
        <f>'Model update'!B$100</f>
        <v>43200</v>
      </c>
      <c r="D15" s="50"/>
      <c r="E15" s="74"/>
      <c r="F15" s="75"/>
      <c r="G15" s="75"/>
      <c r="H15" s="159">
        <f>INDEX('Model update'!$D$100:$H$100,1,MATCH($H$6,'Model update'!$D$93:$H$93,0))</f>
        <v>140000</v>
      </c>
      <c r="I15" s="75"/>
      <c r="J15" s="75"/>
      <c r="K15" s="75"/>
      <c r="L15" s="75"/>
      <c r="M15" s="77"/>
      <c r="N15" s="77"/>
      <c r="O15" s="77"/>
      <c r="P15" s="77"/>
      <c r="Q15" s="77"/>
      <c r="R15" s="77"/>
      <c r="V15" s="51"/>
      <c r="W15" s="51"/>
      <c r="X15" s="51"/>
    </row>
    <row r="16" spans="1:24" ht="18" customHeight="1" x14ac:dyDescent="0.25">
      <c r="A16" s="43"/>
      <c r="B16" s="54" t="s">
        <v>116</v>
      </c>
      <c r="C16" s="64">
        <f>'Model update'!B144</f>
        <v>0</v>
      </c>
      <c r="D16" s="50"/>
      <c r="E16" s="74"/>
      <c r="F16" s="75"/>
      <c r="G16" s="75"/>
      <c r="H16" s="64">
        <f>INDEX('Model update'!$D$144:$H$144,1,MATCH($H$6,'Model update'!$D$137:$H$137,0))</f>
        <v>0</v>
      </c>
      <c r="I16" s="75"/>
      <c r="J16" s="75"/>
      <c r="K16" s="75"/>
      <c r="L16" s="75"/>
      <c r="M16" s="77"/>
      <c r="N16" s="77"/>
      <c r="O16" s="77"/>
      <c r="P16" s="77"/>
      <c r="Q16" s="77"/>
      <c r="R16" s="77"/>
      <c r="V16" s="51"/>
      <c r="W16" s="51"/>
      <c r="X16" s="51"/>
    </row>
    <row r="17" spans="1:29" ht="18" customHeight="1" x14ac:dyDescent="0.25">
      <c r="A17" s="43"/>
      <c r="B17" s="54" t="s">
        <v>109</v>
      </c>
      <c r="C17" s="64">
        <f>C32</f>
        <v>4562308.7779724663</v>
      </c>
      <c r="D17" s="50"/>
      <c r="E17" s="74"/>
      <c r="F17" s="75"/>
      <c r="G17" s="75"/>
      <c r="H17" s="64">
        <f>H32</f>
        <v>120264.55583142352</v>
      </c>
      <c r="I17" s="75"/>
      <c r="J17" s="75"/>
      <c r="K17" s="75"/>
      <c r="L17" s="75"/>
      <c r="M17" s="77"/>
      <c r="N17" s="77"/>
      <c r="O17" s="77"/>
      <c r="P17" s="77"/>
      <c r="Q17" s="77"/>
      <c r="R17" s="77"/>
      <c r="V17" s="51"/>
      <c r="W17" s="51"/>
      <c r="X17" s="51"/>
    </row>
    <row r="18" spans="1:29" ht="18" customHeight="1" x14ac:dyDescent="0.25">
      <c r="A18" s="43"/>
      <c r="B18" s="48" t="s">
        <v>119</v>
      </c>
      <c r="C18" s="65">
        <f>C14+C15+C16+C17</f>
        <v>301283646.53289294</v>
      </c>
      <c r="D18" s="50"/>
      <c r="E18" s="74"/>
      <c r="F18" s="75"/>
      <c r="G18" s="75"/>
      <c r="H18" s="65">
        <f>H14+H15+H16+H17</f>
        <v>293358354.29909742</v>
      </c>
      <c r="I18" s="75"/>
      <c r="J18" s="75"/>
      <c r="K18" s="75"/>
      <c r="L18" s="75"/>
      <c r="M18" s="77"/>
      <c r="N18" s="77"/>
      <c r="O18" s="77"/>
      <c r="P18" s="77"/>
      <c r="Q18" s="77"/>
      <c r="R18" s="77"/>
      <c r="V18" s="51"/>
      <c r="W18" s="51"/>
      <c r="X18" s="51"/>
    </row>
    <row r="19" spans="1:29" ht="18" customHeight="1" x14ac:dyDescent="0.25">
      <c r="A19" s="43"/>
      <c r="B19" s="56"/>
      <c r="C19" s="91"/>
      <c r="D19" s="50"/>
      <c r="E19" s="74"/>
      <c r="F19" s="75"/>
      <c r="G19" s="75"/>
      <c r="H19" s="91"/>
      <c r="I19" s="75"/>
      <c r="J19" s="75"/>
      <c r="K19" s="75"/>
      <c r="L19" s="75"/>
      <c r="M19" s="77"/>
      <c r="N19" s="77"/>
      <c r="O19" s="77"/>
      <c r="P19" s="77"/>
      <c r="Q19" s="77"/>
      <c r="R19" s="77"/>
      <c r="V19" s="51"/>
      <c r="W19" s="51"/>
      <c r="X19" s="51"/>
    </row>
    <row r="20" spans="1:29" ht="18" customHeight="1" x14ac:dyDescent="0.25">
      <c r="A20" s="43"/>
      <c r="B20" s="44" t="s">
        <v>114</v>
      </c>
      <c r="C20" s="92"/>
      <c r="D20" s="50"/>
      <c r="E20" s="74"/>
      <c r="F20" s="75"/>
      <c r="G20" s="75"/>
      <c r="H20" s="92"/>
      <c r="I20" s="75"/>
      <c r="J20" s="75"/>
      <c r="K20" s="75"/>
      <c r="L20" s="75"/>
      <c r="M20" s="77"/>
      <c r="N20" s="77"/>
      <c r="O20" s="77"/>
      <c r="P20" s="77"/>
      <c r="Q20" s="77"/>
      <c r="R20" s="77"/>
      <c r="V20" s="51"/>
      <c r="W20" s="51"/>
      <c r="X20" s="51"/>
    </row>
    <row r="21" spans="1:29" ht="18" customHeight="1" x14ac:dyDescent="0.25">
      <c r="A21" s="43"/>
      <c r="B21" s="48" t="s">
        <v>121</v>
      </c>
      <c r="C21" s="733">
        <f>H25</f>
        <v>293098089.74326599</v>
      </c>
      <c r="D21" s="50"/>
      <c r="E21" s="74"/>
      <c r="F21" s="75"/>
      <c r="G21" s="75"/>
      <c r="H21" s="66">
        <v>282154508.43208152</v>
      </c>
      <c r="I21" s="75"/>
      <c r="J21" s="75"/>
      <c r="K21" s="75"/>
      <c r="L21" s="75"/>
      <c r="M21" s="77"/>
      <c r="N21" s="77"/>
      <c r="O21" s="77"/>
      <c r="P21" s="77"/>
      <c r="Q21" s="77"/>
      <c r="R21" s="77"/>
      <c r="V21" s="51"/>
      <c r="W21" s="51"/>
      <c r="X21" s="51"/>
    </row>
    <row r="22" spans="1:29" ht="18" customHeight="1" x14ac:dyDescent="0.25">
      <c r="A22" s="43"/>
      <c r="B22" s="53" t="s">
        <v>110</v>
      </c>
      <c r="C22" s="67">
        <f>'Model update'!C30</f>
        <v>2.0776874435411097E-2</v>
      </c>
      <c r="D22" s="50"/>
      <c r="E22" s="563"/>
      <c r="F22" s="564"/>
      <c r="G22" s="75"/>
      <c r="H22" s="67">
        <f>'Model update'!C29</f>
        <v>1.9337016574585641E-2</v>
      </c>
      <c r="I22" s="75"/>
      <c r="J22" s="75"/>
      <c r="K22" s="75"/>
      <c r="L22" s="75"/>
      <c r="M22" s="77"/>
      <c r="N22" s="77"/>
      <c r="O22" s="77"/>
      <c r="P22" s="77"/>
      <c r="Q22" s="77"/>
      <c r="R22" s="77"/>
      <c r="V22" s="51"/>
      <c r="W22" s="51"/>
      <c r="X22" s="51"/>
    </row>
    <row r="23" spans="1:29" ht="18" customHeight="1" x14ac:dyDescent="0.25">
      <c r="A23" s="43"/>
      <c r="B23" s="53" t="s">
        <v>111</v>
      </c>
      <c r="C23" s="67">
        <f>'Model update'!B60</f>
        <v>-1.2324590345473526E-3</v>
      </c>
      <c r="D23" s="50"/>
      <c r="E23" s="74"/>
      <c r="F23" s="75"/>
      <c r="G23" s="75"/>
      <c r="H23" s="67">
        <f>INDEX('Model update'!$E$60:$H$60,1,MATCH("Xt for "&amp;$H$6,'Model update'!$E$53:$H$53,0))</f>
        <v>-5.0000000000000001E-4</v>
      </c>
      <c r="I23" s="75"/>
      <c r="J23" s="75"/>
      <c r="K23" s="75"/>
      <c r="L23" s="75"/>
      <c r="M23" s="77"/>
      <c r="N23" s="77"/>
      <c r="O23" s="77"/>
      <c r="P23" s="77"/>
      <c r="Q23" s="77"/>
      <c r="R23" s="77"/>
      <c r="V23" s="51"/>
      <c r="W23" s="51"/>
      <c r="X23" s="51"/>
    </row>
    <row r="24" spans="1:29" ht="18" customHeight="1" x14ac:dyDescent="0.25">
      <c r="A24" s="43"/>
      <c r="B24" s="53" t="s">
        <v>112</v>
      </c>
      <c r="C24" s="67">
        <f>'Model update'!B111</f>
        <v>-9.6087080522934132E-3</v>
      </c>
      <c r="D24" s="50"/>
      <c r="E24" s="563"/>
      <c r="F24" s="564"/>
      <c r="G24" s="75"/>
      <c r="H24" s="67">
        <f>INDEX('Model update'!$D$111:$H$111,1,MATCH($H$6,'Model update'!$D$104:$H$104,0))</f>
        <v>1.8570526636221274E-2</v>
      </c>
      <c r="I24" s="75"/>
      <c r="J24" s="75"/>
      <c r="K24" s="75"/>
      <c r="L24" s="75"/>
      <c r="M24" s="77"/>
      <c r="N24" s="77"/>
      <c r="O24" s="77"/>
      <c r="P24" s="77"/>
      <c r="Q24" s="77"/>
      <c r="R24" s="77"/>
      <c r="V24" s="51"/>
      <c r="W24" s="51"/>
      <c r="X24" s="51"/>
    </row>
    <row r="25" spans="1:29" ht="18" customHeight="1" x14ac:dyDescent="0.25">
      <c r="A25" s="43"/>
      <c r="B25" s="53" t="s">
        <v>120</v>
      </c>
      <c r="C25" s="65">
        <f>IF(C6=2016,'Model update'!D60*(1+C24),(C21*(1+C22)*(1-C23)*(1+C24)))</f>
        <v>296678137.75492048</v>
      </c>
      <c r="D25" s="50"/>
      <c r="E25" s="74"/>
      <c r="F25" s="75"/>
      <c r="G25" s="75"/>
      <c r="H25" s="65">
        <f>IF(H6=2016,'Model update'!D60*(1+H24),(H21*(1+H22)*(1-H23)*(1+H24)))</f>
        <v>293098089.74326599</v>
      </c>
      <c r="I25" s="75"/>
      <c r="J25" s="75"/>
      <c r="K25" s="75"/>
      <c r="L25" s="75"/>
      <c r="M25" s="77"/>
      <c r="N25" s="77"/>
      <c r="O25" s="77"/>
      <c r="P25" s="77"/>
      <c r="Q25" s="77"/>
      <c r="R25" s="77"/>
      <c r="V25" s="51"/>
      <c r="W25" s="51"/>
      <c r="X25" s="51"/>
    </row>
    <row r="26" spans="1:29" ht="18" customHeight="1" x14ac:dyDescent="0.25">
      <c r="A26" s="43"/>
      <c r="B26" s="57"/>
      <c r="C26" s="68"/>
      <c r="D26" s="50"/>
      <c r="E26" s="74"/>
      <c r="F26" s="565"/>
      <c r="G26" s="75"/>
      <c r="H26" s="68"/>
      <c r="I26" s="75"/>
      <c r="J26" s="75"/>
      <c r="K26" s="75"/>
      <c r="L26" s="75"/>
      <c r="M26" s="77"/>
      <c r="N26" s="77"/>
      <c r="O26" s="77"/>
      <c r="P26" s="77"/>
      <c r="Q26" s="77"/>
      <c r="R26" s="77"/>
      <c r="V26" s="51"/>
      <c r="W26" s="51"/>
      <c r="X26" s="51"/>
    </row>
    <row r="27" spans="1:29" ht="18" customHeight="1" x14ac:dyDescent="0.25">
      <c r="A27" s="57"/>
      <c r="B27" s="58" t="s">
        <v>369</v>
      </c>
      <c r="C27" s="69"/>
      <c r="D27" s="50"/>
      <c r="E27" s="74"/>
      <c r="F27" s="75"/>
      <c r="G27" s="75"/>
      <c r="H27" s="69"/>
      <c r="I27" s="75"/>
      <c r="J27" s="75"/>
      <c r="K27" s="75"/>
      <c r="L27" s="75"/>
      <c r="M27" s="77"/>
      <c r="N27" s="77"/>
      <c r="O27" s="77"/>
      <c r="P27" s="77"/>
      <c r="Q27" s="77"/>
      <c r="R27" s="77"/>
      <c r="V27" s="51"/>
      <c r="W27" s="51"/>
      <c r="X27" s="51"/>
    </row>
    <row r="28" spans="1:29" ht="18" customHeight="1" x14ac:dyDescent="0.25">
      <c r="A28" s="43"/>
      <c r="B28" s="60" t="s">
        <v>113</v>
      </c>
      <c r="C28" s="773">
        <f>-E71*(1+E69)^0.5</f>
        <v>4476642.6181702744</v>
      </c>
      <c r="D28" s="50"/>
      <c r="E28" s="74"/>
      <c r="F28" s="75"/>
      <c r="G28" s="75"/>
      <c r="H28" s="66">
        <v>35923.137823939323</v>
      </c>
      <c r="I28" s="75"/>
      <c r="J28" s="75"/>
      <c r="K28" s="75"/>
      <c r="L28" s="75"/>
      <c r="M28" s="77"/>
      <c r="N28" s="77"/>
      <c r="O28" s="77"/>
      <c r="P28" s="77"/>
      <c r="Q28" s="77"/>
      <c r="R28" s="77"/>
      <c r="V28" s="51"/>
      <c r="W28" s="51"/>
      <c r="X28" s="51"/>
    </row>
    <row r="29" spans="1:29" ht="18" customHeight="1" x14ac:dyDescent="0.25">
      <c r="A29" s="43"/>
      <c r="B29" s="60" t="s">
        <v>123</v>
      </c>
      <c r="C29" s="70">
        <f>C38</f>
        <v>85666.159802192225</v>
      </c>
      <c r="D29" s="50"/>
      <c r="E29" s="74"/>
      <c r="F29" s="74"/>
      <c r="G29" s="74"/>
      <c r="H29" s="70">
        <f>H38</f>
        <v>84341.418007484201</v>
      </c>
      <c r="I29" s="74"/>
      <c r="J29" s="74"/>
      <c r="K29" s="75"/>
      <c r="L29" s="75"/>
      <c r="M29" s="75"/>
      <c r="N29" s="75"/>
      <c r="O29" s="75"/>
      <c r="P29" s="75"/>
      <c r="Q29" s="75"/>
      <c r="R29" s="77"/>
      <c r="AA29" s="51"/>
      <c r="AB29" s="51"/>
      <c r="AC29" s="51"/>
    </row>
    <row r="30" spans="1:29" ht="18" customHeight="1" x14ac:dyDescent="0.25">
      <c r="A30" s="43"/>
      <c r="B30" s="60" t="s">
        <v>124</v>
      </c>
      <c r="C30" s="70">
        <f>'Model update'!B122</f>
        <v>0</v>
      </c>
      <c r="D30" s="50"/>
      <c r="E30" s="74"/>
      <c r="F30" s="75"/>
      <c r="G30" s="74"/>
      <c r="H30" s="70">
        <f>INDEX('Model update'!$D$122:$H$122,1,MATCH($H$6,'Model update'!$D$115:$H$115,0))</f>
        <v>0</v>
      </c>
      <c r="I30" s="74"/>
      <c r="J30" s="74"/>
      <c r="K30" s="75"/>
      <c r="L30" s="75"/>
      <c r="M30" s="75"/>
      <c r="N30" s="75"/>
      <c r="O30" s="75"/>
      <c r="P30" s="75"/>
      <c r="Q30" s="75"/>
      <c r="R30" s="77"/>
      <c r="AA30" s="51"/>
      <c r="AB30" s="51"/>
      <c r="AC30" s="51"/>
    </row>
    <row r="31" spans="1:29" ht="18" customHeight="1" x14ac:dyDescent="0.25">
      <c r="A31" s="43"/>
      <c r="B31" s="60" t="s">
        <v>367</v>
      </c>
      <c r="C31" s="675"/>
      <c r="D31" s="50"/>
      <c r="E31" s="74"/>
      <c r="F31" s="75"/>
      <c r="G31" s="74"/>
      <c r="H31" s="747"/>
      <c r="I31" s="74"/>
      <c r="J31" s="74"/>
      <c r="K31" s="75"/>
      <c r="L31" s="75"/>
      <c r="M31" s="75"/>
      <c r="N31" s="75"/>
      <c r="O31" s="75"/>
      <c r="P31" s="75"/>
      <c r="Q31" s="75"/>
      <c r="R31" s="77"/>
      <c r="AA31" s="51"/>
      <c r="AB31" s="51"/>
      <c r="AC31" s="51"/>
    </row>
    <row r="32" spans="1:29" ht="18" customHeight="1" x14ac:dyDescent="0.25">
      <c r="A32" s="43"/>
      <c r="B32" s="59" t="s">
        <v>109</v>
      </c>
      <c r="C32" s="71">
        <f>SUM(C28:C31)</f>
        <v>4562308.7779724663</v>
      </c>
      <c r="D32" s="50"/>
      <c r="E32" s="75"/>
      <c r="F32" s="75"/>
      <c r="G32" s="75"/>
      <c r="H32" s="71">
        <f>SUM(H28:H31)</f>
        <v>120264.55583142352</v>
      </c>
      <c r="I32" s="74"/>
      <c r="J32" s="75"/>
      <c r="K32" s="75"/>
      <c r="L32" s="75"/>
      <c r="M32" s="75"/>
      <c r="N32" s="75"/>
      <c r="O32" s="75"/>
      <c r="P32" s="75"/>
      <c r="Q32" s="77"/>
      <c r="R32" s="77"/>
      <c r="Z32" s="51"/>
      <c r="AA32" s="51"/>
      <c r="AB32" s="51"/>
    </row>
    <row r="33" spans="1:28" ht="18" customHeight="1" x14ac:dyDescent="0.25">
      <c r="A33" s="43"/>
      <c r="B33" s="44"/>
      <c r="C33" s="92"/>
      <c r="D33" s="50"/>
      <c r="E33" s="75"/>
      <c r="F33" s="75"/>
      <c r="G33" s="75"/>
      <c r="H33" s="92"/>
      <c r="I33" s="74"/>
      <c r="J33" s="75"/>
      <c r="K33" s="75"/>
      <c r="L33" s="75"/>
      <c r="M33" s="75"/>
      <c r="N33" s="75"/>
      <c r="O33" s="75"/>
      <c r="P33" s="75"/>
      <c r="Q33" s="77"/>
      <c r="R33" s="77"/>
      <c r="Z33" s="51"/>
      <c r="AA33" s="51"/>
      <c r="AB33" s="51"/>
    </row>
    <row r="34" spans="1:28" ht="15" x14ac:dyDescent="0.25">
      <c r="A34" s="61"/>
      <c r="B34" s="58" t="s">
        <v>370</v>
      </c>
      <c r="C34" s="62"/>
      <c r="D34" s="61"/>
      <c r="E34" s="76"/>
      <c r="F34" s="76"/>
      <c r="G34" s="76"/>
      <c r="H34" s="62"/>
      <c r="I34" s="76"/>
      <c r="J34" s="76"/>
      <c r="K34" s="76"/>
      <c r="L34" s="76"/>
      <c r="M34" s="76"/>
      <c r="N34" s="76"/>
      <c r="O34" s="76"/>
      <c r="P34" s="76"/>
      <c r="Q34" s="76"/>
      <c r="R34" s="77"/>
    </row>
    <row r="35" spans="1:28" x14ac:dyDescent="0.2">
      <c r="A35" s="61"/>
      <c r="B35" s="78" t="s">
        <v>125</v>
      </c>
      <c r="C35" s="159">
        <f>'Model update'!B133</f>
        <v>78912</v>
      </c>
      <c r="D35" s="61"/>
      <c r="E35" s="76"/>
      <c r="F35" s="76"/>
      <c r="G35" s="76"/>
      <c r="H35" s="159">
        <f>INDEX('Model update'!$D$133:$H$133,1,MATCH($H$6,'Model update'!$D$126:$H$126,0))</f>
        <v>78091</v>
      </c>
      <c r="I35" s="76"/>
      <c r="J35" s="76"/>
      <c r="K35" s="76"/>
      <c r="L35" s="76"/>
      <c r="M35" s="76"/>
      <c r="N35" s="76"/>
      <c r="O35" s="76"/>
      <c r="P35" s="76"/>
      <c r="Q35" s="76"/>
      <c r="R35" s="77"/>
    </row>
    <row r="36" spans="1:28" x14ac:dyDescent="0.2">
      <c r="A36" s="35"/>
      <c r="B36" s="79" t="s">
        <v>374</v>
      </c>
      <c r="C36" s="80">
        <f>(1+'Model update'!$B$43)*(1+'Model update'!$C$30)-1</f>
        <v>5.6586211801394226E-2</v>
      </c>
      <c r="E36" s="77"/>
      <c r="F36" s="77"/>
      <c r="G36" s="77"/>
      <c r="H36" s="80">
        <f>(1+'Model update'!$B$45)*(1+'Model update'!$C$29)-1</f>
        <v>5.5656482586260436E-2</v>
      </c>
      <c r="I36" s="77"/>
      <c r="J36" s="77"/>
      <c r="K36" s="77"/>
      <c r="L36" s="77"/>
      <c r="M36" s="77"/>
      <c r="N36" s="77"/>
      <c r="O36" s="77"/>
      <c r="P36" s="77"/>
      <c r="Q36" s="77"/>
      <c r="R36" s="77"/>
    </row>
    <row r="37" spans="1:28" x14ac:dyDescent="0.2">
      <c r="A37" s="35"/>
      <c r="B37" s="79" t="s">
        <v>126</v>
      </c>
      <c r="C37" s="80">
        <f>(1+'Model update'!$B$45)*(1+'Model update'!$C$29)-1</f>
        <v>5.5656482586260436E-2</v>
      </c>
      <c r="H37" s="80">
        <f>(1+'Model update'!$B$47)*(1+'Model update'!$C$28)-1</f>
        <v>4.6729804402760422E-2</v>
      </c>
      <c r="I37" s="35"/>
      <c r="J37" s="35"/>
      <c r="M37" s="77"/>
      <c r="N37" s="77"/>
      <c r="O37" s="77"/>
      <c r="P37" s="77"/>
      <c r="Q37" s="77"/>
      <c r="R37" s="77"/>
    </row>
    <row r="38" spans="1:28" ht="15" x14ac:dyDescent="0.25">
      <c r="B38" s="81" t="s">
        <v>123</v>
      </c>
      <c r="C38" s="82">
        <f>C35*(1+C36)*(1+C37)^0.5</f>
        <v>85666.159802192225</v>
      </c>
      <c r="H38" s="82">
        <f>H35*(1+H36)*(1+H37)^0.5</f>
        <v>84341.418007484201</v>
      </c>
      <c r="M38" s="77"/>
      <c r="N38" s="77"/>
      <c r="O38" s="77"/>
      <c r="P38" s="77"/>
      <c r="Q38" s="77"/>
      <c r="R38" s="77"/>
    </row>
    <row r="42" spans="1:28" ht="15.75" x14ac:dyDescent="0.25">
      <c r="B42" s="105" t="s">
        <v>371</v>
      </c>
    </row>
    <row r="43" spans="1:28" ht="15" x14ac:dyDescent="0.25">
      <c r="B43" s="97"/>
      <c r="C43" s="110" t="s">
        <v>219</v>
      </c>
      <c r="D43" s="110" t="s">
        <v>486</v>
      </c>
      <c r="E43" s="110" t="s">
        <v>35</v>
      </c>
    </row>
    <row r="44" spans="1:28" ht="15" x14ac:dyDescent="0.25">
      <c r="B44" s="98"/>
      <c r="C44" s="111" t="s">
        <v>34</v>
      </c>
      <c r="D44" s="111" t="s">
        <v>395</v>
      </c>
      <c r="E44" s="111" t="s">
        <v>36</v>
      </c>
    </row>
    <row r="45" spans="1:28" ht="15" x14ac:dyDescent="0.25">
      <c r="B45" s="98"/>
      <c r="C45" s="112">
        <f>D45-1</f>
        <v>2017</v>
      </c>
      <c r="D45" s="112">
        <f>E45-1</f>
        <v>2018</v>
      </c>
      <c r="E45" s="112">
        <f>C$6</f>
        <v>2019</v>
      </c>
    </row>
    <row r="46" spans="1:28" x14ac:dyDescent="0.2">
      <c r="B46" s="98"/>
      <c r="C46" s="96"/>
      <c r="D46" s="96"/>
      <c r="E46" s="108"/>
    </row>
    <row r="47" spans="1:28" ht="15" x14ac:dyDescent="0.25">
      <c r="B47" s="613" t="s">
        <v>212</v>
      </c>
      <c r="C47" s="725">
        <v>278537163</v>
      </c>
      <c r="D47" s="605">
        <f>Est2018DistRev!BQ66</f>
        <v>293358386.96368277</v>
      </c>
      <c r="E47" s="95">
        <f>C9</f>
        <v>301246306.61228108</v>
      </c>
    </row>
    <row r="48" spans="1:28" x14ac:dyDescent="0.2">
      <c r="B48" s="99"/>
      <c r="C48" s="96"/>
      <c r="D48" s="96"/>
      <c r="E48" s="107"/>
    </row>
    <row r="49" spans="1:10" x14ac:dyDescent="0.2">
      <c r="A49" s="35"/>
      <c r="B49" s="99"/>
      <c r="C49" s="96"/>
      <c r="D49" s="96"/>
      <c r="E49" s="107"/>
      <c r="I49" s="35"/>
      <c r="J49" s="35"/>
    </row>
    <row r="50" spans="1:10" ht="15" x14ac:dyDescent="0.25">
      <c r="A50" s="35"/>
      <c r="B50" s="100" t="s">
        <v>256</v>
      </c>
      <c r="C50" s="95">
        <f>SUM(C51:C54)</f>
        <v>282608527.46258098</v>
      </c>
      <c r="D50" s="95">
        <f>SUM(D51:D54)</f>
        <v>293322431.16127348</v>
      </c>
      <c r="E50" s="95">
        <f>SUM(E51:E54)</f>
        <v>296807003.91472268</v>
      </c>
      <c r="I50" s="35"/>
      <c r="J50" s="35"/>
    </row>
    <row r="51" spans="1:10" x14ac:dyDescent="0.2">
      <c r="A51" s="35"/>
      <c r="B51" s="101" t="s">
        <v>213</v>
      </c>
      <c r="C51" s="144">
        <f>H21</f>
        <v>282154508.43208152</v>
      </c>
      <c r="D51" s="144">
        <f>C21</f>
        <v>293098089.74326599</v>
      </c>
      <c r="E51" s="107">
        <f>C14</f>
        <v>296678137.75492048</v>
      </c>
      <c r="I51" s="35"/>
      <c r="J51" s="35"/>
    </row>
    <row r="52" spans="1:10" x14ac:dyDescent="0.2">
      <c r="A52" s="35"/>
      <c r="B52" s="101" t="s">
        <v>214</v>
      </c>
      <c r="C52" s="144">
        <f>INDEX('Model update'!$D$100:$H$100,1,MATCH($C$45,'Model update'!$D$93:$H$93,0))</f>
        <v>410000</v>
      </c>
      <c r="D52" s="144">
        <f>H15</f>
        <v>140000</v>
      </c>
      <c r="E52" s="107">
        <f>C15</f>
        <v>43200</v>
      </c>
      <c r="I52" s="35"/>
      <c r="J52" s="35"/>
    </row>
    <row r="53" spans="1:10" x14ac:dyDescent="0.2">
      <c r="A53" s="35"/>
      <c r="B53" s="101" t="s">
        <v>215</v>
      </c>
      <c r="C53" s="680">
        <f>INDEX('Model update'!$D$144:$H$144,1,MATCH($C$45,'Model update'!$D$137:$H$137,0))</f>
        <v>0</v>
      </c>
      <c r="D53" s="144">
        <f>H16</f>
        <v>0</v>
      </c>
      <c r="E53" s="107">
        <f>C16</f>
        <v>0</v>
      </c>
      <c r="I53" s="35"/>
      <c r="J53" s="35"/>
    </row>
    <row r="54" spans="1:10" x14ac:dyDescent="0.2">
      <c r="A54" s="35"/>
      <c r="B54" s="101" t="s">
        <v>216</v>
      </c>
      <c r="C54" s="556">
        <f>SUM(C55:C57)</f>
        <v>44019.0304994752</v>
      </c>
      <c r="D54" s="94">
        <f>SUM(D55:D57)</f>
        <v>84341.418007484201</v>
      </c>
      <c r="E54" s="94">
        <f>SUM(E55:E57)</f>
        <v>85666.159802192225</v>
      </c>
      <c r="I54" s="35"/>
      <c r="J54" s="35"/>
    </row>
    <row r="55" spans="1:10" x14ac:dyDescent="0.2">
      <c r="A55" s="35"/>
      <c r="B55" s="677" t="s">
        <v>217</v>
      </c>
      <c r="C55" s="726">
        <v>43444.541035977469</v>
      </c>
      <c r="D55" s="678">
        <f>H29</f>
        <v>84341.418007484201</v>
      </c>
      <c r="E55" s="107">
        <f>C29</f>
        <v>85666.159802192225</v>
      </c>
      <c r="I55" s="35"/>
      <c r="J55" s="35"/>
    </row>
    <row r="56" spans="1:10" x14ac:dyDescent="0.2">
      <c r="A56" s="35"/>
      <c r="B56" s="677" t="s">
        <v>218</v>
      </c>
      <c r="C56" s="144">
        <f>INDEX('Model update'!$D$122:$H$122,1,MATCH($C$45,'Model update'!$D$115:$H$115,0))</f>
        <v>0</v>
      </c>
      <c r="D56" s="678">
        <f t="shared" ref="D56" si="0">H30</f>
        <v>0</v>
      </c>
      <c r="E56" s="107">
        <f>C30</f>
        <v>0</v>
      </c>
      <c r="I56" s="35"/>
      <c r="J56" s="35"/>
    </row>
    <row r="57" spans="1:10" x14ac:dyDescent="0.2">
      <c r="A57" s="35"/>
      <c r="B57" s="677" t="s">
        <v>368</v>
      </c>
      <c r="C57" s="727">
        <v>574.48946349772928</v>
      </c>
      <c r="D57" s="679">
        <f>H31</f>
        <v>0</v>
      </c>
      <c r="E57" s="676"/>
      <c r="I57" s="35"/>
      <c r="J57" s="35"/>
    </row>
    <row r="58" spans="1:10" ht="15" x14ac:dyDescent="0.25">
      <c r="A58" s="35"/>
      <c r="B58" s="103"/>
      <c r="C58" s="96"/>
      <c r="D58" s="96"/>
      <c r="E58" s="107"/>
      <c r="I58" s="35"/>
      <c r="J58" s="35"/>
    </row>
    <row r="59" spans="1:10" x14ac:dyDescent="0.2">
      <c r="A59" s="35"/>
      <c r="B59" s="104"/>
      <c r="C59" s="96"/>
      <c r="D59" s="96"/>
      <c r="E59" s="107"/>
      <c r="I59" s="35"/>
      <c r="J59" s="35"/>
    </row>
    <row r="60" spans="1:10" ht="15" x14ac:dyDescent="0.25">
      <c r="A60" s="35"/>
      <c r="B60" s="614" t="s">
        <v>45</v>
      </c>
      <c r="C60" s="95">
        <f>C47-C50</f>
        <v>-4071364.4625809789</v>
      </c>
      <c r="D60" s="95">
        <f>D47-D50</f>
        <v>35955.802409291267</v>
      </c>
      <c r="E60" s="95">
        <f>E47-E50</f>
        <v>4439302.697558403</v>
      </c>
      <c r="I60" s="35"/>
      <c r="J60" s="35"/>
    </row>
    <row r="61" spans="1:10" x14ac:dyDescent="0.2">
      <c r="A61" s="35"/>
      <c r="B61" s="40"/>
      <c r="I61" s="35"/>
      <c r="J61" s="35"/>
    </row>
    <row r="62" spans="1:10" x14ac:dyDescent="0.2">
      <c r="A62" s="35"/>
      <c r="B62" s="40"/>
      <c r="I62" s="35"/>
      <c r="J62" s="35"/>
    </row>
    <row r="63" spans="1:10" x14ac:dyDescent="0.2">
      <c r="A63" s="35"/>
      <c r="B63" s="40"/>
      <c r="I63" s="35"/>
      <c r="J63" s="35"/>
    </row>
    <row r="64" spans="1:10" ht="15.75" x14ac:dyDescent="0.25">
      <c r="A64" s="35"/>
      <c r="B64" s="105" t="s">
        <v>223</v>
      </c>
      <c r="I64" s="35"/>
      <c r="J64" s="35"/>
    </row>
    <row r="65" spans="1:10" ht="15" x14ac:dyDescent="0.25">
      <c r="A65" s="35"/>
      <c r="B65" s="615"/>
      <c r="C65" s="110" t="s">
        <v>219</v>
      </c>
      <c r="D65" s="110" t="s">
        <v>486</v>
      </c>
      <c r="E65" s="110" t="s">
        <v>35</v>
      </c>
      <c r="I65" s="35"/>
      <c r="J65" s="35"/>
    </row>
    <row r="66" spans="1:10" ht="15" x14ac:dyDescent="0.25">
      <c r="A66" s="35"/>
      <c r="B66" s="104"/>
      <c r="C66" s="111" t="s">
        <v>34</v>
      </c>
      <c r="D66" s="111" t="s">
        <v>395</v>
      </c>
      <c r="E66" s="111" t="s">
        <v>36</v>
      </c>
      <c r="I66" s="35"/>
      <c r="J66" s="35"/>
    </row>
    <row r="67" spans="1:10" ht="15" x14ac:dyDescent="0.25">
      <c r="A67" s="35"/>
      <c r="B67" s="616" t="s">
        <v>221</v>
      </c>
      <c r="C67" s="112">
        <f>D67-1</f>
        <v>2017</v>
      </c>
      <c r="D67" s="112">
        <f>E67-1</f>
        <v>2018</v>
      </c>
      <c r="E67" s="112">
        <f>C$6</f>
        <v>2019</v>
      </c>
      <c r="I67" s="35"/>
      <c r="J67" s="35"/>
    </row>
    <row r="68" spans="1:10" x14ac:dyDescent="0.2">
      <c r="A68" s="35"/>
      <c r="B68" s="104"/>
      <c r="C68" s="106"/>
      <c r="D68" s="106"/>
      <c r="E68" s="108"/>
      <c r="I68" s="35"/>
      <c r="J68" s="35"/>
    </row>
    <row r="69" spans="1:10" x14ac:dyDescent="0.2">
      <c r="A69" s="35"/>
      <c r="B69" s="104" t="s">
        <v>487</v>
      </c>
      <c r="C69" s="606">
        <f>(1+'Model update'!$B$47)*(1+'Model update'!$C$28)-1</f>
        <v>4.6729804402760422E-2</v>
      </c>
      <c r="D69" s="106">
        <f>(1+'Model update'!$B$45)*(1+'Model update'!$C$29)-1</f>
        <v>5.5656482586260436E-2</v>
      </c>
      <c r="E69" s="607">
        <f>(1+'Model update'!$B$43)*(1+'Model update'!$C$30)-1</f>
        <v>5.6586211801394226E-2</v>
      </c>
      <c r="I69" s="35"/>
      <c r="J69" s="35"/>
    </row>
    <row r="70" spans="1:10" x14ac:dyDescent="0.2">
      <c r="A70" s="35"/>
      <c r="B70" s="104"/>
      <c r="C70" s="96"/>
      <c r="D70" s="96"/>
      <c r="E70" s="108"/>
      <c r="I70" s="35"/>
      <c r="J70" s="35"/>
    </row>
    <row r="71" spans="1:10" x14ac:dyDescent="0.2">
      <c r="A71" s="35"/>
      <c r="B71" s="114" t="s">
        <v>47</v>
      </c>
      <c r="C71" s="728">
        <v>4684.3006030036786</v>
      </c>
      <c r="D71" s="674">
        <f>C75</f>
        <v>-4160502.2125339503</v>
      </c>
      <c r="E71" s="107">
        <f>D75</f>
        <v>-4355118.2901462205</v>
      </c>
      <c r="I71" s="35"/>
      <c r="J71" s="35"/>
    </row>
    <row r="72" spans="1:10" x14ac:dyDescent="0.2">
      <c r="A72" s="35"/>
      <c r="B72" s="104" t="s">
        <v>488</v>
      </c>
      <c r="C72" s="144">
        <f>C71*C69</f>
        <v>218.89645094209459</v>
      </c>
      <c r="D72" s="144">
        <f>D71*D69</f>
        <v>-231558.91894199382</v>
      </c>
      <c r="E72" s="144">
        <f>E71*E69</f>
        <v>-246439.64598633989</v>
      </c>
      <c r="I72" s="35"/>
      <c r="J72" s="35"/>
    </row>
    <row r="73" spans="1:10" x14ac:dyDescent="0.2">
      <c r="A73" s="35"/>
      <c r="B73" s="104" t="s">
        <v>48</v>
      </c>
      <c r="C73" s="107">
        <f>C60</f>
        <v>-4071364.4625809789</v>
      </c>
      <c r="D73" s="107">
        <f>D60</f>
        <v>35955.802409291267</v>
      </c>
      <c r="E73" s="107">
        <f>E60</f>
        <v>4439302.697558403</v>
      </c>
      <c r="I73" s="35"/>
      <c r="J73" s="35"/>
    </row>
    <row r="74" spans="1:10" x14ac:dyDescent="0.2">
      <c r="A74" s="35"/>
      <c r="B74" s="104" t="s">
        <v>412</v>
      </c>
      <c r="C74" s="144">
        <f>C73*((1+C69)^0.5-1)</f>
        <v>-94040.947006917209</v>
      </c>
      <c r="D74" s="144">
        <f>D73*((1+D69)^0.5-1)</f>
        <v>987.03892043263966</v>
      </c>
      <c r="E74" s="144">
        <f>E73*((1+E69)^0.5-1)</f>
        <v>123873.39247174404</v>
      </c>
      <c r="I74" s="35"/>
      <c r="J74" s="35"/>
    </row>
    <row r="75" spans="1:10" ht="15" x14ac:dyDescent="0.25">
      <c r="A75" s="35"/>
      <c r="B75" s="614" t="s">
        <v>222</v>
      </c>
      <c r="C75" s="95">
        <f>SUM(C71:C74)</f>
        <v>-4160502.2125339503</v>
      </c>
      <c r="D75" s="95">
        <f t="shared" ref="D75:E75" si="1">SUM(D71:D74)</f>
        <v>-4355118.2901462205</v>
      </c>
      <c r="E75" s="95">
        <f t="shared" si="1"/>
        <v>-38381.84610241343</v>
      </c>
      <c r="G75" s="754"/>
      <c r="I75" s="35"/>
      <c r="J75" s="35"/>
    </row>
    <row r="76" spans="1:10" x14ac:dyDescent="0.2">
      <c r="A76" s="35"/>
      <c r="I76" s="35"/>
      <c r="J76" s="35"/>
    </row>
    <row r="77" spans="1:10" x14ac:dyDescent="0.2">
      <c r="A77" s="35"/>
      <c r="B77" s="673" t="s">
        <v>500</v>
      </c>
      <c r="I77" s="35"/>
      <c r="J77" s="35"/>
    </row>
    <row r="78" spans="1:10" x14ac:dyDescent="0.2">
      <c r="A78" s="35"/>
      <c r="I78" s="35"/>
      <c r="J78" s="35"/>
    </row>
  </sheetData>
  <conditionalFormatting sqref="C29:C30">
    <cfRule type="cellIs" dxfId="14" priority="13" stopIfTrue="1" operator="equal">
      <formula>"YES"</formula>
    </cfRule>
    <cfRule type="cellIs" dxfId="13" priority="14" stopIfTrue="1" operator="equal">
      <formula>"NO"</formula>
    </cfRule>
  </conditionalFormatting>
  <conditionalFormatting sqref="H29:H30">
    <cfRule type="cellIs" dxfId="12" priority="5" stopIfTrue="1" operator="equal">
      <formula>"YES"</formula>
    </cfRule>
    <cfRule type="cellIs" dxfId="11" priority="6" stopIfTrue="1" operator="equal">
      <formula>"NO"</formula>
    </cfRule>
  </conditionalFormatting>
  <conditionalFormatting sqref="C28">
    <cfRule type="cellIs" dxfId="10" priority="1" stopIfTrue="1" operator="equal">
      <formula>"YES"</formula>
    </cfRule>
    <cfRule type="cellIs" dxfId="9" priority="2" stopIfTrue="1" operator="equal">
      <formula>"NO"</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13"/>
    <pageSetUpPr autoPageBreaks="0"/>
  </sheetPr>
  <dimension ref="A1:DL138"/>
  <sheetViews>
    <sheetView zoomScale="80" zoomScaleNormal="80" zoomScaleSheetLayoutView="85" workbookViewId="0"/>
  </sheetViews>
  <sheetFormatPr defaultRowHeight="12.75" x14ac:dyDescent="0.2"/>
  <cols>
    <col min="1" max="1" width="11.5703125" style="196" customWidth="1"/>
    <col min="2" max="2" width="35.85546875" style="324" customWidth="1"/>
    <col min="3" max="3" width="25" style="324" customWidth="1"/>
    <col min="4" max="5" width="37.140625" style="324" customWidth="1"/>
    <col min="6" max="6" width="18.42578125" style="324" customWidth="1"/>
    <col min="7" max="7" width="11.7109375" style="324" customWidth="1"/>
    <col min="8" max="8" width="7.7109375" style="324" customWidth="1"/>
    <col min="9" max="9" width="17" style="324" customWidth="1"/>
    <col min="10" max="10" width="13.85546875" style="324" customWidth="1"/>
    <col min="11" max="11" width="12.5703125" style="324" customWidth="1"/>
    <col min="12" max="13" width="10" style="324" bestFit="1" customWidth="1"/>
    <col min="14" max="14" width="9.7109375" style="324" customWidth="1"/>
    <col min="15" max="15" width="10.85546875" style="324" customWidth="1"/>
    <col min="16" max="16" width="11" style="324" customWidth="1"/>
    <col min="17" max="18" width="10.7109375" style="324" bestFit="1" customWidth="1"/>
    <col min="19" max="19" width="11.28515625" style="324" customWidth="1"/>
    <col min="20" max="22" width="10.5703125" style="324" customWidth="1"/>
    <col min="23" max="23" width="11.140625" style="324" customWidth="1"/>
    <col min="24" max="25" width="10.5703125" style="324" customWidth="1"/>
    <col min="26" max="26" width="18.28515625" style="324" customWidth="1"/>
    <col min="27" max="27" width="1.85546875" style="324" customWidth="1"/>
    <col min="28" max="28" width="14.42578125" style="324" customWidth="1"/>
    <col min="29" max="32" width="12" style="324" customWidth="1"/>
    <col min="33" max="36" width="10.5703125" style="324" customWidth="1"/>
    <col min="37" max="37" width="11.85546875" style="324" customWidth="1"/>
    <col min="38" max="40" width="10.5703125" style="324" customWidth="1"/>
    <col min="41" max="41" width="11.28515625" style="324" bestFit="1" customWidth="1"/>
    <col min="42" max="44" width="10.5703125" style="324" customWidth="1"/>
    <col min="45" max="45" width="11.28515625" style="324" bestFit="1" customWidth="1"/>
    <col min="46" max="48" width="10.5703125" style="324" customWidth="1"/>
    <col min="49" max="49" width="1.85546875" style="324" customWidth="1"/>
    <col min="50" max="50" width="15.7109375" style="324" bestFit="1" customWidth="1"/>
    <col min="51" max="51" width="19.140625" style="324" bestFit="1" customWidth="1"/>
    <col min="52" max="52" width="17.85546875" style="324" bestFit="1" customWidth="1"/>
    <col min="53" max="53" width="15.7109375" style="324" customWidth="1"/>
    <col min="54" max="54" width="17.85546875" style="324" bestFit="1" customWidth="1"/>
    <col min="55" max="55" width="19.140625" style="324" bestFit="1" customWidth="1"/>
    <col min="56" max="57" width="17.85546875" style="324" bestFit="1" customWidth="1"/>
    <col min="58" max="58" width="10" style="324" bestFit="1" customWidth="1"/>
    <col min="59" max="60" width="15.7109375" style="324" bestFit="1" customWidth="1"/>
    <col min="61" max="62" width="10.7109375" style="324" bestFit="1" customWidth="1"/>
    <col min="63" max="65" width="15.7109375" style="324" bestFit="1" customWidth="1"/>
    <col min="66" max="66" width="9.140625" style="324"/>
    <col min="67" max="67" width="14.5703125" style="324" customWidth="1"/>
    <col min="68" max="69" width="14.85546875" style="324" bestFit="1" customWidth="1"/>
    <col min="70" max="70" width="10.7109375" style="324" customWidth="1"/>
    <col min="71" max="71" width="1.85546875" style="324" customWidth="1"/>
    <col min="72" max="72" width="14.42578125" style="324" bestFit="1" customWidth="1"/>
    <col min="73" max="74" width="15.7109375" style="324" bestFit="1" customWidth="1"/>
    <col min="75" max="79" width="14.42578125" style="324" bestFit="1" customWidth="1"/>
    <col min="80" max="80" width="9.85546875" style="324" bestFit="1" customWidth="1"/>
    <col min="81" max="82" width="14.42578125" style="324" bestFit="1" customWidth="1"/>
    <col min="83" max="84" width="10.5703125" style="324" bestFit="1" customWidth="1"/>
    <col min="85" max="86" width="14.42578125" style="324" bestFit="1" customWidth="1"/>
    <col min="87" max="87" width="13.140625" style="324" bestFit="1" customWidth="1"/>
    <col min="88" max="88" width="9.140625" style="324"/>
    <col min="89" max="89" width="13.5703125" style="324" customWidth="1"/>
    <col min="90" max="90" width="13.85546875" style="324" customWidth="1"/>
    <col min="91" max="91" width="12.7109375" style="324" customWidth="1"/>
    <col min="92" max="92" width="10.5703125" style="324" customWidth="1"/>
    <col min="93" max="93" width="15.7109375" style="324" bestFit="1" customWidth="1"/>
    <col min="94" max="94" width="1.85546875" style="324" customWidth="1"/>
    <col min="95" max="95" width="14.42578125" style="324" customWidth="1"/>
    <col min="96" max="96" width="15.7109375" style="324" bestFit="1" customWidth="1"/>
    <col min="97" max="102" width="14.42578125" style="324" bestFit="1" customWidth="1"/>
    <col min="103" max="103" width="10" style="324" bestFit="1" customWidth="1"/>
    <col min="104" max="105" width="14.42578125" style="324" bestFit="1" customWidth="1"/>
    <col min="106" max="107" width="10.5703125" style="324" bestFit="1" customWidth="1"/>
    <col min="108" max="110" width="14.42578125" style="324" bestFit="1" customWidth="1"/>
    <col min="111" max="111" width="9.140625" style="324"/>
    <col min="112" max="114" width="13.5703125" style="324" customWidth="1"/>
    <col min="115" max="115" width="10.5703125" style="324" customWidth="1"/>
    <col min="116" max="116" width="15.7109375" style="324" bestFit="1" customWidth="1"/>
    <col min="117" max="16384" width="9.140625" style="324"/>
  </cols>
  <sheetData>
    <row r="1" spans="2:4" ht="15" x14ac:dyDescent="0.25">
      <c r="B1" s="322" t="str">
        <f>"Tariff Approval - "&amp;'Model update'!C3</f>
        <v>Tariff Approval - CitiPower</v>
      </c>
    </row>
    <row r="3" spans="2:4" x14ac:dyDescent="0.2">
      <c r="B3" s="146" t="str">
        <f>'Model update'!C5&amp;" DISTRIBUTION TARIFF REBALANCING CONTROL"</f>
        <v>2019 DISTRIBUTION TARIFF REBALANCING CONTROL</v>
      </c>
    </row>
    <row r="4" spans="2:4" ht="6" customHeight="1" thickBot="1" x14ac:dyDescent="0.25">
      <c r="B4" s="146"/>
    </row>
    <row r="5" spans="2:4" ht="6" customHeight="1" x14ac:dyDescent="0.2">
      <c r="B5" s="325"/>
      <c r="C5" s="326"/>
      <c r="D5" s="327"/>
    </row>
    <row r="6" spans="2:4" x14ac:dyDescent="0.2">
      <c r="B6" s="328" t="s">
        <v>182</v>
      </c>
      <c r="C6" s="195"/>
      <c r="D6" s="329"/>
    </row>
    <row r="7" spans="2:4" ht="6" customHeight="1" x14ac:dyDescent="0.2">
      <c r="B7" s="330"/>
      <c r="C7" s="195"/>
      <c r="D7" s="329"/>
    </row>
    <row r="8" spans="2:4" x14ac:dyDescent="0.2">
      <c r="B8" s="330" t="str">
        <f>"CPI "&amp;'Model update'!$C$5</f>
        <v>CPI 2019</v>
      </c>
      <c r="C8" s="331">
        <f>'2019DistRevCapForm'!C22</f>
        <v>2.0776874435411097E-2</v>
      </c>
      <c r="D8" s="329"/>
    </row>
    <row r="9" spans="2:4" x14ac:dyDescent="0.2">
      <c r="B9" s="330" t="str">
        <f>"X "&amp; 'Model update'!$C$5</f>
        <v>X 2019</v>
      </c>
      <c r="C9" s="147">
        <f>MIN('2019DistRevCapForm'!C23,0)</f>
        <v>-1.2324590345473526E-3</v>
      </c>
      <c r="D9" s="329"/>
    </row>
    <row r="10" spans="2:4" x14ac:dyDescent="0.2">
      <c r="B10" s="330" t="str">
        <f>"St "&amp;'Model update'!$C$5</f>
        <v>St 2019</v>
      </c>
      <c r="C10" s="147">
        <f>'2019DistRevCapForm'!C24</f>
        <v>-9.6087080522934132E-3</v>
      </c>
      <c r="D10" s="329"/>
    </row>
    <row r="11" spans="2:4" x14ac:dyDescent="0.2">
      <c r="B11" s="330" t="str">
        <f>"It "&amp;'Model update'!$C$5</f>
        <v>It 2019</v>
      </c>
      <c r="C11" s="147">
        <f>('2019DistRevCapForm'!C15-'2019DistRevCapForm'!H15)/Prop2019DistTar!DJ$66</f>
        <v>-3.2978399900696921E-4</v>
      </c>
      <c r="D11" s="329"/>
    </row>
    <row r="12" spans="2:4" x14ac:dyDescent="0.2">
      <c r="B12" s="330" t="str">
        <f>"Tt "&amp;'Model update'!$C$5</f>
        <v>Tt 2019</v>
      </c>
      <c r="C12" s="147">
        <f>('2019DistRevCapForm'!C16-'2019DistRevCapForm'!H16)/Prop2019DistTar!DJ$66</f>
        <v>0</v>
      </c>
      <c r="D12" s="329"/>
    </row>
    <row r="13" spans="2:4" x14ac:dyDescent="0.2">
      <c r="B13" s="330" t="str">
        <f>"Bt "&amp;'Model update'!$C$5</f>
        <v>Bt 2019</v>
      </c>
      <c r="C13" s="148">
        <f>('2019DistRevCapForm'!C17-'2019DistRevCapForm'!H17)/Prop2019DistTar!DJ$66</f>
        <v>1.5133420530407797E-2</v>
      </c>
      <c r="D13" s="329"/>
    </row>
    <row r="14" spans="2:4" ht="6" customHeight="1" x14ac:dyDescent="0.2">
      <c r="B14" s="330"/>
      <c r="C14" s="195"/>
      <c r="D14" s="329"/>
    </row>
    <row r="15" spans="2:4" ht="6" customHeight="1" x14ac:dyDescent="0.2">
      <c r="B15" s="330"/>
      <c r="C15" s="195"/>
      <c r="D15" s="329"/>
    </row>
    <row r="16" spans="2:4" x14ac:dyDescent="0.2">
      <c r="B16" s="332"/>
      <c r="C16" s="333">
        <f>(1+C8)*(1-C9)*(1+0.02)*(1+C10)+SUM(C11:C13)</f>
        <v>1.0472624313842984</v>
      </c>
      <c r="D16" s="329"/>
    </row>
    <row r="17" spans="1:9" ht="6" customHeight="1" thickBot="1" x14ac:dyDescent="0.25">
      <c r="B17" s="334"/>
      <c r="C17" s="335"/>
      <c r="D17" s="336"/>
    </row>
    <row r="18" spans="1:9" ht="6" customHeight="1" thickBot="1" x14ac:dyDescent="0.25">
      <c r="B18" s="337"/>
      <c r="C18" s="337"/>
      <c r="D18" s="337"/>
    </row>
    <row r="19" spans="1:9" s="600" customFormat="1" x14ac:dyDescent="0.2">
      <c r="A19" s="596"/>
      <c r="B19" s="597"/>
      <c r="C19" s="598"/>
      <c r="D19" s="598"/>
      <c r="E19" s="598"/>
      <c r="F19" s="599"/>
    </row>
    <row r="20" spans="1:9" s="600" customFormat="1" x14ac:dyDescent="0.2">
      <c r="A20" s="596"/>
      <c r="B20" s="601" t="s">
        <v>183</v>
      </c>
      <c r="C20" s="602" t="str">
        <f>"Pt-1*(Qt " &amp;'Model update'!$C$5&amp;")"</f>
        <v>Pt-1*(Qt 2019)</v>
      </c>
      <c r="D20" s="602" t="str">
        <f>"Pt*(Qt " &amp;'Model update'!$C$5&amp;")"</f>
        <v>Pt*(Qt 2019)</v>
      </c>
      <c r="E20" s="603"/>
      <c r="F20" s="604"/>
    </row>
    <row r="21" spans="1:9" x14ac:dyDescent="0.2">
      <c r="B21" s="338" t="s">
        <v>184</v>
      </c>
      <c r="C21" s="339" t="s">
        <v>185</v>
      </c>
      <c r="D21" s="339" t="s">
        <v>186</v>
      </c>
      <c r="E21" s="339" t="s">
        <v>187</v>
      </c>
      <c r="F21" s="340"/>
    </row>
    <row r="22" spans="1:9" ht="12.75" customHeight="1" x14ac:dyDescent="0.2">
      <c r="B22" s="341" t="s">
        <v>188</v>
      </c>
      <c r="C22" s="342">
        <f t="shared" ref="C22:C33" si="0">IF(B22="","",SUMIF($B$39:$B$98,$B22,$I$39:$I$98))</f>
        <v>82149904.568206564</v>
      </c>
      <c r="D22" s="342">
        <f>IF(B22="","",SUMIF($B$39:$B$98,$B22,$F$39:$F$98))</f>
        <v>85024984.474960193</v>
      </c>
      <c r="E22" s="331">
        <f t="shared" ref="E22:E33" si="1">IF(B22="","",D22/C22)</f>
        <v>1.0349979701360035</v>
      </c>
      <c r="F22" s="340" t="str">
        <f>IF(B22="","",IF(E22&lt;$C$16,"COMPLIANT","BREACHED"))</f>
        <v>COMPLIANT</v>
      </c>
      <c r="I22" s="748"/>
    </row>
    <row r="23" spans="1:9" ht="12.75" customHeight="1" x14ac:dyDescent="0.2">
      <c r="B23" s="343" t="s">
        <v>189</v>
      </c>
      <c r="C23" s="344">
        <f t="shared" si="0"/>
        <v>100935427.56833683</v>
      </c>
      <c r="D23" s="344">
        <f>IF(B23="","",SUMIF($B$39:$B$98,$B23,$F$39:$F$98))</f>
        <v>103443948.84953012</v>
      </c>
      <c r="E23" s="147">
        <f t="shared" si="1"/>
        <v>1.0248527334913693</v>
      </c>
      <c r="F23" s="340" t="str">
        <f t="shared" ref="F23:F33" si="2">IF(B23="","",IF(E23&lt;$C$16,"COMPLIANT","BREACHED"))</f>
        <v>COMPLIANT</v>
      </c>
      <c r="I23" s="748"/>
    </row>
    <row r="24" spans="1:9" x14ac:dyDescent="0.2">
      <c r="B24" s="343" t="s">
        <v>190</v>
      </c>
      <c r="C24" s="344">
        <f t="shared" si="0"/>
        <v>94273886.117790252</v>
      </c>
      <c r="D24" s="344">
        <f>IF(B24="","",SUMIF($B$39:$B$98,$B24,$F$39:$F$98))</f>
        <v>95927873.908090711</v>
      </c>
      <c r="E24" s="147">
        <f t="shared" si="1"/>
        <v>1.0175444957072617</v>
      </c>
      <c r="F24" s="340" t="str">
        <f t="shared" si="2"/>
        <v>COMPLIANT</v>
      </c>
      <c r="I24" s="748"/>
    </row>
    <row r="25" spans="1:9" x14ac:dyDescent="0.2">
      <c r="B25" s="343" t="s">
        <v>191</v>
      </c>
      <c r="C25" s="344">
        <f t="shared" si="0"/>
        <v>15194191.956569266</v>
      </c>
      <c r="D25" s="344">
        <f>IF(B25="","",SUMIF($B$39:$B$98,$B25,$F$39:$F$98))</f>
        <v>15853622.287910599</v>
      </c>
      <c r="E25" s="147">
        <f t="shared" si="1"/>
        <v>1.0434001579831447</v>
      </c>
      <c r="F25" s="340" t="str">
        <f t="shared" si="2"/>
        <v>COMPLIANT</v>
      </c>
      <c r="I25" s="748"/>
    </row>
    <row r="26" spans="1:9" x14ac:dyDescent="0.2">
      <c r="B26" s="343" t="s">
        <v>192</v>
      </c>
      <c r="C26" s="344">
        <f t="shared" si="0"/>
        <v>972049.76132081612</v>
      </c>
      <c r="D26" s="344">
        <f>IF(B26="","",SUMIF($B$39:$B$98,$B26,$F$39:$F$98))</f>
        <v>995877.09178948996</v>
      </c>
      <c r="E26" s="147">
        <f t="shared" si="1"/>
        <v>1.0245124595641044</v>
      </c>
      <c r="F26" s="340" t="str">
        <f t="shared" si="2"/>
        <v>COMPLIANT</v>
      </c>
      <c r="I26" s="748"/>
    </row>
    <row r="27" spans="1:9" x14ac:dyDescent="0.2">
      <c r="B27" s="345"/>
      <c r="C27" s="344" t="str">
        <f t="shared" si="0"/>
        <v/>
      </c>
      <c r="D27" s="344" t="str">
        <f t="shared" ref="D27:D33" si="3">IF(B27="","",SUMIF($B$39:$B$98,$B27,$CO$39:$CO$98))</f>
        <v/>
      </c>
      <c r="E27" s="147" t="str">
        <f t="shared" si="1"/>
        <v/>
      </c>
      <c r="F27" s="340" t="str">
        <f t="shared" si="2"/>
        <v/>
      </c>
    </row>
    <row r="28" spans="1:9" x14ac:dyDescent="0.2">
      <c r="B28" s="345"/>
      <c r="C28" s="344" t="str">
        <f t="shared" si="0"/>
        <v/>
      </c>
      <c r="D28" s="344" t="str">
        <f t="shared" si="3"/>
        <v/>
      </c>
      <c r="E28" s="147" t="str">
        <f t="shared" si="1"/>
        <v/>
      </c>
      <c r="F28" s="340" t="str">
        <f t="shared" si="2"/>
        <v/>
      </c>
    </row>
    <row r="29" spans="1:9" x14ac:dyDescent="0.2">
      <c r="B29" s="345"/>
      <c r="C29" s="344" t="str">
        <f t="shared" si="0"/>
        <v/>
      </c>
      <c r="D29" s="344" t="str">
        <f t="shared" si="3"/>
        <v/>
      </c>
      <c r="E29" s="147" t="str">
        <f t="shared" si="1"/>
        <v/>
      </c>
      <c r="F29" s="340" t="str">
        <f t="shared" si="2"/>
        <v/>
      </c>
    </row>
    <row r="30" spans="1:9" x14ac:dyDescent="0.2">
      <c r="B30" s="345"/>
      <c r="C30" s="344" t="str">
        <f t="shared" si="0"/>
        <v/>
      </c>
      <c r="D30" s="344" t="str">
        <f t="shared" si="3"/>
        <v/>
      </c>
      <c r="E30" s="147" t="str">
        <f t="shared" si="1"/>
        <v/>
      </c>
      <c r="F30" s="340" t="str">
        <f t="shared" si="2"/>
        <v/>
      </c>
    </row>
    <row r="31" spans="1:9" x14ac:dyDescent="0.2">
      <c r="B31" s="345"/>
      <c r="C31" s="344" t="str">
        <f t="shared" si="0"/>
        <v/>
      </c>
      <c r="D31" s="344" t="str">
        <f t="shared" si="3"/>
        <v/>
      </c>
      <c r="E31" s="147" t="str">
        <f t="shared" si="1"/>
        <v/>
      </c>
      <c r="F31" s="340" t="str">
        <f t="shared" si="2"/>
        <v/>
      </c>
    </row>
    <row r="32" spans="1:9" x14ac:dyDescent="0.2">
      <c r="B32" s="345"/>
      <c r="C32" s="344" t="str">
        <f t="shared" si="0"/>
        <v/>
      </c>
      <c r="D32" s="344" t="str">
        <f t="shared" si="3"/>
        <v/>
      </c>
      <c r="E32" s="147" t="str">
        <f t="shared" si="1"/>
        <v/>
      </c>
      <c r="F32" s="340" t="str">
        <f t="shared" si="2"/>
        <v/>
      </c>
    </row>
    <row r="33" spans="1:15" ht="13.5" thickBot="1" x14ac:dyDescent="0.25">
      <c r="B33" s="392"/>
      <c r="C33" s="347" t="str">
        <f t="shared" si="0"/>
        <v/>
      </c>
      <c r="D33" s="347" t="str">
        <f t="shared" si="3"/>
        <v/>
      </c>
      <c r="E33" s="348" t="str">
        <f t="shared" si="1"/>
        <v/>
      </c>
      <c r="F33" s="349" t="str">
        <f t="shared" si="2"/>
        <v/>
      </c>
    </row>
    <row r="34" spans="1:15" x14ac:dyDescent="0.2">
      <c r="B34" s="350" t="s">
        <v>193</v>
      </c>
      <c r="C34" s="351" t="str">
        <f>IF(ABS(SUM(C22:C33)-I99)&lt;0.01,"Ok","Error")</f>
        <v>Ok</v>
      </c>
      <c r="D34" s="352" t="str">
        <f>IF(ABS(SUM(D22:D33)-F99)&lt;0.01,"Ok","Error")</f>
        <v>Ok</v>
      </c>
      <c r="E34" s="146"/>
    </row>
    <row r="35" spans="1:15" x14ac:dyDescent="0.2">
      <c r="B35" s="353"/>
      <c r="C35" s="354" t="str">
        <f>IF(ABS(SUM(C22:C33)-Prop2019DistTar!DJ66)&lt;0.01,"Ok","Error")</f>
        <v>Ok</v>
      </c>
      <c r="D35" s="354" t="str">
        <f>IF(ABS(SUM(D22:D33)-Prop2019DistTar!CM66)&lt;0.01,"Ok","Error")</f>
        <v>Ok</v>
      </c>
      <c r="E35" s="146"/>
    </row>
    <row r="36" spans="1:15" x14ac:dyDescent="0.2">
      <c r="B36" s="355"/>
      <c r="C36" s="355"/>
      <c r="D36" s="355"/>
      <c r="E36" s="355"/>
    </row>
    <row r="37" spans="1:15" ht="13.5" thickBot="1" x14ac:dyDescent="0.25">
      <c r="F37" s="356" t="str">
        <f>"Revenue (Pt "&amp;'Model update'!$C$5&amp;")*(Qt " &amp;'Model update'!$C$5&amp;")"</f>
        <v>Revenue (Pt 2019)*(Qt 2019)</v>
      </c>
      <c r="G37" s="323"/>
      <c r="I37" s="587" t="str">
        <f>"Revenue (Pt-1 "&amp;'Model update'!$C$8&amp;")*(Qt " &amp;'Model update'!$C$5&amp;")"</f>
        <v>Revenue (Pt-1 2018)*(Qt 2019)</v>
      </c>
      <c r="J37" s="588"/>
      <c r="O37" s="357"/>
    </row>
    <row r="38" spans="1:15" ht="30" customHeight="1" thickBot="1" x14ac:dyDescent="0.25">
      <c r="A38" s="358" t="s">
        <v>194</v>
      </c>
      <c r="B38" s="359" t="s">
        <v>195</v>
      </c>
      <c r="C38" s="359" t="s">
        <v>196</v>
      </c>
      <c r="D38" s="359" t="s">
        <v>128</v>
      </c>
      <c r="E38" s="360" t="s">
        <v>129</v>
      </c>
      <c r="F38" s="594" t="s">
        <v>152</v>
      </c>
      <c r="I38" s="594" t="s">
        <v>160</v>
      </c>
    </row>
    <row r="39" spans="1:15" x14ac:dyDescent="0.2">
      <c r="A39" s="361" t="b">
        <f t="array" ref="A39">OR(EXACT(D39,Prop2019DistTar!C$6:C$65))</f>
        <v>1</v>
      </c>
      <c r="B39" s="345"/>
      <c r="C39" s="345"/>
      <c r="D39" s="362" t="str">
        <f>IF(Prop2019DistTar!B6="","",Prop2019DistTar!B6)</f>
        <v/>
      </c>
      <c r="E39" s="330" t="str">
        <f>IF(Prop2019DistTar!C6="","",Prop2019DistTar!C6)</f>
        <v/>
      </c>
      <c r="F39" s="593">
        <f>Prop2019DistTar!CM6</f>
        <v>0</v>
      </c>
      <c r="I39" s="590">
        <f>Prop2019DistTar!DJ6</f>
        <v>0</v>
      </c>
    </row>
    <row r="40" spans="1:15" x14ac:dyDescent="0.2">
      <c r="A40" s="361" t="b">
        <f t="array" ref="A40">OR(EXACT(D40,Prop2019DistTar!C$6:C$65))</f>
        <v>1</v>
      </c>
      <c r="B40" s="595" t="s">
        <v>188</v>
      </c>
      <c r="C40" s="595" t="s">
        <v>188</v>
      </c>
      <c r="D40" s="362" t="str">
        <f>IF(Prop2019DistTar!B7="","",Prop2019DistTar!B7)</f>
        <v>Residential Single Rate</v>
      </c>
      <c r="E40" s="330" t="str">
        <f>IF(Prop2019DistTar!C7="","",Prop2019DistTar!C7)</f>
        <v>Residential Single Rate</v>
      </c>
      <c r="F40" s="592">
        <f>Prop2019DistTar!CM7</f>
        <v>58756069.144349366</v>
      </c>
      <c r="I40" s="590">
        <f>Prop2019DistTar!DJ7</f>
        <v>56791603.624036141</v>
      </c>
    </row>
    <row r="41" spans="1:15" x14ac:dyDescent="0.2">
      <c r="A41" s="361" t="b">
        <f t="array" ref="A41">OR(EXACT(D41,Prop2019DistTar!C$6:C$65))</f>
        <v>1</v>
      </c>
      <c r="B41" s="595" t="s">
        <v>188</v>
      </c>
      <c r="C41" s="595" t="s">
        <v>188</v>
      </c>
      <c r="D41" s="362" t="str">
        <f>IF(Prop2019DistTar!B8="","",Prop2019DistTar!B8)</f>
        <v>Residential Single Rate - Bulk</v>
      </c>
      <c r="E41" s="330" t="str">
        <f>IF(Prop2019DistTar!C8="","",Prop2019DistTar!C8)</f>
        <v>Residential Single Rate - Bulk</v>
      </c>
      <c r="F41" s="592">
        <f>Prop2019DistTar!CM8</f>
        <v>7101097.591746497</v>
      </c>
      <c r="I41" s="590">
        <f>Prop2019DistTar!DJ8</f>
        <v>6573024.8262808016</v>
      </c>
    </row>
    <row r="42" spans="1:15" x14ac:dyDescent="0.2">
      <c r="A42" s="361" t="b">
        <f t="array" ref="A42">OR(EXACT(D42,Prop2019DistTar!C$6:C$65))</f>
        <v>1</v>
      </c>
      <c r="B42" s="595" t="s">
        <v>188</v>
      </c>
      <c r="C42" s="595" t="s">
        <v>188</v>
      </c>
      <c r="D42" s="362" t="str">
        <f>IF(Prop2019DistTar!B9="","",Prop2019DistTar!B9)</f>
        <v>Residential - flexible pricing</v>
      </c>
      <c r="E42" s="330" t="str">
        <f>IF(Prop2019DistTar!C9="","",Prop2019DistTar!C9)</f>
        <v>Residential - flexible pricing</v>
      </c>
      <c r="F42" s="592">
        <f>Prop2019DistTar!CM9</f>
        <v>349097.5598077788</v>
      </c>
      <c r="I42" s="590">
        <f>Prop2019DistTar!DJ9</f>
        <v>349984.27879053791</v>
      </c>
    </row>
    <row r="43" spans="1:15" x14ac:dyDescent="0.2">
      <c r="A43" s="361" t="b">
        <f t="array" ref="A43">OR(EXACT(D43,Prop2019DistTar!C$6:C$65))</f>
        <v>1</v>
      </c>
      <c r="B43" s="595" t="s">
        <v>188</v>
      </c>
      <c r="C43" s="595" t="s">
        <v>188</v>
      </c>
      <c r="D43" s="362" t="str">
        <f>IF(Prop2019DistTar!B10="","",Prop2019DistTar!B10)</f>
        <v>Residential - flexible pricing bulk</v>
      </c>
      <c r="E43" s="330" t="str">
        <f>IF(Prop2019DistTar!C10="","",Prop2019DistTar!C10)</f>
        <v>Residential - flexible pricing bulk</v>
      </c>
      <c r="F43" s="592">
        <f>Prop2019DistTar!CM10</f>
        <v>25799.442512894548</v>
      </c>
      <c r="I43" s="590">
        <f>Prop2019DistTar!DJ10</f>
        <v>24318.296147705529</v>
      </c>
    </row>
    <row r="44" spans="1:15" x14ac:dyDescent="0.2">
      <c r="A44" s="361" t="b">
        <f t="array" ref="A44">OR(EXACT(D44,Prop2019DistTar!C$6:C$65))</f>
        <v>1</v>
      </c>
      <c r="B44" s="595" t="s">
        <v>188</v>
      </c>
      <c r="C44" s="595" t="s">
        <v>188</v>
      </c>
      <c r="D44" s="362" t="str">
        <f>IF(Prop2019DistTar!B11="","",Prop2019DistTar!B11)</f>
        <v>Residential Two Rate 5d</v>
      </c>
      <c r="E44" s="330" t="str">
        <f>IF(Prop2019DistTar!C11="","",Prop2019DistTar!C11)</f>
        <v>Residential Two Rate 5d</v>
      </c>
      <c r="F44" s="592">
        <f>Prop2019DistTar!CM11</f>
        <v>5074774.6566617787</v>
      </c>
      <c r="I44" s="590">
        <f>Prop2019DistTar!DJ11</f>
        <v>5016398.3226546533</v>
      </c>
    </row>
    <row r="45" spans="1:15" x14ac:dyDescent="0.2">
      <c r="A45" s="361" t="b">
        <f t="array" ref="A45">OR(EXACT(D45,Prop2019DistTar!C$6:C$65))</f>
        <v>1</v>
      </c>
      <c r="B45" s="595" t="s">
        <v>188</v>
      </c>
      <c r="C45" s="595" t="s">
        <v>188</v>
      </c>
      <c r="D45" s="362" t="str">
        <f>IF(Prop2019DistTar!B12="","",Prop2019DistTar!B12)</f>
        <v>Residential Two Rate 5d - Bulk</v>
      </c>
      <c r="E45" s="330" t="str">
        <f>IF(Prop2019DistTar!C12="","",Prop2019DistTar!C12)</f>
        <v>Residential Two Rate 5d - Bulk</v>
      </c>
      <c r="F45" s="592">
        <f>Prop2019DistTar!CM12</f>
        <v>1651030.7042416253</v>
      </c>
      <c r="I45" s="590">
        <f>Prop2019DistTar!DJ12</f>
        <v>1562599.5023396532</v>
      </c>
    </row>
    <row r="46" spans="1:15" x14ac:dyDescent="0.2">
      <c r="A46" s="361" t="b">
        <f t="array" ref="A46">OR(EXACT(D46,Prop2019DistTar!C$6:C$65))</f>
        <v>1</v>
      </c>
      <c r="B46" s="595" t="s">
        <v>188</v>
      </c>
      <c r="C46" s="595" t="s">
        <v>188</v>
      </c>
      <c r="D46" s="362" t="str">
        <f>IF(Prop2019DistTar!B13="","",Prop2019DistTar!B13)</f>
        <v>Residential Interval</v>
      </c>
      <c r="E46" s="330" t="str">
        <f>IF(Prop2019DistTar!C13="","",Prop2019DistTar!C13)</f>
        <v>Residential Interval</v>
      </c>
      <c r="F46" s="592">
        <f>Prop2019DistTar!CM13</f>
        <v>8646053.845334854</v>
      </c>
      <c r="I46" s="590">
        <f>Prop2019DistTar!DJ13</f>
        <v>8552747.6935256813</v>
      </c>
    </row>
    <row r="47" spans="1:15" x14ac:dyDescent="0.2">
      <c r="A47" s="361" t="b">
        <f t="array" ref="A47">OR(EXACT(D47,Prop2019DistTar!C$6:C$65))</f>
        <v>1</v>
      </c>
      <c r="B47" s="595" t="s">
        <v>188</v>
      </c>
      <c r="C47" s="595" t="s">
        <v>188</v>
      </c>
      <c r="D47" s="362" t="str">
        <f>IF(Prop2019DistTar!B14="","",Prop2019DistTar!B14)</f>
        <v>Residential Interval - Bulk</v>
      </c>
      <c r="E47" s="330" t="str">
        <f>IF(Prop2019DistTar!C14="","",Prop2019DistTar!C14)</f>
        <v>Residential Interval - Bulk</v>
      </c>
      <c r="F47" s="592">
        <f>Prop2019DistTar!CM14</f>
        <v>2386110.8516748021</v>
      </c>
      <c r="I47" s="590">
        <f>Prop2019DistTar!DJ14</f>
        <v>2239698.0631402982</v>
      </c>
    </row>
    <row r="48" spans="1:15" x14ac:dyDescent="0.2">
      <c r="A48" s="361" t="b">
        <f t="array" ref="A48">OR(EXACT(D48,Prop2019DistTar!C$6:C$65))</f>
        <v>1</v>
      </c>
      <c r="B48" s="595" t="s">
        <v>188</v>
      </c>
      <c r="C48" s="595" t="s">
        <v>188</v>
      </c>
      <c r="D48" s="362" t="str">
        <f>IF(Prop2019DistTar!B15="","",Prop2019DistTar!B15)</f>
        <v>Residential Two Rate 5d - Controlled Load</v>
      </c>
      <c r="E48" s="330" t="str">
        <f>IF(Prop2019DistTar!C15="","",Prop2019DistTar!C15)</f>
        <v>Residential Two Rate 5d - Controlled Load</v>
      </c>
      <c r="F48" s="592">
        <f>Prop2019DistTar!CM15</f>
        <v>338735.42975073913</v>
      </c>
      <c r="I48" s="590">
        <f>Prop2019DistTar!DJ15</f>
        <v>342584.69599790656</v>
      </c>
    </row>
    <row r="49" spans="1:9" x14ac:dyDescent="0.2">
      <c r="A49" s="361" t="b">
        <f t="array" ref="A49">OR(EXACT(D49,Prop2019DistTar!C$6:C$65))</f>
        <v>1</v>
      </c>
      <c r="B49" s="595" t="s">
        <v>188</v>
      </c>
      <c r="C49" s="595" t="s">
        <v>188</v>
      </c>
      <c r="D49" s="362" t="str">
        <f>IF(Prop2019DistTar!B16="","",Prop2019DistTar!B16)</f>
        <v>Residential Two Rate 5d - Bulk - Controlled Load</v>
      </c>
      <c r="E49" s="330" t="str">
        <f>IF(Prop2019DistTar!C16="","",Prop2019DistTar!C16)</f>
        <v>Residential Two Rate 5d - Bulk - Controlled Load</v>
      </c>
      <c r="F49" s="592">
        <f>Prop2019DistTar!CM16</f>
        <v>103345.37737159859</v>
      </c>
      <c r="I49" s="590">
        <f>Prop2019DistTar!DJ16</f>
        <v>99039.319981115317</v>
      </c>
    </row>
    <row r="50" spans="1:9" x14ac:dyDescent="0.2">
      <c r="A50" s="361" t="b">
        <f t="array" ref="A50">OR(EXACT(D50,Prop2019DistTar!C$6:C$65))</f>
        <v>1</v>
      </c>
      <c r="B50" s="595" t="s">
        <v>188</v>
      </c>
      <c r="C50" s="595" t="s">
        <v>188</v>
      </c>
      <c r="D50" s="362" t="str">
        <f>IF(Prop2019DistTar!B17="","",Prop2019DistTar!B17)</f>
        <v>Dedicated Circuit</v>
      </c>
      <c r="E50" s="330" t="str">
        <f>IF(Prop2019DistTar!C17="","",Prop2019DistTar!C17)</f>
        <v>Dedicated Circuit</v>
      </c>
      <c r="F50" s="592">
        <f>Prop2019DistTar!CM17</f>
        <v>559723.67568058649</v>
      </c>
      <c r="I50" s="590">
        <f>Prop2019DistTar!DJ17</f>
        <v>566084.17199513863</v>
      </c>
    </row>
    <row r="51" spans="1:9" x14ac:dyDescent="0.2">
      <c r="A51" s="361" t="b">
        <f t="array" ref="A51">OR(EXACT(D51,Prop2019DistTar!C$6:C$65))</f>
        <v>1</v>
      </c>
      <c r="B51" s="595" t="s">
        <v>188</v>
      </c>
      <c r="C51" s="595" t="s">
        <v>188</v>
      </c>
      <c r="D51" s="362" t="str">
        <f>IF(Prop2019DistTar!B18="","",Prop2019DistTar!B18)</f>
        <v>Dedicated Circuit - Bulk</v>
      </c>
      <c r="E51" s="330" t="str">
        <f>IF(Prop2019DistTar!C18="","",Prop2019DistTar!C18)</f>
        <v>Dedicated Circuit - Bulk</v>
      </c>
      <c r="F51" s="592">
        <f>Prop2019DistTar!CM18</f>
        <v>31710.168148142693</v>
      </c>
      <c r="I51" s="590">
        <f>Prop2019DistTar!DJ18</f>
        <v>30388.911141970082</v>
      </c>
    </row>
    <row r="52" spans="1:9" x14ac:dyDescent="0.2">
      <c r="A52" s="361" t="b">
        <f t="array" ref="A52">OR(EXACT(D52,Prop2019DistTar!C$6:C$65))</f>
        <v>1</v>
      </c>
      <c r="B52" s="595" t="s">
        <v>188</v>
      </c>
      <c r="C52" s="595" t="s">
        <v>188</v>
      </c>
      <c r="D52" s="362" t="str">
        <f>IF(Prop2019DistTar!B19="","",Prop2019DistTar!B19)</f>
        <v>Residential Demand</v>
      </c>
      <c r="E52" s="330" t="str">
        <f>IF(Prop2019DistTar!C19="","",Prop2019DistTar!C19)</f>
        <v>Residential Demand</v>
      </c>
      <c r="F52" s="592">
        <f>Prop2019DistTar!CM19</f>
        <v>1436.0276795476891</v>
      </c>
      <c r="I52" s="590">
        <f>Prop2019DistTar!DJ19</f>
        <v>1432.8621749508866</v>
      </c>
    </row>
    <row r="53" spans="1:9" x14ac:dyDescent="0.2">
      <c r="A53" s="361" t="b">
        <f t="array" ref="A53">OR(EXACT(D53,Prop2019DistTar!C$6:C$65))</f>
        <v>1</v>
      </c>
      <c r="B53" s="595" t="s">
        <v>188</v>
      </c>
      <c r="C53" s="595" t="s">
        <v>188</v>
      </c>
      <c r="D53" s="362" t="str">
        <f>IF(Prop2019DistTar!B20="","",Prop2019DistTar!B20)</f>
        <v>Residential Bulk Demand</v>
      </c>
      <c r="E53" s="330" t="str">
        <f>IF(Prop2019DistTar!C20="","",Prop2019DistTar!C20)</f>
        <v>Residential Bulk Demand</v>
      </c>
      <c r="F53" s="592">
        <f>Prop2019DistTar!CM20</f>
        <v>0</v>
      </c>
      <c r="I53" s="590">
        <f>Prop2019DistTar!DJ20</f>
        <v>0</v>
      </c>
    </row>
    <row r="54" spans="1:9" x14ac:dyDescent="0.2">
      <c r="A54" s="361" t="b">
        <f t="array" ref="A54">OR(EXACT(D54,Prop2019DistTar!C$6:C$65))</f>
        <v>1</v>
      </c>
      <c r="B54" s="595" t="s">
        <v>189</v>
      </c>
      <c r="C54" s="595" t="s">
        <v>189</v>
      </c>
      <c r="D54" s="362" t="str">
        <f>IF(Prop2019DistTar!B21="","",Prop2019DistTar!B21)</f>
        <v>Non-Residential Single Rate</v>
      </c>
      <c r="E54" s="330" t="str">
        <f>IF(Prop2019DistTar!C21="","",Prop2019DistTar!C21)</f>
        <v>Non-Residential Single Rate</v>
      </c>
      <c r="F54" s="592">
        <f>Prop2019DistTar!CM21</f>
        <v>16949964.588870563</v>
      </c>
      <c r="I54" s="590">
        <f>Prop2019DistTar!DJ21</f>
        <v>17058294.18976514</v>
      </c>
    </row>
    <row r="55" spans="1:9" x14ac:dyDescent="0.2">
      <c r="A55" s="361" t="b">
        <f t="array" ref="A55">OR(EXACT(D55,Prop2019DistTar!C$6:C$65))</f>
        <v>1</v>
      </c>
      <c r="B55" s="595" t="s">
        <v>189</v>
      </c>
      <c r="C55" s="595" t="s">
        <v>189</v>
      </c>
      <c r="D55" s="362" t="str">
        <f>IF(Prop2019DistTar!B22="","",Prop2019DistTar!B22)</f>
        <v>Non-Residential Single Rate - Bulk</v>
      </c>
      <c r="E55" s="330" t="str">
        <f>IF(Prop2019DistTar!C22="","",Prop2019DistTar!C22)</f>
        <v>Non-Residential Single Rate - Bulk</v>
      </c>
      <c r="F55" s="592">
        <f>Prop2019DistTar!CM22</f>
        <v>4550794.4595340686</v>
      </c>
      <c r="I55" s="590">
        <f>Prop2019DistTar!DJ22</f>
        <v>4308753.6072117239</v>
      </c>
    </row>
    <row r="56" spans="1:9" x14ac:dyDescent="0.2">
      <c r="A56" s="361" t="b">
        <f t="array" ref="A56">OR(EXACT(D56,Prop2019DistTar!C$6:C$65))</f>
        <v>1</v>
      </c>
      <c r="B56" s="595" t="s">
        <v>189</v>
      </c>
      <c r="C56" s="595" t="s">
        <v>189</v>
      </c>
      <c r="D56" s="362" t="str">
        <f>IF(Prop2019DistTar!B23="","",Prop2019DistTar!B23)</f>
        <v>Non-Residential Two Rate 5d</v>
      </c>
      <c r="E56" s="330" t="str">
        <f>IF(Prop2019DistTar!C23="","",Prop2019DistTar!C23)</f>
        <v>Non-Residential Two Rate 5d</v>
      </c>
      <c r="F56" s="592">
        <f>Prop2019DistTar!CM23</f>
        <v>11006493.620499646</v>
      </c>
      <c r="I56" s="590">
        <f>Prop2019DistTar!DJ23</f>
        <v>10995476.56272383</v>
      </c>
    </row>
    <row r="57" spans="1:9" x14ac:dyDescent="0.2">
      <c r="A57" s="361" t="b">
        <f t="array" ref="A57">OR(EXACT(D57,Prop2019DistTar!C$6:C$65))</f>
        <v>1</v>
      </c>
      <c r="B57" s="595" t="s">
        <v>189</v>
      </c>
      <c r="C57" s="595" t="s">
        <v>189</v>
      </c>
      <c r="D57" s="362" t="str">
        <f>IF(Prop2019DistTar!B24="","",Prop2019DistTar!B24)</f>
        <v>Non-Residential Two Rate 5d - Bulk</v>
      </c>
      <c r="E57" s="330" t="str">
        <f>IF(Prop2019DistTar!C24="","",Prop2019DistTar!C24)</f>
        <v>Non-Residential Two Rate 5d - Bulk</v>
      </c>
      <c r="F57" s="592">
        <f>Prop2019DistTar!CM24</f>
        <v>1592704.3194473744</v>
      </c>
      <c r="I57" s="590">
        <f>Prop2019DistTar!DJ24</f>
        <v>1476273.5220600176</v>
      </c>
    </row>
    <row r="58" spans="1:9" x14ac:dyDescent="0.2">
      <c r="A58" s="361" t="b">
        <f t="array" ref="A58">OR(EXACT(D58,Prop2019DistTar!C$6:C$65))</f>
        <v>1</v>
      </c>
      <c r="B58" s="595" t="s">
        <v>189</v>
      </c>
      <c r="C58" s="595" t="s">
        <v>189</v>
      </c>
      <c r="D58" s="362" t="str">
        <f>IF(Prop2019DistTar!B25="","",Prop2019DistTar!B25)</f>
        <v>Non-Residential Interval</v>
      </c>
      <c r="E58" s="330" t="str">
        <f>IF(Prop2019DistTar!C25="","",Prop2019DistTar!C25)</f>
        <v>Non-Residential Interval</v>
      </c>
      <c r="F58" s="592">
        <f>Prop2019DistTar!CM25</f>
        <v>5325110.4400917143</v>
      </c>
      <c r="I58" s="590">
        <f>Prop2019DistTar!DJ25</f>
        <v>5380003.9231885877</v>
      </c>
    </row>
    <row r="59" spans="1:9" x14ac:dyDescent="0.2">
      <c r="A59" s="361" t="b">
        <f t="array" ref="A59">OR(EXACT(D59,Prop2019DistTar!C$6:C$65))</f>
        <v>1</v>
      </c>
      <c r="B59" s="595" t="s">
        <v>189</v>
      </c>
      <c r="C59" s="595" t="s">
        <v>189</v>
      </c>
      <c r="D59" s="362" t="str">
        <f>IF(Prop2019DistTar!B26="","",Prop2019DistTar!B26)</f>
        <v>Non-Residential Interval - Bulk</v>
      </c>
      <c r="E59" s="330" t="str">
        <f>IF(Prop2019DistTar!C26="","",Prop2019DistTar!C26)</f>
        <v>Non-Residential Interval - Bulk</v>
      </c>
      <c r="F59" s="592">
        <f>Prop2019DistTar!CM26</f>
        <v>2694940.4079601732</v>
      </c>
      <c r="I59" s="590">
        <f>Prop2019DistTar!DJ26</f>
        <v>2500285.8688014597</v>
      </c>
    </row>
    <row r="60" spans="1:9" x14ac:dyDescent="0.2">
      <c r="A60" s="361" t="b">
        <f t="array" ref="A60">OR(EXACT(D60,Prop2019DistTar!C$6:C$65))</f>
        <v>1</v>
      </c>
      <c r="B60" s="595" t="s">
        <v>189</v>
      </c>
      <c r="C60" s="595" t="s">
        <v>189</v>
      </c>
      <c r="D60" s="362" t="str">
        <f>IF(Prop2019DistTar!B27="","",Prop2019DistTar!B27)</f>
        <v>Non-Residential Flexible Pricing</v>
      </c>
      <c r="E60" s="330" t="str">
        <f>IF(Prop2019DistTar!C27="","",Prop2019DistTar!C27)</f>
        <v>Non-Residential Flexible Pricing</v>
      </c>
      <c r="F60" s="592">
        <f>Prop2019DistTar!CM27</f>
        <v>66896.342096412336</v>
      </c>
      <c r="I60" s="590">
        <f>Prop2019DistTar!DJ27</f>
        <v>67823.252430248205</v>
      </c>
    </row>
    <row r="61" spans="1:9" x14ac:dyDescent="0.2">
      <c r="A61" s="361" t="b">
        <f t="array" ref="A61">OR(EXACT(D61,Prop2019DistTar!C$6:C$65))</f>
        <v>1</v>
      </c>
      <c r="B61" s="595" t="s">
        <v>189</v>
      </c>
      <c r="C61" s="595" t="s">
        <v>189</v>
      </c>
      <c r="D61" s="362" t="str">
        <f>IF(Prop2019DistTar!B28="","",Prop2019DistTar!B28)</f>
        <v>Non-Residential - Flexible Pricing Bulk</v>
      </c>
      <c r="E61" s="330" t="str">
        <f>IF(Prop2019DistTar!C28="","",Prop2019DistTar!C28)</f>
        <v>Non-Residential - Flexible Pricing Bulk</v>
      </c>
      <c r="F61" s="592">
        <f>Prop2019DistTar!CM28</f>
        <v>53351.559733011149</v>
      </c>
      <c r="I61" s="590">
        <f>Prop2019DistTar!DJ28</f>
        <v>52258.664380797738</v>
      </c>
    </row>
    <row r="62" spans="1:9" x14ac:dyDescent="0.2">
      <c r="A62" s="361" t="b">
        <f t="array" ref="A62">OR(EXACT(D62,Prop2019DistTar!C$6:C$65))</f>
        <v>1</v>
      </c>
      <c r="B62" s="595" t="s">
        <v>189</v>
      </c>
      <c r="C62" s="595" t="s">
        <v>189</v>
      </c>
      <c r="D62" s="362" t="str">
        <f>IF(Prop2019DistTar!B29="","",Prop2019DistTar!B29)</f>
        <v>Non-Residential Two Rate 7d</v>
      </c>
      <c r="E62" s="330" t="str">
        <f>IF(Prop2019DistTar!C29="","",Prop2019DistTar!C29)</f>
        <v>Non-Residential Two Rate 7d</v>
      </c>
      <c r="F62" s="592">
        <f>Prop2019DistTar!CM29</f>
        <v>3328959.7831898932</v>
      </c>
      <c r="I62" s="590">
        <f>Prop2019DistTar!DJ29</f>
        <v>3364115.8724286766</v>
      </c>
    </row>
    <row r="63" spans="1:9" x14ac:dyDescent="0.2">
      <c r="A63" s="361" t="b">
        <f t="array" ref="A63">OR(EXACT(D63,Prop2019DistTar!C$6:C$65))</f>
        <v>1</v>
      </c>
      <c r="B63" s="595" t="s">
        <v>189</v>
      </c>
      <c r="C63" s="595" t="s">
        <v>189</v>
      </c>
      <c r="D63" s="362" t="str">
        <f>IF(Prop2019DistTar!B30="","",Prop2019DistTar!B30)</f>
        <v>Non-Residential Two Rate 7d - Bulk</v>
      </c>
      <c r="E63" s="330" t="str">
        <f>IF(Prop2019DistTar!C30="","",Prop2019DistTar!C30)</f>
        <v>Non-Residential Two Rate 7d - Bulk</v>
      </c>
      <c r="F63" s="592">
        <f>Prop2019DistTar!CM30</f>
        <v>425360.55489744811</v>
      </c>
      <c r="I63" s="590">
        <f>Prop2019DistTar!DJ30</f>
        <v>411500.14695623587</v>
      </c>
    </row>
    <row r="64" spans="1:9" x14ac:dyDescent="0.2">
      <c r="A64" s="361" t="b">
        <f t="array" ref="A64">OR(EXACT(D64,Prop2019DistTar!C$6:C$65))</f>
        <v>1</v>
      </c>
      <c r="B64" s="595" t="s">
        <v>189</v>
      </c>
      <c r="C64" s="595" t="s">
        <v>189</v>
      </c>
      <c r="D64" s="362" t="str">
        <f>IF(Prop2019DistTar!B31="","",Prop2019DistTar!B31)</f>
        <v>Large Two Rate 7d</v>
      </c>
      <c r="E64" s="330" t="str">
        <f>IF(Prop2019DistTar!C31="","",Prop2019DistTar!C31)</f>
        <v>Large Two Rate 7d</v>
      </c>
      <c r="F64" s="592">
        <f>Prop2019DistTar!CM31</f>
        <v>17641.220030468361</v>
      </c>
      <c r="I64" s="590">
        <f>Prop2019DistTar!DJ31</f>
        <v>17729.462369820052</v>
      </c>
    </row>
    <row r="65" spans="1:9" x14ac:dyDescent="0.2">
      <c r="A65" s="361" t="b">
        <f t="array" ref="A65">OR(EXACT(D65,Prop2019DistTar!C$6:C$65))</f>
        <v>1</v>
      </c>
      <c r="B65" s="595" t="s">
        <v>189</v>
      </c>
      <c r="C65" s="595" t="s">
        <v>189</v>
      </c>
      <c r="D65" s="362" t="str">
        <f>IF(Prop2019DistTar!B32="","",Prop2019DistTar!B32)</f>
        <v>Non-Residential Demand Tariff</v>
      </c>
      <c r="E65" s="330" t="str">
        <f>IF(Prop2019DistTar!C32="","",Prop2019DistTar!C32)</f>
        <v>Non-Residential Demand Tariff</v>
      </c>
      <c r="F65" s="592">
        <f>Prop2019DistTar!CM32</f>
        <v>39874.982115395047</v>
      </c>
      <c r="I65" s="590">
        <f>Prop2019DistTar!DJ32</f>
        <v>40420.640473924032</v>
      </c>
    </row>
    <row r="66" spans="1:9" x14ac:dyDescent="0.2">
      <c r="A66" s="361" t="b">
        <f t="array" ref="A66">OR(EXACT(D66,Prop2019DistTar!C$6:C$65))</f>
        <v>1</v>
      </c>
      <c r="B66" s="595" t="s">
        <v>189</v>
      </c>
      <c r="C66" s="595" t="s">
        <v>189</v>
      </c>
      <c r="D66" s="362" t="str">
        <f>IF(Prop2019DistTar!B33="","",Prop2019DistTar!B33)</f>
        <v>Non-Residential Bulk Demand Tariff</v>
      </c>
      <c r="E66" s="330" t="str">
        <f>IF(Prop2019DistTar!C33="","",Prop2019DistTar!C33)</f>
        <v>Non-Residential Bulk Demand Tariff</v>
      </c>
      <c r="F66" s="592">
        <f>Prop2019DistTar!CM33</f>
        <v>22669.846439225548</v>
      </c>
      <c r="I66" s="590">
        <f>Prop2019DistTar!DJ33</f>
        <v>22254.147881249406</v>
      </c>
    </row>
    <row r="67" spans="1:9" x14ac:dyDescent="0.2">
      <c r="A67" s="361" t="b">
        <f t="array" ref="A67">OR(EXACT(D67,Prop2019DistTar!C$6:C$65))</f>
        <v>1</v>
      </c>
      <c r="B67" s="595" t="s">
        <v>189</v>
      </c>
      <c r="C67" s="595" t="s">
        <v>189</v>
      </c>
      <c r="D67" s="362" t="str">
        <f>IF(Prop2019DistTar!B34="","",Prop2019DistTar!B34)</f>
        <v>Medium Business Demand</v>
      </c>
      <c r="E67" s="330" t="str">
        <f>IF(Prop2019DistTar!C34="","",Prop2019DistTar!C34)</f>
        <v>Medium Business Demand</v>
      </c>
      <c r="F67" s="592">
        <f>Prop2019DistTar!CM34</f>
        <v>36210576.200768083</v>
      </c>
      <c r="I67" s="590">
        <f>Prop2019DistTar!DJ34</f>
        <v>35752155.057523482</v>
      </c>
    </row>
    <row r="68" spans="1:9" x14ac:dyDescent="0.2">
      <c r="A68" s="361" t="b">
        <f t="array" ref="A68">OR(EXACT(D68,Prop2019DistTar!C$6:C$65))</f>
        <v>1</v>
      </c>
      <c r="B68" s="595" t="s">
        <v>189</v>
      </c>
      <c r="C68" s="595" t="s">
        <v>189</v>
      </c>
      <c r="D68" s="362" t="str">
        <f>IF(Prop2019DistTar!B35="","",Prop2019DistTar!B35)</f>
        <v>Medium Business Bulk Demand</v>
      </c>
      <c r="E68" s="330" t="str">
        <f>IF(Prop2019DistTar!C35="","",Prop2019DistTar!C35)</f>
        <v>Medium Business Bulk Demand</v>
      </c>
      <c r="F68" s="592">
        <f>Prop2019DistTar!CM35</f>
        <v>19628478.542624746</v>
      </c>
      <c r="I68" s="590">
        <f>Prop2019DistTar!DJ35</f>
        <v>18313514.676758289</v>
      </c>
    </row>
    <row r="69" spans="1:9" x14ac:dyDescent="0.2">
      <c r="A69" s="361" t="b">
        <f t="array" ref="A69">OR(EXACT(D69,Prop2019DistTar!C$6:C$65))</f>
        <v>1</v>
      </c>
      <c r="B69" s="595" t="s">
        <v>189</v>
      </c>
      <c r="C69" s="595" t="s">
        <v>189</v>
      </c>
      <c r="D69" s="362" t="str">
        <f>IF(Prop2019DistTar!B36="","",Prop2019DistTar!B36)</f>
        <v>Medium Business Opt-out</v>
      </c>
      <c r="E69" s="330" t="str">
        <f>IF(Prop2019DistTar!C36="","",Prop2019DistTar!C36)</f>
        <v>Medium Business Opt-out</v>
      </c>
      <c r="F69" s="592">
        <f>Prop2019DistTar!CM36</f>
        <v>41173.70848737943</v>
      </c>
      <c r="I69" s="590">
        <f>Prop2019DistTar!DJ36</f>
        <v>39860.650170448644</v>
      </c>
    </row>
    <row r="70" spans="1:9" x14ac:dyDescent="0.2">
      <c r="A70" s="361" t="b">
        <f t="array" ref="A70">OR(EXACT(D70,Prop2019DistTar!C$6:C$65))</f>
        <v>1</v>
      </c>
      <c r="B70" s="595" t="s">
        <v>189</v>
      </c>
      <c r="C70" s="595" t="s">
        <v>189</v>
      </c>
      <c r="D70" s="362" t="str">
        <f>IF(Prop2019DistTar!B37="","",Prop2019DistTar!B37)</f>
        <v>Medium Business Bulk Opt-out</v>
      </c>
      <c r="E70" s="330" t="str">
        <f>IF(Prop2019DistTar!C37="","",Prop2019DistTar!C37)</f>
        <v>Medium Business Bulk Opt-out</v>
      </c>
      <c r="F70" s="592">
        <f>Prop2019DistTar!CM37</f>
        <v>63868.752606006623</v>
      </c>
      <c r="I70" s="590">
        <f>Prop2019DistTar!DJ37</f>
        <v>58928.04888668051</v>
      </c>
    </row>
    <row r="71" spans="1:9" x14ac:dyDescent="0.2">
      <c r="A71" s="361" t="b">
        <f t="array" ref="A71">OR(EXACT(D71,Prop2019DistTar!C$6:C$65))</f>
        <v>1</v>
      </c>
      <c r="B71" s="595" t="s">
        <v>189</v>
      </c>
      <c r="C71" s="595" t="s">
        <v>189</v>
      </c>
      <c r="D71" s="362" t="str">
        <f>IF(Prop2019DistTar!B38="","",Prop2019DistTar!B38)</f>
        <v>Unmetered Supplies / Public Lighting</v>
      </c>
      <c r="E71" s="330" t="str">
        <f>IF(Prop2019DistTar!C38="","",Prop2019DistTar!C38)</f>
        <v>Unmetered Supplies / Public Lighting</v>
      </c>
      <c r="F71" s="592">
        <f>Prop2019DistTar!CM38</f>
        <v>1425089.5201384975</v>
      </c>
      <c r="I71" s="590">
        <f>Prop2019DistTar!DJ38</f>
        <v>1075779.2743262141</v>
      </c>
    </row>
    <row r="72" spans="1:9" x14ac:dyDescent="0.2">
      <c r="A72" s="361" t="b">
        <f t="array" ref="A72">OR(EXACT(D72,Prop2019DistTar!C$6:C$65))</f>
        <v>1</v>
      </c>
      <c r="B72" s="595" t="s">
        <v>190</v>
      </c>
      <c r="C72" s="595" t="s">
        <v>190</v>
      </c>
      <c r="D72" s="362" t="str">
        <f>IF(Prop2019DistTar!B39="","",Prop2019DistTar!B39)</f>
        <v>Large low Voltage</v>
      </c>
      <c r="E72" s="330" t="str">
        <f>IF(Prop2019DistTar!C39="","",Prop2019DistTar!C39)</f>
        <v>Large low Voltage</v>
      </c>
      <c r="F72" s="592">
        <f>Prop2019DistTar!CM39</f>
        <v>9923991.552553989</v>
      </c>
      <c r="I72" s="590">
        <f>Prop2019DistTar!DJ39</f>
        <v>9964598.6543773189</v>
      </c>
    </row>
    <row r="73" spans="1:9" x14ac:dyDescent="0.2">
      <c r="A73" s="361" t="b">
        <f t="array" ref="A73">OR(EXACT(D73,Prop2019DistTar!C$6:C$65))</f>
        <v>1</v>
      </c>
      <c r="B73" s="595" t="s">
        <v>190</v>
      </c>
      <c r="C73" s="595" t="s">
        <v>190</v>
      </c>
      <c r="D73" s="362" t="str">
        <f>IF(Prop2019DistTar!B40="","",Prop2019DistTar!B40)</f>
        <v>Large low Voltage Bulk</v>
      </c>
      <c r="E73" s="330" t="str">
        <f>IF(Prop2019DistTar!C40="","",Prop2019DistTar!C40)</f>
        <v>Large low Voltage Bulk</v>
      </c>
      <c r="F73" s="592">
        <f>Prop2019DistTar!CM40</f>
        <v>86003882.355536729</v>
      </c>
      <c r="I73" s="590">
        <f>Prop2019DistTar!DJ40</f>
        <v>84309287.463412941</v>
      </c>
    </row>
    <row r="74" spans="1:9" x14ac:dyDescent="0.2">
      <c r="A74" s="361" t="b">
        <f t="array" ref="A74">OR(EXACT(D74,Prop2019DistTar!C$6:C$65))</f>
        <v>1</v>
      </c>
      <c r="B74" s="595" t="s">
        <v>191</v>
      </c>
      <c r="C74" s="595" t="s">
        <v>191</v>
      </c>
      <c r="D74" s="362" t="str">
        <f>IF(Prop2019DistTar!B41="","",Prop2019DistTar!B41)</f>
        <v>High Voltage</v>
      </c>
      <c r="E74" s="330" t="str">
        <f>IF(Prop2019DistTar!C41="","",Prop2019DistTar!C41)</f>
        <v>High Voltage</v>
      </c>
      <c r="F74" s="592">
        <f>Prop2019DistTar!CM41</f>
        <v>15853622.287910599</v>
      </c>
      <c r="I74" s="590">
        <f>Prop2019DistTar!DJ41</f>
        <v>15194191.956569266</v>
      </c>
    </row>
    <row r="75" spans="1:9" x14ac:dyDescent="0.2">
      <c r="A75" s="361" t="b">
        <f t="array" ref="A75">OR(EXACT(D75,Prop2019DistTar!C$6:C$65))</f>
        <v>1</v>
      </c>
      <c r="B75" s="595" t="s">
        <v>192</v>
      </c>
      <c r="C75" s="595" t="s">
        <v>192</v>
      </c>
      <c r="D75" s="362" t="str">
        <f>IF(Prop2019DistTar!B42="","",Prop2019DistTar!B42)</f>
        <v>Subtransmission</v>
      </c>
      <c r="E75" s="330" t="str">
        <f>IF(Prop2019DistTar!C42="","",Prop2019DistTar!C42)</f>
        <v>Subtransmission</v>
      </c>
      <c r="F75" s="592">
        <f>Prop2019DistTar!CM42</f>
        <v>995877.09178948996</v>
      </c>
      <c r="I75" s="590">
        <f>Prop2019DistTar!DJ42</f>
        <v>972049.76132081612</v>
      </c>
    </row>
    <row r="76" spans="1:9" x14ac:dyDescent="0.2">
      <c r="A76" s="361" t="b">
        <f t="array" ref="A76">OR(EXACT(D76,Prop2019DistTar!C$6:C$65))</f>
        <v>1</v>
      </c>
      <c r="B76" s="595"/>
      <c r="C76" s="595"/>
      <c r="D76" s="362" t="str">
        <f>IF(Prop2019DistTar!B43="","",Prop2019DistTar!B43)</f>
        <v/>
      </c>
      <c r="E76" s="330" t="str">
        <f>IF(Prop2019DistTar!C43="","",Prop2019DistTar!C43)</f>
        <v/>
      </c>
      <c r="F76" s="592">
        <f>Prop2019DistTar!CM43</f>
        <v>0</v>
      </c>
      <c r="I76" s="590">
        <f>Prop2019DistTar!DJ43</f>
        <v>0</v>
      </c>
    </row>
    <row r="77" spans="1:9" x14ac:dyDescent="0.2">
      <c r="A77" s="361" t="b">
        <f t="array" ref="A77">OR(EXACT(D77,Prop2019DistTar!C$6:C$65))</f>
        <v>1</v>
      </c>
      <c r="B77" s="595"/>
      <c r="C77" s="595"/>
      <c r="D77" s="362" t="str">
        <f>IF(Prop2019DistTar!B44="","",Prop2019DistTar!B44)</f>
        <v/>
      </c>
      <c r="E77" s="330" t="str">
        <f>IF(Prop2019DistTar!C44="","",Prop2019DistTar!C44)</f>
        <v/>
      </c>
      <c r="F77" s="592">
        <f>Prop2019DistTar!CM44</f>
        <v>0</v>
      </c>
      <c r="I77" s="590">
        <f>Prop2019DistTar!DJ44</f>
        <v>0</v>
      </c>
    </row>
    <row r="78" spans="1:9" x14ac:dyDescent="0.2">
      <c r="A78" s="361" t="b">
        <f t="array" ref="A78">OR(EXACT(D78,Prop2019DistTar!C$6:C$65))</f>
        <v>1</v>
      </c>
      <c r="B78" s="595"/>
      <c r="C78" s="595"/>
      <c r="D78" s="362" t="str">
        <f>IF(Prop2019DistTar!B45="","",Prop2019DistTar!B45)</f>
        <v/>
      </c>
      <c r="E78" s="330" t="str">
        <f>IF(Prop2019DistTar!C45="","",Prop2019DistTar!C45)</f>
        <v/>
      </c>
      <c r="F78" s="592">
        <f>Prop2019DistTar!CM45</f>
        <v>0</v>
      </c>
      <c r="I78" s="590">
        <f>Prop2019DistTar!DJ45</f>
        <v>0</v>
      </c>
    </row>
    <row r="79" spans="1:9" x14ac:dyDescent="0.2">
      <c r="A79" s="361" t="b">
        <f t="array" ref="A79">OR(EXACT(D79,Prop2019DistTar!C$6:C$65))</f>
        <v>1</v>
      </c>
      <c r="B79" s="595"/>
      <c r="C79" s="595"/>
      <c r="D79" s="362" t="str">
        <f>IF(Prop2019DistTar!B46="","",Prop2019DistTar!B46)</f>
        <v/>
      </c>
      <c r="E79" s="330" t="str">
        <f>IF(Prop2019DistTar!C46="","",Prop2019DistTar!C46)</f>
        <v/>
      </c>
      <c r="F79" s="592">
        <f>Prop2019DistTar!CM46</f>
        <v>0</v>
      </c>
      <c r="I79" s="590">
        <f>Prop2019DistTar!DJ46</f>
        <v>0</v>
      </c>
    </row>
    <row r="80" spans="1:9" x14ac:dyDescent="0.2">
      <c r="A80" s="361" t="b">
        <f t="array" ref="A80">OR(EXACT(D80,Prop2019DistTar!C$6:C$65))</f>
        <v>1</v>
      </c>
      <c r="B80" s="595"/>
      <c r="C80" s="595"/>
      <c r="D80" s="362" t="str">
        <f>IF(Prop2019DistTar!B47="","",Prop2019DistTar!B47)</f>
        <v/>
      </c>
      <c r="E80" s="330" t="str">
        <f>IF(Prop2019DistTar!C47="","",Prop2019DistTar!C47)</f>
        <v/>
      </c>
      <c r="F80" s="592">
        <f>Prop2019DistTar!CM47</f>
        <v>0</v>
      </c>
      <c r="I80" s="590">
        <f>Prop2019DistTar!DJ47</f>
        <v>0</v>
      </c>
    </row>
    <row r="81" spans="1:9" x14ac:dyDescent="0.2">
      <c r="A81" s="361" t="b">
        <f t="array" ref="A81">OR(EXACT(D81,Prop2019DistTar!C$6:C$65))</f>
        <v>1</v>
      </c>
      <c r="B81" s="595"/>
      <c r="C81" s="595"/>
      <c r="D81" s="362" t="str">
        <f>IF(Prop2019DistTar!B48="","",Prop2019DistTar!B48)</f>
        <v/>
      </c>
      <c r="E81" s="330" t="str">
        <f>IF(Prop2019DistTar!C48="","",Prop2019DistTar!C48)</f>
        <v/>
      </c>
      <c r="F81" s="592">
        <f>Prop2019DistTar!CM48</f>
        <v>0</v>
      </c>
      <c r="I81" s="590">
        <f>Prop2019DistTar!DJ48</f>
        <v>0</v>
      </c>
    </row>
    <row r="82" spans="1:9" x14ac:dyDescent="0.2">
      <c r="A82" s="361" t="b">
        <f t="array" ref="A82">OR(EXACT(D82,Prop2019DistTar!C$6:C$65))</f>
        <v>1</v>
      </c>
      <c r="B82" s="595"/>
      <c r="C82" s="595"/>
      <c r="D82" s="362" t="str">
        <f>IF(Prop2019DistTar!B49="","",Prop2019DistTar!B49)</f>
        <v/>
      </c>
      <c r="E82" s="330" t="str">
        <f>IF(Prop2019DistTar!C49="","",Prop2019DistTar!C49)</f>
        <v/>
      </c>
      <c r="F82" s="592">
        <f>Prop2019DistTar!CM49</f>
        <v>0</v>
      </c>
      <c r="I82" s="590">
        <f>Prop2019DistTar!DJ49</f>
        <v>0</v>
      </c>
    </row>
    <row r="83" spans="1:9" x14ac:dyDescent="0.2">
      <c r="A83" s="361" t="b">
        <f t="array" ref="A83">OR(EXACT(D83,Prop2019DistTar!C$6:C$65))</f>
        <v>1</v>
      </c>
      <c r="B83" s="595"/>
      <c r="C83" s="595"/>
      <c r="D83" s="362" t="str">
        <f>IF(Prop2019DistTar!B50="","",Prop2019DistTar!B50)</f>
        <v/>
      </c>
      <c r="E83" s="330" t="str">
        <f>IF(Prop2019DistTar!C50="","",Prop2019DistTar!C50)</f>
        <v/>
      </c>
      <c r="F83" s="592">
        <f>Prop2019DistTar!CM50</f>
        <v>0</v>
      </c>
      <c r="I83" s="590">
        <f>Prop2019DistTar!DJ50</f>
        <v>0</v>
      </c>
    </row>
    <row r="84" spans="1:9" x14ac:dyDescent="0.2">
      <c r="A84" s="361" t="b">
        <f t="array" ref="A84">OR(EXACT(D84,Prop2019DistTar!C$6:C$65))</f>
        <v>1</v>
      </c>
      <c r="B84" s="595"/>
      <c r="C84" s="595"/>
      <c r="D84" s="362" t="str">
        <f>IF(Prop2019DistTar!B51="","",Prop2019DistTar!B51)</f>
        <v/>
      </c>
      <c r="E84" s="330" t="str">
        <f>IF(Prop2019DistTar!C51="","",Prop2019DistTar!C51)</f>
        <v/>
      </c>
      <c r="F84" s="592">
        <f>Prop2019DistTar!CM51</f>
        <v>0</v>
      </c>
      <c r="I84" s="590">
        <f>Prop2019DistTar!DJ51</f>
        <v>0</v>
      </c>
    </row>
    <row r="85" spans="1:9" x14ac:dyDescent="0.2">
      <c r="A85" s="361" t="b">
        <f t="array" ref="A85">OR(EXACT(D85,Prop2019DistTar!C$6:C$65))</f>
        <v>1</v>
      </c>
      <c r="B85" s="595"/>
      <c r="C85" s="595"/>
      <c r="D85" s="362" t="str">
        <f>IF(Prop2019DistTar!B52="","",Prop2019DistTar!B52)</f>
        <v/>
      </c>
      <c r="E85" s="330" t="str">
        <f>IF(Prop2019DistTar!C52="","",Prop2019DistTar!C52)</f>
        <v/>
      </c>
      <c r="F85" s="592">
        <f>Prop2019DistTar!CM52</f>
        <v>0</v>
      </c>
      <c r="I85" s="590">
        <f>Prop2019DistTar!DJ52</f>
        <v>0</v>
      </c>
    </row>
    <row r="86" spans="1:9" x14ac:dyDescent="0.2">
      <c r="A86" s="361" t="b">
        <f t="array" ref="A86">OR(EXACT(D86,Prop2019DistTar!C$6:C$65))</f>
        <v>1</v>
      </c>
      <c r="B86" s="345"/>
      <c r="C86" s="345"/>
      <c r="D86" s="362" t="str">
        <f>IF(Prop2019DistTar!B53="","",Prop2019DistTar!B53)</f>
        <v/>
      </c>
      <c r="E86" s="330" t="str">
        <f>IF(Prop2019DistTar!C53="","",Prop2019DistTar!C53)</f>
        <v/>
      </c>
      <c r="F86" s="592">
        <f>Prop2019DistTar!CM53</f>
        <v>0</v>
      </c>
      <c r="I86" s="590">
        <f>Prop2019DistTar!DJ53</f>
        <v>0</v>
      </c>
    </row>
    <row r="87" spans="1:9" x14ac:dyDescent="0.2">
      <c r="A87" s="361" t="b">
        <f t="array" ref="A87">OR(EXACT(D87,Prop2019DistTar!C$6:C$65))</f>
        <v>1</v>
      </c>
      <c r="B87" s="345"/>
      <c r="C87" s="345"/>
      <c r="D87" s="362" t="str">
        <f>IF(Prop2019DistTar!B54="","",Prop2019DistTar!B54)</f>
        <v/>
      </c>
      <c r="E87" s="330" t="str">
        <f>IF(Prop2019DistTar!C54="","",Prop2019DistTar!C54)</f>
        <v/>
      </c>
      <c r="F87" s="592">
        <f>Prop2019DistTar!CM54</f>
        <v>0</v>
      </c>
      <c r="I87" s="590">
        <f>Prop2019DistTar!DJ54</f>
        <v>0</v>
      </c>
    </row>
    <row r="88" spans="1:9" x14ac:dyDescent="0.2">
      <c r="A88" s="361" t="b">
        <f t="array" ref="A88">OR(EXACT(D88,Prop2019DistTar!C$6:C$65))</f>
        <v>1</v>
      </c>
      <c r="B88" s="345"/>
      <c r="C88" s="345"/>
      <c r="D88" s="362" t="str">
        <f>IF(Prop2019DistTar!B55="","",Prop2019DistTar!B55)</f>
        <v/>
      </c>
      <c r="E88" s="330" t="str">
        <f>IF(Prop2019DistTar!C55="","",Prop2019DistTar!C55)</f>
        <v/>
      </c>
      <c r="F88" s="592">
        <f>Prop2019DistTar!CM55</f>
        <v>0</v>
      </c>
      <c r="I88" s="590">
        <f>Prop2019DistTar!DJ55</f>
        <v>0</v>
      </c>
    </row>
    <row r="89" spans="1:9" x14ac:dyDescent="0.2">
      <c r="A89" s="361" t="b">
        <f t="array" ref="A89">OR(EXACT(D89,Prop2019DistTar!C$6:C$65))</f>
        <v>1</v>
      </c>
      <c r="B89" s="345"/>
      <c r="C89" s="345"/>
      <c r="D89" s="362" t="str">
        <f>IF(Prop2019DistTar!B56="","",Prop2019DistTar!B56)</f>
        <v/>
      </c>
      <c r="E89" s="330" t="str">
        <f>IF(Prop2019DistTar!C56="","",Prop2019DistTar!C56)</f>
        <v/>
      </c>
      <c r="F89" s="592">
        <f>Prop2019DistTar!CM56</f>
        <v>0</v>
      </c>
      <c r="I89" s="590">
        <f>Prop2019DistTar!DJ56</f>
        <v>0</v>
      </c>
    </row>
    <row r="90" spans="1:9" x14ac:dyDescent="0.2">
      <c r="A90" s="361" t="b">
        <f t="array" ref="A90">OR(EXACT(D90,Prop2019DistTar!C$6:C$65))</f>
        <v>1</v>
      </c>
      <c r="B90" s="345"/>
      <c r="C90" s="345"/>
      <c r="D90" s="362" t="str">
        <f>IF(Prop2019DistTar!B57="","",Prop2019DistTar!B57)</f>
        <v/>
      </c>
      <c r="E90" s="330" t="str">
        <f>IF(Prop2019DistTar!C57="","",Prop2019DistTar!C57)</f>
        <v/>
      </c>
      <c r="F90" s="592">
        <f>Prop2019DistTar!CM57</f>
        <v>0</v>
      </c>
      <c r="I90" s="590">
        <f>Prop2019DistTar!DJ57</f>
        <v>0</v>
      </c>
    </row>
    <row r="91" spans="1:9" x14ac:dyDescent="0.2">
      <c r="A91" s="361" t="b">
        <f t="array" ref="A91">OR(EXACT(D91,Prop2019DistTar!C$6:C$65))</f>
        <v>1</v>
      </c>
      <c r="B91" s="345"/>
      <c r="C91" s="345"/>
      <c r="D91" s="362" t="str">
        <f>IF(Prop2019DistTar!B58="","",Prop2019DistTar!B58)</f>
        <v/>
      </c>
      <c r="E91" s="330" t="str">
        <f>IF(Prop2019DistTar!C58="","",Prop2019DistTar!C58)</f>
        <v/>
      </c>
      <c r="F91" s="592">
        <f>Prop2019DistTar!CM58</f>
        <v>0</v>
      </c>
      <c r="I91" s="590">
        <f>Prop2019DistTar!DJ58</f>
        <v>0</v>
      </c>
    </row>
    <row r="92" spans="1:9" x14ac:dyDescent="0.2">
      <c r="A92" s="361" t="b">
        <f t="array" ref="A92">OR(EXACT(D92,Prop2019DistTar!C$6:C$65))</f>
        <v>1</v>
      </c>
      <c r="B92" s="345"/>
      <c r="C92" s="345"/>
      <c r="D92" s="362" t="str">
        <f>IF(Prop2019DistTar!B59="","",Prop2019DistTar!B59)</f>
        <v/>
      </c>
      <c r="E92" s="330" t="str">
        <f>IF(Prop2019DistTar!C59="","",Prop2019DistTar!C59)</f>
        <v/>
      </c>
      <c r="F92" s="592">
        <f>Prop2019DistTar!CM59</f>
        <v>0</v>
      </c>
      <c r="I92" s="590">
        <f>Prop2019DistTar!DJ59</f>
        <v>0</v>
      </c>
    </row>
    <row r="93" spans="1:9" x14ac:dyDescent="0.2">
      <c r="A93" s="361" t="b">
        <f t="array" ref="A93">OR(EXACT(D93,Prop2019DistTar!C$6:C$65))</f>
        <v>1</v>
      </c>
      <c r="B93" s="345"/>
      <c r="C93" s="345"/>
      <c r="D93" s="362" t="str">
        <f>IF(Prop2019DistTar!B60="","",Prop2019DistTar!B60)</f>
        <v/>
      </c>
      <c r="E93" s="330" t="str">
        <f>IF(Prop2019DistTar!C60="","",Prop2019DistTar!C60)</f>
        <v/>
      </c>
      <c r="F93" s="592">
        <f>Prop2019DistTar!CM60</f>
        <v>0</v>
      </c>
      <c r="I93" s="590">
        <f>Prop2019DistTar!DJ60</f>
        <v>0</v>
      </c>
    </row>
    <row r="94" spans="1:9" x14ac:dyDescent="0.2">
      <c r="A94" s="361" t="b">
        <f t="array" ref="A94">OR(EXACT(D94,Prop2019DistTar!C$6:C$65))</f>
        <v>1</v>
      </c>
      <c r="B94" s="345"/>
      <c r="C94" s="345"/>
      <c r="D94" s="362" t="str">
        <f>IF(Prop2019DistTar!B61="","",Prop2019DistTar!B61)</f>
        <v/>
      </c>
      <c r="E94" s="330" t="str">
        <f>IF(Prop2019DistTar!C61="","",Prop2019DistTar!C61)</f>
        <v/>
      </c>
      <c r="F94" s="592">
        <f>Prop2019DistTar!CM61</f>
        <v>0</v>
      </c>
      <c r="I94" s="590">
        <f>Prop2019DistTar!DJ61</f>
        <v>0</v>
      </c>
    </row>
    <row r="95" spans="1:9" x14ac:dyDescent="0.2">
      <c r="A95" s="361" t="b">
        <f t="array" ref="A95">OR(EXACT(D95,Prop2019DistTar!C$6:C$65))</f>
        <v>1</v>
      </c>
      <c r="B95" s="345"/>
      <c r="C95" s="345"/>
      <c r="D95" s="362" t="str">
        <f>IF(Prop2019DistTar!B62="","",Prop2019DistTar!B62)</f>
        <v/>
      </c>
      <c r="E95" s="330" t="str">
        <f>IF(Prop2019DistTar!C62="","",Prop2019DistTar!C62)</f>
        <v/>
      </c>
      <c r="F95" s="592">
        <f>Prop2019DistTar!CM62</f>
        <v>0</v>
      </c>
      <c r="I95" s="590">
        <f>Prop2019DistTar!DJ62</f>
        <v>0</v>
      </c>
    </row>
    <row r="96" spans="1:9" x14ac:dyDescent="0.2">
      <c r="A96" s="361" t="b">
        <f t="array" ref="A96">OR(EXACT(D96,Prop2019DistTar!C$6:C$65))</f>
        <v>1</v>
      </c>
      <c r="B96" s="345"/>
      <c r="C96" s="345"/>
      <c r="D96" s="362" t="str">
        <f>IF(Prop2019DistTar!B63="","",Prop2019DistTar!B63)</f>
        <v/>
      </c>
      <c r="E96" s="330" t="str">
        <f>IF(Prop2019DistTar!C63="","",Prop2019DistTar!C63)</f>
        <v/>
      </c>
      <c r="F96" s="592">
        <f>Prop2019DistTar!CM63</f>
        <v>0</v>
      </c>
      <c r="I96" s="590">
        <f>Prop2019DistTar!DJ63</f>
        <v>0</v>
      </c>
    </row>
    <row r="97" spans="1:116" x14ac:dyDescent="0.2">
      <c r="A97" s="361" t="b">
        <f t="array" ref="A97">OR(EXACT(D97,Prop2019DistTar!C$6:C$65))</f>
        <v>1</v>
      </c>
      <c r="B97" s="345"/>
      <c r="C97" s="345"/>
      <c r="D97" s="362" t="str">
        <f>IF(Prop2019DistTar!B64="","",Prop2019DistTar!B64)</f>
        <v/>
      </c>
      <c r="E97" s="330" t="str">
        <f>IF(Prop2019DistTar!C64="","",Prop2019DistTar!C64)</f>
        <v/>
      </c>
      <c r="F97" s="592">
        <f>Prop2019DistTar!CM64</f>
        <v>0</v>
      </c>
      <c r="I97" s="590">
        <f>Prop2019DistTar!DJ64</f>
        <v>0</v>
      </c>
    </row>
    <row r="98" spans="1:116" ht="13.5" thickBot="1" x14ac:dyDescent="0.25">
      <c r="A98" s="152" t="b">
        <f t="array" ref="A98">OR(EXACT(D98,Prop2019DistTar!C$6:C$65))</f>
        <v>1</v>
      </c>
      <c r="B98" s="346"/>
      <c r="C98" s="363"/>
      <c r="D98" s="364" t="str">
        <f>IF(Prop2019DistTar!B65="","",Prop2019DistTar!B65)</f>
        <v/>
      </c>
      <c r="E98" s="334" t="str">
        <f>IF(Prop2019DistTar!C65="","",Prop2019DistTar!C65)</f>
        <v/>
      </c>
      <c r="F98" s="591">
        <f>Prop2019DistTar!CM65</f>
        <v>0</v>
      </c>
      <c r="I98" s="589">
        <f>Prop2019DistTar!DJ65</f>
        <v>0</v>
      </c>
    </row>
    <row r="99" spans="1:116" s="337" customFormat="1" ht="13.5" thickBot="1" x14ac:dyDescent="0.25">
      <c r="A99" s="151"/>
      <c r="F99" s="586">
        <f>SUM(F39:F98)</f>
        <v>301246306.61228108</v>
      </c>
      <c r="G99" s="324"/>
      <c r="H99" s="324"/>
      <c r="I99" s="365">
        <f>SUM(I39:I98)</f>
        <v>293525459.9722237</v>
      </c>
      <c r="J99" s="324"/>
      <c r="K99" s="324"/>
      <c r="L99" s="324"/>
      <c r="M99" s="324"/>
      <c r="N99" s="324"/>
      <c r="O99" s="324"/>
      <c r="P99" s="324"/>
      <c r="Q99" s="324"/>
      <c r="R99" s="324"/>
      <c r="S99" s="324"/>
      <c r="T99" s="324"/>
      <c r="U99" s="324"/>
      <c r="V99" s="324"/>
      <c r="W99" s="324"/>
      <c r="X99" s="324"/>
      <c r="Y99" s="324"/>
      <c r="Z99" s="324"/>
      <c r="AA99" s="324"/>
      <c r="AB99" s="324"/>
      <c r="AC99" s="324"/>
      <c r="AD99" s="324"/>
      <c r="AE99" s="324"/>
      <c r="AF99" s="324"/>
      <c r="AG99" s="324"/>
      <c r="AH99" s="324"/>
      <c r="AI99" s="324"/>
      <c r="AJ99" s="324"/>
      <c r="AK99" s="324"/>
      <c r="AL99" s="324"/>
      <c r="AM99" s="324"/>
      <c r="AN99" s="324"/>
      <c r="AO99" s="324"/>
      <c r="AP99" s="324"/>
      <c r="AQ99" s="324"/>
      <c r="AR99" s="324"/>
      <c r="AS99" s="324"/>
      <c r="AT99" s="324"/>
      <c r="AU99" s="324"/>
      <c r="AV99" s="324"/>
      <c r="AW99" s="324"/>
      <c r="AX99" s="324"/>
      <c r="AY99" s="324"/>
      <c r="AZ99" s="324"/>
      <c r="BA99" s="324"/>
      <c r="BB99" s="324"/>
      <c r="BC99" s="324"/>
      <c r="BD99" s="324"/>
      <c r="BE99" s="324"/>
      <c r="BF99" s="324"/>
      <c r="BG99" s="324"/>
      <c r="BH99" s="324"/>
      <c r="BI99" s="324"/>
      <c r="BJ99" s="324"/>
      <c r="BK99" s="324"/>
      <c r="BL99" s="324"/>
      <c r="BM99" s="324"/>
      <c r="BN99" s="324"/>
      <c r="BO99" s="324"/>
      <c r="BP99" s="324"/>
      <c r="BQ99" s="324"/>
      <c r="BR99" s="324"/>
      <c r="BS99" s="324"/>
      <c r="BT99" s="324"/>
      <c r="BU99" s="324"/>
      <c r="BV99" s="324"/>
      <c r="BW99" s="324"/>
      <c r="BX99" s="324"/>
      <c r="BY99" s="324"/>
      <c r="BZ99" s="324"/>
      <c r="CA99" s="324"/>
      <c r="CB99" s="324"/>
      <c r="CC99" s="324"/>
      <c r="CD99" s="324"/>
      <c r="CE99" s="324"/>
      <c r="CF99" s="324"/>
      <c r="CG99" s="324"/>
      <c r="CH99" s="324"/>
      <c r="CI99" s="324"/>
      <c r="CJ99" s="324"/>
      <c r="CK99" s="324"/>
      <c r="CL99" s="324"/>
      <c r="CM99" s="324"/>
      <c r="CN99" s="324"/>
      <c r="CO99" s="324"/>
      <c r="CP99" s="324"/>
      <c r="CQ99" s="324"/>
      <c r="CR99" s="324"/>
      <c r="CS99" s="324"/>
      <c r="CT99" s="324"/>
      <c r="CU99" s="324"/>
      <c r="CV99" s="324"/>
      <c r="CW99" s="324"/>
      <c r="CX99" s="324"/>
      <c r="CY99" s="324"/>
      <c r="CZ99" s="324"/>
      <c r="DA99" s="324"/>
      <c r="DB99" s="324"/>
      <c r="DC99" s="324"/>
      <c r="DD99" s="324"/>
      <c r="DE99" s="324"/>
      <c r="DF99" s="324"/>
      <c r="DG99" s="324"/>
      <c r="DH99" s="324"/>
      <c r="DI99" s="324"/>
      <c r="DJ99" s="324"/>
      <c r="DK99" s="324"/>
      <c r="DL99" s="324"/>
    </row>
    <row r="100" spans="1:116" s="337" customFormat="1" ht="13.5" thickTop="1" x14ac:dyDescent="0.2">
      <c r="A100" s="151"/>
      <c r="G100" s="324"/>
      <c r="H100" s="324"/>
      <c r="I100" s="324"/>
      <c r="J100" s="324"/>
      <c r="K100" s="324"/>
      <c r="L100" s="324"/>
      <c r="M100" s="324"/>
      <c r="N100" s="324"/>
      <c r="O100" s="324"/>
      <c r="P100" s="324"/>
      <c r="Q100" s="324"/>
      <c r="R100" s="324"/>
      <c r="S100" s="324"/>
      <c r="T100" s="324"/>
      <c r="U100" s="324"/>
      <c r="V100" s="324"/>
      <c r="W100" s="324"/>
      <c r="X100" s="324"/>
      <c r="Y100" s="324"/>
      <c r="Z100" s="324"/>
      <c r="AA100" s="324"/>
      <c r="AB100" s="324"/>
      <c r="AC100" s="324"/>
      <c r="AD100" s="324"/>
      <c r="AE100" s="324"/>
      <c r="AF100" s="324"/>
      <c r="AG100" s="324"/>
      <c r="AH100" s="324"/>
      <c r="AI100" s="324"/>
      <c r="AJ100" s="324"/>
      <c r="AK100" s="324"/>
      <c r="AL100" s="324"/>
      <c r="AM100" s="324"/>
      <c r="AN100" s="324"/>
      <c r="AO100" s="324"/>
      <c r="AP100" s="324"/>
      <c r="AQ100" s="324"/>
      <c r="AR100" s="324"/>
      <c r="AS100" s="324"/>
      <c r="AT100" s="324"/>
      <c r="AU100" s="324"/>
      <c r="AV100" s="324"/>
      <c r="AW100" s="324"/>
      <c r="AX100" s="324"/>
      <c r="AY100" s="324"/>
      <c r="AZ100" s="324"/>
      <c r="BA100" s="324"/>
      <c r="BB100" s="324"/>
      <c r="BC100" s="324"/>
      <c r="BD100" s="324"/>
      <c r="BE100" s="324"/>
      <c r="BF100" s="324"/>
      <c r="BG100" s="324"/>
      <c r="BH100" s="324"/>
      <c r="BI100" s="324"/>
      <c r="BJ100" s="324"/>
      <c r="BK100" s="324"/>
      <c r="BL100" s="324"/>
      <c r="BM100" s="324"/>
      <c r="BN100" s="324"/>
      <c r="BO100" s="324"/>
      <c r="BP100" s="324"/>
      <c r="BQ100" s="324"/>
      <c r="BR100" s="324"/>
      <c r="BS100" s="324"/>
      <c r="BT100" s="324"/>
      <c r="BU100" s="324"/>
      <c r="BV100" s="324"/>
      <c r="BW100" s="324"/>
      <c r="BX100" s="324"/>
      <c r="BY100" s="324"/>
      <c r="BZ100" s="324"/>
      <c r="CA100" s="324"/>
      <c r="CB100" s="324"/>
      <c r="CC100" s="324"/>
      <c r="CD100" s="324"/>
      <c r="CE100" s="324"/>
      <c r="CF100" s="324"/>
      <c r="CG100" s="324"/>
      <c r="CH100" s="324"/>
      <c r="CI100" s="324"/>
      <c r="CJ100" s="324"/>
      <c r="CK100" s="324"/>
      <c r="CL100" s="324"/>
      <c r="CM100" s="324"/>
      <c r="CN100" s="324"/>
      <c r="CO100" s="324"/>
      <c r="CP100" s="324"/>
      <c r="CQ100" s="324"/>
      <c r="CR100" s="324"/>
      <c r="CS100" s="324"/>
      <c r="CT100" s="324"/>
      <c r="CU100" s="324"/>
      <c r="CV100" s="324"/>
      <c r="CW100" s="324"/>
      <c r="CX100" s="324"/>
      <c r="CY100" s="324"/>
      <c r="CZ100" s="324"/>
      <c r="DA100" s="324"/>
      <c r="DB100" s="324"/>
      <c r="DC100" s="324"/>
      <c r="DD100" s="324"/>
      <c r="DE100" s="324"/>
      <c r="DF100" s="324"/>
      <c r="DG100" s="324"/>
      <c r="DH100" s="324"/>
      <c r="DI100" s="324"/>
      <c r="DJ100" s="324"/>
      <c r="DK100" s="324"/>
      <c r="DL100" s="324"/>
    </row>
    <row r="101" spans="1:116" s="337" customFormat="1" x14ac:dyDescent="0.2">
      <c r="A101" s="151"/>
      <c r="Z101" s="324"/>
      <c r="AA101" s="324"/>
      <c r="AB101" s="324"/>
      <c r="AC101" s="324"/>
      <c r="AD101" s="324"/>
      <c r="AE101" s="324"/>
      <c r="AF101" s="324"/>
      <c r="AG101" s="324"/>
      <c r="AH101" s="324"/>
      <c r="AI101" s="324"/>
      <c r="AJ101" s="324"/>
      <c r="AK101" s="324"/>
      <c r="AL101" s="324"/>
      <c r="AM101" s="324"/>
      <c r="AN101" s="324"/>
      <c r="AO101" s="324"/>
      <c r="AP101" s="324"/>
      <c r="AQ101" s="324"/>
      <c r="AR101" s="324"/>
      <c r="AS101" s="324"/>
      <c r="AT101" s="324"/>
      <c r="AU101" s="324"/>
      <c r="AV101" s="324"/>
      <c r="AW101" s="324"/>
      <c r="AX101" s="324"/>
      <c r="AY101" s="324"/>
      <c r="AZ101" s="324"/>
      <c r="BA101" s="324"/>
      <c r="BB101" s="324"/>
      <c r="BC101" s="324"/>
      <c r="BD101" s="324"/>
      <c r="BE101" s="324"/>
      <c r="BF101" s="324"/>
      <c r="BG101" s="324"/>
      <c r="BH101" s="324"/>
      <c r="BI101" s="324"/>
      <c r="BJ101" s="324"/>
      <c r="BK101" s="324"/>
      <c r="BL101" s="324"/>
      <c r="BM101" s="324"/>
      <c r="BN101" s="324"/>
      <c r="BO101" s="324"/>
      <c r="BP101" s="324"/>
      <c r="BQ101" s="324"/>
      <c r="BR101" s="324"/>
      <c r="BS101" s="324"/>
      <c r="BT101" s="324"/>
      <c r="BU101" s="324"/>
      <c r="BV101" s="324"/>
      <c r="BW101" s="324"/>
      <c r="BX101" s="324"/>
      <c r="BY101" s="324"/>
      <c r="BZ101" s="324"/>
      <c r="CA101" s="324"/>
      <c r="CB101" s="324"/>
      <c r="CC101" s="324"/>
      <c r="CD101" s="324"/>
      <c r="CE101" s="324"/>
      <c r="CF101" s="324"/>
      <c r="CG101" s="324"/>
      <c r="CH101" s="324"/>
      <c r="CI101" s="324"/>
      <c r="CJ101" s="324"/>
      <c r="CK101" s="324"/>
      <c r="CL101" s="324"/>
      <c r="CM101" s="324"/>
      <c r="CN101" s="324"/>
      <c r="CO101" s="324"/>
      <c r="CP101" s="324"/>
      <c r="CQ101" s="324"/>
      <c r="CR101" s="324"/>
      <c r="CS101" s="324"/>
      <c r="CT101" s="324"/>
      <c r="CU101" s="324"/>
      <c r="CV101" s="324"/>
      <c r="CW101" s="324"/>
      <c r="CX101" s="324"/>
      <c r="CY101" s="324"/>
      <c r="CZ101" s="324"/>
      <c r="DA101" s="324"/>
      <c r="DB101" s="324"/>
      <c r="DC101" s="324"/>
      <c r="DD101" s="324"/>
      <c r="DE101" s="324"/>
      <c r="DF101" s="324"/>
      <c r="DG101" s="324"/>
      <c r="DH101" s="324"/>
      <c r="DI101" s="324"/>
      <c r="DJ101" s="324"/>
      <c r="DK101" s="324"/>
      <c r="DL101" s="324"/>
    </row>
    <row r="102" spans="1:116" s="337" customFormat="1" x14ac:dyDescent="0.2">
      <c r="A102" s="151"/>
      <c r="Z102" s="324"/>
      <c r="AA102" s="324"/>
      <c r="AB102" s="324"/>
      <c r="AC102" s="324"/>
      <c r="AD102" s="324"/>
      <c r="AE102" s="324"/>
      <c r="AF102" s="324"/>
      <c r="AG102" s="324"/>
      <c r="AH102" s="324"/>
      <c r="AI102" s="324"/>
      <c r="AJ102" s="324"/>
      <c r="AK102" s="324"/>
      <c r="AL102" s="324"/>
      <c r="AM102" s="324"/>
      <c r="AN102" s="324"/>
      <c r="AO102" s="324"/>
      <c r="AP102" s="324"/>
      <c r="AQ102" s="324"/>
      <c r="AR102" s="324"/>
      <c r="AS102" s="324"/>
      <c r="AT102" s="324"/>
      <c r="AU102" s="324"/>
      <c r="AV102" s="324"/>
      <c r="AW102" s="324"/>
      <c r="AX102" s="324"/>
      <c r="AY102" s="324"/>
      <c r="AZ102" s="324"/>
      <c r="BA102" s="324"/>
      <c r="BB102" s="324"/>
      <c r="BC102" s="324"/>
      <c r="BD102" s="324"/>
      <c r="BE102" s="324"/>
      <c r="BF102" s="324"/>
      <c r="BG102" s="324"/>
      <c r="BH102" s="324"/>
      <c r="BI102" s="324"/>
      <c r="BJ102" s="324"/>
      <c r="BK102" s="324"/>
      <c r="BL102" s="324"/>
      <c r="BM102" s="324"/>
      <c r="BN102" s="324"/>
      <c r="BO102" s="324"/>
      <c r="BP102" s="324"/>
      <c r="BQ102" s="324"/>
      <c r="BR102" s="324"/>
      <c r="BS102" s="324"/>
      <c r="BT102" s="324"/>
      <c r="BU102" s="324"/>
      <c r="BV102" s="324"/>
      <c r="BW102" s="324"/>
      <c r="BX102" s="324"/>
      <c r="BY102" s="324"/>
      <c r="BZ102" s="324"/>
      <c r="CA102" s="324"/>
      <c r="CB102" s="324"/>
      <c r="CC102" s="324"/>
      <c r="CD102" s="324"/>
      <c r="CE102" s="324"/>
      <c r="CF102" s="324"/>
      <c r="CG102" s="324"/>
      <c r="CH102" s="324"/>
      <c r="CI102" s="324"/>
      <c r="CJ102" s="324"/>
      <c r="CK102" s="324"/>
      <c r="CL102" s="324"/>
      <c r="CM102" s="324"/>
      <c r="CN102" s="324"/>
      <c r="CO102" s="324"/>
      <c r="CP102" s="324"/>
      <c r="CQ102" s="324"/>
      <c r="CR102" s="324"/>
      <c r="CS102" s="324"/>
      <c r="CT102" s="324"/>
      <c r="CU102" s="324"/>
      <c r="CV102" s="324"/>
      <c r="CW102" s="324"/>
      <c r="CX102" s="324"/>
      <c r="CY102" s="324"/>
      <c r="CZ102" s="324"/>
      <c r="DA102" s="324"/>
      <c r="DB102" s="324"/>
      <c r="DC102" s="324"/>
      <c r="DD102" s="324"/>
      <c r="DE102" s="324"/>
      <c r="DF102" s="324"/>
      <c r="DG102" s="324"/>
      <c r="DH102" s="324"/>
      <c r="DI102" s="324"/>
      <c r="DJ102" s="324"/>
      <c r="DK102" s="324"/>
      <c r="DL102" s="324"/>
    </row>
    <row r="103" spans="1:116" s="337" customFormat="1" x14ac:dyDescent="0.2">
      <c r="A103" s="151"/>
      <c r="Z103" s="324"/>
      <c r="AA103" s="324"/>
      <c r="AB103" s="324"/>
      <c r="AC103" s="324"/>
      <c r="AD103" s="324"/>
      <c r="AE103" s="324"/>
      <c r="AF103" s="324"/>
      <c r="AG103" s="324"/>
      <c r="AH103" s="324"/>
      <c r="AI103" s="324"/>
      <c r="AJ103" s="324"/>
      <c r="AK103" s="324"/>
      <c r="AL103" s="324"/>
      <c r="AM103" s="324"/>
      <c r="AN103" s="324"/>
      <c r="AO103" s="324"/>
      <c r="AP103" s="324"/>
      <c r="AQ103" s="324"/>
      <c r="AR103" s="324"/>
      <c r="AS103" s="324"/>
      <c r="AT103" s="324"/>
      <c r="AU103" s="324"/>
      <c r="AV103" s="324"/>
      <c r="AW103" s="324"/>
      <c r="AX103" s="324"/>
      <c r="AY103" s="324"/>
      <c r="AZ103" s="324"/>
      <c r="BA103" s="324"/>
      <c r="BB103" s="324"/>
      <c r="BC103" s="324"/>
      <c r="BD103" s="324"/>
      <c r="BE103" s="324"/>
      <c r="BF103" s="324"/>
      <c r="BG103" s="324"/>
      <c r="BH103" s="324"/>
      <c r="BI103" s="324"/>
      <c r="BJ103" s="324"/>
      <c r="BK103" s="324"/>
      <c r="BL103" s="324"/>
      <c r="BM103" s="324"/>
      <c r="BN103" s="324"/>
      <c r="BO103" s="324"/>
      <c r="BP103" s="324"/>
      <c r="BQ103" s="324"/>
      <c r="BR103" s="324"/>
      <c r="BS103" s="324"/>
      <c r="BT103" s="324"/>
      <c r="BU103" s="324"/>
      <c r="BV103" s="324"/>
      <c r="BW103" s="324"/>
      <c r="BX103" s="324"/>
      <c r="BY103" s="324"/>
      <c r="BZ103" s="324"/>
      <c r="CA103" s="324"/>
      <c r="CB103" s="324"/>
      <c r="CC103" s="324"/>
      <c r="CD103" s="324"/>
      <c r="CE103" s="324"/>
      <c r="CF103" s="324"/>
      <c r="CG103" s="324"/>
      <c r="CH103" s="324"/>
      <c r="CI103" s="324"/>
      <c r="CJ103" s="324"/>
      <c r="CK103" s="324"/>
      <c r="CL103" s="324"/>
      <c r="CM103" s="324"/>
      <c r="CN103" s="324"/>
      <c r="CO103" s="324"/>
      <c r="CP103" s="324"/>
      <c r="CQ103" s="324"/>
      <c r="CR103" s="324"/>
      <c r="CS103" s="324"/>
      <c r="CT103" s="324"/>
      <c r="CU103" s="324"/>
      <c r="CV103" s="324"/>
      <c r="CW103" s="324"/>
      <c r="CX103" s="324"/>
      <c r="CY103" s="324"/>
      <c r="CZ103" s="324"/>
      <c r="DA103" s="324"/>
      <c r="DB103" s="324"/>
      <c r="DC103" s="324"/>
      <c r="DD103" s="324"/>
      <c r="DE103" s="324"/>
      <c r="DF103" s="324"/>
      <c r="DG103" s="324"/>
      <c r="DH103" s="324"/>
      <c r="DI103" s="324"/>
      <c r="DJ103" s="324"/>
      <c r="DK103" s="324"/>
      <c r="DL103" s="324"/>
    </row>
    <row r="104" spans="1:116" s="337" customFormat="1" x14ac:dyDescent="0.2">
      <c r="A104" s="151"/>
      <c r="Z104" s="324"/>
      <c r="AA104" s="324"/>
      <c r="AB104" s="324"/>
      <c r="AC104" s="324"/>
      <c r="AD104" s="324"/>
      <c r="AE104" s="324"/>
      <c r="AF104" s="324"/>
      <c r="AG104" s="324"/>
      <c r="AH104" s="324"/>
      <c r="AI104" s="324"/>
      <c r="AJ104" s="324"/>
      <c r="AK104" s="324"/>
      <c r="AL104" s="324"/>
      <c r="AM104" s="324"/>
      <c r="AN104" s="324"/>
      <c r="AO104" s="324"/>
      <c r="AP104" s="324"/>
      <c r="AQ104" s="324"/>
      <c r="AR104" s="324"/>
      <c r="AS104" s="324"/>
      <c r="AT104" s="324"/>
      <c r="AU104" s="324"/>
      <c r="AV104" s="324"/>
      <c r="AW104" s="324"/>
      <c r="AX104" s="324"/>
      <c r="AY104" s="324"/>
      <c r="AZ104" s="324"/>
      <c r="BA104" s="324"/>
      <c r="BB104" s="324"/>
      <c r="BC104" s="324"/>
      <c r="BD104" s="324"/>
      <c r="BE104" s="324"/>
      <c r="BF104" s="324"/>
      <c r="BG104" s="324"/>
      <c r="BH104" s="324"/>
      <c r="BI104" s="324"/>
      <c r="BJ104" s="324"/>
      <c r="BK104" s="324"/>
      <c r="BL104" s="324"/>
      <c r="BM104" s="324"/>
      <c r="BN104" s="324"/>
      <c r="BO104" s="324"/>
      <c r="BP104" s="324"/>
      <c r="BQ104" s="324"/>
      <c r="BR104" s="324"/>
      <c r="BS104" s="324"/>
      <c r="BT104" s="324"/>
      <c r="BU104" s="324"/>
      <c r="BV104" s="324"/>
      <c r="BW104" s="324"/>
      <c r="BX104" s="324"/>
      <c r="BY104" s="324"/>
      <c r="BZ104" s="324"/>
      <c r="CA104" s="324"/>
      <c r="CB104" s="324"/>
      <c r="CC104" s="324"/>
      <c r="CD104" s="324"/>
      <c r="CE104" s="324"/>
      <c r="CF104" s="324"/>
      <c r="CG104" s="324"/>
      <c r="CH104" s="324"/>
      <c r="CI104" s="324"/>
      <c r="CJ104" s="324"/>
      <c r="CK104" s="324"/>
      <c r="CL104" s="324"/>
      <c r="CM104" s="324"/>
      <c r="CN104" s="324"/>
      <c r="CO104" s="324"/>
      <c r="CP104" s="324"/>
      <c r="CQ104" s="324"/>
      <c r="CR104" s="324"/>
      <c r="CS104" s="324"/>
      <c r="CT104" s="324"/>
      <c r="CU104" s="324"/>
      <c r="CV104" s="324"/>
      <c r="CW104" s="324"/>
      <c r="CX104" s="324"/>
      <c r="CY104" s="324"/>
      <c r="CZ104" s="324"/>
      <c r="DA104" s="324"/>
      <c r="DB104" s="324"/>
      <c r="DC104" s="324"/>
      <c r="DD104" s="324"/>
      <c r="DE104" s="324"/>
      <c r="DF104" s="324"/>
      <c r="DG104" s="324"/>
      <c r="DH104" s="324"/>
      <c r="DI104" s="324"/>
      <c r="DJ104" s="324"/>
      <c r="DK104" s="324"/>
      <c r="DL104" s="324"/>
    </row>
    <row r="105" spans="1:116" s="337" customFormat="1" x14ac:dyDescent="0.2">
      <c r="A105" s="151"/>
      <c r="Z105" s="324"/>
      <c r="AA105" s="324"/>
      <c r="AB105" s="324"/>
      <c r="AC105" s="324"/>
      <c r="AD105" s="324"/>
      <c r="AE105" s="324"/>
      <c r="AF105" s="324"/>
      <c r="AG105" s="324"/>
      <c r="AH105" s="324"/>
      <c r="AI105" s="324"/>
      <c r="AJ105" s="324"/>
      <c r="AK105" s="324"/>
      <c r="AL105" s="324"/>
      <c r="AM105" s="324"/>
      <c r="AN105" s="324"/>
      <c r="AO105" s="324"/>
      <c r="AP105" s="324"/>
      <c r="AQ105" s="324"/>
      <c r="AR105" s="324"/>
      <c r="AS105" s="324"/>
      <c r="AT105" s="324"/>
      <c r="AU105" s="324"/>
      <c r="AV105" s="324"/>
      <c r="AW105" s="324"/>
      <c r="AX105" s="324"/>
      <c r="AY105" s="324"/>
      <c r="AZ105" s="324"/>
      <c r="BA105" s="324"/>
      <c r="BB105" s="324"/>
      <c r="BC105" s="324"/>
      <c r="BD105" s="324"/>
      <c r="BE105" s="324"/>
      <c r="BF105" s="324"/>
      <c r="BG105" s="324"/>
      <c r="BH105" s="324"/>
      <c r="BI105" s="324"/>
      <c r="BJ105" s="324"/>
      <c r="BK105" s="324"/>
      <c r="BL105" s="324"/>
      <c r="BM105" s="324"/>
      <c r="BN105" s="324"/>
      <c r="BO105" s="324"/>
      <c r="BP105" s="324"/>
      <c r="BQ105" s="324"/>
      <c r="BR105" s="324"/>
      <c r="BS105" s="324"/>
      <c r="BT105" s="324"/>
      <c r="BU105" s="324"/>
      <c r="BV105" s="324"/>
      <c r="BW105" s="324"/>
      <c r="BX105" s="324"/>
      <c r="BY105" s="324"/>
      <c r="BZ105" s="324"/>
      <c r="CA105" s="324"/>
      <c r="CB105" s="324"/>
      <c r="CC105" s="324"/>
      <c r="CD105" s="324"/>
      <c r="CE105" s="324"/>
      <c r="CF105" s="324"/>
      <c r="CG105" s="324"/>
      <c r="CH105" s="324"/>
      <c r="CI105" s="324"/>
      <c r="CJ105" s="324"/>
      <c r="CK105" s="324"/>
      <c r="CL105" s="324"/>
      <c r="CM105" s="324"/>
      <c r="CN105" s="324"/>
      <c r="CO105" s="324"/>
      <c r="CP105" s="324"/>
      <c r="CQ105" s="324"/>
      <c r="CR105" s="324"/>
      <c r="CS105" s="324"/>
      <c r="CT105" s="324"/>
      <c r="CU105" s="324"/>
      <c r="CV105" s="324"/>
      <c r="CW105" s="324"/>
      <c r="CX105" s="324"/>
      <c r="CY105" s="324"/>
      <c r="CZ105" s="324"/>
      <c r="DA105" s="324"/>
      <c r="DB105" s="324"/>
      <c r="DC105" s="324"/>
      <c r="DD105" s="324"/>
      <c r="DE105" s="324"/>
      <c r="DF105" s="324"/>
      <c r="DG105" s="324"/>
      <c r="DH105" s="324"/>
      <c r="DI105" s="324"/>
      <c r="DJ105" s="324"/>
      <c r="DK105" s="324"/>
      <c r="DL105" s="324"/>
    </row>
    <row r="106" spans="1:116" s="337" customFormat="1" x14ac:dyDescent="0.2">
      <c r="A106" s="151"/>
      <c r="Z106" s="324"/>
      <c r="AA106" s="324"/>
      <c r="AB106" s="324"/>
      <c r="AC106" s="324"/>
      <c r="AD106" s="324"/>
      <c r="AE106" s="324"/>
      <c r="AF106" s="324"/>
      <c r="AG106" s="324"/>
      <c r="AH106" s="324"/>
      <c r="AI106" s="324"/>
      <c r="AJ106" s="324"/>
      <c r="AK106" s="324"/>
      <c r="AL106" s="324"/>
      <c r="AM106" s="324"/>
      <c r="AN106" s="324"/>
      <c r="AO106" s="324"/>
      <c r="AP106" s="324"/>
      <c r="AQ106" s="324"/>
      <c r="AR106" s="324"/>
      <c r="AS106" s="324"/>
      <c r="AT106" s="324"/>
      <c r="AU106" s="324"/>
      <c r="AV106" s="324"/>
      <c r="AW106" s="324"/>
      <c r="AX106" s="324"/>
      <c r="AY106" s="324"/>
      <c r="AZ106" s="324"/>
      <c r="BA106" s="324"/>
      <c r="BB106" s="324"/>
      <c r="BC106" s="324"/>
      <c r="BD106" s="324"/>
      <c r="BE106" s="324"/>
      <c r="BF106" s="324"/>
      <c r="BG106" s="324"/>
      <c r="BH106" s="324"/>
      <c r="BI106" s="324"/>
      <c r="BJ106" s="324"/>
      <c r="BK106" s="324"/>
      <c r="BL106" s="324"/>
      <c r="BM106" s="324"/>
      <c r="BN106" s="324"/>
      <c r="BO106" s="324"/>
      <c r="BP106" s="324"/>
      <c r="BQ106" s="324"/>
      <c r="BR106" s="324"/>
      <c r="BS106" s="324"/>
      <c r="BT106" s="324"/>
      <c r="BU106" s="324"/>
      <c r="BV106" s="324"/>
      <c r="BW106" s="324"/>
      <c r="BX106" s="324"/>
      <c r="BY106" s="324"/>
      <c r="BZ106" s="324"/>
      <c r="CA106" s="324"/>
      <c r="CB106" s="324"/>
      <c r="CC106" s="324"/>
      <c r="CD106" s="324"/>
      <c r="CE106" s="324"/>
      <c r="CF106" s="324"/>
      <c r="CG106" s="324"/>
      <c r="CH106" s="324"/>
      <c r="CI106" s="324"/>
      <c r="CJ106" s="324"/>
      <c r="CK106" s="324"/>
      <c r="CL106" s="324"/>
      <c r="CM106" s="324"/>
      <c r="CN106" s="324"/>
      <c r="CO106" s="324"/>
      <c r="CP106" s="324"/>
      <c r="CQ106" s="324"/>
      <c r="CR106" s="324"/>
      <c r="CS106" s="324"/>
      <c r="CT106" s="324"/>
      <c r="CU106" s="324"/>
      <c r="CV106" s="324"/>
      <c r="CW106" s="324"/>
      <c r="CX106" s="324"/>
      <c r="CY106" s="324"/>
      <c r="CZ106" s="324"/>
      <c r="DA106" s="324"/>
      <c r="DB106" s="324"/>
      <c r="DC106" s="324"/>
      <c r="DD106" s="324"/>
      <c r="DE106" s="324"/>
      <c r="DF106" s="324"/>
      <c r="DG106" s="324"/>
      <c r="DH106" s="324"/>
      <c r="DI106" s="324"/>
      <c r="DJ106" s="324"/>
      <c r="DK106" s="324"/>
      <c r="DL106" s="324"/>
    </row>
    <row r="107" spans="1:116" s="337" customFormat="1" x14ac:dyDescent="0.2">
      <c r="A107" s="151"/>
      <c r="Z107" s="324"/>
      <c r="AA107" s="324"/>
      <c r="AB107" s="324"/>
      <c r="AC107" s="324"/>
      <c r="AD107" s="324"/>
      <c r="AE107" s="324"/>
      <c r="AF107" s="324"/>
      <c r="AG107" s="324"/>
      <c r="AH107" s="324"/>
      <c r="AI107" s="324"/>
      <c r="AJ107" s="324"/>
      <c r="AK107" s="324"/>
      <c r="AL107" s="324"/>
      <c r="AM107" s="324"/>
      <c r="AN107" s="324"/>
      <c r="AO107" s="324"/>
      <c r="AP107" s="324"/>
      <c r="AQ107" s="324"/>
      <c r="AR107" s="324"/>
      <c r="AS107" s="324"/>
      <c r="AT107" s="324"/>
      <c r="AU107" s="324"/>
      <c r="AV107" s="324"/>
      <c r="AW107" s="324"/>
      <c r="AX107" s="324"/>
      <c r="AY107" s="324"/>
      <c r="AZ107" s="324"/>
      <c r="BA107" s="324"/>
      <c r="BB107" s="324"/>
      <c r="BC107" s="324"/>
      <c r="BD107" s="324"/>
      <c r="BE107" s="324"/>
      <c r="BF107" s="324"/>
      <c r="BG107" s="324"/>
      <c r="BH107" s="324"/>
      <c r="BI107" s="324"/>
      <c r="BJ107" s="324"/>
      <c r="BK107" s="324"/>
      <c r="BL107" s="324"/>
      <c r="BM107" s="324"/>
      <c r="BN107" s="324"/>
      <c r="BO107" s="324"/>
      <c r="BP107" s="324"/>
      <c r="BQ107" s="324"/>
      <c r="BR107" s="324"/>
      <c r="BS107" s="324"/>
      <c r="BT107" s="324"/>
      <c r="BU107" s="324"/>
      <c r="BV107" s="324"/>
      <c r="BW107" s="324"/>
      <c r="BX107" s="324"/>
      <c r="BY107" s="324"/>
      <c r="BZ107" s="324"/>
      <c r="CA107" s="324"/>
      <c r="CB107" s="324"/>
      <c r="CC107" s="324"/>
      <c r="CD107" s="324"/>
      <c r="CE107" s="324"/>
      <c r="CF107" s="324"/>
      <c r="CG107" s="324"/>
      <c r="CH107" s="324"/>
      <c r="CI107" s="324"/>
      <c r="CJ107" s="324"/>
      <c r="CK107" s="324"/>
      <c r="CL107" s="324"/>
      <c r="CM107" s="324"/>
      <c r="CN107" s="324"/>
      <c r="CO107" s="324"/>
      <c r="CP107" s="324"/>
      <c r="CQ107" s="324"/>
      <c r="CR107" s="324"/>
      <c r="CS107" s="324"/>
      <c r="CT107" s="324"/>
      <c r="CU107" s="324"/>
      <c r="CV107" s="324"/>
      <c r="CW107" s="324"/>
      <c r="CX107" s="324"/>
      <c r="CY107" s="324"/>
      <c r="CZ107" s="324"/>
      <c r="DA107" s="324"/>
      <c r="DB107" s="324"/>
      <c r="DC107" s="324"/>
      <c r="DD107" s="324"/>
      <c r="DE107" s="324"/>
      <c r="DF107" s="324"/>
      <c r="DG107" s="324"/>
      <c r="DH107" s="324"/>
      <c r="DI107" s="324"/>
      <c r="DJ107" s="324"/>
      <c r="DK107" s="324"/>
      <c r="DL107" s="324"/>
    </row>
    <row r="108" spans="1:116" s="337" customFormat="1" x14ac:dyDescent="0.2">
      <c r="A108" s="151"/>
      <c r="Z108" s="324"/>
      <c r="AA108" s="324"/>
      <c r="AB108" s="324"/>
      <c r="AC108" s="324"/>
      <c r="AD108" s="324"/>
      <c r="AE108" s="324"/>
      <c r="AF108" s="324"/>
      <c r="AG108" s="324"/>
      <c r="AH108" s="324"/>
      <c r="AI108" s="324"/>
      <c r="AJ108" s="324"/>
      <c r="AK108" s="324"/>
      <c r="AL108" s="324"/>
      <c r="AM108" s="324"/>
      <c r="AN108" s="324"/>
      <c r="AO108" s="324"/>
      <c r="AP108" s="324"/>
      <c r="AQ108" s="324"/>
      <c r="AR108" s="324"/>
      <c r="AS108" s="324"/>
      <c r="AT108" s="324"/>
      <c r="AU108" s="324"/>
      <c r="AV108" s="324"/>
      <c r="AW108" s="324"/>
      <c r="AX108" s="324"/>
      <c r="AY108" s="324"/>
      <c r="AZ108" s="324"/>
      <c r="BA108" s="324"/>
      <c r="BB108" s="324"/>
      <c r="BC108" s="324"/>
      <c r="BD108" s="324"/>
      <c r="BE108" s="324"/>
      <c r="BF108" s="324"/>
      <c r="BG108" s="324"/>
      <c r="BH108" s="324"/>
      <c r="BI108" s="324"/>
      <c r="BJ108" s="324"/>
      <c r="BK108" s="324"/>
      <c r="BL108" s="324"/>
      <c r="BM108" s="324"/>
      <c r="BN108" s="324"/>
      <c r="BO108" s="324"/>
      <c r="BP108" s="324"/>
      <c r="BQ108" s="324"/>
      <c r="BR108" s="324"/>
      <c r="BS108" s="324"/>
      <c r="BT108" s="324"/>
      <c r="BU108" s="324"/>
      <c r="BV108" s="324"/>
      <c r="BW108" s="324"/>
      <c r="BX108" s="324"/>
      <c r="BY108" s="324"/>
      <c r="BZ108" s="324"/>
      <c r="CA108" s="324"/>
      <c r="CB108" s="324"/>
      <c r="CC108" s="324"/>
      <c r="CD108" s="324"/>
      <c r="CE108" s="324"/>
      <c r="CF108" s="324"/>
      <c r="CG108" s="324"/>
      <c r="CH108" s="324"/>
      <c r="CI108" s="324"/>
      <c r="CJ108" s="324"/>
      <c r="CK108" s="324"/>
      <c r="CL108" s="324"/>
      <c r="CM108" s="324"/>
      <c r="CN108" s="324"/>
      <c r="CO108" s="324"/>
      <c r="CP108" s="324"/>
      <c r="CQ108" s="324"/>
      <c r="CR108" s="324"/>
      <c r="CS108" s="324"/>
      <c r="CT108" s="324"/>
      <c r="CU108" s="324"/>
      <c r="CV108" s="324"/>
      <c r="CW108" s="324"/>
      <c r="CX108" s="324"/>
      <c r="CY108" s="324"/>
      <c r="CZ108" s="324"/>
      <c r="DA108" s="324"/>
      <c r="DB108" s="324"/>
      <c r="DC108" s="324"/>
      <c r="DD108" s="324"/>
      <c r="DE108" s="324"/>
      <c r="DF108" s="324"/>
      <c r="DG108" s="324"/>
      <c r="DH108" s="324"/>
      <c r="DI108" s="324"/>
      <c r="DJ108" s="324"/>
      <c r="DK108" s="324"/>
      <c r="DL108" s="324"/>
    </row>
    <row r="109" spans="1:116" s="337" customFormat="1" x14ac:dyDescent="0.2">
      <c r="A109" s="151"/>
    </row>
    <row r="110" spans="1:116" s="337" customFormat="1" x14ac:dyDescent="0.2">
      <c r="A110" s="151"/>
    </row>
    <row r="111" spans="1:116" s="337" customFormat="1" x14ac:dyDescent="0.2">
      <c r="A111" s="151"/>
    </row>
    <row r="112" spans="1:116" s="337" customFormat="1" x14ac:dyDescent="0.2">
      <c r="A112" s="151"/>
    </row>
    <row r="113" spans="1:1" s="337" customFormat="1" x14ac:dyDescent="0.2">
      <c r="A113" s="151"/>
    </row>
    <row r="114" spans="1:1" s="337" customFormat="1" x14ac:dyDescent="0.2">
      <c r="A114" s="151"/>
    </row>
    <row r="115" spans="1:1" s="337" customFormat="1" x14ac:dyDescent="0.2">
      <c r="A115" s="151"/>
    </row>
    <row r="116" spans="1:1" s="337" customFormat="1" x14ac:dyDescent="0.2">
      <c r="A116" s="151"/>
    </row>
    <row r="117" spans="1:1" s="337" customFormat="1" x14ac:dyDescent="0.2">
      <c r="A117" s="151"/>
    </row>
    <row r="118" spans="1:1" s="337" customFormat="1" x14ac:dyDescent="0.2">
      <c r="A118" s="151"/>
    </row>
    <row r="119" spans="1:1" s="337" customFormat="1" x14ac:dyDescent="0.2">
      <c r="A119" s="151"/>
    </row>
    <row r="120" spans="1:1" s="337" customFormat="1" x14ac:dyDescent="0.2">
      <c r="A120" s="151"/>
    </row>
    <row r="121" spans="1:1" s="337" customFormat="1" x14ac:dyDescent="0.2">
      <c r="A121" s="151"/>
    </row>
    <row r="122" spans="1:1" s="337" customFormat="1" x14ac:dyDescent="0.2">
      <c r="A122" s="151"/>
    </row>
    <row r="123" spans="1:1" s="337" customFormat="1" x14ac:dyDescent="0.2">
      <c r="A123" s="151"/>
    </row>
    <row r="124" spans="1:1" s="337" customFormat="1" x14ac:dyDescent="0.2">
      <c r="A124" s="151"/>
    </row>
    <row r="125" spans="1:1" s="337" customFormat="1" x14ac:dyDescent="0.2">
      <c r="A125" s="151"/>
    </row>
    <row r="126" spans="1:1" s="337" customFormat="1" x14ac:dyDescent="0.2">
      <c r="A126" s="151"/>
    </row>
    <row r="127" spans="1:1" s="337" customFormat="1" x14ac:dyDescent="0.2">
      <c r="A127" s="151"/>
    </row>
    <row r="128" spans="1:1" s="337" customFormat="1" x14ac:dyDescent="0.2">
      <c r="A128" s="151"/>
    </row>
    <row r="129" spans="1:1" s="337" customFormat="1" x14ac:dyDescent="0.2">
      <c r="A129" s="151"/>
    </row>
    <row r="130" spans="1:1" s="337" customFormat="1" x14ac:dyDescent="0.2">
      <c r="A130" s="151"/>
    </row>
    <row r="131" spans="1:1" s="337" customFormat="1" x14ac:dyDescent="0.2">
      <c r="A131" s="151"/>
    </row>
    <row r="132" spans="1:1" s="337" customFormat="1" x14ac:dyDescent="0.2">
      <c r="A132" s="151"/>
    </row>
    <row r="133" spans="1:1" s="337" customFormat="1" x14ac:dyDescent="0.2">
      <c r="A133" s="151"/>
    </row>
    <row r="134" spans="1:1" s="337" customFormat="1" x14ac:dyDescent="0.2">
      <c r="A134" s="151"/>
    </row>
    <row r="135" spans="1:1" s="337" customFormat="1" x14ac:dyDescent="0.2">
      <c r="A135" s="151"/>
    </row>
    <row r="136" spans="1:1" s="337" customFormat="1" x14ac:dyDescent="0.2">
      <c r="A136" s="151"/>
    </row>
    <row r="137" spans="1:1" s="337" customFormat="1" x14ac:dyDescent="0.2">
      <c r="A137" s="151"/>
    </row>
    <row r="138" spans="1:1" s="337" customFormat="1" x14ac:dyDescent="0.2">
      <c r="A138" s="151"/>
    </row>
  </sheetData>
  <conditionalFormatting sqref="F22:F33">
    <cfRule type="cellIs" dxfId="8" priority="2" stopIfTrue="1" operator="equal">
      <formula>"BREACHED"</formula>
    </cfRule>
  </conditionalFormatting>
  <conditionalFormatting sqref="A39:A98">
    <cfRule type="cellIs" dxfId="7" priority="3" stopIfTrue="1" operator="equal">
      <formula>FALSE</formula>
    </cfRule>
  </conditionalFormatting>
  <conditionalFormatting sqref="C34:D34 D35">
    <cfRule type="cellIs" dxfId="6" priority="4" stopIfTrue="1" operator="equal">
      <formula>"Error"</formula>
    </cfRule>
  </conditionalFormatting>
  <conditionalFormatting sqref="C35">
    <cfRule type="cellIs" dxfId="5" priority="1" stopIfTrue="1" operator="equal">
      <formula>"Error"</formula>
    </cfRule>
  </conditionalFormatting>
  <printOptions horizontalCentered="1"/>
  <pageMargins left="0.15748031496062992" right="0.15748031496062992" top="0.39370078740157483" bottom="0.39370078740157483" header="0.11811023622047245" footer="0.11811023622047245"/>
  <pageSetup paperSize="9" scale="32"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rowBreaks count="1" manualBreakCount="1">
    <brk id="99" max="16383" man="1"/>
  </rowBreaks>
  <colBreaks count="4" manualBreakCount="4">
    <brk id="27" max="96" man="1"/>
    <brk id="49" max="1048575" man="1"/>
    <brk id="71" max="1048575" man="1"/>
    <brk id="94" max="1048575" man="1"/>
  </colBreaks>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pageSetUpPr autoPageBreaks="0"/>
  </sheetPr>
  <dimension ref="A1:BQ102"/>
  <sheetViews>
    <sheetView zoomScale="80" zoomScaleNormal="80" workbookViewId="0">
      <pane xSplit="3" ySplit="5" topLeftCell="D6" activePane="bottomRight" state="frozen"/>
      <selection activeCell="B2" sqref="B2:D2"/>
      <selection pane="topRight" activeCell="B2" sqref="B2:D2"/>
      <selection pane="bottomLeft" activeCell="B2" sqref="B2:D2"/>
      <selection pane="bottomRight" activeCell="D1" sqref="D1"/>
    </sheetView>
  </sheetViews>
  <sheetFormatPr defaultRowHeight="12.75" x14ac:dyDescent="0.2"/>
  <cols>
    <col min="1" max="1" width="9.7109375" style="196" customWidth="1"/>
    <col min="2" max="2" width="45" style="196" customWidth="1"/>
    <col min="3" max="3" width="2.85546875" style="196" customWidth="1"/>
    <col min="4" max="4" width="15.85546875" style="196" customWidth="1"/>
    <col min="5" max="10" width="11.5703125" style="196" customWidth="1"/>
    <col min="11" max="19" width="12.28515625" style="196" customWidth="1"/>
    <col min="20" max="20" width="14.28515625" style="196" customWidth="1"/>
    <col min="21" max="24" width="12.28515625" style="196" customWidth="1"/>
    <col min="25" max="25" width="1.85546875" style="196" customWidth="1"/>
    <col min="26" max="26" width="17.5703125" style="196" customWidth="1"/>
    <col min="27" max="27" width="18.7109375" style="196" bestFit="1" customWidth="1"/>
    <col min="28" max="28" width="18" style="196" customWidth="1"/>
    <col min="29" max="30" width="16.7109375" style="196" bestFit="1" customWidth="1"/>
    <col min="31" max="31" width="18.28515625" style="196" customWidth="1"/>
    <col min="32" max="33" width="16.7109375" style="196" bestFit="1" customWidth="1"/>
    <col min="34" max="34" width="9.42578125" style="196" bestFit="1" customWidth="1"/>
    <col min="35" max="36" width="14.85546875" style="196" bestFit="1" customWidth="1"/>
    <col min="37" max="37" width="12.7109375" style="196" customWidth="1"/>
    <col min="38" max="38" width="12.28515625" style="196" customWidth="1"/>
    <col min="39" max="41" width="14.85546875" style="196" bestFit="1" customWidth="1"/>
    <col min="42" max="42" width="11.28515625" style="196" customWidth="1"/>
    <col min="43" max="43" width="15.85546875" style="196" customWidth="1"/>
    <col min="44" max="45" width="14.85546875" style="196" customWidth="1"/>
    <col min="46" max="46" width="10" style="196" customWidth="1"/>
    <col min="47" max="47" width="1.85546875" style="196" customWidth="1"/>
    <col min="48" max="48" width="13.85546875" style="196" customWidth="1"/>
    <col min="49" max="49" width="15.5703125" style="196" customWidth="1"/>
    <col min="50" max="50" width="15" style="196" customWidth="1"/>
    <col min="51" max="51" width="12.42578125" style="196" bestFit="1" customWidth="1"/>
    <col min="52" max="52" width="13.5703125" style="196" bestFit="1" customWidth="1"/>
    <col min="53" max="54" width="12.42578125" style="196" bestFit="1" customWidth="1"/>
    <col min="55" max="55" width="11.5703125" style="196" customWidth="1"/>
    <col min="56" max="56" width="11.140625" style="196" customWidth="1"/>
    <col min="57" max="57" width="13.5703125" style="196" bestFit="1" customWidth="1"/>
    <col min="58" max="58" width="12.42578125" style="196" bestFit="1" customWidth="1"/>
    <col min="59" max="59" width="11.85546875" style="196" customWidth="1"/>
    <col min="60" max="60" width="11.140625" style="196" customWidth="1"/>
    <col min="61" max="63" width="10.5703125" style="196" bestFit="1" customWidth="1"/>
    <col min="64" max="64" width="9.85546875" style="196" customWidth="1"/>
    <col min="65" max="66" width="10.5703125" style="196" customWidth="1"/>
    <col min="67" max="68" width="9.85546875" style="196" customWidth="1"/>
    <col min="69" max="69" width="15.5703125" style="196" customWidth="1"/>
    <col min="70" max="16384" width="9.140625" style="196"/>
  </cols>
  <sheetData>
    <row r="1" spans="1:69" ht="15" x14ac:dyDescent="0.25">
      <c r="B1" s="150" t="str">
        <f>"Tariff Approval - "&amp;'Model update'!C3</f>
        <v>Tariff Approval - CitiPower</v>
      </c>
      <c r="C1" s="150"/>
    </row>
    <row r="3" spans="1:69" x14ac:dyDescent="0.2">
      <c r="B3" s="223" t="str">
        <f>"ESTIMATED "&amp;'Model update'!$C$8&amp;" Distribution Revenue"</f>
        <v>ESTIMATED 2018 Distribution Revenue</v>
      </c>
      <c r="C3" s="223"/>
    </row>
    <row r="4" spans="1:69" ht="13.5" thickBot="1" x14ac:dyDescent="0.25">
      <c r="D4" s="225" t="str">
        <f>"Current Distribution Tariffs (Pt-1) for "&amp;'Model update'!$C$8</f>
        <v>Current Distribution Tariffs (Pt-1) for 2018</v>
      </c>
      <c r="E4" s="226"/>
      <c r="F4" s="226"/>
      <c r="G4" s="226"/>
      <c r="H4" s="182"/>
      <c r="I4" s="182"/>
      <c r="J4" s="182"/>
      <c r="Z4" s="225" t="str">
        <f>" Estimated Distribution Quantities for "&amp;'Model update'!$C$8&amp;" (Qt-1)"</f>
        <v xml:space="preserve"> Estimated Distribution Quantities for 2018 (Qt-1)</v>
      </c>
      <c r="AA4" s="226"/>
      <c r="AB4" s="226"/>
      <c r="AC4" s="182"/>
      <c r="AD4" s="182"/>
      <c r="AV4" s="225" t="str">
        <f>"Estimated Revenue (Pt-1 "&amp;'Model update'!$C$8&amp;")*(Qt-1 " &amp;'Model update'!$C$8&amp;")"</f>
        <v>Estimated Revenue (Pt-1 2018)*(Qt-1 2018)</v>
      </c>
      <c r="AW4" s="226"/>
      <c r="AX4" s="226"/>
      <c r="AY4" s="182"/>
    </row>
    <row r="5" spans="1:69" ht="38.25" x14ac:dyDescent="0.2">
      <c r="B5" s="229" t="str">
        <f>"Tariffs "&amp;'Model update'!C8</f>
        <v>Tariffs 2018</v>
      </c>
      <c r="C5" s="278"/>
      <c r="D5" s="230" t="s">
        <v>551</v>
      </c>
      <c r="E5" s="231" t="s">
        <v>552</v>
      </c>
      <c r="F5" s="231" t="s">
        <v>553</v>
      </c>
      <c r="G5" s="231"/>
      <c r="H5" s="231"/>
      <c r="I5" s="231" t="s">
        <v>554</v>
      </c>
      <c r="J5" s="231"/>
      <c r="K5" s="231"/>
      <c r="L5" s="231"/>
      <c r="M5" s="231" t="s">
        <v>555</v>
      </c>
      <c r="N5" s="231" t="s">
        <v>556</v>
      </c>
      <c r="O5" s="231" t="s">
        <v>557</v>
      </c>
      <c r="P5" s="231" t="s">
        <v>558</v>
      </c>
      <c r="Q5" s="231" t="s">
        <v>559</v>
      </c>
      <c r="R5" s="231" t="s">
        <v>560</v>
      </c>
      <c r="S5" s="231" t="s">
        <v>561</v>
      </c>
      <c r="T5" s="231"/>
      <c r="U5" s="231" t="s">
        <v>562</v>
      </c>
      <c r="V5" s="231" t="s">
        <v>563</v>
      </c>
      <c r="W5" s="231" t="s">
        <v>564</v>
      </c>
      <c r="X5" s="233"/>
      <c r="Z5" s="230" t="s">
        <v>205</v>
      </c>
      <c r="AA5" s="231" t="s">
        <v>537</v>
      </c>
      <c r="AB5" s="231" t="s">
        <v>538</v>
      </c>
      <c r="AC5" s="231"/>
      <c r="AD5" s="231"/>
      <c r="AE5" s="231" t="s">
        <v>539</v>
      </c>
      <c r="AF5" s="231"/>
      <c r="AG5" s="231"/>
      <c r="AH5" s="231"/>
      <c r="AI5" s="231" t="s">
        <v>540</v>
      </c>
      <c r="AJ5" s="231" t="s">
        <v>541</v>
      </c>
      <c r="AK5" s="231" t="s">
        <v>542</v>
      </c>
      <c r="AL5" s="231" t="s">
        <v>543</v>
      </c>
      <c r="AM5" s="231" t="s">
        <v>206</v>
      </c>
      <c r="AN5" s="231" t="s">
        <v>207</v>
      </c>
      <c r="AO5" s="231" t="s">
        <v>208</v>
      </c>
      <c r="AP5" s="231"/>
      <c r="AQ5" s="231" t="s">
        <v>209</v>
      </c>
      <c r="AR5" s="231" t="s">
        <v>210</v>
      </c>
      <c r="AS5" s="231" t="s">
        <v>211</v>
      </c>
      <c r="AT5" s="233"/>
      <c r="AV5" s="230" t="s">
        <v>197</v>
      </c>
      <c r="AW5" s="231" t="s">
        <v>510</v>
      </c>
      <c r="AX5" s="231" t="s">
        <v>511</v>
      </c>
      <c r="AY5" s="231"/>
      <c r="AZ5" s="231"/>
      <c r="BA5" s="231" t="s">
        <v>512</v>
      </c>
      <c r="BB5" s="231"/>
      <c r="BC5" s="231"/>
      <c r="BD5" s="231"/>
      <c r="BE5" s="231" t="s">
        <v>513</v>
      </c>
      <c r="BF5" s="231" t="s">
        <v>514</v>
      </c>
      <c r="BG5" s="231" t="s">
        <v>515</v>
      </c>
      <c r="BH5" s="231" t="s">
        <v>516</v>
      </c>
      <c r="BI5" s="231" t="s">
        <v>198</v>
      </c>
      <c r="BJ5" s="231" t="s">
        <v>199</v>
      </c>
      <c r="BK5" s="231" t="s">
        <v>200</v>
      </c>
      <c r="BL5" s="231"/>
      <c r="BM5" s="231" t="s">
        <v>201</v>
      </c>
      <c r="BN5" s="231" t="s">
        <v>202</v>
      </c>
      <c r="BO5" s="231" t="s">
        <v>203</v>
      </c>
      <c r="BP5" s="231"/>
      <c r="BQ5" s="233" t="s">
        <v>204</v>
      </c>
    </row>
    <row r="6" spans="1:69" x14ac:dyDescent="0.2">
      <c r="B6" s="234"/>
      <c r="C6" s="279"/>
      <c r="D6" s="235"/>
      <c r="E6" s="236"/>
      <c r="F6" s="236"/>
      <c r="G6" s="236"/>
      <c r="H6" s="236"/>
      <c r="I6" s="236"/>
      <c r="J6" s="236"/>
      <c r="K6" s="236"/>
      <c r="L6" s="236"/>
      <c r="M6" s="236"/>
      <c r="N6" s="236"/>
      <c r="O6" s="236"/>
      <c r="P6" s="236"/>
      <c r="Q6" s="236"/>
      <c r="R6" s="236"/>
      <c r="S6" s="236"/>
      <c r="T6" s="236"/>
      <c r="U6" s="236"/>
      <c r="V6" s="236"/>
      <c r="W6" s="236"/>
      <c r="X6" s="318"/>
      <c r="Z6" s="239"/>
      <c r="AA6" s="240"/>
      <c r="AB6" s="240"/>
      <c r="AC6" s="240"/>
      <c r="AD6" s="240"/>
      <c r="AE6" s="240"/>
      <c r="AF6" s="240"/>
      <c r="AG6" s="240"/>
      <c r="AH6" s="240"/>
      <c r="AI6" s="240"/>
      <c r="AJ6" s="240"/>
      <c r="AK6" s="240"/>
      <c r="AL6" s="240"/>
      <c r="AM6" s="240"/>
      <c r="AN6" s="240"/>
      <c r="AO6" s="240"/>
      <c r="AP6" s="240"/>
      <c r="AQ6" s="240"/>
      <c r="AR6" s="240"/>
      <c r="AS6" s="240"/>
      <c r="AT6" s="241"/>
      <c r="AV6" s="283">
        <f t="shared" ref="AV6:AV42" si="0">D6*Z6</f>
        <v>0</v>
      </c>
      <c r="AW6" s="219">
        <f t="shared" ref="AW6:BD30" si="1">E6/100*AA6</f>
        <v>0</v>
      </c>
      <c r="AX6" s="219">
        <f t="shared" si="1"/>
        <v>0</v>
      </c>
      <c r="AY6" s="219">
        <f t="shared" si="1"/>
        <v>0</v>
      </c>
      <c r="AZ6" s="219">
        <f t="shared" si="1"/>
        <v>0</v>
      </c>
      <c r="BA6" s="219">
        <f t="shared" si="1"/>
        <v>0</v>
      </c>
      <c r="BB6" s="219">
        <f t="shared" si="1"/>
        <v>0</v>
      </c>
      <c r="BC6" s="219">
        <f t="shared" si="1"/>
        <v>0</v>
      </c>
      <c r="BD6" s="219">
        <f t="shared" si="1"/>
        <v>0</v>
      </c>
      <c r="BE6" s="219">
        <f t="shared" ref="BE6:BH6" si="2">M6*AI6</f>
        <v>0</v>
      </c>
      <c r="BF6" s="219">
        <f t="shared" si="2"/>
        <v>0</v>
      </c>
      <c r="BG6" s="219">
        <f t="shared" si="2"/>
        <v>0</v>
      </c>
      <c r="BH6" s="219">
        <f t="shared" si="2"/>
        <v>0</v>
      </c>
      <c r="BI6" s="242">
        <f t="shared" ref="BI6:BP6" si="3">Q6/100*AM6</f>
        <v>0</v>
      </c>
      <c r="BJ6" s="242">
        <f t="shared" si="3"/>
        <v>0</v>
      </c>
      <c r="BK6" s="242">
        <f t="shared" si="3"/>
        <v>0</v>
      </c>
      <c r="BL6" s="242">
        <f t="shared" si="3"/>
        <v>0</v>
      </c>
      <c r="BM6" s="242">
        <f t="shared" si="3"/>
        <v>0</v>
      </c>
      <c r="BN6" s="242">
        <f t="shared" si="3"/>
        <v>0</v>
      </c>
      <c r="BO6" s="242">
        <f t="shared" si="3"/>
        <v>0</v>
      </c>
      <c r="BP6" s="242">
        <f t="shared" si="3"/>
        <v>0</v>
      </c>
      <c r="BQ6" s="243">
        <f>SUM(AV6:BP6)</f>
        <v>0</v>
      </c>
    </row>
    <row r="7" spans="1:69" x14ac:dyDescent="0.2">
      <c r="A7" s="196" t="s">
        <v>624</v>
      </c>
      <c r="B7" s="234" t="s">
        <v>625</v>
      </c>
      <c r="C7" s="284"/>
      <c r="D7" s="246">
        <v>85</v>
      </c>
      <c r="E7" s="247">
        <v>4.6100000000000003</v>
      </c>
      <c r="F7" s="247">
        <v>0</v>
      </c>
      <c r="G7" s="247">
        <v>0</v>
      </c>
      <c r="H7" s="247">
        <v>0</v>
      </c>
      <c r="I7" s="247">
        <v>0</v>
      </c>
      <c r="J7" s="247">
        <v>0</v>
      </c>
      <c r="K7" s="247">
        <v>0</v>
      </c>
      <c r="L7" s="247">
        <v>0</v>
      </c>
      <c r="M7" s="247">
        <v>0</v>
      </c>
      <c r="N7" s="247">
        <v>0</v>
      </c>
      <c r="O7" s="247">
        <v>0</v>
      </c>
      <c r="P7" s="247">
        <v>0</v>
      </c>
      <c r="Q7" s="247">
        <v>0</v>
      </c>
      <c r="R7" s="247">
        <v>0</v>
      </c>
      <c r="S7" s="247">
        <v>0</v>
      </c>
      <c r="T7" s="247">
        <v>0</v>
      </c>
      <c r="U7" s="247">
        <v>0</v>
      </c>
      <c r="V7" s="247">
        <v>0</v>
      </c>
      <c r="W7" s="247">
        <v>0</v>
      </c>
      <c r="X7" s="275">
        <v>0</v>
      </c>
      <c r="Z7" s="653">
        <v>203567.54384608413</v>
      </c>
      <c r="AA7" s="654">
        <v>837924196.22455716</v>
      </c>
      <c r="AB7" s="654">
        <v>0</v>
      </c>
      <c r="AC7" s="654">
        <v>0</v>
      </c>
      <c r="AD7" s="654">
        <v>0</v>
      </c>
      <c r="AE7" s="654">
        <v>0</v>
      </c>
      <c r="AF7" s="654">
        <v>0</v>
      </c>
      <c r="AG7" s="654">
        <v>0</v>
      </c>
      <c r="AH7" s="654">
        <v>0</v>
      </c>
      <c r="AI7" s="654">
        <v>0</v>
      </c>
      <c r="AJ7" s="654">
        <v>0</v>
      </c>
      <c r="AK7" s="654">
        <v>0</v>
      </c>
      <c r="AL7" s="654">
        <v>0</v>
      </c>
      <c r="AM7" s="654">
        <v>0</v>
      </c>
      <c r="AN7" s="654">
        <v>0</v>
      </c>
      <c r="AO7" s="654">
        <v>0</v>
      </c>
      <c r="AP7" s="654">
        <v>0</v>
      </c>
      <c r="AQ7" s="654">
        <v>0</v>
      </c>
      <c r="AR7" s="654">
        <v>0</v>
      </c>
      <c r="AS7" s="654">
        <v>0</v>
      </c>
      <c r="AT7" s="655">
        <v>0</v>
      </c>
      <c r="AV7" s="252">
        <f t="shared" si="0"/>
        <v>17303241.226917151</v>
      </c>
      <c r="AW7" s="220">
        <f t="shared" si="1"/>
        <v>38628305.445952088</v>
      </c>
      <c r="AX7" s="220">
        <f t="shared" si="1"/>
        <v>0</v>
      </c>
      <c r="AY7" s="220">
        <f t="shared" ref="AY7:AZ42" si="4">G7/100*AC7</f>
        <v>0</v>
      </c>
      <c r="AZ7" s="220">
        <f t="shared" si="4"/>
        <v>0</v>
      </c>
      <c r="BA7" s="220">
        <f t="shared" si="1"/>
        <v>0</v>
      </c>
      <c r="BB7" s="220">
        <f t="shared" ref="BB7:BD42" si="5">J7/100*AF7</f>
        <v>0</v>
      </c>
      <c r="BC7" s="220">
        <f t="shared" si="5"/>
        <v>0</v>
      </c>
      <c r="BD7" s="220">
        <f t="shared" si="5"/>
        <v>0</v>
      </c>
      <c r="BE7" s="220">
        <f t="shared" ref="BE7:BE42" si="6">M7*AI7</f>
        <v>0</v>
      </c>
      <c r="BF7" s="220">
        <f t="shared" ref="BF7:BF42" si="7">N7*AJ7</f>
        <v>0</v>
      </c>
      <c r="BG7" s="220">
        <f t="shared" ref="BG7:BG42" si="8">O7*AK7</f>
        <v>0</v>
      </c>
      <c r="BH7" s="220">
        <f t="shared" ref="BH7:BH42" si="9">P7*AL7</f>
        <v>0</v>
      </c>
      <c r="BI7" s="253">
        <f t="shared" ref="BI7:BI42" si="10">Q7/100*AM7</f>
        <v>0</v>
      </c>
      <c r="BJ7" s="253">
        <f t="shared" ref="BJ7:BJ42" si="11">R7/100*AN7</f>
        <v>0</v>
      </c>
      <c r="BK7" s="253">
        <f t="shared" ref="BK7:BK42" si="12">S7/100*AO7</f>
        <v>0</v>
      </c>
      <c r="BL7" s="253">
        <f t="shared" ref="BL7:BL42" si="13">T7/100*AP7</f>
        <v>0</v>
      </c>
      <c r="BM7" s="253">
        <f t="shared" ref="BM7:BM42" si="14">U7/100*AQ7</f>
        <v>0</v>
      </c>
      <c r="BN7" s="253">
        <f t="shared" ref="BN7:BN42" si="15">V7/100*AR7</f>
        <v>0</v>
      </c>
      <c r="BO7" s="253">
        <f t="shared" ref="BO7:BO42" si="16">W7/100*AS7</f>
        <v>0</v>
      </c>
      <c r="BP7" s="253">
        <f t="shared" ref="BP7:BP42" si="17">X7/100*AT7</f>
        <v>0</v>
      </c>
      <c r="BQ7" s="254">
        <f t="shared" ref="BQ7:BQ31" si="18">SUM(AV7:BP7)</f>
        <v>55931546.672869235</v>
      </c>
    </row>
    <row r="8" spans="1:69" x14ac:dyDescent="0.2">
      <c r="A8" s="196" t="s">
        <v>626</v>
      </c>
      <c r="B8" s="234" t="s">
        <v>627</v>
      </c>
      <c r="C8" s="284"/>
      <c r="D8" s="246">
        <v>75</v>
      </c>
      <c r="E8" s="247">
        <v>3.95</v>
      </c>
      <c r="F8" s="247">
        <v>0</v>
      </c>
      <c r="G8" s="247">
        <v>0</v>
      </c>
      <c r="H8" s="247">
        <v>0</v>
      </c>
      <c r="I8" s="247">
        <v>0</v>
      </c>
      <c r="J8" s="247">
        <v>0</v>
      </c>
      <c r="K8" s="247">
        <v>0</v>
      </c>
      <c r="L8" s="247">
        <v>0</v>
      </c>
      <c r="M8" s="247">
        <v>0</v>
      </c>
      <c r="N8" s="247">
        <v>0</v>
      </c>
      <c r="O8" s="247">
        <v>0</v>
      </c>
      <c r="P8" s="247">
        <v>0</v>
      </c>
      <c r="Q8" s="247">
        <v>0</v>
      </c>
      <c r="R8" s="247">
        <v>0</v>
      </c>
      <c r="S8" s="247">
        <v>0</v>
      </c>
      <c r="T8" s="247">
        <v>0</v>
      </c>
      <c r="U8" s="247">
        <v>0</v>
      </c>
      <c r="V8" s="247">
        <v>0</v>
      </c>
      <c r="W8" s="247">
        <v>0</v>
      </c>
      <c r="X8" s="275">
        <v>0</v>
      </c>
      <c r="Z8" s="656">
        <v>30796.16529635977</v>
      </c>
      <c r="AA8" s="654">
        <v>103793921.82591532</v>
      </c>
      <c r="AB8" s="654">
        <v>0</v>
      </c>
      <c r="AC8" s="654">
        <v>0</v>
      </c>
      <c r="AD8" s="654">
        <v>0</v>
      </c>
      <c r="AE8" s="654">
        <v>0</v>
      </c>
      <c r="AF8" s="654">
        <v>0</v>
      </c>
      <c r="AG8" s="654">
        <v>0</v>
      </c>
      <c r="AH8" s="654">
        <v>0</v>
      </c>
      <c r="AI8" s="654">
        <v>0</v>
      </c>
      <c r="AJ8" s="654">
        <v>0</v>
      </c>
      <c r="AK8" s="654">
        <v>0</v>
      </c>
      <c r="AL8" s="654">
        <v>0</v>
      </c>
      <c r="AM8" s="654">
        <v>0</v>
      </c>
      <c r="AN8" s="654">
        <v>0</v>
      </c>
      <c r="AO8" s="654">
        <v>0</v>
      </c>
      <c r="AP8" s="654">
        <v>0</v>
      </c>
      <c r="AQ8" s="654">
        <v>0</v>
      </c>
      <c r="AR8" s="654">
        <v>0</v>
      </c>
      <c r="AS8" s="654">
        <v>0</v>
      </c>
      <c r="AT8" s="655">
        <v>0</v>
      </c>
      <c r="AV8" s="252">
        <f t="shared" si="0"/>
        <v>2309712.3972269827</v>
      </c>
      <c r="AW8" s="220">
        <f t="shared" si="1"/>
        <v>4099859.9121236554</v>
      </c>
      <c r="AX8" s="220">
        <f t="shared" si="1"/>
        <v>0</v>
      </c>
      <c r="AY8" s="220">
        <f t="shared" si="4"/>
        <v>0</v>
      </c>
      <c r="AZ8" s="220">
        <f t="shared" si="4"/>
        <v>0</v>
      </c>
      <c r="BA8" s="220">
        <f t="shared" si="1"/>
        <v>0</v>
      </c>
      <c r="BB8" s="220">
        <f t="shared" si="5"/>
        <v>0</v>
      </c>
      <c r="BC8" s="220">
        <f t="shared" si="5"/>
        <v>0</v>
      </c>
      <c r="BD8" s="220">
        <f t="shared" si="5"/>
        <v>0</v>
      </c>
      <c r="BE8" s="220">
        <f t="shared" si="6"/>
        <v>0</v>
      </c>
      <c r="BF8" s="220">
        <f t="shared" si="7"/>
        <v>0</v>
      </c>
      <c r="BG8" s="220">
        <f t="shared" si="8"/>
        <v>0</v>
      </c>
      <c r="BH8" s="220">
        <f t="shared" si="9"/>
        <v>0</v>
      </c>
      <c r="BI8" s="253">
        <f t="shared" si="10"/>
        <v>0</v>
      </c>
      <c r="BJ8" s="253">
        <f t="shared" si="11"/>
        <v>0</v>
      </c>
      <c r="BK8" s="253">
        <f t="shared" si="12"/>
        <v>0</v>
      </c>
      <c r="BL8" s="253">
        <f t="shared" si="13"/>
        <v>0</v>
      </c>
      <c r="BM8" s="253">
        <f t="shared" si="14"/>
        <v>0</v>
      </c>
      <c r="BN8" s="253">
        <f t="shared" si="15"/>
        <v>0</v>
      </c>
      <c r="BO8" s="253">
        <f t="shared" si="16"/>
        <v>0</v>
      </c>
      <c r="BP8" s="253">
        <f t="shared" si="17"/>
        <v>0</v>
      </c>
      <c r="BQ8" s="254">
        <f t="shared" si="18"/>
        <v>6409572.3093506377</v>
      </c>
    </row>
    <row r="9" spans="1:69" x14ac:dyDescent="0.2">
      <c r="A9" s="196" t="s">
        <v>628</v>
      </c>
      <c r="B9" s="234" t="s">
        <v>629</v>
      </c>
      <c r="C9" s="284"/>
      <c r="D9" s="246">
        <v>85</v>
      </c>
      <c r="E9" s="247">
        <v>0</v>
      </c>
      <c r="F9" s="247">
        <v>0</v>
      </c>
      <c r="G9" s="247">
        <v>0</v>
      </c>
      <c r="H9" s="247">
        <v>0</v>
      </c>
      <c r="I9" s="247">
        <v>0</v>
      </c>
      <c r="J9" s="247">
        <v>0</v>
      </c>
      <c r="K9" s="247">
        <v>0</v>
      </c>
      <c r="L9" s="247">
        <v>0</v>
      </c>
      <c r="M9" s="247">
        <v>0</v>
      </c>
      <c r="N9" s="247">
        <v>0</v>
      </c>
      <c r="O9" s="247">
        <v>0</v>
      </c>
      <c r="P9" s="247">
        <v>0</v>
      </c>
      <c r="Q9" s="247">
        <v>10.96</v>
      </c>
      <c r="R9" s="247">
        <v>7.38</v>
      </c>
      <c r="S9" s="247">
        <v>2.9</v>
      </c>
      <c r="T9" s="247">
        <v>0</v>
      </c>
      <c r="U9" s="247">
        <v>10.96</v>
      </c>
      <c r="V9" s="247">
        <v>7.38</v>
      </c>
      <c r="W9" s="247">
        <v>2.9</v>
      </c>
      <c r="X9" s="275">
        <v>0</v>
      </c>
      <c r="Z9" s="656">
        <v>692.19902131802507</v>
      </c>
      <c r="AA9" s="654">
        <v>0</v>
      </c>
      <c r="AB9" s="654">
        <v>0</v>
      </c>
      <c r="AC9" s="654">
        <v>0</v>
      </c>
      <c r="AD9" s="654">
        <v>0</v>
      </c>
      <c r="AE9" s="654">
        <v>0</v>
      </c>
      <c r="AF9" s="654">
        <v>0</v>
      </c>
      <c r="AG9" s="654">
        <v>0</v>
      </c>
      <c r="AH9" s="654">
        <v>0</v>
      </c>
      <c r="AI9" s="654">
        <v>0</v>
      </c>
      <c r="AJ9" s="654">
        <v>0</v>
      </c>
      <c r="AK9" s="654">
        <v>0</v>
      </c>
      <c r="AL9" s="654">
        <v>0</v>
      </c>
      <c r="AM9" s="654">
        <v>209399.38859650321</v>
      </c>
      <c r="AN9" s="654">
        <v>421530.70937171311</v>
      </c>
      <c r="AO9" s="654">
        <v>295381.02379908122</v>
      </c>
      <c r="AP9" s="654">
        <v>0</v>
      </c>
      <c r="AQ9" s="654">
        <v>766444.76391363656</v>
      </c>
      <c r="AR9" s="654">
        <v>1512235.2073960255</v>
      </c>
      <c r="AS9" s="654">
        <v>1077906.585130814</v>
      </c>
      <c r="AT9" s="655">
        <v>0</v>
      </c>
      <c r="AV9" s="252">
        <f t="shared" si="0"/>
        <v>58836.916812032134</v>
      </c>
      <c r="AW9" s="220">
        <f t="shared" si="1"/>
        <v>0</v>
      </c>
      <c r="AX9" s="220">
        <f t="shared" si="1"/>
        <v>0</v>
      </c>
      <c r="AY9" s="220">
        <f t="shared" si="4"/>
        <v>0</v>
      </c>
      <c r="AZ9" s="220">
        <f t="shared" si="4"/>
        <v>0</v>
      </c>
      <c r="BA9" s="220">
        <f t="shared" si="1"/>
        <v>0</v>
      </c>
      <c r="BB9" s="220">
        <f t="shared" si="5"/>
        <v>0</v>
      </c>
      <c r="BC9" s="220">
        <f t="shared" si="5"/>
        <v>0</v>
      </c>
      <c r="BD9" s="220">
        <f t="shared" si="5"/>
        <v>0</v>
      </c>
      <c r="BE9" s="220">
        <f t="shared" si="6"/>
        <v>0</v>
      </c>
      <c r="BF9" s="220">
        <f t="shared" si="7"/>
        <v>0</v>
      </c>
      <c r="BG9" s="220">
        <f t="shared" si="8"/>
        <v>0</v>
      </c>
      <c r="BH9" s="220">
        <f t="shared" si="9"/>
        <v>0</v>
      </c>
      <c r="BI9" s="253">
        <f t="shared" si="10"/>
        <v>22950.172990176754</v>
      </c>
      <c r="BJ9" s="253">
        <f t="shared" si="11"/>
        <v>31108.966351632429</v>
      </c>
      <c r="BK9" s="253">
        <f t="shared" si="12"/>
        <v>8566.049690173355</v>
      </c>
      <c r="BL9" s="253">
        <f t="shared" si="13"/>
        <v>0</v>
      </c>
      <c r="BM9" s="253">
        <f t="shared" si="14"/>
        <v>84002.346124934571</v>
      </c>
      <c r="BN9" s="253">
        <f t="shared" si="15"/>
        <v>111602.95830582669</v>
      </c>
      <c r="BO9" s="253">
        <f t="shared" si="16"/>
        <v>31259.290968793604</v>
      </c>
      <c r="BP9" s="253">
        <f t="shared" si="17"/>
        <v>0</v>
      </c>
      <c r="BQ9" s="254">
        <f t="shared" si="18"/>
        <v>348326.70124356955</v>
      </c>
    </row>
    <row r="10" spans="1:69" x14ac:dyDescent="0.2">
      <c r="A10" s="196" t="s">
        <v>630</v>
      </c>
      <c r="B10" s="234" t="s">
        <v>631</v>
      </c>
      <c r="C10" s="284"/>
      <c r="D10" s="246">
        <v>75</v>
      </c>
      <c r="E10" s="247">
        <v>0</v>
      </c>
      <c r="F10" s="247">
        <v>0</v>
      </c>
      <c r="G10" s="247">
        <v>0</v>
      </c>
      <c r="H10" s="247">
        <v>0</v>
      </c>
      <c r="I10" s="247">
        <v>0</v>
      </c>
      <c r="J10" s="247">
        <v>0</v>
      </c>
      <c r="K10" s="247">
        <v>0</v>
      </c>
      <c r="L10" s="247">
        <v>0</v>
      </c>
      <c r="M10" s="247">
        <v>0</v>
      </c>
      <c r="N10" s="247">
        <v>0</v>
      </c>
      <c r="O10" s="247">
        <v>0</v>
      </c>
      <c r="P10" s="247">
        <v>0</v>
      </c>
      <c r="Q10" s="247">
        <v>8.76</v>
      </c>
      <c r="R10" s="247">
        <v>5.9</v>
      </c>
      <c r="S10" s="247">
        <v>2.3199999999999998</v>
      </c>
      <c r="T10" s="247">
        <v>0</v>
      </c>
      <c r="U10" s="247">
        <v>8.76</v>
      </c>
      <c r="V10" s="247">
        <v>5.9</v>
      </c>
      <c r="W10" s="247">
        <v>2.3199999999999998</v>
      </c>
      <c r="X10" s="275">
        <v>0</v>
      </c>
      <c r="Z10" s="656">
        <v>86</v>
      </c>
      <c r="AA10" s="654">
        <v>0</v>
      </c>
      <c r="AB10" s="654">
        <v>0</v>
      </c>
      <c r="AC10" s="654">
        <v>0</v>
      </c>
      <c r="AD10" s="654">
        <v>0</v>
      </c>
      <c r="AE10" s="654">
        <v>0</v>
      </c>
      <c r="AF10" s="654">
        <v>0</v>
      </c>
      <c r="AG10" s="654">
        <v>0</v>
      </c>
      <c r="AH10" s="654">
        <v>0</v>
      </c>
      <c r="AI10" s="654">
        <v>0</v>
      </c>
      <c r="AJ10" s="654">
        <v>0</v>
      </c>
      <c r="AK10" s="654">
        <v>0</v>
      </c>
      <c r="AL10" s="654">
        <v>0</v>
      </c>
      <c r="AM10" s="654">
        <v>14822.463938670589</v>
      </c>
      <c r="AN10" s="654">
        <v>30911.094070728293</v>
      </c>
      <c r="AO10" s="654">
        <v>25018.291769002386</v>
      </c>
      <c r="AP10" s="654">
        <v>0</v>
      </c>
      <c r="AQ10" s="654">
        <v>55723.871652863061</v>
      </c>
      <c r="AR10" s="654">
        <v>110586.63633768729</v>
      </c>
      <c r="AS10" s="654">
        <v>89504.208037036224</v>
      </c>
      <c r="AT10" s="655">
        <v>0</v>
      </c>
      <c r="AV10" s="252">
        <f t="shared" si="0"/>
        <v>6450</v>
      </c>
      <c r="AW10" s="220">
        <f t="shared" si="1"/>
        <v>0</v>
      </c>
      <c r="AX10" s="220">
        <f t="shared" si="1"/>
        <v>0</v>
      </c>
      <c r="AY10" s="220">
        <f t="shared" si="4"/>
        <v>0</v>
      </c>
      <c r="AZ10" s="220">
        <f t="shared" si="4"/>
        <v>0</v>
      </c>
      <c r="BA10" s="220">
        <f t="shared" si="1"/>
        <v>0</v>
      </c>
      <c r="BB10" s="220">
        <f t="shared" si="5"/>
        <v>0</v>
      </c>
      <c r="BC10" s="220">
        <f t="shared" si="5"/>
        <v>0</v>
      </c>
      <c r="BD10" s="220">
        <f t="shared" si="5"/>
        <v>0</v>
      </c>
      <c r="BE10" s="220">
        <f t="shared" si="6"/>
        <v>0</v>
      </c>
      <c r="BF10" s="220">
        <f t="shared" si="7"/>
        <v>0</v>
      </c>
      <c r="BG10" s="220">
        <f t="shared" si="8"/>
        <v>0</v>
      </c>
      <c r="BH10" s="220">
        <f t="shared" si="9"/>
        <v>0</v>
      </c>
      <c r="BI10" s="253">
        <f t="shared" si="10"/>
        <v>1298.4478410275435</v>
      </c>
      <c r="BJ10" s="253">
        <f t="shared" si="11"/>
        <v>1823.7545501729694</v>
      </c>
      <c r="BK10" s="253">
        <f t="shared" si="12"/>
        <v>580.42436904085537</v>
      </c>
      <c r="BL10" s="253">
        <f t="shared" si="13"/>
        <v>0</v>
      </c>
      <c r="BM10" s="253">
        <f t="shared" si="14"/>
        <v>4881.4111567908039</v>
      </c>
      <c r="BN10" s="253">
        <f t="shared" si="15"/>
        <v>6524.6115439235509</v>
      </c>
      <c r="BO10" s="253">
        <f t="shared" si="16"/>
        <v>2076.4976264592401</v>
      </c>
      <c r="BP10" s="253">
        <f t="shared" si="17"/>
        <v>0</v>
      </c>
      <c r="BQ10" s="254">
        <f t="shared" si="18"/>
        <v>23635.147087414964</v>
      </c>
    </row>
    <row r="11" spans="1:69" x14ac:dyDescent="0.2">
      <c r="A11" s="196" t="s">
        <v>632</v>
      </c>
      <c r="B11" s="234" t="s">
        <v>633</v>
      </c>
      <c r="C11" s="284"/>
      <c r="D11" s="246">
        <v>85</v>
      </c>
      <c r="E11" s="247">
        <v>0</v>
      </c>
      <c r="F11" s="247">
        <v>9.8800000000000008</v>
      </c>
      <c r="G11" s="247">
        <v>0</v>
      </c>
      <c r="H11" s="247">
        <v>0</v>
      </c>
      <c r="I11" s="247">
        <v>2.11</v>
      </c>
      <c r="J11" s="247">
        <v>0</v>
      </c>
      <c r="K11" s="247">
        <v>0</v>
      </c>
      <c r="L11" s="247">
        <v>0</v>
      </c>
      <c r="M11" s="247">
        <v>0</v>
      </c>
      <c r="N11" s="247">
        <v>0</v>
      </c>
      <c r="O11" s="247">
        <v>0</v>
      </c>
      <c r="P11" s="247">
        <v>0</v>
      </c>
      <c r="Q11" s="247">
        <v>0</v>
      </c>
      <c r="R11" s="247">
        <v>0</v>
      </c>
      <c r="S11" s="247">
        <v>0</v>
      </c>
      <c r="T11" s="247">
        <v>0</v>
      </c>
      <c r="U11" s="247">
        <v>0</v>
      </c>
      <c r="V11" s="247">
        <v>0</v>
      </c>
      <c r="W11" s="247">
        <v>0</v>
      </c>
      <c r="X11" s="275">
        <v>0</v>
      </c>
      <c r="Z11" s="656">
        <v>10844.918915256892</v>
      </c>
      <c r="AA11" s="654">
        <v>0</v>
      </c>
      <c r="AB11" s="654">
        <v>34303841.218867712</v>
      </c>
      <c r="AC11" s="654">
        <v>0</v>
      </c>
      <c r="AD11" s="654">
        <v>0</v>
      </c>
      <c r="AE11" s="654">
        <v>29910228.5348082</v>
      </c>
      <c r="AF11" s="654">
        <v>0</v>
      </c>
      <c r="AG11" s="654">
        <v>0</v>
      </c>
      <c r="AH11" s="654">
        <v>0</v>
      </c>
      <c r="AI11" s="654">
        <v>0</v>
      </c>
      <c r="AJ11" s="654">
        <v>0</v>
      </c>
      <c r="AK11" s="654">
        <v>0</v>
      </c>
      <c r="AL11" s="654">
        <v>0</v>
      </c>
      <c r="AM11" s="654">
        <v>0</v>
      </c>
      <c r="AN11" s="654">
        <v>0</v>
      </c>
      <c r="AO11" s="654">
        <v>0</v>
      </c>
      <c r="AP11" s="654">
        <v>0</v>
      </c>
      <c r="AQ11" s="654">
        <v>0</v>
      </c>
      <c r="AR11" s="654">
        <v>0</v>
      </c>
      <c r="AS11" s="654">
        <v>0</v>
      </c>
      <c r="AT11" s="655">
        <v>0</v>
      </c>
      <c r="AV11" s="252">
        <f t="shared" si="0"/>
        <v>921818.10779683583</v>
      </c>
      <c r="AW11" s="220">
        <f t="shared" si="1"/>
        <v>0</v>
      </c>
      <c r="AX11" s="220">
        <f t="shared" si="1"/>
        <v>3389219.5124241305</v>
      </c>
      <c r="AY11" s="220">
        <f t="shared" si="4"/>
        <v>0</v>
      </c>
      <c r="AZ11" s="220">
        <f t="shared" si="4"/>
        <v>0</v>
      </c>
      <c r="BA11" s="220">
        <f t="shared" si="1"/>
        <v>631105.82208445296</v>
      </c>
      <c r="BB11" s="220">
        <f t="shared" si="5"/>
        <v>0</v>
      </c>
      <c r="BC11" s="220">
        <f t="shared" si="5"/>
        <v>0</v>
      </c>
      <c r="BD11" s="220">
        <f t="shared" si="5"/>
        <v>0</v>
      </c>
      <c r="BE11" s="220">
        <f t="shared" si="6"/>
        <v>0</v>
      </c>
      <c r="BF11" s="220">
        <f t="shared" si="7"/>
        <v>0</v>
      </c>
      <c r="BG11" s="220">
        <f t="shared" si="8"/>
        <v>0</v>
      </c>
      <c r="BH11" s="220">
        <f t="shared" si="9"/>
        <v>0</v>
      </c>
      <c r="BI11" s="253">
        <f t="shared" si="10"/>
        <v>0</v>
      </c>
      <c r="BJ11" s="253">
        <f t="shared" si="11"/>
        <v>0</v>
      </c>
      <c r="BK11" s="253">
        <f t="shared" si="12"/>
        <v>0</v>
      </c>
      <c r="BL11" s="253">
        <f t="shared" si="13"/>
        <v>0</v>
      </c>
      <c r="BM11" s="253">
        <f t="shared" si="14"/>
        <v>0</v>
      </c>
      <c r="BN11" s="253">
        <f t="shared" si="15"/>
        <v>0</v>
      </c>
      <c r="BO11" s="253">
        <f t="shared" si="16"/>
        <v>0</v>
      </c>
      <c r="BP11" s="253">
        <f t="shared" si="17"/>
        <v>0</v>
      </c>
      <c r="BQ11" s="254">
        <f t="shared" si="18"/>
        <v>4942143.4423054196</v>
      </c>
    </row>
    <row r="12" spans="1:69" x14ac:dyDescent="0.2">
      <c r="A12" s="196" t="s">
        <v>634</v>
      </c>
      <c r="B12" s="234" t="s">
        <v>635</v>
      </c>
      <c r="C12" s="284"/>
      <c r="D12" s="246">
        <v>75</v>
      </c>
      <c r="E12" s="247">
        <v>0</v>
      </c>
      <c r="F12" s="247">
        <v>8.41</v>
      </c>
      <c r="G12" s="247">
        <v>0</v>
      </c>
      <c r="H12" s="247">
        <v>0</v>
      </c>
      <c r="I12" s="247">
        <v>1.91</v>
      </c>
      <c r="J12" s="247">
        <v>0</v>
      </c>
      <c r="K12" s="247">
        <v>0</v>
      </c>
      <c r="L12" s="247">
        <v>0</v>
      </c>
      <c r="M12" s="247">
        <v>0</v>
      </c>
      <c r="N12" s="247">
        <v>0</v>
      </c>
      <c r="O12" s="247">
        <v>0</v>
      </c>
      <c r="P12" s="247">
        <v>0</v>
      </c>
      <c r="Q12" s="247">
        <v>0</v>
      </c>
      <c r="R12" s="247">
        <v>0</v>
      </c>
      <c r="S12" s="247">
        <v>0</v>
      </c>
      <c r="T12" s="247">
        <v>0</v>
      </c>
      <c r="U12" s="247">
        <v>0</v>
      </c>
      <c r="V12" s="247">
        <v>0</v>
      </c>
      <c r="W12" s="247">
        <v>0</v>
      </c>
      <c r="X12" s="275">
        <v>0</v>
      </c>
      <c r="Z12" s="656">
        <v>4325.4798963063058</v>
      </c>
      <c r="AA12" s="654">
        <v>0</v>
      </c>
      <c r="AB12" s="654">
        <v>11937966.333181802</v>
      </c>
      <c r="AC12" s="654">
        <v>0</v>
      </c>
      <c r="AD12" s="654">
        <v>0</v>
      </c>
      <c r="AE12" s="654">
        <v>10332699.15836278</v>
      </c>
      <c r="AF12" s="654">
        <v>0</v>
      </c>
      <c r="AG12" s="654">
        <v>0</v>
      </c>
      <c r="AH12" s="654">
        <v>0</v>
      </c>
      <c r="AI12" s="654">
        <v>0</v>
      </c>
      <c r="AJ12" s="654">
        <v>0</v>
      </c>
      <c r="AK12" s="654">
        <v>0</v>
      </c>
      <c r="AL12" s="654">
        <v>0</v>
      </c>
      <c r="AM12" s="654">
        <v>0</v>
      </c>
      <c r="AN12" s="654">
        <v>0</v>
      </c>
      <c r="AO12" s="654">
        <v>0</v>
      </c>
      <c r="AP12" s="654">
        <v>0</v>
      </c>
      <c r="AQ12" s="654">
        <v>0</v>
      </c>
      <c r="AR12" s="654">
        <v>0</v>
      </c>
      <c r="AS12" s="654">
        <v>0</v>
      </c>
      <c r="AT12" s="655">
        <v>0</v>
      </c>
      <c r="AV12" s="252">
        <f t="shared" si="0"/>
        <v>324410.99222297291</v>
      </c>
      <c r="AW12" s="220">
        <f t="shared" si="1"/>
        <v>0</v>
      </c>
      <c r="AX12" s="220">
        <f t="shared" si="1"/>
        <v>1003982.9686205897</v>
      </c>
      <c r="AY12" s="220">
        <f t="shared" si="4"/>
        <v>0</v>
      </c>
      <c r="AZ12" s="220">
        <f t="shared" si="4"/>
        <v>0</v>
      </c>
      <c r="BA12" s="220">
        <f t="shared" si="1"/>
        <v>197354.55392472909</v>
      </c>
      <c r="BB12" s="220">
        <f t="shared" si="5"/>
        <v>0</v>
      </c>
      <c r="BC12" s="220">
        <f t="shared" si="5"/>
        <v>0</v>
      </c>
      <c r="BD12" s="220">
        <f t="shared" si="5"/>
        <v>0</v>
      </c>
      <c r="BE12" s="220">
        <f t="shared" si="6"/>
        <v>0</v>
      </c>
      <c r="BF12" s="220">
        <f t="shared" si="7"/>
        <v>0</v>
      </c>
      <c r="BG12" s="220">
        <f t="shared" si="8"/>
        <v>0</v>
      </c>
      <c r="BH12" s="220">
        <f t="shared" si="9"/>
        <v>0</v>
      </c>
      <c r="BI12" s="253">
        <f t="shared" si="10"/>
        <v>0</v>
      </c>
      <c r="BJ12" s="253">
        <f t="shared" si="11"/>
        <v>0</v>
      </c>
      <c r="BK12" s="253">
        <f t="shared" si="12"/>
        <v>0</v>
      </c>
      <c r="BL12" s="253">
        <f t="shared" si="13"/>
        <v>0</v>
      </c>
      <c r="BM12" s="253">
        <f t="shared" si="14"/>
        <v>0</v>
      </c>
      <c r="BN12" s="253">
        <f t="shared" si="15"/>
        <v>0</v>
      </c>
      <c r="BO12" s="253">
        <f t="shared" si="16"/>
        <v>0</v>
      </c>
      <c r="BP12" s="253">
        <f t="shared" si="17"/>
        <v>0</v>
      </c>
      <c r="BQ12" s="254">
        <f t="shared" si="18"/>
        <v>1525748.5147682917</v>
      </c>
    </row>
    <row r="13" spans="1:69" x14ac:dyDescent="0.2">
      <c r="A13" s="196" t="s">
        <v>636</v>
      </c>
      <c r="B13" s="234" t="s">
        <v>637</v>
      </c>
      <c r="C13" s="284"/>
      <c r="D13" s="246">
        <v>85</v>
      </c>
      <c r="E13" s="247">
        <v>0</v>
      </c>
      <c r="F13" s="247">
        <v>9.8800000000000008</v>
      </c>
      <c r="G13" s="247">
        <v>0</v>
      </c>
      <c r="H13" s="247">
        <v>0</v>
      </c>
      <c r="I13" s="247">
        <v>2.11</v>
      </c>
      <c r="J13" s="247">
        <v>0</v>
      </c>
      <c r="K13" s="247">
        <v>0</v>
      </c>
      <c r="L13" s="247">
        <v>0</v>
      </c>
      <c r="M13" s="247">
        <v>0</v>
      </c>
      <c r="N13" s="247">
        <v>0</v>
      </c>
      <c r="O13" s="247">
        <v>0</v>
      </c>
      <c r="P13" s="247">
        <v>0</v>
      </c>
      <c r="Q13" s="247">
        <v>0</v>
      </c>
      <c r="R13" s="247">
        <v>0</v>
      </c>
      <c r="S13" s="247">
        <v>0</v>
      </c>
      <c r="T13" s="247">
        <v>0</v>
      </c>
      <c r="U13" s="247">
        <v>0</v>
      </c>
      <c r="V13" s="247">
        <v>0</v>
      </c>
      <c r="W13" s="247">
        <v>0</v>
      </c>
      <c r="X13" s="275">
        <v>0</v>
      </c>
      <c r="Z13" s="656">
        <v>17220.894511590293</v>
      </c>
      <c r="AA13" s="654">
        <v>0</v>
      </c>
      <c r="AB13" s="654">
        <v>60059088.859664425</v>
      </c>
      <c r="AC13" s="654">
        <v>0</v>
      </c>
      <c r="AD13" s="654">
        <v>0</v>
      </c>
      <c r="AE13" s="654">
        <v>52811678.164143428</v>
      </c>
      <c r="AF13" s="654">
        <v>0</v>
      </c>
      <c r="AG13" s="654">
        <v>0</v>
      </c>
      <c r="AH13" s="654">
        <v>0</v>
      </c>
      <c r="AI13" s="654">
        <v>0</v>
      </c>
      <c r="AJ13" s="654">
        <v>0</v>
      </c>
      <c r="AK13" s="654">
        <v>0</v>
      </c>
      <c r="AL13" s="654">
        <v>0</v>
      </c>
      <c r="AM13" s="654">
        <v>0</v>
      </c>
      <c r="AN13" s="654">
        <v>0</v>
      </c>
      <c r="AO13" s="654">
        <v>0</v>
      </c>
      <c r="AP13" s="654">
        <v>0</v>
      </c>
      <c r="AQ13" s="654">
        <v>0</v>
      </c>
      <c r="AR13" s="654">
        <v>0</v>
      </c>
      <c r="AS13" s="654">
        <v>0</v>
      </c>
      <c r="AT13" s="655">
        <v>0</v>
      </c>
      <c r="AV13" s="252">
        <f t="shared" si="0"/>
        <v>1463776.0334851749</v>
      </c>
      <c r="AW13" s="220">
        <f t="shared" si="1"/>
        <v>0</v>
      </c>
      <c r="AX13" s="220">
        <f t="shared" si="1"/>
        <v>5933837.9793348461</v>
      </c>
      <c r="AY13" s="220">
        <f t="shared" si="4"/>
        <v>0</v>
      </c>
      <c r="AZ13" s="220">
        <f t="shared" si="4"/>
        <v>0</v>
      </c>
      <c r="BA13" s="220">
        <f t="shared" si="1"/>
        <v>1114326.4092634262</v>
      </c>
      <c r="BB13" s="220">
        <f t="shared" si="5"/>
        <v>0</v>
      </c>
      <c r="BC13" s="220">
        <f t="shared" si="5"/>
        <v>0</v>
      </c>
      <c r="BD13" s="220">
        <f t="shared" si="5"/>
        <v>0</v>
      </c>
      <c r="BE13" s="220">
        <f t="shared" si="6"/>
        <v>0</v>
      </c>
      <c r="BF13" s="220">
        <f t="shared" si="7"/>
        <v>0</v>
      </c>
      <c r="BG13" s="220">
        <f t="shared" si="8"/>
        <v>0</v>
      </c>
      <c r="BH13" s="220">
        <f t="shared" si="9"/>
        <v>0</v>
      </c>
      <c r="BI13" s="253">
        <f t="shared" si="10"/>
        <v>0</v>
      </c>
      <c r="BJ13" s="253">
        <f t="shared" si="11"/>
        <v>0</v>
      </c>
      <c r="BK13" s="253">
        <f t="shared" si="12"/>
        <v>0</v>
      </c>
      <c r="BL13" s="253">
        <f t="shared" si="13"/>
        <v>0</v>
      </c>
      <c r="BM13" s="253">
        <f t="shared" si="14"/>
        <v>0</v>
      </c>
      <c r="BN13" s="253">
        <f t="shared" si="15"/>
        <v>0</v>
      </c>
      <c r="BO13" s="253">
        <f t="shared" si="16"/>
        <v>0</v>
      </c>
      <c r="BP13" s="253">
        <f t="shared" si="17"/>
        <v>0</v>
      </c>
      <c r="BQ13" s="254">
        <f t="shared" si="18"/>
        <v>8511940.4220834468</v>
      </c>
    </row>
    <row r="14" spans="1:69" x14ac:dyDescent="0.2">
      <c r="A14" s="196" t="s">
        <v>638</v>
      </c>
      <c r="B14" s="234" t="s">
        <v>639</v>
      </c>
      <c r="C14" s="284"/>
      <c r="D14" s="246">
        <v>75</v>
      </c>
      <c r="E14" s="247">
        <v>0</v>
      </c>
      <c r="F14" s="247">
        <v>8.41</v>
      </c>
      <c r="G14" s="247">
        <v>0</v>
      </c>
      <c r="H14" s="247">
        <v>0</v>
      </c>
      <c r="I14" s="247">
        <v>1.91</v>
      </c>
      <c r="J14" s="247">
        <v>0</v>
      </c>
      <c r="K14" s="247">
        <v>0</v>
      </c>
      <c r="L14" s="247">
        <v>0</v>
      </c>
      <c r="M14" s="247">
        <v>0</v>
      </c>
      <c r="N14" s="247">
        <v>0</v>
      </c>
      <c r="O14" s="247">
        <v>0</v>
      </c>
      <c r="P14" s="247">
        <v>0</v>
      </c>
      <c r="Q14" s="247">
        <v>0</v>
      </c>
      <c r="R14" s="247">
        <v>0</v>
      </c>
      <c r="S14" s="247">
        <v>0</v>
      </c>
      <c r="T14" s="247">
        <v>0</v>
      </c>
      <c r="U14" s="247">
        <v>0</v>
      </c>
      <c r="V14" s="247">
        <v>0</v>
      </c>
      <c r="W14" s="247">
        <v>0</v>
      </c>
      <c r="X14" s="275">
        <v>0</v>
      </c>
      <c r="Z14" s="656">
        <v>8720.0761855865894</v>
      </c>
      <c r="AA14" s="654">
        <v>0</v>
      </c>
      <c r="AB14" s="654">
        <v>14985083.090693302</v>
      </c>
      <c r="AC14" s="654">
        <v>0</v>
      </c>
      <c r="AD14" s="654">
        <v>0</v>
      </c>
      <c r="AE14" s="654">
        <v>14138212.664102102</v>
      </c>
      <c r="AF14" s="654">
        <v>0</v>
      </c>
      <c r="AG14" s="654">
        <v>0</v>
      </c>
      <c r="AH14" s="654">
        <v>0</v>
      </c>
      <c r="AI14" s="654">
        <v>0</v>
      </c>
      <c r="AJ14" s="654">
        <v>0</v>
      </c>
      <c r="AK14" s="654">
        <v>0</v>
      </c>
      <c r="AL14" s="654">
        <v>0</v>
      </c>
      <c r="AM14" s="654">
        <v>0</v>
      </c>
      <c r="AN14" s="654">
        <v>0</v>
      </c>
      <c r="AO14" s="654">
        <v>0</v>
      </c>
      <c r="AP14" s="654">
        <v>0</v>
      </c>
      <c r="AQ14" s="654">
        <v>0</v>
      </c>
      <c r="AR14" s="654">
        <v>0</v>
      </c>
      <c r="AS14" s="654">
        <v>0</v>
      </c>
      <c r="AT14" s="655">
        <v>0</v>
      </c>
      <c r="AV14" s="252">
        <f t="shared" si="0"/>
        <v>654005.71391899418</v>
      </c>
      <c r="AW14" s="220">
        <f t="shared" si="1"/>
        <v>0</v>
      </c>
      <c r="AX14" s="220">
        <f t="shared" si="1"/>
        <v>1260245.4879273069</v>
      </c>
      <c r="AY14" s="220">
        <f t="shared" si="4"/>
        <v>0</v>
      </c>
      <c r="AZ14" s="220">
        <f t="shared" si="4"/>
        <v>0</v>
      </c>
      <c r="BA14" s="220">
        <f t="shared" si="1"/>
        <v>270039.86188435013</v>
      </c>
      <c r="BB14" s="220">
        <f t="shared" si="5"/>
        <v>0</v>
      </c>
      <c r="BC14" s="220">
        <f t="shared" si="5"/>
        <v>0</v>
      </c>
      <c r="BD14" s="220">
        <f t="shared" si="5"/>
        <v>0</v>
      </c>
      <c r="BE14" s="220">
        <f t="shared" si="6"/>
        <v>0</v>
      </c>
      <c r="BF14" s="220">
        <f t="shared" si="7"/>
        <v>0</v>
      </c>
      <c r="BG14" s="220">
        <f t="shared" si="8"/>
        <v>0</v>
      </c>
      <c r="BH14" s="220">
        <f t="shared" si="9"/>
        <v>0</v>
      </c>
      <c r="BI14" s="253">
        <f t="shared" si="10"/>
        <v>0</v>
      </c>
      <c r="BJ14" s="253">
        <f t="shared" si="11"/>
        <v>0</v>
      </c>
      <c r="BK14" s="253">
        <f t="shared" si="12"/>
        <v>0</v>
      </c>
      <c r="BL14" s="253">
        <f t="shared" si="13"/>
        <v>0</v>
      </c>
      <c r="BM14" s="253">
        <f t="shared" si="14"/>
        <v>0</v>
      </c>
      <c r="BN14" s="253">
        <f t="shared" si="15"/>
        <v>0</v>
      </c>
      <c r="BO14" s="253">
        <f t="shared" si="16"/>
        <v>0</v>
      </c>
      <c r="BP14" s="253">
        <f t="shared" si="17"/>
        <v>0</v>
      </c>
      <c r="BQ14" s="254">
        <f t="shared" si="18"/>
        <v>2184291.063730651</v>
      </c>
    </row>
    <row r="15" spans="1:69" x14ac:dyDescent="0.2">
      <c r="A15" s="196" t="s">
        <v>640</v>
      </c>
      <c r="B15" s="234" t="s">
        <v>641</v>
      </c>
      <c r="C15" s="284"/>
      <c r="D15" s="246">
        <v>0</v>
      </c>
      <c r="E15" s="247">
        <v>0</v>
      </c>
      <c r="F15" s="247">
        <v>0</v>
      </c>
      <c r="G15" s="247">
        <v>0</v>
      </c>
      <c r="H15" s="247">
        <v>0</v>
      </c>
      <c r="I15" s="247">
        <v>1.78</v>
      </c>
      <c r="J15" s="247">
        <v>0</v>
      </c>
      <c r="K15" s="247">
        <v>0</v>
      </c>
      <c r="L15" s="247">
        <v>0</v>
      </c>
      <c r="M15" s="247">
        <v>0</v>
      </c>
      <c r="N15" s="247">
        <v>0</v>
      </c>
      <c r="O15" s="247">
        <v>0</v>
      </c>
      <c r="P15" s="247">
        <v>0</v>
      </c>
      <c r="Q15" s="247">
        <v>0</v>
      </c>
      <c r="R15" s="247">
        <v>0</v>
      </c>
      <c r="S15" s="247">
        <v>0</v>
      </c>
      <c r="T15" s="247">
        <v>0</v>
      </c>
      <c r="U15" s="247">
        <v>0</v>
      </c>
      <c r="V15" s="247">
        <v>0</v>
      </c>
      <c r="W15" s="247">
        <v>0</v>
      </c>
      <c r="X15" s="275">
        <v>0</v>
      </c>
      <c r="Z15" s="656">
        <v>9721.6356157284772</v>
      </c>
      <c r="AA15" s="654">
        <v>0</v>
      </c>
      <c r="AB15" s="654">
        <v>0</v>
      </c>
      <c r="AC15" s="654">
        <v>0</v>
      </c>
      <c r="AD15" s="654">
        <v>0</v>
      </c>
      <c r="AE15" s="654">
        <v>19909930.707670532</v>
      </c>
      <c r="AF15" s="654">
        <v>0</v>
      </c>
      <c r="AG15" s="654">
        <v>0</v>
      </c>
      <c r="AH15" s="654">
        <v>0</v>
      </c>
      <c r="AI15" s="654">
        <v>0</v>
      </c>
      <c r="AJ15" s="654">
        <v>0</v>
      </c>
      <c r="AK15" s="654">
        <v>0</v>
      </c>
      <c r="AL15" s="654">
        <v>0</v>
      </c>
      <c r="AM15" s="654">
        <v>0</v>
      </c>
      <c r="AN15" s="654">
        <v>0</v>
      </c>
      <c r="AO15" s="654">
        <v>0</v>
      </c>
      <c r="AP15" s="654">
        <v>0</v>
      </c>
      <c r="AQ15" s="654">
        <v>0</v>
      </c>
      <c r="AR15" s="654">
        <v>0</v>
      </c>
      <c r="AS15" s="654">
        <v>0</v>
      </c>
      <c r="AT15" s="655">
        <v>0</v>
      </c>
      <c r="AV15" s="252">
        <f t="shared" si="0"/>
        <v>0</v>
      </c>
      <c r="AW15" s="220">
        <f t="shared" si="1"/>
        <v>0</v>
      </c>
      <c r="AX15" s="220">
        <f t="shared" ref="AX15:AX42" si="19">F15/100*AB15</f>
        <v>0</v>
      </c>
      <c r="AY15" s="220">
        <f t="shared" si="4"/>
        <v>0</v>
      </c>
      <c r="AZ15" s="220">
        <f t="shared" si="4"/>
        <v>0</v>
      </c>
      <c r="BA15" s="220">
        <f t="shared" si="1"/>
        <v>354396.76659653545</v>
      </c>
      <c r="BB15" s="220">
        <f t="shared" si="5"/>
        <v>0</v>
      </c>
      <c r="BC15" s="220">
        <f t="shared" si="5"/>
        <v>0</v>
      </c>
      <c r="BD15" s="220">
        <f t="shared" si="5"/>
        <v>0</v>
      </c>
      <c r="BE15" s="220">
        <f t="shared" si="6"/>
        <v>0</v>
      </c>
      <c r="BF15" s="220">
        <f t="shared" si="7"/>
        <v>0</v>
      </c>
      <c r="BG15" s="220">
        <f t="shared" si="8"/>
        <v>0</v>
      </c>
      <c r="BH15" s="220">
        <f t="shared" si="9"/>
        <v>0</v>
      </c>
      <c r="BI15" s="253">
        <f t="shared" si="10"/>
        <v>0</v>
      </c>
      <c r="BJ15" s="253">
        <f t="shared" si="11"/>
        <v>0</v>
      </c>
      <c r="BK15" s="253">
        <f t="shared" si="12"/>
        <v>0</v>
      </c>
      <c r="BL15" s="253">
        <f t="shared" si="13"/>
        <v>0</v>
      </c>
      <c r="BM15" s="253">
        <f t="shared" si="14"/>
        <v>0</v>
      </c>
      <c r="BN15" s="253">
        <f t="shared" si="15"/>
        <v>0</v>
      </c>
      <c r="BO15" s="253">
        <f t="shared" si="16"/>
        <v>0</v>
      </c>
      <c r="BP15" s="253">
        <f t="shared" si="17"/>
        <v>0</v>
      </c>
      <c r="BQ15" s="254">
        <f t="shared" si="18"/>
        <v>354396.76659653545</v>
      </c>
    </row>
    <row r="16" spans="1:69" x14ac:dyDescent="0.2">
      <c r="A16" s="196" t="s">
        <v>642</v>
      </c>
      <c r="B16" s="234" t="s">
        <v>643</v>
      </c>
      <c r="C16" s="284"/>
      <c r="D16" s="246">
        <v>0</v>
      </c>
      <c r="E16" s="247">
        <v>0</v>
      </c>
      <c r="F16" s="247">
        <v>0</v>
      </c>
      <c r="G16" s="247">
        <v>0</v>
      </c>
      <c r="H16" s="247">
        <v>0</v>
      </c>
      <c r="I16" s="247">
        <v>1.38</v>
      </c>
      <c r="J16" s="247">
        <v>0</v>
      </c>
      <c r="K16" s="247">
        <v>0</v>
      </c>
      <c r="L16" s="247">
        <v>0</v>
      </c>
      <c r="M16" s="247">
        <v>0</v>
      </c>
      <c r="N16" s="247">
        <v>0</v>
      </c>
      <c r="O16" s="247">
        <v>0</v>
      </c>
      <c r="P16" s="247">
        <v>0</v>
      </c>
      <c r="Q16" s="247">
        <v>0</v>
      </c>
      <c r="R16" s="247">
        <v>0</v>
      </c>
      <c r="S16" s="247">
        <v>0</v>
      </c>
      <c r="T16" s="247">
        <v>0</v>
      </c>
      <c r="U16" s="247">
        <v>0</v>
      </c>
      <c r="V16" s="247">
        <v>0</v>
      </c>
      <c r="W16" s="247">
        <v>0</v>
      </c>
      <c r="X16" s="275">
        <v>0</v>
      </c>
      <c r="Z16" s="656">
        <v>3658.6066628568519</v>
      </c>
      <c r="AA16" s="654">
        <v>0</v>
      </c>
      <c r="AB16" s="654">
        <v>0</v>
      </c>
      <c r="AC16" s="654">
        <v>0</v>
      </c>
      <c r="AD16" s="654">
        <v>0</v>
      </c>
      <c r="AE16" s="654">
        <v>7350471.8260590127</v>
      </c>
      <c r="AF16" s="654">
        <v>0</v>
      </c>
      <c r="AG16" s="654">
        <v>0</v>
      </c>
      <c r="AH16" s="654">
        <v>0</v>
      </c>
      <c r="AI16" s="654">
        <v>0</v>
      </c>
      <c r="AJ16" s="654">
        <v>0</v>
      </c>
      <c r="AK16" s="654">
        <v>0</v>
      </c>
      <c r="AL16" s="654">
        <v>0</v>
      </c>
      <c r="AM16" s="654">
        <v>0</v>
      </c>
      <c r="AN16" s="654">
        <v>0</v>
      </c>
      <c r="AO16" s="654">
        <v>0</v>
      </c>
      <c r="AP16" s="654">
        <v>0</v>
      </c>
      <c r="AQ16" s="654">
        <v>0</v>
      </c>
      <c r="AR16" s="654">
        <v>0</v>
      </c>
      <c r="AS16" s="654">
        <v>0</v>
      </c>
      <c r="AT16" s="655">
        <v>0</v>
      </c>
      <c r="AV16" s="252">
        <f t="shared" si="0"/>
        <v>0</v>
      </c>
      <c r="AW16" s="220">
        <f t="shared" si="1"/>
        <v>0</v>
      </c>
      <c r="AX16" s="220">
        <f t="shared" si="19"/>
        <v>0</v>
      </c>
      <c r="AY16" s="220">
        <f t="shared" si="4"/>
        <v>0</v>
      </c>
      <c r="AZ16" s="220">
        <f t="shared" si="4"/>
        <v>0</v>
      </c>
      <c r="BA16" s="220">
        <f t="shared" si="1"/>
        <v>101436.51119961437</v>
      </c>
      <c r="BB16" s="220">
        <f t="shared" si="5"/>
        <v>0</v>
      </c>
      <c r="BC16" s="220">
        <f t="shared" si="5"/>
        <v>0</v>
      </c>
      <c r="BD16" s="220">
        <f t="shared" si="5"/>
        <v>0</v>
      </c>
      <c r="BE16" s="220">
        <f t="shared" si="6"/>
        <v>0</v>
      </c>
      <c r="BF16" s="220">
        <f t="shared" si="7"/>
        <v>0</v>
      </c>
      <c r="BG16" s="220">
        <f t="shared" si="8"/>
        <v>0</v>
      </c>
      <c r="BH16" s="220">
        <f t="shared" si="9"/>
        <v>0</v>
      </c>
      <c r="BI16" s="253">
        <f t="shared" si="10"/>
        <v>0</v>
      </c>
      <c r="BJ16" s="253">
        <f t="shared" si="11"/>
        <v>0</v>
      </c>
      <c r="BK16" s="253">
        <f t="shared" si="12"/>
        <v>0</v>
      </c>
      <c r="BL16" s="253">
        <f t="shared" si="13"/>
        <v>0</v>
      </c>
      <c r="BM16" s="253">
        <f t="shared" si="14"/>
        <v>0</v>
      </c>
      <c r="BN16" s="253">
        <f t="shared" si="15"/>
        <v>0</v>
      </c>
      <c r="BO16" s="253">
        <f t="shared" si="16"/>
        <v>0</v>
      </c>
      <c r="BP16" s="253">
        <f t="shared" si="17"/>
        <v>0</v>
      </c>
      <c r="BQ16" s="254">
        <f t="shared" si="18"/>
        <v>101436.51119961437</v>
      </c>
    </row>
    <row r="17" spans="1:69" x14ac:dyDescent="0.2">
      <c r="A17" s="196" t="s">
        <v>644</v>
      </c>
      <c r="B17" s="234" t="s">
        <v>645</v>
      </c>
      <c r="C17" s="284"/>
      <c r="D17" s="246">
        <v>0</v>
      </c>
      <c r="E17" s="247">
        <v>0</v>
      </c>
      <c r="F17" s="247">
        <v>0</v>
      </c>
      <c r="G17" s="247">
        <v>0</v>
      </c>
      <c r="H17" s="247">
        <v>0</v>
      </c>
      <c r="I17" s="247">
        <v>1.78</v>
      </c>
      <c r="J17" s="247">
        <v>0</v>
      </c>
      <c r="K17" s="247">
        <v>0</v>
      </c>
      <c r="L17" s="247">
        <v>0</v>
      </c>
      <c r="M17" s="247">
        <v>0</v>
      </c>
      <c r="N17" s="247">
        <v>0</v>
      </c>
      <c r="O17" s="247">
        <v>0</v>
      </c>
      <c r="P17" s="247">
        <v>0</v>
      </c>
      <c r="Q17" s="247">
        <v>0</v>
      </c>
      <c r="R17" s="247">
        <v>0</v>
      </c>
      <c r="S17" s="247">
        <v>0</v>
      </c>
      <c r="T17" s="247">
        <v>0</v>
      </c>
      <c r="U17" s="247">
        <v>0</v>
      </c>
      <c r="V17" s="247">
        <v>0</v>
      </c>
      <c r="W17" s="247">
        <v>0</v>
      </c>
      <c r="X17" s="275">
        <v>0</v>
      </c>
      <c r="Z17" s="656">
        <v>22642.030575507612</v>
      </c>
      <c r="AA17" s="654">
        <v>0</v>
      </c>
      <c r="AB17" s="654">
        <v>0</v>
      </c>
      <c r="AC17" s="654">
        <v>0</v>
      </c>
      <c r="AD17" s="654">
        <v>0</v>
      </c>
      <c r="AE17" s="654">
        <v>33890069.863411687</v>
      </c>
      <c r="AF17" s="654">
        <v>0</v>
      </c>
      <c r="AG17" s="654">
        <v>0</v>
      </c>
      <c r="AH17" s="654">
        <v>0</v>
      </c>
      <c r="AI17" s="654">
        <v>0</v>
      </c>
      <c r="AJ17" s="654">
        <v>0</v>
      </c>
      <c r="AK17" s="654">
        <v>0</v>
      </c>
      <c r="AL17" s="654">
        <v>0</v>
      </c>
      <c r="AM17" s="654">
        <v>0</v>
      </c>
      <c r="AN17" s="654">
        <v>0</v>
      </c>
      <c r="AO17" s="654">
        <v>0</v>
      </c>
      <c r="AP17" s="654">
        <v>0</v>
      </c>
      <c r="AQ17" s="654">
        <v>0</v>
      </c>
      <c r="AR17" s="654">
        <v>0</v>
      </c>
      <c r="AS17" s="654">
        <v>0</v>
      </c>
      <c r="AT17" s="655">
        <v>0</v>
      </c>
      <c r="AV17" s="252">
        <f t="shared" si="0"/>
        <v>0</v>
      </c>
      <c r="AW17" s="220">
        <f t="shared" si="1"/>
        <v>0</v>
      </c>
      <c r="AX17" s="220">
        <f t="shared" si="19"/>
        <v>0</v>
      </c>
      <c r="AY17" s="220">
        <f t="shared" si="4"/>
        <v>0</v>
      </c>
      <c r="AZ17" s="220">
        <f t="shared" si="4"/>
        <v>0</v>
      </c>
      <c r="BA17" s="220">
        <f t="shared" si="1"/>
        <v>603243.24356872798</v>
      </c>
      <c r="BB17" s="220">
        <f t="shared" si="5"/>
        <v>0</v>
      </c>
      <c r="BC17" s="220">
        <f t="shared" si="5"/>
        <v>0</v>
      </c>
      <c r="BD17" s="220">
        <f t="shared" si="5"/>
        <v>0</v>
      </c>
      <c r="BE17" s="220">
        <f t="shared" si="6"/>
        <v>0</v>
      </c>
      <c r="BF17" s="220">
        <f t="shared" si="7"/>
        <v>0</v>
      </c>
      <c r="BG17" s="220">
        <f t="shared" si="8"/>
        <v>0</v>
      </c>
      <c r="BH17" s="220">
        <f t="shared" si="9"/>
        <v>0</v>
      </c>
      <c r="BI17" s="253">
        <f t="shared" si="10"/>
        <v>0</v>
      </c>
      <c r="BJ17" s="253">
        <f t="shared" si="11"/>
        <v>0</v>
      </c>
      <c r="BK17" s="253">
        <f t="shared" si="12"/>
        <v>0</v>
      </c>
      <c r="BL17" s="253">
        <f t="shared" si="13"/>
        <v>0</v>
      </c>
      <c r="BM17" s="253">
        <f t="shared" si="14"/>
        <v>0</v>
      </c>
      <c r="BN17" s="253">
        <f t="shared" si="15"/>
        <v>0</v>
      </c>
      <c r="BO17" s="253">
        <f t="shared" si="16"/>
        <v>0</v>
      </c>
      <c r="BP17" s="253">
        <f t="shared" si="17"/>
        <v>0</v>
      </c>
      <c r="BQ17" s="254">
        <f t="shared" si="18"/>
        <v>603243.24356872798</v>
      </c>
    </row>
    <row r="18" spans="1:69" x14ac:dyDescent="0.2">
      <c r="A18" s="196" t="s">
        <v>646</v>
      </c>
      <c r="B18" s="234" t="s">
        <v>647</v>
      </c>
      <c r="C18" s="284"/>
      <c r="D18" s="246">
        <v>0</v>
      </c>
      <c r="E18" s="247">
        <v>0</v>
      </c>
      <c r="F18" s="247">
        <v>0</v>
      </c>
      <c r="G18" s="247">
        <v>0</v>
      </c>
      <c r="H18" s="247">
        <v>0</v>
      </c>
      <c r="I18" s="247">
        <v>1.38</v>
      </c>
      <c r="J18" s="247">
        <v>0</v>
      </c>
      <c r="K18" s="247">
        <v>0</v>
      </c>
      <c r="L18" s="247">
        <v>0</v>
      </c>
      <c r="M18" s="247">
        <v>0</v>
      </c>
      <c r="N18" s="247">
        <v>0</v>
      </c>
      <c r="O18" s="247">
        <v>0</v>
      </c>
      <c r="P18" s="247">
        <v>0</v>
      </c>
      <c r="Q18" s="247">
        <v>0</v>
      </c>
      <c r="R18" s="247">
        <v>0</v>
      </c>
      <c r="S18" s="247">
        <v>0</v>
      </c>
      <c r="T18" s="247">
        <v>0</v>
      </c>
      <c r="U18" s="247">
        <v>0</v>
      </c>
      <c r="V18" s="247">
        <v>0</v>
      </c>
      <c r="W18" s="247">
        <v>0</v>
      </c>
      <c r="X18" s="275">
        <v>0</v>
      </c>
      <c r="Z18" s="656">
        <v>1081.4792179376586</v>
      </c>
      <c r="AA18" s="654">
        <v>0</v>
      </c>
      <c r="AB18" s="654">
        <v>0</v>
      </c>
      <c r="AC18" s="654">
        <v>0</v>
      </c>
      <c r="AD18" s="654">
        <v>0</v>
      </c>
      <c r="AE18" s="654">
        <v>2219211.1923869113</v>
      </c>
      <c r="AF18" s="654">
        <v>0</v>
      </c>
      <c r="AG18" s="654">
        <v>0</v>
      </c>
      <c r="AH18" s="654">
        <v>0</v>
      </c>
      <c r="AI18" s="654">
        <v>0</v>
      </c>
      <c r="AJ18" s="654">
        <v>0</v>
      </c>
      <c r="AK18" s="654">
        <v>0</v>
      </c>
      <c r="AL18" s="654">
        <v>0</v>
      </c>
      <c r="AM18" s="654">
        <v>0</v>
      </c>
      <c r="AN18" s="654">
        <v>0</v>
      </c>
      <c r="AO18" s="654">
        <v>0</v>
      </c>
      <c r="AP18" s="654">
        <v>0</v>
      </c>
      <c r="AQ18" s="654">
        <v>0</v>
      </c>
      <c r="AR18" s="654">
        <v>0</v>
      </c>
      <c r="AS18" s="654">
        <v>0</v>
      </c>
      <c r="AT18" s="655">
        <v>0</v>
      </c>
      <c r="AV18" s="252">
        <f t="shared" si="0"/>
        <v>0</v>
      </c>
      <c r="AW18" s="220">
        <f t="shared" si="1"/>
        <v>0</v>
      </c>
      <c r="AX18" s="220">
        <f t="shared" si="19"/>
        <v>0</v>
      </c>
      <c r="AY18" s="220">
        <f t="shared" si="4"/>
        <v>0</v>
      </c>
      <c r="AZ18" s="220">
        <f t="shared" si="4"/>
        <v>0</v>
      </c>
      <c r="BA18" s="220">
        <f t="shared" si="1"/>
        <v>30625.114454939376</v>
      </c>
      <c r="BB18" s="220">
        <f t="shared" si="5"/>
        <v>0</v>
      </c>
      <c r="BC18" s="220">
        <f t="shared" si="5"/>
        <v>0</v>
      </c>
      <c r="BD18" s="220">
        <f t="shared" si="5"/>
        <v>0</v>
      </c>
      <c r="BE18" s="220">
        <f t="shared" si="6"/>
        <v>0</v>
      </c>
      <c r="BF18" s="220">
        <f t="shared" si="7"/>
        <v>0</v>
      </c>
      <c r="BG18" s="220">
        <f t="shared" si="8"/>
        <v>0</v>
      </c>
      <c r="BH18" s="220">
        <f t="shared" si="9"/>
        <v>0</v>
      </c>
      <c r="BI18" s="253">
        <f t="shared" si="10"/>
        <v>0</v>
      </c>
      <c r="BJ18" s="253">
        <f t="shared" si="11"/>
        <v>0</v>
      </c>
      <c r="BK18" s="253">
        <f t="shared" si="12"/>
        <v>0</v>
      </c>
      <c r="BL18" s="253">
        <f t="shared" si="13"/>
        <v>0</v>
      </c>
      <c r="BM18" s="253">
        <f t="shared" si="14"/>
        <v>0</v>
      </c>
      <c r="BN18" s="253">
        <f t="shared" si="15"/>
        <v>0</v>
      </c>
      <c r="BO18" s="253">
        <f t="shared" si="16"/>
        <v>0</v>
      </c>
      <c r="BP18" s="253">
        <f t="shared" si="17"/>
        <v>0</v>
      </c>
      <c r="BQ18" s="254">
        <f t="shared" si="18"/>
        <v>30625.114454939376</v>
      </c>
    </row>
    <row r="19" spans="1:69" x14ac:dyDescent="0.2">
      <c r="A19" s="196" t="s">
        <v>648</v>
      </c>
      <c r="B19" s="234" t="s">
        <v>649</v>
      </c>
      <c r="C19" s="284"/>
      <c r="D19" s="246">
        <v>85</v>
      </c>
      <c r="E19" s="247">
        <v>2.93</v>
      </c>
      <c r="F19" s="247">
        <v>0</v>
      </c>
      <c r="G19" s="247">
        <v>0</v>
      </c>
      <c r="H19" s="247">
        <v>0</v>
      </c>
      <c r="I19" s="247">
        <v>0</v>
      </c>
      <c r="J19" s="247">
        <v>0</v>
      </c>
      <c r="K19" s="247">
        <v>0</v>
      </c>
      <c r="L19" s="247">
        <v>0</v>
      </c>
      <c r="M19" s="247">
        <v>0</v>
      </c>
      <c r="N19" s="247">
        <v>0</v>
      </c>
      <c r="O19" s="247">
        <v>7.16</v>
      </c>
      <c r="P19" s="247">
        <v>2.4500000000000002</v>
      </c>
      <c r="Q19" s="247">
        <v>0</v>
      </c>
      <c r="R19" s="247">
        <v>0</v>
      </c>
      <c r="S19" s="247">
        <v>0</v>
      </c>
      <c r="T19" s="247">
        <v>0</v>
      </c>
      <c r="U19" s="247">
        <v>0</v>
      </c>
      <c r="V19" s="247">
        <v>0</v>
      </c>
      <c r="W19" s="247">
        <v>0</v>
      </c>
      <c r="X19" s="275">
        <v>0</v>
      </c>
      <c r="Z19" s="656">
        <v>5</v>
      </c>
      <c r="AA19" s="654">
        <v>27500</v>
      </c>
      <c r="AB19" s="654">
        <v>0</v>
      </c>
      <c r="AC19" s="654">
        <v>0</v>
      </c>
      <c r="AD19" s="654">
        <v>0</v>
      </c>
      <c r="AE19" s="654">
        <v>0</v>
      </c>
      <c r="AF19" s="654">
        <v>0</v>
      </c>
      <c r="AG19" s="654">
        <v>0</v>
      </c>
      <c r="AH19" s="654">
        <v>0</v>
      </c>
      <c r="AI19" s="654">
        <v>0</v>
      </c>
      <c r="AJ19" s="654">
        <v>0</v>
      </c>
      <c r="AK19" s="654">
        <v>62.785388127853878</v>
      </c>
      <c r="AL19" s="654">
        <v>100.45662100456622</v>
      </c>
      <c r="AM19" s="654">
        <v>0</v>
      </c>
      <c r="AN19" s="654">
        <v>0</v>
      </c>
      <c r="AO19" s="654">
        <v>0</v>
      </c>
      <c r="AP19" s="654">
        <v>0</v>
      </c>
      <c r="AQ19" s="654">
        <v>0</v>
      </c>
      <c r="AR19" s="654">
        <v>0</v>
      </c>
      <c r="AS19" s="654">
        <v>0</v>
      </c>
      <c r="AT19" s="655">
        <v>0</v>
      </c>
      <c r="AV19" s="252">
        <f t="shared" si="0"/>
        <v>425</v>
      </c>
      <c r="AW19" s="220">
        <f t="shared" si="1"/>
        <v>805.75000000000011</v>
      </c>
      <c r="AX19" s="220">
        <f t="shared" si="19"/>
        <v>0</v>
      </c>
      <c r="AY19" s="220">
        <f t="shared" si="4"/>
        <v>0</v>
      </c>
      <c r="AZ19" s="220">
        <f t="shared" si="4"/>
        <v>0</v>
      </c>
      <c r="BA19" s="220">
        <f t="shared" si="1"/>
        <v>0</v>
      </c>
      <c r="BB19" s="220">
        <f t="shared" si="5"/>
        <v>0</v>
      </c>
      <c r="BC19" s="220">
        <f t="shared" si="5"/>
        <v>0</v>
      </c>
      <c r="BD19" s="220">
        <f t="shared" si="5"/>
        <v>0</v>
      </c>
      <c r="BE19" s="220">
        <f t="shared" si="6"/>
        <v>0</v>
      </c>
      <c r="BF19" s="220">
        <f t="shared" si="7"/>
        <v>0</v>
      </c>
      <c r="BG19" s="220">
        <f t="shared" si="8"/>
        <v>449.54337899543378</v>
      </c>
      <c r="BH19" s="220">
        <f t="shared" si="9"/>
        <v>246.11872146118725</v>
      </c>
      <c r="BI19" s="253">
        <f t="shared" si="10"/>
        <v>0</v>
      </c>
      <c r="BJ19" s="253">
        <f t="shared" si="11"/>
        <v>0</v>
      </c>
      <c r="BK19" s="253">
        <f t="shared" si="12"/>
        <v>0</v>
      </c>
      <c r="BL19" s="253">
        <f t="shared" si="13"/>
        <v>0</v>
      </c>
      <c r="BM19" s="253">
        <f t="shared" si="14"/>
        <v>0</v>
      </c>
      <c r="BN19" s="253">
        <f t="shared" si="15"/>
        <v>0</v>
      </c>
      <c r="BO19" s="253">
        <f t="shared" si="16"/>
        <v>0</v>
      </c>
      <c r="BP19" s="253">
        <f t="shared" si="17"/>
        <v>0</v>
      </c>
      <c r="BQ19" s="254">
        <f t="shared" si="18"/>
        <v>1926.4121004566211</v>
      </c>
    </row>
    <row r="20" spans="1:69" x14ac:dyDescent="0.2">
      <c r="A20" s="196" t="s">
        <v>650</v>
      </c>
      <c r="B20" s="234" t="s">
        <v>651</v>
      </c>
      <c r="C20" s="284"/>
      <c r="D20" s="246">
        <v>75</v>
      </c>
      <c r="E20" s="247">
        <v>1.85</v>
      </c>
      <c r="F20" s="247">
        <v>0</v>
      </c>
      <c r="G20" s="247">
        <v>0</v>
      </c>
      <c r="H20" s="247">
        <v>0</v>
      </c>
      <c r="I20" s="247">
        <v>0</v>
      </c>
      <c r="J20" s="247">
        <v>0</v>
      </c>
      <c r="K20" s="247">
        <v>0</v>
      </c>
      <c r="L20" s="247">
        <v>0</v>
      </c>
      <c r="M20" s="247">
        <v>0</v>
      </c>
      <c r="N20" s="247">
        <v>0</v>
      </c>
      <c r="O20" s="247">
        <v>5.24</v>
      </c>
      <c r="P20" s="247">
        <v>1.75</v>
      </c>
      <c r="Q20" s="247">
        <v>0</v>
      </c>
      <c r="R20" s="247">
        <v>0</v>
      </c>
      <c r="S20" s="247">
        <v>0</v>
      </c>
      <c r="T20" s="247">
        <v>0</v>
      </c>
      <c r="U20" s="247">
        <v>0</v>
      </c>
      <c r="V20" s="247">
        <v>0</v>
      </c>
      <c r="W20" s="247">
        <v>0</v>
      </c>
      <c r="X20" s="275">
        <v>0</v>
      </c>
      <c r="Z20" s="656">
        <v>1</v>
      </c>
      <c r="AA20" s="654">
        <v>5500</v>
      </c>
      <c r="AB20" s="654">
        <v>0</v>
      </c>
      <c r="AC20" s="654">
        <v>0</v>
      </c>
      <c r="AD20" s="654">
        <v>0</v>
      </c>
      <c r="AE20" s="654">
        <v>0</v>
      </c>
      <c r="AF20" s="654">
        <v>0</v>
      </c>
      <c r="AG20" s="654">
        <v>0</v>
      </c>
      <c r="AH20" s="654">
        <v>0</v>
      </c>
      <c r="AI20" s="654">
        <v>0</v>
      </c>
      <c r="AJ20" s="654">
        <v>0</v>
      </c>
      <c r="AK20" s="654">
        <v>12.557077625570775</v>
      </c>
      <c r="AL20" s="654">
        <v>20.091324200913242</v>
      </c>
      <c r="AM20" s="654">
        <v>0</v>
      </c>
      <c r="AN20" s="654">
        <v>0</v>
      </c>
      <c r="AO20" s="654">
        <v>0</v>
      </c>
      <c r="AP20" s="654">
        <v>0</v>
      </c>
      <c r="AQ20" s="654">
        <v>0</v>
      </c>
      <c r="AR20" s="654">
        <v>0</v>
      </c>
      <c r="AS20" s="654">
        <v>0</v>
      </c>
      <c r="AT20" s="655">
        <v>0</v>
      </c>
      <c r="AV20" s="252">
        <f t="shared" si="0"/>
        <v>75</v>
      </c>
      <c r="AW20" s="220">
        <f t="shared" si="1"/>
        <v>101.75000000000001</v>
      </c>
      <c r="AX20" s="220">
        <f t="shared" si="19"/>
        <v>0</v>
      </c>
      <c r="AY20" s="220">
        <f t="shared" si="4"/>
        <v>0</v>
      </c>
      <c r="AZ20" s="220">
        <f t="shared" si="4"/>
        <v>0</v>
      </c>
      <c r="BA20" s="220">
        <f t="shared" si="1"/>
        <v>0</v>
      </c>
      <c r="BB20" s="220">
        <f t="shared" si="5"/>
        <v>0</v>
      </c>
      <c r="BC20" s="220">
        <f t="shared" si="5"/>
        <v>0</v>
      </c>
      <c r="BD20" s="220">
        <f t="shared" si="5"/>
        <v>0</v>
      </c>
      <c r="BE20" s="220">
        <f t="shared" si="6"/>
        <v>0</v>
      </c>
      <c r="BF20" s="220">
        <f t="shared" si="7"/>
        <v>0</v>
      </c>
      <c r="BG20" s="220">
        <f t="shared" si="8"/>
        <v>65.799086757990864</v>
      </c>
      <c r="BH20" s="220">
        <f t="shared" si="9"/>
        <v>35.159817351598171</v>
      </c>
      <c r="BI20" s="253">
        <f t="shared" si="10"/>
        <v>0</v>
      </c>
      <c r="BJ20" s="253">
        <f t="shared" si="11"/>
        <v>0</v>
      </c>
      <c r="BK20" s="253">
        <f t="shared" si="12"/>
        <v>0</v>
      </c>
      <c r="BL20" s="253">
        <f t="shared" si="13"/>
        <v>0</v>
      </c>
      <c r="BM20" s="253">
        <f t="shared" si="14"/>
        <v>0</v>
      </c>
      <c r="BN20" s="253">
        <f t="shared" si="15"/>
        <v>0</v>
      </c>
      <c r="BO20" s="253">
        <f t="shared" si="16"/>
        <v>0</v>
      </c>
      <c r="BP20" s="253">
        <f t="shared" si="17"/>
        <v>0</v>
      </c>
      <c r="BQ20" s="254">
        <f t="shared" si="18"/>
        <v>277.70890410958901</v>
      </c>
    </row>
    <row r="21" spans="1:69" x14ac:dyDescent="0.2">
      <c r="A21" s="196" t="s">
        <v>652</v>
      </c>
      <c r="B21" s="234" t="s">
        <v>653</v>
      </c>
      <c r="C21" s="284"/>
      <c r="D21" s="246">
        <v>145</v>
      </c>
      <c r="E21" s="247">
        <v>6.05</v>
      </c>
      <c r="F21" s="247">
        <v>0</v>
      </c>
      <c r="G21" s="247">
        <v>0</v>
      </c>
      <c r="H21" s="247">
        <v>0</v>
      </c>
      <c r="I21" s="247">
        <v>0</v>
      </c>
      <c r="J21" s="247">
        <v>0</v>
      </c>
      <c r="K21" s="247">
        <v>0</v>
      </c>
      <c r="L21" s="247">
        <v>0</v>
      </c>
      <c r="M21" s="247">
        <v>0</v>
      </c>
      <c r="N21" s="247">
        <v>0</v>
      </c>
      <c r="O21" s="247">
        <v>0</v>
      </c>
      <c r="P21" s="247">
        <v>0</v>
      </c>
      <c r="Q21" s="247">
        <v>0</v>
      </c>
      <c r="R21" s="247">
        <v>0</v>
      </c>
      <c r="S21" s="247">
        <v>0</v>
      </c>
      <c r="T21" s="247">
        <v>0</v>
      </c>
      <c r="U21" s="247">
        <v>0</v>
      </c>
      <c r="V21" s="247">
        <v>0</v>
      </c>
      <c r="W21" s="247">
        <v>0</v>
      </c>
      <c r="X21" s="275">
        <v>0</v>
      </c>
      <c r="Z21" s="656">
        <v>18214.931992410631</v>
      </c>
      <c r="AA21" s="654">
        <v>220224546.95765957</v>
      </c>
      <c r="AB21" s="654">
        <v>0</v>
      </c>
      <c r="AC21" s="654">
        <v>0</v>
      </c>
      <c r="AD21" s="654">
        <v>0</v>
      </c>
      <c r="AE21" s="654">
        <v>0</v>
      </c>
      <c r="AF21" s="654">
        <v>0</v>
      </c>
      <c r="AG21" s="654">
        <v>0</v>
      </c>
      <c r="AH21" s="654">
        <v>0</v>
      </c>
      <c r="AI21" s="654">
        <v>0</v>
      </c>
      <c r="AJ21" s="654">
        <v>0</v>
      </c>
      <c r="AK21" s="654">
        <v>0</v>
      </c>
      <c r="AL21" s="654">
        <v>0</v>
      </c>
      <c r="AM21" s="654">
        <v>0</v>
      </c>
      <c r="AN21" s="654">
        <v>0</v>
      </c>
      <c r="AO21" s="654">
        <v>0</v>
      </c>
      <c r="AP21" s="654">
        <v>0</v>
      </c>
      <c r="AQ21" s="654">
        <v>0</v>
      </c>
      <c r="AR21" s="654">
        <v>0</v>
      </c>
      <c r="AS21" s="654">
        <v>0</v>
      </c>
      <c r="AT21" s="655">
        <v>0</v>
      </c>
      <c r="AV21" s="252">
        <f t="shared" si="0"/>
        <v>2641165.1388995415</v>
      </c>
      <c r="AW21" s="220">
        <f t="shared" si="1"/>
        <v>13323585.090938404</v>
      </c>
      <c r="AX21" s="220">
        <f t="shared" si="19"/>
        <v>0</v>
      </c>
      <c r="AY21" s="220">
        <f t="shared" si="4"/>
        <v>0</v>
      </c>
      <c r="AZ21" s="220">
        <f t="shared" si="4"/>
        <v>0</v>
      </c>
      <c r="BA21" s="220">
        <f t="shared" si="1"/>
        <v>0</v>
      </c>
      <c r="BB21" s="220">
        <f t="shared" si="5"/>
        <v>0</v>
      </c>
      <c r="BC21" s="220">
        <f t="shared" si="5"/>
        <v>0</v>
      </c>
      <c r="BD21" s="220">
        <f t="shared" si="5"/>
        <v>0</v>
      </c>
      <c r="BE21" s="220">
        <f t="shared" si="6"/>
        <v>0</v>
      </c>
      <c r="BF21" s="220">
        <f t="shared" si="7"/>
        <v>0</v>
      </c>
      <c r="BG21" s="220">
        <f t="shared" si="8"/>
        <v>0</v>
      </c>
      <c r="BH21" s="220">
        <f t="shared" si="9"/>
        <v>0</v>
      </c>
      <c r="BI21" s="253">
        <f t="shared" si="10"/>
        <v>0</v>
      </c>
      <c r="BJ21" s="253">
        <f t="shared" si="11"/>
        <v>0</v>
      </c>
      <c r="BK21" s="253">
        <f t="shared" si="12"/>
        <v>0</v>
      </c>
      <c r="BL21" s="253">
        <f t="shared" si="13"/>
        <v>0</v>
      </c>
      <c r="BM21" s="253">
        <f t="shared" si="14"/>
        <v>0</v>
      </c>
      <c r="BN21" s="253">
        <f t="shared" si="15"/>
        <v>0</v>
      </c>
      <c r="BO21" s="253">
        <f t="shared" si="16"/>
        <v>0</v>
      </c>
      <c r="BP21" s="253">
        <f t="shared" si="17"/>
        <v>0</v>
      </c>
      <c r="BQ21" s="254">
        <f t="shared" si="18"/>
        <v>15964750.229837947</v>
      </c>
    </row>
    <row r="22" spans="1:69" x14ac:dyDescent="0.2">
      <c r="A22" s="196" t="s">
        <v>654</v>
      </c>
      <c r="B22" s="234" t="s">
        <v>655</v>
      </c>
      <c r="C22" s="284"/>
      <c r="D22" s="246">
        <v>125</v>
      </c>
      <c r="E22" s="247">
        <v>4.6399999999999997</v>
      </c>
      <c r="F22" s="247">
        <v>0</v>
      </c>
      <c r="G22" s="247">
        <v>0</v>
      </c>
      <c r="H22" s="247">
        <v>0</v>
      </c>
      <c r="I22" s="247">
        <v>0</v>
      </c>
      <c r="J22" s="247">
        <v>0</v>
      </c>
      <c r="K22" s="247">
        <v>0</v>
      </c>
      <c r="L22" s="247">
        <v>0</v>
      </c>
      <c r="M22" s="247">
        <v>0</v>
      </c>
      <c r="N22" s="247">
        <v>0</v>
      </c>
      <c r="O22" s="247">
        <v>0</v>
      </c>
      <c r="P22" s="247">
        <v>0</v>
      </c>
      <c r="Q22" s="247">
        <v>0</v>
      </c>
      <c r="R22" s="247">
        <v>0</v>
      </c>
      <c r="S22" s="247">
        <v>0</v>
      </c>
      <c r="T22" s="247">
        <v>0</v>
      </c>
      <c r="U22" s="247">
        <v>0</v>
      </c>
      <c r="V22" s="247">
        <v>0</v>
      </c>
      <c r="W22" s="247">
        <v>0</v>
      </c>
      <c r="X22" s="275">
        <v>0</v>
      </c>
      <c r="Z22" s="656">
        <v>5599.0051578270723</v>
      </c>
      <c r="AA22" s="654">
        <v>73848559.175984561</v>
      </c>
      <c r="AB22" s="654">
        <v>0</v>
      </c>
      <c r="AC22" s="654">
        <v>0</v>
      </c>
      <c r="AD22" s="654">
        <v>0</v>
      </c>
      <c r="AE22" s="654">
        <v>0</v>
      </c>
      <c r="AF22" s="654">
        <v>0</v>
      </c>
      <c r="AG22" s="654">
        <v>0</v>
      </c>
      <c r="AH22" s="654">
        <v>0</v>
      </c>
      <c r="AI22" s="654">
        <v>0</v>
      </c>
      <c r="AJ22" s="654">
        <v>0</v>
      </c>
      <c r="AK22" s="654">
        <v>0</v>
      </c>
      <c r="AL22" s="654">
        <v>0</v>
      </c>
      <c r="AM22" s="654">
        <v>0</v>
      </c>
      <c r="AN22" s="654">
        <v>0</v>
      </c>
      <c r="AO22" s="654">
        <v>0</v>
      </c>
      <c r="AP22" s="654">
        <v>0</v>
      </c>
      <c r="AQ22" s="654">
        <v>0</v>
      </c>
      <c r="AR22" s="654">
        <v>0</v>
      </c>
      <c r="AS22" s="654">
        <v>0</v>
      </c>
      <c r="AT22" s="655">
        <v>0</v>
      </c>
      <c r="AV22" s="252">
        <f t="shared" si="0"/>
        <v>699875.64472838398</v>
      </c>
      <c r="AW22" s="220">
        <f t="shared" si="1"/>
        <v>3426573.1457656836</v>
      </c>
      <c r="AX22" s="220">
        <f t="shared" si="19"/>
        <v>0</v>
      </c>
      <c r="AY22" s="220">
        <f t="shared" si="4"/>
        <v>0</v>
      </c>
      <c r="AZ22" s="220">
        <f t="shared" si="4"/>
        <v>0</v>
      </c>
      <c r="BA22" s="220">
        <f t="shared" si="1"/>
        <v>0</v>
      </c>
      <c r="BB22" s="220">
        <f t="shared" si="5"/>
        <v>0</v>
      </c>
      <c r="BC22" s="220">
        <f t="shared" si="5"/>
        <v>0</v>
      </c>
      <c r="BD22" s="220">
        <f t="shared" si="5"/>
        <v>0</v>
      </c>
      <c r="BE22" s="220">
        <f t="shared" si="6"/>
        <v>0</v>
      </c>
      <c r="BF22" s="220">
        <f t="shared" si="7"/>
        <v>0</v>
      </c>
      <c r="BG22" s="220">
        <f t="shared" si="8"/>
        <v>0</v>
      </c>
      <c r="BH22" s="220">
        <f t="shared" si="9"/>
        <v>0</v>
      </c>
      <c r="BI22" s="253">
        <f t="shared" si="10"/>
        <v>0</v>
      </c>
      <c r="BJ22" s="253">
        <f t="shared" si="11"/>
        <v>0</v>
      </c>
      <c r="BK22" s="253">
        <f t="shared" si="12"/>
        <v>0</v>
      </c>
      <c r="BL22" s="253">
        <f t="shared" si="13"/>
        <v>0</v>
      </c>
      <c r="BM22" s="253">
        <f t="shared" si="14"/>
        <v>0</v>
      </c>
      <c r="BN22" s="253">
        <f t="shared" si="15"/>
        <v>0</v>
      </c>
      <c r="BO22" s="253">
        <f t="shared" si="16"/>
        <v>0</v>
      </c>
      <c r="BP22" s="253">
        <f t="shared" si="17"/>
        <v>0</v>
      </c>
      <c r="BQ22" s="254">
        <f t="shared" si="18"/>
        <v>4126448.7904940676</v>
      </c>
    </row>
    <row r="23" spans="1:69" x14ac:dyDescent="0.2">
      <c r="A23" s="196" t="s">
        <v>656</v>
      </c>
      <c r="B23" s="234" t="s">
        <v>657</v>
      </c>
      <c r="C23" s="284"/>
      <c r="D23" s="246">
        <v>145</v>
      </c>
      <c r="E23" s="247">
        <v>0</v>
      </c>
      <c r="F23" s="247">
        <v>9.1</v>
      </c>
      <c r="G23" s="247">
        <v>0</v>
      </c>
      <c r="H23" s="247">
        <v>0</v>
      </c>
      <c r="I23" s="247">
        <v>2.41</v>
      </c>
      <c r="J23" s="247">
        <v>0</v>
      </c>
      <c r="K23" s="247">
        <v>0</v>
      </c>
      <c r="L23" s="247">
        <v>0</v>
      </c>
      <c r="M23" s="247">
        <v>0</v>
      </c>
      <c r="N23" s="247">
        <v>0</v>
      </c>
      <c r="O23" s="247">
        <v>0</v>
      </c>
      <c r="P23" s="247">
        <v>0</v>
      </c>
      <c r="Q23" s="247">
        <v>0</v>
      </c>
      <c r="R23" s="247">
        <v>0</v>
      </c>
      <c r="S23" s="247">
        <v>0</v>
      </c>
      <c r="T23" s="247">
        <v>0</v>
      </c>
      <c r="U23" s="247">
        <v>0</v>
      </c>
      <c r="V23" s="247">
        <v>0</v>
      </c>
      <c r="W23" s="247">
        <v>0</v>
      </c>
      <c r="X23" s="275">
        <v>0</v>
      </c>
      <c r="Z23" s="656">
        <v>6325.9121198712201</v>
      </c>
      <c r="AA23" s="654">
        <v>0</v>
      </c>
      <c r="AB23" s="654">
        <v>90006939.07082431</v>
      </c>
      <c r="AC23" s="654">
        <v>0</v>
      </c>
      <c r="AD23" s="654">
        <v>0</v>
      </c>
      <c r="AE23" s="654">
        <v>56232415.067280285</v>
      </c>
      <c r="AF23" s="654">
        <v>0</v>
      </c>
      <c r="AG23" s="654">
        <v>0</v>
      </c>
      <c r="AH23" s="654">
        <v>0</v>
      </c>
      <c r="AI23" s="654">
        <v>0</v>
      </c>
      <c r="AJ23" s="654">
        <v>0</v>
      </c>
      <c r="AK23" s="654">
        <v>0</v>
      </c>
      <c r="AL23" s="654">
        <v>0</v>
      </c>
      <c r="AM23" s="654">
        <v>0</v>
      </c>
      <c r="AN23" s="654">
        <v>0</v>
      </c>
      <c r="AO23" s="654">
        <v>0</v>
      </c>
      <c r="AP23" s="654">
        <v>0</v>
      </c>
      <c r="AQ23" s="654">
        <v>0</v>
      </c>
      <c r="AR23" s="654">
        <v>0</v>
      </c>
      <c r="AS23" s="654">
        <v>0</v>
      </c>
      <c r="AT23" s="655">
        <v>0</v>
      </c>
      <c r="AV23" s="252">
        <f t="shared" si="0"/>
        <v>917257.25738132687</v>
      </c>
      <c r="AW23" s="220">
        <f t="shared" si="1"/>
        <v>0</v>
      </c>
      <c r="AX23" s="220">
        <f t="shared" si="19"/>
        <v>8190631.4554450121</v>
      </c>
      <c r="AY23" s="220">
        <f t="shared" si="4"/>
        <v>0</v>
      </c>
      <c r="AZ23" s="220">
        <f t="shared" si="4"/>
        <v>0</v>
      </c>
      <c r="BA23" s="220">
        <f t="shared" si="1"/>
        <v>1355201.2031214549</v>
      </c>
      <c r="BB23" s="220">
        <f t="shared" si="5"/>
        <v>0</v>
      </c>
      <c r="BC23" s="220">
        <f t="shared" si="5"/>
        <v>0</v>
      </c>
      <c r="BD23" s="220">
        <f t="shared" si="5"/>
        <v>0</v>
      </c>
      <c r="BE23" s="220">
        <f t="shared" si="6"/>
        <v>0</v>
      </c>
      <c r="BF23" s="220">
        <f t="shared" si="7"/>
        <v>0</v>
      </c>
      <c r="BG23" s="220">
        <f t="shared" si="8"/>
        <v>0</v>
      </c>
      <c r="BH23" s="220">
        <f t="shared" si="9"/>
        <v>0</v>
      </c>
      <c r="BI23" s="253">
        <f t="shared" si="10"/>
        <v>0</v>
      </c>
      <c r="BJ23" s="253">
        <f t="shared" si="11"/>
        <v>0</v>
      </c>
      <c r="BK23" s="253">
        <f t="shared" si="12"/>
        <v>0</v>
      </c>
      <c r="BL23" s="253">
        <f t="shared" si="13"/>
        <v>0</v>
      </c>
      <c r="BM23" s="253">
        <f t="shared" si="14"/>
        <v>0</v>
      </c>
      <c r="BN23" s="253">
        <f t="shared" si="15"/>
        <v>0</v>
      </c>
      <c r="BO23" s="253">
        <f t="shared" si="16"/>
        <v>0</v>
      </c>
      <c r="BP23" s="253">
        <f t="shared" si="17"/>
        <v>0</v>
      </c>
      <c r="BQ23" s="254">
        <f t="shared" si="18"/>
        <v>10463089.915947795</v>
      </c>
    </row>
    <row r="24" spans="1:69" x14ac:dyDescent="0.2">
      <c r="A24" s="196" t="s">
        <v>658</v>
      </c>
      <c r="B24" s="234" t="s">
        <v>659</v>
      </c>
      <c r="C24" s="284"/>
      <c r="D24" s="246">
        <v>125</v>
      </c>
      <c r="E24" s="247">
        <v>0</v>
      </c>
      <c r="F24" s="247">
        <v>6.6</v>
      </c>
      <c r="G24" s="247">
        <v>0</v>
      </c>
      <c r="H24" s="247">
        <v>0</v>
      </c>
      <c r="I24" s="247">
        <v>1.8</v>
      </c>
      <c r="J24" s="247">
        <v>0</v>
      </c>
      <c r="K24" s="247">
        <v>0</v>
      </c>
      <c r="L24" s="247">
        <v>0</v>
      </c>
      <c r="M24" s="247">
        <v>0</v>
      </c>
      <c r="N24" s="247">
        <v>0</v>
      </c>
      <c r="O24" s="247">
        <v>0</v>
      </c>
      <c r="P24" s="247">
        <v>0</v>
      </c>
      <c r="Q24" s="247">
        <v>0</v>
      </c>
      <c r="R24" s="247">
        <v>0</v>
      </c>
      <c r="S24" s="247">
        <v>0</v>
      </c>
      <c r="T24" s="247">
        <v>0</v>
      </c>
      <c r="U24" s="247">
        <v>0</v>
      </c>
      <c r="V24" s="247">
        <v>0</v>
      </c>
      <c r="W24" s="247">
        <v>0</v>
      </c>
      <c r="X24" s="275">
        <v>0</v>
      </c>
      <c r="Z24" s="656">
        <v>1106.5355969893287</v>
      </c>
      <c r="AA24" s="654">
        <v>0</v>
      </c>
      <c r="AB24" s="654">
        <v>16887632.067035981</v>
      </c>
      <c r="AC24" s="654">
        <v>0</v>
      </c>
      <c r="AD24" s="654">
        <v>0</v>
      </c>
      <c r="AE24" s="654">
        <v>9694170.3462755531</v>
      </c>
      <c r="AF24" s="654">
        <v>0</v>
      </c>
      <c r="AG24" s="654">
        <v>0</v>
      </c>
      <c r="AH24" s="654">
        <v>0</v>
      </c>
      <c r="AI24" s="654">
        <v>0</v>
      </c>
      <c r="AJ24" s="654">
        <v>0</v>
      </c>
      <c r="AK24" s="654">
        <v>0</v>
      </c>
      <c r="AL24" s="654">
        <v>0</v>
      </c>
      <c r="AM24" s="654">
        <v>0</v>
      </c>
      <c r="AN24" s="654">
        <v>0</v>
      </c>
      <c r="AO24" s="654">
        <v>0</v>
      </c>
      <c r="AP24" s="654">
        <v>0</v>
      </c>
      <c r="AQ24" s="654">
        <v>0</v>
      </c>
      <c r="AR24" s="654">
        <v>0</v>
      </c>
      <c r="AS24" s="654">
        <v>0</v>
      </c>
      <c r="AT24" s="655">
        <v>0</v>
      </c>
      <c r="AV24" s="252">
        <f t="shared" si="0"/>
        <v>138316.94962366609</v>
      </c>
      <c r="AW24" s="220">
        <f t="shared" si="1"/>
        <v>0</v>
      </c>
      <c r="AX24" s="220">
        <f t="shared" si="19"/>
        <v>1114583.7164243748</v>
      </c>
      <c r="AY24" s="220">
        <f t="shared" si="4"/>
        <v>0</v>
      </c>
      <c r="AZ24" s="220">
        <f t="shared" si="4"/>
        <v>0</v>
      </c>
      <c r="BA24" s="220">
        <f t="shared" si="1"/>
        <v>174495.06623295997</v>
      </c>
      <c r="BB24" s="220">
        <f t="shared" si="5"/>
        <v>0</v>
      </c>
      <c r="BC24" s="220">
        <f t="shared" si="5"/>
        <v>0</v>
      </c>
      <c r="BD24" s="220">
        <f t="shared" si="5"/>
        <v>0</v>
      </c>
      <c r="BE24" s="220">
        <f t="shared" si="6"/>
        <v>0</v>
      </c>
      <c r="BF24" s="220">
        <f t="shared" si="7"/>
        <v>0</v>
      </c>
      <c r="BG24" s="220">
        <f t="shared" si="8"/>
        <v>0</v>
      </c>
      <c r="BH24" s="220">
        <f t="shared" si="9"/>
        <v>0</v>
      </c>
      <c r="BI24" s="253">
        <f t="shared" si="10"/>
        <v>0</v>
      </c>
      <c r="BJ24" s="253">
        <f t="shared" si="11"/>
        <v>0</v>
      </c>
      <c r="BK24" s="253">
        <f t="shared" si="12"/>
        <v>0</v>
      </c>
      <c r="BL24" s="253">
        <f t="shared" si="13"/>
        <v>0</v>
      </c>
      <c r="BM24" s="253">
        <f t="shared" si="14"/>
        <v>0</v>
      </c>
      <c r="BN24" s="253">
        <f t="shared" si="15"/>
        <v>0</v>
      </c>
      <c r="BO24" s="253">
        <f t="shared" si="16"/>
        <v>0</v>
      </c>
      <c r="BP24" s="253">
        <f t="shared" si="17"/>
        <v>0</v>
      </c>
      <c r="BQ24" s="254">
        <f t="shared" si="18"/>
        <v>1427395.7322810008</v>
      </c>
    </row>
    <row r="25" spans="1:69" x14ac:dyDescent="0.2">
      <c r="A25" s="196" t="s">
        <v>660</v>
      </c>
      <c r="B25" s="234" t="s">
        <v>661</v>
      </c>
      <c r="C25" s="284"/>
      <c r="D25" s="246">
        <v>145</v>
      </c>
      <c r="E25" s="247">
        <v>0</v>
      </c>
      <c r="F25" s="247">
        <v>9.1</v>
      </c>
      <c r="G25" s="247">
        <v>0</v>
      </c>
      <c r="H25" s="247">
        <v>0</v>
      </c>
      <c r="I25" s="247">
        <v>2.41</v>
      </c>
      <c r="J25" s="247">
        <v>0</v>
      </c>
      <c r="K25" s="247">
        <v>0</v>
      </c>
      <c r="L25" s="247">
        <v>0</v>
      </c>
      <c r="M25" s="247">
        <v>0</v>
      </c>
      <c r="N25" s="247">
        <v>0</v>
      </c>
      <c r="O25" s="247">
        <v>0</v>
      </c>
      <c r="P25" s="247">
        <v>0</v>
      </c>
      <c r="Q25" s="247">
        <v>0</v>
      </c>
      <c r="R25" s="247">
        <v>0</v>
      </c>
      <c r="S25" s="247">
        <v>0</v>
      </c>
      <c r="T25" s="247">
        <v>0</v>
      </c>
      <c r="U25" s="247">
        <v>0</v>
      </c>
      <c r="V25" s="247">
        <v>0</v>
      </c>
      <c r="W25" s="247">
        <v>0</v>
      </c>
      <c r="X25" s="275">
        <v>0</v>
      </c>
      <c r="Z25" s="656">
        <v>4011.7924540561471</v>
      </c>
      <c r="AA25" s="654">
        <v>0</v>
      </c>
      <c r="AB25" s="654">
        <v>44315700.538597859</v>
      </c>
      <c r="AC25" s="654">
        <v>0</v>
      </c>
      <c r="AD25" s="654">
        <v>0</v>
      </c>
      <c r="AE25" s="654">
        <v>25142157.462131292</v>
      </c>
      <c r="AF25" s="654">
        <v>0</v>
      </c>
      <c r="AG25" s="654">
        <v>0</v>
      </c>
      <c r="AH25" s="654">
        <v>0</v>
      </c>
      <c r="AI25" s="654">
        <v>0</v>
      </c>
      <c r="AJ25" s="654">
        <v>0</v>
      </c>
      <c r="AK25" s="654">
        <v>0</v>
      </c>
      <c r="AL25" s="654">
        <v>0</v>
      </c>
      <c r="AM25" s="654">
        <v>0</v>
      </c>
      <c r="AN25" s="654">
        <v>0</v>
      </c>
      <c r="AO25" s="654">
        <v>0</v>
      </c>
      <c r="AP25" s="654">
        <v>0</v>
      </c>
      <c r="AQ25" s="654">
        <v>0</v>
      </c>
      <c r="AR25" s="654">
        <v>0</v>
      </c>
      <c r="AS25" s="654">
        <v>0</v>
      </c>
      <c r="AT25" s="655">
        <v>0</v>
      </c>
      <c r="AV25" s="252">
        <f t="shared" si="0"/>
        <v>581709.90583814133</v>
      </c>
      <c r="AW25" s="220">
        <f t="shared" si="1"/>
        <v>0</v>
      </c>
      <c r="AX25" s="220">
        <f t="shared" si="19"/>
        <v>4032728.7490124051</v>
      </c>
      <c r="AY25" s="220">
        <f t="shared" si="4"/>
        <v>0</v>
      </c>
      <c r="AZ25" s="220">
        <f t="shared" si="4"/>
        <v>0</v>
      </c>
      <c r="BA25" s="220">
        <f t="shared" si="1"/>
        <v>605925.99483736418</v>
      </c>
      <c r="BB25" s="220">
        <f t="shared" si="5"/>
        <v>0</v>
      </c>
      <c r="BC25" s="220">
        <f t="shared" si="5"/>
        <v>0</v>
      </c>
      <c r="BD25" s="220">
        <f t="shared" si="5"/>
        <v>0</v>
      </c>
      <c r="BE25" s="220">
        <f t="shared" si="6"/>
        <v>0</v>
      </c>
      <c r="BF25" s="220">
        <f t="shared" si="7"/>
        <v>0</v>
      </c>
      <c r="BG25" s="220">
        <f t="shared" si="8"/>
        <v>0</v>
      </c>
      <c r="BH25" s="220">
        <f t="shared" si="9"/>
        <v>0</v>
      </c>
      <c r="BI25" s="253">
        <f t="shared" si="10"/>
        <v>0</v>
      </c>
      <c r="BJ25" s="253">
        <f t="shared" si="11"/>
        <v>0</v>
      </c>
      <c r="BK25" s="253">
        <f t="shared" si="12"/>
        <v>0</v>
      </c>
      <c r="BL25" s="253">
        <f t="shared" si="13"/>
        <v>0</v>
      </c>
      <c r="BM25" s="253">
        <f t="shared" si="14"/>
        <v>0</v>
      </c>
      <c r="BN25" s="253">
        <f t="shared" si="15"/>
        <v>0</v>
      </c>
      <c r="BO25" s="253">
        <f t="shared" si="16"/>
        <v>0</v>
      </c>
      <c r="BP25" s="253">
        <f t="shared" si="17"/>
        <v>0</v>
      </c>
      <c r="BQ25" s="254">
        <f t="shared" si="18"/>
        <v>5220364.6496879105</v>
      </c>
    </row>
    <row r="26" spans="1:69" x14ac:dyDescent="0.2">
      <c r="A26" s="196" t="s">
        <v>662</v>
      </c>
      <c r="B26" s="234" t="s">
        <v>663</v>
      </c>
      <c r="C26" s="284"/>
      <c r="D26" s="246">
        <v>125</v>
      </c>
      <c r="E26" s="247">
        <v>0</v>
      </c>
      <c r="F26" s="247">
        <v>6.6</v>
      </c>
      <c r="G26" s="247">
        <v>0</v>
      </c>
      <c r="H26" s="247">
        <v>0</v>
      </c>
      <c r="I26" s="247">
        <v>1.8</v>
      </c>
      <c r="J26" s="247">
        <v>0</v>
      </c>
      <c r="K26" s="247">
        <v>0</v>
      </c>
      <c r="L26" s="247">
        <v>0</v>
      </c>
      <c r="M26" s="247">
        <v>0</v>
      </c>
      <c r="N26" s="247">
        <v>0</v>
      </c>
      <c r="O26" s="247">
        <v>0</v>
      </c>
      <c r="P26" s="247">
        <v>0</v>
      </c>
      <c r="Q26" s="247">
        <v>0</v>
      </c>
      <c r="R26" s="247">
        <v>0</v>
      </c>
      <c r="S26" s="247">
        <v>0</v>
      </c>
      <c r="T26" s="247">
        <v>0</v>
      </c>
      <c r="U26" s="247">
        <v>0</v>
      </c>
      <c r="V26" s="247">
        <v>0</v>
      </c>
      <c r="W26" s="247">
        <v>0</v>
      </c>
      <c r="X26" s="275">
        <v>0</v>
      </c>
      <c r="Z26" s="656">
        <v>1947.1728239646436</v>
      </c>
      <c r="AA26" s="654">
        <v>0</v>
      </c>
      <c r="AB26" s="654">
        <v>28963727.791959636</v>
      </c>
      <c r="AC26" s="654">
        <v>0</v>
      </c>
      <c r="AD26" s="654">
        <v>0</v>
      </c>
      <c r="AE26" s="654">
        <v>15296835.410435298</v>
      </c>
      <c r="AF26" s="654">
        <v>0</v>
      </c>
      <c r="AG26" s="654">
        <v>0</v>
      </c>
      <c r="AH26" s="654">
        <v>0</v>
      </c>
      <c r="AI26" s="654">
        <v>0</v>
      </c>
      <c r="AJ26" s="654">
        <v>0</v>
      </c>
      <c r="AK26" s="654">
        <v>0</v>
      </c>
      <c r="AL26" s="654">
        <v>0</v>
      </c>
      <c r="AM26" s="654">
        <v>0</v>
      </c>
      <c r="AN26" s="654">
        <v>0</v>
      </c>
      <c r="AO26" s="654">
        <v>0</v>
      </c>
      <c r="AP26" s="654">
        <v>0</v>
      </c>
      <c r="AQ26" s="654">
        <v>0</v>
      </c>
      <c r="AR26" s="654">
        <v>0</v>
      </c>
      <c r="AS26" s="654">
        <v>0</v>
      </c>
      <c r="AT26" s="655">
        <v>0</v>
      </c>
      <c r="AV26" s="252">
        <f t="shared" si="0"/>
        <v>243396.60299558044</v>
      </c>
      <c r="AW26" s="220">
        <f t="shared" si="1"/>
        <v>0</v>
      </c>
      <c r="AX26" s="220">
        <f t="shared" si="19"/>
        <v>1911606.0342693361</v>
      </c>
      <c r="AY26" s="220">
        <f t="shared" si="4"/>
        <v>0</v>
      </c>
      <c r="AZ26" s="220">
        <f t="shared" si="4"/>
        <v>0</v>
      </c>
      <c r="BA26" s="220">
        <f t="shared" si="1"/>
        <v>275343.03738783539</v>
      </c>
      <c r="BB26" s="220">
        <f t="shared" si="5"/>
        <v>0</v>
      </c>
      <c r="BC26" s="220">
        <f t="shared" si="5"/>
        <v>0</v>
      </c>
      <c r="BD26" s="220">
        <f t="shared" si="5"/>
        <v>0</v>
      </c>
      <c r="BE26" s="220">
        <f t="shared" si="6"/>
        <v>0</v>
      </c>
      <c r="BF26" s="220">
        <f t="shared" si="7"/>
        <v>0</v>
      </c>
      <c r="BG26" s="220">
        <f t="shared" si="8"/>
        <v>0</v>
      </c>
      <c r="BH26" s="220">
        <f t="shared" si="9"/>
        <v>0</v>
      </c>
      <c r="BI26" s="253">
        <f t="shared" si="10"/>
        <v>0</v>
      </c>
      <c r="BJ26" s="253">
        <f t="shared" si="11"/>
        <v>0</v>
      </c>
      <c r="BK26" s="253">
        <f t="shared" si="12"/>
        <v>0</v>
      </c>
      <c r="BL26" s="253">
        <f t="shared" si="13"/>
        <v>0</v>
      </c>
      <c r="BM26" s="253">
        <f t="shared" si="14"/>
        <v>0</v>
      </c>
      <c r="BN26" s="253">
        <f t="shared" si="15"/>
        <v>0</v>
      </c>
      <c r="BO26" s="253">
        <f t="shared" si="16"/>
        <v>0</v>
      </c>
      <c r="BP26" s="253">
        <f t="shared" si="17"/>
        <v>0</v>
      </c>
      <c r="BQ26" s="254">
        <f t="shared" si="18"/>
        <v>2430345.674652752</v>
      </c>
    </row>
    <row r="27" spans="1:69" x14ac:dyDescent="0.2">
      <c r="A27" s="196" t="s">
        <v>664</v>
      </c>
      <c r="B27" s="234" t="s">
        <v>665</v>
      </c>
      <c r="C27" s="284"/>
      <c r="D27" s="246">
        <v>145</v>
      </c>
      <c r="E27" s="247">
        <v>0</v>
      </c>
      <c r="F27" s="247">
        <v>0</v>
      </c>
      <c r="G27" s="247">
        <v>0</v>
      </c>
      <c r="H27" s="247">
        <v>0</v>
      </c>
      <c r="I27" s="247">
        <v>0</v>
      </c>
      <c r="J27" s="247">
        <v>0</v>
      </c>
      <c r="K27" s="247">
        <v>0</v>
      </c>
      <c r="L27" s="247">
        <v>0</v>
      </c>
      <c r="M27" s="247">
        <v>0</v>
      </c>
      <c r="N27" s="247">
        <v>0</v>
      </c>
      <c r="O27" s="247">
        <v>0</v>
      </c>
      <c r="P27" s="247">
        <v>0</v>
      </c>
      <c r="Q27" s="247">
        <v>11.09</v>
      </c>
      <c r="R27" s="247">
        <v>7.75</v>
      </c>
      <c r="S27" s="247">
        <v>3.06</v>
      </c>
      <c r="T27" s="247">
        <v>0</v>
      </c>
      <c r="U27" s="247">
        <v>11.09</v>
      </c>
      <c r="V27" s="247">
        <v>7.75</v>
      </c>
      <c r="W27" s="247">
        <v>3.06</v>
      </c>
      <c r="X27" s="275">
        <v>0</v>
      </c>
      <c r="Z27" s="656">
        <v>21.102227884604787</v>
      </c>
      <c r="AA27" s="654">
        <v>0</v>
      </c>
      <c r="AB27" s="654">
        <v>0</v>
      </c>
      <c r="AC27" s="654">
        <v>0</v>
      </c>
      <c r="AD27" s="654">
        <v>0</v>
      </c>
      <c r="AE27" s="654">
        <v>0</v>
      </c>
      <c r="AF27" s="654">
        <v>0</v>
      </c>
      <c r="AG27" s="654">
        <v>0</v>
      </c>
      <c r="AH27" s="654">
        <v>0</v>
      </c>
      <c r="AI27" s="654">
        <v>0</v>
      </c>
      <c r="AJ27" s="654">
        <v>0</v>
      </c>
      <c r="AK27" s="654">
        <v>0</v>
      </c>
      <c r="AL27" s="654">
        <v>0</v>
      </c>
      <c r="AM27" s="654">
        <v>43821.569362858281</v>
      </c>
      <c r="AN27" s="654">
        <v>12365.145540133803</v>
      </c>
      <c r="AO27" s="654">
        <v>36868.097137445991</v>
      </c>
      <c r="AP27" s="654">
        <v>0</v>
      </c>
      <c r="AQ27" s="654">
        <v>161494.87127302433</v>
      </c>
      <c r="AR27" s="654">
        <v>41032.760510766886</v>
      </c>
      <c r="AS27" s="654">
        <v>110833.91500246867</v>
      </c>
      <c r="AT27" s="655">
        <v>0</v>
      </c>
      <c r="AV27" s="252">
        <f t="shared" si="0"/>
        <v>3059.8230432676942</v>
      </c>
      <c r="AW27" s="220">
        <f t="shared" si="1"/>
        <v>0</v>
      </c>
      <c r="AX27" s="220">
        <f t="shared" si="19"/>
        <v>0</v>
      </c>
      <c r="AY27" s="220">
        <f t="shared" si="4"/>
        <v>0</v>
      </c>
      <c r="AZ27" s="220">
        <f t="shared" si="4"/>
        <v>0</v>
      </c>
      <c r="BA27" s="220">
        <f t="shared" si="1"/>
        <v>0</v>
      </c>
      <c r="BB27" s="220">
        <f t="shared" si="5"/>
        <v>0</v>
      </c>
      <c r="BC27" s="220">
        <f t="shared" si="5"/>
        <v>0</v>
      </c>
      <c r="BD27" s="220">
        <f t="shared" si="5"/>
        <v>0</v>
      </c>
      <c r="BE27" s="220">
        <f t="shared" si="6"/>
        <v>0</v>
      </c>
      <c r="BF27" s="220">
        <f t="shared" si="7"/>
        <v>0</v>
      </c>
      <c r="BG27" s="220">
        <f t="shared" si="8"/>
        <v>0</v>
      </c>
      <c r="BH27" s="220">
        <f t="shared" si="9"/>
        <v>0</v>
      </c>
      <c r="BI27" s="253">
        <f t="shared" si="10"/>
        <v>4859.8120423409837</v>
      </c>
      <c r="BJ27" s="253">
        <f t="shared" si="11"/>
        <v>958.29877936036974</v>
      </c>
      <c r="BK27" s="253">
        <f t="shared" si="12"/>
        <v>1128.1637724058473</v>
      </c>
      <c r="BL27" s="253">
        <f t="shared" si="13"/>
        <v>0</v>
      </c>
      <c r="BM27" s="253">
        <f t="shared" si="14"/>
        <v>17909.781224178398</v>
      </c>
      <c r="BN27" s="253">
        <f t="shared" si="15"/>
        <v>3180.0389395844336</v>
      </c>
      <c r="BO27" s="253">
        <f t="shared" si="16"/>
        <v>3391.5177990755415</v>
      </c>
      <c r="BP27" s="253">
        <f t="shared" si="17"/>
        <v>0</v>
      </c>
      <c r="BQ27" s="254">
        <f t="shared" si="18"/>
        <v>34487.435600213263</v>
      </c>
    </row>
    <row r="28" spans="1:69" x14ac:dyDescent="0.2">
      <c r="A28" s="196" t="s">
        <v>666</v>
      </c>
      <c r="B28" s="234" t="s">
        <v>667</v>
      </c>
      <c r="C28" s="284"/>
      <c r="D28" s="246">
        <v>125</v>
      </c>
      <c r="E28" s="247">
        <v>0</v>
      </c>
      <c r="F28" s="247">
        <v>0</v>
      </c>
      <c r="G28" s="247">
        <v>0</v>
      </c>
      <c r="H28" s="247">
        <v>0</v>
      </c>
      <c r="I28" s="247">
        <v>0</v>
      </c>
      <c r="J28" s="247">
        <v>0</v>
      </c>
      <c r="K28" s="247">
        <v>0</v>
      </c>
      <c r="L28" s="247">
        <v>0</v>
      </c>
      <c r="M28" s="247">
        <v>0</v>
      </c>
      <c r="N28" s="247">
        <v>0</v>
      </c>
      <c r="O28" s="247">
        <v>0</v>
      </c>
      <c r="P28" s="247">
        <v>0</v>
      </c>
      <c r="Q28" s="247">
        <v>9.42</v>
      </c>
      <c r="R28" s="247">
        <v>6.58</v>
      </c>
      <c r="S28" s="247">
        <v>2.59</v>
      </c>
      <c r="T28" s="247">
        <v>0</v>
      </c>
      <c r="U28" s="247">
        <v>9.42</v>
      </c>
      <c r="V28" s="247">
        <v>6.58</v>
      </c>
      <c r="W28" s="247">
        <v>2.59</v>
      </c>
      <c r="X28" s="275">
        <v>0</v>
      </c>
      <c r="Z28" s="656">
        <v>5</v>
      </c>
      <c r="AA28" s="654">
        <v>0</v>
      </c>
      <c r="AB28" s="654">
        <v>0</v>
      </c>
      <c r="AC28" s="654">
        <v>0</v>
      </c>
      <c r="AD28" s="654">
        <v>0</v>
      </c>
      <c r="AE28" s="654">
        <v>0</v>
      </c>
      <c r="AF28" s="654">
        <v>0</v>
      </c>
      <c r="AG28" s="654">
        <v>0</v>
      </c>
      <c r="AH28" s="654">
        <v>0</v>
      </c>
      <c r="AI28" s="654">
        <v>0</v>
      </c>
      <c r="AJ28" s="654">
        <v>0</v>
      </c>
      <c r="AK28" s="654">
        <v>0</v>
      </c>
      <c r="AL28" s="654">
        <v>0</v>
      </c>
      <c r="AM28" s="654">
        <v>10467.500468311788</v>
      </c>
      <c r="AN28" s="654">
        <v>2361.8467108005088</v>
      </c>
      <c r="AO28" s="654">
        <v>7699.3201699207311</v>
      </c>
      <c r="AP28" s="654">
        <v>0</v>
      </c>
      <c r="AQ28" s="654">
        <v>30024.781573814373</v>
      </c>
      <c r="AR28" s="654">
        <v>6386.5841435979974</v>
      </c>
      <c r="AS28" s="654">
        <v>20918.502315015376</v>
      </c>
      <c r="AT28" s="655">
        <v>0</v>
      </c>
      <c r="AV28" s="252">
        <f t="shared" si="0"/>
        <v>625</v>
      </c>
      <c r="AW28" s="220">
        <f t="shared" si="1"/>
        <v>0</v>
      </c>
      <c r="AX28" s="220">
        <f t="shared" si="19"/>
        <v>0</v>
      </c>
      <c r="AY28" s="220">
        <f t="shared" si="4"/>
        <v>0</v>
      </c>
      <c r="AZ28" s="220">
        <f t="shared" si="4"/>
        <v>0</v>
      </c>
      <c r="BA28" s="220">
        <f t="shared" si="1"/>
        <v>0</v>
      </c>
      <c r="BB28" s="220">
        <f t="shared" si="5"/>
        <v>0</v>
      </c>
      <c r="BC28" s="220">
        <f t="shared" si="5"/>
        <v>0</v>
      </c>
      <c r="BD28" s="220">
        <f t="shared" si="5"/>
        <v>0</v>
      </c>
      <c r="BE28" s="220">
        <f t="shared" si="6"/>
        <v>0</v>
      </c>
      <c r="BF28" s="220">
        <f t="shared" si="7"/>
        <v>0</v>
      </c>
      <c r="BG28" s="220">
        <f t="shared" si="8"/>
        <v>0</v>
      </c>
      <c r="BH28" s="220">
        <f t="shared" si="9"/>
        <v>0</v>
      </c>
      <c r="BI28" s="253">
        <f t="shared" si="10"/>
        <v>986.03854411497048</v>
      </c>
      <c r="BJ28" s="253">
        <f t="shared" si="11"/>
        <v>155.40951357067348</v>
      </c>
      <c r="BK28" s="253">
        <f t="shared" si="12"/>
        <v>199.41239240094694</v>
      </c>
      <c r="BL28" s="253">
        <f t="shared" si="13"/>
        <v>0</v>
      </c>
      <c r="BM28" s="253">
        <f t="shared" si="14"/>
        <v>2828.334424253314</v>
      </c>
      <c r="BN28" s="253">
        <f t="shared" si="15"/>
        <v>420.23723664874819</v>
      </c>
      <c r="BO28" s="253">
        <f t="shared" si="16"/>
        <v>541.78920995889825</v>
      </c>
      <c r="BP28" s="253">
        <f t="shared" si="17"/>
        <v>0</v>
      </c>
      <c r="BQ28" s="254">
        <f t="shared" si="18"/>
        <v>5756.2213209475503</v>
      </c>
    </row>
    <row r="29" spans="1:69" x14ac:dyDescent="0.2">
      <c r="A29" s="196" t="s">
        <v>668</v>
      </c>
      <c r="B29" s="234" t="s">
        <v>669</v>
      </c>
      <c r="C29" s="284"/>
      <c r="D29" s="246">
        <v>145</v>
      </c>
      <c r="E29" s="247">
        <v>0</v>
      </c>
      <c r="F29" s="247">
        <v>7.16</v>
      </c>
      <c r="G29" s="247">
        <v>0</v>
      </c>
      <c r="H29" s="247">
        <v>0</v>
      </c>
      <c r="I29" s="247">
        <v>2.41</v>
      </c>
      <c r="J29" s="247">
        <v>0</v>
      </c>
      <c r="K29" s="247">
        <v>0</v>
      </c>
      <c r="L29" s="247">
        <v>0</v>
      </c>
      <c r="M29" s="247">
        <v>0</v>
      </c>
      <c r="N29" s="247">
        <v>0</v>
      </c>
      <c r="O29" s="247">
        <v>0</v>
      </c>
      <c r="P29" s="247">
        <v>0</v>
      </c>
      <c r="Q29" s="247">
        <v>0</v>
      </c>
      <c r="R29" s="247">
        <v>0</v>
      </c>
      <c r="S29" s="247">
        <v>0</v>
      </c>
      <c r="T29" s="247">
        <v>0</v>
      </c>
      <c r="U29" s="247">
        <v>0</v>
      </c>
      <c r="V29" s="247">
        <v>0</v>
      </c>
      <c r="W29" s="247">
        <v>0</v>
      </c>
      <c r="X29" s="275">
        <v>0</v>
      </c>
      <c r="Z29" s="656">
        <v>2322.444207091999</v>
      </c>
      <c r="AA29" s="654">
        <v>0</v>
      </c>
      <c r="AB29" s="654">
        <v>37314656.187938549</v>
      </c>
      <c r="AC29" s="654">
        <v>0</v>
      </c>
      <c r="AD29" s="654">
        <v>0</v>
      </c>
      <c r="AE29" s="654">
        <v>8982959.3015620131</v>
      </c>
      <c r="AF29" s="654">
        <v>0</v>
      </c>
      <c r="AG29" s="654">
        <v>0</v>
      </c>
      <c r="AH29" s="654">
        <v>0</v>
      </c>
      <c r="AI29" s="654">
        <v>0</v>
      </c>
      <c r="AJ29" s="654">
        <v>0</v>
      </c>
      <c r="AK29" s="654">
        <v>0</v>
      </c>
      <c r="AL29" s="654">
        <v>0</v>
      </c>
      <c r="AM29" s="654">
        <v>0</v>
      </c>
      <c r="AN29" s="654">
        <v>0</v>
      </c>
      <c r="AO29" s="654">
        <v>0</v>
      </c>
      <c r="AP29" s="654">
        <v>0</v>
      </c>
      <c r="AQ29" s="654">
        <v>0</v>
      </c>
      <c r="AR29" s="654">
        <v>0</v>
      </c>
      <c r="AS29" s="654">
        <v>0</v>
      </c>
      <c r="AT29" s="655">
        <v>0</v>
      </c>
      <c r="AV29" s="252">
        <f t="shared" si="0"/>
        <v>336754.41002833989</v>
      </c>
      <c r="AW29" s="220">
        <f t="shared" si="1"/>
        <v>0</v>
      </c>
      <c r="AX29" s="220">
        <f t="shared" si="19"/>
        <v>2671729.3830563999</v>
      </c>
      <c r="AY29" s="220">
        <f t="shared" si="4"/>
        <v>0</v>
      </c>
      <c r="AZ29" s="220">
        <f t="shared" si="4"/>
        <v>0</v>
      </c>
      <c r="BA29" s="220">
        <f t="shared" si="1"/>
        <v>216489.31916764451</v>
      </c>
      <c r="BB29" s="220">
        <f t="shared" si="5"/>
        <v>0</v>
      </c>
      <c r="BC29" s="220">
        <f t="shared" si="5"/>
        <v>0</v>
      </c>
      <c r="BD29" s="220">
        <f t="shared" si="5"/>
        <v>0</v>
      </c>
      <c r="BE29" s="220">
        <f t="shared" si="6"/>
        <v>0</v>
      </c>
      <c r="BF29" s="220">
        <f t="shared" si="7"/>
        <v>0</v>
      </c>
      <c r="BG29" s="220">
        <f t="shared" si="8"/>
        <v>0</v>
      </c>
      <c r="BH29" s="220">
        <f t="shared" si="9"/>
        <v>0</v>
      </c>
      <c r="BI29" s="253">
        <f t="shared" si="10"/>
        <v>0</v>
      </c>
      <c r="BJ29" s="253">
        <f t="shared" si="11"/>
        <v>0</v>
      </c>
      <c r="BK29" s="253">
        <f t="shared" si="12"/>
        <v>0</v>
      </c>
      <c r="BL29" s="253">
        <f t="shared" si="13"/>
        <v>0</v>
      </c>
      <c r="BM29" s="253">
        <f t="shared" si="14"/>
        <v>0</v>
      </c>
      <c r="BN29" s="253">
        <f t="shared" si="15"/>
        <v>0</v>
      </c>
      <c r="BO29" s="253">
        <f t="shared" si="16"/>
        <v>0</v>
      </c>
      <c r="BP29" s="253">
        <f t="shared" si="17"/>
        <v>0</v>
      </c>
      <c r="BQ29" s="254">
        <f t="shared" si="18"/>
        <v>3224973.1122523844</v>
      </c>
    </row>
    <row r="30" spans="1:69" x14ac:dyDescent="0.2">
      <c r="A30" s="196" t="s">
        <v>670</v>
      </c>
      <c r="B30" s="234" t="s">
        <v>671</v>
      </c>
      <c r="C30" s="284"/>
      <c r="D30" s="246">
        <v>125</v>
      </c>
      <c r="E30" s="247">
        <v>0</v>
      </c>
      <c r="F30" s="247">
        <v>6.17</v>
      </c>
      <c r="G30" s="247">
        <v>0</v>
      </c>
      <c r="H30" s="247">
        <v>0</v>
      </c>
      <c r="I30" s="247">
        <v>1.8</v>
      </c>
      <c r="J30" s="247">
        <v>0</v>
      </c>
      <c r="K30" s="247">
        <v>0</v>
      </c>
      <c r="L30" s="247">
        <v>0</v>
      </c>
      <c r="M30" s="247">
        <v>0</v>
      </c>
      <c r="N30" s="247">
        <v>0</v>
      </c>
      <c r="O30" s="247">
        <v>0</v>
      </c>
      <c r="P30" s="247">
        <v>0</v>
      </c>
      <c r="Q30" s="247">
        <v>0</v>
      </c>
      <c r="R30" s="247">
        <v>0</v>
      </c>
      <c r="S30" s="247">
        <v>0</v>
      </c>
      <c r="T30" s="247">
        <v>0</v>
      </c>
      <c r="U30" s="247">
        <v>0</v>
      </c>
      <c r="V30" s="247">
        <v>0</v>
      </c>
      <c r="W30" s="247">
        <v>0</v>
      </c>
      <c r="X30" s="275">
        <v>0</v>
      </c>
      <c r="Z30" s="656">
        <v>251.52691546810573</v>
      </c>
      <c r="AA30" s="654">
        <v>0</v>
      </c>
      <c r="AB30" s="654">
        <v>5172333.90074181</v>
      </c>
      <c r="AC30" s="654">
        <v>0</v>
      </c>
      <c r="AD30" s="654">
        <v>0</v>
      </c>
      <c r="AE30" s="654">
        <v>1298680.7753647633</v>
      </c>
      <c r="AF30" s="654">
        <v>0</v>
      </c>
      <c r="AG30" s="654">
        <v>0</v>
      </c>
      <c r="AH30" s="654">
        <v>0</v>
      </c>
      <c r="AI30" s="654">
        <v>0</v>
      </c>
      <c r="AJ30" s="654">
        <v>0</v>
      </c>
      <c r="AK30" s="654">
        <v>0</v>
      </c>
      <c r="AL30" s="654">
        <v>0</v>
      </c>
      <c r="AM30" s="654">
        <v>0</v>
      </c>
      <c r="AN30" s="654">
        <v>0</v>
      </c>
      <c r="AO30" s="654">
        <v>0</v>
      </c>
      <c r="AP30" s="654">
        <v>0</v>
      </c>
      <c r="AQ30" s="654">
        <v>0</v>
      </c>
      <c r="AR30" s="654">
        <v>0</v>
      </c>
      <c r="AS30" s="654">
        <v>0</v>
      </c>
      <c r="AT30" s="655">
        <v>0</v>
      </c>
      <c r="AV30" s="252">
        <f t="shared" si="0"/>
        <v>31440.864433513216</v>
      </c>
      <c r="AW30" s="220">
        <f t="shared" si="1"/>
        <v>0</v>
      </c>
      <c r="AX30" s="220">
        <f t="shared" si="19"/>
        <v>319133.00167576969</v>
      </c>
      <c r="AY30" s="220">
        <f t="shared" si="4"/>
        <v>0</v>
      </c>
      <c r="AZ30" s="220">
        <f t="shared" si="4"/>
        <v>0</v>
      </c>
      <c r="BA30" s="220">
        <f t="shared" si="1"/>
        <v>23376.253956565743</v>
      </c>
      <c r="BB30" s="220">
        <f t="shared" si="5"/>
        <v>0</v>
      </c>
      <c r="BC30" s="220">
        <f t="shared" si="5"/>
        <v>0</v>
      </c>
      <c r="BD30" s="220">
        <f t="shared" si="5"/>
        <v>0</v>
      </c>
      <c r="BE30" s="220">
        <f t="shared" si="6"/>
        <v>0</v>
      </c>
      <c r="BF30" s="220">
        <f t="shared" si="7"/>
        <v>0</v>
      </c>
      <c r="BG30" s="220">
        <f t="shared" si="8"/>
        <v>0</v>
      </c>
      <c r="BH30" s="220">
        <f t="shared" si="9"/>
        <v>0</v>
      </c>
      <c r="BI30" s="253">
        <f t="shared" si="10"/>
        <v>0</v>
      </c>
      <c r="BJ30" s="253">
        <f t="shared" si="11"/>
        <v>0</v>
      </c>
      <c r="BK30" s="253">
        <f t="shared" si="12"/>
        <v>0</v>
      </c>
      <c r="BL30" s="253">
        <f t="shared" si="13"/>
        <v>0</v>
      </c>
      <c r="BM30" s="253">
        <f t="shared" si="14"/>
        <v>0</v>
      </c>
      <c r="BN30" s="253">
        <f t="shared" si="15"/>
        <v>0</v>
      </c>
      <c r="BO30" s="253">
        <f t="shared" si="16"/>
        <v>0</v>
      </c>
      <c r="BP30" s="253">
        <f t="shared" si="17"/>
        <v>0</v>
      </c>
      <c r="BQ30" s="254">
        <f t="shared" si="18"/>
        <v>373950.12006584863</v>
      </c>
    </row>
    <row r="31" spans="1:69" x14ac:dyDescent="0.2">
      <c r="A31" s="196" t="s">
        <v>672</v>
      </c>
      <c r="B31" s="234" t="s">
        <v>673</v>
      </c>
      <c r="C31" s="284"/>
      <c r="D31" s="246">
        <v>145</v>
      </c>
      <c r="E31" s="247">
        <v>0</v>
      </c>
      <c r="F31" s="247">
        <v>9.1</v>
      </c>
      <c r="G31" s="247">
        <v>0</v>
      </c>
      <c r="H31" s="247">
        <v>0</v>
      </c>
      <c r="I31" s="247">
        <v>2.41</v>
      </c>
      <c r="J31" s="247">
        <v>0</v>
      </c>
      <c r="K31" s="247">
        <v>0</v>
      </c>
      <c r="L31" s="247">
        <v>0</v>
      </c>
      <c r="M31" s="247">
        <v>0</v>
      </c>
      <c r="N31" s="247">
        <v>0</v>
      </c>
      <c r="O31" s="247">
        <v>0</v>
      </c>
      <c r="P31" s="247">
        <v>0</v>
      </c>
      <c r="Q31" s="247">
        <v>0</v>
      </c>
      <c r="R31" s="247">
        <v>0</v>
      </c>
      <c r="S31" s="247">
        <v>0</v>
      </c>
      <c r="T31" s="247">
        <v>0</v>
      </c>
      <c r="U31" s="247">
        <v>0</v>
      </c>
      <c r="V31" s="247">
        <v>0</v>
      </c>
      <c r="W31" s="247">
        <v>0</v>
      </c>
      <c r="X31" s="275">
        <v>0</v>
      </c>
      <c r="Z31" s="656">
        <v>4</v>
      </c>
      <c r="AA31" s="654">
        <v>0</v>
      </c>
      <c r="AB31" s="654">
        <v>224820.2679166478</v>
      </c>
      <c r="AC31" s="654">
        <v>0</v>
      </c>
      <c r="AD31" s="654">
        <v>0</v>
      </c>
      <c r="AE31" s="654">
        <v>61632.40762098199</v>
      </c>
      <c r="AF31" s="654">
        <v>0</v>
      </c>
      <c r="AG31" s="654">
        <v>0</v>
      </c>
      <c r="AH31" s="654">
        <v>0</v>
      </c>
      <c r="AI31" s="654">
        <v>0</v>
      </c>
      <c r="AJ31" s="654">
        <v>0</v>
      </c>
      <c r="AK31" s="654">
        <v>0</v>
      </c>
      <c r="AL31" s="654">
        <v>0</v>
      </c>
      <c r="AM31" s="654">
        <v>0</v>
      </c>
      <c r="AN31" s="654">
        <v>0</v>
      </c>
      <c r="AO31" s="654">
        <v>0</v>
      </c>
      <c r="AP31" s="654">
        <v>0</v>
      </c>
      <c r="AQ31" s="654">
        <v>0</v>
      </c>
      <c r="AR31" s="654">
        <v>0</v>
      </c>
      <c r="AS31" s="654">
        <v>0</v>
      </c>
      <c r="AT31" s="655">
        <v>0</v>
      </c>
      <c r="AV31" s="252">
        <f t="shared" si="0"/>
        <v>580</v>
      </c>
      <c r="AW31" s="220">
        <f t="shared" ref="AW31:AW42" si="20">E31/100*AA31</f>
        <v>0</v>
      </c>
      <c r="AX31" s="220">
        <f t="shared" si="19"/>
        <v>20458.644380414949</v>
      </c>
      <c r="AY31" s="220">
        <f t="shared" si="4"/>
        <v>0</v>
      </c>
      <c r="AZ31" s="220">
        <f t="shared" si="4"/>
        <v>0</v>
      </c>
      <c r="BA31" s="220">
        <f t="shared" ref="BA31:BA42" si="21">I31/100*AE31</f>
        <v>1485.3410236656659</v>
      </c>
      <c r="BB31" s="220">
        <f t="shared" si="5"/>
        <v>0</v>
      </c>
      <c r="BC31" s="220">
        <f t="shared" si="5"/>
        <v>0</v>
      </c>
      <c r="BD31" s="220">
        <f t="shared" si="5"/>
        <v>0</v>
      </c>
      <c r="BE31" s="220">
        <f t="shared" si="6"/>
        <v>0</v>
      </c>
      <c r="BF31" s="220">
        <f t="shared" si="7"/>
        <v>0</v>
      </c>
      <c r="BG31" s="220">
        <f t="shared" si="8"/>
        <v>0</v>
      </c>
      <c r="BH31" s="220">
        <f t="shared" si="9"/>
        <v>0</v>
      </c>
      <c r="BI31" s="253">
        <f t="shared" si="10"/>
        <v>0</v>
      </c>
      <c r="BJ31" s="253">
        <f t="shared" si="11"/>
        <v>0</v>
      </c>
      <c r="BK31" s="253">
        <f t="shared" si="12"/>
        <v>0</v>
      </c>
      <c r="BL31" s="253">
        <f t="shared" si="13"/>
        <v>0</v>
      </c>
      <c r="BM31" s="253">
        <f t="shared" si="14"/>
        <v>0</v>
      </c>
      <c r="BN31" s="253">
        <f t="shared" si="15"/>
        <v>0</v>
      </c>
      <c r="BO31" s="253">
        <f t="shared" si="16"/>
        <v>0</v>
      </c>
      <c r="BP31" s="253">
        <f t="shared" si="17"/>
        <v>0</v>
      </c>
      <c r="BQ31" s="254">
        <f t="shared" si="18"/>
        <v>22523.985404080617</v>
      </c>
    </row>
    <row r="32" spans="1:69" x14ac:dyDescent="0.2">
      <c r="A32" s="196" t="s">
        <v>674</v>
      </c>
      <c r="B32" s="234" t="s">
        <v>675</v>
      </c>
      <c r="C32" s="284"/>
      <c r="D32" s="246">
        <v>145</v>
      </c>
      <c r="E32" s="247">
        <v>3.32</v>
      </c>
      <c r="F32" s="247">
        <v>0</v>
      </c>
      <c r="G32" s="247">
        <v>0</v>
      </c>
      <c r="H32" s="247">
        <v>0</v>
      </c>
      <c r="I32" s="247">
        <v>0</v>
      </c>
      <c r="J32" s="247">
        <v>0</v>
      </c>
      <c r="K32" s="247">
        <v>0</v>
      </c>
      <c r="L32" s="247">
        <v>0</v>
      </c>
      <c r="M32" s="247">
        <v>0</v>
      </c>
      <c r="N32" s="247">
        <v>0</v>
      </c>
      <c r="O32" s="247">
        <v>10.59</v>
      </c>
      <c r="P32" s="247">
        <v>3.53</v>
      </c>
      <c r="Q32" s="247">
        <v>0</v>
      </c>
      <c r="R32" s="247">
        <v>0</v>
      </c>
      <c r="S32" s="247">
        <v>0</v>
      </c>
      <c r="T32" s="247">
        <v>0</v>
      </c>
      <c r="U32" s="247">
        <v>0</v>
      </c>
      <c r="V32" s="247">
        <v>0</v>
      </c>
      <c r="W32" s="247">
        <v>0</v>
      </c>
      <c r="X32" s="275">
        <v>0</v>
      </c>
      <c r="Z32" s="656">
        <v>5</v>
      </c>
      <c r="AA32" s="654">
        <v>100000</v>
      </c>
      <c r="AB32" s="654">
        <v>0</v>
      </c>
      <c r="AC32" s="654">
        <v>0</v>
      </c>
      <c r="AD32" s="654">
        <v>0</v>
      </c>
      <c r="AE32" s="654">
        <v>0</v>
      </c>
      <c r="AF32" s="654">
        <v>0</v>
      </c>
      <c r="AG32" s="654">
        <v>0</v>
      </c>
      <c r="AH32" s="654">
        <v>0</v>
      </c>
      <c r="AI32" s="654">
        <v>0</v>
      </c>
      <c r="AJ32" s="654">
        <v>0</v>
      </c>
      <c r="AK32" s="654">
        <v>130.46314416177432</v>
      </c>
      <c r="AL32" s="654">
        <v>228.31050228310502</v>
      </c>
      <c r="AM32" s="654">
        <v>0</v>
      </c>
      <c r="AN32" s="654">
        <v>0</v>
      </c>
      <c r="AO32" s="654">
        <v>0</v>
      </c>
      <c r="AP32" s="654">
        <v>0</v>
      </c>
      <c r="AQ32" s="654">
        <v>0</v>
      </c>
      <c r="AR32" s="654">
        <v>0</v>
      </c>
      <c r="AS32" s="654">
        <v>0</v>
      </c>
      <c r="AT32" s="655">
        <v>0</v>
      </c>
      <c r="AV32" s="252">
        <f t="shared" si="0"/>
        <v>725</v>
      </c>
      <c r="AW32" s="220">
        <f t="shared" si="20"/>
        <v>3320</v>
      </c>
      <c r="AX32" s="220">
        <f t="shared" si="19"/>
        <v>0</v>
      </c>
      <c r="AY32" s="220">
        <f t="shared" si="4"/>
        <v>0</v>
      </c>
      <c r="AZ32" s="220">
        <f t="shared" si="4"/>
        <v>0</v>
      </c>
      <c r="BA32" s="220">
        <f t="shared" si="21"/>
        <v>0</v>
      </c>
      <c r="BB32" s="220">
        <f t="shared" si="5"/>
        <v>0</v>
      </c>
      <c r="BC32" s="220">
        <f t="shared" si="5"/>
        <v>0</v>
      </c>
      <c r="BD32" s="220">
        <f t="shared" si="5"/>
        <v>0</v>
      </c>
      <c r="BE32" s="220">
        <f t="shared" si="6"/>
        <v>0</v>
      </c>
      <c r="BF32" s="220">
        <f t="shared" si="7"/>
        <v>0</v>
      </c>
      <c r="BG32" s="220">
        <f t="shared" si="8"/>
        <v>1381.6046966731901</v>
      </c>
      <c r="BH32" s="220">
        <f t="shared" si="9"/>
        <v>805.93607305936064</v>
      </c>
      <c r="BI32" s="253">
        <f t="shared" si="10"/>
        <v>0</v>
      </c>
      <c r="BJ32" s="253">
        <f t="shared" si="11"/>
        <v>0</v>
      </c>
      <c r="BK32" s="253">
        <f t="shared" si="12"/>
        <v>0</v>
      </c>
      <c r="BL32" s="253">
        <f t="shared" si="13"/>
        <v>0</v>
      </c>
      <c r="BM32" s="253">
        <f t="shared" si="14"/>
        <v>0</v>
      </c>
      <c r="BN32" s="253">
        <f t="shared" si="15"/>
        <v>0</v>
      </c>
      <c r="BO32" s="253">
        <f t="shared" si="16"/>
        <v>0</v>
      </c>
      <c r="BP32" s="253">
        <f t="shared" si="17"/>
        <v>0</v>
      </c>
      <c r="BQ32" s="254">
        <f t="shared" ref="BQ32:BQ42" si="22">SUM(AV32:BP32)</f>
        <v>6232.5407697325509</v>
      </c>
    </row>
    <row r="33" spans="1:69" x14ac:dyDescent="0.2">
      <c r="A33" s="196" t="s">
        <v>676</v>
      </c>
      <c r="B33" s="234" t="s">
        <v>677</v>
      </c>
      <c r="C33" s="284"/>
      <c r="D33" s="246">
        <v>125</v>
      </c>
      <c r="E33" s="247">
        <v>2.99</v>
      </c>
      <c r="F33" s="247">
        <v>0</v>
      </c>
      <c r="G33" s="247">
        <v>0</v>
      </c>
      <c r="H33" s="247">
        <v>0</v>
      </c>
      <c r="I33" s="247">
        <v>0</v>
      </c>
      <c r="J33" s="247">
        <v>0</v>
      </c>
      <c r="K33" s="247">
        <v>0</v>
      </c>
      <c r="L33" s="247">
        <v>0</v>
      </c>
      <c r="M33" s="247">
        <v>0</v>
      </c>
      <c r="N33" s="247">
        <v>0</v>
      </c>
      <c r="O33" s="247">
        <v>7.94</v>
      </c>
      <c r="P33" s="247">
        <v>2.64</v>
      </c>
      <c r="Q33" s="247">
        <v>0</v>
      </c>
      <c r="R33" s="247">
        <v>0</v>
      </c>
      <c r="S33" s="247">
        <v>0</v>
      </c>
      <c r="T33" s="247">
        <v>0</v>
      </c>
      <c r="U33" s="247">
        <v>0</v>
      </c>
      <c r="V33" s="247">
        <v>0</v>
      </c>
      <c r="W33" s="247">
        <v>0</v>
      </c>
      <c r="X33" s="275">
        <v>0</v>
      </c>
      <c r="Z33" s="656">
        <v>1</v>
      </c>
      <c r="AA33" s="654">
        <v>16000</v>
      </c>
      <c r="AB33" s="654">
        <v>0</v>
      </c>
      <c r="AC33" s="654">
        <v>0</v>
      </c>
      <c r="AD33" s="654">
        <v>0</v>
      </c>
      <c r="AE33" s="654">
        <v>0</v>
      </c>
      <c r="AF33" s="654">
        <v>0</v>
      </c>
      <c r="AG33" s="654">
        <v>0</v>
      </c>
      <c r="AH33" s="654">
        <v>0</v>
      </c>
      <c r="AI33" s="654">
        <v>0</v>
      </c>
      <c r="AJ33" s="654">
        <v>0</v>
      </c>
      <c r="AK33" s="654">
        <v>20.874103065883887</v>
      </c>
      <c r="AL33" s="654">
        <v>36.529680365296798</v>
      </c>
      <c r="AM33" s="654">
        <v>0</v>
      </c>
      <c r="AN33" s="654">
        <v>0</v>
      </c>
      <c r="AO33" s="654">
        <v>0</v>
      </c>
      <c r="AP33" s="654">
        <v>0</v>
      </c>
      <c r="AQ33" s="654">
        <v>0</v>
      </c>
      <c r="AR33" s="654">
        <v>0</v>
      </c>
      <c r="AS33" s="654">
        <v>0</v>
      </c>
      <c r="AT33" s="655">
        <v>0</v>
      </c>
      <c r="AV33" s="252">
        <f t="shared" si="0"/>
        <v>125</v>
      </c>
      <c r="AW33" s="220">
        <f t="shared" si="20"/>
        <v>478.40000000000003</v>
      </c>
      <c r="AX33" s="220">
        <f t="shared" si="19"/>
        <v>0</v>
      </c>
      <c r="AY33" s="220">
        <f t="shared" si="4"/>
        <v>0</v>
      </c>
      <c r="AZ33" s="220">
        <f t="shared" si="4"/>
        <v>0</v>
      </c>
      <c r="BA33" s="220">
        <f t="shared" si="21"/>
        <v>0</v>
      </c>
      <c r="BB33" s="220">
        <f t="shared" si="5"/>
        <v>0</v>
      </c>
      <c r="BC33" s="220">
        <f t="shared" si="5"/>
        <v>0</v>
      </c>
      <c r="BD33" s="220">
        <f t="shared" si="5"/>
        <v>0</v>
      </c>
      <c r="BE33" s="220">
        <f t="shared" si="6"/>
        <v>0</v>
      </c>
      <c r="BF33" s="220">
        <f t="shared" si="7"/>
        <v>0</v>
      </c>
      <c r="BG33" s="220">
        <f t="shared" si="8"/>
        <v>165.74037834311807</v>
      </c>
      <c r="BH33" s="220">
        <f t="shared" si="9"/>
        <v>96.438356164383549</v>
      </c>
      <c r="BI33" s="253">
        <f t="shared" si="10"/>
        <v>0</v>
      </c>
      <c r="BJ33" s="253">
        <f t="shared" si="11"/>
        <v>0</v>
      </c>
      <c r="BK33" s="253">
        <f t="shared" si="12"/>
        <v>0</v>
      </c>
      <c r="BL33" s="253">
        <f t="shared" si="13"/>
        <v>0</v>
      </c>
      <c r="BM33" s="253">
        <f t="shared" si="14"/>
        <v>0</v>
      </c>
      <c r="BN33" s="253">
        <f t="shared" si="15"/>
        <v>0</v>
      </c>
      <c r="BO33" s="253">
        <f t="shared" si="16"/>
        <v>0</v>
      </c>
      <c r="BP33" s="253">
        <f t="shared" si="17"/>
        <v>0</v>
      </c>
      <c r="BQ33" s="254">
        <f t="shared" si="22"/>
        <v>865.57873450750174</v>
      </c>
    </row>
    <row r="34" spans="1:69" x14ac:dyDescent="0.2">
      <c r="A34" s="196" t="s">
        <v>678</v>
      </c>
      <c r="B34" s="234" t="s">
        <v>679</v>
      </c>
      <c r="C34" s="284"/>
      <c r="D34" s="246">
        <v>800</v>
      </c>
      <c r="E34" s="247">
        <v>0</v>
      </c>
      <c r="F34" s="247">
        <v>5.44</v>
      </c>
      <c r="G34" s="247">
        <v>0</v>
      </c>
      <c r="H34" s="247">
        <v>0</v>
      </c>
      <c r="I34" s="247">
        <v>3.21</v>
      </c>
      <c r="J34" s="247">
        <v>0</v>
      </c>
      <c r="K34" s="247">
        <v>0</v>
      </c>
      <c r="L34" s="247">
        <v>0</v>
      </c>
      <c r="M34" s="247">
        <v>0</v>
      </c>
      <c r="N34" s="247">
        <v>0</v>
      </c>
      <c r="O34" s="247">
        <v>2.73</v>
      </c>
      <c r="P34" s="247">
        <v>1.37</v>
      </c>
      <c r="Q34" s="247">
        <v>0</v>
      </c>
      <c r="R34" s="247">
        <v>0</v>
      </c>
      <c r="S34" s="247">
        <v>0</v>
      </c>
      <c r="T34" s="247">
        <v>0</v>
      </c>
      <c r="U34" s="247">
        <v>0</v>
      </c>
      <c r="V34" s="247">
        <v>0</v>
      </c>
      <c r="W34" s="247">
        <v>0</v>
      </c>
      <c r="X34" s="275">
        <v>0</v>
      </c>
      <c r="Z34" s="656">
        <v>4454.7584285325547</v>
      </c>
      <c r="AA34" s="654">
        <v>0</v>
      </c>
      <c r="AB34" s="654">
        <v>385749824.48949713</v>
      </c>
      <c r="AC34" s="654">
        <v>0</v>
      </c>
      <c r="AD34" s="654">
        <v>0</v>
      </c>
      <c r="AE34" s="654">
        <v>237077602.25050065</v>
      </c>
      <c r="AF34" s="654">
        <v>0</v>
      </c>
      <c r="AG34" s="654">
        <v>0</v>
      </c>
      <c r="AH34" s="654">
        <v>0</v>
      </c>
      <c r="AI34" s="654">
        <v>0</v>
      </c>
      <c r="AJ34" s="654">
        <v>0</v>
      </c>
      <c r="AK34" s="654">
        <v>764494.43950180197</v>
      </c>
      <c r="AL34" s="654">
        <v>1326085.1464115628</v>
      </c>
      <c r="AM34" s="654">
        <v>0</v>
      </c>
      <c r="AN34" s="654">
        <v>0</v>
      </c>
      <c r="AO34" s="654">
        <v>0</v>
      </c>
      <c r="AP34" s="654">
        <v>0</v>
      </c>
      <c r="AQ34" s="654">
        <v>0</v>
      </c>
      <c r="AR34" s="654">
        <v>0</v>
      </c>
      <c r="AS34" s="654">
        <v>0</v>
      </c>
      <c r="AT34" s="655">
        <v>0</v>
      </c>
      <c r="AV34" s="252">
        <f t="shared" si="0"/>
        <v>3563806.7428260436</v>
      </c>
      <c r="AW34" s="220">
        <f t="shared" si="20"/>
        <v>0</v>
      </c>
      <c r="AX34" s="220">
        <f t="shared" si="19"/>
        <v>20984790.452228647</v>
      </c>
      <c r="AY34" s="220">
        <f t="shared" si="4"/>
        <v>0</v>
      </c>
      <c r="AZ34" s="220">
        <f t="shared" si="4"/>
        <v>0</v>
      </c>
      <c r="BA34" s="220">
        <f t="shared" si="21"/>
        <v>7610191.0322410697</v>
      </c>
      <c r="BB34" s="220">
        <f t="shared" si="5"/>
        <v>0</v>
      </c>
      <c r="BC34" s="220">
        <f t="shared" si="5"/>
        <v>0</v>
      </c>
      <c r="BD34" s="220">
        <f t="shared" si="5"/>
        <v>0</v>
      </c>
      <c r="BE34" s="220">
        <f t="shared" si="6"/>
        <v>0</v>
      </c>
      <c r="BF34" s="220">
        <f t="shared" si="7"/>
        <v>0</v>
      </c>
      <c r="BG34" s="220">
        <f t="shared" si="8"/>
        <v>2087069.8198399195</v>
      </c>
      <c r="BH34" s="220">
        <f t="shared" si="9"/>
        <v>1816736.6505838411</v>
      </c>
      <c r="BI34" s="253">
        <f t="shared" si="10"/>
        <v>0</v>
      </c>
      <c r="BJ34" s="253">
        <f t="shared" si="11"/>
        <v>0</v>
      </c>
      <c r="BK34" s="253">
        <f t="shared" si="12"/>
        <v>0</v>
      </c>
      <c r="BL34" s="253">
        <f t="shared" si="13"/>
        <v>0</v>
      </c>
      <c r="BM34" s="253">
        <f t="shared" si="14"/>
        <v>0</v>
      </c>
      <c r="BN34" s="253">
        <f t="shared" si="15"/>
        <v>0</v>
      </c>
      <c r="BO34" s="253">
        <f t="shared" si="16"/>
        <v>0</v>
      </c>
      <c r="BP34" s="253">
        <f t="shared" si="17"/>
        <v>0</v>
      </c>
      <c r="BQ34" s="254">
        <f t="shared" si="22"/>
        <v>36062594.697719522</v>
      </c>
    </row>
    <row r="35" spans="1:69" x14ac:dyDescent="0.2">
      <c r="A35" s="196" t="s">
        <v>680</v>
      </c>
      <c r="B35" s="234" t="s">
        <v>681</v>
      </c>
      <c r="C35" s="284"/>
      <c r="D35" s="246">
        <v>800</v>
      </c>
      <c r="E35" s="247">
        <v>0</v>
      </c>
      <c r="F35" s="247">
        <v>3.99</v>
      </c>
      <c r="G35" s="247">
        <v>0</v>
      </c>
      <c r="H35" s="247">
        <v>0</v>
      </c>
      <c r="I35" s="247">
        <v>2.5299999999999998</v>
      </c>
      <c r="J35" s="247">
        <v>0</v>
      </c>
      <c r="K35" s="247">
        <v>0</v>
      </c>
      <c r="L35" s="247">
        <v>0</v>
      </c>
      <c r="M35" s="247">
        <v>0</v>
      </c>
      <c r="N35" s="247">
        <v>0</v>
      </c>
      <c r="O35" s="247">
        <v>2.0499999999999998</v>
      </c>
      <c r="P35" s="247">
        <v>1.03</v>
      </c>
      <c r="Q35" s="247">
        <v>0</v>
      </c>
      <c r="R35" s="247">
        <v>0</v>
      </c>
      <c r="S35" s="247">
        <v>0</v>
      </c>
      <c r="T35" s="247">
        <v>0</v>
      </c>
      <c r="U35" s="247">
        <v>0</v>
      </c>
      <c r="V35" s="247">
        <v>0</v>
      </c>
      <c r="W35" s="247">
        <v>0</v>
      </c>
      <c r="X35" s="275">
        <v>0</v>
      </c>
      <c r="Z35" s="656">
        <v>2142.0682091572939</v>
      </c>
      <c r="AA35" s="654">
        <v>0</v>
      </c>
      <c r="AB35" s="654">
        <v>263482333.82347772</v>
      </c>
      <c r="AC35" s="654">
        <v>0</v>
      </c>
      <c r="AD35" s="654">
        <v>0</v>
      </c>
      <c r="AE35" s="654">
        <v>158002594.57150719</v>
      </c>
      <c r="AF35" s="654">
        <v>0</v>
      </c>
      <c r="AG35" s="654">
        <v>0</v>
      </c>
      <c r="AH35" s="654">
        <v>0</v>
      </c>
      <c r="AI35" s="654">
        <v>0</v>
      </c>
      <c r="AJ35" s="654">
        <v>0</v>
      </c>
      <c r="AK35" s="654">
        <v>523965.08847416606</v>
      </c>
      <c r="AL35" s="654">
        <v>850358.31944324356</v>
      </c>
      <c r="AM35" s="654">
        <v>0</v>
      </c>
      <c r="AN35" s="654">
        <v>0</v>
      </c>
      <c r="AO35" s="654">
        <v>0</v>
      </c>
      <c r="AP35" s="654">
        <v>0</v>
      </c>
      <c r="AQ35" s="654">
        <v>0</v>
      </c>
      <c r="AR35" s="654">
        <v>0</v>
      </c>
      <c r="AS35" s="654">
        <v>0</v>
      </c>
      <c r="AT35" s="655">
        <v>0</v>
      </c>
      <c r="AV35" s="252">
        <f t="shared" si="0"/>
        <v>1713654.5673258351</v>
      </c>
      <c r="AW35" s="220">
        <f t="shared" si="20"/>
        <v>0</v>
      </c>
      <c r="AX35" s="220">
        <f t="shared" si="19"/>
        <v>10512945.119556762</v>
      </c>
      <c r="AY35" s="220">
        <f t="shared" si="4"/>
        <v>0</v>
      </c>
      <c r="AZ35" s="220">
        <f t="shared" si="4"/>
        <v>0</v>
      </c>
      <c r="BA35" s="220">
        <f t="shared" si="21"/>
        <v>3997465.6426591319</v>
      </c>
      <c r="BB35" s="220">
        <f t="shared" si="5"/>
        <v>0</v>
      </c>
      <c r="BC35" s="220">
        <f t="shared" si="5"/>
        <v>0</v>
      </c>
      <c r="BD35" s="220">
        <f t="shared" si="5"/>
        <v>0</v>
      </c>
      <c r="BE35" s="220">
        <f t="shared" si="6"/>
        <v>0</v>
      </c>
      <c r="BF35" s="220">
        <f t="shared" si="7"/>
        <v>0</v>
      </c>
      <c r="BG35" s="220">
        <f t="shared" si="8"/>
        <v>1074128.4313720404</v>
      </c>
      <c r="BH35" s="220">
        <f t="shared" si="9"/>
        <v>875869.06902654085</v>
      </c>
      <c r="BI35" s="253">
        <f t="shared" si="10"/>
        <v>0</v>
      </c>
      <c r="BJ35" s="253">
        <f t="shared" si="11"/>
        <v>0</v>
      </c>
      <c r="BK35" s="253">
        <f t="shared" si="12"/>
        <v>0</v>
      </c>
      <c r="BL35" s="253">
        <f t="shared" si="13"/>
        <v>0</v>
      </c>
      <c r="BM35" s="253">
        <f t="shared" si="14"/>
        <v>0</v>
      </c>
      <c r="BN35" s="253">
        <f t="shared" si="15"/>
        <v>0</v>
      </c>
      <c r="BO35" s="253">
        <f t="shared" si="16"/>
        <v>0</v>
      </c>
      <c r="BP35" s="253">
        <f t="shared" si="17"/>
        <v>0</v>
      </c>
      <c r="BQ35" s="254">
        <f t="shared" si="22"/>
        <v>18174062.829940308</v>
      </c>
    </row>
    <row r="36" spans="1:69" x14ac:dyDescent="0.2">
      <c r="A36" s="196" t="s">
        <v>682</v>
      </c>
      <c r="B36" s="234" t="s">
        <v>683</v>
      </c>
      <c r="C36" s="284"/>
      <c r="D36" s="246">
        <v>800</v>
      </c>
      <c r="E36" s="247">
        <v>0</v>
      </c>
      <c r="F36" s="247">
        <v>8.33</v>
      </c>
      <c r="G36" s="247">
        <v>0</v>
      </c>
      <c r="H36" s="247">
        <v>0</v>
      </c>
      <c r="I36" s="247">
        <v>3.34</v>
      </c>
      <c r="J36" s="247">
        <v>0</v>
      </c>
      <c r="K36" s="247">
        <v>0</v>
      </c>
      <c r="L36" s="247">
        <v>0</v>
      </c>
      <c r="M36" s="247">
        <v>0</v>
      </c>
      <c r="N36" s="247">
        <v>0</v>
      </c>
      <c r="O36" s="247">
        <v>0</v>
      </c>
      <c r="P36" s="247">
        <v>0</v>
      </c>
      <c r="Q36" s="247">
        <v>0</v>
      </c>
      <c r="R36" s="247">
        <v>0</v>
      </c>
      <c r="S36" s="247">
        <v>0</v>
      </c>
      <c r="T36" s="247">
        <v>0</v>
      </c>
      <c r="U36" s="247">
        <v>0</v>
      </c>
      <c r="V36" s="247">
        <v>0</v>
      </c>
      <c r="W36" s="247">
        <v>0</v>
      </c>
      <c r="X36" s="275">
        <v>0</v>
      </c>
      <c r="Z36" s="656">
        <v>9</v>
      </c>
      <c r="AA36" s="654">
        <v>0</v>
      </c>
      <c r="AB36" s="654">
        <v>502552.90570333629</v>
      </c>
      <c r="AC36" s="654">
        <v>0</v>
      </c>
      <c r="AD36" s="654">
        <v>0</v>
      </c>
      <c r="AE36" s="654">
        <v>301011.28230802208</v>
      </c>
      <c r="AF36" s="654">
        <v>0</v>
      </c>
      <c r="AG36" s="654">
        <v>0</v>
      </c>
      <c r="AH36" s="654">
        <v>0</v>
      </c>
      <c r="AI36" s="654">
        <v>0</v>
      </c>
      <c r="AJ36" s="654">
        <v>0</v>
      </c>
      <c r="AK36" s="654">
        <v>0</v>
      </c>
      <c r="AL36" s="654">
        <v>0</v>
      </c>
      <c r="AM36" s="654">
        <v>0</v>
      </c>
      <c r="AN36" s="654">
        <v>0</v>
      </c>
      <c r="AO36" s="654">
        <v>0</v>
      </c>
      <c r="AP36" s="654">
        <v>0</v>
      </c>
      <c r="AQ36" s="654">
        <v>0</v>
      </c>
      <c r="AR36" s="654">
        <v>0</v>
      </c>
      <c r="AS36" s="654">
        <v>0</v>
      </c>
      <c r="AT36" s="655">
        <v>0</v>
      </c>
      <c r="AV36" s="252">
        <f t="shared" si="0"/>
        <v>7200</v>
      </c>
      <c r="AW36" s="220">
        <f t="shared" si="20"/>
        <v>0</v>
      </c>
      <c r="AX36" s="220">
        <f t="shared" si="19"/>
        <v>41862.657045087915</v>
      </c>
      <c r="AY36" s="220">
        <f t="shared" si="4"/>
        <v>0</v>
      </c>
      <c r="AZ36" s="220">
        <f t="shared" si="4"/>
        <v>0</v>
      </c>
      <c r="BA36" s="220">
        <f t="shared" si="21"/>
        <v>10053.776829087938</v>
      </c>
      <c r="BB36" s="220">
        <f t="shared" si="5"/>
        <v>0</v>
      </c>
      <c r="BC36" s="220">
        <f t="shared" si="5"/>
        <v>0</v>
      </c>
      <c r="BD36" s="220">
        <f t="shared" si="5"/>
        <v>0</v>
      </c>
      <c r="BE36" s="220">
        <f t="shared" si="6"/>
        <v>0</v>
      </c>
      <c r="BF36" s="220">
        <f t="shared" si="7"/>
        <v>0</v>
      </c>
      <c r="BG36" s="220">
        <f t="shared" si="8"/>
        <v>0</v>
      </c>
      <c r="BH36" s="220">
        <f t="shared" si="9"/>
        <v>0</v>
      </c>
      <c r="BI36" s="253">
        <f t="shared" si="10"/>
        <v>0</v>
      </c>
      <c r="BJ36" s="253">
        <f t="shared" si="11"/>
        <v>0</v>
      </c>
      <c r="BK36" s="253">
        <f t="shared" si="12"/>
        <v>0</v>
      </c>
      <c r="BL36" s="253">
        <f t="shared" si="13"/>
        <v>0</v>
      </c>
      <c r="BM36" s="253">
        <f t="shared" si="14"/>
        <v>0</v>
      </c>
      <c r="BN36" s="253">
        <f t="shared" si="15"/>
        <v>0</v>
      </c>
      <c r="BO36" s="253">
        <f t="shared" si="16"/>
        <v>0</v>
      </c>
      <c r="BP36" s="253">
        <f t="shared" si="17"/>
        <v>0</v>
      </c>
      <c r="BQ36" s="254">
        <f t="shared" si="22"/>
        <v>59116.433874175855</v>
      </c>
    </row>
    <row r="37" spans="1:69" x14ac:dyDescent="0.2">
      <c r="A37" s="196" t="s">
        <v>684</v>
      </c>
      <c r="B37" s="234" t="s">
        <v>685</v>
      </c>
      <c r="C37" s="284"/>
      <c r="D37" s="246">
        <v>800</v>
      </c>
      <c r="E37" s="247">
        <v>0</v>
      </c>
      <c r="F37" s="247">
        <v>6.11</v>
      </c>
      <c r="G37" s="247">
        <v>0</v>
      </c>
      <c r="H37" s="247">
        <v>0</v>
      </c>
      <c r="I37" s="247">
        <v>2.62</v>
      </c>
      <c r="J37" s="247">
        <v>0</v>
      </c>
      <c r="K37" s="247">
        <v>0</v>
      </c>
      <c r="L37" s="247">
        <v>0</v>
      </c>
      <c r="M37" s="247">
        <v>0</v>
      </c>
      <c r="N37" s="247">
        <v>0</v>
      </c>
      <c r="O37" s="247">
        <v>0</v>
      </c>
      <c r="P37" s="247">
        <v>0</v>
      </c>
      <c r="Q37" s="247">
        <v>0</v>
      </c>
      <c r="R37" s="247">
        <v>0</v>
      </c>
      <c r="S37" s="247">
        <v>0</v>
      </c>
      <c r="T37" s="247">
        <v>0</v>
      </c>
      <c r="U37" s="247">
        <v>0</v>
      </c>
      <c r="V37" s="247">
        <v>0</v>
      </c>
      <c r="W37" s="247">
        <v>0</v>
      </c>
      <c r="X37" s="275">
        <v>0</v>
      </c>
      <c r="Z37" s="656">
        <v>9</v>
      </c>
      <c r="AA37" s="654">
        <v>0</v>
      </c>
      <c r="AB37" s="654">
        <v>560828.84227428387</v>
      </c>
      <c r="AC37" s="654">
        <v>0</v>
      </c>
      <c r="AD37" s="654">
        <v>0</v>
      </c>
      <c r="AE37" s="654">
        <v>293112.81138169364</v>
      </c>
      <c r="AF37" s="654">
        <v>0</v>
      </c>
      <c r="AG37" s="654">
        <v>0</v>
      </c>
      <c r="AH37" s="654">
        <v>0</v>
      </c>
      <c r="AI37" s="654">
        <v>0</v>
      </c>
      <c r="AJ37" s="654">
        <v>0</v>
      </c>
      <c r="AK37" s="654">
        <v>0</v>
      </c>
      <c r="AL37" s="654">
        <v>0</v>
      </c>
      <c r="AM37" s="654">
        <v>0</v>
      </c>
      <c r="AN37" s="654">
        <v>0</v>
      </c>
      <c r="AO37" s="654">
        <v>0</v>
      </c>
      <c r="AP37" s="654">
        <v>0</v>
      </c>
      <c r="AQ37" s="654">
        <v>0</v>
      </c>
      <c r="AR37" s="654">
        <v>0</v>
      </c>
      <c r="AS37" s="654">
        <v>0</v>
      </c>
      <c r="AT37" s="655">
        <v>0</v>
      </c>
      <c r="AV37" s="252">
        <f t="shared" si="0"/>
        <v>7200</v>
      </c>
      <c r="AW37" s="220">
        <f t="shared" si="20"/>
        <v>0</v>
      </c>
      <c r="AX37" s="220">
        <f t="shared" si="19"/>
        <v>34266.642262958747</v>
      </c>
      <c r="AY37" s="220">
        <f t="shared" si="4"/>
        <v>0</v>
      </c>
      <c r="AZ37" s="220">
        <f t="shared" si="4"/>
        <v>0</v>
      </c>
      <c r="BA37" s="220">
        <f t="shared" si="21"/>
        <v>7679.5556582003737</v>
      </c>
      <c r="BB37" s="220">
        <f t="shared" si="5"/>
        <v>0</v>
      </c>
      <c r="BC37" s="220">
        <f t="shared" si="5"/>
        <v>0</v>
      </c>
      <c r="BD37" s="220">
        <f t="shared" si="5"/>
        <v>0</v>
      </c>
      <c r="BE37" s="220">
        <f t="shared" si="6"/>
        <v>0</v>
      </c>
      <c r="BF37" s="220">
        <f t="shared" si="7"/>
        <v>0</v>
      </c>
      <c r="BG37" s="220">
        <f t="shared" si="8"/>
        <v>0</v>
      </c>
      <c r="BH37" s="220">
        <f t="shared" si="9"/>
        <v>0</v>
      </c>
      <c r="BI37" s="253">
        <f t="shared" si="10"/>
        <v>0</v>
      </c>
      <c r="BJ37" s="253">
        <f t="shared" si="11"/>
        <v>0</v>
      </c>
      <c r="BK37" s="253">
        <f t="shared" si="12"/>
        <v>0</v>
      </c>
      <c r="BL37" s="253">
        <f t="shared" si="13"/>
        <v>0</v>
      </c>
      <c r="BM37" s="253">
        <f t="shared" si="14"/>
        <v>0</v>
      </c>
      <c r="BN37" s="253">
        <f t="shared" si="15"/>
        <v>0</v>
      </c>
      <c r="BO37" s="253">
        <f t="shared" si="16"/>
        <v>0</v>
      </c>
      <c r="BP37" s="253">
        <f t="shared" si="17"/>
        <v>0</v>
      </c>
      <c r="BQ37" s="254">
        <f t="shared" si="22"/>
        <v>49146.197921159124</v>
      </c>
    </row>
    <row r="38" spans="1:69" x14ac:dyDescent="0.2">
      <c r="A38" s="196" t="s">
        <v>686</v>
      </c>
      <c r="B38" s="234" t="s">
        <v>687</v>
      </c>
      <c r="C38" s="284"/>
      <c r="D38" s="246">
        <v>0</v>
      </c>
      <c r="E38" s="247">
        <v>0</v>
      </c>
      <c r="F38" s="247">
        <v>8.5299999999999994</v>
      </c>
      <c r="G38" s="247">
        <v>0</v>
      </c>
      <c r="H38" s="247">
        <v>0</v>
      </c>
      <c r="I38" s="247">
        <v>2.36</v>
      </c>
      <c r="J38" s="247">
        <v>0</v>
      </c>
      <c r="K38" s="247">
        <v>0</v>
      </c>
      <c r="L38" s="247">
        <v>0</v>
      </c>
      <c r="M38" s="247">
        <v>0</v>
      </c>
      <c r="N38" s="247">
        <v>0</v>
      </c>
      <c r="O38" s="247">
        <v>0</v>
      </c>
      <c r="P38" s="247">
        <v>0</v>
      </c>
      <c r="Q38" s="247">
        <v>0</v>
      </c>
      <c r="R38" s="247">
        <v>0</v>
      </c>
      <c r="S38" s="247">
        <v>0</v>
      </c>
      <c r="T38" s="247">
        <v>0</v>
      </c>
      <c r="U38" s="247">
        <v>0</v>
      </c>
      <c r="V38" s="247">
        <v>0</v>
      </c>
      <c r="W38" s="247">
        <v>0</v>
      </c>
      <c r="X38" s="275">
        <v>0</v>
      </c>
      <c r="Z38" s="656">
        <v>4063</v>
      </c>
      <c r="AA38" s="654">
        <v>0</v>
      </c>
      <c r="AB38" s="654">
        <v>14704755.161692999</v>
      </c>
      <c r="AC38" s="654">
        <v>0</v>
      </c>
      <c r="AD38" s="654">
        <v>0</v>
      </c>
      <c r="AE38" s="654">
        <v>24328971.636999998</v>
      </c>
      <c r="AF38" s="654">
        <v>0</v>
      </c>
      <c r="AG38" s="654">
        <v>0</v>
      </c>
      <c r="AH38" s="654">
        <v>0</v>
      </c>
      <c r="AI38" s="654">
        <v>0</v>
      </c>
      <c r="AJ38" s="654">
        <v>0</v>
      </c>
      <c r="AK38" s="654">
        <v>0</v>
      </c>
      <c r="AL38" s="654">
        <v>0</v>
      </c>
      <c r="AM38" s="654">
        <v>0</v>
      </c>
      <c r="AN38" s="654">
        <v>0</v>
      </c>
      <c r="AO38" s="654">
        <v>0</v>
      </c>
      <c r="AP38" s="654">
        <v>0</v>
      </c>
      <c r="AQ38" s="654">
        <v>0</v>
      </c>
      <c r="AR38" s="654">
        <v>0</v>
      </c>
      <c r="AS38" s="654">
        <v>0</v>
      </c>
      <c r="AT38" s="655">
        <v>0</v>
      </c>
      <c r="AV38" s="252">
        <f t="shared" si="0"/>
        <v>0</v>
      </c>
      <c r="AW38" s="220">
        <f t="shared" si="20"/>
        <v>0</v>
      </c>
      <c r="AX38" s="220">
        <f t="shared" si="19"/>
        <v>1254315.6152924127</v>
      </c>
      <c r="AY38" s="220">
        <f t="shared" si="4"/>
        <v>0</v>
      </c>
      <c r="AZ38" s="220">
        <f t="shared" si="4"/>
        <v>0</v>
      </c>
      <c r="BA38" s="220">
        <f t="shared" si="21"/>
        <v>574163.73063319991</v>
      </c>
      <c r="BB38" s="220">
        <f t="shared" si="5"/>
        <v>0</v>
      </c>
      <c r="BC38" s="220">
        <f t="shared" si="5"/>
        <v>0</v>
      </c>
      <c r="BD38" s="220">
        <f t="shared" si="5"/>
        <v>0</v>
      </c>
      <c r="BE38" s="220">
        <f t="shared" si="6"/>
        <v>0</v>
      </c>
      <c r="BF38" s="220">
        <f t="shared" si="7"/>
        <v>0</v>
      </c>
      <c r="BG38" s="220">
        <f t="shared" si="8"/>
        <v>0</v>
      </c>
      <c r="BH38" s="220">
        <f t="shared" si="9"/>
        <v>0</v>
      </c>
      <c r="BI38" s="253">
        <f t="shared" si="10"/>
        <v>0</v>
      </c>
      <c r="BJ38" s="253">
        <f t="shared" si="11"/>
        <v>0</v>
      </c>
      <c r="BK38" s="253">
        <f t="shared" si="12"/>
        <v>0</v>
      </c>
      <c r="BL38" s="253">
        <f t="shared" si="13"/>
        <v>0</v>
      </c>
      <c r="BM38" s="253">
        <f t="shared" si="14"/>
        <v>0</v>
      </c>
      <c r="BN38" s="253">
        <f t="shared" si="15"/>
        <v>0</v>
      </c>
      <c r="BO38" s="253">
        <f t="shared" si="16"/>
        <v>0</v>
      </c>
      <c r="BP38" s="253">
        <f t="shared" si="17"/>
        <v>0</v>
      </c>
      <c r="BQ38" s="254">
        <f t="shared" si="22"/>
        <v>1828479.3459256126</v>
      </c>
    </row>
    <row r="39" spans="1:69" x14ac:dyDescent="0.2">
      <c r="A39" s="196" t="s">
        <v>688</v>
      </c>
      <c r="B39" s="234" t="s">
        <v>689</v>
      </c>
      <c r="C39" s="284"/>
      <c r="D39" s="246">
        <v>6300</v>
      </c>
      <c r="E39" s="247">
        <v>0</v>
      </c>
      <c r="F39" s="247">
        <v>2.33</v>
      </c>
      <c r="G39" s="247">
        <v>0</v>
      </c>
      <c r="H39" s="247">
        <v>0</v>
      </c>
      <c r="I39" s="247">
        <v>1.41</v>
      </c>
      <c r="J39" s="247">
        <v>0</v>
      </c>
      <c r="K39" s="247">
        <v>0</v>
      </c>
      <c r="L39" s="247">
        <v>0</v>
      </c>
      <c r="M39" s="247">
        <v>72.02</v>
      </c>
      <c r="N39" s="247">
        <v>0</v>
      </c>
      <c r="O39" s="247">
        <v>0</v>
      </c>
      <c r="P39" s="247">
        <v>0</v>
      </c>
      <c r="Q39" s="247">
        <v>0</v>
      </c>
      <c r="R39" s="247">
        <v>0</v>
      </c>
      <c r="S39" s="247">
        <v>0</v>
      </c>
      <c r="T39" s="247">
        <v>0</v>
      </c>
      <c r="U39" s="247">
        <v>0</v>
      </c>
      <c r="V39" s="247">
        <v>0</v>
      </c>
      <c r="W39" s="247">
        <v>0</v>
      </c>
      <c r="X39" s="275">
        <v>0</v>
      </c>
      <c r="Z39" s="656">
        <v>330.02895782458518</v>
      </c>
      <c r="AA39" s="654">
        <v>0</v>
      </c>
      <c r="AB39" s="654">
        <v>112861608.3435501</v>
      </c>
      <c r="AC39" s="654">
        <v>0</v>
      </c>
      <c r="AD39" s="654">
        <v>0</v>
      </c>
      <c r="AE39" s="654">
        <v>88751320.906778917</v>
      </c>
      <c r="AF39" s="654">
        <v>0</v>
      </c>
      <c r="AG39" s="654">
        <v>0</v>
      </c>
      <c r="AH39" s="654">
        <v>0</v>
      </c>
      <c r="AI39" s="654">
        <v>64648.710384258302</v>
      </c>
      <c r="AJ39" s="654">
        <v>0</v>
      </c>
      <c r="AK39" s="654">
        <v>0</v>
      </c>
      <c r="AL39" s="654">
        <v>0</v>
      </c>
      <c r="AM39" s="654">
        <v>0</v>
      </c>
      <c r="AN39" s="654">
        <v>0</v>
      </c>
      <c r="AO39" s="654">
        <v>0</v>
      </c>
      <c r="AP39" s="654">
        <v>0</v>
      </c>
      <c r="AQ39" s="654">
        <v>0</v>
      </c>
      <c r="AR39" s="654">
        <v>0</v>
      </c>
      <c r="AS39" s="654">
        <v>0</v>
      </c>
      <c r="AT39" s="655">
        <v>0</v>
      </c>
      <c r="AV39" s="252">
        <f t="shared" si="0"/>
        <v>2079182.4342948867</v>
      </c>
      <c r="AW39" s="220">
        <f t="shared" si="20"/>
        <v>0</v>
      </c>
      <c r="AX39" s="220">
        <f t="shared" si="19"/>
        <v>2629675.4744047173</v>
      </c>
      <c r="AY39" s="220">
        <f t="shared" si="4"/>
        <v>0</v>
      </c>
      <c r="AZ39" s="220">
        <f t="shared" si="4"/>
        <v>0</v>
      </c>
      <c r="BA39" s="220">
        <f t="shared" si="21"/>
        <v>1251393.6247855828</v>
      </c>
      <c r="BB39" s="220">
        <f t="shared" si="5"/>
        <v>0</v>
      </c>
      <c r="BC39" s="220">
        <f t="shared" si="5"/>
        <v>0</v>
      </c>
      <c r="BD39" s="220">
        <f t="shared" si="5"/>
        <v>0</v>
      </c>
      <c r="BE39" s="220">
        <f t="shared" si="6"/>
        <v>4656000.1218742831</v>
      </c>
      <c r="BF39" s="220">
        <f t="shared" si="7"/>
        <v>0</v>
      </c>
      <c r="BG39" s="220">
        <f t="shared" si="8"/>
        <v>0</v>
      </c>
      <c r="BH39" s="220">
        <f t="shared" si="9"/>
        <v>0</v>
      </c>
      <c r="BI39" s="253">
        <f t="shared" si="10"/>
        <v>0</v>
      </c>
      <c r="BJ39" s="253">
        <f t="shared" si="11"/>
        <v>0</v>
      </c>
      <c r="BK39" s="253">
        <f t="shared" si="12"/>
        <v>0</v>
      </c>
      <c r="BL39" s="253">
        <f t="shared" si="13"/>
        <v>0</v>
      </c>
      <c r="BM39" s="253">
        <f t="shared" si="14"/>
        <v>0</v>
      </c>
      <c r="BN39" s="253">
        <f t="shared" si="15"/>
        <v>0</v>
      </c>
      <c r="BO39" s="253">
        <f t="shared" si="16"/>
        <v>0</v>
      </c>
      <c r="BP39" s="253">
        <f t="shared" si="17"/>
        <v>0</v>
      </c>
      <c r="BQ39" s="254">
        <f t="shared" si="22"/>
        <v>10616251.655359469</v>
      </c>
    </row>
    <row r="40" spans="1:69" x14ac:dyDescent="0.2">
      <c r="A40" s="196" t="s">
        <v>690</v>
      </c>
      <c r="B40" s="234" t="s">
        <v>691</v>
      </c>
      <c r="C40" s="284"/>
      <c r="D40" s="246">
        <v>5850</v>
      </c>
      <c r="E40" s="247">
        <v>0</v>
      </c>
      <c r="F40" s="247">
        <v>2.0699999999999998</v>
      </c>
      <c r="G40" s="247">
        <v>0</v>
      </c>
      <c r="H40" s="247">
        <v>0</v>
      </c>
      <c r="I40" s="247">
        <v>1.29</v>
      </c>
      <c r="J40" s="247">
        <v>0</v>
      </c>
      <c r="K40" s="247">
        <v>0</v>
      </c>
      <c r="L40" s="247">
        <v>0</v>
      </c>
      <c r="M40" s="247">
        <v>64.819999999999993</v>
      </c>
      <c r="N40" s="247">
        <v>0</v>
      </c>
      <c r="O40" s="247">
        <v>0</v>
      </c>
      <c r="P40" s="247">
        <v>0</v>
      </c>
      <c r="Q40" s="247">
        <v>0</v>
      </c>
      <c r="R40" s="247">
        <v>0</v>
      </c>
      <c r="S40" s="247">
        <v>0</v>
      </c>
      <c r="T40" s="247">
        <v>0</v>
      </c>
      <c r="U40" s="247">
        <v>0</v>
      </c>
      <c r="V40" s="247">
        <v>0</v>
      </c>
      <c r="W40" s="247">
        <v>0</v>
      </c>
      <c r="X40" s="275">
        <v>0</v>
      </c>
      <c r="Z40" s="656">
        <v>1655.625823869291</v>
      </c>
      <c r="AA40" s="654">
        <v>0</v>
      </c>
      <c r="AB40" s="654">
        <v>1130104578.5870445</v>
      </c>
      <c r="AC40" s="654">
        <v>0</v>
      </c>
      <c r="AD40" s="654">
        <v>0</v>
      </c>
      <c r="AE40" s="654">
        <v>843930303.69004881</v>
      </c>
      <c r="AF40" s="654">
        <v>0</v>
      </c>
      <c r="AG40" s="654">
        <v>0</v>
      </c>
      <c r="AH40" s="654">
        <v>0</v>
      </c>
      <c r="AI40" s="654">
        <v>645709.60805396631</v>
      </c>
      <c r="AJ40" s="654">
        <v>0</v>
      </c>
      <c r="AK40" s="654">
        <v>0</v>
      </c>
      <c r="AL40" s="654">
        <v>0</v>
      </c>
      <c r="AM40" s="654">
        <v>0</v>
      </c>
      <c r="AN40" s="654">
        <v>0</v>
      </c>
      <c r="AO40" s="654">
        <v>0</v>
      </c>
      <c r="AP40" s="654">
        <v>0</v>
      </c>
      <c r="AQ40" s="654">
        <v>0</v>
      </c>
      <c r="AR40" s="654">
        <v>0</v>
      </c>
      <c r="AS40" s="654">
        <v>0</v>
      </c>
      <c r="AT40" s="655">
        <v>0</v>
      </c>
      <c r="AV40" s="252">
        <f t="shared" si="0"/>
        <v>9685411.0696353521</v>
      </c>
      <c r="AW40" s="220">
        <f t="shared" si="20"/>
        <v>0</v>
      </c>
      <c r="AX40" s="220">
        <f t="shared" si="19"/>
        <v>23393164.77675182</v>
      </c>
      <c r="AY40" s="220">
        <f t="shared" si="4"/>
        <v>0</v>
      </c>
      <c r="AZ40" s="220">
        <f t="shared" si="4"/>
        <v>0</v>
      </c>
      <c r="BA40" s="220">
        <f t="shared" si="21"/>
        <v>10886700.91760163</v>
      </c>
      <c r="BB40" s="220">
        <f t="shared" si="5"/>
        <v>0</v>
      </c>
      <c r="BC40" s="220">
        <f t="shared" si="5"/>
        <v>0</v>
      </c>
      <c r="BD40" s="220">
        <f t="shared" si="5"/>
        <v>0</v>
      </c>
      <c r="BE40" s="220">
        <f t="shared" si="6"/>
        <v>41854896.794058092</v>
      </c>
      <c r="BF40" s="220">
        <f t="shared" si="7"/>
        <v>0</v>
      </c>
      <c r="BG40" s="220">
        <f t="shared" si="8"/>
        <v>0</v>
      </c>
      <c r="BH40" s="220">
        <f t="shared" si="9"/>
        <v>0</v>
      </c>
      <c r="BI40" s="253">
        <f t="shared" si="10"/>
        <v>0</v>
      </c>
      <c r="BJ40" s="253">
        <f t="shared" si="11"/>
        <v>0</v>
      </c>
      <c r="BK40" s="253">
        <f t="shared" si="12"/>
        <v>0</v>
      </c>
      <c r="BL40" s="253">
        <f t="shared" si="13"/>
        <v>0</v>
      </c>
      <c r="BM40" s="253">
        <f t="shared" si="14"/>
        <v>0</v>
      </c>
      <c r="BN40" s="253">
        <f t="shared" si="15"/>
        <v>0</v>
      </c>
      <c r="BO40" s="253">
        <f t="shared" si="16"/>
        <v>0</v>
      </c>
      <c r="BP40" s="253">
        <f t="shared" si="17"/>
        <v>0</v>
      </c>
      <c r="BQ40" s="254">
        <f t="shared" si="22"/>
        <v>85820173.558046892</v>
      </c>
    </row>
    <row r="41" spans="1:69" x14ac:dyDescent="0.2">
      <c r="A41" s="196" t="s">
        <v>692</v>
      </c>
      <c r="B41" s="234" t="s">
        <v>693</v>
      </c>
      <c r="C41" s="284"/>
      <c r="D41" s="246">
        <v>31200</v>
      </c>
      <c r="E41" s="247">
        <v>0</v>
      </c>
      <c r="F41" s="247">
        <v>1.18</v>
      </c>
      <c r="G41" s="247">
        <v>0</v>
      </c>
      <c r="H41" s="247">
        <v>0</v>
      </c>
      <c r="I41" s="247">
        <v>0.61</v>
      </c>
      <c r="J41" s="247">
        <v>0</v>
      </c>
      <c r="K41" s="247">
        <v>0</v>
      </c>
      <c r="L41" s="247">
        <v>0</v>
      </c>
      <c r="M41" s="247">
        <v>33.44</v>
      </c>
      <c r="N41" s="247">
        <v>0</v>
      </c>
      <c r="O41" s="247">
        <v>0</v>
      </c>
      <c r="P41" s="247">
        <v>0</v>
      </c>
      <c r="Q41" s="247">
        <v>0</v>
      </c>
      <c r="R41" s="247">
        <v>0</v>
      </c>
      <c r="S41" s="247">
        <v>0</v>
      </c>
      <c r="T41" s="247">
        <v>0</v>
      </c>
      <c r="U41" s="247">
        <v>0</v>
      </c>
      <c r="V41" s="247">
        <v>0</v>
      </c>
      <c r="W41" s="247">
        <v>0</v>
      </c>
      <c r="X41" s="275">
        <v>0</v>
      </c>
      <c r="Z41" s="656">
        <v>90.982553708010002</v>
      </c>
      <c r="AA41" s="654">
        <v>0</v>
      </c>
      <c r="AB41" s="654">
        <v>343486676.72513288</v>
      </c>
      <c r="AC41" s="654">
        <v>0</v>
      </c>
      <c r="AD41" s="654">
        <v>0</v>
      </c>
      <c r="AE41" s="654">
        <v>320752044.24805528</v>
      </c>
      <c r="AF41" s="654">
        <v>0</v>
      </c>
      <c r="AG41" s="654">
        <v>0</v>
      </c>
      <c r="AH41" s="654">
        <v>0</v>
      </c>
      <c r="AI41" s="654">
        <v>198974.44614725537</v>
      </c>
      <c r="AJ41" s="654">
        <v>0</v>
      </c>
      <c r="AK41" s="654">
        <v>0</v>
      </c>
      <c r="AL41" s="654">
        <v>0</v>
      </c>
      <c r="AM41" s="654">
        <v>0</v>
      </c>
      <c r="AN41" s="654">
        <v>0</v>
      </c>
      <c r="AO41" s="654">
        <v>0</v>
      </c>
      <c r="AP41" s="654">
        <v>0</v>
      </c>
      <c r="AQ41" s="654">
        <v>0</v>
      </c>
      <c r="AR41" s="654">
        <v>0</v>
      </c>
      <c r="AS41" s="654">
        <v>0</v>
      </c>
      <c r="AT41" s="655">
        <v>0</v>
      </c>
      <c r="AV41" s="252">
        <f t="shared" si="0"/>
        <v>2838655.6756899119</v>
      </c>
      <c r="AW41" s="220">
        <f t="shared" si="20"/>
        <v>0</v>
      </c>
      <c r="AX41" s="220">
        <f t="shared" si="19"/>
        <v>4053142.7853565677</v>
      </c>
      <c r="AY41" s="220">
        <f t="shared" si="4"/>
        <v>0</v>
      </c>
      <c r="AZ41" s="220">
        <f t="shared" si="4"/>
        <v>0</v>
      </c>
      <c r="BA41" s="220">
        <f t="shared" si="21"/>
        <v>1956587.4699131371</v>
      </c>
      <c r="BB41" s="220">
        <f t="shared" si="5"/>
        <v>0</v>
      </c>
      <c r="BC41" s="220">
        <f t="shared" si="5"/>
        <v>0</v>
      </c>
      <c r="BD41" s="220">
        <f t="shared" si="5"/>
        <v>0</v>
      </c>
      <c r="BE41" s="220">
        <f t="shared" si="6"/>
        <v>6653705.4791642195</v>
      </c>
      <c r="BF41" s="220">
        <f t="shared" si="7"/>
        <v>0</v>
      </c>
      <c r="BG41" s="220">
        <f t="shared" si="8"/>
        <v>0</v>
      </c>
      <c r="BH41" s="220">
        <f t="shared" si="9"/>
        <v>0</v>
      </c>
      <c r="BI41" s="253">
        <f t="shared" si="10"/>
        <v>0</v>
      </c>
      <c r="BJ41" s="253">
        <f t="shared" si="11"/>
        <v>0</v>
      </c>
      <c r="BK41" s="253">
        <f t="shared" si="12"/>
        <v>0</v>
      </c>
      <c r="BL41" s="253">
        <f t="shared" si="13"/>
        <v>0</v>
      </c>
      <c r="BM41" s="253">
        <f t="shared" si="14"/>
        <v>0</v>
      </c>
      <c r="BN41" s="253">
        <f t="shared" si="15"/>
        <v>0</v>
      </c>
      <c r="BO41" s="253">
        <f t="shared" si="16"/>
        <v>0</v>
      </c>
      <c r="BP41" s="253">
        <f t="shared" si="17"/>
        <v>0</v>
      </c>
      <c r="BQ41" s="254">
        <f t="shared" si="22"/>
        <v>15502091.410123836</v>
      </c>
    </row>
    <row r="42" spans="1:69" x14ac:dyDescent="0.2">
      <c r="A42" s="196" t="s">
        <v>694</v>
      </c>
      <c r="B42" s="234" t="s">
        <v>695</v>
      </c>
      <c r="C42" s="284"/>
      <c r="D42" s="246">
        <v>144000</v>
      </c>
      <c r="E42" s="247">
        <v>0</v>
      </c>
      <c r="F42" s="247">
        <v>0.1</v>
      </c>
      <c r="G42" s="247">
        <v>0</v>
      </c>
      <c r="H42" s="247">
        <v>0</v>
      </c>
      <c r="I42" s="247">
        <v>0.04</v>
      </c>
      <c r="J42" s="247">
        <v>0</v>
      </c>
      <c r="K42" s="247">
        <v>0</v>
      </c>
      <c r="L42" s="247">
        <v>0</v>
      </c>
      <c r="M42" s="247">
        <v>0.84</v>
      </c>
      <c r="N42" s="247">
        <v>0</v>
      </c>
      <c r="O42" s="247">
        <v>0</v>
      </c>
      <c r="P42" s="247">
        <v>0</v>
      </c>
      <c r="Q42" s="247">
        <v>0</v>
      </c>
      <c r="R42" s="247">
        <v>0</v>
      </c>
      <c r="S42" s="247">
        <v>0</v>
      </c>
      <c r="T42" s="247">
        <v>0</v>
      </c>
      <c r="U42" s="247">
        <v>0</v>
      </c>
      <c r="V42" s="247">
        <v>0</v>
      </c>
      <c r="W42" s="247">
        <v>0</v>
      </c>
      <c r="X42" s="275">
        <v>0</v>
      </c>
      <c r="Z42" s="656">
        <v>6</v>
      </c>
      <c r="AA42" s="654">
        <v>0</v>
      </c>
      <c r="AB42" s="654">
        <v>65598744.876000002</v>
      </c>
      <c r="AC42" s="654">
        <v>0</v>
      </c>
      <c r="AD42" s="654">
        <v>0</v>
      </c>
      <c r="AE42" s="654">
        <v>37964642.608999997</v>
      </c>
      <c r="AF42" s="654">
        <v>0</v>
      </c>
      <c r="AG42" s="654">
        <v>0</v>
      </c>
      <c r="AH42" s="654">
        <v>0</v>
      </c>
      <c r="AI42" s="654">
        <v>37371.68516666667</v>
      </c>
      <c r="AJ42" s="654">
        <v>0</v>
      </c>
      <c r="AK42" s="654">
        <v>0</v>
      </c>
      <c r="AL42" s="654">
        <v>0</v>
      </c>
      <c r="AM42" s="654">
        <v>0</v>
      </c>
      <c r="AN42" s="654">
        <v>0</v>
      </c>
      <c r="AO42" s="654">
        <v>0</v>
      </c>
      <c r="AP42" s="654">
        <v>0</v>
      </c>
      <c r="AQ42" s="654">
        <v>0</v>
      </c>
      <c r="AR42" s="654">
        <v>0</v>
      </c>
      <c r="AS42" s="654">
        <v>0</v>
      </c>
      <c r="AT42" s="655">
        <v>0</v>
      </c>
      <c r="AV42" s="252">
        <f t="shared" si="0"/>
        <v>864000</v>
      </c>
      <c r="AW42" s="220">
        <f t="shared" si="20"/>
        <v>0</v>
      </c>
      <c r="AX42" s="220">
        <f t="shared" si="19"/>
        <v>65598.744875999997</v>
      </c>
      <c r="AY42" s="220">
        <f t="shared" si="4"/>
        <v>0</v>
      </c>
      <c r="AZ42" s="220">
        <f t="shared" si="4"/>
        <v>0</v>
      </c>
      <c r="BA42" s="220">
        <f t="shared" si="21"/>
        <v>15185.857043599999</v>
      </c>
      <c r="BB42" s="220">
        <f t="shared" si="5"/>
        <v>0</v>
      </c>
      <c r="BC42" s="220">
        <f t="shared" si="5"/>
        <v>0</v>
      </c>
      <c r="BD42" s="220">
        <f t="shared" si="5"/>
        <v>0</v>
      </c>
      <c r="BE42" s="220">
        <f t="shared" si="6"/>
        <v>31392.215540000001</v>
      </c>
      <c r="BF42" s="220">
        <f t="shared" si="7"/>
        <v>0</v>
      </c>
      <c r="BG42" s="220">
        <f t="shared" si="8"/>
        <v>0</v>
      </c>
      <c r="BH42" s="220">
        <f t="shared" si="9"/>
        <v>0</v>
      </c>
      <c r="BI42" s="253">
        <f t="shared" si="10"/>
        <v>0</v>
      </c>
      <c r="BJ42" s="253">
        <f t="shared" si="11"/>
        <v>0</v>
      </c>
      <c r="BK42" s="253">
        <f t="shared" si="12"/>
        <v>0</v>
      </c>
      <c r="BL42" s="253">
        <f t="shared" si="13"/>
        <v>0</v>
      </c>
      <c r="BM42" s="253">
        <f t="shared" si="14"/>
        <v>0</v>
      </c>
      <c r="BN42" s="253">
        <f t="shared" si="15"/>
        <v>0</v>
      </c>
      <c r="BO42" s="253">
        <f t="shared" si="16"/>
        <v>0</v>
      </c>
      <c r="BP42" s="253">
        <f t="shared" si="17"/>
        <v>0</v>
      </c>
      <c r="BQ42" s="254">
        <f t="shared" si="22"/>
        <v>976176.81745959993</v>
      </c>
    </row>
    <row r="43" spans="1:69" x14ac:dyDescent="0.2">
      <c r="B43" s="234"/>
      <c r="C43" s="284"/>
      <c r="D43" s="246"/>
      <c r="E43" s="247"/>
      <c r="F43" s="247"/>
      <c r="G43" s="247"/>
      <c r="H43" s="247"/>
      <c r="I43" s="247"/>
      <c r="J43" s="247"/>
      <c r="K43" s="247"/>
      <c r="L43" s="247"/>
      <c r="M43" s="247"/>
      <c r="N43" s="247"/>
      <c r="O43" s="247"/>
      <c r="P43" s="247"/>
      <c r="Q43" s="247"/>
      <c r="R43" s="247"/>
      <c r="S43" s="247"/>
      <c r="T43" s="247"/>
      <c r="U43" s="247"/>
      <c r="V43" s="247"/>
      <c r="W43" s="247"/>
      <c r="X43" s="275"/>
      <c r="Z43" s="656"/>
      <c r="AA43" s="654"/>
      <c r="AB43" s="654"/>
      <c r="AC43" s="654"/>
      <c r="AD43" s="654"/>
      <c r="AE43" s="654"/>
      <c r="AF43" s="654"/>
      <c r="AG43" s="654"/>
      <c r="AH43" s="654"/>
      <c r="AI43" s="654"/>
      <c r="AJ43" s="654"/>
      <c r="AK43" s="654"/>
      <c r="AL43" s="654"/>
      <c r="AM43" s="654"/>
      <c r="AN43" s="654"/>
      <c r="AO43" s="654"/>
      <c r="AP43" s="654"/>
      <c r="AQ43" s="654"/>
      <c r="AR43" s="654"/>
      <c r="AS43" s="654"/>
      <c r="AT43" s="655"/>
      <c r="AV43" s="252">
        <f t="shared" ref="AV43:AV65" si="23">D43*Z43</f>
        <v>0</v>
      </c>
      <c r="AW43" s="220">
        <f t="shared" ref="AW43:AW65" si="24">E43/100*AA43</f>
        <v>0</v>
      </c>
      <c r="AX43" s="220">
        <f t="shared" ref="AX43:AX65" si="25">F43/100*AB43</f>
        <v>0</v>
      </c>
      <c r="AY43" s="220">
        <f t="shared" ref="AY43:AY65" si="26">G43/100*AC43</f>
        <v>0</v>
      </c>
      <c r="AZ43" s="220">
        <f t="shared" ref="AZ43:AZ65" si="27">H43/100*AD43</f>
        <v>0</v>
      </c>
      <c r="BA43" s="220">
        <f t="shared" ref="BA43:BA65" si="28">I43/100*AE43</f>
        <v>0</v>
      </c>
      <c r="BB43" s="220">
        <f t="shared" ref="BB43:BB65" si="29">J43/100*AF43</f>
        <v>0</v>
      </c>
      <c r="BC43" s="220">
        <f t="shared" ref="BC43:BC65" si="30">K43/100*AG43</f>
        <v>0</v>
      </c>
      <c r="BD43" s="220">
        <f t="shared" ref="BD43:BD65" si="31">L43/100*AH43</f>
        <v>0</v>
      </c>
      <c r="BE43" s="220">
        <f t="shared" ref="BE43:BE65" si="32">M43*AI43</f>
        <v>0</v>
      </c>
      <c r="BF43" s="220">
        <f t="shared" ref="BF43:BF65" si="33">N43*AJ43</f>
        <v>0</v>
      </c>
      <c r="BG43" s="220">
        <f t="shared" ref="BG43:BG65" si="34">O43*AK43</f>
        <v>0</v>
      </c>
      <c r="BH43" s="220">
        <f t="shared" ref="BH43:BH65" si="35">P43*AL43</f>
        <v>0</v>
      </c>
      <c r="BI43" s="253">
        <f t="shared" ref="BI43:BI65" si="36">Q43/100*AM43</f>
        <v>0</v>
      </c>
      <c r="BJ43" s="253">
        <f t="shared" ref="BJ43:BJ65" si="37">R43/100*AN43</f>
        <v>0</v>
      </c>
      <c r="BK43" s="253">
        <f t="shared" ref="BK43:BK65" si="38">S43/100*AO43</f>
        <v>0</v>
      </c>
      <c r="BL43" s="253">
        <f t="shared" ref="BL43:BL65" si="39">T43/100*AP43</f>
        <v>0</v>
      </c>
      <c r="BM43" s="253">
        <f t="shared" ref="BM43:BM65" si="40">U43/100*AQ43</f>
        <v>0</v>
      </c>
      <c r="BN43" s="253">
        <f t="shared" ref="BN43:BN65" si="41">V43/100*AR43</f>
        <v>0</v>
      </c>
      <c r="BO43" s="253">
        <f t="shared" ref="BO43:BO65" si="42">W43/100*AS43</f>
        <v>0</v>
      </c>
      <c r="BP43" s="253">
        <f t="shared" ref="BP43:BP65" si="43">X43/100*AT43</f>
        <v>0</v>
      </c>
      <c r="BQ43" s="254">
        <f t="shared" ref="BQ43:BQ65" si="44">SUM(AV43:BP43)</f>
        <v>0</v>
      </c>
    </row>
    <row r="44" spans="1:69" x14ac:dyDescent="0.2">
      <c r="B44" s="234"/>
      <c r="C44" s="284"/>
      <c r="D44" s="246"/>
      <c r="E44" s="247"/>
      <c r="F44" s="247"/>
      <c r="G44" s="247"/>
      <c r="H44" s="247"/>
      <c r="I44" s="247"/>
      <c r="J44" s="247"/>
      <c r="K44" s="247"/>
      <c r="L44" s="247"/>
      <c r="M44" s="247"/>
      <c r="N44" s="247"/>
      <c r="O44" s="247"/>
      <c r="P44" s="247"/>
      <c r="Q44" s="247"/>
      <c r="R44" s="247"/>
      <c r="S44" s="247"/>
      <c r="T44" s="247"/>
      <c r="U44" s="247"/>
      <c r="V44" s="247"/>
      <c r="W44" s="247"/>
      <c r="X44" s="275"/>
      <c r="Z44" s="656"/>
      <c r="AA44" s="654"/>
      <c r="AB44" s="654"/>
      <c r="AC44" s="654"/>
      <c r="AD44" s="654"/>
      <c r="AE44" s="654"/>
      <c r="AF44" s="654"/>
      <c r="AG44" s="654"/>
      <c r="AH44" s="654"/>
      <c r="AI44" s="654"/>
      <c r="AJ44" s="654"/>
      <c r="AK44" s="654"/>
      <c r="AL44" s="654"/>
      <c r="AM44" s="654"/>
      <c r="AN44" s="654"/>
      <c r="AO44" s="654"/>
      <c r="AP44" s="654"/>
      <c r="AQ44" s="654"/>
      <c r="AR44" s="654"/>
      <c r="AS44" s="654"/>
      <c r="AT44" s="655"/>
      <c r="AV44" s="252">
        <f t="shared" si="23"/>
        <v>0</v>
      </c>
      <c r="AW44" s="220">
        <f t="shared" si="24"/>
        <v>0</v>
      </c>
      <c r="AX44" s="220">
        <f t="shared" si="25"/>
        <v>0</v>
      </c>
      <c r="AY44" s="220">
        <f t="shared" si="26"/>
        <v>0</v>
      </c>
      <c r="AZ44" s="220">
        <f t="shared" si="27"/>
        <v>0</v>
      </c>
      <c r="BA44" s="220">
        <f t="shared" si="28"/>
        <v>0</v>
      </c>
      <c r="BB44" s="220">
        <f t="shared" si="29"/>
        <v>0</v>
      </c>
      <c r="BC44" s="220">
        <f t="shared" si="30"/>
        <v>0</v>
      </c>
      <c r="BD44" s="220">
        <f t="shared" si="31"/>
        <v>0</v>
      </c>
      <c r="BE44" s="220">
        <f t="shared" si="32"/>
        <v>0</v>
      </c>
      <c r="BF44" s="220">
        <f t="shared" si="33"/>
        <v>0</v>
      </c>
      <c r="BG44" s="220">
        <f t="shared" si="34"/>
        <v>0</v>
      </c>
      <c r="BH44" s="220">
        <f t="shared" si="35"/>
        <v>0</v>
      </c>
      <c r="BI44" s="253">
        <f t="shared" si="36"/>
        <v>0</v>
      </c>
      <c r="BJ44" s="253">
        <f t="shared" si="37"/>
        <v>0</v>
      </c>
      <c r="BK44" s="253">
        <f t="shared" si="38"/>
        <v>0</v>
      </c>
      <c r="BL44" s="253">
        <f t="shared" si="39"/>
        <v>0</v>
      </c>
      <c r="BM44" s="253">
        <f t="shared" si="40"/>
        <v>0</v>
      </c>
      <c r="BN44" s="253">
        <f t="shared" si="41"/>
        <v>0</v>
      </c>
      <c r="BO44" s="253">
        <f t="shared" si="42"/>
        <v>0</v>
      </c>
      <c r="BP44" s="253">
        <f t="shared" si="43"/>
        <v>0</v>
      </c>
      <c r="BQ44" s="254">
        <f t="shared" si="44"/>
        <v>0</v>
      </c>
    </row>
    <row r="45" spans="1:69" x14ac:dyDescent="0.2">
      <c r="B45" s="234"/>
      <c r="C45" s="284"/>
      <c r="D45" s="246"/>
      <c r="E45" s="247"/>
      <c r="F45" s="247"/>
      <c r="G45" s="247"/>
      <c r="H45" s="247"/>
      <c r="I45" s="247"/>
      <c r="J45" s="247"/>
      <c r="K45" s="247"/>
      <c r="L45" s="247"/>
      <c r="M45" s="247"/>
      <c r="N45" s="247"/>
      <c r="O45" s="247"/>
      <c r="P45" s="247"/>
      <c r="Q45" s="247"/>
      <c r="R45" s="247"/>
      <c r="S45" s="247"/>
      <c r="T45" s="247"/>
      <c r="U45" s="247"/>
      <c r="V45" s="247"/>
      <c r="W45" s="247"/>
      <c r="X45" s="275"/>
      <c r="Z45" s="656"/>
      <c r="AA45" s="654"/>
      <c r="AB45" s="654"/>
      <c r="AC45" s="654"/>
      <c r="AD45" s="654"/>
      <c r="AE45" s="654"/>
      <c r="AF45" s="654"/>
      <c r="AG45" s="654"/>
      <c r="AH45" s="654"/>
      <c r="AI45" s="654"/>
      <c r="AJ45" s="654"/>
      <c r="AK45" s="654"/>
      <c r="AL45" s="654"/>
      <c r="AM45" s="654"/>
      <c r="AN45" s="654"/>
      <c r="AO45" s="654"/>
      <c r="AP45" s="654"/>
      <c r="AQ45" s="654"/>
      <c r="AR45" s="654"/>
      <c r="AS45" s="654"/>
      <c r="AT45" s="655"/>
      <c r="AV45" s="252">
        <f t="shared" si="23"/>
        <v>0</v>
      </c>
      <c r="AW45" s="220">
        <f t="shared" si="24"/>
        <v>0</v>
      </c>
      <c r="AX45" s="220">
        <f t="shared" si="25"/>
        <v>0</v>
      </c>
      <c r="AY45" s="220">
        <f t="shared" si="26"/>
        <v>0</v>
      </c>
      <c r="AZ45" s="220">
        <f t="shared" si="27"/>
        <v>0</v>
      </c>
      <c r="BA45" s="220">
        <f t="shared" si="28"/>
        <v>0</v>
      </c>
      <c r="BB45" s="220">
        <f t="shared" si="29"/>
        <v>0</v>
      </c>
      <c r="BC45" s="220">
        <f t="shared" si="30"/>
        <v>0</v>
      </c>
      <c r="BD45" s="220">
        <f t="shared" si="31"/>
        <v>0</v>
      </c>
      <c r="BE45" s="220">
        <f t="shared" si="32"/>
        <v>0</v>
      </c>
      <c r="BF45" s="220">
        <f t="shared" si="33"/>
        <v>0</v>
      </c>
      <c r="BG45" s="220">
        <f t="shared" si="34"/>
        <v>0</v>
      </c>
      <c r="BH45" s="220">
        <f t="shared" si="35"/>
        <v>0</v>
      </c>
      <c r="BI45" s="253">
        <f t="shared" si="36"/>
        <v>0</v>
      </c>
      <c r="BJ45" s="253">
        <f t="shared" si="37"/>
        <v>0</v>
      </c>
      <c r="BK45" s="253">
        <f t="shared" si="38"/>
        <v>0</v>
      </c>
      <c r="BL45" s="253">
        <f t="shared" si="39"/>
        <v>0</v>
      </c>
      <c r="BM45" s="253">
        <f t="shared" si="40"/>
        <v>0</v>
      </c>
      <c r="BN45" s="253">
        <f t="shared" si="41"/>
        <v>0</v>
      </c>
      <c r="BO45" s="253">
        <f t="shared" si="42"/>
        <v>0</v>
      </c>
      <c r="BP45" s="253">
        <f t="shared" si="43"/>
        <v>0</v>
      </c>
      <c r="BQ45" s="254">
        <f t="shared" si="44"/>
        <v>0</v>
      </c>
    </row>
    <row r="46" spans="1:69" x14ac:dyDescent="0.2">
      <c r="B46" s="234"/>
      <c r="C46" s="284"/>
      <c r="D46" s="246"/>
      <c r="E46" s="247"/>
      <c r="F46" s="247"/>
      <c r="G46" s="247"/>
      <c r="H46" s="247"/>
      <c r="I46" s="247"/>
      <c r="J46" s="247"/>
      <c r="K46" s="247"/>
      <c r="L46" s="247"/>
      <c r="M46" s="247"/>
      <c r="N46" s="247"/>
      <c r="O46" s="247"/>
      <c r="P46" s="247"/>
      <c r="Q46" s="247"/>
      <c r="R46" s="247"/>
      <c r="S46" s="247"/>
      <c r="T46" s="247"/>
      <c r="U46" s="247"/>
      <c r="V46" s="247"/>
      <c r="W46" s="247"/>
      <c r="X46" s="275"/>
      <c r="Z46" s="656"/>
      <c r="AA46" s="654"/>
      <c r="AB46" s="654"/>
      <c r="AC46" s="654"/>
      <c r="AD46" s="654"/>
      <c r="AE46" s="654"/>
      <c r="AF46" s="654"/>
      <c r="AG46" s="654"/>
      <c r="AH46" s="654"/>
      <c r="AI46" s="654"/>
      <c r="AJ46" s="654"/>
      <c r="AK46" s="654"/>
      <c r="AL46" s="654"/>
      <c r="AM46" s="654"/>
      <c r="AN46" s="654"/>
      <c r="AO46" s="654"/>
      <c r="AP46" s="654"/>
      <c r="AQ46" s="654"/>
      <c r="AR46" s="654"/>
      <c r="AS46" s="654"/>
      <c r="AT46" s="251"/>
      <c r="AV46" s="252">
        <f t="shared" si="23"/>
        <v>0</v>
      </c>
      <c r="AW46" s="220">
        <f t="shared" si="24"/>
        <v>0</v>
      </c>
      <c r="AX46" s="220">
        <f t="shared" si="25"/>
        <v>0</v>
      </c>
      <c r="AY46" s="220">
        <f t="shared" si="26"/>
        <v>0</v>
      </c>
      <c r="AZ46" s="220">
        <f t="shared" si="27"/>
        <v>0</v>
      </c>
      <c r="BA46" s="220">
        <f t="shared" si="28"/>
        <v>0</v>
      </c>
      <c r="BB46" s="220">
        <f t="shared" si="29"/>
        <v>0</v>
      </c>
      <c r="BC46" s="220">
        <f t="shared" si="30"/>
        <v>0</v>
      </c>
      <c r="BD46" s="220">
        <f t="shared" si="31"/>
        <v>0</v>
      </c>
      <c r="BE46" s="220">
        <f t="shared" si="32"/>
        <v>0</v>
      </c>
      <c r="BF46" s="220">
        <f t="shared" si="33"/>
        <v>0</v>
      </c>
      <c r="BG46" s="220">
        <f t="shared" si="34"/>
        <v>0</v>
      </c>
      <c r="BH46" s="220">
        <f t="shared" si="35"/>
        <v>0</v>
      </c>
      <c r="BI46" s="253">
        <f t="shared" si="36"/>
        <v>0</v>
      </c>
      <c r="BJ46" s="253">
        <f t="shared" si="37"/>
        <v>0</v>
      </c>
      <c r="BK46" s="253">
        <f t="shared" si="38"/>
        <v>0</v>
      </c>
      <c r="BL46" s="253">
        <f t="shared" si="39"/>
        <v>0</v>
      </c>
      <c r="BM46" s="253">
        <f t="shared" si="40"/>
        <v>0</v>
      </c>
      <c r="BN46" s="253">
        <f t="shared" si="41"/>
        <v>0</v>
      </c>
      <c r="BO46" s="253">
        <f t="shared" si="42"/>
        <v>0</v>
      </c>
      <c r="BP46" s="253">
        <f t="shared" si="43"/>
        <v>0</v>
      </c>
      <c r="BQ46" s="254">
        <f t="shared" si="44"/>
        <v>0</v>
      </c>
    </row>
    <row r="47" spans="1:69" x14ac:dyDescent="0.2">
      <c r="B47" s="234"/>
      <c r="C47" s="284"/>
      <c r="D47" s="246"/>
      <c r="E47" s="247"/>
      <c r="F47" s="247"/>
      <c r="G47" s="247"/>
      <c r="H47" s="247"/>
      <c r="I47" s="247"/>
      <c r="J47" s="247"/>
      <c r="K47" s="247"/>
      <c r="L47" s="247"/>
      <c r="M47" s="247"/>
      <c r="N47" s="247"/>
      <c r="O47" s="247"/>
      <c r="P47" s="247"/>
      <c r="Q47" s="247"/>
      <c r="R47" s="247"/>
      <c r="S47" s="247"/>
      <c r="T47" s="247"/>
      <c r="U47" s="247"/>
      <c r="V47" s="247"/>
      <c r="W47" s="247"/>
      <c r="X47" s="275"/>
      <c r="Z47" s="656"/>
      <c r="AA47" s="654"/>
      <c r="AB47" s="654"/>
      <c r="AC47" s="654"/>
      <c r="AD47" s="654"/>
      <c r="AE47" s="654"/>
      <c r="AF47" s="654"/>
      <c r="AG47" s="654"/>
      <c r="AH47" s="654"/>
      <c r="AI47" s="654"/>
      <c r="AJ47" s="654"/>
      <c r="AK47" s="654"/>
      <c r="AL47" s="654"/>
      <c r="AM47" s="654"/>
      <c r="AN47" s="654"/>
      <c r="AO47" s="654"/>
      <c r="AP47" s="654"/>
      <c r="AQ47" s="654"/>
      <c r="AR47" s="654"/>
      <c r="AS47" s="654"/>
      <c r="AT47" s="251"/>
      <c r="AV47" s="252">
        <f t="shared" si="23"/>
        <v>0</v>
      </c>
      <c r="AW47" s="220">
        <f t="shared" si="24"/>
        <v>0</v>
      </c>
      <c r="AX47" s="220">
        <f t="shared" si="25"/>
        <v>0</v>
      </c>
      <c r="AY47" s="220">
        <f t="shared" si="26"/>
        <v>0</v>
      </c>
      <c r="AZ47" s="220">
        <f t="shared" si="27"/>
        <v>0</v>
      </c>
      <c r="BA47" s="220">
        <f t="shared" si="28"/>
        <v>0</v>
      </c>
      <c r="BB47" s="220">
        <f t="shared" si="29"/>
        <v>0</v>
      </c>
      <c r="BC47" s="220">
        <f t="shared" si="30"/>
        <v>0</v>
      </c>
      <c r="BD47" s="220">
        <f t="shared" si="31"/>
        <v>0</v>
      </c>
      <c r="BE47" s="220">
        <f t="shared" si="32"/>
        <v>0</v>
      </c>
      <c r="BF47" s="220">
        <f t="shared" si="33"/>
        <v>0</v>
      </c>
      <c r="BG47" s="220">
        <f t="shared" si="34"/>
        <v>0</v>
      </c>
      <c r="BH47" s="220">
        <f t="shared" si="35"/>
        <v>0</v>
      </c>
      <c r="BI47" s="253">
        <f t="shared" si="36"/>
        <v>0</v>
      </c>
      <c r="BJ47" s="253">
        <f t="shared" si="37"/>
        <v>0</v>
      </c>
      <c r="BK47" s="253">
        <f t="shared" si="38"/>
        <v>0</v>
      </c>
      <c r="BL47" s="253">
        <f t="shared" si="39"/>
        <v>0</v>
      </c>
      <c r="BM47" s="253">
        <f t="shared" si="40"/>
        <v>0</v>
      </c>
      <c r="BN47" s="253">
        <f t="shared" si="41"/>
        <v>0</v>
      </c>
      <c r="BO47" s="253">
        <f t="shared" si="42"/>
        <v>0</v>
      </c>
      <c r="BP47" s="253">
        <f t="shared" si="43"/>
        <v>0</v>
      </c>
      <c r="BQ47" s="254">
        <f t="shared" si="44"/>
        <v>0</v>
      </c>
    </row>
    <row r="48" spans="1:69" x14ac:dyDescent="0.2">
      <c r="B48" s="234"/>
      <c r="C48" s="284"/>
      <c r="D48" s="246"/>
      <c r="E48" s="247"/>
      <c r="F48" s="247"/>
      <c r="G48" s="247"/>
      <c r="H48" s="247"/>
      <c r="I48" s="247"/>
      <c r="J48" s="247"/>
      <c r="K48" s="247"/>
      <c r="L48" s="247"/>
      <c r="M48" s="247"/>
      <c r="N48" s="247"/>
      <c r="O48" s="247"/>
      <c r="P48" s="247"/>
      <c r="Q48" s="247"/>
      <c r="R48" s="247"/>
      <c r="S48" s="247"/>
      <c r="T48" s="247"/>
      <c r="U48" s="247"/>
      <c r="V48" s="247"/>
      <c r="W48" s="247"/>
      <c r="X48" s="275"/>
      <c r="Z48" s="656"/>
      <c r="AA48" s="654"/>
      <c r="AB48" s="654"/>
      <c r="AC48" s="654"/>
      <c r="AD48" s="654"/>
      <c r="AE48" s="654"/>
      <c r="AF48" s="654"/>
      <c r="AG48" s="654"/>
      <c r="AH48" s="654"/>
      <c r="AI48" s="654"/>
      <c r="AJ48" s="654"/>
      <c r="AK48" s="654"/>
      <c r="AL48" s="654"/>
      <c r="AM48" s="654"/>
      <c r="AN48" s="654"/>
      <c r="AO48" s="654"/>
      <c r="AP48" s="654"/>
      <c r="AQ48" s="654"/>
      <c r="AR48" s="654"/>
      <c r="AS48" s="654"/>
      <c r="AT48" s="251"/>
      <c r="AV48" s="252">
        <f t="shared" si="23"/>
        <v>0</v>
      </c>
      <c r="AW48" s="220">
        <f t="shared" si="24"/>
        <v>0</v>
      </c>
      <c r="AX48" s="220">
        <f t="shared" si="25"/>
        <v>0</v>
      </c>
      <c r="AY48" s="220">
        <f t="shared" si="26"/>
        <v>0</v>
      </c>
      <c r="AZ48" s="220">
        <f t="shared" si="27"/>
        <v>0</v>
      </c>
      <c r="BA48" s="220">
        <f t="shared" si="28"/>
        <v>0</v>
      </c>
      <c r="BB48" s="220">
        <f t="shared" si="29"/>
        <v>0</v>
      </c>
      <c r="BC48" s="220">
        <f t="shared" si="30"/>
        <v>0</v>
      </c>
      <c r="BD48" s="220">
        <f t="shared" si="31"/>
        <v>0</v>
      </c>
      <c r="BE48" s="220">
        <f t="shared" si="32"/>
        <v>0</v>
      </c>
      <c r="BF48" s="220">
        <f t="shared" si="33"/>
        <v>0</v>
      </c>
      <c r="BG48" s="220">
        <f t="shared" si="34"/>
        <v>0</v>
      </c>
      <c r="BH48" s="220">
        <f t="shared" si="35"/>
        <v>0</v>
      </c>
      <c r="BI48" s="253">
        <f t="shared" si="36"/>
        <v>0</v>
      </c>
      <c r="BJ48" s="253">
        <f t="shared" si="37"/>
        <v>0</v>
      </c>
      <c r="BK48" s="253">
        <f t="shared" si="38"/>
        <v>0</v>
      </c>
      <c r="BL48" s="253">
        <f t="shared" si="39"/>
        <v>0</v>
      </c>
      <c r="BM48" s="253">
        <f t="shared" si="40"/>
        <v>0</v>
      </c>
      <c r="BN48" s="253">
        <f t="shared" si="41"/>
        <v>0</v>
      </c>
      <c r="BO48" s="253">
        <f t="shared" si="42"/>
        <v>0</v>
      </c>
      <c r="BP48" s="253">
        <f t="shared" si="43"/>
        <v>0</v>
      </c>
      <c r="BQ48" s="254">
        <f t="shared" si="44"/>
        <v>0</v>
      </c>
    </row>
    <row r="49" spans="2:69" x14ac:dyDescent="0.2">
      <c r="B49" s="234"/>
      <c r="C49" s="284"/>
      <c r="D49" s="246"/>
      <c r="E49" s="247"/>
      <c r="F49" s="247"/>
      <c r="G49" s="247"/>
      <c r="H49" s="247"/>
      <c r="I49" s="247"/>
      <c r="J49" s="247"/>
      <c r="K49" s="247"/>
      <c r="L49" s="247"/>
      <c r="M49" s="247"/>
      <c r="N49" s="247"/>
      <c r="O49" s="247"/>
      <c r="P49" s="247"/>
      <c r="Q49" s="247"/>
      <c r="R49" s="247"/>
      <c r="S49" s="247"/>
      <c r="T49" s="247"/>
      <c r="U49" s="247"/>
      <c r="V49" s="247"/>
      <c r="W49" s="247"/>
      <c r="X49" s="275"/>
      <c r="Z49" s="656"/>
      <c r="AA49" s="654"/>
      <c r="AB49" s="654"/>
      <c r="AC49" s="654"/>
      <c r="AD49" s="654"/>
      <c r="AE49" s="654"/>
      <c r="AF49" s="654"/>
      <c r="AG49" s="654"/>
      <c r="AH49" s="654"/>
      <c r="AI49" s="654"/>
      <c r="AJ49" s="654"/>
      <c r="AK49" s="654"/>
      <c r="AL49" s="654"/>
      <c r="AM49" s="654"/>
      <c r="AN49" s="654"/>
      <c r="AO49" s="654"/>
      <c r="AP49" s="654"/>
      <c r="AQ49" s="654"/>
      <c r="AR49" s="654"/>
      <c r="AS49" s="654"/>
      <c r="AT49" s="251"/>
      <c r="AV49" s="252">
        <f t="shared" si="23"/>
        <v>0</v>
      </c>
      <c r="AW49" s="220">
        <f t="shared" si="24"/>
        <v>0</v>
      </c>
      <c r="AX49" s="220">
        <f t="shared" si="25"/>
        <v>0</v>
      </c>
      <c r="AY49" s="220">
        <f t="shared" si="26"/>
        <v>0</v>
      </c>
      <c r="AZ49" s="220">
        <f t="shared" si="27"/>
        <v>0</v>
      </c>
      <c r="BA49" s="220">
        <f t="shared" si="28"/>
        <v>0</v>
      </c>
      <c r="BB49" s="220">
        <f t="shared" si="29"/>
        <v>0</v>
      </c>
      <c r="BC49" s="220">
        <f t="shared" si="30"/>
        <v>0</v>
      </c>
      <c r="BD49" s="220">
        <f t="shared" si="31"/>
        <v>0</v>
      </c>
      <c r="BE49" s="220">
        <f t="shared" si="32"/>
        <v>0</v>
      </c>
      <c r="BF49" s="220">
        <f t="shared" si="33"/>
        <v>0</v>
      </c>
      <c r="BG49" s="220">
        <f t="shared" si="34"/>
        <v>0</v>
      </c>
      <c r="BH49" s="220">
        <f t="shared" si="35"/>
        <v>0</v>
      </c>
      <c r="BI49" s="253">
        <f t="shared" si="36"/>
        <v>0</v>
      </c>
      <c r="BJ49" s="253">
        <f t="shared" si="37"/>
        <v>0</v>
      </c>
      <c r="BK49" s="253">
        <f t="shared" si="38"/>
        <v>0</v>
      </c>
      <c r="BL49" s="253">
        <f t="shared" si="39"/>
        <v>0</v>
      </c>
      <c r="BM49" s="253">
        <f t="shared" si="40"/>
        <v>0</v>
      </c>
      <c r="BN49" s="253">
        <f t="shared" si="41"/>
        <v>0</v>
      </c>
      <c r="BO49" s="253">
        <f t="shared" si="42"/>
        <v>0</v>
      </c>
      <c r="BP49" s="253">
        <f t="shared" si="43"/>
        <v>0</v>
      </c>
      <c r="BQ49" s="254">
        <f t="shared" si="44"/>
        <v>0</v>
      </c>
    </row>
    <row r="50" spans="2:69" x14ac:dyDescent="0.2">
      <c r="B50" s="234"/>
      <c r="C50" s="284"/>
      <c r="D50" s="246"/>
      <c r="E50" s="247"/>
      <c r="F50" s="247"/>
      <c r="G50" s="247"/>
      <c r="H50" s="247"/>
      <c r="I50" s="247"/>
      <c r="J50" s="247"/>
      <c r="K50" s="247"/>
      <c r="L50" s="247"/>
      <c r="M50" s="247"/>
      <c r="N50" s="247"/>
      <c r="O50" s="247"/>
      <c r="P50" s="247"/>
      <c r="Q50" s="247"/>
      <c r="R50" s="247"/>
      <c r="S50" s="247"/>
      <c r="T50" s="247"/>
      <c r="U50" s="247"/>
      <c r="V50" s="247"/>
      <c r="W50" s="247"/>
      <c r="X50" s="275"/>
      <c r="Z50" s="656"/>
      <c r="AA50" s="654"/>
      <c r="AB50" s="654"/>
      <c r="AC50" s="654"/>
      <c r="AD50" s="654"/>
      <c r="AE50" s="654"/>
      <c r="AF50" s="654"/>
      <c r="AG50" s="654"/>
      <c r="AH50" s="654"/>
      <c r="AI50" s="654"/>
      <c r="AJ50" s="654"/>
      <c r="AK50" s="654"/>
      <c r="AL50" s="654"/>
      <c r="AM50" s="654"/>
      <c r="AN50" s="654"/>
      <c r="AO50" s="654"/>
      <c r="AP50" s="654"/>
      <c r="AQ50" s="654"/>
      <c r="AR50" s="654"/>
      <c r="AS50" s="654"/>
      <c r="AT50" s="251"/>
      <c r="AV50" s="252">
        <f t="shared" si="23"/>
        <v>0</v>
      </c>
      <c r="AW50" s="220">
        <f t="shared" si="24"/>
        <v>0</v>
      </c>
      <c r="AX50" s="220">
        <f t="shared" si="25"/>
        <v>0</v>
      </c>
      <c r="AY50" s="220">
        <f t="shared" si="26"/>
        <v>0</v>
      </c>
      <c r="AZ50" s="220">
        <f t="shared" si="27"/>
        <v>0</v>
      </c>
      <c r="BA50" s="220">
        <f t="shared" si="28"/>
        <v>0</v>
      </c>
      <c r="BB50" s="220">
        <f t="shared" si="29"/>
        <v>0</v>
      </c>
      <c r="BC50" s="220">
        <f t="shared" si="30"/>
        <v>0</v>
      </c>
      <c r="BD50" s="220">
        <f t="shared" si="31"/>
        <v>0</v>
      </c>
      <c r="BE50" s="220">
        <f t="shared" si="32"/>
        <v>0</v>
      </c>
      <c r="BF50" s="220">
        <f t="shared" si="33"/>
        <v>0</v>
      </c>
      <c r="BG50" s="220">
        <f t="shared" si="34"/>
        <v>0</v>
      </c>
      <c r="BH50" s="220">
        <f t="shared" si="35"/>
        <v>0</v>
      </c>
      <c r="BI50" s="253">
        <f t="shared" si="36"/>
        <v>0</v>
      </c>
      <c r="BJ50" s="253">
        <f t="shared" si="37"/>
        <v>0</v>
      </c>
      <c r="BK50" s="253">
        <f t="shared" si="38"/>
        <v>0</v>
      </c>
      <c r="BL50" s="253">
        <f t="shared" si="39"/>
        <v>0</v>
      </c>
      <c r="BM50" s="253">
        <f t="shared" si="40"/>
        <v>0</v>
      </c>
      <c r="BN50" s="253">
        <f t="shared" si="41"/>
        <v>0</v>
      </c>
      <c r="BO50" s="253">
        <f t="shared" si="42"/>
        <v>0</v>
      </c>
      <c r="BP50" s="253">
        <f t="shared" si="43"/>
        <v>0</v>
      </c>
      <c r="BQ50" s="254">
        <f t="shared" si="44"/>
        <v>0</v>
      </c>
    </row>
    <row r="51" spans="2:69" x14ac:dyDescent="0.2">
      <c r="B51" s="234"/>
      <c r="C51" s="284"/>
      <c r="D51" s="246"/>
      <c r="E51" s="247"/>
      <c r="F51" s="247"/>
      <c r="G51" s="247"/>
      <c r="H51" s="247"/>
      <c r="I51" s="247"/>
      <c r="J51" s="247"/>
      <c r="K51" s="247"/>
      <c r="L51" s="247"/>
      <c r="M51" s="247"/>
      <c r="N51" s="247"/>
      <c r="O51" s="247"/>
      <c r="P51" s="247"/>
      <c r="Q51" s="247"/>
      <c r="R51" s="247"/>
      <c r="S51" s="247"/>
      <c r="T51" s="247"/>
      <c r="U51" s="247"/>
      <c r="V51" s="247"/>
      <c r="W51" s="247"/>
      <c r="X51" s="275"/>
      <c r="Z51" s="656"/>
      <c r="AA51" s="654"/>
      <c r="AB51" s="654"/>
      <c r="AC51" s="654"/>
      <c r="AD51" s="654"/>
      <c r="AE51" s="654"/>
      <c r="AF51" s="654"/>
      <c r="AG51" s="654"/>
      <c r="AH51" s="654"/>
      <c r="AI51" s="654"/>
      <c r="AJ51" s="654"/>
      <c r="AK51" s="654"/>
      <c r="AL51" s="654"/>
      <c r="AM51" s="654"/>
      <c r="AN51" s="654"/>
      <c r="AO51" s="654"/>
      <c r="AP51" s="654"/>
      <c r="AQ51" s="654"/>
      <c r="AR51" s="654"/>
      <c r="AS51" s="654"/>
      <c r="AT51" s="251"/>
      <c r="AV51" s="252">
        <f t="shared" si="23"/>
        <v>0</v>
      </c>
      <c r="AW51" s="220">
        <f t="shared" si="24"/>
        <v>0</v>
      </c>
      <c r="AX51" s="220">
        <f t="shared" si="25"/>
        <v>0</v>
      </c>
      <c r="AY51" s="220">
        <f t="shared" si="26"/>
        <v>0</v>
      </c>
      <c r="AZ51" s="220">
        <f t="shared" si="27"/>
        <v>0</v>
      </c>
      <c r="BA51" s="220">
        <f t="shared" si="28"/>
        <v>0</v>
      </c>
      <c r="BB51" s="220">
        <f t="shared" si="29"/>
        <v>0</v>
      </c>
      <c r="BC51" s="220">
        <f t="shared" si="30"/>
        <v>0</v>
      </c>
      <c r="BD51" s="220">
        <f t="shared" si="31"/>
        <v>0</v>
      </c>
      <c r="BE51" s="220">
        <f t="shared" si="32"/>
        <v>0</v>
      </c>
      <c r="BF51" s="220">
        <f t="shared" si="33"/>
        <v>0</v>
      </c>
      <c r="BG51" s="220">
        <f t="shared" si="34"/>
        <v>0</v>
      </c>
      <c r="BH51" s="220">
        <f t="shared" si="35"/>
        <v>0</v>
      </c>
      <c r="BI51" s="253">
        <f t="shared" si="36"/>
        <v>0</v>
      </c>
      <c r="BJ51" s="253">
        <f t="shared" si="37"/>
        <v>0</v>
      </c>
      <c r="BK51" s="253">
        <f t="shared" si="38"/>
        <v>0</v>
      </c>
      <c r="BL51" s="253">
        <f t="shared" si="39"/>
        <v>0</v>
      </c>
      <c r="BM51" s="253">
        <f t="shared" si="40"/>
        <v>0</v>
      </c>
      <c r="BN51" s="253">
        <f t="shared" si="41"/>
        <v>0</v>
      </c>
      <c r="BO51" s="253">
        <f t="shared" si="42"/>
        <v>0</v>
      </c>
      <c r="BP51" s="253">
        <f t="shared" si="43"/>
        <v>0</v>
      </c>
      <c r="BQ51" s="254">
        <f t="shared" si="44"/>
        <v>0</v>
      </c>
    </row>
    <row r="52" spans="2:69" x14ac:dyDescent="0.2">
      <c r="B52" s="234"/>
      <c r="C52" s="284"/>
      <c r="D52" s="246"/>
      <c r="E52" s="247"/>
      <c r="F52" s="247"/>
      <c r="G52" s="247"/>
      <c r="H52" s="247"/>
      <c r="I52" s="247"/>
      <c r="J52" s="247"/>
      <c r="K52" s="247"/>
      <c r="L52" s="247"/>
      <c r="M52" s="247"/>
      <c r="N52" s="247"/>
      <c r="O52" s="247"/>
      <c r="P52" s="247"/>
      <c r="Q52" s="247"/>
      <c r="R52" s="247"/>
      <c r="S52" s="247"/>
      <c r="T52" s="247"/>
      <c r="U52" s="247"/>
      <c r="V52" s="247"/>
      <c r="W52" s="247"/>
      <c r="X52" s="275"/>
      <c r="Z52" s="656"/>
      <c r="AA52" s="654"/>
      <c r="AB52" s="654"/>
      <c r="AC52" s="654"/>
      <c r="AD52" s="654"/>
      <c r="AE52" s="654"/>
      <c r="AF52" s="654"/>
      <c r="AG52" s="654"/>
      <c r="AH52" s="654"/>
      <c r="AI52" s="654"/>
      <c r="AJ52" s="654"/>
      <c r="AK52" s="654"/>
      <c r="AL52" s="654"/>
      <c r="AM52" s="654"/>
      <c r="AN52" s="654"/>
      <c r="AO52" s="654"/>
      <c r="AP52" s="654"/>
      <c r="AQ52" s="654"/>
      <c r="AR52" s="654"/>
      <c r="AS52" s="654"/>
      <c r="AT52" s="251"/>
      <c r="AV52" s="252">
        <f t="shared" si="23"/>
        <v>0</v>
      </c>
      <c r="AW52" s="220">
        <f t="shared" si="24"/>
        <v>0</v>
      </c>
      <c r="AX52" s="220">
        <f t="shared" si="25"/>
        <v>0</v>
      </c>
      <c r="AY52" s="220">
        <f t="shared" si="26"/>
        <v>0</v>
      </c>
      <c r="AZ52" s="220">
        <f t="shared" si="27"/>
        <v>0</v>
      </c>
      <c r="BA52" s="220">
        <f t="shared" si="28"/>
        <v>0</v>
      </c>
      <c r="BB52" s="220">
        <f t="shared" si="29"/>
        <v>0</v>
      </c>
      <c r="BC52" s="220">
        <f t="shared" si="30"/>
        <v>0</v>
      </c>
      <c r="BD52" s="220">
        <f t="shared" si="31"/>
        <v>0</v>
      </c>
      <c r="BE52" s="220">
        <f t="shared" si="32"/>
        <v>0</v>
      </c>
      <c r="BF52" s="220">
        <f t="shared" si="33"/>
        <v>0</v>
      </c>
      <c r="BG52" s="220">
        <f t="shared" si="34"/>
        <v>0</v>
      </c>
      <c r="BH52" s="220">
        <f t="shared" si="35"/>
        <v>0</v>
      </c>
      <c r="BI52" s="253">
        <f t="shared" si="36"/>
        <v>0</v>
      </c>
      <c r="BJ52" s="253">
        <f t="shared" si="37"/>
        <v>0</v>
      </c>
      <c r="BK52" s="253">
        <f t="shared" si="38"/>
        <v>0</v>
      </c>
      <c r="BL52" s="253">
        <f t="shared" si="39"/>
        <v>0</v>
      </c>
      <c r="BM52" s="253">
        <f t="shared" si="40"/>
        <v>0</v>
      </c>
      <c r="BN52" s="253">
        <f t="shared" si="41"/>
        <v>0</v>
      </c>
      <c r="BO52" s="253">
        <f t="shared" si="42"/>
        <v>0</v>
      </c>
      <c r="BP52" s="253">
        <f t="shared" si="43"/>
        <v>0</v>
      </c>
      <c r="BQ52" s="254">
        <f t="shared" si="44"/>
        <v>0</v>
      </c>
    </row>
    <row r="53" spans="2:69" x14ac:dyDescent="0.2">
      <c r="B53" s="234"/>
      <c r="C53" s="284"/>
      <c r="D53" s="246"/>
      <c r="E53" s="247"/>
      <c r="F53" s="247"/>
      <c r="G53" s="247"/>
      <c r="H53" s="247"/>
      <c r="I53" s="247"/>
      <c r="J53" s="247"/>
      <c r="K53" s="247"/>
      <c r="L53" s="247"/>
      <c r="M53" s="247"/>
      <c r="N53" s="247"/>
      <c r="O53" s="247"/>
      <c r="P53" s="247"/>
      <c r="Q53" s="247"/>
      <c r="R53" s="247"/>
      <c r="S53" s="247"/>
      <c r="T53" s="247"/>
      <c r="U53" s="247"/>
      <c r="V53" s="247"/>
      <c r="W53" s="247"/>
      <c r="X53" s="275"/>
      <c r="Z53" s="276"/>
      <c r="AA53" s="250"/>
      <c r="AB53" s="250"/>
      <c r="AC53" s="250"/>
      <c r="AD53" s="250"/>
      <c r="AE53" s="250"/>
      <c r="AF53" s="250"/>
      <c r="AG53" s="250"/>
      <c r="AH53" s="250"/>
      <c r="AI53" s="250"/>
      <c r="AJ53" s="250"/>
      <c r="AK53" s="250"/>
      <c r="AL53" s="250"/>
      <c r="AM53" s="250"/>
      <c r="AN53" s="250"/>
      <c r="AO53" s="250"/>
      <c r="AP53" s="250"/>
      <c r="AQ53" s="250"/>
      <c r="AR53" s="250"/>
      <c r="AS53" s="250"/>
      <c r="AT53" s="251"/>
      <c r="AV53" s="252">
        <f t="shared" si="23"/>
        <v>0</v>
      </c>
      <c r="AW53" s="220">
        <f t="shared" si="24"/>
        <v>0</v>
      </c>
      <c r="AX53" s="220">
        <f t="shared" si="25"/>
        <v>0</v>
      </c>
      <c r="AY53" s="220">
        <f t="shared" si="26"/>
        <v>0</v>
      </c>
      <c r="AZ53" s="220">
        <f t="shared" si="27"/>
        <v>0</v>
      </c>
      <c r="BA53" s="220">
        <f t="shared" si="28"/>
        <v>0</v>
      </c>
      <c r="BB53" s="220">
        <f t="shared" si="29"/>
        <v>0</v>
      </c>
      <c r="BC53" s="220">
        <f t="shared" si="30"/>
        <v>0</v>
      </c>
      <c r="BD53" s="220">
        <f t="shared" si="31"/>
        <v>0</v>
      </c>
      <c r="BE53" s="220">
        <f t="shared" si="32"/>
        <v>0</v>
      </c>
      <c r="BF53" s="220">
        <f t="shared" si="33"/>
        <v>0</v>
      </c>
      <c r="BG53" s="220">
        <f t="shared" si="34"/>
        <v>0</v>
      </c>
      <c r="BH53" s="220">
        <f t="shared" si="35"/>
        <v>0</v>
      </c>
      <c r="BI53" s="253">
        <f t="shared" si="36"/>
        <v>0</v>
      </c>
      <c r="BJ53" s="253">
        <f t="shared" si="37"/>
        <v>0</v>
      </c>
      <c r="BK53" s="253">
        <f t="shared" si="38"/>
        <v>0</v>
      </c>
      <c r="BL53" s="253">
        <f t="shared" si="39"/>
        <v>0</v>
      </c>
      <c r="BM53" s="253">
        <f t="shared" si="40"/>
        <v>0</v>
      </c>
      <c r="BN53" s="253">
        <f t="shared" si="41"/>
        <v>0</v>
      </c>
      <c r="BO53" s="253">
        <f t="shared" si="42"/>
        <v>0</v>
      </c>
      <c r="BP53" s="253">
        <f t="shared" si="43"/>
        <v>0</v>
      </c>
      <c r="BQ53" s="254">
        <f t="shared" si="44"/>
        <v>0</v>
      </c>
    </row>
    <row r="54" spans="2:69" x14ac:dyDescent="0.2">
      <c r="B54" s="234"/>
      <c r="C54" s="284"/>
      <c r="D54" s="246"/>
      <c r="E54" s="247"/>
      <c r="F54" s="247"/>
      <c r="G54" s="247"/>
      <c r="H54" s="247"/>
      <c r="I54" s="247"/>
      <c r="J54" s="247"/>
      <c r="K54" s="247"/>
      <c r="L54" s="247"/>
      <c r="M54" s="247"/>
      <c r="N54" s="247"/>
      <c r="O54" s="247"/>
      <c r="P54" s="247"/>
      <c r="Q54" s="247"/>
      <c r="R54" s="247"/>
      <c r="S54" s="247"/>
      <c r="T54" s="247"/>
      <c r="U54" s="247"/>
      <c r="V54" s="247"/>
      <c r="W54" s="247"/>
      <c r="X54" s="275"/>
      <c r="Z54" s="276"/>
      <c r="AA54" s="250"/>
      <c r="AB54" s="250"/>
      <c r="AC54" s="250"/>
      <c r="AD54" s="250"/>
      <c r="AE54" s="250"/>
      <c r="AF54" s="250"/>
      <c r="AG54" s="250"/>
      <c r="AH54" s="250"/>
      <c r="AI54" s="250"/>
      <c r="AJ54" s="250"/>
      <c r="AK54" s="250"/>
      <c r="AL54" s="250"/>
      <c r="AM54" s="250"/>
      <c r="AN54" s="250"/>
      <c r="AO54" s="250"/>
      <c r="AP54" s="250"/>
      <c r="AQ54" s="250"/>
      <c r="AR54" s="250"/>
      <c r="AS54" s="250"/>
      <c r="AT54" s="251"/>
      <c r="AV54" s="252">
        <f t="shared" si="23"/>
        <v>0</v>
      </c>
      <c r="AW54" s="220">
        <f t="shared" si="24"/>
        <v>0</v>
      </c>
      <c r="AX54" s="220">
        <f t="shared" si="25"/>
        <v>0</v>
      </c>
      <c r="AY54" s="220">
        <f t="shared" si="26"/>
        <v>0</v>
      </c>
      <c r="AZ54" s="220">
        <f t="shared" si="27"/>
        <v>0</v>
      </c>
      <c r="BA54" s="220">
        <f t="shared" si="28"/>
        <v>0</v>
      </c>
      <c r="BB54" s="220">
        <f t="shared" si="29"/>
        <v>0</v>
      </c>
      <c r="BC54" s="220">
        <f t="shared" si="30"/>
        <v>0</v>
      </c>
      <c r="BD54" s="220">
        <f t="shared" si="31"/>
        <v>0</v>
      </c>
      <c r="BE54" s="220">
        <f t="shared" si="32"/>
        <v>0</v>
      </c>
      <c r="BF54" s="220">
        <f t="shared" si="33"/>
        <v>0</v>
      </c>
      <c r="BG54" s="220">
        <f t="shared" si="34"/>
        <v>0</v>
      </c>
      <c r="BH54" s="220">
        <f t="shared" si="35"/>
        <v>0</v>
      </c>
      <c r="BI54" s="253">
        <f t="shared" si="36"/>
        <v>0</v>
      </c>
      <c r="BJ54" s="253">
        <f t="shared" si="37"/>
        <v>0</v>
      </c>
      <c r="BK54" s="253">
        <f t="shared" si="38"/>
        <v>0</v>
      </c>
      <c r="BL54" s="253">
        <f t="shared" si="39"/>
        <v>0</v>
      </c>
      <c r="BM54" s="253">
        <f t="shared" si="40"/>
        <v>0</v>
      </c>
      <c r="BN54" s="253">
        <f t="shared" si="41"/>
        <v>0</v>
      </c>
      <c r="BO54" s="253">
        <f t="shared" si="42"/>
        <v>0</v>
      </c>
      <c r="BP54" s="253">
        <f t="shared" si="43"/>
        <v>0</v>
      </c>
      <c r="BQ54" s="254">
        <f t="shared" si="44"/>
        <v>0</v>
      </c>
    </row>
    <row r="55" spans="2:69" x14ac:dyDescent="0.2">
      <c r="B55" s="234"/>
      <c r="C55" s="284"/>
      <c r="D55" s="246"/>
      <c r="E55" s="247"/>
      <c r="F55" s="247"/>
      <c r="G55" s="247"/>
      <c r="H55" s="247"/>
      <c r="I55" s="247"/>
      <c r="J55" s="247"/>
      <c r="K55" s="247"/>
      <c r="L55" s="247"/>
      <c r="M55" s="247"/>
      <c r="N55" s="247"/>
      <c r="O55" s="247"/>
      <c r="P55" s="247"/>
      <c r="Q55" s="247"/>
      <c r="R55" s="247"/>
      <c r="S55" s="247"/>
      <c r="T55" s="247"/>
      <c r="U55" s="247"/>
      <c r="V55" s="247"/>
      <c r="W55" s="247"/>
      <c r="X55" s="275"/>
      <c r="Z55" s="276"/>
      <c r="AA55" s="250"/>
      <c r="AB55" s="250"/>
      <c r="AC55" s="250"/>
      <c r="AD55" s="250"/>
      <c r="AE55" s="250"/>
      <c r="AF55" s="250"/>
      <c r="AG55" s="250"/>
      <c r="AH55" s="250"/>
      <c r="AI55" s="250"/>
      <c r="AJ55" s="250"/>
      <c r="AK55" s="250"/>
      <c r="AL55" s="250"/>
      <c r="AM55" s="250"/>
      <c r="AN55" s="250"/>
      <c r="AO55" s="250"/>
      <c r="AP55" s="250"/>
      <c r="AQ55" s="250"/>
      <c r="AR55" s="250"/>
      <c r="AS55" s="250"/>
      <c r="AT55" s="251"/>
      <c r="AV55" s="252">
        <f t="shared" si="23"/>
        <v>0</v>
      </c>
      <c r="AW55" s="220">
        <f t="shared" si="24"/>
        <v>0</v>
      </c>
      <c r="AX55" s="220">
        <f t="shared" si="25"/>
        <v>0</v>
      </c>
      <c r="AY55" s="220">
        <f t="shared" si="26"/>
        <v>0</v>
      </c>
      <c r="AZ55" s="220">
        <f t="shared" si="27"/>
        <v>0</v>
      </c>
      <c r="BA55" s="220">
        <f t="shared" si="28"/>
        <v>0</v>
      </c>
      <c r="BB55" s="220">
        <f t="shared" si="29"/>
        <v>0</v>
      </c>
      <c r="BC55" s="220">
        <f t="shared" si="30"/>
        <v>0</v>
      </c>
      <c r="BD55" s="220">
        <f t="shared" si="31"/>
        <v>0</v>
      </c>
      <c r="BE55" s="220">
        <f t="shared" si="32"/>
        <v>0</v>
      </c>
      <c r="BF55" s="220">
        <f t="shared" si="33"/>
        <v>0</v>
      </c>
      <c r="BG55" s="220">
        <f t="shared" si="34"/>
        <v>0</v>
      </c>
      <c r="BH55" s="220">
        <f t="shared" si="35"/>
        <v>0</v>
      </c>
      <c r="BI55" s="253">
        <f t="shared" si="36"/>
        <v>0</v>
      </c>
      <c r="BJ55" s="253">
        <f t="shared" si="37"/>
        <v>0</v>
      </c>
      <c r="BK55" s="253">
        <f t="shared" si="38"/>
        <v>0</v>
      </c>
      <c r="BL55" s="253">
        <f t="shared" si="39"/>
        <v>0</v>
      </c>
      <c r="BM55" s="253">
        <f t="shared" si="40"/>
        <v>0</v>
      </c>
      <c r="BN55" s="253">
        <f t="shared" si="41"/>
        <v>0</v>
      </c>
      <c r="BO55" s="253">
        <f t="shared" si="42"/>
        <v>0</v>
      </c>
      <c r="BP55" s="253">
        <f t="shared" si="43"/>
        <v>0</v>
      </c>
      <c r="BQ55" s="254">
        <f t="shared" si="44"/>
        <v>0</v>
      </c>
    </row>
    <row r="56" spans="2:69" x14ac:dyDescent="0.2">
      <c r="B56" s="234"/>
      <c r="C56" s="284"/>
      <c r="D56" s="246"/>
      <c r="E56" s="247"/>
      <c r="F56" s="247"/>
      <c r="G56" s="247"/>
      <c r="H56" s="247"/>
      <c r="I56" s="247"/>
      <c r="J56" s="247"/>
      <c r="K56" s="247"/>
      <c r="L56" s="247"/>
      <c r="M56" s="247"/>
      <c r="N56" s="247"/>
      <c r="O56" s="247"/>
      <c r="P56" s="247"/>
      <c r="Q56" s="247"/>
      <c r="R56" s="247"/>
      <c r="S56" s="247"/>
      <c r="T56" s="247"/>
      <c r="U56" s="247"/>
      <c r="V56" s="247"/>
      <c r="W56" s="247"/>
      <c r="X56" s="275"/>
      <c r="Z56" s="276"/>
      <c r="AA56" s="250"/>
      <c r="AB56" s="250"/>
      <c r="AC56" s="250"/>
      <c r="AD56" s="250"/>
      <c r="AE56" s="250"/>
      <c r="AF56" s="250"/>
      <c r="AG56" s="250"/>
      <c r="AH56" s="250"/>
      <c r="AI56" s="250"/>
      <c r="AJ56" s="250"/>
      <c r="AK56" s="250"/>
      <c r="AL56" s="250"/>
      <c r="AM56" s="250"/>
      <c r="AN56" s="250"/>
      <c r="AO56" s="250"/>
      <c r="AP56" s="250"/>
      <c r="AQ56" s="250"/>
      <c r="AR56" s="250"/>
      <c r="AS56" s="250"/>
      <c r="AT56" s="251"/>
      <c r="AV56" s="252">
        <f t="shared" si="23"/>
        <v>0</v>
      </c>
      <c r="AW56" s="220">
        <f t="shared" si="24"/>
        <v>0</v>
      </c>
      <c r="AX56" s="220">
        <f t="shared" si="25"/>
        <v>0</v>
      </c>
      <c r="AY56" s="220">
        <f t="shared" si="26"/>
        <v>0</v>
      </c>
      <c r="AZ56" s="220">
        <f t="shared" si="27"/>
        <v>0</v>
      </c>
      <c r="BA56" s="220">
        <f t="shared" si="28"/>
        <v>0</v>
      </c>
      <c r="BB56" s="220">
        <f t="shared" si="29"/>
        <v>0</v>
      </c>
      <c r="BC56" s="220">
        <f t="shared" si="30"/>
        <v>0</v>
      </c>
      <c r="BD56" s="220">
        <f t="shared" si="31"/>
        <v>0</v>
      </c>
      <c r="BE56" s="220">
        <f t="shared" si="32"/>
        <v>0</v>
      </c>
      <c r="BF56" s="220">
        <f t="shared" si="33"/>
        <v>0</v>
      </c>
      <c r="BG56" s="220">
        <f t="shared" si="34"/>
        <v>0</v>
      </c>
      <c r="BH56" s="220">
        <f t="shared" si="35"/>
        <v>0</v>
      </c>
      <c r="BI56" s="253">
        <f t="shared" si="36"/>
        <v>0</v>
      </c>
      <c r="BJ56" s="253">
        <f t="shared" si="37"/>
        <v>0</v>
      </c>
      <c r="BK56" s="253">
        <f t="shared" si="38"/>
        <v>0</v>
      </c>
      <c r="BL56" s="253">
        <f t="shared" si="39"/>
        <v>0</v>
      </c>
      <c r="BM56" s="253">
        <f t="shared" si="40"/>
        <v>0</v>
      </c>
      <c r="BN56" s="253">
        <f t="shared" si="41"/>
        <v>0</v>
      </c>
      <c r="BO56" s="253">
        <f t="shared" si="42"/>
        <v>0</v>
      </c>
      <c r="BP56" s="253">
        <f t="shared" si="43"/>
        <v>0</v>
      </c>
      <c r="BQ56" s="254">
        <f t="shared" si="44"/>
        <v>0</v>
      </c>
    </row>
    <row r="57" spans="2:69" x14ac:dyDescent="0.2">
      <c r="B57" s="234"/>
      <c r="C57" s="284"/>
      <c r="D57" s="285"/>
      <c r="E57" s="256"/>
      <c r="F57" s="256"/>
      <c r="G57" s="256"/>
      <c r="H57" s="256"/>
      <c r="I57" s="256"/>
      <c r="J57" s="256"/>
      <c r="K57" s="256"/>
      <c r="L57" s="256"/>
      <c r="M57" s="256"/>
      <c r="N57" s="256"/>
      <c r="O57" s="256"/>
      <c r="P57" s="256"/>
      <c r="Q57" s="256"/>
      <c r="R57" s="256"/>
      <c r="S57" s="256"/>
      <c r="T57" s="256"/>
      <c r="U57" s="256"/>
      <c r="V57" s="256"/>
      <c r="W57" s="256"/>
      <c r="X57" s="319"/>
      <c r="Z57" s="249"/>
      <c r="AA57" s="250"/>
      <c r="AB57" s="250"/>
      <c r="AC57" s="250"/>
      <c r="AD57" s="250"/>
      <c r="AE57" s="250"/>
      <c r="AF57" s="250"/>
      <c r="AG57" s="250"/>
      <c r="AH57" s="250"/>
      <c r="AI57" s="250"/>
      <c r="AJ57" s="250"/>
      <c r="AK57" s="250"/>
      <c r="AL57" s="250"/>
      <c r="AM57" s="250"/>
      <c r="AN57" s="250"/>
      <c r="AO57" s="250"/>
      <c r="AP57" s="250"/>
      <c r="AQ57" s="250"/>
      <c r="AR57" s="250"/>
      <c r="AS57" s="250"/>
      <c r="AT57" s="251"/>
      <c r="AV57" s="252">
        <f t="shared" si="23"/>
        <v>0</v>
      </c>
      <c r="AW57" s="220">
        <f t="shared" si="24"/>
        <v>0</v>
      </c>
      <c r="AX57" s="220">
        <f t="shared" si="25"/>
        <v>0</v>
      </c>
      <c r="AY57" s="220">
        <f t="shared" si="26"/>
        <v>0</v>
      </c>
      <c r="AZ57" s="220">
        <f t="shared" si="27"/>
        <v>0</v>
      </c>
      <c r="BA57" s="220">
        <f t="shared" si="28"/>
        <v>0</v>
      </c>
      <c r="BB57" s="220">
        <f t="shared" si="29"/>
        <v>0</v>
      </c>
      <c r="BC57" s="220">
        <f t="shared" si="30"/>
        <v>0</v>
      </c>
      <c r="BD57" s="220">
        <f t="shared" si="31"/>
        <v>0</v>
      </c>
      <c r="BE57" s="220">
        <f t="shared" si="32"/>
        <v>0</v>
      </c>
      <c r="BF57" s="220">
        <f t="shared" si="33"/>
        <v>0</v>
      </c>
      <c r="BG57" s="220">
        <f t="shared" si="34"/>
        <v>0</v>
      </c>
      <c r="BH57" s="220">
        <f t="shared" si="35"/>
        <v>0</v>
      </c>
      <c r="BI57" s="253">
        <f t="shared" si="36"/>
        <v>0</v>
      </c>
      <c r="BJ57" s="253">
        <f t="shared" si="37"/>
        <v>0</v>
      </c>
      <c r="BK57" s="253">
        <f t="shared" si="38"/>
        <v>0</v>
      </c>
      <c r="BL57" s="253">
        <f t="shared" si="39"/>
        <v>0</v>
      </c>
      <c r="BM57" s="253">
        <f t="shared" si="40"/>
        <v>0</v>
      </c>
      <c r="BN57" s="253">
        <f t="shared" si="41"/>
        <v>0</v>
      </c>
      <c r="BO57" s="253">
        <f t="shared" si="42"/>
        <v>0</v>
      </c>
      <c r="BP57" s="253">
        <f t="shared" si="43"/>
        <v>0</v>
      </c>
      <c r="BQ57" s="254">
        <f t="shared" si="44"/>
        <v>0</v>
      </c>
    </row>
    <row r="58" spans="2:69" x14ac:dyDescent="0.2">
      <c r="B58" s="234"/>
      <c r="C58" s="284"/>
      <c r="D58" s="285"/>
      <c r="E58" s="256"/>
      <c r="F58" s="256"/>
      <c r="G58" s="256"/>
      <c r="H58" s="256"/>
      <c r="I58" s="256"/>
      <c r="J58" s="256"/>
      <c r="K58" s="256"/>
      <c r="L58" s="256"/>
      <c r="M58" s="256"/>
      <c r="N58" s="256"/>
      <c r="O58" s="256"/>
      <c r="P58" s="256"/>
      <c r="Q58" s="256"/>
      <c r="R58" s="256"/>
      <c r="S58" s="256"/>
      <c r="T58" s="256"/>
      <c r="U58" s="256"/>
      <c r="V58" s="256"/>
      <c r="W58" s="256"/>
      <c r="X58" s="319"/>
      <c r="Z58" s="249"/>
      <c r="AA58" s="250"/>
      <c r="AB58" s="250"/>
      <c r="AC58" s="250"/>
      <c r="AD58" s="250"/>
      <c r="AE58" s="250"/>
      <c r="AF58" s="250"/>
      <c r="AG58" s="250"/>
      <c r="AH58" s="250"/>
      <c r="AI58" s="250"/>
      <c r="AJ58" s="250"/>
      <c r="AK58" s="250"/>
      <c r="AL58" s="250"/>
      <c r="AM58" s="250"/>
      <c r="AN58" s="250"/>
      <c r="AO58" s="250"/>
      <c r="AP58" s="250"/>
      <c r="AQ58" s="250"/>
      <c r="AR58" s="250"/>
      <c r="AS58" s="250"/>
      <c r="AT58" s="251"/>
      <c r="AV58" s="252">
        <f t="shared" si="23"/>
        <v>0</v>
      </c>
      <c r="AW58" s="220">
        <f t="shared" si="24"/>
        <v>0</v>
      </c>
      <c r="AX58" s="220">
        <f t="shared" si="25"/>
        <v>0</v>
      </c>
      <c r="AY58" s="220">
        <f t="shared" si="26"/>
        <v>0</v>
      </c>
      <c r="AZ58" s="220">
        <f t="shared" si="27"/>
        <v>0</v>
      </c>
      <c r="BA58" s="220">
        <f t="shared" si="28"/>
        <v>0</v>
      </c>
      <c r="BB58" s="220">
        <f t="shared" si="29"/>
        <v>0</v>
      </c>
      <c r="BC58" s="220">
        <f t="shared" si="30"/>
        <v>0</v>
      </c>
      <c r="BD58" s="220">
        <f t="shared" si="31"/>
        <v>0</v>
      </c>
      <c r="BE58" s="220">
        <f t="shared" si="32"/>
        <v>0</v>
      </c>
      <c r="BF58" s="220">
        <f t="shared" si="33"/>
        <v>0</v>
      </c>
      <c r="BG58" s="220">
        <f t="shared" si="34"/>
        <v>0</v>
      </c>
      <c r="BH58" s="220">
        <f t="shared" si="35"/>
        <v>0</v>
      </c>
      <c r="BI58" s="253">
        <f t="shared" si="36"/>
        <v>0</v>
      </c>
      <c r="BJ58" s="253">
        <f t="shared" si="37"/>
        <v>0</v>
      </c>
      <c r="BK58" s="253">
        <f t="shared" si="38"/>
        <v>0</v>
      </c>
      <c r="BL58" s="253">
        <f t="shared" si="39"/>
        <v>0</v>
      </c>
      <c r="BM58" s="253">
        <f t="shared" si="40"/>
        <v>0</v>
      </c>
      <c r="BN58" s="253">
        <f t="shared" si="41"/>
        <v>0</v>
      </c>
      <c r="BO58" s="253">
        <f t="shared" si="42"/>
        <v>0</v>
      </c>
      <c r="BP58" s="253">
        <f t="shared" si="43"/>
        <v>0</v>
      </c>
      <c r="BQ58" s="254">
        <f t="shared" si="44"/>
        <v>0</v>
      </c>
    </row>
    <row r="59" spans="2:69" x14ac:dyDescent="0.2">
      <c r="B59" s="234"/>
      <c r="C59" s="284"/>
      <c r="D59" s="285"/>
      <c r="E59" s="256"/>
      <c r="F59" s="256"/>
      <c r="G59" s="256"/>
      <c r="H59" s="256"/>
      <c r="I59" s="256"/>
      <c r="J59" s="256"/>
      <c r="K59" s="256"/>
      <c r="L59" s="256"/>
      <c r="M59" s="256"/>
      <c r="N59" s="256"/>
      <c r="O59" s="256"/>
      <c r="P59" s="256"/>
      <c r="Q59" s="256"/>
      <c r="R59" s="256"/>
      <c r="S59" s="256"/>
      <c r="T59" s="256"/>
      <c r="U59" s="256"/>
      <c r="V59" s="256"/>
      <c r="W59" s="256"/>
      <c r="X59" s="319"/>
      <c r="Z59" s="249"/>
      <c r="AA59" s="250"/>
      <c r="AB59" s="250"/>
      <c r="AC59" s="250"/>
      <c r="AD59" s="250"/>
      <c r="AE59" s="250"/>
      <c r="AF59" s="250"/>
      <c r="AG59" s="250"/>
      <c r="AH59" s="250"/>
      <c r="AI59" s="250"/>
      <c r="AJ59" s="250"/>
      <c r="AK59" s="250"/>
      <c r="AL59" s="250"/>
      <c r="AM59" s="250"/>
      <c r="AN59" s="250"/>
      <c r="AO59" s="250"/>
      <c r="AP59" s="250"/>
      <c r="AQ59" s="250"/>
      <c r="AR59" s="250"/>
      <c r="AS59" s="250"/>
      <c r="AT59" s="251"/>
      <c r="AV59" s="252">
        <f t="shared" si="23"/>
        <v>0</v>
      </c>
      <c r="AW59" s="220">
        <f t="shared" si="24"/>
        <v>0</v>
      </c>
      <c r="AX59" s="220">
        <f t="shared" si="25"/>
        <v>0</v>
      </c>
      <c r="AY59" s="220">
        <f t="shared" si="26"/>
        <v>0</v>
      </c>
      <c r="AZ59" s="220">
        <f t="shared" si="27"/>
        <v>0</v>
      </c>
      <c r="BA59" s="220">
        <f t="shared" si="28"/>
        <v>0</v>
      </c>
      <c r="BB59" s="220">
        <f t="shared" si="29"/>
        <v>0</v>
      </c>
      <c r="BC59" s="220">
        <f t="shared" si="30"/>
        <v>0</v>
      </c>
      <c r="BD59" s="220">
        <f t="shared" si="31"/>
        <v>0</v>
      </c>
      <c r="BE59" s="220">
        <f t="shared" si="32"/>
        <v>0</v>
      </c>
      <c r="BF59" s="220">
        <f t="shared" si="33"/>
        <v>0</v>
      </c>
      <c r="BG59" s="220">
        <f t="shared" si="34"/>
        <v>0</v>
      </c>
      <c r="BH59" s="220">
        <f t="shared" si="35"/>
        <v>0</v>
      </c>
      <c r="BI59" s="253">
        <f t="shared" si="36"/>
        <v>0</v>
      </c>
      <c r="BJ59" s="253">
        <f t="shared" si="37"/>
        <v>0</v>
      </c>
      <c r="BK59" s="253">
        <f t="shared" si="38"/>
        <v>0</v>
      </c>
      <c r="BL59" s="253">
        <f t="shared" si="39"/>
        <v>0</v>
      </c>
      <c r="BM59" s="253">
        <f t="shared" si="40"/>
        <v>0</v>
      </c>
      <c r="BN59" s="253">
        <f t="shared" si="41"/>
        <v>0</v>
      </c>
      <c r="BO59" s="253">
        <f t="shared" si="42"/>
        <v>0</v>
      </c>
      <c r="BP59" s="253">
        <f t="shared" si="43"/>
        <v>0</v>
      </c>
      <c r="BQ59" s="254">
        <f t="shared" si="44"/>
        <v>0</v>
      </c>
    </row>
    <row r="60" spans="2:69" x14ac:dyDescent="0.2">
      <c r="B60" s="234"/>
      <c r="C60" s="284"/>
      <c r="D60" s="285"/>
      <c r="E60" s="256"/>
      <c r="F60" s="256"/>
      <c r="G60" s="256"/>
      <c r="H60" s="256"/>
      <c r="I60" s="256"/>
      <c r="J60" s="256"/>
      <c r="K60" s="256"/>
      <c r="L60" s="256"/>
      <c r="M60" s="256"/>
      <c r="N60" s="256"/>
      <c r="O60" s="256"/>
      <c r="P60" s="256"/>
      <c r="Q60" s="256"/>
      <c r="R60" s="256"/>
      <c r="S60" s="256"/>
      <c r="T60" s="256"/>
      <c r="U60" s="256"/>
      <c r="V60" s="256"/>
      <c r="W60" s="256"/>
      <c r="X60" s="319"/>
      <c r="Z60" s="249"/>
      <c r="AA60" s="250"/>
      <c r="AB60" s="250"/>
      <c r="AC60" s="250"/>
      <c r="AD60" s="250"/>
      <c r="AE60" s="250"/>
      <c r="AF60" s="250"/>
      <c r="AG60" s="250"/>
      <c r="AH60" s="250"/>
      <c r="AI60" s="250"/>
      <c r="AJ60" s="250"/>
      <c r="AK60" s="250"/>
      <c r="AL60" s="250"/>
      <c r="AM60" s="250"/>
      <c r="AN60" s="250"/>
      <c r="AO60" s="250"/>
      <c r="AP60" s="250"/>
      <c r="AQ60" s="250"/>
      <c r="AR60" s="250"/>
      <c r="AS60" s="250"/>
      <c r="AT60" s="251"/>
      <c r="AV60" s="252">
        <f t="shared" si="23"/>
        <v>0</v>
      </c>
      <c r="AW60" s="220">
        <f t="shared" si="24"/>
        <v>0</v>
      </c>
      <c r="AX60" s="220">
        <f t="shared" si="25"/>
        <v>0</v>
      </c>
      <c r="AY60" s="220">
        <f t="shared" si="26"/>
        <v>0</v>
      </c>
      <c r="AZ60" s="220">
        <f t="shared" si="27"/>
        <v>0</v>
      </c>
      <c r="BA60" s="220">
        <f t="shared" si="28"/>
        <v>0</v>
      </c>
      <c r="BB60" s="220">
        <f t="shared" si="29"/>
        <v>0</v>
      </c>
      <c r="BC60" s="220">
        <f t="shared" si="30"/>
        <v>0</v>
      </c>
      <c r="BD60" s="220">
        <f t="shared" si="31"/>
        <v>0</v>
      </c>
      <c r="BE60" s="220">
        <f t="shared" si="32"/>
        <v>0</v>
      </c>
      <c r="BF60" s="220">
        <f t="shared" si="33"/>
        <v>0</v>
      </c>
      <c r="BG60" s="220">
        <f t="shared" si="34"/>
        <v>0</v>
      </c>
      <c r="BH60" s="220">
        <f t="shared" si="35"/>
        <v>0</v>
      </c>
      <c r="BI60" s="253">
        <f t="shared" si="36"/>
        <v>0</v>
      </c>
      <c r="BJ60" s="253">
        <f t="shared" si="37"/>
        <v>0</v>
      </c>
      <c r="BK60" s="253">
        <f t="shared" si="38"/>
        <v>0</v>
      </c>
      <c r="BL60" s="253">
        <f t="shared" si="39"/>
        <v>0</v>
      </c>
      <c r="BM60" s="253">
        <f t="shared" si="40"/>
        <v>0</v>
      </c>
      <c r="BN60" s="253">
        <f t="shared" si="41"/>
        <v>0</v>
      </c>
      <c r="BO60" s="253">
        <f t="shared" si="42"/>
        <v>0</v>
      </c>
      <c r="BP60" s="253">
        <f t="shared" si="43"/>
        <v>0</v>
      </c>
      <c r="BQ60" s="254">
        <f t="shared" si="44"/>
        <v>0</v>
      </c>
    </row>
    <row r="61" spans="2:69" x14ac:dyDescent="0.2">
      <c r="B61" s="234"/>
      <c r="C61" s="284"/>
      <c r="D61" s="285"/>
      <c r="E61" s="256"/>
      <c r="F61" s="256"/>
      <c r="G61" s="256"/>
      <c r="H61" s="256"/>
      <c r="I61" s="256"/>
      <c r="J61" s="256"/>
      <c r="K61" s="256"/>
      <c r="L61" s="256"/>
      <c r="M61" s="256"/>
      <c r="N61" s="256"/>
      <c r="O61" s="256"/>
      <c r="P61" s="256"/>
      <c r="Q61" s="256"/>
      <c r="R61" s="256"/>
      <c r="S61" s="256"/>
      <c r="T61" s="256"/>
      <c r="U61" s="256"/>
      <c r="V61" s="256"/>
      <c r="W61" s="256"/>
      <c r="X61" s="319"/>
      <c r="Z61" s="249"/>
      <c r="AA61" s="250"/>
      <c r="AB61" s="250"/>
      <c r="AC61" s="250"/>
      <c r="AD61" s="250"/>
      <c r="AE61" s="250"/>
      <c r="AF61" s="250"/>
      <c r="AG61" s="250"/>
      <c r="AH61" s="250"/>
      <c r="AI61" s="250"/>
      <c r="AJ61" s="250"/>
      <c r="AK61" s="250"/>
      <c r="AL61" s="250"/>
      <c r="AM61" s="250"/>
      <c r="AN61" s="250"/>
      <c r="AO61" s="250"/>
      <c r="AP61" s="250"/>
      <c r="AQ61" s="250"/>
      <c r="AR61" s="250"/>
      <c r="AS61" s="250"/>
      <c r="AT61" s="251"/>
      <c r="AV61" s="252">
        <f t="shared" si="23"/>
        <v>0</v>
      </c>
      <c r="AW61" s="220">
        <f t="shared" si="24"/>
        <v>0</v>
      </c>
      <c r="AX61" s="220">
        <f t="shared" si="25"/>
        <v>0</v>
      </c>
      <c r="AY61" s="220">
        <f t="shared" si="26"/>
        <v>0</v>
      </c>
      <c r="AZ61" s="220">
        <f t="shared" si="27"/>
        <v>0</v>
      </c>
      <c r="BA61" s="220">
        <f t="shared" si="28"/>
        <v>0</v>
      </c>
      <c r="BB61" s="220">
        <f t="shared" si="29"/>
        <v>0</v>
      </c>
      <c r="BC61" s="220">
        <f t="shared" si="30"/>
        <v>0</v>
      </c>
      <c r="BD61" s="220">
        <f t="shared" si="31"/>
        <v>0</v>
      </c>
      <c r="BE61" s="220">
        <f t="shared" si="32"/>
        <v>0</v>
      </c>
      <c r="BF61" s="220">
        <f t="shared" si="33"/>
        <v>0</v>
      </c>
      <c r="BG61" s="220">
        <f t="shared" si="34"/>
        <v>0</v>
      </c>
      <c r="BH61" s="220">
        <f t="shared" si="35"/>
        <v>0</v>
      </c>
      <c r="BI61" s="253">
        <f t="shared" si="36"/>
        <v>0</v>
      </c>
      <c r="BJ61" s="253">
        <f t="shared" si="37"/>
        <v>0</v>
      </c>
      <c r="BK61" s="253">
        <f t="shared" si="38"/>
        <v>0</v>
      </c>
      <c r="BL61" s="253">
        <f t="shared" si="39"/>
        <v>0</v>
      </c>
      <c r="BM61" s="253">
        <f t="shared" si="40"/>
        <v>0</v>
      </c>
      <c r="BN61" s="253">
        <f t="shared" si="41"/>
        <v>0</v>
      </c>
      <c r="BO61" s="253">
        <f t="shared" si="42"/>
        <v>0</v>
      </c>
      <c r="BP61" s="253">
        <f t="shared" si="43"/>
        <v>0</v>
      </c>
      <c r="BQ61" s="254">
        <f t="shared" si="44"/>
        <v>0</v>
      </c>
    </row>
    <row r="62" spans="2:69" x14ac:dyDescent="0.2">
      <c r="B62" s="234"/>
      <c r="C62" s="284"/>
      <c r="D62" s="285"/>
      <c r="E62" s="256"/>
      <c r="F62" s="256"/>
      <c r="G62" s="256"/>
      <c r="H62" s="256"/>
      <c r="I62" s="256"/>
      <c r="J62" s="256"/>
      <c r="K62" s="256"/>
      <c r="L62" s="256"/>
      <c r="M62" s="256"/>
      <c r="N62" s="256"/>
      <c r="O62" s="256"/>
      <c r="P62" s="256"/>
      <c r="Q62" s="256"/>
      <c r="R62" s="256"/>
      <c r="S62" s="256"/>
      <c r="T62" s="256"/>
      <c r="U62" s="256"/>
      <c r="V62" s="256"/>
      <c r="W62" s="256"/>
      <c r="X62" s="319"/>
      <c r="Z62" s="249"/>
      <c r="AA62" s="250"/>
      <c r="AB62" s="250"/>
      <c r="AC62" s="250"/>
      <c r="AD62" s="250"/>
      <c r="AE62" s="250"/>
      <c r="AF62" s="250"/>
      <c r="AG62" s="250"/>
      <c r="AH62" s="250"/>
      <c r="AI62" s="250"/>
      <c r="AJ62" s="250"/>
      <c r="AK62" s="250"/>
      <c r="AL62" s="250"/>
      <c r="AM62" s="250"/>
      <c r="AN62" s="250"/>
      <c r="AO62" s="250"/>
      <c r="AP62" s="250"/>
      <c r="AQ62" s="250"/>
      <c r="AR62" s="250"/>
      <c r="AS62" s="250"/>
      <c r="AT62" s="251"/>
      <c r="AV62" s="252">
        <f t="shared" si="23"/>
        <v>0</v>
      </c>
      <c r="AW62" s="220">
        <f t="shared" si="24"/>
        <v>0</v>
      </c>
      <c r="AX62" s="220">
        <f t="shared" si="25"/>
        <v>0</v>
      </c>
      <c r="AY62" s="220">
        <f t="shared" si="26"/>
        <v>0</v>
      </c>
      <c r="AZ62" s="220">
        <f t="shared" si="27"/>
        <v>0</v>
      </c>
      <c r="BA62" s="220">
        <f t="shared" si="28"/>
        <v>0</v>
      </c>
      <c r="BB62" s="220">
        <f t="shared" si="29"/>
        <v>0</v>
      </c>
      <c r="BC62" s="220">
        <f t="shared" si="30"/>
        <v>0</v>
      </c>
      <c r="BD62" s="220">
        <f t="shared" si="31"/>
        <v>0</v>
      </c>
      <c r="BE62" s="220">
        <f t="shared" si="32"/>
        <v>0</v>
      </c>
      <c r="BF62" s="220">
        <f t="shared" si="33"/>
        <v>0</v>
      </c>
      <c r="BG62" s="220">
        <f t="shared" si="34"/>
        <v>0</v>
      </c>
      <c r="BH62" s="220">
        <f t="shared" si="35"/>
        <v>0</v>
      </c>
      <c r="BI62" s="253">
        <f t="shared" si="36"/>
        <v>0</v>
      </c>
      <c r="BJ62" s="253">
        <f t="shared" si="37"/>
        <v>0</v>
      </c>
      <c r="BK62" s="253">
        <f t="shared" si="38"/>
        <v>0</v>
      </c>
      <c r="BL62" s="253">
        <f t="shared" si="39"/>
        <v>0</v>
      </c>
      <c r="BM62" s="253">
        <f t="shared" si="40"/>
        <v>0</v>
      </c>
      <c r="BN62" s="253">
        <f t="shared" si="41"/>
        <v>0</v>
      </c>
      <c r="BO62" s="253">
        <f t="shared" si="42"/>
        <v>0</v>
      </c>
      <c r="BP62" s="253">
        <f t="shared" si="43"/>
        <v>0</v>
      </c>
      <c r="BQ62" s="254">
        <f t="shared" si="44"/>
        <v>0</v>
      </c>
    </row>
    <row r="63" spans="2:69" x14ac:dyDescent="0.2">
      <c r="B63" s="234"/>
      <c r="C63" s="284"/>
      <c r="D63" s="285"/>
      <c r="E63" s="256"/>
      <c r="F63" s="256"/>
      <c r="G63" s="256"/>
      <c r="H63" s="256"/>
      <c r="I63" s="256"/>
      <c r="J63" s="256"/>
      <c r="K63" s="256"/>
      <c r="L63" s="256"/>
      <c r="M63" s="256"/>
      <c r="N63" s="256"/>
      <c r="O63" s="256"/>
      <c r="P63" s="256"/>
      <c r="Q63" s="256"/>
      <c r="R63" s="256"/>
      <c r="S63" s="256"/>
      <c r="T63" s="256"/>
      <c r="U63" s="256"/>
      <c r="V63" s="256"/>
      <c r="W63" s="256"/>
      <c r="X63" s="319"/>
      <c r="Z63" s="249"/>
      <c r="AA63" s="250"/>
      <c r="AB63" s="250"/>
      <c r="AC63" s="250"/>
      <c r="AD63" s="250"/>
      <c r="AE63" s="250"/>
      <c r="AF63" s="250"/>
      <c r="AG63" s="250"/>
      <c r="AH63" s="250"/>
      <c r="AI63" s="250"/>
      <c r="AJ63" s="250"/>
      <c r="AK63" s="250"/>
      <c r="AL63" s="250"/>
      <c r="AM63" s="250"/>
      <c r="AN63" s="250"/>
      <c r="AO63" s="250"/>
      <c r="AP63" s="250"/>
      <c r="AQ63" s="250"/>
      <c r="AR63" s="250"/>
      <c r="AS63" s="250"/>
      <c r="AT63" s="251"/>
      <c r="AV63" s="252">
        <f t="shared" si="23"/>
        <v>0</v>
      </c>
      <c r="AW63" s="220">
        <f t="shared" si="24"/>
        <v>0</v>
      </c>
      <c r="AX63" s="220">
        <f t="shared" si="25"/>
        <v>0</v>
      </c>
      <c r="AY63" s="220">
        <f t="shared" si="26"/>
        <v>0</v>
      </c>
      <c r="AZ63" s="220">
        <f t="shared" si="27"/>
        <v>0</v>
      </c>
      <c r="BA63" s="220">
        <f t="shared" si="28"/>
        <v>0</v>
      </c>
      <c r="BB63" s="220">
        <f t="shared" si="29"/>
        <v>0</v>
      </c>
      <c r="BC63" s="220">
        <f t="shared" si="30"/>
        <v>0</v>
      </c>
      <c r="BD63" s="220">
        <f t="shared" si="31"/>
        <v>0</v>
      </c>
      <c r="BE63" s="220">
        <f t="shared" si="32"/>
        <v>0</v>
      </c>
      <c r="BF63" s="220">
        <f t="shared" si="33"/>
        <v>0</v>
      </c>
      <c r="BG63" s="220">
        <f t="shared" si="34"/>
        <v>0</v>
      </c>
      <c r="BH63" s="220">
        <f t="shared" si="35"/>
        <v>0</v>
      </c>
      <c r="BI63" s="253">
        <f t="shared" si="36"/>
        <v>0</v>
      </c>
      <c r="BJ63" s="253">
        <f t="shared" si="37"/>
        <v>0</v>
      </c>
      <c r="BK63" s="253">
        <f t="shared" si="38"/>
        <v>0</v>
      </c>
      <c r="BL63" s="253">
        <f t="shared" si="39"/>
        <v>0</v>
      </c>
      <c r="BM63" s="253">
        <f t="shared" si="40"/>
        <v>0</v>
      </c>
      <c r="BN63" s="253">
        <f t="shared" si="41"/>
        <v>0</v>
      </c>
      <c r="BO63" s="253">
        <f t="shared" si="42"/>
        <v>0</v>
      </c>
      <c r="BP63" s="253">
        <f t="shared" si="43"/>
        <v>0</v>
      </c>
      <c r="BQ63" s="254">
        <f t="shared" si="44"/>
        <v>0</v>
      </c>
    </row>
    <row r="64" spans="2:69" x14ac:dyDescent="0.2">
      <c r="B64" s="234"/>
      <c r="C64" s="284"/>
      <c r="D64" s="285"/>
      <c r="E64" s="256"/>
      <c r="F64" s="256"/>
      <c r="G64" s="256"/>
      <c r="H64" s="256"/>
      <c r="I64" s="256"/>
      <c r="J64" s="256"/>
      <c r="K64" s="256"/>
      <c r="L64" s="256"/>
      <c r="M64" s="256"/>
      <c r="N64" s="256"/>
      <c r="O64" s="256"/>
      <c r="P64" s="256"/>
      <c r="Q64" s="256"/>
      <c r="R64" s="256"/>
      <c r="S64" s="256"/>
      <c r="T64" s="256"/>
      <c r="U64" s="256"/>
      <c r="V64" s="256"/>
      <c r="W64" s="256"/>
      <c r="X64" s="319"/>
      <c r="Z64" s="249"/>
      <c r="AA64" s="250"/>
      <c r="AB64" s="250"/>
      <c r="AC64" s="250"/>
      <c r="AD64" s="250"/>
      <c r="AE64" s="250"/>
      <c r="AF64" s="250"/>
      <c r="AG64" s="250"/>
      <c r="AH64" s="250"/>
      <c r="AI64" s="250"/>
      <c r="AJ64" s="250"/>
      <c r="AK64" s="250"/>
      <c r="AL64" s="250"/>
      <c r="AM64" s="250"/>
      <c r="AN64" s="250"/>
      <c r="AO64" s="250"/>
      <c r="AP64" s="250"/>
      <c r="AQ64" s="250"/>
      <c r="AR64" s="250"/>
      <c r="AS64" s="250"/>
      <c r="AT64" s="251"/>
      <c r="AV64" s="252">
        <f t="shared" si="23"/>
        <v>0</v>
      </c>
      <c r="AW64" s="220">
        <f t="shared" si="24"/>
        <v>0</v>
      </c>
      <c r="AX64" s="220">
        <f t="shared" si="25"/>
        <v>0</v>
      </c>
      <c r="AY64" s="220">
        <f t="shared" si="26"/>
        <v>0</v>
      </c>
      <c r="AZ64" s="220">
        <f t="shared" si="27"/>
        <v>0</v>
      </c>
      <c r="BA64" s="220">
        <f t="shared" si="28"/>
        <v>0</v>
      </c>
      <c r="BB64" s="220">
        <f t="shared" si="29"/>
        <v>0</v>
      </c>
      <c r="BC64" s="220">
        <f t="shared" si="30"/>
        <v>0</v>
      </c>
      <c r="BD64" s="220">
        <f t="shared" si="31"/>
        <v>0</v>
      </c>
      <c r="BE64" s="220">
        <f t="shared" si="32"/>
        <v>0</v>
      </c>
      <c r="BF64" s="220">
        <f t="shared" si="33"/>
        <v>0</v>
      </c>
      <c r="BG64" s="220">
        <f t="shared" si="34"/>
        <v>0</v>
      </c>
      <c r="BH64" s="220">
        <f t="shared" si="35"/>
        <v>0</v>
      </c>
      <c r="BI64" s="253">
        <f t="shared" si="36"/>
        <v>0</v>
      </c>
      <c r="BJ64" s="253">
        <f t="shared" si="37"/>
        <v>0</v>
      </c>
      <c r="BK64" s="253">
        <f t="shared" si="38"/>
        <v>0</v>
      </c>
      <c r="BL64" s="253">
        <f t="shared" si="39"/>
        <v>0</v>
      </c>
      <c r="BM64" s="253">
        <f t="shared" si="40"/>
        <v>0</v>
      </c>
      <c r="BN64" s="253">
        <f t="shared" si="41"/>
        <v>0</v>
      </c>
      <c r="BO64" s="253">
        <f t="shared" si="42"/>
        <v>0</v>
      </c>
      <c r="BP64" s="253">
        <f t="shared" si="43"/>
        <v>0</v>
      </c>
      <c r="BQ64" s="254">
        <f t="shared" si="44"/>
        <v>0</v>
      </c>
    </row>
    <row r="65" spans="2:69" ht="13.5" thickBot="1" x14ac:dyDescent="0.25">
      <c r="B65" s="259"/>
      <c r="C65" s="289"/>
      <c r="D65" s="290"/>
      <c r="E65" s="261"/>
      <c r="F65" s="261"/>
      <c r="G65" s="261"/>
      <c r="H65" s="261"/>
      <c r="I65" s="261"/>
      <c r="J65" s="261"/>
      <c r="K65" s="261"/>
      <c r="L65" s="261"/>
      <c r="M65" s="261"/>
      <c r="N65" s="261"/>
      <c r="O65" s="261"/>
      <c r="P65" s="261"/>
      <c r="Q65" s="261"/>
      <c r="R65" s="261"/>
      <c r="S65" s="261"/>
      <c r="T65" s="261"/>
      <c r="U65" s="261"/>
      <c r="V65" s="261"/>
      <c r="W65" s="261"/>
      <c r="X65" s="320"/>
      <c r="Z65" s="264"/>
      <c r="AA65" s="265"/>
      <c r="AB65" s="265"/>
      <c r="AC65" s="265"/>
      <c r="AD65" s="265"/>
      <c r="AE65" s="265"/>
      <c r="AF65" s="265"/>
      <c r="AG65" s="265"/>
      <c r="AH65" s="265"/>
      <c r="AI65" s="265"/>
      <c r="AJ65" s="265"/>
      <c r="AK65" s="265"/>
      <c r="AL65" s="265"/>
      <c r="AM65" s="265"/>
      <c r="AN65" s="265"/>
      <c r="AO65" s="265"/>
      <c r="AP65" s="265"/>
      <c r="AQ65" s="265"/>
      <c r="AR65" s="265"/>
      <c r="AS65" s="265"/>
      <c r="AT65" s="266"/>
      <c r="AV65" s="267">
        <f t="shared" si="23"/>
        <v>0</v>
      </c>
      <c r="AW65" s="268">
        <f t="shared" si="24"/>
        <v>0</v>
      </c>
      <c r="AX65" s="268">
        <f t="shared" si="25"/>
        <v>0</v>
      </c>
      <c r="AY65" s="268">
        <f t="shared" si="26"/>
        <v>0</v>
      </c>
      <c r="AZ65" s="268">
        <f t="shared" si="27"/>
        <v>0</v>
      </c>
      <c r="BA65" s="268">
        <f t="shared" si="28"/>
        <v>0</v>
      </c>
      <c r="BB65" s="268">
        <f t="shared" si="29"/>
        <v>0</v>
      </c>
      <c r="BC65" s="268">
        <f t="shared" si="30"/>
        <v>0</v>
      </c>
      <c r="BD65" s="268">
        <f t="shared" si="31"/>
        <v>0</v>
      </c>
      <c r="BE65" s="268">
        <f t="shared" si="32"/>
        <v>0</v>
      </c>
      <c r="BF65" s="268">
        <f t="shared" si="33"/>
        <v>0</v>
      </c>
      <c r="BG65" s="268">
        <f t="shared" si="34"/>
        <v>0</v>
      </c>
      <c r="BH65" s="268">
        <f t="shared" si="35"/>
        <v>0</v>
      </c>
      <c r="BI65" s="269">
        <f t="shared" si="36"/>
        <v>0</v>
      </c>
      <c r="BJ65" s="269">
        <f t="shared" si="37"/>
        <v>0</v>
      </c>
      <c r="BK65" s="269">
        <f t="shared" si="38"/>
        <v>0</v>
      </c>
      <c r="BL65" s="269">
        <f t="shared" si="39"/>
        <v>0</v>
      </c>
      <c r="BM65" s="269">
        <f t="shared" si="40"/>
        <v>0</v>
      </c>
      <c r="BN65" s="269">
        <f t="shared" si="41"/>
        <v>0</v>
      </c>
      <c r="BO65" s="269">
        <f t="shared" si="42"/>
        <v>0</v>
      </c>
      <c r="BP65" s="269">
        <f t="shared" si="43"/>
        <v>0</v>
      </c>
      <c r="BQ65" s="270">
        <f t="shared" si="44"/>
        <v>0</v>
      </c>
    </row>
    <row r="66" spans="2:69" ht="13.5" thickBot="1" x14ac:dyDescent="0.25">
      <c r="B66" s="271"/>
      <c r="C66" s="151"/>
      <c r="Z66" s="272">
        <f t="shared" ref="Z66:AL66" si="45">SUM(Z6:Z65)</f>
        <v>365938.91721318808</v>
      </c>
      <c r="AA66" s="272">
        <f t="shared" si="45"/>
        <v>1235940224.1841166</v>
      </c>
      <c r="AB66" s="272">
        <f t="shared" si="45"/>
        <v>2661223693.0817952</v>
      </c>
      <c r="AC66" s="272">
        <f t="shared" si="45"/>
        <v>0</v>
      </c>
      <c r="AD66" s="272">
        <f t="shared" si="45"/>
        <v>0</v>
      </c>
      <c r="AE66" s="272">
        <f t="shared" si="45"/>
        <v>1998672956.8881953</v>
      </c>
      <c r="AF66" s="272">
        <f t="shared" si="45"/>
        <v>0</v>
      </c>
      <c r="AG66" s="272">
        <f t="shared" si="45"/>
        <v>0</v>
      </c>
      <c r="AH66" s="272">
        <f t="shared" si="45"/>
        <v>0</v>
      </c>
      <c r="AI66" s="272">
        <f t="shared" si="45"/>
        <v>946704.44975214661</v>
      </c>
      <c r="AJ66" s="272">
        <f t="shared" si="45"/>
        <v>0</v>
      </c>
      <c r="AK66" s="272">
        <f t="shared" si="45"/>
        <v>1288686.2076889491</v>
      </c>
      <c r="AL66" s="272">
        <f t="shared" si="45"/>
        <v>2176828.85398266</v>
      </c>
      <c r="AM66" s="272">
        <f t="shared" ref="AM66:AT66" si="46">SUM(AM6:AM65)</f>
        <v>278510.92236634385</v>
      </c>
      <c r="AN66" s="272">
        <f t="shared" si="46"/>
        <v>467168.79569337569</v>
      </c>
      <c r="AO66" s="272">
        <f t="shared" si="46"/>
        <v>364966.73287545034</v>
      </c>
      <c r="AP66" s="272">
        <f t="shared" si="46"/>
        <v>0</v>
      </c>
      <c r="AQ66" s="272">
        <f t="shared" si="46"/>
        <v>1013688.2884133384</v>
      </c>
      <c r="AR66" s="272">
        <f t="shared" si="46"/>
        <v>1670241.1883880778</v>
      </c>
      <c r="AS66" s="272">
        <f t="shared" si="46"/>
        <v>1299163.2104853343</v>
      </c>
      <c r="AT66" s="272">
        <f t="shared" si="46"/>
        <v>0</v>
      </c>
      <c r="AV66" s="273">
        <f t="shared" ref="AV66:BQ66" si="47">SUM(AV6:AV65)</f>
        <v>49396893.475123942</v>
      </c>
      <c r="AW66" s="272">
        <f t="shared" si="47"/>
        <v>59483029.494779833</v>
      </c>
      <c r="AX66" s="272">
        <f t="shared" si="47"/>
        <v>92817919.200345561</v>
      </c>
      <c r="AY66" s="272">
        <f t="shared" si="47"/>
        <v>0</v>
      </c>
      <c r="AZ66" s="272">
        <f t="shared" si="47"/>
        <v>0</v>
      </c>
      <c r="BA66" s="272">
        <f t="shared" si="47"/>
        <v>32264266.106068905</v>
      </c>
      <c r="BB66" s="272">
        <f t="shared" si="47"/>
        <v>0</v>
      </c>
      <c r="BC66" s="272">
        <f t="shared" si="47"/>
        <v>0</v>
      </c>
      <c r="BD66" s="272">
        <f t="shared" si="47"/>
        <v>0</v>
      </c>
      <c r="BE66" s="272">
        <f t="shared" si="47"/>
        <v>53195994.610636592</v>
      </c>
      <c r="BF66" s="272">
        <f t="shared" si="47"/>
        <v>0</v>
      </c>
      <c r="BG66" s="272">
        <f t="shared" si="47"/>
        <v>3163260.9387527294</v>
      </c>
      <c r="BH66" s="272">
        <f t="shared" si="47"/>
        <v>2693789.3725784183</v>
      </c>
      <c r="BI66" s="272">
        <f t="shared" si="47"/>
        <v>30094.47141766025</v>
      </c>
      <c r="BJ66" s="272">
        <f t="shared" si="47"/>
        <v>34046.42919473644</v>
      </c>
      <c r="BK66" s="272">
        <f t="shared" si="47"/>
        <v>10474.050224021004</v>
      </c>
      <c r="BL66" s="272">
        <f t="shared" si="47"/>
        <v>0</v>
      </c>
      <c r="BM66" s="272">
        <f t="shared" si="47"/>
        <v>109621.8729301571</v>
      </c>
      <c r="BN66" s="272">
        <f t="shared" si="47"/>
        <v>121727.84602598342</v>
      </c>
      <c r="BO66" s="272">
        <f t="shared" si="47"/>
        <v>37269.095604287286</v>
      </c>
      <c r="BP66" s="272">
        <f t="shared" si="47"/>
        <v>0</v>
      </c>
      <c r="BQ66" s="272">
        <f t="shared" si="47"/>
        <v>293358386.96368277</v>
      </c>
    </row>
    <row r="67" spans="2:69" ht="13.5" thickTop="1" x14ac:dyDescent="0.2">
      <c r="B67" s="271"/>
      <c r="C67" s="151"/>
    </row>
    <row r="68" spans="2:69" x14ac:dyDescent="0.2">
      <c r="B68" s="271"/>
      <c r="C68" s="151"/>
      <c r="Z68" s="321"/>
      <c r="BQ68" s="321"/>
    </row>
    <row r="69" spans="2:69" x14ac:dyDescent="0.2">
      <c r="B69" s="271"/>
      <c r="C69" s="151"/>
      <c r="AV69" s="321"/>
      <c r="AW69" s="321"/>
      <c r="AX69" s="321"/>
      <c r="AY69" s="321"/>
      <c r="AZ69" s="321"/>
      <c r="BA69" s="321"/>
      <c r="BB69" s="321"/>
      <c r="BC69" s="321"/>
      <c r="BD69" s="321"/>
      <c r="BE69" s="321"/>
      <c r="BF69" s="321"/>
      <c r="BG69" s="321"/>
      <c r="BH69" s="321"/>
      <c r="BI69" s="321"/>
      <c r="BJ69" s="321"/>
      <c r="BK69" s="321"/>
      <c r="BL69" s="321"/>
      <c r="BM69" s="321"/>
      <c r="BN69" s="321"/>
      <c r="BO69" s="321"/>
      <c r="BP69" s="321"/>
      <c r="BQ69" s="321"/>
    </row>
    <row r="70" spans="2:69" x14ac:dyDescent="0.2">
      <c r="B70" s="271"/>
      <c r="C70" s="151"/>
      <c r="BQ70" s="321"/>
    </row>
    <row r="71" spans="2:69" x14ac:dyDescent="0.2">
      <c r="B71" s="271"/>
      <c r="C71" s="151"/>
      <c r="BQ71" s="321"/>
    </row>
    <row r="72" spans="2:69" x14ac:dyDescent="0.2">
      <c r="B72" s="271"/>
      <c r="C72" s="151"/>
    </row>
    <row r="73" spans="2:69" x14ac:dyDescent="0.2">
      <c r="B73" s="271"/>
      <c r="C73" s="151"/>
    </row>
    <row r="74" spans="2:69" x14ac:dyDescent="0.2">
      <c r="B74" s="271"/>
      <c r="C74" s="151"/>
    </row>
    <row r="75" spans="2:69" x14ac:dyDescent="0.2">
      <c r="B75" s="271"/>
      <c r="C75" s="151"/>
    </row>
    <row r="76" spans="2:69" x14ac:dyDescent="0.2">
      <c r="B76" s="271"/>
      <c r="C76" s="151"/>
    </row>
    <row r="77" spans="2:69" x14ac:dyDescent="0.2">
      <c r="B77" s="271"/>
      <c r="C77" s="151"/>
    </row>
    <row r="78" spans="2:69" x14ac:dyDescent="0.2">
      <c r="B78" s="271"/>
      <c r="C78" s="151"/>
    </row>
    <row r="79" spans="2:69" x14ac:dyDescent="0.2">
      <c r="B79" s="271"/>
      <c r="C79" s="151"/>
    </row>
    <row r="80" spans="2:69" x14ac:dyDescent="0.2">
      <c r="B80" s="271"/>
      <c r="C80" s="151"/>
    </row>
    <row r="81" spans="2:3" x14ac:dyDescent="0.2">
      <c r="B81" s="271"/>
      <c r="C81" s="151"/>
    </row>
    <row r="82" spans="2:3" x14ac:dyDescent="0.2">
      <c r="B82" s="271"/>
      <c r="C82" s="151"/>
    </row>
    <row r="83" spans="2:3" x14ac:dyDescent="0.2">
      <c r="B83" s="271"/>
      <c r="C83" s="151"/>
    </row>
    <row r="84" spans="2:3" x14ac:dyDescent="0.2">
      <c r="B84" s="271"/>
      <c r="C84" s="151"/>
    </row>
    <row r="85" spans="2:3" x14ac:dyDescent="0.2">
      <c r="B85" s="271"/>
      <c r="C85" s="151"/>
    </row>
    <row r="86" spans="2:3" x14ac:dyDescent="0.2">
      <c r="B86" s="271"/>
      <c r="C86" s="151"/>
    </row>
    <row r="87" spans="2:3" x14ac:dyDescent="0.2">
      <c r="B87" s="271"/>
      <c r="C87" s="151"/>
    </row>
    <row r="88" spans="2:3" x14ac:dyDescent="0.2">
      <c r="B88" s="271"/>
      <c r="C88" s="151"/>
    </row>
    <row r="89" spans="2:3" x14ac:dyDescent="0.2">
      <c r="B89" s="271"/>
      <c r="C89" s="151"/>
    </row>
    <row r="90" spans="2:3" x14ac:dyDescent="0.2">
      <c r="B90" s="271"/>
      <c r="C90" s="151"/>
    </row>
    <row r="91" spans="2:3" x14ac:dyDescent="0.2">
      <c r="B91" s="271"/>
      <c r="C91" s="151"/>
    </row>
    <row r="92" spans="2:3" x14ac:dyDescent="0.2">
      <c r="B92" s="271"/>
      <c r="C92" s="151"/>
    </row>
    <row r="93" spans="2:3" x14ac:dyDescent="0.2">
      <c r="B93" s="271"/>
      <c r="C93" s="151"/>
    </row>
    <row r="94" spans="2:3" x14ac:dyDescent="0.2">
      <c r="B94" s="271"/>
      <c r="C94" s="151"/>
    </row>
    <row r="95" spans="2:3" x14ac:dyDescent="0.2">
      <c r="B95" s="271"/>
      <c r="C95" s="151"/>
    </row>
    <row r="96" spans="2:3" x14ac:dyDescent="0.2">
      <c r="B96" s="271"/>
      <c r="C96" s="151"/>
    </row>
    <row r="97" spans="2:3" x14ac:dyDescent="0.2">
      <c r="B97" s="271"/>
      <c r="C97" s="151"/>
    </row>
    <row r="98" spans="2:3" x14ac:dyDescent="0.2">
      <c r="B98" s="271"/>
      <c r="C98" s="151"/>
    </row>
    <row r="99" spans="2:3" x14ac:dyDescent="0.2">
      <c r="B99" s="271"/>
      <c r="C99" s="151"/>
    </row>
    <row r="100" spans="2:3" x14ac:dyDescent="0.2">
      <c r="B100" s="271"/>
      <c r="C100" s="151"/>
    </row>
    <row r="101" spans="2:3" x14ac:dyDescent="0.2">
      <c r="B101" s="271"/>
      <c r="C101" s="151"/>
    </row>
    <row r="102" spans="2:3" x14ac:dyDescent="0.2">
      <c r="B102" s="271"/>
      <c r="C102" s="151"/>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1048575" man="1"/>
    <brk id="47" max="1048575"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1"/>
    <pageSetUpPr autoPageBreaks="0"/>
  </sheetPr>
  <dimension ref="B1:BQ105"/>
  <sheetViews>
    <sheetView zoomScale="80" zoomScaleNormal="80" workbookViewId="0">
      <pane xSplit="3" ySplit="5" topLeftCell="D6" activePane="bottomRight" state="frozen"/>
      <selection activeCell="B2" sqref="B2:D2"/>
      <selection pane="topRight" activeCell="B2" sqref="B2:D2"/>
      <selection pane="bottomLeft" activeCell="B2" sqref="B2:D2"/>
      <selection pane="bottomRight" activeCell="G10" sqref="G10"/>
    </sheetView>
  </sheetViews>
  <sheetFormatPr defaultRowHeight="12.75" x14ac:dyDescent="0.2"/>
  <cols>
    <col min="1" max="1" width="1.85546875" style="196" customWidth="1"/>
    <col min="2" max="2" width="45" style="196" customWidth="1"/>
    <col min="3" max="3" width="2.85546875" style="196" customWidth="1"/>
    <col min="4" max="4" width="12.7109375" style="196" bestFit="1" customWidth="1"/>
    <col min="5" max="6" width="10.5703125" style="196" bestFit="1" customWidth="1"/>
    <col min="7" max="7" width="18" style="196" customWidth="1"/>
    <col min="8" max="9" width="10.5703125" style="196" bestFit="1" customWidth="1"/>
    <col min="10" max="12" width="9.5703125" style="196" bestFit="1" customWidth="1"/>
    <col min="13" max="13" width="11.7109375" style="196" bestFit="1" customWidth="1"/>
    <col min="14" max="14" width="11.28515625" style="196" bestFit="1" customWidth="1"/>
    <col min="15" max="16" width="10.140625" style="196" bestFit="1" customWidth="1"/>
    <col min="17" max="22" width="10.140625" style="196" customWidth="1"/>
    <col min="23" max="23" width="12.28515625" style="196" customWidth="1"/>
    <col min="24" max="24" width="10.140625" style="196" customWidth="1"/>
    <col min="25" max="25" width="1.85546875" style="196" customWidth="1"/>
    <col min="26" max="26" width="17.5703125" style="196" customWidth="1"/>
    <col min="27" max="27" width="18.7109375" style="196" bestFit="1" customWidth="1"/>
    <col min="28" max="28" width="19.42578125" style="196" customWidth="1"/>
    <col min="29" max="30" width="16.7109375" style="196" bestFit="1" customWidth="1"/>
    <col min="31" max="31" width="19.5703125" style="196" customWidth="1"/>
    <col min="32" max="33" width="16.7109375" style="196" bestFit="1" customWidth="1"/>
    <col min="34" max="34" width="9.42578125" style="196" bestFit="1" customWidth="1"/>
    <col min="35" max="36" width="14.85546875" style="196" bestFit="1" customWidth="1"/>
    <col min="37" max="37" width="10.85546875" style="196" customWidth="1"/>
    <col min="38" max="38" width="11.140625" style="196" customWidth="1"/>
    <col min="39" max="41" width="14.85546875" style="196" bestFit="1" customWidth="1"/>
    <col min="42" max="42" width="10" style="196" customWidth="1"/>
    <col min="43" max="43" width="14.85546875" style="196" bestFit="1" customWidth="1"/>
    <col min="44" max="45" width="14.85546875" style="196" customWidth="1"/>
    <col min="46" max="46" width="10" style="196" customWidth="1"/>
    <col min="47" max="47" width="1.85546875" style="196" customWidth="1"/>
    <col min="48" max="48" width="14.28515625" style="196" customWidth="1"/>
    <col min="49" max="49" width="16.42578125" style="196" customWidth="1"/>
    <col min="50" max="50" width="16.28515625" style="196" customWidth="1"/>
    <col min="51" max="51" width="14.7109375" style="196" customWidth="1"/>
    <col min="52" max="52" width="13.5703125" style="196" bestFit="1" customWidth="1"/>
    <col min="53" max="53" width="14.28515625" style="196" customWidth="1"/>
    <col min="54" max="54" width="12.42578125" style="196" bestFit="1" customWidth="1"/>
    <col min="55" max="55" width="10.5703125" style="196" customWidth="1"/>
    <col min="56" max="56" width="10.85546875" style="196" customWidth="1"/>
    <col min="57" max="57" width="15.42578125" style="196" customWidth="1"/>
    <col min="58" max="58" width="12.42578125" style="196" bestFit="1" customWidth="1"/>
    <col min="59" max="59" width="11.42578125" style="196" customWidth="1"/>
    <col min="60" max="60" width="9.85546875" style="196" bestFit="1" customWidth="1"/>
    <col min="61" max="63" width="12.42578125" style="196" bestFit="1" customWidth="1"/>
    <col min="64" max="64" width="9.85546875" style="196" customWidth="1"/>
    <col min="65" max="67" width="12.42578125" style="196" customWidth="1"/>
    <col min="68" max="68" width="9.85546875" style="196" customWidth="1"/>
    <col min="69" max="69" width="16.85546875" style="196" customWidth="1"/>
    <col min="70" max="16384" width="9.140625" style="196"/>
  </cols>
  <sheetData>
    <row r="1" spans="2:69" ht="15" x14ac:dyDescent="0.25">
      <c r="B1" s="150" t="str">
        <f>"Tariff Approval - "&amp;'Model update'!C3</f>
        <v>Tariff Approval - CitiPower</v>
      </c>
      <c r="C1" s="150"/>
      <c r="F1" s="618"/>
    </row>
    <row r="2" spans="2:69" x14ac:dyDescent="0.2">
      <c r="D2" s="618"/>
      <c r="F2" s="618"/>
    </row>
    <row r="3" spans="2:69" x14ac:dyDescent="0.2">
      <c r="B3" s="223" t="str">
        <f>"PROPOSED "&amp;'Model update'!$C$5&amp;" TRANSMISSION TARIFFS"</f>
        <v>PROPOSED 2019 TRANSMISSION TARIFFS</v>
      </c>
      <c r="C3" s="223"/>
    </row>
    <row r="4" spans="2:69" ht="13.5" thickBot="1" x14ac:dyDescent="0.25">
      <c r="D4" s="225" t="str">
        <f>"Proposed Transmission Tariffs (Pt) for "&amp;'Model update'!$C$5</f>
        <v>Proposed Transmission Tariffs (Pt) for 2019</v>
      </c>
      <c r="E4" s="226"/>
      <c r="F4" s="226"/>
      <c r="G4" s="226"/>
      <c r="H4" s="182"/>
      <c r="I4" s="182"/>
      <c r="Z4" s="225" t="str">
        <f>"Forecast Quantities (Qt) for "&amp;'Model update'!$C$5</f>
        <v>Forecast Quantities (Qt) for 2019</v>
      </c>
      <c r="AA4" s="226"/>
      <c r="AB4" s="182"/>
      <c r="AV4" s="225" t="str">
        <f>"Forecast Revenue (Pt "&amp;'Model update'!$C$5&amp;")*(Qt " &amp;'Model update'!$C$5&amp;")"</f>
        <v>Forecast Revenue (Pt 2019)*(Qt 2019)</v>
      </c>
      <c r="AW4" s="226"/>
      <c r="AX4" s="226"/>
      <c r="AY4" s="182"/>
    </row>
    <row r="5" spans="2:69" ht="25.5" x14ac:dyDescent="0.2">
      <c r="B5" s="229" t="s">
        <v>128</v>
      </c>
      <c r="C5" s="278"/>
      <c r="D5" s="230" t="str">
        <f>Prop2019DistTar!D5</f>
        <v>PropTar
Fixed</v>
      </c>
      <c r="E5" s="231" t="str">
        <f>Prop2019DistTar!E5</f>
        <v>PropTar
Anytime</v>
      </c>
      <c r="F5" s="231" t="str">
        <f>Prop2019DistTar!F5</f>
        <v>PropTar
PkBlk</v>
      </c>
      <c r="G5" s="231"/>
      <c r="H5" s="231"/>
      <c r="I5" s="231" t="str">
        <f>Prop2019DistTar!I5</f>
        <v>PropTar
OPkBlk1</v>
      </c>
      <c r="J5" s="231"/>
      <c r="K5" s="231"/>
      <c r="L5" s="231"/>
      <c r="M5" s="231" t="str">
        <f>Prop2019DistTar!M5</f>
        <v>PropTar
Dem kVA</v>
      </c>
      <c r="N5" s="231" t="str">
        <f>Prop2019DistTar!N5</f>
        <v>PropTar
Dem kW</v>
      </c>
      <c r="O5" s="231" t="str">
        <f>Prop2019DistTar!O5</f>
        <v>PropTar
Dem kW Sum</v>
      </c>
      <c r="P5" s="231" t="str">
        <f>Prop2019DistTar!P5</f>
        <v>PropTar
Dem kW Win</v>
      </c>
      <c r="Q5" s="231" t="str">
        <f>Prop2019DistTar!Q5</f>
        <v>PropTar
SumBlk1</v>
      </c>
      <c r="R5" s="231" t="str">
        <f>Prop2019DistTar!R5</f>
        <v>PropTar
SumBlk2</v>
      </c>
      <c r="S5" s="231" t="str">
        <f>Prop2019DistTar!S5</f>
        <v>PropTar
SumBlk3</v>
      </c>
      <c r="T5" s="231"/>
      <c r="U5" s="231" t="str">
        <f>Prop2019DistTar!U5</f>
        <v>PropTar
WtrBlk1</v>
      </c>
      <c r="V5" s="231" t="str">
        <f>Prop2019DistTar!V5</f>
        <v>PropTar
WtrBlk2</v>
      </c>
      <c r="W5" s="231" t="str">
        <f>Prop2019DistTar!W5</f>
        <v>PropTar
WtrBlk3</v>
      </c>
      <c r="X5" s="233"/>
      <c r="Z5" s="230" t="str">
        <f>Prop2019DistTar!AV5</f>
        <v>FcastVol
Fixed</v>
      </c>
      <c r="AA5" s="231" t="str">
        <f>Prop2019DistTar!AW5</f>
        <v>FcastVol
Anytime</v>
      </c>
      <c r="AB5" s="231" t="str">
        <f>Prop2019DistTar!AX5</f>
        <v>FcastVol
Pk</v>
      </c>
      <c r="AC5" s="231"/>
      <c r="AD5" s="231"/>
      <c r="AE5" s="231" t="str">
        <f>Prop2019DistTar!BA5</f>
        <v>FcastVol
Opk</v>
      </c>
      <c r="AF5" s="231"/>
      <c r="AG5" s="231"/>
      <c r="AH5" s="231"/>
      <c r="AI5" s="231" t="str">
        <f>Prop2019DistTar!BE5</f>
        <v>FcastVol
Dem kVA</v>
      </c>
      <c r="AJ5" s="231" t="str">
        <f>Prop2019DistTar!BF5</f>
        <v>FcastVol
Dem kW</v>
      </c>
      <c r="AK5" s="231" t="str">
        <f>Prop2019DistTar!BG5</f>
        <v>FcastVol
Dem kW Sum</v>
      </c>
      <c r="AL5" s="231" t="str">
        <f>Prop2019DistTar!BH5</f>
        <v>FcastVol
Dem kW Win</v>
      </c>
      <c r="AM5" s="231" t="str">
        <f>Prop2019DistTar!BI5</f>
        <v>FcastVol
SumBlk1</v>
      </c>
      <c r="AN5" s="231" t="str">
        <f>Prop2019DistTar!BJ5</f>
        <v>FcastVol
SumBlk2</v>
      </c>
      <c r="AO5" s="231" t="str">
        <f>Prop2019DistTar!BK5</f>
        <v>FcastVol
SumBlk3</v>
      </c>
      <c r="AP5" s="231"/>
      <c r="AQ5" s="231" t="str">
        <f>Prop2019DistTar!BM5</f>
        <v>FcastVol
WtrBlk1</v>
      </c>
      <c r="AR5" s="231" t="str">
        <f>Prop2019DistTar!BN5</f>
        <v>FcastVol
WtrBlk2</v>
      </c>
      <c r="AS5" s="231" t="str">
        <f>Prop2019DistTar!BO5</f>
        <v>FcastVol
WtrBlk3</v>
      </c>
      <c r="AT5" s="233"/>
      <c r="AV5" s="230" t="str">
        <f>Prop2019DistTar!BR5</f>
        <v>PropRev
Fixed</v>
      </c>
      <c r="AW5" s="231" t="str">
        <f>Prop2019DistTar!BS5</f>
        <v>PropRev
Anytime</v>
      </c>
      <c r="AX5" s="231" t="str">
        <f>Prop2019DistTar!BT5</f>
        <v>PropRev
Pk</v>
      </c>
      <c r="AY5" s="231"/>
      <c r="AZ5" s="231"/>
      <c r="BA5" s="231" t="str">
        <f>Prop2019DistTar!BW5</f>
        <v>PropRev
Opk</v>
      </c>
      <c r="BB5" s="231"/>
      <c r="BC5" s="231"/>
      <c r="BD5" s="231"/>
      <c r="BE5" s="231" t="str">
        <f>Prop2019DistTar!CA5</f>
        <v>PropRev
Dem kVA</v>
      </c>
      <c r="BF5" s="231" t="str">
        <f>Prop2019DistTar!CB5</f>
        <v>PropRev
Dem kW</v>
      </c>
      <c r="BG5" s="231" t="str">
        <f>Prop2019DistTar!CC5</f>
        <v>PropRev
Dem kW Sum</v>
      </c>
      <c r="BH5" s="231" t="str">
        <f>Prop2019DistTar!CD5</f>
        <v>PropRev
Dem kW Win</v>
      </c>
      <c r="BI5" s="231" t="str">
        <f>Prop2019DistTar!CE5</f>
        <v>PropRev
SumBlk1</v>
      </c>
      <c r="BJ5" s="231" t="str">
        <f>Prop2019DistTar!CF5</f>
        <v>PropRev
SumBlk2</v>
      </c>
      <c r="BK5" s="231" t="str">
        <f>Prop2019DistTar!CG5</f>
        <v>PropRev
SumBlk3</v>
      </c>
      <c r="BL5" s="231"/>
      <c r="BM5" s="231" t="str">
        <f>Prop2019DistTar!CI5</f>
        <v>PropRev
WtrBlk1</v>
      </c>
      <c r="BN5" s="231" t="str">
        <f>Prop2019DistTar!CJ5</f>
        <v>PropRev
WtrBlk2</v>
      </c>
      <c r="BO5" s="231" t="str">
        <f>Prop2019DistTar!CK5</f>
        <v>PropRev
WtrBlk3</v>
      </c>
      <c r="BP5" s="231"/>
      <c r="BQ5" s="233" t="str">
        <f>Prop2019DistTar!CM5</f>
        <v>PropRev
Total</v>
      </c>
    </row>
    <row r="6" spans="2:69" x14ac:dyDescent="0.2">
      <c r="B6" s="234"/>
      <c r="C6" s="279"/>
      <c r="D6" s="657"/>
      <c r="E6" s="658"/>
      <c r="F6" s="658"/>
      <c r="G6" s="658"/>
      <c r="H6" s="658"/>
      <c r="I6" s="658"/>
      <c r="J6" s="658"/>
      <c r="K6" s="658"/>
      <c r="L6" s="658"/>
      <c r="M6" s="658"/>
      <c r="N6" s="658"/>
      <c r="O6" s="658"/>
      <c r="P6" s="658"/>
      <c r="Q6" s="658"/>
      <c r="R6" s="658"/>
      <c r="S6" s="658"/>
      <c r="T6" s="658"/>
      <c r="U6" s="658"/>
      <c r="V6" s="658"/>
      <c r="W6" s="658"/>
      <c r="X6" s="659"/>
      <c r="Z6" s="239"/>
      <c r="AA6" s="240"/>
      <c r="AB6" s="240"/>
      <c r="AC6" s="240"/>
      <c r="AD6" s="240"/>
      <c r="AE6" s="240"/>
      <c r="AF6" s="240"/>
      <c r="AG6" s="240"/>
      <c r="AH6" s="240"/>
      <c r="AI6" s="240"/>
      <c r="AJ6" s="240"/>
      <c r="AK6" s="240"/>
      <c r="AL6" s="240"/>
      <c r="AM6" s="240"/>
      <c r="AN6" s="240"/>
      <c r="AO6" s="240"/>
      <c r="AP6" s="240"/>
      <c r="AQ6" s="240"/>
      <c r="AR6" s="240"/>
      <c r="AS6" s="240"/>
      <c r="AT6" s="241"/>
      <c r="AV6" s="298">
        <f t="shared" ref="AV6" si="0">D6*Z6</f>
        <v>0</v>
      </c>
      <c r="AW6" s="299">
        <f t="shared" ref="AW6:BD6" si="1">E6/100*AA6</f>
        <v>0</v>
      </c>
      <c r="AX6" s="299">
        <f t="shared" si="1"/>
        <v>0</v>
      </c>
      <c r="AY6" s="299">
        <f t="shared" si="1"/>
        <v>0</v>
      </c>
      <c r="AZ6" s="299">
        <f t="shared" si="1"/>
        <v>0</v>
      </c>
      <c r="BA6" s="299">
        <f t="shared" si="1"/>
        <v>0</v>
      </c>
      <c r="BB6" s="299">
        <f t="shared" si="1"/>
        <v>0</v>
      </c>
      <c r="BC6" s="299">
        <f t="shared" si="1"/>
        <v>0</v>
      </c>
      <c r="BD6" s="299">
        <f t="shared" si="1"/>
        <v>0</v>
      </c>
      <c r="BE6" s="299">
        <f t="shared" ref="BE6:BH6" si="2">M6*AI6</f>
        <v>0</v>
      </c>
      <c r="BF6" s="299">
        <f t="shared" si="2"/>
        <v>0</v>
      </c>
      <c r="BG6" s="299">
        <f t="shared" si="2"/>
        <v>0</v>
      </c>
      <c r="BH6" s="299">
        <f t="shared" si="2"/>
        <v>0</v>
      </c>
      <c r="BI6" s="300">
        <f t="shared" ref="BI6:BP6" si="3">Q6/100*AM6</f>
        <v>0</v>
      </c>
      <c r="BJ6" s="300">
        <f t="shared" si="3"/>
        <v>0</v>
      </c>
      <c r="BK6" s="300">
        <f t="shared" si="3"/>
        <v>0</v>
      </c>
      <c r="BL6" s="300">
        <f t="shared" si="3"/>
        <v>0</v>
      </c>
      <c r="BM6" s="300">
        <f t="shared" si="3"/>
        <v>0</v>
      </c>
      <c r="BN6" s="300">
        <f t="shared" si="3"/>
        <v>0</v>
      </c>
      <c r="BO6" s="300">
        <f t="shared" si="3"/>
        <v>0</v>
      </c>
      <c r="BP6" s="300">
        <f t="shared" si="3"/>
        <v>0</v>
      </c>
      <c r="BQ6" s="243">
        <f>SUM(AV6:BP6)</f>
        <v>0</v>
      </c>
    </row>
    <row r="7" spans="2:69" x14ac:dyDescent="0.2">
      <c r="B7" s="234" t="str">
        <f>Prop2019DistTar!B7</f>
        <v>Residential Single Rate</v>
      </c>
      <c r="C7" s="284"/>
      <c r="D7" s="791">
        <v>0</v>
      </c>
      <c r="E7" s="787">
        <v>1.82</v>
      </c>
      <c r="F7" s="787">
        <v>0</v>
      </c>
      <c r="G7" s="787">
        <v>0</v>
      </c>
      <c r="H7" s="787">
        <v>0</v>
      </c>
      <c r="I7" s="787">
        <v>0</v>
      </c>
      <c r="J7" s="787">
        <v>0</v>
      </c>
      <c r="K7" s="787">
        <v>0</v>
      </c>
      <c r="L7" s="787">
        <v>0</v>
      </c>
      <c r="M7" s="787">
        <v>0</v>
      </c>
      <c r="N7" s="787">
        <v>0</v>
      </c>
      <c r="O7" s="787">
        <v>0</v>
      </c>
      <c r="P7" s="787">
        <v>0</v>
      </c>
      <c r="Q7" s="787">
        <v>0</v>
      </c>
      <c r="R7" s="787">
        <v>0</v>
      </c>
      <c r="S7" s="787">
        <v>0</v>
      </c>
      <c r="T7" s="787">
        <v>0</v>
      </c>
      <c r="U7" s="787">
        <v>0</v>
      </c>
      <c r="V7" s="787">
        <v>0</v>
      </c>
      <c r="W7" s="787">
        <v>0</v>
      </c>
      <c r="X7" s="792">
        <v>0</v>
      </c>
      <c r="Z7" s="249">
        <f>Prop2019DistTar!AV7</f>
        <v>205044.5</v>
      </c>
      <c r="AA7" s="250">
        <f>Prop2019DistTar!AW7</f>
        <v>853857291.19384253</v>
      </c>
      <c r="AB7" s="250">
        <f>Prop2019DistTar!AX7</f>
        <v>0</v>
      </c>
      <c r="AC7" s="250">
        <f>Prop2019DistTar!AY7</f>
        <v>0</v>
      </c>
      <c r="AD7" s="250">
        <f>Prop2019DistTar!AZ7</f>
        <v>0</v>
      </c>
      <c r="AE7" s="250">
        <f>Prop2019DistTar!BA7</f>
        <v>0</v>
      </c>
      <c r="AF7" s="250">
        <f>Prop2019DistTar!BB7</f>
        <v>0</v>
      </c>
      <c r="AG7" s="250">
        <f>Prop2019DistTar!BC7</f>
        <v>0</v>
      </c>
      <c r="AH7" s="250">
        <f>Prop2019DistTar!BD7</f>
        <v>0</v>
      </c>
      <c r="AI7" s="250">
        <f>Prop2019DistTar!BE7</f>
        <v>0</v>
      </c>
      <c r="AJ7" s="250">
        <f>Prop2019DistTar!BF7</f>
        <v>0</v>
      </c>
      <c r="AK7" s="250">
        <f>Prop2019DistTar!BG7</f>
        <v>0</v>
      </c>
      <c r="AL7" s="250">
        <f>Prop2019DistTar!BH7</f>
        <v>0</v>
      </c>
      <c r="AM7" s="250">
        <f>Prop2019DistTar!BI7</f>
        <v>0</v>
      </c>
      <c r="AN7" s="250">
        <f>Prop2019DistTar!BJ7</f>
        <v>0</v>
      </c>
      <c r="AO7" s="250">
        <f>Prop2019DistTar!BK7</f>
        <v>0</v>
      </c>
      <c r="AP7" s="250">
        <f>Prop2019DistTar!BL7</f>
        <v>0</v>
      </c>
      <c r="AQ7" s="250">
        <f>Prop2019DistTar!BM7</f>
        <v>0</v>
      </c>
      <c r="AR7" s="250">
        <f>Prop2019DistTar!BN7</f>
        <v>0</v>
      </c>
      <c r="AS7" s="250">
        <f>Prop2019DistTar!BO7</f>
        <v>0</v>
      </c>
      <c r="AT7" s="251">
        <f>Prop2019DistTar!BP7</f>
        <v>0</v>
      </c>
      <c r="AV7" s="301">
        <f t="shared" ref="AV7:AV65" si="4">D7*Z7</f>
        <v>0</v>
      </c>
      <c r="AW7" s="302">
        <f t="shared" ref="AW7:AW65" si="5">E7/100*AA7</f>
        <v>15540202.699727936</v>
      </c>
      <c r="AX7" s="302">
        <f t="shared" ref="AX7:AX65" si="6">F7/100*AB7</f>
        <v>0</v>
      </c>
      <c r="AY7" s="302">
        <f t="shared" ref="AY7:AY65" si="7">G7/100*AC7</f>
        <v>0</v>
      </c>
      <c r="AZ7" s="302">
        <f t="shared" ref="AZ7:AZ65" si="8">H7/100*AD7</f>
        <v>0</v>
      </c>
      <c r="BA7" s="302">
        <f t="shared" ref="BA7:BA65" si="9">I7/100*AE7</f>
        <v>0</v>
      </c>
      <c r="BB7" s="302">
        <f t="shared" ref="BB7:BB65" si="10">J7/100*AF7</f>
        <v>0</v>
      </c>
      <c r="BC7" s="302">
        <f t="shared" ref="BC7:BC65" si="11">K7/100*AG7</f>
        <v>0</v>
      </c>
      <c r="BD7" s="302">
        <f t="shared" ref="BD7:BD65" si="12">L7/100*AH7</f>
        <v>0</v>
      </c>
      <c r="BE7" s="302">
        <f t="shared" ref="BE7:BE65" si="13">M7*AI7</f>
        <v>0</v>
      </c>
      <c r="BF7" s="302">
        <f t="shared" ref="BF7:BF65" si="14">N7*AJ7</f>
        <v>0</v>
      </c>
      <c r="BG7" s="302">
        <f t="shared" ref="BG7:BG65" si="15">O7*AK7</f>
        <v>0</v>
      </c>
      <c r="BH7" s="302">
        <f t="shared" ref="BH7:BH65" si="16">P7*AL7</f>
        <v>0</v>
      </c>
      <c r="BI7" s="303">
        <f t="shared" ref="BI7:BI65" si="17">Q7/100*AM7</f>
        <v>0</v>
      </c>
      <c r="BJ7" s="303">
        <f t="shared" ref="BJ7:BJ65" si="18">R7/100*AN7</f>
        <v>0</v>
      </c>
      <c r="BK7" s="303">
        <f t="shared" ref="BK7:BK65" si="19">S7/100*AO7</f>
        <v>0</v>
      </c>
      <c r="BL7" s="303">
        <f t="shared" ref="BL7:BL65" si="20">T7/100*AP7</f>
        <v>0</v>
      </c>
      <c r="BM7" s="303">
        <f t="shared" ref="BM7:BM65" si="21">U7/100*AQ7</f>
        <v>0</v>
      </c>
      <c r="BN7" s="303">
        <f t="shared" ref="BN7:BN65" si="22">V7/100*AR7</f>
        <v>0</v>
      </c>
      <c r="BO7" s="303">
        <f t="shared" ref="BO7:BO65" si="23">W7/100*AS7</f>
        <v>0</v>
      </c>
      <c r="BP7" s="303">
        <f t="shared" ref="BP7:BP65" si="24">X7/100*AT7</f>
        <v>0</v>
      </c>
      <c r="BQ7" s="254">
        <f t="shared" ref="BQ7:BQ65" si="25">SUM(AV7:BP7)</f>
        <v>15540202.699727936</v>
      </c>
    </row>
    <row r="8" spans="2:69" x14ac:dyDescent="0.2">
      <c r="B8" s="234" t="str">
        <f>Prop2019DistTar!B8</f>
        <v>Residential Single Rate - Bulk</v>
      </c>
      <c r="C8" s="284"/>
      <c r="D8" s="791">
        <v>0</v>
      </c>
      <c r="E8" s="787">
        <v>0.84</v>
      </c>
      <c r="F8" s="787">
        <v>0</v>
      </c>
      <c r="G8" s="787">
        <v>0</v>
      </c>
      <c r="H8" s="787">
        <v>0</v>
      </c>
      <c r="I8" s="787">
        <v>0</v>
      </c>
      <c r="J8" s="787">
        <v>0</v>
      </c>
      <c r="K8" s="787">
        <v>0</v>
      </c>
      <c r="L8" s="787">
        <v>0</v>
      </c>
      <c r="M8" s="787">
        <v>0</v>
      </c>
      <c r="N8" s="787">
        <v>0</v>
      </c>
      <c r="O8" s="787">
        <v>0</v>
      </c>
      <c r="P8" s="787">
        <v>0</v>
      </c>
      <c r="Q8" s="787">
        <v>0</v>
      </c>
      <c r="R8" s="787">
        <v>0</v>
      </c>
      <c r="S8" s="787">
        <v>0</v>
      </c>
      <c r="T8" s="787">
        <v>0</v>
      </c>
      <c r="U8" s="787">
        <v>0</v>
      </c>
      <c r="V8" s="787">
        <v>0</v>
      </c>
      <c r="W8" s="787">
        <v>0</v>
      </c>
      <c r="X8" s="792">
        <v>0</v>
      </c>
      <c r="Z8" s="276">
        <f>Prop2019DistTar!AV8</f>
        <v>31480.916666666668</v>
      </c>
      <c r="AA8" s="250">
        <f>Prop2019DistTar!AW8</f>
        <v>106631799.39951396</v>
      </c>
      <c r="AB8" s="250">
        <f>Prop2019DistTar!AX8</f>
        <v>0</v>
      </c>
      <c r="AC8" s="250">
        <f>Prop2019DistTar!AY8</f>
        <v>0</v>
      </c>
      <c r="AD8" s="250">
        <f>Prop2019DistTar!AZ8</f>
        <v>0</v>
      </c>
      <c r="AE8" s="250">
        <f>Prop2019DistTar!BA8</f>
        <v>0</v>
      </c>
      <c r="AF8" s="250">
        <f>Prop2019DistTar!BB8</f>
        <v>0</v>
      </c>
      <c r="AG8" s="250">
        <f>Prop2019DistTar!BC8</f>
        <v>0</v>
      </c>
      <c r="AH8" s="250">
        <f>Prop2019DistTar!BD8</f>
        <v>0</v>
      </c>
      <c r="AI8" s="250">
        <f>Prop2019DistTar!BE8</f>
        <v>0</v>
      </c>
      <c r="AJ8" s="250">
        <f>Prop2019DistTar!BF8</f>
        <v>0</v>
      </c>
      <c r="AK8" s="250">
        <f>Prop2019DistTar!BG8</f>
        <v>0</v>
      </c>
      <c r="AL8" s="250">
        <f>Prop2019DistTar!BH8</f>
        <v>0</v>
      </c>
      <c r="AM8" s="250">
        <f>Prop2019DistTar!BI8</f>
        <v>0</v>
      </c>
      <c r="AN8" s="250">
        <f>Prop2019DistTar!BJ8</f>
        <v>0</v>
      </c>
      <c r="AO8" s="250">
        <f>Prop2019DistTar!BK8</f>
        <v>0</v>
      </c>
      <c r="AP8" s="250">
        <f>Prop2019DistTar!BL8</f>
        <v>0</v>
      </c>
      <c r="AQ8" s="250">
        <f>Prop2019DistTar!BM8</f>
        <v>0</v>
      </c>
      <c r="AR8" s="250">
        <f>Prop2019DistTar!BN8</f>
        <v>0</v>
      </c>
      <c r="AS8" s="250">
        <f>Prop2019DistTar!BO8</f>
        <v>0</v>
      </c>
      <c r="AT8" s="251">
        <f>Prop2019DistTar!BP8</f>
        <v>0</v>
      </c>
      <c r="AV8" s="301">
        <f t="shared" si="4"/>
        <v>0</v>
      </c>
      <c r="AW8" s="302">
        <f t="shared" si="5"/>
        <v>895707.11495591723</v>
      </c>
      <c r="AX8" s="302">
        <f t="shared" si="6"/>
        <v>0</v>
      </c>
      <c r="AY8" s="302">
        <f t="shared" si="7"/>
        <v>0</v>
      </c>
      <c r="AZ8" s="302">
        <f t="shared" si="8"/>
        <v>0</v>
      </c>
      <c r="BA8" s="302">
        <f t="shared" si="9"/>
        <v>0</v>
      </c>
      <c r="BB8" s="302">
        <f t="shared" si="10"/>
        <v>0</v>
      </c>
      <c r="BC8" s="302">
        <f t="shared" si="11"/>
        <v>0</v>
      </c>
      <c r="BD8" s="302">
        <f t="shared" si="12"/>
        <v>0</v>
      </c>
      <c r="BE8" s="302">
        <f t="shared" si="13"/>
        <v>0</v>
      </c>
      <c r="BF8" s="302">
        <f t="shared" si="14"/>
        <v>0</v>
      </c>
      <c r="BG8" s="302">
        <f t="shared" si="15"/>
        <v>0</v>
      </c>
      <c r="BH8" s="302">
        <f t="shared" si="16"/>
        <v>0</v>
      </c>
      <c r="BI8" s="303">
        <f t="shared" si="17"/>
        <v>0</v>
      </c>
      <c r="BJ8" s="303">
        <f t="shared" si="18"/>
        <v>0</v>
      </c>
      <c r="BK8" s="303">
        <f t="shared" si="19"/>
        <v>0</v>
      </c>
      <c r="BL8" s="303">
        <f t="shared" si="20"/>
        <v>0</v>
      </c>
      <c r="BM8" s="303">
        <f t="shared" si="21"/>
        <v>0</v>
      </c>
      <c r="BN8" s="303">
        <f t="shared" si="22"/>
        <v>0</v>
      </c>
      <c r="BO8" s="303">
        <f t="shared" si="23"/>
        <v>0</v>
      </c>
      <c r="BP8" s="303">
        <f t="shared" si="24"/>
        <v>0</v>
      </c>
      <c r="BQ8" s="254">
        <f t="shared" si="25"/>
        <v>895707.11495591723</v>
      </c>
    </row>
    <row r="9" spans="2:69" x14ac:dyDescent="0.2">
      <c r="B9" s="234" t="str">
        <f>Prop2019DistTar!B9</f>
        <v>Residential - flexible pricing</v>
      </c>
      <c r="C9" s="284"/>
      <c r="D9" s="791">
        <v>0</v>
      </c>
      <c r="E9" s="787">
        <v>0</v>
      </c>
      <c r="F9" s="787">
        <v>0</v>
      </c>
      <c r="G9" s="787">
        <v>0</v>
      </c>
      <c r="H9" s="787">
        <v>0</v>
      </c>
      <c r="I9" s="787">
        <v>0</v>
      </c>
      <c r="J9" s="787">
        <v>0</v>
      </c>
      <c r="K9" s="787">
        <v>0</v>
      </c>
      <c r="L9" s="787">
        <v>0</v>
      </c>
      <c r="M9" s="787">
        <v>0</v>
      </c>
      <c r="N9" s="787">
        <v>0</v>
      </c>
      <c r="O9" s="787">
        <v>0</v>
      </c>
      <c r="P9" s="787">
        <v>0</v>
      </c>
      <c r="Q9" s="787">
        <v>2.17</v>
      </c>
      <c r="R9" s="787">
        <v>1.46</v>
      </c>
      <c r="S9" s="787">
        <v>0.56999999999999995</v>
      </c>
      <c r="T9" s="787">
        <v>0</v>
      </c>
      <c r="U9" s="787">
        <v>2.17</v>
      </c>
      <c r="V9" s="787">
        <v>1.46</v>
      </c>
      <c r="W9" s="787">
        <v>0.56999999999999995</v>
      </c>
      <c r="X9" s="792">
        <v>0</v>
      </c>
      <c r="Z9" s="276">
        <f>Prop2019DistTar!AV9</f>
        <v>693.41666666666663</v>
      </c>
      <c r="AA9" s="250">
        <f>Prop2019DistTar!AW9</f>
        <v>0</v>
      </c>
      <c r="AB9" s="250">
        <f>Prop2019DistTar!AX9</f>
        <v>0</v>
      </c>
      <c r="AC9" s="250">
        <f>Prop2019DistTar!AY9</f>
        <v>0</v>
      </c>
      <c r="AD9" s="250">
        <f>Prop2019DistTar!AZ9</f>
        <v>0</v>
      </c>
      <c r="AE9" s="250">
        <f>Prop2019DistTar!BA9</f>
        <v>0</v>
      </c>
      <c r="AF9" s="250">
        <f>Prop2019DistTar!BB9</f>
        <v>0</v>
      </c>
      <c r="AG9" s="250">
        <f>Prop2019DistTar!BC9</f>
        <v>0</v>
      </c>
      <c r="AH9" s="250">
        <f>Prop2019DistTar!BD9</f>
        <v>0</v>
      </c>
      <c r="AI9" s="250">
        <f>Prop2019DistTar!BE9</f>
        <v>0</v>
      </c>
      <c r="AJ9" s="250">
        <f>Prop2019DistTar!BF9</f>
        <v>0</v>
      </c>
      <c r="AK9" s="250">
        <f>Prop2019DistTar!BG9</f>
        <v>0</v>
      </c>
      <c r="AL9" s="250">
        <f>Prop2019DistTar!BH9</f>
        <v>0</v>
      </c>
      <c r="AM9" s="250">
        <f>Prop2019DistTar!BI9</f>
        <v>205405.52138504913</v>
      </c>
      <c r="AN9" s="250">
        <f>Prop2019DistTar!BJ9</f>
        <v>427210.15422574908</v>
      </c>
      <c r="AO9" s="250">
        <f>Prop2019DistTar!BK9</f>
        <v>316794.33869324729</v>
      </c>
      <c r="AP9" s="250">
        <f>Prop2019DistTar!BL9</f>
        <v>0</v>
      </c>
      <c r="AQ9" s="250">
        <f>Prop2019DistTar!BM9</f>
        <v>740099.69108086498</v>
      </c>
      <c r="AR9" s="250">
        <f>Prop2019DistTar!BN9</f>
        <v>1539287.2647098142</v>
      </c>
      <c r="AS9" s="250">
        <f>Prop2019DistTar!BO9</f>
        <v>1141446.3964847678</v>
      </c>
      <c r="AT9" s="251">
        <f>Prop2019DistTar!BP9</f>
        <v>0</v>
      </c>
      <c r="AV9" s="301">
        <f t="shared" si="4"/>
        <v>0</v>
      </c>
      <c r="AW9" s="302">
        <f t="shared" si="5"/>
        <v>0</v>
      </c>
      <c r="AX9" s="302">
        <f t="shared" si="6"/>
        <v>0</v>
      </c>
      <c r="AY9" s="302">
        <f t="shared" si="7"/>
        <v>0</v>
      </c>
      <c r="AZ9" s="302">
        <f t="shared" si="8"/>
        <v>0</v>
      </c>
      <c r="BA9" s="302">
        <f t="shared" si="9"/>
        <v>0</v>
      </c>
      <c r="BB9" s="302">
        <f t="shared" si="10"/>
        <v>0</v>
      </c>
      <c r="BC9" s="302">
        <f t="shared" si="11"/>
        <v>0</v>
      </c>
      <c r="BD9" s="302">
        <f t="shared" si="12"/>
        <v>0</v>
      </c>
      <c r="BE9" s="302">
        <f t="shared" si="13"/>
        <v>0</v>
      </c>
      <c r="BF9" s="302">
        <f t="shared" si="14"/>
        <v>0</v>
      </c>
      <c r="BG9" s="302">
        <f t="shared" si="15"/>
        <v>0</v>
      </c>
      <c r="BH9" s="302">
        <f t="shared" si="16"/>
        <v>0</v>
      </c>
      <c r="BI9" s="303">
        <f t="shared" si="17"/>
        <v>4457.2998140555665</v>
      </c>
      <c r="BJ9" s="303">
        <f t="shared" si="18"/>
        <v>6237.2682516959367</v>
      </c>
      <c r="BK9" s="303">
        <f t="shared" si="19"/>
        <v>1805.7277305515095</v>
      </c>
      <c r="BL9" s="303">
        <f t="shared" si="20"/>
        <v>0</v>
      </c>
      <c r="BM9" s="303">
        <f t="shared" si="21"/>
        <v>16060.16329645477</v>
      </c>
      <c r="BN9" s="303">
        <f t="shared" si="22"/>
        <v>22473.594064763289</v>
      </c>
      <c r="BO9" s="303">
        <f t="shared" si="23"/>
        <v>6506.2444599631754</v>
      </c>
      <c r="BP9" s="303">
        <f t="shared" si="24"/>
        <v>0</v>
      </c>
      <c r="BQ9" s="254">
        <f t="shared" si="25"/>
        <v>57540.297617484248</v>
      </c>
    </row>
    <row r="10" spans="2:69" x14ac:dyDescent="0.2">
      <c r="B10" s="234" t="str">
        <f>Prop2019DistTar!B10</f>
        <v>Residential - flexible pricing bulk</v>
      </c>
      <c r="C10" s="284"/>
      <c r="D10" s="791">
        <v>0</v>
      </c>
      <c r="E10" s="787">
        <v>0</v>
      </c>
      <c r="F10" s="787">
        <v>0</v>
      </c>
      <c r="G10" s="787">
        <v>0</v>
      </c>
      <c r="H10" s="787">
        <v>0</v>
      </c>
      <c r="I10" s="787">
        <v>0</v>
      </c>
      <c r="J10" s="787">
        <v>0</v>
      </c>
      <c r="K10" s="787">
        <v>0</v>
      </c>
      <c r="L10" s="787">
        <v>0</v>
      </c>
      <c r="M10" s="787">
        <v>0</v>
      </c>
      <c r="N10" s="787">
        <v>0</v>
      </c>
      <c r="O10" s="787">
        <v>0</v>
      </c>
      <c r="P10" s="787">
        <v>0</v>
      </c>
      <c r="Q10" s="787">
        <v>1.82</v>
      </c>
      <c r="R10" s="787">
        <v>1.22</v>
      </c>
      <c r="S10" s="787">
        <v>0.48</v>
      </c>
      <c r="T10" s="787">
        <v>0</v>
      </c>
      <c r="U10" s="787">
        <v>1.82</v>
      </c>
      <c r="V10" s="787">
        <v>1.22</v>
      </c>
      <c r="W10" s="787">
        <v>0.48</v>
      </c>
      <c r="X10" s="792">
        <v>0</v>
      </c>
      <c r="Z10" s="276">
        <f>Prop2019DistTar!AV10</f>
        <v>90</v>
      </c>
      <c r="AA10" s="250">
        <f>Prop2019DistTar!AW10</f>
        <v>0</v>
      </c>
      <c r="AB10" s="250">
        <f>Prop2019DistTar!AX10</f>
        <v>0</v>
      </c>
      <c r="AC10" s="250">
        <f>Prop2019DistTar!AY10</f>
        <v>0</v>
      </c>
      <c r="AD10" s="250">
        <f>Prop2019DistTar!AZ10</f>
        <v>0</v>
      </c>
      <c r="AE10" s="250">
        <f>Prop2019DistTar!BA10</f>
        <v>0</v>
      </c>
      <c r="AF10" s="250">
        <f>Prop2019DistTar!BB10</f>
        <v>0</v>
      </c>
      <c r="AG10" s="250">
        <f>Prop2019DistTar!BC10</f>
        <v>0</v>
      </c>
      <c r="AH10" s="250">
        <f>Prop2019DistTar!BD10</f>
        <v>0</v>
      </c>
      <c r="AI10" s="250">
        <f>Prop2019DistTar!BE10</f>
        <v>0</v>
      </c>
      <c r="AJ10" s="250">
        <f>Prop2019DistTar!BF10</f>
        <v>0</v>
      </c>
      <c r="AK10" s="250">
        <f>Prop2019DistTar!BG10</f>
        <v>0</v>
      </c>
      <c r="AL10" s="250">
        <f>Prop2019DistTar!BH10</f>
        <v>0</v>
      </c>
      <c r="AM10" s="250">
        <f>Prop2019DistTar!BI10</f>
        <v>15231.12129347165</v>
      </c>
      <c r="AN10" s="250">
        <f>Prop2019DistTar!BJ10</f>
        <v>32311.930045800349</v>
      </c>
      <c r="AO10" s="250">
        <f>Prop2019DistTar!BK10</f>
        <v>23662.580933605816</v>
      </c>
      <c r="AP10" s="250">
        <f>Prop2019DistTar!BL10</f>
        <v>0</v>
      </c>
      <c r="AQ10" s="250">
        <f>Prop2019DistTar!BM10</f>
        <v>55378.784196646673</v>
      </c>
      <c r="AR10" s="250">
        <f>Prop2019DistTar!BN10</f>
        <v>117482.84098758313</v>
      </c>
      <c r="AS10" s="250">
        <f>Prop2019DistTar!BO10</f>
        <v>86034.700781977721</v>
      </c>
      <c r="AT10" s="251">
        <f>Prop2019DistTar!BP10</f>
        <v>0</v>
      </c>
      <c r="AV10" s="301">
        <f t="shared" si="4"/>
        <v>0</v>
      </c>
      <c r="AW10" s="302">
        <f t="shared" si="5"/>
        <v>0</v>
      </c>
      <c r="AX10" s="302">
        <f t="shared" si="6"/>
        <v>0</v>
      </c>
      <c r="AY10" s="302">
        <f t="shared" si="7"/>
        <v>0</v>
      </c>
      <c r="AZ10" s="302">
        <f t="shared" si="8"/>
        <v>0</v>
      </c>
      <c r="BA10" s="302">
        <f t="shared" si="9"/>
        <v>0</v>
      </c>
      <c r="BB10" s="302">
        <f t="shared" si="10"/>
        <v>0</v>
      </c>
      <c r="BC10" s="302">
        <f t="shared" si="11"/>
        <v>0</v>
      </c>
      <c r="BD10" s="302">
        <f t="shared" si="12"/>
        <v>0</v>
      </c>
      <c r="BE10" s="302">
        <f t="shared" si="13"/>
        <v>0</v>
      </c>
      <c r="BF10" s="302">
        <f t="shared" si="14"/>
        <v>0</v>
      </c>
      <c r="BG10" s="302">
        <f t="shared" si="15"/>
        <v>0</v>
      </c>
      <c r="BH10" s="302">
        <f t="shared" si="16"/>
        <v>0</v>
      </c>
      <c r="BI10" s="303">
        <f t="shared" si="17"/>
        <v>277.20640754118403</v>
      </c>
      <c r="BJ10" s="303">
        <f t="shared" si="18"/>
        <v>394.20554655876424</v>
      </c>
      <c r="BK10" s="303">
        <f t="shared" si="19"/>
        <v>113.58038848130791</v>
      </c>
      <c r="BL10" s="303">
        <f t="shared" si="20"/>
        <v>0</v>
      </c>
      <c r="BM10" s="303">
        <f t="shared" si="21"/>
        <v>1007.8938723789695</v>
      </c>
      <c r="BN10" s="303">
        <f t="shared" si="22"/>
        <v>1433.2906600485142</v>
      </c>
      <c r="BO10" s="303">
        <f t="shared" si="23"/>
        <v>412.96656375349301</v>
      </c>
      <c r="BP10" s="303">
        <f t="shared" si="24"/>
        <v>0</v>
      </c>
      <c r="BQ10" s="254">
        <f t="shared" si="25"/>
        <v>3639.1434387622326</v>
      </c>
    </row>
    <row r="11" spans="2:69" x14ac:dyDescent="0.2">
      <c r="B11" s="234" t="str">
        <f>Prop2019DistTar!B11</f>
        <v>Residential Two Rate 5d</v>
      </c>
      <c r="C11" s="284"/>
      <c r="D11" s="791">
        <v>0</v>
      </c>
      <c r="E11" s="787">
        <v>0</v>
      </c>
      <c r="F11" s="787">
        <v>1.95</v>
      </c>
      <c r="G11" s="787">
        <v>0</v>
      </c>
      <c r="H11" s="787">
        <v>0</v>
      </c>
      <c r="I11" s="787">
        <v>0.46</v>
      </c>
      <c r="J11" s="787">
        <v>0</v>
      </c>
      <c r="K11" s="787">
        <v>0</v>
      </c>
      <c r="L11" s="787">
        <v>0</v>
      </c>
      <c r="M11" s="787">
        <v>0</v>
      </c>
      <c r="N11" s="787">
        <v>0</v>
      </c>
      <c r="O11" s="787">
        <v>0</v>
      </c>
      <c r="P11" s="787">
        <v>0</v>
      </c>
      <c r="Q11" s="787">
        <v>0</v>
      </c>
      <c r="R11" s="787">
        <v>0</v>
      </c>
      <c r="S11" s="787">
        <v>0</v>
      </c>
      <c r="T11" s="787">
        <v>0</v>
      </c>
      <c r="U11" s="787">
        <v>0</v>
      </c>
      <c r="V11" s="787">
        <v>0</v>
      </c>
      <c r="W11" s="787">
        <v>0</v>
      </c>
      <c r="X11" s="792">
        <v>0</v>
      </c>
      <c r="Z11" s="276">
        <f>Prop2019DistTar!AV11</f>
        <v>10820.083333333334</v>
      </c>
      <c r="AA11" s="250">
        <f>Prop2019DistTar!AW11</f>
        <v>0</v>
      </c>
      <c r="AB11" s="250">
        <f>Prop2019DistTar!AX11</f>
        <v>35024034.503626086</v>
      </c>
      <c r="AC11" s="250">
        <f>Prop2019DistTar!AY11</f>
        <v>0</v>
      </c>
      <c r="AD11" s="250">
        <f>Prop2019DistTar!AZ11</f>
        <v>0</v>
      </c>
      <c r="AE11" s="250">
        <f>Prop2019DistTar!BA11</f>
        <v>30157186.273130894</v>
      </c>
      <c r="AF11" s="250">
        <f>Prop2019DistTar!BB11</f>
        <v>0</v>
      </c>
      <c r="AG11" s="250">
        <f>Prop2019DistTar!BC11</f>
        <v>0</v>
      </c>
      <c r="AH11" s="250">
        <f>Prop2019DistTar!BD11</f>
        <v>0</v>
      </c>
      <c r="AI11" s="250">
        <f>Prop2019DistTar!BE11</f>
        <v>0</v>
      </c>
      <c r="AJ11" s="250">
        <f>Prop2019DistTar!BF11</f>
        <v>0</v>
      </c>
      <c r="AK11" s="250">
        <f>Prop2019DistTar!BG11</f>
        <v>0</v>
      </c>
      <c r="AL11" s="250">
        <f>Prop2019DistTar!BH11</f>
        <v>0</v>
      </c>
      <c r="AM11" s="250">
        <f>Prop2019DistTar!BI11</f>
        <v>0</v>
      </c>
      <c r="AN11" s="250">
        <f>Prop2019DistTar!BJ11</f>
        <v>0</v>
      </c>
      <c r="AO11" s="250">
        <f>Prop2019DistTar!BK11</f>
        <v>0</v>
      </c>
      <c r="AP11" s="250">
        <f>Prop2019DistTar!BL11</f>
        <v>0</v>
      </c>
      <c r="AQ11" s="250">
        <f>Prop2019DistTar!BM11</f>
        <v>0</v>
      </c>
      <c r="AR11" s="250">
        <f>Prop2019DistTar!BN11</f>
        <v>0</v>
      </c>
      <c r="AS11" s="250">
        <f>Prop2019DistTar!BO11</f>
        <v>0</v>
      </c>
      <c r="AT11" s="251">
        <f>Prop2019DistTar!BP11</f>
        <v>0</v>
      </c>
      <c r="AV11" s="301">
        <f t="shared" si="4"/>
        <v>0</v>
      </c>
      <c r="AW11" s="302">
        <f t="shared" si="5"/>
        <v>0</v>
      </c>
      <c r="AX11" s="302">
        <f t="shared" si="6"/>
        <v>682968.67282070871</v>
      </c>
      <c r="AY11" s="302">
        <f t="shared" si="7"/>
        <v>0</v>
      </c>
      <c r="AZ11" s="302">
        <f t="shared" si="8"/>
        <v>0</v>
      </c>
      <c r="BA11" s="302">
        <f t="shared" si="9"/>
        <v>138723.05685640211</v>
      </c>
      <c r="BB11" s="302">
        <f t="shared" si="10"/>
        <v>0</v>
      </c>
      <c r="BC11" s="302">
        <f t="shared" si="11"/>
        <v>0</v>
      </c>
      <c r="BD11" s="302">
        <f t="shared" si="12"/>
        <v>0</v>
      </c>
      <c r="BE11" s="302">
        <f t="shared" si="13"/>
        <v>0</v>
      </c>
      <c r="BF11" s="302">
        <f t="shared" si="14"/>
        <v>0</v>
      </c>
      <c r="BG11" s="302">
        <f t="shared" si="15"/>
        <v>0</v>
      </c>
      <c r="BH11" s="302">
        <f t="shared" si="16"/>
        <v>0</v>
      </c>
      <c r="BI11" s="303">
        <f t="shared" si="17"/>
        <v>0</v>
      </c>
      <c r="BJ11" s="303">
        <f t="shared" si="18"/>
        <v>0</v>
      </c>
      <c r="BK11" s="303">
        <f t="shared" si="19"/>
        <v>0</v>
      </c>
      <c r="BL11" s="303">
        <f t="shared" si="20"/>
        <v>0</v>
      </c>
      <c r="BM11" s="303">
        <f t="shared" si="21"/>
        <v>0</v>
      </c>
      <c r="BN11" s="303">
        <f t="shared" si="22"/>
        <v>0</v>
      </c>
      <c r="BO11" s="303">
        <f t="shared" si="23"/>
        <v>0</v>
      </c>
      <c r="BP11" s="303">
        <f t="shared" si="24"/>
        <v>0</v>
      </c>
      <c r="BQ11" s="254">
        <f t="shared" si="25"/>
        <v>821691.72967711079</v>
      </c>
    </row>
    <row r="12" spans="2:69" x14ac:dyDescent="0.2">
      <c r="B12" s="234" t="str">
        <f>Prop2019DistTar!B12</f>
        <v>Residential Two Rate 5d - Bulk</v>
      </c>
      <c r="C12" s="284"/>
      <c r="D12" s="791">
        <v>0</v>
      </c>
      <c r="E12" s="787">
        <v>0</v>
      </c>
      <c r="F12" s="787">
        <v>1.72</v>
      </c>
      <c r="G12" s="787">
        <v>0</v>
      </c>
      <c r="H12" s="787">
        <v>0</v>
      </c>
      <c r="I12" s="787">
        <v>0.43</v>
      </c>
      <c r="J12" s="787">
        <v>0</v>
      </c>
      <c r="K12" s="787">
        <v>0</v>
      </c>
      <c r="L12" s="787">
        <v>0</v>
      </c>
      <c r="M12" s="787">
        <v>0</v>
      </c>
      <c r="N12" s="787">
        <v>0</v>
      </c>
      <c r="O12" s="787">
        <v>0</v>
      </c>
      <c r="P12" s="787">
        <v>0</v>
      </c>
      <c r="Q12" s="787">
        <v>0</v>
      </c>
      <c r="R12" s="787">
        <v>0</v>
      </c>
      <c r="S12" s="787">
        <v>0</v>
      </c>
      <c r="T12" s="787">
        <v>0</v>
      </c>
      <c r="U12" s="787">
        <v>0</v>
      </c>
      <c r="V12" s="787">
        <v>0</v>
      </c>
      <c r="W12" s="787">
        <v>0</v>
      </c>
      <c r="X12" s="792">
        <v>0</v>
      </c>
      <c r="Z12" s="276">
        <f>Prop2019DistTar!AV12</f>
        <v>4352.5</v>
      </c>
      <c r="AA12" s="250">
        <f>Prop2019DistTar!AW12</f>
        <v>0</v>
      </c>
      <c r="AB12" s="250">
        <f>Prop2019DistTar!AX12</f>
        <v>12294584.523796603</v>
      </c>
      <c r="AC12" s="250">
        <f>Prop2019DistTar!AY12</f>
        <v>0</v>
      </c>
      <c r="AD12" s="250">
        <f>Prop2019DistTar!AZ12</f>
        <v>0</v>
      </c>
      <c r="AE12" s="250">
        <f>Prop2019DistTar!BA12</f>
        <v>10585730.046510926</v>
      </c>
      <c r="AF12" s="250">
        <f>Prop2019DistTar!BB12</f>
        <v>0</v>
      </c>
      <c r="AG12" s="250">
        <f>Prop2019DistTar!BC12</f>
        <v>0</v>
      </c>
      <c r="AH12" s="250">
        <f>Prop2019DistTar!BD12</f>
        <v>0</v>
      </c>
      <c r="AI12" s="250">
        <f>Prop2019DistTar!BE12</f>
        <v>0</v>
      </c>
      <c r="AJ12" s="250">
        <f>Prop2019DistTar!BF12</f>
        <v>0</v>
      </c>
      <c r="AK12" s="250">
        <f>Prop2019DistTar!BG12</f>
        <v>0</v>
      </c>
      <c r="AL12" s="250">
        <f>Prop2019DistTar!BH12</f>
        <v>0</v>
      </c>
      <c r="AM12" s="250">
        <f>Prop2019DistTar!BI12</f>
        <v>0</v>
      </c>
      <c r="AN12" s="250">
        <f>Prop2019DistTar!BJ12</f>
        <v>0</v>
      </c>
      <c r="AO12" s="250">
        <f>Prop2019DistTar!BK12</f>
        <v>0</v>
      </c>
      <c r="AP12" s="250">
        <f>Prop2019DistTar!BL12</f>
        <v>0</v>
      </c>
      <c r="AQ12" s="250">
        <f>Prop2019DistTar!BM12</f>
        <v>0</v>
      </c>
      <c r="AR12" s="250">
        <f>Prop2019DistTar!BN12</f>
        <v>0</v>
      </c>
      <c r="AS12" s="250">
        <f>Prop2019DistTar!BO12</f>
        <v>0</v>
      </c>
      <c r="AT12" s="251">
        <f>Prop2019DistTar!BP12</f>
        <v>0</v>
      </c>
      <c r="AV12" s="301">
        <f t="shared" si="4"/>
        <v>0</v>
      </c>
      <c r="AW12" s="302">
        <f t="shared" si="5"/>
        <v>0</v>
      </c>
      <c r="AX12" s="302">
        <f t="shared" si="6"/>
        <v>211466.85380930157</v>
      </c>
      <c r="AY12" s="302">
        <f t="shared" si="7"/>
        <v>0</v>
      </c>
      <c r="AZ12" s="302">
        <f t="shared" si="8"/>
        <v>0</v>
      </c>
      <c r="BA12" s="302">
        <f t="shared" si="9"/>
        <v>45518.639199996978</v>
      </c>
      <c r="BB12" s="302">
        <f t="shared" si="10"/>
        <v>0</v>
      </c>
      <c r="BC12" s="302">
        <f t="shared" si="11"/>
        <v>0</v>
      </c>
      <c r="BD12" s="302">
        <f t="shared" si="12"/>
        <v>0</v>
      </c>
      <c r="BE12" s="302">
        <f t="shared" si="13"/>
        <v>0</v>
      </c>
      <c r="BF12" s="302">
        <f t="shared" si="14"/>
        <v>0</v>
      </c>
      <c r="BG12" s="302">
        <f t="shared" si="15"/>
        <v>0</v>
      </c>
      <c r="BH12" s="302">
        <f t="shared" si="16"/>
        <v>0</v>
      </c>
      <c r="BI12" s="303">
        <f t="shared" si="17"/>
        <v>0</v>
      </c>
      <c r="BJ12" s="303">
        <f t="shared" si="18"/>
        <v>0</v>
      </c>
      <c r="BK12" s="303">
        <f t="shared" si="19"/>
        <v>0</v>
      </c>
      <c r="BL12" s="303">
        <f t="shared" si="20"/>
        <v>0</v>
      </c>
      <c r="BM12" s="303">
        <f t="shared" si="21"/>
        <v>0</v>
      </c>
      <c r="BN12" s="303">
        <f t="shared" si="22"/>
        <v>0</v>
      </c>
      <c r="BO12" s="303">
        <f t="shared" si="23"/>
        <v>0</v>
      </c>
      <c r="BP12" s="303">
        <f t="shared" si="24"/>
        <v>0</v>
      </c>
      <c r="BQ12" s="254">
        <f t="shared" si="25"/>
        <v>256985.49300929855</v>
      </c>
    </row>
    <row r="13" spans="2:69" x14ac:dyDescent="0.2">
      <c r="B13" s="234" t="str">
        <f>Prop2019DistTar!B13</f>
        <v>Residential Interval</v>
      </c>
      <c r="C13" s="284"/>
      <c r="D13" s="791">
        <v>0</v>
      </c>
      <c r="E13" s="787">
        <v>0</v>
      </c>
      <c r="F13" s="787">
        <v>1.95</v>
      </c>
      <c r="G13" s="787">
        <v>0</v>
      </c>
      <c r="H13" s="787">
        <v>0</v>
      </c>
      <c r="I13" s="787">
        <v>0.46</v>
      </c>
      <c r="J13" s="787">
        <v>0</v>
      </c>
      <c r="K13" s="787">
        <v>0</v>
      </c>
      <c r="L13" s="787">
        <v>0</v>
      </c>
      <c r="M13" s="787">
        <v>0</v>
      </c>
      <c r="N13" s="787">
        <v>0</v>
      </c>
      <c r="O13" s="787">
        <v>0</v>
      </c>
      <c r="P13" s="787">
        <v>0</v>
      </c>
      <c r="Q13" s="787">
        <v>0</v>
      </c>
      <c r="R13" s="787">
        <v>0</v>
      </c>
      <c r="S13" s="787">
        <v>0</v>
      </c>
      <c r="T13" s="787">
        <v>0</v>
      </c>
      <c r="U13" s="787">
        <v>0</v>
      </c>
      <c r="V13" s="787">
        <v>0</v>
      </c>
      <c r="W13" s="787">
        <v>0</v>
      </c>
      <c r="X13" s="792">
        <v>0</v>
      </c>
      <c r="Z13" s="276">
        <f>Prop2019DistTar!AV13</f>
        <v>17057.166666666668</v>
      </c>
      <c r="AA13" s="250">
        <f>Prop2019DistTar!AW13</f>
        <v>0</v>
      </c>
      <c r="AB13" s="250">
        <f>Prop2019DistTar!AX13</f>
        <v>60669728.275751241</v>
      </c>
      <c r="AC13" s="250">
        <f>Prop2019DistTar!AY13</f>
        <v>0</v>
      </c>
      <c r="AD13" s="250">
        <f>Prop2019DistTar!AZ13</f>
        <v>0</v>
      </c>
      <c r="AE13" s="250">
        <f>Prop2019DistTar!BA13</f>
        <v>52545941.858520873</v>
      </c>
      <c r="AF13" s="250">
        <f>Prop2019DistTar!BB13</f>
        <v>0</v>
      </c>
      <c r="AG13" s="250">
        <f>Prop2019DistTar!BC13</f>
        <v>0</v>
      </c>
      <c r="AH13" s="250">
        <f>Prop2019DistTar!BD13</f>
        <v>0</v>
      </c>
      <c r="AI13" s="250">
        <f>Prop2019DistTar!BE13</f>
        <v>0</v>
      </c>
      <c r="AJ13" s="250">
        <f>Prop2019DistTar!BF13</f>
        <v>0</v>
      </c>
      <c r="AK13" s="250">
        <f>Prop2019DistTar!BG13</f>
        <v>0</v>
      </c>
      <c r="AL13" s="250">
        <f>Prop2019DistTar!BH13</f>
        <v>0</v>
      </c>
      <c r="AM13" s="250">
        <f>Prop2019DistTar!BI13</f>
        <v>0</v>
      </c>
      <c r="AN13" s="250">
        <f>Prop2019DistTar!BJ13</f>
        <v>0</v>
      </c>
      <c r="AO13" s="250">
        <f>Prop2019DistTar!BK13</f>
        <v>0</v>
      </c>
      <c r="AP13" s="250">
        <f>Prop2019DistTar!BL13</f>
        <v>0</v>
      </c>
      <c r="AQ13" s="250">
        <f>Prop2019DistTar!BM13</f>
        <v>0</v>
      </c>
      <c r="AR13" s="250">
        <f>Prop2019DistTar!BN13</f>
        <v>0</v>
      </c>
      <c r="AS13" s="250">
        <f>Prop2019DistTar!BO13</f>
        <v>0</v>
      </c>
      <c r="AT13" s="251">
        <f>Prop2019DistTar!BP13</f>
        <v>0</v>
      </c>
      <c r="AV13" s="301">
        <f t="shared" si="4"/>
        <v>0</v>
      </c>
      <c r="AW13" s="302">
        <f t="shared" si="5"/>
        <v>0</v>
      </c>
      <c r="AX13" s="302">
        <f t="shared" si="6"/>
        <v>1183059.7013771492</v>
      </c>
      <c r="AY13" s="302">
        <f t="shared" si="7"/>
        <v>0</v>
      </c>
      <c r="AZ13" s="302">
        <f t="shared" si="8"/>
        <v>0</v>
      </c>
      <c r="BA13" s="302">
        <f t="shared" si="9"/>
        <v>241711.332549196</v>
      </c>
      <c r="BB13" s="302">
        <f t="shared" si="10"/>
        <v>0</v>
      </c>
      <c r="BC13" s="302">
        <f t="shared" si="11"/>
        <v>0</v>
      </c>
      <c r="BD13" s="302">
        <f t="shared" si="12"/>
        <v>0</v>
      </c>
      <c r="BE13" s="302">
        <f t="shared" si="13"/>
        <v>0</v>
      </c>
      <c r="BF13" s="302">
        <f t="shared" si="14"/>
        <v>0</v>
      </c>
      <c r="BG13" s="302">
        <f t="shared" si="15"/>
        <v>0</v>
      </c>
      <c r="BH13" s="302">
        <f t="shared" si="16"/>
        <v>0</v>
      </c>
      <c r="BI13" s="303">
        <f t="shared" si="17"/>
        <v>0</v>
      </c>
      <c r="BJ13" s="303">
        <f t="shared" si="18"/>
        <v>0</v>
      </c>
      <c r="BK13" s="303">
        <f t="shared" si="19"/>
        <v>0</v>
      </c>
      <c r="BL13" s="303">
        <f t="shared" si="20"/>
        <v>0</v>
      </c>
      <c r="BM13" s="303">
        <f t="shared" si="21"/>
        <v>0</v>
      </c>
      <c r="BN13" s="303">
        <f t="shared" si="22"/>
        <v>0</v>
      </c>
      <c r="BO13" s="303">
        <f t="shared" si="23"/>
        <v>0</v>
      </c>
      <c r="BP13" s="303">
        <f t="shared" si="24"/>
        <v>0</v>
      </c>
      <c r="BQ13" s="254">
        <f t="shared" si="25"/>
        <v>1424771.0339263452</v>
      </c>
    </row>
    <row r="14" spans="2:69" x14ac:dyDescent="0.2">
      <c r="B14" s="234" t="str">
        <f>Prop2019DistTar!B14</f>
        <v>Residential Interval - Bulk</v>
      </c>
      <c r="C14" s="284"/>
      <c r="D14" s="791">
        <v>0</v>
      </c>
      <c r="E14" s="787">
        <v>0</v>
      </c>
      <c r="F14" s="787">
        <v>1.72</v>
      </c>
      <c r="G14" s="787">
        <v>0</v>
      </c>
      <c r="H14" s="787">
        <v>0</v>
      </c>
      <c r="I14" s="787">
        <v>0.43</v>
      </c>
      <c r="J14" s="787">
        <v>0</v>
      </c>
      <c r="K14" s="787">
        <v>0</v>
      </c>
      <c r="L14" s="787">
        <v>0</v>
      </c>
      <c r="M14" s="787">
        <v>0</v>
      </c>
      <c r="N14" s="787">
        <v>0</v>
      </c>
      <c r="O14" s="787">
        <v>0</v>
      </c>
      <c r="P14" s="787">
        <v>0</v>
      </c>
      <c r="Q14" s="787">
        <v>0</v>
      </c>
      <c r="R14" s="787">
        <v>0</v>
      </c>
      <c r="S14" s="787">
        <v>0</v>
      </c>
      <c r="T14" s="787">
        <v>0</v>
      </c>
      <c r="U14" s="787">
        <v>0</v>
      </c>
      <c r="V14" s="787">
        <v>0</v>
      </c>
      <c r="W14" s="787">
        <v>0</v>
      </c>
      <c r="X14" s="792">
        <v>0</v>
      </c>
      <c r="Z14" s="276">
        <f>Prop2019DistTar!AV14</f>
        <v>8658</v>
      </c>
      <c r="AA14" s="250">
        <f>Prop2019DistTar!AW14</f>
        <v>0</v>
      </c>
      <c r="AB14" s="250">
        <f>Prop2019DistTar!AX14</f>
        <v>15600572.119172478</v>
      </c>
      <c r="AC14" s="250">
        <f>Prop2019DistTar!AY14</f>
        <v>0</v>
      </c>
      <c r="AD14" s="250">
        <f>Prop2019DistTar!AZ14</f>
        <v>0</v>
      </c>
      <c r="AE14" s="250">
        <f>Prop2019DistTar!BA14</f>
        <v>14572772.142298045</v>
      </c>
      <c r="AF14" s="250">
        <f>Prop2019DistTar!BB14</f>
        <v>0</v>
      </c>
      <c r="AG14" s="250">
        <f>Prop2019DistTar!BC14</f>
        <v>0</v>
      </c>
      <c r="AH14" s="250">
        <f>Prop2019DistTar!BD14</f>
        <v>0</v>
      </c>
      <c r="AI14" s="250">
        <f>Prop2019DistTar!BE14</f>
        <v>0</v>
      </c>
      <c r="AJ14" s="250">
        <f>Prop2019DistTar!BF14</f>
        <v>0</v>
      </c>
      <c r="AK14" s="250">
        <f>Prop2019DistTar!BG14</f>
        <v>0</v>
      </c>
      <c r="AL14" s="250">
        <f>Prop2019DistTar!BH14</f>
        <v>0</v>
      </c>
      <c r="AM14" s="250">
        <f>Prop2019DistTar!BI14</f>
        <v>0</v>
      </c>
      <c r="AN14" s="250">
        <f>Prop2019DistTar!BJ14</f>
        <v>0</v>
      </c>
      <c r="AO14" s="250">
        <f>Prop2019DistTar!BK14</f>
        <v>0</v>
      </c>
      <c r="AP14" s="250">
        <f>Prop2019DistTar!BL14</f>
        <v>0</v>
      </c>
      <c r="AQ14" s="250">
        <f>Prop2019DistTar!BM14</f>
        <v>0</v>
      </c>
      <c r="AR14" s="250">
        <f>Prop2019DistTar!BN14</f>
        <v>0</v>
      </c>
      <c r="AS14" s="250">
        <f>Prop2019DistTar!BO14</f>
        <v>0</v>
      </c>
      <c r="AT14" s="251">
        <f>Prop2019DistTar!BP14</f>
        <v>0</v>
      </c>
      <c r="AV14" s="301">
        <f t="shared" si="4"/>
        <v>0</v>
      </c>
      <c r="AW14" s="302">
        <f t="shared" si="5"/>
        <v>0</v>
      </c>
      <c r="AX14" s="302">
        <f t="shared" si="6"/>
        <v>268329.84044976661</v>
      </c>
      <c r="AY14" s="302">
        <f t="shared" si="7"/>
        <v>0</v>
      </c>
      <c r="AZ14" s="302">
        <f t="shared" si="8"/>
        <v>0</v>
      </c>
      <c r="BA14" s="302">
        <f t="shared" si="9"/>
        <v>62662.920211881596</v>
      </c>
      <c r="BB14" s="302">
        <f t="shared" si="10"/>
        <v>0</v>
      </c>
      <c r="BC14" s="302">
        <f t="shared" si="11"/>
        <v>0</v>
      </c>
      <c r="BD14" s="302">
        <f t="shared" si="12"/>
        <v>0</v>
      </c>
      <c r="BE14" s="302">
        <f t="shared" si="13"/>
        <v>0</v>
      </c>
      <c r="BF14" s="302">
        <f t="shared" si="14"/>
        <v>0</v>
      </c>
      <c r="BG14" s="302">
        <f t="shared" si="15"/>
        <v>0</v>
      </c>
      <c r="BH14" s="302">
        <f t="shared" si="16"/>
        <v>0</v>
      </c>
      <c r="BI14" s="303">
        <f t="shared" si="17"/>
        <v>0</v>
      </c>
      <c r="BJ14" s="303">
        <f t="shared" si="18"/>
        <v>0</v>
      </c>
      <c r="BK14" s="303">
        <f t="shared" si="19"/>
        <v>0</v>
      </c>
      <c r="BL14" s="303">
        <f t="shared" si="20"/>
        <v>0</v>
      </c>
      <c r="BM14" s="303">
        <f t="shared" si="21"/>
        <v>0</v>
      </c>
      <c r="BN14" s="303">
        <f t="shared" si="22"/>
        <v>0</v>
      </c>
      <c r="BO14" s="303">
        <f t="shared" si="23"/>
        <v>0</v>
      </c>
      <c r="BP14" s="303">
        <f t="shared" si="24"/>
        <v>0</v>
      </c>
      <c r="BQ14" s="254">
        <f t="shared" si="25"/>
        <v>330992.76066164818</v>
      </c>
    </row>
    <row r="15" spans="2:69" x14ac:dyDescent="0.2">
      <c r="B15" s="234" t="str">
        <f>Prop2019DistTar!B15</f>
        <v>Residential Two Rate 5d - Controlled Load</v>
      </c>
      <c r="C15" s="284"/>
      <c r="D15" s="791">
        <v>0</v>
      </c>
      <c r="E15" s="787">
        <v>0</v>
      </c>
      <c r="F15" s="787">
        <v>0</v>
      </c>
      <c r="G15" s="787">
        <v>0</v>
      </c>
      <c r="H15" s="787">
        <v>0</v>
      </c>
      <c r="I15" s="787">
        <v>0.35</v>
      </c>
      <c r="J15" s="787">
        <v>0</v>
      </c>
      <c r="K15" s="787">
        <v>0</v>
      </c>
      <c r="L15" s="787">
        <v>0</v>
      </c>
      <c r="M15" s="787">
        <v>0</v>
      </c>
      <c r="N15" s="787">
        <v>0</v>
      </c>
      <c r="O15" s="787">
        <v>0</v>
      </c>
      <c r="P15" s="787">
        <v>0</v>
      </c>
      <c r="Q15" s="787">
        <v>0</v>
      </c>
      <c r="R15" s="787">
        <v>0</v>
      </c>
      <c r="S15" s="787">
        <v>0</v>
      </c>
      <c r="T15" s="787">
        <v>0</v>
      </c>
      <c r="U15" s="787">
        <v>0</v>
      </c>
      <c r="V15" s="787">
        <v>0</v>
      </c>
      <c r="W15" s="787">
        <v>0</v>
      </c>
      <c r="X15" s="792">
        <v>0</v>
      </c>
      <c r="Z15" s="276">
        <f>Prop2019DistTar!AV15</f>
        <v>9732.6666666666661</v>
      </c>
      <c r="AA15" s="250">
        <f>Prop2019DistTar!AW15</f>
        <v>0</v>
      </c>
      <c r="AB15" s="250">
        <f>Prop2019DistTar!AX15</f>
        <v>0</v>
      </c>
      <c r="AC15" s="250">
        <f>Prop2019DistTar!AY15</f>
        <v>0</v>
      </c>
      <c r="AD15" s="250">
        <f>Prop2019DistTar!AZ15</f>
        <v>0</v>
      </c>
      <c r="AE15" s="250">
        <f>Prop2019DistTar!BA15</f>
        <v>19246331.235837448</v>
      </c>
      <c r="AF15" s="250">
        <f>Prop2019DistTar!BB15</f>
        <v>0</v>
      </c>
      <c r="AG15" s="250">
        <f>Prop2019DistTar!BC15</f>
        <v>0</v>
      </c>
      <c r="AH15" s="250">
        <f>Prop2019DistTar!BD15</f>
        <v>0</v>
      </c>
      <c r="AI15" s="250">
        <f>Prop2019DistTar!BE15</f>
        <v>0</v>
      </c>
      <c r="AJ15" s="250">
        <f>Prop2019DistTar!BF15</f>
        <v>0</v>
      </c>
      <c r="AK15" s="250">
        <f>Prop2019DistTar!BG15</f>
        <v>0</v>
      </c>
      <c r="AL15" s="250">
        <f>Prop2019DistTar!BH15</f>
        <v>0</v>
      </c>
      <c r="AM15" s="250">
        <f>Prop2019DistTar!BI15</f>
        <v>0</v>
      </c>
      <c r="AN15" s="250">
        <f>Prop2019DistTar!BJ15</f>
        <v>0</v>
      </c>
      <c r="AO15" s="250">
        <f>Prop2019DistTar!BK15</f>
        <v>0</v>
      </c>
      <c r="AP15" s="250">
        <f>Prop2019DistTar!BL15</f>
        <v>0</v>
      </c>
      <c r="AQ15" s="250">
        <f>Prop2019DistTar!BM15</f>
        <v>0</v>
      </c>
      <c r="AR15" s="250">
        <f>Prop2019DistTar!BN15</f>
        <v>0</v>
      </c>
      <c r="AS15" s="250">
        <f>Prop2019DistTar!BO15</f>
        <v>0</v>
      </c>
      <c r="AT15" s="251">
        <f>Prop2019DistTar!BP15</f>
        <v>0</v>
      </c>
      <c r="AV15" s="301">
        <f t="shared" si="4"/>
        <v>0</v>
      </c>
      <c r="AW15" s="302">
        <f t="shared" si="5"/>
        <v>0</v>
      </c>
      <c r="AX15" s="302">
        <f t="shared" si="6"/>
        <v>0</v>
      </c>
      <c r="AY15" s="302">
        <f t="shared" si="7"/>
        <v>0</v>
      </c>
      <c r="AZ15" s="302">
        <f t="shared" si="8"/>
        <v>0</v>
      </c>
      <c r="BA15" s="302">
        <f t="shared" si="9"/>
        <v>67362.159325431057</v>
      </c>
      <c r="BB15" s="302">
        <f t="shared" si="10"/>
        <v>0</v>
      </c>
      <c r="BC15" s="302">
        <f t="shared" si="11"/>
        <v>0</v>
      </c>
      <c r="BD15" s="302">
        <f t="shared" si="12"/>
        <v>0</v>
      </c>
      <c r="BE15" s="302">
        <f t="shared" si="13"/>
        <v>0</v>
      </c>
      <c r="BF15" s="302">
        <f t="shared" si="14"/>
        <v>0</v>
      </c>
      <c r="BG15" s="302">
        <f t="shared" si="15"/>
        <v>0</v>
      </c>
      <c r="BH15" s="302">
        <f t="shared" si="16"/>
        <v>0</v>
      </c>
      <c r="BI15" s="303">
        <f t="shared" si="17"/>
        <v>0</v>
      </c>
      <c r="BJ15" s="303">
        <f t="shared" si="18"/>
        <v>0</v>
      </c>
      <c r="BK15" s="303">
        <f t="shared" si="19"/>
        <v>0</v>
      </c>
      <c r="BL15" s="303">
        <f t="shared" si="20"/>
        <v>0</v>
      </c>
      <c r="BM15" s="303">
        <f t="shared" si="21"/>
        <v>0</v>
      </c>
      <c r="BN15" s="303">
        <f t="shared" si="22"/>
        <v>0</v>
      </c>
      <c r="BO15" s="303">
        <f t="shared" si="23"/>
        <v>0</v>
      </c>
      <c r="BP15" s="303">
        <f t="shared" si="24"/>
        <v>0</v>
      </c>
      <c r="BQ15" s="254">
        <f t="shared" si="25"/>
        <v>67362.159325431057</v>
      </c>
    </row>
    <row r="16" spans="2:69" x14ac:dyDescent="0.2">
      <c r="B16" s="234" t="str">
        <f>Prop2019DistTar!B16</f>
        <v>Residential Two Rate 5d - Bulk - Controlled Load</v>
      </c>
      <c r="C16" s="284"/>
      <c r="D16" s="791">
        <v>0</v>
      </c>
      <c r="E16" s="787">
        <v>0</v>
      </c>
      <c r="F16" s="787">
        <v>0</v>
      </c>
      <c r="G16" s="787">
        <v>0</v>
      </c>
      <c r="H16" s="787">
        <v>0</v>
      </c>
      <c r="I16" s="787">
        <v>0.28999999999999998</v>
      </c>
      <c r="J16" s="787">
        <v>0</v>
      </c>
      <c r="K16" s="787">
        <v>0</v>
      </c>
      <c r="L16" s="787">
        <v>0</v>
      </c>
      <c r="M16" s="787">
        <v>0</v>
      </c>
      <c r="N16" s="787">
        <v>0</v>
      </c>
      <c r="O16" s="787">
        <v>0</v>
      </c>
      <c r="P16" s="787">
        <v>0</v>
      </c>
      <c r="Q16" s="787">
        <v>0</v>
      </c>
      <c r="R16" s="787">
        <v>0</v>
      </c>
      <c r="S16" s="787">
        <v>0</v>
      </c>
      <c r="T16" s="787">
        <v>0</v>
      </c>
      <c r="U16" s="787">
        <v>0</v>
      </c>
      <c r="V16" s="787">
        <v>0</v>
      </c>
      <c r="W16" s="787">
        <v>0</v>
      </c>
      <c r="X16" s="792">
        <v>0</v>
      </c>
      <c r="Z16" s="276">
        <f>Prop2019DistTar!AV16</f>
        <v>3683.8333333333335</v>
      </c>
      <c r="AA16" s="250">
        <f>Prop2019DistTar!AW16</f>
        <v>0</v>
      </c>
      <c r="AB16" s="250">
        <f>Prop2019DistTar!AX16</f>
        <v>0</v>
      </c>
      <c r="AC16" s="250">
        <f>Prop2019DistTar!AY16</f>
        <v>0</v>
      </c>
      <c r="AD16" s="250">
        <f>Prop2019DistTar!AZ16</f>
        <v>0</v>
      </c>
      <c r="AE16" s="250">
        <f>Prop2019DistTar!BA16</f>
        <v>7176762.3174721245</v>
      </c>
      <c r="AF16" s="250">
        <f>Prop2019DistTar!BB16</f>
        <v>0</v>
      </c>
      <c r="AG16" s="250">
        <f>Prop2019DistTar!BC16</f>
        <v>0</v>
      </c>
      <c r="AH16" s="250">
        <f>Prop2019DistTar!BD16</f>
        <v>0</v>
      </c>
      <c r="AI16" s="250">
        <f>Prop2019DistTar!BE16</f>
        <v>0</v>
      </c>
      <c r="AJ16" s="250">
        <f>Prop2019DistTar!BF16</f>
        <v>0</v>
      </c>
      <c r="AK16" s="250">
        <f>Prop2019DistTar!BG16</f>
        <v>0</v>
      </c>
      <c r="AL16" s="250">
        <f>Prop2019DistTar!BH16</f>
        <v>0</v>
      </c>
      <c r="AM16" s="250">
        <f>Prop2019DistTar!BI16</f>
        <v>0</v>
      </c>
      <c r="AN16" s="250">
        <f>Prop2019DistTar!BJ16</f>
        <v>0</v>
      </c>
      <c r="AO16" s="250">
        <f>Prop2019DistTar!BK16</f>
        <v>0</v>
      </c>
      <c r="AP16" s="250">
        <f>Prop2019DistTar!BL16</f>
        <v>0</v>
      </c>
      <c r="AQ16" s="250">
        <f>Prop2019DistTar!BM16</f>
        <v>0</v>
      </c>
      <c r="AR16" s="250">
        <f>Prop2019DistTar!BN16</f>
        <v>0</v>
      </c>
      <c r="AS16" s="250">
        <f>Prop2019DistTar!BO16</f>
        <v>0</v>
      </c>
      <c r="AT16" s="251">
        <f>Prop2019DistTar!BP16</f>
        <v>0</v>
      </c>
      <c r="AV16" s="301">
        <f t="shared" si="4"/>
        <v>0</v>
      </c>
      <c r="AW16" s="302">
        <f t="shared" si="5"/>
        <v>0</v>
      </c>
      <c r="AX16" s="302">
        <f t="shared" si="6"/>
        <v>0</v>
      </c>
      <c r="AY16" s="302">
        <f t="shared" si="7"/>
        <v>0</v>
      </c>
      <c r="AZ16" s="302">
        <f t="shared" si="8"/>
        <v>0</v>
      </c>
      <c r="BA16" s="302">
        <f t="shared" si="9"/>
        <v>20812.610720669159</v>
      </c>
      <c r="BB16" s="302">
        <f t="shared" si="10"/>
        <v>0</v>
      </c>
      <c r="BC16" s="302">
        <f t="shared" si="11"/>
        <v>0</v>
      </c>
      <c r="BD16" s="302">
        <f t="shared" si="12"/>
        <v>0</v>
      </c>
      <c r="BE16" s="302">
        <f t="shared" si="13"/>
        <v>0</v>
      </c>
      <c r="BF16" s="302">
        <f t="shared" si="14"/>
        <v>0</v>
      </c>
      <c r="BG16" s="302">
        <f t="shared" si="15"/>
        <v>0</v>
      </c>
      <c r="BH16" s="302">
        <f t="shared" si="16"/>
        <v>0</v>
      </c>
      <c r="BI16" s="303">
        <f t="shared" si="17"/>
        <v>0</v>
      </c>
      <c r="BJ16" s="303">
        <f t="shared" si="18"/>
        <v>0</v>
      </c>
      <c r="BK16" s="303">
        <f t="shared" si="19"/>
        <v>0</v>
      </c>
      <c r="BL16" s="303">
        <f t="shared" si="20"/>
        <v>0</v>
      </c>
      <c r="BM16" s="303">
        <f t="shared" si="21"/>
        <v>0</v>
      </c>
      <c r="BN16" s="303">
        <f t="shared" si="22"/>
        <v>0</v>
      </c>
      <c r="BO16" s="303">
        <f t="shared" si="23"/>
        <v>0</v>
      </c>
      <c r="BP16" s="303">
        <f t="shared" si="24"/>
        <v>0</v>
      </c>
      <c r="BQ16" s="254">
        <f t="shared" si="25"/>
        <v>20812.610720669159</v>
      </c>
    </row>
    <row r="17" spans="2:69" x14ac:dyDescent="0.2">
      <c r="B17" s="234" t="str">
        <f>Prop2019DistTar!B17</f>
        <v>Dedicated Circuit</v>
      </c>
      <c r="C17" s="284"/>
      <c r="D17" s="791">
        <v>0</v>
      </c>
      <c r="E17" s="787">
        <v>0</v>
      </c>
      <c r="F17" s="787">
        <v>0</v>
      </c>
      <c r="G17" s="787">
        <v>0</v>
      </c>
      <c r="H17" s="787">
        <v>0</v>
      </c>
      <c r="I17" s="787">
        <v>0.35</v>
      </c>
      <c r="J17" s="787">
        <v>0</v>
      </c>
      <c r="K17" s="787">
        <v>0</v>
      </c>
      <c r="L17" s="787">
        <v>0</v>
      </c>
      <c r="M17" s="787">
        <v>0</v>
      </c>
      <c r="N17" s="787">
        <v>0</v>
      </c>
      <c r="O17" s="787">
        <v>0</v>
      </c>
      <c r="P17" s="787">
        <v>0</v>
      </c>
      <c r="Q17" s="787">
        <v>0</v>
      </c>
      <c r="R17" s="787">
        <v>0</v>
      </c>
      <c r="S17" s="787">
        <v>0</v>
      </c>
      <c r="T17" s="787">
        <v>0</v>
      </c>
      <c r="U17" s="787">
        <v>0</v>
      </c>
      <c r="V17" s="787">
        <v>0</v>
      </c>
      <c r="W17" s="787">
        <v>0</v>
      </c>
      <c r="X17" s="792">
        <v>0</v>
      </c>
      <c r="Z17" s="276">
        <f>Prop2019DistTar!AV17</f>
        <v>22825.5</v>
      </c>
      <c r="AA17" s="250">
        <f>Prop2019DistTar!AW17</f>
        <v>0</v>
      </c>
      <c r="AB17" s="250">
        <f>Prop2019DistTar!AX17</f>
        <v>0</v>
      </c>
      <c r="AC17" s="250">
        <f>Prop2019DistTar!AY17</f>
        <v>0</v>
      </c>
      <c r="AD17" s="250">
        <f>Prop2019DistTar!AZ17</f>
        <v>0</v>
      </c>
      <c r="AE17" s="250">
        <f>Prop2019DistTar!BA17</f>
        <v>31802481.572760597</v>
      </c>
      <c r="AF17" s="250">
        <f>Prop2019DistTar!BB17</f>
        <v>0</v>
      </c>
      <c r="AG17" s="250">
        <f>Prop2019DistTar!BC17</f>
        <v>0</v>
      </c>
      <c r="AH17" s="250">
        <f>Prop2019DistTar!BD17</f>
        <v>0</v>
      </c>
      <c r="AI17" s="250">
        <f>Prop2019DistTar!BE17</f>
        <v>0</v>
      </c>
      <c r="AJ17" s="250">
        <f>Prop2019DistTar!BF17</f>
        <v>0</v>
      </c>
      <c r="AK17" s="250">
        <f>Prop2019DistTar!BG17</f>
        <v>0</v>
      </c>
      <c r="AL17" s="250">
        <f>Prop2019DistTar!BH17</f>
        <v>0</v>
      </c>
      <c r="AM17" s="250">
        <f>Prop2019DistTar!BI17</f>
        <v>0</v>
      </c>
      <c r="AN17" s="250">
        <f>Prop2019DistTar!BJ17</f>
        <v>0</v>
      </c>
      <c r="AO17" s="250">
        <f>Prop2019DistTar!BK17</f>
        <v>0</v>
      </c>
      <c r="AP17" s="250">
        <f>Prop2019DistTar!BL17</f>
        <v>0</v>
      </c>
      <c r="AQ17" s="250">
        <f>Prop2019DistTar!BM17</f>
        <v>0</v>
      </c>
      <c r="AR17" s="250">
        <f>Prop2019DistTar!BN17</f>
        <v>0</v>
      </c>
      <c r="AS17" s="250">
        <f>Prop2019DistTar!BO17</f>
        <v>0</v>
      </c>
      <c r="AT17" s="251">
        <f>Prop2019DistTar!BP17</f>
        <v>0</v>
      </c>
      <c r="AV17" s="301">
        <f t="shared" si="4"/>
        <v>0</v>
      </c>
      <c r="AW17" s="302">
        <f t="shared" si="5"/>
        <v>0</v>
      </c>
      <c r="AX17" s="302">
        <f t="shared" si="6"/>
        <v>0</v>
      </c>
      <c r="AY17" s="302">
        <f t="shared" si="7"/>
        <v>0</v>
      </c>
      <c r="AZ17" s="302">
        <f t="shared" si="8"/>
        <v>0</v>
      </c>
      <c r="BA17" s="302">
        <f t="shared" si="9"/>
        <v>111308.68550466208</v>
      </c>
      <c r="BB17" s="302">
        <f t="shared" si="10"/>
        <v>0</v>
      </c>
      <c r="BC17" s="302">
        <f t="shared" si="11"/>
        <v>0</v>
      </c>
      <c r="BD17" s="302">
        <f t="shared" si="12"/>
        <v>0</v>
      </c>
      <c r="BE17" s="302">
        <f t="shared" si="13"/>
        <v>0</v>
      </c>
      <c r="BF17" s="302">
        <f t="shared" si="14"/>
        <v>0</v>
      </c>
      <c r="BG17" s="302">
        <f t="shared" si="15"/>
        <v>0</v>
      </c>
      <c r="BH17" s="302">
        <f t="shared" si="16"/>
        <v>0</v>
      </c>
      <c r="BI17" s="303">
        <f t="shared" si="17"/>
        <v>0</v>
      </c>
      <c r="BJ17" s="303">
        <f t="shared" si="18"/>
        <v>0</v>
      </c>
      <c r="BK17" s="303">
        <f t="shared" si="19"/>
        <v>0</v>
      </c>
      <c r="BL17" s="303">
        <f t="shared" si="20"/>
        <v>0</v>
      </c>
      <c r="BM17" s="303">
        <f t="shared" si="21"/>
        <v>0</v>
      </c>
      <c r="BN17" s="303">
        <f t="shared" si="22"/>
        <v>0</v>
      </c>
      <c r="BO17" s="303">
        <f t="shared" si="23"/>
        <v>0</v>
      </c>
      <c r="BP17" s="303">
        <f t="shared" si="24"/>
        <v>0</v>
      </c>
      <c r="BQ17" s="254">
        <f t="shared" si="25"/>
        <v>111308.68550466208</v>
      </c>
    </row>
    <row r="18" spans="2:69" x14ac:dyDescent="0.2">
      <c r="B18" s="234" t="str">
        <f>Prop2019DistTar!B18</f>
        <v>Dedicated Circuit - Bulk</v>
      </c>
      <c r="C18" s="284"/>
      <c r="D18" s="791">
        <v>0</v>
      </c>
      <c r="E18" s="787">
        <v>0</v>
      </c>
      <c r="F18" s="787">
        <v>0</v>
      </c>
      <c r="G18" s="787">
        <v>0</v>
      </c>
      <c r="H18" s="787">
        <v>0</v>
      </c>
      <c r="I18" s="787">
        <v>0.28999999999999998</v>
      </c>
      <c r="J18" s="787">
        <v>0</v>
      </c>
      <c r="K18" s="787">
        <v>0</v>
      </c>
      <c r="L18" s="787">
        <v>0</v>
      </c>
      <c r="M18" s="787">
        <v>0</v>
      </c>
      <c r="N18" s="787">
        <v>0</v>
      </c>
      <c r="O18" s="787">
        <v>0</v>
      </c>
      <c r="P18" s="787">
        <v>0</v>
      </c>
      <c r="Q18" s="787">
        <v>0</v>
      </c>
      <c r="R18" s="787">
        <v>0</v>
      </c>
      <c r="S18" s="787">
        <v>0</v>
      </c>
      <c r="T18" s="787">
        <v>0</v>
      </c>
      <c r="U18" s="787">
        <v>0</v>
      </c>
      <c r="V18" s="787">
        <v>0</v>
      </c>
      <c r="W18" s="787">
        <v>0</v>
      </c>
      <c r="X18" s="792">
        <v>0</v>
      </c>
      <c r="Z18" s="276">
        <f>Prop2019DistTar!AV18</f>
        <v>1105.5833333333333</v>
      </c>
      <c r="AA18" s="250">
        <f>Prop2019DistTar!AW18</f>
        <v>0</v>
      </c>
      <c r="AB18" s="250">
        <f>Prop2019DistTar!AX18</f>
        <v>0</v>
      </c>
      <c r="AC18" s="250">
        <f>Prop2019DistTar!AY18</f>
        <v>0</v>
      </c>
      <c r="AD18" s="250">
        <f>Prop2019DistTar!AZ18</f>
        <v>0</v>
      </c>
      <c r="AE18" s="250">
        <f>Prop2019DistTar!BA18</f>
        <v>2202095.0102876872</v>
      </c>
      <c r="AF18" s="250">
        <f>Prop2019DistTar!BB18</f>
        <v>0</v>
      </c>
      <c r="AG18" s="250">
        <f>Prop2019DistTar!BC18</f>
        <v>0</v>
      </c>
      <c r="AH18" s="250">
        <f>Prop2019DistTar!BD18</f>
        <v>0</v>
      </c>
      <c r="AI18" s="250">
        <f>Prop2019DistTar!BE18</f>
        <v>0</v>
      </c>
      <c r="AJ18" s="250">
        <f>Prop2019DistTar!BF18</f>
        <v>0</v>
      </c>
      <c r="AK18" s="250">
        <f>Prop2019DistTar!BG18</f>
        <v>0</v>
      </c>
      <c r="AL18" s="250">
        <f>Prop2019DistTar!BH18</f>
        <v>0</v>
      </c>
      <c r="AM18" s="250">
        <f>Prop2019DistTar!BI18</f>
        <v>0</v>
      </c>
      <c r="AN18" s="250">
        <f>Prop2019DistTar!BJ18</f>
        <v>0</v>
      </c>
      <c r="AO18" s="250">
        <f>Prop2019DistTar!BK18</f>
        <v>0</v>
      </c>
      <c r="AP18" s="250">
        <f>Prop2019DistTar!BL18</f>
        <v>0</v>
      </c>
      <c r="AQ18" s="250">
        <f>Prop2019DistTar!BM18</f>
        <v>0</v>
      </c>
      <c r="AR18" s="250">
        <f>Prop2019DistTar!BN18</f>
        <v>0</v>
      </c>
      <c r="AS18" s="250">
        <f>Prop2019DistTar!BO18</f>
        <v>0</v>
      </c>
      <c r="AT18" s="251">
        <f>Prop2019DistTar!BP18</f>
        <v>0</v>
      </c>
      <c r="AV18" s="301">
        <f t="shared" si="4"/>
        <v>0</v>
      </c>
      <c r="AW18" s="302">
        <f t="shared" si="5"/>
        <v>0</v>
      </c>
      <c r="AX18" s="302">
        <f t="shared" si="6"/>
        <v>0</v>
      </c>
      <c r="AY18" s="302">
        <f t="shared" si="7"/>
        <v>0</v>
      </c>
      <c r="AZ18" s="302">
        <f t="shared" si="8"/>
        <v>0</v>
      </c>
      <c r="BA18" s="302">
        <f t="shared" si="9"/>
        <v>6386.075529834292</v>
      </c>
      <c r="BB18" s="302">
        <f t="shared" si="10"/>
        <v>0</v>
      </c>
      <c r="BC18" s="302">
        <f t="shared" si="11"/>
        <v>0</v>
      </c>
      <c r="BD18" s="302">
        <f t="shared" si="12"/>
        <v>0</v>
      </c>
      <c r="BE18" s="302">
        <f t="shared" si="13"/>
        <v>0</v>
      </c>
      <c r="BF18" s="302">
        <f t="shared" si="14"/>
        <v>0</v>
      </c>
      <c r="BG18" s="302">
        <f t="shared" si="15"/>
        <v>0</v>
      </c>
      <c r="BH18" s="302">
        <f t="shared" si="16"/>
        <v>0</v>
      </c>
      <c r="BI18" s="303">
        <f t="shared" si="17"/>
        <v>0</v>
      </c>
      <c r="BJ18" s="303">
        <f t="shared" si="18"/>
        <v>0</v>
      </c>
      <c r="BK18" s="303">
        <f t="shared" si="19"/>
        <v>0</v>
      </c>
      <c r="BL18" s="303">
        <f t="shared" si="20"/>
        <v>0</v>
      </c>
      <c r="BM18" s="303">
        <f t="shared" si="21"/>
        <v>0</v>
      </c>
      <c r="BN18" s="303">
        <f t="shared" si="22"/>
        <v>0</v>
      </c>
      <c r="BO18" s="303">
        <f t="shared" si="23"/>
        <v>0</v>
      </c>
      <c r="BP18" s="303">
        <f t="shared" si="24"/>
        <v>0</v>
      </c>
      <c r="BQ18" s="254">
        <f t="shared" si="25"/>
        <v>6386.075529834292</v>
      </c>
    </row>
    <row r="19" spans="2:69" x14ac:dyDescent="0.2">
      <c r="B19" s="234" t="str">
        <f>Prop2019DistTar!B19</f>
        <v>Residential Demand</v>
      </c>
      <c r="C19" s="284"/>
      <c r="D19" s="791">
        <v>0</v>
      </c>
      <c r="E19" s="787">
        <v>0.57999999999999996</v>
      </c>
      <c r="F19" s="787">
        <v>0</v>
      </c>
      <c r="G19" s="787">
        <v>0</v>
      </c>
      <c r="H19" s="787">
        <v>0</v>
      </c>
      <c r="I19" s="787">
        <v>0</v>
      </c>
      <c r="J19" s="787">
        <v>0</v>
      </c>
      <c r="K19" s="787">
        <v>0</v>
      </c>
      <c r="L19" s="787">
        <v>0</v>
      </c>
      <c r="M19" s="787">
        <v>0</v>
      </c>
      <c r="N19" s="787">
        <v>0</v>
      </c>
      <c r="O19" s="787">
        <v>1.42</v>
      </c>
      <c r="P19" s="787">
        <v>0.49</v>
      </c>
      <c r="Q19" s="787">
        <v>0</v>
      </c>
      <c r="R19" s="787">
        <v>0</v>
      </c>
      <c r="S19" s="787">
        <v>0</v>
      </c>
      <c r="T19" s="787">
        <v>0</v>
      </c>
      <c r="U19" s="787">
        <v>0</v>
      </c>
      <c r="V19" s="787">
        <v>0</v>
      </c>
      <c r="W19" s="787">
        <v>0</v>
      </c>
      <c r="X19" s="792">
        <v>0</v>
      </c>
      <c r="Z19" s="276">
        <f>Prop2019DistTar!AV19</f>
        <v>4</v>
      </c>
      <c r="AA19" s="250">
        <f>Prop2019DistTar!AW19</f>
        <v>14863.138507993855</v>
      </c>
      <c r="AB19" s="250">
        <f>Prop2019DistTar!AX19</f>
        <v>0</v>
      </c>
      <c r="AC19" s="250">
        <f>Prop2019DistTar!AY19</f>
        <v>0</v>
      </c>
      <c r="AD19" s="250">
        <f>Prop2019DistTar!AZ19</f>
        <v>0</v>
      </c>
      <c r="AE19" s="250">
        <f>Prop2019DistTar!BA19</f>
        <v>0</v>
      </c>
      <c r="AF19" s="250">
        <f>Prop2019DistTar!BB19</f>
        <v>0</v>
      </c>
      <c r="AG19" s="250">
        <f>Prop2019DistTar!BC19</f>
        <v>0</v>
      </c>
      <c r="AH19" s="250">
        <f>Prop2019DistTar!BD19</f>
        <v>0</v>
      </c>
      <c r="AI19" s="250">
        <f>Prop2019DistTar!BE19</f>
        <v>0</v>
      </c>
      <c r="AJ19" s="250">
        <f>Prop2019DistTar!BF19</f>
        <v>0</v>
      </c>
      <c r="AK19" s="250">
        <f>Prop2019DistTar!BG19</f>
        <v>50.493333333333332</v>
      </c>
      <c r="AL19" s="250">
        <f>Prop2019DistTar!BH19</f>
        <v>120.75099999999999</v>
      </c>
      <c r="AM19" s="250">
        <f>Prop2019DistTar!BI19</f>
        <v>0</v>
      </c>
      <c r="AN19" s="250">
        <f>Prop2019DistTar!BJ19</f>
        <v>0</v>
      </c>
      <c r="AO19" s="250">
        <f>Prop2019DistTar!BK19</f>
        <v>0</v>
      </c>
      <c r="AP19" s="250">
        <f>Prop2019DistTar!BL19</f>
        <v>0</v>
      </c>
      <c r="AQ19" s="250">
        <f>Prop2019DistTar!BM19</f>
        <v>0</v>
      </c>
      <c r="AR19" s="250">
        <f>Prop2019DistTar!BN19</f>
        <v>0</v>
      </c>
      <c r="AS19" s="250">
        <f>Prop2019DistTar!BO19</f>
        <v>0</v>
      </c>
      <c r="AT19" s="251">
        <f>Prop2019DistTar!BP19</f>
        <v>0</v>
      </c>
      <c r="AV19" s="301">
        <f t="shared" si="4"/>
        <v>0</v>
      </c>
      <c r="AW19" s="302">
        <f t="shared" si="5"/>
        <v>86.206203346364362</v>
      </c>
      <c r="AX19" s="302">
        <f t="shared" si="6"/>
        <v>0</v>
      </c>
      <c r="AY19" s="302">
        <f t="shared" si="7"/>
        <v>0</v>
      </c>
      <c r="AZ19" s="302">
        <f t="shared" si="8"/>
        <v>0</v>
      </c>
      <c r="BA19" s="302">
        <f t="shared" si="9"/>
        <v>0</v>
      </c>
      <c r="BB19" s="302">
        <f t="shared" si="10"/>
        <v>0</v>
      </c>
      <c r="BC19" s="302">
        <f t="shared" si="11"/>
        <v>0</v>
      </c>
      <c r="BD19" s="302">
        <f t="shared" si="12"/>
        <v>0</v>
      </c>
      <c r="BE19" s="302">
        <f t="shared" si="13"/>
        <v>0</v>
      </c>
      <c r="BF19" s="302">
        <f t="shared" si="14"/>
        <v>0</v>
      </c>
      <c r="BG19" s="302">
        <f t="shared" si="15"/>
        <v>71.700533333333325</v>
      </c>
      <c r="BH19" s="302">
        <f t="shared" si="16"/>
        <v>59.167989999999996</v>
      </c>
      <c r="BI19" s="303">
        <f t="shared" si="17"/>
        <v>0</v>
      </c>
      <c r="BJ19" s="303">
        <f t="shared" si="18"/>
        <v>0</v>
      </c>
      <c r="BK19" s="303">
        <f t="shared" si="19"/>
        <v>0</v>
      </c>
      <c r="BL19" s="303">
        <f t="shared" si="20"/>
        <v>0</v>
      </c>
      <c r="BM19" s="303">
        <f t="shared" si="21"/>
        <v>0</v>
      </c>
      <c r="BN19" s="303">
        <f t="shared" si="22"/>
        <v>0</v>
      </c>
      <c r="BO19" s="303">
        <f t="shared" si="23"/>
        <v>0</v>
      </c>
      <c r="BP19" s="303">
        <f t="shared" si="24"/>
        <v>0</v>
      </c>
      <c r="BQ19" s="254">
        <f t="shared" si="25"/>
        <v>217.0747266796977</v>
      </c>
    </row>
    <row r="20" spans="2:69" x14ac:dyDescent="0.2">
      <c r="B20" s="234" t="str">
        <f>Prop2019DistTar!B20</f>
        <v>Residential Bulk Demand</v>
      </c>
      <c r="C20" s="284"/>
      <c r="D20" s="791">
        <v>0</v>
      </c>
      <c r="E20" s="787">
        <v>0.41</v>
      </c>
      <c r="F20" s="787">
        <v>0</v>
      </c>
      <c r="G20" s="787">
        <v>0</v>
      </c>
      <c r="H20" s="787">
        <v>0</v>
      </c>
      <c r="I20" s="787">
        <v>0</v>
      </c>
      <c r="J20" s="787">
        <v>0</v>
      </c>
      <c r="K20" s="787">
        <v>0</v>
      </c>
      <c r="L20" s="787">
        <v>0</v>
      </c>
      <c r="M20" s="787">
        <v>0</v>
      </c>
      <c r="N20" s="787">
        <v>0</v>
      </c>
      <c r="O20" s="787">
        <v>1.1100000000000001</v>
      </c>
      <c r="P20" s="787">
        <v>0.37</v>
      </c>
      <c r="Q20" s="787">
        <v>0</v>
      </c>
      <c r="R20" s="787">
        <v>0</v>
      </c>
      <c r="S20" s="787">
        <v>0</v>
      </c>
      <c r="T20" s="787">
        <v>0</v>
      </c>
      <c r="U20" s="787">
        <v>0</v>
      </c>
      <c r="V20" s="787">
        <v>0</v>
      </c>
      <c r="W20" s="787">
        <v>0</v>
      </c>
      <c r="X20" s="792">
        <v>0</v>
      </c>
      <c r="Z20" s="276">
        <f>Prop2019DistTar!AV20</f>
        <v>0</v>
      </c>
      <c r="AA20" s="250">
        <f>Prop2019DistTar!AW20</f>
        <v>0</v>
      </c>
      <c r="AB20" s="250">
        <f>Prop2019DistTar!AX20</f>
        <v>0</v>
      </c>
      <c r="AC20" s="250">
        <f>Prop2019DistTar!AY20</f>
        <v>0</v>
      </c>
      <c r="AD20" s="250">
        <f>Prop2019DistTar!AZ20</f>
        <v>0</v>
      </c>
      <c r="AE20" s="250">
        <f>Prop2019DistTar!BA20</f>
        <v>0</v>
      </c>
      <c r="AF20" s="250">
        <f>Prop2019DistTar!BB20</f>
        <v>0</v>
      </c>
      <c r="AG20" s="250">
        <f>Prop2019DistTar!BC20</f>
        <v>0</v>
      </c>
      <c r="AH20" s="250">
        <f>Prop2019DistTar!BD20</f>
        <v>0</v>
      </c>
      <c r="AI20" s="250">
        <f>Prop2019DistTar!BE20</f>
        <v>0</v>
      </c>
      <c r="AJ20" s="250">
        <f>Prop2019DistTar!BF20</f>
        <v>0</v>
      </c>
      <c r="AK20" s="250">
        <f>Prop2019DistTar!BG20</f>
        <v>0</v>
      </c>
      <c r="AL20" s="250">
        <f>Prop2019DistTar!BH20</f>
        <v>0</v>
      </c>
      <c r="AM20" s="250">
        <f>Prop2019DistTar!BI20</f>
        <v>0</v>
      </c>
      <c r="AN20" s="250">
        <f>Prop2019DistTar!BJ20</f>
        <v>0</v>
      </c>
      <c r="AO20" s="250">
        <f>Prop2019DistTar!BK20</f>
        <v>0</v>
      </c>
      <c r="AP20" s="250">
        <f>Prop2019DistTar!BL20</f>
        <v>0</v>
      </c>
      <c r="AQ20" s="250">
        <f>Prop2019DistTar!BM20</f>
        <v>0</v>
      </c>
      <c r="AR20" s="250">
        <f>Prop2019DistTar!BN20</f>
        <v>0</v>
      </c>
      <c r="AS20" s="250">
        <f>Prop2019DistTar!BO20</f>
        <v>0</v>
      </c>
      <c r="AT20" s="251">
        <f>Prop2019DistTar!BP20</f>
        <v>0</v>
      </c>
      <c r="AV20" s="301">
        <f t="shared" si="4"/>
        <v>0</v>
      </c>
      <c r="AW20" s="302">
        <f t="shared" si="5"/>
        <v>0</v>
      </c>
      <c r="AX20" s="302">
        <f t="shared" si="6"/>
        <v>0</v>
      </c>
      <c r="AY20" s="302">
        <f t="shared" si="7"/>
        <v>0</v>
      </c>
      <c r="AZ20" s="302">
        <f t="shared" si="8"/>
        <v>0</v>
      </c>
      <c r="BA20" s="302">
        <f t="shared" si="9"/>
        <v>0</v>
      </c>
      <c r="BB20" s="302">
        <f t="shared" si="10"/>
        <v>0</v>
      </c>
      <c r="BC20" s="302">
        <f t="shared" si="11"/>
        <v>0</v>
      </c>
      <c r="BD20" s="302">
        <f t="shared" si="12"/>
        <v>0</v>
      </c>
      <c r="BE20" s="302">
        <f t="shared" si="13"/>
        <v>0</v>
      </c>
      <c r="BF20" s="302">
        <f t="shared" si="14"/>
        <v>0</v>
      </c>
      <c r="BG20" s="302">
        <f t="shared" si="15"/>
        <v>0</v>
      </c>
      <c r="BH20" s="302">
        <f t="shared" si="16"/>
        <v>0</v>
      </c>
      <c r="BI20" s="303">
        <f t="shared" si="17"/>
        <v>0</v>
      </c>
      <c r="BJ20" s="303">
        <f t="shared" si="18"/>
        <v>0</v>
      </c>
      <c r="BK20" s="303">
        <f t="shared" si="19"/>
        <v>0</v>
      </c>
      <c r="BL20" s="303">
        <f t="shared" si="20"/>
        <v>0</v>
      </c>
      <c r="BM20" s="303">
        <f t="shared" si="21"/>
        <v>0</v>
      </c>
      <c r="BN20" s="303">
        <f t="shared" si="22"/>
        <v>0</v>
      </c>
      <c r="BO20" s="303">
        <f t="shared" si="23"/>
        <v>0</v>
      </c>
      <c r="BP20" s="303">
        <f t="shared" si="24"/>
        <v>0</v>
      </c>
      <c r="BQ20" s="254">
        <f t="shared" si="25"/>
        <v>0</v>
      </c>
    </row>
    <row r="21" spans="2:69" x14ac:dyDescent="0.2">
      <c r="B21" s="234" t="str">
        <f>Prop2019DistTar!B21</f>
        <v>Non-Residential Single Rate</v>
      </c>
      <c r="C21" s="284"/>
      <c r="D21" s="791">
        <v>0</v>
      </c>
      <c r="E21" s="787">
        <v>1.99</v>
      </c>
      <c r="F21" s="787">
        <v>0</v>
      </c>
      <c r="G21" s="787">
        <v>0</v>
      </c>
      <c r="H21" s="787">
        <v>0</v>
      </c>
      <c r="I21" s="787">
        <v>0</v>
      </c>
      <c r="J21" s="787">
        <v>0</v>
      </c>
      <c r="K21" s="787">
        <v>0</v>
      </c>
      <c r="L21" s="787">
        <v>0</v>
      </c>
      <c r="M21" s="787">
        <v>0</v>
      </c>
      <c r="N21" s="787">
        <v>0</v>
      </c>
      <c r="O21" s="787">
        <v>0</v>
      </c>
      <c r="P21" s="787">
        <v>0</v>
      </c>
      <c r="Q21" s="787">
        <v>0</v>
      </c>
      <c r="R21" s="787">
        <v>0</v>
      </c>
      <c r="S21" s="787">
        <v>0</v>
      </c>
      <c r="T21" s="787">
        <v>0</v>
      </c>
      <c r="U21" s="787">
        <v>0</v>
      </c>
      <c r="V21" s="787">
        <v>0</v>
      </c>
      <c r="W21" s="787">
        <v>0</v>
      </c>
      <c r="X21" s="792">
        <v>0</v>
      </c>
      <c r="Z21" s="276">
        <f>Prop2019DistTar!AV21</f>
        <v>20319.916666666668</v>
      </c>
      <c r="AA21" s="250">
        <f>Prop2019DistTar!AW21</f>
        <v>233254649.14212352</v>
      </c>
      <c r="AB21" s="250">
        <f>Prop2019DistTar!AX21</f>
        <v>0</v>
      </c>
      <c r="AC21" s="250">
        <f>Prop2019DistTar!AY21</f>
        <v>0</v>
      </c>
      <c r="AD21" s="250">
        <f>Prop2019DistTar!AZ21</f>
        <v>0</v>
      </c>
      <c r="AE21" s="250">
        <f>Prop2019DistTar!BA21</f>
        <v>0</v>
      </c>
      <c r="AF21" s="250">
        <f>Prop2019DistTar!BB21</f>
        <v>0</v>
      </c>
      <c r="AG21" s="250">
        <f>Prop2019DistTar!BC21</f>
        <v>0</v>
      </c>
      <c r="AH21" s="250">
        <f>Prop2019DistTar!BD21</f>
        <v>0</v>
      </c>
      <c r="AI21" s="250">
        <f>Prop2019DistTar!BE21</f>
        <v>0</v>
      </c>
      <c r="AJ21" s="250">
        <f>Prop2019DistTar!BF21</f>
        <v>0</v>
      </c>
      <c r="AK21" s="250">
        <f>Prop2019DistTar!BG21</f>
        <v>0</v>
      </c>
      <c r="AL21" s="250">
        <f>Prop2019DistTar!BH21</f>
        <v>0</v>
      </c>
      <c r="AM21" s="250">
        <f>Prop2019DistTar!BI21</f>
        <v>0</v>
      </c>
      <c r="AN21" s="250">
        <f>Prop2019DistTar!BJ21</f>
        <v>0</v>
      </c>
      <c r="AO21" s="250">
        <f>Prop2019DistTar!BK21</f>
        <v>0</v>
      </c>
      <c r="AP21" s="250">
        <f>Prop2019DistTar!BL21</f>
        <v>0</v>
      </c>
      <c r="AQ21" s="250">
        <f>Prop2019DistTar!BM21</f>
        <v>0</v>
      </c>
      <c r="AR21" s="250">
        <f>Prop2019DistTar!BN21</f>
        <v>0</v>
      </c>
      <c r="AS21" s="250">
        <f>Prop2019DistTar!BO21</f>
        <v>0</v>
      </c>
      <c r="AT21" s="251">
        <f>Prop2019DistTar!BP21</f>
        <v>0</v>
      </c>
      <c r="AV21" s="301">
        <f t="shared" si="4"/>
        <v>0</v>
      </c>
      <c r="AW21" s="302">
        <f t="shared" si="5"/>
        <v>4641767.5179282585</v>
      </c>
      <c r="AX21" s="302">
        <f t="shared" si="6"/>
        <v>0</v>
      </c>
      <c r="AY21" s="302">
        <f t="shared" si="7"/>
        <v>0</v>
      </c>
      <c r="AZ21" s="302">
        <f t="shared" si="8"/>
        <v>0</v>
      </c>
      <c r="BA21" s="302">
        <f t="shared" si="9"/>
        <v>0</v>
      </c>
      <c r="BB21" s="302">
        <f t="shared" si="10"/>
        <v>0</v>
      </c>
      <c r="BC21" s="302">
        <f t="shared" si="11"/>
        <v>0</v>
      </c>
      <c r="BD21" s="302">
        <f t="shared" si="12"/>
        <v>0</v>
      </c>
      <c r="BE21" s="302">
        <f t="shared" si="13"/>
        <v>0</v>
      </c>
      <c r="BF21" s="302">
        <f t="shared" si="14"/>
        <v>0</v>
      </c>
      <c r="BG21" s="302">
        <f t="shared" si="15"/>
        <v>0</v>
      </c>
      <c r="BH21" s="302">
        <f t="shared" si="16"/>
        <v>0</v>
      </c>
      <c r="BI21" s="303">
        <f t="shared" si="17"/>
        <v>0</v>
      </c>
      <c r="BJ21" s="303">
        <f t="shared" si="18"/>
        <v>0</v>
      </c>
      <c r="BK21" s="303">
        <f t="shared" si="19"/>
        <v>0</v>
      </c>
      <c r="BL21" s="303">
        <f t="shared" si="20"/>
        <v>0</v>
      </c>
      <c r="BM21" s="303">
        <f t="shared" si="21"/>
        <v>0</v>
      </c>
      <c r="BN21" s="303">
        <f t="shared" si="22"/>
        <v>0</v>
      </c>
      <c r="BO21" s="303">
        <f t="shared" si="23"/>
        <v>0</v>
      </c>
      <c r="BP21" s="303">
        <f t="shared" si="24"/>
        <v>0</v>
      </c>
      <c r="BQ21" s="254">
        <f t="shared" si="25"/>
        <v>4641767.5179282585</v>
      </c>
    </row>
    <row r="22" spans="2:69" x14ac:dyDescent="0.2">
      <c r="B22" s="234" t="str">
        <f>Prop2019DistTar!B22</f>
        <v>Non-Residential Single Rate - Bulk</v>
      </c>
      <c r="C22" s="284"/>
      <c r="D22" s="791">
        <v>0</v>
      </c>
      <c r="E22" s="787">
        <v>1.61</v>
      </c>
      <c r="F22" s="787">
        <v>0</v>
      </c>
      <c r="G22" s="787">
        <v>0</v>
      </c>
      <c r="H22" s="787">
        <v>0</v>
      </c>
      <c r="I22" s="787">
        <v>0</v>
      </c>
      <c r="J22" s="787">
        <v>0</v>
      </c>
      <c r="K22" s="787">
        <v>0</v>
      </c>
      <c r="L22" s="787">
        <v>0</v>
      </c>
      <c r="M22" s="787">
        <v>0</v>
      </c>
      <c r="N22" s="787">
        <v>0</v>
      </c>
      <c r="O22" s="787">
        <v>0</v>
      </c>
      <c r="P22" s="787">
        <v>0</v>
      </c>
      <c r="Q22" s="787">
        <v>0</v>
      </c>
      <c r="R22" s="787">
        <v>0</v>
      </c>
      <c r="S22" s="787">
        <v>0</v>
      </c>
      <c r="T22" s="787">
        <v>0</v>
      </c>
      <c r="U22" s="787">
        <v>0</v>
      </c>
      <c r="V22" s="787">
        <v>0</v>
      </c>
      <c r="W22" s="787">
        <v>0</v>
      </c>
      <c r="X22" s="792">
        <v>0</v>
      </c>
      <c r="Z22" s="276">
        <f>Prop2019DistTar!AV22</f>
        <v>5859.166666666667</v>
      </c>
      <c r="AA22" s="250">
        <f>Prop2019DistTar!AW22</f>
        <v>77076676.161172211</v>
      </c>
      <c r="AB22" s="250">
        <f>Prop2019DistTar!AX22</f>
        <v>0</v>
      </c>
      <c r="AC22" s="250">
        <f>Prop2019DistTar!AY22</f>
        <v>0</v>
      </c>
      <c r="AD22" s="250">
        <f>Prop2019DistTar!AZ22</f>
        <v>0</v>
      </c>
      <c r="AE22" s="250">
        <f>Prop2019DistTar!BA22</f>
        <v>0</v>
      </c>
      <c r="AF22" s="250">
        <f>Prop2019DistTar!BB22</f>
        <v>0</v>
      </c>
      <c r="AG22" s="250">
        <f>Prop2019DistTar!BC22</f>
        <v>0</v>
      </c>
      <c r="AH22" s="250">
        <f>Prop2019DistTar!BD22</f>
        <v>0</v>
      </c>
      <c r="AI22" s="250">
        <f>Prop2019DistTar!BE22</f>
        <v>0</v>
      </c>
      <c r="AJ22" s="250">
        <f>Prop2019DistTar!BF22</f>
        <v>0</v>
      </c>
      <c r="AK22" s="250">
        <f>Prop2019DistTar!BG22</f>
        <v>0</v>
      </c>
      <c r="AL22" s="250">
        <f>Prop2019DistTar!BH22</f>
        <v>0</v>
      </c>
      <c r="AM22" s="250">
        <f>Prop2019DistTar!BI22</f>
        <v>0</v>
      </c>
      <c r="AN22" s="250">
        <f>Prop2019DistTar!BJ22</f>
        <v>0</v>
      </c>
      <c r="AO22" s="250">
        <f>Prop2019DistTar!BK22</f>
        <v>0</v>
      </c>
      <c r="AP22" s="250">
        <f>Prop2019DistTar!BL22</f>
        <v>0</v>
      </c>
      <c r="AQ22" s="250">
        <f>Prop2019DistTar!BM22</f>
        <v>0</v>
      </c>
      <c r="AR22" s="250">
        <f>Prop2019DistTar!BN22</f>
        <v>0</v>
      </c>
      <c r="AS22" s="250">
        <f>Prop2019DistTar!BO22</f>
        <v>0</v>
      </c>
      <c r="AT22" s="251">
        <f>Prop2019DistTar!BP22</f>
        <v>0</v>
      </c>
      <c r="AV22" s="301">
        <f t="shared" si="4"/>
        <v>0</v>
      </c>
      <c r="AW22" s="302">
        <f t="shared" si="5"/>
        <v>1240934.4861948725</v>
      </c>
      <c r="AX22" s="302">
        <f t="shared" si="6"/>
        <v>0</v>
      </c>
      <c r="AY22" s="302">
        <f t="shared" si="7"/>
        <v>0</v>
      </c>
      <c r="AZ22" s="302">
        <f t="shared" si="8"/>
        <v>0</v>
      </c>
      <c r="BA22" s="302">
        <f t="shared" si="9"/>
        <v>0</v>
      </c>
      <c r="BB22" s="302">
        <f t="shared" si="10"/>
        <v>0</v>
      </c>
      <c r="BC22" s="302">
        <f t="shared" si="11"/>
        <v>0</v>
      </c>
      <c r="BD22" s="302">
        <f t="shared" si="12"/>
        <v>0</v>
      </c>
      <c r="BE22" s="302">
        <f t="shared" si="13"/>
        <v>0</v>
      </c>
      <c r="BF22" s="302">
        <f t="shared" si="14"/>
        <v>0</v>
      </c>
      <c r="BG22" s="302">
        <f t="shared" si="15"/>
        <v>0</v>
      </c>
      <c r="BH22" s="302">
        <f t="shared" si="16"/>
        <v>0</v>
      </c>
      <c r="BI22" s="303">
        <f t="shared" si="17"/>
        <v>0</v>
      </c>
      <c r="BJ22" s="303">
        <f t="shared" si="18"/>
        <v>0</v>
      </c>
      <c r="BK22" s="303">
        <f t="shared" si="19"/>
        <v>0</v>
      </c>
      <c r="BL22" s="303">
        <f t="shared" si="20"/>
        <v>0</v>
      </c>
      <c r="BM22" s="303">
        <f t="shared" si="21"/>
        <v>0</v>
      </c>
      <c r="BN22" s="303">
        <f t="shared" si="22"/>
        <v>0</v>
      </c>
      <c r="BO22" s="303">
        <f t="shared" si="23"/>
        <v>0</v>
      </c>
      <c r="BP22" s="303">
        <f t="shared" si="24"/>
        <v>0</v>
      </c>
      <c r="BQ22" s="254">
        <f t="shared" si="25"/>
        <v>1240934.4861948725</v>
      </c>
    </row>
    <row r="23" spans="2:69" x14ac:dyDescent="0.2">
      <c r="B23" s="234" t="str">
        <f>Prop2019DistTar!B23</f>
        <v>Non-Residential Two Rate 5d</v>
      </c>
      <c r="C23" s="284"/>
      <c r="D23" s="791">
        <v>0</v>
      </c>
      <c r="E23" s="787">
        <v>0</v>
      </c>
      <c r="F23" s="787">
        <v>2.99</v>
      </c>
      <c r="G23" s="787">
        <v>0</v>
      </c>
      <c r="H23" s="787">
        <v>0</v>
      </c>
      <c r="I23" s="787">
        <v>0.86</v>
      </c>
      <c r="J23" s="787">
        <v>0</v>
      </c>
      <c r="K23" s="787">
        <v>0</v>
      </c>
      <c r="L23" s="787">
        <v>0</v>
      </c>
      <c r="M23" s="787">
        <v>0</v>
      </c>
      <c r="N23" s="787">
        <v>0</v>
      </c>
      <c r="O23" s="787">
        <v>0</v>
      </c>
      <c r="P23" s="787">
        <v>0</v>
      </c>
      <c r="Q23" s="787">
        <v>0</v>
      </c>
      <c r="R23" s="787">
        <v>0</v>
      </c>
      <c r="S23" s="787">
        <v>0</v>
      </c>
      <c r="T23" s="787">
        <v>0</v>
      </c>
      <c r="U23" s="787">
        <v>0</v>
      </c>
      <c r="V23" s="787">
        <v>0</v>
      </c>
      <c r="W23" s="787">
        <v>0</v>
      </c>
      <c r="X23" s="792">
        <v>0</v>
      </c>
      <c r="Z23" s="276">
        <f>Prop2019DistTar!AV23</f>
        <v>8457.4166666666661</v>
      </c>
      <c r="AA23" s="250">
        <f>Prop2019DistTar!AW23</f>
        <v>0</v>
      </c>
      <c r="AB23" s="250">
        <f>Prop2019DistTar!AX23</f>
        <v>92130994.291198537</v>
      </c>
      <c r="AC23" s="250">
        <f>Prop2019DistTar!AY23</f>
        <v>0</v>
      </c>
      <c r="AD23" s="250">
        <f>Prop2019DistTar!AZ23</f>
        <v>0</v>
      </c>
      <c r="AE23" s="250">
        <f>Prop2019DistTar!BA23</f>
        <v>57478450.853033125</v>
      </c>
      <c r="AF23" s="250">
        <f>Prop2019DistTar!BB23</f>
        <v>0</v>
      </c>
      <c r="AG23" s="250">
        <f>Prop2019DistTar!BC23</f>
        <v>0</v>
      </c>
      <c r="AH23" s="250">
        <f>Prop2019DistTar!BD23</f>
        <v>0</v>
      </c>
      <c r="AI23" s="250">
        <f>Prop2019DistTar!BE23</f>
        <v>0</v>
      </c>
      <c r="AJ23" s="250">
        <f>Prop2019DistTar!BF23</f>
        <v>0</v>
      </c>
      <c r="AK23" s="250">
        <f>Prop2019DistTar!BG23</f>
        <v>0</v>
      </c>
      <c r="AL23" s="250">
        <f>Prop2019DistTar!BH23</f>
        <v>0</v>
      </c>
      <c r="AM23" s="250">
        <f>Prop2019DistTar!BI23</f>
        <v>0</v>
      </c>
      <c r="AN23" s="250">
        <f>Prop2019DistTar!BJ23</f>
        <v>0</v>
      </c>
      <c r="AO23" s="250">
        <f>Prop2019DistTar!BK23</f>
        <v>0</v>
      </c>
      <c r="AP23" s="250">
        <f>Prop2019DistTar!BL23</f>
        <v>0</v>
      </c>
      <c r="AQ23" s="250">
        <f>Prop2019DistTar!BM23</f>
        <v>0</v>
      </c>
      <c r="AR23" s="250">
        <f>Prop2019DistTar!BN23</f>
        <v>0</v>
      </c>
      <c r="AS23" s="250">
        <f>Prop2019DistTar!BO23</f>
        <v>0</v>
      </c>
      <c r="AT23" s="251">
        <f>Prop2019DistTar!BP23</f>
        <v>0</v>
      </c>
      <c r="AV23" s="301">
        <f t="shared" si="4"/>
        <v>0</v>
      </c>
      <c r="AW23" s="302">
        <f t="shared" si="5"/>
        <v>0</v>
      </c>
      <c r="AX23" s="302">
        <f t="shared" si="6"/>
        <v>2754716.7293068366</v>
      </c>
      <c r="AY23" s="302">
        <f t="shared" si="7"/>
        <v>0</v>
      </c>
      <c r="AZ23" s="302">
        <f t="shared" si="8"/>
        <v>0</v>
      </c>
      <c r="BA23" s="302">
        <f t="shared" si="9"/>
        <v>494314.67733608489</v>
      </c>
      <c r="BB23" s="302">
        <f t="shared" si="10"/>
        <v>0</v>
      </c>
      <c r="BC23" s="302">
        <f t="shared" si="11"/>
        <v>0</v>
      </c>
      <c r="BD23" s="302">
        <f t="shared" si="12"/>
        <v>0</v>
      </c>
      <c r="BE23" s="302">
        <f t="shared" si="13"/>
        <v>0</v>
      </c>
      <c r="BF23" s="302">
        <f t="shared" si="14"/>
        <v>0</v>
      </c>
      <c r="BG23" s="302">
        <f t="shared" si="15"/>
        <v>0</v>
      </c>
      <c r="BH23" s="302">
        <f t="shared" si="16"/>
        <v>0</v>
      </c>
      <c r="BI23" s="303">
        <f t="shared" si="17"/>
        <v>0</v>
      </c>
      <c r="BJ23" s="303">
        <f t="shared" si="18"/>
        <v>0</v>
      </c>
      <c r="BK23" s="303">
        <f t="shared" si="19"/>
        <v>0</v>
      </c>
      <c r="BL23" s="303">
        <f t="shared" si="20"/>
        <v>0</v>
      </c>
      <c r="BM23" s="303">
        <f t="shared" si="21"/>
        <v>0</v>
      </c>
      <c r="BN23" s="303">
        <f t="shared" si="22"/>
        <v>0</v>
      </c>
      <c r="BO23" s="303">
        <f t="shared" si="23"/>
        <v>0</v>
      </c>
      <c r="BP23" s="303">
        <f t="shared" si="24"/>
        <v>0</v>
      </c>
      <c r="BQ23" s="254">
        <f t="shared" si="25"/>
        <v>3249031.4066429213</v>
      </c>
    </row>
    <row r="24" spans="2:69" x14ac:dyDescent="0.2">
      <c r="B24" s="234" t="str">
        <f>Prop2019DistTar!B24</f>
        <v>Non-Residential Two Rate 5d - Bulk</v>
      </c>
      <c r="C24" s="284"/>
      <c r="D24" s="791">
        <v>0</v>
      </c>
      <c r="E24" s="787">
        <v>0</v>
      </c>
      <c r="F24" s="787">
        <v>2.33</v>
      </c>
      <c r="G24" s="787">
        <v>0</v>
      </c>
      <c r="H24" s="787">
        <v>0</v>
      </c>
      <c r="I24" s="787">
        <v>0.7</v>
      </c>
      <c r="J24" s="787">
        <v>0</v>
      </c>
      <c r="K24" s="787">
        <v>0</v>
      </c>
      <c r="L24" s="787">
        <v>0</v>
      </c>
      <c r="M24" s="787">
        <v>0</v>
      </c>
      <c r="N24" s="787">
        <v>0</v>
      </c>
      <c r="O24" s="787">
        <v>0</v>
      </c>
      <c r="P24" s="787">
        <v>0</v>
      </c>
      <c r="Q24" s="787">
        <v>0</v>
      </c>
      <c r="R24" s="787">
        <v>0</v>
      </c>
      <c r="S24" s="787">
        <v>0</v>
      </c>
      <c r="T24" s="787">
        <v>0</v>
      </c>
      <c r="U24" s="787">
        <v>0</v>
      </c>
      <c r="V24" s="787">
        <v>0</v>
      </c>
      <c r="W24" s="787">
        <v>0</v>
      </c>
      <c r="X24" s="792">
        <v>0</v>
      </c>
      <c r="Z24" s="276">
        <f>Prop2019DistTar!AV24</f>
        <v>1060</v>
      </c>
      <c r="AA24" s="250">
        <f>Prop2019DistTar!AW24</f>
        <v>0</v>
      </c>
      <c r="AB24" s="250">
        <f>Prop2019DistTar!AX24</f>
        <v>17530830.09980379</v>
      </c>
      <c r="AC24" s="250">
        <f>Prop2019DistTar!AY24</f>
        <v>0</v>
      </c>
      <c r="AD24" s="250">
        <f>Prop2019DistTar!AZ24</f>
        <v>0</v>
      </c>
      <c r="AE24" s="250">
        <f>Prop2019DistTar!BA24</f>
        <v>10374374.192942632</v>
      </c>
      <c r="AF24" s="250">
        <f>Prop2019DistTar!BB24</f>
        <v>0</v>
      </c>
      <c r="AG24" s="250">
        <f>Prop2019DistTar!BC24</f>
        <v>0</v>
      </c>
      <c r="AH24" s="250">
        <f>Prop2019DistTar!BD24</f>
        <v>0</v>
      </c>
      <c r="AI24" s="250">
        <f>Prop2019DistTar!BE24</f>
        <v>0</v>
      </c>
      <c r="AJ24" s="250">
        <f>Prop2019DistTar!BF24</f>
        <v>0</v>
      </c>
      <c r="AK24" s="250">
        <f>Prop2019DistTar!BG24</f>
        <v>0</v>
      </c>
      <c r="AL24" s="250">
        <f>Prop2019DistTar!BH24</f>
        <v>0</v>
      </c>
      <c r="AM24" s="250">
        <f>Prop2019DistTar!BI24</f>
        <v>0</v>
      </c>
      <c r="AN24" s="250">
        <f>Prop2019DistTar!BJ24</f>
        <v>0</v>
      </c>
      <c r="AO24" s="250">
        <f>Prop2019DistTar!BK24</f>
        <v>0</v>
      </c>
      <c r="AP24" s="250">
        <f>Prop2019DistTar!BL24</f>
        <v>0</v>
      </c>
      <c r="AQ24" s="250">
        <f>Prop2019DistTar!BM24</f>
        <v>0</v>
      </c>
      <c r="AR24" s="250">
        <f>Prop2019DistTar!BN24</f>
        <v>0</v>
      </c>
      <c r="AS24" s="250">
        <f>Prop2019DistTar!BO24</f>
        <v>0</v>
      </c>
      <c r="AT24" s="251">
        <f>Prop2019DistTar!BP24</f>
        <v>0</v>
      </c>
      <c r="AV24" s="301">
        <f t="shared" si="4"/>
        <v>0</v>
      </c>
      <c r="AW24" s="302">
        <f t="shared" si="5"/>
        <v>0</v>
      </c>
      <c r="AX24" s="302">
        <f t="shared" si="6"/>
        <v>408468.34132542834</v>
      </c>
      <c r="AY24" s="302">
        <f t="shared" si="7"/>
        <v>0</v>
      </c>
      <c r="AZ24" s="302">
        <f t="shared" si="8"/>
        <v>0</v>
      </c>
      <c r="BA24" s="302">
        <f t="shared" si="9"/>
        <v>72620.619350598412</v>
      </c>
      <c r="BB24" s="302">
        <f t="shared" si="10"/>
        <v>0</v>
      </c>
      <c r="BC24" s="302">
        <f t="shared" si="11"/>
        <v>0</v>
      </c>
      <c r="BD24" s="302">
        <f t="shared" si="12"/>
        <v>0</v>
      </c>
      <c r="BE24" s="302">
        <f t="shared" si="13"/>
        <v>0</v>
      </c>
      <c r="BF24" s="302">
        <f t="shared" si="14"/>
        <v>0</v>
      </c>
      <c r="BG24" s="302">
        <f t="shared" si="15"/>
        <v>0</v>
      </c>
      <c r="BH24" s="302">
        <f t="shared" si="16"/>
        <v>0</v>
      </c>
      <c r="BI24" s="303">
        <f t="shared" si="17"/>
        <v>0</v>
      </c>
      <c r="BJ24" s="303">
        <f t="shared" si="18"/>
        <v>0</v>
      </c>
      <c r="BK24" s="303">
        <f t="shared" si="19"/>
        <v>0</v>
      </c>
      <c r="BL24" s="303">
        <f t="shared" si="20"/>
        <v>0</v>
      </c>
      <c r="BM24" s="303">
        <f t="shared" si="21"/>
        <v>0</v>
      </c>
      <c r="BN24" s="303">
        <f t="shared" si="22"/>
        <v>0</v>
      </c>
      <c r="BO24" s="303">
        <f t="shared" si="23"/>
        <v>0</v>
      </c>
      <c r="BP24" s="303">
        <f t="shared" si="24"/>
        <v>0</v>
      </c>
      <c r="BQ24" s="254">
        <f t="shared" si="25"/>
        <v>481088.96067602676</v>
      </c>
    </row>
    <row r="25" spans="2:69" x14ac:dyDescent="0.2">
      <c r="B25" s="234" t="str">
        <f>Prop2019DistTar!B25</f>
        <v>Non-Residential Interval</v>
      </c>
      <c r="C25" s="284"/>
      <c r="D25" s="791">
        <v>0</v>
      </c>
      <c r="E25" s="787">
        <v>0</v>
      </c>
      <c r="F25" s="787">
        <v>2.99</v>
      </c>
      <c r="G25" s="787">
        <v>0</v>
      </c>
      <c r="H25" s="787">
        <v>0</v>
      </c>
      <c r="I25" s="787">
        <v>0.79</v>
      </c>
      <c r="J25" s="787">
        <v>0</v>
      </c>
      <c r="K25" s="787">
        <v>0</v>
      </c>
      <c r="L25" s="787">
        <v>0</v>
      </c>
      <c r="M25" s="787">
        <v>0</v>
      </c>
      <c r="N25" s="787">
        <v>0</v>
      </c>
      <c r="O25" s="787">
        <v>0</v>
      </c>
      <c r="P25" s="787">
        <v>0</v>
      </c>
      <c r="Q25" s="787">
        <v>0</v>
      </c>
      <c r="R25" s="787">
        <v>0</v>
      </c>
      <c r="S25" s="787">
        <v>0</v>
      </c>
      <c r="T25" s="787">
        <v>0</v>
      </c>
      <c r="U25" s="787">
        <v>0</v>
      </c>
      <c r="V25" s="787">
        <v>0</v>
      </c>
      <c r="W25" s="787">
        <v>0</v>
      </c>
      <c r="X25" s="792">
        <v>0</v>
      </c>
      <c r="Z25" s="276">
        <f>Prop2019DistTar!AV25</f>
        <v>3960.0833333333335</v>
      </c>
      <c r="AA25" s="250">
        <f>Prop2019DistTar!AW25</f>
        <v>0</v>
      </c>
      <c r="AB25" s="250">
        <f>Prop2019DistTar!AX25</f>
        <v>45937500.616836645</v>
      </c>
      <c r="AC25" s="250">
        <f>Prop2019DistTar!AY25</f>
        <v>0</v>
      </c>
      <c r="AD25" s="250">
        <f>Prop2019DistTar!AZ25</f>
        <v>0</v>
      </c>
      <c r="AE25" s="250">
        <f>Prop2019DistTar!BA25</f>
        <v>25953497.24992197</v>
      </c>
      <c r="AF25" s="250">
        <f>Prop2019DistTar!BB25</f>
        <v>0</v>
      </c>
      <c r="AG25" s="250">
        <f>Prop2019DistTar!BC25</f>
        <v>0</v>
      </c>
      <c r="AH25" s="250">
        <f>Prop2019DistTar!BD25</f>
        <v>0</v>
      </c>
      <c r="AI25" s="250">
        <f>Prop2019DistTar!BE25</f>
        <v>0</v>
      </c>
      <c r="AJ25" s="250">
        <f>Prop2019DistTar!BF25</f>
        <v>0</v>
      </c>
      <c r="AK25" s="250">
        <f>Prop2019DistTar!BG25</f>
        <v>0</v>
      </c>
      <c r="AL25" s="250">
        <f>Prop2019DistTar!BH25</f>
        <v>0</v>
      </c>
      <c r="AM25" s="250">
        <f>Prop2019DistTar!BI25</f>
        <v>0</v>
      </c>
      <c r="AN25" s="250">
        <f>Prop2019DistTar!BJ25</f>
        <v>0</v>
      </c>
      <c r="AO25" s="250">
        <f>Prop2019DistTar!BK25</f>
        <v>0</v>
      </c>
      <c r="AP25" s="250">
        <f>Prop2019DistTar!BL25</f>
        <v>0</v>
      </c>
      <c r="AQ25" s="250">
        <f>Prop2019DistTar!BM25</f>
        <v>0</v>
      </c>
      <c r="AR25" s="250">
        <f>Prop2019DistTar!BN25</f>
        <v>0</v>
      </c>
      <c r="AS25" s="250">
        <f>Prop2019DistTar!BO25</f>
        <v>0</v>
      </c>
      <c r="AT25" s="251">
        <f>Prop2019DistTar!BP25</f>
        <v>0</v>
      </c>
      <c r="AV25" s="301">
        <f t="shared" si="4"/>
        <v>0</v>
      </c>
      <c r="AW25" s="302">
        <f t="shared" si="5"/>
        <v>0</v>
      </c>
      <c r="AX25" s="302">
        <f t="shared" si="6"/>
        <v>1373531.2684434159</v>
      </c>
      <c r="AY25" s="302">
        <f t="shared" si="7"/>
        <v>0</v>
      </c>
      <c r="AZ25" s="302">
        <f t="shared" si="8"/>
        <v>0</v>
      </c>
      <c r="BA25" s="302">
        <f t="shared" si="9"/>
        <v>205032.62827438358</v>
      </c>
      <c r="BB25" s="302">
        <f t="shared" si="10"/>
        <v>0</v>
      </c>
      <c r="BC25" s="302">
        <f t="shared" si="11"/>
        <v>0</v>
      </c>
      <c r="BD25" s="302">
        <f t="shared" si="12"/>
        <v>0</v>
      </c>
      <c r="BE25" s="302">
        <f t="shared" si="13"/>
        <v>0</v>
      </c>
      <c r="BF25" s="302">
        <f t="shared" si="14"/>
        <v>0</v>
      </c>
      <c r="BG25" s="302">
        <f t="shared" si="15"/>
        <v>0</v>
      </c>
      <c r="BH25" s="302">
        <f t="shared" si="16"/>
        <v>0</v>
      </c>
      <c r="BI25" s="303">
        <f t="shared" si="17"/>
        <v>0</v>
      </c>
      <c r="BJ25" s="303">
        <f t="shared" si="18"/>
        <v>0</v>
      </c>
      <c r="BK25" s="303">
        <f t="shared" si="19"/>
        <v>0</v>
      </c>
      <c r="BL25" s="303">
        <f t="shared" si="20"/>
        <v>0</v>
      </c>
      <c r="BM25" s="303">
        <f t="shared" si="21"/>
        <v>0</v>
      </c>
      <c r="BN25" s="303">
        <f t="shared" si="22"/>
        <v>0</v>
      </c>
      <c r="BO25" s="303">
        <f t="shared" si="23"/>
        <v>0</v>
      </c>
      <c r="BP25" s="303">
        <f t="shared" si="24"/>
        <v>0</v>
      </c>
      <c r="BQ25" s="254">
        <f t="shared" si="25"/>
        <v>1578563.8967177994</v>
      </c>
    </row>
    <row r="26" spans="2:69" x14ac:dyDescent="0.2">
      <c r="B26" s="234" t="str">
        <f>Prop2019DistTar!B26</f>
        <v>Non-Residential Interval - Bulk</v>
      </c>
      <c r="C26" s="284"/>
      <c r="D26" s="791">
        <v>0</v>
      </c>
      <c r="E26" s="787">
        <v>0</v>
      </c>
      <c r="F26" s="787">
        <v>2.33</v>
      </c>
      <c r="G26" s="787">
        <v>0</v>
      </c>
      <c r="H26" s="787">
        <v>0</v>
      </c>
      <c r="I26" s="787">
        <v>0.7</v>
      </c>
      <c r="J26" s="787">
        <v>0</v>
      </c>
      <c r="K26" s="787">
        <v>0</v>
      </c>
      <c r="L26" s="787">
        <v>0</v>
      </c>
      <c r="M26" s="787">
        <v>0</v>
      </c>
      <c r="N26" s="787">
        <v>0</v>
      </c>
      <c r="O26" s="787">
        <v>0</v>
      </c>
      <c r="P26" s="787">
        <v>0</v>
      </c>
      <c r="Q26" s="787">
        <v>0</v>
      </c>
      <c r="R26" s="787">
        <v>0</v>
      </c>
      <c r="S26" s="787">
        <v>0</v>
      </c>
      <c r="T26" s="787">
        <v>0</v>
      </c>
      <c r="U26" s="787">
        <v>0</v>
      </c>
      <c r="V26" s="787">
        <v>0</v>
      </c>
      <c r="W26" s="787">
        <v>0</v>
      </c>
      <c r="X26" s="792">
        <v>0</v>
      </c>
      <c r="Z26" s="276">
        <f>Prop2019DistTar!AV26</f>
        <v>1945.0833333333333</v>
      </c>
      <c r="AA26" s="250">
        <f>Prop2019DistTar!AW26</f>
        <v>0</v>
      </c>
      <c r="AB26" s="250">
        <f>Prop2019DistTar!AX26</f>
        <v>29899979.142567024</v>
      </c>
      <c r="AC26" s="250">
        <f>Prop2019DistTar!AY26</f>
        <v>0</v>
      </c>
      <c r="AD26" s="250">
        <f>Prop2019DistTar!AZ26</f>
        <v>0</v>
      </c>
      <c r="AE26" s="250">
        <f>Prop2019DistTar!BA26</f>
        <v>15763990.484742738</v>
      </c>
      <c r="AF26" s="250">
        <f>Prop2019DistTar!BB26</f>
        <v>0</v>
      </c>
      <c r="AG26" s="250">
        <f>Prop2019DistTar!BC26</f>
        <v>0</v>
      </c>
      <c r="AH26" s="250">
        <f>Prop2019DistTar!BD26</f>
        <v>0</v>
      </c>
      <c r="AI26" s="250">
        <f>Prop2019DistTar!BE26</f>
        <v>0</v>
      </c>
      <c r="AJ26" s="250">
        <f>Prop2019DistTar!BF26</f>
        <v>0</v>
      </c>
      <c r="AK26" s="250">
        <f>Prop2019DistTar!BG26</f>
        <v>0</v>
      </c>
      <c r="AL26" s="250">
        <f>Prop2019DistTar!BH26</f>
        <v>0</v>
      </c>
      <c r="AM26" s="250">
        <f>Prop2019DistTar!BI26</f>
        <v>0</v>
      </c>
      <c r="AN26" s="250">
        <f>Prop2019DistTar!BJ26</f>
        <v>0</v>
      </c>
      <c r="AO26" s="250">
        <f>Prop2019DistTar!BK26</f>
        <v>0</v>
      </c>
      <c r="AP26" s="250">
        <f>Prop2019DistTar!BL26</f>
        <v>0</v>
      </c>
      <c r="AQ26" s="250">
        <f>Prop2019DistTar!BM26</f>
        <v>0</v>
      </c>
      <c r="AR26" s="250">
        <f>Prop2019DistTar!BN26</f>
        <v>0</v>
      </c>
      <c r="AS26" s="250">
        <f>Prop2019DistTar!BO26</f>
        <v>0</v>
      </c>
      <c r="AT26" s="251">
        <f>Prop2019DistTar!BP26</f>
        <v>0</v>
      </c>
      <c r="AV26" s="301">
        <f t="shared" si="4"/>
        <v>0</v>
      </c>
      <c r="AW26" s="302">
        <f t="shared" si="5"/>
        <v>0</v>
      </c>
      <c r="AX26" s="302">
        <f t="shared" si="6"/>
        <v>696669.51402181166</v>
      </c>
      <c r="AY26" s="302">
        <f t="shared" si="7"/>
        <v>0</v>
      </c>
      <c r="AZ26" s="302">
        <f t="shared" si="8"/>
        <v>0</v>
      </c>
      <c r="BA26" s="302">
        <f t="shared" si="9"/>
        <v>110347.93339319916</v>
      </c>
      <c r="BB26" s="302">
        <f t="shared" si="10"/>
        <v>0</v>
      </c>
      <c r="BC26" s="302">
        <f t="shared" si="11"/>
        <v>0</v>
      </c>
      <c r="BD26" s="302">
        <f t="shared" si="12"/>
        <v>0</v>
      </c>
      <c r="BE26" s="302">
        <f t="shared" si="13"/>
        <v>0</v>
      </c>
      <c r="BF26" s="302">
        <f t="shared" si="14"/>
        <v>0</v>
      </c>
      <c r="BG26" s="302">
        <f t="shared" si="15"/>
        <v>0</v>
      </c>
      <c r="BH26" s="302">
        <f t="shared" si="16"/>
        <v>0</v>
      </c>
      <c r="BI26" s="303">
        <f t="shared" si="17"/>
        <v>0</v>
      </c>
      <c r="BJ26" s="303">
        <f t="shared" si="18"/>
        <v>0</v>
      </c>
      <c r="BK26" s="303">
        <f t="shared" si="19"/>
        <v>0</v>
      </c>
      <c r="BL26" s="303">
        <f t="shared" si="20"/>
        <v>0</v>
      </c>
      <c r="BM26" s="303">
        <f t="shared" si="21"/>
        <v>0</v>
      </c>
      <c r="BN26" s="303">
        <f t="shared" si="22"/>
        <v>0</v>
      </c>
      <c r="BO26" s="303">
        <f t="shared" si="23"/>
        <v>0</v>
      </c>
      <c r="BP26" s="303">
        <f t="shared" si="24"/>
        <v>0</v>
      </c>
      <c r="BQ26" s="254">
        <f t="shared" si="25"/>
        <v>807017.44741501077</v>
      </c>
    </row>
    <row r="27" spans="2:69" x14ac:dyDescent="0.2">
      <c r="B27" s="234" t="str">
        <f>Prop2019DistTar!B27</f>
        <v>Non-Residential Flexible Pricing</v>
      </c>
      <c r="C27" s="284"/>
      <c r="D27" s="791">
        <v>0</v>
      </c>
      <c r="E27" s="787">
        <v>0</v>
      </c>
      <c r="F27" s="787">
        <v>0</v>
      </c>
      <c r="G27" s="787">
        <v>0</v>
      </c>
      <c r="H27" s="787">
        <v>0</v>
      </c>
      <c r="I27" s="787">
        <v>0</v>
      </c>
      <c r="J27" s="787">
        <v>0</v>
      </c>
      <c r="K27" s="787">
        <v>0</v>
      </c>
      <c r="L27" s="787">
        <v>0</v>
      </c>
      <c r="M27" s="787">
        <v>0</v>
      </c>
      <c r="N27" s="787">
        <v>0</v>
      </c>
      <c r="O27" s="787">
        <v>0</v>
      </c>
      <c r="P27" s="787">
        <v>0</v>
      </c>
      <c r="Q27" s="787">
        <v>3.64</v>
      </c>
      <c r="R27" s="787">
        <v>2.54</v>
      </c>
      <c r="S27" s="787">
        <v>1</v>
      </c>
      <c r="T27" s="787">
        <v>0</v>
      </c>
      <c r="U27" s="787">
        <v>3.64</v>
      </c>
      <c r="V27" s="787">
        <v>2.54</v>
      </c>
      <c r="W27" s="787">
        <v>1</v>
      </c>
      <c r="X27" s="792">
        <v>0</v>
      </c>
      <c r="Z27" s="276">
        <f>Prop2019DistTar!AV27</f>
        <v>22</v>
      </c>
      <c r="AA27" s="250">
        <f>Prop2019DistTar!AW27</f>
        <v>0</v>
      </c>
      <c r="AB27" s="250">
        <f>Prop2019DistTar!AX27</f>
        <v>0</v>
      </c>
      <c r="AC27" s="250">
        <f>Prop2019DistTar!AY27</f>
        <v>0</v>
      </c>
      <c r="AD27" s="250">
        <f>Prop2019DistTar!AZ27</f>
        <v>0</v>
      </c>
      <c r="AE27" s="250">
        <f>Prop2019DistTar!BA27</f>
        <v>0</v>
      </c>
      <c r="AF27" s="250">
        <f>Prop2019DistTar!BB27</f>
        <v>0</v>
      </c>
      <c r="AG27" s="250">
        <f>Prop2019DistTar!BC27</f>
        <v>0</v>
      </c>
      <c r="AH27" s="250">
        <f>Prop2019DistTar!BD27</f>
        <v>0</v>
      </c>
      <c r="AI27" s="250">
        <f>Prop2019DistTar!BE27</f>
        <v>0</v>
      </c>
      <c r="AJ27" s="250">
        <f>Prop2019DistTar!BF27</f>
        <v>0</v>
      </c>
      <c r="AK27" s="250">
        <f>Prop2019DistTar!BG27</f>
        <v>0</v>
      </c>
      <c r="AL27" s="250">
        <f>Prop2019DistTar!BH27</f>
        <v>0</v>
      </c>
      <c r="AM27" s="250">
        <f>Prop2019DistTar!BI27</f>
        <v>90532.516087055192</v>
      </c>
      <c r="AN27" s="250">
        <f>Prop2019DistTar!BJ27</f>
        <v>28600.363735072933</v>
      </c>
      <c r="AO27" s="250">
        <f>Prop2019DistTar!BK27</f>
        <v>77063.914568834094</v>
      </c>
      <c r="AP27" s="250">
        <f>Prop2019DistTar!BL27</f>
        <v>0</v>
      </c>
      <c r="AQ27" s="250">
        <f>Prop2019DistTar!BM27</f>
        <v>309844.84003868263</v>
      </c>
      <c r="AR27" s="250">
        <f>Prop2019DistTar!BN27</f>
        <v>97883.893097818145</v>
      </c>
      <c r="AS27" s="250">
        <f>Prop2019DistTar!BO27</f>
        <v>263748.95246890507</v>
      </c>
      <c r="AT27" s="251">
        <f>Prop2019DistTar!BP27</f>
        <v>0</v>
      </c>
      <c r="AV27" s="301">
        <f t="shared" si="4"/>
        <v>0</v>
      </c>
      <c r="AW27" s="302">
        <f t="shared" si="5"/>
        <v>0</v>
      </c>
      <c r="AX27" s="302">
        <f t="shared" si="6"/>
        <v>0</v>
      </c>
      <c r="AY27" s="302">
        <f t="shared" si="7"/>
        <v>0</v>
      </c>
      <c r="AZ27" s="302">
        <f t="shared" si="8"/>
        <v>0</v>
      </c>
      <c r="BA27" s="302">
        <f t="shared" si="9"/>
        <v>0</v>
      </c>
      <c r="BB27" s="302">
        <f t="shared" si="10"/>
        <v>0</v>
      </c>
      <c r="BC27" s="302">
        <f t="shared" si="11"/>
        <v>0</v>
      </c>
      <c r="BD27" s="302">
        <f t="shared" si="12"/>
        <v>0</v>
      </c>
      <c r="BE27" s="302">
        <f t="shared" si="13"/>
        <v>0</v>
      </c>
      <c r="BF27" s="302">
        <f t="shared" si="14"/>
        <v>0</v>
      </c>
      <c r="BG27" s="302">
        <f t="shared" si="15"/>
        <v>0</v>
      </c>
      <c r="BH27" s="302">
        <f t="shared" si="16"/>
        <v>0</v>
      </c>
      <c r="BI27" s="303">
        <f t="shared" si="17"/>
        <v>3295.3835855688089</v>
      </c>
      <c r="BJ27" s="303">
        <f t="shared" si="18"/>
        <v>726.44923887085247</v>
      </c>
      <c r="BK27" s="303">
        <f t="shared" si="19"/>
        <v>770.63914568834093</v>
      </c>
      <c r="BL27" s="303">
        <f t="shared" si="20"/>
        <v>0</v>
      </c>
      <c r="BM27" s="303">
        <f t="shared" si="21"/>
        <v>11278.352177408047</v>
      </c>
      <c r="BN27" s="303">
        <f t="shared" si="22"/>
        <v>2486.2508846845808</v>
      </c>
      <c r="BO27" s="303">
        <f t="shared" si="23"/>
        <v>2637.489524689051</v>
      </c>
      <c r="BP27" s="303">
        <f t="shared" si="24"/>
        <v>0</v>
      </c>
      <c r="BQ27" s="254">
        <f t="shared" si="25"/>
        <v>21194.564556909681</v>
      </c>
    </row>
    <row r="28" spans="2:69" x14ac:dyDescent="0.2">
      <c r="B28" s="234" t="str">
        <f>Prop2019DistTar!B28</f>
        <v>Non-Residential - Flexible Pricing Bulk</v>
      </c>
      <c r="C28" s="284"/>
      <c r="D28" s="791">
        <v>0</v>
      </c>
      <c r="E28" s="787">
        <v>0</v>
      </c>
      <c r="F28" s="787">
        <v>0</v>
      </c>
      <c r="G28" s="787">
        <v>0</v>
      </c>
      <c r="H28" s="787">
        <v>0</v>
      </c>
      <c r="I28" s="787">
        <v>0</v>
      </c>
      <c r="J28" s="787">
        <v>0</v>
      </c>
      <c r="K28" s="787">
        <v>0</v>
      </c>
      <c r="L28" s="787">
        <v>0</v>
      </c>
      <c r="M28" s="787">
        <v>0</v>
      </c>
      <c r="N28" s="787">
        <v>0</v>
      </c>
      <c r="O28" s="787">
        <v>0</v>
      </c>
      <c r="P28" s="787">
        <v>0</v>
      </c>
      <c r="Q28" s="787">
        <v>3.2</v>
      </c>
      <c r="R28" s="787">
        <v>2.2400000000000002</v>
      </c>
      <c r="S28" s="787">
        <v>0.88</v>
      </c>
      <c r="T28" s="787">
        <v>0</v>
      </c>
      <c r="U28" s="787">
        <v>3.2</v>
      </c>
      <c r="V28" s="787">
        <v>2.2400000000000002</v>
      </c>
      <c r="W28" s="787">
        <v>0.88</v>
      </c>
      <c r="X28" s="792">
        <v>0</v>
      </c>
      <c r="Z28" s="276">
        <f>Prop2019DistTar!AV28</f>
        <v>7</v>
      </c>
      <c r="AA28" s="250">
        <f>Prop2019DistTar!AW28</f>
        <v>0</v>
      </c>
      <c r="AB28" s="250">
        <f>Prop2019DistTar!AX28</f>
        <v>0</v>
      </c>
      <c r="AC28" s="250">
        <f>Prop2019DistTar!AY28</f>
        <v>0</v>
      </c>
      <c r="AD28" s="250">
        <f>Prop2019DistTar!AZ28</f>
        <v>0</v>
      </c>
      <c r="AE28" s="250">
        <f>Prop2019DistTar!BA28</f>
        <v>0</v>
      </c>
      <c r="AF28" s="250">
        <f>Prop2019DistTar!BB28</f>
        <v>0</v>
      </c>
      <c r="AG28" s="250">
        <f>Prop2019DistTar!BC28</f>
        <v>0</v>
      </c>
      <c r="AH28" s="250">
        <f>Prop2019DistTar!BD28</f>
        <v>0</v>
      </c>
      <c r="AI28" s="250">
        <f>Prop2019DistTar!BE28</f>
        <v>0</v>
      </c>
      <c r="AJ28" s="250">
        <f>Prop2019DistTar!BF28</f>
        <v>0</v>
      </c>
      <c r="AK28" s="250">
        <f>Prop2019DistTar!BG28</f>
        <v>0</v>
      </c>
      <c r="AL28" s="250">
        <f>Prop2019DistTar!BH28</f>
        <v>0</v>
      </c>
      <c r="AM28" s="250">
        <f>Prop2019DistTar!BI28</f>
        <v>103639.4071436401</v>
      </c>
      <c r="AN28" s="250">
        <f>Prop2019DistTar!BJ28</f>
        <v>27419.302376645079</v>
      </c>
      <c r="AO28" s="250">
        <f>Prop2019DistTar!BK28</f>
        <v>92664.296651991201</v>
      </c>
      <c r="AP28" s="250">
        <f>Prop2019DistTar!BL28</f>
        <v>0</v>
      </c>
      <c r="AQ28" s="250">
        <f>Prop2019DistTar!BM28</f>
        <v>277642.32949385105</v>
      </c>
      <c r="AR28" s="250">
        <f>Prop2019DistTar!BN28</f>
        <v>73454.289200989399</v>
      </c>
      <c r="AS28" s="250">
        <f>Prop2019DistTar!BO28</f>
        <v>248240.81777803652</v>
      </c>
      <c r="AT28" s="251">
        <f>Prop2019DistTar!BP28</f>
        <v>0</v>
      </c>
      <c r="AV28" s="301">
        <f t="shared" si="4"/>
        <v>0</v>
      </c>
      <c r="AW28" s="302">
        <f t="shared" si="5"/>
        <v>0</v>
      </c>
      <c r="AX28" s="302">
        <f t="shared" si="6"/>
        <v>0</v>
      </c>
      <c r="AY28" s="302">
        <f t="shared" si="7"/>
        <v>0</v>
      </c>
      <c r="AZ28" s="302">
        <f t="shared" si="8"/>
        <v>0</v>
      </c>
      <c r="BA28" s="302">
        <f t="shared" si="9"/>
        <v>0</v>
      </c>
      <c r="BB28" s="302">
        <f t="shared" si="10"/>
        <v>0</v>
      </c>
      <c r="BC28" s="302">
        <f t="shared" si="11"/>
        <v>0</v>
      </c>
      <c r="BD28" s="302">
        <f t="shared" si="12"/>
        <v>0</v>
      </c>
      <c r="BE28" s="302">
        <f t="shared" si="13"/>
        <v>0</v>
      </c>
      <c r="BF28" s="302">
        <f t="shared" si="14"/>
        <v>0</v>
      </c>
      <c r="BG28" s="302">
        <f t="shared" si="15"/>
        <v>0</v>
      </c>
      <c r="BH28" s="302">
        <f t="shared" si="16"/>
        <v>0</v>
      </c>
      <c r="BI28" s="303">
        <f t="shared" si="17"/>
        <v>3316.4610285964832</v>
      </c>
      <c r="BJ28" s="303">
        <f t="shared" si="18"/>
        <v>614.1923732368499</v>
      </c>
      <c r="BK28" s="303">
        <f t="shared" si="19"/>
        <v>815.44581053752256</v>
      </c>
      <c r="BL28" s="303">
        <f t="shared" si="20"/>
        <v>0</v>
      </c>
      <c r="BM28" s="303">
        <f t="shared" si="21"/>
        <v>8884.5545438032332</v>
      </c>
      <c r="BN28" s="303">
        <f t="shared" si="22"/>
        <v>1645.3760781021629</v>
      </c>
      <c r="BO28" s="303">
        <f t="shared" si="23"/>
        <v>2184.5191964467217</v>
      </c>
      <c r="BP28" s="303">
        <f t="shared" si="24"/>
        <v>0</v>
      </c>
      <c r="BQ28" s="254">
        <f t="shared" si="25"/>
        <v>17460.549030722974</v>
      </c>
    </row>
    <row r="29" spans="2:69" x14ac:dyDescent="0.2">
      <c r="B29" s="234" t="str">
        <f>Prop2019DistTar!B29</f>
        <v>Non-Residential Two Rate 7d</v>
      </c>
      <c r="C29" s="284"/>
      <c r="D29" s="791">
        <v>0</v>
      </c>
      <c r="E29" s="787">
        <v>0</v>
      </c>
      <c r="F29" s="787">
        <v>2.35</v>
      </c>
      <c r="G29" s="787">
        <v>0</v>
      </c>
      <c r="H29" s="787">
        <v>0</v>
      </c>
      <c r="I29" s="787">
        <v>0.79</v>
      </c>
      <c r="J29" s="787">
        <v>0</v>
      </c>
      <c r="K29" s="787">
        <v>0</v>
      </c>
      <c r="L29" s="787">
        <v>0</v>
      </c>
      <c r="M29" s="787">
        <v>0</v>
      </c>
      <c r="N29" s="787">
        <v>0</v>
      </c>
      <c r="O29" s="787">
        <v>0</v>
      </c>
      <c r="P29" s="787">
        <v>0</v>
      </c>
      <c r="Q29" s="787">
        <v>0</v>
      </c>
      <c r="R29" s="787">
        <v>0</v>
      </c>
      <c r="S29" s="787">
        <v>0</v>
      </c>
      <c r="T29" s="787">
        <v>0</v>
      </c>
      <c r="U29" s="787">
        <v>0</v>
      </c>
      <c r="V29" s="787">
        <v>0</v>
      </c>
      <c r="W29" s="787">
        <v>0</v>
      </c>
      <c r="X29" s="792">
        <v>0</v>
      </c>
      <c r="Z29" s="276">
        <f>Prop2019DistTar!AV29</f>
        <v>2325</v>
      </c>
      <c r="AA29" s="250">
        <f>Prop2019DistTar!AW29</f>
        <v>0</v>
      </c>
      <c r="AB29" s="250">
        <f>Prop2019DistTar!AX29</f>
        <v>39141830.195678435</v>
      </c>
      <c r="AC29" s="250">
        <f>Prop2019DistTar!AY29</f>
        <v>0</v>
      </c>
      <c r="AD29" s="250">
        <f>Prop2019DistTar!AZ29</f>
        <v>0</v>
      </c>
      <c r="AE29" s="250">
        <f>Prop2019DistTar!BA29</f>
        <v>9312690.0588423535</v>
      </c>
      <c r="AF29" s="250">
        <f>Prop2019DistTar!BB29</f>
        <v>0</v>
      </c>
      <c r="AG29" s="250">
        <f>Prop2019DistTar!BC29</f>
        <v>0</v>
      </c>
      <c r="AH29" s="250">
        <f>Prop2019DistTar!BD29</f>
        <v>0</v>
      </c>
      <c r="AI29" s="250">
        <f>Prop2019DistTar!BE29</f>
        <v>0</v>
      </c>
      <c r="AJ29" s="250">
        <f>Prop2019DistTar!BF29</f>
        <v>0</v>
      </c>
      <c r="AK29" s="250">
        <f>Prop2019DistTar!BG29</f>
        <v>0</v>
      </c>
      <c r="AL29" s="250">
        <f>Prop2019DistTar!BH29</f>
        <v>0</v>
      </c>
      <c r="AM29" s="250">
        <f>Prop2019DistTar!BI29</f>
        <v>0</v>
      </c>
      <c r="AN29" s="250">
        <f>Prop2019DistTar!BJ29</f>
        <v>0</v>
      </c>
      <c r="AO29" s="250">
        <f>Prop2019DistTar!BK29</f>
        <v>0</v>
      </c>
      <c r="AP29" s="250">
        <f>Prop2019DistTar!BL29</f>
        <v>0</v>
      </c>
      <c r="AQ29" s="250">
        <f>Prop2019DistTar!BM29</f>
        <v>0</v>
      </c>
      <c r="AR29" s="250">
        <f>Prop2019DistTar!BN29</f>
        <v>0</v>
      </c>
      <c r="AS29" s="250">
        <f>Prop2019DistTar!BO29</f>
        <v>0</v>
      </c>
      <c r="AT29" s="251">
        <f>Prop2019DistTar!BP29</f>
        <v>0</v>
      </c>
      <c r="AV29" s="301">
        <f t="shared" si="4"/>
        <v>0</v>
      </c>
      <c r="AW29" s="302">
        <f t="shared" si="5"/>
        <v>0</v>
      </c>
      <c r="AX29" s="302">
        <f t="shared" si="6"/>
        <v>919833.00959844328</v>
      </c>
      <c r="AY29" s="302">
        <f t="shared" si="7"/>
        <v>0</v>
      </c>
      <c r="AZ29" s="302">
        <f t="shared" si="8"/>
        <v>0</v>
      </c>
      <c r="BA29" s="302">
        <f t="shared" si="9"/>
        <v>73570.251464854606</v>
      </c>
      <c r="BB29" s="302">
        <f t="shared" si="10"/>
        <v>0</v>
      </c>
      <c r="BC29" s="302">
        <f t="shared" si="11"/>
        <v>0</v>
      </c>
      <c r="BD29" s="302">
        <f t="shared" si="12"/>
        <v>0</v>
      </c>
      <c r="BE29" s="302">
        <f t="shared" si="13"/>
        <v>0</v>
      </c>
      <c r="BF29" s="302">
        <f t="shared" si="14"/>
        <v>0</v>
      </c>
      <c r="BG29" s="302">
        <f t="shared" si="15"/>
        <v>0</v>
      </c>
      <c r="BH29" s="302">
        <f t="shared" si="16"/>
        <v>0</v>
      </c>
      <c r="BI29" s="303">
        <f t="shared" si="17"/>
        <v>0</v>
      </c>
      <c r="BJ29" s="303">
        <f t="shared" si="18"/>
        <v>0</v>
      </c>
      <c r="BK29" s="303">
        <f t="shared" si="19"/>
        <v>0</v>
      </c>
      <c r="BL29" s="303">
        <f t="shared" si="20"/>
        <v>0</v>
      </c>
      <c r="BM29" s="303">
        <f t="shared" si="21"/>
        <v>0</v>
      </c>
      <c r="BN29" s="303">
        <f t="shared" si="22"/>
        <v>0</v>
      </c>
      <c r="BO29" s="303">
        <f t="shared" si="23"/>
        <v>0</v>
      </c>
      <c r="BP29" s="303">
        <f t="shared" si="24"/>
        <v>0</v>
      </c>
      <c r="BQ29" s="254">
        <f t="shared" si="25"/>
        <v>993403.26106329786</v>
      </c>
    </row>
    <row r="30" spans="2:69" x14ac:dyDescent="0.2">
      <c r="B30" s="234" t="str">
        <f>Prop2019DistTar!B30</f>
        <v>Non-Residential Two Rate 7d - Bulk</v>
      </c>
      <c r="C30" s="284"/>
      <c r="D30" s="791">
        <v>0</v>
      </c>
      <c r="E30" s="787">
        <v>0</v>
      </c>
      <c r="F30" s="787">
        <v>2.09</v>
      </c>
      <c r="G30" s="787">
        <v>0</v>
      </c>
      <c r="H30" s="787">
        <v>0</v>
      </c>
      <c r="I30" s="787">
        <v>0.7</v>
      </c>
      <c r="J30" s="787">
        <v>0</v>
      </c>
      <c r="K30" s="787">
        <v>0</v>
      </c>
      <c r="L30" s="787">
        <v>0</v>
      </c>
      <c r="M30" s="787">
        <v>0</v>
      </c>
      <c r="N30" s="787">
        <v>0</v>
      </c>
      <c r="O30" s="787">
        <v>0</v>
      </c>
      <c r="P30" s="787">
        <v>0</v>
      </c>
      <c r="Q30" s="787">
        <v>0</v>
      </c>
      <c r="R30" s="787">
        <v>0</v>
      </c>
      <c r="S30" s="787">
        <v>0</v>
      </c>
      <c r="T30" s="787">
        <v>0</v>
      </c>
      <c r="U30" s="787">
        <v>0</v>
      </c>
      <c r="V30" s="787">
        <v>0</v>
      </c>
      <c r="W30" s="787">
        <v>0</v>
      </c>
      <c r="X30" s="792">
        <v>0</v>
      </c>
      <c r="Z30" s="276">
        <f>Prop2019DistTar!AV30</f>
        <v>253.08333333333334</v>
      </c>
      <c r="AA30" s="250">
        <f>Prop2019DistTar!AW30</f>
        <v>0</v>
      </c>
      <c r="AB30" s="250">
        <f>Prop2019DistTar!AX30</f>
        <v>5750711.7271070778</v>
      </c>
      <c r="AC30" s="250">
        <f>Prop2019DistTar!AY30</f>
        <v>0</v>
      </c>
      <c r="AD30" s="250">
        <f>Prop2019DistTar!AZ30</f>
        <v>0</v>
      </c>
      <c r="AE30" s="250">
        <f>Prop2019DistTar!BA30</f>
        <v>1391434.2626145822</v>
      </c>
      <c r="AF30" s="250">
        <f>Prop2019DistTar!BB30</f>
        <v>0</v>
      </c>
      <c r="AG30" s="250">
        <f>Prop2019DistTar!BC30</f>
        <v>0</v>
      </c>
      <c r="AH30" s="250">
        <f>Prop2019DistTar!BD30</f>
        <v>0</v>
      </c>
      <c r="AI30" s="250">
        <f>Prop2019DistTar!BE30</f>
        <v>0</v>
      </c>
      <c r="AJ30" s="250">
        <f>Prop2019DistTar!BF30</f>
        <v>0</v>
      </c>
      <c r="AK30" s="250">
        <f>Prop2019DistTar!BG30</f>
        <v>0</v>
      </c>
      <c r="AL30" s="250">
        <f>Prop2019DistTar!BH30</f>
        <v>0</v>
      </c>
      <c r="AM30" s="250">
        <f>Prop2019DistTar!BI30</f>
        <v>0</v>
      </c>
      <c r="AN30" s="250">
        <f>Prop2019DistTar!BJ30</f>
        <v>0</v>
      </c>
      <c r="AO30" s="250">
        <f>Prop2019DistTar!BK30</f>
        <v>0</v>
      </c>
      <c r="AP30" s="250">
        <f>Prop2019DistTar!BL30</f>
        <v>0</v>
      </c>
      <c r="AQ30" s="250">
        <f>Prop2019DistTar!BM30</f>
        <v>0</v>
      </c>
      <c r="AR30" s="250">
        <f>Prop2019DistTar!BN30</f>
        <v>0</v>
      </c>
      <c r="AS30" s="250">
        <f>Prop2019DistTar!BO30</f>
        <v>0</v>
      </c>
      <c r="AT30" s="251">
        <f>Prop2019DistTar!BP30</f>
        <v>0</v>
      </c>
      <c r="AV30" s="301">
        <f t="shared" si="4"/>
        <v>0</v>
      </c>
      <c r="AW30" s="302">
        <f t="shared" si="5"/>
        <v>0</v>
      </c>
      <c r="AX30" s="302">
        <f t="shared" si="6"/>
        <v>120189.87509653791</v>
      </c>
      <c r="AY30" s="302">
        <f t="shared" si="7"/>
        <v>0</v>
      </c>
      <c r="AZ30" s="302">
        <f t="shared" si="8"/>
        <v>0</v>
      </c>
      <c r="BA30" s="302">
        <f t="shared" si="9"/>
        <v>9740.0398383020747</v>
      </c>
      <c r="BB30" s="302">
        <f t="shared" si="10"/>
        <v>0</v>
      </c>
      <c r="BC30" s="302">
        <f t="shared" si="11"/>
        <v>0</v>
      </c>
      <c r="BD30" s="302">
        <f t="shared" si="12"/>
        <v>0</v>
      </c>
      <c r="BE30" s="302">
        <f t="shared" si="13"/>
        <v>0</v>
      </c>
      <c r="BF30" s="302">
        <f t="shared" si="14"/>
        <v>0</v>
      </c>
      <c r="BG30" s="302">
        <f t="shared" si="15"/>
        <v>0</v>
      </c>
      <c r="BH30" s="302">
        <f t="shared" si="16"/>
        <v>0</v>
      </c>
      <c r="BI30" s="303">
        <f t="shared" si="17"/>
        <v>0</v>
      </c>
      <c r="BJ30" s="303">
        <f t="shared" si="18"/>
        <v>0</v>
      </c>
      <c r="BK30" s="303">
        <f t="shared" si="19"/>
        <v>0</v>
      </c>
      <c r="BL30" s="303">
        <f t="shared" si="20"/>
        <v>0</v>
      </c>
      <c r="BM30" s="303">
        <f t="shared" si="21"/>
        <v>0</v>
      </c>
      <c r="BN30" s="303">
        <f t="shared" si="22"/>
        <v>0</v>
      </c>
      <c r="BO30" s="303">
        <f t="shared" si="23"/>
        <v>0</v>
      </c>
      <c r="BP30" s="303">
        <f t="shared" si="24"/>
        <v>0</v>
      </c>
      <c r="BQ30" s="254">
        <f t="shared" si="25"/>
        <v>129929.91493484</v>
      </c>
    </row>
    <row r="31" spans="2:69" x14ac:dyDescent="0.2">
      <c r="B31" s="234" t="str">
        <f>Prop2019DistTar!B31</f>
        <v>Large Two Rate 7d</v>
      </c>
      <c r="C31" s="284"/>
      <c r="D31" s="791">
        <v>0</v>
      </c>
      <c r="E31" s="787">
        <v>0</v>
      </c>
      <c r="F31" s="787">
        <v>2.99</v>
      </c>
      <c r="G31" s="787">
        <v>0</v>
      </c>
      <c r="H31" s="787">
        <v>0</v>
      </c>
      <c r="I31" s="787">
        <v>0.86</v>
      </c>
      <c r="J31" s="787">
        <v>0</v>
      </c>
      <c r="K31" s="787">
        <v>0</v>
      </c>
      <c r="L31" s="787">
        <v>0</v>
      </c>
      <c r="M31" s="787">
        <v>0</v>
      </c>
      <c r="N31" s="787">
        <v>0</v>
      </c>
      <c r="O31" s="787">
        <v>0</v>
      </c>
      <c r="P31" s="787">
        <v>0</v>
      </c>
      <c r="Q31" s="787">
        <v>0</v>
      </c>
      <c r="R31" s="787">
        <v>0</v>
      </c>
      <c r="S31" s="787">
        <v>0</v>
      </c>
      <c r="T31" s="787">
        <v>0</v>
      </c>
      <c r="U31" s="787">
        <v>0</v>
      </c>
      <c r="V31" s="787">
        <v>0</v>
      </c>
      <c r="W31" s="787">
        <v>0</v>
      </c>
      <c r="X31" s="792">
        <v>0</v>
      </c>
      <c r="Z31" s="276">
        <f>Prop2019DistTar!AV31</f>
        <v>4</v>
      </c>
      <c r="AA31" s="250">
        <f>Prop2019DistTar!AW31</f>
        <v>0</v>
      </c>
      <c r="AB31" s="250">
        <f>Prop2019DistTar!AX31</f>
        <v>168556.17919268721</v>
      </c>
      <c r="AC31" s="250">
        <f>Prop2019DistTar!AY31</f>
        <v>0</v>
      </c>
      <c r="AD31" s="250">
        <f>Prop2019DistTar!AZ31</f>
        <v>0</v>
      </c>
      <c r="AE31" s="250">
        <f>Prop2019DistTar!BA31</f>
        <v>75139.006775332673</v>
      </c>
      <c r="AF31" s="250">
        <f>Prop2019DistTar!BB31</f>
        <v>0</v>
      </c>
      <c r="AG31" s="250">
        <f>Prop2019DistTar!BC31</f>
        <v>0</v>
      </c>
      <c r="AH31" s="250">
        <f>Prop2019DistTar!BD31</f>
        <v>0</v>
      </c>
      <c r="AI31" s="250">
        <f>Prop2019DistTar!BE31</f>
        <v>0</v>
      </c>
      <c r="AJ31" s="250">
        <f>Prop2019DistTar!BF31</f>
        <v>0</v>
      </c>
      <c r="AK31" s="250">
        <f>Prop2019DistTar!BG31</f>
        <v>0</v>
      </c>
      <c r="AL31" s="250">
        <f>Prop2019DistTar!BH31</f>
        <v>0</v>
      </c>
      <c r="AM31" s="250">
        <f>Prop2019DistTar!BI31</f>
        <v>0</v>
      </c>
      <c r="AN31" s="250">
        <f>Prop2019DistTar!BJ31</f>
        <v>0</v>
      </c>
      <c r="AO31" s="250">
        <f>Prop2019DistTar!BK31</f>
        <v>0</v>
      </c>
      <c r="AP31" s="250">
        <f>Prop2019DistTar!BL31</f>
        <v>0</v>
      </c>
      <c r="AQ31" s="250">
        <f>Prop2019DistTar!BM31</f>
        <v>0</v>
      </c>
      <c r="AR31" s="250">
        <f>Prop2019DistTar!BN31</f>
        <v>0</v>
      </c>
      <c r="AS31" s="250">
        <f>Prop2019DistTar!BO31</f>
        <v>0</v>
      </c>
      <c r="AT31" s="251">
        <f>Prop2019DistTar!BP31</f>
        <v>0</v>
      </c>
      <c r="AV31" s="301">
        <f t="shared" si="4"/>
        <v>0</v>
      </c>
      <c r="AW31" s="302">
        <f t="shared" si="5"/>
        <v>0</v>
      </c>
      <c r="AX31" s="302">
        <f t="shared" si="6"/>
        <v>5039.8297578613483</v>
      </c>
      <c r="AY31" s="302">
        <f t="shared" si="7"/>
        <v>0</v>
      </c>
      <c r="AZ31" s="302">
        <f t="shared" si="8"/>
        <v>0</v>
      </c>
      <c r="BA31" s="302">
        <f t="shared" si="9"/>
        <v>646.195458267861</v>
      </c>
      <c r="BB31" s="302">
        <f t="shared" si="10"/>
        <v>0</v>
      </c>
      <c r="BC31" s="302">
        <f t="shared" si="11"/>
        <v>0</v>
      </c>
      <c r="BD31" s="302">
        <f t="shared" si="12"/>
        <v>0</v>
      </c>
      <c r="BE31" s="302">
        <f t="shared" si="13"/>
        <v>0</v>
      </c>
      <c r="BF31" s="302">
        <f t="shared" si="14"/>
        <v>0</v>
      </c>
      <c r="BG31" s="302">
        <f t="shared" si="15"/>
        <v>0</v>
      </c>
      <c r="BH31" s="302">
        <f t="shared" si="16"/>
        <v>0</v>
      </c>
      <c r="BI31" s="303">
        <f t="shared" si="17"/>
        <v>0</v>
      </c>
      <c r="BJ31" s="303">
        <f t="shared" si="18"/>
        <v>0</v>
      </c>
      <c r="BK31" s="303">
        <f t="shared" si="19"/>
        <v>0</v>
      </c>
      <c r="BL31" s="303">
        <f t="shared" si="20"/>
        <v>0</v>
      </c>
      <c r="BM31" s="303">
        <f t="shared" si="21"/>
        <v>0</v>
      </c>
      <c r="BN31" s="303">
        <f t="shared" si="22"/>
        <v>0</v>
      </c>
      <c r="BO31" s="303">
        <f t="shared" si="23"/>
        <v>0</v>
      </c>
      <c r="BP31" s="303">
        <f t="shared" si="24"/>
        <v>0</v>
      </c>
      <c r="BQ31" s="254">
        <f t="shared" si="25"/>
        <v>5686.0252161292092</v>
      </c>
    </row>
    <row r="32" spans="2:69" x14ac:dyDescent="0.2">
      <c r="B32" s="234" t="str">
        <f>Prop2019DistTar!B32</f>
        <v>Non-Residential Demand Tariff</v>
      </c>
      <c r="C32" s="284"/>
      <c r="D32" s="791">
        <v>0</v>
      </c>
      <c r="E32" s="787">
        <v>1.0900000000000001</v>
      </c>
      <c r="F32" s="787">
        <v>0</v>
      </c>
      <c r="G32" s="787">
        <v>0</v>
      </c>
      <c r="H32" s="787">
        <v>0</v>
      </c>
      <c r="I32" s="787">
        <v>0</v>
      </c>
      <c r="J32" s="787">
        <v>0</v>
      </c>
      <c r="K32" s="787">
        <v>0</v>
      </c>
      <c r="L32" s="787">
        <v>0</v>
      </c>
      <c r="M32" s="787">
        <v>0</v>
      </c>
      <c r="N32" s="787">
        <v>0</v>
      </c>
      <c r="O32" s="787">
        <v>3.48</v>
      </c>
      <c r="P32" s="787">
        <v>1.1599999999999999</v>
      </c>
      <c r="Q32" s="787">
        <v>0</v>
      </c>
      <c r="R32" s="787">
        <v>0</v>
      </c>
      <c r="S32" s="787">
        <v>0</v>
      </c>
      <c r="T32" s="787">
        <v>0</v>
      </c>
      <c r="U32" s="787">
        <v>0</v>
      </c>
      <c r="V32" s="787">
        <v>0</v>
      </c>
      <c r="W32" s="787">
        <v>0</v>
      </c>
      <c r="X32" s="792">
        <v>0</v>
      </c>
      <c r="Z32" s="276">
        <f>Prop2019DistTar!AV32</f>
        <v>8</v>
      </c>
      <c r="AA32" s="250">
        <f>Prop2019DistTar!AW32</f>
        <v>717136.61553414329</v>
      </c>
      <c r="AB32" s="250">
        <f>Prop2019DistTar!AX32</f>
        <v>0</v>
      </c>
      <c r="AC32" s="250">
        <f>Prop2019DistTar!AY32</f>
        <v>0</v>
      </c>
      <c r="AD32" s="250">
        <f>Prop2019DistTar!AZ32</f>
        <v>0</v>
      </c>
      <c r="AE32" s="250">
        <f>Prop2019DistTar!BA32</f>
        <v>0</v>
      </c>
      <c r="AF32" s="250">
        <f>Prop2019DistTar!BB32</f>
        <v>0</v>
      </c>
      <c r="AG32" s="250">
        <f>Prop2019DistTar!BC32</f>
        <v>0</v>
      </c>
      <c r="AH32" s="250">
        <f>Prop2019DistTar!BD32</f>
        <v>0</v>
      </c>
      <c r="AI32" s="250">
        <f>Prop2019DistTar!BE32</f>
        <v>0</v>
      </c>
      <c r="AJ32" s="250">
        <f>Prop2019DistTar!BF32</f>
        <v>0</v>
      </c>
      <c r="AK32" s="250">
        <f>Prop2019DistTar!BG32</f>
        <v>822.73759999999993</v>
      </c>
      <c r="AL32" s="250">
        <f>Prop2019DistTar!BH32</f>
        <v>1909.0406952380938</v>
      </c>
      <c r="AM32" s="250">
        <f>Prop2019DistTar!BI32</f>
        <v>0</v>
      </c>
      <c r="AN32" s="250">
        <f>Prop2019DistTar!BJ32</f>
        <v>0</v>
      </c>
      <c r="AO32" s="250">
        <f>Prop2019DistTar!BK32</f>
        <v>0</v>
      </c>
      <c r="AP32" s="250">
        <f>Prop2019DistTar!BL32</f>
        <v>0</v>
      </c>
      <c r="AQ32" s="250">
        <f>Prop2019DistTar!BM32</f>
        <v>0</v>
      </c>
      <c r="AR32" s="250">
        <f>Prop2019DistTar!BN32</f>
        <v>0</v>
      </c>
      <c r="AS32" s="250">
        <f>Prop2019DistTar!BO32</f>
        <v>0</v>
      </c>
      <c r="AT32" s="251">
        <f>Prop2019DistTar!BP32</f>
        <v>0</v>
      </c>
      <c r="AV32" s="301">
        <f t="shared" si="4"/>
        <v>0</v>
      </c>
      <c r="AW32" s="302">
        <f t="shared" si="5"/>
        <v>7816.7891093221615</v>
      </c>
      <c r="AX32" s="302">
        <f t="shared" si="6"/>
        <v>0</v>
      </c>
      <c r="AY32" s="302">
        <f t="shared" si="7"/>
        <v>0</v>
      </c>
      <c r="AZ32" s="302">
        <f t="shared" si="8"/>
        <v>0</v>
      </c>
      <c r="BA32" s="302">
        <f t="shared" si="9"/>
        <v>0</v>
      </c>
      <c r="BB32" s="302">
        <f t="shared" si="10"/>
        <v>0</v>
      </c>
      <c r="BC32" s="302">
        <f t="shared" si="11"/>
        <v>0</v>
      </c>
      <c r="BD32" s="302">
        <f t="shared" si="12"/>
        <v>0</v>
      </c>
      <c r="BE32" s="302">
        <f t="shared" si="13"/>
        <v>0</v>
      </c>
      <c r="BF32" s="302">
        <f t="shared" si="14"/>
        <v>0</v>
      </c>
      <c r="BG32" s="302">
        <f t="shared" si="15"/>
        <v>2863.1268479999999</v>
      </c>
      <c r="BH32" s="302">
        <f t="shared" si="16"/>
        <v>2214.4872064761885</v>
      </c>
      <c r="BI32" s="303">
        <f t="shared" si="17"/>
        <v>0</v>
      </c>
      <c r="BJ32" s="303">
        <f t="shared" si="18"/>
        <v>0</v>
      </c>
      <c r="BK32" s="303">
        <f t="shared" si="19"/>
        <v>0</v>
      </c>
      <c r="BL32" s="303">
        <f t="shared" si="20"/>
        <v>0</v>
      </c>
      <c r="BM32" s="303">
        <f t="shared" si="21"/>
        <v>0</v>
      </c>
      <c r="BN32" s="303">
        <f t="shared" si="22"/>
        <v>0</v>
      </c>
      <c r="BO32" s="303">
        <f t="shared" si="23"/>
        <v>0</v>
      </c>
      <c r="BP32" s="303">
        <f t="shared" si="24"/>
        <v>0</v>
      </c>
      <c r="BQ32" s="254">
        <f t="shared" si="25"/>
        <v>12894.40316379835</v>
      </c>
    </row>
    <row r="33" spans="2:69" x14ac:dyDescent="0.2">
      <c r="B33" s="234" t="str">
        <f>Prop2019DistTar!B33</f>
        <v>Non-Residential Bulk Demand Tariff</v>
      </c>
      <c r="C33" s="284"/>
      <c r="D33" s="791">
        <v>0</v>
      </c>
      <c r="E33" s="787">
        <v>1</v>
      </c>
      <c r="F33" s="787">
        <v>0</v>
      </c>
      <c r="G33" s="787">
        <v>0</v>
      </c>
      <c r="H33" s="787">
        <v>0</v>
      </c>
      <c r="I33" s="787">
        <v>0</v>
      </c>
      <c r="J33" s="787">
        <v>0</v>
      </c>
      <c r="K33" s="787">
        <v>0</v>
      </c>
      <c r="L33" s="787">
        <v>0</v>
      </c>
      <c r="M33" s="787">
        <v>0</v>
      </c>
      <c r="N33" s="787">
        <v>0</v>
      </c>
      <c r="O33" s="787">
        <v>2.78</v>
      </c>
      <c r="P33" s="787">
        <v>0.93</v>
      </c>
      <c r="Q33" s="787">
        <v>0</v>
      </c>
      <c r="R33" s="787">
        <v>0</v>
      </c>
      <c r="S33" s="787">
        <v>0</v>
      </c>
      <c r="T33" s="787">
        <v>0</v>
      </c>
      <c r="U33" s="787">
        <v>0</v>
      </c>
      <c r="V33" s="787">
        <v>0</v>
      </c>
      <c r="W33" s="787">
        <v>0</v>
      </c>
      <c r="X33" s="792">
        <v>0</v>
      </c>
      <c r="Z33" s="276">
        <f>Prop2019DistTar!AV33</f>
        <v>4</v>
      </c>
      <c r="AA33" s="250">
        <f>Prop2019DistTar!AW33</f>
        <v>534045.01309481997</v>
      </c>
      <c r="AB33" s="250">
        <f>Prop2019DistTar!AX33</f>
        <v>0</v>
      </c>
      <c r="AC33" s="250">
        <f>Prop2019DistTar!AY33</f>
        <v>0</v>
      </c>
      <c r="AD33" s="250">
        <f>Prop2019DistTar!AZ33</f>
        <v>0</v>
      </c>
      <c r="AE33" s="250">
        <f>Prop2019DistTar!BA33</f>
        <v>0</v>
      </c>
      <c r="AF33" s="250">
        <f>Prop2019DistTar!BB33</f>
        <v>0</v>
      </c>
      <c r="AG33" s="250">
        <f>Prop2019DistTar!BC33</f>
        <v>0</v>
      </c>
      <c r="AH33" s="250">
        <f>Prop2019DistTar!BD33</f>
        <v>0</v>
      </c>
      <c r="AI33" s="250">
        <f>Prop2019DistTar!BE33</f>
        <v>0</v>
      </c>
      <c r="AJ33" s="250">
        <f>Prop2019DistTar!BF33</f>
        <v>0</v>
      </c>
      <c r="AK33" s="250">
        <f>Prop2019DistTar!BG33</f>
        <v>411.36879999999996</v>
      </c>
      <c r="AL33" s="250">
        <f>Prop2019DistTar!BH33</f>
        <v>954.5203476190469</v>
      </c>
      <c r="AM33" s="250">
        <f>Prop2019DistTar!BI33</f>
        <v>0</v>
      </c>
      <c r="AN33" s="250">
        <f>Prop2019DistTar!BJ33</f>
        <v>0</v>
      </c>
      <c r="AO33" s="250">
        <f>Prop2019DistTar!BK33</f>
        <v>0</v>
      </c>
      <c r="AP33" s="250">
        <f>Prop2019DistTar!BL33</f>
        <v>0</v>
      </c>
      <c r="AQ33" s="250">
        <f>Prop2019DistTar!BM33</f>
        <v>0</v>
      </c>
      <c r="AR33" s="250">
        <f>Prop2019DistTar!BN33</f>
        <v>0</v>
      </c>
      <c r="AS33" s="250">
        <f>Prop2019DistTar!BO33</f>
        <v>0</v>
      </c>
      <c r="AT33" s="251">
        <f>Prop2019DistTar!BP33</f>
        <v>0</v>
      </c>
      <c r="AV33" s="301">
        <f t="shared" si="4"/>
        <v>0</v>
      </c>
      <c r="AW33" s="302">
        <f t="shared" si="5"/>
        <v>5340.4501309481993</v>
      </c>
      <c r="AX33" s="302">
        <f t="shared" si="6"/>
        <v>0</v>
      </c>
      <c r="AY33" s="302">
        <f t="shared" si="7"/>
        <v>0</v>
      </c>
      <c r="AZ33" s="302">
        <f t="shared" si="8"/>
        <v>0</v>
      </c>
      <c r="BA33" s="302">
        <f t="shared" si="9"/>
        <v>0</v>
      </c>
      <c r="BB33" s="302">
        <f t="shared" si="10"/>
        <v>0</v>
      </c>
      <c r="BC33" s="302">
        <f t="shared" si="11"/>
        <v>0</v>
      </c>
      <c r="BD33" s="302">
        <f t="shared" si="12"/>
        <v>0</v>
      </c>
      <c r="BE33" s="302">
        <f t="shared" si="13"/>
        <v>0</v>
      </c>
      <c r="BF33" s="302">
        <f t="shared" si="14"/>
        <v>0</v>
      </c>
      <c r="BG33" s="302">
        <f t="shared" si="15"/>
        <v>1143.6052639999998</v>
      </c>
      <c r="BH33" s="302">
        <f t="shared" si="16"/>
        <v>887.7039232857137</v>
      </c>
      <c r="BI33" s="303">
        <f t="shared" si="17"/>
        <v>0</v>
      </c>
      <c r="BJ33" s="303">
        <f t="shared" si="18"/>
        <v>0</v>
      </c>
      <c r="BK33" s="303">
        <f t="shared" si="19"/>
        <v>0</v>
      </c>
      <c r="BL33" s="303">
        <f t="shared" si="20"/>
        <v>0</v>
      </c>
      <c r="BM33" s="303">
        <f t="shared" si="21"/>
        <v>0</v>
      </c>
      <c r="BN33" s="303">
        <f t="shared" si="22"/>
        <v>0</v>
      </c>
      <c r="BO33" s="303">
        <f t="shared" si="23"/>
        <v>0</v>
      </c>
      <c r="BP33" s="303">
        <f t="shared" si="24"/>
        <v>0</v>
      </c>
      <c r="BQ33" s="254">
        <f t="shared" si="25"/>
        <v>7371.7593182339133</v>
      </c>
    </row>
    <row r="34" spans="2:69" x14ac:dyDescent="0.2">
      <c r="B34" s="234" t="str">
        <f>Prop2019DistTar!B34</f>
        <v>Medium Business Demand</v>
      </c>
      <c r="C34" s="284"/>
      <c r="D34" s="791">
        <v>0</v>
      </c>
      <c r="E34" s="787">
        <v>0</v>
      </c>
      <c r="F34" s="787">
        <v>1.54</v>
      </c>
      <c r="G34" s="787">
        <v>0</v>
      </c>
      <c r="H34" s="787">
        <v>0</v>
      </c>
      <c r="I34" s="787">
        <v>1.17</v>
      </c>
      <c r="J34" s="787">
        <v>0</v>
      </c>
      <c r="K34" s="787">
        <v>0</v>
      </c>
      <c r="L34" s="787">
        <v>0</v>
      </c>
      <c r="M34" s="787">
        <v>0</v>
      </c>
      <c r="N34" s="787">
        <v>0</v>
      </c>
      <c r="O34" s="787">
        <v>2.08</v>
      </c>
      <c r="P34" s="787">
        <v>1.04</v>
      </c>
      <c r="Q34" s="787">
        <v>0</v>
      </c>
      <c r="R34" s="787">
        <v>0</v>
      </c>
      <c r="S34" s="787">
        <v>0</v>
      </c>
      <c r="T34" s="787">
        <v>0</v>
      </c>
      <c r="U34" s="787">
        <v>0</v>
      </c>
      <c r="V34" s="787">
        <v>0</v>
      </c>
      <c r="W34" s="787">
        <v>0</v>
      </c>
      <c r="X34" s="792">
        <v>0</v>
      </c>
      <c r="Z34" s="276">
        <f>Prop2019DistTar!AV34</f>
        <v>4548</v>
      </c>
      <c r="AA34" s="250">
        <f>Prop2019DistTar!AW34</f>
        <v>0</v>
      </c>
      <c r="AB34" s="250">
        <f>Prop2019DistTar!AX34</f>
        <v>365166105.04280096</v>
      </c>
      <c r="AC34" s="250">
        <f>Prop2019DistTar!AY34</f>
        <v>0</v>
      </c>
      <c r="AD34" s="250">
        <f>Prop2019DistTar!AZ34</f>
        <v>0</v>
      </c>
      <c r="AE34" s="250">
        <f>Prop2019DistTar!BA34</f>
        <v>263865736.50712213</v>
      </c>
      <c r="AF34" s="250">
        <f>Prop2019DistTar!BB34</f>
        <v>0</v>
      </c>
      <c r="AG34" s="250">
        <f>Prop2019DistTar!BC34</f>
        <v>0</v>
      </c>
      <c r="AH34" s="250">
        <f>Prop2019DistTar!BD34</f>
        <v>0</v>
      </c>
      <c r="AI34" s="250">
        <f>Prop2019DistTar!BE34</f>
        <v>0</v>
      </c>
      <c r="AJ34" s="250">
        <f>Prop2019DistTar!BF34</f>
        <v>0</v>
      </c>
      <c r="AK34" s="250">
        <f>Prop2019DistTar!BG34</f>
        <v>730223.77142460272</v>
      </c>
      <c r="AL34" s="250">
        <f>Prop2019DistTar!BH34</f>
        <v>1303005.7703119123</v>
      </c>
      <c r="AM34" s="250">
        <f>Prop2019DistTar!BI34</f>
        <v>0</v>
      </c>
      <c r="AN34" s="250">
        <f>Prop2019DistTar!BJ34</f>
        <v>0</v>
      </c>
      <c r="AO34" s="250">
        <f>Prop2019DistTar!BK34</f>
        <v>0</v>
      </c>
      <c r="AP34" s="250">
        <f>Prop2019DistTar!BL34</f>
        <v>0</v>
      </c>
      <c r="AQ34" s="250">
        <f>Prop2019DistTar!BM34</f>
        <v>0</v>
      </c>
      <c r="AR34" s="250">
        <f>Prop2019DistTar!BN34</f>
        <v>0</v>
      </c>
      <c r="AS34" s="250">
        <f>Prop2019DistTar!BO34</f>
        <v>0</v>
      </c>
      <c r="AT34" s="251">
        <f>Prop2019DistTar!BP34</f>
        <v>0</v>
      </c>
      <c r="AV34" s="301">
        <f t="shared" si="4"/>
        <v>0</v>
      </c>
      <c r="AW34" s="302">
        <f t="shared" si="5"/>
        <v>0</v>
      </c>
      <c r="AX34" s="302">
        <f t="shared" si="6"/>
        <v>5623558.0176591352</v>
      </c>
      <c r="AY34" s="302">
        <f t="shared" si="7"/>
        <v>0</v>
      </c>
      <c r="AZ34" s="302">
        <f t="shared" si="8"/>
        <v>0</v>
      </c>
      <c r="BA34" s="302">
        <f t="shared" si="9"/>
        <v>3087229.1171333287</v>
      </c>
      <c r="BB34" s="302">
        <f t="shared" si="10"/>
        <v>0</v>
      </c>
      <c r="BC34" s="302">
        <f t="shared" si="11"/>
        <v>0</v>
      </c>
      <c r="BD34" s="302">
        <f t="shared" si="12"/>
        <v>0</v>
      </c>
      <c r="BE34" s="302">
        <f t="shared" si="13"/>
        <v>0</v>
      </c>
      <c r="BF34" s="302">
        <f t="shared" si="14"/>
        <v>0</v>
      </c>
      <c r="BG34" s="302">
        <f t="shared" si="15"/>
        <v>1518865.4445631737</v>
      </c>
      <c r="BH34" s="302">
        <f t="shared" si="16"/>
        <v>1355126.0011243888</v>
      </c>
      <c r="BI34" s="303">
        <f t="shared" si="17"/>
        <v>0</v>
      </c>
      <c r="BJ34" s="303">
        <f t="shared" si="18"/>
        <v>0</v>
      </c>
      <c r="BK34" s="303">
        <f t="shared" si="19"/>
        <v>0</v>
      </c>
      <c r="BL34" s="303">
        <f t="shared" si="20"/>
        <v>0</v>
      </c>
      <c r="BM34" s="303">
        <f t="shared" si="21"/>
        <v>0</v>
      </c>
      <c r="BN34" s="303">
        <f t="shared" si="22"/>
        <v>0</v>
      </c>
      <c r="BO34" s="303">
        <f t="shared" si="23"/>
        <v>0</v>
      </c>
      <c r="BP34" s="303">
        <f t="shared" si="24"/>
        <v>0</v>
      </c>
      <c r="BQ34" s="254">
        <f t="shared" si="25"/>
        <v>11584778.580480028</v>
      </c>
    </row>
    <row r="35" spans="2:69" x14ac:dyDescent="0.2">
      <c r="B35" s="234" t="str">
        <f>Prop2019DistTar!B35</f>
        <v>Medium Business Bulk Demand</v>
      </c>
      <c r="C35" s="284"/>
      <c r="D35" s="791">
        <v>0</v>
      </c>
      <c r="E35" s="787">
        <v>0</v>
      </c>
      <c r="F35" s="787">
        <v>1.22</v>
      </c>
      <c r="G35" s="787">
        <v>0</v>
      </c>
      <c r="H35" s="787">
        <v>0</v>
      </c>
      <c r="I35" s="787">
        <v>0.97</v>
      </c>
      <c r="J35" s="787">
        <v>0</v>
      </c>
      <c r="K35" s="787">
        <v>0</v>
      </c>
      <c r="L35" s="787">
        <v>0</v>
      </c>
      <c r="M35" s="787">
        <v>0</v>
      </c>
      <c r="N35" s="787">
        <v>0</v>
      </c>
      <c r="O35" s="787">
        <v>1.67</v>
      </c>
      <c r="P35" s="787">
        <v>0.83</v>
      </c>
      <c r="Q35" s="787">
        <v>0</v>
      </c>
      <c r="R35" s="787">
        <v>0</v>
      </c>
      <c r="S35" s="787">
        <v>0</v>
      </c>
      <c r="T35" s="787">
        <v>0</v>
      </c>
      <c r="U35" s="787">
        <v>0</v>
      </c>
      <c r="V35" s="787">
        <v>0</v>
      </c>
      <c r="W35" s="787">
        <v>0</v>
      </c>
      <c r="X35" s="792">
        <v>0</v>
      </c>
      <c r="Z35" s="276">
        <f>Prop2019DistTar!AV35</f>
        <v>2221.9166666666665</v>
      </c>
      <c r="AA35" s="250">
        <f>Prop2019DistTar!AW35</f>
        <v>0</v>
      </c>
      <c r="AB35" s="250">
        <f>Prop2019DistTar!AX35</f>
        <v>255479964.6620293</v>
      </c>
      <c r="AC35" s="250">
        <f>Prop2019DistTar!AY35</f>
        <v>0</v>
      </c>
      <c r="AD35" s="250">
        <f>Prop2019DistTar!AZ35</f>
        <v>0</v>
      </c>
      <c r="AE35" s="250">
        <f>Prop2019DistTar!BA35</f>
        <v>173141256.77774215</v>
      </c>
      <c r="AF35" s="250">
        <f>Prop2019DistTar!BB35</f>
        <v>0</v>
      </c>
      <c r="AG35" s="250">
        <f>Prop2019DistTar!BC35</f>
        <v>0</v>
      </c>
      <c r="AH35" s="250">
        <f>Prop2019DistTar!BD35</f>
        <v>0</v>
      </c>
      <c r="AI35" s="250">
        <f>Prop2019DistTar!BE35</f>
        <v>0</v>
      </c>
      <c r="AJ35" s="250">
        <f>Prop2019DistTar!BF35</f>
        <v>0</v>
      </c>
      <c r="AK35" s="250">
        <f>Prop2019DistTar!BG35</f>
        <v>520621.07651825261</v>
      </c>
      <c r="AL35" s="250">
        <f>Prop2019DistTar!BH35</f>
        <v>868527.91268999258</v>
      </c>
      <c r="AM35" s="250">
        <f>Prop2019DistTar!BI35</f>
        <v>0</v>
      </c>
      <c r="AN35" s="250">
        <f>Prop2019DistTar!BJ35</f>
        <v>0</v>
      </c>
      <c r="AO35" s="250">
        <f>Prop2019DistTar!BK35</f>
        <v>0</v>
      </c>
      <c r="AP35" s="250">
        <f>Prop2019DistTar!BL35</f>
        <v>0</v>
      </c>
      <c r="AQ35" s="250">
        <f>Prop2019DistTar!BM35</f>
        <v>0</v>
      </c>
      <c r="AR35" s="250">
        <f>Prop2019DistTar!BN35</f>
        <v>0</v>
      </c>
      <c r="AS35" s="250">
        <f>Prop2019DistTar!BO35</f>
        <v>0</v>
      </c>
      <c r="AT35" s="251">
        <f>Prop2019DistTar!BP35</f>
        <v>0</v>
      </c>
      <c r="AV35" s="301">
        <f t="shared" si="4"/>
        <v>0</v>
      </c>
      <c r="AW35" s="302">
        <f t="shared" si="5"/>
        <v>0</v>
      </c>
      <c r="AX35" s="302">
        <f t="shared" si="6"/>
        <v>3116855.5688767573</v>
      </c>
      <c r="AY35" s="302">
        <f t="shared" si="7"/>
        <v>0</v>
      </c>
      <c r="AZ35" s="302">
        <f t="shared" si="8"/>
        <v>0</v>
      </c>
      <c r="BA35" s="302">
        <f t="shared" si="9"/>
        <v>1679470.190744099</v>
      </c>
      <c r="BB35" s="302">
        <f t="shared" si="10"/>
        <v>0</v>
      </c>
      <c r="BC35" s="302">
        <f t="shared" si="11"/>
        <v>0</v>
      </c>
      <c r="BD35" s="302">
        <f t="shared" si="12"/>
        <v>0</v>
      </c>
      <c r="BE35" s="302">
        <f t="shared" si="13"/>
        <v>0</v>
      </c>
      <c r="BF35" s="302">
        <f t="shared" si="14"/>
        <v>0</v>
      </c>
      <c r="BG35" s="302">
        <f t="shared" si="15"/>
        <v>869437.19778548181</v>
      </c>
      <c r="BH35" s="302">
        <f t="shared" si="16"/>
        <v>720878.16753269383</v>
      </c>
      <c r="BI35" s="303">
        <f t="shared" si="17"/>
        <v>0</v>
      </c>
      <c r="BJ35" s="303">
        <f t="shared" si="18"/>
        <v>0</v>
      </c>
      <c r="BK35" s="303">
        <f t="shared" si="19"/>
        <v>0</v>
      </c>
      <c r="BL35" s="303">
        <f t="shared" si="20"/>
        <v>0</v>
      </c>
      <c r="BM35" s="303">
        <f t="shared" si="21"/>
        <v>0</v>
      </c>
      <c r="BN35" s="303">
        <f t="shared" si="22"/>
        <v>0</v>
      </c>
      <c r="BO35" s="303">
        <f t="shared" si="23"/>
        <v>0</v>
      </c>
      <c r="BP35" s="303">
        <f t="shared" si="24"/>
        <v>0</v>
      </c>
      <c r="BQ35" s="254">
        <f t="shared" si="25"/>
        <v>6386641.1249390319</v>
      </c>
    </row>
    <row r="36" spans="2:69" x14ac:dyDescent="0.2">
      <c r="B36" s="234" t="str">
        <f>Prop2019DistTar!B36</f>
        <v>Medium Business Opt-out</v>
      </c>
      <c r="C36" s="284"/>
      <c r="D36" s="791">
        <v>0</v>
      </c>
      <c r="E36" s="787">
        <v>0</v>
      </c>
      <c r="F36" s="787">
        <v>3.04</v>
      </c>
      <c r="G36" s="787">
        <v>0</v>
      </c>
      <c r="H36" s="787">
        <v>0</v>
      </c>
      <c r="I36" s="787">
        <v>1.22</v>
      </c>
      <c r="J36" s="787">
        <v>0</v>
      </c>
      <c r="K36" s="787">
        <v>0</v>
      </c>
      <c r="L36" s="787">
        <v>0</v>
      </c>
      <c r="M36" s="787">
        <v>0</v>
      </c>
      <c r="N36" s="787">
        <v>0</v>
      </c>
      <c r="O36" s="787">
        <v>0</v>
      </c>
      <c r="P36" s="787">
        <v>0</v>
      </c>
      <c r="Q36" s="787">
        <v>0</v>
      </c>
      <c r="R36" s="787">
        <v>0</v>
      </c>
      <c r="S36" s="787">
        <v>0</v>
      </c>
      <c r="T36" s="787">
        <v>0</v>
      </c>
      <c r="U36" s="787">
        <v>0</v>
      </c>
      <c r="V36" s="787">
        <v>0</v>
      </c>
      <c r="W36" s="787">
        <v>0</v>
      </c>
      <c r="X36" s="792">
        <v>0</v>
      </c>
      <c r="Z36" s="276">
        <f>Prop2019DistTar!AV36</f>
        <v>7</v>
      </c>
      <c r="AA36" s="250">
        <f>Prop2019DistTar!AW36</f>
        <v>0</v>
      </c>
      <c r="AB36" s="250">
        <f>Prop2019DistTar!AX36</f>
        <v>296417.25372207933</v>
      </c>
      <c r="AC36" s="250">
        <f>Prop2019DistTar!AY36</f>
        <v>0</v>
      </c>
      <c r="AD36" s="250">
        <f>Prop2019DistTar!AZ36</f>
        <v>0</v>
      </c>
      <c r="AE36" s="250">
        <f>Prop2019DistTar!BA36</f>
        <v>286499.78848501295</v>
      </c>
      <c r="AF36" s="250">
        <f>Prop2019DistTar!BB36</f>
        <v>0</v>
      </c>
      <c r="AG36" s="250">
        <f>Prop2019DistTar!BC36</f>
        <v>0</v>
      </c>
      <c r="AH36" s="250">
        <f>Prop2019DistTar!BD36</f>
        <v>0</v>
      </c>
      <c r="AI36" s="250">
        <f>Prop2019DistTar!BE36</f>
        <v>0</v>
      </c>
      <c r="AJ36" s="250">
        <f>Prop2019DistTar!BF36</f>
        <v>0</v>
      </c>
      <c r="AK36" s="250">
        <f>Prop2019DistTar!BG36</f>
        <v>0</v>
      </c>
      <c r="AL36" s="250">
        <f>Prop2019DistTar!BH36</f>
        <v>0</v>
      </c>
      <c r="AM36" s="250">
        <f>Prop2019DistTar!BI36</f>
        <v>0</v>
      </c>
      <c r="AN36" s="250">
        <f>Prop2019DistTar!BJ36</f>
        <v>0</v>
      </c>
      <c r="AO36" s="250">
        <f>Prop2019DistTar!BK36</f>
        <v>0</v>
      </c>
      <c r="AP36" s="250">
        <f>Prop2019DistTar!BL36</f>
        <v>0</v>
      </c>
      <c r="AQ36" s="250">
        <f>Prop2019DistTar!BM36</f>
        <v>0</v>
      </c>
      <c r="AR36" s="250">
        <f>Prop2019DistTar!BN36</f>
        <v>0</v>
      </c>
      <c r="AS36" s="250">
        <f>Prop2019DistTar!BO36</f>
        <v>0</v>
      </c>
      <c r="AT36" s="251">
        <f>Prop2019DistTar!BP36</f>
        <v>0</v>
      </c>
      <c r="AV36" s="301">
        <f t="shared" si="4"/>
        <v>0</v>
      </c>
      <c r="AW36" s="302">
        <f t="shared" si="5"/>
        <v>0</v>
      </c>
      <c r="AX36" s="302">
        <f t="shared" si="6"/>
        <v>9011.0845131512124</v>
      </c>
      <c r="AY36" s="302">
        <f t="shared" si="7"/>
        <v>0</v>
      </c>
      <c r="AZ36" s="302">
        <f t="shared" si="8"/>
        <v>0</v>
      </c>
      <c r="BA36" s="302">
        <f t="shared" si="9"/>
        <v>3495.2974195171578</v>
      </c>
      <c r="BB36" s="302">
        <f t="shared" si="10"/>
        <v>0</v>
      </c>
      <c r="BC36" s="302">
        <f t="shared" si="11"/>
        <v>0</v>
      </c>
      <c r="BD36" s="302">
        <f t="shared" si="12"/>
        <v>0</v>
      </c>
      <c r="BE36" s="302">
        <f t="shared" si="13"/>
        <v>0</v>
      </c>
      <c r="BF36" s="302">
        <f t="shared" si="14"/>
        <v>0</v>
      </c>
      <c r="BG36" s="302">
        <f t="shared" si="15"/>
        <v>0</v>
      </c>
      <c r="BH36" s="302">
        <f t="shared" si="16"/>
        <v>0</v>
      </c>
      <c r="BI36" s="303">
        <f t="shared" si="17"/>
        <v>0</v>
      </c>
      <c r="BJ36" s="303">
        <f t="shared" si="18"/>
        <v>0</v>
      </c>
      <c r="BK36" s="303">
        <f t="shared" si="19"/>
        <v>0</v>
      </c>
      <c r="BL36" s="303">
        <f t="shared" si="20"/>
        <v>0</v>
      </c>
      <c r="BM36" s="303">
        <f t="shared" si="21"/>
        <v>0</v>
      </c>
      <c r="BN36" s="303">
        <f t="shared" si="22"/>
        <v>0</v>
      </c>
      <c r="BO36" s="303">
        <f t="shared" si="23"/>
        <v>0</v>
      </c>
      <c r="BP36" s="303">
        <f t="shared" si="24"/>
        <v>0</v>
      </c>
      <c r="BQ36" s="254">
        <f t="shared" si="25"/>
        <v>12506.38193266837</v>
      </c>
    </row>
    <row r="37" spans="2:69" x14ac:dyDescent="0.2">
      <c r="B37" s="234" t="str">
        <f>Prop2019DistTar!B37</f>
        <v>Medium Business Bulk Opt-out</v>
      </c>
      <c r="C37" s="284"/>
      <c r="D37" s="791">
        <v>0</v>
      </c>
      <c r="E37" s="787">
        <v>0</v>
      </c>
      <c r="F37" s="787">
        <v>2.39</v>
      </c>
      <c r="G37" s="787">
        <v>0</v>
      </c>
      <c r="H37" s="787">
        <v>0</v>
      </c>
      <c r="I37" s="787">
        <v>1.01</v>
      </c>
      <c r="J37" s="787">
        <v>0</v>
      </c>
      <c r="K37" s="787">
        <v>0</v>
      </c>
      <c r="L37" s="787">
        <v>0</v>
      </c>
      <c r="M37" s="787">
        <v>0</v>
      </c>
      <c r="N37" s="787">
        <v>0</v>
      </c>
      <c r="O37" s="787">
        <v>0</v>
      </c>
      <c r="P37" s="787">
        <v>0</v>
      </c>
      <c r="Q37" s="787">
        <v>0</v>
      </c>
      <c r="R37" s="787">
        <v>0</v>
      </c>
      <c r="S37" s="787">
        <v>0</v>
      </c>
      <c r="T37" s="787">
        <v>0</v>
      </c>
      <c r="U37" s="787">
        <v>0</v>
      </c>
      <c r="V37" s="787">
        <v>0</v>
      </c>
      <c r="W37" s="787">
        <v>0</v>
      </c>
      <c r="X37" s="792">
        <v>0</v>
      </c>
      <c r="Z37" s="276">
        <f>Prop2019DistTar!AV37</f>
        <v>9</v>
      </c>
      <c r="AA37" s="250">
        <f>Prop2019DistTar!AW37</f>
        <v>0</v>
      </c>
      <c r="AB37" s="250">
        <f>Prop2019DistTar!AX37</f>
        <v>630002.22370326216</v>
      </c>
      <c r="AC37" s="250">
        <f>Prop2019DistTar!AY37</f>
        <v>0</v>
      </c>
      <c r="AD37" s="250">
        <f>Prop2019DistTar!AZ37</f>
        <v>0</v>
      </c>
      <c r="AE37" s="250">
        <f>Prop2019DistTar!BA37</f>
        <v>505149.35184775549</v>
      </c>
      <c r="AF37" s="250">
        <f>Prop2019DistTar!BB37</f>
        <v>0</v>
      </c>
      <c r="AG37" s="250">
        <f>Prop2019DistTar!BC37</f>
        <v>0</v>
      </c>
      <c r="AH37" s="250">
        <f>Prop2019DistTar!BD37</f>
        <v>0</v>
      </c>
      <c r="AI37" s="250">
        <f>Prop2019DistTar!BE37</f>
        <v>0</v>
      </c>
      <c r="AJ37" s="250">
        <f>Prop2019DistTar!BF37</f>
        <v>0</v>
      </c>
      <c r="AK37" s="250">
        <f>Prop2019DistTar!BG37</f>
        <v>0</v>
      </c>
      <c r="AL37" s="250">
        <f>Prop2019DistTar!BH37</f>
        <v>0</v>
      </c>
      <c r="AM37" s="250">
        <f>Prop2019DistTar!BI37</f>
        <v>0</v>
      </c>
      <c r="AN37" s="250">
        <f>Prop2019DistTar!BJ37</f>
        <v>0</v>
      </c>
      <c r="AO37" s="250">
        <f>Prop2019DistTar!BK37</f>
        <v>0</v>
      </c>
      <c r="AP37" s="250">
        <f>Prop2019DistTar!BL37</f>
        <v>0</v>
      </c>
      <c r="AQ37" s="250">
        <f>Prop2019DistTar!BM37</f>
        <v>0</v>
      </c>
      <c r="AR37" s="250">
        <f>Prop2019DistTar!BN37</f>
        <v>0</v>
      </c>
      <c r="AS37" s="250">
        <f>Prop2019DistTar!BO37</f>
        <v>0</v>
      </c>
      <c r="AT37" s="251">
        <f>Prop2019DistTar!BP37</f>
        <v>0</v>
      </c>
      <c r="AV37" s="301">
        <f t="shared" si="4"/>
        <v>0</v>
      </c>
      <c r="AW37" s="302">
        <f t="shared" si="5"/>
        <v>0</v>
      </c>
      <c r="AX37" s="302">
        <f t="shared" si="6"/>
        <v>15057.053146507966</v>
      </c>
      <c r="AY37" s="302">
        <f t="shared" si="7"/>
        <v>0</v>
      </c>
      <c r="AZ37" s="302">
        <f t="shared" si="8"/>
        <v>0</v>
      </c>
      <c r="BA37" s="302">
        <f t="shared" si="9"/>
        <v>5102.0084536623299</v>
      </c>
      <c r="BB37" s="302">
        <f t="shared" si="10"/>
        <v>0</v>
      </c>
      <c r="BC37" s="302">
        <f t="shared" si="11"/>
        <v>0</v>
      </c>
      <c r="BD37" s="302">
        <f t="shared" si="12"/>
        <v>0</v>
      </c>
      <c r="BE37" s="302">
        <f t="shared" si="13"/>
        <v>0</v>
      </c>
      <c r="BF37" s="302">
        <f t="shared" si="14"/>
        <v>0</v>
      </c>
      <c r="BG37" s="302">
        <f t="shared" si="15"/>
        <v>0</v>
      </c>
      <c r="BH37" s="302">
        <f t="shared" si="16"/>
        <v>0</v>
      </c>
      <c r="BI37" s="303">
        <f t="shared" si="17"/>
        <v>0</v>
      </c>
      <c r="BJ37" s="303">
        <f t="shared" si="18"/>
        <v>0</v>
      </c>
      <c r="BK37" s="303">
        <f t="shared" si="19"/>
        <v>0</v>
      </c>
      <c r="BL37" s="303">
        <f t="shared" si="20"/>
        <v>0</v>
      </c>
      <c r="BM37" s="303">
        <f t="shared" si="21"/>
        <v>0</v>
      </c>
      <c r="BN37" s="303">
        <f t="shared" si="22"/>
        <v>0</v>
      </c>
      <c r="BO37" s="303">
        <f t="shared" si="23"/>
        <v>0</v>
      </c>
      <c r="BP37" s="303">
        <f t="shared" si="24"/>
        <v>0</v>
      </c>
      <c r="BQ37" s="254">
        <f t="shared" si="25"/>
        <v>20159.061600170295</v>
      </c>
    </row>
    <row r="38" spans="2:69" x14ac:dyDescent="0.2">
      <c r="B38" s="234" t="str">
        <f>Prop2019DistTar!B38</f>
        <v>Unmetered Supplies / Public Lighting</v>
      </c>
      <c r="C38" s="284"/>
      <c r="D38" s="791">
        <v>0</v>
      </c>
      <c r="E38" s="787">
        <v>0</v>
      </c>
      <c r="F38" s="787">
        <v>0</v>
      </c>
      <c r="G38" s="787">
        <v>0</v>
      </c>
      <c r="H38" s="787">
        <v>0</v>
      </c>
      <c r="I38" s="787">
        <v>0</v>
      </c>
      <c r="J38" s="787">
        <v>0</v>
      </c>
      <c r="K38" s="787">
        <v>0</v>
      </c>
      <c r="L38" s="787">
        <v>0</v>
      </c>
      <c r="M38" s="787">
        <v>0</v>
      </c>
      <c r="N38" s="787">
        <v>0</v>
      </c>
      <c r="O38" s="787">
        <v>0</v>
      </c>
      <c r="P38" s="787">
        <v>0</v>
      </c>
      <c r="Q38" s="787">
        <v>0</v>
      </c>
      <c r="R38" s="787">
        <v>0</v>
      </c>
      <c r="S38" s="787">
        <v>0</v>
      </c>
      <c r="T38" s="787">
        <v>0</v>
      </c>
      <c r="U38" s="787">
        <v>0</v>
      </c>
      <c r="V38" s="787">
        <v>0</v>
      </c>
      <c r="W38" s="787">
        <v>0</v>
      </c>
      <c r="X38" s="792">
        <v>0</v>
      </c>
      <c r="Z38" s="276">
        <f>Prop2019DistTar!AV38</f>
        <v>4425.5</v>
      </c>
      <c r="AA38" s="250">
        <f>Prop2019DistTar!AW38</f>
        <v>0</v>
      </c>
      <c r="AB38" s="250">
        <f>Prop2019DistTar!AX38</f>
        <v>7430325.4446869912</v>
      </c>
      <c r="AC38" s="250">
        <f>Prop2019DistTar!AY38</f>
        <v>0</v>
      </c>
      <c r="AD38" s="250">
        <f>Prop2019DistTar!AZ38</f>
        <v>0</v>
      </c>
      <c r="AE38" s="250">
        <f>Prop2019DistTar!BA38</f>
        <v>18727648.893831097</v>
      </c>
      <c r="AF38" s="250">
        <f>Prop2019DistTar!BB38</f>
        <v>0</v>
      </c>
      <c r="AG38" s="250">
        <f>Prop2019DistTar!BC38</f>
        <v>0</v>
      </c>
      <c r="AH38" s="250">
        <f>Prop2019DistTar!BD38</f>
        <v>0</v>
      </c>
      <c r="AI38" s="250">
        <f>Prop2019DistTar!BE38</f>
        <v>0</v>
      </c>
      <c r="AJ38" s="250">
        <f>Prop2019DistTar!BF38</f>
        <v>0</v>
      </c>
      <c r="AK38" s="250">
        <f>Prop2019DistTar!BG38</f>
        <v>0</v>
      </c>
      <c r="AL38" s="250">
        <f>Prop2019DistTar!BH38</f>
        <v>0</v>
      </c>
      <c r="AM38" s="250">
        <f>Prop2019DistTar!BI38</f>
        <v>0</v>
      </c>
      <c r="AN38" s="250">
        <f>Prop2019DistTar!BJ38</f>
        <v>0</v>
      </c>
      <c r="AO38" s="250">
        <f>Prop2019DistTar!BK38</f>
        <v>0</v>
      </c>
      <c r="AP38" s="250">
        <f>Prop2019DistTar!BL38</f>
        <v>0</v>
      </c>
      <c r="AQ38" s="250">
        <f>Prop2019DistTar!BM38</f>
        <v>0</v>
      </c>
      <c r="AR38" s="250">
        <f>Prop2019DistTar!BN38</f>
        <v>0</v>
      </c>
      <c r="AS38" s="250">
        <f>Prop2019DistTar!BO38</f>
        <v>0</v>
      </c>
      <c r="AT38" s="251">
        <f>Prop2019DistTar!BP38</f>
        <v>0</v>
      </c>
      <c r="AV38" s="301">
        <f t="shared" si="4"/>
        <v>0</v>
      </c>
      <c r="AW38" s="302">
        <f t="shared" si="5"/>
        <v>0</v>
      </c>
      <c r="AX38" s="302">
        <f t="shared" si="6"/>
        <v>0</v>
      </c>
      <c r="AY38" s="302">
        <f t="shared" si="7"/>
        <v>0</v>
      </c>
      <c r="AZ38" s="302">
        <f t="shared" si="8"/>
        <v>0</v>
      </c>
      <c r="BA38" s="302">
        <f t="shared" si="9"/>
        <v>0</v>
      </c>
      <c r="BB38" s="302">
        <f t="shared" si="10"/>
        <v>0</v>
      </c>
      <c r="BC38" s="302">
        <f t="shared" si="11"/>
        <v>0</v>
      </c>
      <c r="BD38" s="302">
        <f t="shared" si="12"/>
        <v>0</v>
      </c>
      <c r="BE38" s="302">
        <f t="shared" si="13"/>
        <v>0</v>
      </c>
      <c r="BF38" s="302">
        <f t="shared" si="14"/>
        <v>0</v>
      </c>
      <c r="BG38" s="302">
        <f t="shared" si="15"/>
        <v>0</v>
      </c>
      <c r="BH38" s="302">
        <f t="shared" si="16"/>
        <v>0</v>
      </c>
      <c r="BI38" s="303">
        <f t="shared" si="17"/>
        <v>0</v>
      </c>
      <c r="BJ38" s="303">
        <f t="shared" si="18"/>
        <v>0</v>
      </c>
      <c r="BK38" s="303">
        <f t="shared" si="19"/>
        <v>0</v>
      </c>
      <c r="BL38" s="303">
        <f t="shared" si="20"/>
        <v>0</v>
      </c>
      <c r="BM38" s="303">
        <f t="shared" si="21"/>
        <v>0</v>
      </c>
      <c r="BN38" s="303">
        <f t="shared" si="22"/>
        <v>0</v>
      </c>
      <c r="BO38" s="303">
        <f t="shared" si="23"/>
        <v>0</v>
      </c>
      <c r="BP38" s="303">
        <f t="shared" si="24"/>
        <v>0</v>
      </c>
      <c r="BQ38" s="254">
        <f t="shared" si="25"/>
        <v>0</v>
      </c>
    </row>
    <row r="39" spans="2:69" x14ac:dyDescent="0.2">
      <c r="B39" s="234" t="str">
        <f>Prop2019DistTar!B39</f>
        <v>Large low Voltage</v>
      </c>
      <c r="C39" s="284"/>
      <c r="D39" s="791">
        <v>0</v>
      </c>
      <c r="E39" s="787">
        <v>0</v>
      </c>
      <c r="F39" s="787">
        <v>1.0900000000000001</v>
      </c>
      <c r="G39" s="787">
        <v>0</v>
      </c>
      <c r="H39" s="787">
        <v>0</v>
      </c>
      <c r="I39" s="787">
        <v>0.67</v>
      </c>
      <c r="J39" s="787">
        <v>0</v>
      </c>
      <c r="K39" s="787">
        <v>0</v>
      </c>
      <c r="L39" s="787">
        <v>0</v>
      </c>
      <c r="M39" s="787">
        <v>33.840000000000003</v>
      </c>
      <c r="N39" s="787">
        <v>0</v>
      </c>
      <c r="O39" s="787">
        <v>0</v>
      </c>
      <c r="P39" s="787">
        <v>0</v>
      </c>
      <c r="Q39" s="787">
        <v>0</v>
      </c>
      <c r="R39" s="787">
        <v>0</v>
      </c>
      <c r="S39" s="787">
        <v>0</v>
      </c>
      <c r="T39" s="787">
        <v>0</v>
      </c>
      <c r="U39" s="787">
        <v>0</v>
      </c>
      <c r="V39" s="787">
        <v>0</v>
      </c>
      <c r="W39" s="787">
        <v>0</v>
      </c>
      <c r="X39" s="792">
        <v>0</v>
      </c>
      <c r="Z39" s="276">
        <f>Prop2019DistTar!AV39</f>
        <v>334.33333333333331</v>
      </c>
      <c r="AA39" s="250">
        <f>Prop2019DistTar!AW39</f>
        <v>0</v>
      </c>
      <c r="AB39" s="250">
        <f>Prop2019DistTar!AX39</f>
        <v>103909055.5023116</v>
      </c>
      <c r="AC39" s="250">
        <f>Prop2019DistTar!AY39</f>
        <v>0</v>
      </c>
      <c r="AD39" s="250">
        <f>Prop2019DistTar!AZ39</f>
        <v>0</v>
      </c>
      <c r="AE39" s="250">
        <f>Prop2019DistTar!BA39</f>
        <v>80266733.268921614</v>
      </c>
      <c r="AF39" s="250">
        <f>Prop2019DistTar!BB39</f>
        <v>0</v>
      </c>
      <c r="AG39" s="250">
        <f>Prop2019DistTar!BC39</f>
        <v>0</v>
      </c>
      <c r="AH39" s="250">
        <f>Prop2019DistTar!BD39</f>
        <v>0</v>
      </c>
      <c r="AI39" s="250">
        <f>Prop2019DistTar!BE39</f>
        <v>59781.404083333327</v>
      </c>
      <c r="AJ39" s="250">
        <f>Prop2019DistTar!BF39</f>
        <v>0</v>
      </c>
      <c r="AK39" s="250">
        <f>Prop2019DistTar!BG39</f>
        <v>0</v>
      </c>
      <c r="AL39" s="250">
        <f>Prop2019DistTar!BH39</f>
        <v>0</v>
      </c>
      <c r="AM39" s="250">
        <f>Prop2019DistTar!BI39</f>
        <v>0</v>
      </c>
      <c r="AN39" s="250">
        <f>Prop2019DistTar!BJ39</f>
        <v>0</v>
      </c>
      <c r="AO39" s="250">
        <f>Prop2019DistTar!BK39</f>
        <v>0</v>
      </c>
      <c r="AP39" s="250">
        <f>Prop2019DistTar!BL39</f>
        <v>0</v>
      </c>
      <c r="AQ39" s="250">
        <f>Prop2019DistTar!BM39</f>
        <v>0</v>
      </c>
      <c r="AR39" s="250">
        <f>Prop2019DistTar!BN39</f>
        <v>0</v>
      </c>
      <c r="AS39" s="250">
        <f>Prop2019DistTar!BO39</f>
        <v>0</v>
      </c>
      <c r="AT39" s="251">
        <f>Prop2019DistTar!BP39</f>
        <v>0</v>
      </c>
      <c r="AV39" s="301">
        <f t="shared" si="4"/>
        <v>0</v>
      </c>
      <c r="AW39" s="302">
        <f t="shared" si="5"/>
        <v>0</v>
      </c>
      <c r="AX39" s="302">
        <f t="shared" si="6"/>
        <v>1132608.7049751964</v>
      </c>
      <c r="AY39" s="302">
        <f t="shared" si="7"/>
        <v>0</v>
      </c>
      <c r="AZ39" s="302">
        <f t="shared" si="8"/>
        <v>0</v>
      </c>
      <c r="BA39" s="302">
        <f t="shared" si="9"/>
        <v>537787.11290177482</v>
      </c>
      <c r="BB39" s="302">
        <f t="shared" si="10"/>
        <v>0</v>
      </c>
      <c r="BC39" s="302">
        <f t="shared" si="11"/>
        <v>0</v>
      </c>
      <c r="BD39" s="302">
        <f t="shared" si="12"/>
        <v>0</v>
      </c>
      <c r="BE39" s="302">
        <f t="shared" si="13"/>
        <v>2023002.7141799999</v>
      </c>
      <c r="BF39" s="302">
        <f t="shared" si="14"/>
        <v>0</v>
      </c>
      <c r="BG39" s="302">
        <f t="shared" si="15"/>
        <v>0</v>
      </c>
      <c r="BH39" s="302">
        <f t="shared" si="16"/>
        <v>0</v>
      </c>
      <c r="BI39" s="303">
        <f t="shared" si="17"/>
        <v>0</v>
      </c>
      <c r="BJ39" s="303">
        <f t="shared" si="18"/>
        <v>0</v>
      </c>
      <c r="BK39" s="303">
        <f t="shared" si="19"/>
        <v>0</v>
      </c>
      <c r="BL39" s="303">
        <f t="shared" si="20"/>
        <v>0</v>
      </c>
      <c r="BM39" s="303">
        <f t="shared" si="21"/>
        <v>0</v>
      </c>
      <c r="BN39" s="303">
        <f t="shared" si="22"/>
        <v>0</v>
      </c>
      <c r="BO39" s="303">
        <f t="shared" si="23"/>
        <v>0</v>
      </c>
      <c r="BP39" s="303">
        <f t="shared" si="24"/>
        <v>0</v>
      </c>
      <c r="BQ39" s="254">
        <f t="shared" si="25"/>
        <v>3693398.5320569715</v>
      </c>
    </row>
    <row r="40" spans="2:69" x14ac:dyDescent="0.2">
      <c r="B40" s="234" t="str">
        <f>Prop2019DistTar!B40</f>
        <v>Large low Voltage Bulk</v>
      </c>
      <c r="C40" s="284"/>
      <c r="D40" s="791">
        <v>0</v>
      </c>
      <c r="E40" s="787">
        <v>0</v>
      </c>
      <c r="F40" s="787">
        <v>1</v>
      </c>
      <c r="G40" s="787">
        <v>0</v>
      </c>
      <c r="H40" s="787">
        <v>0</v>
      </c>
      <c r="I40" s="787">
        <v>0.62</v>
      </c>
      <c r="J40" s="787">
        <v>0</v>
      </c>
      <c r="K40" s="787">
        <v>0</v>
      </c>
      <c r="L40" s="787">
        <v>0</v>
      </c>
      <c r="M40" s="787">
        <v>31.13</v>
      </c>
      <c r="N40" s="787">
        <v>0</v>
      </c>
      <c r="O40" s="787">
        <v>0</v>
      </c>
      <c r="P40" s="787">
        <v>0</v>
      </c>
      <c r="Q40" s="787">
        <v>0</v>
      </c>
      <c r="R40" s="787">
        <v>0</v>
      </c>
      <c r="S40" s="787">
        <v>0</v>
      </c>
      <c r="T40" s="787">
        <v>0</v>
      </c>
      <c r="U40" s="787">
        <v>0</v>
      </c>
      <c r="V40" s="787">
        <v>0</v>
      </c>
      <c r="W40" s="787">
        <v>0</v>
      </c>
      <c r="X40" s="792">
        <v>0</v>
      </c>
      <c r="Z40" s="276">
        <f>Prop2019DistTar!AV40</f>
        <v>1731.1666666666667</v>
      </c>
      <c r="AA40" s="250">
        <f>Prop2019DistTar!AW40</f>
        <v>0</v>
      </c>
      <c r="AB40" s="250">
        <f>Prop2019DistTar!AX40</f>
        <v>1101354717.2937953</v>
      </c>
      <c r="AC40" s="250">
        <f>Prop2019DistTar!AY40</f>
        <v>0</v>
      </c>
      <c r="AD40" s="250">
        <f>Prop2019DistTar!AZ40</f>
        <v>0</v>
      </c>
      <c r="AE40" s="250">
        <f>Prop2019DistTar!BA40</f>
        <v>829525555.83137512</v>
      </c>
      <c r="AF40" s="250">
        <f>Prop2019DistTar!BB40</f>
        <v>0</v>
      </c>
      <c r="AG40" s="250">
        <f>Prop2019DistTar!BC40</f>
        <v>0</v>
      </c>
      <c r="AH40" s="250">
        <f>Prop2019DistTar!BD40</f>
        <v>0</v>
      </c>
      <c r="AI40" s="250">
        <f>Prop2019DistTar!BE40</f>
        <v>627630.98033333279</v>
      </c>
      <c r="AJ40" s="250">
        <f>Prop2019DistTar!BF40</f>
        <v>0</v>
      </c>
      <c r="AK40" s="250">
        <f>Prop2019DistTar!BG40</f>
        <v>0</v>
      </c>
      <c r="AL40" s="250">
        <f>Prop2019DistTar!BH40</f>
        <v>0</v>
      </c>
      <c r="AM40" s="250">
        <f>Prop2019DistTar!BI40</f>
        <v>0</v>
      </c>
      <c r="AN40" s="250">
        <f>Prop2019DistTar!BJ40</f>
        <v>0</v>
      </c>
      <c r="AO40" s="250">
        <f>Prop2019DistTar!BK40</f>
        <v>0</v>
      </c>
      <c r="AP40" s="250">
        <f>Prop2019DistTar!BL40</f>
        <v>0</v>
      </c>
      <c r="AQ40" s="250">
        <f>Prop2019DistTar!BM40</f>
        <v>0</v>
      </c>
      <c r="AR40" s="250">
        <f>Prop2019DistTar!BN40</f>
        <v>0</v>
      </c>
      <c r="AS40" s="250">
        <f>Prop2019DistTar!BO40</f>
        <v>0</v>
      </c>
      <c r="AT40" s="251">
        <f>Prop2019DistTar!BP40</f>
        <v>0</v>
      </c>
      <c r="AV40" s="301">
        <f t="shared" si="4"/>
        <v>0</v>
      </c>
      <c r="AW40" s="302">
        <f t="shared" si="5"/>
        <v>0</v>
      </c>
      <c r="AX40" s="302">
        <f t="shared" si="6"/>
        <v>11013547.172937954</v>
      </c>
      <c r="AY40" s="302">
        <f t="shared" si="7"/>
        <v>0</v>
      </c>
      <c r="AZ40" s="302">
        <f t="shared" si="8"/>
        <v>0</v>
      </c>
      <c r="BA40" s="302">
        <f t="shared" si="9"/>
        <v>5143058.4461545255</v>
      </c>
      <c r="BB40" s="302">
        <f t="shared" si="10"/>
        <v>0</v>
      </c>
      <c r="BC40" s="302">
        <f t="shared" si="11"/>
        <v>0</v>
      </c>
      <c r="BD40" s="302">
        <f t="shared" si="12"/>
        <v>0</v>
      </c>
      <c r="BE40" s="302">
        <f t="shared" si="13"/>
        <v>19538152.417776648</v>
      </c>
      <c r="BF40" s="302">
        <f t="shared" si="14"/>
        <v>0</v>
      </c>
      <c r="BG40" s="302">
        <f t="shared" si="15"/>
        <v>0</v>
      </c>
      <c r="BH40" s="302">
        <f t="shared" si="16"/>
        <v>0</v>
      </c>
      <c r="BI40" s="303">
        <f t="shared" si="17"/>
        <v>0</v>
      </c>
      <c r="BJ40" s="303">
        <f t="shared" si="18"/>
        <v>0</v>
      </c>
      <c r="BK40" s="303">
        <f t="shared" si="19"/>
        <v>0</v>
      </c>
      <c r="BL40" s="303">
        <f t="shared" si="20"/>
        <v>0</v>
      </c>
      <c r="BM40" s="303">
        <f t="shared" si="21"/>
        <v>0</v>
      </c>
      <c r="BN40" s="303">
        <f t="shared" si="22"/>
        <v>0</v>
      </c>
      <c r="BO40" s="303">
        <f t="shared" si="23"/>
        <v>0</v>
      </c>
      <c r="BP40" s="303">
        <f t="shared" si="24"/>
        <v>0</v>
      </c>
      <c r="BQ40" s="254">
        <f t="shared" si="25"/>
        <v>35694758.036869124</v>
      </c>
    </row>
    <row r="41" spans="2:69" x14ac:dyDescent="0.2">
      <c r="B41" s="234" t="str">
        <f>Prop2019DistTar!B41</f>
        <v>High Voltage</v>
      </c>
      <c r="C41" s="284"/>
      <c r="D41" s="791">
        <v>0</v>
      </c>
      <c r="E41" s="787">
        <v>0</v>
      </c>
      <c r="F41" s="787">
        <v>1.22</v>
      </c>
      <c r="G41" s="787">
        <v>0</v>
      </c>
      <c r="H41" s="787">
        <v>0</v>
      </c>
      <c r="I41" s="787">
        <v>0.63</v>
      </c>
      <c r="J41" s="787">
        <v>0</v>
      </c>
      <c r="K41" s="787">
        <v>0</v>
      </c>
      <c r="L41" s="787">
        <v>0</v>
      </c>
      <c r="M41" s="787">
        <v>34.6</v>
      </c>
      <c r="N41" s="787">
        <v>0</v>
      </c>
      <c r="O41" s="787">
        <v>0</v>
      </c>
      <c r="P41" s="787">
        <v>0</v>
      </c>
      <c r="Q41" s="787">
        <v>0</v>
      </c>
      <c r="R41" s="787">
        <v>0</v>
      </c>
      <c r="S41" s="787">
        <v>0</v>
      </c>
      <c r="T41" s="787">
        <v>0</v>
      </c>
      <c r="U41" s="787">
        <v>0</v>
      </c>
      <c r="V41" s="787">
        <v>0</v>
      </c>
      <c r="W41" s="787">
        <v>0</v>
      </c>
      <c r="X41" s="792">
        <v>0</v>
      </c>
      <c r="Z41" s="276">
        <f>Prop2019DistTar!AV41</f>
        <v>88</v>
      </c>
      <c r="AA41" s="250">
        <f>Prop2019DistTar!AW41</f>
        <v>0</v>
      </c>
      <c r="AB41" s="250">
        <f>Prop2019DistTar!AX41</f>
        <v>345704462.09037936</v>
      </c>
      <c r="AC41" s="250">
        <f>Prop2019DistTar!AY41</f>
        <v>0</v>
      </c>
      <c r="AD41" s="250">
        <f>Prop2019DistTar!AZ41</f>
        <v>0</v>
      </c>
      <c r="AE41" s="250">
        <f>Prop2019DistTar!BA41</f>
        <v>319905209.40701491</v>
      </c>
      <c r="AF41" s="250">
        <f>Prop2019DistTar!BB41</f>
        <v>0</v>
      </c>
      <c r="AG41" s="250">
        <f>Prop2019DistTar!BC41</f>
        <v>0</v>
      </c>
      <c r="AH41" s="250">
        <f>Prop2019DistTar!BD41</f>
        <v>0</v>
      </c>
      <c r="AI41" s="250">
        <f>Prop2019DistTar!BE41</f>
        <v>191921.57674999998</v>
      </c>
      <c r="AJ41" s="250">
        <f>Prop2019DistTar!BF41</f>
        <v>0</v>
      </c>
      <c r="AK41" s="250">
        <f>Prop2019DistTar!BG41</f>
        <v>0</v>
      </c>
      <c r="AL41" s="250">
        <f>Prop2019DistTar!BH41</f>
        <v>0</v>
      </c>
      <c r="AM41" s="250">
        <f>Prop2019DistTar!BI41</f>
        <v>0</v>
      </c>
      <c r="AN41" s="250">
        <f>Prop2019DistTar!BJ41</f>
        <v>0</v>
      </c>
      <c r="AO41" s="250">
        <f>Prop2019DistTar!BK41</f>
        <v>0</v>
      </c>
      <c r="AP41" s="250">
        <f>Prop2019DistTar!BL41</f>
        <v>0</v>
      </c>
      <c r="AQ41" s="250">
        <f>Prop2019DistTar!BM41</f>
        <v>0</v>
      </c>
      <c r="AR41" s="250">
        <f>Prop2019DistTar!BN41</f>
        <v>0</v>
      </c>
      <c r="AS41" s="250">
        <f>Prop2019DistTar!BO41</f>
        <v>0</v>
      </c>
      <c r="AT41" s="251">
        <f>Prop2019DistTar!BP41</f>
        <v>0</v>
      </c>
      <c r="AV41" s="301">
        <f t="shared" si="4"/>
        <v>0</v>
      </c>
      <c r="AW41" s="302">
        <f t="shared" si="5"/>
        <v>0</v>
      </c>
      <c r="AX41" s="302">
        <f t="shared" si="6"/>
        <v>4217594.4375026282</v>
      </c>
      <c r="AY41" s="302">
        <f t="shared" si="7"/>
        <v>0</v>
      </c>
      <c r="AZ41" s="302">
        <f t="shared" si="8"/>
        <v>0</v>
      </c>
      <c r="BA41" s="302">
        <f t="shared" si="9"/>
        <v>2015402.819264194</v>
      </c>
      <c r="BB41" s="302">
        <f t="shared" si="10"/>
        <v>0</v>
      </c>
      <c r="BC41" s="302">
        <f t="shared" si="11"/>
        <v>0</v>
      </c>
      <c r="BD41" s="302">
        <f t="shared" si="12"/>
        <v>0</v>
      </c>
      <c r="BE41" s="302">
        <f t="shared" si="13"/>
        <v>6640486.5555499997</v>
      </c>
      <c r="BF41" s="302">
        <f t="shared" si="14"/>
        <v>0</v>
      </c>
      <c r="BG41" s="302">
        <f t="shared" si="15"/>
        <v>0</v>
      </c>
      <c r="BH41" s="302">
        <f t="shared" si="16"/>
        <v>0</v>
      </c>
      <c r="BI41" s="303">
        <f t="shared" si="17"/>
        <v>0</v>
      </c>
      <c r="BJ41" s="303">
        <f t="shared" si="18"/>
        <v>0</v>
      </c>
      <c r="BK41" s="303">
        <f t="shared" si="19"/>
        <v>0</v>
      </c>
      <c r="BL41" s="303">
        <f t="shared" si="20"/>
        <v>0</v>
      </c>
      <c r="BM41" s="303">
        <f t="shared" si="21"/>
        <v>0</v>
      </c>
      <c r="BN41" s="303">
        <f t="shared" si="22"/>
        <v>0</v>
      </c>
      <c r="BO41" s="303">
        <f t="shared" si="23"/>
        <v>0</v>
      </c>
      <c r="BP41" s="303">
        <f t="shared" si="24"/>
        <v>0</v>
      </c>
      <c r="BQ41" s="254">
        <f t="shared" si="25"/>
        <v>12873483.812316822</v>
      </c>
    </row>
    <row r="42" spans="2:69" x14ac:dyDescent="0.2">
      <c r="B42" s="234" t="str">
        <f>Prop2019DistTar!B42</f>
        <v>Subtransmission</v>
      </c>
      <c r="C42" s="284"/>
      <c r="D42" s="791">
        <v>0</v>
      </c>
      <c r="E42" s="787">
        <v>0</v>
      </c>
      <c r="F42" s="787">
        <v>2</v>
      </c>
      <c r="G42" s="787">
        <v>0</v>
      </c>
      <c r="H42" s="787">
        <v>0</v>
      </c>
      <c r="I42" s="787">
        <v>0.83</v>
      </c>
      <c r="J42" s="787">
        <v>0</v>
      </c>
      <c r="K42" s="787">
        <v>0</v>
      </c>
      <c r="L42" s="787">
        <v>0</v>
      </c>
      <c r="M42" s="787">
        <v>16.25</v>
      </c>
      <c r="N42" s="787">
        <v>0</v>
      </c>
      <c r="O42" s="787">
        <v>0</v>
      </c>
      <c r="P42" s="787">
        <v>0</v>
      </c>
      <c r="Q42" s="787">
        <v>0</v>
      </c>
      <c r="R42" s="787">
        <v>0</v>
      </c>
      <c r="S42" s="787">
        <v>0</v>
      </c>
      <c r="T42" s="787">
        <v>0</v>
      </c>
      <c r="U42" s="787">
        <v>0</v>
      </c>
      <c r="V42" s="787">
        <v>0</v>
      </c>
      <c r="W42" s="787">
        <v>0</v>
      </c>
      <c r="X42" s="792">
        <v>0</v>
      </c>
      <c r="Z42" s="276">
        <f>Prop2019DistTar!AV42</f>
        <v>6</v>
      </c>
      <c r="AA42" s="250">
        <f>Prop2019DistTar!AW42</f>
        <v>0</v>
      </c>
      <c r="AB42" s="250">
        <f>Prop2019DistTar!AX42</f>
        <v>63161450.703406543</v>
      </c>
      <c r="AC42" s="250">
        <f>Prop2019DistTar!AY42</f>
        <v>0</v>
      </c>
      <c r="AD42" s="250">
        <f>Prop2019DistTar!AZ42</f>
        <v>0</v>
      </c>
      <c r="AE42" s="250">
        <f>Prop2019DistTar!BA42</f>
        <v>37546309.7185238</v>
      </c>
      <c r="AF42" s="250">
        <f>Prop2019DistTar!BB42</f>
        <v>0</v>
      </c>
      <c r="AG42" s="250">
        <f>Prop2019DistTar!BC42</f>
        <v>0</v>
      </c>
      <c r="AH42" s="250">
        <f>Prop2019DistTar!BD42</f>
        <v>0</v>
      </c>
      <c r="AI42" s="250">
        <f>Prop2019DistTar!BE42</f>
        <v>35559.269916666664</v>
      </c>
      <c r="AJ42" s="250">
        <f>Prop2019DistTar!BF42</f>
        <v>0</v>
      </c>
      <c r="AK42" s="250">
        <f>Prop2019DistTar!BG42</f>
        <v>0</v>
      </c>
      <c r="AL42" s="250">
        <f>Prop2019DistTar!BH42</f>
        <v>0</v>
      </c>
      <c r="AM42" s="250">
        <f>Prop2019DistTar!BI42</f>
        <v>0</v>
      </c>
      <c r="AN42" s="250">
        <f>Prop2019DistTar!BJ42</f>
        <v>0</v>
      </c>
      <c r="AO42" s="250">
        <f>Prop2019DistTar!BK42</f>
        <v>0</v>
      </c>
      <c r="AP42" s="250">
        <f>Prop2019DistTar!BL42</f>
        <v>0</v>
      </c>
      <c r="AQ42" s="250">
        <f>Prop2019DistTar!BM42</f>
        <v>0</v>
      </c>
      <c r="AR42" s="250">
        <f>Prop2019DistTar!BN42</f>
        <v>0</v>
      </c>
      <c r="AS42" s="250">
        <f>Prop2019DistTar!BO42</f>
        <v>0</v>
      </c>
      <c r="AT42" s="251">
        <f>Prop2019DistTar!BP42</f>
        <v>0</v>
      </c>
      <c r="AV42" s="301">
        <f t="shared" si="4"/>
        <v>0</v>
      </c>
      <c r="AW42" s="302">
        <f t="shared" si="5"/>
        <v>0</v>
      </c>
      <c r="AX42" s="302">
        <f t="shared" si="6"/>
        <v>1263229.0140681309</v>
      </c>
      <c r="AY42" s="302">
        <f t="shared" si="7"/>
        <v>0</v>
      </c>
      <c r="AZ42" s="302">
        <f t="shared" si="8"/>
        <v>0</v>
      </c>
      <c r="BA42" s="302">
        <f t="shared" si="9"/>
        <v>311634.37066374754</v>
      </c>
      <c r="BB42" s="302">
        <f t="shared" si="10"/>
        <v>0</v>
      </c>
      <c r="BC42" s="302">
        <f t="shared" si="11"/>
        <v>0</v>
      </c>
      <c r="BD42" s="302">
        <f t="shared" si="12"/>
        <v>0</v>
      </c>
      <c r="BE42" s="302">
        <f t="shared" si="13"/>
        <v>577838.1361458333</v>
      </c>
      <c r="BF42" s="302">
        <f t="shared" si="14"/>
        <v>0</v>
      </c>
      <c r="BG42" s="302">
        <f t="shared" si="15"/>
        <v>0</v>
      </c>
      <c r="BH42" s="302">
        <f t="shared" si="16"/>
        <v>0</v>
      </c>
      <c r="BI42" s="303">
        <f t="shared" si="17"/>
        <v>0</v>
      </c>
      <c r="BJ42" s="303">
        <f t="shared" si="18"/>
        <v>0</v>
      </c>
      <c r="BK42" s="303">
        <f t="shared" si="19"/>
        <v>0</v>
      </c>
      <c r="BL42" s="303">
        <f t="shared" si="20"/>
        <v>0</v>
      </c>
      <c r="BM42" s="303">
        <f t="shared" si="21"/>
        <v>0</v>
      </c>
      <c r="BN42" s="303">
        <f t="shared" si="22"/>
        <v>0</v>
      </c>
      <c r="BO42" s="303">
        <f t="shared" si="23"/>
        <v>0</v>
      </c>
      <c r="BP42" s="303">
        <f t="shared" si="24"/>
        <v>0</v>
      </c>
      <c r="BQ42" s="254">
        <f t="shared" si="25"/>
        <v>2152701.5208777119</v>
      </c>
    </row>
    <row r="43" spans="2:69" x14ac:dyDescent="0.2">
      <c r="B43" s="234"/>
      <c r="C43" s="284"/>
      <c r="D43" s="660"/>
      <c r="E43" s="651"/>
      <c r="F43" s="651"/>
      <c r="G43" s="651"/>
      <c r="H43" s="651"/>
      <c r="I43" s="651"/>
      <c r="J43" s="651"/>
      <c r="K43" s="651"/>
      <c r="L43" s="651"/>
      <c r="M43" s="651"/>
      <c r="N43" s="651"/>
      <c r="O43" s="651"/>
      <c r="P43" s="651"/>
      <c r="Q43" s="651"/>
      <c r="R43" s="651"/>
      <c r="S43" s="651"/>
      <c r="T43" s="651"/>
      <c r="U43" s="651"/>
      <c r="V43" s="651"/>
      <c r="W43" s="651"/>
      <c r="X43" s="652"/>
      <c r="Z43" s="276"/>
      <c r="AA43" s="250"/>
      <c r="AB43" s="250"/>
      <c r="AC43" s="250"/>
      <c r="AD43" s="250"/>
      <c r="AE43" s="250"/>
      <c r="AF43" s="250"/>
      <c r="AG43" s="250"/>
      <c r="AH43" s="250"/>
      <c r="AI43" s="250"/>
      <c r="AJ43" s="250"/>
      <c r="AK43" s="250"/>
      <c r="AL43" s="250"/>
      <c r="AM43" s="250"/>
      <c r="AN43" s="250"/>
      <c r="AO43" s="250"/>
      <c r="AP43" s="250"/>
      <c r="AQ43" s="250"/>
      <c r="AR43" s="250"/>
      <c r="AS43" s="250"/>
      <c r="AT43" s="251"/>
      <c r="AV43" s="301">
        <f t="shared" si="4"/>
        <v>0</v>
      </c>
      <c r="AW43" s="302">
        <f t="shared" si="5"/>
        <v>0</v>
      </c>
      <c r="AX43" s="302">
        <f t="shared" si="6"/>
        <v>0</v>
      </c>
      <c r="AY43" s="302">
        <f t="shared" si="7"/>
        <v>0</v>
      </c>
      <c r="AZ43" s="302">
        <f t="shared" si="8"/>
        <v>0</v>
      </c>
      <c r="BA43" s="302">
        <f t="shared" si="9"/>
        <v>0</v>
      </c>
      <c r="BB43" s="302">
        <f t="shared" si="10"/>
        <v>0</v>
      </c>
      <c r="BC43" s="302">
        <f t="shared" si="11"/>
        <v>0</v>
      </c>
      <c r="BD43" s="302">
        <f t="shared" si="12"/>
        <v>0</v>
      </c>
      <c r="BE43" s="302">
        <f t="shared" si="13"/>
        <v>0</v>
      </c>
      <c r="BF43" s="302">
        <f t="shared" si="14"/>
        <v>0</v>
      </c>
      <c r="BG43" s="302">
        <f t="shared" si="15"/>
        <v>0</v>
      </c>
      <c r="BH43" s="302">
        <f t="shared" si="16"/>
        <v>0</v>
      </c>
      <c r="BI43" s="303">
        <f t="shared" si="17"/>
        <v>0</v>
      </c>
      <c r="BJ43" s="303">
        <f t="shared" si="18"/>
        <v>0</v>
      </c>
      <c r="BK43" s="303">
        <f t="shared" si="19"/>
        <v>0</v>
      </c>
      <c r="BL43" s="303">
        <f t="shared" si="20"/>
        <v>0</v>
      </c>
      <c r="BM43" s="303">
        <f t="shared" si="21"/>
        <v>0</v>
      </c>
      <c r="BN43" s="303">
        <f t="shared" si="22"/>
        <v>0</v>
      </c>
      <c r="BO43" s="303">
        <f t="shared" si="23"/>
        <v>0</v>
      </c>
      <c r="BP43" s="303">
        <f t="shared" si="24"/>
        <v>0</v>
      </c>
      <c r="BQ43" s="254">
        <f t="shared" si="25"/>
        <v>0</v>
      </c>
    </row>
    <row r="44" spans="2:69" x14ac:dyDescent="0.2">
      <c r="B44" s="234"/>
      <c r="C44" s="284"/>
      <c r="D44" s="660"/>
      <c r="E44" s="651"/>
      <c r="F44" s="651"/>
      <c r="G44" s="651"/>
      <c r="H44" s="651"/>
      <c r="I44" s="651"/>
      <c r="J44" s="651"/>
      <c r="K44" s="651"/>
      <c r="L44" s="651"/>
      <c r="M44" s="651"/>
      <c r="N44" s="651"/>
      <c r="O44" s="651"/>
      <c r="P44" s="651"/>
      <c r="Q44" s="651"/>
      <c r="R44" s="651"/>
      <c r="S44" s="651"/>
      <c r="T44" s="651"/>
      <c r="U44" s="651"/>
      <c r="V44" s="651"/>
      <c r="W44" s="651"/>
      <c r="X44" s="652"/>
      <c r="Z44" s="276"/>
      <c r="AA44" s="250"/>
      <c r="AB44" s="250"/>
      <c r="AC44" s="250"/>
      <c r="AD44" s="250"/>
      <c r="AE44" s="250"/>
      <c r="AF44" s="250"/>
      <c r="AG44" s="250"/>
      <c r="AH44" s="250"/>
      <c r="AI44" s="250"/>
      <c r="AJ44" s="250"/>
      <c r="AK44" s="250"/>
      <c r="AL44" s="250"/>
      <c r="AM44" s="250"/>
      <c r="AN44" s="250"/>
      <c r="AO44" s="250"/>
      <c r="AP44" s="250"/>
      <c r="AQ44" s="250"/>
      <c r="AR44" s="250"/>
      <c r="AS44" s="250"/>
      <c r="AT44" s="251"/>
      <c r="AV44" s="301">
        <f t="shared" si="4"/>
        <v>0</v>
      </c>
      <c r="AW44" s="302">
        <f t="shared" si="5"/>
        <v>0</v>
      </c>
      <c r="AX44" s="302">
        <f t="shared" si="6"/>
        <v>0</v>
      </c>
      <c r="AY44" s="302">
        <f t="shared" si="7"/>
        <v>0</v>
      </c>
      <c r="AZ44" s="302">
        <f t="shared" si="8"/>
        <v>0</v>
      </c>
      <c r="BA44" s="302">
        <f t="shared" si="9"/>
        <v>0</v>
      </c>
      <c r="BB44" s="302">
        <f t="shared" si="10"/>
        <v>0</v>
      </c>
      <c r="BC44" s="302">
        <f t="shared" si="11"/>
        <v>0</v>
      </c>
      <c r="BD44" s="302">
        <f t="shared" si="12"/>
        <v>0</v>
      </c>
      <c r="BE44" s="302">
        <f t="shared" si="13"/>
        <v>0</v>
      </c>
      <c r="BF44" s="302">
        <f t="shared" si="14"/>
        <v>0</v>
      </c>
      <c r="BG44" s="302">
        <f t="shared" si="15"/>
        <v>0</v>
      </c>
      <c r="BH44" s="302">
        <f t="shared" si="16"/>
        <v>0</v>
      </c>
      <c r="BI44" s="303">
        <f t="shared" si="17"/>
        <v>0</v>
      </c>
      <c r="BJ44" s="303">
        <f t="shared" si="18"/>
        <v>0</v>
      </c>
      <c r="BK44" s="303">
        <f t="shared" si="19"/>
        <v>0</v>
      </c>
      <c r="BL44" s="303">
        <f t="shared" si="20"/>
        <v>0</v>
      </c>
      <c r="BM44" s="303">
        <f t="shared" si="21"/>
        <v>0</v>
      </c>
      <c r="BN44" s="303">
        <f t="shared" si="22"/>
        <v>0</v>
      </c>
      <c r="BO44" s="303">
        <f t="shared" si="23"/>
        <v>0</v>
      </c>
      <c r="BP44" s="303">
        <f t="shared" si="24"/>
        <v>0</v>
      </c>
      <c r="BQ44" s="254">
        <f t="shared" si="25"/>
        <v>0</v>
      </c>
    </row>
    <row r="45" spans="2:69" x14ac:dyDescent="0.2">
      <c r="B45" s="234"/>
      <c r="C45" s="284"/>
      <c r="D45" s="660"/>
      <c r="E45" s="651"/>
      <c r="F45" s="651"/>
      <c r="G45" s="651"/>
      <c r="H45" s="651"/>
      <c r="I45" s="651"/>
      <c r="J45" s="651"/>
      <c r="K45" s="651"/>
      <c r="L45" s="651"/>
      <c r="M45" s="651"/>
      <c r="N45" s="651"/>
      <c r="O45" s="651"/>
      <c r="P45" s="651"/>
      <c r="Q45" s="651"/>
      <c r="R45" s="651"/>
      <c r="S45" s="651"/>
      <c r="T45" s="651"/>
      <c r="U45" s="651"/>
      <c r="V45" s="651"/>
      <c r="W45" s="651"/>
      <c r="X45" s="652"/>
      <c r="Z45" s="276"/>
      <c r="AA45" s="250"/>
      <c r="AB45" s="250"/>
      <c r="AC45" s="250"/>
      <c r="AD45" s="250"/>
      <c r="AE45" s="250"/>
      <c r="AF45" s="250"/>
      <c r="AG45" s="250"/>
      <c r="AH45" s="250"/>
      <c r="AI45" s="250"/>
      <c r="AJ45" s="250"/>
      <c r="AK45" s="250"/>
      <c r="AL45" s="250"/>
      <c r="AM45" s="250"/>
      <c r="AN45" s="250"/>
      <c r="AO45" s="250"/>
      <c r="AP45" s="250"/>
      <c r="AQ45" s="250"/>
      <c r="AR45" s="250"/>
      <c r="AS45" s="250"/>
      <c r="AT45" s="251"/>
      <c r="AV45" s="301">
        <f t="shared" si="4"/>
        <v>0</v>
      </c>
      <c r="AW45" s="302">
        <f t="shared" si="5"/>
        <v>0</v>
      </c>
      <c r="AX45" s="302">
        <f t="shared" si="6"/>
        <v>0</v>
      </c>
      <c r="AY45" s="302">
        <f t="shared" si="7"/>
        <v>0</v>
      </c>
      <c r="AZ45" s="302">
        <f t="shared" si="8"/>
        <v>0</v>
      </c>
      <c r="BA45" s="302">
        <f t="shared" si="9"/>
        <v>0</v>
      </c>
      <c r="BB45" s="302">
        <f t="shared" si="10"/>
        <v>0</v>
      </c>
      <c r="BC45" s="302">
        <f t="shared" si="11"/>
        <v>0</v>
      </c>
      <c r="BD45" s="302">
        <f t="shared" si="12"/>
        <v>0</v>
      </c>
      <c r="BE45" s="302">
        <f t="shared" si="13"/>
        <v>0</v>
      </c>
      <c r="BF45" s="302">
        <f t="shared" si="14"/>
        <v>0</v>
      </c>
      <c r="BG45" s="302">
        <f t="shared" si="15"/>
        <v>0</v>
      </c>
      <c r="BH45" s="302">
        <f t="shared" si="16"/>
        <v>0</v>
      </c>
      <c r="BI45" s="303">
        <f t="shared" si="17"/>
        <v>0</v>
      </c>
      <c r="BJ45" s="303">
        <f t="shared" si="18"/>
        <v>0</v>
      </c>
      <c r="BK45" s="303">
        <f t="shared" si="19"/>
        <v>0</v>
      </c>
      <c r="BL45" s="303">
        <f t="shared" si="20"/>
        <v>0</v>
      </c>
      <c r="BM45" s="303">
        <f t="shared" si="21"/>
        <v>0</v>
      </c>
      <c r="BN45" s="303">
        <f t="shared" si="22"/>
        <v>0</v>
      </c>
      <c r="BO45" s="303">
        <f t="shared" si="23"/>
        <v>0</v>
      </c>
      <c r="BP45" s="303">
        <f t="shared" si="24"/>
        <v>0</v>
      </c>
      <c r="BQ45" s="254">
        <f t="shared" si="25"/>
        <v>0</v>
      </c>
    </row>
    <row r="46" spans="2:69" x14ac:dyDescent="0.2">
      <c r="B46" s="234"/>
      <c r="C46" s="284"/>
      <c r="D46" s="660"/>
      <c r="E46" s="651"/>
      <c r="F46" s="651"/>
      <c r="G46" s="651"/>
      <c r="H46" s="651"/>
      <c r="I46" s="651"/>
      <c r="J46" s="651"/>
      <c r="K46" s="651"/>
      <c r="L46" s="651"/>
      <c r="M46" s="651"/>
      <c r="N46" s="651"/>
      <c r="O46" s="651"/>
      <c r="P46" s="651"/>
      <c r="Q46" s="651"/>
      <c r="R46" s="651"/>
      <c r="S46" s="651"/>
      <c r="T46" s="651"/>
      <c r="U46" s="651"/>
      <c r="V46" s="651"/>
      <c r="W46" s="651"/>
      <c r="X46" s="652"/>
      <c r="Z46" s="276"/>
      <c r="AA46" s="250"/>
      <c r="AB46" s="250"/>
      <c r="AC46" s="250"/>
      <c r="AD46" s="250"/>
      <c r="AE46" s="250"/>
      <c r="AF46" s="250"/>
      <c r="AG46" s="250"/>
      <c r="AH46" s="250"/>
      <c r="AI46" s="250"/>
      <c r="AJ46" s="250"/>
      <c r="AK46" s="250"/>
      <c r="AL46" s="250"/>
      <c r="AM46" s="250"/>
      <c r="AN46" s="250"/>
      <c r="AO46" s="250"/>
      <c r="AP46" s="250"/>
      <c r="AQ46" s="250"/>
      <c r="AR46" s="250"/>
      <c r="AS46" s="250"/>
      <c r="AT46" s="251"/>
      <c r="AV46" s="301">
        <f t="shared" si="4"/>
        <v>0</v>
      </c>
      <c r="AW46" s="302">
        <f t="shared" si="5"/>
        <v>0</v>
      </c>
      <c r="AX46" s="302">
        <f t="shared" si="6"/>
        <v>0</v>
      </c>
      <c r="AY46" s="302">
        <f t="shared" si="7"/>
        <v>0</v>
      </c>
      <c r="AZ46" s="302">
        <f t="shared" si="8"/>
        <v>0</v>
      </c>
      <c r="BA46" s="302">
        <f t="shared" si="9"/>
        <v>0</v>
      </c>
      <c r="BB46" s="302">
        <f t="shared" si="10"/>
        <v>0</v>
      </c>
      <c r="BC46" s="302">
        <f t="shared" si="11"/>
        <v>0</v>
      </c>
      <c r="BD46" s="302">
        <f t="shared" si="12"/>
        <v>0</v>
      </c>
      <c r="BE46" s="302">
        <f t="shared" si="13"/>
        <v>0</v>
      </c>
      <c r="BF46" s="302">
        <f t="shared" si="14"/>
        <v>0</v>
      </c>
      <c r="BG46" s="302">
        <f t="shared" si="15"/>
        <v>0</v>
      </c>
      <c r="BH46" s="302">
        <f t="shared" si="16"/>
        <v>0</v>
      </c>
      <c r="BI46" s="303">
        <f t="shared" si="17"/>
        <v>0</v>
      </c>
      <c r="BJ46" s="303">
        <f t="shared" si="18"/>
        <v>0</v>
      </c>
      <c r="BK46" s="303">
        <f t="shared" si="19"/>
        <v>0</v>
      </c>
      <c r="BL46" s="303">
        <f t="shared" si="20"/>
        <v>0</v>
      </c>
      <c r="BM46" s="303">
        <f t="shared" si="21"/>
        <v>0</v>
      </c>
      <c r="BN46" s="303">
        <f t="shared" si="22"/>
        <v>0</v>
      </c>
      <c r="BO46" s="303">
        <f t="shared" si="23"/>
        <v>0</v>
      </c>
      <c r="BP46" s="303">
        <f t="shared" si="24"/>
        <v>0</v>
      </c>
      <c r="BQ46" s="254">
        <f t="shared" si="25"/>
        <v>0</v>
      </c>
    </row>
    <row r="47" spans="2:69" x14ac:dyDescent="0.2">
      <c r="B47" s="234"/>
      <c r="C47" s="284"/>
      <c r="D47" s="660"/>
      <c r="E47" s="651"/>
      <c r="F47" s="651"/>
      <c r="G47" s="651"/>
      <c r="H47" s="651"/>
      <c r="I47" s="651"/>
      <c r="J47" s="651"/>
      <c r="K47" s="651"/>
      <c r="L47" s="651"/>
      <c r="M47" s="651"/>
      <c r="N47" s="651"/>
      <c r="O47" s="651"/>
      <c r="P47" s="651"/>
      <c r="Q47" s="651"/>
      <c r="R47" s="651"/>
      <c r="S47" s="651"/>
      <c r="T47" s="651"/>
      <c r="U47" s="651"/>
      <c r="V47" s="651"/>
      <c r="W47" s="651"/>
      <c r="X47" s="652"/>
      <c r="Z47" s="276"/>
      <c r="AA47" s="250"/>
      <c r="AB47" s="250"/>
      <c r="AC47" s="250"/>
      <c r="AD47" s="250"/>
      <c r="AE47" s="250"/>
      <c r="AF47" s="250"/>
      <c r="AG47" s="250"/>
      <c r="AH47" s="250"/>
      <c r="AI47" s="250"/>
      <c r="AJ47" s="250"/>
      <c r="AK47" s="250"/>
      <c r="AL47" s="250"/>
      <c r="AM47" s="250"/>
      <c r="AN47" s="250"/>
      <c r="AO47" s="250"/>
      <c r="AP47" s="250"/>
      <c r="AQ47" s="250"/>
      <c r="AR47" s="250"/>
      <c r="AS47" s="250"/>
      <c r="AT47" s="251"/>
      <c r="AV47" s="301">
        <f t="shared" si="4"/>
        <v>0</v>
      </c>
      <c r="AW47" s="302">
        <f t="shared" si="5"/>
        <v>0</v>
      </c>
      <c r="AX47" s="302">
        <f t="shared" si="6"/>
        <v>0</v>
      </c>
      <c r="AY47" s="302">
        <f t="shared" si="7"/>
        <v>0</v>
      </c>
      <c r="AZ47" s="302">
        <f t="shared" si="8"/>
        <v>0</v>
      </c>
      <c r="BA47" s="302">
        <f t="shared" si="9"/>
        <v>0</v>
      </c>
      <c r="BB47" s="302">
        <f t="shared" si="10"/>
        <v>0</v>
      </c>
      <c r="BC47" s="302">
        <f t="shared" si="11"/>
        <v>0</v>
      </c>
      <c r="BD47" s="302">
        <f t="shared" si="12"/>
        <v>0</v>
      </c>
      <c r="BE47" s="302">
        <f t="shared" si="13"/>
        <v>0</v>
      </c>
      <c r="BF47" s="302">
        <f t="shared" si="14"/>
        <v>0</v>
      </c>
      <c r="BG47" s="302">
        <f t="shared" si="15"/>
        <v>0</v>
      </c>
      <c r="BH47" s="302">
        <f t="shared" si="16"/>
        <v>0</v>
      </c>
      <c r="BI47" s="303">
        <f t="shared" si="17"/>
        <v>0</v>
      </c>
      <c r="BJ47" s="303">
        <f t="shared" si="18"/>
        <v>0</v>
      </c>
      <c r="BK47" s="303">
        <f t="shared" si="19"/>
        <v>0</v>
      </c>
      <c r="BL47" s="303">
        <f t="shared" si="20"/>
        <v>0</v>
      </c>
      <c r="BM47" s="303">
        <f t="shared" si="21"/>
        <v>0</v>
      </c>
      <c r="BN47" s="303">
        <f t="shared" si="22"/>
        <v>0</v>
      </c>
      <c r="BO47" s="303">
        <f t="shared" si="23"/>
        <v>0</v>
      </c>
      <c r="BP47" s="303">
        <f t="shared" si="24"/>
        <v>0</v>
      </c>
      <c r="BQ47" s="254">
        <f t="shared" si="25"/>
        <v>0</v>
      </c>
    </row>
    <row r="48" spans="2:69" x14ac:dyDescent="0.2">
      <c r="B48" s="234"/>
      <c r="C48" s="284"/>
      <c r="D48" s="717"/>
      <c r="E48" s="718"/>
      <c r="F48" s="718"/>
      <c r="G48" s="718"/>
      <c r="H48" s="718"/>
      <c r="I48" s="718"/>
      <c r="J48" s="718"/>
      <c r="K48" s="718"/>
      <c r="L48" s="718"/>
      <c r="M48" s="718"/>
      <c r="N48" s="718"/>
      <c r="O48" s="718"/>
      <c r="P48" s="718"/>
      <c r="Q48" s="718"/>
      <c r="R48" s="718"/>
      <c r="S48" s="718"/>
      <c r="T48" s="718"/>
      <c r="U48" s="718"/>
      <c r="V48" s="718"/>
      <c r="W48" s="718"/>
      <c r="X48" s="719"/>
      <c r="Z48" s="276"/>
      <c r="AA48" s="250"/>
      <c r="AB48" s="250"/>
      <c r="AC48" s="250"/>
      <c r="AD48" s="250"/>
      <c r="AE48" s="250"/>
      <c r="AF48" s="250"/>
      <c r="AG48" s="250"/>
      <c r="AH48" s="250"/>
      <c r="AI48" s="250"/>
      <c r="AJ48" s="250"/>
      <c r="AK48" s="250"/>
      <c r="AL48" s="250"/>
      <c r="AM48" s="250"/>
      <c r="AN48" s="250"/>
      <c r="AO48" s="250"/>
      <c r="AP48" s="250"/>
      <c r="AQ48" s="250"/>
      <c r="AR48" s="250"/>
      <c r="AS48" s="250"/>
      <c r="AT48" s="251"/>
      <c r="AV48" s="301">
        <f t="shared" si="4"/>
        <v>0</v>
      </c>
      <c r="AW48" s="302">
        <f t="shared" si="5"/>
        <v>0</v>
      </c>
      <c r="AX48" s="302">
        <f t="shared" si="6"/>
        <v>0</v>
      </c>
      <c r="AY48" s="302">
        <f t="shared" si="7"/>
        <v>0</v>
      </c>
      <c r="AZ48" s="302">
        <f t="shared" si="8"/>
        <v>0</v>
      </c>
      <c r="BA48" s="302">
        <f t="shared" si="9"/>
        <v>0</v>
      </c>
      <c r="BB48" s="302">
        <f t="shared" si="10"/>
        <v>0</v>
      </c>
      <c r="BC48" s="302">
        <f t="shared" si="11"/>
        <v>0</v>
      </c>
      <c r="BD48" s="302">
        <f t="shared" si="12"/>
        <v>0</v>
      </c>
      <c r="BE48" s="302">
        <f t="shared" si="13"/>
        <v>0</v>
      </c>
      <c r="BF48" s="302">
        <f t="shared" si="14"/>
        <v>0</v>
      </c>
      <c r="BG48" s="302">
        <f t="shared" si="15"/>
        <v>0</v>
      </c>
      <c r="BH48" s="302">
        <f t="shared" si="16"/>
        <v>0</v>
      </c>
      <c r="BI48" s="303">
        <f t="shared" si="17"/>
        <v>0</v>
      </c>
      <c r="BJ48" s="303">
        <f t="shared" si="18"/>
        <v>0</v>
      </c>
      <c r="BK48" s="303">
        <f t="shared" si="19"/>
        <v>0</v>
      </c>
      <c r="BL48" s="303">
        <f t="shared" si="20"/>
        <v>0</v>
      </c>
      <c r="BM48" s="303">
        <f t="shared" si="21"/>
        <v>0</v>
      </c>
      <c r="BN48" s="303">
        <f t="shared" si="22"/>
        <v>0</v>
      </c>
      <c r="BO48" s="303">
        <f t="shared" si="23"/>
        <v>0</v>
      </c>
      <c r="BP48" s="303">
        <f t="shared" si="24"/>
        <v>0</v>
      </c>
      <c r="BQ48" s="254">
        <f t="shared" si="25"/>
        <v>0</v>
      </c>
    </row>
    <row r="49" spans="2:69" x14ac:dyDescent="0.2">
      <c r="B49" s="234"/>
      <c r="C49" s="284"/>
      <c r="D49" s="717"/>
      <c r="E49" s="718"/>
      <c r="F49" s="718"/>
      <c r="G49" s="718"/>
      <c r="H49" s="718"/>
      <c r="I49" s="718"/>
      <c r="J49" s="718"/>
      <c r="K49" s="718"/>
      <c r="L49" s="718"/>
      <c r="M49" s="718"/>
      <c r="N49" s="718"/>
      <c r="O49" s="718"/>
      <c r="P49" s="718"/>
      <c r="Q49" s="718"/>
      <c r="R49" s="718"/>
      <c r="S49" s="718"/>
      <c r="T49" s="718"/>
      <c r="U49" s="718"/>
      <c r="V49" s="718"/>
      <c r="W49" s="718"/>
      <c r="X49" s="719"/>
      <c r="Z49" s="276"/>
      <c r="AA49" s="250"/>
      <c r="AB49" s="250"/>
      <c r="AC49" s="250"/>
      <c r="AD49" s="250"/>
      <c r="AE49" s="250"/>
      <c r="AF49" s="250"/>
      <c r="AG49" s="250"/>
      <c r="AH49" s="250"/>
      <c r="AI49" s="250"/>
      <c r="AJ49" s="250"/>
      <c r="AK49" s="250"/>
      <c r="AL49" s="250"/>
      <c r="AM49" s="250"/>
      <c r="AN49" s="250"/>
      <c r="AO49" s="250"/>
      <c r="AP49" s="250"/>
      <c r="AQ49" s="250"/>
      <c r="AR49" s="250"/>
      <c r="AS49" s="250"/>
      <c r="AT49" s="251"/>
      <c r="AV49" s="301">
        <f t="shared" si="4"/>
        <v>0</v>
      </c>
      <c r="AW49" s="302">
        <f t="shared" si="5"/>
        <v>0</v>
      </c>
      <c r="AX49" s="302">
        <f t="shared" si="6"/>
        <v>0</v>
      </c>
      <c r="AY49" s="302">
        <f t="shared" si="7"/>
        <v>0</v>
      </c>
      <c r="AZ49" s="302">
        <f t="shared" si="8"/>
        <v>0</v>
      </c>
      <c r="BA49" s="302">
        <f t="shared" si="9"/>
        <v>0</v>
      </c>
      <c r="BB49" s="302">
        <f t="shared" si="10"/>
        <v>0</v>
      </c>
      <c r="BC49" s="302">
        <f t="shared" si="11"/>
        <v>0</v>
      </c>
      <c r="BD49" s="302">
        <f t="shared" si="12"/>
        <v>0</v>
      </c>
      <c r="BE49" s="302">
        <f t="shared" si="13"/>
        <v>0</v>
      </c>
      <c r="BF49" s="302">
        <f t="shared" si="14"/>
        <v>0</v>
      </c>
      <c r="BG49" s="302">
        <f t="shared" si="15"/>
        <v>0</v>
      </c>
      <c r="BH49" s="302">
        <f t="shared" si="16"/>
        <v>0</v>
      </c>
      <c r="BI49" s="303">
        <f t="shared" si="17"/>
        <v>0</v>
      </c>
      <c r="BJ49" s="303">
        <f t="shared" si="18"/>
        <v>0</v>
      </c>
      <c r="BK49" s="303">
        <f t="shared" si="19"/>
        <v>0</v>
      </c>
      <c r="BL49" s="303">
        <f t="shared" si="20"/>
        <v>0</v>
      </c>
      <c r="BM49" s="303">
        <f t="shared" si="21"/>
        <v>0</v>
      </c>
      <c r="BN49" s="303">
        <f t="shared" si="22"/>
        <v>0</v>
      </c>
      <c r="BO49" s="303">
        <f t="shared" si="23"/>
        <v>0</v>
      </c>
      <c r="BP49" s="303">
        <f t="shared" si="24"/>
        <v>0</v>
      </c>
      <c r="BQ49" s="254">
        <f t="shared" si="25"/>
        <v>0</v>
      </c>
    </row>
    <row r="50" spans="2:69" x14ac:dyDescent="0.2">
      <c r="B50" s="234"/>
      <c r="C50" s="284"/>
      <c r="D50" s="717"/>
      <c r="E50" s="718"/>
      <c r="F50" s="718"/>
      <c r="G50" s="718"/>
      <c r="H50" s="718"/>
      <c r="I50" s="718"/>
      <c r="J50" s="718"/>
      <c r="K50" s="718"/>
      <c r="L50" s="718"/>
      <c r="M50" s="718"/>
      <c r="N50" s="718"/>
      <c r="O50" s="718"/>
      <c r="P50" s="718"/>
      <c r="Q50" s="718"/>
      <c r="R50" s="718"/>
      <c r="S50" s="718"/>
      <c r="T50" s="718"/>
      <c r="U50" s="718"/>
      <c r="V50" s="718"/>
      <c r="W50" s="718"/>
      <c r="X50" s="719"/>
      <c r="Z50" s="276"/>
      <c r="AA50" s="250"/>
      <c r="AB50" s="250"/>
      <c r="AC50" s="250"/>
      <c r="AD50" s="250"/>
      <c r="AE50" s="250"/>
      <c r="AF50" s="250"/>
      <c r="AG50" s="250"/>
      <c r="AH50" s="250"/>
      <c r="AI50" s="250"/>
      <c r="AJ50" s="250"/>
      <c r="AK50" s="250"/>
      <c r="AL50" s="250"/>
      <c r="AM50" s="250"/>
      <c r="AN50" s="250"/>
      <c r="AO50" s="250"/>
      <c r="AP50" s="250"/>
      <c r="AQ50" s="250"/>
      <c r="AR50" s="250"/>
      <c r="AS50" s="250"/>
      <c r="AT50" s="251"/>
      <c r="AV50" s="301">
        <f t="shared" si="4"/>
        <v>0</v>
      </c>
      <c r="AW50" s="302">
        <f t="shared" si="5"/>
        <v>0</v>
      </c>
      <c r="AX50" s="302">
        <f t="shared" si="6"/>
        <v>0</v>
      </c>
      <c r="AY50" s="302">
        <f t="shared" si="7"/>
        <v>0</v>
      </c>
      <c r="AZ50" s="302">
        <f t="shared" si="8"/>
        <v>0</v>
      </c>
      <c r="BA50" s="302">
        <f t="shared" si="9"/>
        <v>0</v>
      </c>
      <c r="BB50" s="302">
        <f t="shared" si="10"/>
        <v>0</v>
      </c>
      <c r="BC50" s="302">
        <f t="shared" si="11"/>
        <v>0</v>
      </c>
      <c r="BD50" s="302">
        <f t="shared" si="12"/>
        <v>0</v>
      </c>
      <c r="BE50" s="302">
        <f t="shared" si="13"/>
        <v>0</v>
      </c>
      <c r="BF50" s="302">
        <f t="shared" si="14"/>
        <v>0</v>
      </c>
      <c r="BG50" s="302">
        <f t="shared" si="15"/>
        <v>0</v>
      </c>
      <c r="BH50" s="302">
        <f t="shared" si="16"/>
        <v>0</v>
      </c>
      <c r="BI50" s="303">
        <f t="shared" si="17"/>
        <v>0</v>
      </c>
      <c r="BJ50" s="303">
        <f t="shared" si="18"/>
        <v>0</v>
      </c>
      <c r="BK50" s="303">
        <f t="shared" si="19"/>
        <v>0</v>
      </c>
      <c r="BL50" s="303">
        <f t="shared" si="20"/>
        <v>0</v>
      </c>
      <c r="BM50" s="303">
        <f t="shared" si="21"/>
        <v>0</v>
      </c>
      <c r="BN50" s="303">
        <f t="shared" si="22"/>
        <v>0</v>
      </c>
      <c r="BO50" s="303">
        <f t="shared" si="23"/>
        <v>0</v>
      </c>
      <c r="BP50" s="303">
        <f t="shared" si="24"/>
        <v>0</v>
      </c>
      <c r="BQ50" s="254">
        <f t="shared" si="25"/>
        <v>0</v>
      </c>
    </row>
    <row r="51" spans="2:69" x14ac:dyDescent="0.2">
      <c r="B51" s="234"/>
      <c r="C51" s="284"/>
      <c r="D51" s="717"/>
      <c r="E51" s="718"/>
      <c r="F51" s="718"/>
      <c r="G51" s="718"/>
      <c r="H51" s="718"/>
      <c r="I51" s="718"/>
      <c r="J51" s="718"/>
      <c r="K51" s="718"/>
      <c r="L51" s="718"/>
      <c r="M51" s="718"/>
      <c r="N51" s="718"/>
      <c r="O51" s="718"/>
      <c r="P51" s="718"/>
      <c r="Q51" s="718"/>
      <c r="R51" s="718"/>
      <c r="S51" s="718"/>
      <c r="T51" s="718"/>
      <c r="U51" s="718"/>
      <c r="V51" s="718"/>
      <c r="W51" s="718"/>
      <c r="X51" s="719"/>
      <c r="Z51" s="276"/>
      <c r="AA51" s="250"/>
      <c r="AB51" s="250"/>
      <c r="AC51" s="250"/>
      <c r="AD51" s="250"/>
      <c r="AE51" s="250"/>
      <c r="AF51" s="250"/>
      <c r="AG51" s="250"/>
      <c r="AH51" s="250"/>
      <c r="AI51" s="250"/>
      <c r="AJ51" s="250"/>
      <c r="AK51" s="250"/>
      <c r="AL51" s="250"/>
      <c r="AM51" s="250"/>
      <c r="AN51" s="250"/>
      <c r="AO51" s="250"/>
      <c r="AP51" s="250"/>
      <c r="AQ51" s="250"/>
      <c r="AR51" s="250"/>
      <c r="AS51" s="250"/>
      <c r="AT51" s="251"/>
      <c r="AV51" s="301">
        <f t="shared" si="4"/>
        <v>0</v>
      </c>
      <c r="AW51" s="302">
        <f t="shared" si="5"/>
        <v>0</v>
      </c>
      <c r="AX51" s="302">
        <f t="shared" si="6"/>
        <v>0</v>
      </c>
      <c r="AY51" s="302">
        <f t="shared" si="7"/>
        <v>0</v>
      </c>
      <c r="AZ51" s="302">
        <f t="shared" si="8"/>
        <v>0</v>
      </c>
      <c r="BA51" s="302">
        <f t="shared" si="9"/>
        <v>0</v>
      </c>
      <c r="BB51" s="302">
        <f t="shared" si="10"/>
        <v>0</v>
      </c>
      <c r="BC51" s="302">
        <f t="shared" si="11"/>
        <v>0</v>
      </c>
      <c r="BD51" s="302">
        <f t="shared" si="12"/>
        <v>0</v>
      </c>
      <c r="BE51" s="302">
        <f t="shared" si="13"/>
        <v>0</v>
      </c>
      <c r="BF51" s="302">
        <f t="shared" si="14"/>
        <v>0</v>
      </c>
      <c r="BG51" s="302">
        <f t="shared" si="15"/>
        <v>0</v>
      </c>
      <c r="BH51" s="302">
        <f t="shared" si="16"/>
        <v>0</v>
      </c>
      <c r="BI51" s="303">
        <f t="shared" si="17"/>
        <v>0</v>
      </c>
      <c r="BJ51" s="303">
        <f t="shared" si="18"/>
        <v>0</v>
      </c>
      <c r="BK51" s="303">
        <f t="shared" si="19"/>
        <v>0</v>
      </c>
      <c r="BL51" s="303">
        <f t="shared" si="20"/>
        <v>0</v>
      </c>
      <c r="BM51" s="303">
        <f t="shared" si="21"/>
        <v>0</v>
      </c>
      <c r="BN51" s="303">
        <f t="shared" si="22"/>
        <v>0</v>
      </c>
      <c r="BO51" s="303">
        <f t="shared" si="23"/>
        <v>0</v>
      </c>
      <c r="BP51" s="303">
        <f t="shared" si="24"/>
        <v>0</v>
      </c>
      <c r="BQ51" s="254">
        <f t="shared" si="25"/>
        <v>0</v>
      </c>
    </row>
    <row r="52" spans="2:69" x14ac:dyDescent="0.2">
      <c r="B52" s="234"/>
      <c r="C52" s="284"/>
      <c r="D52" s="717"/>
      <c r="E52" s="718"/>
      <c r="F52" s="718"/>
      <c r="G52" s="718"/>
      <c r="H52" s="718"/>
      <c r="I52" s="718"/>
      <c r="J52" s="718"/>
      <c r="K52" s="718"/>
      <c r="L52" s="718"/>
      <c r="M52" s="718"/>
      <c r="N52" s="718"/>
      <c r="O52" s="718"/>
      <c r="P52" s="718"/>
      <c r="Q52" s="718"/>
      <c r="R52" s="718"/>
      <c r="S52" s="718"/>
      <c r="T52" s="718"/>
      <c r="U52" s="718"/>
      <c r="V52" s="718"/>
      <c r="W52" s="718"/>
      <c r="X52" s="719"/>
      <c r="Z52" s="276"/>
      <c r="AA52" s="250"/>
      <c r="AB52" s="250"/>
      <c r="AC52" s="250"/>
      <c r="AD52" s="250"/>
      <c r="AE52" s="250"/>
      <c r="AF52" s="250"/>
      <c r="AG52" s="250"/>
      <c r="AH52" s="250"/>
      <c r="AI52" s="250"/>
      <c r="AJ52" s="250"/>
      <c r="AK52" s="250"/>
      <c r="AL52" s="250"/>
      <c r="AM52" s="250"/>
      <c r="AN52" s="250"/>
      <c r="AO52" s="250"/>
      <c r="AP52" s="250"/>
      <c r="AQ52" s="250"/>
      <c r="AR52" s="250"/>
      <c r="AS52" s="250"/>
      <c r="AT52" s="251"/>
      <c r="AV52" s="301">
        <f t="shared" si="4"/>
        <v>0</v>
      </c>
      <c r="AW52" s="302">
        <f t="shared" si="5"/>
        <v>0</v>
      </c>
      <c r="AX52" s="302">
        <f t="shared" si="6"/>
        <v>0</v>
      </c>
      <c r="AY52" s="302">
        <f t="shared" si="7"/>
        <v>0</v>
      </c>
      <c r="AZ52" s="302">
        <f t="shared" si="8"/>
        <v>0</v>
      </c>
      <c r="BA52" s="302">
        <f t="shared" si="9"/>
        <v>0</v>
      </c>
      <c r="BB52" s="302">
        <f t="shared" si="10"/>
        <v>0</v>
      </c>
      <c r="BC52" s="302">
        <f t="shared" si="11"/>
        <v>0</v>
      </c>
      <c r="BD52" s="302">
        <f t="shared" si="12"/>
        <v>0</v>
      </c>
      <c r="BE52" s="302">
        <f t="shared" si="13"/>
        <v>0</v>
      </c>
      <c r="BF52" s="302">
        <f t="shared" si="14"/>
        <v>0</v>
      </c>
      <c r="BG52" s="302">
        <f t="shared" si="15"/>
        <v>0</v>
      </c>
      <c r="BH52" s="302">
        <f t="shared" si="16"/>
        <v>0</v>
      </c>
      <c r="BI52" s="303">
        <f t="shared" si="17"/>
        <v>0</v>
      </c>
      <c r="BJ52" s="303">
        <f t="shared" si="18"/>
        <v>0</v>
      </c>
      <c r="BK52" s="303">
        <f t="shared" si="19"/>
        <v>0</v>
      </c>
      <c r="BL52" s="303">
        <f t="shared" si="20"/>
        <v>0</v>
      </c>
      <c r="BM52" s="303">
        <f t="shared" si="21"/>
        <v>0</v>
      </c>
      <c r="BN52" s="303">
        <f t="shared" si="22"/>
        <v>0</v>
      </c>
      <c r="BO52" s="303">
        <f t="shared" si="23"/>
        <v>0</v>
      </c>
      <c r="BP52" s="303">
        <f t="shared" si="24"/>
        <v>0</v>
      </c>
      <c r="BQ52" s="254">
        <f t="shared" si="25"/>
        <v>0</v>
      </c>
    </row>
    <row r="53" spans="2:69" x14ac:dyDescent="0.2">
      <c r="B53" s="234"/>
      <c r="C53" s="284"/>
      <c r="D53" s="304"/>
      <c r="E53" s="287"/>
      <c r="F53" s="287"/>
      <c r="G53" s="287"/>
      <c r="H53" s="287"/>
      <c r="I53" s="287"/>
      <c r="J53" s="287"/>
      <c r="K53" s="287"/>
      <c r="L53" s="287"/>
      <c r="M53" s="287"/>
      <c r="N53" s="287"/>
      <c r="O53" s="287"/>
      <c r="P53" s="287"/>
      <c r="Q53" s="287"/>
      <c r="R53" s="287"/>
      <c r="S53" s="287"/>
      <c r="T53" s="287"/>
      <c r="U53" s="287"/>
      <c r="V53" s="287"/>
      <c r="W53" s="287"/>
      <c r="X53" s="288"/>
      <c r="Z53" s="305"/>
      <c r="AA53" s="306"/>
      <c r="AB53" s="306"/>
      <c r="AC53" s="306"/>
      <c r="AD53" s="306"/>
      <c r="AE53" s="306"/>
      <c r="AF53" s="306"/>
      <c r="AG53" s="306"/>
      <c r="AH53" s="306"/>
      <c r="AI53" s="306"/>
      <c r="AJ53" s="306"/>
      <c r="AK53" s="306"/>
      <c r="AL53" s="306"/>
      <c r="AM53" s="306"/>
      <c r="AN53" s="306"/>
      <c r="AO53" s="306"/>
      <c r="AP53" s="306"/>
      <c r="AQ53" s="306"/>
      <c r="AR53" s="306"/>
      <c r="AS53" s="306"/>
      <c r="AT53" s="307"/>
      <c r="AV53" s="301">
        <f t="shared" si="4"/>
        <v>0</v>
      </c>
      <c r="AW53" s="302">
        <f t="shared" si="5"/>
        <v>0</v>
      </c>
      <c r="AX53" s="302">
        <f t="shared" si="6"/>
        <v>0</v>
      </c>
      <c r="AY53" s="302">
        <f t="shared" si="7"/>
        <v>0</v>
      </c>
      <c r="AZ53" s="302">
        <f t="shared" si="8"/>
        <v>0</v>
      </c>
      <c r="BA53" s="302">
        <f t="shared" si="9"/>
        <v>0</v>
      </c>
      <c r="BB53" s="302">
        <f t="shared" si="10"/>
        <v>0</v>
      </c>
      <c r="BC53" s="302">
        <f t="shared" si="11"/>
        <v>0</v>
      </c>
      <c r="BD53" s="302">
        <f t="shared" si="12"/>
        <v>0</v>
      </c>
      <c r="BE53" s="302">
        <f t="shared" si="13"/>
        <v>0</v>
      </c>
      <c r="BF53" s="302">
        <f t="shared" si="14"/>
        <v>0</v>
      </c>
      <c r="BG53" s="302">
        <f t="shared" si="15"/>
        <v>0</v>
      </c>
      <c r="BH53" s="302">
        <f t="shared" si="16"/>
        <v>0</v>
      </c>
      <c r="BI53" s="303">
        <f t="shared" si="17"/>
        <v>0</v>
      </c>
      <c r="BJ53" s="303">
        <f t="shared" si="18"/>
        <v>0</v>
      </c>
      <c r="BK53" s="303">
        <f t="shared" si="19"/>
        <v>0</v>
      </c>
      <c r="BL53" s="303">
        <f t="shared" si="20"/>
        <v>0</v>
      </c>
      <c r="BM53" s="303">
        <f t="shared" si="21"/>
        <v>0</v>
      </c>
      <c r="BN53" s="303">
        <f t="shared" si="22"/>
        <v>0</v>
      </c>
      <c r="BO53" s="303">
        <f t="shared" si="23"/>
        <v>0</v>
      </c>
      <c r="BP53" s="303">
        <f t="shared" si="24"/>
        <v>0</v>
      </c>
      <c r="BQ53" s="254">
        <f t="shared" si="25"/>
        <v>0</v>
      </c>
    </row>
    <row r="54" spans="2:69" x14ac:dyDescent="0.2">
      <c r="B54" s="234"/>
      <c r="C54" s="284"/>
      <c r="D54" s="304"/>
      <c r="E54" s="287"/>
      <c r="F54" s="287"/>
      <c r="G54" s="287"/>
      <c r="H54" s="287"/>
      <c r="I54" s="287"/>
      <c r="J54" s="287"/>
      <c r="K54" s="287"/>
      <c r="L54" s="287"/>
      <c r="M54" s="287"/>
      <c r="N54" s="287"/>
      <c r="O54" s="287"/>
      <c r="P54" s="287"/>
      <c r="Q54" s="287"/>
      <c r="R54" s="287"/>
      <c r="S54" s="287"/>
      <c r="T54" s="287"/>
      <c r="U54" s="287"/>
      <c r="V54" s="287"/>
      <c r="W54" s="287"/>
      <c r="X54" s="288"/>
      <c r="Z54" s="305"/>
      <c r="AA54" s="306"/>
      <c r="AB54" s="306"/>
      <c r="AC54" s="306"/>
      <c r="AD54" s="306"/>
      <c r="AE54" s="306"/>
      <c r="AF54" s="306"/>
      <c r="AG54" s="306"/>
      <c r="AH54" s="306"/>
      <c r="AI54" s="306"/>
      <c r="AJ54" s="306"/>
      <c r="AK54" s="306"/>
      <c r="AL54" s="306"/>
      <c r="AM54" s="306"/>
      <c r="AN54" s="306"/>
      <c r="AO54" s="306"/>
      <c r="AP54" s="306"/>
      <c r="AQ54" s="306"/>
      <c r="AR54" s="306"/>
      <c r="AS54" s="306"/>
      <c r="AT54" s="307"/>
      <c r="AV54" s="301">
        <f t="shared" si="4"/>
        <v>0</v>
      </c>
      <c r="AW54" s="302">
        <f t="shared" si="5"/>
        <v>0</v>
      </c>
      <c r="AX54" s="302">
        <f t="shared" si="6"/>
        <v>0</v>
      </c>
      <c r="AY54" s="302">
        <f t="shared" si="7"/>
        <v>0</v>
      </c>
      <c r="AZ54" s="302">
        <f t="shared" si="8"/>
        <v>0</v>
      </c>
      <c r="BA54" s="302">
        <f t="shared" si="9"/>
        <v>0</v>
      </c>
      <c r="BB54" s="302">
        <f t="shared" si="10"/>
        <v>0</v>
      </c>
      <c r="BC54" s="302">
        <f t="shared" si="11"/>
        <v>0</v>
      </c>
      <c r="BD54" s="302">
        <f t="shared" si="12"/>
        <v>0</v>
      </c>
      <c r="BE54" s="302">
        <f t="shared" si="13"/>
        <v>0</v>
      </c>
      <c r="BF54" s="302">
        <f t="shared" si="14"/>
        <v>0</v>
      </c>
      <c r="BG54" s="302">
        <f t="shared" si="15"/>
        <v>0</v>
      </c>
      <c r="BH54" s="302">
        <f t="shared" si="16"/>
        <v>0</v>
      </c>
      <c r="BI54" s="303">
        <f t="shared" si="17"/>
        <v>0</v>
      </c>
      <c r="BJ54" s="303">
        <f t="shared" si="18"/>
        <v>0</v>
      </c>
      <c r="BK54" s="303">
        <f t="shared" si="19"/>
        <v>0</v>
      </c>
      <c r="BL54" s="303">
        <f t="shared" si="20"/>
        <v>0</v>
      </c>
      <c r="BM54" s="303">
        <f t="shared" si="21"/>
        <v>0</v>
      </c>
      <c r="BN54" s="303">
        <f t="shared" si="22"/>
        <v>0</v>
      </c>
      <c r="BO54" s="303">
        <f t="shared" si="23"/>
        <v>0</v>
      </c>
      <c r="BP54" s="303">
        <f t="shared" si="24"/>
        <v>0</v>
      </c>
      <c r="BQ54" s="254">
        <f t="shared" si="25"/>
        <v>0</v>
      </c>
    </row>
    <row r="55" spans="2:69" x14ac:dyDescent="0.2">
      <c r="B55" s="234"/>
      <c r="C55" s="284"/>
      <c r="D55" s="304"/>
      <c r="E55" s="287"/>
      <c r="F55" s="287"/>
      <c r="G55" s="287"/>
      <c r="H55" s="287"/>
      <c r="I55" s="287"/>
      <c r="J55" s="287"/>
      <c r="K55" s="287"/>
      <c r="L55" s="287"/>
      <c r="M55" s="287"/>
      <c r="N55" s="287"/>
      <c r="O55" s="287"/>
      <c r="P55" s="287"/>
      <c r="Q55" s="287"/>
      <c r="R55" s="287"/>
      <c r="S55" s="287"/>
      <c r="T55" s="287"/>
      <c r="U55" s="287"/>
      <c r="V55" s="287"/>
      <c r="W55" s="287"/>
      <c r="X55" s="288"/>
      <c r="Z55" s="305"/>
      <c r="AA55" s="306"/>
      <c r="AB55" s="306"/>
      <c r="AC55" s="306"/>
      <c r="AD55" s="306"/>
      <c r="AE55" s="306"/>
      <c r="AF55" s="306"/>
      <c r="AG55" s="306"/>
      <c r="AH55" s="306"/>
      <c r="AI55" s="306"/>
      <c r="AJ55" s="306"/>
      <c r="AK55" s="306"/>
      <c r="AL55" s="306"/>
      <c r="AM55" s="306"/>
      <c r="AN55" s="306"/>
      <c r="AO55" s="306"/>
      <c r="AP55" s="306"/>
      <c r="AQ55" s="306"/>
      <c r="AR55" s="306"/>
      <c r="AS55" s="306"/>
      <c r="AT55" s="307"/>
      <c r="AV55" s="301">
        <f t="shared" si="4"/>
        <v>0</v>
      </c>
      <c r="AW55" s="302">
        <f t="shared" si="5"/>
        <v>0</v>
      </c>
      <c r="AX55" s="302">
        <f t="shared" si="6"/>
        <v>0</v>
      </c>
      <c r="AY55" s="302">
        <f t="shared" si="7"/>
        <v>0</v>
      </c>
      <c r="AZ55" s="302">
        <f t="shared" si="8"/>
        <v>0</v>
      </c>
      <c r="BA55" s="302">
        <f t="shared" si="9"/>
        <v>0</v>
      </c>
      <c r="BB55" s="302">
        <f t="shared" si="10"/>
        <v>0</v>
      </c>
      <c r="BC55" s="302">
        <f t="shared" si="11"/>
        <v>0</v>
      </c>
      <c r="BD55" s="302">
        <f t="shared" si="12"/>
        <v>0</v>
      </c>
      <c r="BE55" s="302">
        <f t="shared" si="13"/>
        <v>0</v>
      </c>
      <c r="BF55" s="302">
        <f t="shared" si="14"/>
        <v>0</v>
      </c>
      <c r="BG55" s="302">
        <f t="shared" si="15"/>
        <v>0</v>
      </c>
      <c r="BH55" s="302">
        <f t="shared" si="16"/>
        <v>0</v>
      </c>
      <c r="BI55" s="303">
        <f t="shared" si="17"/>
        <v>0</v>
      </c>
      <c r="BJ55" s="303">
        <f t="shared" si="18"/>
        <v>0</v>
      </c>
      <c r="BK55" s="303">
        <f t="shared" si="19"/>
        <v>0</v>
      </c>
      <c r="BL55" s="303">
        <f t="shared" si="20"/>
        <v>0</v>
      </c>
      <c r="BM55" s="303">
        <f t="shared" si="21"/>
        <v>0</v>
      </c>
      <c r="BN55" s="303">
        <f t="shared" si="22"/>
        <v>0</v>
      </c>
      <c r="BO55" s="303">
        <f t="shared" si="23"/>
        <v>0</v>
      </c>
      <c r="BP55" s="303">
        <f t="shared" si="24"/>
        <v>0</v>
      </c>
      <c r="BQ55" s="254">
        <f t="shared" si="25"/>
        <v>0</v>
      </c>
    </row>
    <row r="56" spans="2:69" x14ac:dyDescent="0.2">
      <c r="B56" s="234"/>
      <c r="C56" s="284"/>
      <c r="D56" s="304"/>
      <c r="E56" s="287"/>
      <c r="F56" s="287"/>
      <c r="G56" s="287"/>
      <c r="H56" s="287"/>
      <c r="I56" s="287"/>
      <c r="J56" s="287"/>
      <c r="K56" s="287"/>
      <c r="L56" s="287"/>
      <c r="M56" s="287"/>
      <c r="N56" s="287"/>
      <c r="O56" s="287"/>
      <c r="P56" s="287"/>
      <c r="Q56" s="287"/>
      <c r="R56" s="287"/>
      <c r="S56" s="287"/>
      <c r="T56" s="287"/>
      <c r="U56" s="287"/>
      <c r="V56" s="287"/>
      <c r="W56" s="287"/>
      <c r="X56" s="288"/>
      <c r="Z56" s="305"/>
      <c r="AA56" s="306"/>
      <c r="AB56" s="306"/>
      <c r="AC56" s="306"/>
      <c r="AD56" s="306"/>
      <c r="AE56" s="306"/>
      <c r="AF56" s="306"/>
      <c r="AG56" s="306"/>
      <c r="AH56" s="306"/>
      <c r="AI56" s="306"/>
      <c r="AJ56" s="306"/>
      <c r="AK56" s="306"/>
      <c r="AL56" s="306"/>
      <c r="AM56" s="306"/>
      <c r="AN56" s="306"/>
      <c r="AO56" s="306"/>
      <c r="AP56" s="306"/>
      <c r="AQ56" s="306"/>
      <c r="AR56" s="306"/>
      <c r="AS56" s="306"/>
      <c r="AT56" s="307"/>
      <c r="AV56" s="301">
        <f t="shared" si="4"/>
        <v>0</v>
      </c>
      <c r="AW56" s="302">
        <f t="shared" si="5"/>
        <v>0</v>
      </c>
      <c r="AX56" s="302">
        <f t="shared" si="6"/>
        <v>0</v>
      </c>
      <c r="AY56" s="302">
        <f t="shared" si="7"/>
        <v>0</v>
      </c>
      <c r="AZ56" s="302">
        <f t="shared" si="8"/>
        <v>0</v>
      </c>
      <c r="BA56" s="302">
        <f t="shared" si="9"/>
        <v>0</v>
      </c>
      <c r="BB56" s="302">
        <f t="shared" si="10"/>
        <v>0</v>
      </c>
      <c r="BC56" s="302">
        <f t="shared" si="11"/>
        <v>0</v>
      </c>
      <c r="BD56" s="302">
        <f t="shared" si="12"/>
        <v>0</v>
      </c>
      <c r="BE56" s="302">
        <f t="shared" si="13"/>
        <v>0</v>
      </c>
      <c r="BF56" s="302">
        <f t="shared" si="14"/>
        <v>0</v>
      </c>
      <c r="BG56" s="302">
        <f t="shared" si="15"/>
        <v>0</v>
      </c>
      <c r="BH56" s="302">
        <f t="shared" si="16"/>
        <v>0</v>
      </c>
      <c r="BI56" s="303">
        <f t="shared" si="17"/>
        <v>0</v>
      </c>
      <c r="BJ56" s="303">
        <f t="shared" si="18"/>
        <v>0</v>
      </c>
      <c r="BK56" s="303">
        <f t="shared" si="19"/>
        <v>0</v>
      </c>
      <c r="BL56" s="303">
        <f t="shared" si="20"/>
        <v>0</v>
      </c>
      <c r="BM56" s="303">
        <f t="shared" si="21"/>
        <v>0</v>
      </c>
      <c r="BN56" s="303">
        <f t="shared" si="22"/>
        <v>0</v>
      </c>
      <c r="BO56" s="303">
        <f t="shared" si="23"/>
        <v>0</v>
      </c>
      <c r="BP56" s="303">
        <f t="shared" si="24"/>
        <v>0</v>
      </c>
      <c r="BQ56" s="254">
        <f t="shared" si="25"/>
        <v>0</v>
      </c>
    </row>
    <row r="57" spans="2:69" x14ac:dyDescent="0.2">
      <c r="B57" s="234"/>
      <c r="C57" s="284"/>
      <c r="D57" s="304"/>
      <c r="E57" s="287"/>
      <c r="F57" s="287"/>
      <c r="G57" s="287"/>
      <c r="H57" s="287"/>
      <c r="I57" s="287"/>
      <c r="J57" s="287"/>
      <c r="K57" s="287"/>
      <c r="L57" s="287"/>
      <c r="M57" s="287"/>
      <c r="N57" s="287"/>
      <c r="O57" s="287"/>
      <c r="P57" s="287"/>
      <c r="Q57" s="287"/>
      <c r="R57" s="287"/>
      <c r="S57" s="287"/>
      <c r="T57" s="287"/>
      <c r="U57" s="287"/>
      <c r="V57" s="287"/>
      <c r="W57" s="287"/>
      <c r="X57" s="288"/>
      <c r="Z57" s="305"/>
      <c r="AA57" s="306"/>
      <c r="AB57" s="306"/>
      <c r="AC57" s="306"/>
      <c r="AD57" s="306"/>
      <c r="AE57" s="306"/>
      <c r="AF57" s="306"/>
      <c r="AG57" s="306"/>
      <c r="AH57" s="306"/>
      <c r="AI57" s="306"/>
      <c r="AJ57" s="306"/>
      <c r="AK57" s="306"/>
      <c r="AL57" s="306"/>
      <c r="AM57" s="306"/>
      <c r="AN57" s="306"/>
      <c r="AO57" s="306"/>
      <c r="AP57" s="306"/>
      <c r="AQ57" s="306"/>
      <c r="AR57" s="306"/>
      <c r="AS57" s="306"/>
      <c r="AT57" s="307"/>
      <c r="AV57" s="301">
        <f t="shared" si="4"/>
        <v>0</v>
      </c>
      <c r="AW57" s="302">
        <f t="shared" si="5"/>
        <v>0</v>
      </c>
      <c r="AX57" s="302">
        <f t="shared" si="6"/>
        <v>0</v>
      </c>
      <c r="AY57" s="302">
        <f t="shared" si="7"/>
        <v>0</v>
      </c>
      <c r="AZ57" s="302">
        <f t="shared" si="8"/>
        <v>0</v>
      </c>
      <c r="BA57" s="302">
        <f t="shared" si="9"/>
        <v>0</v>
      </c>
      <c r="BB57" s="302">
        <f t="shared" si="10"/>
        <v>0</v>
      </c>
      <c r="BC57" s="302">
        <f t="shared" si="11"/>
        <v>0</v>
      </c>
      <c r="BD57" s="302">
        <f t="shared" si="12"/>
        <v>0</v>
      </c>
      <c r="BE57" s="302">
        <f t="shared" si="13"/>
        <v>0</v>
      </c>
      <c r="BF57" s="302">
        <f t="shared" si="14"/>
        <v>0</v>
      </c>
      <c r="BG57" s="302">
        <f t="shared" si="15"/>
        <v>0</v>
      </c>
      <c r="BH57" s="302">
        <f t="shared" si="16"/>
        <v>0</v>
      </c>
      <c r="BI57" s="303">
        <f t="shared" si="17"/>
        <v>0</v>
      </c>
      <c r="BJ57" s="303">
        <f t="shared" si="18"/>
        <v>0</v>
      </c>
      <c r="BK57" s="303">
        <f t="shared" si="19"/>
        <v>0</v>
      </c>
      <c r="BL57" s="303">
        <f t="shared" si="20"/>
        <v>0</v>
      </c>
      <c r="BM57" s="303">
        <f t="shared" si="21"/>
        <v>0</v>
      </c>
      <c r="BN57" s="303">
        <f t="shared" si="22"/>
        <v>0</v>
      </c>
      <c r="BO57" s="303">
        <f t="shared" si="23"/>
        <v>0</v>
      </c>
      <c r="BP57" s="303">
        <f t="shared" si="24"/>
        <v>0</v>
      </c>
      <c r="BQ57" s="254">
        <f t="shared" si="25"/>
        <v>0</v>
      </c>
    </row>
    <row r="58" spans="2:69" x14ac:dyDescent="0.2">
      <c r="B58" s="234"/>
      <c r="C58" s="284"/>
      <c r="D58" s="304"/>
      <c r="E58" s="287"/>
      <c r="F58" s="287"/>
      <c r="G58" s="287"/>
      <c r="H58" s="287"/>
      <c r="I58" s="287"/>
      <c r="J58" s="287"/>
      <c r="K58" s="287"/>
      <c r="L58" s="287"/>
      <c r="M58" s="287"/>
      <c r="N58" s="287"/>
      <c r="O58" s="287"/>
      <c r="P58" s="287"/>
      <c r="Q58" s="287"/>
      <c r="R58" s="287"/>
      <c r="S58" s="287"/>
      <c r="T58" s="287"/>
      <c r="U58" s="287"/>
      <c r="V58" s="287"/>
      <c r="W58" s="287"/>
      <c r="X58" s="288"/>
      <c r="Z58" s="305"/>
      <c r="AA58" s="306"/>
      <c r="AB58" s="306"/>
      <c r="AC58" s="306"/>
      <c r="AD58" s="306"/>
      <c r="AE58" s="306"/>
      <c r="AF58" s="306"/>
      <c r="AG58" s="306"/>
      <c r="AH58" s="306"/>
      <c r="AI58" s="306"/>
      <c r="AJ58" s="306"/>
      <c r="AK58" s="306"/>
      <c r="AL58" s="306"/>
      <c r="AM58" s="306"/>
      <c r="AN58" s="306"/>
      <c r="AO58" s="306"/>
      <c r="AP58" s="306"/>
      <c r="AQ58" s="306"/>
      <c r="AR58" s="306"/>
      <c r="AS58" s="306"/>
      <c r="AT58" s="307"/>
      <c r="AV58" s="301">
        <f t="shared" si="4"/>
        <v>0</v>
      </c>
      <c r="AW58" s="302">
        <f t="shared" si="5"/>
        <v>0</v>
      </c>
      <c r="AX58" s="302">
        <f t="shared" si="6"/>
        <v>0</v>
      </c>
      <c r="AY58" s="302">
        <f t="shared" si="7"/>
        <v>0</v>
      </c>
      <c r="AZ58" s="302">
        <f t="shared" si="8"/>
        <v>0</v>
      </c>
      <c r="BA58" s="302">
        <f t="shared" si="9"/>
        <v>0</v>
      </c>
      <c r="BB58" s="302">
        <f t="shared" si="10"/>
        <v>0</v>
      </c>
      <c r="BC58" s="302">
        <f t="shared" si="11"/>
        <v>0</v>
      </c>
      <c r="BD58" s="302">
        <f t="shared" si="12"/>
        <v>0</v>
      </c>
      <c r="BE58" s="302">
        <f t="shared" si="13"/>
        <v>0</v>
      </c>
      <c r="BF58" s="302">
        <f t="shared" si="14"/>
        <v>0</v>
      </c>
      <c r="BG58" s="302">
        <f t="shared" si="15"/>
        <v>0</v>
      </c>
      <c r="BH58" s="302">
        <f t="shared" si="16"/>
        <v>0</v>
      </c>
      <c r="BI58" s="303">
        <f t="shared" si="17"/>
        <v>0</v>
      </c>
      <c r="BJ58" s="303">
        <f t="shared" si="18"/>
        <v>0</v>
      </c>
      <c r="BK58" s="303">
        <f t="shared" si="19"/>
        <v>0</v>
      </c>
      <c r="BL58" s="303">
        <f t="shared" si="20"/>
        <v>0</v>
      </c>
      <c r="BM58" s="303">
        <f t="shared" si="21"/>
        <v>0</v>
      </c>
      <c r="BN58" s="303">
        <f t="shared" si="22"/>
        <v>0</v>
      </c>
      <c r="BO58" s="303">
        <f t="shared" si="23"/>
        <v>0</v>
      </c>
      <c r="BP58" s="303">
        <f t="shared" si="24"/>
        <v>0</v>
      </c>
      <c r="BQ58" s="254">
        <f t="shared" si="25"/>
        <v>0</v>
      </c>
    </row>
    <row r="59" spans="2:69" x14ac:dyDescent="0.2">
      <c r="B59" s="234"/>
      <c r="C59" s="284"/>
      <c r="D59" s="304"/>
      <c r="E59" s="287"/>
      <c r="F59" s="287"/>
      <c r="G59" s="287"/>
      <c r="H59" s="287"/>
      <c r="I59" s="287"/>
      <c r="J59" s="287"/>
      <c r="K59" s="287"/>
      <c r="L59" s="287"/>
      <c r="M59" s="287"/>
      <c r="N59" s="287"/>
      <c r="O59" s="287"/>
      <c r="P59" s="287"/>
      <c r="Q59" s="287"/>
      <c r="R59" s="287"/>
      <c r="S59" s="287"/>
      <c r="T59" s="287"/>
      <c r="U59" s="287"/>
      <c r="V59" s="287"/>
      <c r="W59" s="287"/>
      <c r="X59" s="288"/>
      <c r="Z59" s="305"/>
      <c r="AA59" s="306"/>
      <c r="AB59" s="306"/>
      <c r="AC59" s="306"/>
      <c r="AD59" s="306"/>
      <c r="AE59" s="306"/>
      <c r="AF59" s="306"/>
      <c r="AG59" s="306"/>
      <c r="AH59" s="306"/>
      <c r="AI59" s="306"/>
      <c r="AJ59" s="306"/>
      <c r="AK59" s="306"/>
      <c r="AL59" s="306"/>
      <c r="AM59" s="306"/>
      <c r="AN59" s="306"/>
      <c r="AO59" s="306"/>
      <c r="AP59" s="306"/>
      <c r="AQ59" s="306"/>
      <c r="AR59" s="306"/>
      <c r="AS59" s="306"/>
      <c r="AT59" s="307"/>
      <c r="AV59" s="301">
        <f t="shared" si="4"/>
        <v>0</v>
      </c>
      <c r="AW59" s="302">
        <f t="shared" si="5"/>
        <v>0</v>
      </c>
      <c r="AX59" s="302">
        <f t="shared" si="6"/>
        <v>0</v>
      </c>
      <c r="AY59" s="302">
        <f t="shared" si="7"/>
        <v>0</v>
      </c>
      <c r="AZ59" s="302">
        <f t="shared" si="8"/>
        <v>0</v>
      </c>
      <c r="BA59" s="302">
        <f t="shared" si="9"/>
        <v>0</v>
      </c>
      <c r="BB59" s="302">
        <f t="shared" si="10"/>
        <v>0</v>
      </c>
      <c r="BC59" s="302">
        <f t="shared" si="11"/>
        <v>0</v>
      </c>
      <c r="BD59" s="302">
        <f t="shared" si="12"/>
        <v>0</v>
      </c>
      <c r="BE59" s="302">
        <f t="shared" si="13"/>
        <v>0</v>
      </c>
      <c r="BF59" s="302">
        <f t="shared" si="14"/>
        <v>0</v>
      </c>
      <c r="BG59" s="302">
        <f t="shared" si="15"/>
        <v>0</v>
      </c>
      <c r="BH59" s="302">
        <f t="shared" si="16"/>
        <v>0</v>
      </c>
      <c r="BI59" s="303">
        <f t="shared" si="17"/>
        <v>0</v>
      </c>
      <c r="BJ59" s="303">
        <f t="shared" si="18"/>
        <v>0</v>
      </c>
      <c r="BK59" s="303">
        <f t="shared" si="19"/>
        <v>0</v>
      </c>
      <c r="BL59" s="303">
        <f t="shared" si="20"/>
        <v>0</v>
      </c>
      <c r="BM59" s="303">
        <f t="shared" si="21"/>
        <v>0</v>
      </c>
      <c r="BN59" s="303">
        <f t="shared" si="22"/>
        <v>0</v>
      </c>
      <c r="BO59" s="303">
        <f t="shared" si="23"/>
        <v>0</v>
      </c>
      <c r="BP59" s="303">
        <f t="shared" si="24"/>
        <v>0</v>
      </c>
      <c r="BQ59" s="254">
        <f t="shared" si="25"/>
        <v>0</v>
      </c>
    </row>
    <row r="60" spans="2:69" x14ac:dyDescent="0.2">
      <c r="B60" s="234"/>
      <c r="C60" s="284"/>
      <c r="D60" s="304"/>
      <c r="E60" s="287"/>
      <c r="F60" s="287"/>
      <c r="G60" s="287"/>
      <c r="H60" s="287"/>
      <c r="I60" s="287"/>
      <c r="J60" s="287"/>
      <c r="K60" s="287"/>
      <c r="L60" s="287"/>
      <c r="M60" s="287"/>
      <c r="N60" s="287"/>
      <c r="O60" s="287"/>
      <c r="P60" s="287"/>
      <c r="Q60" s="287"/>
      <c r="R60" s="287"/>
      <c r="S60" s="287"/>
      <c r="T60" s="287"/>
      <c r="U60" s="287"/>
      <c r="V60" s="287"/>
      <c r="W60" s="287"/>
      <c r="X60" s="288"/>
      <c r="Z60" s="305"/>
      <c r="AA60" s="306"/>
      <c r="AB60" s="306"/>
      <c r="AC60" s="306"/>
      <c r="AD60" s="306"/>
      <c r="AE60" s="306"/>
      <c r="AF60" s="306"/>
      <c r="AG60" s="306"/>
      <c r="AH60" s="306"/>
      <c r="AI60" s="306"/>
      <c r="AJ60" s="306"/>
      <c r="AK60" s="306"/>
      <c r="AL60" s="306"/>
      <c r="AM60" s="306"/>
      <c r="AN60" s="306"/>
      <c r="AO60" s="306"/>
      <c r="AP60" s="306"/>
      <c r="AQ60" s="306"/>
      <c r="AR60" s="306"/>
      <c r="AS60" s="306"/>
      <c r="AT60" s="307"/>
      <c r="AV60" s="301">
        <f t="shared" si="4"/>
        <v>0</v>
      </c>
      <c r="AW60" s="302">
        <f t="shared" si="5"/>
        <v>0</v>
      </c>
      <c r="AX60" s="302">
        <f t="shared" si="6"/>
        <v>0</v>
      </c>
      <c r="AY60" s="302">
        <f t="shared" si="7"/>
        <v>0</v>
      </c>
      <c r="AZ60" s="302">
        <f t="shared" si="8"/>
        <v>0</v>
      </c>
      <c r="BA60" s="302">
        <f t="shared" si="9"/>
        <v>0</v>
      </c>
      <c r="BB60" s="302">
        <f t="shared" si="10"/>
        <v>0</v>
      </c>
      <c r="BC60" s="302">
        <f t="shared" si="11"/>
        <v>0</v>
      </c>
      <c r="BD60" s="302">
        <f t="shared" si="12"/>
        <v>0</v>
      </c>
      <c r="BE60" s="302">
        <f t="shared" si="13"/>
        <v>0</v>
      </c>
      <c r="BF60" s="302">
        <f t="shared" si="14"/>
        <v>0</v>
      </c>
      <c r="BG60" s="302">
        <f t="shared" si="15"/>
        <v>0</v>
      </c>
      <c r="BH60" s="302">
        <f t="shared" si="16"/>
        <v>0</v>
      </c>
      <c r="BI60" s="303">
        <f t="shared" si="17"/>
        <v>0</v>
      </c>
      <c r="BJ60" s="303">
        <f t="shared" si="18"/>
        <v>0</v>
      </c>
      <c r="BK60" s="303">
        <f t="shared" si="19"/>
        <v>0</v>
      </c>
      <c r="BL60" s="303">
        <f t="shared" si="20"/>
        <v>0</v>
      </c>
      <c r="BM60" s="303">
        <f t="shared" si="21"/>
        <v>0</v>
      </c>
      <c r="BN60" s="303">
        <f t="shared" si="22"/>
        <v>0</v>
      </c>
      <c r="BO60" s="303">
        <f t="shared" si="23"/>
        <v>0</v>
      </c>
      <c r="BP60" s="303">
        <f t="shared" si="24"/>
        <v>0</v>
      </c>
      <c r="BQ60" s="254">
        <f t="shared" si="25"/>
        <v>0</v>
      </c>
    </row>
    <row r="61" spans="2:69" x14ac:dyDescent="0.2">
      <c r="B61" s="234"/>
      <c r="C61" s="284"/>
      <c r="D61" s="304"/>
      <c r="E61" s="287"/>
      <c r="F61" s="287"/>
      <c r="G61" s="287"/>
      <c r="H61" s="287"/>
      <c r="I61" s="287"/>
      <c r="J61" s="287"/>
      <c r="K61" s="287"/>
      <c r="L61" s="287"/>
      <c r="M61" s="287"/>
      <c r="N61" s="287"/>
      <c r="O61" s="287"/>
      <c r="P61" s="287"/>
      <c r="Q61" s="287"/>
      <c r="R61" s="287"/>
      <c r="S61" s="287"/>
      <c r="T61" s="287"/>
      <c r="U61" s="287"/>
      <c r="V61" s="287"/>
      <c r="W61" s="287"/>
      <c r="X61" s="288"/>
      <c r="Z61" s="305"/>
      <c r="AA61" s="306"/>
      <c r="AB61" s="306"/>
      <c r="AC61" s="306"/>
      <c r="AD61" s="306"/>
      <c r="AE61" s="306"/>
      <c r="AF61" s="306"/>
      <c r="AG61" s="306"/>
      <c r="AH61" s="306"/>
      <c r="AI61" s="306"/>
      <c r="AJ61" s="306"/>
      <c r="AK61" s="306"/>
      <c r="AL61" s="306"/>
      <c r="AM61" s="306"/>
      <c r="AN61" s="306"/>
      <c r="AO61" s="306"/>
      <c r="AP61" s="306"/>
      <c r="AQ61" s="306"/>
      <c r="AR61" s="306"/>
      <c r="AS61" s="306"/>
      <c r="AT61" s="307"/>
      <c r="AV61" s="301">
        <f t="shared" si="4"/>
        <v>0</v>
      </c>
      <c r="AW61" s="302">
        <f t="shared" si="5"/>
        <v>0</v>
      </c>
      <c r="AX61" s="302">
        <f t="shared" si="6"/>
        <v>0</v>
      </c>
      <c r="AY61" s="302">
        <f t="shared" si="7"/>
        <v>0</v>
      </c>
      <c r="AZ61" s="302">
        <f t="shared" si="8"/>
        <v>0</v>
      </c>
      <c r="BA61" s="302">
        <f t="shared" si="9"/>
        <v>0</v>
      </c>
      <c r="BB61" s="302">
        <f t="shared" si="10"/>
        <v>0</v>
      </c>
      <c r="BC61" s="302">
        <f t="shared" si="11"/>
        <v>0</v>
      </c>
      <c r="BD61" s="302">
        <f t="shared" si="12"/>
        <v>0</v>
      </c>
      <c r="BE61" s="302">
        <f t="shared" si="13"/>
        <v>0</v>
      </c>
      <c r="BF61" s="302">
        <f t="shared" si="14"/>
        <v>0</v>
      </c>
      <c r="BG61" s="302">
        <f t="shared" si="15"/>
        <v>0</v>
      </c>
      <c r="BH61" s="302">
        <f t="shared" si="16"/>
        <v>0</v>
      </c>
      <c r="BI61" s="303">
        <f t="shared" si="17"/>
        <v>0</v>
      </c>
      <c r="BJ61" s="303">
        <f t="shared" si="18"/>
        <v>0</v>
      </c>
      <c r="BK61" s="303">
        <f t="shared" si="19"/>
        <v>0</v>
      </c>
      <c r="BL61" s="303">
        <f t="shared" si="20"/>
        <v>0</v>
      </c>
      <c r="BM61" s="303">
        <f t="shared" si="21"/>
        <v>0</v>
      </c>
      <c r="BN61" s="303">
        <f t="shared" si="22"/>
        <v>0</v>
      </c>
      <c r="BO61" s="303">
        <f t="shared" si="23"/>
        <v>0</v>
      </c>
      <c r="BP61" s="303">
        <f t="shared" si="24"/>
        <v>0</v>
      </c>
      <c r="BQ61" s="254">
        <f t="shared" si="25"/>
        <v>0</v>
      </c>
    </row>
    <row r="62" spans="2:69" x14ac:dyDescent="0.2">
      <c r="B62" s="234"/>
      <c r="C62" s="284"/>
      <c r="D62" s="304"/>
      <c r="E62" s="287"/>
      <c r="F62" s="287"/>
      <c r="G62" s="287"/>
      <c r="H62" s="287"/>
      <c r="I62" s="287"/>
      <c r="J62" s="287"/>
      <c r="K62" s="287"/>
      <c r="L62" s="287"/>
      <c r="M62" s="287"/>
      <c r="N62" s="287"/>
      <c r="O62" s="287"/>
      <c r="P62" s="287"/>
      <c r="Q62" s="287"/>
      <c r="R62" s="287"/>
      <c r="S62" s="287"/>
      <c r="T62" s="287"/>
      <c r="U62" s="287"/>
      <c r="V62" s="287"/>
      <c r="W62" s="287"/>
      <c r="X62" s="288"/>
      <c r="Z62" s="305"/>
      <c r="AA62" s="306"/>
      <c r="AB62" s="306"/>
      <c r="AC62" s="306"/>
      <c r="AD62" s="306"/>
      <c r="AE62" s="306"/>
      <c r="AF62" s="306"/>
      <c r="AG62" s="306"/>
      <c r="AH62" s="306"/>
      <c r="AI62" s="306"/>
      <c r="AJ62" s="306"/>
      <c r="AK62" s="306"/>
      <c r="AL62" s="306"/>
      <c r="AM62" s="306"/>
      <c r="AN62" s="306"/>
      <c r="AO62" s="306"/>
      <c r="AP62" s="306"/>
      <c r="AQ62" s="306"/>
      <c r="AR62" s="306"/>
      <c r="AS62" s="306"/>
      <c r="AT62" s="307"/>
      <c r="AV62" s="301">
        <f t="shared" si="4"/>
        <v>0</v>
      </c>
      <c r="AW62" s="302">
        <f t="shared" si="5"/>
        <v>0</v>
      </c>
      <c r="AX62" s="302">
        <f t="shared" si="6"/>
        <v>0</v>
      </c>
      <c r="AY62" s="302">
        <f t="shared" si="7"/>
        <v>0</v>
      </c>
      <c r="AZ62" s="302">
        <f t="shared" si="8"/>
        <v>0</v>
      </c>
      <c r="BA62" s="302">
        <f t="shared" si="9"/>
        <v>0</v>
      </c>
      <c r="BB62" s="302">
        <f t="shared" si="10"/>
        <v>0</v>
      </c>
      <c r="BC62" s="302">
        <f t="shared" si="11"/>
        <v>0</v>
      </c>
      <c r="BD62" s="302">
        <f t="shared" si="12"/>
        <v>0</v>
      </c>
      <c r="BE62" s="302">
        <f t="shared" si="13"/>
        <v>0</v>
      </c>
      <c r="BF62" s="302">
        <f t="shared" si="14"/>
        <v>0</v>
      </c>
      <c r="BG62" s="302">
        <f t="shared" si="15"/>
        <v>0</v>
      </c>
      <c r="BH62" s="302">
        <f t="shared" si="16"/>
        <v>0</v>
      </c>
      <c r="BI62" s="303">
        <f t="shared" si="17"/>
        <v>0</v>
      </c>
      <c r="BJ62" s="303">
        <f t="shared" si="18"/>
        <v>0</v>
      </c>
      <c r="BK62" s="303">
        <f t="shared" si="19"/>
        <v>0</v>
      </c>
      <c r="BL62" s="303">
        <f t="shared" si="20"/>
        <v>0</v>
      </c>
      <c r="BM62" s="303">
        <f t="shared" si="21"/>
        <v>0</v>
      </c>
      <c r="BN62" s="303">
        <f t="shared" si="22"/>
        <v>0</v>
      </c>
      <c r="BO62" s="303">
        <f t="shared" si="23"/>
        <v>0</v>
      </c>
      <c r="BP62" s="303">
        <f t="shared" si="24"/>
        <v>0</v>
      </c>
      <c r="BQ62" s="254">
        <f t="shared" si="25"/>
        <v>0</v>
      </c>
    </row>
    <row r="63" spans="2:69" x14ac:dyDescent="0.2">
      <c r="B63" s="234"/>
      <c r="C63" s="284"/>
      <c r="D63" s="304"/>
      <c r="E63" s="287"/>
      <c r="F63" s="287"/>
      <c r="G63" s="287"/>
      <c r="H63" s="287"/>
      <c r="I63" s="287"/>
      <c r="J63" s="287"/>
      <c r="K63" s="287"/>
      <c r="L63" s="287"/>
      <c r="M63" s="287"/>
      <c r="N63" s="287"/>
      <c r="O63" s="287"/>
      <c r="P63" s="287"/>
      <c r="Q63" s="287"/>
      <c r="R63" s="287"/>
      <c r="S63" s="287"/>
      <c r="T63" s="287"/>
      <c r="U63" s="287"/>
      <c r="V63" s="287"/>
      <c r="W63" s="287"/>
      <c r="X63" s="288"/>
      <c r="Z63" s="305"/>
      <c r="AA63" s="306"/>
      <c r="AB63" s="306"/>
      <c r="AC63" s="306"/>
      <c r="AD63" s="306"/>
      <c r="AE63" s="306"/>
      <c r="AF63" s="306"/>
      <c r="AG63" s="306"/>
      <c r="AH63" s="306"/>
      <c r="AI63" s="306"/>
      <c r="AJ63" s="306"/>
      <c r="AK63" s="306"/>
      <c r="AL63" s="306"/>
      <c r="AM63" s="306"/>
      <c r="AN63" s="306"/>
      <c r="AO63" s="306"/>
      <c r="AP63" s="306"/>
      <c r="AQ63" s="306"/>
      <c r="AR63" s="306"/>
      <c r="AS63" s="306"/>
      <c r="AT63" s="307"/>
      <c r="AV63" s="301">
        <f t="shared" si="4"/>
        <v>0</v>
      </c>
      <c r="AW63" s="302">
        <f t="shared" si="5"/>
        <v>0</v>
      </c>
      <c r="AX63" s="302">
        <f t="shared" si="6"/>
        <v>0</v>
      </c>
      <c r="AY63" s="302">
        <f t="shared" si="7"/>
        <v>0</v>
      </c>
      <c r="AZ63" s="302">
        <f t="shared" si="8"/>
        <v>0</v>
      </c>
      <c r="BA63" s="302">
        <f t="shared" si="9"/>
        <v>0</v>
      </c>
      <c r="BB63" s="302">
        <f t="shared" si="10"/>
        <v>0</v>
      </c>
      <c r="BC63" s="302">
        <f t="shared" si="11"/>
        <v>0</v>
      </c>
      <c r="BD63" s="302">
        <f t="shared" si="12"/>
        <v>0</v>
      </c>
      <c r="BE63" s="302">
        <f t="shared" si="13"/>
        <v>0</v>
      </c>
      <c r="BF63" s="302">
        <f t="shared" si="14"/>
        <v>0</v>
      </c>
      <c r="BG63" s="302">
        <f t="shared" si="15"/>
        <v>0</v>
      </c>
      <c r="BH63" s="302">
        <f t="shared" si="16"/>
        <v>0</v>
      </c>
      <c r="BI63" s="303">
        <f t="shared" si="17"/>
        <v>0</v>
      </c>
      <c r="BJ63" s="303">
        <f t="shared" si="18"/>
        <v>0</v>
      </c>
      <c r="BK63" s="303">
        <f t="shared" si="19"/>
        <v>0</v>
      </c>
      <c r="BL63" s="303">
        <f t="shared" si="20"/>
        <v>0</v>
      </c>
      <c r="BM63" s="303">
        <f t="shared" si="21"/>
        <v>0</v>
      </c>
      <c r="BN63" s="303">
        <f t="shared" si="22"/>
        <v>0</v>
      </c>
      <c r="BO63" s="303">
        <f t="shared" si="23"/>
        <v>0</v>
      </c>
      <c r="BP63" s="303">
        <f t="shared" si="24"/>
        <v>0</v>
      </c>
      <c r="BQ63" s="254">
        <f t="shared" si="25"/>
        <v>0</v>
      </c>
    </row>
    <row r="64" spans="2:69" x14ac:dyDescent="0.2">
      <c r="B64" s="234"/>
      <c r="C64" s="284"/>
      <c r="D64" s="304"/>
      <c r="E64" s="287"/>
      <c r="F64" s="287"/>
      <c r="G64" s="287"/>
      <c r="H64" s="287"/>
      <c r="I64" s="287"/>
      <c r="J64" s="287"/>
      <c r="K64" s="287"/>
      <c r="L64" s="287"/>
      <c r="M64" s="287"/>
      <c r="N64" s="287"/>
      <c r="O64" s="287"/>
      <c r="P64" s="287"/>
      <c r="Q64" s="287"/>
      <c r="R64" s="287"/>
      <c r="S64" s="287"/>
      <c r="T64" s="287"/>
      <c r="U64" s="287"/>
      <c r="V64" s="287"/>
      <c r="W64" s="287"/>
      <c r="X64" s="288"/>
      <c r="Z64" s="305"/>
      <c r="AA64" s="306"/>
      <c r="AB64" s="306"/>
      <c r="AC64" s="306"/>
      <c r="AD64" s="306"/>
      <c r="AE64" s="306"/>
      <c r="AF64" s="306"/>
      <c r="AG64" s="306"/>
      <c r="AH64" s="306"/>
      <c r="AI64" s="306"/>
      <c r="AJ64" s="306"/>
      <c r="AK64" s="306"/>
      <c r="AL64" s="306"/>
      <c r="AM64" s="306"/>
      <c r="AN64" s="306"/>
      <c r="AO64" s="306"/>
      <c r="AP64" s="306"/>
      <c r="AQ64" s="306"/>
      <c r="AR64" s="306"/>
      <c r="AS64" s="306"/>
      <c r="AT64" s="307"/>
      <c r="AV64" s="301">
        <f t="shared" si="4"/>
        <v>0</v>
      </c>
      <c r="AW64" s="302">
        <f t="shared" si="5"/>
        <v>0</v>
      </c>
      <c r="AX64" s="302">
        <f t="shared" si="6"/>
        <v>0</v>
      </c>
      <c r="AY64" s="302">
        <f t="shared" si="7"/>
        <v>0</v>
      </c>
      <c r="AZ64" s="302">
        <f t="shared" si="8"/>
        <v>0</v>
      </c>
      <c r="BA64" s="302">
        <f t="shared" si="9"/>
        <v>0</v>
      </c>
      <c r="BB64" s="302">
        <f t="shared" si="10"/>
        <v>0</v>
      </c>
      <c r="BC64" s="302">
        <f t="shared" si="11"/>
        <v>0</v>
      </c>
      <c r="BD64" s="302">
        <f t="shared" si="12"/>
        <v>0</v>
      </c>
      <c r="BE64" s="302">
        <f t="shared" si="13"/>
        <v>0</v>
      </c>
      <c r="BF64" s="302">
        <f t="shared" si="14"/>
        <v>0</v>
      </c>
      <c r="BG64" s="302">
        <f t="shared" si="15"/>
        <v>0</v>
      </c>
      <c r="BH64" s="302">
        <f t="shared" si="16"/>
        <v>0</v>
      </c>
      <c r="BI64" s="303">
        <f t="shared" si="17"/>
        <v>0</v>
      </c>
      <c r="BJ64" s="303">
        <f t="shared" si="18"/>
        <v>0</v>
      </c>
      <c r="BK64" s="303">
        <f t="shared" si="19"/>
        <v>0</v>
      </c>
      <c r="BL64" s="303">
        <f t="shared" si="20"/>
        <v>0</v>
      </c>
      <c r="BM64" s="303">
        <f t="shared" si="21"/>
        <v>0</v>
      </c>
      <c r="BN64" s="303">
        <f t="shared" si="22"/>
        <v>0</v>
      </c>
      <c r="BO64" s="303">
        <f t="shared" si="23"/>
        <v>0</v>
      </c>
      <c r="BP64" s="303">
        <f t="shared" si="24"/>
        <v>0</v>
      </c>
      <c r="BQ64" s="254">
        <f t="shared" si="25"/>
        <v>0</v>
      </c>
    </row>
    <row r="65" spans="2:69" ht="13.5" thickBot="1" x14ac:dyDescent="0.25">
      <c r="B65" s="259"/>
      <c r="C65" s="289"/>
      <c r="D65" s="308"/>
      <c r="E65" s="292"/>
      <c r="F65" s="292"/>
      <c r="G65" s="292"/>
      <c r="H65" s="292"/>
      <c r="I65" s="292"/>
      <c r="J65" s="292"/>
      <c r="K65" s="292"/>
      <c r="L65" s="292"/>
      <c r="M65" s="292"/>
      <c r="N65" s="292"/>
      <c r="O65" s="292"/>
      <c r="P65" s="292"/>
      <c r="Q65" s="292"/>
      <c r="R65" s="292"/>
      <c r="S65" s="292"/>
      <c r="T65" s="292"/>
      <c r="U65" s="292"/>
      <c r="V65" s="292"/>
      <c r="W65" s="292"/>
      <c r="X65" s="293"/>
      <c r="Z65" s="309"/>
      <c r="AA65" s="310"/>
      <c r="AB65" s="310"/>
      <c r="AC65" s="310"/>
      <c r="AD65" s="310"/>
      <c r="AE65" s="310"/>
      <c r="AF65" s="310"/>
      <c r="AG65" s="310"/>
      <c r="AH65" s="310"/>
      <c r="AI65" s="310"/>
      <c r="AJ65" s="310"/>
      <c r="AK65" s="310"/>
      <c r="AL65" s="310"/>
      <c r="AM65" s="310"/>
      <c r="AN65" s="310"/>
      <c r="AO65" s="310"/>
      <c r="AP65" s="310"/>
      <c r="AQ65" s="310"/>
      <c r="AR65" s="310"/>
      <c r="AS65" s="310"/>
      <c r="AT65" s="311"/>
      <c r="AV65" s="312">
        <f t="shared" si="4"/>
        <v>0</v>
      </c>
      <c r="AW65" s="313">
        <f t="shared" si="5"/>
        <v>0</v>
      </c>
      <c r="AX65" s="313">
        <f t="shared" si="6"/>
        <v>0</v>
      </c>
      <c r="AY65" s="313">
        <f t="shared" si="7"/>
        <v>0</v>
      </c>
      <c r="AZ65" s="313">
        <f t="shared" si="8"/>
        <v>0</v>
      </c>
      <c r="BA65" s="313">
        <f t="shared" si="9"/>
        <v>0</v>
      </c>
      <c r="BB65" s="313">
        <f t="shared" si="10"/>
        <v>0</v>
      </c>
      <c r="BC65" s="313">
        <f t="shared" si="11"/>
        <v>0</v>
      </c>
      <c r="BD65" s="313">
        <f t="shared" si="12"/>
        <v>0</v>
      </c>
      <c r="BE65" s="313">
        <f t="shared" si="13"/>
        <v>0</v>
      </c>
      <c r="BF65" s="313">
        <f t="shared" si="14"/>
        <v>0</v>
      </c>
      <c r="BG65" s="313">
        <f t="shared" si="15"/>
        <v>0</v>
      </c>
      <c r="BH65" s="313">
        <f t="shared" si="16"/>
        <v>0</v>
      </c>
      <c r="BI65" s="314">
        <f t="shared" si="17"/>
        <v>0</v>
      </c>
      <c r="BJ65" s="314">
        <f t="shared" si="18"/>
        <v>0</v>
      </c>
      <c r="BK65" s="314">
        <f t="shared" si="19"/>
        <v>0</v>
      </c>
      <c r="BL65" s="314">
        <f t="shared" si="20"/>
        <v>0</v>
      </c>
      <c r="BM65" s="314">
        <f t="shared" si="21"/>
        <v>0</v>
      </c>
      <c r="BN65" s="314">
        <f t="shared" si="22"/>
        <v>0</v>
      </c>
      <c r="BO65" s="314">
        <f t="shared" si="23"/>
        <v>0</v>
      </c>
      <c r="BP65" s="314">
        <f t="shared" si="24"/>
        <v>0</v>
      </c>
      <c r="BQ65" s="270">
        <f t="shared" si="25"/>
        <v>0</v>
      </c>
    </row>
    <row r="66" spans="2:69" ht="13.5" thickBot="1" x14ac:dyDescent="0.25">
      <c r="B66" s="271"/>
      <c r="C66" s="151"/>
      <c r="Z66" s="272">
        <f t="shared" ref="Z66:AL66" si="26">SUM(Z6:Z65)</f>
        <v>373143.83333333331</v>
      </c>
      <c r="AA66" s="272">
        <f t="shared" si="26"/>
        <v>1272086460.663789</v>
      </c>
      <c r="AB66" s="272">
        <f t="shared" si="26"/>
        <v>2597281821.8915658</v>
      </c>
      <c r="AC66" s="272">
        <f t="shared" si="26"/>
        <v>0</v>
      </c>
      <c r="AD66" s="272">
        <f t="shared" si="26"/>
        <v>0</v>
      </c>
      <c r="AE66" s="272">
        <f t="shared" si="26"/>
        <v>2012408976.1105549</v>
      </c>
      <c r="AF66" s="272">
        <f t="shared" si="26"/>
        <v>0</v>
      </c>
      <c r="AG66" s="272">
        <f t="shared" si="26"/>
        <v>0</v>
      </c>
      <c r="AH66" s="272">
        <f t="shared" si="26"/>
        <v>0</v>
      </c>
      <c r="AI66" s="272">
        <f t="shared" si="26"/>
        <v>914893.23108333279</v>
      </c>
      <c r="AJ66" s="272">
        <f t="shared" si="26"/>
        <v>0</v>
      </c>
      <c r="AK66" s="272">
        <f t="shared" si="26"/>
        <v>1252129.4476761888</v>
      </c>
      <c r="AL66" s="272">
        <f t="shared" si="26"/>
        <v>2174517.9950447618</v>
      </c>
      <c r="AM66" s="272">
        <f t="shared" ref="AM66:AT66" si="27">SUM(AM6:AM65)</f>
        <v>414808.56590921606</v>
      </c>
      <c r="AN66" s="272">
        <f t="shared" si="27"/>
        <v>515541.75038326747</v>
      </c>
      <c r="AO66" s="272">
        <f t="shared" si="27"/>
        <v>510185.1308476784</v>
      </c>
      <c r="AP66" s="272">
        <f t="shared" si="27"/>
        <v>0</v>
      </c>
      <c r="AQ66" s="272">
        <f t="shared" si="27"/>
        <v>1382965.6448100451</v>
      </c>
      <c r="AR66" s="272">
        <f t="shared" si="27"/>
        <v>1828108.2879962048</v>
      </c>
      <c r="AS66" s="272">
        <f t="shared" si="27"/>
        <v>1739470.8675136871</v>
      </c>
      <c r="AT66" s="272">
        <f t="shared" si="27"/>
        <v>0</v>
      </c>
      <c r="AV66" s="315">
        <f t="shared" ref="AV66:BQ66" si="28">SUM(AV6:AV65)</f>
        <v>0</v>
      </c>
      <c r="AW66" s="272">
        <f t="shared" si="28"/>
        <v>22331855.264250599</v>
      </c>
      <c r="AX66" s="272">
        <f t="shared" si="28"/>
        <v>35015734.689686723</v>
      </c>
      <c r="AY66" s="272">
        <f t="shared" si="28"/>
        <v>0</v>
      </c>
      <c r="AZ66" s="272">
        <f t="shared" si="28"/>
        <v>0</v>
      </c>
      <c r="BA66" s="272">
        <f t="shared" si="28"/>
        <v>14443937.187748613</v>
      </c>
      <c r="BB66" s="272">
        <f t="shared" si="28"/>
        <v>0</v>
      </c>
      <c r="BC66" s="272">
        <f t="shared" si="28"/>
        <v>0</v>
      </c>
      <c r="BD66" s="272">
        <f t="shared" si="28"/>
        <v>0</v>
      </c>
      <c r="BE66" s="272">
        <f t="shared" si="28"/>
        <v>28779479.82365248</v>
      </c>
      <c r="BF66" s="272">
        <f t="shared" si="28"/>
        <v>0</v>
      </c>
      <c r="BG66" s="272">
        <f t="shared" si="28"/>
        <v>2392381.0749939885</v>
      </c>
      <c r="BH66" s="272">
        <f t="shared" si="28"/>
        <v>2079165.5277768446</v>
      </c>
      <c r="BI66" s="272">
        <f t="shared" si="28"/>
        <v>11346.350835762041</v>
      </c>
      <c r="BJ66" s="272">
        <f t="shared" si="28"/>
        <v>7972.1154103624031</v>
      </c>
      <c r="BK66" s="272">
        <f t="shared" si="28"/>
        <v>3505.3930752586807</v>
      </c>
      <c r="BL66" s="272">
        <f t="shared" si="28"/>
        <v>0</v>
      </c>
      <c r="BM66" s="272">
        <f t="shared" si="28"/>
        <v>37230.963890045023</v>
      </c>
      <c r="BN66" s="272">
        <f t="shared" si="28"/>
        <v>28038.511687598548</v>
      </c>
      <c r="BO66" s="272">
        <f t="shared" si="28"/>
        <v>11741.21974485244</v>
      </c>
      <c r="BP66" s="272">
        <f t="shared" si="28"/>
        <v>0</v>
      </c>
      <c r="BQ66" s="272">
        <f t="shared" si="28"/>
        <v>105142388.12275313</v>
      </c>
    </row>
    <row r="67" spans="2:69" ht="13.5" thickTop="1" x14ac:dyDescent="0.2">
      <c r="B67" s="271"/>
      <c r="C67" s="151"/>
    </row>
    <row r="68" spans="2:69" x14ac:dyDescent="0.2">
      <c r="B68" s="271"/>
      <c r="C68" s="151"/>
      <c r="BQ68" s="321"/>
    </row>
    <row r="69" spans="2:69" x14ac:dyDescent="0.2">
      <c r="B69" s="271"/>
      <c r="C69" s="151"/>
      <c r="BQ69" s="321"/>
    </row>
    <row r="70" spans="2:69" x14ac:dyDescent="0.2">
      <c r="B70" s="271"/>
      <c r="C70" s="151"/>
      <c r="BQ70" s="316"/>
    </row>
    <row r="71" spans="2:69" x14ac:dyDescent="0.2">
      <c r="B71" s="271"/>
      <c r="C71" s="151"/>
    </row>
    <row r="72" spans="2:69" x14ac:dyDescent="0.2">
      <c r="B72" s="271"/>
      <c r="C72" s="151"/>
    </row>
    <row r="73" spans="2:69" x14ac:dyDescent="0.2">
      <c r="B73" s="271"/>
      <c r="C73" s="151"/>
    </row>
    <row r="74" spans="2:69" x14ac:dyDescent="0.2">
      <c r="B74" s="271"/>
      <c r="C74" s="151"/>
    </row>
    <row r="75" spans="2:69" x14ac:dyDescent="0.2">
      <c r="B75" s="271"/>
      <c r="C75" s="151"/>
    </row>
    <row r="76" spans="2:69" x14ac:dyDescent="0.2">
      <c r="B76" s="271"/>
      <c r="C76" s="151"/>
    </row>
    <row r="77" spans="2:69" x14ac:dyDescent="0.2">
      <c r="B77" s="271"/>
      <c r="C77" s="151"/>
    </row>
    <row r="78" spans="2:69" x14ac:dyDescent="0.2">
      <c r="B78" s="271"/>
      <c r="C78" s="151"/>
    </row>
    <row r="79" spans="2:69" x14ac:dyDescent="0.2">
      <c r="B79" s="271"/>
      <c r="C79" s="151"/>
    </row>
    <row r="80" spans="2:69" x14ac:dyDescent="0.2">
      <c r="B80" s="271"/>
      <c r="C80" s="151"/>
    </row>
    <row r="81" spans="2:3" x14ac:dyDescent="0.2">
      <c r="B81" s="271"/>
      <c r="C81" s="151"/>
    </row>
    <row r="82" spans="2:3" x14ac:dyDescent="0.2">
      <c r="B82" s="271"/>
      <c r="C82" s="151"/>
    </row>
    <row r="83" spans="2:3" x14ac:dyDescent="0.2">
      <c r="B83" s="271"/>
      <c r="C83" s="151"/>
    </row>
    <row r="84" spans="2:3" x14ac:dyDescent="0.2">
      <c r="B84" s="271"/>
      <c r="C84" s="151"/>
    </row>
    <row r="85" spans="2:3" x14ac:dyDescent="0.2">
      <c r="B85" s="271"/>
      <c r="C85" s="151"/>
    </row>
    <row r="86" spans="2:3" x14ac:dyDescent="0.2">
      <c r="B86" s="271"/>
      <c r="C86" s="151"/>
    </row>
    <row r="87" spans="2:3" x14ac:dyDescent="0.2">
      <c r="B87" s="271"/>
      <c r="C87" s="151"/>
    </row>
    <row r="88" spans="2:3" x14ac:dyDescent="0.2">
      <c r="B88" s="271"/>
      <c r="C88" s="151"/>
    </row>
    <row r="89" spans="2:3" x14ac:dyDescent="0.2">
      <c r="B89" s="271"/>
      <c r="C89" s="151"/>
    </row>
    <row r="90" spans="2:3" x14ac:dyDescent="0.2">
      <c r="B90" s="271"/>
      <c r="C90" s="151"/>
    </row>
    <row r="91" spans="2:3" x14ac:dyDescent="0.2">
      <c r="B91" s="271"/>
      <c r="C91" s="151"/>
    </row>
    <row r="92" spans="2:3" x14ac:dyDescent="0.2">
      <c r="B92" s="271"/>
      <c r="C92" s="151"/>
    </row>
    <row r="93" spans="2:3" x14ac:dyDescent="0.2">
      <c r="B93" s="271"/>
      <c r="C93" s="151"/>
    </row>
    <row r="94" spans="2:3" x14ac:dyDescent="0.2">
      <c r="B94" s="271"/>
      <c r="C94" s="151"/>
    </row>
    <row r="95" spans="2:3" x14ac:dyDescent="0.2">
      <c r="B95" s="271"/>
      <c r="C95" s="151"/>
    </row>
    <row r="96" spans="2:3" x14ac:dyDescent="0.2">
      <c r="B96" s="271"/>
      <c r="C96" s="151"/>
    </row>
    <row r="97" spans="2:3" x14ac:dyDescent="0.2">
      <c r="B97" s="271"/>
      <c r="C97" s="151"/>
    </row>
    <row r="98" spans="2:3" x14ac:dyDescent="0.2">
      <c r="B98" s="271"/>
      <c r="C98" s="151"/>
    </row>
    <row r="99" spans="2:3" x14ac:dyDescent="0.2">
      <c r="B99" s="271"/>
      <c r="C99" s="151"/>
    </row>
    <row r="100" spans="2:3" x14ac:dyDescent="0.2">
      <c r="B100" s="271"/>
      <c r="C100" s="151"/>
    </row>
    <row r="101" spans="2:3" x14ac:dyDescent="0.2">
      <c r="B101" s="271"/>
      <c r="C101" s="151"/>
    </row>
    <row r="102" spans="2:3" x14ac:dyDescent="0.2">
      <c r="B102" s="271"/>
      <c r="C102" s="151"/>
    </row>
    <row r="103" spans="2:3" x14ac:dyDescent="0.2">
      <c r="B103" s="271"/>
      <c r="C103" s="151"/>
    </row>
    <row r="104" spans="2:3" x14ac:dyDescent="0.2">
      <c r="B104" s="271"/>
      <c r="C104" s="151"/>
    </row>
    <row r="105" spans="2:3" x14ac:dyDescent="0.2">
      <c r="B105" s="271"/>
      <c r="C105" s="151"/>
    </row>
  </sheetData>
  <printOptions horizontalCentered="1"/>
  <pageMargins left="0.15748031496062992" right="0.15748031496062992" top="0.39370078740157483" bottom="0.39370078740157483" header="0.11811023622047245" footer="0.11811023622047245"/>
  <pageSetup paperSize="9" scale="42"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1048575" man="1"/>
    <brk id="47" max="1048575"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pageSetUpPr autoPageBreaks="0"/>
  </sheetPr>
  <dimension ref="B1:BQ105"/>
  <sheetViews>
    <sheetView zoomScale="80" zoomScaleNormal="80" workbookViewId="0">
      <pane xSplit="3" ySplit="5" topLeftCell="D6" activePane="bottomRight" state="frozen"/>
      <selection activeCell="B2" sqref="B2:D2"/>
      <selection pane="topRight" activeCell="B2" sqref="B2:D2"/>
      <selection pane="bottomLeft" activeCell="B2" sqref="B2:D2"/>
      <selection pane="bottomRight" activeCell="D6" sqref="D6"/>
    </sheetView>
  </sheetViews>
  <sheetFormatPr defaultRowHeight="12.75" x14ac:dyDescent="0.2"/>
  <cols>
    <col min="1" max="1" width="1.85546875" style="196" customWidth="1"/>
    <col min="2" max="2" width="45" style="196" customWidth="1"/>
    <col min="3" max="3" width="1.85546875" style="196" customWidth="1"/>
    <col min="4" max="4" width="12.140625" style="196" customWidth="1"/>
    <col min="5" max="9" width="10.85546875" style="196" customWidth="1"/>
    <col min="10" max="10" width="10.7109375" style="196" customWidth="1"/>
    <col min="11" max="11" width="11.5703125" style="196" customWidth="1"/>
    <col min="12" max="12" width="11.28515625" style="196" customWidth="1"/>
    <col min="13" max="13" width="12.5703125" style="196" customWidth="1"/>
    <col min="14" max="14" width="11.140625" style="196" customWidth="1"/>
    <col min="15" max="15" width="12.140625" style="196" customWidth="1"/>
    <col min="16" max="16" width="11.42578125" style="196" customWidth="1"/>
    <col min="17" max="17" width="11.28515625" style="196" customWidth="1"/>
    <col min="18" max="18" width="14.85546875" style="196" bestFit="1" customWidth="1"/>
    <col min="19" max="19" width="16" style="196" customWidth="1"/>
    <col min="20" max="20" width="14.5703125" style="196" customWidth="1"/>
    <col min="21" max="22" width="16.7109375" style="196" bestFit="1" customWidth="1"/>
    <col min="23" max="23" width="16.85546875" style="196" bestFit="1" customWidth="1"/>
    <col min="24" max="24" width="13.42578125" style="196" customWidth="1"/>
    <col min="25" max="25" width="3.42578125" style="196" customWidth="1"/>
    <col min="26" max="26" width="15" style="196" customWidth="1"/>
    <col min="27" max="28" width="18.28515625" style="196" customWidth="1"/>
    <col min="29" max="29" width="15.5703125" style="196" customWidth="1"/>
    <col min="30" max="30" width="17.140625" style="196" customWidth="1"/>
    <col min="31" max="31" width="17.85546875" style="196" bestFit="1" customWidth="1"/>
    <col min="32" max="32" width="10.5703125" style="196" customWidth="1"/>
    <col min="33" max="33" width="11.7109375" style="196" customWidth="1"/>
    <col min="34" max="34" width="12.140625" style="196" customWidth="1"/>
    <col min="35" max="35" width="15.28515625" style="196" customWidth="1"/>
    <col min="36" max="36" width="14" style="196" customWidth="1"/>
    <col min="37" max="37" width="13.5703125" style="196" bestFit="1" customWidth="1"/>
    <col min="38" max="38" width="15.140625" style="196" customWidth="1"/>
    <col min="39" max="39" width="18" style="196" customWidth="1"/>
    <col min="40" max="40" width="15.140625" style="196" customWidth="1"/>
    <col min="41" max="41" width="14.5703125" style="196" customWidth="1"/>
    <col min="42" max="42" width="13.5703125" style="196" customWidth="1"/>
    <col min="43" max="45" width="14.42578125" style="196" bestFit="1" customWidth="1"/>
    <col min="46" max="46" width="11.85546875" style="196" customWidth="1"/>
    <col min="47" max="47" width="5.28515625" style="196" customWidth="1"/>
    <col min="48" max="48" width="14.5703125" style="196" customWidth="1"/>
    <col min="49" max="49" width="18" style="196" customWidth="1"/>
    <col min="50" max="50" width="15.140625" style="196" customWidth="1"/>
    <col min="51" max="51" width="12.85546875" style="196" customWidth="1"/>
    <col min="52" max="52" width="14.7109375" style="196" customWidth="1"/>
    <col min="53" max="53" width="16.5703125" style="196" customWidth="1"/>
    <col min="54" max="56" width="9.140625" style="196"/>
    <col min="57" max="57" width="15.140625" style="196" customWidth="1"/>
    <col min="58" max="58" width="13.140625" style="196" customWidth="1"/>
    <col min="59" max="60" width="11.28515625" style="196" customWidth="1"/>
    <col min="61" max="62" width="12.42578125" style="196" customWidth="1"/>
    <col min="63" max="63" width="11.85546875" style="196" customWidth="1"/>
    <col min="64" max="64" width="9.140625" style="196"/>
    <col min="65" max="65" width="12.42578125" style="196" customWidth="1"/>
    <col min="66" max="66" width="12.5703125" style="196" customWidth="1"/>
    <col min="67" max="67" width="13.140625" style="196" customWidth="1"/>
    <col min="68" max="68" width="9.140625" style="196"/>
    <col min="69" max="69" width="17.140625" style="196" customWidth="1"/>
    <col min="70" max="16384" width="9.140625" style="196"/>
  </cols>
  <sheetData>
    <row r="1" spans="2:69" ht="15" x14ac:dyDescent="0.25">
      <c r="B1" s="150" t="str">
        <f>"Tariff Approval - "&amp;'Model update'!C3</f>
        <v>Tariff Approval - CitiPower</v>
      </c>
    </row>
    <row r="3" spans="2:69" x14ac:dyDescent="0.2">
      <c r="B3" s="223" t="str">
        <f>"ESTIMATED "&amp;'Model update'!C8&amp;" TRANSMISSION TARIFF REVENUE"</f>
        <v>ESTIMATED 2018 TRANSMISSION TARIFF REVENUE</v>
      </c>
    </row>
    <row r="4" spans="2:69" ht="13.5" thickBot="1" x14ac:dyDescent="0.25">
      <c r="D4" s="225" t="str">
        <f>"Current Transmission Tariffs (Pt-1) for "&amp;'Model update'!$C$8</f>
        <v>Current Transmission Tariffs (Pt-1) for 2018</v>
      </c>
      <c r="E4" s="226"/>
      <c r="F4" s="226"/>
      <c r="G4" s="226"/>
      <c r="H4" s="182"/>
      <c r="I4" s="182"/>
      <c r="Z4" s="225" t="str">
        <f>"Estimated Quantities (Qt-1) for "&amp;'Model update'!$C$8</f>
        <v>Estimated Quantities (Qt-1) for 2018</v>
      </c>
      <c r="AA4" s="226"/>
      <c r="AB4" s="226"/>
      <c r="AV4" s="227" t="str">
        <f>"Estimated Revenue (Pt-1 "&amp;'Model update'!$C$8&amp;")*(Qt-1 " &amp;'Model update'!$C$8&amp;")"</f>
        <v>Estimated Revenue (Pt-1 2018)*(Qt-1 2018)</v>
      </c>
      <c r="AW4" s="228"/>
      <c r="AX4" s="228"/>
      <c r="AY4" s="182"/>
      <c r="AZ4" s="182"/>
    </row>
    <row r="5" spans="2:69" ht="25.5" x14ac:dyDescent="0.2">
      <c r="B5" s="229" t="str">
        <f>"Tariffs "&amp;'Model update'!C8</f>
        <v>Tariffs 2018</v>
      </c>
      <c r="D5" s="230" t="str">
        <f>Est2018DistRev!D5</f>
        <v>CurrentTar
Fixed</v>
      </c>
      <c r="E5" s="231" t="str">
        <f>Est2018DistRev!E5</f>
        <v>CurrentTar
Anytime</v>
      </c>
      <c r="F5" s="231" t="str">
        <f>Est2018DistRev!F5</f>
        <v>CurrentTar
PkBlk</v>
      </c>
      <c r="G5" s="231"/>
      <c r="H5" s="231"/>
      <c r="I5" s="231" t="str">
        <f>Est2018DistRev!I5</f>
        <v>CurrentTar
OPkBlk1</v>
      </c>
      <c r="J5" s="231"/>
      <c r="K5" s="231"/>
      <c r="L5" s="231"/>
      <c r="M5" s="231" t="str">
        <f>Est2018DistRev!M5</f>
        <v>CurrentTar
Dem kVA</v>
      </c>
      <c r="N5" s="231" t="str">
        <f>Est2018DistRev!N5</f>
        <v>CurrentTar
Dem kW</v>
      </c>
      <c r="O5" s="231" t="str">
        <f>Est2018DistRev!O5</f>
        <v>CurrentTar
Dem kW Sum</v>
      </c>
      <c r="P5" s="231" t="str">
        <f>Est2018DistRev!P5</f>
        <v>CurrentTar
Dem kW Win</v>
      </c>
      <c r="Q5" s="231" t="str">
        <f>Est2018DistRev!Q5</f>
        <v>CurrentTar
SumBlk1</v>
      </c>
      <c r="R5" s="231" t="str">
        <f>Est2018DistRev!R5</f>
        <v>CurrentTar
SumBlk2</v>
      </c>
      <c r="S5" s="231" t="str">
        <f>Est2018DistRev!S5</f>
        <v>CurrentTar
SumBlk3</v>
      </c>
      <c r="T5" s="231"/>
      <c r="U5" s="231" t="str">
        <f>Est2018DistRev!U5</f>
        <v>CurrentTar
WtrBlk1</v>
      </c>
      <c r="V5" s="231" t="str">
        <f>Est2018DistRev!V5</f>
        <v>CurrentTar
WtrBlk2</v>
      </c>
      <c r="W5" s="231" t="str">
        <f>Est2018DistRev!W5</f>
        <v>CurrentTar
WtrBlk3</v>
      </c>
      <c r="X5" s="233"/>
      <c r="Z5" s="230" t="str">
        <f>Est2018DistRev!Z5</f>
        <v>EstVol
Fixed</v>
      </c>
      <c r="AA5" s="231" t="str">
        <f>Est2018DistRev!AA5</f>
        <v>EstVol
Anytime</v>
      </c>
      <c r="AB5" s="231" t="str">
        <f>Est2018DistRev!AB5</f>
        <v>EstVol
Pk</v>
      </c>
      <c r="AC5" s="231"/>
      <c r="AD5" s="231"/>
      <c r="AE5" s="231" t="str">
        <f>Est2018DistRev!AE5</f>
        <v>EstVol
Opk</v>
      </c>
      <c r="AF5" s="231"/>
      <c r="AG5" s="231"/>
      <c r="AH5" s="231"/>
      <c r="AI5" s="231" t="str">
        <f>Est2018DistRev!AI5</f>
        <v>EstVol
Dem kVA</v>
      </c>
      <c r="AJ5" s="231" t="str">
        <f>Est2018DistRev!AJ5</f>
        <v>EstVol
Dem kW</v>
      </c>
      <c r="AK5" s="231" t="str">
        <f>Est2018DistRev!AK5</f>
        <v>EstVol
Dem kW Sum</v>
      </c>
      <c r="AL5" s="231" t="str">
        <f>Est2018DistRev!AL5</f>
        <v>EstVol
Dem kW Win</v>
      </c>
      <c r="AM5" s="231" t="str">
        <f>Est2018DistRev!AM5</f>
        <v>EstVol
SumBlk1</v>
      </c>
      <c r="AN5" s="231" t="str">
        <f>Est2018DistRev!AN5</f>
        <v>EstVol
SumBlk2</v>
      </c>
      <c r="AO5" s="231" t="str">
        <f>Est2018DistRev!AO5</f>
        <v>EstVol
SumBlk3</v>
      </c>
      <c r="AP5" s="231"/>
      <c r="AQ5" s="231" t="str">
        <f>Est2018DistRev!AQ5</f>
        <v>EstVol
WtrBlk1</v>
      </c>
      <c r="AR5" s="231" t="str">
        <f>Est2018DistRev!AR5</f>
        <v>EstVol
WtrBlk2</v>
      </c>
      <c r="AS5" s="231" t="str">
        <f>Est2018DistRev!AS5</f>
        <v>EstVol
WtrBlk3</v>
      </c>
      <c r="AT5" s="233"/>
      <c r="AV5" s="230" t="str">
        <f>Est2018DistRev!AV5</f>
        <v>EstRev
Fixed</v>
      </c>
      <c r="AW5" s="231" t="str">
        <f>Est2018DistRev!AW5</f>
        <v>EstRev
Anytime</v>
      </c>
      <c r="AX5" s="231" t="str">
        <f>Est2018DistRev!AX5</f>
        <v>EstRev
Pk</v>
      </c>
      <c r="AY5" s="231"/>
      <c r="AZ5" s="231"/>
      <c r="BA5" s="231" t="str">
        <f>Est2018DistRev!BA5</f>
        <v>EstRev
Opk</v>
      </c>
      <c r="BB5" s="231"/>
      <c r="BC5" s="231"/>
      <c r="BD5" s="231"/>
      <c r="BE5" s="231" t="str">
        <f>Est2018DistRev!BE5</f>
        <v>EstRev
Dem kVA</v>
      </c>
      <c r="BF5" s="231" t="str">
        <f>Est2018DistRev!BF5</f>
        <v>EstRev
Dem kW</v>
      </c>
      <c r="BG5" s="231" t="str">
        <f>Est2018DistRev!BG5</f>
        <v>EstRev
Dem kW Sum</v>
      </c>
      <c r="BH5" s="231" t="str">
        <f>Est2018DistRev!BH5</f>
        <v>EstRev
Dem kW Win</v>
      </c>
      <c r="BI5" s="231" t="str">
        <f>Est2018DistRev!BI5</f>
        <v>EstRev
SumBlk1</v>
      </c>
      <c r="BJ5" s="231" t="str">
        <f>Est2018DistRev!BJ5</f>
        <v>EstRev
SumBlk2</v>
      </c>
      <c r="BK5" s="231" t="str">
        <f>Est2018DistRev!BK5</f>
        <v>EstRev
SumBlk3</v>
      </c>
      <c r="BL5" s="231"/>
      <c r="BM5" s="231" t="str">
        <f>Est2018DistRev!BM5</f>
        <v>EstRev
WtrBlk1</v>
      </c>
      <c r="BN5" s="231" t="str">
        <f>Est2018DistRev!BN5</f>
        <v>EstRev
WtrBlk2</v>
      </c>
      <c r="BO5" s="231" t="str">
        <f>Est2018DistRev!BO5</f>
        <v>EstRev
WtrBlk3</v>
      </c>
      <c r="BP5" s="231"/>
      <c r="BQ5" s="233" t="str">
        <f>Est2018DistRev!BQ5</f>
        <v>EstRev
Total</v>
      </c>
    </row>
    <row r="6" spans="2:69" x14ac:dyDescent="0.2">
      <c r="B6" s="234"/>
      <c r="D6" s="235"/>
      <c r="E6" s="236"/>
      <c r="F6" s="236"/>
      <c r="G6" s="236"/>
      <c r="H6" s="236"/>
      <c r="I6" s="236"/>
      <c r="J6" s="236"/>
      <c r="K6" s="236"/>
      <c r="L6" s="236"/>
      <c r="M6" s="237"/>
      <c r="N6" s="237"/>
      <c r="O6" s="237"/>
      <c r="P6" s="237"/>
      <c r="Q6" s="237"/>
      <c r="R6" s="237"/>
      <c r="S6" s="237"/>
      <c r="T6" s="237"/>
      <c r="U6" s="237"/>
      <c r="V6" s="237"/>
      <c r="W6" s="237"/>
      <c r="X6" s="238"/>
      <c r="Z6" s="239"/>
      <c r="AA6" s="240"/>
      <c r="AB6" s="240"/>
      <c r="AC6" s="240"/>
      <c r="AD6" s="240"/>
      <c r="AE6" s="240"/>
      <c r="AF6" s="240"/>
      <c r="AG6" s="240"/>
      <c r="AH6" s="240"/>
      <c r="AI6" s="240"/>
      <c r="AJ6" s="240"/>
      <c r="AK6" s="240"/>
      <c r="AL6" s="240"/>
      <c r="AM6" s="240"/>
      <c r="AN6" s="240"/>
      <c r="AO6" s="240"/>
      <c r="AP6" s="240"/>
      <c r="AQ6" s="240"/>
      <c r="AR6" s="240"/>
      <c r="AS6" s="240"/>
      <c r="AT6" s="241"/>
      <c r="AV6" s="283">
        <f t="shared" ref="AV6" si="0">D6*Z6</f>
        <v>0</v>
      </c>
      <c r="AW6" s="219">
        <f t="shared" ref="AW6:BD6" si="1">E6/100*AA6</f>
        <v>0</v>
      </c>
      <c r="AX6" s="219">
        <f t="shared" si="1"/>
        <v>0</v>
      </c>
      <c r="AY6" s="219">
        <f t="shared" si="1"/>
        <v>0</v>
      </c>
      <c r="AZ6" s="219">
        <f t="shared" si="1"/>
        <v>0</v>
      </c>
      <c r="BA6" s="219">
        <f t="shared" si="1"/>
        <v>0</v>
      </c>
      <c r="BB6" s="219">
        <f t="shared" si="1"/>
        <v>0</v>
      </c>
      <c r="BC6" s="219">
        <f t="shared" si="1"/>
        <v>0</v>
      </c>
      <c r="BD6" s="219">
        <f t="shared" si="1"/>
        <v>0</v>
      </c>
      <c r="BE6" s="219">
        <f t="shared" ref="BE6:BH6" si="2">M6*AI6</f>
        <v>0</v>
      </c>
      <c r="BF6" s="219">
        <f t="shared" si="2"/>
        <v>0</v>
      </c>
      <c r="BG6" s="219">
        <f t="shared" si="2"/>
        <v>0</v>
      </c>
      <c r="BH6" s="219">
        <f t="shared" si="2"/>
        <v>0</v>
      </c>
      <c r="BI6" s="242">
        <f t="shared" ref="BI6:BP6" si="3">Q6/100*AM6</f>
        <v>0</v>
      </c>
      <c r="BJ6" s="242">
        <f t="shared" si="3"/>
        <v>0</v>
      </c>
      <c r="BK6" s="242">
        <f t="shared" si="3"/>
        <v>0</v>
      </c>
      <c r="BL6" s="242">
        <f t="shared" si="3"/>
        <v>0</v>
      </c>
      <c r="BM6" s="242">
        <f t="shared" si="3"/>
        <v>0</v>
      </c>
      <c r="BN6" s="242">
        <f t="shared" si="3"/>
        <v>0</v>
      </c>
      <c r="BO6" s="242">
        <f t="shared" si="3"/>
        <v>0</v>
      </c>
      <c r="BP6" s="242">
        <f t="shared" si="3"/>
        <v>0</v>
      </c>
      <c r="BQ6" s="243">
        <f>SUM(AV6:BP6)</f>
        <v>0</v>
      </c>
    </row>
    <row r="7" spans="2:69" x14ac:dyDescent="0.2">
      <c r="B7" s="234" t="str">
        <f>Est2018DistRev!B7</f>
        <v>Residential Single Rate</v>
      </c>
      <c r="D7" s="317">
        <v>0</v>
      </c>
      <c r="E7" s="247">
        <v>1.75</v>
      </c>
      <c r="F7" s="247">
        <v>0</v>
      </c>
      <c r="G7" s="247">
        <v>0</v>
      </c>
      <c r="H7" s="247">
        <v>0</v>
      </c>
      <c r="I7" s="247">
        <v>0</v>
      </c>
      <c r="J7" s="247">
        <v>0</v>
      </c>
      <c r="K7" s="247">
        <v>0</v>
      </c>
      <c r="L7" s="247">
        <v>0</v>
      </c>
      <c r="M7" s="247">
        <v>0</v>
      </c>
      <c r="N7" s="247">
        <v>0</v>
      </c>
      <c r="O7" s="247">
        <v>0</v>
      </c>
      <c r="P7" s="247">
        <v>0</v>
      </c>
      <c r="Q7" s="247">
        <v>0</v>
      </c>
      <c r="R7" s="247">
        <v>0</v>
      </c>
      <c r="S7" s="247">
        <v>0</v>
      </c>
      <c r="T7" s="247">
        <v>0</v>
      </c>
      <c r="U7" s="247">
        <v>0</v>
      </c>
      <c r="V7" s="247">
        <v>0</v>
      </c>
      <c r="W7" s="247">
        <v>0</v>
      </c>
      <c r="X7" s="248">
        <v>0</v>
      </c>
      <c r="Z7" s="249">
        <f>Est2018DistRev!Z7</f>
        <v>203567.54384608413</v>
      </c>
      <c r="AA7" s="250">
        <f>Est2018DistRev!AA7</f>
        <v>837924196.22455716</v>
      </c>
      <c r="AB7" s="250">
        <f>Est2018DistRev!AB7</f>
        <v>0</v>
      </c>
      <c r="AC7" s="250">
        <f>Est2018DistRev!AC7</f>
        <v>0</v>
      </c>
      <c r="AD7" s="250">
        <f>Est2018DistRev!AD7</f>
        <v>0</v>
      </c>
      <c r="AE7" s="250">
        <f>Est2018DistRev!AE7</f>
        <v>0</v>
      </c>
      <c r="AF7" s="250">
        <f>Est2018DistRev!AF7</f>
        <v>0</v>
      </c>
      <c r="AG7" s="250">
        <f>Est2018DistRev!AG7</f>
        <v>0</v>
      </c>
      <c r="AH7" s="250">
        <f>Est2018DistRev!AH7</f>
        <v>0</v>
      </c>
      <c r="AI7" s="250">
        <f>Est2018DistRev!AI7</f>
        <v>0</v>
      </c>
      <c r="AJ7" s="250">
        <f>Est2018DistRev!AJ7</f>
        <v>0</v>
      </c>
      <c r="AK7" s="250">
        <f>Est2018DistRev!AK7</f>
        <v>0</v>
      </c>
      <c r="AL7" s="250">
        <f>Est2018DistRev!AL7</f>
        <v>0</v>
      </c>
      <c r="AM7" s="250">
        <f>Est2018DistRev!AM7</f>
        <v>0</v>
      </c>
      <c r="AN7" s="250">
        <f>Est2018DistRev!AN7</f>
        <v>0</v>
      </c>
      <c r="AO7" s="250">
        <f>Est2018DistRev!AO7</f>
        <v>0</v>
      </c>
      <c r="AP7" s="250">
        <f>Est2018DistRev!AP7</f>
        <v>0</v>
      </c>
      <c r="AQ7" s="250">
        <f>Est2018DistRev!AQ7</f>
        <v>0</v>
      </c>
      <c r="AR7" s="250">
        <f>Est2018DistRev!AR7</f>
        <v>0</v>
      </c>
      <c r="AS7" s="250">
        <f>Est2018DistRev!AS7</f>
        <v>0</v>
      </c>
      <c r="AT7" s="251">
        <f>Est2018DistRev!AT7</f>
        <v>0</v>
      </c>
      <c r="AV7" s="252">
        <f t="shared" ref="AV7:AV65" si="4">D7*Z7</f>
        <v>0</v>
      </c>
      <c r="AW7" s="220">
        <f t="shared" ref="AW7:AW65" si="5">E7/100*AA7</f>
        <v>14663673.433929753</v>
      </c>
      <c r="AX7" s="220">
        <f t="shared" ref="AX7:AX65" si="6">F7/100*AB7</f>
        <v>0</v>
      </c>
      <c r="AY7" s="220">
        <f t="shared" ref="AY7:AY65" si="7">G7/100*AC7</f>
        <v>0</v>
      </c>
      <c r="AZ7" s="220">
        <f t="shared" ref="AZ7:AZ65" si="8">H7/100*AD7</f>
        <v>0</v>
      </c>
      <c r="BA7" s="220">
        <f t="shared" ref="BA7:BA65" si="9">I7/100*AE7</f>
        <v>0</v>
      </c>
      <c r="BB7" s="220">
        <f t="shared" ref="BB7:BB65" si="10">J7/100*AF7</f>
        <v>0</v>
      </c>
      <c r="BC7" s="220">
        <f t="shared" ref="BC7:BC65" si="11">K7/100*AG7</f>
        <v>0</v>
      </c>
      <c r="BD7" s="220">
        <f t="shared" ref="BD7:BD65" si="12">L7/100*AH7</f>
        <v>0</v>
      </c>
      <c r="BE7" s="220">
        <f t="shared" ref="BE7:BE65" si="13">M7*AI7</f>
        <v>0</v>
      </c>
      <c r="BF7" s="220">
        <f t="shared" ref="BF7:BF65" si="14">N7*AJ7</f>
        <v>0</v>
      </c>
      <c r="BG7" s="220">
        <f t="shared" ref="BG7:BG65" si="15">O7*AK7</f>
        <v>0</v>
      </c>
      <c r="BH7" s="220">
        <f t="shared" ref="BH7:BH65" si="16">P7*AL7</f>
        <v>0</v>
      </c>
      <c r="BI7" s="253">
        <f t="shared" ref="BI7:BI65" si="17">Q7/100*AM7</f>
        <v>0</v>
      </c>
      <c r="BJ7" s="253">
        <f t="shared" ref="BJ7:BJ65" si="18">R7/100*AN7</f>
        <v>0</v>
      </c>
      <c r="BK7" s="253">
        <f t="shared" ref="BK7:BK65" si="19">S7/100*AO7</f>
        <v>0</v>
      </c>
      <c r="BL7" s="253">
        <f t="shared" ref="BL7:BL65" si="20">T7/100*AP7</f>
        <v>0</v>
      </c>
      <c r="BM7" s="253">
        <f t="shared" ref="BM7:BM65" si="21">U7/100*AQ7</f>
        <v>0</v>
      </c>
      <c r="BN7" s="253">
        <f t="shared" ref="BN7:BN65" si="22">V7/100*AR7</f>
        <v>0</v>
      </c>
      <c r="BO7" s="253">
        <f t="shared" ref="BO7:BO65" si="23">W7/100*AS7</f>
        <v>0</v>
      </c>
      <c r="BP7" s="253">
        <f t="shared" ref="BP7:BP65" si="24">X7/100*AT7</f>
        <v>0</v>
      </c>
      <c r="BQ7" s="254">
        <f t="shared" ref="BQ7:BQ65" si="25">SUM(AV7:BP7)</f>
        <v>14663673.433929753</v>
      </c>
    </row>
    <row r="8" spans="2:69" x14ac:dyDescent="0.2">
      <c r="B8" s="234" t="str">
        <f>Est2018DistRev!B8</f>
        <v>Residential Single Rate - Bulk</v>
      </c>
      <c r="D8" s="317">
        <v>0</v>
      </c>
      <c r="E8" s="247">
        <v>0.78</v>
      </c>
      <c r="F8" s="247">
        <v>0</v>
      </c>
      <c r="G8" s="247">
        <v>0</v>
      </c>
      <c r="H8" s="247">
        <v>0</v>
      </c>
      <c r="I8" s="247">
        <v>0</v>
      </c>
      <c r="J8" s="247">
        <v>0</v>
      </c>
      <c r="K8" s="247">
        <v>0</v>
      </c>
      <c r="L8" s="247">
        <v>0</v>
      </c>
      <c r="M8" s="247">
        <v>0</v>
      </c>
      <c r="N8" s="247">
        <v>0</v>
      </c>
      <c r="O8" s="247">
        <v>0</v>
      </c>
      <c r="P8" s="247">
        <v>0</v>
      </c>
      <c r="Q8" s="247">
        <v>0</v>
      </c>
      <c r="R8" s="247">
        <v>0</v>
      </c>
      <c r="S8" s="247">
        <v>0</v>
      </c>
      <c r="T8" s="247">
        <v>0</v>
      </c>
      <c r="U8" s="247">
        <v>0</v>
      </c>
      <c r="V8" s="247">
        <v>0</v>
      </c>
      <c r="W8" s="247">
        <v>0</v>
      </c>
      <c r="X8" s="248">
        <v>0</v>
      </c>
      <c r="Z8" s="276">
        <f>Est2018DistRev!Z8</f>
        <v>30796.16529635977</v>
      </c>
      <c r="AA8" s="250">
        <f>Est2018DistRev!AA8</f>
        <v>103793921.82591532</v>
      </c>
      <c r="AB8" s="250">
        <f>Est2018DistRev!AB8</f>
        <v>0</v>
      </c>
      <c r="AC8" s="250">
        <f>Est2018DistRev!AC8</f>
        <v>0</v>
      </c>
      <c r="AD8" s="250">
        <f>Est2018DistRev!AD8</f>
        <v>0</v>
      </c>
      <c r="AE8" s="250">
        <f>Est2018DistRev!AE8</f>
        <v>0</v>
      </c>
      <c r="AF8" s="250">
        <f>Est2018DistRev!AF8</f>
        <v>0</v>
      </c>
      <c r="AG8" s="250">
        <f>Est2018DistRev!AG8</f>
        <v>0</v>
      </c>
      <c r="AH8" s="250">
        <f>Est2018DistRev!AH8</f>
        <v>0</v>
      </c>
      <c r="AI8" s="250">
        <f>Est2018DistRev!AI8</f>
        <v>0</v>
      </c>
      <c r="AJ8" s="250">
        <f>Est2018DistRev!AJ8</f>
        <v>0</v>
      </c>
      <c r="AK8" s="250">
        <f>Est2018DistRev!AK8</f>
        <v>0</v>
      </c>
      <c r="AL8" s="250">
        <f>Est2018DistRev!AL8</f>
        <v>0</v>
      </c>
      <c r="AM8" s="250">
        <f>Est2018DistRev!AM8</f>
        <v>0</v>
      </c>
      <c r="AN8" s="250">
        <f>Est2018DistRev!AN8</f>
        <v>0</v>
      </c>
      <c r="AO8" s="250">
        <f>Est2018DistRev!AO8</f>
        <v>0</v>
      </c>
      <c r="AP8" s="250">
        <f>Est2018DistRev!AP8</f>
        <v>0</v>
      </c>
      <c r="AQ8" s="250">
        <f>Est2018DistRev!AQ8</f>
        <v>0</v>
      </c>
      <c r="AR8" s="250">
        <f>Est2018DistRev!AR8</f>
        <v>0</v>
      </c>
      <c r="AS8" s="250">
        <f>Est2018DistRev!AS8</f>
        <v>0</v>
      </c>
      <c r="AT8" s="251">
        <f>Est2018DistRev!AT8</f>
        <v>0</v>
      </c>
      <c r="AV8" s="252">
        <f t="shared" si="4"/>
        <v>0</v>
      </c>
      <c r="AW8" s="220">
        <f t="shared" si="5"/>
        <v>809592.59024213953</v>
      </c>
      <c r="AX8" s="220">
        <f t="shared" si="6"/>
        <v>0</v>
      </c>
      <c r="AY8" s="220">
        <f t="shared" si="7"/>
        <v>0</v>
      </c>
      <c r="AZ8" s="220">
        <f t="shared" si="8"/>
        <v>0</v>
      </c>
      <c r="BA8" s="220">
        <f t="shared" si="9"/>
        <v>0</v>
      </c>
      <c r="BB8" s="220">
        <f t="shared" si="10"/>
        <v>0</v>
      </c>
      <c r="BC8" s="220">
        <f t="shared" si="11"/>
        <v>0</v>
      </c>
      <c r="BD8" s="220">
        <f t="shared" si="12"/>
        <v>0</v>
      </c>
      <c r="BE8" s="220">
        <f t="shared" si="13"/>
        <v>0</v>
      </c>
      <c r="BF8" s="220">
        <f t="shared" si="14"/>
        <v>0</v>
      </c>
      <c r="BG8" s="220">
        <f t="shared" si="15"/>
        <v>0</v>
      </c>
      <c r="BH8" s="220">
        <f t="shared" si="16"/>
        <v>0</v>
      </c>
      <c r="BI8" s="253">
        <f t="shared" si="17"/>
        <v>0</v>
      </c>
      <c r="BJ8" s="253">
        <f t="shared" si="18"/>
        <v>0</v>
      </c>
      <c r="BK8" s="253">
        <f t="shared" si="19"/>
        <v>0</v>
      </c>
      <c r="BL8" s="253">
        <f t="shared" si="20"/>
        <v>0</v>
      </c>
      <c r="BM8" s="253">
        <f t="shared" si="21"/>
        <v>0</v>
      </c>
      <c r="BN8" s="253">
        <f t="shared" si="22"/>
        <v>0</v>
      </c>
      <c r="BO8" s="253">
        <f t="shared" si="23"/>
        <v>0</v>
      </c>
      <c r="BP8" s="253">
        <f t="shared" si="24"/>
        <v>0</v>
      </c>
      <c r="BQ8" s="254">
        <f t="shared" si="25"/>
        <v>809592.59024213953</v>
      </c>
    </row>
    <row r="9" spans="2:69" x14ac:dyDescent="0.2">
      <c r="B9" s="234" t="str">
        <f>Est2018DistRev!B9</f>
        <v>Residential - flexible pricing</v>
      </c>
      <c r="D9" s="317">
        <v>0</v>
      </c>
      <c r="E9" s="247">
        <v>0</v>
      </c>
      <c r="F9" s="247">
        <v>0</v>
      </c>
      <c r="G9" s="247">
        <v>0</v>
      </c>
      <c r="H9" s="247">
        <v>0</v>
      </c>
      <c r="I9" s="247">
        <v>0</v>
      </c>
      <c r="J9" s="247">
        <v>0</v>
      </c>
      <c r="K9" s="247">
        <v>0</v>
      </c>
      <c r="L9" s="247">
        <v>0</v>
      </c>
      <c r="M9" s="247">
        <v>0</v>
      </c>
      <c r="N9" s="247">
        <v>0</v>
      </c>
      <c r="O9" s="247">
        <v>0</v>
      </c>
      <c r="P9" s="247">
        <v>0</v>
      </c>
      <c r="Q9" s="247">
        <v>2.15</v>
      </c>
      <c r="R9" s="247">
        <v>1.45</v>
      </c>
      <c r="S9" s="247">
        <v>0.56999999999999995</v>
      </c>
      <c r="T9" s="247">
        <v>0</v>
      </c>
      <c r="U9" s="247">
        <v>2.15</v>
      </c>
      <c r="V9" s="247">
        <v>1.45</v>
      </c>
      <c r="W9" s="247">
        <v>0.56999999999999995</v>
      </c>
      <c r="X9" s="248">
        <v>0</v>
      </c>
      <c r="Z9" s="276">
        <f>Est2018DistRev!Z9</f>
        <v>692.19902131802507</v>
      </c>
      <c r="AA9" s="250">
        <f>Est2018DistRev!AA9</f>
        <v>0</v>
      </c>
      <c r="AB9" s="250">
        <f>Est2018DistRev!AB9</f>
        <v>0</v>
      </c>
      <c r="AC9" s="250">
        <f>Est2018DistRev!AC9</f>
        <v>0</v>
      </c>
      <c r="AD9" s="250">
        <f>Est2018DistRev!AD9</f>
        <v>0</v>
      </c>
      <c r="AE9" s="250">
        <f>Est2018DistRev!AE9</f>
        <v>0</v>
      </c>
      <c r="AF9" s="250">
        <f>Est2018DistRev!AF9</f>
        <v>0</v>
      </c>
      <c r="AG9" s="250">
        <f>Est2018DistRev!AG9</f>
        <v>0</v>
      </c>
      <c r="AH9" s="250">
        <f>Est2018DistRev!AH9</f>
        <v>0</v>
      </c>
      <c r="AI9" s="250">
        <f>Est2018DistRev!AI9</f>
        <v>0</v>
      </c>
      <c r="AJ9" s="250">
        <f>Est2018DistRev!AJ9</f>
        <v>0</v>
      </c>
      <c r="AK9" s="250">
        <f>Est2018DistRev!AK9</f>
        <v>0</v>
      </c>
      <c r="AL9" s="250">
        <f>Est2018DistRev!AL9</f>
        <v>0</v>
      </c>
      <c r="AM9" s="250">
        <f>Est2018DistRev!AM9</f>
        <v>209399.38859650321</v>
      </c>
      <c r="AN9" s="250">
        <f>Est2018DistRev!AN9</f>
        <v>421530.70937171311</v>
      </c>
      <c r="AO9" s="250">
        <f>Est2018DistRev!AO9</f>
        <v>295381.02379908122</v>
      </c>
      <c r="AP9" s="250">
        <f>Est2018DistRev!AP9</f>
        <v>0</v>
      </c>
      <c r="AQ9" s="250">
        <f>Est2018DistRev!AQ9</f>
        <v>766444.76391363656</v>
      </c>
      <c r="AR9" s="250">
        <f>Est2018DistRev!AR9</f>
        <v>1512235.2073960255</v>
      </c>
      <c r="AS9" s="250">
        <f>Est2018DistRev!AS9</f>
        <v>1077906.585130814</v>
      </c>
      <c r="AT9" s="251">
        <f>Est2018DistRev!AT9</f>
        <v>0</v>
      </c>
      <c r="AV9" s="252">
        <f t="shared" si="4"/>
        <v>0</v>
      </c>
      <c r="AW9" s="220">
        <f t="shared" si="5"/>
        <v>0</v>
      </c>
      <c r="AX9" s="220">
        <f t="shared" si="6"/>
        <v>0</v>
      </c>
      <c r="AY9" s="220">
        <f t="shared" si="7"/>
        <v>0</v>
      </c>
      <c r="AZ9" s="220">
        <f t="shared" si="8"/>
        <v>0</v>
      </c>
      <c r="BA9" s="220">
        <f t="shared" si="9"/>
        <v>0</v>
      </c>
      <c r="BB9" s="220">
        <f t="shared" si="10"/>
        <v>0</v>
      </c>
      <c r="BC9" s="220">
        <f t="shared" si="11"/>
        <v>0</v>
      </c>
      <c r="BD9" s="220">
        <f t="shared" si="12"/>
        <v>0</v>
      </c>
      <c r="BE9" s="220">
        <f t="shared" si="13"/>
        <v>0</v>
      </c>
      <c r="BF9" s="220">
        <f t="shared" si="14"/>
        <v>0</v>
      </c>
      <c r="BG9" s="220">
        <f t="shared" si="15"/>
        <v>0</v>
      </c>
      <c r="BH9" s="220">
        <f t="shared" si="16"/>
        <v>0</v>
      </c>
      <c r="BI9" s="253">
        <f t="shared" si="17"/>
        <v>4502.0868548248191</v>
      </c>
      <c r="BJ9" s="253">
        <f t="shared" si="18"/>
        <v>6112.1952858898394</v>
      </c>
      <c r="BK9" s="253">
        <f t="shared" si="19"/>
        <v>1683.6718356547628</v>
      </c>
      <c r="BL9" s="253">
        <f t="shared" si="20"/>
        <v>0</v>
      </c>
      <c r="BM9" s="253">
        <f t="shared" si="21"/>
        <v>16478.562424143183</v>
      </c>
      <c r="BN9" s="253">
        <f t="shared" si="22"/>
        <v>21927.41050724237</v>
      </c>
      <c r="BO9" s="253">
        <f t="shared" si="23"/>
        <v>6144.0675352456392</v>
      </c>
      <c r="BP9" s="253">
        <f t="shared" si="24"/>
        <v>0</v>
      </c>
      <c r="BQ9" s="254">
        <f t="shared" si="25"/>
        <v>56847.994443000614</v>
      </c>
    </row>
    <row r="10" spans="2:69" x14ac:dyDescent="0.2">
      <c r="B10" s="234" t="str">
        <f>Est2018DistRev!B10</f>
        <v>Residential - flexible pricing bulk</v>
      </c>
      <c r="D10" s="317">
        <v>0</v>
      </c>
      <c r="E10" s="247">
        <v>0</v>
      </c>
      <c r="F10" s="247">
        <v>0</v>
      </c>
      <c r="G10" s="247">
        <v>0</v>
      </c>
      <c r="H10" s="247">
        <v>0</v>
      </c>
      <c r="I10" s="247">
        <v>0</v>
      </c>
      <c r="J10" s="247">
        <v>0</v>
      </c>
      <c r="K10" s="247">
        <v>0</v>
      </c>
      <c r="L10" s="247">
        <v>0</v>
      </c>
      <c r="M10" s="247">
        <v>0</v>
      </c>
      <c r="N10" s="247">
        <v>0</v>
      </c>
      <c r="O10" s="247">
        <v>0</v>
      </c>
      <c r="P10" s="247">
        <v>0</v>
      </c>
      <c r="Q10" s="247">
        <v>1.72</v>
      </c>
      <c r="R10" s="247">
        <v>1.1599999999999999</v>
      </c>
      <c r="S10" s="247">
        <v>0.45</v>
      </c>
      <c r="T10" s="247">
        <v>0</v>
      </c>
      <c r="U10" s="247">
        <v>1.72</v>
      </c>
      <c r="V10" s="247">
        <v>1.1599999999999999</v>
      </c>
      <c r="W10" s="247">
        <v>0.45</v>
      </c>
      <c r="X10" s="248">
        <v>0</v>
      </c>
      <c r="Z10" s="276">
        <f>Est2018DistRev!Z10</f>
        <v>86</v>
      </c>
      <c r="AA10" s="250">
        <f>Est2018DistRev!AA10</f>
        <v>0</v>
      </c>
      <c r="AB10" s="250">
        <f>Est2018DistRev!AB10</f>
        <v>0</v>
      </c>
      <c r="AC10" s="250">
        <f>Est2018DistRev!AC10</f>
        <v>0</v>
      </c>
      <c r="AD10" s="250">
        <f>Est2018DistRev!AD10</f>
        <v>0</v>
      </c>
      <c r="AE10" s="250">
        <f>Est2018DistRev!AE10</f>
        <v>0</v>
      </c>
      <c r="AF10" s="250">
        <f>Est2018DistRev!AF10</f>
        <v>0</v>
      </c>
      <c r="AG10" s="250">
        <f>Est2018DistRev!AG10</f>
        <v>0</v>
      </c>
      <c r="AH10" s="250">
        <f>Est2018DistRev!AH10</f>
        <v>0</v>
      </c>
      <c r="AI10" s="250">
        <f>Est2018DistRev!AI10</f>
        <v>0</v>
      </c>
      <c r="AJ10" s="250">
        <f>Est2018DistRev!AJ10</f>
        <v>0</v>
      </c>
      <c r="AK10" s="250">
        <f>Est2018DistRev!AK10</f>
        <v>0</v>
      </c>
      <c r="AL10" s="250">
        <f>Est2018DistRev!AL10</f>
        <v>0</v>
      </c>
      <c r="AM10" s="250">
        <f>Est2018DistRev!AM10</f>
        <v>14822.463938670589</v>
      </c>
      <c r="AN10" s="250">
        <f>Est2018DistRev!AN10</f>
        <v>30911.094070728293</v>
      </c>
      <c r="AO10" s="250">
        <f>Est2018DistRev!AO10</f>
        <v>25018.291769002386</v>
      </c>
      <c r="AP10" s="250">
        <f>Est2018DistRev!AP10</f>
        <v>0</v>
      </c>
      <c r="AQ10" s="250">
        <f>Est2018DistRev!AQ10</f>
        <v>55723.871652863061</v>
      </c>
      <c r="AR10" s="250">
        <f>Est2018DistRev!AR10</f>
        <v>110586.63633768729</v>
      </c>
      <c r="AS10" s="250">
        <f>Est2018DistRev!AS10</f>
        <v>89504.208037036224</v>
      </c>
      <c r="AT10" s="251">
        <f>Est2018DistRev!AT10</f>
        <v>0</v>
      </c>
      <c r="AV10" s="252">
        <f t="shared" si="4"/>
        <v>0</v>
      </c>
      <c r="AW10" s="220">
        <f t="shared" si="5"/>
        <v>0</v>
      </c>
      <c r="AX10" s="220">
        <f t="shared" si="6"/>
        <v>0</v>
      </c>
      <c r="AY10" s="220">
        <f t="shared" si="7"/>
        <v>0</v>
      </c>
      <c r="AZ10" s="220">
        <f t="shared" si="8"/>
        <v>0</v>
      </c>
      <c r="BA10" s="220">
        <f t="shared" si="9"/>
        <v>0</v>
      </c>
      <c r="BB10" s="220">
        <f t="shared" si="10"/>
        <v>0</v>
      </c>
      <c r="BC10" s="220">
        <f t="shared" si="11"/>
        <v>0</v>
      </c>
      <c r="BD10" s="220">
        <f t="shared" si="12"/>
        <v>0</v>
      </c>
      <c r="BE10" s="220">
        <f t="shared" si="13"/>
        <v>0</v>
      </c>
      <c r="BF10" s="220">
        <f t="shared" si="14"/>
        <v>0</v>
      </c>
      <c r="BG10" s="220">
        <f t="shared" si="15"/>
        <v>0</v>
      </c>
      <c r="BH10" s="220">
        <f t="shared" si="16"/>
        <v>0</v>
      </c>
      <c r="BI10" s="253">
        <f t="shared" si="17"/>
        <v>254.94637974513415</v>
      </c>
      <c r="BJ10" s="253">
        <f t="shared" si="18"/>
        <v>358.56869122044816</v>
      </c>
      <c r="BK10" s="253">
        <f t="shared" si="19"/>
        <v>112.58231296051075</v>
      </c>
      <c r="BL10" s="253">
        <f t="shared" si="20"/>
        <v>0</v>
      </c>
      <c r="BM10" s="253">
        <f t="shared" si="21"/>
        <v>958.45059242924469</v>
      </c>
      <c r="BN10" s="253">
        <f t="shared" si="22"/>
        <v>1282.8049815171726</v>
      </c>
      <c r="BO10" s="253">
        <f t="shared" si="23"/>
        <v>402.76893616666308</v>
      </c>
      <c r="BP10" s="253">
        <f t="shared" si="24"/>
        <v>0</v>
      </c>
      <c r="BQ10" s="254">
        <f t="shared" si="25"/>
        <v>3370.1218940391732</v>
      </c>
    </row>
    <row r="11" spans="2:69" x14ac:dyDescent="0.2">
      <c r="B11" s="234" t="str">
        <f>Est2018DistRev!B11</f>
        <v>Residential Two Rate 5d</v>
      </c>
      <c r="D11" s="317">
        <v>0</v>
      </c>
      <c r="E11" s="247">
        <v>0</v>
      </c>
      <c r="F11" s="247">
        <v>1.94</v>
      </c>
      <c r="G11" s="247">
        <v>0</v>
      </c>
      <c r="H11" s="247">
        <v>0</v>
      </c>
      <c r="I11" s="247">
        <v>0.41</v>
      </c>
      <c r="J11" s="247">
        <v>0</v>
      </c>
      <c r="K11" s="247">
        <v>0</v>
      </c>
      <c r="L11" s="247">
        <v>0</v>
      </c>
      <c r="M11" s="247">
        <v>0</v>
      </c>
      <c r="N11" s="247">
        <v>0</v>
      </c>
      <c r="O11" s="247">
        <v>0</v>
      </c>
      <c r="P11" s="247">
        <v>0</v>
      </c>
      <c r="Q11" s="247">
        <v>0</v>
      </c>
      <c r="R11" s="247">
        <v>0</v>
      </c>
      <c r="S11" s="247">
        <v>0</v>
      </c>
      <c r="T11" s="247">
        <v>0</v>
      </c>
      <c r="U11" s="247">
        <v>0</v>
      </c>
      <c r="V11" s="247">
        <v>0</v>
      </c>
      <c r="W11" s="247">
        <v>0</v>
      </c>
      <c r="X11" s="248">
        <v>0</v>
      </c>
      <c r="Z11" s="276">
        <f>Est2018DistRev!Z11</f>
        <v>10844.918915256892</v>
      </c>
      <c r="AA11" s="250">
        <f>Est2018DistRev!AA11</f>
        <v>0</v>
      </c>
      <c r="AB11" s="250">
        <f>Est2018DistRev!AB11</f>
        <v>34303841.218867712</v>
      </c>
      <c r="AC11" s="250">
        <f>Est2018DistRev!AC11</f>
        <v>0</v>
      </c>
      <c r="AD11" s="250">
        <f>Est2018DistRev!AD11</f>
        <v>0</v>
      </c>
      <c r="AE11" s="250">
        <f>Est2018DistRev!AE11</f>
        <v>29910228.5348082</v>
      </c>
      <c r="AF11" s="250">
        <f>Est2018DistRev!AF11</f>
        <v>0</v>
      </c>
      <c r="AG11" s="250">
        <f>Est2018DistRev!AG11</f>
        <v>0</v>
      </c>
      <c r="AH11" s="250">
        <f>Est2018DistRev!AH11</f>
        <v>0</v>
      </c>
      <c r="AI11" s="250">
        <f>Est2018DistRev!AI11</f>
        <v>0</v>
      </c>
      <c r="AJ11" s="250">
        <f>Est2018DistRev!AJ11</f>
        <v>0</v>
      </c>
      <c r="AK11" s="250">
        <f>Est2018DistRev!AK11</f>
        <v>0</v>
      </c>
      <c r="AL11" s="250">
        <f>Est2018DistRev!AL11</f>
        <v>0</v>
      </c>
      <c r="AM11" s="250">
        <f>Est2018DistRev!AM11</f>
        <v>0</v>
      </c>
      <c r="AN11" s="250">
        <f>Est2018DistRev!AN11</f>
        <v>0</v>
      </c>
      <c r="AO11" s="250">
        <f>Est2018DistRev!AO11</f>
        <v>0</v>
      </c>
      <c r="AP11" s="250">
        <f>Est2018DistRev!AP11</f>
        <v>0</v>
      </c>
      <c r="AQ11" s="250">
        <f>Est2018DistRev!AQ11</f>
        <v>0</v>
      </c>
      <c r="AR11" s="250">
        <f>Est2018DistRev!AR11</f>
        <v>0</v>
      </c>
      <c r="AS11" s="250">
        <f>Est2018DistRev!AS11</f>
        <v>0</v>
      </c>
      <c r="AT11" s="251">
        <f>Est2018DistRev!AT11</f>
        <v>0</v>
      </c>
      <c r="AV11" s="252">
        <f t="shared" si="4"/>
        <v>0</v>
      </c>
      <c r="AW11" s="220">
        <f t="shared" si="5"/>
        <v>0</v>
      </c>
      <c r="AX11" s="220">
        <f t="shared" si="6"/>
        <v>665494.51964603364</v>
      </c>
      <c r="AY11" s="220">
        <f t="shared" si="7"/>
        <v>0</v>
      </c>
      <c r="AZ11" s="220">
        <f t="shared" si="8"/>
        <v>0</v>
      </c>
      <c r="BA11" s="220">
        <f t="shared" si="9"/>
        <v>122631.9369927136</v>
      </c>
      <c r="BB11" s="220">
        <f t="shared" si="10"/>
        <v>0</v>
      </c>
      <c r="BC11" s="220">
        <f t="shared" si="11"/>
        <v>0</v>
      </c>
      <c r="BD11" s="220">
        <f t="shared" si="12"/>
        <v>0</v>
      </c>
      <c r="BE11" s="220">
        <f t="shared" si="13"/>
        <v>0</v>
      </c>
      <c r="BF11" s="220">
        <f t="shared" si="14"/>
        <v>0</v>
      </c>
      <c r="BG11" s="220">
        <f t="shared" si="15"/>
        <v>0</v>
      </c>
      <c r="BH11" s="220">
        <f t="shared" si="16"/>
        <v>0</v>
      </c>
      <c r="BI11" s="253">
        <f t="shared" si="17"/>
        <v>0</v>
      </c>
      <c r="BJ11" s="253">
        <f t="shared" si="18"/>
        <v>0</v>
      </c>
      <c r="BK11" s="253">
        <f t="shared" si="19"/>
        <v>0</v>
      </c>
      <c r="BL11" s="253">
        <f t="shared" si="20"/>
        <v>0</v>
      </c>
      <c r="BM11" s="253">
        <f t="shared" si="21"/>
        <v>0</v>
      </c>
      <c r="BN11" s="253">
        <f t="shared" si="22"/>
        <v>0</v>
      </c>
      <c r="BO11" s="253">
        <f t="shared" si="23"/>
        <v>0</v>
      </c>
      <c r="BP11" s="253">
        <f t="shared" si="24"/>
        <v>0</v>
      </c>
      <c r="BQ11" s="254">
        <f t="shared" si="25"/>
        <v>788126.45663874724</v>
      </c>
    </row>
    <row r="12" spans="2:69" x14ac:dyDescent="0.2">
      <c r="B12" s="234" t="str">
        <f>Est2018DistRev!B12</f>
        <v>Residential Two Rate 5d - Bulk</v>
      </c>
      <c r="D12" s="317">
        <v>0</v>
      </c>
      <c r="E12" s="247">
        <v>0</v>
      </c>
      <c r="F12" s="247">
        <v>1.65</v>
      </c>
      <c r="G12" s="247">
        <v>0</v>
      </c>
      <c r="H12" s="247">
        <v>0</v>
      </c>
      <c r="I12" s="247">
        <v>0.38</v>
      </c>
      <c r="J12" s="247">
        <v>0</v>
      </c>
      <c r="K12" s="247">
        <v>0</v>
      </c>
      <c r="L12" s="247">
        <v>0</v>
      </c>
      <c r="M12" s="247">
        <v>0</v>
      </c>
      <c r="N12" s="247">
        <v>0</v>
      </c>
      <c r="O12" s="247">
        <v>0</v>
      </c>
      <c r="P12" s="247">
        <v>0</v>
      </c>
      <c r="Q12" s="247">
        <v>0</v>
      </c>
      <c r="R12" s="247">
        <v>0</v>
      </c>
      <c r="S12" s="247">
        <v>0</v>
      </c>
      <c r="T12" s="247">
        <v>0</v>
      </c>
      <c r="U12" s="247">
        <v>0</v>
      </c>
      <c r="V12" s="247">
        <v>0</v>
      </c>
      <c r="W12" s="247">
        <v>0</v>
      </c>
      <c r="X12" s="248">
        <v>0</v>
      </c>
      <c r="Z12" s="276">
        <f>Est2018DistRev!Z12</f>
        <v>4325.4798963063058</v>
      </c>
      <c r="AA12" s="250">
        <f>Est2018DistRev!AA12</f>
        <v>0</v>
      </c>
      <c r="AB12" s="250">
        <f>Est2018DistRev!AB12</f>
        <v>11937966.333181802</v>
      </c>
      <c r="AC12" s="250">
        <f>Est2018DistRev!AC12</f>
        <v>0</v>
      </c>
      <c r="AD12" s="250">
        <f>Est2018DistRev!AD12</f>
        <v>0</v>
      </c>
      <c r="AE12" s="250">
        <f>Est2018DistRev!AE12</f>
        <v>10332699.15836278</v>
      </c>
      <c r="AF12" s="250">
        <f>Est2018DistRev!AF12</f>
        <v>0</v>
      </c>
      <c r="AG12" s="250">
        <f>Est2018DistRev!AG12</f>
        <v>0</v>
      </c>
      <c r="AH12" s="250">
        <f>Est2018DistRev!AH12</f>
        <v>0</v>
      </c>
      <c r="AI12" s="250">
        <f>Est2018DistRev!AI12</f>
        <v>0</v>
      </c>
      <c r="AJ12" s="250">
        <f>Est2018DistRev!AJ12</f>
        <v>0</v>
      </c>
      <c r="AK12" s="250">
        <f>Est2018DistRev!AK12</f>
        <v>0</v>
      </c>
      <c r="AL12" s="250">
        <f>Est2018DistRev!AL12</f>
        <v>0</v>
      </c>
      <c r="AM12" s="250">
        <f>Est2018DistRev!AM12</f>
        <v>0</v>
      </c>
      <c r="AN12" s="250">
        <f>Est2018DistRev!AN12</f>
        <v>0</v>
      </c>
      <c r="AO12" s="250">
        <f>Est2018DistRev!AO12</f>
        <v>0</v>
      </c>
      <c r="AP12" s="250">
        <f>Est2018DistRev!AP12</f>
        <v>0</v>
      </c>
      <c r="AQ12" s="250">
        <f>Est2018DistRev!AQ12</f>
        <v>0</v>
      </c>
      <c r="AR12" s="250">
        <f>Est2018DistRev!AR12</f>
        <v>0</v>
      </c>
      <c r="AS12" s="250">
        <f>Est2018DistRev!AS12</f>
        <v>0</v>
      </c>
      <c r="AT12" s="251">
        <f>Est2018DistRev!AT12</f>
        <v>0</v>
      </c>
      <c r="AV12" s="252">
        <f t="shared" si="4"/>
        <v>0</v>
      </c>
      <c r="AW12" s="220">
        <f t="shared" si="5"/>
        <v>0</v>
      </c>
      <c r="AX12" s="220">
        <f t="shared" si="6"/>
        <v>196976.44449749973</v>
      </c>
      <c r="AY12" s="220">
        <f t="shared" si="7"/>
        <v>0</v>
      </c>
      <c r="AZ12" s="220">
        <f t="shared" si="8"/>
        <v>0</v>
      </c>
      <c r="BA12" s="220">
        <f t="shared" si="9"/>
        <v>39264.25680177856</v>
      </c>
      <c r="BB12" s="220">
        <f t="shared" si="10"/>
        <v>0</v>
      </c>
      <c r="BC12" s="220">
        <f t="shared" si="11"/>
        <v>0</v>
      </c>
      <c r="BD12" s="220">
        <f t="shared" si="12"/>
        <v>0</v>
      </c>
      <c r="BE12" s="220">
        <f t="shared" si="13"/>
        <v>0</v>
      </c>
      <c r="BF12" s="220">
        <f t="shared" si="14"/>
        <v>0</v>
      </c>
      <c r="BG12" s="220">
        <f t="shared" si="15"/>
        <v>0</v>
      </c>
      <c r="BH12" s="220">
        <f t="shared" si="16"/>
        <v>0</v>
      </c>
      <c r="BI12" s="253">
        <f t="shared" si="17"/>
        <v>0</v>
      </c>
      <c r="BJ12" s="253">
        <f t="shared" si="18"/>
        <v>0</v>
      </c>
      <c r="BK12" s="253">
        <f t="shared" si="19"/>
        <v>0</v>
      </c>
      <c r="BL12" s="253">
        <f t="shared" si="20"/>
        <v>0</v>
      </c>
      <c r="BM12" s="253">
        <f t="shared" si="21"/>
        <v>0</v>
      </c>
      <c r="BN12" s="253">
        <f t="shared" si="22"/>
        <v>0</v>
      </c>
      <c r="BO12" s="253">
        <f t="shared" si="23"/>
        <v>0</v>
      </c>
      <c r="BP12" s="253">
        <f t="shared" si="24"/>
        <v>0</v>
      </c>
      <c r="BQ12" s="254">
        <f t="shared" si="25"/>
        <v>236240.7012992783</v>
      </c>
    </row>
    <row r="13" spans="2:69" x14ac:dyDescent="0.2">
      <c r="B13" s="234" t="str">
        <f>Est2018DistRev!B13</f>
        <v>Residential Interval</v>
      </c>
      <c r="D13" s="317">
        <v>0</v>
      </c>
      <c r="E13" s="247">
        <v>0</v>
      </c>
      <c r="F13" s="247">
        <v>1.94</v>
      </c>
      <c r="G13" s="247">
        <v>0</v>
      </c>
      <c r="H13" s="247">
        <v>0</v>
      </c>
      <c r="I13" s="247">
        <v>0.41</v>
      </c>
      <c r="J13" s="247">
        <v>0</v>
      </c>
      <c r="K13" s="247">
        <v>0</v>
      </c>
      <c r="L13" s="247">
        <v>0</v>
      </c>
      <c r="M13" s="247">
        <v>0</v>
      </c>
      <c r="N13" s="247">
        <v>0</v>
      </c>
      <c r="O13" s="247">
        <v>0</v>
      </c>
      <c r="P13" s="247">
        <v>0</v>
      </c>
      <c r="Q13" s="247">
        <v>0</v>
      </c>
      <c r="R13" s="247">
        <v>0</v>
      </c>
      <c r="S13" s="247">
        <v>0</v>
      </c>
      <c r="T13" s="247">
        <v>0</v>
      </c>
      <c r="U13" s="247">
        <v>0</v>
      </c>
      <c r="V13" s="247">
        <v>0</v>
      </c>
      <c r="W13" s="247">
        <v>0</v>
      </c>
      <c r="X13" s="248">
        <v>0</v>
      </c>
      <c r="Z13" s="276">
        <f>Est2018DistRev!Z13</f>
        <v>17220.894511590293</v>
      </c>
      <c r="AA13" s="250">
        <f>Est2018DistRev!AA13</f>
        <v>0</v>
      </c>
      <c r="AB13" s="250">
        <f>Est2018DistRev!AB13</f>
        <v>60059088.859664425</v>
      </c>
      <c r="AC13" s="250">
        <f>Est2018DistRev!AC13</f>
        <v>0</v>
      </c>
      <c r="AD13" s="250">
        <f>Est2018DistRev!AD13</f>
        <v>0</v>
      </c>
      <c r="AE13" s="250">
        <f>Est2018DistRev!AE13</f>
        <v>52811678.164143428</v>
      </c>
      <c r="AF13" s="250">
        <f>Est2018DistRev!AF13</f>
        <v>0</v>
      </c>
      <c r="AG13" s="250">
        <f>Est2018DistRev!AG13</f>
        <v>0</v>
      </c>
      <c r="AH13" s="250">
        <f>Est2018DistRev!AH13</f>
        <v>0</v>
      </c>
      <c r="AI13" s="250">
        <f>Est2018DistRev!AI13</f>
        <v>0</v>
      </c>
      <c r="AJ13" s="250">
        <f>Est2018DistRev!AJ13</f>
        <v>0</v>
      </c>
      <c r="AK13" s="250">
        <f>Est2018DistRev!AK13</f>
        <v>0</v>
      </c>
      <c r="AL13" s="250">
        <f>Est2018DistRev!AL13</f>
        <v>0</v>
      </c>
      <c r="AM13" s="250">
        <f>Est2018DistRev!AM13</f>
        <v>0</v>
      </c>
      <c r="AN13" s="250">
        <f>Est2018DistRev!AN13</f>
        <v>0</v>
      </c>
      <c r="AO13" s="250">
        <f>Est2018DistRev!AO13</f>
        <v>0</v>
      </c>
      <c r="AP13" s="250">
        <f>Est2018DistRev!AP13</f>
        <v>0</v>
      </c>
      <c r="AQ13" s="250">
        <f>Est2018DistRev!AQ13</f>
        <v>0</v>
      </c>
      <c r="AR13" s="250">
        <f>Est2018DistRev!AR13</f>
        <v>0</v>
      </c>
      <c r="AS13" s="250">
        <f>Est2018DistRev!AS13</f>
        <v>0</v>
      </c>
      <c r="AT13" s="251">
        <f>Est2018DistRev!AT13</f>
        <v>0</v>
      </c>
      <c r="AV13" s="252">
        <f t="shared" si="4"/>
        <v>0</v>
      </c>
      <c r="AW13" s="220">
        <f t="shared" si="5"/>
        <v>0</v>
      </c>
      <c r="AX13" s="220">
        <f t="shared" si="6"/>
        <v>1165146.3238774899</v>
      </c>
      <c r="AY13" s="220">
        <f t="shared" si="7"/>
        <v>0</v>
      </c>
      <c r="AZ13" s="220">
        <f t="shared" si="8"/>
        <v>0</v>
      </c>
      <c r="BA13" s="220">
        <f t="shared" si="9"/>
        <v>216527.88047298804</v>
      </c>
      <c r="BB13" s="220">
        <f t="shared" si="10"/>
        <v>0</v>
      </c>
      <c r="BC13" s="220">
        <f t="shared" si="11"/>
        <v>0</v>
      </c>
      <c r="BD13" s="220">
        <f t="shared" si="12"/>
        <v>0</v>
      </c>
      <c r="BE13" s="220">
        <f t="shared" si="13"/>
        <v>0</v>
      </c>
      <c r="BF13" s="220">
        <f t="shared" si="14"/>
        <v>0</v>
      </c>
      <c r="BG13" s="220">
        <f t="shared" si="15"/>
        <v>0</v>
      </c>
      <c r="BH13" s="220">
        <f t="shared" si="16"/>
        <v>0</v>
      </c>
      <c r="BI13" s="253">
        <f t="shared" si="17"/>
        <v>0</v>
      </c>
      <c r="BJ13" s="253">
        <f t="shared" si="18"/>
        <v>0</v>
      </c>
      <c r="BK13" s="253">
        <f t="shared" si="19"/>
        <v>0</v>
      </c>
      <c r="BL13" s="253">
        <f t="shared" si="20"/>
        <v>0</v>
      </c>
      <c r="BM13" s="253">
        <f t="shared" si="21"/>
        <v>0</v>
      </c>
      <c r="BN13" s="253">
        <f t="shared" si="22"/>
        <v>0</v>
      </c>
      <c r="BO13" s="253">
        <f t="shared" si="23"/>
        <v>0</v>
      </c>
      <c r="BP13" s="253">
        <f t="shared" si="24"/>
        <v>0</v>
      </c>
      <c r="BQ13" s="254">
        <f t="shared" si="25"/>
        <v>1381674.204350478</v>
      </c>
    </row>
    <row r="14" spans="2:69" x14ac:dyDescent="0.2">
      <c r="B14" s="234" t="str">
        <f>Est2018DistRev!B14</f>
        <v>Residential Interval - Bulk</v>
      </c>
      <c r="D14" s="317">
        <v>0</v>
      </c>
      <c r="E14" s="247">
        <v>0</v>
      </c>
      <c r="F14" s="247">
        <v>1.65</v>
      </c>
      <c r="G14" s="247">
        <v>0</v>
      </c>
      <c r="H14" s="247">
        <v>0</v>
      </c>
      <c r="I14" s="247">
        <v>0.38</v>
      </c>
      <c r="J14" s="247">
        <v>0</v>
      </c>
      <c r="K14" s="247">
        <v>0</v>
      </c>
      <c r="L14" s="247">
        <v>0</v>
      </c>
      <c r="M14" s="247">
        <v>0</v>
      </c>
      <c r="N14" s="247">
        <v>0</v>
      </c>
      <c r="O14" s="247">
        <v>0</v>
      </c>
      <c r="P14" s="247">
        <v>0</v>
      </c>
      <c r="Q14" s="247">
        <v>0</v>
      </c>
      <c r="R14" s="247">
        <v>0</v>
      </c>
      <c r="S14" s="247">
        <v>0</v>
      </c>
      <c r="T14" s="247">
        <v>0</v>
      </c>
      <c r="U14" s="247">
        <v>0</v>
      </c>
      <c r="V14" s="247">
        <v>0</v>
      </c>
      <c r="W14" s="247">
        <v>0</v>
      </c>
      <c r="X14" s="248">
        <v>0</v>
      </c>
      <c r="Z14" s="276">
        <f>Est2018DistRev!Z14</f>
        <v>8720.0761855865894</v>
      </c>
      <c r="AA14" s="250">
        <f>Est2018DistRev!AA14</f>
        <v>0</v>
      </c>
      <c r="AB14" s="250">
        <f>Est2018DistRev!AB14</f>
        <v>14985083.090693302</v>
      </c>
      <c r="AC14" s="250">
        <f>Est2018DistRev!AC14</f>
        <v>0</v>
      </c>
      <c r="AD14" s="250">
        <f>Est2018DistRev!AD14</f>
        <v>0</v>
      </c>
      <c r="AE14" s="250">
        <f>Est2018DistRev!AE14</f>
        <v>14138212.664102102</v>
      </c>
      <c r="AF14" s="250">
        <f>Est2018DistRev!AF14</f>
        <v>0</v>
      </c>
      <c r="AG14" s="250">
        <f>Est2018DistRev!AG14</f>
        <v>0</v>
      </c>
      <c r="AH14" s="250">
        <f>Est2018DistRev!AH14</f>
        <v>0</v>
      </c>
      <c r="AI14" s="250">
        <f>Est2018DistRev!AI14</f>
        <v>0</v>
      </c>
      <c r="AJ14" s="250">
        <f>Est2018DistRev!AJ14</f>
        <v>0</v>
      </c>
      <c r="AK14" s="250">
        <f>Est2018DistRev!AK14</f>
        <v>0</v>
      </c>
      <c r="AL14" s="250">
        <f>Est2018DistRev!AL14</f>
        <v>0</v>
      </c>
      <c r="AM14" s="250">
        <f>Est2018DistRev!AM14</f>
        <v>0</v>
      </c>
      <c r="AN14" s="250">
        <f>Est2018DistRev!AN14</f>
        <v>0</v>
      </c>
      <c r="AO14" s="250">
        <f>Est2018DistRev!AO14</f>
        <v>0</v>
      </c>
      <c r="AP14" s="250">
        <f>Est2018DistRev!AP14</f>
        <v>0</v>
      </c>
      <c r="AQ14" s="250">
        <f>Est2018DistRev!AQ14</f>
        <v>0</v>
      </c>
      <c r="AR14" s="250">
        <f>Est2018DistRev!AR14</f>
        <v>0</v>
      </c>
      <c r="AS14" s="250">
        <f>Est2018DistRev!AS14</f>
        <v>0</v>
      </c>
      <c r="AT14" s="251">
        <f>Est2018DistRev!AT14</f>
        <v>0</v>
      </c>
      <c r="AV14" s="252">
        <f t="shared" si="4"/>
        <v>0</v>
      </c>
      <c r="AW14" s="220">
        <f t="shared" si="5"/>
        <v>0</v>
      </c>
      <c r="AX14" s="220">
        <f t="shared" si="6"/>
        <v>247253.87099643951</v>
      </c>
      <c r="AY14" s="220">
        <f t="shared" si="7"/>
        <v>0</v>
      </c>
      <c r="AZ14" s="220">
        <f t="shared" si="8"/>
        <v>0</v>
      </c>
      <c r="BA14" s="220">
        <f t="shared" si="9"/>
        <v>53725.208123587989</v>
      </c>
      <c r="BB14" s="220">
        <f t="shared" si="10"/>
        <v>0</v>
      </c>
      <c r="BC14" s="220">
        <f t="shared" si="11"/>
        <v>0</v>
      </c>
      <c r="BD14" s="220">
        <f t="shared" si="12"/>
        <v>0</v>
      </c>
      <c r="BE14" s="220">
        <f t="shared" si="13"/>
        <v>0</v>
      </c>
      <c r="BF14" s="220">
        <f t="shared" si="14"/>
        <v>0</v>
      </c>
      <c r="BG14" s="220">
        <f t="shared" si="15"/>
        <v>0</v>
      </c>
      <c r="BH14" s="220">
        <f t="shared" si="16"/>
        <v>0</v>
      </c>
      <c r="BI14" s="253">
        <f t="shared" si="17"/>
        <v>0</v>
      </c>
      <c r="BJ14" s="253">
        <f t="shared" si="18"/>
        <v>0</v>
      </c>
      <c r="BK14" s="253">
        <f t="shared" si="19"/>
        <v>0</v>
      </c>
      <c r="BL14" s="253">
        <f t="shared" si="20"/>
        <v>0</v>
      </c>
      <c r="BM14" s="253">
        <f t="shared" si="21"/>
        <v>0</v>
      </c>
      <c r="BN14" s="253">
        <f t="shared" si="22"/>
        <v>0</v>
      </c>
      <c r="BO14" s="253">
        <f t="shared" si="23"/>
        <v>0</v>
      </c>
      <c r="BP14" s="253">
        <f t="shared" si="24"/>
        <v>0</v>
      </c>
      <c r="BQ14" s="254">
        <f t="shared" si="25"/>
        <v>300979.07912002748</v>
      </c>
    </row>
    <row r="15" spans="2:69" x14ac:dyDescent="0.2">
      <c r="B15" s="234" t="str">
        <f>Est2018DistRev!B15</f>
        <v>Residential Two Rate 5d - Controlled Load</v>
      </c>
      <c r="D15" s="317">
        <v>0</v>
      </c>
      <c r="E15" s="247">
        <v>0</v>
      </c>
      <c r="F15" s="247">
        <v>0</v>
      </c>
      <c r="G15" s="247">
        <v>0</v>
      </c>
      <c r="H15" s="247">
        <v>0</v>
      </c>
      <c r="I15" s="247">
        <v>0.35</v>
      </c>
      <c r="J15" s="247">
        <v>0</v>
      </c>
      <c r="K15" s="247">
        <v>0</v>
      </c>
      <c r="L15" s="247">
        <v>0</v>
      </c>
      <c r="M15" s="247">
        <v>0</v>
      </c>
      <c r="N15" s="247">
        <v>0</v>
      </c>
      <c r="O15" s="247">
        <v>0</v>
      </c>
      <c r="P15" s="247">
        <v>0</v>
      </c>
      <c r="Q15" s="247">
        <v>0</v>
      </c>
      <c r="R15" s="247">
        <v>0</v>
      </c>
      <c r="S15" s="247">
        <v>0</v>
      </c>
      <c r="T15" s="247">
        <v>0</v>
      </c>
      <c r="U15" s="247">
        <v>0</v>
      </c>
      <c r="V15" s="247">
        <v>0</v>
      </c>
      <c r="W15" s="247">
        <v>0</v>
      </c>
      <c r="X15" s="248">
        <v>0</v>
      </c>
      <c r="Z15" s="276">
        <f>Est2018DistRev!Z15</f>
        <v>9721.6356157284772</v>
      </c>
      <c r="AA15" s="250">
        <f>Est2018DistRev!AA15</f>
        <v>0</v>
      </c>
      <c r="AB15" s="250">
        <f>Est2018DistRev!AB15</f>
        <v>0</v>
      </c>
      <c r="AC15" s="250">
        <f>Est2018DistRev!AC15</f>
        <v>0</v>
      </c>
      <c r="AD15" s="250">
        <f>Est2018DistRev!AD15</f>
        <v>0</v>
      </c>
      <c r="AE15" s="250">
        <f>Est2018DistRev!AE15</f>
        <v>19909930.707670532</v>
      </c>
      <c r="AF15" s="250">
        <f>Est2018DistRev!AF15</f>
        <v>0</v>
      </c>
      <c r="AG15" s="250">
        <f>Est2018DistRev!AG15</f>
        <v>0</v>
      </c>
      <c r="AH15" s="250">
        <f>Est2018DistRev!AH15</f>
        <v>0</v>
      </c>
      <c r="AI15" s="250">
        <f>Est2018DistRev!AI15</f>
        <v>0</v>
      </c>
      <c r="AJ15" s="250">
        <f>Est2018DistRev!AJ15</f>
        <v>0</v>
      </c>
      <c r="AK15" s="250">
        <f>Est2018DistRev!AK15</f>
        <v>0</v>
      </c>
      <c r="AL15" s="250">
        <f>Est2018DistRev!AL15</f>
        <v>0</v>
      </c>
      <c r="AM15" s="250">
        <f>Est2018DistRev!AM15</f>
        <v>0</v>
      </c>
      <c r="AN15" s="250">
        <f>Est2018DistRev!AN15</f>
        <v>0</v>
      </c>
      <c r="AO15" s="250">
        <f>Est2018DistRev!AO15</f>
        <v>0</v>
      </c>
      <c r="AP15" s="250">
        <f>Est2018DistRev!AP15</f>
        <v>0</v>
      </c>
      <c r="AQ15" s="250">
        <f>Est2018DistRev!AQ15</f>
        <v>0</v>
      </c>
      <c r="AR15" s="250">
        <f>Est2018DistRev!AR15</f>
        <v>0</v>
      </c>
      <c r="AS15" s="250">
        <f>Est2018DistRev!AS15</f>
        <v>0</v>
      </c>
      <c r="AT15" s="251">
        <f>Est2018DistRev!AT15</f>
        <v>0</v>
      </c>
      <c r="AV15" s="252">
        <f t="shared" si="4"/>
        <v>0</v>
      </c>
      <c r="AW15" s="220">
        <f t="shared" si="5"/>
        <v>0</v>
      </c>
      <c r="AX15" s="220">
        <f t="shared" si="6"/>
        <v>0</v>
      </c>
      <c r="AY15" s="220">
        <f t="shared" si="7"/>
        <v>0</v>
      </c>
      <c r="AZ15" s="220">
        <f t="shared" si="8"/>
        <v>0</v>
      </c>
      <c r="BA15" s="220">
        <f t="shared" si="9"/>
        <v>69684.757476846862</v>
      </c>
      <c r="BB15" s="220">
        <f t="shared" si="10"/>
        <v>0</v>
      </c>
      <c r="BC15" s="220">
        <f t="shared" si="11"/>
        <v>0</v>
      </c>
      <c r="BD15" s="220">
        <f t="shared" si="12"/>
        <v>0</v>
      </c>
      <c r="BE15" s="220">
        <f t="shared" si="13"/>
        <v>0</v>
      </c>
      <c r="BF15" s="220">
        <f t="shared" si="14"/>
        <v>0</v>
      </c>
      <c r="BG15" s="220">
        <f t="shared" si="15"/>
        <v>0</v>
      </c>
      <c r="BH15" s="220">
        <f t="shared" si="16"/>
        <v>0</v>
      </c>
      <c r="BI15" s="253">
        <f t="shared" si="17"/>
        <v>0</v>
      </c>
      <c r="BJ15" s="253">
        <f t="shared" si="18"/>
        <v>0</v>
      </c>
      <c r="BK15" s="253">
        <f t="shared" si="19"/>
        <v>0</v>
      </c>
      <c r="BL15" s="253">
        <f t="shared" si="20"/>
        <v>0</v>
      </c>
      <c r="BM15" s="253">
        <f t="shared" si="21"/>
        <v>0</v>
      </c>
      <c r="BN15" s="253">
        <f t="shared" si="22"/>
        <v>0</v>
      </c>
      <c r="BO15" s="253">
        <f t="shared" si="23"/>
        <v>0</v>
      </c>
      <c r="BP15" s="253">
        <f t="shared" si="24"/>
        <v>0</v>
      </c>
      <c r="BQ15" s="254">
        <f t="shared" si="25"/>
        <v>69684.757476846862</v>
      </c>
    </row>
    <row r="16" spans="2:69" x14ac:dyDescent="0.2">
      <c r="B16" s="234" t="str">
        <f>Est2018DistRev!B16</f>
        <v>Residential Two Rate 5d - Bulk - Controlled Load</v>
      </c>
      <c r="D16" s="317">
        <v>0</v>
      </c>
      <c r="E16" s="247">
        <v>0</v>
      </c>
      <c r="F16" s="247">
        <v>0</v>
      </c>
      <c r="G16" s="247">
        <v>0</v>
      </c>
      <c r="H16" s="247">
        <v>0</v>
      </c>
      <c r="I16" s="247">
        <v>0.27</v>
      </c>
      <c r="J16" s="247">
        <v>0</v>
      </c>
      <c r="K16" s="247">
        <v>0</v>
      </c>
      <c r="L16" s="247">
        <v>0</v>
      </c>
      <c r="M16" s="247">
        <v>0</v>
      </c>
      <c r="N16" s="247">
        <v>0</v>
      </c>
      <c r="O16" s="247">
        <v>0</v>
      </c>
      <c r="P16" s="247">
        <v>0</v>
      </c>
      <c r="Q16" s="247">
        <v>0</v>
      </c>
      <c r="R16" s="247">
        <v>0</v>
      </c>
      <c r="S16" s="247">
        <v>0</v>
      </c>
      <c r="T16" s="247">
        <v>0</v>
      </c>
      <c r="U16" s="247">
        <v>0</v>
      </c>
      <c r="V16" s="247">
        <v>0</v>
      </c>
      <c r="W16" s="247">
        <v>0</v>
      </c>
      <c r="X16" s="248">
        <v>0</v>
      </c>
      <c r="Z16" s="276">
        <f>Est2018DistRev!Z16</f>
        <v>3658.6066628568519</v>
      </c>
      <c r="AA16" s="250">
        <f>Est2018DistRev!AA16</f>
        <v>0</v>
      </c>
      <c r="AB16" s="250">
        <f>Est2018DistRev!AB16</f>
        <v>0</v>
      </c>
      <c r="AC16" s="250">
        <f>Est2018DistRev!AC16</f>
        <v>0</v>
      </c>
      <c r="AD16" s="250">
        <f>Est2018DistRev!AD16</f>
        <v>0</v>
      </c>
      <c r="AE16" s="250">
        <f>Est2018DistRev!AE16</f>
        <v>7350471.8260590127</v>
      </c>
      <c r="AF16" s="250">
        <f>Est2018DistRev!AF16</f>
        <v>0</v>
      </c>
      <c r="AG16" s="250">
        <f>Est2018DistRev!AG16</f>
        <v>0</v>
      </c>
      <c r="AH16" s="250">
        <f>Est2018DistRev!AH16</f>
        <v>0</v>
      </c>
      <c r="AI16" s="250">
        <f>Est2018DistRev!AI16</f>
        <v>0</v>
      </c>
      <c r="AJ16" s="250">
        <f>Est2018DistRev!AJ16</f>
        <v>0</v>
      </c>
      <c r="AK16" s="250">
        <f>Est2018DistRev!AK16</f>
        <v>0</v>
      </c>
      <c r="AL16" s="250">
        <f>Est2018DistRev!AL16</f>
        <v>0</v>
      </c>
      <c r="AM16" s="250">
        <f>Est2018DistRev!AM16</f>
        <v>0</v>
      </c>
      <c r="AN16" s="250">
        <f>Est2018DistRev!AN16</f>
        <v>0</v>
      </c>
      <c r="AO16" s="250">
        <f>Est2018DistRev!AO16</f>
        <v>0</v>
      </c>
      <c r="AP16" s="250">
        <f>Est2018DistRev!AP16</f>
        <v>0</v>
      </c>
      <c r="AQ16" s="250">
        <f>Est2018DistRev!AQ16</f>
        <v>0</v>
      </c>
      <c r="AR16" s="250">
        <f>Est2018DistRev!AR16</f>
        <v>0</v>
      </c>
      <c r="AS16" s="250">
        <f>Est2018DistRev!AS16</f>
        <v>0</v>
      </c>
      <c r="AT16" s="251">
        <f>Est2018DistRev!AT16</f>
        <v>0</v>
      </c>
      <c r="AV16" s="252">
        <f t="shared" si="4"/>
        <v>0</v>
      </c>
      <c r="AW16" s="220">
        <f t="shared" si="5"/>
        <v>0</v>
      </c>
      <c r="AX16" s="220">
        <f t="shared" si="6"/>
        <v>0</v>
      </c>
      <c r="AY16" s="220">
        <f t="shared" si="7"/>
        <v>0</v>
      </c>
      <c r="AZ16" s="220">
        <f t="shared" si="8"/>
        <v>0</v>
      </c>
      <c r="BA16" s="220">
        <f t="shared" si="9"/>
        <v>19846.273930359333</v>
      </c>
      <c r="BB16" s="220">
        <f t="shared" si="10"/>
        <v>0</v>
      </c>
      <c r="BC16" s="220">
        <f t="shared" si="11"/>
        <v>0</v>
      </c>
      <c r="BD16" s="220">
        <f t="shared" si="12"/>
        <v>0</v>
      </c>
      <c r="BE16" s="220">
        <f t="shared" si="13"/>
        <v>0</v>
      </c>
      <c r="BF16" s="220">
        <f t="shared" si="14"/>
        <v>0</v>
      </c>
      <c r="BG16" s="220">
        <f t="shared" si="15"/>
        <v>0</v>
      </c>
      <c r="BH16" s="220">
        <f t="shared" si="16"/>
        <v>0</v>
      </c>
      <c r="BI16" s="253">
        <f t="shared" si="17"/>
        <v>0</v>
      </c>
      <c r="BJ16" s="253">
        <f t="shared" si="18"/>
        <v>0</v>
      </c>
      <c r="BK16" s="253">
        <f t="shared" si="19"/>
        <v>0</v>
      </c>
      <c r="BL16" s="253">
        <f t="shared" si="20"/>
        <v>0</v>
      </c>
      <c r="BM16" s="253">
        <f t="shared" si="21"/>
        <v>0</v>
      </c>
      <c r="BN16" s="253">
        <f t="shared" si="22"/>
        <v>0</v>
      </c>
      <c r="BO16" s="253">
        <f t="shared" si="23"/>
        <v>0</v>
      </c>
      <c r="BP16" s="253">
        <f t="shared" si="24"/>
        <v>0</v>
      </c>
      <c r="BQ16" s="254">
        <f t="shared" si="25"/>
        <v>19846.273930359333</v>
      </c>
    </row>
    <row r="17" spans="2:69" x14ac:dyDescent="0.2">
      <c r="B17" s="234" t="str">
        <f>Est2018DistRev!B17</f>
        <v>Dedicated Circuit</v>
      </c>
      <c r="D17" s="317">
        <v>0</v>
      </c>
      <c r="E17" s="247">
        <v>0</v>
      </c>
      <c r="F17" s="247">
        <v>0</v>
      </c>
      <c r="G17" s="247">
        <v>0</v>
      </c>
      <c r="H17" s="247">
        <v>0</v>
      </c>
      <c r="I17" s="247">
        <v>0.35</v>
      </c>
      <c r="J17" s="247">
        <v>0</v>
      </c>
      <c r="K17" s="247">
        <v>0</v>
      </c>
      <c r="L17" s="247">
        <v>0</v>
      </c>
      <c r="M17" s="247">
        <v>0</v>
      </c>
      <c r="N17" s="247">
        <v>0</v>
      </c>
      <c r="O17" s="247">
        <v>0</v>
      </c>
      <c r="P17" s="247">
        <v>0</v>
      </c>
      <c r="Q17" s="247">
        <v>0</v>
      </c>
      <c r="R17" s="247">
        <v>0</v>
      </c>
      <c r="S17" s="247">
        <v>0</v>
      </c>
      <c r="T17" s="247">
        <v>0</v>
      </c>
      <c r="U17" s="247">
        <v>0</v>
      </c>
      <c r="V17" s="247">
        <v>0</v>
      </c>
      <c r="W17" s="247">
        <v>0</v>
      </c>
      <c r="X17" s="248">
        <v>0</v>
      </c>
      <c r="Z17" s="276">
        <f>Est2018DistRev!Z17</f>
        <v>22642.030575507612</v>
      </c>
      <c r="AA17" s="250">
        <f>Est2018DistRev!AA17</f>
        <v>0</v>
      </c>
      <c r="AB17" s="250">
        <f>Est2018DistRev!AB17</f>
        <v>0</v>
      </c>
      <c r="AC17" s="250">
        <f>Est2018DistRev!AC17</f>
        <v>0</v>
      </c>
      <c r="AD17" s="250">
        <f>Est2018DistRev!AD17</f>
        <v>0</v>
      </c>
      <c r="AE17" s="250">
        <f>Est2018DistRev!AE17</f>
        <v>33890069.863411687</v>
      </c>
      <c r="AF17" s="250">
        <f>Est2018DistRev!AF17</f>
        <v>0</v>
      </c>
      <c r="AG17" s="250">
        <f>Est2018DistRev!AG17</f>
        <v>0</v>
      </c>
      <c r="AH17" s="250">
        <f>Est2018DistRev!AH17</f>
        <v>0</v>
      </c>
      <c r="AI17" s="250">
        <f>Est2018DistRev!AI17</f>
        <v>0</v>
      </c>
      <c r="AJ17" s="250">
        <f>Est2018DistRev!AJ17</f>
        <v>0</v>
      </c>
      <c r="AK17" s="250">
        <f>Est2018DistRev!AK17</f>
        <v>0</v>
      </c>
      <c r="AL17" s="250">
        <f>Est2018DistRev!AL17</f>
        <v>0</v>
      </c>
      <c r="AM17" s="250">
        <f>Est2018DistRev!AM17</f>
        <v>0</v>
      </c>
      <c r="AN17" s="250">
        <f>Est2018DistRev!AN17</f>
        <v>0</v>
      </c>
      <c r="AO17" s="250">
        <f>Est2018DistRev!AO17</f>
        <v>0</v>
      </c>
      <c r="AP17" s="250">
        <f>Est2018DistRev!AP17</f>
        <v>0</v>
      </c>
      <c r="AQ17" s="250">
        <f>Est2018DistRev!AQ17</f>
        <v>0</v>
      </c>
      <c r="AR17" s="250">
        <f>Est2018DistRev!AR17</f>
        <v>0</v>
      </c>
      <c r="AS17" s="250">
        <f>Est2018DistRev!AS17</f>
        <v>0</v>
      </c>
      <c r="AT17" s="251">
        <f>Est2018DistRev!AT17</f>
        <v>0</v>
      </c>
      <c r="AV17" s="252">
        <f t="shared" si="4"/>
        <v>0</v>
      </c>
      <c r="AW17" s="220">
        <f t="shared" si="5"/>
        <v>0</v>
      </c>
      <c r="AX17" s="220">
        <f t="shared" si="6"/>
        <v>0</v>
      </c>
      <c r="AY17" s="220">
        <f t="shared" si="7"/>
        <v>0</v>
      </c>
      <c r="AZ17" s="220">
        <f t="shared" si="8"/>
        <v>0</v>
      </c>
      <c r="BA17" s="220">
        <f t="shared" si="9"/>
        <v>118615.2445219409</v>
      </c>
      <c r="BB17" s="220">
        <f t="shared" si="10"/>
        <v>0</v>
      </c>
      <c r="BC17" s="220">
        <f t="shared" si="11"/>
        <v>0</v>
      </c>
      <c r="BD17" s="220">
        <f t="shared" si="12"/>
        <v>0</v>
      </c>
      <c r="BE17" s="220">
        <f t="shared" si="13"/>
        <v>0</v>
      </c>
      <c r="BF17" s="220">
        <f t="shared" si="14"/>
        <v>0</v>
      </c>
      <c r="BG17" s="220">
        <f t="shared" si="15"/>
        <v>0</v>
      </c>
      <c r="BH17" s="220">
        <f t="shared" si="16"/>
        <v>0</v>
      </c>
      <c r="BI17" s="253">
        <f t="shared" si="17"/>
        <v>0</v>
      </c>
      <c r="BJ17" s="253">
        <f t="shared" si="18"/>
        <v>0</v>
      </c>
      <c r="BK17" s="253">
        <f t="shared" si="19"/>
        <v>0</v>
      </c>
      <c r="BL17" s="253">
        <f t="shared" si="20"/>
        <v>0</v>
      </c>
      <c r="BM17" s="253">
        <f t="shared" si="21"/>
        <v>0</v>
      </c>
      <c r="BN17" s="253">
        <f t="shared" si="22"/>
        <v>0</v>
      </c>
      <c r="BO17" s="253">
        <f t="shared" si="23"/>
        <v>0</v>
      </c>
      <c r="BP17" s="253">
        <f t="shared" si="24"/>
        <v>0</v>
      </c>
      <c r="BQ17" s="254">
        <f t="shared" si="25"/>
        <v>118615.2445219409</v>
      </c>
    </row>
    <row r="18" spans="2:69" x14ac:dyDescent="0.2">
      <c r="B18" s="234" t="str">
        <f>Est2018DistRev!B18</f>
        <v>Dedicated Circuit - Bulk</v>
      </c>
      <c r="D18" s="317">
        <v>0</v>
      </c>
      <c r="E18" s="247">
        <v>0</v>
      </c>
      <c r="F18" s="247">
        <v>0</v>
      </c>
      <c r="G18" s="247">
        <v>0</v>
      </c>
      <c r="H18" s="247">
        <v>0</v>
      </c>
      <c r="I18" s="247">
        <v>0.27</v>
      </c>
      <c r="J18" s="247">
        <v>0</v>
      </c>
      <c r="K18" s="247">
        <v>0</v>
      </c>
      <c r="L18" s="247">
        <v>0</v>
      </c>
      <c r="M18" s="247">
        <v>0</v>
      </c>
      <c r="N18" s="247">
        <v>0</v>
      </c>
      <c r="O18" s="247">
        <v>0</v>
      </c>
      <c r="P18" s="247">
        <v>0</v>
      </c>
      <c r="Q18" s="247">
        <v>0</v>
      </c>
      <c r="R18" s="247">
        <v>0</v>
      </c>
      <c r="S18" s="247">
        <v>0</v>
      </c>
      <c r="T18" s="247">
        <v>0</v>
      </c>
      <c r="U18" s="247">
        <v>0</v>
      </c>
      <c r="V18" s="247">
        <v>0</v>
      </c>
      <c r="W18" s="247">
        <v>0</v>
      </c>
      <c r="X18" s="248">
        <v>0</v>
      </c>
      <c r="Z18" s="276">
        <f>Est2018DistRev!Z18</f>
        <v>1081.4792179376586</v>
      </c>
      <c r="AA18" s="250">
        <f>Est2018DistRev!AA18</f>
        <v>0</v>
      </c>
      <c r="AB18" s="250">
        <f>Est2018DistRev!AB18</f>
        <v>0</v>
      </c>
      <c r="AC18" s="250">
        <f>Est2018DistRev!AC18</f>
        <v>0</v>
      </c>
      <c r="AD18" s="250">
        <f>Est2018DistRev!AD18</f>
        <v>0</v>
      </c>
      <c r="AE18" s="250">
        <f>Est2018DistRev!AE18</f>
        <v>2219211.1923869113</v>
      </c>
      <c r="AF18" s="250">
        <f>Est2018DistRev!AF18</f>
        <v>0</v>
      </c>
      <c r="AG18" s="250">
        <f>Est2018DistRev!AG18</f>
        <v>0</v>
      </c>
      <c r="AH18" s="250">
        <f>Est2018DistRev!AH18</f>
        <v>0</v>
      </c>
      <c r="AI18" s="250">
        <f>Est2018DistRev!AI18</f>
        <v>0</v>
      </c>
      <c r="AJ18" s="250">
        <f>Est2018DistRev!AJ18</f>
        <v>0</v>
      </c>
      <c r="AK18" s="250">
        <f>Est2018DistRev!AK18</f>
        <v>0</v>
      </c>
      <c r="AL18" s="250">
        <f>Est2018DistRev!AL18</f>
        <v>0</v>
      </c>
      <c r="AM18" s="250">
        <f>Est2018DistRev!AM18</f>
        <v>0</v>
      </c>
      <c r="AN18" s="250">
        <f>Est2018DistRev!AN18</f>
        <v>0</v>
      </c>
      <c r="AO18" s="250">
        <f>Est2018DistRev!AO18</f>
        <v>0</v>
      </c>
      <c r="AP18" s="250">
        <f>Est2018DistRev!AP18</f>
        <v>0</v>
      </c>
      <c r="AQ18" s="250">
        <f>Est2018DistRev!AQ18</f>
        <v>0</v>
      </c>
      <c r="AR18" s="250">
        <f>Est2018DistRev!AR18</f>
        <v>0</v>
      </c>
      <c r="AS18" s="250">
        <f>Est2018DistRev!AS18</f>
        <v>0</v>
      </c>
      <c r="AT18" s="251">
        <f>Est2018DistRev!AT18</f>
        <v>0</v>
      </c>
      <c r="AV18" s="252">
        <f t="shared" si="4"/>
        <v>0</v>
      </c>
      <c r="AW18" s="220">
        <f t="shared" si="5"/>
        <v>0</v>
      </c>
      <c r="AX18" s="220">
        <f t="shared" si="6"/>
        <v>0</v>
      </c>
      <c r="AY18" s="220">
        <f t="shared" si="7"/>
        <v>0</v>
      </c>
      <c r="AZ18" s="220">
        <f t="shared" si="8"/>
        <v>0</v>
      </c>
      <c r="BA18" s="220">
        <f t="shared" si="9"/>
        <v>5991.8702194446605</v>
      </c>
      <c r="BB18" s="220">
        <f t="shared" si="10"/>
        <v>0</v>
      </c>
      <c r="BC18" s="220">
        <f t="shared" si="11"/>
        <v>0</v>
      </c>
      <c r="BD18" s="220">
        <f t="shared" si="12"/>
        <v>0</v>
      </c>
      <c r="BE18" s="220">
        <f t="shared" si="13"/>
        <v>0</v>
      </c>
      <c r="BF18" s="220">
        <f t="shared" si="14"/>
        <v>0</v>
      </c>
      <c r="BG18" s="220">
        <f t="shared" si="15"/>
        <v>0</v>
      </c>
      <c r="BH18" s="220">
        <f t="shared" si="16"/>
        <v>0</v>
      </c>
      <c r="BI18" s="253">
        <f t="shared" si="17"/>
        <v>0</v>
      </c>
      <c r="BJ18" s="253">
        <f t="shared" si="18"/>
        <v>0</v>
      </c>
      <c r="BK18" s="253">
        <f t="shared" si="19"/>
        <v>0</v>
      </c>
      <c r="BL18" s="253">
        <f t="shared" si="20"/>
        <v>0</v>
      </c>
      <c r="BM18" s="253">
        <f t="shared" si="21"/>
        <v>0</v>
      </c>
      <c r="BN18" s="253">
        <f t="shared" si="22"/>
        <v>0</v>
      </c>
      <c r="BO18" s="253">
        <f t="shared" si="23"/>
        <v>0</v>
      </c>
      <c r="BP18" s="253">
        <f t="shared" si="24"/>
        <v>0</v>
      </c>
      <c r="BQ18" s="254">
        <f t="shared" si="25"/>
        <v>5991.8702194446605</v>
      </c>
    </row>
    <row r="19" spans="2:69" x14ac:dyDescent="0.2">
      <c r="B19" s="234" t="str">
        <f>Est2018DistRev!B19</f>
        <v>Residential Demand</v>
      </c>
      <c r="D19" s="317">
        <v>0</v>
      </c>
      <c r="E19" s="247">
        <v>0.57999999999999996</v>
      </c>
      <c r="F19" s="247">
        <v>0</v>
      </c>
      <c r="G19" s="247">
        <v>0</v>
      </c>
      <c r="H19" s="247">
        <v>0</v>
      </c>
      <c r="I19" s="247">
        <v>0</v>
      </c>
      <c r="J19" s="247">
        <v>0</v>
      </c>
      <c r="K19" s="247">
        <v>0</v>
      </c>
      <c r="L19" s="247">
        <v>0</v>
      </c>
      <c r="M19" s="247">
        <v>0</v>
      </c>
      <c r="N19" s="247">
        <v>0</v>
      </c>
      <c r="O19" s="247">
        <v>1.41</v>
      </c>
      <c r="P19" s="247">
        <v>0.48</v>
      </c>
      <c r="Q19" s="247">
        <v>0</v>
      </c>
      <c r="R19" s="247">
        <v>0</v>
      </c>
      <c r="S19" s="247">
        <v>0</v>
      </c>
      <c r="T19" s="247">
        <v>0</v>
      </c>
      <c r="U19" s="247">
        <v>0</v>
      </c>
      <c r="V19" s="247">
        <v>0</v>
      </c>
      <c r="W19" s="247">
        <v>0</v>
      </c>
      <c r="X19" s="248">
        <v>0</v>
      </c>
      <c r="Z19" s="276">
        <f>Est2018DistRev!Z19</f>
        <v>5</v>
      </c>
      <c r="AA19" s="250">
        <f>Est2018DistRev!AA19</f>
        <v>27500</v>
      </c>
      <c r="AB19" s="250">
        <f>Est2018DistRev!AB19</f>
        <v>0</v>
      </c>
      <c r="AC19" s="250">
        <f>Est2018DistRev!AC19</f>
        <v>0</v>
      </c>
      <c r="AD19" s="250">
        <f>Est2018DistRev!AD19</f>
        <v>0</v>
      </c>
      <c r="AE19" s="250">
        <f>Est2018DistRev!AE19</f>
        <v>0</v>
      </c>
      <c r="AF19" s="250">
        <f>Est2018DistRev!AF19</f>
        <v>0</v>
      </c>
      <c r="AG19" s="250">
        <f>Est2018DistRev!AG19</f>
        <v>0</v>
      </c>
      <c r="AH19" s="250">
        <f>Est2018DistRev!AH19</f>
        <v>0</v>
      </c>
      <c r="AI19" s="250">
        <f>Est2018DistRev!AI19</f>
        <v>0</v>
      </c>
      <c r="AJ19" s="250">
        <f>Est2018DistRev!AJ19</f>
        <v>0</v>
      </c>
      <c r="AK19" s="250">
        <f>Est2018DistRev!AK19</f>
        <v>62.785388127853878</v>
      </c>
      <c r="AL19" s="250">
        <f>Est2018DistRev!AL19</f>
        <v>100.45662100456622</v>
      </c>
      <c r="AM19" s="250">
        <f>Est2018DistRev!AM19</f>
        <v>0</v>
      </c>
      <c r="AN19" s="250">
        <f>Est2018DistRev!AN19</f>
        <v>0</v>
      </c>
      <c r="AO19" s="250">
        <f>Est2018DistRev!AO19</f>
        <v>0</v>
      </c>
      <c r="AP19" s="250">
        <f>Est2018DistRev!AP19</f>
        <v>0</v>
      </c>
      <c r="AQ19" s="250">
        <f>Est2018DistRev!AQ19</f>
        <v>0</v>
      </c>
      <c r="AR19" s="250">
        <f>Est2018DistRev!AR19</f>
        <v>0</v>
      </c>
      <c r="AS19" s="250">
        <f>Est2018DistRev!AS19</f>
        <v>0</v>
      </c>
      <c r="AT19" s="251">
        <f>Est2018DistRev!AT19</f>
        <v>0</v>
      </c>
      <c r="AV19" s="252">
        <f t="shared" si="4"/>
        <v>0</v>
      </c>
      <c r="AW19" s="220">
        <f t="shared" si="5"/>
        <v>159.5</v>
      </c>
      <c r="AX19" s="220">
        <f t="shared" si="6"/>
        <v>0</v>
      </c>
      <c r="AY19" s="220">
        <f t="shared" si="7"/>
        <v>0</v>
      </c>
      <c r="AZ19" s="220">
        <f t="shared" si="8"/>
        <v>0</v>
      </c>
      <c r="BA19" s="220">
        <f t="shared" si="9"/>
        <v>0</v>
      </c>
      <c r="BB19" s="220">
        <f t="shared" si="10"/>
        <v>0</v>
      </c>
      <c r="BC19" s="220">
        <f t="shared" si="11"/>
        <v>0</v>
      </c>
      <c r="BD19" s="220">
        <f t="shared" si="12"/>
        <v>0</v>
      </c>
      <c r="BE19" s="220">
        <f t="shared" si="13"/>
        <v>0</v>
      </c>
      <c r="BF19" s="220">
        <f t="shared" si="14"/>
        <v>0</v>
      </c>
      <c r="BG19" s="220">
        <f t="shared" si="15"/>
        <v>88.527397260273958</v>
      </c>
      <c r="BH19" s="220">
        <f t="shared" si="16"/>
        <v>48.219178082191782</v>
      </c>
      <c r="BI19" s="253">
        <f t="shared" si="17"/>
        <v>0</v>
      </c>
      <c r="BJ19" s="253">
        <f t="shared" si="18"/>
        <v>0</v>
      </c>
      <c r="BK19" s="253">
        <f t="shared" si="19"/>
        <v>0</v>
      </c>
      <c r="BL19" s="253">
        <f t="shared" si="20"/>
        <v>0</v>
      </c>
      <c r="BM19" s="253">
        <f t="shared" si="21"/>
        <v>0</v>
      </c>
      <c r="BN19" s="253">
        <f t="shared" si="22"/>
        <v>0</v>
      </c>
      <c r="BO19" s="253">
        <f t="shared" si="23"/>
        <v>0</v>
      </c>
      <c r="BP19" s="253">
        <f t="shared" si="24"/>
        <v>0</v>
      </c>
      <c r="BQ19" s="254">
        <f t="shared" si="25"/>
        <v>296.24657534246575</v>
      </c>
    </row>
    <row r="20" spans="2:69" x14ac:dyDescent="0.2">
      <c r="B20" s="234" t="str">
        <f>Est2018DistRev!B20</f>
        <v>Residential Bulk Demand</v>
      </c>
      <c r="D20" s="317">
        <v>0</v>
      </c>
      <c r="E20" s="247">
        <v>0.36</v>
      </c>
      <c r="F20" s="247">
        <v>0</v>
      </c>
      <c r="G20" s="247">
        <v>0</v>
      </c>
      <c r="H20" s="247">
        <v>0</v>
      </c>
      <c r="I20" s="247">
        <v>0</v>
      </c>
      <c r="J20" s="247">
        <v>0</v>
      </c>
      <c r="K20" s="247">
        <v>0</v>
      </c>
      <c r="L20" s="247">
        <v>0</v>
      </c>
      <c r="M20" s="247">
        <v>0</v>
      </c>
      <c r="N20" s="247">
        <v>0</v>
      </c>
      <c r="O20" s="247">
        <v>1.03</v>
      </c>
      <c r="P20" s="247">
        <v>0.34</v>
      </c>
      <c r="Q20" s="247">
        <v>0</v>
      </c>
      <c r="R20" s="247">
        <v>0</v>
      </c>
      <c r="S20" s="247">
        <v>0</v>
      </c>
      <c r="T20" s="247">
        <v>0</v>
      </c>
      <c r="U20" s="247">
        <v>0</v>
      </c>
      <c r="V20" s="247">
        <v>0</v>
      </c>
      <c r="W20" s="247">
        <v>0</v>
      </c>
      <c r="X20" s="248">
        <v>0</v>
      </c>
      <c r="Z20" s="276">
        <f>Est2018DistRev!Z20</f>
        <v>1</v>
      </c>
      <c r="AA20" s="250">
        <f>Est2018DistRev!AA20</f>
        <v>5500</v>
      </c>
      <c r="AB20" s="250">
        <f>Est2018DistRev!AB20</f>
        <v>0</v>
      </c>
      <c r="AC20" s="250">
        <f>Est2018DistRev!AC20</f>
        <v>0</v>
      </c>
      <c r="AD20" s="250">
        <f>Est2018DistRev!AD20</f>
        <v>0</v>
      </c>
      <c r="AE20" s="250">
        <f>Est2018DistRev!AE20</f>
        <v>0</v>
      </c>
      <c r="AF20" s="250">
        <f>Est2018DistRev!AF20</f>
        <v>0</v>
      </c>
      <c r="AG20" s="250">
        <f>Est2018DistRev!AG20</f>
        <v>0</v>
      </c>
      <c r="AH20" s="250">
        <f>Est2018DistRev!AH20</f>
        <v>0</v>
      </c>
      <c r="AI20" s="250">
        <f>Est2018DistRev!AI20</f>
        <v>0</v>
      </c>
      <c r="AJ20" s="250">
        <f>Est2018DistRev!AJ20</f>
        <v>0</v>
      </c>
      <c r="AK20" s="250">
        <f>Est2018DistRev!AK20</f>
        <v>12.557077625570775</v>
      </c>
      <c r="AL20" s="250">
        <f>Est2018DistRev!AL20</f>
        <v>20.091324200913242</v>
      </c>
      <c r="AM20" s="250">
        <f>Est2018DistRev!AM20</f>
        <v>0</v>
      </c>
      <c r="AN20" s="250">
        <f>Est2018DistRev!AN20</f>
        <v>0</v>
      </c>
      <c r="AO20" s="250">
        <f>Est2018DistRev!AO20</f>
        <v>0</v>
      </c>
      <c r="AP20" s="250">
        <f>Est2018DistRev!AP20</f>
        <v>0</v>
      </c>
      <c r="AQ20" s="250">
        <f>Est2018DistRev!AQ20</f>
        <v>0</v>
      </c>
      <c r="AR20" s="250">
        <f>Est2018DistRev!AR20</f>
        <v>0</v>
      </c>
      <c r="AS20" s="250">
        <f>Est2018DistRev!AS20</f>
        <v>0</v>
      </c>
      <c r="AT20" s="251">
        <f>Est2018DistRev!AT20</f>
        <v>0</v>
      </c>
      <c r="AV20" s="252">
        <f t="shared" si="4"/>
        <v>0</v>
      </c>
      <c r="AW20" s="220">
        <f t="shared" si="5"/>
        <v>19.8</v>
      </c>
      <c r="AX20" s="220">
        <f t="shared" si="6"/>
        <v>0</v>
      </c>
      <c r="AY20" s="220">
        <f t="shared" si="7"/>
        <v>0</v>
      </c>
      <c r="AZ20" s="220">
        <f t="shared" si="8"/>
        <v>0</v>
      </c>
      <c r="BA20" s="220">
        <f t="shared" si="9"/>
        <v>0</v>
      </c>
      <c r="BB20" s="220">
        <f t="shared" si="10"/>
        <v>0</v>
      </c>
      <c r="BC20" s="220">
        <f t="shared" si="11"/>
        <v>0</v>
      </c>
      <c r="BD20" s="220">
        <f t="shared" si="12"/>
        <v>0</v>
      </c>
      <c r="BE20" s="220">
        <f t="shared" si="13"/>
        <v>0</v>
      </c>
      <c r="BF20" s="220">
        <f t="shared" si="14"/>
        <v>0</v>
      </c>
      <c r="BG20" s="220">
        <f t="shared" si="15"/>
        <v>12.933789954337898</v>
      </c>
      <c r="BH20" s="220">
        <f t="shared" si="16"/>
        <v>6.8310502283105023</v>
      </c>
      <c r="BI20" s="253">
        <f t="shared" si="17"/>
        <v>0</v>
      </c>
      <c r="BJ20" s="253">
        <f t="shared" si="18"/>
        <v>0</v>
      </c>
      <c r="BK20" s="253">
        <f t="shared" si="19"/>
        <v>0</v>
      </c>
      <c r="BL20" s="253">
        <f t="shared" si="20"/>
        <v>0</v>
      </c>
      <c r="BM20" s="253">
        <f t="shared" si="21"/>
        <v>0</v>
      </c>
      <c r="BN20" s="253">
        <f t="shared" si="22"/>
        <v>0</v>
      </c>
      <c r="BO20" s="253">
        <f t="shared" si="23"/>
        <v>0</v>
      </c>
      <c r="BP20" s="253">
        <f t="shared" si="24"/>
        <v>0</v>
      </c>
      <c r="BQ20" s="254">
        <f t="shared" si="25"/>
        <v>39.564840182648403</v>
      </c>
    </row>
    <row r="21" spans="2:69" x14ac:dyDescent="0.2">
      <c r="B21" s="234" t="str">
        <f>Est2018DistRev!B21</f>
        <v>Non-Residential Single Rate</v>
      </c>
      <c r="D21" s="317">
        <v>0</v>
      </c>
      <c r="E21" s="247">
        <v>1.91</v>
      </c>
      <c r="F21" s="247">
        <v>0</v>
      </c>
      <c r="G21" s="247">
        <v>0</v>
      </c>
      <c r="H21" s="247">
        <v>0</v>
      </c>
      <c r="I21" s="247">
        <v>0</v>
      </c>
      <c r="J21" s="247">
        <v>0</v>
      </c>
      <c r="K21" s="247">
        <v>0</v>
      </c>
      <c r="L21" s="247">
        <v>0</v>
      </c>
      <c r="M21" s="247">
        <v>0</v>
      </c>
      <c r="N21" s="247">
        <v>0</v>
      </c>
      <c r="O21" s="247">
        <v>0</v>
      </c>
      <c r="P21" s="247">
        <v>0</v>
      </c>
      <c r="Q21" s="247">
        <v>0</v>
      </c>
      <c r="R21" s="247">
        <v>0</v>
      </c>
      <c r="S21" s="247">
        <v>0</v>
      </c>
      <c r="T21" s="247">
        <v>0</v>
      </c>
      <c r="U21" s="247">
        <v>0</v>
      </c>
      <c r="V21" s="247">
        <v>0</v>
      </c>
      <c r="W21" s="247">
        <v>0</v>
      </c>
      <c r="X21" s="248">
        <v>0</v>
      </c>
      <c r="Z21" s="276">
        <f>Est2018DistRev!Z21</f>
        <v>18214.931992410631</v>
      </c>
      <c r="AA21" s="250">
        <f>Est2018DistRev!AA21</f>
        <v>220224546.95765957</v>
      </c>
      <c r="AB21" s="250">
        <f>Est2018DistRev!AB21</f>
        <v>0</v>
      </c>
      <c r="AC21" s="250">
        <f>Est2018DistRev!AC21</f>
        <v>0</v>
      </c>
      <c r="AD21" s="250">
        <f>Est2018DistRev!AD21</f>
        <v>0</v>
      </c>
      <c r="AE21" s="250">
        <f>Est2018DistRev!AE21</f>
        <v>0</v>
      </c>
      <c r="AF21" s="250">
        <f>Est2018DistRev!AF21</f>
        <v>0</v>
      </c>
      <c r="AG21" s="250">
        <f>Est2018DistRev!AG21</f>
        <v>0</v>
      </c>
      <c r="AH21" s="250">
        <f>Est2018DistRev!AH21</f>
        <v>0</v>
      </c>
      <c r="AI21" s="250">
        <f>Est2018DistRev!AI21</f>
        <v>0</v>
      </c>
      <c r="AJ21" s="250">
        <f>Est2018DistRev!AJ21</f>
        <v>0</v>
      </c>
      <c r="AK21" s="250">
        <f>Est2018DistRev!AK21</f>
        <v>0</v>
      </c>
      <c r="AL21" s="250">
        <f>Est2018DistRev!AL21</f>
        <v>0</v>
      </c>
      <c r="AM21" s="250">
        <f>Est2018DistRev!AM21</f>
        <v>0</v>
      </c>
      <c r="AN21" s="250">
        <f>Est2018DistRev!AN21</f>
        <v>0</v>
      </c>
      <c r="AO21" s="250">
        <f>Est2018DistRev!AO21</f>
        <v>0</v>
      </c>
      <c r="AP21" s="250">
        <f>Est2018DistRev!AP21</f>
        <v>0</v>
      </c>
      <c r="AQ21" s="250">
        <f>Est2018DistRev!AQ21</f>
        <v>0</v>
      </c>
      <c r="AR21" s="250">
        <f>Est2018DistRev!AR21</f>
        <v>0</v>
      </c>
      <c r="AS21" s="250">
        <f>Est2018DistRev!AS21</f>
        <v>0</v>
      </c>
      <c r="AT21" s="251">
        <f>Est2018DistRev!AT21</f>
        <v>0</v>
      </c>
      <c r="AV21" s="252">
        <f t="shared" si="4"/>
        <v>0</v>
      </c>
      <c r="AW21" s="220">
        <f t="shared" si="5"/>
        <v>4206288.846891298</v>
      </c>
      <c r="AX21" s="220">
        <f t="shared" si="6"/>
        <v>0</v>
      </c>
      <c r="AY21" s="220">
        <f t="shared" si="7"/>
        <v>0</v>
      </c>
      <c r="AZ21" s="220">
        <f t="shared" si="8"/>
        <v>0</v>
      </c>
      <c r="BA21" s="220">
        <f t="shared" si="9"/>
        <v>0</v>
      </c>
      <c r="BB21" s="220">
        <f t="shared" si="10"/>
        <v>0</v>
      </c>
      <c r="BC21" s="220">
        <f t="shared" si="11"/>
        <v>0</v>
      </c>
      <c r="BD21" s="220">
        <f t="shared" si="12"/>
        <v>0</v>
      </c>
      <c r="BE21" s="220">
        <f t="shared" si="13"/>
        <v>0</v>
      </c>
      <c r="BF21" s="220">
        <f t="shared" si="14"/>
        <v>0</v>
      </c>
      <c r="BG21" s="220">
        <f t="shared" si="15"/>
        <v>0</v>
      </c>
      <c r="BH21" s="220">
        <f t="shared" si="16"/>
        <v>0</v>
      </c>
      <c r="BI21" s="253">
        <f t="shared" si="17"/>
        <v>0</v>
      </c>
      <c r="BJ21" s="253">
        <f t="shared" si="18"/>
        <v>0</v>
      </c>
      <c r="BK21" s="253">
        <f t="shared" si="19"/>
        <v>0</v>
      </c>
      <c r="BL21" s="253">
        <f t="shared" si="20"/>
        <v>0</v>
      </c>
      <c r="BM21" s="253">
        <f t="shared" si="21"/>
        <v>0</v>
      </c>
      <c r="BN21" s="253">
        <f t="shared" si="22"/>
        <v>0</v>
      </c>
      <c r="BO21" s="253">
        <f t="shared" si="23"/>
        <v>0</v>
      </c>
      <c r="BP21" s="253">
        <f t="shared" si="24"/>
        <v>0</v>
      </c>
      <c r="BQ21" s="254">
        <f t="shared" si="25"/>
        <v>4206288.846891298</v>
      </c>
    </row>
    <row r="22" spans="2:69" x14ac:dyDescent="0.2">
      <c r="B22" s="234" t="str">
        <f>Est2018DistRev!B22</f>
        <v>Non-Residential Single Rate - Bulk</v>
      </c>
      <c r="D22" s="317">
        <v>0</v>
      </c>
      <c r="E22" s="247">
        <v>1.46</v>
      </c>
      <c r="F22" s="247">
        <v>0</v>
      </c>
      <c r="G22" s="247">
        <v>0</v>
      </c>
      <c r="H22" s="247">
        <v>0</v>
      </c>
      <c r="I22" s="247">
        <v>0</v>
      </c>
      <c r="J22" s="247">
        <v>0</v>
      </c>
      <c r="K22" s="247">
        <v>0</v>
      </c>
      <c r="L22" s="247">
        <v>0</v>
      </c>
      <c r="M22" s="247">
        <v>0</v>
      </c>
      <c r="N22" s="247">
        <v>0</v>
      </c>
      <c r="O22" s="247">
        <v>0</v>
      </c>
      <c r="P22" s="247">
        <v>0</v>
      </c>
      <c r="Q22" s="247">
        <v>0</v>
      </c>
      <c r="R22" s="247">
        <v>0</v>
      </c>
      <c r="S22" s="247">
        <v>0</v>
      </c>
      <c r="T22" s="247">
        <v>0</v>
      </c>
      <c r="U22" s="247">
        <v>0</v>
      </c>
      <c r="V22" s="247">
        <v>0</v>
      </c>
      <c r="W22" s="247">
        <v>0</v>
      </c>
      <c r="X22" s="248">
        <v>0</v>
      </c>
      <c r="Z22" s="276">
        <f>Est2018DistRev!Z22</f>
        <v>5599.0051578270723</v>
      </c>
      <c r="AA22" s="250">
        <f>Est2018DistRev!AA22</f>
        <v>73848559.175984561</v>
      </c>
      <c r="AB22" s="250">
        <f>Est2018DistRev!AB22</f>
        <v>0</v>
      </c>
      <c r="AC22" s="250">
        <f>Est2018DistRev!AC22</f>
        <v>0</v>
      </c>
      <c r="AD22" s="250">
        <f>Est2018DistRev!AD22</f>
        <v>0</v>
      </c>
      <c r="AE22" s="250">
        <f>Est2018DistRev!AE22</f>
        <v>0</v>
      </c>
      <c r="AF22" s="250">
        <f>Est2018DistRev!AF22</f>
        <v>0</v>
      </c>
      <c r="AG22" s="250">
        <f>Est2018DistRev!AG22</f>
        <v>0</v>
      </c>
      <c r="AH22" s="250">
        <f>Est2018DistRev!AH22</f>
        <v>0</v>
      </c>
      <c r="AI22" s="250">
        <f>Est2018DistRev!AI22</f>
        <v>0</v>
      </c>
      <c r="AJ22" s="250">
        <f>Est2018DistRev!AJ22</f>
        <v>0</v>
      </c>
      <c r="AK22" s="250">
        <f>Est2018DistRev!AK22</f>
        <v>0</v>
      </c>
      <c r="AL22" s="250">
        <f>Est2018DistRev!AL22</f>
        <v>0</v>
      </c>
      <c r="AM22" s="250">
        <f>Est2018DistRev!AM22</f>
        <v>0</v>
      </c>
      <c r="AN22" s="250">
        <f>Est2018DistRev!AN22</f>
        <v>0</v>
      </c>
      <c r="AO22" s="250">
        <f>Est2018DistRev!AO22</f>
        <v>0</v>
      </c>
      <c r="AP22" s="250">
        <f>Est2018DistRev!AP22</f>
        <v>0</v>
      </c>
      <c r="AQ22" s="250">
        <f>Est2018DistRev!AQ22</f>
        <v>0</v>
      </c>
      <c r="AR22" s="250">
        <f>Est2018DistRev!AR22</f>
        <v>0</v>
      </c>
      <c r="AS22" s="250">
        <f>Est2018DistRev!AS22</f>
        <v>0</v>
      </c>
      <c r="AT22" s="251">
        <f>Est2018DistRev!AT22</f>
        <v>0</v>
      </c>
      <c r="AV22" s="252">
        <f t="shared" si="4"/>
        <v>0</v>
      </c>
      <c r="AW22" s="220">
        <f t="shared" si="5"/>
        <v>1078188.9639693745</v>
      </c>
      <c r="AX22" s="220">
        <f t="shared" si="6"/>
        <v>0</v>
      </c>
      <c r="AY22" s="220">
        <f t="shared" si="7"/>
        <v>0</v>
      </c>
      <c r="AZ22" s="220">
        <f t="shared" si="8"/>
        <v>0</v>
      </c>
      <c r="BA22" s="220">
        <f t="shared" si="9"/>
        <v>0</v>
      </c>
      <c r="BB22" s="220">
        <f t="shared" si="10"/>
        <v>0</v>
      </c>
      <c r="BC22" s="220">
        <f t="shared" si="11"/>
        <v>0</v>
      </c>
      <c r="BD22" s="220">
        <f t="shared" si="12"/>
        <v>0</v>
      </c>
      <c r="BE22" s="220">
        <f t="shared" si="13"/>
        <v>0</v>
      </c>
      <c r="BF22" s="220">
        <f t="shared" si="14"/>
        <v>0</v>
      </c>
      <c r="BG22" s="220">
        <f t="shared" si="15"/>
        <v>0</v>
      </c>
      <c r="BH22" s="220">
        <f t="shared" si="16"/>
        <v>0</v>
      </c>
      <c r="BI22" s="253">
        <f t="shared" si="17"/>
        <v>0</v>
      </c>
      <c r="BJ22" s="253">
        <f t="shared" si="18"/>
        <v>0</v>
      </c>
      <c r="BK22" s="253">
        <f t="shared" si="19"/>
        <v>0</v>
      </c>
      <c r="BL22" s="253">
        <f t="shared" si="20"/>
        <v>0</v>
      </c>
      <c r="BM22" s="253">
        <f t="shared" si="21"/>
        <v>0</v>
      </c>
      <c r="BN22" s="253">
        <f t="shared" si="22"/>
        <v>0</v>
      </c>
      <c r="BO22" s="253">
        <f t="shared" si="23"/>
        <v>0</v>
      </c>
      <c r="BP22" s="253">
        <f t="shared" si="24"/>
        <v>0</v>
      </c>
      <c r="BQ22" s="254">
        <f t="shared" si="25"/>
        <v>1078188.9639693745</v>
      </c>
    </row>
    <row r="23" spans="2:69" x14ac:dyDescent="0.2">
      <c r="B23" s="234" t="str">
        <f>Est2018DistRev!B23</f>
        <v>Non-Residential Two Rate 5d</v>
      </c>
      <c r="D23" s="317">
        <v>0</v>
      </c>
      <c r="E23" s="247">
        <v>0</v>
      </c>
      <c r="F23" s="247">
        <v>2.87</v>
      </c>
      <c r="G23" s="247">
        <v>0</v>
      </c>
      <c r="H23" s="247">
        <v>0</v>
      </c>
      <c r="I23" s="247">
        <v>0.76</v>
      </c>
      <c r="J23" s="247">
        <v>0</v>
      </c>
      <c r="K23" s="247">
        <v>0</v>
      </c>
      <c r="L23" s="247">
        <v>0</v>
      </c>
      <c r="M23" s="247">
        <v>0</v>
      </c>
      <c r="N23" s="247">
        <v>0</v>
      </c>
      <c r="O23" s="247">
        <v>0</v>
      </c>
      <c r="P23" s="247">
        <v>0</v>
      </c>
      <c r="Q23" s="247">
        <v>0</v>
      </c>
      <c r="R23" s="247">
        <v>0</v>
      </c>
      <c r="S23" s="247">
        <v>0</v>
      </c>
      <c r="T23" s="247">
        <v>0</v>
      </c>
      <c r="U23" s="247">
        <v>0</v>
      </c>
      <c r="V23" s="247">
        <v>0</v>
      </c>
      <c r="W23" s="247">
        <v>0</v>
      </c>
      <c r="X23" s="248">
        <v>0</v>
      </c>
      <c r="Z23" s="276">
        <f>Est2018DistRev!Z23</f>
        <v>6325.9121198712201</v>
      </c>
      <c r="AA23" s="250">
        <f>Est2018DistRev!AA23</f>
        <v>0</v>
      </c>
      <c r="AB23" s="250">
        <f>Est2018DistRev!AB23</f>
        <v>90006939.07082431</v>
      </c>
      <c r="AC23" s="250">
        <f>Est2018DistRev!AC23</f>
        <v>0</v>
      </c>
      <c r="AD23" s="250">
        <f>Est2018DistRev!AD23</f>
        <v>0</v>
      </c>
      <c r="AE23" s="250">
        <f>Est2018DistRev!AE23</f>
        <v>56232415.067280285</v>
      </c>
      <c r="AF23" s="250">
        <f>Est2018DistRev!AF23</f>
        <v>0</v>
      </c>
      <c r="AG23" s="250">
        <f>Est2018DistRev!AG23</f>
        <v>0</v>
      </c>
      <c r="AH23" s="250">
        <f>Est2018DistRev!AH23</f>
        <v>0</v>
      </c>
      <c r="AI23" s="250">
        <f>Est2018DistRev!AI23</f>
        <v>0</v>
      </c>
      <c r="AJ23" s="250">
        <f>Est2018DistRev!AJ23</f>
        <v>0</v>
      </c>
      <c r="AK23" s="250">
        <f>Est2018DistRev!AK23</f>
        <v>0</v>
      </c>
      <c r="AL23" s="250">
        <f>Est2018DistRev!AL23</f>
        <v>0</v>
      </c>
      <c r="AM23" s="250">
        <f>Est2018DistRev!AM23</f>
        <v>0</v>
      </c>
      <c r="AN23" s="250">
        <f>Est2018DistRev!AN23</f>
        <v>0</v>
      </c>
      <c r="AO23" s="250">
        <f>Est2018DistRev!AO23</f>
        <v>0</v>
      </c>
      <c r="AP23" s="250">
        <f>Est2018DistRev!AP23</f>
        <v>0</v>
      </c>
      <c r="AQ23" s="250">
        <f>Est2018DistRev!AQ23</f>
        <v>0</v>
      </c>
      <c r="AR23" s="250">
        <f>Est2018DistRev!AR23</f>
        <v>0</v>
      </c>
      <c r="AS23" s="250">
        <f>Est2018DistRev!AS23</f>
        <v>0</v>
      </c>
      <c r="AT23" s="251">
        <f>Est2018DistRev!AT23</f>
        <v>0</v>
      </c>
      <c r="AV23" s="252">
        <f t="shared" si="4"/>
        <v>0</v>
      </c>
      <c r="AW23" s="220">
        <f t="shared" si="5"/>
        <v>0</v>
      </c>
      <c r="AX23" s="220">
        <f t="shared" si="6"/>
        <v>2583199.1513326578</v>
      </c>
      <c r="AY23" s="220">
        <f t="shared" si="7"/>
        <v>0</v>
      </c>
      <c r="AZ23" s="220">
        <f t="shared" si="8"/>
        <v>0</v>
      </c>
      <c r="BA23" s="220">
        <f t="shared" si="9"/>
        <v>427366.35451133014</v>
      </c>
      <c r="BB23" s="220">
        <f t="shared" si="10"/>
        <v>0</v>
      </c>
      <c r="BC23" s="220">
        <f t="shared" si="11"/>
        <v>0</v>
      </c>
      <c r="BD23" s="220">
        <f t="shared" si="12"/>
        <v>0</v>
      </c>
      <c r="BE23" s="220">
        <f t="shared" si="13"/>
        <v>0</v>
      </c>
      <c r="BF23" s="220">
        <f t="shared" si="14"/>
        <v>0</v>
      </c>
      <c r="BG23" s="220">
        <f t="shared" si="15"/>
        <v>0</v>
      </c>
      <c r="BH23" s="220">
        <f t="shared" si="16"/>
        <v>0</v>
      </c>
      <c r="BI23" s="253">
        <f t="shared" si="17"/>
        <v>0</v>
      </c>
      <c r="BJ23" s="253">
        <f t="shared" si="18"/>
        <v>0</v>
      </c>
      <c r="BK23" s="253">
        <f t="shared" si="19"/>
        <v>0</v>
      </c>
      <c r="BL23" s="253">
        <f t="shared" si="20"/>
        <v>0</v>
      </c>
      <c r="BM23" s="253">
        <f t="shared" si="21"/>
        <v>0</v>
      </c>
      <c r="BN23" s="253">
        <f t="shared" si="22"/>
        <v>0</v>
      </c>
      <c r="BO23" s="253">
        <f t="shared" si="23"/>
        <v>0</v>
      </c>
      <c r="BP23" s="253">
        <f t="shared" si="24"/>
        <v>0</v>
      </c>
      <c r="BQ23" s="254">
        <f t="shared" si="25"/>
        <v>3010565.5058439877</v>
      </c>
    </row>
    <row r="24" spans="2:69" x14ac:dyDescent="0.2">
      <c r="B24" s="234" t="str">
        <f>Est2018DistRev!B24</f>
        <v>Non-Residential Two Rate 5d - Bulk</v>
      </c>
      <c r="D24" s="317">
        <v>0</v>
      </c>
      <c r="E24" s="247">
        <v>0</v>
      </c>
      <c r="F24" s="247">
        <v>2.09</v>
      </c>
      <c r="G24" s="247">
        <v>0</v>
      </c>
      <c r="H24" s="247">
        <v>0</v>
      </c>
      <c r="I24" s="247">
        <v>0.56999999999999995</v>
      </c>
      <c r="J24" s="247">
        <v>0</v>
      </c>
      <c r="K24" s="247">
        <v>0</v>
      </c>
      <c r="L24" s="247">
        <v>0</v>
      </c>
      <c r="M24" s="247">
        <v>0</v>
      </c>
      <c r="N24" s="247">
        <v>0</v>
      </c>
      <c r="O24" s="247">
        <v>0</v>
      </c>
      <c r="P24" s="247">
        <v>0</v>
      </c>
      <c r="Q24" s="247">
        <v>0</v>
      </c>
      <c r="R24" s="247">
        <v>0</v>
      </c>
      <c r="S24" s="247">
        <v>0</v>
      </c>
      <c r="T24" s="247">
        <v>0</v>
      </c>
      <c r="U24" s="247">
        <v>0</v>
      </c>
      <c r="V24" s="247">
        <v>0</v>
      </c>
      <c r="W24" s="247">
        <v>0</v>
      </c>
      <c r="X24" s="248">
        <v>0</v>
      </c>
      <c r="Z24" s="276">
        <f>Est2018DistRev!Z24</f>
        <v>1106.5355969893287</v>
      </c>
      <c r="AA24" s="250">
        <f>Est2018DistRev!AA24</f>
        <v>0</v>
      </c>
      <c r="AB24" s="250">
        <f>Est2018DistRev!AB24</f>
        <v>16887632.067035981</v>
      </c>
      <c r="AC24" s="250">
        <f>Est2018DistRev!AC24</f>
        <v>0</v>
      </c>
      <c r="AD24" s="250">
        <f>Est2018DistRev!AD24</f>
        <v>0</v>
      </c>
      <c r="AE24" s="250">
        <f>Est2018DistRev!AE24</f>
        <v>9694170.3462755531</v>
      </c>
      <c r="AF24" s="250">
        <f>Est2018DistRev!AF24</f>
        <v>0</v>
      </c>
      <c r="AG24" s="250">
        <f>Est2018DistRev!AG24</f>
        <v>0</v>
      </c>
      <c r="AH24" s="250">
        <f>Est2018DistRev!AH24</f>
        <v>0</v>
      </c>
      <c r="AI24" s="250">
        <f>Est2018DistRev!AI24</f>
        <v>0</v>
      </c>
      <c r="AJ24" s="250">
        <f>Est2018DistRev!AJ24</f>
        <v>0</v>
      </c>
      <c r="AK24" s="250">
        <f>Est2018DistRev!AK24</f>
        <v>0</v>
      </c>
      <c r="AL24" s="250">
        <f>Est2018DistRev!AL24</f>
        <v>0</v>
      </c>
      <c r="AM24" s="250">
        <f>Est2018DistRev!AM24</f>
        <v>0</v>
      </c>
      <c r="AN24" s="250">
        <f>Est2018DistRev!AN24</f>
        <v>0</v>
      </c>
      <c r="AO24" s="250">
        <f>Est2018DistRev!AO24</f>
        <v>0</v>
      </c>
      <c r="AP24" s="250">
        <f>Est2018DistRev!AP24</f>
        <v>0</v>
      </c>
      <c r="AQ24" s="250">
        <f>Est2018DistRev!AQ24</f>
        <v>0</v>
      </c>
      <c r="AR24" s="250">
        <f>Est2018DistRev!AR24</f>
        <v>0</v>
      </c>
      <c r="AS24" s="250">
        <f>Est2018DistRev!AS24</f>
        <v>0</v>
      </c>
      <c r="AT24" s="251">
        <f>Est2018DistRev!AT24</f>
        <v>0</v>
      </c>
      <c r="AV24" s="252">
        <f t="shared" si="4"/>
        <v>0</v>
      </c>
      <c r="AW24" s="220">
        <f t="shared" si="5"/>
        <v>0</v>
      </c>
      <c r="AX24" s="220">
        <f t="shared" si="6"/>
        <v>352951.51020105195</v>
      </c>
      <c r="AY24" s="220">
        <f t="shared" si="7"/>
        <v>0</v>
      </c>
      <c r="AZ24" s="220">
        <f t="shared" si="8"/>
        <v>0</v>
      </c>
      <c r="BA24" s="220">
        <f t="shared" si="9"/>
        <v>55256.770973770646</v>
      </c>
      <c r="BB24" s="220">
        <f t="shared" si="10"/>
        <v>0</v>
      </c>
      <c r="BC24" s="220">
        <f t="shared" si="11"/>
        <v>0</v>
      </c>
      <c r="BD24" s="220">
        <f t="shared" si="12"/>
        <v>0</v>
      </c>
      <c r="BE24" s="220">
        <f t="shared" si="13"/>
        <v>0</v>
      </c>
      <c r="BF24" s="220">
        <f t="shared" si="14"/>
        <v>0</v>
      </c>
      <c r="BG24" s="220">
        <f t="shared" si="15"/>
        <v>0</v>
      </c>
      <c r="BH24" s="220">
        <f t="shared" si="16"/>
        <v>0</v>
      </c>
      <c r="BI24" s="253">
        <f t="shared" si="17"/>
        <v>0</v>
      </c>
      <c r="BJ24" s="253">
        <f t="shared" si="18"/>
        <v>0</v>
      </c>
      <c r="BK24" s="253">
        <f t="shared" si="19"/>
        <v>0</v>
      </c>
      <c r="BL24" s="253">
        <f t="shared" si="20"/>
        <v>0</v>
      </c>
      <c r="BM24" s="253">
        <f t="shared" si="21"/>
        <v>0</v>
      </c>
      <c r="BN24" s="253">
        <f t="shared" si="22"/>
        <v>0</v>
      </c>
      <c r="BO24" s="253">
        <f t="shared" si="23"/>
        <v>0</v>
      </c>
      <c r="BP24" s="253">
        <f t="shared" si="24"/>
        <v>0</v>
      </c>
      <c r="BQ24" s="254">
        <f t="shared" si="25"/>
        <v>408208.28117482259</v>
      </c>
    </row>
    <row r="25" spans="2:69" x14ac:dyDescent="0.2">
      <c r="B25" s="234" t="str">
        <f>Est2018DistRev!B25</f>
        <v>Non-Residential Interval</v>
      </c>
      <c r="D25" s="317">
        <v>0</v>
      </c>
      <c r="E25" s="247">
        <v>0</v>
      </c>
      <c r="F25" s="247">
        <v>2.87</v>
      </c>
      <c r="G25" s="247">
        <v>0</v>
      </c>
      <c r="H25" s="247">
        <v>0</v>
      </c>
      <c r="I25" s="247">
        <v>0.76</v>
      </c>
      <c r="J25" s="247">
        <v>0</v>
      </c>
      <c r="K25" s="247">
        <v>0</v>
      </c>
      <c r="L25" s="247">
        <v>0</v>
      </c>
      <c r="M25" s="247">
        <v>0</v>
      </c>
      <c r="N25" s="247">
        <v>0</v>
      </c>
      <c r="O25" s="247">
        <v>0</v>
      </c>
      <c r="P25" s="247">
        <v>0</v>
      </c>
      <c r="Q25" s="247">
        <v>0</v>
      </c>
      <c r="R25" s="247">
        <v>0</v>
      </c>
      <c r="S25" s="247">
        <v>0</v>
      </c>
      <c r="T25" s="247">
        <v>0</v>
      </c>
      <c r="U25" s="247">
        <v>0</v>
      </c>
      <c r="V25" s="247">
        <v>0</v>
      </c>
      <c r="W25" s="247">
        <v>0</v>
      </c>
      <c r="X25" s="248">
        <v>0</v>
      </c>
      <c r="Z25" s="276">
        <f>Est2018DistRev!Z25</f>
        <v>4011.7924540561471</v>
      </c>
      <c r="AA25" s="250">
        <f>Est2018DistRev!AA25</f>
        <v>0</v>
      </c>
      <c r="AB25" s="250">
        <f>Est2018DistRev!AB25</f>
        <v>44315700.538597859</v>
      </c>
      <c r="AC25" s="250">
        <f>Est2018DistRev!AC25</f>
        <v>0</v>
      </c>
      <c r="AD25" s="250">
        <f>Est2018DistRev!AD25</f>
        <v>0</v>
      </c>
      <c r="AE25" s="250">
        <f>Est2018DistRev!AE25</f>
        <v>25142157.462131292</v>
      </c>
      <c r="AF25" s="250">
        <f>Est2018DistRev!AF25</f>
        <v>0</v>
      </c>
      <c r="AG25" s="250">
        <f>Est2018DistRev!AG25</f>
        <v>0</v>
      </c>
      <c r="AH25" s="250">
        <f>Est2018DistRev!AH25</f>
        <v>0</v>
      </c>
      <c r="AI25" s="250">
        <f>Est2018DistRev!AI25</f>
        <v>0</v>
      </c>
      <c r="AJ25" s="250">
        <f>Est2018DistRev!AJ25</f>
        <v>0</v>
      </c>
      <c r="AK25" s="250">
        <f>Est2018DistRev!AK25</f>
        <v>0</v>
      </c>
      <c r="AL25" s="250">
        <f>Est2018DistRev!AL25</f>
        <v>0</v>
      </c>
      <c r="AM25" s="250">
        <f>Est2018DistRev!AM25</f>
        <v>0</v>
      </c>
      <c r="AN25" s="250">
        <f>Est2018DistRev!AN25</f>
        <v>0</v>
      </c>
      <c r="AO25" s="250">
        <f>Est2018DistRev!AO25</f>
        <v>0</v>
      </c>
      <c r="AP25" s="250">
        <f>Est2018DistRev!AP25</f>
        <v>0</v>
      </c>
      <c r="AQ25" s="250">
        <f>Est2018DistRev!AQ25</f>
        <v>0</v>
      </c>
      <c r="AR25" s="250">
        <f>Est2018DistRev!AR25</f>
        <v>0</v>
      </c>
      <c r="AS25" s="250">
        <f>Est2018DistRev!AS25</f>
        <v>0</v>
      </c>
      <c r="AT25" s="251">
        <f>Est2018DistRev!AT25</f>
        <v>0</v>
      </c>
      <c r="AV25" s="252">
        <f t="shared" si="4"/>
        <v>0</v>
      </c>
      <c r="AW25" s="220">
        <f t="shared" si="5"/>
        <v>0</v>
      </c>
      <c r="AX25" s="220">
        <f t="shared" si="6"/>
        <v>1271860.6054577585</v>
      </c>
      <c r="AY25" s="220">
        <f t="shared" si="7"/>
        <v>0</v>
      </c>
      <c r="AZ25" s="220">
        <f t="shared" si="8"/>
        <v>0</v>
      </c>
      <c r="BA25" s="220">
        <f t="shared" si="9"/>
        <v>191080.39671219781</v>
      </c>
      <c r="BB25" s="220">
        <f t="shared" si="10"/>
        <v>0</v>
      </c>
      <c r="BC25" s="220">
        <f t="shared" si="11"/>
        <v>0</v>
      </c>
      <c r="BD25" s="220">
        <f t="shared" si="12"/>
        <v>0</v>
      </c>
      <c r="BE25" s="220">
        <f t="shared" si="13"/>
        <v>0</v>
      </c>
      <c r="BF25" s="220">
        <f t="shared" si="14"/>
        <v>0</v>
      </c>
      <c r="BG25" s="220">
        <f t="shared" si="15"/>
        <v>0</v>
      </c>
      <c r="BH25" s="220">
        <f t="shared" si="16"/>
        <v>0</v>
      </c>
      <c r="BI25" s="253">
        <f t="shared" si="17"/>
        <v>0</v>
      </c>
      <c r="BJ25" s="253">
        <f t="shared" si="18"/>
        <v>0</v>
      </c>
      <c r="BK25" s="253">
        <f t="shared" si="19"/>
        <v>0</v>
      </c>
      <c r="BL25" s="253">
        <f t="shared" si="20"/>
        <v>0</v>
      </c>
      <c r="BM25" s="253">
        <f t="shared" si="21"/>
        <v>0</v>
      </c>
      <c r="BN25" s="253">
        <f t="shared" si="22"/>
        <v>0</v>
      </c>
      <c r="BO25" s="253">
        <f t="shared" si="23"/>
        <v>0</v>
      </c>
      <c r="BP25" s="253">
        <f t="shared" si="24"/>
        <v>0</v>
      </c>
      <c r="BQ25" s="254">
        <f t="shared" si="25"/>
        <v>1462941.0021699565</v>
      </c>
    </row>
    <row r="26" spans="2:69" x14ac:dyDescent="0.2">
      <c r="B26" s="234" t="str">
        <f>Est2018DistRev!B26</f>
        <v>Non-Residential Interval - Bulk</v>
      </c>
      <c r="D26" s="317">
        <v>0</v>
      </c>
      <c r="E26" s="247">
        <v>0</v>
      </c>
      <c r="F26" s="247">
        <v>2.09</v>
      </c>
      <c r="G26" s="247">
        <v>0</v>
      </c>
      <c r="H26" s="247">
        <v>0</v>
      </c>
      <c r="I26" s="247">
        <v>0.56999999999999995</v>
      </c>
      <c r="J26" s="247">
        <v>0</v>
      </c>
      <c r="K26" s="247">
        <v>0</v>
      </c>
      <c r="L26" s="247">
        <v>0</v>
      </c>
      <c r="M26" s="247">
        <v>0</v>
      </c>
      <c r="N26" s="247">
        <v>0</v>
      </c>
      <c r="O26" s="247">
        <v>0</v>
      </c>
      <c r="P26" s="247">
        <v>0</v>
      </c>
      <c r="Q26" s="247">
        <v>0</v>
      </c>
      <c r="R26" s="247">
        <v>0</v>
      </c>
      <c r="S26" s="247">
        <v>0</v>
      </c>
      <c r="T26" s="247">
        <v>0</v>
      </c>
      <c r="U26" s="247">
        <v>0</v>
      </c>
      <c r="V26" s="247">
        <v>0</v>
      </c>
      <c r="W26" s="247">
        <v>0</v>
      </c>
      <c r="X26" s="248">
        <v>0</v>
      </c>
      <c r="Z26" s="276">
        <f>Est2018DistRev!Z26</f>
        <v>1947.1728239646436</v>
      </c>
      <c r="AA26" s="250">
        <f>Est2018DistRev!AA26</f>
        <v>0</v>
      </c>
      <c r="AB26" s="250">
        <f>Est2018DistRev!AB26</f>
        <v>28963727.791959636</v>
      </c>
      <c r="AC26" s="250">
        <f>Est2018DistRev!AC26</f>
        <v>0</v>
      </c>
      <c r="AD26" s="250">
        <f>Est2018DistRev!AD26</f>
        <v>0</v>
      </c>
      <c r="AE26" s="250">
        <f>Est2018DistRev!AE26</f>
        <v>15296835.410435298</v>
      </c>
      <c r="AF26" s="250">
        <f>Est2018DistRev!AF26</f>
        <v>0</v>
      </c>
      <c r="AG26" s="250">
        <f>Est2018DistRev!AG26</f>
        <v>0</v>
      </c>
      <c r="AH26" s="250">
        <f>Est2018DistRev!AH26</f>
        <v>0</v>
      </c>
      <c r="AI26" s="250">
        <f>Est2018DistRev!AI26</f>
        <v>0</v>
      </c>
      <c r="AJ26" s="250">
        <f>Est2018DistRev!AJ26</f>
        <v>0</v>
      </c>
      <c r="AK26" s="250">
        <f>Est2018DistRev!AK26</f>
        <v>0</v>
      </c>
      <c r="AL26" s="250">
        <f>Est2018DistRev!AL26</f>
        <v>0</v>
      </c>
      <c r="AM26" s="250">
        <f>Est2018DistRev!AM26</f>
        <v>0</v>
      </c>
      <c r="AN26" s="250">
        <f>Est2018DistRev!AN26</f>
        <v>0</v>
      </c>
      <c r="AO26" s="250">
        <f>Est2018DistRev!AO26</f>
        <v>0</v>
      </c>
      <c r="AP26" s="250">
        <f>Est2018DistRev!AP26</f>
        <v>0</v>
      </c>
      <c r="AQ26" s="250">
        <f>Est2018DistRev!AQ26</f>
        <v>0</v>
      </c>
      <c r="AR26" s="250">
        <f>Est2018DistRev!AR26</f>
        <v>0</v>
      </c>
      <c r="AS26" s="250">
        <f>Est2018DistRev!AS26</f>
        <v>0</v>
      </c>
      <c r="AT26" s="251">
        <f>Est2018DistRev!AT26</f>
        <v>0</v>
      </c>
      <c r="AV26" s="252">
        <f t="shared" si="4"/>
        <v>0</v>
      </c>
      <c r="AW26" s="220">
        <f t="shared" si="5"/>
        <v>0</v>
      </c>
      <c r="AX26" s="220">
        <f t="shared" si="6"/>
        <v>605341.91085195635</v>
      </c>
      <c r="AY26" s="220">
        <f t="shared" si="7"/>
        <v>0</v>
      </c>
      <c r="AZ26" s="220">
        <f t="shared" si="8"/>
        <v>0</v>
      </c>
      <c r="BA26" s="220">
        <f t="shared" si="9"/>
        <v>87191.961839481184</v>
      </c>
      <c r="BB26" s="220">
        <f t="shared" si="10"/>
        <v>0</v>
      </c>
      <c r="BC26" s="220">
        <f t="shared" si="11"/>
        <v>0</v>
      </c>
      <c r="BD26" s="220">
        <f t="shared" si="12"/>
        <v>0</v>
      </c>
      <c r="BE26" s="220">
        <f t="shared" si="13"/>
        <v>0</v>
      </c>
      <c r="BF26" s="220">
        <f t="shared" si="14"/>
        <v>0</v>
      </c>
      <c r="BG26" s="220">
        <f t="shared" si="15"/>
        <v>0</v>
      </c>
      <c r="BH26" s="220">
        <f t="shared" si="16"/>
        <v>0</v>
      </c>
      <c r="BI26" s="253">
        <f t="shared" si="17"/>
        <v>0</v>
      </c>
      <c r="BJ26" s="253">
        <f t="shared" si="18"/>
        <v>0</v>
      </c>
      <c r="BK26" s="253">
        <f t="shared" si="19"/>
        <v>0</v>
      </c>
      <c r="BL26" s="253">
        <f t="shared" si="20"/>
        <v>0</v>
      </c>
      <c r="BM26" s="253">
        <f t="shared" si="21"/>
        <v>0</v>
      </c>
      <c r="BN26" s="253">
        <f t="shared" si="22"/>
        <v>0</v>
      </c>
      <c r="BO26" s="253">
        <f t="shared" si="23"/>
        <v>0</v>
      </c>
      <c r="BP26" s="253">
        <f t="shared" si="24"/>
        <v>0</v>
      </c>
      <c r="BQ26" s="254">
        <f t="shared" si="25"/>
        <v>692533.87269143749</v>
      </c>
    </row>
    <row r="27" spans="2:69" x14ac:dyDescent="0.2">
      <c r="B27" s="234" t="str">
        <f>Est2018DistRev!B27</f>
        <v>Non-Residential Flexible Pricing</v>
      </c>
      <c r="D27" s="317">
        <v>0</v>
      </c>
      <c r="E27" s="247">
        <v>0</v>
      </c>
      <c r="F27" s="247">
        <v>0</v>
      </c>
      <c r="G27" s="247">
        <v>0</v>
      </c>
      <c r="H27" s="247">
        <v>0</v>
      </c>
      <c r="I27" s="247">
        <v>0</v>
      </c>
      <c r="J27" s="247">
        <v>0</v>
      </c>
      <c r="K27" s="247">
        <v>0</v>
      </c>
      <c r="L27" s="247">
        <v>0</v>
      </c>
      <c r="M27" s="247">
        <v>0</v>
      </c>
      <c r="N27" s="247">
        <v>0</v>
      </c>
      <c r="O27" s="247">
        <v>0</v>
      </c>
      <c r="P27" s="247">
        <v>0</v>
      </c>
      <c r="Q27" s="247">
        <v>3.5</v>
      </c>
      <c r="R27" s="247">
        <v>2.4500000000000002</v>
      </c>
      <c r="S27" s="247">
        <v>0.96</v>
      </c>
      <c r="T27" s="247">
        <v>0</v>
      </c>
      <c r="U27" s="247">
        <v>3.5</v>
      </c>
      <c r="V27" s="247">
        <v>2.4500000000000002</v>
      </c>
      <c r="W27" s="247">
        <v>0.96</v>
      </c>
      <c r="X27" s="248">
        <v>0</v>
      </c>
      <c r="Z27" s="276">
        <f>Est2018DistRev!Z27</f>
        <v>21.102227884604787</v>
      </c>
      <c r="AA27" s="250">
        <f>Est2018DistRev!AA27</f>
        <v>0</v>
      </c>
      <c r="AB27" s="250">
        <f>Est2018DistRev!AB27</f>
        <v>0</v>
      </c>
      <c r="AC27" s="250">
        <f>Est2018DistRev!AC27</f>
        <v>0</v>
      </c>
      <c r="AD27" s="250">
        <f>Est2018DistRev!AD27</f>
        <v>0</v>
      </c>
      <c r="AE27" s="250">
        <f>Est2018DistRev!AE27</f>
        <v>0</v>
      </c>
      <c r="AF27" s="250">
        <f>Est2018DistRev!AF27</f>
        <v>0</v>
      </c>
      <c r="AG27" s="250">
        <f>Est2018DistRev!AG27</f>
        <v>0</v>
      </c>
      <c r="AH27" s="250">
        <f>Est2018DistRev!AH27</f>
        <v>0</v>
      </c>
      <c r="AI27" s="250">
        <f>Est2018DistRev!AI27</f>
        <v>0</v>
      </c>
      <c r="AJ27" s="250">
        <f>Est2018DistRev!AJ27</f>
        <v>0</v>
      </c>
      <c r="AK27" s="250">
        <f>Est2018DistRev!AK27</f>
        <v>0</v>
      </c>
      <c r="AL27" s="250">
        <f>Est2018DistRev!AL27</f>
        <v>0</v>
      </c>
      <c r="AM27" s="250">
        <f>Est2018DistRev!AM27</f>
        <v>43821.569362858281</v>
      </c>
      <c r="AN27" s="250">
        <f>Est2018DistRev!AN27</f>
        <v>12365.145540133803</v>
      </c>
      <c r="AO27" s="250">
        <f>Est2018DistRev!AO27</f>
        <v>36868.097137445991</v>
      </c>
      <c r="AP27" s="250">
        <f>Est2018DistRev!AP27</f>
        <v>0</v>
      </c>
      <c r="AQ27" s="250">
        <f>Est2018DistRev!AQ27</f>
        <v>161494.87127302433</v>
      </c>
      <c r="AR27" s="250">
        <f>Est2018DistRev!AR27</f>
        <v>41032.760510766886</v>
      </c>
      <c r="AS27" s="250">
        <f>Est2018DistRev!AS27</f>
        <v>110833.91500246867</v>
      </c>
      <c r="AT27" s="251">
        <f>Est2018DistRev!AT27</f>
        <v>0</v>
      </c>
      <c r="AV27" s="252">
        <f t="shared" si="4"/>
        <v>0</v>
      </c>
      <c r="AW27" s="220">
        <f t="shared" si="5"/>
        <v>0</v>
      </c>
      <c r="AX27" s="220">
        <f t="shared" si="6"/>
        <v>0</v>
      </c>
      <c r="AY27" s="220">
        <f t="shared" si="7"/>
        <v>0</v>
      </c>
      <c r="AZ27" s="220">
        <f t="shared" si="8"/>
        <v>0</v>
      </c>
      <c r="BA27" s="220">
        <f t="shared" si="9"/>
        <v>0</v>
      </c>
      <c r="BB27" s="220">
        <f t="shared" si="10"/>
        <v>0</v>
      </c>
      <c r="BC27" s="220">
        <f t="shared" si="11"/>
        <v>0</v>
      </c>
      <c r="BD27" s="220">
        <f t="shared" si="12"/>
        <v>0</v>
      </c>
      <c r="BE27" s="220">
        <f t="shared" si="13"/>
        <v>0</v>
      </c>
      <c r="BF27" s="220">
        <f t="shared" si="14"/>
        <v>0</v>
      </c>
      <c r="BG27" s="220">
        <f t="shared" si="15"/>
        <v>0</v>
      </c>
      <c r="BH27" s="220">
        <f t="shared" si="16"/>
        <v>0</v>
      </c>
      <c r="BI27" s="253">
        <f t="shared" si="17"/>
        <v>1533.7549277000401</v>
      </c>
      <c r="BJ27" s="253">
        <f t="shared" si="18"/>
        <v>302.94606573327815</v>
      </c>
      <c r="BK27" s="253">
        <f t="shared" si="19"/>
        <v>353.93373251948151</v>
      </c>
      <c r="BL27" s="253">
        <f t="shared" si="20"/>
        <v>0</v>
      </c>
      <c r="BM27" s="253">
        <f t="shared" si="21"/>
        <v>5652.3204945558518</v>
      </c>
      <c r="BN27" s="253">
        <f t="shared" si="22"/>
        <v>1005.3026325137887</v>
      </c>
      <c r="BO27" s="253">
        <f t="shared" si="23"/>
        <v>1064.0055840236992</v>
      </c>
      <c r="BP27" s="253">
        <f t="shared" si="24"/>
        <v>0</v>
      </c>
      <c r="BQ27" s="254">
        <f t="shared" si="25"/>
        <v>9912.2634370461383</v>
      </c>
    </row>
    <row r="28" spans="2:69" x14ac:dyDescent="0.2">
      <c r="B28" s="234" t="str">
        <f>Est2018DistRev!B28</f>
        <v>Non-Residential - Flexible Pricing Bulk</v>
      </c>
      <c r="D28" s="317">
        <v>0</v>
      </c>
      <c r="E28" s="247">
        <v>0</v>
      </c>
      <c r="F28" s="247">
        <v>0</v>
      </c>
      <c r="G28" s="247">
        <v>0</v>
      </c>
      <c r="H28" s="247">
        <v>0</v>
      </c>
      <c r="I28" s="247">
        <v>0</v>
      </c>
      <c r="J28" s="247">
        <v>0</v>
      </c>
      <c r="K28" s="247">
        <v>0</v>
      </c>
      <c r="L28" s="247">
        <v>0</v>
      </c>
      <c r="M28" s="247">
        <v>0</v>
      </c>
      <c r="N28" s="247">
        <v>0</v>
      </c>
      <c r="O28" s="247">
        <v>0</v>
      </c>
      <c r="P28" s="247">
        <v>0</v>
      </c>
      <c r="Q28" s="247">
        <v>2.97</v>
      </c>
      <c r="R28" s="247">
        <v>2.08</v>
      </c>
      <c r="S28" s="247">
        <v>0.82</v>
      </c>
      <c r="T28" s="247">
        <v>0</v>
      </c>
      <c r="U28" s="247">
        <v>2.97</v>
      </c>
      <c r="V28" s="247">
        <v>2.08</v>
      </c>
      <c r="W28" s="247">
        <v>0.82</v>
      </c>
      <c r="X28" s="248">
        <v>0</v>
      </c>
      <c r="Z28" s="276">
        <f>Est2018DistRev!Z28</f>
        <v>5</v>
      </c>
      <c r="AA28" s="250">
        <f>Est2018DistRev!AA28</f>
        <v>0</v>
      </c>
      <c r="AB28" s="250">
        <f>Est2018DistRev!AB28</f>
        <v>0</v>
      </c>
      <c r="AC28" s="250">
        <f>Est2018DistRev!AC28</f>
        <v>0</v>
      </c>
      <c r="AD28" s="250">
        <f>Est2018DistRev!AD28</f>
        <v>0</v>
      </c>
      <c r="AE28" s="250">
        <f>Est2018DistRev!AE28</f>
        <v>0</v>
      </c>
      <c r="AF28" s="250">
        <f>Est2018DistRev!AF28</f>
        <v>0</v>
      </c>
      <c r="AG28" s="250">
        <f>Est2018DistRev!AG28</f>
        <v>0</v>
      </c>
      <c r="AH28" s="250">
        <f>Est2018DistRev!AH28</f>
        <v>0</v>
      </c>
      <c r="AI28" s="250">
        <f>Est2018DistRev!AI28</f>
        <v>0</v>
      </c>
      <c r="AJ28" s="250">
        <f>Est2018DistRev!AJ28</f>
        <v>0</v>
      </c>
      <c r="AK28" s="250">
        <f>Est2018DistRev!AK28</f>
        <v>0</v>
      </c>
      <c r="AL28" s="250">
        <f>Est2018DistRev!AL28</f>
        <v>0</v>
      </c>
      <c r="AM28" s="250">
        <f>Est2018DistRev!AM28</f>
        <v>10467.500468311788</v>
      </c>
      <c r="AN28" s="250">
        <f>Est2018DistRev!AN28</f>
        <v>2361.8467108005088</v>
      </c>
      <c r="AO28" s="250">
        <f>Est2018DistRev!AO28</f>
        <v>7699.3201699207311</v>
      </c>
      <c r="AP28" s="250">
        <f>Est2018DistRev!AP28</f>
        <v>0</v>
      </c>
      <c r="AQ28" s="250">
        <f>Est2018DistRev!AQ28</f>
        <v>30024.781573814373</v>
      </c>
      <c r="AR28" s="250">
        <f>Est2018DistRev!AR28</f>
        <v>6386.5841435979974</v>
      </c>
      <c r="AS28" s="250">
        <f>Est2018DistRev!AS28</f>
        <v>20918.502315015376</v>
      </c>
      <c r="AT28" s="251">
        <f>Est2018DistRev!AT28</f>
        <v>0</v>
      </c>
      <c r="AV28" s="252">
        <f t="shared" si="4"/>
        <v>0</v>
      </c>
      <c r="AW28" s="220">
        <f t="shared" si="5"/>
        <v>0</v>
      </c>
      <c r="AX28" s="220">
        <f t="shared" si="6"/>
        <v>0</v>
      </c>
      <c r="AY28" s="220">
        <f t="shared" si="7"/>
        <v>0</v>
      </c>
      <c r="AZ28" s="220">
        <f t="shared" si="8"/>
        <v>0</v>
      </c>
      <c r="BA28" s="220">
        <f t="shared" si="9"/>
        <v>0</v>
      </c>
      <c r="BB28" s="220">
        <f t="shared" si="10"/>
        <v>0</v>
      </c>
      <c r="BC28" s="220">
        <f t="shared" si="11"/>
        <v>0</v>
      </c>
      <c r="BD28" s="220">
        <f t="shared" si="12"/>
        <v>0</v>
      </c>
      <c r="BE28" s="220">
        <f t="shared" si="13"/>
        <v>0</v>
      </c>
      <c r="BF28" s="220">
        <f t="shared" si="14"/>
        <v>0</v>
      </c>
      <c r="BG28" s="220">
        <f t="shared" si="15"/>
        <v>0</v>
      </c>
      <c r="BH28" s="220">
        <f t="shared" si="16"/>
        <v>0</v>
      </c>
      <c r="BI28" s="253">
        <f t="shared" si="17"/>
        <v>310.88476390886012</v>
      </c>
      <c r="BJ28" s="253">
        <f t="shared" si="18"/>
        <v>49.126411584650583</v>
      </c>
      <c r="BK28" s="253">
        <f t="shared" si="19"/>
        <v>63.134425393349986</v>
      </c>
      <c r="BL28" s="253">
        <f t="shared" si="20"/>
        <v>0</v>
      </c>
      <c r="BM28" s="253">
        <f t="shared" si="21"/>
        <v>891.7360127422869</v>
      </c>
      <c r="BN28" s="253">
        <f t="shared" si="22"/>
        <v>132.84095018683834</v>
      </c>
      <c r="BO28" s="253">
        <f t="shared" si="23"/>
        <v>171.53171898312607</v>
      </c>
      <c r="BP28" s="253">
        <f t="shared" si="24"/>
        <v>0</v>
      </c>
      <c r="BQ28" s="254">
        <f t="shared" si="25"/>
        <v>1619.2542827991119</v>
      </c>
    </row>
    <row r="29" spans="2:69" x14ac:dyDescent="0.2">
      <c r="B29" s="234" t="str">
        <f>Est2018DistRev!B29</f>
        <v>Non-Residential Two Rate 7d</v>
      </c>
      <c r="D29" s="317">
        <v>0</v>
      </c>
      <c r="E29" s="247">
        <v>0</v>
      </c>
      <c r="F29" s="247">
        <v>2.2599999999999998</v>
      </c>
      <c r="G29" s="247">
        <v>0</v>
      </c>
      <c r="H29" s="247">
        <v>0</v>
      </c>
      <c r="I29" s="247">
        <v>0.76</v>
      </c>
      <c r="J29" s="247">
        <v>0</v>
      </c>
      <c r="K29" s="247">
        <v>0</v>
      </c>
      <c r="L29" s="247">
        <v>0</v>
      </c>
      <c r="M29" s="247">
        <v>0</v>
      </c>
      <c r="N29" s="247">
        <v>0</v>
      </c>
      <c r="O29" s="247">
        <v>0</v>
      </c>
      <c r="P29" s="247">
        <v>0</v>
      </c>
      <c r="Q29" s="247">
        <v>0</v>
      </c>
      <c r="R29" s="247">
        <v>0</v>
      </c>
      <c r="S29" s="247">
        <v>0</v>
      </c>
      <c r="T29" s="247">
        <v>0</v>
      </c>
      <c r="U29" s="247">
        <v>0</v>
      </c>
      <c r="V29" s="247">
        <v>0</v>
      </c>
      <c r="W29" s="247">
        <v>0</v>
      </c>
      <c r="X29" s="248">
        <v>0</v>
      </c>
      <c r="Z29" s="276">
        <f>Est2018DistRev!Z29</f>
        <v>2322.444207091999</v>
      </c>
      <c r="AA29" s="250">
        <f>Est2018DistRev!AA29</f>
        <v>0</v>
      </c>
      <c r="AB29" s="250">
        <f>Est2018DistRev!AB29</f>
        <v>37314656.187938549</v>
      </c>
      <c r="AC29" s="250">
        <f>Est2018DistRev!AC29</f>
        <v>0</v>
      </c>
      <c r="AD29" s="250">
        <f>Est2018DistRev!AD29</f>
        <v>0</v>
      </c>
      <c r="AE29" s="250">
        <f>Est2018DistRev!AE29</f>
        <v>8982959.3015620131</v>
      </c>
      <c r="AF29" s="250">
        <f>Est2018DistRev!AF29</f>
        <v>0</v>
      </c>
      <c r="AG29" s="250">
        <f>Est2018DistRev!AG29</f>
        <v>0</v>
      </c>
      <c r="AH29" s="250">
        <f>Est2018DistRev!AH29</f>
        <v>0</v>
      </c>
      <c r="AI29" s="250">
        <f>Est2018DistRev!AI29</f>
        <v>0</v>
      </c>
      <c r="AJ29" s="250">
        <f>Est2018DistRev!AJ29</f>
        <v>0</v>
      </c>
      <c r="AK29" s="250">
        <f>Est2018DistRev!AK29</f>
        <v>0</v>
      </c>
      <c r="AL29" s="250">
        <f>Est2018DistRev!AL29</f>
        <v>0</v>
      </c>
      <c r="AM29" s="250">
        <f>Est2018DistRev!AM29</f>
        <v>0</v>
      </c>
      <c r="AN29" s="250">
        <f>Est2018DistRev!AN29</f>
        <v>0</v>
      </c>
      <c r="AO29" s="250">
        <f>Est2018DistRev!AO29</f>
        <v>0</v>
      </c>
      <c r="AP29" s="250">
        <f>Est2018DistRev!AP29</f>
        <v>0</v>
      </c>
      <c r="AQ29" s="250">
        <f>Est2018DistRev!AQ29</f>
        <v>0</v>
      </c>
      <c r="AR29" s="250">
        <f>Est2018DistRev!AR29</f>
        <v>0</v>
      </c>
      <c r="AS29" s="250">
        <f>Est2018DistRev!AS29</f>
        <v>0</v>
      </c>
      <c r="AT29" s="251">
        <f>Est2018DistRev!AT29</f>
        <v>0</v>
      </c>
      <c r="AV29" s="252">
        <f t="shared" si="4"/>
        <v>0</v>
      </c>
      <c r="AW29" s="220">
        <f t="shared" si="5"/>
        <v>0</v>
      </c>
      <c r="AX29" s="220">
        <f t="shared" si="6"/>
        <v>843311.22984741116</v>
      </c>
      <c r="AY29" s="220">
        <f t="shared" si="7"/>
        <v>0</v>
      </c>
      <c r="AZ29" s="220">
        <f t="shared" si="8"/>
        <v>0</v>
      </c>
      <c r="BA29" s="220">
        <f t="shared" si="9"/>
        <v>68270.490691871295</v>
      </c>
      <c r="BB29" s="220">
        <f t="shared" si="10"/>
        <v>0</v>
      </c>
      <c r="BC29" s="220">
        <f t="shared" si="11"/>
        <v>0</v>
      </c>
      <c r="BD29" s="220">
        <f t="shared" si="12"/>
        <v>0</v>
      </c>
      <c r="BE29" s="220">
        <f t="shared" si="13"/>
        <v>0</v>
      </c>
      <c r="BF29" s="220">
        <f t="shared" si="14"/>
        <v>0</v>
      </c>
      <c r="BG29" s="220">
        <f t="shared" si="15"/>
        <v>0</v>
      </c>
      <c r="BH29" s="220">
        <f t="shared" si="16"/>
        <v>0</v>
      </c>
      <c r="BI29" s="253">
        <f t="shared" si="17"/>
        <v>0</v>
      </c>
      <c r="BJ29" s="253">
        <f t="shared" si="18"/>
        <v>0</v>
      </c>
      <c r="BK29" s="253">
        <f t="shared" si="19"/>
        <v>0</v>
      </c>
      <c r="BL29" s="253">
        <f t="shared" si="20"/>
        <v>0</v>
      </c>
      <c r="BM29" s="253">
        <f t="shared" si="21"/>
        <v>0</v>
      </c>
      <c r="BN29" s="253">
        <f t="shared" si="22"/>
        <v>0</v>
      </c>
      <c r="BO29" s="253">
        <f t="shared" si="23"/>
        <v>0</v>
      </c>
      <c r="BP29" s="253">
        <f t="shared" si="24"/>
        <v>0</v>
      </c>
      <c r="BQ29" s="254">
        <f t="shared" si="25"/>
        <v>911581.72053928243</v>
      </c>
    </row>
    <row r="30" spans="2:69" x14ac:dyDescent="0.2">
      <c r="B30" s="234" t="str">
        <f>Est2018DistRev!B30</f>
        <v>Non-Residential Two Rate 7d - Bulk</v>
      </c>
      <c r="D30" s="317">
        <v>0</v>
      </c>
      <c r="E30" s="247">
        <v>0</v>
      </c>
      <c r="F30" s="247">
        <v>1.95</v>
      </c>
      <c r="G30" s="247">
        <v>0</v>
      </c>
      <c r="H30" s="247">
        <v>0</v>
      </c>
      <c r="I30" s="247">
        <v>0.56999999999999995</v>
      </c>
      <c r="J30" s="247">
        <v>0</v>
      </c>
      <c r="K30" s="247">
        <v>0</v>
      </c>
      <c r="L30" s="247">
        <v>0</v>
      </c>
      <c r="M30" s="247">
        <v>0</v>
      </c>
      <c r="N30" s="247">
        <v>0</v>
      </c>
      <c r="O30" s="247">
        <v>0</v>
      </c>
      <c r="P30" s="247">
        <v>0</v>
      </c>
      <c r="Q30" s="247">
        <v>0</v>
      </c>
      <c r="R30" s="247">
        <v>0</v>
      </c>
      <c r="S30" s="247">
        <v>0</v>
      </c>
      <c r="T30" s="247">
        <v>0</v>
      </c>
      <c r="U30" s="247">
        <v>0</v>
      </c>
      <c r="V30" s="247">
        <v>0</v>
      </c>
      <c r="W30" s="247">
        <v>0</v>
      </c>
      <c r="X30" s="248">
        <v>0</v>
      </c>
      <c r="Z30" s="276">
        <f>Est2018DistRev!Z30</f>
        <v>251.52691546810573</v>
      </c>
      <c r="AA30" s="250">
        <f>Est2018DistRev!AA30</f>
        <v>0</v>
      </c>
      <c r="AB30" s="250">
        <f>Est2018DistRev!AB30</f>
        <v>5172333.90074181</v>
      </c>
      <c r="AC30" s="250">
        <f>Est2018DistRev!AC30</f>
        <v>0</v>
      </c>
      <c r="AD30" s="250">
        <f>Est2018DistRev!AD30</f>
        <v>0</v>
      </c>
      <c r="AE30" s="250">
        <f>Est2018DistRev!AE30</f>
        <v>1298680.7753647633</v>
      </c>
      <c r="AF30" s="250">
        <f>Est2018DistRev!AF30</f>
        <v>0</v>
      </c>
      <c r="AG30" s="250">
        <f>Est2018DistRev!AG30</f>
        <v>0</v>
      </c>
      <c r="AH30" s="250">
        <f>Est2018DistRev!AH30</f>
        <v>0</v>
      </c>
      <c r="AI30" s="250">
        <f>Est2018DistRev!AI30</f>
        <v>0</v>
      </c>
      <c r="AJ30" s="250">
        <f>Est2018DistRev!AJ30</f>
        <v>0</v>
      </c>
      <c r="AK30" s="250">
        <f>Est2018DistRev!AK30</f>
        <v>0</v>
      </c>
      <c r="AL30" s="250">
        <f>Est2018DistRev!AL30</f>
        <v>0</v>
      </c>
      <c r="AM30" s="250">
        <f>Est2018DistRev!AM30</f>
        <v>0</v>
      </c>
      <c r="AN30" s="250">
        <f>Est2018DistRev!AN30</f>
        <v>0</v>
      </c>
      <c r="AO30" s="250">
        <f>Est2018DistRev!AO30</f>
        <v>0</v>
      </c>
      <c r="AP30" s="250">
        <f>Est2018DistRev!AP30</f>
        <v>0</v>
      </c>
      <c r="AQ30" s="250">
        <f>Est2018DistRev!AQ30</f>
        <v>0</v>
      </c>
      <c r="AR30" s="250">
        <f>Est2018DistRev!AR30</f>
        <v>0</v>
      </c>
      <c r="AS30" s="250">
        <f>Est2018DistRev!AS30</f>
        <v>0</v>
      </c>
      <c r="AT30" s="251">
        <f>Est2018DistRev!AT30</f>
        <v>0</v>
      </c>
      <c r="AV30" s="252">
        <f t="shared" si="4"/>
        <v>0</v>
      </c>
      <c r="AW30" s="220">
        <f t="shared" si="5"/>
        <v>0</v>
      </c>
      <c r="AX30" s="220">
        <f t="shared" si="6"/>
        <v>100860.51106446529</v>
      </c>
      <c r="AY30" s="220">
        <f t="shared" si="7"/>
        <v>0</v>
      </c>
      <c r="AZ30" s="220">
        <f t="shared" si="8"/>
        <v>0</v>
      </c>
      <c r="BA30" s="220">
        <f t="shared" si="9"/>
        <v>7402.4804195791503</v>
      </c>
      <c r="BB30" s="220">
        <f t="shared" si="10"/>
        <v>0</v>
      </c>
      <c r="BC30" s="220">
        <f t="shared" si="11"/>
        <v>0</v>
      </c>
      <c r="BD30" s="220">
        <f t="shared" si="12"/>
        <v>0</v>
      </c>
      <c r="BE30" s="220">
        <f t="shared" si="13"/>
        <v>0</v>
      </c>
      <c r="BF30" s="220">
        <f t="shared" si="14"/>
        <v>0</v>
      </c>
      <c r="BG30" s="220">
        <f t="shared" si="15"/>
        <v>0</v>
      </c>
      <c r="BH30" s="220">
        <f t="shared" si="16"/>
        <v>0</v>
      </c>
      <c r="BI30" s="253">
        <f t="shared" si="17"/>
        <v>0</v>
      </c>
      <c r="BJ30" s="253">
        <f t="shared" si="18"/>
        <v>0</v>
      </c>
      <c r="BK30" s="253">
        <f t="shared" si="19"/>
        <v>0</v>
      </c>
      <c r="BL30" s="253">
        <f t="shared" si="20"/>
        <v>0</v>
      </c>
      <c r="BM30" s="253">
        <f t="shared" si="21"/>
        <v>0</v>
      </c>
      <c r="BN30" s="253">
        <f t="shared" si="22"/>
        <v>0</v>
      </c>
      <c r="BO30" s="253">
        <f t="shared" si="23"/>
        <v>0</v>
      </c>
      <c r="BP30" s="253">
        <f t="shared" si="24"/>
        <v>0</v>
      </c>
      <c r="BQ30" s="254">
        <f t="shared" si="25"/>
        <v>108262.99148404444</v>
      </c>
    </row>
    <row r="31" spans="2:69" x14ac:dyDescent="0.2">
      <c r="B31" s="234" t="str">
        <f>Est2018DistRev!B31</f>
        <v>Large Two Rate 7d</v>
      </c>
      <c r="D31" s="317">
        <v>0</v>
      </c>
      <c r="E31" s="247">
        <v>0</v>
      </c>
      <c r="F31" s="247">
        <v>2.87</v>
      </c>
      <c r="G31" s="247">
        <v>0</v>
      </c>
      <c r="H31" s="247">
        <v>0</v>
      </c>
      <c r="I31" s="247">
        <v>0.76</v>
      </c>
      <c r="J31" s="247">
        <v>0</v>
      </c>
      <c r="K31" s="247">
        <v>0</v>
      </c>
      <c r="L31" s="247">
        <v>0</v>
      </c>
      <c r="M31" s="247">
        <v>0</v>
      </c>
      <c r="N31" s="247">
        <v>0</v>
      </c>
      <c r="O31" s="247">
        <v>0</v>
      </c>
      <c r="P31" s="247">
        <v>0</v>
      </c>
      <c r="Q31" s="247">
        <v>0</v>
      </c>
      <c r="R31" s="247">
        <v>0</v>
      </c>
      <c r="S31" s="247">
        <v>0</v>
      </c>
      <c r="T31" s="247">
        <v>0</v>
      </c>
      <c r="U31" s="247">
        <v>0</v>
      </c>
      <c r="V31" s="247">
        <v>0</v>
      </c>
      <c r="W31" s="247">
        <v>0</v>
      </c>
      <c r="X31" s="248">
        <v>0</v>
      </c>
      <c r="Z31" s="276">
        <f>Est2018DistRev!Z31</f>
        <v>4</v>
      </c>
      <c r="AA31" s="250">
        <f>Est2018DistRev!AA31</f>
        <v>0</v>
      </c>
      <c r="AB31" s="250">
        <f>Est2018DistRev!AB31</f>
        <v>224820.2679166478</v>
      </c>
      <c r="AC31" s="250">
        <f>Est2018DistRev!AC31</f>
        <v>0</v>
      </c>
      <c r="AD31" s="250">
        <f>Est2018DistRev!AD31</f>
        <v>0</v>
      </c>
      <c r="AE31" s="250">
        <f>Est2018DistRev!AE31</f>
        <v>61632.40762098199</v>
      </c>
      <c r="AF31" s="250">
        <f>Est2018DistRev!AF31</f>
        <v>0</v>
      </c>
      <c r="AG31" s="250">
        <f>Est2018DistRev!AG31</f>
        <v>0</v>
      </c>
      <c r="AH31" s="250">
        <f>Est2018DistRev!AH31</f>
        <v>0</v>
      </c>
      <c r="AI31" s="250">
        <f>Est2018DistRev!AI31</f>
        <v>0</v>
      </c>
      <c r="AJ31" s="250">
        <f>Est2018DistRev!AJ31</f>
        <v>0</v>
      </c>
      <c r="AK31" s="250">
        <f>Est2018DistRev!AK31</f>
        <v>0</v>
      </c>
      <c r="AL31" s="250">
        <f>Est2018DistRev!AL31</f>
        <v>0</v>
      </c>
      <c r="AM31" s="250">
        <f>Est2018DistRev!AM31</f>
        <v>0</v>
      </c>
      <c r="AN31" s="250">
        <f>Est2018DistRev!AN31</f>
        <v>0</v>
      </c>
      <c r="AO31" s="250">
        <f>Est2018DistRev!AO31</f>
        <v>0</v>
      </c>
      <c r="AP31" s="250">
        <f>Est2018DistRev!AP31</f>
        <v>0</v>
      </c>
      <c r="AQ31" s="250">
        <f>Est2018DistRev!AQ31</f>
        <v>0</v>
      </c>
      <c r="AR31" s="250">
        <f>Est2018DistRev!AR31</f>
        <v>0</v>
      </c>
      <c r="AS31" s="250">
        <f>Est2018DistRev!AS31</f>
        <v>0</v>
      </c>
      <c r="AT31" s="251">
        <f>Est2018DistRev!AT31</f>
        <v>0</v>
      </c>
      <c r="AV31" s="252">
        <f t="shared" si="4"/>
        <v>0</v>
      </c>
      <c r="AW31" s="220">
        <f t="shared" si="5"/>
        <v>0</v>
      </c>
      <c r="AX31" s="220">
        <f t="shared" si="6"/>
        <v>6452.3416892077921</v>
      </c>
      <c r="AY31" s="220">
        <f t="shared" si="7"/>
        <v>0</v>
      </c>
      <c r="AZ31" s="220">
        <f t="shared" si="8"/>
        <v>0</v>
      </c>
      <c r="BA31" s="220">
        <f t="shared" si="9"/>
        <v>468.4062979194631</v>
      </c>
      <c r="BB31" s="220">
        <f t="shared" si="10"/>
        <v>0</v>
      </c>
      <c r="BC31" s="220">
        <f t="shared" si="11"/>
        <v>0</v>
      </c>
      <c r="BD31" s="220">
        <f t="shared" si="12"/>
        <v>0</v>
      </c>
      <c r="BE31" s="220">
        <f t="shared" si="13"/>
        <v>0</v>
      </c>
      <c r="BF31" s="220">
        <f t="shared" si="14"/>
        <v>0</v>
      </c>
      <c r="BG31" s="220">
        <f t="shared" si="15"/>
        <v>0</v>
      </c>
      <c r="BH31" s="220">
        <f t="shared" si="16"/>
        <v>0</v>
      </c>
      <c r="BI31" s="253">
        <f t="shared" si="17"/>
        <v>0</v>
      </c>
      <c r="BJ31" s="253">
        <f t="shared" si="18"/>
        <v>0</v>
      </c>
      <c r="BK31" s="253">
        <f t="shared" si="19"/>
        <v>0</v>
      </c>
      <c r="BL31" s="253">
        <f t="shared" si="20"/>
        <v>0</v>
      </c>
      <c r="BM31" s="253">
        <f t="shared" si="21"/>
        <v>0</v>
      </c>
      <c r="BN31" s="253">
        <f t="shared" si="22"/>
        <v>0</v>
      </c>
      <c r="BO31" s="253">
        <f t="shared" si="23"/>
        <v>0</v>
      </c>
      <c r="BP31" s="253">
        <f t="shared" si="24"/>
        <v>0</v>
      </c>
      <c r="BQ31" s="254">
        <f t="shared" si="25"/>
        <v>6920.7479871272553</v>
      </c>
    </row>
    <row r="32" spans="2:69" x14ac:dyDescent="0.2">
      <c r="B32" s="234" t="str">
        <f>Est2018DistRev!B32</f>
        <v>Non-Residential Demand Tariff</v>
      </c>
      <c r="D32" s="317">
        <v>0</v>
      </c>
      <c r="E32" s="247">
        <v>1.05</v>
      </c>
      <c r="F32" s="247">
        <v>0</v>
      </c>
      <c r="G32" s="247">
        <v>0</v>
      </c>
      <c r="H32" s="247">
        <v>0</v>
      </c>
      <c r="I32" s="247">
        <v>0</v>
      </c>
      <c r="J32" s="247">
        <v>0</v>
      </c>
      <c r="K32" s="247">
        <v>0</v>
      </c>
      <c r="L32" s="247">
        <v>0</v>
      </c>
      <c r="M32" s="247">
        <v>0</v>
      </c>
      <c r="N32" s="247">
        <v>0</v>
      </c>
      <c r="O32" s="247">
        <v>3.34</v>
      </c>
      <c r="P32" s="247">
        <v>1.1100000000000001</v>
      </c>
      <c r="Q32" s="247">
        <v>0</v>
      </c>
      <c r="R32" s="247">
        <v>0</v>
      </c>
      <c r="S32" s="247">
        <v>0</v>
      </c>
      <c r="T32" s="247">
        <v>0</v>
      </c>
      <c r="U32" s="247">
        <v>0</v>
      </c>
      <c r="V32" s="247">
        <v>0</v>
      </c>
      <c r="W32" s="247">
        <v>0</v>
      </c>
      <c r="X32" s="248">
        <v>0</v>
      </c>
      <c r="Z32" s="276">
        <f>Est2018DistRev!Z32</f>
        <v>5</v>
      </c>
      <c r="AA32" s="250">
        <f>Est2018DistRev!AA32</f>
        <v>100000</v>
      </c>
      <c r="AB32" s="250">
        <f>Est2018DistRev!AB32</f>
        <v>0</v>
      </c>
      <c r="AC32" s="250">
        <f>Est2018DistRev!AC32</f>
        <v>0</v>
      </c>
      <c r="AD32" s="250">
        <f>Est2018DistRev!AD32</f>
        <v>0</v>
      </c>
      <c r="AE32" s="250">
        <f>Est2018DistRev!AE32</f>
        <v>0</v>
      </c>
      <c r="AF32" s="250">
        <f>Est2018DistRev!AF32</f>
        <v>0</v>
      </c>
      <c r="AG32" s="250">
        <f>Est2018DistRev!AG32</f>
        <v>0</v>
      </c>
      <c r="AH32" s="250">
        <f>Est2018DistRev!AH32</f>
        <v>0</v>
      </c>
      <c r="AI32" s="250">
        <f>Est2018DistRev!AI32</f>
        <v>0</v>
      </c>
      <c r="AJ32" s="250">
        <f>Est2018DistRev!AJ32</f>
        <v>0</v>
      </c>
      <c r="AK32" s="250">
        <f>Est2018DistRev!AK32</f>
        <v>130.46314416177432</v>
      </c>
      <c r="AL32" s="250">
        <f>Est2018DistRev!AL32</f>
        <v>228.31050228310502</v>
      </c>
      <c r="AM32" s="250">
        <f>Est2018DistRev!AM32</f>
        <v>0</v>
      </c>
      <c r="AN32" s="250">
        <f>Est2018DistRev!AN32</f>
        <v>0</v>
      </c>
      <c r="AO32" s="250">
        <f>Est2018DistRev!AO32</f>
        <v>0</v>
      </c>
      <c r="AP32" s="250">
        <f>Est2018DistRev!AP32</f>
        <v>0</v>
      </c>
      <c r="AQ32" s="250">
        <f>Est2018DistRev!AQ32</f>
        <v>0</v>
      </c>
      <c r="AR32" s="250">
        <f>Est2018DistRev!AR32</f>
        <v>0</v>
      </c>
      <c r="AS32" s="250">
        <f>Est2018DistRev!AS32</f>
        <v>0</v>
      </c>
      <c r="AT32" s="251">
        <f>Est2018DistRev!AT32</f>
        <v>0</v>
      </c>
      <c r="AV32" s="252">
        <f t="shared" si="4"/>
        <v>0</v>
      </c>
      <c r="AW32" s="220">
        <f t="shared" si="5"/>
        <v>1050</v>
      </c>
      <c r="AX32" s="220">
        <f t="shared" si="6"/>
        <v>0</v>
      </c>
      <c r="AY32" s="220">
        <f t="shared" si="7"/>
        <v>0</v>
      </c>
      <c r="AZ32" s="220">
        <f t="shared" si="8"/>
        <v>0</v>
      </c>
      <c r="BA32" s="220">
        <f t="shared" si="9"/>
        <v>0</v>
      </c>
      <c r="BB32" s="220">
        <f t="shared" si="10"/>
        <v>0</v>
      </c>
      <c r="BC32" s="220">
        <f t="shared" si="11"/>
        <v>0</v>
      </c>
      <c r="BD32" s="220">
        <f t="shared" si="12"/>
        <v>0</v>
      </c>
      <c r="BE32" s="220">
        <f t="shared" si="13"/>
        <v>0</v>
      </c>
      <c r="BF32" s="220">
        <f t="shared" si="14"/>
        <v>0</v>
      </c>
      <c r="BG32" s="220">
        <f t="shared" si="15"/>
        <v>435.7469015003262</v>
      </c>
      <c r="BH32" s="220">
        <f t="shared" si="16"/>
        <v>253.42465753424659</v>
      </c>
      <c r="BI32" s="253">
        <f t="shared" si="17"/>
        <v>0</v>
      </c>
      <c r="BJ32" s="253">
        <f t="shared" si="18"/>
        <v>0</v>
      </c>
      <c r="BK32" s="253">
        <f t="shared" si="19"/>
        <v>0</v>
      </c>
      <c r="BL32" s="253">
        <f t="shared" si="20"/>
        <v>0</v>
      </c>
      <c r="BM32" s="253">
        <f t="shared" si="21"/>
        <v>0</v>
      </c>
      <c r="BN32" s="253">
        <f t="shared" si="22"/>
        <v>0</v>
      </c>
      <c r="BO32" s="253">
        <f t="shared" si="23"/>
        <v>0</v>
      </c>
      <c r="BP32" s="253">
        <f t="shared" si="24"/>
        <v>0</v>
      </c>
      <c r="BQ32" s="254">
        <f t="shared" si="25"/>
        <v>1739.1715590345727</v>
      </c>
    </row>
    <row r="33" spans="2:69" x14ac:dyDescent="0.2">
      <c r="B33" s="390" t="str">
        <f>Est2018DistRev!B33</f>
        <v>Non-Residential Bulk Demand Tariff</v>
      </c>
      <c r="D33" s="317">
        <v>0</v>
      </c>
      <c r="E33" s="247">
        <v>0.94</v>
      </c>
      <c r="F33" s="247">
        <v>0</v>
      </c>
      <c r="G33" s="247">
        <v>0</v>
      </c>
      <c r="H33" s="247">
        <v>0</v>
      </c>
      <c r="I33" s="247">
        <v>0</v>
      </c>
      <c r="J33" s="247">
        <v>0</v>
      </c>
      <c r="K33" s="247">
        <v>0</v>
      </c>
      <c r="L33" s="247">
        <v>0</v>
      </c>
      <c r="M33" s="247">
        <v>0</v>
      </c>
      <c r="N33" s="247">
        <v>0</v>
      </c>
      <c r="O33" s="247">
        <v>2.5099999999999998</v>
      </c>
      <c r="P33" s="247">
        <v>0.84</v>
      </c>
      <c r="Q33" s="247">
        <v>0</v>
      </c>
      <c r="R33" s="247">
        <v>0</v>
      </c>
      <c r="S33" s="247">
        <v>0</v>
      </c>
      <c r="T33" s="247">
        <v>0</v>
      </c>
      <c r="U33" s="247">
        <v>0</v>
      </c>
      <c r="V33" s="247">
        <v>0</v>
      </c>
      <c r="W33" s="247">
        <v>0</v>
      </c>
      <c r="X33" s="248">
        <v>0</v>
      </c>
      <c r="Z33" s="276">
        <f>Est2018DistRev!Z33</f>
        <v>1</v>
      </c>
      <c r="AA33" s="250">
        <f>Est2018DistRev!AA33</f>
        <v>16000</v>
      </c>
      <c r="AB33" s="250">
        <f>Est2018DistRev!AB33</f>
        <v>0</v>
      </c>
      <c r="AC33" s="250">
        <f>Est2018DistRev!AC33</f>
        <v>0</v>
      </c>
      <c r="AD33" s="250">
        <f>Est2018DistRev!AD33</f>
        <v>0</v>
      </c>
      <c r="AE33" s="250">
        <f>Est2018DistRev!AE33</f>
        <v>0</v>
      </c>
      <c r="AF33" s="250">
        <f>Est2018DistRev!AF33</f>
        <v>0</v>
      </c>
      <c r="AG33" s="250">
        <f>Est2018DistRev!AG33</f>
        <v>0</v>
      </c>
      <c r="AH33" s="250">
        <f>Est2018DistRev!AH33</f>
        <v>0</v>
      </c>
      <c r="AI33" s="250">
        <f>Est2018DistRev!AI33</f>
        <v>0</v>
      </c>
      <c r="AJ33" s="250">
        <f>Est2018DistRev!AJ33</f>
        <v>0</v>
      </c>
      <c r="AK33" s="250">
        <f>Est2018DistRev!AK33</f>
        <v>20.874103065883887</v>
      </c>
      <c r="AL33" s="250">
        <f>Est2018DistRev!AL33</f>
        <v>36.529680365296798</v>
      </c>
      <c r="AM33" s="250">
        <f>Est2018DistRev!AM33</f>
        <v>0</v>
      </c>
      <c r="AN33" s="250">
        <f>Est2018DistRev!AN33</f>
        <v>0</v>
      </c>
      <c r="AO33" s="250">
        <f>Est2018DistRev!AO33</f>
        <v>0</v>
      </c>
      <c r="AP33" s="250">
        <f>Est2018DistRev!AP33</f>
        <v>0</v>
      </c>
      <c r="AQ33" s="250">
        <f>Est2018DistRev!AQ33</f>
        <v>0</v>
      </c>
      <c r="AR33" s="250">
        <f>Est2018DistRev!AR33</f>
        <v>0</v>
      </c>
      <c r="AS33" s="250">
        <f>Est2018DistRev!AS33</f>
        <v>0</v>
      </c>
      <c r="AT33" s="251">
        <f>Est2018DistRev!AT33</f>
        <v>0</v>
      </c>
      <c r="AV33" s="252">
        <f t="shared" si="4"/>
        <v>0</v>
      </c>
      <c r="AW33" s="220">
        <f t="shared" si="5"/>
        <v>150.39999999999998</v>
      </c>
      <c r="AX33" s="220">
        <f t="shared" si="6"/>
        <v>0</v>
      </c>
      <c r="AY33" s="220">
        <f t="shared" si="7"/>
        <v>0</v>
      </c>
      <c r="AZ33" s="220">
        <f t="shared" si="8"/>
        <v>0</v>
      </c>
      <c r="BA33" s="220">
        <f t="shared" si="9"/>
        <v>0</v>
      </c>
      <c r="BB33" s="220">
        <f t="shared" si="10"/>
        <v>0</v>
      </c>
      <c r="BC33" s="220">
        <f t="shared" si="11"/>
        <v>0</v>
      </c>
      <c r="BD33" s="220">
        <f t="shared" si="12"/>
        <v>0</v>
      </c>
      <c r="BE33" s="220">
        <f t="shared" si="13"/>
        <v>0</v>
      </c>
      <c r="BF33" s="220">
        <f t="shared" si="14"/>
        <v>0</v>
      </c>
      <c r="BG33" s="220">
        <f t="shared" si="15"/>
        <v>52.393998695368552</v>
      </c>
      <c r="BH33" s="220">
        <f t="shared" si="16"/>
        <v>30.68493150684931</v>
      </c>
      <c r="BI33" s="253">
        <f t="shared" si="17"/>
        <v>0</v>
      </c>
      <c r="BJ33" s="253">
        <f t="shared" si="18"/>
        <v>0</v>
      </c>
      <c r="BK33" s="253">
        <f t="shared" si="19"/>
        <v>0</v>
      </c>
      <c r="BL33" s="253">
        <f t="shared" si="20"/>
        <v>0</v>
      </c>
      <c r="BM33" s="253">
        <f t="shared" si="21"/>
        <v>0</v>
      </c>
      <c r="BN33" s="253">
        <f t="shared" si="22"/>
        <v>0</v>
      </c>
      <c r="BO33" s="253">
        <f t="shared" si="23"/>
        <v>0</v>
      </c>
      <c r="BP33" s="253">
        <f t="shared" si="24"/>
        <v>0</v>
      </c>
      <c r="BQ33" s="254">
        <f t="shared" si="25"/>
        <v>233.47893020221784</v>
      </c>
    </row>
    <row r="34" spans="2:69" x14ac:dyDescent="0.2">
      <c r="B34" s="234" t="str">
        <f>Est2018DistRev!B34</f>
        <v>Medium Business Demand</v>
      </c>
      <c r="D34" s="317">
        <v>0</v>
      </c>
      <c r="E34" s="247">
        <v>0</v>
      </c>
      <c r="F34" s="247">
        <v>1.96</v>
      </c>
      <c r="G34" s="247">
        <v>0</v>
      </c>
      <c r="H34" s="247">
        <v>0</v>
      </c>
      <c r="I34" s="247">
        <v>1.1599999999999999</v>
      </c>
      <c r="J34" s="247">
        <v>0</v>
      </c>
      <c r="K34" s="247">
        <v>0</v>
      </c>
      <c r="L34" s="247">
        <v>0</v>
      </c>
      <c r="M34" s="247">
        <v>0</v>
      </c>
      <c r="N34" s="247">
        <v>0</v>
      </c>
      <c r="O34" s="247">
        <v>0.99</v>
      </c>
      <c r="P34" s="247">
        <v>0.49</v>
      </c>
      <c r="Q34" s="247">
        <v>0</v>
      </c>
      <c r="R34" s="247">
        <v>0</v>
      </c>
      <c r="S34" s="247">
        <v>0</v>
      </c>
      <c r="T34" s="247">
        <v>0</v>
      </c>
      <c r="U34" s="247">
        <v>0</v>
      </c>
      <c r="V34" s="247">
        <v>0</v>
      </c>
      <c r="W34" s="247">
        <v>0</v>
      </c>
      <c r="X34" s="248">
        <v>0</v>
      </c>
      <c r="Z34" s="276">
        <f>Est2018DistRev!Z34</f>
        <v>4454.7584285325547</v>
      </c>
      <c r="AA34" s="250">
        <f>Est2018DistRev!AA34</f>
        <v>0</v>
      </c>
      <c r="AB34" s="250">
        <f>Est2018DistRev!AB34</f>
        <v>385749824.48949713</v>
      </c>
      <c r="AC34" s="250">
        <f>Est2018DistRev!AC34</f>
        <v>0</v>
      </c>
      <c r="AD34" s="250">
        <f>Est2018DistRev!AD34</f>
        <v>0</v>
      </c>
      <c r="AE34" s="250">
        <f>Est2018DistRev!AE34</f>
        <v>237077602.25050065</v>
      </c>
      <c r="AF34" s="250">
        <f>Est2018DistRev!AF34</f>
        <v>0</v>
      </c>
      <c r="AG34" s="250">
        <f>Est2018DistRev!AG34</f>
        <v>0</v>
      </c>
      <c r="AH34" s="250">
        <f>Est2018DistRev!AH34</f>
        <v>0</v>
      </c>
      <c r="AI34" s="250">
        <f>Est2018DistRev!AI34</f>
        <v>0</v>
      </c>
      <c r="AJ34" s="250">
        <f>Est2018DistRev!AJ34</f>
        <v>0</v>
      </c>
      <c r="AK34" s="250">
        <f>Est2018DistRev!AK34</f>
        <v>764494.43950180197</v>
      </c>
      <c r="AL34" s="250">
        <f>Est2018DistRev!AL34</f>
        <v>1326085.1464115628</v>
      </c>
      <c r="AM34" s="250">
        <f>Est2018DistRev!AM34</f>
        <v>0</v>
      </c>
      <c r="AN34" s="250">
        <f>Est2018DistRev!AN34</f>
        <v>0</v>
      </c>
      <c r="AO34" s="250">
        <f>Est2018DistRev!AO34</f>
        <v>0</v>
      </c>
      <c r="AP34" s="250">
        <f>Est2018DistRev!AP34</f>
        <v>0</v>
      </c>
      <c r="AQ34" s="250">
        <f>Est2018DistRev!AQ34</f>
        <v>0</v>
      </c>
      <c r="AR34" s="250">
        <f>Est2018DistRev!AR34</f>
        <v>0</v>
      </c>
      <c r="AS34" s="250">
        <f>Est2018DistRev!AS34</f>
        <v>0</v>
      </c>
      <c r="AT34" s="251">
        <f>Est2018DistRev!AT34</f>
        <v>0</v>
      </c>
      <c r="AV34" s="252">
        <f t="shared" si="4"/>
        <v>0</v>
      </c>
      <c r="AW34" s="220">
        <f t="shared" si="5"/>
        <v>0</v>
      </c>
      <c r="AX34" s="220">
        <f t="shared" si="6"/>
        <v>7560696.5599941434</v>
      </c>
      <c r="AY34" s="220">
        <f t="shared" si="7"/>
        <v>0</v>
      </c>
      <c r="AZ34" s="220">
        <f t="shared" si="8"/>
        <v>0</v>
      </c>
      <c r="BA34" s="220">
        <f t="shared" si="9"/>
        <v>2750100.1861058073</v>
      </c>
      <c r="BB34" s="220">
        <f t="shared" si="10"/>
        <v>0</v>
      </c>
      <c r="BC34" s="220">
        <f t="shared" si="11"/>
        <v>0</v>
      </c>
      <c r="BD34" s="220">
        <f t="shared" si="12"/>
        <v>0</v>
      </c>
      <c r="BE34" s="220">
        <f t="shared" si="13"/>
        <v>0</v>
      </c>
      <c r="BF34" s="220">
        <f t="shared" si="14"/>
        <v>0</v>
      </c>
      <c r="BG34" s="220">
        <f t="shared" si="15"/>
        <v>756849.49510678393</v>
      </c>
      <c r="BH34" s="220">
        <f t="shared" si="16"/>
        <v>649781.72174166574</v>
      </c>
      <c r="BI34" s="253">
        <f t="shared" si="17"/>
        <v>0</v>
      </c>
      <c r="BJ34" s="253">
        <f t="shared" si="18"/>
        <v>0</v>
      </c>
      <c r="BK34" s="253">
        <f t="shared" si="19"/>
        <v>0</v>
      </c>
      <c r="BL34" s="253">
        <f t="shared" si="20"/>
        <v>0</v>
      </c>
      <c r="BM34" s="253">
        <f t="shared" si="21"/>
        <v>0</v>
      </c>
      <c r="BN34" s="253">
        <f t="shared" si="22"/>
        <v>0</v>
      </c>
      <c r="BO34" s="253">
        <f t="shared" si="23"/>
        <v>0</v>
      </c>
      <c r="BP34" s="253">
        <f t="shared" si="24"/>
        <v>0</v>
      </c>
      <c r="BQ34" s="254">
        <f t="shared" si="25"/>
        <v>11717427.962948401</v>
      </c>
    </row>
    <row r="35" spans="2:69" x14ac:dyDescent="0.2">
      <c r="B35" s="234" t="str">
        <f>Est2018DistRev!B35</f>
        <v>Medium Business Bulk Demand</v>
      </c>
      <c r="D35" s="317">
        <v>0</v>
      </c>
      <c r="E35" s="247">
        <v>0</v>
      </c>
      <c r="F35" s="247">
        <v>1.44</v>
      </c>
      <c r="G35" s="247">
        <v>0</v>
      </c>
      <c r="H35" s="247">
        <v>0</v>
      </c>
      <c r="I35" s="247">
        <v>0.91</v>
      </c>
      <c r="J35" s="247">
        <v>0</v>
      </c>
      <c r="K35" s="247">
        <v>0</v>
      </c>
      <c r="L35" s="247">
        <v>0</v>
      </c>
      <c r="M35" s="247">
        <v>0</v>
      </c>
      <c r="N35" s="247">
        <v>0</v>
      </c>
      <c r="O35" s="247">
        <v>0.74</v>
      </c>
      <c r="P35" s="247">
        <v>0.37</v>
      </c>
      <c r="Q35" s="247">
        <v>0</v>
      </c>
      <c r="R35" s="247">
        <v>0</v>
      </c>
      <c r="S35" s="247">
        <v>0</v>
      </c>
      <c r="T35" s="247">
        <v>0</v>
      </c>
      <c r="U35" s="247">
        <v>0</v>
      </c>
      <c r="V35" s="247">
        <v>0</v>
      </c>
      <c r="W35" s="247">
        <v>0</v>
      </c>
      <c r="X35" s="248">
        <v>0</v>
      </c>
      <c r="Z35" s="276">
        <f>Est2018DistRev!Z35</f>
        <v>2142.0682091572939</v>
      </c>
      <c r="AA35" s="250">
        <f>Est2018DistRev!AA35</f>
        <v>0</v>
      </c>
      <c r="AB35" s="250">
        <f>Est2018DistRev!AB35</f>
        <v>263482333.82347772</v>
      </c>
      <c r="AC35" s="250">
        <f>Est2018DistRev!AC35</f>
        <v>0</v>
      </c>
      <c r="AD35" s="250">
        <f>Est2018DistRev!AD35</f>
        <v>0</v>
      </c>
      <c r="AE35" s="250">
        <f>Est2018DistRev!AE35</f>
        <v>158002594.57150719</v>
      </c>
      <c r="AF35" s="250">
        <f>Est2018DistRev!AF35</f>
        <v>0</v>
      </c>
      <c r="AG35" s="250">
        <f>Est2018DistRev!AG35</f>
        <v>0</v>
      </c>
      <c r="AH35" s="250">
        <f>Est2018DistRev!AH35</f>
        <v>0</v>
      </c>
      <c r="AI35" s="250">
        <f>Est2018DistRev!AI35</f>
        <v>0</v>
      </c>
      <c r="AJ35" s="250">
        <f>Est2018DistRev!AJ35</f>
        <v>0</v>
      </c>
      <c r="AK35" s="250">
        <f>Est2018DistRev!AK35</f>
        <v>523965.08847416606</v>
      </c>
      <c r="AL35" s="250">
        <f>Est2018DistRev!AL35</f>
        <v>850358.31944324356</v>
      </c>
      <c r="AM35" s="250">
        <f>Est2018DistRev!AM35</f>
        <v>0</v>
      </c>
      <c r="AN35" s="250">
        <f>Est2018DistRev!AN35</f>
        <v>0</v>
      </c>
      <c r="AO35" s="250">
        <f>Est2018DistRev!AO35</f>
        <v>0</v>
      </c>
      <c r="AP35" s="250">
        <f>Est2018DistRev!AP35</f>
        <v>0</v>
      </c>
      <c r="AQ35" s="250">
        <f>Est2018DistRev!AQ35</f>
        <v>0</v>
      </c>
      <c r="AR35" s="250">
        <f>Est2018DistRev!AR35</f>
        <v>0</v>
      </c>
      <c r="AS35" s="250">
        <f>Est2018DistRev!AS35</f>
        <v>0</v>
      </c>
      <c r="AT35" s="251">
        <f>Est2018DistRev!AT35</f>
        <v>0</v>
      </c>
      <c r="AV35" s="252">
        <f t="shared" si="4"/>
        <v>0</v>
      </c>
      <c r="AW35" s="220">
        <f t="shared" si="5"/>
        <v>0</v>
      </c>
      <c r="AX35" s="220">
        <f t="shared" si="6"/>
        <v>3794145.607058079</v>
      </c>
      <c r="AY35" s="220">
        <f t="shared" si="7"/>
        <v>0</v>
      </c>
      <c r="AZ35" s="220">
        <f t="shared" si="8"/>
        <v>0</v>
      </c>
      <c r="BA35" s="220">
        <f t="shared" si="9"/>
        <v>1437823.6106007155</v>
      </c>
      <c r="BB35" s="220">
        <f t="shared" si="10"/>
        <v>0</v>
      </c>
      <c r="BC35" s="220">
        <f t="shared" si="11"/>
        <v>0</v>
      </c>
      <c r="BD35" s="220">
        <f t="shared" si="12"/>
        <v>0</v>
      </c>
      <c r="BE35" s="220">
        <f t="shared" si="13"/>
        <v>0</v>
      </c>
      <c r="BF35" s="220">
        <f t="shared" si="14"/>
        <v>0</v>
      </c>
      <c r="BG35" s="220">
        <f t="shared" si="15"/>
        <v>387734.1654708829</v>
      </c>
      <c r="BH35" s="220">
        <f t="shared" si="16"/>
        <v>314632.57819400012</v>
      </c>
      <c r="BI35" s="253">
        <f t="shared" si="17"/>
        <v>0</v>
      </c>
      <c r="BJ35" s="253">
        <f t="shared" si="18"/>
        <v>0</v>
      </c>
      <c r="BK35" s="253">
        <f t="shared" si="19"/>
        <v>0</v>
      </c>
      <c r="BL35" s="253">
        <f t="shared" si="20"/>
        <v>0</v>
      </c>
      <c r="BM35" s="253">
        <f t="shared" si="21"/>
        <v>0</v>
      </c>
      <c r="BN35" s="253">
        <f t="shared" si="22"/>
        <v>0</v>
      </c>
      <c r="BO35" s="253">
        <f t="shared" si="23"/>
        <v>0</v>
      </c>
      <c r="BP35" s="253">
        <f t="shared" si="24"/>
        <v>0</v>
      </c>
      <c r="BQ35" s="254">
        <f t="shared" si="25"/>
        <v>5934335.9613236776</v>
      </c>
    </row>
    <row r="36" spans="2:69" x14ac:dyDescent="0.2">
      <c r="B36" s="234" t="str">
        <f>Est2018DistRev!B36</f>
        <v>Medium Business Opt-out</v>
      </c>
      <c r="D36" s="317">
        <v>0</v>
      </c>
      <c r="E36" s="247">
        <v>0</v>
      </c>
      <c r="F36" s="247">
        <v>3</v>
      </c>
      <c r="G36" s="247">
        <v>0</v>
      </c>
      <c r="H36" s="247">
        <v>0</v>
      </c>
      <c r="I36" s="247">
        <v>1.2</v>
      </c>
      <c r="J36" s="247">
        <v>0</v>
      </c>
      <c r="K36" s="247">
        <v>0</v>
      </c>
      <c r="L36" s="247">
        <v>0</v>
      </c>
      <c r="M36" s="247">
        <v>0</v>
      </c>
      <c r="N36" s="247">
        <v>0</v>
      </c>
      <c r="O36" s="247">
        <v>0</v>
      </c>
      <c r="P36" s="247">
        <v>0</v>
      </c>
      <c r="Q36" s="247">
        <v>0</v>
      </c>
      <c r="R36" s="247">
        <v>0</v>
      </c>
      <c r="S36" s="247">
        <v>0</v>
      </c>
      <c r="T36" s="247">
        <v>0</v>
      </c>
      <c r="U36" s="247">
        <v>0</v>
      </c>
      <c r="V36" s="247">
        <v>0</v>
      </c>
      <c r="W36" s="247">
        <v>0</v>
      </c>
      <c r="X36" s="248">
        <v>0</v>
      </c>
      <c r="Z36" s="276">
        <f>Est2018DistRev!Z36</f>
        <v>9</v>
      </c>
      <c r="AA36" s="250">
        <f>Est2018DistRev!AA36</f>
        <v>0</v>
      </c>
      <c r="AB36" s="250">
        <f>Est2018DistRev!AB36</f>
        <v>502552.90570333629</v>
      </c>
      <c r="AC36" s="250">
        <f>Est2018DistRev!AC36</f>
        <v>0</v>
      </c>
      <c r="AD36" s="250">
        <f>Est2018DistRev!AD36</f>
        <v>0</v>
      </c>
      <c r="AE36" s="250">
        <f>Est2018DistRev!AE36</f>
        <v>301011.28230802208</v>
      </c>
      <c r="AF36" s="250">
        <f>Est2018DistRev!AF36</f>
        <v>0</v>
      </c>
      <c r="AG36" s="250">
        <f>Est2018DistRev!AG36</f>
        <v>0</v>
      </c>
      <c r="AH36" s="250">
        <f>Est2018DistRev!AH36</f>
        <v>0</v>
      </c>
      <c r="AI36" s="250">
        <f>Est2018DistRev!AI36</f>
        <v>0</v>
      </c>
      <c r="AJ36" s="250">
        <f>Est2018DistRev!AJ36</f>
        <v>0</v>
      </c>
      <c r="AK36" s="250">
        <f>Est2018DistRev!AK36</f>
        <v>0</v>
      </c>
      <c r="AL36" s="250">
        <f>Est2018DistRev!AL36</f>
        <v>0</v>
      </c>
      <c r="AM36" s="250">
        <f>Est2018DistRev!AM36</f>
        <v>0</v>
      </c>
      <c r="AN36" s="250">
        <f>Est2018DistRev!AN36</f>
        <v>0</v>
      </c>
      <c r="AO36" s="250">
        <f>Est2018DistRev!AO36</f>
        <v>0</v>
      </c>
      <c r="AP36" s="250">
        <f>Est2018DistRev!AP36</f>
        <v>0</v>
      </c>
      <c r="AQ36" s="250">
        <f>Est2018DistRev!AQ36</f>
        <v>0</v>
      </c>
      <c r="AR36" s="250">
        <f>Est2018DistRev!AR36</f>
        <v>0</v>
      </c>
      <c r="AS36" s="250">
        <f>Est2018DistRev!AS36</f>
        <v>0</v>
      </c>
      <c r="AT36" s="251">
        <f>Est2018DistRev!AT36</f>
        <v>0</v>
      </c>
      <c r="AV36" s="252">
        <f t="shared" si="4"/>
        <v>0</v>
      </c>
      <c r="AW36" s="220">
        <f t="shared" si="5"/>
        <v>0</v>
      </c>
      <c r="AX36" s="220">
        <f t="shared" si="6"/>
        <v>15076.587171100087</v>
      </c>
      <c r="AY36" s="220">
        <f t="shared" si="7"/>
        <v>0</v>
      </c>
      <c r="AZ36" s="220">
        <f t="shared" si="8"/>
        <v>0</v>
      </c>
      <c r="BA36" s="220">
        <f t="shared" si="9"/>
        <v>3612.1353876962653</v>
      </c>
      <c r="BB36" s="220">
        <f t="shared" si="10"/>
        <v>0</v>
      </c>
      <c r="BC36" s="220">
        <f t="shared" si="11"/>
        <v>0</v>
      </c>
      <c r="BD36" s="220">
        <f t="shared" si="12"/>
        <v>0</v>
      </c>
      <c r="BE36" s="220">
        <f t="shared" si="13"/>
        <v>0</v>
      </c>
      <c r="BF36" s="220">
        <f t="shared" si="14"/>
        <v>0</v>
      </c>
      <c r="BG36" s="220">
        <f t="shared" si="15"/>
        <v>0</v>
      </c>
      <c r="BH36" s="220">
        <f t="shared" si="16"/>
        <v>0</v>
      </c>
      <c r="BI36" s="253">
        <f t="shared" si="17"/>
        <v>0</v>
      </c>
      <c r="BJ36" s="253">
        <f t="shared" si="18"/>
        <v>0</v>
      </c>
      <c r="BK36" s="253">
        <f t="shared" si="19"/>
        <v>0</v>
      </c>
      <c r="BL36" s="253">
        <f t="shared" si="20"/>
        <v>0</v>
      </c>
      <c r="BM36" s="253">
        <f t="shared" si="21"/>
        <v>0</v>
      </c>
      <c r="BN36" s="253">
        <f t="shared" si="22"/>
        <v>0</v>
      </c>
      <c r="BO36" s="253">
        <f t="shared" si="23"/>
        <v>0</v>
      </c>
      <c r="BP36" s="253">
        <f t="shared" si="24"/>
        <v>0</v>
      </c>
      <c r="BQ36" s="254">
        <f t="shared" si="25"/>
        <v>18688.722558796351</v>
      </c>
    </row>
    <row r="37" spans="2:69" x14ac:dyDescent="0.2">
      <c r="B37" s="234" t="str">
        <f>Est2018DistRev!B37</f>
        <v>Medium Business Bulk Opt-out</v>
      </c>
      <c r="D37" s="317">
        <v>0</v>
      </c>
      <c r="E37" s="247">
        <v>0</v>
      </c>
      <c r="F37" s="247">
        <v>2.2000000000000002</v>
      </c>
      <c r="G37" s="247">
        <v>0</v>
      </c>
      <c r="H37" s="247">
        <v>0</v>
      </c>
      <c r="I37" s="247">
        <v>0.95</v>
      </c>
      <c r="J37" s="247">
        <v>0</v>
      </c>
      <c r="K37" s="247">
        <v>0</v>
      </c>
      <c r="L37" s="247">
        <v>0</v>
      </c>
      <c r="M37" s="247">
        <v>0</v>
      </c>
      <c r="N37" s="247">
        <v>0</v>
      </c>
      <c r="O37" s="247">
        <v>0</v>
      </c>
      <c r="P37" s="247">
        <v>0</v>
      </c>
      <c r="Q37" s="247">
        <v>0</v>
      </c>
      <c r="R37" s="247">
        <v>0</v>
      </c>
      <c r="S37" s="247">
        <v>0</v>
      </c>
      <c r="T37" s="247">
        <v>0</v>
      </c>
      <c r="U37" s="247">
        <v>0</v>
      </c>
      <c r="V37" s="247">
        <v>0</v>
      </c>
      <c r="W37" s="247">
        <v>0</v>
      </c>
      <c r="X37" s="248">
        <v>0</v>
      </c>
      <c r="Z37" s="276">
        <f>Est2018DistRev!Z37</f>
        <v>9</v>
      </c>
      <c r="AA37" s="250">
        <f>Est2018DistRev!AA37</f>
        <v>0</v>
      </c>
      <c r="AB37" s="250">
        <f>Est2018DistRev!AB37</f>
        <v>560828.84227428387</v>
      </c>
      <c r="AC37" s="250">
        <f>Est2018DistRev!AC37</f>
        <v>0</v>
      </c>
      <c r="AD37" s="250">
        <f>Est2018DistRev!AD37</f>
        <v>0</v>
      </c>
      <c r="AE37" s="250">
        <f>Est2018DistRev!AE37</f>
        <v>293112.81138169364</v>
      </c>
      <c r="AF37" s="250">
        <f>Est2018DistRev!AF37</f>
        <v>0</v>
      </c>
      <c r="AG37" s="250">
        <f>Est2018DistRev!AG37</f>
        <v>0</v>
      </c>
      <c r="AH37" s="250">
        <f>Est2018DistRev!AH37</f>
        <v>0</v>
      </c>
      <c r="AI37" s="250">
        <f>Est2018DistRev!AI37</f>
        <v>0</v>
      </c>
      <c r="AJ37" s="250">
        <f>Est2018DistRev!AJ37</f>
        <v>0</v>
      </c>
      <c r="AK37" s="250">
        <f>Est2018DistRev!AK37</f>
        <v>0</v>
      </c>
      <c r="AL37" s="250">
        <f>Est2018DistRev!AL37</f>
        <v>0</v>
      </c>
      <c r="AM37" s="250">
        <f>Est2018DistRev!AM37</f>
        <v>0</v>
      </c>
      <c r="AN37" s="250">
        <f>Est2018DistRev!AN37</f>
        <v>0</v>
      </c>
      <c r="AO37" s="250">
        <f>Est2018DistRev!AO37</f>
        <v>0</v>
      </c>
      <c r="AP37" s="250">
        <f>Est2018DistRev!AP37</f>
        <v>0</v>
      </c>
      <c r="AQ37" s="250">
        <f>Est2018DistRev!AQ37</f>
        <v>0</v>
      </c>
      <c r="AR37" s="250">
        <f>Est2018DistRev!AR37</f>
        <v>0</v>
      </c>
      <c r="AS37" s="250">
        <f>Est2018DistRev!AS37</f>
        <v>0</v>
      </c>
      <c r="AT37" s="251">
        <f>Est2018DistRev!AT37</f>
        <v>0</v>
      </c>
      <c r="AV37" s="252">
        <f t="shared" si="4"/>
        <v>0</v>
      </c>
      <c r="AW37" s="220">
        <f t="shared" si="5"/>
        <v>0</v>
      </c>
      <c r="AX37" s="220">
        <f t="shared" si="6"/>
        <v>12338.234530034246</v>
      </c>
      <c r="AY37" s="220">
        <f t="shared" si="7"/>
        <v>0</v>
      </c>
      <c r="AZ37" s="220">
        <f t="shared" si="8"/>
        <v>0</v>
      </c>
      <c r="BA37" s="220">
        <f t="shared" si="9"/>
        <v>2784.5717081260896</v>
      </c>
      <c r="BB37" s="220">
        <f t="shared" si="10"/>
        <v>0</v>
      </c>
      <c r="BC37" s="220">
        <f t="shared" si="11"/>
        <v>0</v>
      </c>
      <c r="BD37" s="220">
        <f t="shared" si="12"/>
        <v>0</v>
      </c>
      <c r="BE37" s="220">
        <f t="shared" si="13"/>
        <v>0</v>
      </c>
      <c r="BF37" s="220">
        <f t="shared" si="14"/>
        <v>0</v>
      </c>
      <c r="BG37" s="220">
        <f t="shared" si="15"/>
        <v>0</v>
      </c>
      <c r="BH37" s="220">
        <f t="shared" si="16"/>
        <v>0</v>
      </c>
      <c r="BI37" s="253">
        <f t="shared" si="17"/>
        <v>0</v>
      </c>
      <c r="BJ37" s="253">
        <f t="shared" si="18"/>
        <v>0</v>
      </c>
      <c r="BK37" s="253">
        <f t="shared" si="19"/>
        <v>0</v>
      </c>
      <c r="BL37" s="253">
        <f t="shared" si="20"/>
        <v>0</v>
      </c>
      <c r="BM37" s="253">
        <f t="shared" si="21"/>
        <v>0</v>
      </c>
      <c r="BN37" s="253">
        <f t="shared" si="22"/>
        <v>0</v>
      </c>
      <c r="BO37" s="253">
        <f t="shared" si="23"/>
        <v>0</v>
      </c>
      <c r="BP37" s="253">
        <f t="shared" si="24"/>
        <v>0</v>
      </c>
      <c r="BQ37" s="254">
        <f t="shared" si="25"/>
        <v>15122.806238160336</v>
      </c>
    </row>
    <row r="38" spans="2:69" x14ac:dyDescent="0.2">
      <c r="B38" s="234" t="str">
        <f>Est2018DistRev!B38</f>
        <v>Unmetered Supplies / Public Lighting</v>
      </c>
      <c r="D38" s="317">
        <v>0</v>
      </c>
      <c r="E38" s="247">
        <v>0</v>
      </c>
      <c r="F38" s="247">
        <v>2.69</v>
      </c>
      <c r="G38" s="247">
        <v>0</v>
      </c>
      <c r="H38" s="247">
        <v>0</v>
      </c>
      <c r="I38" s="247">
        <v>0.75</v>
      </c>
      <c r="J38" s="247">
        <v>0</v>
      </c>
      <c r="K38" s="247">
        <v>0</v>
      </c>
      <c r="L38" s="247">
        <v>0</v>
      </c>
      <c r="M38" s="247">
        <v>0</v>
      </c>
      <c r="N38" s="247">
        <v>0</v>
      </c>
      <c r="O38" s="247">
        <v>0</v>
      </c>
      <c r="P38" s="247">
        <v>0</v>
      </c>
      <c r="Q38" s="247">
        <v>0</v>
      </c>
      <c r="R38" s="247">
        <v>0</v>
      </c>
      <c r="S38" s="247">
        <v>0</v>
      </c>
      <c r="T38" s="247">
        <v>0</v>
      </c>
      <c r="U38" s="247">
        <v>0</v>
      </c>
      <c r="V38" s="247">
        <v>0</v>
      </c>
      <c r="W38" s="247">
        <v>0</v>
      </c>
      <c r="X38" s="248">
        <v>0</v>
      </c>
      <c r="Z38" s="276">
        <f>Est2018DistRev!Z38</f>
        <v>4063</v>
      </c>
      <c r="AA38" s="250">
        <f>Est2018DistRev!AA38</f>
        <v>0</v>
      </c>
      <c r="AB38" s="250">
        <f>Est2018DistRev!AB38</f>
        <v>14704755.161692999</v>
      </c>
      <c r="AC38" s="250">
        <f>Est2018DistRev!AC38</f>
        <v>0</v>
      </c>
      <c r="AD38" s="250">
        <f>Est2018DistRev!AD38</f>
        <v>0</v>
      </c>
      <c r="AE38" s="250">
        <f>Est2018DistRev!AE38</f>
        <v>24328971.636999998</v>
      </c>
      <c r="AF38" s="250">
        <f>Est2018DistRev!AF38</f>
        <v>0</v>
      </c>
      <c r="AG38" s="250">
        <f>Est2018DistRev!AG38</f>
        <v>0</v>
      </c>
      <c r="AH38" s="250">
        <f>Est2018DistRev!AH38</f>
        <v>0</v>
      </c>
      <c r="AI38" s="250">
        <f>Est2018DistRev!AI38</f>
        <v>0</v>
      </c>
      <c r="AJ38" s="250">
        <f>Est2018DistRev!AJ38</f>
        <v>0</v>
      </c>
      <c r="AK38" s="250">
        <f>Est2018DistRev!AK38</f>
        <v>0</v>
      </c>
      <c r="AL38" s="250">
        <f>Est2018DistRev!AL38</f>
        <v>0</v>
      </c>
      <c r="AM38" s="250">
        <f>Est2018DistRev!AM38</f>
        <v>0</v>
      </c>
      <c r="AN38" s="250">
        <f>Est2018DistRev!AN38</f>
        <v>0</v>
      </c>
      <c r="AO38" s="250">
        <f>Est2018DistRev!AO38</f>
        <v>0</v>
      </c>
      <c r="AP38" s="250">
        <f>Est2018DistRev!AP38</f>
        <v>0</v>
      </c>
      <c r="AQ38" s="250">
        <f>Est2018DistRev!AQ38</f>
        <v>0</v>
      </c>
      <c r="AR38" s="250">
        <f>Est2018DistRev!AR38</f>
        <v>0</v>
      </c>
      <c r="AS38" s="250">
        <f>Est2018DistRev!AS38</f>
        <v>0</v>
      </c>
      <c r="AT38" s="251">
        <f>Est2018DistRev!AT38</f>
        <v>0</v>
      </c>
      <c r="AV38" s="252">
        <f t="shared" si="4"/>
        <v>0</v>
      </c>
      <c r="AW38" s="220">
        <f t="shared" si="5"/>
        <v>0</v>
      </c>
      <c r="AX38" s="220">
        <f t="shared" si="6"/>
        <v>395557.91384954168</v>
      </c>
      <c r="AY38" s="220">
        <f t="shared" si="7"/>
        <v>0</v>
      </c>
      <c r="AZ38" s="220">
        <f t="shared" si="8"/>
        <v>0</v>
      </c>
      <c r="BA38" s="220">
        <f t="shared" si="9"/>
        <v>182467.28727749997</v>
      </c>
      <c r="BB38" s="220">
        <f t="shared" si="10"/>
        <v>0</v>
      </c>
      <c r="BC38" s="220">
        <f t="shared" si="11"/>
        <v>0</v>
      </c>
      <c r="BD38" s="220">
        <f t="shared" si="12"/>
        <v>0</v>
      </c>
      <c r="BE38" s="220">
        <f t="shared" si="13"/>
        <v>0</v>
      </c>
      <c r="BF38" s="220">
        <f t="shared" si="14"/>
        <v>0</v>
      </c>
      <c r="BG38" s="220">
        <f t="shared" si="15"/>
        <v>0</v>
      </c>
      <c r="BH38" s="220">
        <f t="shared" si="16"/>
        <v>0</v>
      </c>
      <c r="BI38" s="253">
        <f t="shared" si="17"/>
        <v>0</v>
      </c>
      <c r="BJ38" s="253">
        <f t="shared" si="18"/>
        <v>0</v>
      </c>
      <c r="BK38" s="253">
        <f t="shared" si="19"/>
        <v>0</v>
      </c>
      <c r="BL38" s="253">
        <f t="shared" si="20"/>
        <v>0</v>
      </c>
      <c r="BM38" s="253">
        <f t="shared" si="21"/>
        <v>0</v>
      </c>
      <c r="BN38" s="253">
        <f t="shared" si="22"/>
        <v>0</v>
      </c>
      <c r="BO38" s="253">
        <f t="shared" si="23"/>
        <v>0</v>
      </c>
      <c r="BP38" s="253">
        <f t="shared" si="24"/>
        <v>0</v>
      </c>
      <c r="BQ38" s="254">
        <f t="shared" si="25"/>
        <v>578025.2011270416</v>
      </c>
    </row>
    <row r="39" spans="2:69" x14ac:dyDescent="0.2">
      <c r="B39" s="234" t="str">
        <f>Est2018DistRev!B39</f>
        <v>Large low Voltage</v>
      </c>
      <c r="D39" s="317">
        <v>0</v>
      </c>
      <c r="E39" s="247">
        <v>0</v>
      </c>
      <c r="F39" s="247">
        <v>1.1299999999999999</v>
      </c>
      <c r="G39" s="247">
        <v>0</v>
      </c>
      <c r="H39" s="247">
        <v>0</v>
      </c>
      <c r="I39" s="247">
        <v>0.69</v>
      </c>
      <c r="J39" s="247">
        <v>0</v>
      </c>
      <c r="K39" s="247">
        <v>0</v>
      </c>
      <c r="L39" s="247">
        <v>0</v>
      </c>
      <c r="M39" s="247">
        <v>35</v>
      </c>
      <c r="N39" s="247">
        <v>0</v>
      </c>
      <c r="O39" s="247">
        <v>0</v>
      </c>
      <c r="P39" s="247">
        <v>0</v>
      </c>
      <c r="Q39" s="247">
        <v>0</v>
      </c>
      <c r="R39" s="247">
        <v>0</v>
      </c>
      <c r="S39" s="247">
        <v>0</v>
      </c>
      <c r="T39" s="247">
        <v>0</v>
      </c>
      <c r="U39" s="247">
        <v>0</v>
      </c>
      <c r="V39" s="247">
        <v>0</v>
      </c>
      <c r="W39" s="247">
        <v>0</v>
      </c>
      <c r="X39" s="248">
        <v>0</v>
      </c>
      <c r="Z39" s="276">
        <f>Est2018DistRev!Z39</f>
        <v>330.02895782458518</v>
      </c>
      <c r="AA39" s="250">
        <f>Est2018DistRev!AA39</f>
        <v>0</v>
      </c>
      <c r="AB39" s="250">
        <f>Est2018DistRev!AB39</f>
        <v>112861608.3435501</v>
      </c>
      <c r="AC39" s="250">
        <f>Est2018DistRev!AC39</f>
        <v>0</v>
      </c>
      <c r="AD39" s="250">
        <f>Est2018DistRev!AD39</f>
        <v>0</v>
      </c>
      <c r="AE39" s="250">
        <f>Est2018DistRev!AE39</f>
        <v>88751320.906778917</v>
      </c>
      <c r="AF39" s="250">
        <f>Est2018DistRev!AF39</f>
        <v>0</v>
      </c>
      <c r="AG39" s="250">
        <f>Est2018DistRev!AG39</f>
        <v>0</v>
      </c>
      <c r="AH39" s="250">
        <f>Est2018DistRev!AH39</f>
        <v>0</v>
      </c>
      <c r="AI39" s="250">
        <f>Est2018DistRev!AI39</f>
        <v>64648.710384258302</v>
      </c>
      <c r="AJ39" s="250">
        <f>Est2018DistRev!AJ39</f>
        <v>0</v>
      </c>
      <c r="AK39" s="250">
        <f>Est2018DistRev!AK39</f>
        <v>0</v>
      </c>
      <c r="AL39" s="250">
        <f>Est2018DistRev!AL39</f>
        <v>0</v>
      </c>
      <c r="AM39" s="250">
        <f>Est2018DistRev!AM39</f>
        <v>0</v>
      </c>
      <c r="AN39" s="250">
        <f>Est2018DistRev!AN39</f>
        <v>0</v>
      </c>
      <c r="AO39" s="250">
        <f>Est2018DistRev!AO39</f>
        <v>0</v>
      </c>
      <c r="AP39" s="250">
        <f>Est2018DistRev!AP39</f>
        <v>0</v>
      </c>
      <c r="AQ39" s="250">
        <f>Est2018DistRev!AQ39</f>
        <v>0</v>
      </c>
      <c r="AR39" s="250">
        <f>Est2018DistRev!AR39</f>
        <v>0</v>
      </c>
      <c r="AS39" s="250">
        <f>Est2018DistRev!AS39</f>
        <v>0</v>
      </c>
      <c r="AT39" s="251">
        <f>Est2018DistRev!AT39</f>
        <v>0</v>
      </c>
      <c r="AV39" s="252">
        <f t="shared" si="4"/>
        <v>0</v>
      </c>
      <c r="AW39" s="220">
        <f t="shared" si="5"/>
        <v>0</v>
      </c>
      <c r="AX39" s="220">
        <f t="shared" si="6"/>
        <v>1275336.1742821161</v>
      </c>
      <c r="AY39" s="220">
        <f t="shared" si="7"/>
        <v>0</v>
      </c>
      <c r="AZ39" s="220">
        <f t="shared" si="8"/>
        <v>0</v>
      </c>
      <c r="BA39" s="220">
        <f t="shared" si="9"/>
        <v>612384.11425677454</v>
      </c>
      <c r="BB39" s="220">
        <f t="shared" si="10"/>
        <v>0</v>
      </c>
      <c r="BC39" s="220">
        <f t="shared" si="11"/>
        <v>0</v>
      </c>
      <c r="BD39" s="220">
        <f t="shared" si="12"/>
        <v>0</v>
      </c>
      <c r="BE39" s="220">
        <f t="shared" si="13"/>
        <v>2262704.8634490408</v>
      </c>
      <c r="BF39" s="220">
        <f t="shared" si="14"/>
        <v>0</v>
      </c>
      <c r="BG39" s="220">
        <f t="shared" si="15"/>
        <v>0</v>
      </c>
      <c r="BH39" s="220">
        <f t="shared" si="16"/>
        <v>0</v>
      </c>
      <c r="BI39" s="253">
        <f t="shared" si="17"/>
        <v>0</v>
      </c>
      <c r="BJ39" s="253">
        <f t="shared" si="18"/>
        <v>0</v>
      </c>
      <c r="BK39" s="253">
        <f t="shared" si="19"/>
        <v>0</v>
      </c>
      <c r="BL39" s="253">
        <f t="shared" si="20"/>
        <v>0</v>
      </c>
      <c r="BM39" s="253">
        <f t="shared" si="21"/>
        <v>0</v>
      </c>
      <c r="BN39" s="253">
        <f t="shared" si="22"/>
        <v>0</v>
      </c>
      <c r="BO39" s="253">
        <f t="shared" si="23"/>
        <v>0</v>
      </c>
      <c r="BP39" s="253">
        <f t="shared" si="24"/>
        <v>0</v>
      </c>
      <c r="BQ39" s="254">
        <f t="shared" si="25"/>
        <v>4150425.1519879317</v>
      </c>
    </row>
    <row r="40" spans="2:69" x14ac:dyDescent="0.2">
      <c r="B40" s="234" t="str">
        <f>Est2018DistRev!B40</f>
        <v>Large low Voltage Bulk</v>
      </c>
      <c r="D40" s="317">
        <v>0</v>
      </c>
      <c r="E40" s="247">
        <v>0</v>
      </c>
      <c r="F40" s="247">
        <v>1.01</v>
      </c>
      <c r="G40" s="247">
        <v>0</v>
      </c>
      <c r="H40" s="247">
        <v>0</v>
      </c>
      <c r="I40" s="247">
        <v>0.62</v>
      </c>
      <c r="J40" s="247">
        <v>0</v>
      </c>
      <c r="K40" s="247">
        <v>0</v>
      </c>
      <c r="L40" s="247">
        <v>0</v>
      </c>
      <c r="M40" s="247">
        <v>31.49</v>
      </c>
      <c r="N40" s="247">
        <v>0</v>
      </c>
      <c r="O40" s="247">
        <v>0</v>
      </c>
      <c r="P40" s="247">
        <v>0</v>
      </c>
      <c r="Q40" s="247">
        <v>0</v>
      </c>
      <c r="R40" s="247">
        <v>0</v>
      </c>
      <c r="S40" s="247">
        <v>0</v>
      </c>
      <c r="T40" s="247">
        <v>0</v>
      </c>
      <c r="U40" s="247">
        <v>0</v>
      </c>
      <c r="V40" s="247">
        <v>0</v>
      </c>
      <c r="W40" s="247">
        <v>0</v>
      </c>
      <c r="X40" s="248">
        <v>0</v>
      </c>
      <c r="Z40" s="276">
        <f>Est2018DistRev!Z40</f>
        <v>1655.625823869291</v>
      </c>
      <c r="AA40" s="250">
        <f>Est2018DistRev!AA40</f>
        <v>0</v>
      </c>
      <c r="AB40" s="250">
        <f>Est2018DistRev!AB40</f>
        <v>1130104578.5870445</v>
      </c>
      <c r="AC40" s="250">
        <f>Est2018DistRev!AC40</f>
        <v>0</v>
      </c>
      <c r="AD40" s="250">
        <f>Est2018DistRev!AD40</f>
        <v>0</v>
      </c>
      <c r="AE40" s="250">
        <f>Est2018DistRev!AE40</f>
        <v>843930303.69004881</v>
      </c>
      <c r="AF40" s="250">
        <f>Est2018DistRev!AF40</f>
        <v>0</v>
      </c>
      <c r="AG40" s="250">
        <f>Est2018DistRev!AG40</f>
        <v>0</v>
      </c>
      <c r="AH40" s="250">
        <f>Est2018DistRev!AH40</f>
        <v>0</v>
      </c>
      <c r="AI40" s="250">
        <f>Est2018DistRev!AI40</f>
        <v>645709.60805396631</v>
      </c>
      <c r="AJ40" s="250">
        <f>Est2018DistRev!AJ40</f>
        <v>0</v>
      </c>
      <c r="AK40" s="250">
        <f>Est2018DistRev!AK40</f>
        <v>0</v>
      </c>
      <c r="AL40" s="250">
        <f>Est2018DistRev!AL40</f>
        <v>0</v>
      </c>
      <c r="AM40" s="250">
        <f>Est2018DistRev!AM40</f>
        <v>0</v>
      </c>
      <c r="AN40" s="250">
        <f>Est2018DistRev!AN40</f>
        <v>0</v>
      </c>
      <c r="AO40" s="250">
        <f>Est2018DistRev!AO40</f>
        <v>0</v>
      </c>
      <c r="AP40" s="250">
        <f>Est2018DistRev!AP40</f>
        <v>0</v>
      </c>
      <c r="AQ40" s="250">
        <f>Est2018DistRev!AQ40</f>
        <v>0</v>
      </c>
      <c r="AR40" s="250">
        <f>Est2018DistRev!AR40</f>
        <v>0</v>
      </c>
      <c r="AS40" s="250">
        <f>Est2018DistRev!AS40</f>
        <v>0</v>
      </c>
      <c r="AT40" s="251">
        <f>Est2018DistRev!AT40</f>
        <v>0</v>
      </c>
      <c r="AV40" s="252">
        <f t="shared" si="4"/>
        <v>0</v>
      </c>
      <c r="AW40" s="220">
        <f t="shared" si="5"/>
        <v>0</v>
      </c>
      <c r="AX40" s="220">
        <f t="shared" si="6"/>
        <v>11414056.243729148</v>
      </c>
      <c r="AY40" s="220">
        <f t="shared" si="7"/>
        <v>0</v>
      </c>
      <c r="AZ40" s="220">
        <f t="shared" si="8"/>
        <v>0</v>
      </c>
      <c r="BA40" s="220">
        <f t="shared" si="9"/>
        <v>5232367.8828783026</v>
      </c>
      <c r="BB40" s="220">
        <f t="shared" si="10"/>
        <v>0</v>
      </c>
      <c r="BC40" s="220">
        <f t="shared" si="11"/>
        <v>0</v>
      </c>
      <c r="BD40" s="220">
        <f t="shared" si="12"/>
        <v>0</v>
      </c>
      <c r="BE40" s="220">
        <f t="shared" si="13"/>
        <v>20333395.557619397</v>
      </c>
      <c r="BF40" s="220">
        <f t="shared" si="14"/>
        <v>0</v>
      </c>
      <c r="BG40" s="220">
        <f t="shared" si="15"/>
        <v>0</v>
      </c>
      <c r="BH40" s="220">
        <f t="shared" si="16"/>
        <v>0</v>
      </c>
      <c r="BI40" s="253">
        <f t="shared" si="17"/>
        <v>0</v>
      </c>
      <c r="BJ40" s="253">
        <f t="shared" si="18"/>
        <v>0</v>
      </c>
      <c r="BK40" s="253">
        <f t="shared" si="19"/>
        <v>0</v>
      </c>
      <c r="BL40" s="253">
        <f t="shared" si="20"/>
        <v>0</v>
      </c>
      <c r="BM40" s="253">
        <f t="shared" si="21"/>
        <v>0</v>
      </c>
      <c r="BN40" s="253">
        <f t="shared" si="22"/>
        <v>0</v>
      </c>
      <c r="BO40" s="253">
        <f t="shared" si="23"/>
        <v>0</v>
      </c>
      <c r="BP40" s="253">
        <f t="shared" si="24"/>
        <v>0</v>
      </c>
      <c r="BQ40" s="254">
        <f t="shared" si="25"/>
        <v>36979819.684226848</v>
      </c>
    </row>
    <row r="41" spans="2:69" x14ac:dyDescent="0.2">
      <c r="B41" s="234" t="str">
        <f>Est2018DistRev!B41</f>
        <v>High Voltage</v>
      </c>
      <c r="D41" s="317">
        <v>0</v>
      </c>
      <c r="E41" s="247">
        <v>0</v>
      </c>
      <c r="F41" s="247">
        <v>1.22</v>
      </c>
      <c r="G41" s="247">
        <v>0</v>
      </c>
      <c r="H41" s="247">
        <v>0</v>
      </c>
      <c r="I41" s="247">
        <v>0.63</v>
      </c>
      <c r="J41" s="247">
        <v>0</v>
      </c>
      <c r="K41" s="247">
        <v>0</v>
      </c>
      <c r="L41" s="247">
        <v>0</v>
      </c>
      <c r="M41" s="247">
        <v>34.659999999999997</v>
      </c>
      <c r="N41" s="247">
        <v>0</v>
      </c>
      <c r="O41" s="247">
        <v>0</v>
      </c>
      <c r="P41" s="247">
        <v>0</v>
      </c>
      <c r="Q41" s="247">
        <v>0</v>
      </c>
      <c r="R41" s="247">
        <v>0</v>
      </c>
      <c r="S41" s="247">
        <v>0</v>
      </c>
      <c r="T41" s="247">
        <v>0</v>
      </c>
      <c r="U41" s="247">
        <v>0</v>
      </c>
      <c r="V41" s="247">
        <v>0</v>
      </c>
      <c r="W41" s="247">
        <v>0</v>
      </c>
      <c r="X41" s="248">
        <v>0</v>
      </c>
      <c r="Z41" s="276">
        <f>Est2018DistRev!Z41</f>
        <v>90.982553708010002</v>
      </c>
      <c r="AA41" s="250">
        <f>Est2018DistRev!AA41</f>
        <v>0</v>
      </c>
      <c r="AB41" s="250">
        <f>Est2018DistRev!AB41</f>
        <v>343486676.72513288</v>
      </c>
      <c r="AC41" s="250">
        <f>Est2018DistRev!AC41</f>
        <v>0</v>
      </c>
      <c r="AD41" s="250">
        <f>Est2018DistRev!AD41</f>
        <v>0</v>
      </c>
      <c r="AE41" s="250">
        <f>Est2018DistRev!AE41</f>
        <v>320752044.24805528</v>
      </c>
      <c r="AF41" s="250">
        <f>Est2018DistRev!AF41</f>
        <v>0</v>
      </c>
      <c r="AG41" s="250">
        <f>Est2018DistRev!AG41</f>
        <v>0</v>
      </c>
      <c r="AH41" s="250">
        <f>Est2018DistRev!AH41</f>
        <v>0</v>
      </c>
      <c r="AI41" s="250">
        <f>Est2018DistRev!AI41</f>
        <v>198974.44614725537</v>
      </c>
      <c r="AJ41" s="250">
        <f>Est2018DistRev!AJ41</f>
        <v>0</v>
      </c>
      <c r="AK41" s="250">
        <f>Est2018DistRev!AK41</f>
        <v>0</v>
      </c>
      <c r="AL41" s="250">
        <f>Est2018DistRev!AL41</f>
        <v>0</v>
      </c>
      <c r="AM41" s="250">
        <f>Est2018DistRev!AM41</f>
        <v>0</v>
      </c>
      <c r="AN41" s="250">
        <f>Est2018DistRev!AN41</f>
        <v>0</v>
      </c>
      <c r="AO41" s="250">
        <f>Est2018DistRev!AO41</f>
        <v>0</v>
      </c>
      <c r="AP41" s="250">
        <f>Est2018DistRev!AP41</f>
        <v>0</v>
      </c>
      <c r="AQ41" s="250">
        <f>Est2018DistRev!AQ41</f>
        <v>0</v>
      </c>
      <c r="AR41" s="250">
        <f>Est2018DistRev!AR41</f>
        <v>0</v>
      </c>
      <c r="AS41" s="250">
        <f>Est2018DistRev!AS41</f>
        <v>0</v>
      </c>
      <c r="AT41" s="251">
        <f>Est2018DistRev!AT41</f>
        <v>0</v>
      </c>
      <c r="AV41" s="252">
        <f t="shared" si="4"/>
        <v>0</v>
      </c>
      <c r="AW41" s="220">
        <f t="shared" si="5"/>
        <v>0</v>
      </c>
      <c r="AX41" s="220">
        <f t="shared" si="6"/>
        <v>4190537.4560466208</v>
      </c>
      <c r="AY41" s="220">
        <f t="shared" si="7"/>
        <v>0</v>
      </c>
      <c r="AZ41" s="220">
        <f t="shared" si="8"/>
        <v>0</v>
      </c>
      <c r="BA41" s="220">
        <f t="shared" si="9"/>
        <v>2020737.8787627483</v>
      </c>
      <c r="BB41" s="220">
        <f t="shared" si="10"/>
        <v>0</v>
      </c>
      <c r="BC41" s="220">
        <f t="shared" si="11"/>
        <v>0</v>
      </c>
      <c r="BD41" s="220">
        <f t="shared" si="12"/>
        <v>0</v>
      </c>
      <c r="BE41" s="220">
        <f t="shared" si="13"/>
        <v>6896454.3034638707</v>
      </c>
      <c r="BF41" s="220">
        <f t="shared" si="14"/>
        <v>0</v>
      </c>
      <c r="BG41" s="220">
        <f t="shared" si="15"/>
        <v>0</v>
      </c>
      <c r="BH41" s="220">
        <f t="shared" si="16"/>
        <v>0</v>
      </c>
      <c r="BI41" s="253">
        <f t="shared" si="17"/>
        <v>0</v>
      </c>
      <c r="BJ41" s="253">
        <f t="shared" si="18"/>
        <v>0</v>
      </c>
      <c r="BK41" s="253">
        <f t="shared" si="19"/>
        <v>0</v>
      </c>
      <c r="BL41" s="253">
        <f t="shared" si="20"/>
        <v>0</v>
      </c>
      <c r="BM41" s="253">
        <f t="shared" si="21"/>
        <v>0</v>
      </c>
      <c r="BN41" s="253">
        <f t="shared" si="22"/>
        <v>0</v>
      </c>
      <c r="BO41" s="253">
        <f t="shared" si="23"/>
        <v>0</v>
      </c>
      <c r="BP41" s="253">
        <f t="shared" si="24"/>
        <v>0</v>
      </c>
      <c r="BQ41" s="254">
        <f t="shared" si="25"/>
        <v>13107729.638273239</v>
      </c>
    </row>
    <row r="42" spans="2:69" x14ac:dyDescent="0.2">
      <c r="B42" s="234" t="str">
        <f>Est2018DistRev!B42</f>
        <v>Subtransmission</v>
      </c>
      <c r="D42" s="317">
        <v>0</v>
      </c>
      <c r="E42" s="247">
        <v>0</v>
      </c>
      <c r="F42" s="247">
        <v>1.96</v>
      </c>
      <c r="G42" s="247">
        <v>0</v>
      </c>
      <c r="H42" s="247">
        <v>0</v>
      </c>
      <c r="I42" s="247">
        <v>0.82</v>
      </c>
      <c r="J42" s="247">
        <v>0</v>
      </c>
      <c r="K42" s="247">
        <v>0</v>
      </c>
      <c r="L42" s="247">
        <v>0</v>
      </c>
      <c r="M42" s="247">
        <v>15.95</v>
      </c>
      <c r="N42" s="247">
        <v>0</v>
      </c>
      <c r="O42" s="247">
        <v>0</v>
      </c>
      <c r="P42" s="247">
        <v>0</v>
      </c>
      <c r="Q42" s="247">
        <v>0</v>
      </c>
      <c r="R42" s="247">
        <v>0</v>
      </c>
      <c r="S42" s="247">
        <v>0</v>
      </c>
      <c r="T42" s="247">
        <v>0</v>
      </c>
      <c r="U42" s="247">
        <v>0</v>
      </c>
      <c r="V42" s="247">
        <v>0</v>
      </c>
      <c r="W42" s="247">
        <v>0</v>
      </c>
      <c r="X42" s="248">
        <v>0</v>
      </c>
      <c r="Z42" s="276">
        <f>Est2018DistRev!Z42</f>
        <v>6</v>
      </c>
      <c r="AA42" s="250">
        <f>Est2018DistRev!AA42</f>
        <v>0</v>
      </c>
      <c r="AB42" s="250">
        <f>Est2018DistRev!AB42</f>
        <v>65598744.876000002</v>
      </c>
      <c r="AC42" s="250">
        <f>Est2018DistRev!AC42</f>
        <v>0</v>
      </c>
      <c r="AD42" s="250">
        <f>Est2018DistRev!AD42</f>
        <v>0</v>
      </c>
      <c r="AE42" s="250">
        <f>Est2018DistRev!AE42</f>
        <v>37964642.608999997</v>
      </c>
      <c r="AF42" s="250">
        <f>Est2018DistRev!AF42</f>
        <v>0</v>
      </c>
      <c r="AG42" s="250">
        <f>Est2018DistRev!AG42</f>
        <v>0</v>
      </c>
      <c r="AH42" s="250">
        <f>Est2018DistRev!AH42</f>
        <v>0</v>
      </c>
      <c r="AI42" s="250">
        <f>Est2018DistRev!AI42</f>
        <v>37371.68516666667</v>
      </c>
      <c r="AJ42" s="250">
        <f>Est2018DistRev!AJ42</f>
        <v>0</v>
      </c>
      <c r="AK42" s="250">
        <f>Est2018DistRev!AK42</f>
        <v>0</v>
      </c>
      <c r="AL42" s="250">
        <f>Est2018DistRev!AL42</f>
        <v>0</v>
      </c>
      <c r="AM42" s="250">
        <f>Est2018DistRev!AM42</f>
        <v>0</v>
      </c>
      <c r="AN42" s="250">
        <f>Est2018DistRev!AN42</f>
        <v>0</v>
      </c>
      <c r="AO42" s="250">
        <f>Est2018DistRev!AO42</f>
        <v>0</v>
      </c>
      <c r="AP42" s="250">
        <f>Est2018DistRev!AP42</f>
        <v>0</v>
      </c>
      <c r="AQ42" s="250">
        <f>Est2018DistRev!AQ42</f>
        <v>0</v>
      </c>
      <c r="AR42" s="250">
        <f>Est2018DistRev!AR42</f>
        <v>0</v>
      </c>
      <c r="AS42" s="250">
        <f>Est2018DistRev!AS42</f>
        <v>0</v>
      </c>
      <c r="AT42" s="251">
        <f>Est2018DistRev!AT42</f>
        <v>0</v>
      </c>
      <c r="AV42" s="252">
        <f t="shared" si="4"/>
        <v>0</v>
      </c>
      <c r="AW42" s="220">
        <f t="shared" si="5"/>
        <v>0</v>
      </c>
      <c r="AX42" s="220">
        <f t="shared" si="6"/>
        <v>1285735.3995695999</v>
      </c>
      <c r="AY42" s="220">
        <f t="shared" si="7"/>
        <v>0</v>
      </c>
      <c r="AZ42" s="220">
        <f t="shared" si="8"/>
        <v>0</v>
      </c>
      <c r="BA42" s="220">
        <f t="shared" si="9"/>
        <v>311310.06939379993</v>
      </c>
      <c r="BB42" s="220">
        <f t="shared" si="10"/>
        <v>0</v>
      </c>
      <c r="BC42" s="220">
        <f t="shared" si="11"/>
        <v>0</v>
      </c>
      <c r="BD42" s="220">
        <f t="shared" si="12"/>
        <v>0</v>
      </c>
      <c r="BE42" s="220">
        <f t="shared" si="13"/>
        <v>596078.3784083334</v>
      </c>
      <c r="BF42" s="220">
        <f t="shared" si="14"/>
        <v>0</v>
      </c>
      <c r="BG42" s="220">
        <f t="shared" si="15"/>
        <v>0</v>
      </c>
      <c r="BH42" s="220">
        <f t="shared" si="16"/>
        <v>0</v>
      </c>
      <c r="BI42" s="253">
        <f t="shared" si="17"/>
        <v>0</v>
      </c>
      <c r="BJ42" s="253">
        <f t="shared" si="18"/>
        <v>0</v>
      </c>
      <c r="BK42" s="253">
        <f t="shared" si="19"/>
        <v>0</v>
      </c>
      <c r="BL42" s="253">
        <f t="shared" si="20"/>
        <v>0</v>
      </c>
      <c r="BM42" s="253">
        <f t="shared" si="21"/>
        <v>0</v>
      </c>
      <c r="BN42" s="253">
        <f t="shared" si="22"/>
        <v>0</v>
      </c>
      <c r="BO42" s="253">
        <f t="shared" si="23"/>
        <v>0</v>
      </c>
      <c r="BP42" s="253">
        <f t="shared" si="24"/>
        <v>0</v>
      </c>
      <c r="BQ42" s="254">
        <f t="shared" si="25"/>
        <v>2193123.8473717333</v>
      </c>
    </row>
    <row r="43" spans="2:69" x14ac:dyDescent="0.2">
      <c r="B43" s="234"/>
      <c r="D43" s="317"/>
      <c r="E43" s="247"/>
      <c r="F43" s="247"/>
      <c r="G43" s="247"/>
      <c r="H43" s="247"/>
      <c r="I43" s="247"/>
      <c r="J43" s="247"/>
      <c r="K43" s="247"/>
      <c r="L43" s="247"/>
      <c r="M43" s="247"/>
      <c r="N43" s="247"/>
      <c r="O43" s="247"/>
      <c r="P43" s="247"/>
      <c r="Q43" s="247"/>
      <c r="R43" s="247"/>
      <c r="S43" s="247"/>
      <c r="T43" s="247"/>
      <c r="U43" s="247"/>
      <c r="V43" s="247"/>
      <c r="W43" s="247"/>
      <c r="X43" s="248"/>
      <c r="Z43" s="276"/>
      <c r="AA43" s="250"/>
      <c r="AB43" s="250"/>
      <c r="AC43" s="250"/>
      <c r="AD43" s="250"/>
      <c r="AE43" s="250"/>
      <c r="AF43" s="250"/>
      <c r="AG43" s="250"/>
      <c r="AH43" s="250"/>
      <c r="AI43" s="250"/>
      <c r="AJ43" s="250"/>
      <c r="AK43" s="250"/>
      <c r="AL43" s="250"/>
      <c r="AM43" s="250"/>
      <c r="AN43" s="250"/>
      <c r="AO43" s="250"/>
      <c r="AP43" s="250"/>
      <c r="AQ43" s="250"/>
      <c r="AR43" s="250"/>
      <c r="AS43" s="250"/>
      <c r="AT43" s="251"/>
      <c r="AV43" s="252">
        <f t="shared" si="4"/>
        <v>0</v>
      </c>
      <c r="AW43" s="220">
        <f t="shared" si="5"/>
        <v>0</v>
      </c>
      <c r="AX43" s="220">
        <f t="shared" si="6"/>
        <v>0</v>
      </c>
      <c r="AY43" s="220">
        <f t="shared" si="7"/>
        <v>0</v>
      </c>
      <c r="AZ43" s="220">
        <f t="shared" si="8"/>
        <v>0</v>
      </c>
      <c r="BA43" s="220">
        <f t="shared" si="9"/>
        <v>0</v>
      </c>
      <c r="BB43" s="220">
        <f t="shared" si="10"/>
        <v>0</v>
      </c>
      <c r="BC43" s="220">
        <f t="shared" si="11"/>
        <v>0</v>
      </c>
      <c r="BD43" s="220">
        <f t="shared" si="12"/>
        <v>0</v>
      </c>
      <c r="BE43" s="220">
        <f t="shared" si="13"/>
        <v>0</v>
      </c>
      <c r="BF43" s="220">
        <f t="shared" si="14"/>
        <v>0</v>
      </c>
      <c r="BG43" s="220">
        <f t="shared" si="15"/>
        <v>0</v>
      </c>
      <c r="BH43" s="220">
        <f t="shared" si="16"/>
        <v>0</v>
      </c>
      <c r="BI43" s="253">
        <f t="shared" si="17"/>
        <v>0</v>
      </c>
      <c r="BJ43" s="253">
        <f t="shared" si="18"/>
        <v>0</v>
      </c>
      <c r="BK43" s="253">
        <f t="shared" si="19"/>
        <v>0</v>
      </c>
      <c r="BL43" s="253">
        <f t="shared" si="20"/>
        <v>0</v>
      </c>
      <c r="BM43" s="253">
        <f t="shared" si="21"/>
        <v>0</v>
      </c>
      <c r="BN43" s="253">
        <f t="shared" si="22"/>
        <v>0</v>
      </c>
      <c r="BO43" s="253">
        <f t="shared" si="23"/>
        <v>0</v>
      </c>
      <c r="BP43" s="253">
        <f t="shared" si="24"/>
        <v>0</v>
      </c>
      <c r="BQ43" s="254">
        <f t="shared" si="25"/>
        <v>0</v>
      </c>
    </row>
    <row r="44" spans="2:69" x14ac:dyDescent="0.2">
      <c r="B44" s="234"/>
      <c r="D44" s="317"/>
      <c r="E44" s="247"/>
      <c r="F44" s="247"/>
      <c r="G44" s="247"/>
      <c r="H44" s="247"/>
      <c r="I44" s="247"/>
      <c r="J44" s="247"/>
      <c r="K44" s="247"/>
      <c r="L44" s="247"/>
      <c r="M44" s="247"/>
      <c r="N44" s="247"/>
      <c r="O44" s="247"/>
      <c r="P44" s="247"/>
      <c r="Q44" s="247"/>
      <c r="R44" s="247"/>
      <c r="S44" s="247"/>
      <c r="T44" s="247"/>
      <c r="U44" s="247"/>
      <c r="V44" s="247"/>
      <c r="W44" s="247"/>
      <c r="X44" s="248"/>
      <c r="Z44" s="276"/>
      <c r="AA44" s="250"/>
      <c r="AB44" s="250"/>
      <c r="AC44" s="250"/>
      <c r="AD44" s="250"/>
      <c r="AE44" s="250"/>
      <c r="AF44" s="250"/>
      <c r="AG44" s="250"/>
      <c r="AH44" s="250"/>
      <c r="AI44" s="250"/>
      <c r="AJ44" s="250"/>
      <c r="AK44" s="250"/>
      <c r="AL44" s="250"/>
      <c r="AM44" s="250"/>
      <c r="AN44" s="250"/>
      <c r="AO44" s="250"/>
      <c r="AP44" s="250"/>
      <c r="AQ44" s="250"/>
      <c r="AR44" s="250"/>
      <c r="AS44" s="250"/>
      <c r="AT44" s="251"/>
      <c r="AV44" s="252">
        <f t="shared" si="4"/>
        <v>0</v>
      </c>
      <c r="AW44" s="220">
        <f t="shared" si="5"/>
        <v>0</v>
      </c>
      <c r="AX44" s="220">
        <f t="shared" si="6"/>
        <v>0</v>
      </c>
      <c r="AY44" s="220">
        <f t="shared" si="7"/>
        <v>0</v>
      </c>
      <c r="AZ44" s="220">
        <f t="shared" si="8"/>
        <v>0</v>
      </c>
      <c r="BA44" s="220">
        <f t="shared" si="9"/>
        <v>0</v>
      </c>
      <c r="BB44" s="220">
        <f t="shared" si="10"/>
        <v>0</v>
      </c>
      <c r="BC44" s="220">
        <f t="shared" si="11"/>
        <v>0</v>
      </c>
      <c r="BD44" s="220">
        <f t="shared" si="12"/>
        <v>0</v>
      </c>
      <c r="BE44" s="220">
        <f t="shared" si="13"/>
        <v>0</v>
      </c>
      <c r="BF44" s="220">
        <f t="shared" si="14"/>
        <v>0</v>
      </c>
      <c r="BG44" s="220">
        <f t="shared" si="15"/>
        <v>0</v>
      </c>
      <c r="BH44" s="220">
        <f t="shared" si="16"/>
        <v>0</v>
      </c>
      <c r="BI44" s="253">
        <f t="shared" si="17"/>
        <v>0</v>
      </c>
      <c r="BJ44" s="253">
        <f t="shared" si="18"/>
        <v>0</v>
      </c>
      <c r="BK44" s="253">
        <f t="shared" si="19"/>
        <v>0</v>
      </c>
      <c r="BL44" s="253">
        <f t="shared" si="20"/>
        <v>0</v>
      </c>
      <c r="BM44" s="253">
        <f t="shared" si="21"/>
        <v>0</v>
      </c>
      <c r="BN44" s="253">
        <f t="shared" si="22"/>
        <v>0</v>
      </c>
      <c r="BO44" s="253">
        <f t="shared" si="23"/>
        <v>0</v>
      </c>
      <c r="BP44" s="253">
        <f t="shared" si="24"/>
        <v>0</v>
      </c>
      <c r="BQ44" s="254">
        <f t="shared" si="25"/>
        <v>0</v>
      </c>
    </row>
    <row r="45" spans="2:69" x14ac:dyDescent="0.2">
      <c r="B45" s="234"/>
      <c r="D45" s="317"/>
      <c r="E45" s="247"/>
      <c r="F45" s="247"/>
      <c r="G45" s="247"/>
      <c r="H45" s="247"/>
      <c r="I45" s="247"/>
      <c r="J45" s="247"/>
      <c r="K45" s="247"/>
      <c r="L45" s="247"/>
      <c r="M45" s="247"/>
      <c r="N45" s="247"/>
      <c r="O45" s="247"/>
      <c r="P45" s="247"/>
      <c r="Q45" s="247"/>
      <c r="R45" s="247"/>
      <c r="S45" s="247"/>
      <c r="T45" s="247"/>
      <c r="U45" s="247"/>
      <c r="V45" s="247"/>
      <c r="W45" s="247"/>
      <c r="X45" s="248"/>
      <c r="Z45" s="276"/>
      <c r="AA45" s="250"/>
      <c r="AB45" s="250"/>
      <c r="AC45" s="250"/>
      <c r="AD45" s="250"/>
      <c r="AE45" s="250"/>
      <c r="AF45" s="250"/>
      <c r="AG45" s="250"/>
      <c r="AH45" s="250"/>
      <c r="AI45" s="250"/>
      <c r="AJ45" s="250"/>
      <c r="AK45" s="250"/>
      <c r="AL45" s="250"/>
      <c r="AM45" s="250"/>
      <c r="AN45" s="250"/>
      <c r="AO45" s="250"/>
      <c r="AP45" s="250"/>
      <c r="AQ45" s="250"/>
      <c r="AR45" s="250"/>
      <c r="AS45" s="250"/>
      <c r="AT45" s="251"/>
      <c r="AV45" s="252">
        <f t="shared" si="4"/>
        <v>0</v>
      </c>
      <c r="AW45" s="220">
        <f t="shared" si="5"/>
        <v>0</v>
      </c>
      <c r="AX45" s="220">
        <f t="shared" si="6"/>
        <v>0</v>
      </c>
      <c r="AY45" s="220">
        <f t="shared" si="7"/>
        <v>0</v>
      </c>
      <c r="AZ45" s="220">
        <f t="shared" si="8"/>
        <v>0</v>
      </c>
      <c r="BA45" s="220">
        <f t="shared" si="9"/>
        <v>0</v>
      </c>
      <c r="BB45" s="220">
        <f t="shared" si="10"/>
        <v>0</v>
      </c>
      <c r="BC45" s="220">
        <f t="shared" si="11"/>
        <v>0</v>
      </c>
      <c r="BD45" s="220">
        <f t="shared" si="12"/>
        <v>0</v>
      </c>
      <c r="BE45" s="220">
        <f t="shared" si="13"/>
        <v>0</v>
      </c>
      <c r="BF45" s="220">
        <f t="shared" si="14"/>
        <v>0</v>
      </c>
      <c r="BG45" s="220">
        <f t="shared" si="15"/>
        <v>0</v>
      </c>
      <c r="BH45" s="220">
        <f t="shared" si="16"/>
        <v>0</v>
      </c>
      <c r="BI45" s="253">
        <f t="shared" si="17"/>
        <v>0</v>
      </c>
      <c r="BJ45" s="253">
        <f t="shared" si="18"/>
        <v>0</v>
      </c>
      <c r="BK45" s="253">
        <f t="shared" si="19"/>
        <v>0</v>
      </c>
      <c r="BL45" s="253">
        <f t="shared" si="20"/>
        <v>0</v>
      </c>
      <c r="BM45" s="253">
        <f t="shared" si="21"/>
        <v>0</v>
      </c>
      <c r="BN45" s="253">
        <f t="shared" si="22"/>
        <v>0</v>
      </c>
      <c r="BO45" s="253">
        <f t="shared" si="23"/>
        <v>0</v>
      </c>
      <c r="BP45" s="253">
        <f t="shared" si="24"/>
        <v>0</v>
      </c>
      <c r="BQ45" s="254">
        <f t="shared" si="25"/>
        <v>0</v>
      </c>
    </row>
    <row r="46" spans="2:69" x14ac:dyDescent="0.2">
      <c r="B46" s="234"/>
      <c r="D46" s="294"/>
      <c r="E46" s="295"/>
      <c r="F46" s="295"/>
      <c r="G46" s="295"/>
      <c r="H46" s="295"/>
      <c r="I46" s="295"/>
      <c r="J46" s="295"/>
      <c r="K46" s="295"/>
      <c r="L46" s="295"/>
      <c r="M46" s="295"/>
      <c r="N46" s="295"/>
      <c r="O46" s="295"/>
      <c r="P46" s="295"/>
      <c r="Q46" s="295"/>
      <c r="R46" s="295"/>
      <c r="S46" s="295"/>
      <c r="T46" s="295"/>
      <c r="U46" s="295"/>
      <c r="V46" s="295"/>
      <c r="W46" s="295"/>
      <c r="X46" s="296"/>
      <c r="Z46" s="276"/>
      <c r="AA46" s="250"/>
      <c r="AB46" s="250"/>
      <c r="AC46" s="250"/>
      <c r="AD46" s="250"/>
      <c r="AE46" s="250"/>
      <c r="AF46" s="250"/>
      <c r="AG46" s="250"/>
      <c r="AH46" s="250"/>
      <c r="AI46" s="250"/>
      <c r="AJ46" s="250"/>
      <c r="AK46" s="250"/>
      <c r="AL46" s="250"/>
      <c r="AM46" s="250"/>
      <c r="AN46" s="250"/>
      <c r="AO46" s="250"/>
      <c r="AP46" s="250"/>
      <c r="AQ46" s="250"/>
      <c r="AR46" s="250"/>
      <c r="AS46" s="250"/>
      <c r="AT46" s="251"/>
      <c r="AV46" s="252">
        <f t="shared" si="4"/>
        <v>0</v>
      </c>
      <c r="AW46" s="220">
        <f t="shared" si="5"/>
        <v>0</v>
      </c>
      <c r="AX46" s="220">
        <f t="shared" si="6"/>
        <v>0</v>
      </c>
      <c r="AY46" s="220">
        <f t="shared" si="7"/>
        <v>0</v>
      </c>
      <c r="AZ46" s="220">
        <f t="shared" si="8"/>
        <v>0</v>
      </c>
      <c r="BA46" s="220">
        <f t="shared" si="9"/>
        <v>0</v>
      </c>
      <c r="BB46" s="220">
        <f t="shared" si="10"/>
        <v>0</v>
      </c>
      <c r="BC46" s="220">
        <f t="shared" si="11"/>
        <v>0</v>
      </c>
      <c r="BD46" s="220">
        <f t="shared" si="12"/>
        <v>0</v>
      </c>
      <c r="BE46" s="220">
        <f t="shared" si="13"/>
        <v>0</v>
      </c>
      <c r="BF46" s="220">
        <f t="shared" si="14"/>
        <v>0</v>
      </c>
      <c r="BG46" s="220">
        <f t="shared" si="15"/>
        <v>0</v>
      </c>
      <c r="BH46" s="220">
        <f t="shared" si="16"/>
        <v>0</v>
      </c>
      <c r="BI46" s="253">
        <f t="shared" si="17"/>
        <v>0</v>
      </c>
      <c r="BJ46" s="253">
        <f t="shared" si="18"/>
        <v>0</v>
      </c>
      <c r="BK46" s="253">
        <f t="shared" si="19"/>
        <v>0</v>
      </c>
      <c r="BL46" s="253">
        <f t="shared" si="20"/>
        <v>0</v>
      </c>
      <c r="BM46" s="253">
        <f t="shared" si="21"/>
        <v>0</v>
      </c>
      <c r="BN46" s="253">
        <f t="shared" si="22"/>
        <v>0</v>
      </c>
      <c r="BO46" s="253">
        <f t="shared" si="23"/>
        <v>0</v>
      </c>
      <c r="BP46" s="253">
        <f t="shared" si="24"/>
        <v>0</v>
      </c>
      <c r="BQ46" s="254">
        <f t="shared" si="25"/>
        <v>0</v>
      </c>
    </row>
    <row r="47" spans="2:69" x14ac:dyDescent="0.2">
      <c r="B47" s="234"/>
      <c r="D47" s="294"/>
      <c r="E47" s="295"/>
      <c r="F47" s="295"/>
      <c r="G47" s="295"/>
      <c r="H47" s="295"/>
      <c r="I47" s="295"/>
      <c r="J47" s="295"/>
      <c r="K47" s="295"/>
      <c r="L47" s="295"/>
      <c r="M47" s="295"/>
      <c r="N47" s="295"/>
      <c r="O47" s="295"/>
      <c r="P47" s="295"/>
      <c r="Q47" s="295"/>
      <c r="R47" s="295"/>
      <c r="S47" s="295"/>
      <c r="T47" s="295"/>
      <c r="U47" s="295"/>
      <c r="V47" s="295"/>
      <c r="W47" s="295"/>
      <c r="X47" s="296"/>
      <c r="Z47" s="276"/>
      <c r="AA47" s="250"/>
      <c r="AB47" s="250"/>
      <c r="AC47" s="250"/>
      <c r="AD47" s="250"/>
      <c r="AE47" s="250"/>
      <c r="AF47" s="250"/>
      <c r="AG47" s="250"/>
      <c r="AH47" s="250"/>
      <c r="AI47" s="250"/>
      <c r="AJ47" s="250"/>
      <c r="AK47" s="250"/>
      <c r="AL47" s="250"/>
      <c r="AM47" s="250"/>
      <c r="AN47" s="250"/>
      <c r="AO47" s="250"/>
      <c r="AP47" s="250"/>
      <c r="AQ47" s="250"/>
      <c r="AR47" s="250"/>
      <c r="AS47" s="250"/>
      <c r="AT47" s="251"/>
      <c r="AV47" s="252">
        <f t="shared" si="4"/>
        <v>0</v>
      </c>
      <c r="AW47" s="220">
        <f t="shared" si="5"/>
        <v>0</v>
      </c>
      <c r="AX47" s="220">
        <f t="shared" si="6"/>
        <v>0</v>
      </c>
      <c r="AY47" s="220">
        <f t="shared" si="7"/>
        <v>0</v>
      </c>
      <c r="AZ47" s="220">
        <f t="shared" si="8"/>
        <v>0</v>
      </c>
      <c r="BA47" s="220">
        <f t="shared" si="9"/>
        <v>0</v>
      </c>
      <c r="BB47" s="220">
        <f t="shared" si="10"/>
        <v>0</v>
      </c>
      <c r="BC47" s="220">
        <f t="shared" si="11"/>
        <v>0</v>
      </c>
      <c r="BD47" s="220">
        <f t="shared" si="12"/>
        <v>0</v>
      </c>
      <c r="BE47" s="220">
        <f t="shared" si="13"/>
        <v>0</v>
      </c>
      <c r="BF47" s="220">
        <f t="shared" si="14"/>
        <v>0</v>
      </c>
      <c r="BG47" s="220">
        <f t="shared" si="15"/>
        <v>0</v>
      </c>
      <c r="BH47" s="220">
        <f t="shared" si="16"/>
        <v>0</v>
      </c>
      <c r="BI47" s="253">
        <f t="shared" si="17"/>
        <v>0</v>
      </c>
      <c r="BJ47" s="253">
        <f t="shared" si="18"/>
        <v>0</v>
      </c>
      <c r="BK47" s="253">
        <f t="shared" si="19"/>
        <v>0</v>
      </c>
      <c r="BL47" s="253">
        <f t="shared" si="20"/>
        <v>0</v>
      </c>
      <c r="BM47" s="253">
        <f t="shared" si="21"/>
        <v>0</v>
      </c>
      <c r="BN47" s="253">
        <f t="shared" si="22"/>
        <v>0</v>
      </c>
      <c r="BO47" s="253">
        <f t="shared" si="23"/>
        <v>0</v>
      </c>
      <c r="BP47" s="253">
        <f t="shared" si="24"/>
        <v>0</v>
      </c>
      <c r="BQ47" s="254">
        <f t="shared" si="25"/>
        <v>0</v>
      </c>
    </row>
    <row r="48" spans="2:69" x14ac:dyDescent="0.2">
      <c r="B48" s="234"/>
      <c r="D48" s="255"/>
      <c r="E48" s="256"/>
      <c r="F48" s="256"/>
      <c r="G48" s="256"/>
      <c r="H48" s="256"/>
      <c r="I48" s="256"/>
      <c r="J48" s="256"/>
      <c r="K48" s="256"/>
      <c r="L48" s="256"/>
      <c r="M48" s="257"/>
      <c r="N48" s="257"/>
      <c r="O48" s="257"/>
      <c r="P48" s="257"/>
      <c r="Q48" s="257"/>
      <c r="R48" s="257"/>
      <c r="S48" s="257"/>
      <c r="T48" s="257"/>
      <c r="U48" s="257"/>
      <c r="V48" s="257"/>
      <c r="W48" s="257"/>
      <c r="X48" s="258"/>
      <c r="Z48" s="249"/>
      <c r="AA48" s="250"/>
      <c r="AB48" s="250"/>
      <c r="AC48" s="250"/>
      <c r="AD48" s="250"/>
      <c r="AE48" s="250"/>
      <c r="AF48" s="250"/>
      <c r="AG48" s="250"/>
      <c r="AH48" s="250"/>
      <c r="AI48" s="250"/>
      <c r="AJ48" s="250"/>
      <c r="AK48" s="250"/>
      <c r="AL48" s="250"/>
      <c r="AM48" s="250"/>
      <c r="AN48" s="250"/>
      <c r="AO48" s="250"/>
      <c r="AP48" s="250"/>
      <c r="AQ48" s="250"/>
      <c r="AR48" s="250"/>
      <c r="AS48" s="250"/>
      <c r="AT48" s="251"/>
      <c r="AV48" s="252">
        <f t="shared" si="4"/>
        <v>0</v>
      </c>
      <c r="AW48" s="220">
        <f t="shared" si="5"/>
        <v>0</v>
      </c>
      <c r="AX48" s="220">
        <f t="shared" si="6"/>
        <v>0</v>
      </c>
      <c r="AY48" s="220">
        <f t="shared" si="7"/>
        <v>0</v>
      </c>
      <c r="AZ48" s="220">
        <f t="shared" si="8"/>
        <v>0</v>
      </c>
      <c r="BA48" s="220">
        <f t="shared" si="9"/>
        <v>0</v>
      </c>
      <c r="BB48" s="220">
        <f t="shared" si="10"/>
        <v>0</v>
      </c>
      <c r="BC48" s="220">
        <f t="shared" si="11"/>
        <v>0</v>
      </c>
      <c r="BD48" s="220">
        <f t="shared" si="12"/>
        <v>0</v>
      </c>
      <c r="BE48" s="220">
        <f t="shared" si="13"/>
        <v>0</v>
      </c>
      <c r="BF48" s="220">
        <f t="shared" si="14"/>
        <v>0</v>
      </c>
      <c r="BG48" s="220">
        <f t="shared" si="15"/>
        <v>0</v>
      </c>
      <c r="BH48" s="220">
        <f t="shared" si="16"/>
        <v>0</v>
      </c>
      <c r="BI48" s="253">
        <f t="shared" si="17"/>
        <v>0</v>
      </c>
      <c r="BJ48" s="253">
        <f t="shared" si="18"/>
        <v>0</v>
      </c>
      <c r="BK48" s="253">
        <f t="shared" si="19"/>
        <v>0</v>
      </c>
      <c r="BL48" s="253">
        <f t="shared" si="20"/>
        <v>0</v>
      </c>
      <c r="BM48" s="253">
        <f t="shared" si="21"/>
        <v>0</v>
      </c>
      <c r="BN48" s="253">
        <f t="shared" si="22"/>
        <v>0</v>
      </c>
      <c r="BO48" s="253">
        <f t="shared" si="23"/>
        <v>0</v>
      </c>
      <c r="BP48" s="253">
        <f t="shared" si="24"/>
        <v>0</v>
      </c>
      <c r="BQ48" s="254">
        <f t="shared" si="25"/>
        <v>0</v>
      </c>
    </row>
    <row r="49" spans="2:69" x14ac:dyDescent="0.2">
      <c r="B49" s="234"/>
      <c r="D49" s="255"/>
      <c r="E49" s="256"/>
      <c r="F49" s="256"/>
      <c r="G49" s="256"/>
      <c r="H49" s="256"/>
      <c r="I49" s="256"/>
      <c r="J49" s="256"/>
      <c r="K49" s="256"/>
      <c r="L49" s="256"/>
      <c r="M49" s="257"/>
      <c r="N49" s="257"/>
      <c r="O49" s="257"/>
      <c r="P49" s="257"/>
      <c r="Q49" s="257"/>
      <c r="R49" s="257"/>
      <c r="S49" s="257"/>
      <c r="T49" s="257"/>
      <c r="U49" s="257"/>
      <c r="V49" s="257"/>
      <c r="W49" s="257"/>
      <c r="X49" s="258"/>
      <c r="Z49" s="249"/>
      <c r="AA49" s="250"/>
      <c r="AB49" s="250"/>
      <c r="AC49" s="250"/>
      <c r="AD49" s="250"/>
      <c r="AE49" s="250"/>
      <c r="AF49" s="250"/>
      <c r="AG49" s="250"/>
      <c r="AH49" s="250"/>
      <c r="AI49" s="250"/>
      <c r="AJ49" s="250"/>
      <c r="AK49" s="250"/>
      <c r="AL49" s="250"/>
      <c r="AM49" s="250"/>
      <c r="AN49" s="250"/>
      <c r="AO49" s="250"/>
      <c r="AP49" s="250"/>
      <c r="AQ49" s="250"/>
      <c r="AR49" s="250"/>
      <c r="AS49" s="250"/>
      <c r="AT49" s="251"/>
      <c r="AV49" s="252">
        <f t="shared" si="4"/>
        <v>0</v>
      </c>
      <c r="AW49" s="220">
        <f t="shared" si="5"/>
        <v>0</v>
      </c>
      <c r="AX49" s="220">
        <f t="shared" si="6"/>
        <v>0</v>
      </c>
      <c r="AY49" s="220">
        <f t="shared" si="7"/>
        <v>0</v>
      </c>
      <c r="AZ49" s="220">
        <f t="shared" si="8"/>
        <v>0</v>
      </c>
      <c r="BA49" s="220">
        <f t="shared" si="9"/>
        <v>0</v>
      </c>
      <c r="BB49" s="220">
        <f t="shared" si="10"/>
        <v>0</v>
      </c>
      <c r="BC49" s="220">
        <f t="shared" si="11"/>
        <v>0</v>
      </c>
      <c r="BD49" s="220">
        <f t="shared" si="12"/>
        <v>0</v>
      </c>
      <c r="BE49" s="220">
        <f t="shared" si="13"/>
        <v>0</v>
      </c>
      <c r="BF49" s="220">
        <f t="shared" si="14"/>
        <v>0</v>
      </c>
      <c r="BG49" s="220">
        <f t="shared" si="15"/>
        <v>0</v>
      </c>
      <c r="BH49" s="220">
        <f t="shared" si="16"/>
        <v>0</v>
      </c>
      <c r="BI49" s="253">
        <f t="shared" si="17"/>
        <v>0</v>
      </c>
      <c r="BJ49" s="253">
        <f t="shared" si="18"/>
        <v>0</v>
      </c>
      <c r="BK49" s="253">
        <f t="shared" si="19"/>
        <v>0</v>
      </c>
      <c r="BL49" s="253">
        <f t="shared" si="20"/>
        <v>0</v>
      </c>
      <c r="BM49" s="253">
        <f t="shared" si="21"/>
        <v>0</v>
      </c>
      <c r="BN49" s="253">
        <f t="shared" si="22"/>
        <v>0</v>
      </c>
      <c r="BO49" s="253">
        <f t="shared" si="23"/>
        <v>0</v>
      </c>
      <c r="BP49" s="253">
        <f t="shared" si="24"/>
        <v>0</v>
      </c>
      <c r="BQ49" s="254">
        <f t="shared" si="25"/>
        <v>0</v>
      </c>
    </row>
    <row r="50" spans="2:69" x14ac:dyDescent="0.2">
      <c r="B50" s="234"/>
      <c r="D50" s="255"/>
      <c r="E50" s="256"/>
      <c r="F50" s="256"/>
      <c r="G50" s="256"/>
      <c r="H50" s="256"/>
      <c r="I50" s="256"/>
      <c r="J50" s="256"/>
      <c r="K50" s="256"/>
      <c r="L50" s="256"/>
      <c r="M50" s="257"/>
      <c r="N50" s="257"/>
      <c r="O50" s="257"/>
      <c r="P50" s="257"/>
      <c r="Q50" s="257"/>
      <c r="R50" s="257"/>
      <c r="S50" s="257"/>
      <c r="T50" s="257"/>
      <c r="U50" s="257"/>
      <c r="V50" s="257"/>
      <c r="W50" s="257"/>
      <c r="X50" s="258"/>
      <c r="Z50" s="249"/>
      <c r="AA50" s="250"/>
      <c r="AB50" s="250"/>
      <c r="AC50" s="250"/>
      <c r="AD50" s="250"/>
      <c r="AE50" s="250"/>
      <c r="AF50" s="250"/>
      <c r="AG50" s="250"/>
      <c r="AH50" s="250"/>
      <c r="AI50" s="250"/>
      <c r="AJ50" s="250"/>
      <c r="AK50" s="250"/>
      <c r="AL50" s="250"/>
      <c r="AM50" s="250"/>
      <c r="AN50" s="250"/>
      <c r="AO50" s="250"/>
      <c r="AP50" s="250"/>
      <c r="AQ50" s="250"/>
      <c r="AR50" s="250"/>
      <c r="AS50" s="250"/>
      <c r="AT50" s="251"/>
      <c r="AV50" s="252">
        <f t="shared" si="4"/>
        <v>0</v>
      </c>
      <c r="AW50" s="220">
        <f t="shared" si="5"/>
        <v>0</v>
      </c>
      <c r="AX50" s="220">
        <f t="shared" si="6"/>
        <v>0</v>
      </c>
      <c r="AY50" s="220">
        <f t="shared" si="7"/>
        <v>0</v>
      </c>
      <c r="AZ50" s="220">
        <f t="shared" si="8"/>
        <v>0</v>
      </c>
      <c r="BA50" s="220">
        <f t="shared" si="9"/>
        <v>0</v>
      </c>
      <c r="BB50" s="220">
        <f t="shared" si="10"/>
        <v>0</v>
      </c>
      <c r="BC50" s="220">
        <f t="shared" si="11"/>
        <v>0</v>
      </c>
      <c r="BD50" s="220">
        <f t="shared" si="12"/>
        <v>0</v>
      </c>
      <c r="BE50" s="220">
        <f t="shared" si="13"/>
        <v>0</v>
      </c>
      <c r="BF50" s="220">
        <f t="shared" si="14"/>
        <v>0</v>
      </c>
      <c r="BG50" s="220">
        <f t="shared" si="15"/>
        <v>0</v>
      </c>
      <c r="BH50" s="220">
        <f t="shared" si="16"/>
        <v>0</v>
      </c>
      <c r="BI50" s="253">
        <f t="shared" si="17"/>
        <v>0</v>
      </c>
      <c r="BJ50" s="253">
        <f t="shared" si="18"/>
        <v>0</v>
      </c>
      <c r="BK50" s="253">
        <f t="shared" si="19"/>
        <v>0</v>
      </c>
      <c r="BL50" s="253">
        <f t="shared" si="20"/>
        <v>0</v>
      </c>
      <c r="BM50" s="253">
        <f t="shared" si="21"/>
        <v>0</v>
      </c>
      <c r="BN50" s="253">
        <f t="shared" si="22"/>
        <v>0</v>
      </c>
      <c r="BO50" s="253">
        <f t="shared" si="23"/>
        <v>0</v>
      </c>
      <c r="BP50" s="253">
        <f t="shared" si="24"/>
        <v>0</v>
      </c>
      <c r="BQ50" s="254">
        <f t="shared" si="25"/>
        <v>0</v>
      </c>
    </row>
    <row r="51" spans="2:69" x14ac:dyDescent="0.2">
      <c r="B51" s="234"/>
      <c r="D51" s="255"/>
      <c r="E51" s="256"/>
      <c r="F51" s="256"/>
      <c r="G51" s="256"/>
      <c r="H51" s="256"/>
      <c r="I51" s="256"/>
      <c r="J51" s="256"/>
      <c r="K51" s="256"/>
      <c r="L51" s="256"/>
      <c r="M51" s="257"/>
      <c r="N51" s="257"/>
      <c r="O51" s="257"/>
      <c r="P51" s="257"/>
      <c r="Q51" s="257"/>
      <c r="R51" s="257"/>
      <c r="S51" s="257"/>
      <c r="T51" s="257"/>
      <c r="U51" s="257"/>
      <c r="V51" s="257"/>
      <c r="W51" s="257"/>
      <c r="X51" s="258"/>
      <c r="Z51" s="249"/>
      <c r="AA51" s="250"/>
      <c r="AB51" s="250"/>
      <c r="AC51" s="250"/>
      <c r="AD51" s="250"/>
      <c r="AE51" s="250"/>
      <c r="AF51" s="250"/>
      <c r="AG51" s="250"/>
      <c r="AH51" s="250"/>
      <c r="AI51" s="250"/>
      <c r="AJ51" s="250"/>
      <c r="AK51" s="250"/>
      <c r="AL51" s="250"/>
      <c r="AM51" s="250"/>
      <c r="AN51" s="250"/>
      <c r="AO51" s="250"/>
      <c r="AP51" s="250"/>
      <c r="AQ51" s="250"/>
      <c r="AR51" s="250"/>
      <c r="AS51" s="250"/>
      <c r="AT51" s="251"/>
      <c r="AV51" s="252">
        <f t="shared" si="4"/>
        <v>0</v>
      </c>
      <c r="AW51" s="220">
        <f t="shared" si="5"/>
        <v>0</v>
      </c>
      <c r="AX51" s="220">
        <f t="shared" si="6"/>
        <v>0</v>
      </c>
      <c r="AY51" s="220">
        <f t="shared" si="7"/>
        <v>0</v>
      </c>
      <c r="AZ51" s="220">
        <f t="shared" si="8"/>
        <v>0</v>
      </c>
      <c r="BA51" s="220">
        <f t="shared" si="9"/>
        <v>0</v>
      </c>
      <c r="BB51" s="220">
        <f t="shared" si="10"/>
        <v>0</v>
      </c>
      <c r="BC51" s="220">
        <f t="shared" si="11"/>
        <v>0</v>
      </c>
      <c r="BD51" s="220">
        <f t="shared" si="12"/>
        <v>0</v>
      </c>
      <c r="BE51" s="220">
        <f t="shared" si="13"/>
        <v>0</v>
      </c>
      <c r="BF51" s="220">
        <f t="shared" si="14"/>
        <v>0</v>
      </c>
      <c r="BG51" s="220">
        <f t="shared" si="15"/>
        <v>0</v>
      </c>
      <c r="BH51" s="220">
        <f t="shared" si="16"/>
        <v>0</v>
      </c>
      <c r="BI51" s="253">
        <f t="shared" si="17"/>
        <v>0</v>
      </c>
      <c r="BJ51" s="253">
        <f t="shared" si="18"/>
        <v>0</v>
      </c>
      <c r="BK51" s="253">
        <f t="shared" si="19"/>
        <v>0</v>
      </c>
      <c r="BL51" s="253">
        <f t="shared" si="20"/>
        <v>0</v>
      </c>
      <c r="BM51" s="253">
        <f t="shared" si="21"/>
        <v>0</v>
      </c>
      <c r="BN51" s="253">
        <f t="shared" si="22"/>
        <v>0</v>
      </c>
      <c r="BO51" s="253">
        <f t="shared" si="23"/>
        <v>0</v>
      </c>
      <c r="BP51" s="253">
        <f t="shared" si="24"/>
        <v>0</v>
      </c>
      <c r="BQ51" s="254">
        <f t="shared" si="25"/>
        <v>0</v>
      </c>
    </row>
    <row r="52" spans="2:69" x14ac:dyDescent="0.2">
      <c r="B52" s="234"/>
      <c r="D52" s="255"/>
      <c r="E52" s="256"/>
      <c r="F52" s="256"/>
      <c r="G52" s="256"/>
      <c r="H52" s="256"/>
      <c r="I52" s="256"/>
      <c r="J52" s="256"/>
      <c r="K52" s="256"/>
      <c r="L52" s="256"/>
      <c r="M52" s="257"/>
      <c r="N52" s="257"/>
      <c r="O52" s="257"/>
      <c r="P52" s="257"/>
      <c r="Q52" s="257"/>
      <c r="R52" s="257"/>
      <c r="S52" s="257"/>
      <c r="T52" s="257"/>
      <c r="U52" s="257"/>
      <c r="V52" s="257"/>
      <c r="W52" s="257"/>
      <c r="X52" s="258"/>
      <c r="Z52" s="249"/>
      <c r="AA52" s="250"/>
      <c r="AB52" s="250"/>
      <c r="AC52" s="250"/>
      <c r="AD52" s="250"/>
      <c r="AE52" s="250"/>
      <c r="AF52" s="250"/>
      <c r="AG52" s="250"/>
      <c r="AH52" s="250"/>
      <c r="AI52" s="250"/>
      <c r="AJ52" s="250"/>
      <c r="AK52" s="250"/>
      <c r="AL52" s="250"/>
      <c r="AM52" s="250"/>
      <c r="AN52" s="250"/>
      <c r="AO52" s="250"/>
      <c r="AP52" s="250"/>
      <c r="AQ52" s="250"/>
      <c r="AR52" s="250"/>
      <c r="AS52" s="250"/>
      <c r="AT52" s="251"/>
      <c r="AV52" s="252">
        <f t="shared" si="4"/>
        <v>0</v>
      </c>
      <c r="AW52" s="220">
        <f t="shared" si="5"/>
        <v>0</v>
      </c>
      <c r="AX52" s="220">
        <f t="shared" si="6"/>
        <v>0</v>
      </c>
      <c r="AY52" s="220">
        <f t="shared" si="7"/>
        <v>0</v>
      </c>
      <c r="AZ52" s="220">
        <f t="shared" si="8"/>
        <v>0</v>
      </c>
      <c r="BA52" s="220">
        <f t="shared" si="9"/>
        <v>0</v>
      </c>
      <c r="BB52" s="220">
        <f t="shared" si="10"/>
        <v>0</v>
      </c>
      <c r="BC52" s="220">
        <f t="shared" si="11"/>
        <v>0</v>
      </c>
      <c r="BD52" s="220">
        <f t="shared" si="12"/>
        <v>0</v>
      </c>
      <c r="BE52" s="220">
        <f t="shared" si="13"/>
        <v>0</v>
      </c>
      <c r="BF52" s="220">
        <f t="shared" si="14"/>
        <v>0</v>
      </c>
      <c r="BG52" s="220">
        <f t="shared" si="15"/>
        <v>0</v>
      </c>
      <c r="BH52" s="220">
        <f t="shared" si="16"/>
        <v>0</v>
      </c>
      <c r="BI52" s="253">
        <f t="shared" si="17"/>
        <v>0</v>
      </c>
      <c r="BJ52" s="253">
        <f t="shared" si="18"/>
        <v>0</v>
      </c>
      <c r="BK52" s="253">
        <f t="shared" si="19"/>
        <v>0</v>
      </c>
      <c r="BL52" s="253">
        <f t="shared" si="20"/>
        <v>0</v>
      </c>
      <c r="BM52" s="253">
        <f t="shared" si="21"/>
        <v>0</v>
      </c>
      <c r="BN52" s="253">
        <f t="shared" si="22"/>
        <v>0</v>
      </c>
      <c r="BO52" s="253">
        <f t="shared" si="23"/>
        <v>0</v>
      </c>
      <c r="BP52" s="253">
        <f t="shared" si="24"/>
        <v>0</v>
      </c>
      <c r="BQ52" s="254">
        <f t="shared" si="25"/>
        <v>0</v>
      </c>
    </row>
    <row r="53" spans="2:69" x14ac:dyDescent="0.2">
      <c r="B53" s="234"/>
      <c r="D53" s="255"/>
      <c r="E53" s="256"/>
      <c r="F53" s="256"/>
      <c r="G53" s="256"/>
      <c r="H53" s="256"/>
      <c r="I53" s="256"/>
      <c r="J53" s="256"/>
      <c r="K53" s="256"/>
      <c r="L53" s="256"/>
      <c r="M53" s="257"/>
      <c r="N53" s="257"/>
      <c r="O53" s="257"/>
      <c r="P53" s="257"/>
      <c r="Q53" s="257"/>
      <c r="R53" s="257"/>
      <c r="S53" s="257"/>
      <c r="T53" s="257"/>
      <c r="U53" s="257"/>
      <c r="V53" s="257"/>
      <c r="W53" s="257"/>
      <c r="X53" s="258"/>
      <c r="Z53" s="249"/>
      <c r="AA53" s="250"/>
      <c r="AB53" s="250"/>
      <c r="AC53" s="250"/>
      <c r="AD53" s="250"/>
      <c r="AE53" s="250"/>
      <c r="AF53" s="250"/>
      <c r="AG53" s="250"/>
      <c r="AH53" s="250"/>
      <c r="AI53" s="250"/>
      <c r="AJ53" s="250"/>
      <c r="AK53" s="250"/>
      <c r="AL53" s="250"/>
      <c r="AM53" s="250"/>
      <c r="AN53" s="250"/>
      <c r="AO53" s="250"/>
      <c r="AP53" s="250"/>
      <c r="AQ53" s="250"/>
      <c r="AR53" s="250"/>
      <c r="AS53" s="250"/>
      <c r="AT53" s="251"/>
      <c r="AV53" s="252">
        <f t="shared" si="4"/>
        <v>0</v>
      </c>
      <c r="AW53" s="220">
        <f t="shared" si="5"/>
        <v>0</v>
      </c>
      <c r="AX53" s="220">
        <f t="shared" si="6"/>
        <v>0</v>
      </c>
      <c r="AY53" s="220">
        <f t="shared" si="7"/>
        <v>0</v>
      </c>
      <c r="AZ53" s="220">
        <f t="shared" si="8"/>
        <v>0</v>
      </c>
      <c r="BA53" s="220">
        <f t="shared" si="9"/>
        <v>0</v>
      </c>
      <c r="BB53" s="220">
        <f t="shared" si="10"/>
        <v>0</v>
      </c>
      <c r="BC53" s="220">
        <f t="shared" si="11"/>
        <v>0</v>
      </c>
      <c r="BD53" s="220">
        <f t="shared" si="12"/>
        <v>0</v>
      </c>
      <c r="BE53" s="220">
        <f t="shared" si="13"/>
        <v>0</v>
      </c>
      <c r="BF53" s="220">
        <f t="shared" si="14"/>
        <v>0</v>
      </c>
      <c r="BG53" s="220">
        <f t="shared" si="15"/>
        <v>0</v>
      </c>
      <c r="BH53" s="220">
        <f t="shared" si="16"/>
        <v>0</v>
      </c>
      <c r="BI53" s="253">
        <f t="shared" si="17"/>
        <v>0</v>
      </c>
      <c r="BJ53" s="253">
        <f t="shared" si="18"/>
        <v>0</v>
      </c>
      <c r="BK53" s="253">
        <f t="shared" si="19"/>
        <v>0</v>
      </c>
      <c r="BL53" s="253">
        <f t="shared" si="20"/>
        <v>0</v>
      </c>
      <c r="BM53" s="253">
        <f t="shared" si="21"/>
        <v>0</v>
      </c>
      <c r="BN53" s="253">
        <f t="shared" si="22"/>
        <v>0</v>
      </c>
      <c r="BO53" s="253">
        <f t="shared" si="23"/>
        <v>0</v>
      </c>
      <c r="BP53" s="253">
        <f t="shared" si="24"/>
        <v>0</v>
      </c>
      <c r="BQ53" s="254">
        <f t="shared" si="25"/>
        <v>0</v>
      </c>
    </row>
    <row r="54" spans="2:69" x14ac:dyDescent="0.2">
      <c r="B54" s="234"/>
      <c r="D54" s="255"/>
      <c r="E54" s="256"/>
      <c r="F54" s="256"/>
      <c r="G54" s="256"/>
      <c r="H54" s="256"/>
      <c r="I54" s="256"/>
      <c r="J54" s="256"/>
      <c r="K54" s="256"/>
      <c r="L54" s="256"/>
      <c r="M54" s="257"/>
      <c r="N54" s="257"/>
      <c r="O54" s="257"/>
      <c r="P54" s="257"/>
      <c r="Q54" s="257"/>
      <c r="R54" s="257"/>
      <c r="S54" s="257"/>
      <c r="T54" s="257"/>
      <c r="U54" s="257"/>
      <c r="V54" s="257"/>
      <c r="W54" s="257"/>
      <c r="X54" s="258"/>
      <c r="Z54" s="249"/>
      <c r="AA54" s="250"/>
      <c r="AB54" s="250"/>
      <c r="AC54" s="250"/>
      <c r="AD54" s="250"/>
      <c r="AE54" s="250"/>
      <c r="AF54" s="250"/>
      <c r="AG54" s="250"/>
      <c r="AH54" s="250"/>
      <c r="AI54" s="250"/>
      <c r="AJ54" s="250"/>
      <c r="AK54" s="250"/>
      <c r="AL54" s="250"/>
      <c r="AM54" s="250"/>
      <c r="AN54" s="250"/>
      <c r="AO54" s="250"/>
      <c r="AP54" s="250"/>
      <c r="AQ54" s="250"/>
      <c r="AR54" s="250"/>
      <c r="AS54" s="250"/>
      <c r="AT54" s="251"/>
      <c r="AV54" s="252">
        <f t="shared" si="4"/>
        <v>0</v>
      </c>
      <c r="AW54" s="220">
        <f t="shared" si="5"/>
        <v>0</v>
      </c>
      <c r="AX54" s="220">
        <f t="shared" si="6"/>
        <v>0</v>
      </c>
      <c r="AY54" s="220">
        <f t="shared" si="7"/>
        <v>0</v>
      </c>
      <c r="AZ54" s="220">
        <f t="shared" si="8"/>
        <v>0</v>
      </c>
      <c r="BA54" s="220">
        <f t="shared" si="9"/>
        <v>0</v>
      </c>
      <c r="BB54" s="220">
        <f t="shared" si="10"/>
        <v>0</v>
      </c>
      <c r="BC54" s="220">
        <f t="shared" si="11"/>
        <v>0</v>
      </c>
      <c r="BD54" s="220">
        <f t="shared" si="12"/>
        <v>0</v>
      </c>
      <c r="BE54" s="220">
        <f t="shared" si="13"/>
        <v>0</v>
      </c>
      <c r="BF54" s="220">
        <f t="shared" si="14"/>
        <v>0</v>
      </c>
      <c r="BG54" s="220">
        <f t="shared" si="15"/>
        <v>0</v>
      </c>
      <c r="BH54" s="220">
        <f t="shared" si="16"/>
        <v>0</v>
      </c>
      <c r="BI54" s="253">
        <f t="shared" si="17"/>
        <v>0</v>
      </c>
      <c r="BJ54" s="253">
        <f t="shared" si="18"/>
        <v>0</v>
      </c>
      <c r="BK54" s="253">
        <f t="shared" si="19"/>
        <v>0</v>
      </c>
      <c r="BL54" s="253">
        <f t="shared" si="20"/>
        <v>0</v>
      </c>
      <c r="BM54" s="253">
        <f t="shared" si="21"/>
        <v>0</v>
      </c>
      <c r="BN54" s="253">
        <f t="shared" si="22"/>
        <v>0</v>
      </c>
      <c r="BO54" s="253">
        <f t="shared" si="23"/>
        <v>0</v>
      </c>
      <c r="BP54" s="253">
        <f t="shared" si="24"/>
        <v>0</v>
      </c>
      <c r="BQ54" s="254">
        <f t="shared" si="25"/>
        <v>0</v>
      </c>
    </row>
    <row r="55" spans="2:69" x14ac:dyDescent="0.2">
      <c r="B55" s="234"/>
      <c r="D55" s="255"/>
      <c r="E55" s="256"/>
      <c r="F55" s="256"/>
      <c r="G55" s="256"/>
      <c r="H55" s="256"/>
      <c r="I55" s="256"/>
      <c r="J55" s="256"/>
      <c r="K55" s="256"/>
      <c r="L55" s="256"/>
      <c r="M55" s="257"/>
      <c r="N55" s="257"/>
      <c r="O55" s="257"/>
      <c r="P55" s="257"/>
      <c r="Q55" s="257"/>
      <c r="R55" s="257"/>
      <c r="S55" s="257"/>
      <c r="T55" s="257"/>
      <c r="U55" s="257"/>
      <c r="V55" s="257"/>
      <c r="W55" s="257"/>
      <c r="X55" s="258"/>
      <c r="Z55" s="249"/>
      <c r="AA55" s="250"/>
      <c r="AB55" s="250"/>
      <c r="AC55" s="250"/>
      <c r="AD55" s="250"/>
      <c r="AE55" s="250"/>
      <c r="AF55" s="250"/>
      <c r="AG55" s="250"/>
      <c r="AH55" s="250"/>
      <c r="AI55" s="250"/>
      <c r="AJ55" s="250"/>
      <c r="AK55" s="250"/>
      <c r="AL55" s="250"/>
      <c r="AM55" s="250"/>
      <c r="AN55" s="250"/>
      <c r="AO55" s="250"/>
      <c r="AP55" s="250"/>
      <c r="AQ55" s="250"/>
      <c r="AR55" s="250"/>
      <c r="AS55" s="250"/>
      <c r="AT55" s="251"/>
      <c r="AV55" s="252">
        <f t="shared" si="4"/>
        <v>0</v>
      </c>
      <c r="AW55" s="220">
        <f t="shared" si="5"/>
        <v>0</v>
      </c>
      <c r="AX55" s="220">
        <f t="shared" si="6"/>
        <v>0</v>
      </c>
      <c r="AY55" s="220">
        <f t="shared" si="7"/>
        <v>0</v>
      </c>
      <c r="AZ55" s="220">
        <f t="shared" si="8"/>
        <v>0</v>
      </c>
      <c r="BA55" s="220">
        <f t="shared" si="9"/>
        <v>0</v>
      </c>
      <c r="BB55" s="220">
        <f t="shared" si="10"/>
        <v>0</v>
      </c>
      <c r="BC55" s="220">
        <f t="shared" si="11"/>
        <v>0</v>
      </c>
      <c r="BD55" s="220">
        <f t="shared" si="12"/>
        <v>0</v>
      </c>
      <c r="BE55" s="220">
        <f t="shared" si="13"/>
        <v>0</v>
      </c>
      <c r="BF55" s="220">
        <f t="shared" si="14"/>
        <v>0</v>
      </c>
      <c r="BG55" s="220">
        <f t="shared" si="15"/>
        <v>0</v>
      </c>
      <c r="BH55" s="220">
        <f t="shared" si="16"/>
        <v>0</v>
      </c>
      <c r="BI55" s="253">
        <f t="shared" si="17"/>
        <v>0</v>
      </c>
      <c r="BJ55" s="253">
        <f t="shared" si="18"/>
        <v>0</v>
      </c>
      <c r="BK55" s="253">
        <f t="shared" si="19"/>
        <v>0</v>
      </c>
      <c r="BL55" s="253">
        <f t="shared" si="20"/>
        <v>0</v>
      </c>
      <c r="BM55" s="253">
        <f t="shared" si="21"/>
        <v>0</v>
      </c>
      <c r="BN55" s="253">
        <f t="shared" si="22"/>
        <v>0</v>
      </c>
      <c r="BO55" s="253">
        <f t="shared" si="23"/>
        <v>0</v>
      </c>
      <c r="BP55" s="253">
        <f t="shared" si="24"/>
        <v>0</v>
      </c>
      <c r="BQ55" s="254">
        <f t="shared" si="25"/>
        <v>0</v>
      </c>
    </row>
    <row r="56" spans="2:69" x14ac:dyDescent="0.2">
      <c r="B56" s="234"/>
      <c r="D56" s="255"/>
      <c r="E56" s="256"/>
      <c r="F56" s="256"/>
      <c r="G56" s="256"/>
      <c r="H56" s="256"/>
      <c r="I56" s="256"/>
      <c r="J56" s="256"/>
      <c r="K56" s="256"/>
      <c r="L56" s="256"/>
      <c r="M56" s="257"/>
      <c r="N56" s="257"/>
      <c r="O56" s="257"/>
      <c r="P56" s="257"/>
      <c r="Q56" s="257"/>
      <c r="R56" s="257"/>
      <c r="S56" s="257"/>
      <c r="T56" s="257"/>
      <c r="U56" s="257"/>
      <c r="V56" s="257"/>
      <c r="W56" s="257"/>
      <c r="X56" s="258"/>
      <c r="Z56" s="249"/>
      <c r="AA56" s="250"/>
      <c r="AB56" s="250"/>
      <c r="AC56" s="250"/>
      <c r="AD56" s="250"/>
      <c r="AE56" s="250"/>
      <c r="AF56" s="250"/>
      <c r="AG56" s="250"/>
      <c r="AH56" s="250"/>
      <c r="AI56" s="250"/>
      <c r="AJ56" s="250"/>
      <c r="AK56" s="250"/>
      <c r="AL56" s="250"/>
      <c r="AM56" s="250"/>
      <c r="AN56" s="250"/>
      <c r="AO56" s="250"/>
      <c r="AP56" s="250"/>
      <c r="AQ56" s="250"/>
      <c r="AR56" s="250"/>
      <c r="AS56" s="250"/>
      <c r="AT56" s="251"/>
      <c r="AV56" s="252">
        <f t="shared" si="4"/>
        <v>0</v>
      </c>
      <c r="AW56" s="220">
        <f t="shared" si="5"/>
        <v>0</v>
      </c>
      <c r="AX56" s="220">
        <f t="shared" si="6"/>
        <v>0</v>
      </c>
      <c r="AY56" s="220">
        <f t="shared" si="7"/>
        <v>0</v>
      </c>
      <c r="AZ56" s="220">
        <f t="shared" si="8"/>
        <v>0</v>
      </c>
      <c r="BA56" s="220">
        <f t="shared" si="9"/>
        <v>0</v>
      </c>
      <c r="BB56" s="220">
        <f t="shared" si="10"/>
        <v>0</v>
      </c>
      <c r="BC56" s="220">
        <f t="shared" si="11"/>
        <v>0</v>
      </c>
      <c r="BD56" s="220">
        <f t="shared" si="12"/>
        <v>0</v>
      </c>
      <c r="BE56" s="220">
        <f t="shared" si="13"/>
        <v>0</v>
      </c>
      <c r="BF56" s="220">
        <f t="shared" si="14"/>
        <v>0</v>
      </c>
      <c r="BG56" s="220">
        <f t="shared" si="15"/>
        <v>0</v>
      </c>
      <c r="BH56" s="220">
        <f t="shared" si="16"/>
        <v>0</v>
      </c>
      <c r="BI56" s="253">
        <f t="shared" si="17"/>
        <v>0</v>
      </c>
      <c r="BJ56" s="253">
        <f t="shared" si="18"/>
        <v>0</v>
      </c>
      <c r="BK56" s="253">
        <f t="shared" si="19"/>
        <v>0</v>
      </c>
      <c r="BL56" s="253">
        <f t="shared" si="20"/>
        <v>0</v>
      </c>
      <c r="BM56" s="253">
        <f t="shared" si="21"/>
        <v>0</v>
      </c>
      <c r="BN56" s="253">
        <f t="shared" si="22"/>
        <v>0</v>
      </c>
      <c r="BO56" s="253">
        <f t="shared" si="23"/>
        <v>0</v>
      </c>
      <c r="BP56" s="253">
        <f t="shared" si="24"/>
        <v>0</v>
      </c>
      <c r="BQ56" s="254">
        <f t="shared" si="25"/>
        <v>0</v>
      </c>
    </row>
    <row r="57" spans="2:69" x14ac:dyDescent="0.2">
      <c r="B57" s="234"/>
      <c r="D57" s="255"/>
      <c r="E57" s="256"/>
      <c r="F57" s="256"/>
      <c r="G57" s="256"/>
      <c r="H57" s="256"/>
      <c r="I57" s="256"/>
      <c r="J57" s="256"/>
      <c r="K57" s="256"/>
      <c r="L57" s="256"/>
      <c r="M57" s="257"/>
      <c r="N57" s="257"/>
      <c r="O57" s="257"/>
      <c r="P57" s="257"/>
      <c r="Q57" s="257"/>
      <c r="R57" s="257"/>
      <c r="S57" s="257"/>
      <c r="T57" s="257"/>
      <c r="U57" s="257"/>
      <c r="V57" s="257"/>
      <c r="W57" s="257"/>
      <c r="X57" s="258"/>
      <c r="Z57" s="249"/>
      <c r="AA57" s="250"/>
      <c r="AB57" s="250"/>
      <c r="AC57" s="250"/>
      <c r="AD57" s="250"/>
      <c r="AE57" s="250"/>
      <c r="AF57" s="250"/>
      <c r="AG57" s="250"/>
      <c r="AH57" s="250"/>
      <c r="AI57" s="250"/>
      <c r="AJ57" s="250"/>
      <c r="AK57" s="250"/>
      <c r="AL57" s="250"/>
      <c r="AM57" s="250"/>
      <c r="AN57" s="250"/>
      <c r="AO57" s="250"/>
      <c r="AP57" s="250"/>
      <c r="AQ57" s="250"/>
      <c r="AR57" s="250"/>
      <c r="AS57" s="250"/>
      <c r="AT57" s="251"/>
      <c r="AV57" s="252">
        <f t="shared" si="4"/>
        <v>0</v>
      </c>
      <c r="AW57" s="220">
        <f t="shared" si="5"/>
        <v>0</v>
      </c>
      <c r="AX57" s="220">
        <f t="shared" si="6"/>
        <v>0</v>
      </c>
      <c r="AY57" s="220">
        <f t="shared" si="7"/>
        <v>0</v>
      </c>
      <c r="AZ57" s="220">
        <f t="shared" si="8"/>
        <v>0</v>
      </c>
      <c r="BA57" s="220">
        <f t="shared" si="9"/>
        <v>0</v>
      </c>
      <c r="BB57" s="220">
        <f t="shared" si="10"/>
        <v>0</v>
      </c>
      <c r="BC57" s="220">
        <f t="shared" si="11"/>
        <v>0</v>
      </c>
      <c r="BD57" s="220">
        <f t="shared" si="12"/>
        <v>0</v>
      </c>
      <c r="BE57" s="220">
        <f t="shared" si="13"/>
        <v>0</v>
      </c>
      <c r="BF57" s="220">
        <f t="shared" si="14"/>
        <v>0</v>
      </c>
      <c r="BG57" s="220">
        <f t="shared" si="15"/>
        <v>0</v>
      </c>
      <c r="BH57" s="220">
        <f t="shared" si="16"/>
        <v>0</v>
      </c>
      <c r="BI57" s="253">
        <f t="shared" si="17"/>
        <v>0</v>
      </c>
      <c r="BJ57" s="253">
        <f t="shared" si="18"/>
        <v>0</v>
      </c>
      <c r="BK57" s="253">
        <f t="shared" si="19"/>
        <v>0</v>
      </c>
      <c r="BL57" s="253">
        <f t="shared" si="20"/>
        <v>0</v>
      </c>
      <c r="BM57" s="253">
        <f t="shared" si="21"/>
        <v>0</v>
      </c>
      <c r="BN57" s="253">
        <f t="shared" si="22"/>
        <v>0</v>
      </c>
      <c r="BO57" s="253">
        <f t="shared" si="23"/>
        <v>0</v>
      </c>
      <c r="BP57" s="253">
        <f t="shared" si="24"/>
        <v>0</v>
      </c>
      <c r="BQ57" s="254">
        <f t="shared" si="25"/>
        <v>0</v>
      </c>
    </row>
    <row r="58" spans="2:69" x14ac:dyDescent="0.2">
      <c r="B58" s="234"/>
      <c r="D58" s="255"/>
      <c r="E58" s="256"/>
      <c r="F58" s="256"/>
      <c r="G58" s="256"/>
      <c r="H58" s="256"/>
      <c r="I58" s="256"/>
      <c r="J58" s="256"/>
      <c r="K58" s="256"/>
      <c r="L58" s="256"/>
      <c r="M58" s="257"/>
      <c r="N58" s="257"/>
      <c r="O58" s="257"/>
      <c r="P58" s="257"/>
      <c r="Q58" s="257"/>
      <c r="R58" s="257"/>
      <c r="S58" s="257"/>
      <c r="T58" s="257"/>
      <c r="U58" s="257"/>
      <c r="V58" s="257"/>
      <c r="W58" s="257"/>
      <c r="X58" s="258"/>
      <c r="Z58" s="249"/>
      <c r="AA58" s="250"/>
      <c r="AB58" s="250"/>
      <c r="AC58" s="250"/>
      <c r="AD58" s="250"/>
      <c r="AE58" s="250"/>
      <c r="AF58" s="250"/>
      <c r="AG58" s="250"/>
      <c r="AH58" s="250"/>
      <c r="AI58" s="250"/>
      <c r="AJ58" s="250"/>
      <c r="AK58" s="250"/>
      <c r="AL58" s="250"/>
      <c r="AM58" s="250"/>
      <c r="AN58" s="250"/>
      <c r="AO58" s="250"/>
      <c r="AP58" s="250"/>
      <c r="AQ58" s="250"/>
      <c r="AR58" s="250"/>
      <c r="AS58" s="250"/>
      <c r="AT58" s="251"/>
      <c r="AV58" s="252">
        <f t="shared" si="4"/>
        <v>0</v>
      </c>
      <c r="AW58" s="220">
        <f t="shared" si="5"/>
        <v>0</v>
      </c>
      <c r="AX58" s="220">
        <f t="shared" si="6"/>
        <v>0</v>
      </c>
      <c r="AY58" s="220">
        <f t="shared" si="7"/>
        <v>0</v>
      </c>
      <c r="AZ58" s="220">
        <f t="shared" si="8"/>
        <v>0</v>
      </c>
      <c r="BA58" s="220">
        <f t="shared" si="9"/>
        <v>0</v>
      </c>
      <c r="BB58" s="220">
        <f t="shared" si="10"/>
        <v>0</v>
      </c>
      <c r="BC58" s="220">
        <f t="shared" si="11"/>
        <v>0</v>
      </c>
      <c r="BD58" s="220">
        <f t="shared" si="12"/>
        <v>0</v>
      </c>
      <c r="BE58" s="220">
        <f t="shared" si="13"/>
        <v>0</v>
      </c>
      <c r="BF58" s="220">
        <f t="shared" si="14"/>
        <v>0</v>
      </c>
      <c r="BG58" s="220">
        <f t="shared" si="15"/>
        <v>0</v>
      </c>
      <c r="BH58" s="220">
        <f t="shared" si="16"/>
        <v>0</v>
      </c>
      <c r="BI58" s="253">
        <f t="shared" si="17"/>
        <v>0</v>
      </c>
      <c r="BJ58" s="253">
        <f t="shared" si="18"/>
        <v>0</v>
      </c>
      <c r="BK58" s="253">
        <f t="shared" si="19"/>
        <v>0</v>
      </c>
      <c r="BL58" s="253">
        <f t="shared" si="20"/>
        <v>0</v>
      </c>
      <c r="BM58" s="253">
        <f t="shared" si="21"/>
        <v>0</v>
      </c>
      <c r="BN58" s="253">
        <f t="shared" si="22"/>
        <v>0</v>
      </c>
      <c r="BO58" s="253">
        <f t="shared" si="23"/>
        <v>0</v>
      </c>
      <c r="BP58" s="253">
        <f t="shared" si="24"/>
        <v>0</v>
      </c>
      <c r="BQ58" s="254">
        <f t="shared" si="25"/>
        <v>0</v>
      </c>
    </row>
    <row r="59" spans="2:69" x14ac:dyDescent="0.2">
      <c r="B59" s="234"/>
      <c r="D59" s="255"/>
      <c r="E59" s="256"/>
      <c r="F59" s="256"/>
      <c r="G59" s="256"/>
      <c r="H59" s="256"/>
      <c r="I59" s="256"/>
      <c r="J59" s="256"/>
      <c r="K59" s="256"/>
      <c r="L59" s="256"/>
      <c r="M59" s="257"/>
      <c r="N59" s="257"/>
      <c r="O59" s="257"/>
      <c r="P59" s="257"/>
      <c r="Q59" s="257"/>
      <c r="R59" s="257"/>
      <c r="S59" s="257"/>
      <c r="T59" s="257"/>
      <c r="U59" s="257"/>
      <c r="V59" s="257"/>
      <c r="W59" s="257"/>
      <c r="X59" s="258"/>
      <c r="Z59" s="249"/>
      <c r="AA59" s="250"/>
      <c r="AB59" s="250"/>
      <c r="AC59" s="250"/>
      <c r="AD59" s="250"/>
      <c r="AE59" s="250"/>
      <c r="AF59" s="250"/>
      <c r="AG59" s="250"/>
      <c r="AH59" s="250"/>
      <c r="AI59" s="250"/>
      <c r="AJ59" s="250"/>
      <c r="AK59" s="250"/>
      <c r="AL59" s="250"/>
      <c r="AM59" s="250"/>
      <c r="AN59" s="250"/>
      <c r="AO59" s="250"/>
      <c r="AP59" s="250"/>
      <c r="AQ59" s="250"/>
      <c r="AR59" s="250"/>
      <c r="AS59" s="250"/>
      <c r="AT59" s="251"/>
      <c r="AV59" s="252">
        <f t="shared" si="4"/>
        <v>0</v>
      </c>
      <c r="AW59" s="220">
        <f t="shared" si="5"/>
        <v>0</v>
      </c>
      <c r="AX59" s="220">
        <f t="shared" si="6"/>
        <v>0</v>
      </c>
      <c r="AY59" s="220">
        <f t="shared" si="7"/>
        <v>0</v>
      </c>
      <c r="AZ59" s="220">
        <f t="shared" si="8"/>
        <v>0</v>
      </c>
      <c r="BA59" s="220">
        <f t="shared" si="9"/>
        <v>0</v>
      </c>
      <c r="BB59" s="220">
        <f t="shared" si="10"/>
        <v>0</v>
      </c>
      <c r="BC59" s="220">
        <f t="shared" si="11"/>
        <v>0</v>
      </c>
      <c r="BD59" s="220">
        <f t="shared" si="12"/>
        <v>0</v>
      </c>
      <c r="BE59" s="220">
        <f t="shared" si="13"/>
        <v>0</v>
      </c>
      <c r="BF59" s="220">
        <f t="shared" si="14"/>
        <v>0</v>
      </c>
      <c r="BG59" s="220">
        <f t="shared" si="15"/>
        <v>0</v>
      </c>
      <c r="BH59" s="220">
        <f t="shared" si="16"/>
        <v>0</v>
      </c>
      <c r="BI59" s="253">
        <f t="shared" si="17"/>
        <v>0</v>
      </c>
      <c r="BJ59" s="253">
        <f t="shared" si="18"/>
        <v>0</v>
      </c>
      <c r="BK59" s="253">
        <f t="shared" si="19"/>
        <v>0</v>
      </c>
      <c r="BL59" s="253">
        <f t="shared" si="20"/>
        <v>0</v>
      </c>
      <c r="BM59" s="253">
        <f t="shared" si="21"/>
        <v>0</v>
      </c>
      <c r="BN59" s="253">
        <f t="shared" si="22"/>
        <v>0</v>
      </c>
      <c r="BO59" s="253">
        <f t="shared" si="23"/>
        <v>0</v>
      </c>
      <c r="BP59" s="253">
        <f t="shared" si="24"/>
        <v>0</v>
      </c>
      <c r="BQ59" s="254">
        <f t="shared" si="25"/>
        <v>0</v>
      </c>
    </row>
    <row r="60" spans="2:69" x14ac:dyDescent="0.2">
      <c r="B60" s="234"/>
      <c r="D60" s="255"/>
      <c r="E60" s="256"/>
      <c r="F60" s="256"/>
      <c r="G60" s="256"/>
      <c r="H60" s="256"/>
      <c r="I60" s="256"/>
      <c r="J60" s="256"/>
      <c r="K60" s="256"/>
      <c r="L60" s="256"/>
      <c r="M60" s="257"/>
      <c r="N60" s="257"/>
      <c r="O60" s="257"/>
      <c r="P60" s="257"/>
      <c r="Q60" s="257"/>
      <c r="R60" s="257"/>
      <c r="S60" s="257"/>
      <c r="T60" s="257"/>
      <c r="U60" s="257"/>
      <c r="V60" s="257"/>
      <c r="W60" s="257"/>
      <c r="X60" s="258"/>
      <c r="Z60" s="249"/>
      <c r="AA60" s="250"/>
      <c r="AB60" s="250"/>
      <c r="AC60" s="250"/>
      <c r="AD60" s="250"/>
      <c r="AE60" s="250"/>
      <c r="AF60" s="250"/>
      <c r="AG60" s="250"/>
      <c r="AH60" s="250"/>
      <c r="AI60" s="250"/>
      <c r="AJ60" s="250"/>
      <c r="AK60" s="250"/>
      <c r="AL60" s="250"/>
      <c r="AM60" s="250"/>
      <c r="AN60" s="250"/>
      <c r="AO60" s="250"/>
      <c r="AP60" s="250"/>
      <c r="AQ60" s="250"/>
      <c r="AR60" s="250"/>
      <c r="AS60" s="250"/>
      <c r="AT60" s="251"/>
      <c r="AV60" s="252">
        <f t="shared" si="4"/>
        <v>0</v>
      </c>
      <c r="AW60" s="220">
        <f t="shared" si="5"/>
        <v>0</v>
      </c>
      <c r="AX60" s="220">
        <f t="shared" si="6"/>
        <v>0</v>
      </c>
      <c r="AY60" s="220">
        <f t="shared" si="7"/>
        <v>0</v>
      </c>
      <c r="AZ60" s="220">
        <f t="shared" si="8"/>
        <v>0</v>
      </c>
      <c r="BA60" s="220">
        <f t="shared" si="9"/>
        <v>0</v>
      </c>
      <c r="BB60" s="220">
        <f t="shared" si="10"/>
        <v>0</v>
      </c>
      <c r="BC60" s="220">
        <f t="shared" si="11"/>
        <v>0</v>
      </c>
      <c r="BD60" s="220">
        <f t="shared" si="12"/>
        <v>0</v>
      </c>
      <c r="BE60" s="220">
        <f t="shared" si="13"/>
        <v>0</v>
      </c>
      <c r="BF60" s="220">
        <f t="shared" si="14"/>
        <v>0</v>
      </c>
      <c r="BG60" s="220">
        <f t="shared" si="15"/>
        <v>0</v>
      </c>
      <c r="BH60" s="220">
        <f t="shared" si="16"/>
        <v>0</v>
      </c>
      <c r="BI60" s="253">
        <f t="shared" si="17"/>
        <v>0</v>
      </c>
      <c r="BJ60" s="253">
        <f t="shared" si="18"/>
        <v>0</v>
      </c>
      <c r="BK60" s="253">
        <f t="shared" si="19"/>
        <v>0</v>
      </c>
      <c r="BL60" s="253">
        <f t="shared" si="20"/>
        <v>0</v>
      </c>
      <c r="BM60" s="253">
        <f t="shared" si="21"/>
        <v>0</v>
      </c>
      <c r="BN60" s="253">
        <f t="shared" si="22"/>
        <v>0</v>
      </c>
      <c r="BO60" s="253">
        <f t="shared" si="23"/>
        <v>0</v>
      </c>
      <c r="BP60" s="253">
        <f t="shared" si="24"/>
        <v>0</v>
      </c>
      <c r="BQ60" s="254">
        <f t="shared" si="25"/>
        <v>0</v>
      </c>
    </row>
    <row r="61" spans="2:69" x14ac:dyDescent="0.2">
      <c r="B61" s="234"/>
      <c r="D61" s="255"/>
      <c r="E61" s="256"/>
      <c r="F61" s="256"/>
      <c r="G61" s="256"/>
      <c r="H61" s="256"/>
      <c r="I61" s="256"/>
      <c r="J61" s="256"/>
      <c r="K61" s="256"/>
      <c r="L61" s="256"/>
      <c r="M61" s="257"/>
      <c r="N61" s="257"/>
      <c r="O61" s="257"/>
      <c r="P61" s="257"/>
      <c r="Q61" s="257"/>
      <c r="R61" s="257"/>
      <c r="S61" s="257"/>
      <c r="T61" s="257"/>
      <c r="U61" s="257"/>
      <c r="V61" s="257"/>
      <c r="W61" s="257"/>
      <c r="X61" s="258"/>
      <c r="Z61" s="249"/>
      <c r="AA61" s="250"/>
      <c r="AB61" s="250"/>
      <c r="AC61" s="250"/>
      <c r="AD61" s="250"/>
      <c r="AE61" s="250"/>
      <c r="AF61" s="250"/>
      <c r="AG61" s="250"/>
      <c r="AH61" s="250"/>
      <c r="AI61" s="250"/>
      <c r="AJ61" s="250"/>
      <c r="AK61" s="250"/>
      <c r="AL61" s="250"/>
      <c r="AM61" s="250"/>
      <c r="AN61" s="250"/>
      <c r="AO61" s="250"/>
      <c r="AP61" s="250"/>
      <c r="AQ61" s="250"/>
      <c r="AR61" s="250"/>
      <c r="AS61" s="250"/>
      <c r="AT61" s="251"/>
      <c r="AV61" s="252">
        <f t="shared" si="4"/>
        <v>0</v>
      </c>
      <c r="AW61" s="220">
        <f t="shared" si="5"/>
        <v>0</v>
      </c>
      <c r="AX61" s="220">
        <f t="shared" si="6"/>
        <v>0</v>
      </c>
      <c r="AY61" s="220">
        <f t="shared" si="7"/>
        <v>0</v>
      </c>
      <c r="AZ61" s="220">
        <f t="shared" si="8"/>
        <v>0</v>
      </c>
      <c r="BA61" s="220">
        <f t="shared" si="9"/>
        <v>0</v>
      </c>
      <c r="BB61" s="220">
        <f t="shared" si="10"/>
        <v>0</v>
      </c>
      <c r="BC61" s="220">
        <f t="shared" si="11"/>
        <v>0</v>
      </c>
      <c r="BD61" s="220">
        <f t="shared" si="12"/>
        <v>0</v>
      </c>
      <c r="BE61" s="220">
        <f t="shared" si="13"/>
        <v>0</v>
      </c>
      <c r="BF61" s="220">
        <f t="shared" si="14"/>
        <v>0</v>
      </c>
      <c r="BG61" s="220">
        <f t="shared" si="15"/>
        <v>0</v>
      </c>
      <c r="BH61" s="220">
        <f t="shared" si="16"/>
        <v>0</v>
      </c>
      <c r="BI61" s="253">
        <f t="shared" si="17"/>
        <v>0</v>
      </c>
      <c r="BJ61" s="253">
        <f t="shared" si="18"/>
        <v>0</v>
      </c>
      <c r="BK61" s="253">
        <f t="shared" si="19"/>
        <v>0</v>
      </c>
      <c r="BL61" s="253">
        <f t="shared" si="20"/>
        <v>0</v>
      </c>
      <c r="BM61" s="253">
        <f t="shared" si="21"/>
        <v>0</v>
      </c>
      <c r="BN61" s="253">
        <f t="shared" si="22"/>
        <v>0</v>
      </c>
      <c r="BO61" s="253">
        <f t="shared" si="23"/>
        <v>0</v>
      </c>
      <c r="BP61" s="253">
        <f t="shared" si="24"/>
        <v>0</v>
      </c>
      <c r="BQ61" s="254">
        <f t="shared" si="25"/>
        <v>0</v>
      </c>
    </row>
    <row r="62" spans="2:69" x14ac:dyDescent="0.2">
      <c r="B62" s="234"/>
      <c r="D62" s="255"/>
      <c r="E62" s="256"/>
      <c r="F62" s="256"/>
      <c r="G62" s="256"/>
      <c r="H62" s="256"/>
      <c r="I62" s="256"/>
      <c r="J62" s="256"/>
      <c r="K62" s="256"/>
      <c r="L62" s="256"/>
      <c r="M62" s="257"/>
      <c r="N62" s="257"/>
      <c r="O62" s="257"/>
      <c r="P62" s="257"/>
      <c r="Q62" s="257"/>
      <c r="R62" s="257"/>
      <c r="S62" s="257"/>
      <c r="T62" s="257"/>
      <c r="U62" s="257"/>
      <c r="V62" s="257"/>
      <c r="W62" s="257"/>
      <c r="X62" s="258"/>
      <c r="Z62" s="249"/>
      <c r="AA62" s="250"/>
      <c r="AB62" s="250"/>
      <c r="AC62" s="250"/>
      <c r="AD62" s="250"/>
      <c r="AE62" s="250"/>
      <c r="AF62" s="250"/>
      <c r="AG62" s="250"/>
      <c r="AH62" s="250"/>
      <c r="AI62" s="250"/>
      <c r="AJ62" s="250"/>
      <c r="AK62" s="250"/>
      <c r="AL62" s="250"/>
      <c r="AM62" s="250"/>
      <c r="AN62" s="250"/>
      <c r="AO62" s="250"/>
      <c r="AP62" s="250"/>
      <c r="AQ62" s="250"/>
      <c r="AR62" s="250"/>
      <c r="AS62" s="250"/>
      <c r="AT62" s="251"/>
      <c r="AV62" s="252">
        <f t="shared" si="4"/>
        <v>0</v>
      </c>
      <c r="AW62" s="220">
        <f t="shared" si="5"/>
        <v>0</v>
      </c>
      <c r="AX62" s="220">
        <f t="shared" si="6"/>
        <v>0</v>
      </c>
      <c r="AY62" s="220">
        <f t="shared" si="7"/>
        <v>0</v>
      </c>
      <c r="AZ62" s="220">
        <f t="shared" si="8"/>
        <v>0</v>
      </c>
      <c r="BA62" s="220">
        <f t="shared" si="9"/>
        <v>0</v>
      </c>
      <c r="BB62" s="220">
        <f t="shared" si="10"/>
        <v>0</v>
      </c>
      <c r="BC62" s="220">
        <f t="shared" si="11"/>
        <v>0</v>
      </c>
      <c r="BD62" s="220">
        <f t="shared" si="12"/>
        <v>0</v>
      </c>
      <c r="BE62" s="220">
        <f t="shared" si="13"/>
        <v>0</v>
      </c>
      <c r="BF62" s="220">
        <f t="shared" si="14"/>
        <v>0</v>
      </c>
      <c r="BG62" s="220">
        <f t="shared" si="15"/>
        <v>0</v>
      </c>
      <c r="BH62" s="220">
        <f t="shared" si="16"/>
        <v>0</v>
      </c>
      <c r="BI62" s="253">
        <f t="shared" si="17"/>
        <v>0</v>
      </c>
      <c r="BJ62" s="253">
        <f t="shared" si="18"/>
        <v>0</v>
      </c>
      <c r="BK62" s="253">
        <f t="shared" si="19"/>
        <v>0</v>
      </c>
      <c r="BL62" s="253">
        <f t="shared" si="20"/>
        <v>0</v>
      </c>
      <c r="BM62" s="253">
        <f t="shared" si="21"/>
        <v>0</v>
      </c>
      <c r="BN62" s="253">
        <f t="shared" si="22"/>
        <v>0</v>
      </c>
      <c r="BO62" s="253">
        <f t="shared" si="23"/>
        <v>0</v>
      </c>
      <c r="BP62" s="253">
        <f t="shared" si="24"/>
        <v>0</v>
      </c>
      <c r="BQ62" s="254">
        <f t="shared" si="25"/>
        <v>0</v>
      </c>
    </row>
    <row r="63" spans="2:69" x14ac:dyDescent="0.2">
      <c r="B63" s="234"/>
      <c r="D63" s="255"/>
      <c r="E63" s="256"/>
      <c r="F63" s="256"/>
      <c r="G63" s="256"/>
      <c r="H63" s="256"/>
      <c r="I63" s="256"/>
      <c r="J63" s="256"/>
      <c r="K63" s="256"/>
      <c r="L63" s="256"/>
      <c r="M63" s="257"/>
      <c r="N63" s="257"/>
      <c r="O63" s="257"/>
      <c r="P63" s="257"/>
      <c r="Q63" s="257"/>
      <c r="R63" s="257"/>
      <c r="S63" s="257"/>
      <c r="T63" s="257"/>
      <c r="U63" s="257"/>
      <c r="V63" s="257"/>
      <c r="W63" s="257"/>
      <c r="X63" s="258"/>
      <c r="Z63" s="249"/>
      <c r="AA63" s="250"/>
      <c r="AB63" s="250"/>
      <c r="AC63" s="250"/>
      <c r="AD63" s="250"/>
      <c r="AE63" s="250"/>
      <c r="AF63" s="250"/>
      <c r="AG63" s="250"/>
      <c r="AH63" s="250"/>
      <c r="AI63" s="250"/>
      <c r="AJ63" s="250"/>
      <c r="AK63" s="250"/>
      <c r="AL63" s="250"/>
      <c r="AM63" s="250"/>
      <c r="AN63" s="250"/>
      <c r="AO63" s="250"/>
      <c r="AP63" s="250"/>
      <c r="AQ63" s="250"/>
      <c r="AR63" s="250"/>
      <c r="AS63" s="250"/>
      <c r="AT63" s="251"/>
      <c r="AV63" s="252">
        <f t="shared" si="4"/>
        <v>0</v>
      </c>
      <c r="AW63" s="220">
        <f t="shared" si="5"/>
        <v>0</v>
      </c>
      <c r="AX63" s="220">
        <f t="shared" si="6"/>
        <v>0</v>
      </c>
      <c r="AY63" s="220">
        <f t="shared" si="7"/>
        <v>0</v>
      </c>
      <c r="AZ63" s="220">
        <f t="shared" si="8"/>
        <v>0</v>
      </c>
      <c r="BA63" s="220">
        <f t="shared" si="9"/>
        <v>0</v>
      </c>
      <c r="BB63" s="220">
        <f t="shared" si="10"/>
        <v>0</v>
      </c>
      <c r="BC63" s="220">
        <f t="shared" si="11"/>
        <v>0</v>
      </c>
      <c r="BD63" s="220">
        <f t="shared" si="12"/>
        <v>0</v>
      </c>
      <c r="BE63" s="220">
        <f t="shared" si="13"/>
        <v>0</v>
      </c>
      <c r="BF63" s="220">
        <f t="shared" si="14"/>
        <v>0</v>
      </c>
      <c r="BG63" s="220">
        <f t="shared" si="15"/>
        <v>0</v>
      </c>
      <c r="BH63" s="220">
        <f t="shared" si="16"/>
        <v>0</v>
      </c>
      <c r="BI63" s="253">
        <f t="shared" si="17"/>
        <v>0</v>
      </c>
      <c r="BJ63" s="253">
        <f t="shared" si="18"/>
        <v>0</v>
      </c>
      <c r="BK63" s="253">
        <f t="shared" si="19"/>
        <v>0</v>
      </c>
      <c r="BL63" s="253">
        <f t="shared" si="20"/>
        <v>0</v>
      </c>
      <c r="BM63" s="253">
        <f t="shared" si="21"/>
        <v>0</v>
      </c>
      <c r="BN63" s="253">
        <f t="shared" si="22"/>
        <v>0</v>
      </c>
      <c r="BO63" s="253">
        <f t="shared" si="23"/>
        <v>0</v>
      </c>
      <c r="BP63" s="253">
        <f t="shared" si="24"/>
        <v>0</v>
      </c>
      <c r="BQ63" s="254">
        <f t="shared" si="25"/>
        <v>0</v>
      </c>
    </row>
    <row r="64" spans="2:69" x14ac:dyDescent="0.2">
      <c r="B64" s="234"/>
      <c r="D64" s="255"/>
      <c r="E64" s="256"/>
      <c r="F64" s="256"/>
      <c r="G64" s="256"/>
      <c r="H64" s="256"/>
      <c r="I64" s="256"/>
      <c r="J64" s="256"/>
      <c r="K64" s="256"/>
      <c r="L64" s="256"/>
      <c r="M64" s="257"/>
      <c r="N64" s="257"/>
      <c r="O64" s="257"/>
      <c r="P64" s="257"/>
      <c r="Q64" s="257"/>
      <c r="R64" s="257"/>
      <c r="S64" s="257"/>
      <c r="T64" s="257"/>
      <c r="U64" s="257"/>
      <c r="V64" s="257"/>
      <c r="W64" s="257"/>
      <c r="X64" s="258"/>
      <c r="Z64" s="249"/>
      <c r="AA64" s="250"/>
      <c r="AB64" s="250"/>
      <c r="AC64" s="250"/>
      <c r="AD64" s="250"/>
      <c r="AE64" s="250"/>
      <c r="AF64" s="250"/>
      <c r="AG64" s="250"/>
      <c r="AH64" s="250"/>
      <c r="AI64" s="250"/>
      <c r="AJ64" s="250"/>
      <c r="AK64" s="250"/>
      <c r="AL64" s="250"/>
      <c r="AM64" s="250"/>
      <c r="AN64" s="250"/>
      <c r="AO64" s="250"/>
      <c r="AP64" s="250"/>
      <c r="AQ64" s="250"/>
      <c r="AR64" s="250"/>
      <c r="AS64" s="250"/>
      <c r="AT64" s="251"/>
      <c r="AV64" s="252">
        <f t="shared" si="4"/>
        <v>0</v>
      </c>
      <c r="AW64" s="220">
        <f t="shared" si="5"/>
        <v>0</v>
      </c>
      <c r="AX64" s="220">
        <f t="shared" si="6"/>
        <v>0</v>
      </c>
      <c r="AY64" s="220">
        <f t="shared" si="7"/>
        <v>0</v>
      </c>
      <c r="AZ64" s="220">
        <f t="shared" si="8"/>
        <v>0</v>
      </c>
      <c r="BA64" s="220">
        <f t="shared" si="9"/>
        <v>0</v>
      </c>
      <c r="BB64" s="220">
        <f t="shared" si="10"/>
        <v>0</v>
      </c>
      <c r="BC64" s="220">
        <f t="shared" si="11"/>
        <v>0</v>
      </c>
      <c r="BD64" s="220">
        <f t="shared" si="12"/>
        <v>0</v>
      </c>
      <c r="BE64" s="220">
        <f t="shared" si="13"/>
        <v>0</v>
      </c>
      <c r="BF64" s="220">
        <f t="shared" si="14"/>
        <v>0</v>
      </c>
      <c r="BG64" s="220">
        <f t="shared" si="15"/>
        <v>0</v>
      </c>
      <c r="BH64" s="220">
        <f t="shared" si="16"/>
        <v>0</v>
      </c>
      <c r="BI64" s="253">
        <f t="shared" si="17"/>
        <v>0</v>
      </c>
      <c r="BJ64" s="253">
        <f t="shared" si="18"/>
        <v>0</v>
      </c>
      <c r="BK64" s="253">
        <f t="shared" si="19"/>
        <v>0</v>
      </c>
      <c r="BL64" s="253">
        <f t="shared" si="20"/>
        <v>0</v>
      </c>
      <c r="BM64" s="253">
        <f t="shared" si="21"/>
        <v>0</v>
      </c>
      <c r="BN64" s="253">
        <f t="shared" si="22"/>
        <v>0</v>
      </c>
      <c r="BO64" s="253">
        <f t="shared" si="23"/>
        <v>0</v>
      </c>
      <c r="BP64" s="253">
        <f t="shared" si="24"/>
        <v>0</v>
      </c>
      <c r="BQ64" s="254">
        <f t="shared" si="25"/>
        <v>0</v>
      </c>
    </row>
    <row r="65" spans="2:69" ht="13.5" thickBot="1" x14ac:dyDescent="0.25">
      <c r="B65" s="259"/>
      <c r="D65" s="260"/>
      <c r="E65" s="261"/>
      <c r="F65" s="261"/>
      <c r="G65" s="261"/>
      <c r="H65" s="261"/>
      <c r="I65" s="261"/>
      <c r="J65" s="261"/>
      <c r="K65" s="261"/>
      <c r="L65" s="261"/>
      <c r="M65" s="262"/>
      <c r="N65" s="262"/>
      <c r="O65" s="262"/>
      <c r="P65" s="262"/>
      <c r="Q65" s="262"/>
      <c r="R65" s="262"/>
      <c r="S65" s="262"/>
      <c r="T65" s="262"/>
      <c r="U65" s="262"/>
      <c r="V65" s="262"/>
      <c r="W65" s="262"/>
      <c r="X65" s="263"/>
      <c r="Z65" s="264"/>
      <c r="AA65" s="265"/>
      <c r="AB65" s="265"/>
      <c r="AC65" s="265"/>
      <c r="AD65" s="265"/>
      <c r="AE65" s="265"/>
      <c r="AF65" s="265"/>
      <c r="AG65" s="265"/>
      <c r="AH65" s="265"/>
      <c r="AI65" s="265"/>
      <c r="AJ65" s="265"/>
      <c r="AK65" s="265"/>
      <c r="AL65" s="265"/>
      <c r="AM65" s="265"/>
      <c r="AN65" s="265"/>
      <c r="AO65" s="265"/>
      <c r="AP65" s="265"/>
      <c r="AQ65" s="265"/>
      <c r="AR65" s="265"/>
      <c r="AS65" s="265"/>
      <c r="AT65" s="266"/>
      <c r="AV65" s="267">
        <f t="shared" si="4"/>
        <v>0</v>
      </c>
      <c r="AW65" s="268">
        <f t="shared" si="5"/>
        <v>0</v>
      </c>
      <c r="AX65" s="268">
        <f t="shared" si="6"/>
        <v>0</v>
      </c>
      <c r="AY65" s="268">
        <f t="shared" si="7"/>
        <v>0</v>
      </c>
      <c r="AZ65" s="268">
        <f t="shared" si="8"/>
        <v>0</v>
      </c>
      <c r="BA65" s="268">
        <f t="shared" si="9"/>
        <v>0</v>
      </c>
      <c r="BB65" s="268">
        <f t="shared" si="10"/>
        <v>0</v>
      </c>
      <c r="BC65" s="268">
        <f t="shared" si="11"/>
        <v>0</v>
      </c>
      <c r="BD65" s="268">
        <f t="shared" si="12"/>
        <v>0</v>
      </c>
      <c r="BE65" s="268">
        <f t="shared" si="13"/>
        <v>0</v>
      </c>
      <c r="BF65" s="268">
        <f t="shared" si="14"/>
        <v>0</v>
      </c>
      <c r="BG65" s="268">
        <f t="shared" si="15"/>
        <v>0</v>
      </c>
      <c r="BH65" s="268">
        <f t="shared" si="16"/>
        <v>0</v>
      </c>
      <c r="BI65" s="269">
        <f t="shared" si="17"/>
        <v>0</v>
      </c>
      <c r="BJ65" s="269">
        <f t="shared" si="18"/>
        <v>0</v>
      </c>
      <c r="BK65" s="269">
        <f t="shared" si="19"/>
        <v>0</v>
      </c>
      <c r="BL65" s="269">
        <f t="shared" si="20"/>
        <v>0</v>
      </c>
      <c r="BM65" s="269">
        <f t="shared" si="21"/>
        <v>0</v>
      </c>
      <c r="BN65" s="269">
        <f t="shared" si="22"/>
        <v>0</v>
      </c>
      <c r="BO65" s="269">
        <f t="shared" si="23"/>
        <v>0</v>
      </c>
      <c r="BP65" s="269">
        <f t="shared" si="24"/>
        <v>0</v>
      </c>
      <c r="BQ65" s="270">
        <f t="shared" si="25"/>
        <v>0</v>
      </c>
    </row>
    <row r="66" spans="2:69" ht="13.5" thickBot="1" x14ac:dyDescent="0.25">
      <c r="B66" s="271"/>
      <c r="Z66" s="272">
        <f t="shared" ref="Z66:AT66" si="26">SUM(Z6:Z65)</f>
        <v>365938.91721318808</v>
      </c>
      <c r="AA66" s="272">
        <f t="shared" si="26"/>
        <v>1235940224.1841166</v>
      </c>
      <c r="AB66" s="272">
        <f t="shared" si="26"/>
        <v>2661223693.0817952</v>
      </c>
      <c r="AC66" s="272">
        <f t="shared" si="26"/>
        <v>0</v>
      </c>
      <c r="AD66" s="272">
        <f t="shared" si="26"/>
        <v>0</v>
      </c>
      <c r="AE66" s="272">
        <f t="shared" si="26"/>
        <v>1998672956.8881953</v>
      </c>
      <c r="AF66" s="272">
        <f t="shared" si="26"/>
        <v>0</v>
      </c>
      <c r="AG66" s="272">
        <f t="shared" si="26"/>
        <v>0</v>
      </c>
      <c r="AH66" s="272">
        <f t="shared" si="26"/>
        <v>0</v>
      </c>
      <c r="AI66" s="272">
        <f t="shared" si="26"/>
        <v>946704.44975214661</v>
      </c>
      <c r="AJ66" s="272">
        <f t="shared" si="26"/>
        <v>0</v>
      </c>
      <c r="AK66" s="272">
        <f t="shared" si="26"/>
        <v>1288686.2076889491</v>
      </c>
      <c r="AL66" s="272">
        <f t="shared" si="26"/>
        <v>2176828.85398266</v>
      </c>
      <c r="AM66" s="272">
        <f t="shared" si="26"/>
        <v>278510.92236634385</v>
      </c>
      <c r="AN66" s="272">
        <f t="shared" si="26"/>
        <v>467168.79569337569</v>
      </c>
      <c r="AO66" s="272">
        <f t="shared" si="26"/>
        <v>364966.73287545034</v>
      </c>
      <c r="AP66" s="272">
        <f t="shared" si="26"/>
        <v>0</v>
      </c>
      <c r="AQ66" s="272">
        <f t="shared" si="26"/>
        <v>1013688.2884133384</v>
      </c>
      <c r="AR66" s="272">
        <f t="shared" si="26"/>
        <v>1670241.1883880778</v>
      </c>
      <c r="AS66" s="272">
        <f t="shared" si="26"/>
        <v>1299163.2104853343</v>
      </c>
      <c r="AT66" s="272">
        <f t="shared" si="26"/>
        <v>0</v>
      </c>
      <c r="AV66" s="273">
        <f t="shared" ref="AV66:BQ66" si="27">SUM(AV6:AV65)</f>
        <v>0</v>
      </c>
      <c r="AW66" s="272">
        <f t="shared" si="27"/>
        <v>20759123.535032567</v>
      </c>
      <c r="AX66" s="272">
        <f t="shared" si="27"/>
        <v>37982328.595692351</v>
      </c>
      <c r="AY66" s="272">
        <f t="shared" si="27"/>
        <v>0</v>
      </c>
      <c r="AZ66" s="272">
        <f t="shared" si="27"/>
        <v>0</v>
      </c>
      <c r="BA66" s="272">
        <f t="shared" si="27"/>
        <v>14036912.02635728</v>
      </c>
      <c r="BB66" s="272">
        <f t="shared" si="27"/>
        <v>0</v>
      </c>
      <c r="BC66" s="272">
        <f t="shared" si="27"/>
        <v>0</v>
      </c>
      <c r="BD66" s="272">
        <f t="shared" si="27"/>
        <v>0</v>
      </c>
      <c r="BE66" s="272">
        <f t="shared" si="27"/>
        <v>30088633.102940641</v>
      </c>
      <c r="BF66" s="272">
        <f t="shared" si="27"/>
        <v>0</v>
      </c>
      <c r="BG66" s="272">
        <f t="shared" si="27"/>
        <v>1145173.2626650771</v>
      </c>
      <c r="BH66" s="272">
        <f t="shared" si="27"/>
        <v>964753.45975301741</v>
      </c>
      <c r="BI66" s="272">
        <f t="shared" si="27"/>
        <v>6601.6729261788532</v>
      </c>
      <c r="BJ66" s="272">
        <f t="shared" si="27"/>
        <v>6822.8364544282167</v>
      </c>
      <c r="BK66" s="272">
        <f t="shared" si="27"/>
        <v>2213.3223065281049</v>
      </c>
      <c r="BL66" s="272">
        <f t="shared" si="27"/>
        <v>0</v>
      </c>
      <c r="BM66" s="272">
        <f t="shared" si="27"/>
        <v>23981.069523870567</v>
      </c>
      <c r="BN66" s="272">
        <f t="shared" si="27"/>
        <v>24348.359071460167</v>
      </c>
      <c r="BO66" s="272">
        <f t="shared" si="27"/>
        <v>7782.3737744191276</v>
      </c>
      <c r="BP66" s="272">
        <f t="shared" si="27"/>
        <v>0</v>
      </c>
      <c r="BQ66" s="272">
        <f t="shared" si="27"/>
        <v>105048673.61649781</v>
      </c>
    </row>
    <row r="67" spans="2:69" ht="13.5" thickTop="1" x14ac:dyDescent="0.2">
      <c r="B67" s="271"/>
    </row>
    <row r="68" spans="2:69" x14ac:dyDescent="0.2">
      <c r="B68" s="271"/>
      <c r="BQ68" s="321"/>
    </row>
    <row r="69" spans="2:69" x14ac:dyDescent="0.2">
      <c r="B69" s="271"/>
      <c r="BQ69" s="321"/>
    </row>
    <row r="70" spans="2:69" x14ac:dyDescent="0.2">
      <c r="B70" s="271"/>
    </row>
    <row r="71" spans="2:69" x14ac:dyDescent="0.2">
      <c r="B71" s="271"/>
      <c r="Z71" s="321"/>
      <c r="AA71" s="321"/>
      <c r="AB71" s="321"/>
      <c r="AC71" s="321"/>
      <c r="AD71" s="321"/>
      <c r="AE71" s="321"/>
      <c r="AF71" s="321"/>
      <c r="AG71" s="321"/>
      <c r="AH71" s="321"/>
      <c r="AI71" s="321"/>
      <c r="AJ71" s="321"/>
      <c r="AK71" s="321"/>
      <c r="AL71" s="321"/>
      <c r="AM71" s="321"/>
      <c r="AN71" s="321"/>
      <c r="AO71" s="321"/>
      <c r="AP71" s="321"/>
      <c r="AQ71" s="321"/>
      <c r="AR71" s="321"/>
      <c r="AS71" s="321"/>
      <c r="AT71" s="321"/>
    </row>
    <row r="72" spans="2:69" x14ac:dyDescent="0.2">
      <c r="B72" s="271"/>
    </row>
    <row r="73" spans="2:69" x14ac:dyDescent="0.2">
      <c r="B73" s="271"/>
    </row>
    <row r="74" spans="2:69" x14ac:dyDescent="0.2">
      <c r="B74" s="271"/>
    </row>
    <row r="75" spans="2:69" x14ac:dyDescent="0.2">
      <c r="B75" s="271"/>
    </row>
    <row r="76" spans="2:69" x14ac:dyDescent="0.2">
      <c r="B76" s="271"/>
    </row>
    <row r="77" spans="2:69" x14ac:dyDescent="0.2">
      <c r="B77" s="271"/>
    </row>
    <row r="78" spans="2:69" x14ac:dyDescent="0.2">
      <c r="B78" s="271"/>
    </row>
    <row r="79" spans="2:69" x14ac:dyDescent="0.2">
      <c r="B79" s="271"/>
    </row>
    <row r="80" spans="2:69" x14ac:dyDescent="0.2">
      <c r="B80" s="271"/>
    </row>
    <row r="81" spans="2:2" x14ac:dyDescent="0.2">
      <c r="B81" s="271"/>
    </row>
    <row r="82" spans="2:2" x14ac:dyDescent="0.2">
      <c r="B82" s="271"/>
    </row>
    <row r="83" spans="2:2" x14ac:dyDescent="0.2">
      <c r="B83" s="271"/>
    </row>
    <row r="84" spans="2:2" x14ac:dyDescent="0.2">
      <c r="B84" s="271"/>
    </row>
    <row r="85" spans="2:2" x14ac:dyDescent="0.2">
      <c r="B85" s="271"/>
    </row>
    <row r="86" spans="2:2" x14ac:dyDescent="0.2">
      <c r="B86" s="271"/>
    </row>
    <row r="87" spans="2:2" x14ac:dyDescent="0.2">
      <c r="B87" s="271"/>
    </row>
    <row r="88" spans="2:2" x14ac:dyDescent="0.2">
      <c r="B88" s="271"/>
    </row>
    <row r="89" spans="2:2" x14ac:dyDescent="0.2">
      <c r="B89" s="271"/>
    </row>
    <row r="90" spans="2:2" x14ac:dyDescent="0.2">
      <c r="B90" s="271"/>
    </row>
    <row r="91" spans="2:2" x14ac:dyDescent="0.2">
      <c r="B91" s="271"/>
    </row>
    <row r="92" spans="2:2" x14ac:dyDescent="0.2">
      <c r="B92" s="271"/>
    </row>
    <row r="93" spans="2:2" x14ac:dyDescent="0.2">
      <c r="B93" s="271"/>
    </row>
    <row r="94" spans="2:2" x14ac:dyDescent="0.2">
      <c r="B94" s="271"/>
    </row>
    <row r="95" spans="2:2" x14ac:dyDescent="0.2">
      <c r="B95" s="271"/>
    </row>
    <row r="96" spans="2:2" x14ac:dyDescent="0.2">
      <c r="B96" s="271"/>
    </row>
    <row r="97" spans="2:2" x14ac:dyDescent="0.2">
      <c r="B97" s="271"/>
    </row>
    <row r="98" spans="2:2" x14ac:dyDescent="0.2">
      <c r="B98" s="271"/>
    </row>
    <row r="99" spans="2:2" x14ac:dyDescent="0.2">
      <c r="B99" s="271"/>
    </row>
    <row r="100" spans="2:2" x14ac:dyDescent="0.2">
      <c r="B100" s="271"/>
    </row>
    <row r="101" spans="2:2" x14ac:dyDescent="0.2">
      <c r="B101" s="271"/>
    </row>
    <row r="102" spans="2:2" x14ac:dyDescent="0.2">
      <c r="B102" s="271"/>
    </row>
    <row r="103" spans="2:2" x14ac:dyDescent="0.2">
      <c r="B103" s="271"/>
    </row>
    <row r="104" spans="2:2" x14ac:dyDescent="0.2">
      <c r="B104" s="271"/>
    </row>
    <row r="105" spans="2:2" x14ac:dyDescent="0.2">
      <c r="B105" s="271"/>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1" manualBreakCount="1">
    <brk id="24" max="65" man="1"/>
  </colBreak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FF00"/>
  </sheetPr>
  <dimension ref="A2:X66"/>
  <sheetViews>
    <sheetView zoomScale="80" zoomScaleNormal="80" workbookViewId="0">
      <selection activeCell="C34" sqref="C34"/>
    </sheetView>
  </sheetViews>
  <sheetFormatPr defaultRowHeight="14.25" x14ac:dyDescent="0.2"/>
  <cols>
    <col min="1" max="1" width="5.42578125" style="32" customWidth="1"/>
    <col min="2" max="2" width="78.42578125" style="33" customWidth="1"/>
    <col min="3" max="3" width="18.5703125" style="34" customWidth="1"/>
    <col min="4" max="4" width="18.5703125" style="35" customWidth="1"/>
    <col min="5" max="5" width="18.7109375" style="35" customWidth="1"/>
    <col min="6" max="6" width="9" style="35" customWidth="1"/>
    <col min="7" max="7" width="10.28515625" style="35" customWidth="1"/>
    <col min="8" max="8" width="9" style="35" customWidth="1"/>
    <col min="9" max="10" width="9" style="36" customWidth="1"/>
    <col min="11" max="18" width="9" style="35" customWidth="1"/>
    <col min="19" max="20" width="9.140625" style="35"/>
    <col min="21" max="21" width="8.7109375" style="35" customWidth="1"/>
    <col min="22" max="255" width="9.140625" style="35"/>
    <col min="256" max="256" width="2.7109375" style="35" customWidth="1"/>
    <col min="257" max="257" width="114.42578125" style="35" customWidth="1"/>
    <col min="258" max="258" width="0" style="35" hidden="1" customWidth="1"/>
    <col min="259" max="259" width="27.5703125" style="35" customWidth="1"/>
    <col min="260" max="260" width="20" style="35" customWidth="1"/>
    <col min="261" max="261" width="18.28515625" style="35" customWidth="1"/>
    <col min="262" max="262" width="20.140625" style="35" customWidth="1"/>
    <col min="263" max="263" width="10.7109375" style="35" customWidth="1"/>
    <col min="264" max="264" width="14.42578125" style="35" bestFit="1" customWidth="1"/>
    <col min="265" max="265" width="10.7109375" style="35" customWidth="1"/>
    <col min="266" max="266" width="12.7109375" style="35" bestFit="1" customWidth="1"/>
    <col min="267" max="269" width="8.42578125" style="35" customWidth="1"/>
    <col min="270" max="272" width="13" style="35" customWidth="1"/>
    <col min="273" max="276" width="9.140625" style="35"/>
    <col min="277" max="277" width="8.7109375" style="35" customWidth="1"/>
    <col min="278" max="511" width="9.140625" style="35"/>
    <col min="512" max="512" width="2.7109375" style="35" customWidth="1"/>
    <col min="513" max="513" width="114.42578125" style="35" customWidth="1"/>
    <col min="514" max="514" width="0" style="35" hidden="1" customWidth="1"/>
    <col min="515" max="515" width="27.5703125" style="35" customWidth="1"/>
    <col min="516" max="516" width="20" style="35" customWidth="1"/>
    <col min="517" max="517" width="18.28515625" style="35" customWidth="1"/>
    <col min="518" max="518" width="20.140625" style="35" customWidth="1"/>
    <col min="519" max="519" width="10.7109375" style="35" customWidth="1"/>
    <col min="520" max="520" width="14.42578125" style="35" bestFit="1" customWidth="1"/>
    <col min="521" max="521" width="10.7109375" style="35" customWidth="1"/>
    <col min="522" max="522" width="12.7109375" style="35" bestFit="1" customWidth="1"/>
    <col min="523" max="525" width="8.42578125" style="35" customWidth="1"/>
    <col min="526" max="528" width="13" style="35" customWidth="1"/>
    <col min="529" max="532" width="9.140625" style="35"/>
    <col min="533" max="533" width="8.7109375" style="35" customWidth="1"/>
    <col min="534" max="767" width="9.140625" style="35"/>
    <col min="768" max="768" width="2.7109375" style="35" customWidth="1"/>
    <col min="769" max="769" width="114.42578125" style="35" customWidth="1"/>
    <col min="770" max="770" width="0" style="35" hidden="1" customWidth="1"/>
    <col min="771" max="771" width="27.5703125" style="35" customWidth="1"/>
    <col min="772" max="772" width="20" style="35" customWidth="1"/>
    <col min="773" max="773" width="18.28515625" style="35" customWidth="1"/>
    <col min="774" max="774" width="20.140625" style="35" customWidth="1"/>
    <col min="775" max="775" width="10.7109375" style="35" customWidth="1"/>
    <col min="776" max="776" width="14.42578125" style="35" bestFit="1" customWidth="1"/>
    <col min="777" max="777" width="10.7109375" style="35" customWidth="1"/>
    <col min="778" max="778" width="12.7109375" style="35" bestFit="1" customWidth="1"/>
    <col min="779" max="781" width="8.42578125" style="35" customWidth="1"/>
    <col min="782" max="784" width="13" style="35" customWidth="1"/>
    <col min="785" max="788" width="9.140625" style="35"/>
    <col min="789" max="789" width="8.7109375" style="35" customWidth="1"/>
    <col min="790" max="1023" width="9.140625" style="35"/>
    <col min="1024" max="1024" width="2.7109375" style="35" customWidth="1"/>
    <col min="1025" max="1025" width="114.42578125" style="35" customWidth="1"/>
    <col min="1026" max="1026" width="0" style="35" hidden="1" customWidth="1"/>
    <col min="1027" max="1027" width="27.5703125" style="35" customWidth="1"/>
    <col min="1028" max="1028" width="20" style="35" customWidth="1"/>
    <col min="1029" max="1029" width="18.28515625" style="35" customWidth="1"/>
    <col min="1030" max="1030" width="20.140625" style="35" customWidth="1"/>
    <col min="1031" max="1031" width="10.7109375" style="35" customWidth="1"/>
    <col min="1032" max="1032" width="14.42578125" style="35" bestFit="1" customWidth="1"/>
    <col min="1033" max="1033" width="10.7109375" style="35" customWidth="1"/>
    <col min="1034" max="1034" width="12.7109375" style="35" bestFit="1" customWidth="1"/>
    <col min="1035" max="1037" width="8.42578125" style="35" customWidth="1"/>
    <col min="1038" max="1040" width="13" style="35" customWidth="1"/>
    <col min="1041" max="1044" width="9.140625" style="35"/>
    <col min="1045" max="1045" width="8.7109375" style="35" customWidth="1"/>
    <col min="1046" max="1279" width="9.140625" style="35"/>
    <col min="1280" max="1280" width="2.7109375" style="35" customWidth="1"/>
    <col min="1281" max="1281" width="114.42578125" style="35" customWidth="1"/>
    <col min="1282" max="1282" width="0" style="35" hidden="1" customWidth="1"/>
    <col min="1283" max="1283" width="27.5703125" style="35" customWidth="1"/>
    <col min="1284" max="1284" width="20" style="35" customWidth="1"/>
    <col min="1285" max="1285" width="18.28515625" style="35" customWidth="1"/>
    <col min="1286" max="1286" width="20.140625" style="35" customWidth="1"/>
    <col min="1287" max="1287" width="10.7109375" style="35" customWidth="1"/>
    <col min="1288" max="1288" width="14.42578125" style="35" bestFit="1" customWidth="1"/>
    <col min="1289" max="1289" width="10.7109375" style="35" customWidth="1"/>
    <col min="1290" max="1290" width="12.7109375" style="35" bestFit="1" customWidth="1"/>
    <col min="1291" max="1293" width="8.42578125" style="35" customWidth="1"/>
    <col min="1294" max="1296" width="13" style="35" customWidth="1"/>
    <col min="1297" max="1300" width="9.140625" style="35"/>
    <col min="1301" max="1301" width="8.7109375" style="35" customWidth="1"/>
    <col min="1302" max="1535" width="9.140625" style="35"/>
    <col min="1536" max="1536" width="2.7109375" style="35" customWidth="1"/>
    <col min="1537" max="1537" width="114.42578125" style="35" customWidth="1"/>
    <col min="1538" max="1538" width="0" style="35" hidden="1" customWidth="1"/>
    <col min="1539" max="1539" width="27.5703125" style="35" customWidth="1"/>
    <col min="1540" max="1540" width="20" style="35" customWidth="1"/>
    <col min="1541" max="1541" width="18.28515625" style="35" customWidth="1"/>
    <col min="1542" max="1542" width="20.140625" style="35" customWidth="1"/>
    <col min="1543" max="1543" width="10.7109375" style="35" customWidth="1"/>
    <col min="1544" max="1544" width="14.42578125" style="35" bestFit="1" customWidth="1"/>
    <col min="1545" max="1545" width="10.7109375" style="35" customWidth="1"/>
    <col min="1546" max="1546" width="12.7109375" style="35" bestFit="1" customWidth="1"/>
    <col min="1547" max="1549" width="8.42578125" style="35" customWidth="1"/>
    <col min="1550" max="1552" width="13" style="35" customWidth="1"/>
    <col min="1553" max="1556" width="9.140625" style="35"/>
    <col min="1557" max="1557" width="8.7109375" style="35" customWidth="1"/>
    <col min="1558" max="1791" width="9.140625" style="35"/>
    <col min="1792" max="1792" width="2.7109375" style="35" customWidth="1"/>
    <col min="1793" max="1793" width="114.42578125" style="35" customWidth="1"/>
    <col min="1794" max="1794" width="0" style="35" hidden="1" customWidth="1"/>
    <col min="1795" max="1795" width="27.5703125" style="35" customWidth="1"/>
    <col min="1796" max="1796" width="20" style="35" customWidth="1"/>
    <col min="1797" max="1797" width="18.28515625" style="35" customWidth="1"/>
    <col min="1798" max="1798" width="20.140625" style="35" customWidth="1"/>
    <col min="1799" max="1799" width="10.7109375" style="35" customWidth="1"/>
    <col min="1800" max="1800" width="14.42578125" style="35" bestFit="1" customWidth="1"/>
    <col min="1801" max="1801" width="10.7109375" style="35" customWidth="1"/>
    <col min="1802" max="1802" width="12.7109375" style="35" bestFit="1" customWidth="1"/>
    <col min="1803" max="1805" width="8.42578125" style="35" customWidth="1"/>
    <col min="1806" max="1808" width="13" style="35" customWidth="1"/>
    <col min="1809" max="1812" width="9.140625" style="35"/>
    <col min="1813" max="1813" width="8.7109375" style="35" customWidth="1"/>
    <col min="1814" max="2047" width="9.140625" style="35"/>
    <col min="2048" max="2048" width="2.7109375" style="35" customWidth="1"/>
    <col min="2049" max="2049" width="114.42578125" style="35" customWidth="1"/>
    <col min="2050" max="2050" width="0" style="35" hidden="1" customWidth="1"/>
    <col min="2051" max="2051" width="27.5703125" style="35" customWidth="1"/>
    <col min="2052" max="2052" width="20" style="35" customWidth="1"/>
    <col min="2053" max="2053" width="18.28515625" style="35" customWidth="1"/>
    <col min="2054" max="2054" width="20.140625" style="35" customWidth="1"/>
    <col min="2055" max="2055" width="10.7109375" style="35" customWidth="1"/>
    <col min="2056" max="2056" width="14.42578125" style="35" bestFit="1" customWidth="1"/>
    <col min="2057" max="2057" width="10.7109375" style="35" customWidth="1"/>
    <col min="2058" max="2058" width="12.7109375" style="35" bestFit="1" customWidth="1"/>
    <col min="2059" max="2061" width="8.42578125" style="35" customWidth="1"/>
    <col min="2062" max="2064" width="13" style="35" customWidth="1"/>
    <col min="2065" max="2068" width="9.140625" style="35"/>
    <col min="2069" max="2069" width="8.7109375" style="35" customWidth="1"/>
    <col min="2070" max="2303" width="9.140625" style="35"/>
    <col min="2304" max="2304" width="2.7109375" style="35" customWidth="1"/>
    <col min="2305" max="2305" width="114.42578125" style="35" customWidth="1"/>
    <col min="2306" max="2306" width="0" style="35" hidden="1" customWidth="1"/>
    <col min="2307" max="2307" width="27.5703125" style="35" customWidth="1"/>
    <col min="2308" max="2308" width="20" style="35" customWidth="1"/>
    <col min="2309" max="2309" width="18.28515625" style="35" customWidth="1"/>
    <col min="2310" max="2310" width="20.140625" style="35" customWidth="1"/>
    <col min="2311" max="2311" width="10.7109375" style="35" customWidth="1"/>
    <col min="2312" max="2312" width="14.42578125" style="35" bestFit="1" customWidth="1"/>
    <col min="2313" max="2313" width="10.7109375" style="35" customWidth="1"/>
    <col min="2314" max="2314" width="12.7109375" style="35" bestFit="1" customWidth="1"/>
    <col min="2315" max="2317" width="8.42578125" style="35" customWidth="1"/>
    <col min="2318" max="2320" width="13" style="35" customWidth="1"/>
    <col min="2321" max="2324" width="9.140625" style="35"/>
    <col min="2325" max="2325" width="8.7109375" style="35" customWidth="1"/>
    <col min="2326" max="2559" width="9.140625" style="35"/>
    <col min="2560" max="2560" width="2.7109375" style="35" customWidth="1"/>
    <col min="2561" max="2561" width="114.42578125" style="35" customWidth="1"/>
    <col min="2562" max="2562" width="0" style="35" hidden="1" customWidth="1"/>
    <col min="2563" max="2563" width="27.5703125" style="35" customWidth="1"/>
    <col min="2564" max="2564" width="20" style="35" customWidth="1"/>
    <col min="2565" max="2565" width="18.28515625" style="35" customWidth="1"/>
    <col min="2566" max="2566" width="20.140625" style="35" customWidth="1"/>
    <col min="2567" max="2567" width="10.7109375" style="35" customWidth="1"/>
    <col min="2568" max="2568" width="14.42578125" style="35" bestFit="1" customWidth="1"/>
    <col min="2569" max="2569" width="10.7109375" style="35" customWidth="1"/>
    <col min="2570" max="2570" width="12.7109375" style="35" bestFit="1" customWidth="1"/>
    <col min="2571" max="2573" width="8.42578125" style="35" customWidth="1"/>
    <col min="2574" max="2576" width="13" style="35" customWidth="1"/>
    <col min="2577" max="2580" width="9.140625" style="35"/>
    <col min="2581" max="2581" width="8.7109375" style="35" customWidth="1"/>
    <col min="2582" max="2815" width="9.140625" style="35"/>
    <col min="2816" max="2816" width="2.7109375" style="35" customWidth="1"/>
    <col min="2817" max="2817" width="114.42578125" style="35" customWidth="1"/>
    <col min="2818" max="2818" width="0" style="35" hidden="1" customWidth="1"/>
    <col min="2819" max="2819" width="27.5703125" style="35" customWidth="1"/>
    <col min="2820" max="2820" width="20" style="35" customWidth="1"/>
    <col min="2821" max="2821" width="18.28515625" style="35" customWidth="1"/>
    <col min="2822" max="2822" width="20.140625" style="35" customWidth="1"/>
    <col min="2823" max="2823" width="10.7109375" style="35" customWidth="1"/>
    <col min="2824" max="2824" width="14.42578125" style="35" bestFit="1" customWidth="1"/>
    <col min="2825" max="2825" width="10.7109375" style="35" customWidth="1"/>
    <col min="2826" max="2826" width="12.7109375" style="35" bestFit="1" customWidth="1"/>
    <col min="2827" max="2829" width="8.42578125" style="35" customWidth="1"/>
    <col min="2830" max="2832" width="13" style="35" customWidth="1"/>
    <col min="2833" max="2836" width="9.140625" style="35"/>
    <col min="2837" max="2837" width="8.7109375" style="35" customWidth="1"/>
    <col min="2838" max="3071" width="9.140625" style="35"/>
    <col min="3072" max="3072" width="2.7109375" style="35" customWidth="1"/>
    <col min="3073" max="3073" width="114.42578125" style="35" customWidth="1"/>
    <col min="3074" max="3074" width="0" style="35" hidden="1" customWidth="1"/>
    <col min="3075" max="3075" width="27.5703125" style="35" customWidth="1"/>
    <col min="3076" max="3076" width="20" style="35" customWidth="1"/>
    <col min="3077" max="3077" width="18.28515625" style="35" customWidth="1"/>
    <col min="3078" max="3078" width="20.140625" style="35" customWidth="1"/>
    <col min="3079" max="3079" width="10.7109375" style="35" customWidth="1"/>
    <col min="3080" max="3080" width="14.42578125" style="35" bestFit="1" customWidth="1"/>
    <col min="3081" max="3081" width="10.7109375" style="35" customWidth="1"/>
    <col min="3082" max="3082" width="12.7109375" style="35" bestFit="1" customWidth="1"/>
    <col min="3083" max="3085" width="8.42578125" style="35" customWidth="1"/>
    <col min="3086" max="3088" width="13" style="35" customWidth="1"/>
    <col min="3089" max="3092" width="9.140625" style="35"/>
    <col min="3093" max="3093" width="8.7109375" style="35" customWidth="1"/>
    <col min="3094" max="3327" width="9.140625" style="35"/>
    <col min="3328" max="3328" width="2.7109375" style="35" customWidth="1"/>
    <col min="3329" max="3329" width="114.42578125" style="35" customWidth="1"/>
    <col min="3330" max="3330" width="0" style="35" hidden="1" customWidth="1"/>
    <col min="3331" max="3331" width="27.5703125" style="35" customWidth="1"/>
    <col min="3332" max="3332" width="20" style="35" customWidth="1"/>
    <col min="3333" max="3333" width="18.28515625" style="35" customWidth="1"/>
    <col min="3334" max="3334" width="20.140625" style="35" customWidth="1"/>
    <col min="3335" max="3335" width="10.7109375" style="35" customWidth="1"/>
    <col min="3336" max="3336" width="14.42578125" style="35" bestFit="1" customWidth="1"/>
    <col min="3337" max="3337" width="10.7109375" style="35" customWidth="1"/>
    <col min="3338" max="3338" width="12.7109375" style="35" bestFit="1" customWidth="1"/>
    <col min="3339" max="3341" width="8.42578125" style="35" customWidth="1"/>
    <col min="3342" max="3344" width="13" style="35" customWidth="1"/>
    <col min="3345" max="3348" width="9.140625" style="35"/>
    <col min="3349" max="3349" width="8.7109375" style="35" customWidth="1"/>
    <col min="3350" max="3583" width="9.140625" style="35"/>
    <col min="3584" max="3584" width="2.7109375" style="35" customWidth="1"/>
    <col min="3585" max="3585" width="114.42578125" style="35" customWidth="1"/>
    <col min="3586" max="3586" width="0" style="35" hidden="1" customWidth="1"/>
    <col min="3587" max="3587" width="27.5703125" style="35" customWidth="1"/>
    <col min="3588" max="3588" width="20" style="35" customWidth="1"/>
    <col min="3589" max="3589" width="18.28515625" style="35" customWidth="1"/>
    <col min="3590" max="3590" width="20.140625" style="35" customWidth="1"/>
    <col min="3591" max="3591" width="10.7109375" style="35" customWidth="1"/>
    <col min="3592" max="3592" width="14.42578125" style="35" bestFit="1" customWidth="1"/>
    <col min="3593" max="3593" width="10.7109375" style="35" customWidth="1"/>
    <col min="3594" max="3594" width="12.7109375" style="35" bestFit="1" customWidth="1"/>
    <col min="3595" max="3597" width="8.42578125" style="35" customWidth="1"/>
    <col min="3598" max="3600" width="13" style="35" customWidth="1"/>
    <col min="3601" max="3604" width="9.140625" style="35"/>
    <col min="3605" max="3605" width="8.7109375" style="35" customWidth="1"/>
    <col min="3606" max="3839" width="9.140625" style="35"/>
    <col min="3840" max="3840" width="2.7109375" style="35" customWidth="1"/>
    <col min="3841" max="3841" width="114.42578125" style="35" customWidth="1"/>
    <col min="3842" max="3842" width="0" style="35" hidden="1" customWidth="1"/>
    <col min="3843" max="3843" width="27.5703125" style="35" customWidth="1"/>
    <col min="3844" max="3844" width="20" style="35" customWidth="1"/>
    <col min="3845" max="3845" width="18.28515625" style="35" customWidth="1"/>
    <col min="3846" max="3846" width="20.140625" style="35" customWidth="1"/>
    <col min="3847" max="3847" width="10.7109375" style="35" customWidth="1"/>
    <col min="3848" max="3848" width="14.42578125" style="35" bestFit="1" customWidth="1"/>
    <col min="3849" max="3849" width="10.7109375" style="35" customWidth="1"/>
    <col min="3850" max="3850" width="12.7109375" style="35" bestFit="1" customWidth="1"/>
    <col min="3851" max="3853" width="8.42578125" style="35" customWidth="1"/>
    <col min="3854" max="3856" width="13" style="35" customWidth="1"/>
    <col min="3857" max="3860" width="9.140625" style="35"/>
    <col min="3861" max="3861" width="8.7109375" style="35" customWidth="1"/>
    <col min="3862" max="4095" width="9.140625" style="35"/>
    <col min="4096" max="4096" width="2.7109375" style="35" customWidth="1"/>
    <col min="4097" max="4097" width="114.42578125" style="35" customWidth="1"/>
    <col min="4098" max="4098" width="0" style="35" hidden="1" customWidth="1"/>
    <col min="4099" max="4099" width="27.5703125" style="35" customWidth="1"/>
    <col min="4100" max="4100" width="20" style="35" customWidth="1"/>
    <col min="4101" max="4101" width="18.28515625" style="35" customWidth="1"/>
    <col min="4102" max="4102" width="20.140625" style="35" customWidth="1"/>
    <col min="4103" max="4103" width="10.7109375" style="35" customWidth="1"/>
    <col min="4104" max="4104" width="14.42578125" style="35" bestFit="1" customWidth="1"/>
    <col min="4105" max="4105" width="10.7109375" style="35" customWidth="1"/>
    <col min="4106" max="4106" width="12.7109375" style="35" bestFit="1" customWidth="1"/>
    <col min="4107" max="4109" width="8.42578125" style="35" customWidth="1"/>
    <col min="4110" max="4112" width="13" style="35" customWidth="1"/>
    <col min="4113" max="4116" width="9.140625" style="35"/>
    <col min="4117" max="4117" width="8.7109375" style="35" customWidth="1"/>
    <col min="4118" max="4351" width="9.140625" style="35"/>
    <col min="4352" max="4352" width="2.7109375" style="35" customWidth="1"/>
    <col min="4353" max="4353" width="114.42578125" style="35" customWidth="1"/>
    <col min="4354" max="4354" width="0" style="35" hidden="1" customWidth="1"/>
    <col min="4355" max="4355" width="27.5703125" style="35" customWidth="1"/>
    <col min="4356" max="4356" width="20" style="35" customWidth="1"/>
    <col min="4357" max="4357" width="18.28515625" style="35" customWidth="1"/>
    <col min="4358" max="4358" width="20.140625" style="35" customWidth="1"/>
    <col min="4359" max="4359" width="10.7109375" style="35" customWidth="1"/>
    <col min="4360" max="4360" width="14.42578125" style="35" bestFit="1" customWidth="1"/>
    <col min="4361" max="4361" width="10.7109375" style="35" customWidth="1"/>
    <col min="4362" max="4362" width="12.7109375" style="35" bestFit="1" customWidth="1"/>
    <col min="4363" max="4365" width="8.42578125" style="35" customWidth="1"/>
    <col min="4366" max="4368" width="13" style="35" customWidth="1"/>
    <col min="4369" max="4372" width="9.140625" style="35"/>
    <col min="4373" max="4373" width="8.7109375" style="35" customWidth="1"/>
    <col min="4374" max="4607" width="9.140625" style="35"/>
    <col min="4608" max="4608" width="2.7109375" style="35" customWidth="1"/>
    <col min="4609" max="4609" width="114.42578125" style="35" customWidth="1"/>
    <col min="4610" max="4610" width="0" style="35" hidden="1" customWidth="1"/>
    <col min="4611" max="4611" width="27.5703125" style="35" customWidth="1"/>
    <col min="4612" max="4612" width="20" style="35" customWidth="1"/>
    <col min="4613" max="4613" width="18.28515625" style="35" customWidth="1"/>
    <col min="4614" max="4614" width="20.140625" style="35" customWidth="1"/>
    <col min="4615" max="4615" width="10.7109375" style="35" customWidth="1"/>
    <col min="4616" max="4616" width="14.42578125" style="35" bestFit="1" customWidth="1"/>
    <col min="4617" max="4617" width="10.7109375" style="35" customWidth="1"/>
    <col min="4618" max="4618" width="12.7109375" style="35" bestFit="1" customWidth="1"/>
    <col min="4619" max="4621" width="8.42578125" style="35" customWidth="1"/>
    <col min="4622" max="4624" width="13" style="35" customWidth="1"/>
    <col min="4625" max="4628" width="9.140625" style="35"/>
    <col min="4629" max="4629" width="8.7109375" style="35" customWidth="1"/>
    <col min="4630" max="4863" width="9.140625" style="35"/>
    <col min="4864" max="4864" width="2.7109375" style="35" customWidth="1"/>
    <col min="4865" max="4865" width="114.42578125" style="35" customWidth="1"/>
    <col min="4866" max="4866" width="0" style="35" hidden="1" customWidth="1"/>
    <col min="4867" max="4867" width="27.5703125" style="35" customWidth="1"/>
    <col min="4868" max="4868" width="20" style="35" customWidth="1"/>
    <col min="4869" max="4869" width="18.28515625" style="35" customWidth="1"/>
    <col min="4870" max="4870" width="20.140625" style="35" customWidth="1"/>
    <col min="4871" max="4871" width="10.7109375" style="35" customWidth="1"/>
    <col min="4872" max="4872" width="14.42578125" style="35" bestFit="1" customWidth="1"/>
    <col min="4873" max="4873" width="10.7109375" style="35" customWidth="1"/>
    <col min="4874" max="4874" width="12.7109375" style="35" bestFit="1" customWidth="1"/>
    <col min="4875" max="4877" width="8.42578125" style="35" customWidth="1"/>
    <col min="4878" max="4880" width="13" style="35" customWidth="1"/>
    <col min="4881" max="4884" width="9.140625" style="35"/>
    <col min="4885" max="4885" width="8.7109375" style="35" customWidth="1"/>
    <col min="4886" max="5119" width="9.140625" style="35"/>
    <col min="5120" max="5120" width="2.7109375" style="35" customWidth="1"/>
    <col min="5121" max="5121" width="114.42578125" style="35" customWidth="1"/>
    <col min="5122" max="5122" width="0" style="35" hidden="1" customWidth="1"/>
    <col min="5123" max="5123" width="27.5703125" style="35" customWidth="1"/>
    <col min="5124" max="5124" width="20" style="35" customWidth="1"/>
    <col min="5125" max="5125" width="18.28515625" style="35" customWidth="1"/>
    <col min="5126" max="5126" width="20.140625" style="35" customWidth="1"/>
    <col min="5127" max="5127" width="10.7109375" style="35" customWidth="1"/>
    <col min="5128" max="5128" width="14.42578125" style="35" bestFit="1" customWidth="1"/>
    <col min="5129" max="5129" width="10.7109375" style="35" customWidth="1"/>
    <col min="5130" max="5130" width="12.7109375" style="35" bestFit="1" customWidth="1"/>
    <col min="5131" max="5133" width="8.42578125" style="35" customWidth="1"/>
    <col min="5134" max="5136" width="13" style="35" customWidth="1"/>
    <col min="5137" max="5140" width="9.140625" style="35"/>
    <col min="5141" max="5141" width="8.7109375" style="35" customWidth="1"/>
    <col min="5142" max="5375" width="9.140625" style="35"/>
    <col min="5376" max="5376" width="2.7109375" style="35" customWidth="1"/>
    <col min="5377" max="5377" width="114.42578125" style="35" customWidth="1"/>
    <col min="5378" max="5378" width="0" style="35" hidden="1" customWidth="1"/>
    <col min="5379" max="5379" width="27.5703125" style="35" customWidth="1"/>
    <col min="5380" max="5380" width="20" style="35" customWidth="1"/>
    <col min="5381" max="5381" width="18.28515625" style="35" customWidth="1"/>
    <col min="5382" max="5382" width="20.140625" style="35" customWidth="1"/>
    <col min="5383" max="5383" width="10.7109375" style="35" customWidth="1"/>
    <col min="5384" max="5384" width="14.42578125" style="35" bestFit="1" customWidth="1"/>
    <col min="5385" max="5385" width="10.7109375" style="35" customWidth="1"/>
    <col min="5386" max="5386" width="12.7109375" style="35" bestFit="1" customWidth="1"/>
    <col min="5387" max="5389" width="8.42578125" style="35" customWidth="1"/>
    <col min="5390" max="5392" width="13" style="35" customWidth="1"/>
    <col min="5393" max="5396" width="9.140625" style="35"/>
    <col min="5397" max="5397" width="8.7109375" style="35" customWidth="1"/>
    <col min="5398" max="5631" width="9.140625" style="35"/>
    <col min="5632" max="5632" width="2.7109375" style="35" customWidth="1"/>
    <col min="5633" max="5633" width="114.42578125" style="35" customWidth="1"/>
    <col min="5634" max="5634" width="0" style="35" hidden="1" customWidth="1"/>
    <col min="5635" max="5635" width="27.5703125" style="35" customWidth="1"/>
    <col min="5636" max="5636" width="20" style="35" customWidth="1"/>
    <col min="5637" max="5637" width="18.28515625" style="35" customWidth="1"/>
    <col min="5638" max="5638" width="20.140625" style="35" customWidth="1"/>
    <col min="5639" max="5639" width="10.7109375" style="35" customWidth="1"/>
    <col min="5640" max="5640" width="14.42578125" style="35" bestFit="1" customWidth="1"/>
    <col min="5641" max="5641" width="10.7109375" style="35" customWidth="1"/>
    <col min="5642" max="5642" width="12.7109375" style="35" bestFit="1" customWidth="1"/>
    <col min="5643" max="5645" width="8.42578125" style="35" customWidth="1"/>
    <col min="5646" max="5648" width="13" style="35" customWidth="1"/>
    <col min="5649" max="5652" width="9.140625" style="35"/>
    <col min="5653" max="5653" width="8.7109375" style="35" customWidth="1"/>
    <col min="5654" max="5887" width="9.140625" style="35"/>
    <col min="5888" max="5888" width="2.7109375" style="35" customWidth="1"/>
    <col min="5889" max="5889" width="114.42578125" style="35" customWidth="1"/>
    <col min="5890" max="5890" width="0" style="35" hidden="1" customWidth="1"/>
    <col min="5891" max="5891" width="27.5703125" style="35" customWidth="1"/>
    <col min="5892" max="5892" width="20" style="35" customWidth="1"/>
    <col min="5893" max="5893" width="18.28515625" style="35" customWidth="1"/>
    <col min="5894" max="5894" width="20.140625" style="35" customWidth="1"/>
    <col min="5895" max="5895" width="10.7109375" style="35" customWidth="1"/>
    <col min="5896" max="5896" width="14.42578125" style="35" bestFit="1" customWidth="1"/>
    <col min="5897" max="5897" width="10.7109375" style="35" customWidth="1"/>
    <col min="5898" max="5898" width="12.7109375" style="35" bestFit="1" customWidth="1"/>
    <col min="5899" max="5901" width="8.42578125" style="35" customWidth="1"/>
    <col min="5902" max="5904" width="13" style="35" customWidth="1"/>
    <col min="5905" max="5908" width="9.140625" style="35"/>
    <col min="5909" max="5909" width="8.7109375" style="35" customWidth="1"/>
    <col min="5910" max="6143" width="9.140625" style="35"/>
    <col min="6144" max="6144" width="2.7109375" style="35" customWidth="1"/>
    <col min="6145" max="6145" width="114.42578125" style="35" customWidth="1"/>
    <col min="6146" max="6146" width="0" style="35" hidden="1" customWidth="1"/>
    <col min="6147" max="6147" width="27.5703125" style="35" customWidth="1"/>
    <col min="6148" max="6148" width="20" style="35" customWidth="1"/>
    <col min="6149" max="6149" width="18.28515625" style="35" customWidth="1"/>
    <col min="6150" max="6150" width="20.140625" style="35" customWidth="1"/>
    <col min="6151" max="6151" width="10.7109375" style="35" customWidth="1"/>
    <col min="6152" max="6152" width="14.42578125" style="35" bestFit="1" customWidth="1"/>
    <col min="6153" max="6153" width="10.7109375" style="35" customWidth="1"/>
    <col min="6154" max="6154" width="12.7109375" style="35" bestFit="1" customWidth="1"/>
    <col min="6155" max="6157" width="8.42578125" style="35" customWidth="1"/>
    <col min="6158" max="6160" width="13" style="35" customWidth="1"/>
    <col min="6161" max="6164" width="9.140625" style="35"/>
    <col min="6165" max="6165" width="8.7109375" style="35" customWidth="1"/>
    <col min="6166" max="6399" width="9.140625" style="35"/>
    <col min="6400" max="6400" width="2.7109375" style="35" customWidth="1"/>
    <col min="6401" max="6401" width="114.42578125" style="35" customWidth="1"/>
    <col min="6402" max="6402" width="0" style="35" hidden="1" customWidth="1"/>
    <col min="6403" max="6403" width="27.5703125" style="35" customWidth="1"/>
    <col min="6404" max="6404" width="20" style="35" customWidth="1"/>
    <col min="6405" max="6405" width="18.28515625" style="35" customWidth="1"/>
    <col min="6406" max="6406" width="20.140625" style="35" customWidth="1"/>
    <col min="6407" max="6407" width="10.7109375" style="35" customWidth="1"/>
    <col min="6408" max="6408" width="14.42578125" style="35" bestFit="1" customWidth="1"/>
    <col min="6409" max="6409" width="10.7109375" style="35" customWidth="1"/>
    <col min="6410" max="6410" width="12.7109375" style="35" bestFit="1" customWidth="1"/>
    <col min="6411" max="6413" width="8.42578125" style="35" customWidth="1"/>
    <col min="6414" max="6416" width="13" style="35" customWidth="1"/>
    <col min="6417" max="6420" width="9.140625" style="35"/>
    <col min="6421" max="6421" width="8.7109375" style="35" customWidth="1"/>
    <col min="6422" max="6655" width="9.140625" style="35"/>
    <col min="6656" max="6656" width="2.7109375" style="35" customWidth="1"/>
    <col min="6657" max="6657" width="114.42578125" style="35" customWidth="1"/>
    <col min="6658" max="6658" width="0" style="35" hidden="1" customWidth="1"/>
    <col min="6659" max="6659" width="27.5703125" style="35" customWidth="1"/>
    <col min="6660" max="6660" width="20" style="35" customWidth="1"/>
    <col min="6661" max="6661" width="18.28515625" style="35" customWidth="1"/>
    <col min="6662" max="6662" width="20.140625" style="35" customWidth="1"/>
    <col min="6663" max="6663" width="10.7109375" style="35" customWidth="1"/>
    <col min="6664" max="6664" width="14.42578125" style="35" bestFit="1" customWidth="1"/>
    <col min="6665" max="6665" width="10.7109375" style="35" customWidth="1"/>
    <col min="6666" max="6666" width="12.7109375" style="35" bestFit="1" customWidth="1"/>
    <col min="6667" max="6669" width="8.42578125" style="35" customWidth="1"/>
    <col min="6670" max="6672" width="13" style="35" customWidth="1"/>
    <col min="6673" max="6676" width="9.140625" style="35"/>
    <col min="6677" max="6677" width="8.7109375" style="35" customWidth="1"/>
    <col min="6678" max="6911" width="9.140625" style="35"/>
    <col min="6912" max="6912" width="2.7109375" style="35" customWidth="1"/>
    <col min="6913" max="6913" width="114.42578125" style="35" customWidth="1"/>
    <col min="6914" max="6914" width="0" style="35" hidden="1" customWidth="1"/>
    <col min="6915" max="6915" width="27.5703125" style="35" customWidth="1"/>
    <col min="6916" max="6916" width="20" style="35" customWidth="1"/>
    <col min="6917" max="6917" width="18.28515625" style="35" customWidth="1"/>
    <col min="6918" max="6918" width="20.140625" style="35" customWidth="1"/>
    <col min="6919" max="6919" width="10.7109375" style="35" customWidth="1"/>
    <col min="6920" max="6920" width="14.42578125" style="35" bestFit="1" customWidth="1"/>
    <col min="6921" max="6921" width="10.7109375" style="35" customWidth="1"/>
    <col min="6922" max="6922" width="12.7109375" style="35" bestFit="1" customWidth="1"/>
    <col min="6923" max="6925" width="8.42578125" style="35" customWidth="1"/>
    <col min="6926" max="6928" width="13" style="35" customWidth="1"/>
    <col min="6929" max="6932" width="9.140625" style="35"/>
    <col min="6933" max="6933" width="8.7109375" style="35" customWidth="1"/>
    <col min="6934" max="7167" width="9.140625" style="35"/>
    <col min="7168" max="7168" width="2.7109375" style="35" customWidth="1"/>
    <col min="7169" max="7169" width="114.42578125" style="35" customWidth="1"/>
    <col min="7170" max="7170" width="0" style="35" hidden="1" customWidth="1"/>
    <col min="7171" max="7171" width="27.5703125" style="35" customWidth="1"/>
    <col min="7172" max="7172" width="20" style="35" customWidth="1"/>
    <col min="7173" max="7173" width="18.28515625" style="35" customWidth="1"/>
    <col min="7174" max="7174" width="20.140625" style="35" customWidth="1"/>
    <col min="7175" max="7175" width="10.7109375" style="35" customWidth="1"/>
    <col min="7176" max="7176" width="14.42578125" style="35" bestFit="1" customWidth="1"/>
    <col min="7177" max="7177" width="10.7109375" style="35" customWidth="1"/>
    <col min="7178" max="7178" width="12.7109375" style="35" bestFit="1" customWidth="1"/>
    <col min="7179" max="7181" width="8.42578125" style="35" customWidth="1"/>
    <col min="7182" max="7184" width="13" style="35" customWidth="1"/>
    <col min="7185" max="7188" width="9.140625" style="35"/>
    <col min="7189" max="7189" width="8.7109375" style="35" customWidth="1"/>
    <col min="7190" max="7423" width="9.140625" style="35"/>
    <col min="7424" max="7424" width="2.7109375" style="35" customWidth="1"/>
    <col min="7425" max="7425" width="114.42578125" style="35" customWidth="1"/>
    <col min="7426" max="7426" width="0" style="35" hidden="1" customWidth="1"/>
    <col min="7427" max="7427" width="27.5703125" style="35" customWidth="1"/>
    <col min="7428" max="7428" width="20" style="35" customWidth="1"/>
    <col min="7429" max="7429" width="18.28515625" style="35" customWidth="1"/>
    <col min="7430" max="7430" width="20.140625" style="35" customWidth="1"/>
    <col min="7431" max="7431" width="10.7109375" style="35" customWidth="1"/>
    <col min="7432" max="7432" width="14.42578125" style="35" bestFit="1" customWidth="1"/>
    <col min="7433" max="7433" width="10.7109375" style="35" customWidth="1"/>
    <col min="7434" max="7434" width="12.7109375" style="35" bestFit="1" customWidth="1"/>
    <col min="7435" max="7437" width="8.42578125" style="35" customWidth="1"/>
    <col min="7438" max="7440" width="13" style="35" customWidth="1"/>
    <col min="7441" max="7444" width="9.140625" style="35"/>
    <col min="7445" max="7445" width="8.7109375" style="35" customWidth="1"/>
    <col min="7446" max="7679" width="9.140625" style="35"/>
    <col min="7680" max="7680" width="2.7109375" style="35" customWidth="1"/>
    <col min="7681" max="7681" width="114.42578125" style="35" customWidth="1"/>
    <col min="7682" max="7682" width="0" style="35" hidden="1" customWidth="1"/>
    <col min="7683" max="7683" width="27.5703125" style="35" customWidth="1"/>
    <col min="7684" max="7684" width="20" style="35" customWidth="1"/>
    <col min="7685" max="7685" width="18.28515625" style="35" customWidth="1"/>
    <col min="7686" max="7686" width="20.140625" style="35" customWidth="1"/>
    <col min="7687" max="7687" width="10.7109375" style="35" customWidth="1"/>
    <col min="7688" max="7688" width="14.42578125" style="35" bestFit="1" customWidth="1"/>
    <col min="7689" max="7689" width="10.7109375" style="35" customWidth="1"/>
    <col min="7690" max="7690" width="12.7109375" style="35" bestFit="1" customWidth="1"/>
    <col min="7691" max="7693" width="8.42578125" style="35" customWidth="1"/>
    <col min="7694" max="7696" width="13" style="35" customWidth="1"/>
    <col min="7697" max="7700" width="9.140625" style="35"/>
    <col min="7701" max="7701" width="8.7109375" style="35" customWidth="1"/>
    <col min="7702" max="7935" width="9.140625" style="35"/>
    <col min="7936" max="7936" width="2.7109375" style="35" customWidth="1"/>
    <col min="7937" max="7937" width="114.42578125" style="35" customWidth="1"/>
    <col min="7938" max="7938" width="0" style="35" hidden="1" customWidth="1"/>
    <col min="7939" max="7939" width="27.5703125" style="35" customWidth="1"/>
    <col min="7940" max="7940" width="20" style="35" customWidth="1"/>
    <col min="7941" max="7941" width="18.28515625" style="35" customWidth="1"/>
    <col min="7942" max="7942" width="20.140625" style="35" customWidth="1"/>
    <col min="7943" max="7943" width="10.7109375" style="35" customWidth="1"/>
    <col min="7944" max="7944" width="14.42578125" style="35" bestFit="1" customWidth="1"/>
    <col min="7945" max="7945" width="10.7109375" style="35" customWidth="1"/>
    <col min="7946" max="7946" width="12.7109375" style="35" bestFit="1" customWidth="1"/>
    <col min="7947" max="7949" width="8.42578125" style="35" customWidth="1"/>
    <col min="7950" max="7952" width="13" style="35" customWidth="1"/>
    <col min="7953" max="7956" width="9.140625" style="35"/>
    <col min="7957" max="7957" width="8.7109375" style="35" customWidth="1"/>
    <col min="7958" max="8191" width="9.140625" style="35"/>
    <col min="8192" max="8192" width="2.7109375" style="35" customWidth="1"/>
    <col min="8193" max="8193" width="114.42578125" style="35" customWidth="1"/>
    <col min="8194" max="8194" width="0" style="35" hidden="1" customWidth="1"/>
    <col min="8195" max="8195" width="27.5703125" style="35" customWidth="1"/>
    <col min="8196" max="8196" width="20" style="35" customWidth="1"/>
    <col min="8197" max="8197" width="18.28515625" style="35" customWidth="1"/>
    <col min="8198" max="8198" width="20.140625" style="35" customWidth="1"/>
    <col min="8199" max="8199" width="10.7109375" style="35" customWidth="1"/>
    <col min="8200" max="8200" width="14.42578125" style="35" bestFit="1" customWidth="1"/>
    <col min="8201" max="8201" width="10.7109375" style="35" customWidth="1"/>
    <col min="8202" max="8202" width="12.7109375" style="35" bestFit="1" customWidth="1"/>
    <col min="8203" max="8205" width="8.42578125" style="35" customWidth="1"/>
    <col min="8206" max="8208" width="13" style="35" customWidth="1"/>
    <col min="8209" max="8212" width="9.140625" style="35"/>
    <col min="8213" max="8213" width="8.7109375" style="35" customWidth="1"/>
    <col min="8214" max="8447" width="9.140625" style="35"/>
    <col min="8448" max="8448" width="2.7109375" style="35" customWidth="1"/>
    <col min="8449" max="8449" width="114.42578125" style="35" customWidth="1"/>
    <col min="8450" max="8450" width="0" style="35" hidden="1" customWidth="1"/>
    <col min="8451" max="8451" width="27.5703125" style="35" customWidth="1"/>
    <col min="8452" max="8452" width="20" style="35" customWidth="1"/>
    <col min="8453" max="8453" width="18.28515625" style="35" customWidth="1"/>
    <col min="8454" max="8454" width="20.140625" style="35" customWidth="1"/>
    <col min="8455" max="8455" width="10.7109375" style="35" customWidth="1"/>
    <col min="8456" max="8456" width="14.42578125" style="35" bestFit="1" customWidth="1"/>
    <col min="8457" max="8457" width="10.7109375" style="35" customWidth="1"/>
    <col min="8458" max="8458" width="12.7109375" style="35" bestFit="1" customWidth="1"/>
    <col min="8459" max="8461" width="8.42578125" style="35" customWidth="1"/>
    <col min="8462" max="8464" width="13" style="35" customWidth="1"/>
    <col min="8465" max="8468" width="9.140625" style="35"/>
    <col min="8469" max="8469" width="8.7109375" style="35" customWidth="1"/>
    <col min="8470" max="8703" width="9.140625" style="35"/>
    <col min="8704" max="8704" width="2.7109375" style="35" customWidth="1"/>
    <col min="8705" max="8705" width="114.42578125" style="35" customWidth="1"/>
    <col min="8706" max="8706" width="0" style="35" hidden="1" customWidth="1"/>
    <col min="8707" max="8707" width="27.5703125" style="35" customWidth="1"/>
    <col min="8708" max="8708" width="20" style="35" customWidth="1"/>
    <col min="8709" max="8709" width="18.28515625" style="35" customWidth="1"/>
    <col min="8710" max="8710" width="20.140625" style="35" customWidth="1"/>
    <col min="8711" max="8711" width="10.7109375" style="35" customWidth="1"/>
    <col min="8712" max="8712" width="14.42578125" style="35" bestFit="1" customWidth="1"/>
    <col min="8713" max="8713" width="10.7109375" style="35" customWidth="1"/>
    <col min="8714" max="8714" width="12.7109375" style="35" bestFit="1" customWidth="1"/>
    <col min="8715" max="8717" width="8.42578125" style="35" customWidth="1"/>
    <col min="8718" max="8720" width="13" style="35" customWidth="1"/>
    <col min="8721" max="8724" width="9.140625" style="35"/>
    <col min="8725" max="8725" width="8.7109375" style="35" customWidth="1"/>
    <col min="8726" max="8959" width="9.140625" style="35"/>
    <col min="8960" max="8960" width="2.7109375" style="35" customWidth="1"/>
    <col min="8961" max="8961" width="114.42578125" style="35" customWidth="1"/>
    <col min="8962" max="8962" width="0" style="35" hidden="1" customWidth="1"/>
    <col min="8963" max="8963" width="27.5703125" style="35" customWidth="1"/>
    <col min="8964" max="8964" width="20" style="35" customWidth="1"/>
    <col min="8965" max="8965" width="18.28515625" style="35" customWidth="1"/>
    <col min="8966" max="8966" width="20.140625" style="35" customWidth="1"/>
    <col min="8967" max="8967" width="10.7109375" style="35" customWidth="1"/>
    <col min="8968" max="8968" width="14.42578125" style="35" bestFit="1" customWidth="1"/>
    <col min="8969" max="8969" width="10.7109375" style="35" customWidth="1"/>
    <col min="8970" max="8970" width="12.7109375" style="35" bestFit="1" customWidth="1"/>
    <col min="8971" max="8973" width="8.42578125" style="35" customWidth="1"/>
    <col min="8974" max="8976" width="13" style="35" customWidth="1"/>
    <col min="8977" max="8980" width="9.140625" style="35"/>
    <col min="8981" max="8981" width="8.7109375" style="35" customWidth="1"/>
    <col min="8982" max="9215" width="9.140625" style="35"/>
    <col min="9216" max="9216" width="2.7109375" style="35" customWidth="1"/>
    <col min="9217" max="9217" width="114.42578125" style="35" customWidth="1"/>
    <col min="9218" max="9218" width="0" style="35" hidden="1" customWidth="1"/>
    <col min="9219" max="9219" width="27.5703125" style="35" customWidth="1"/>
    <col min="9220" max="9220" width="20" style="35" customWidth="1"/>
    <col min="9221" max="9221" width="18.28515625" style="35" customWidth="1"/>
    <col min="9222" max="9222" width="20.140625" style="35" customWidth="1"/>
    <col min="9223" max="9223" width="10.7109375" style="35" customWidth="1"/>
    <col min="9224" max="9224" width="14.42578125" style="35" bestFit="1" customWidth="1"/>
    <col min="9225" max="9225" width="10.7109375" style="35" customWidth="1"/>
    <col min="9226" max="9226" width="12.7109375" style="35" bestFit="1" customWidth="1"/>
    <col min="9227" max="9229" width="8.42578125" style="35" customWidth="1"/>
    <col min="9230" max="9232" width="13" style="35" customWidth="1"/>
    <col min="9233" max="9236" width="9.140625" style="35"/>
    <col min="9237" max="9237" width="8.7109375" style="35" customWidth="1"/>
    <col min="9238" max="9471" width="9.140625" style="35"/>
    <col min="9472" max="9472" width="2.7109375" style="35" customWidth="1"/>
    <col min="9473" max="9473" width="114.42578125" style="35" customWidth="1"/>
    <col min="9474" max="9474" width="0" style="35" hidden="1" customWidth="1"/>
    <col min="9475" max="9475" width="27.5703125" style="35" customWidth="1"/>
    <col min="9476" max="9476" width="20" style="35" customWidth="1"/>
    <col min="9477" max="9477" width="18.28515625" style="35" customWidth="1"/>
    <col min="9478" max="9478" width="20.140625" style="35" customWidth="1"/>
    <col min="9479" max="9479" width="10.7109375" style="35" customWidth="1"/>
    <col min="9480" max="9480" width="14.42578125" style="35" bestFit="1" customWidth="1"/>
    <col min="9481" max="9481" width="10.7109375" style="35" customWidth="1"/>
    <col min="9482" max="9482" width="12.7109375" style="35" bestFit="1" customWidth="1"/>
    <col min="9483" max="9485" width="8.42578125" style="35" customWidth="1"/>
    <col min="9486" max="9488" width="13" style="35" customWidth="1"/>
    <col min="9489" max="9492" width="9.140625" style="35"/>
    <col min="9493" max="9493" width="8.7109375" style="35" customWidth="1"/>
    <col min="9494" max="9727" width="9.140625" style="35"/>
    <col min="9728" max="9728" width="2.7109375" style="35" customWidth="1"/>
    <col min="9729" max="9729" width="114.42578125" style="35" customWidth="1"/>
    <col min="9730" max="9730" width="0" style="35" hidden="1" customWidth="1"/>
    <col min="9731" max="9731" width="27.5703125" style="35" customWidth="1"/>
    <col min="9732" max="9732" width="20" style="35" customWidth="1"/>
    <col min="9733" max="9733" width="18.28515625" style="35" customWidth="1"/>
    <col min="9734" max="9734" width="20.140625" style="35" customWidth="1"/>
    <col min="9735" max="9735" width="10.7109375" style="35" customWidth="1"/>
    <col min="9736" max="9736" width="14.42578125" style="35" bestFit="1" customWidth="1"/>
    <col min="9737" max="9737" width="10.7109375" style="35" customWidth="1"/>
    <col min="9738" max="9738" width="12.7109375" style="35" bestFit="1" customWidth="1"/>
    <col min="9739" max="9741" width="8.42578125" style="35" customWidth="1"/>
    <col min="9742" max="9744" width="13" style="35" customWidth="1"/>
    <col min="9745" max="9748" width="9.140625" style="35"/>
    <col min="9749" max="9749" width="8.7109375" style="35" customWidth="1"/>
    <col min="9750" max="9983" width="9.140625" style="35"/>
    <col min="9984" max="9984" width="2.7109375" style="35" customWidth="1"/>
    <col min="9985" max="9985" width="114.42578125" style="35" customWidth="1"/>
    <col min="9986" max="9986" width="0" style="35" hidden="1" customWidth="1"/>
    <col min="9987" max="9987" width="27.5703125" style="35" customWidth="1"/>
    <col min="9988" max="9988" width="20" style="35" customWidth="1"/>
    <col min="9989" max="9989" width="18.28515625" style="35" customWidth="1"/>
    <col min="9990" max="9990" width="20.140625" style="35" customWidth="1"/>
    <col min="9991" max="9991" width="10.7109375" style="35" customWidth="1"/>
    <col min="9992" max="9992" width="14.42578125" style="35" bestFit="1" customWidth="1"/>
    <col min="9993" max="9993" width="10.7109375" style="35" customWidth="1"/>
    <col min="9994" max="9994" width="12.7109375" style="35" bestFit="1" customWidth="1"/>
    <col min="9995" max="9997" width="8.42578125" style="35" customWidth="1"/>
    <col min="9998" max="10000" width="13" style="35" customWidth="1"/>
    <col min="10001" max="10004" width="9.140625" style="35"/>
    <col min="10005" max="10005" width="8.7109375" style="35" customWidth="1"/>
    <col min="10006" max="10239" width="9.140625" style="35"/>
    <col min="10240" max="10240" width="2.7109375" style="35" customWidth="1"/>
    <col min="10241" max="10241" width="114.42578125" style="35" customWidth="1"/>
    <col min="10242" max="10242" width="0" style="35" hidden="1" customWidth="1"/>
    <col min="10243" max="10243" width="27.5703125" style="35" customWidth="1"/>
    <col min="10244" max="10244" width="20" style="35" customWidth="1"/>
    <col min="10245" max="10245" width="18.28515625" style="35" customWidth="1"/>
    <col min="10246" max="10246" width="20.140625" style="35" customWidth="1"/>
    <col min="10247" max="10247" width="10.7109375" style="35" customWidth="1"/>
    <col min="10248" max="10248" width="14.42578125" style="35" bestFit="1" customWidth="1"/>
    <col min="10249" max="10249" width="10.7109375" style="35" customWidth="1"/>
    <col min="10250" max="10250" width="12.7109375" style="35" bestFit="1" customWidth="1"/>
    <col min="10251" max="10253" width="8.42578125" style="35" customWidth="1"/>
    <col min="10254" max="10256" width="13" style="35" customWidth="1"/>
    <col min="10257" max="10260" width="9.140625" style="35"/>
    <col min="10261" max="10261" width="8.7109375" style="35" customWidth="1"/>
    <col min="10262" max="10495" width="9.140625" style="35"/>
    <col min="10496" max="10496" width="2.7109375" style="35" customWidth="1"/>
    <col min="10497" max="10497" width="114.42578125" style="35" customWidth="1"/>
    <col min="10498" max="10498" width="0" style="35" hidden="1" customWidth="1"/>
    <col min="10499" max="10499" width="27.5703125" style="35" customWidth="1"/>
    <col min="10500" max="10500" width="20" style="35" customWidth="1"/>
    <col min="10501" max="10501" width="18.28515625" style="35" customWidth="1"/>
    <col min="10502" max="10502" width="20.140625" style="35" customWidth="1"/>
    <col min="10503" max="10503" width="10.7109375" style="35" customWidth="1"/>
    <col min="10504" max="10504" width="14.42578125" style="35" bestFit="1" customWidth="1"/>
    <col min="10505" max="10505" width="10.7109375" style="35" customWidth="1"/>
    <col min="10506" max="10506" width="12.7109375" style="35" bestFit="1" customWidth="1"/>
    <col min="10507" max="10509" width="8.42578125" style="35" customWidth="1"/>
    <col min="10510" max="10512" width="13" style="35" customWidth="1"/>
    <col min="10513" max="10516" width="9.140625" style="35"/>
    <col min="10517" max="10517" width="8.7109375" style="35" customWidth="1"/>
    <col min="10518" max="10751" width="9.140625" style="35"/>
    <col min="10752" max="10752" width="2.7109375" style="35" customWidth="1"/>
    <col min="10753" max="10753" width="114.42578125" style="35" customWidth="1"/>
    <col min="10754" max="10754" width="0" style="35" hidden="1" customWidth="1"/>
    <col min="10755" max="10755" width="27.5703125" style="35" customWidth="1"/>
    <col min="10756" max="10756" width="20" style="35" customWidth="1"/>
    <col min="10757" max="10757" width="18.28515625" style="35" customWidth="1"/>
    <col min="10758" max="10758" width="20.140625" style="35" customWidth="1"/>
    <col min="10759" max="10759" width="10.7109375" style="35" customWidth="1"/>
    <col min="10760" max="10760" width="14.42578125" style="35" bestFit="1" customWidth="1"/>
    <col min="10761" max="10761" width="10.7109375" style="35" customWidth="1"/>
    <col min="10762" max="10762" width="12.7109375" style="35" bestFit="1" customWidth="1"/>
    <col min="10763" max="10765" width="8.42578125" style="35" customWidth="1"/>
    <col min="10766" max="10768" width="13" style="35" customWidth="1"/>
    <col min="10769" max="10772" width="9.140625" style="35"/>
    <col min="10773" max="10773" width="8.7109375" style="35" customWidth="1"/>
    <col min="10774" max="11007" width="9.140625" style="35"/>
    <col min="11008" max="11008" width="2.7109375" style="35" customWidth="1"/>
    <col min="11009" max="11009" width="114.42578125" style="35" customWidth="1"/>
    <col min="11010" max="11010" width="0" style="35" hidden="1" customWidth="1"/>
    <col min="11011" max="11011" width="27.5703125" style="35" customWidth="1"/>
    <col min="11012" max="11012" width="20" style="35" customWidth="1"/>
    <col min="11013" max="11013" width="18.28515625" style="35" customWidth="1"/>
    <col min="11014" max="11014" width="20.140625" style="35" customWidth="1"/>
    <col min="11015" max="11015" width="10.7109375" style="35" customWidth="1"/>
    <col min="11016" max="11016" width="14.42578125" style="35" bestFit="1" customWidth="1"/>
    <col min="11017" max="11017" width="10.7109375" style="35" customWidth="1"/>
    <col min="11018" max="11018" width="12.7109375" style="35" bestFit="1" customWidth="1"/>
    <col min="11019" max="11021" width="8.42578125" style="35" customWidth="1"/>
    <col min="11022" max="11024" width="13" style="35" customWidth="1"/>
    <col min="11025" max="11028" width="9.140625" style="35"/>
    <col min="11029" max="11029" width="8.7109375" style="35" customWidth="1"/>
    <col min="11030" max="11263" width="9.140625" style="35"/>
    <col min="11264" max="11264" width="2.7109375" style="35" customWidth="1"/>
    <col min="11265" max="11265" width="114.42578125" style="35" customWidth="1"/>
    <col min="11266" max="11266" width="0" style="35" hidden="1" customWidth="1"/>
    <col min="11267" max="11267" width="27.5703125" style="35" customWidth="1"/>
    <col min="11268" max="11268" width="20" style="35" customWidth="1"/>
    <col min="11269" max="11269" width="18.28515625" style="35" customWidth="1"/>
    <col min="11270" max="11270" width="20.140625" style="35" customWidth="1"/>
    <col min="11271" max="11271" width="10.7109375" style="35" customWidth="1"/>
    <col min="11272" max="11272" width="14.42578125" style="35" bestFit="1" customWidth="1"/>
    <col min="11273" max="11273" width="10.7109375" style="35" customWidth="1"/>
    <col min="11274" max="11274" width="12.7109375" style="35" bestFit="1" customWidth="1"/>
    <col min="11275" max="11277" width="8.42578125" style="35" customWidth="1"/>
    <col min="11278" max="11280" width="13" style="35" customWidth="1"/>
    <col min="11281" max="11284" width="9.140625" style="35"/>
    <col min="11285" max="11285" width="8.7109375" style="35" customWidth="1"/>
    <col min="11286" max="11519" width="9.140625" style="35"/>
    <col min="11520" max="11520" width="2.7109375" style="35" customWidth="1"/>
    <col min="11521" max="11521" width="114.42578125" style="35" customWidth="1"/>
    <col min="11522" max="11522" width="0" style="35" hidden="1" customWidth="1"/>
    <col min="11523" max="11523" width="27.5703125" style="35" customWidth="1"/>
    <col min="11524" max="11524" width="20" style="35" customWidth="1"/>
    <col min="11525" max="11525" width="18.28515625" style="35" customWidth="1"/>
    <col min="11526" max="11526" width="20.140625" style="35" customWidth="1"/>
    <col min="11527" max="11527" width="10.7109375" style="35" customWidth="1"/>
    <col min="11528" max="11528" width="14.42578125" style="35" bestFit="1" customWidth="1"/>
    <col min="11529" max="11529" width="10.7109375" style="35" customWidth="1"/>
    <col min="11530" max="11530" width="12.7109375" style="35" bestFit="1" customWidth="1"/>
    <col min="11531" max="11533" width="8.42578125" style="35" customWidth="1"/>
    <col min="11534" max="11536" width="13" style="35" customWidth="1"/>
    <col min="11537" max="11540" width="9.140625" style="35"/>
    <col min="11541" max="11541" width="8.7109375" style="35" customWidth="1"/>
    <col min="11542" max="11775" width="9.140625" style="35"/>
    <col min="11776" max="11776" width="2.7109375" style="35" customWidth="1"/>
    <col min="11777" max="11777" width="114.42578125" style="35" customWidth="1"/>
    <col min="11778" max="11778" width="0" style="35" hidden="1" customWidth="1"/>
    <col min="11779" max="11779" width="27.5703125" style="35" customWidth="1"/>
    <col min="11780" max="11780" width="20" style="35" customWidth="1"/>
    <col min="11781" max="11781" width="18.28515625" style="35" customWidth="1"/>
    <col min="11782" max="11782" width="20.140625" style="35" customWidth="1"/>
    <col min="11783" max="11783" width="10.7109375" style="35" customWidth="1"/>
    <col min="11784" max="11784" width="14.42578125" style="35" bestFit="1" customWidth="1"/>
    <col min="11785" max="11785" width="10.7109375" style="35" customWidth="1"/>
    <col min="11786" max="11786" width="12.7109375" style="35" bestFit="1" customWidth="1"/>
    <col min="11787" max="11789" width="8.42578125" style="35" customWidth="1"/>
    <col min="11790" max="11792" width="13" style="35" customWidth="1"/>
    <col min="11793" max="11796" width="9.140625" style="35"/>
    <col min="11797" max="11797" width="8.7109375" style="35" customWidth="1"/>
    <col min="11798" max="12031" width="9.140625" style="35"/>
    <col min="12032" max="12032" width="2.7109375" style="35" customWidth="1"/>
    <col min="12033" max="12033" width="114.42578125" style="35" customWidth="1"/>
    <col min="12034" max="12034" width="0" style="35" hidden="1" customWidth="1"/>
    <col min="12035" max="12035" width="27.5703125" style="35" customWidth="1"/>
    <col min="12036" max="12036" width="20" style="35" customWidth="1"/>
    <col min="12037" max="12037" width="18.28515625" style="35" customWidth="1"/>
    <col min="12038" max="12038" width="20.140625" style="35" customWidth="1"/>
    <col min="12039" max="12039" width="10.7109375" style="35" customWidth="1"/>
    <col min="12040" max="12040" width="14.42578125" style="35" bestFit="1" customWidth="1"/>
    <col min="12041" max="12041" width="10.7109375" style="35" customWidth="1"/>
    <col min="12042" max="12042" width="12.7109375" style="35" bestFit="1" customWidth="1"/>
    <col min="12043" max="12045" width="8.42578125" style="35" customWidth="1"/>
    <col min="12046" max="12048" width="13" style="35" customWidth="1"/>
    <col min="12049" max="12052" width="9.140625" style="35"/>
    <col min="12053" max="12053" width="8.7109375" style="35" customWidth="1"/>
    <col min="12054" max="12287" width="9.140625" style="35"/>
    <col min="12288" max="12288" width="2.7109375" style="35" customWidth="1"/>
    <col min="12289" max="12289" width="114.42578125" style="35" customWidth="1"/>
    <col min="12290" max="12290" width="0" style="35" hidden="1" customWidth="1"/>
    <col min="12291" max="12291" width="27.5703125" style="35" customWidth="1"/>
    <col min="12292" max="12292" width="20" style="35" customWidth="1"/>
    <col min="12293" max="12293" width="18.28515625" style="35" customWidth="1"/>
    <col min="12294" max="12294" width="20.140625" style="35" customWidth="1"/>
    <col min="12295" max="12295" width="10.7109375" style="35" customWidth="1"/>
    <col min="12296" max="12296" width="14.42578125" style="35" bestFit="1" customWidth="1"/>
    <col min="12297" max="12297" width="10.7109375" style="35" customWidth="1"/>
    <col min="12298" max="12298" width="12.7109375" style="35" bestFit="1" customWidth="1"/>
    <col min="12299" max="12301" width="8.42578125" style="35" customWidth="1"/>
    <col min="12302" max="12304" width="13" style="35" customWidth="1"/>
    <col min="12305" max="12308" width="9.140625" style="35"/>
    <col min="12309" max="12309" width="8.7109375" style="35" customWidth="1"/>
    <col min="12310" max="12543" width="9.140625" style="35"/>
    <col min="12544" max="12544" width="2.7109375" style="35" customWidth="1"/>
    <col min="12545" max="12545" width="114.42578125" style="35" customWidth="1"/>
    <col min="12546" max="12546" width="0" style="35" hidden="1" customWidth="1"/>
    <col min="12547" max="12547" width="27.5703125" style="35" customWidth="1"/>
    <col min="12548" max="12548" width="20" style="35" customWidth="1"/>
    <col min="12549" max="12549" width="18.28515625" style="35" customWidth="1"/>
    <col min="12550" max="12550" width="20.140625" style="35" customWidth="1"/>
    <col min="12551" max="12551" width="10.7109375" style="35" customWidth="1"/>
    <col min="12552" max="12552" width="14.42578125" style="35" bestFit="1" customWidth="1"/>
    <col min="12553" max="12553" width="10.7109375" style="35" customWidth="1"/>
    <col min="12554" max="12554" width="12.7109375" style="35" bestFit="1" customWidth="1"/>
    <col min="12555" max="12557" width="8.42578125" style="35" customWidth="1"/>
    <col min="12558" max="12560" width="13" style="35" customWidth="1"/>
    <col min="12561" max="12564" width="9.140625" style="35"/>
    <col min="12565" max="12565" width="8.7109375" style="35" customWidth="1"/>
    <col min="12566" max="12799" width="9.140625" style="35"/>
    <col min="12800" max="12800" width="2.7109375" style="35" customWidth="1"/>
    <col min="12801" max="12801" width="114.42578125" style="35" customWidth="1"/>
    <col min="12802" max="12802" width="0" style="35" hidden="1" customWidth="1"/>
    <col min="12803" max="12803" width="27.5703125" style="35" customWidth="1"/>
    <col min="12804" max="12804" width="20" style="35" customWidth="1"/>
    <col min="12805" max="12805" width="18.28515625" style="35" customWidth="1"/>
    <col min="12806" max="12806" width="20.140625" style="35" customWidth="1"/>
    <col min="12807" max="12807" width="10.7109375" style="35" customWidth="1"/>
    <col min="12808" max="12808" width="14.42578125" style="35" bestFit="1" customWidth="1"/>
    <col min="12809" max="12809" width="10.7109375" style="35" customWidth="1"/>
    <col min="12810" max="12810" width="12.7109375" style="35" bestFit="1" customWidth="1"/>
    <col min="12811" max="12813" width="8.42578125" style="35" customWidth="1"/>
    <col min="12814" max="12816" width="13" style="35" customWidth="1"/>
    <col min="12817" max="12820" width="9.140625" style="35"/>
    <col min="12821" max="12821" width="8.7109375" style="35" customWidth="1"/>
    <col min="12822" max="13055" width="9.140625" style="35"/>
    <col min="13056" max="13056" width="2.7109375" style="35" customWidth="1"/>
    <col min="13057" max="13057" width="114.42578125" style="35" customWidth="1"/>
    <col min="13058" max="13058" width="0" style="35" hidden="1" customWidth="1"/>
    <col min="13059" max="13059" width="27.5703125" style="35" customWidth="1"/>
    <col min="13060" max="13060" width="20" style="35" customWidth="1"/>
    <col min="13061" max="13061" width="18.28515625" style="35" customWidth="1"/>
    <col min="13062" max="13062" width="20.140625" style="35" customWidth="1"/>
    <col min="13063" max="13063" width="10.7109375" style="35" customWidth="1"/>
    <col min="13064" max="13064" width="14.42578125" style="35" bestFit="1" customWidth="1"/>
    <col min="13065" max="13065" width="10.7109375" style="35" customWidth="1"/>
    <col min="13066" max="13066" width="12.7109375" style="35" bestFit="1" customWidth="1"/>
    <col min="13067" max="13069" width="8.42578125" style="35" customWidth="1"/>
    <col min="13070" max="13072" width="13" style="35" customWidth="1"/>
    <col min="13073" max="13076" width="9.140625" style="35"/>
    <col min="13077" max="13077" width="8.7109375" style="35" customWidth="1"/>
    <col min="13078" max="13311" width="9.140625" style="35"/>
    <col min="13312" max="13312" width="2.7109375" style="35" customWidth="1"/>
    <col min="13313" max="13313" width="114.42578125" style="35" customWidth="1"/>
    <col min="13314" max="13314" width="0" style="35" hidden="1" customWidth="1"/>
    <col min="13315" max="13315" width="27.5703125" style="35" customWidth="1"/>
    <col min="13316" max="13316" width="20" style="35" customWidth="1"/>
    <col min="13317" max="13317" width="18.28515625" style="35" customWidth="1"/>
    <col min="13318" max="13318" width="20.140625" style="35" customWidth="1"/>
    <col min="13319" max="13319" width="10.7109375" style="35" customWidth="1"/>
    <col min="13320" max="13320" width="14.42578125" style="35" bestFit="1" customWidth="1"/>
    <col min="13321" max="13321" width="10.7109375" style="35" customWidth="1"/>
    <col min="13322" max="13322" width="12.7109375" style="35" bestFit="1" customWidth="1"/>
    <col min="13323" max="13325" width="8.42578125" style="35" customWidth="1"/>
    <col min="13326" max="13328" width="13" style="35" customWidth="1"/>
    <col min="13329" max="13332" width="9.140625" style="35"/>
    <col min="13333" max="13333" width="8.7109375" style="35" customWidth="1"/>
    <col min="13334" max="13567" width="9.140625" style="35"/>
    <col min="13568" max="13568" width="2.7109375" style="35" customWidth="1"/>
    <col min="13569" max="13569" width="114.42578125" style="35" customWidth="1"/>
    <col min="13570" max="13570" width="0" style="35" hidden="1" customWidth="1"/>
    <col min="13571" max="13571" width="27.5703125" style="35" customWidth="1"/>
    <col min="13572" max="13572" width="20" style="35" customWidth="1"/>
    <col min="13573" max="13573" width="18.28515625" style="35" customWidth="1"/>
    <col min="13574" max="13574" width="20.140625" style="35" customWidth="1"/>
    <col min="13575" max="13575" width="10.7109375" style="35" customWidth="1"/>
    <col min="13576" max="13576" width="14.42578125" style="35" bestFit="1" customWidth="1"/>
    <col min="13577" max="13577" width="10.7109375" style="35" customWidth="1"/>
    <col min="13578" max="13578" width="12.7109375" style="35" bestFit="1" customWidth="1"/>
    <col min="13579" max="13581" width="8.42578125" style="35" customWidth="1"/>
    <col min="13582" max="13584" width="13" style="35" customWidth="1"/>
    <col min="13585" max="13588" width="9.140625" style="35"/>
    <col min="13589" max="13589" width="8.7109375" style="35" customWidth="1"/>
    <col min="13590" max="13823" width="9.140625" style="35"/>
    <col min="13824" max="13824" width="2.7109375" style="35" customWidth="1"/>
    <col min="13825" max="13825" width="114.42578125" style="35" customWidth="1"/>
    <col min="13826" max="13826" width="0" style="35" hidden="1" customWidth="1"/>
    <col min="13827" max="13827" width="27.5703125" style="35" customWidth="1"/>
    <col min="13828" max="13828" width="20" style="35" customWidth="1"/>
    <col min="13829" max="13829" width="18.28515625" style="35" customWidth="1"/>
    <col min="13830" max="13830" width="20.140625" style="35" customWidth="1"/>
    <col min="13831" max="13831" width="10.7109375" style="35" customWidth="1"/>
    <col min="13832" max="13832" width="14.42578125" style="35" bestFit="1" customWidth="1"/>
    <col min="13833" max="13833" width="10.7109375" style="35" customWidth="1"/>
    <col min="13834" max="13834" width="12.7109375" style="35" bestFit="1" customWidth="1"/>
    <col min="13835" max="13837" width="8.42578125" style="35" customWidth="1"/>
    <col min="13838" max="13840" width="13" style="35" customWidth="1"/>
    <col min="13841" max="13844" width="9.140625" style="35"/>
    <col min="13845" max="13845" width="8.7109375" style="35" customWidth="1"/>
    <col min="13846" max="14079" width="9.140625" style="35"/>
    <col min="14080" max="14080" width="2.7109375" style="35" customWidth="1"/>
    <col min="14081" max="14081" width="114.42578125" style="35" customWidth="1"/>
    <col min="14082" max="14082" width="0" style="35" hidden="1" customWidth="1"/>
    <col min="14083" max="14083" width="27.5703125" style="35" customWidth="1"/>
    <col min="14084" max="14084" width="20" style="35" customWidth="1"/>
    <col min="14085" max="14085" width="18.28515625" style="35" customWidth="1"/>
    <col min="14086" max="14086" width="20.140625" style="35" customWidth="1"/>
    <col min="14087" max="14087" width="10.7109375" style="35" customWidth="1"/>
    <col min="14088" max="14088" width="14.42578125" style="35" bestFit="1" customWidth="1"/>
    <col min="14089" max="14089" width="10.7109375" style="35" customWidth="1"/>
    <col min="14090" max="14090" width="12.7109375" style="35" bestFit="1" customWidth="1"/>
    <col min="14091" max="14093" width="8.42578125" style="35" customWidth="1"/>
    <col min="14094" max="14096" width="13" style="35" customWidth="1"/>
    <col min="14097" max="14100" width="9.140625" style="35"/>
    <col min="14101" max="14101" width="8.7109375" style="35" customWidth="1"/>
    <col min="14102" max="14335" width="9.140625" style="35"/>
    <col min="14336" max="14336" width="2.7109375" style="35" customWidth="1"/>
    <col min="14337" max="14337" width="114.42578125" style="35" customWidth="1"/>
    <col min="14338" max="14338" width="0" style="35" hidden="1" customWidth="1"/>
    <col min="14339" max="14339" width="27.5703125" style="35" customWidth="1"/>
    <col min="14340" max="14340" width="20" style="35" customWidth="1"/>
    <col min="14341" max="14341" width="18.28515625" style="35" customWidth="1"/>
    <col min="14342" max="14342" width="20.140625" style="35" customWidth="1"/>
    <col min="14343" max="14343" width="10.7109375" style="35" customWidth="1"/>
    <col min="14344" max="14344" width="14.42578125" style="35" bestFit="1" customWidth="1"/>
    <col min="14345" max="14345" width="10.7109375" style="35" customWidth="1"/>
    <col min="14346" max="14346" width="12.7109375" style="35" bestFit="1" customWidth="1"/>
    <col min="14347" max="14349" width="8.42578125" style="35" customWidth="1"/>
    <col min="14350" max="14352" width="13" style="35" customWidth="1"/>
    <col min="14353" max="14356" width="9.140625" style="35"/>
    <col min="14357" max="14357" width="8.7109375" style="35" customWidth="1"/>
    <col min="14358" max="14591" width="9.140625" style="35"/>
    <col min="14592" max="14592" width="2.7109375" style="35" customWidth="1"/>
    <col min="14593" max="14593" width="114.42578125" style="35" customWidth="1"/>
    <col min="14594" max="14594" width="0" style="35" hidden="1" customWidth="1"/>
    <col min="14595" max="14595" width="27.5703125" style="35" customWidth="1"/>
    <col min="14596" max="14596" width="20" style="35" customWidth="1"/>
    <col min="14597" max="14597" width="18.28515625" style="35" customWidth="1"/>
    <col min="14598" max="14598" width="20.140625" style="35" customWidth="1"/>
    <col min="14599" max="14599" width="10.7109375" style="35" customWidth="1"/>
    <col min="14600" max="14600" width="14.42578125" style="35" bestFit="1" customWidth="1"/>
    <col min="14601" max="14601" width="10.7109375" style="35" customWidth="1"/>
    <col min="14602" max="14602" width="12.7109375" style="35" bestFit="1" customWidth="1"/>
    <col min="14603" max="14605" width="8.42578125" style="35" customWidth="1"/>
    <col min="14606" max="14608" width="13" style="35" customWidth="1"/>
    <col min="14609" max="14612" width="9.140625" style="35"/>
    <col min="14613" max="14613" width="8.7109375" style="35" customWidth="1"/>
    <col min="14614" max="14847" width="9.140625" style="35"/>
    <col min="14848" max="14848" width="2.7109375" style="35" customWidth="1"/>
    <col min="14849" max="14849" width="114.42578125" style="35" customWidth="1"/>
    <col min="14850" max="14850" width="0" style="35" hidden="1" customWidth="1"/>
    <col min="14851" max="14851" width="27.5703125" style="35" customWidth="1"/>
    <col min="14852" max="14852" width="20" style="35" customWidth="1"/>
    <col min="14853" max="14853" width="18.28515625" style="35" customWidth="1"/>
    <col min="14854" max="14854" width="20.140625" style="35" customWidth="1"/>
    <col min="14855" max="14855" width="10.7109375" style="35" customWidth="1"/>
    <col min="14856" max="14856" width="14.42578125" style="35" bestFit="1" customWidth="1"/>
    <col min="14857" max="14857" width="10.7109375" style="35" customWidth="1"/>
    <col min="14858" max="14858" width="12.7109375" style="35" bestFit="1" customWidth="1"/>
    <col min="14859" max="14861" width="8.42578125" style="35" customWidth="1"/>
    <col min="14862" max="14864" width="13" style="35" customWidth="1"/>
    <col min="14865" max="14868" width="9.140625" style="35"/>
    <col min="14869" max="14869" width="8.7109375" style="35" customWidth="1"/>
    <col min="14870" max="15103" width="9.140625" style="35"/>
    <col min="15104" max="15104" width="2.7109375" style="35" customWidth="1"/>
    <col min="15105" max="15105" width="114.42578125" style="35" customWidth="1"/>
    <col min="15106" max="15106" width="0" style="35" hidden="1" customWidth="1"/>
    <col min="15107" max="15107" width="27.5703125" style="35" customWidth="1"/>
    <col min="15108" max="15108" width="20" style="35" customWidth="1"/>
    <col min="15109" max="15109" width="18.28515625" style="35" customWidth="1"/>
    <col min="15110" max="15110" width="20.140625" style="35" customWidth="1"/>
    <col min="15111" max="15111" width="10.7109375" style="35" customWidth="1"/>
    <col min="15112" max="15112" width="14.42578125" style="35" bestFit="1" customWidth="1"/>
    <col min="15113" max="15113" width="10.7109375" style="35" customWidth="1"/>
    <col min="15114" max="15114" width="12.7109375" style="35" bestFit="1" customWidth="1"/>
    <col min="15115" max="15117" width="8.42578125" style="35" customWidth="1"/>
    <col min="15118" max="15120" width="13" style="35" customWidth="1"/>
    <col min="15121" max="15124" width="9.140625" style="35"/>
    <col min="15125" max="15125" width="8.7109375" style="35" customWidth="1"/>
    <col min="15126" max="15359" width="9.140625" style="35"/>
    <col min="15360" max="15360" width="2.7109375" style="35" customWidth="1"/>
    <col min="15361" max="15361" width="114.42578125" style="35" customWidth="1"/>
    <col min="15362" max="15362" width="0" style="35" hidden="1" customWidth="1"/>
    <col min="15363" max="15363" width="27.5703125" style="35" customWidth="1"/>
    <col min="15364" max="15364" width="20" style="35" customWidth="1"/>
    <col min="15365" max="15365" width="18.28515625" style="35" customWidth="1"/>
    <col min="15366" max="15366" width="20.140625" style="35" customWidth="1"/>
    <col min="15367" max="15367" width="10.7109375" style="35" customWidth="1"/>
    <col min="15368" max="15368" width="14.42578125" style="35" bestFit="1" customWidth="1"/>
    <col min="15369" max="15369" width="10.7109375" style="35" customWidth="1"/>
    <col min="15370" max="15370" width="12.7109375" style="35" bestFit="1" customWidth="1"/>
    <col min="15371" max="15373" width="8.42578125" style="35" customWidth="1"/>
    <col min="15374" max="15376" width="13" style="35" customWidth="1"/>
    <col min="15377" max="15380" width="9.140625" style="35"/>
    <col min="15381" max="15381" width="8.7109375" style="35" customWidth="1"/>
    <col min="15382" max="15615" width="9.140625" style="35"/>
    <col min="15616" max="15616" width="2.7109375" style="35" customWidth="1"/>
    <col min="15617" max="15617" width="114.42578125" style="35" customWidth="1"/>
    <col min="15618" max="15618" width="0" style="35" hidden="1" customWidth="1"/>
    <col min="15619" max="15619" width="27.5703125" style="35" customWidth="1"/>
    <col min="15620" max="15620" width="20" style="35" customWidth="1"/>
    <col min="15621" max="15621" width="18.28515625" style="35" customWidth="1"/>
    <col min="15622" max="15622" width="20.140625" style="35" customWidth="1"/>
    <col min="15623" max="15623" width="10.7109375" style="35" customWidth="1"/>
    <col min="15624" max="15624" width="14.42578125" style="35" bestFit="1" customWidth="1"/>
    <col min="15625" max="15625" width="10.7109375" style="35" customWidth="1"/>
    <col min="15626" max="15626" width="12.7109375" style="35" bestFit="1" customWidth="1"/>
    <col min="15627" max="15629" width="8.42578125" style="35" customWidth="1"/>
    <col min="15630" max="15632" width="13" style="35" customWidth="1"/>
    <col min="15633" max="15636" width="9.140625" style="35"/>
    <col min="15637" max="15637" width="8.7109375" style="35" customWidth="1"/>
    <col min="15638" max="15871" width="9.140625" style="35"/>
    <col min="15872" max="15872" width="2.7109375" style="35" customWidth="1"/>
    <col min="15873" max="15873" width="114.42578125" style="35" customWidth="1"/>
    <col min="15874" max="15874" width="0" style="35" hidden="1" customWidth="1"/>
    <col min="15875" max="15875" width="27.5703125" style="35" customWidth="1"/>
    <col min="15876" max="15876" width="20" style="35" customWidth="1"/>
    <col min="15877" max="15877" width="18.28515625" style="35" customWidth="1"/>
    <col min="15878" max="15878" width="20.140625" style="35" customWidth="1"/>
    <col min="15879" max="15879" width="10.7109375" style="35" customWidth="1"/>
    <col min="15880" max="15880" width="14.42578125" style="35" bestFit="1" customWidth="1"/>
    <col min="15881" max="15881" width="10.7109375" style="35" customWidth="1"/>
    <col min="15882" max="15882" width="12.7109375" style="35" bestFit="1" customWidth="1"/>
    <col min="15883" max="15885" width="8.42578125" style="35" customWidth="1"/>
    <col min="15886" max="15888" width="13" style="35" customWidth="1"/>
    <col min="15889" max="15892" width="9.140625" style="35"/>
    <col min="15893" max="15893" width="8.7109375" style="35" customWidth="1"/>
    <col min="15894" max="16127" width="9.140625" style="35"/>
    <col min="16128" max="16128" width="2.7109375" style="35" customWidth="1"/>
    <col min="16129" max="16129" width="114.42578125" style="35" customWidth="1"/>
    <col min="16130" max="16130" width="0" style="35" hidden="1" customWidth="1"/>
    <col min="16131" max="16131" width="27.5703125" style="35" customWidth="1"/>
    <col min="16132" max="16132" width="20" style="35" customWidth="1"/>
    <col min="16133" max="16133" width="18.28515625" style="35" customWidth="1"/>
    <col min="16134" max="16134" width="20.140625" style="35" customWidth="1"/>
    <col min="16135" max="16135" width="10.7109375" style="35" customWidth="1"/>
    <col min="16136" max="16136" width="14.42578125" style="35" bestFit="1" customWidth="1"/>
    <col min="16137" max="16137" width="10.7109375" style="35" customWidth="1"/>
    <col min="16138" max="16138" width="12.7109375" style="35" bestFit="1" customWidth="1"/>
    <col min="16139" max="16141" width="8.42578125" style="35" customWidth="1"/>
    <col min="16142" max="16144" width="13" style="35" customWidth="1"/>
    <col min="16145" max="16148" width="9.140625" style="35"/>
    <col min="16149" max="16149" width="8.7109375" style="35" customWidth="1"/>
    <col min="16150" max="16384" width="9.140625" style="35"/>
  </cols>
  <sheetData>
    <row r="2" spans="1:24" ht="15" x14ac:dyDescent="0.25">
      <c r="B2" s="63" t="str">
        <f>"Tariff Approval - "&amp;'Model update'!$C$3</f>
        <v>Tariff Approval - CitiPower</v>
      </c>
      <c r="D2" s="38"/>
      <c r="M2" s="77"/>
      <c r="N2" s="77"/>
      <c r="O2" s="77"/>
      <c r="P2" s="77"/>
      <c r="Q2" s="77"/>
      <c r="R2" s="77"/>
    </row>
    <row r="3" spans="1:24" ht="15" x14ac:dyDescent="0.25">
      <c r="B3" s="139"/>
      <c r="D3" s="38"/>
      <c r="M3" s="77"/>
      <c r="N3" s="77"/>
      <c r="O3" s="77"/>
      <c r="P3" s="77"/>
      <c r="Q3" s="77"/>
      <c r="R3" s="77"/>
    </row>
    <row r="4" spans="1:24" ht="18.75" x14ac:dyDescent="0.3">
      <c r="B4" s="140" t="s">
        <v>255</v>
      </c>
      <c r="C4" s="141"/>
      <c r="D4" s="38"/>
      <c r="M4" s="77"/>
      <c r="N4" s="77"/>
      <c r="O4" s="77"/>
      <c r="P4" s="77"/>
      <c r="Q4" s="77"/>
      <c r="R4" s="77"/>
    </row>
    <row r="5" spans="1:24" ht="15" x14ac:dyDescent="0.25">
      <c r="B5" s="39"/>
      <c r="D5" s="38"/>
      <c r="M5" s="77"/>
      <c r="N5" s="77"/>
      <c r="O5" s="77"/>
      <c r="P5" s="77"/>
      <c r="Q5" s="77"/>
      <c r="R5" s="77"/>
    </row>
    <row r="6" spans="1:24" ht="15" x14ac:dyDescent="0.25">
      <c r="B6" s="73" t="s">
        <v>220</v>
      </c>
      <c r="C6" s="93">
        <f>'Model update'!C5</f>
        <v>2019</v>
      </c>
      <c r="D6" s="38"/>
      <c r="M6" s="77"/>
      <c r="N6" s="77"/>
      <c r="O6" s="77"/>
      <c r="P6" s="77"/>
      <c r="Q6" s="77"/>
      <c r="R6" s="77"/>
    </row>
    <row r="7" spans="1:24" ht="15" x14ac:dyDescent="0.25">
      <c r="B7" s="37"/>
      <c r="C7" s="41"/>
      <c r="D7" s="38"/>
      <c r="E7" s="32"/>
      <c r="F7" s="32"/>
      <c r="G7" s="32"/>
      <c r="H7" s="32"/>
      <c r="I7" s="42"/>
      <c r="J7" s="42"/>
      <c r="K7" s="32"/>
      <c r="L7" s="32"/>
      <c r="M7" s="83"/>
      <c r="N7" s="83"/>
      <c r="O7" s="83"/>
      <c r="P7" s="83"/>
      <c r="Q7" s="83"/>
      <c r="R7" s="83"/>
      <c r="S7" s="32"/>
    </row>
    <row r="8" spans="1:24" ht="18" customHeight="1" x14ac:dyDescent="0.2">
      <c r="A8" s="43"/>
      <c r="B8" s="44" t="s">
        <v>269</v>
      </c>
      <c r="C8" s="46"/>
      <c r="D8" s="47"/>
      <c r="E8" s="47"/>
      <c r="M8" s="77"/>
      <c r="N8" s="77"/>
      <c r="O8" s="77"/>
      <c r="P8" s="77"/>
      <c r="Q8" s="77"/>
      <c r="R8" s="77"/>
    </row>
    <row r="9" spans="1:24" ht="18" customHeight="1" x14ac:dyDescent="0.2">
      <c r="A9" s="43"/>
      <c r="B9" s="48" t="s">
        <v>268</v>
      </c>
      <c r="C9" s="72">
        <f>Prop2019TransTar!BQ66</f>
        <v>105142388.12275313</v>
      </c>
      <c r="D9" s="47"/>
      <c r="E9" s="36"/>
      <c r="I9" s="35"/>
      <c r="J9" s="35"/>
      <c r="M9" s="77"/>
      <c r="N9" s="77"/>
      <c r="O9" s="77"/>
      <c r="P9" s="77"/>
      <c r="Q9" s="77"/>
      <c r="R9" s="77"/>
    </row>
    <row r="10" spans="1:24" ht="18" customHeight="1" x14ac:dyDescent="0.2">
      <c r="A10" s="43"/>
      <c r="B10" s="84" t="s">
        <v>266</v>
      </c>
      <c r="C10" s="85">
        <f>C17</f>
        <v>105144776.25896218</v>
      </c>
      <c r="D10" s="49"/>
      <c r="E10" s="145"/>
      <c r="I10" s="35"/>
      <c r="J10" s="35"/>
      <c r="M10" s="77"/>
      <c r="N10" s="77"/>
      <c r="O10" s="77"/>
      <c r="P10" s="77"/>
      <c r="Q10" s="77"/>
      <c r="R10" s="77"/>
    </row>
    <row r="11" spans="1:24" ht="18" customHeight="1" x14ac:dyDescent="0.25">
      <c r="A11" s="43"/>
      <c r="B11" s="86"/>
      <c r="C11" s="88" t="str">
        <f>IF(C9="","",IF(C10&gt;=C9,"DPPC REVENUE FORMULA COMPLIANT","DPPC REVENUE FORMULA BREACHED"))</f>
        <v>DPPC REVENUE FORMULA COMPLIANT</v>
      </c>
      <c r="D11" s="50"/>
      <c r="E11" s="74"/>
      <c r="F11" s="75"/>
      <c r="G11" s="75"/>
      <c r="H11" s="75"/>
      <c r="I11" s="75"/>
      <c r="J11" s="75"/>
      <c r="K11" s="75"/>
      <c r="L11" s="75"/>
      <c r="M11" s="77"/>
      <c r="N11" s="77"/>
      <c r="O11" s="77"/>
      <c r="P11" s="77"/>
      <c r="Q11" s="77"/>
      <c r="R11" s="77"/>
      <c r="V11" s="51"/>
      <c r="W11" s="51"/>
      <c r="X11" s="51"/>
    </row>
    <row r="12" spans="1:24" ht="18" customHeight="1" x14ac:dyDescent="0.25">
      <c r="A12" s="43"/>
      <c r="B12" s="50"/>
      <c r="C12" s="50"/>
      <c r="D12" s="50"/>
      <c r="E12" s="74"/>
      <c r="F12" s="75"/>
      <c r="G12" s="75"/>
      <c r="H12" s="75"/>
      <c r="I12" s="75"/>
      <c r="J12" s="75"/>
      <c r="K12" s="75"/>
      <c r="L12" s="75"/>
      <c r="M12" s="77"/>
      <c r="N12" s="77"/>
      <c r="O12" s="77"/>
      <c r="P12" s="77"/>
      <c r="Q12" s="77"/>
      <c r="R12" s="77"/>
      <c r="V12" s="51"/>
      <c r="W12" s="51"/>
      <c r="X12" s="51"/>
    </row>
    <row r="13" spans="1:24" ht="18" customHeight="1" x14ac:dyDescent="0.25">
      <c r="A13" s="43"/>
      <c r="B13" s="44" t="s">
        <v>252</v>
      </c>
      <c r="C13" s="50"/>
      <c r="D13" s="50"/>
      <c r="E13" s="74"/>
      <c r="F13" s="75"/>
      <c r="G13" s="75"/>
      <c r="H13" s="75"/>
      <c r="I13" s="75"/>
      <c r="J13" s="75"/>
      <c r="K13" s="75"/>
      <c r="L13" s="75"/>
      <c r="M13" s="77"/>
      <c r="N13" s="77"/>
      <c r="O13" s="77"/>
      <c r="P13" s="77"/>
      <c r="Q13" s="77"/>
      <c r="R13" s="77"/>
      <c r="V13" s="51"/>
      <c r="W13" s="51"/>
      <c r="X13" s="51"/>
    </row>
    <row r="14" spans="1:24" ht="18" customHeight="1" x14ac:dyDescent="0.25">
      <c r="A14" s="43"/>
      <c r="B14" s="53" t="s">
        <v>253</v>
      </c>
      <c r="C14" s="64">
        <f>C24</f>
        <v>99202908.066819429</v>
      </c>
      <c r="D14" s="50"/>
      <c r="E14" s="74"/>
      <c r="F14" s="75"/>
      <c r="G14" s="75"/>
      <c r="H14" s="75"/>
      <c r="I14" s="75"/>
      <c r="J14" s="75"/>
      <c r="K14" s="75"/>
      <c r="L14" s="75"/>
      <c r="M14" s="77"/>
      <c r="N14" s="77"/>
      <c r="O14" s="77"/>
      <c r="P14" s="77"/>
      <c r="Q14" s="77"/>
      <c r="R14" s="77"/>
      <c r="V14" s="51"/>
      <c r="W14" s="51"/>
      <c r="X14" s="51"/>
    </row>
    <row r="15" spans="1:24" ht="18" customHeight="1" x14ac:dyDescent="0.25">
      <c r="A15" s="43"/>
      <c r="B15" s="54" t="s">
        <v>254</v>
      </c>
      <c r="C15" s="774">
        <f>-E60*(1+E58)^0.5</f>
        <v>5941868.1921427622</v>
      </c>
      <c r="D15" s="50"/>
      <c r="E15" s="74"/>
      <c r="F15" s="75"/>
      <c r="G15" s="75"/>
      <c r="H15" s="75"/>
      <c r="I15" s="75"/>
      <c r="J15" s="75"/>
      <c r="K15" s="75"/>
      <c r="L15" s="75"/>
      <c r="M15" s="77"/>
      <c r="N15" s="77"/>
      <c r="O15" s="77"/>
      <c r="P15" s="77"/>
      <c r="Q15" s="77"/>
      <c r="R15" s="77"/>
      <c r="V15" s="51"/>
      <c r="W15" s="51"/>
      <c r="X15" s="51"/>
    </row>
    <row r="16" spans="1:24" ht="18" customHeight="1" x14ac:dyDescent="0.25">
      <c r="A16" s="43"/>
      <c r="B16" s="54" t="s">
        <v>251</v>
      </c>
      <c r="C16" s="675"/>
      <c r="D16" s="50"/>
      <c r="E16" s="74"/>
      <c r="F16" s="75"/>
      <c r="G16" s="75"/>
      <c r="H16" s="75"/>
      <c r="I16" s="75"/>
      <c r="J16" s="75"/>
      <c r="K16" s="75"/>
      <c r="L16" s="75"/>
      <c r="M16" s="77"/>
      <c r="N16" s="77"/>
      <c r="O16" s="77"/>
      <c r="P16" s="77"/>
      <c r="Q16" s="77"/>
      <c r="R16" s="77"/>
      <c r="V16" s="51"/>
      <c r="W16" s="51"/>
      <c r="X16" s="51"/>
    </row>
    <row r="17" spans="1:24" ht="18" customHeight="1" x14ac:dyDescent="0.25">
      <c r="A17" s="43"/>
      <c r="B17" s="48" t="s">
        <v>266</v>
      </c>
      <c r="C17" s="65">
        <f>SUM(C14:C16)</f>
        <v>105144776.25896218</v>
      </c>
      <c r="D17" s="50"/>
      <c r="E17" s="74"/>
      <c r="F17" s="75"/>
      <c r="G17" s="75"/>
      <c r="H17" s="75"/>
      <c r="I17" s="75"/>
      <c r="J17" s="75"/>
      <c r="K17" s="75"/>
      <c r="L17" s="75"/>
      <c r="M17" s="77"/>
      <c r="N17" s="77"/>
      <c r="O17" s="77"/>
      <c r="P17" s="77"/>
      <c r="Q17" s="77"/>
      <c r="R17" s="77"/>
      <c r="V17" s="51"/>
      <c r="W17" s="51"/>
      <c r="X17" s="51"/>
    </row>
    <row r="18" spans="1:24" ht="18" customHeight="1" x14ac:dyDescent="0.25">
      <c r="A18" s="43"/>
      <c r="B18" s="56"/>
      <c r="C18" s="91"/>
      <c r="D18" s="50"/>
      <c r="E18" s="74"/>
      <c r="F18" s="75"/>
      <c r="G18" s="75"/>
      <c r="H18" s="75"/>
      <c r="I18" s="75"/>
      <c r="J18" s="75"/>
      <c r="K18" s="75"/>
      <c r="L18" s="75"/>
      <c r="M18" s="77"/>
      <c r="N18" s="77"/>
      <c r="O18" s="77"/>
      <c r="P18" s="77"/>
      <c r="Q18" s="77"/>
      <c r="R18" s="77"/>
      <c r="V18" s="51"/>
      <c r="W18" s="51"/>
      <c r="X18" s="51"/>
    </row>
    <row r="19" spans="1:24" ht="18" customHeight="1" x14ac:dyDescent="0.25">
      <c r="A19" s="43"/>
      <c r="B19" s="44" t="s">
        <v>250</v>
      </c>
      <c r="C19" s="50"/>
      <c r="D19" s="50"/>
      <c r="E19" s="74"/>
      <c r="F19" s="75"/>
      <c r="G19" s="75"/>
      <c r="H19" s="75"/>
      <c r="I19" s="75"/>
      <c r="J19" s="75"/>
      <c r="K19" s="75"/>
      <c r="L19" s="75"/>
      <c r="M19" s="77"/>
      <c r="N19" s="77"/>
      <c r="O19" s="77"/>
      <c r="P19" s="77"/>
      <c r="Q19" s="77"/>
      <c r="R19" s="77"/>
      <c r="V19" s="51"/>
      <c r="W19" s="51"/>
      <c r="X19" s="51"/>
    </row>
    <row r="20" spans="1:24" ht="18" customHeight="1" x14ac:dyDescent="0.25">
      <c r="A20" s="43"/>
      <c r="B20" s="53" t="s">
        <v>247</v>
      </c>
      <c r="C20" s="793">
        <v>68066475.004517183</v>
      </c>
      <c r="D20" s="50"/>
      <c r="E20" s="74"/>
      <c r="F20" s="75"/>
      <c r="G20" s="75"/>
      <c r="H20" s="75"/>
      <c r="I20" s="75"/>
      <c r="J20" s="75"/>
      <c r="K20" s="75"/>
      <c r="L20" s="75"/>
      <c r="M20" s="77"/>
      <c r="N20" s="77"/>
      <c r="O20" s="77"/>
      <c r="P20" s="77"/>
      <c r="Q20" s="77"/>
      <c r="R20" s="77"/>
      <c r="V20" s="51"/>
      <c r="W20" s="51"/>
      <c r="X20" s="51"/>
    </row>
    <row r="21" spans="1:24" ht="18" customHeight="1" x14ac:dyDescent="0.25">
      <c r="A21" s="43"/>
      <c r="B21" s="54" t="s">
        <v>761</v>
      </c>
      <c r="C21" s="793">
        <v>27072647.759999998</v>
      </c>
      <c r="D21" s="50"/>
      <c r="E21" s="74"/>
      <c r="F21" s="75"/>
      <c r="G21" s="75"/>
      <c r="H21" s="75"/>
      <c r="I21" s="75"/>
      <c r="J21" s="75"/>
      <c r="K21" s="75"/>
      <c r="L21" s="75"/>
      <c r="M21" s="77"/>
      <c r="N21" s="77"/>
      <c r="O21" s="77"/>
      <c r="P21" s="77"/>
      <c r="Q21" s="77"/>
      <c r="R21" s="77"/>
      <c r="V21" s="51"/>
      <c r="W21" s="51"/>
      <c r="X21" s="51"/>
    </row>
    <row r="22" spans="1:24" ht="18" customHeight="1" x14ac:dyDescent="0.25">
      <c r="A22" s="43"/>
      <c r="B22" s="54" t="s">
        <v>248</v>
      </c>
      <c r="C22" s="793">
        <v>0</v>
      </c>
      <c r="D22" s="50"/>
      <c r="E22" s="74"/>
      <c r="F22" s="75"/>
      <c r="G22" s="75"/>
      <c r="H22" s="75"/>
      <c r="I22" s="75"/>
      <c r="J22" s="75"/>
      <c r="K22" s="75"/>
      <c r="L22" s="75"/>
      <c r="M22" s="77"/>
      <c r="N22" s="77"/>
      <c r="O22" s="77"/>
      <c r="P22" s="77"/>
      <c r="Q22" s="77"/>
      <c r="R22" s="77"/>
      <c r="V22" s="51"/>
      <c r="W22" s="51"/>
      <c r="X22" s="51"/>
    </row>
    <row r="23" spans="1:24" ht="18" customHeight="1" x14ac:dyDescent="0.25">
      <c r="A23" s="43"/>
      <c r="B23" s="54" t="s">
        <v>249</v>
      </c>
      <c r="C23" s="793">
        <v>-4063785.3023022399</v>
      </c>
      <c r="D23" s="50"/>
      <c r="E23" s="74"/>
      <c r="F23" s="75"/>
      <c r="G23" s="75"/>
      <c r="H23" s="75"/>
      <c r="I23" s="75"/>
      <c r="J23" s="75"/>
      <c r="K23" s="75"/>
      <c r="L23" s="75"/>
      <c r="M23" s="77"/>
      <c r="N23" s="77"/>
      <c r="O23" s="77"/>
      <c r="P23" s="77"/>
      <c r="Q23" s="77"/>
      <c r="R23" s="77"/>
      <c r="V23" s="51"/>
      <c r="W23" s="51"/>
      <c r="X23" s="51"/>
    </row>
    <row r="24" spans="1:24" ht="18" customHeight="1" x14ac:dyDescent="0.25">
      <c r="A24" s="43"/>
      <c r="B24" s="48" t="s">
        <v>245</v>
      </c>
      <c r="C24" s="65">
        <f>C20+C21+C22-C23</f>
        <v>99202908.066819429</v>
      </c>
      <c r="D24" s="50"/>
      <c r="E24" s="74"/>
      <c r="F24" s="75"/>
      <c r="G24" s="75"/>
      <c r="H24" s="75"/>
      <c r="I24" s="75"/>
      <c r="J24" s="75"/>
      <c r="K24" s="75"/>
      <c r="L24" s="75"/>
      <c r="M24" s="77"/>
      <c r="N24" s="77"/>
      <c r="O24" s="77"/>
      <c r="P24" s="77"/>
      <c r="Q24" s="77"/>
      <c r="R24" s="77"/>
      <c r="V24" s="51"/>
      <c r="W24" s="51"/>
      <c r="X24" s="51"/>
    </row>
    <row r="25" spans="1:24" ht="18" customHeight="1" x14ac:dyDescent="0.25">
      <c r="A25" s="43"/>
      <c r="B25" s="57"/>
      <c r="C25" s="68"/>
      <c r="D25" s="50"/>
      <c r="E25" s="74"/>
      <c r="F25" s="75"/>
      <c r="G25" s="75"/>
      <c r="H25" s="75"/>
      <c r="I25" s="75"/>
      <c r="J25" s="75"/>
      <c r="K25" s="75"/>
      <c r="L25" s="75"/>
      <c r="M25" s="77"/>
      <c r="N25" s="77"/>
      <c r="O25" s="77"/>
      <c r="P25" s="77"/>
      <c r="Q25" s="77"/>
      <c r="R25" s="77"/>
      <c r="V25" s="51"/>
      <c r="W25" s="51"/>
      <c r="X25" s="51"/>
    </row>
    <row r="29" spans="1:24" ht="15.75" x14ac:dyDescent="0.25">
      <c r="B29" s="105" t="s">
        <v>258</v>
      </c>
    </row>
    <row r="30" spans="1:24" ht="15" x14ac:dyDescent="0.25">
      <c r="B30" s="97"/>
      <c r="C30" s="110" t="s">
        <v>219</v>
      </c>
      <c r="D30" s="110" t="s">
        <v>486</v>
      </c>
      <c r="E30" s="110" t="s">
        <v>35</v>
      </c>
    </row>
    <row r="31" spans="1:24" ht="15" x14ac:dyDescent="0.25">
      <c r="B31" s="98"/>
      <c r="C31" s="111" t="s">
        <v>34</v>
      </c>
      <c r="D31" s="111" t="s">
        <v>395</v>
      </c>
      <c r="E31" s="111" t="s">
        <v>36</v>
      </c>
    </row>
    <row r="32" spans="1:24" ht="15" x14ac:dyDescent="0.25">
      <c r="B32" s="98"/>
      <c r="C32" s="112">
        <f>D32-1</f>
        <v>2017</v>
      </c>
      <c r="D32" s="112">
        <f>E32-1</f>
        <v>2018</v>
      </c>
      <c r="E32" s="112">
        <f>C$6</f>
        <v>2019</v>
      </c>
    </row>
    <row r="33" spans="2:8" x14ac:dyDescent="0.2">
      <c r="B33" s="391"/>
      <c r="C33" s="96"/>
      <c r="D33" s="96"/>
      <c r="E33" s="108"/>
    </row>
    <row r="34" spans="2:8" ht="15" x14ac:dyDescent="0.25">
      <c r="B34" s="613" t="s">
        <v>267</v>
      </c>
      <c r="C34" s="793">
        <v>98352282</v>
      </c>
      <c r="D34" s="605">
        <f>Est2018TransRev!BQ66</f>
        <v>105048673.61649781</v>
      </c>
      <c r="E34" s="95">
        <f>C9</f>
        <v>105142388.12275313</v>
      </c>
      <c r="H34" s="36"/>
    </row>
    <row r="35" spans="2:8" x14ac:dyDescent="0.2">
      <c r="B35" s="99"/>
      <c r="C35" s="96"/>
      <c r="D35" s="96"/>
      <c r="E35" s="107"/>
    </row>
    <row r="36" spans="2:8" x14ac:dyDescent="0.2">
      <c r="B36" s="99"/>
      <c r="C36" s="96"/>
      <c r="D36" s="96"/>
      <c r="E36" s="107"/>
    </row>
    <row r="37" spans="2:8" ht="15" x14ac:dyDescent="0.25">
      <c r="B37" s="100" t="s">
        <v>257</v>
      </c>
      <c r="C37" s="95">
        <f>SUM(C39:C41)</f>
        <v>105355839.26767975</v>
      </c>
      <c r="D37" s="95">
        <f>SUM(D39:D41)</f>
        <v>102336689.15778719</v>
      </c>
      <c r="E37" s="95">
        <f>SUM(E39:E41)</f>
        <v>99202908.066819429</v>
      </c>
    </row>
    <row r="38" spans="2:8" ht="15" x14ac:dyDescent="0.25">
      <c r="B38" s="100"/>
      <c r="C38" s="95"/>
      <c r="D38" s="95"/>
      <c r="E38" s="95"/>
    </row>
    <row r="39" spans="2:8" x14ac:dyDescent="0.2">
      <c r="B39" s="101" t="s">
        <v>260</v>
      </c>
      <c r="C39" s="728">
        <v>-1086575.7323202556</v>
      </c>
      <c r="D39" s="743"/>
      <c r="E39" s="720"/>
    </row>
    <row r="40" spans="2:8" x14ac:dyDescent="0.2">
      <c r="B40" s="101"/>
      <c r="C40" s="716"/>
      <c r="D40" s="716"/>
      <c r="E40" s="721"/>
    </row>
    <row r="41" spans="2:8" x14ac:dyDescent="0.2">
      <c r="B41" s="101" t="s">
        <v>261</v>
      </c>
      <c r="C41" s="94">
        <f>C42+C43+C44-C45</f>
        <v>106442415</v>
      </c>
      <c r="D41" s="94">
        <f>D42+D43+D44-D45</f>
        <v>102336689.15778719</v>
      </c>
      <c r="E41" s="94">
        <f>E42+E43+E44-E45</f>
        <v>99202908.066819429</v>
      </c>
    </row>
    <row r="42" spans="2:8" ht="15" x14ac:dyDescent="0.2">
      <c r="B42" s="102" t="s">
        <v>262</v>
      </c>
      <c r="C42" s="144">
        <f>'TUoS cost audit template'!F7</f>
        <v>70627734</v>
      </c>
      <c r="D42" s="794">
        <v>67609095.3324285</v>
      </c>
      <c r="E42" s="142">
        <f>C20</f>
        <v>68066475.004517183</v>
      </c>
    </row>
    <row r="43" spans="2:8" ht="15" x14ac:dyDescent="0.2">
      <c r="B43" s="102" t="s">
        <v>263</v>
      </c>
      <c r="C43" s="144">
        <f>'TUoS cost audit template'!F14</f>
        <v>32384292</v>
      </c>
      <c r="D43" s="794">
        <v>29114613.745454542</v>
      </c>
      <c r="E43" s="107">
        <f>C21</f>
        <v>27072647.759999998</v>
      </c>
    </row>
    <row r="44" spans="2:8" ht="15" x14ac:dyDescent="0.2">
      <c r="B44" s="102" t="s">
        <v>264</v>
      </c>
      <c r="C44" s="144">
        <f>'TUoS cost audit template'!F42</f>
        <v>0</v>
      </c>
      <c r="D44" s="794">
        <v>0</v>
      </c>
      <c r="E44" s="107">
        <f>C22</f>
        <v>0</v>
      </c>
    </row>
    <row r="45" spans="2:8" ht="15" x14ac:dyDescent="0.2">
      <c r="B45" s="102" t="s">
        <v>265</v>
      </c>
      <c r="C45" s="716">
        <f>'TUoS cost audit template'!F24</f>
        <v>-3430389</v>
      </c>
      <c r="D45" s="795">
        <v>-5612980.0799041502</v>
      </c>
      <c r="E45" s="117">
        <f>C23</f>
        <v>-4063785.3023022399</v>
      </c>
    </row>
    <row r="46" spans="2:8" ht="15" x14ac:dyDescent="0.25">
      <c r="B46" s="103"/>
      <c r="C46" s="96"/>
      <c r="D46" s="96"/>
      <c r="E46" s="107"/>
    </row>
    <row r="47" spans="2:8" x14ac:dyDescent="0.2">
      <c r="B47" s="101"/>
      <c r="C47" s="144"/>
      <c r="D47" s="144"/>
      <c r="E47" s="109"/>
    </row>
    <row r="48" spans="2:8" x14ac:dyDescent="0.2">
      <c r="B48" s="104"/>
      <c r="C48" s="96"/>
      <c r="D48" s="96"/>
      <c r="E48" s="107"/>
    </row>
    <row r="49" spans="2:7" ht="15" x14ac:dyDescent="0.25">
      <c r="B49" s="614" t="s">
        <v>45</v>
      </c>
      <c r="C49" s="95">
        <f>C34-C37</f>
        <v>-7003557.2676797509</v>
      </c>
      <c r="D49" s="95">
        <f>D34-D37</f>
        <v>2711984.4587106258</v>
      </c>
      <c r="E49" s="95">
        <f>E34-E37</f>
        <v>5939480.055933699</v>
      </c>
    </row>
    <row r="50" spans="2:7" x14ac:dyDescent="0.2">
      <c r="B50" s="40"/>
    </row>
    <row r="51" spans="2:7" x14ac:dyDescent="0.2">
      <c r="B51" s="40"/>
    </row>
    <row r="52" spans="2:7" x14ac:dyDescent="0.2">
      <c r="B52" s="40"/>
    </row>
    <row r="53" spans="2:7" ht="15.75" x14ac:dyDescent="0.25">
      <c r="B53" s="105" t="s">
        <v>259</v>
      </c>
    </row>
    <row r="54" spans="2:7" ht="15" x14ac:dyDescent="0.25">
      <c r="B54" s="615"/>
      <c r="C54" s="110" t="s">
        <v>219</v>
      </c>
      <c r="D54" s="110" t="s">
        <v>219</v>
      </c>
      <c r="E54" s="110" t="s">
        <v>35</v>
      </c>
    </row>
    <row r="55" spans="2:7" ht="15" x14ac:dyDescent="0.25">
      <c r="B55" s="104"/>
      <c r="C55" s="111" t="s">
        <v>34</v>
      </c>
      <c r="D55" s="111" t="s">
        <v>34</v>
      </c>
      <c r="E55" s="111" t="s">
        <v>36</v>
      </c>
    </row>
    <row r="56" spans="2:7" ht="15" x14ac:dyDescent="0.25">
      <c r="B56" s="616" t="s">
        <v>221</v>
      </c>
      <c r="C56" s="112">
        <f>D56-2</f>
        <v>2015</v>
      </c>
      <c r="D56" s="112">
        <f>E56-2</f>
        <v>2017</v>
      </c>
      <c r="E56" s="112">
        <f>C$6</f>
        <v>2019</v>
      </c>
    </row>
    <row r="57" spans="2:7" x14ac:dyDescent="0.2">
      <c r="B57" s="104"/>
      <c r="C57" s="106"/>
      <c r="D57" s="106"/>
      <c r="E57" s="108"/>
    </row>
    <row r="58" spans="2:7" x14ac:dyDescent="0.2">
      <c r="B58" s="104" t="s">
        <v>487</v>
      </c>
      <c r="C58" s="606">
        <f>(1+'Model update'!$B$47)*(1+'Model update'!$C$28)-1</f>
        <v>4.6729804402760422E-2</v>
      </c>
      <c r="D58" s="106">
        <f>(1+'Model update'!$B$45)*(1+'Model update'!$C$29)-1</f>
        <v>5.5656482586260436E-2</v>
      </c>
      <c r="E58" s="607">
        <f>(1+'Model update'!$B$43)*(1+'Model update'!$C$30)-1</f>
        <v>5.6586211801394226E-2</v>
      </c>
    </row>
    <row r="59" spans="2:7" x14ac:dyDescent="0.2">
      <c r="B59" s="104"/>
      <c r="C59" s="96"/>
      <c r="D59" s="96"/>
      <c r="E59" s="108"/>
    </row>
    <row r="60" spans="2:7" x14ac:dyDescent="0.2">
      <c r="B60" s="104" t="s">
        <v>47</v>
      </c>
      <c r="C60" s="728">
        <v>-907592.02394953754</v>
      </c>
      <c r="D60" s="107">
        <f>C64</f>
        <v>-8115330.03678679</v>
      </c>
      <c r="E60" s="107">
        <f>D64</f>
        <v>-5780568.396548898</v>
      </c>
    </row>
    <row r="61" spans="2:7" x14ac:dyDescent="0.2">
      <c r="B61" s="104" t="s">
        <v>488</v>
      </c>
      <c r="C61" s="144">
        <f>C60*C58</f>
        <v>-42411.597756667339</v>
      </c>
      <c r="D61" s="144">
        <f>D60*D58</f>
        <v>-451670.72487418022</v>
      </c>
      <c r="E61" s="144">
        <f>E60*E58</f>
        <v>-327100.46761956176</v>
      </c>
    </row>
    <row r="62" spans="2:7" x14ac:dyDescent="0.2">
      <c r="B62" s="104" t="s">
        <v>48</v>
      </c>
      <c r="C62" s="107">
        <f>C49</f>
        <v>-7003557.2676797509</v>
      </c>
      <c r="D62" s="107">
        <f>D49</f>
        <v>2711984.4587106258</v>
      </c>
      <c r="E62" s="107">
        <f>E49</f>
        <v>5939480.055933699</v>
      </c>
    </row>
    <row r="63" spans="2:7" x14ac:dyDescent="0.2">
      <c r="B63" s="104" t="s">
        <v>412</v>
      </c>
      <c r="C63" s="144">
        <f>C62*((1+C58)^0.5-1)</f>
        <v>-161769.14740083442</v>
      </c>
      <c r="D63" s="144">
        <f>D62*((1+D58)^0.5-1)</f>
        <v>74447.906401446831</v>
      </c>
      <c r="E63" s="144">
        <f>E62*((1+E58)^0.5-1)</f>
        <v>165734.033962457</v>
      </c>
    </row>
    <row r="64" spans="2:7" ht="15" x14ac:dyDescent="0.25">
      <c r="B64" s="614" t="s">
        <v>355</v>
      </c>
      <c r="C64" s="95">
        <f>SUM(C60:C63)</f>
        <v>-8115330.03678679</v>
      </c>
      <c r="D64" s="95">
        <f t="shared" ref="D64:E64" si="0">SUM(D60:D63)</f>
        <v>-5780568.396548898</v>
      </c>
      <c r="E64" s="95">
        <f t="shared" si="0"/>
        <v>-2454.7742723035335</v>
      </c>
      <c r="G64" s="750"/>
    </row>
    <row r="66" spans="2:2" x14ac:dyDescent="0.2">
      <c r="B66" s="673" t="s">
        <v>501</v>
      </c>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indexed="11"/>
    <pageSetUpPr fitToPage="1"/>
  </sheetPr>
  <dimension ref="A1:AO176"/>
  <sheetViews>
    <sheetView showGridLines="0" zoomScale="90" zoomScaleNormal="90" workbookViewId="0"/>
  </sheetViews>
  <sheetFormatPr defaultColWidth="9.140625" defaultRowHeight="12.75" x14ac:dyDescent="0.2"/>
  <cols>
    <col min="1" max="1" width="4.7109375" style="196" customWidth="1"/>
    <col min="2" max="2" width="35.140625" style="222" bestFit="1" customWidth="1"/>
    <col min="3" max="3" width="13" style="222" customWidth="1"/>
    <col min="4" max="4" width="16" style="222" customWidth="1"/>
    <col min="5" max="5" width="11.28515625" style="222" customWidth="1"/>
    <col min="6" max="6" width="15.140625" style="222" customWidth="1"/>
    <col min="7" max="13" width="10.5703125" style="196" customWidth="1"/>
    <col min="14" max="14" width="10.5703125" style="222" customWidth="1"/>
    <col min="15" max="16384" width="9.140625" style="222"/>
  </cols>
  <sheetData>
    <row r="1" spans="1:41" s="196" customFormat="1" ht="15.75" thickBot="1" x14ac:dyDescent="0.3">
      <c r="A1" s="89"/>
      <c r="B1" s="150" t="str">
        <f>"Tariff Approval - "&amp;'Model update'!C3</f>
        <v>Tariff Approval - CitiPower</v>
      </c>
    </row>
    <row r="2" spans="1:41" x14ac:dyDescent="0.2">
      <c r="B2" s="804" t="s">
        <v>224</v>
      </c>
      <c r="C2" s="805"/>
      <c r="D2" s="805"/>
      <c r="E2" s="155"/>
      <c r="F2" s="118" t="s">
        <v>225</v>
      </c>
      <c r="N2" s="196"/>
      <c r="O2" s="196"/>
      <c r="P2" s="196"/>
      <c r="Q2" s="196"/>
      <c r="R2" s="196"/>
      <c r="S2" s="196"/>
      <c r="T2" s="196"/>
      <c r="U2" s="196"/>
      <c r="V2" s="196"/>
      <c r="W2" s="196"/>
      <c r="X2" s="196"/>
      <c r="Y2" s="196"/>
      <c r="Z2" s="196"/>
      <c r="AA2" s="196"/>
      <c r="AB2" s="196"/>
      <c r="AC2" s="196"/>
      <c r="AD2" s="196"/>
      <c r="AE2" s="196"/>
      <c r="AF2" s="196"/>
      <c r="AG2" s="196"/>
      <c r="AH2" s="196"/>
      <c r="AI2" s="196"/>
      <c r="AJ2" s="196"/>
      <c r="AK2" s="196"/>
      <c r="AL2" s="196"/>
      <c r="AM2" s="196"/>
      <c r="AN2" s="196"/>
      <c r="AO2" s="196"/>
    </row>
    <row r="3" spans="1:41" x14ac:dyDescent="0.2">
      <c r="B3" s="806" t="s">
        <v>723</v>
      </c>
      <c r="C3" s="807"/>
      <c r="D3" s="807"/>
      <c r="E3" s="744"/>
      <c r="F3" s="119">
        <v>32678513</v>
      </c>
      <c r="N3" s="196"/>
      <c r="O3" s="196"/>
      <c r="P3" s="196"/>
      <c r="Q3" s="196"/>
      <c r="R3" s="196"/>
      <c r="S3" s="196"/>
      <c r="T3" s="196"/>
      <c r="U3" s="196"/>
      <c r="V3" s="196"/>
      <c r="W3" s="196"/>
      <c r="X3" s="196"/>
      <c r="Y3" s="196"/>
      <c r="Z3" s="196"/>
      <c r="AA3" s="196"/>
      <c r="AB3" s="196"/>
      <c r="AC3" s="196"/>
      <c r="AD3" s="196"/>
      <c r="AE3" s="196"/>
      <c r="AF3" s="196"/>
      <c r="AG3" s="196"/>
      <c r="AH3" s="196"/>
      <c r="AI3" s="196"/>
      <c r="AJ3" s="196"/>
      <c r="AK3" s="196"/>
      <c r="AL3" s="196"/>
      <c r="AM3" s="196"/>
      <c r="AN3" s="196"/>
      <c r="AO3" s="196"/>
    </row>
    <row r="4" spans="1:41" x14ac:dyDescent="0.2">
      <c r="B4" s="806" t="s">
        <v>724</v>
      </c>
      <c r="C4" s="807"/>
      <c r="D4" s="807"/>
      <c r="E4" s="744"/>
      <c r="F4" s="119">
        <v>36765221</v>
      </c>
      <c r="N4" s="196"/>
      <c r="O4" s="196"/>
      <c r="P4" s="196"/>
      <c r="Q4" s="196"/>
      <c r="R4" s="196"/>
      <c r="S4" s="196"/>
      <c r="T4" s="196"/>
      <c r="U4" s="196"/>
      <c r="V4" s="196"/>
      <c r="W4" s="196"/>
      <c r="X4" s="196"/>
      <c r="Y4" s="196"/>
      <c r="Z4" s="196"/>
      <c r="AA4" s="196"/>
      <c r="AB4" s="196"/>
      <c r="AC4" s="196"/>
      <c r="AD4" s="196"/>
      <c r="AE4" s="196"/>
      <c r="AF4" s="196"/>
      <c r="AG4" s="196"/>
      <c r="AH4" s="196"/>
      <c r="AI4" s="196"/>
      <c r="AJ4" s="196"/>
      <c r="AK4" s="196"/>
      <c r="AL4" s="196"/>
      <c r="AM4" s="196"/>
      <c r="AN4" s="196"/>
      <c r="AO4" s="196"/>
    </row>
    <row r="5" spans="1:41" x14ac:dyDescent="0.2">
      <c r="B5" s="806" t="s">
        <v>725</v>
      </c>
      <c r="C5" s="807"/>
      <c r="D5" s="807"/>
      <c r="E5" s="744"/>
      <c r="F5" s="119">
        <v>1184000</v>
      </c>
      <c r="N5" s="196"/>
      <c r="O5" s="196"/>
      <c r="P5" s="196"/>
      <c r="Q5" s="196"/>
      <c r="R5" s="196"/>
      <c r="S5" s="196"/>
      <c r="T5" s="196"/>
      <c r="U5" s="196"/>
      <c r="V5" s="196"/>
      <c r="W5" s="196"/>
      <c r="X5" s="196"/>
      <c r="Y5" s="196"/>
      <c r="Z5" s="196"/>
      <c r="AA5" s="196"/>
      <c r="AB5" s="196"/>
      <c r="AC5" s="196"/>
      <c r="AD5" s="196"/>
      <c r="AE5" s="196"/>
      <c r="AF5" s="196"/>
      <c r="AG5" s="196"/>
      <c r="AH5" s="196"/>
      <c r="AI5" s="196"/>
      <c r="AJ5" s="196"/>
      <c r="AK5" s="196"/>
      <c r="AL5" s="196"/>
      <c r="AM5" s="196"/>
      <c r="AN5" s="196"/>
      <c r="AO5" s="196"/>
    </row>
    <row r="6" spans="1:41" x14ac:dyDescent="0.2">
      <c r="B6" s="806" t="s">
        <v>726</v>
      </c>
      <c r="C6" s="807"/>
      <c r="D6" s="807"/>
      <c r="E6" s="744"/>
      <c r="F6" s="119">
        <v>0</v>
      </c>
      <c r="N6" s="196"/>
      <c r="O6" s="196"/>
      <c r="P6" s="196"/>
      <c r="Q6" s="196"/>
      <c r="R6" s="196"/>
      <c r="S6" s="196"/>
      <c r="T6" s="196"/>
      <c r="U6" s="196"/>
      <c r="V6" s="196"/>
      <c r="W6" s="196"/>
      <c r="X6" s="196"/>
      <c r="Y6" s="196"/>
      <c r="Z6" s="196"/>
      <c r="AA6" s="196"/>
      <c r="AB6" s="196"/>
      <c r="AC6" s="196"/>
      <c r="AD6" s="196"/>
      <c r="AE6" s="196"/>
      <c r="AF6" s="196"/>
      <c r="AG6" s="196"/>
      <c r="AH6" s="196"/>
      <c r="AI6" s="196"/>
      <c r="AJ6" s="196"/>
      <c r="AK6" s="196"/>
      <c r="AL6" s="196"/>
      <c r="AM6" s="196"/>
      <c r="AN6" s="196"/>
      <c r="AO6" s="196"/>
    </row>
    <row r="7" spans="1:41" ht="13.5" thickBot="1" x14ac:dyDescent="0.25">
      <c r="B7" s="802"/>
      <c r="C7" s="803"/>
      <c r="D7" s="803"/>
      <c r="E7" s="120" t="s">
        <v>122</v>
      </c>
      <c r="F7" s="121">
        <f>SUM(F3:F6)</f>
        <v>70627734</v>
      </c>
      <c r="N7" s="196"/>
      <c r="O7" s="196"/>
      <c r="P7" s="196"/>
      <c r="Q7" s="196"/>
      <c r="R7" s="196"/>
      <c r="S7" s="196"/>
      <c r="T7" s="196"/>
      <c r="U7" s="196"/>
      <c r="V7" s="196"/>
      <c r="W7" s="196"/>
      <c r="X7" s="196"/>
      <c r="Y7" s="196"/>
      <c r="Z7" s="196"/>
      <c r="AA7" s="196"/>
      <c r="AB7" s="196"/>
      <c r="AC7" s="196"/>
      <c r="AD7" s="196"/>
      <c r="AE7" s="196"/>
      <c r="AF7" s="196"/>
      <c r="AG7" s="196"/>
      <c r="AH7" s="196"/>
      <c r="AI7" s="196"/>
      <c r="AJ7" s="196"/>
      <c r="AK7" s="196"/>
      <c r="AL7" s="196"/>
      <c r="AM7" s="196"/>
      <c r="AN7" s="196"/>
      <c r="AO7" s="196"/>
    </row>
    <row r="8" spans="1:41" ht="13.5" thickBot="1" x14ac:dyDescent="0.25">
      <c r="B8" s="196"/>
      <c r="C8" s="196"/>
      <c r="D8" s="196"/>
      <c r="E8" s="196"/>
      <c r="F8" s="196"/>
      <c r="N8" s="196"/>
      <c r="O8" s="196"/>
      <c r="P8" s="196"/>
      <c r="Q8" s="196"/>
      <c r="R8" s="196"/>
      <c r="S8" s="196"/>
      <c r="T8" s="196"/>
      <c r="U8" s="196"/>
      <c r="V8" s="196"/>
      <c r="W8" s="196"/>
      <c r="X8" s="196"/>
      <c r="Y8" s="196"/>
      <c r="Z8" s="196"/>
      <c r="AA8" s="196"/>
      <c r="AB8" s="196"/>
      <c r="AC8" s="196"/>
      <c r="AD8" s="196"/>
      <c r="AE8" s="196"/>
      <c r="AF8" s="196"/>
      <c r="AG8" s="196"/>
      <c r="AH8" s="196"/>
      <c r="AI8" s="196"/>
      <c r="AJ8" s="196"/>
      <c r="AK8" s="196"/>
      <c r="AL8" s="196"/>
      <c r="AM8" s="196"/>
      <c r="AN8" s="196"/>
      <c r="AO8" s="196"/>
    </row>
    <row r="9" spans="1:41" x14ac:dyDescent="0.2">
      <c r="B9" s="804" t="s">
        <v>226</v>
      </c>
      <c r="C9" s="805"/>
      <c r="D9" s="805"/>
      <c r="E9" s="155"/>
      <c r="F9" s="118" t="s">
        <v>225</v>
      </c>
      <c r="N9" s="196"/>
      <c r="O9" s="196"/>
      <c r="P9" s="196"/>
      <c r="Q9" s="196"/>
      <c r="R9" s="196"/>
      <c r="S9" s="196"/>
      <c r="T9" s="196"/>
      <c r="U9" s="196"/>
      <c r="V9" s="196"/>
      <c r="W9" s="196"/>
      <c r="X9" s="196"/>
      <c r="Y9" s="196"/>
      <c r="Z9" s="196"/>
      <c r="AA9" s="196"/>
      <c r="AB9" s="196"/>
      <c r="AC9" s="196"/>
      <c r="AD9" s="196"/>
      <c r="AE9" s="196"/>
      <c r="AF9" s="196"/>
      <c r="AG9" s="196"/>
      <c r="AH9" s="196"/>
      <c r="AI9" s="196"/>
      <c r="AJ9" s="196"/>
      <c r="AK9" s="196"/>
      <c r="AL9" s="196"/>
      <c r="AM9" s="196"/>
      <c r="AN9" s="196"/>
      <c r="AO9" s="196"/>
    </row>
    <row r="10" spans="1:41" x14ac:dyDescent="0.2">
      <c r="B10" s="806"/>
      <c r="C10" s="807"/>
      <c r="D10" s="807"/>
      <c r="E10" s="158"/>
      <c r="F10" s="119"/>
      <c r="N10" s="196"/>
      <c r="O10" s="196"/>
      <c r="P10" s="196"/>
      <c r="Q10" s="196"/>
      <c r="R10" s="196"/>
      <c r="S10" s="196"/>
      <c r="T10" s="196"/>
      <c r="U10" s="196"/>
      <c r="V10" s="196"/>
      <c r="W10" s="196"/>
      <c r="X10" s="196"/>
      <c r="Y10" s="196"/>
      <c r="Z10" s="196"/>
      <c r="AA10" s="196"/>
      <c r="AB10" s="196"/>
      <c r="AC10" s="196"/>
      <c r="AD10" s="196"/>
      <c r="AE10" s="196"/>
      <c r="AF10" s="196"/>
      <c r="AG10" s="196"/>
      <c r="AH10" s="196"/>
      <c r="AI10" s="196"/>
      <c r="AJ10" s="196"/>
      <c r="AK10" s="196"/>
      <c r="AL10" s="196"/>
      <c r="AM10" s="196"/>
      <c r="AN10" s="196"/>
      <c r="AO10" s="196"/>
    </row>
    <row r="11" spans="1:41" x14ac:dyDescent="0.2">
      <c r="B11" s="806" t="s">
        <v>727</v>
      </c>
      <c r="C11" s="807"/>
      <c r="D11" s="807"/>
      <c r="E11" s="746"/>
      <c r="F11" s="119">
        <v>7255341</v>
      </c>
      <c r="N11" s="196"/>
      <c r="O11" s="196"/>
      <c r="P11" s="196"/>
      <c r="Q11" s="196"/>
      <c r="R11" s="196"/>
      <c r="S11" s="196"/>
      <c r="T11" s="196"/>
      <c r="U11" s="196"/>
      <c r="V11" s="196"/>
      <c r="W11" s="196"/>
      <c r="X11" s="196"/>
      <c r="Y11" s="196"/>
      <c r="Z11" s="196"/>
      <c r="AA11" s="196"/>
      <c r="AB11" s="196"/>
      <c r="AC11" s="196"/>
      <c r="AD11" s="196"/>
      <c r="AE11" s="196"/>
      <c r="AF11" s="196"/>
      <c r="AG11" s="196"/>
      <c r="AH11" s="196"/>
      <c r="AI11" s="196"/>
      <c r="AJ11" s="196"/>
      <c r="AK11" s="196"/>
      <c r="AL11" s="196"/>
      <c r="AM11" s="196"/>
      <c r="AN11" s="196"/>
      <c r="AO11" s="196"/>
    </row>
    <row r="12" spans="1:41" x14ac:dyDescent="0.2">
      <c r="B12" s="806" t="s">
        <v>728</v>
      </c>
      <c r="C12" s="807"/>
      <c r="D12" s="807"/>
      <c r="E12" s="746"/>
      <c r="F12" s="119">
        <v>25128951</v>
      </c>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row>
    <row r="13" spans="1:41" x14ac:dyDescent="0.2">
      <c r="B13" s="806"/>
      <c r="C13" s="807"/>
      <c r="D13" s="807"/>
      <c r="E13" s="158"/>
      <c r="F13" s="119"/>
      <c r="N13" s="196"/>
      <c r="O13" s="196"/>
      <c r="P13" s="196"/>
      <c r="Q13" s="196"/>
      <c r="R13" s="196"/>
      <c r="S13" s="196"/>
      <c r="T13" s="196"/>
      <c r="U13" s="196"/>
      <c r="V13" s="196"/>
      <c r="W13" s="196"/>
      <c r="X13" s="196"/>
      <c r="Y13" s="196"/>
      <c r="Z13" s="196"/>
      <c r="AA13" s="196"/>
      <c r="AB13" s="196"/>
      <c r="AC13" s="196"/>
      <c r="AD13" s="196"/>
      <c r="AE13" s="196"/>
      <c r="AF13" s="196"/>
      <c r="AG13" s="196"/>
      <c r="AH13" s="196"/>
      <c r="AI13" s="196"/>
      <c r="AJ13" s="196"/>
      <c r="AK13" s="196"/>
      <c r="AL13" s="196"/>
      <c r="AM13" s="196"/>
      <c r="AN13" s="196"/>
      <c r="AO13" s="196"/>
    </row>
    <row r="14" spans="1:41" ht="13.5" thickBot="1" x14ac:dyDescent="0.25">
      <c r="B14" s="802"/>
      <c r="C14" s="803"/>
      <c r="D14" s="803"/>
      <c r="E14" s="120" t="s">
        <v>122</v>
      </c>
      <c r="F14" s="121">
        <f>SUM(F10:F13)</f>
        <v>32384292</v>
      </c>
      <c r="N14" s="196"/>
      <c r="O14" s="196"/>
      <c r="P14" s="196"/>
      <c r="Q14" s="196"/>
      <c r="R14" s="196"/>
      <c r="S14" s="196"/>
      <c r="T14" s="196"/>
      <c r="U14" s="196"/>
      <c r="V14" s="196"/>
      <c r="W14" s="196"/>
      <c r="X14" s="196"/>
      <c r="Y14" s="196"/>
      <c r="Z14" s="196"/>
      <c r="AA14" s="196"/>
      <c r="AB14" s="196"/>
      <c r="AC14" s="196"/>
      <c r="AD14" s="196"/>
      <c r="AE14" s="196"/>
      <c r="AF14" s="196"/>
      <c r="AG14" s="196"/>
      <c r="AH14" s="196"/>
      <c r="AI14" s="196"/>
      <c r="AJ14" s="196"/>
      <c r="AK14" s="196"/>
      <c r="AL14" s="196"/>
      <c r="AM14" s="196"/>
      <c r="AN14" s="196"/>
      <c r="AO14" s="196"/>
    </row>
    <row r="15" spans="1:41" ht="13.5" thickBot="1" x14ac:dyDescent="0.25">
      <c r="B15" s="196"/>
      <c r="C15" s="196"/>
      <c r="D15" s="196"/>
      <c r="E15" s="196"/>
      <c r="F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row>
    <row r="16" spans="1:41" x14ac:dyDescent="0.2">
      <c r="B16" s="122" t="s">
        <v>227</v>
      </c>
      <c r="C16" s="123"/>
      <c r="D16" s="123"/>
      <c r="E16" s="123"/>
      <c r="F16" s="124" t="s">
        <v>225</v>
      </c>
      <c r="N16" s="196"/>
      <c r="O16" s="196"/>
      <c r="P16" s="196"/>
      <c r="Q16" s="196"/>
      <c r="R16" s="196"/>
      <c r="S16" s="196"/>
      <c r="T16" s="196"/>
      <c r="U16" s="196"/>
      <c r="V16" s="196"/>
      <c r="W16" s="196"/>
      <c r="X16" s="196"/>
      <c r="Y16" s="196"/>
      <c r="Z16" s="196"/>
      <c r="AA16" s="196"/>
      <c r="AB16" s="196"/>
      <c r="AC16" s="196"/>
      <c r="AD16" s="196"/>
      <c r="AE16" s="196"/>
      <c r="AF16" s="196"/>
      <c r="AG16" s="196"/>
      <c r="AH16" s="196"/>
      <c r="AI16" s="196"/>
      <c r="AJ16" s="196"/>
      <c r="AK16" s="196"/>
      <c r="AL16" s="196"/>
      <c r="AM16" s="196"/>
      <c r="AN16" s="196"/>
      <c r="AO16" s="196"/>
    </row>
    <row r="17" spans="2:41" x14ac:dyDescent="0.2">
      <c r="B17" s="808" t="s">
        <v>228</v>
      </c>
      <c r="C17" s="810" t="s">
        <v>229</v>
      </c>
      <c r="D17" s="810"/>
      <c r="E17" s="810"/>
      <c r="F17" s="811"/>
      <c r="N17" s="196"/>
      <c r="O17" s="196"/>
      <c r="P17" s="196"/>
      <c r="Q17" s="196"/>
      <c r="R17" s="196"/>
      <c r="S17" s="196"/>
      <c r="T17" s="196"/>
      <c r="U17" s="196"/>
      <c r="V17" s="196"/>
      <c r="W17" s="196"/>
      <c r="X17" s="196"/>
      <c r="Y17" s="196"/>
      <c r="Z17" s="196"/>
      <c r="AA17" s="196"/>
      <c r="AB17" s="196"/>
      <c r="AC17" s="196"/>
      <c r="AD17" s="196"/>
      <c r="AE17" s="196"/>
      <c r="AF17" s="196"/>
      <c r="AG17" s="196"/>
      <c r="AH17" s="196"/>
      <c r="AI17" s="196"/>
      <c r="AJ17" s="196"/>
      <c r="AK17" s="196"/>
      <c r="AL17" s="196"/>
      <c r="AM17" s="196"/>
      <c r="AN17" s="196"/>
      <c r="AO17" s="196"/>
    </row>
    <row r="18" spans="2:41" ht="25.5" x14ac:dyDescent="0.2">
      <c r="B18" s="809"/>
      <c r="C18" s="125" t="s">
        <v>230</v>
      </c>
      <c r="D18" s="125" t="s">
        <v>231</v>
      </c>
      <c r="E18" s="125" t="s">
        <v>232</v>
      </c>
      <c r="F18" s="126" t="s">
        <v>122</v>
      </c>
      <c r="N18" s="196"/>
      <c r="O18" s="196"/>
      <c r="P18" s="196"/>
      <c r="Q18" s="196"/>
      <c r="R18" s="196"/>
      <c r="S18" s="196"/>
      <c r="T18" s="196"/>
      <c r="U18" s="196"/>
      <c r="V18" s="196"/>
      <c r="W18" s="196"/>
      <c r="X18" s="196"/>
      <c r="Y18" s="196"/>
      <c r="Z18" s="196"/>
      <c r="AA18" s="196"/>
      <c r="AB18" s="196"/>
      <c r="AC18" s="196"/>
      <c r="AD18" s="196"/>
      <c r="AE18" s="196"/>
      <c r="AF18" s="196"/>
      <c r="AG18" s="196"/>
      <c r="AH18" s="196"/>
      <c r="AI18" s="196"/>
      <c r="AJ18" s="196"/>
      <c r="AK18" s="196"/>
      <c r="AL18" s="196"/>
      <c r="AM18" s="196"/>
      <c r="AN18" s="196"/>
      <c r="AO18" s="196"/>
    </row>
    <row r="19" spans="2:41" x14ac:dyDescent="0.2">
      <c r="B19" s="156"/>
      <c r="C19" s="127"/>
      <c r="D19" s="128"/>
      <c r="E19" s="129"/>
      <c r="F19" s="130"/>
      <c r="N19" s="196"/>
      <c r="O19" s="196"/>
      <c r="P19" s="196"/>
      <c r="Q19" s="196"/>
      <c r="R19" s="196"/>
      <c r="S19" s="196"/>
      <c r="T19" s="196"/>
      <c r="U19" s="196"/>
      <c r="V19" s="196"/>
      <c r="W19" s="196"/>
      <c r="X19" s="196"/>
      <c r="Y19" s="196"/>
      <c r="Z19" s="196"/>
      <c r="AA19" s="196"/>
      <c r="AB19" s="196"/>
      <c r="AC19" s="196"/>
      <c r="AD19" s="196"/>
      <c r="AE19" s="196"/>
      <c r="AF19" s="196"/>
      <c r="AG19" s="196"/>
      <c r="AH19" s="196"/>
      <c r="AI19" s="196"/>
      <c r="AJ19" s="196"/>
      <c r="AK19" s="196"/>
      <c r="AL19" s="196"/>
      <c r="AM19" s="196"/>
      <c r="AN19" s="196"/>
      <c r="AO19" s="196"/>
    </row>
    <row r="20" spans="2:41" x14ac:dyDescent="0.2">
      <c r="B20" s="745" t="s">
        <v>82</v>
      </c>
      <c r="C20" s="127">
        <v>0</v>
      </c>
      <c r="D20" s="127">
        <v>-3430389</v>
      </c>
      <c r="E20" s="127">
        <v>0</v>
      </c>
      <c r="F20" s="131">
        <f>SUM(C20:E20)</f>
        <v>-3430389</v>
      </c>
      <c r="N20" s="196"/>
      <c r="O20" s="196"/>
      <c r="P20" s="196"/>
      <c r="Q20" s="196"/>
      <c r="R20" s="196"/>
      <c r="S20" s="196"/>
      <c r="T20" s="196"/>
      <c r="U20" s="196"/>
      <c r="V20" s="196"/>
      <c r="W20" s="196"/>
      <c r="X20" s="196"/>
      <c r="Y20" s="196"/>
      <c r="Z20" s="196"/>
      <c r="AA20" s="196"/>
      <c r="AB20" s="196"/>
      <c r="AC20" s="196"/>
      <c r="AD20" s="196"/>
      <c r="AE20" s="196"/>
      <c r="AF20" s="196"/>
      <c r="AG20" s="196"/>
      <c r="AH20" s="196"/>
      <c r="AI20" s="196"/>
      <c r="AJ20" s="196"/>
      <c r="AK20" s="196"/>
      <c r="AL20" s="196"/>
      <c r="AM20" s="196"/>
      <c r="AN20" s="196"/>
      <c r="AO20" s="196"/>
    </row>
    <row r="21" spans="2:41" x14ac:dyDescent="0.2">
      <c r="B21" s="745" t="s">
        <v>729</v>
      </c>
      <c r="C21" s="127">
        <v>0</v>
      </c>
      <c r="D21" s="127">
        <v>0</v>
      </c>
      <c r="E21" s="127">
        <v>0</v>
      </c>
      <c r="F21" s="131">
        <f>SUM(C21:E21)</f>
        <v>0</v>
      </c>
      <c r="N21" s="196"/>
      <c r="O21" s="196"/>
      <c r="P21" s="196"/>
      <c r="Q21" s="196"/>
      <c r="R21" s="196"/>
      <c r="S21" s="196"/>
      <c r="T21" s="196"/>
      <c r="U21" s="196"/>
      <c r="V21" s="196"/>
      <c r="W21" s="196"/>
      <c r="X21" s="196"/>
      <c r="Y21" s="196"/>
      <c r="Z21" s="196"/>
      <c r="AA21" s="196"/>
      <c r="AB21" s="196"/>
      <c r="AC21" s="196"/>
      <c r="AD21" s="196"/>
      <c r="AE21" s="196"/>
      <c r="AF21" s="196"/>
      <c r="AG21" s="196"/>
      <c r="AH21" s="196"/>
      <c r="AI21" s="196"/>
      <c r="AJ21" s="196"/>
      <c r="AK21" s="196"/>
      <c r="AL21" s="196"/>
      <c r="AM21" s="196"/>
      <c r="AN21" s="196"/>
      <c r="AO21" s="196"/>
    </row>
    <row r="22" spans="2:41" x14ac:dyDescent="0.2">
      <c r="B22" s="156"/>
      <c r="C22" s="127"/>
      <c r="D22" s="127"/>
      <c r="E22" s="127"/>
      <c r="F22" s="131">
        <f>SUM(C22:E22)</f>
        <v>0</v>
      </c>
      <c r="N22" s="196"/>
      <c r="O22" s="196"/>
      <c r="P22" s="196"/>
      <c r="Q22" s="196"/>
      <c r="R22" s="196"/>
      <c r="S22" s="196"/>
      <c r="T22" s="196"/>
      <c r="U22" s="196"/>
      <c r="V22" s="196"/>
      <c r="W22" s="196"/>
      <c r="X22" s="196"/>
      <c r="Y22" s="196"/>
      <c r="Z22" s="196"/>
      <c r="AA22" s="196"/>
      <c r="AB22" s="196"/>
      <c r="AC22" s="196"/>
      <c r="AD22" s="196"/>
      <c r="AE22" s="196"/>
      <c r="AF22" s="196"/>
      <c r="AG22" s="196"/>
      <c r="AH22" s="196"/>
      <c r="AI22" s="196"/>
      <c r="AJ22" s="196"/>
      <c r="AK22" s="196"/>
      <c r="AL22" s="196"/>
      <c r="AM22" s="196"/>
      <c r="AN22" s="196"/>
      <c r="AO22" s="196"/>
    </row>
    <row r="23" spans="2:41" x14ac:dyDescent="0.2">
      <c r="B23" s="156"/>
      <c r="C23" s="127"/>
      <c r="D23" s="127"/>
      <c r="E23" s="132"/>
      <c r="F23" s="130">
        <f>SUM(C23:E23)</f>
        <v>0</v>
      </c>
      <c r="N23" s="196"/>
      <c r="O23" s="196"/>
      <c r="P23" s="196"/>
      <c r="Q23" s="196"/>
      <c r="R23" s="196"/>
      <c r="S23" s="196"/>
      <c r="T23" s="196"/>
      <c r="U23" s="196"/>
      <c r="V23" s="196"/>
      <c r="W23" s="196"/>
      <c r="X23" s="196"/>
      <c r="Y23" s="196"/>
      <c r="Z23" s="196"/>
      <c r="AA23" s="196"/>
      <c r="AB23" s="196"/>
      <c r="AC23" s="196"/>
      <c r="AD23" s="196"/>
      <c r="AE23" s="196"/>
      <c r="AF23" s="196"/>
      <c r="AG23" s="196"/>
      <c r="AH23" s="196"/>
      <c r="AI23" s="196"/>
      <c r="AJ23" s="196"/>
      <c r="AK23" s="196"/>
      <c r="AL23" s="196"/>
      <c r="AM23" s="196"/>
      <c r="AN23" s="196"/>
      <c r="AO23" s="196"/>
    </row>
    <row r="24" spans="2:41" ht="13.5" thickBot="1" x14ac:dyDescent="0.25">
      <c r="B24" s="133" t="s">
        <v>122</v>
      </c>
      <c r="C24" s="134"/>
      <c r="D24" s="134"/>
      <c r="E24" s="135"/>
      <c r="F24" s="121">
        <f>SUM(F19:F23)</f>
        <v>-3430389</v>
      </c>
      <c r="N24" s="196"/>
      <c r="O24" s="196"/>
      <c r="P24" s="196"/>
      <c r="Q24" s="196"/>
      <c r="R24" s="196"/>
      <c r="S24" s="196"/>
      <c r="T24" s="196"/>
      <c r="U24" s="196"/>
      <c r="V24" s="196"/>
      <c r="W24" s="196"/>
      <c r="X24" s="196"/>
      <c r="Y24" s="196"/>
      <c r="Z24" s="196"/>
      <c r="AA24" s="196"/>
      <c r="AB24" s="196"/>
      <c r="AC24" s="196"/>
      <c r="AD24" s="196"/>
      <c r="AE24" s="196"/>
      <c r="AF24" s="196"/>
      <c r="AG24" s="196"/>
      <c r="AH24" s="196"/>
      <c r="AI24" s="196"/>
      <c r="AJ24" s="196"/>
      <c r="AK24" s="196"/>
      <c r="AL24" s="196"/>
      <c r="AM24" s="196"/>
      <c r="AN24" s="196"/>
      <c r="AO24" s="196"/>
    </row>
    <row r="25" spans="2:41" ht="13.5" thickBot="1" x14ac:dyDescent="0.25">
      <c r="B25" s="196"/>
      <c r="C25" s="196"/>
      <c r="D25" s="196"/>
      <c r="E25" s="196"/>
      <c r="F25" s="196"/>
      <c r="N25" s="196"/>
      <c r="O25" s="196"/>
      <c r="P25" s="196"/>
      <c r="Q25" s="196"/>
      <c r="R25" s="196"/>
      <c r="S25" s="196"/>
      <c r="T25" s="196"/>
      <c r="U25" s="196"/>
      <c r="V25" s="196"/>
      <c r="W25" s="196"/>
      <c r="X25" s="196"/>
      <c r="Y25" s="196"/>
      <c r="Z25" s="196"/>
      <c r="AA25" s="196"/>
      <c r="AB25" s="196"/>
      <c r="AC25" s="196"/>
      <c r="AD25" s="196"/>
      <c r="AE25" s="196"/>
      <c r="AF25" s="196"/>
      <c r="AG25" s="196"/>
      <c r="AH25" s="196"/>
      <c r="AI25" s="196"/>
      <c r="AJ25" s="196"/>
      <c r="AK25" s="196"/>
      <c r="AL25" s="196"/>
      <c r="AM25" s="196"/>
      <c r="AN25" s="196"/>
      <c r="AO25" s="196"/>
    </row>
    <row r="26" spans="2:41" x14ac:dyDescent="0.2">
      <c r="B26" s="804" t="s">
        <v>233</v>
      </c>
      <c r="C26" s="805"/>
      <c r="D26" s="805"/>
      <c r="E26" s="155"/>
      <c r="F26" s="118" t="s">
        <v>225</v>
      </c>
      <c r="N26" s="196"/>
      <c r="O26" s="196"/>
      <c r="P26" s="196"/>
      <c r="Q26" s="196"/>
      <c r="R26" s="196"/>
      <c r="S26" s="196"/>
      <c r="T26" s="196"/>
      <c r="U26" s="196"/>
      <c r="V26" s="196"/>
      <c r="W26" s="196"/>
      <c r="X26" s="196"/>
      <c r="Y26" s="196"/>
      <c r="Z26" s="196"/>
      <c r="AA26" s="196"/>
      <c r="AB26" s="196"/>
      <c r="AC26" s="196"/>
      <c r="AD26" s="196"/>
      <c r="AE26" s="196"/>
      <c r="AF26" s="196"/>
      <c r="AG26" s="196"/>
      <c r="AH26" s="196"/>
      <c r="AI26" s="196"/>
      <c r="AJ26" s="196"/>
      <c r="AK26" s="196"/>
      <c r="AL26" s="196"/>
      <c r="AM26" s="196"/>
      <c r="AN26" s="196"/>
      <c r="AO26" s="196"/>
    </row>
    <row r="27" spans="2:41" x14ac:dyDescent="0.2">
      <c r="B27" s="812" t="s">
        <v>234</v>
      </c>
      <c r="C27" s="813"/>
      <c r="D27" s="813"/>
      <c r="E27" s="157"/>
      <c r="F27" s="136"/>
      <c r="N27" s="196"/>
      <c r="O27" s="196"/>
      <c r="P27" s="196"/>
      <c r="Q27" s="196"/>
      <c r="R27" s="196"/>
      <c r="S27" s="196"/>
      <c r="T27" s="196"/>
      <c r="U27" s="196"/>
      <c r="V27" s="196"/>
      <c r="W27" s="196"/>
      <c r="X27" s="196"/>
      <c r="Y27" s="196"/>
      <c r="Z27" s="196"/>
      <c r="AA27" s="196"/>
      <c r="AB27" s="196"/>
      <c r="AC27" s="196"/>
      <c r="AD27" s="196"/>
      <c r="AE27" s="196"/>
      <c r="AF27" s="196"/>
      <c r="AG27" s="196"/>
      <c r="AH27" s="196"/>
      <c r="AI27" s="196"/>
      <c r="AJ27" s="196"/>
      <c r="AK27" s="196"/>
      <c r="AL27" s="196"/>
      <c r="AM27" s="196"/>
      <c r="AN27" s="196"/>
      <c r="AO27" s="196"/>
    </row>
    <row r="28" spans="2:41" x14ac:dyDescent="0.2">
      <c r="B28" s="806"/>
      <c r="C28" s="814"/>
      <c r="D28" s="814"/>
      <c r="E28" s="158"/>
      <c r="F28" s="119"/>
      <c r="N28" s="196"/>
      <c r="O28" s="196"/>
      <c r="P28" s="196"/>
      <c r="Q28" s="196"/>
      <c r="R28" s="196"/>
      <c r="S28" s="196"/>
      <c r="T28" s="196"/>
      <c r="U28" s="196"/>
      <c r="V28" s="196"/>
      <c r="W28" s="196"/>
      <c r="X28" s="196"/>
      <c r="Y28" s="196"/>
      <c r="Z28" s="196"/>
      <c r="AA28" s="196"/>
      <c r="AB28" s="196"/>
      <c r="AC28" s="196"/>
      <c r="AD28" s="196"/>
      <c r="AE28" s="196"/>
      <c r="AF28" s="196"/>
      <c r="AG28" s="196"/>
      <c r="AH28" s="196"/>
      <c r="AI28" s="196"/>
      <c r="AJ28" s="196"/>
      <c r="AK28" s="196"/>
      <c r="AL28" s="196"/>
      <c r="AM28" s="196"/>
      <c r="AN28" s="196"/>
      <c r="AO28" s="196"/>
    </row>
    <row r="29" spans="2:41" x14ac:dyDescent="0.2">
      <c r="B29" s="156" t="s">
        <v>235</v>
      </c>
      <c r="C29" s="158"/>
      <c r="D29" s="158"/>
      <c r="E29" s="158"/>
      <c r="F29" s="119">
        <v>0</v>
      </c>
      <c r="N29" s="196"/>
      <c r="O29" s="196"/>
      <c r="P29" s="196"/>
      <c r="Q29" s="196"/>
      <c r="R29" s="196"/>
      <c r="S29" s="196"/>
      <c r="T29" s="196"/>
      <c r="U29" s="196"/>
      <c r="V29" s="196"/>
      <c r="W29" s="196"/>
      <c r="X29" s="196"/>
      <c r="Y29" s="196"/>
      <c r="Z29" s="196"/>
      <c r="AA29" s="196"/>
      <c r="AB29" s="196"/>
      <c r="AC29" s="196"/>
      <c r="AD29" s="196"/>
      <c r="AE29" s="196"/>
      <c r="AF29" s="196"/>
      <c r="AG29" s="196"/>
      <c r="AH29" s="196"/>
      <c r="AI29" s="196"/>
      <c r="AJ29" s="196"/>
      <c r="AK29" s="196"/>
      <c r="AL29" s="196"/>
      <c r="AM29" s="196"/>
      <c r="AN29" s="196"/>
      <c r="AO29" s="196"/>
    </row>
    <row r="30" spans="2:41" x14ac:dyDescent="0.2">
      <c r="B30" s="156"/>
      <c r="C30" s="158"/>
      <c r="D30" s="158"/>
      <c r="E30" s="158"/>
      <c r="F30" s="119"/>
      <c r="N30" s="196"/>
      <c r="O30" s="196"/>
      <c r="P30" s="196"/>
      <c r="Q30" s="196"/>
      <c r="R30" s="196"/>
      <c r="S30" s="196"/>
      <c r="T30" s="196"/>
      <c r="U30" s="196"/>
      <c r="V30" s="196"/>
      <c r="W30" s="196"/>
      <c r="X30" s="196"/>
      <c r="Y30" s="196"/>
      <c r="Z30" s="196"/>
      <c r="AA30" s="196"/>
      <c r="AB30" s="196"/>
      <c r="AC30" s="196"/>
      <c r="AD30" s="196"/>
      <c r="AE30" s="196"/>
      <c r="AF30" s="196"/>
      <c r="AG30" s="196"/>
      <c r="AH30" s="196"/>
      <c r="AI30" s="196"/>
      <c r="AJ30" s="196"/>
      <c r="AK30" s="196"/>
      <c r="AL30" s="196"/>
      <c r="AM30" s="196"/>
      <c r="AN30" s="196"/>
      <c r="AO30" s="196"/>
    </row>
    <row r="31" spans="2:41" x14ac:dyDescent="0.2">
      <c r="B31" s="156"/>
      <c r="C31" s="158"/>
      <c r="D31" s="158"/>
      <c r="E31" s="158"/>
      <c r="F31" s="119"/>
      <c r="N31" s="196"/>
      <c r="O31" s="196"/>
      <c r="P31" s="196"/>
      <c r="Q31" s="196"/>
      <c r="R31" s="196"/>
      <c r="S31" s="196"/>
      <c r="T31" s="196"/>
      <c r="U31" s="196"/>
      <c r="V31" s="196"/>
      <c r="W31" s="196"/>
      <c r="X31" s="196"/>
      <c r="Y31" s="196"/>
      <c r="Z31" s="196"/>
      <c r="AA31" s="196"/>
      <c r="AB31" s="196"/>
      <c r="AC31" s="196"/>
      <c r="AD31" s="196"/>
      <c r="AE31" s="196"/>
      <c r="AF31" s="196"/>
      <c r="AG31" s="196"/>
      <c r="AH31" s="196"/>
      <c r="AI31" s="196"/>
      <c r="AJ31" s="196"/>
      <c r="AK31" s="196"/>
      <c r="AL31" s="196"/>
      <c r="AM31" s="196"/>
      <c r="AN31" s="196"/>
      <c r="AO31" s="196"/>
    </row>
    <row r="32" spans="2:41" x14ac:dyDescent="0.2">
      <c r="B32" s="806"/>
      <c r="C32" s="807"/>
      <c r="D32" s="807"/>
      <c r="E32" s="158"/>
      <c r="F32" s="137"/>
      <c r="N32" s="196"/>
      <c r="O32" s="196"/>
      <c r="P32" s="196"/>
      <c r="Q32" s="196"/>
      <c r="R32" s="196"/>
      <c r="S32" s="196"/>
      <c r="T32" s="196"/>
      <c r="U32" s="196"/>
      <c r="V32" s="196"/>
      <c r="W32" s="196"/>
      <c r="X32" s="196"/>
      <c r="Y32" s="196"/>
      <c r="Z32" s="196"/>
      <c r="AA32" s="196"/>
      <c r="AB32" s="196"/>
      <c r="AC32" s="196"/>
      <c r="AD32" s="196"/>
      <c r="AE32" s="196"/>
      <c r="AF32" s="196"/>
      <c r="AG32" s="196"/>
      <c r="AH32" s="196"/>
      <c r="AI32" s="196"/>
      <c r="AJ32" s="196"/>
      <c r="AK32" s="196"/>
      <c r="AL32" s="196"/>
      <c r="AM32" s="196"/>
      <c r="AN32" s="196"/>
      <c r="AO32" s="196"/>
    </row>
    <row r="33" spans="1:41" x14ac:dyDescent="0.2">
      <c r="B33" s="816" t="s">
        <v>122</v>
      </c>
      <c r="C33" s="817"/>
      <c r="D33" s="817"/>
      <c r="E33" s="817"/>
      <c r="F33" s="138">
        <f>SUM(F28:F32)</f>
        <v>0</v>
      </c>
      <c r="N33" s="196"/>
      <c r="O33" s="196"/>
      <c r="P33" s="196"/>
      <c r="Q33" s="196"/>
      <c r="R33" s="196"/>
      <c r="S33" s="196"/>
      <c r="T33" s="196"/>
      <c r="U33" s="196"/>
      <c r="V33" s="196"/>
      <c r="W33" s="196"/>
      <c r="X33" s="196"/>
      <c r="Y33" s="196"/>
      <c r="Z33" s="196"/>
      <c r="AA33" s="196"/>
      <c r="AB33" s="196"/>
      <c r="AC33" s="196"/>
      <c r="AD33" s="196"/>
      <c r="AE33" s="196"/>
      <c r="AF33" s="196"/>
      <c r="AG33" s="196"/>
      <c r="AH33" s="196"/>
      <c r="AI33" s="196"/>
      <c r="AJ33" s="196"/>
      <c r="AK33" s="196"/>
      <c r="AL33" s="196"/>
      <c r="AM33" s="196"/>
      <c r="AN33" s="196"/>
      <c r="AO33" s="196"/>
    </row>
    <row r="34" spans="1:41" x14ac:dyDescent="0.2">
      <c r="B34" s="818"/>
      <c r="C34" s="813"/>
      <c r="D34" s="813"/>
      <c r="E34" s="157"/>
      <c r="F34" s="138"/>
      <c r="N34" s="196"/>
      <c r="O34" s="196"/>
      <c r="P34" s="196"/>
      <c r="Q34" s="196"/>
      <c r="R34" s="196"/>
      <c r="S34" s="196"/>
      <c r="T34" s="196"/>
      <c r="U34" s="196"/>
      <c r="V34" s="196"/>
      <c r="W34" s="196"/>
      <c r="X34" s="196"/>
      <c r="Y34" s="196"/>
      <c r="Z34" s="196"/>
      <c r="AA34" s="196"/>
      <c r="AB34" s="196"/>
      <c r="AC34" s="196"/>
      <c r="AD34" s="196"/>
      <c r="AE34" s="196"/>
      <c r="AF34" s="196"/>
      <c r="AG34" s="196"/>
      <c r="AH34" s="196"/>
      <c r="AI34" s="196"/>
      <c r="AJ34" s="196"/>
      <c r="AK34" s="196"/>
      <c r="AL34" s="196"/>
      <c r="AM34" s="196"/>
      <c r="AN34" s="196"/>
      <c r="AO34" s="196"/>
    </row>
    <row r="35" spans="1:41" x14ac:dyDescent="0.2">
      <c r="B35" s="812" t="s">
        <v>236</v>
      </c>
      <c r="C35" s="813"/>
      <c r="D35" s="813"/>
      <c r="E35" s="157"/>
      <c r="F35" s="138"/>
      <c r="N35" s="196"/>
      <c r="O35" s="196"/>
      <c r="P35" s="196"/>
      <c r="Q35" s="196"/>
      <c r="R35" s="196"/>
      <c r="S35" s="196"/>
      <c r="T35" s="196"/>
      <c r="U35" s="196"/>
      <c r="V35" s="196"/>
      <c r="W35" s="196"/>
      <c r="X35" s="196"/>
      <c r="Y35" s="196"/>
      <c r="Z35" s="196"/>
      <c r="AA35" s="196"/>
      <c r="AB35" s="196"/>
      <c r="AC35" s="196"/>
      <c r="AD35" s="196"/>
      <c r="AE35" s="196"/>
      <c r="AF35" s="196"/>
      <c r="AG35" s="196"/>
      <c r="AH35" s="196"/>
      <c r="AI35" s="196"/>
      <c r="AJ35" s="196"/>
      <c r="AK35" s="196"/>
      <c r="AL35" s="196"/>
      <c r="AM35" s="196"/>
      <c r="AN35" s="196"/>
      <c r="AO35" s="196"/>
    </row>
    <row r="36" spans="1:41" x14ac:dyDescent="0.2">
      <c r="B36" s="806"/>
      <c r="C36" s="814"/>
      <c r="D36" s="814"/>
      <c r="E36" s="158"/>
      <c r="F36" s="119"/>
      <c r="N36" s="196"/>
      <c r="O36" s="196"/>
      <c r="P36" s="196"/>
      <c r="Q36" s="196"/>
      <c r="R36" s="196"/>
      <c r="S36" s="196"/>
      <c r="T36" s="196"/>
      <c r="U36" s="196"/>
      <c r="V36" s="196"/>
      <c r="W36" s="196"/>
      <c r="X36" s="196"/>
      <c r="Y36" s="196"/>
      <c r="Z36" s="196"/>
      <c r="AA36" s="196"/>
      <c r="AB36" s="196"/>
      <c r="AC36" s="196"/>
      <c r="AD36" s="196"/>
      <c r="AE36" s="196"/>
      <c r="AF36" s="196"/>
      <c r="AG36" s="196"/>
      <c r="AH36" s="196"/>
      <c r="AI36" s="196"/>
      <c r="AJ36" s="196"/>
      <c r="AK36" s="196"/>
      <c r="AL36" s="196"/>
      <c r="AM36" s="196"/>
      <c r="AN36" s="196"/>
      <c r="AO36" s="196"/>
    </row>
    <row r="37" spans="1:41" x14ac:dyDescent="0.2">
      <c r="B37" s="156"/>
      <c r="C37" s="158"/>
      <c r="D37" s="158"/>
      <c r="E37" s="158"/>
      <c r="F37" s="119"/>
      <c r="N37" s="196"/>
      <c r="O37" s="196"/>
      <c r="P37" s="196"/>
      <c r="Q37" s="196"/>
      <c r="R37" s="196"/>
      <c r="S37" s="196"/>
      <c r="T37" s="196"/>
      <c r="U37" s="196"/>
      <c r="V37" s="196"/>
      <c r="W37" s="196"/>
      <c r="X37" s="196"/>
      <c r="Y37" s="196"/>
      <c r="Z37" s="196"/>
      <c r="AA37" s="196"/>
      <c r="AB37" s="196"/>
      <c r="AC37" s="196"/>
      <c r="AD37" s="196"/>
      <c r="AE37" s="196"/>
      <c r="AF37" s="196"/>
      <c r="AG37" s="196"/>
      <c r="AH37" s="196"/>
      <c r="AI37" s="196"/>
      <c r="AJ37" s="196"/>
      <c r="AK37" s="196"/>
      <c r="AL37" s="196"/>
      <c r="AM37" s="196"/>
      <c r="AN37" s="196"/>
      <c r="AO37" s="196"/>
    </row>
    <row r="38" spans="1:41" x14ac:dyDescent="0.2">
      <c r="B38" s="156"/>
      <c r="C38" s="158"/>
      <c r="D38" s="158"/>
      <c r="E38" s="158"/>
      <c r="F38" s="119"/>
      <c r="N38" s="196"/>
      <c r="O38" s="196"/>
      <c r="P38" s="196"/>
      <c r="Q38" s="196"/>
      <c r="R38" s="196"/>
      <c r="S38" s="196"/>
      <c r="T38" s="196"/>
      <c r="U38" s="196"/>
      <c r="V38" s="196"/>
      <c r="W38" s="196"/>
      <c r="X38" s="196"/>
      <c r="Y38" s="196"/>
      <c r="Z38" s="196"/>
      <c r="AA38" s="196"/>
      <c r="AB38" s="196"/>
      <c r="AC38" s="196"/>
      <c r="AD38" s="196"/>
      <c r="AE38" s="196"/>
      <c r="AF38" s="196"/>
      <c r="AG38" s="196"/>
      <c r="AH38" s="196"/>
      <c r="AI38" s="196"/>
      <c r="AJ38" s="196"/>
      <c r="AK38" s="196"/>
      <c r="AL38" s="196"/>
      <c r="AM38" s="196"/>
      <c r="AN38" s="196"/>
      <c r="AO38" s="196"/>
    </row>
    <row r="39" spans="1:41" x14ac:dyDescent="0.2">
      <c r="B39" s="156"/>
      <c r="C39" s="158"/>
      <c r="D39" s="158"/>
      <c r="E39" s="158"/>
      <c r="F39" s="119"/>
      <c r="N39" s="196"/>
      <c r="O39" s="196"/>
      <c r="P39" s="196"/>
      <c r="Q39" s="196"/>
      <c r="R39" s="196"/>
      <c r="S39" s="196"/>
      <c r="T39" s="196"/>
      <c r="U39" s="196"/>
      <c r="V39" s="196"/>
      <c r="W39" s="196"/>
      <c r="X39" s="196"/>
      <c r="Y39" s="196"/>
      <c r="Z39" s="196"/>
      <c r="AA39" s="196"/>
      <c r="AB39" s="196"/>
      <c r="AC39" s="196"/>
      <c r="AD39" s="196"/>
      <c r="AE39" s="196"/>
      <c r="AF39" s="196"/>
      <c r="AG39" s="196"/>
      <c r="AH39" s="196"/>
      <c r="AI39" s="196"/>
      <c r="AJ39" s="196"/>
      <c r="AK39" s="196"/>
      <c r="AL39" s="196"/>
      <c r="AM39" s="196"/>
      <c r="AN39" s="196"/>
      <c r="AO39" s="196"/>
    </row>
    <row r="40" spans="1:41" x14ac:dyDescent="0.2">
      <c r="B40" s="806"/>
      <c r="C40" s="814"/>
      <c r="D40" s="814"/>
      <c r="E40" s="158"/>
      <c r="F40" s="137"/>
      <c r="N40" s="196"/>
      <c r="O40" s="196"/>
      <c r="P40" s="196"/>
      <c r="Q40" s="196"/>
      <c r="R40" s="196"/>
      <c r="S40" s="196"/>
      <c r="T40" s="196"/>
      <c r="U40" s="196"/>
      <c r="V40" s="196"/>
      <c r="W40" s="196"/>
      <c r="X40" s="196"/>
      <c r="Y40" s="196"/>
      <c r="Z40" s="196"/>
      <c r="AA40" s="196"/>
      <c r="AB40" s="196"/>
      <c r="AC40" s="196"/>
      <c r="AD40" s="196"/>
      <c r="AE40" s="196"/>
      <c r="AF40" s="196"/>
      <c r="AG40" s="196"/>
      <c r="AH40" s="196"/>
      <c r="AI40" s="196"/>
      <c r="AJ40" s="196"/>
      <c r="AK40" s="196"/>
      <c r="AL40" s="196"/>
      <c r="AM40" s="196"/>
      <c r="AN40" s="196"/>
      <c r="AO40" s="196"/>
    </row>
    <row r="41" spans="1:41" x14ac:dyDescent="0.2">
      <c r="B41" s="819" t="s">
        <v>122</v>
      </c>
      <c r="C41" s="820"/>
      <c r="D41" s="820"/>
      <c r="E41" s="820"/>
      <c r="F41" s="138">
        <f>SUM(F36:F40)</f>
        <v>0</v>
      </c>
      <c r="N41" s="196"/>
      <c r="O41" s="196"/>
      <c r="P41" s="196"/>
      <c r="Q41" s="196"/>
      <c r="R41" s="196"/>
      <c r="S41" s="196"/>
      <c r="T41" s="196"/>
      <c r="U41" s="196"/>
      <c r="V41" s="196"/>
      <c r="W41" s="196"/>
      <c r="X41" s="196"/>
      <c r="Y41" s="196"/>
      <c r="Z41" s="196"/>
      <c r="AA41" s="196"/>
      <c r="AB41" s="196"/>
      <c r="AC41" s="196"/>
      <c r="AD41" s="196"/>
      <c r="AE41" s="196"/>
      <c r="AF41" s="196"/>
      <c r="AG41" s="196"/>
      <c r="AH41" s="196"/>
      <c r="AI41" s="196"/>
      <c r="AJ41" s="196"/>
      <c r="AK41" s="196"/>
      <c r="AL41" s="196"/>
      <c r="AM41" s="196"/>
      <c r="AN41" s="196"/>
      <c r="AO41" s="196"/>
    </row>
    <row r="42" spans="1:41" ht="13.5" thickBot="1" x14ac:dyDescent="0.25">
      <c r="B42" s="815" t="s">
        <v>237</v>
      </c>
      <c r="C42" s="803"/>
      <c r="D42" s="803"/>
      <c r="E42" s="154"/>
      <c r="F42" s="121">
        <f>F41+F33</f>
        <v>0</v>
      </c>
      <c r="N42" s="196"/>
      <c r="O42" s="196"/>
      <c r="P42" s="196"/>
      <c r="Q42" s="196"/>
      <c r="R42" s="196"/>
      <c r="S42" s="196"/>
      <c r="T42" s="196"/>
      <c r="U42" s="196"/>
      <c r="V42" s="196"/>
      <c r="W42" s="196"/>
      <c r="X42" s="196"/>
      <c r="Y42" s="196"/>
      <c r="Z42" s="196"/>
      <c r="AA42" s="196"/>
      <c r="AB42" s="196"/>
      <c r="AC42" s="196"/>
      <c r="AD42" s="196"/>
      <c r="AE42" s="196"/>
      <c r="AF42" s="196"/>
      <c r="AG42" s="196"/>
      <c r="AH42" s="196"/>
      <c r="AI42" s="196"/>
      <c r="AJ42" s="196"/>
      <c r="AK42" s="196"/>
      <c r="AL42" s="196"/>
      <c r="AM42" s="196"/>
      <c r="AN42" s="196"/>
      <c r="AO42" s="196"/>
    </row>
    <row r="43" spans="1:41" x14ac:dyDescent="0.2">
      <c r="B43" s="196"/>
      <c r="C43" s="196"/>
      <c r="D43" s="196"/>
      <c r="E43" s="196"/>
      <c r="F43" s="196"/>
      <c r="N43" s="196"/>
      <c r="O43" s="196"/>
      <c r="P43" s="196"/>
      <c r="Q43" s="196"/>
      <c r="R43" s="196"/>
      <c r="S43" s="196"/>
      <c r="T43" s="196"/>
      <c r="U43" s="196"/>
      <c r="V43" s="196"/>
      <c r="W43" s="196"/>
      <c r="X43" s="196"/>
      <c r="Y43" s="196"/>
      <c r="Z43" s="196"/>
      <c r="AA43" s="196"/>
      <c r="AB43" s="196"/>
      <c r="AC43" s="196"/>
      <c r="AD43" s="196"/>
      <c r="AE43" s="196"/>
      <c r="AF43" s="196"/>
      <c r="AG43" s="196"/>
      <c r="AH43" s="196"/>
      <c r="AI43" s="196"/>
      <c r="AJ43" s="196"/>
      <c r="AK43" s="196"/>
      <c r="AL43" s="196"/>
      <c r="AM43" s="196"/>
      <c r="AN43" s="196"/>
      <c r="AO43" s="196"/>
    </row>
    <row r="44" spans="1:41" x14ac:dyDescent="0.2">
      <c r="B44" s="223" t="s">
        <v>238</v>
      </c>
      <c r="C44" s="196"/>
      <c r="D44" s="196"/>
      <c r="E44" s="196"/>
      <c r="F44" s="196"/>
      <c r="N44" s="196"/>
      <c r="O44" s="196"/>
      <c r="P44" s="196"/>
      <c r="Q44" s="196"/>
      <c r="R44" s="196"/>
      <c r="S44" s="196"/>
      <c r="T44" s="196"/>
      <c r="U44" s="196"/>
      <c r="V44" s="196"/>
      <c r="W44" s="196"/>
      <c r="X44" s="196"/>
      <c r="Y44" s="196"/>
      <c r="Z44" s="196"/>
      <c r="AA44" s="196"/>
      <c r="AB44" s="196"/>
      <c r="AC44" s="196"/>
      <c r="AD44" s="196"/>
      <c r="AE44" s="196"/>
      <c r="AF44" s="196"/>
      <c r="AG44" s="196"/>
      <c r="AH44" s="196"/>
      <c r="AI44" s="196"/>
      <c r="AJ44" s="196"/>
      <c r="AK44" s="196"/>
      <c r="AL44" s="196"/>
      <c r="AM44" s="196"/>
      <c r="AN44" s="196"/>
      <c r="AO44" s="196"/>
    </row>
    <row r="45" spans="1:41" s="224" customFormat="1" x14ac:dyDescent="0.2">
      <c r="A45" s="196"/>
      <c r="B45" s="196" t="s">
        <v>239</v>
      </c>
      <c r="C45" s="196" t="s">
        <v>240</v>
      </c>
      <c r="D45" s="196"/>
      <c r="E45" s="196"/>
      <c r="F45" s="196"/>
      <c r="G45" s="196"/>
      <c r="H45" s="196"/>
      <c r="I45" s="196"/>
      <c r="J45" s="196"/>
      <c r="K45" s="196"/>
      <c r="L45" s="196"/>
      <c r="M45" s="196"/>
      <c r="N45" s="196"/>
      <c r="O45" s="196"/>
      <c r="P45" s="196"/>
      <c r="Q45" s="196"/>
      <c r="R45" s="196"/>
      <c r="S45" s="196"/>
      <c r="T45" s="196"/>
      <c r="U45" s="196"/>
      <c r="V45" s="196"/>
      <c r="W45" s="196"/>
      <c r="X45" s="196"/>
      <c r="Y45" s="196"/>
      <c r="Z45" s="196"/>
      <c r="AA45" s="196"/>
      <c r="AB45" s="196"/>
      <c r="AC45" s="196"/>
      <c r="AD45" s="196"/>
      <c r="AE45" s="196"/>
      <c r="AF45" s="196"/>
      <c r="AG45" s="196"/>
      <c r="AH45" s="196"/>
      <c r="AI45" s="196"/>
      <c r="AJ45" s="196"/>
      <c r="AK45" s="196"/>
      <c r="AL45" s="196"/>
      <c r="AM45" s="196"/>
      <c r="AN45" s="196"/>
      <c r="AO45" s="196"/>
    </row>
    <row r="46" spans="1:41" s="224" customFormat="1" x14ac:dyDescent="0.2">
      <c r="A46" s="196"/>
      <c r="B46" s="196" t="s">
        <v>241</v>
      </c>
      <c r="C46" s="196" t="s">
        <v>242</v>
      </c>
      <c r="D46" s="196"/>
      <c r="E46" s="196"/>
      <c r="F46" s="196"/>
      <c r="G46" s="196"/>
      <c r="H46" s="196"/>
      <c r="I46" s="196"/>
      <c r="J46" s="196"/>
      <c r="K46" s="196"/>
      <c r="L46" s="196"/>
      <c r="M46" s="196"/>
      <c r="N46" s="196"/>
      <c r="O46" s="196"/>
      <c r="P46" s="196"/>
      <c r="Q46" s="196"/>
      <c r="R46" s="196"/>
      <c r="S46" s="196"/>
      <c r="T46" s="196"/>
      <c r="U46" s="196"/>
      <c r="V46" s="196"/>
      <c r="W46" s="196"/>
      <c r="X46" s="196"/>
      <c r="Y46" s="196"/>
      <c r="Z46" s="196"/>
      <c r="AA46" s="196"/>
      <c r="AB46" s="196"/>
      <c r="AC46" s="196"/>
      <c r="AD46" s="196"/>
      <c r="AE46" s="196"/>
      <c r="AF46" s="196"/>
      <c r="AG46" s="196"/>
      <c r="AH46" s="196"/>
      <c r="AI46" s="196"/>
      <c r="AJ46" s="196"/>
      <c r="AK46" s="196"/>
      <c r="AL46" s="196"/>
      <c r="AM46" s="196"/>
      <c r="AN46" s="196"/>
      <c r="AO46" s="196"/>
    </row>
    <row r="47" spans="1:41" s="224" customFormat="1" x14ac:dyDescent="0.2">
      <c r="A47" s="196"/>
      <c r="B47" s="196" t="s">
        <v>243</v>
      </c>
      <c r="C47" s="196" t="s">
        <v>244</v>
      </c>
      <c r="D47" s="196"/>
      <c r="E47" s="196"/>
      <c r="F47" s="196"/>
      <c r="G47" s="196"/>
      <c r="H47" s="196"/>
      <c r="I47" s="196"/>
      <c r="J47" s="196"/>
      <c r="K47" s="196"/>
      <c r="L47" s="196"/>
      <c r="M47" s="196"/>
      <c r="N47" s="196"/>
      <c r="O47" s="196"/>
      <c r="P47" s="196"/>
      <c r="Q47" s="196"/>
      <c r="R47" s="196"/>
      <c r="S47" s="196"/>
      <c r="T47" s="196"/>
      <c r="U47" s="196"/>
      <c r="V47" s="196"/>
      <c r="W47" s="196"/>
      <c r="X47" s="196"/>
      <c r="Y47" s="196"/>
      <c r="Z47" s="196"/>
      <c r="AA47" s="196"/>
      <c r="AB47" s="196"/>
      <c r="AC47" s="196"/>
      <c r="AD47" s="196"/>
      <c r="AE47" s="196"/>
      <c r="AF47" s="196"/>
      <c r="AG47" s="196"/>
      <c r="AH47" s="196"/>
      <c r="AI47" s="196"/>
      <c r="AJ47" s="196"/>
      <c r="AK47" s="196"/>
      <c r="AL47" s="196"/>
      <c r="AM47" s="196"/>
      <c r="AN47" s="196"/>
      <c r="AO47" s="196"/>
    </row>
    <row r="48" spans="1:41" x14ac:dyDescent="0.2">
      <c r="B48" s="196"/>
      <c r="C48" s="196"/>
      <c r="D48" s="196"/>
      <c r="E48" s="196"/>
      <c r="F48" s="196"/>
      <c r="N48" s="196"/>
      <c r="O48" s="196"/>
      <c r="P48" s="196"/>
      <c r="Q48" s="196"/>
      <c r="R48" s="196"/>
      <c r="S48" s="196"/>
      <c r="T48" s="196"/>
      <c r="U48" s="196"/>
      <c r="V48" s="196"/>
      <c r="W48" s="196"/>
      <c r="X48" s="196"/>
      <c r="Y48" s="196"/>
      <c r="Z48" s="196"/>
      <c r="AA48" s="196"/>
      <c r="AB48" s="196"/>
      <c r="AC48" s="196"/>
      <c r="AD48" s="196"/>
      <c r="AE48" s="196"/>
      <c r="AF48" s="196"/>
      <c r="AG48" s="196"/>
      <c r="AH48" s="196"/>
      <c r="AI48" s="196"/>
      <c r="AJ48" s="196"/>
      <c r="AK48" s="196"/>
      <c r="AL48" s="196"/>
      <c r="AM48" s="196"/>
      <c r="AN48" s="196"/>
      <c r="AO48" s="196"/>
    </row>
    <row r="49" spans="2:41" x14ac:dyDescent="0.2">
      <c r="B49" s="196"/>
      <c r="C49" s="196"/>
      <c r="D49" s="196"/>
      <c r="E49" s="196"/>
      <c r="F49" s="196"/>
      <c r="N49" s="196"/>
      <c r="O49" s="196"/>
      <c r="P49" s="196"/>
      <c r="Q49" s="196"/>
      <c r="R49" s="196"/>
      <c r="S49" s="196"/>
      <c r="T49" s="196"/>
      <c r="U49" s="196"/>
      <c r="V49" s="196"/>
      <c r="W49" s="196"/>
      <c r="X49" s="196"/>
      <c r="Y49" s="196"/>
      <c r="Z49" s="196"/>
      <c r="AA49" s="196"/>
      <c r="AB49" s="196"/>
      <c r="AC49" s="196"/>
      <c r="AD49" s="196"/>
      <c r="AE49" s="196"/>
      <c r="AF49" s="196"/>
      <c r="AG49" s="196"/>
      <c r="AH49" s="196"/>
      <c r="AI49" s="196"/>
      <c r="AJ49" s="196"/>
      <c r="AK49" s="196"/>
      <c r="AL49" s="196"/>
      <c r="AM49" s="196"/>
      <c r="AN49" s="196"/>
      <c r="AO49" s="196"/>
    </row>
    <row r="50" spans="2:41" x14ac:dyDescent="0.2">
      <c r="B50" s="196"/>
      <c r="C50" s="196"/>
      <c r="D50" s="196"/>
      <c r="E50" s="196"/>
      <c r="F50" s="196"/>
      <c r="N50" s="196"/>
      <c r="O50" s="196"/>
      <c r="P50" s="196"/>
      <c r="Q50" s="196"/>
      <c r="R50" s="196"/>
      <c r="S50" s="196"/>
      <c r="T50" s="196"/>
      <c r="U50" s="196"/>
      <c r="V50" s="196"/>
      <c r="W50" s="196"/>
      <c r="X50" s="196"/>
      <c r="Y50" s="196"/>
      <c r="Z50" s="196"/>
      <c r="AA50" s="196"/>
      <c r="AB50" s="196"/>
      <c r="AC50" s="196"/>
      <c r="AD50" s="196"/>
      <c r="AE50" s="196"/>
      <c r="AF50" s="196"/>
      <c r="AG50" s="196"/>
      <c r="AH50" s="196"/>
      <c r="AI50" s="196"/>
      <c r="AJ50" s="196"/>
      <c r="AK50" s="196"/>
      <c r="AL50" s="196"/>
      <c r="AM50" s="196"/>
      <c r="AN50" s="196"/>
      <c r="AO50" s="196"/>
    </row>
    <row r="51" spans="2:41" x14ac:dyDescent="0.2">
      <c r="B51" s="196"/>
      <c r="C51" s="196"/>
      <c r="D51" s="196"/>
      <c r="E51" s="196"/>
      <c r="F51" s="196"/>
      <c r="N51" s="196"/>
      <c r="O51" s="196"/>
      <c r="P51" s="196"/>
      <c r="Q51" s="196"/>
      <c r="R51" s="196"/>
      <c r="S51" s="196"/>
      <c r="T51" s="196"/>
      <c r="U51" s="196"/>
      <c r="V51" s="196"/>
      <c r="W51" s="196"/>
      <c r="X51" s="196"/>
      <c r="Y51" s="196"/>
      <c r="Z51" s="196"/>
      <c r="AA51" s="196"/>
      <c r="AB51" s="196"/>
      <c r="AC51" s="196"/>
      <c r="AD51" s="196"/>
      <c r="AE51" s="196"/>
      <c r="AF51" s="196"/>
      <c r="AG51" s="196"/>
      <c r="AH51" s="196"/>
      <c r="AI51" s="196"/>
      <c r="AJ51" s="196"/>
      <c r="AK51" s="196"/>
      <c r="AL51" s="196"/>
      <c r="AM51" s="196"/>
      <c r="AN51" s="196"/>
      <c r="AO51" s="196"/>
    </row>
    <row r="52" spans="2:41" x14ac:dyDescent="0.2">
      <c r="B52" s="196"/>
      <c r="C52" s="196"/>
      <c r="D52" s="196"/>
      <c r="E52" s="196"/>
      <c r="F52" s="196"/>
      <c r="N52" s="196"/>
      <c r="O52" s="196"/>
      <c r="P52" s="196"/>
      <c r="Q52" s="196"/>
      <c r="R52" s="196"/>
      <c r="S52" s="196"/>
      <c r="T52" s="196"/>
      <c r="U52" s="196"/>
      <c r="V52" s="196"/>
      <c r="W52" s="196"/>
      <c r="X52" s="196"/>
      <c r="Y52" s="196"/>
      <c r="Z52" s="196"/>
      <c r="AA52" s="196"/>
      <c r="AB52" s="196"/>
      <c r="AC52" s="196"/>
      <c r="AD52" s="196"/>
      <c r="AE52" s="196"/>
      <c r="AF52" s="196"/>
      <c r="AG52" s="196"/>
      <c r="AH52" s="196"/>
      <c r="AI52" s="196"/>
      <c r="AJ52" s="196"/>
      <c r="AK52" s="196"/>
      <c r="AL52" s="196"/>
      <c r="AM52" s="196"/>
      <c r="AN52" s="196"/>
      <c r="AO52" s="196"/>
    </row>
    <row r="53" spans="2:41" x14ac:dyDescent="0.2">
      <c r="B53" s="196"/>
      <c r="C53" s="196"/>
      <c r="D53" s="196"/>
      <c r="E53" s="196"/>
      <c r="F53" s="196"/>
      <c r="N53" s="196"/>
      <c r="O53" s="196"/>
      <c r="P53" s="196"/>
      <c r="Q53" s="196"/>
      <c r="R53" s="196"/>
      <c r="S53" s="196"/>
      <c r="T53" s="196"/>
      <c r="U53" s="196"/>
      <c r="V53" s="196"/>
      <c r="W53" s="196"/>
      <c r="X53" s="196"/>
      <c r="Y53" s="196"/>
      <c r="Z53" s="196"/>
      <c r="AA53" s="196"/>
      <c r="AB53" s="196"/>
      <c r="AC53" s="196"/>
      <c r="AD53" s="196"/>
      <c r="AE53" s="196"/>
      <c r="AF53" s="196"/>
      <c r="AG53" s="196"/>
      <c r="AH53" s="196"/>
      <c r="AI53" s="196"/>
      <c r="AJ53" s="196"/>
      <c r="AK53" s="196"/>
      <c r="AL53" s="196"/>
      <c r="AM53" s="196"/>
      <c r="AN53" s="196"/>
      <c r="AO53" s="196"/>
    </row>
    <row r="54" spans="2:41" x14ac:dyDescent="0.2">
      <c r="B54" s="196"/>
      <c r="C54" s="196"/>
      <c r="D54" s="196"/>
      <c r="E54" s="196"/>
      <c r="F54" s="196"/>
      <c r="N54" s="196"/>
      <c r="O54" s="196"/>
      <c r="P54" s="196"/>
      <c r="Q54" s="196"/>
      <c r="R54" s="196"/>
      <c r="S54" s="196"/>
      <c r="T54" s="196"/>
      <c r="U54" s="196"/>
      <c r="V54" s="196"/>
      <c r="W54" s="196"/>
      <c r="X54" s="196"/>
      <c r="Y54" s="196"/>
      <c r="Z54" s="196"/>
      <c r="AA54" s="196"/>
      <c r="AB54" s="196"/>
      <c r="AC54" s="196"/>
      <c r="AD54" s="196"/>
      <c r="AE54" s="196"/>
      <c r="AF54" s="196"/>
      <c r="AG54" s="196"/>
      <c r="AH54" s="196"/>
      <c r="AI54" s="196"/>
      <c r="AJ54" s="196"/>
      <c r="AK54" s="196"/>
      <c r="AL54" s="196"/>
      <c r="AM54" s="196"/>
      <c r="AN54" s="196"/>
      <c r="AO54" s="196"/>
    </row>
    <row r="55" spans="2:41" x14ac:dyDescent="0.2">
      <c r="B55" s="196"/>
      <c r="C55" s="196"/>
      <c r="D55" s="196"/>
      <c r="E55" s="196"/>
      <c r="F55" s="196"/>
      <c r="N55" s="196"/>
      <c r="O55" s="196"/>
      <c r="P55" s="196"/>
      <c r="Q55" s="196"/>
      <c r="R55" s="196"/>
      <c r="S55" s="196"/>
      <c r="T55" s="196"/>
      <c r="U55" s="196"/>
      <c r="V55" s="196"/>
      <c r="W55" s="196"/>
      <c r="X55" s="196"/>
      <c r="Y55" s="196"/>
      <c r="Z55" s="196"/>
      <c r="AA55" s="196"/>
      <c r="AB55" s="196"/>
      <c r="AC55" s="196"/>
      <c r="AD55" s="196"/>
      <c r="AE55" s="196"/>
      <c r="AF55" s="196"/>
      <c r="AG55" s="196"/>
      <c r="AH55" s="196"/>
      <c r="AI55" s="196"/>
      <c r="AJ55" s="196"/>
      <c r="AK55" s="196"/>
      <c r="AL55" s="196"/>
      <c r="AM55" s="196"/>
      <c r="AN55" s="196"/>
      <c r="AO55" s="196"/>
    </row>
    <row r="56" spans="2:41" x14ac:dyDescent="0.2">
      <c r="B56" s="196"/>
      <c r="C56" s="196"/>
      <c r="D56" s="196"/>
      <c r="E56" s="196"/>
      <c r="F56" s="196"/>
      <c r="N56" s="196"/>
      <c r="O56" s="196"/>
      <c r="P56" s="196"/>
      <c r="Q56" s="196"/>
      <c r="R56" s="196"/>
      <c r="S56" s="196"/>
      <c r="T56" s="196"/>
      <c r="U56" s="196"/>
      <c r="V56" s="196"/>
      <c r="W56" s="196"/>
      <c r="X56" s="196"/>
      <c r="Y56" s="196"/>
      <c r="Z56" s="196"/>
      <c r="AA56" s="196"/>
      <c r="AB56" s="196"/>
      <c r="AC56" s="196"/>
      <c r="AD56" s="196"/>
      <c r="AE56" s="196"/>
      <c r="AF56" s="196"/>
      <c r="AG56" s="196"/>
      <c r="AH56" s="196"/>
      <c r="AI56" s="196"/>
      <c r="AJ56" s="196"/>
      <c r="AK56" s="196"/>
      <c r="AL56" s="196"/>
      <c r="AM56" s="196"/>
      <c r="AN56" s="196"/>
      <c r="AO56" s="196"/>
    </row>
    <row r="57" spans="2:41" x14ac:dyDescent="0.2">
      <c r="B57" s="196"/>
      <c r="C57" s="196"/>
      <c r="D57" s="196"/>
      <c r="E57" s="196"/>
      <c r="F57" s="196"/>
      <c r="N57" s="196"/>
      <c r="O57" s="196"/>
      <c r="P57" s="196"/>
      <c r="Q57" s="196"/>
      <c r="R57" s="196"/>
      <c r="S57" s="196"/>
      <c r="T57" s="196"/>
      <c r="U57" s="196"/>
      <c r="V57" s="196"/>
      <c r="W57" s="196"/>
      <c r="X57" s="196"/>
      <c r="Y57" s="196"/>
      <c r="Z57" s="196"/>
      <c r="AA57" s="196"/>
      <c r="AB57" s="196"/>
      <c r="AC57" s="196"/>
      <c r="AD57" s="196"/>
      <c r="AE57" s="196"/>
      <c r="AF57" s="196"/>
      <c r="AG57" s="196"/>
      <c r="AH57" s="196"/>
      <c r="AI57" s="196"/>
      <c r="AJ57" s="196"/>
      <c r="AK57" s="196"/>
      <c r="AL57" s="196"/>
      <c r="AM57" s="196"/>
      <c r="AN57" s="196"/>
      <c r="AO57" s="196"/>
    </row>
    <row r="58" spans="2:41" x14ac:dyDescent="0.2">
      <c r="B58" s="196"/>
      <c r="C58" s="196"/>
      <c r="D58" s="196"/>
      <c r="E58" s="196"/>
      <c r="F58" s="196"/>
      <c r="N58" s="196"/>
      <c r="O58" s="196"/>
      <c r="P58" s="196"/>
      <c r="Q58" s="196"/>
      <c r="R58" s="196"/>
      <c r="S58" s="196"/>
      <c r="T58" s="196"/>
      <c r="U58" s="196"/>
      <c r="V58" s="196"/>
      <c r="W58" s="196"/>
      <c r="X58" s="196"/>
      <c r="Y58" s="196"/>
      <c r="Z58" s="196"/>
      <c r="AA58" s="196"/>
      <c r="AB58" s="196"/>
      <c r="AC58" s="196"/>
      <c r="AD58" s="196"/>
      <c r="AE58" s="196"/>
      <c r="AF58" s="196"/>
      <c r="AG58" s="196"/>
      <c r="AH58" s="196"/>
      <c r="AI58" s="196"/>
      <c r="AJ58" s="196"/>
      <c r="AK58" s="196"/>
      <c r="AL58" s="196"/>
      <c r="AM58" s="196"/>
      <c r="AN58" s="196"/>
      <c r="AO58" s="196"/>
    </row>
    <row r="59" spans="2:41" x14ac:dyDescent="0.2">
      <c r="B59" s="196"/>
      <c r="C59" s="196"/>
      <c r="D59" s="196"/>
      <c r="E59" s="196"/>
      <c r="F59" s="196"/>
      <c r="N59" s="196"/>
      <c r="O59" s="196"/>
      <c r="P59" s="196"/>
      <c r="Q59" s="196"/>
      <c r="R59" s="196"/>
      <c r="S59" s="196"/>
      <c r="T59" s="196"/>
      <c r="U59" s="196"/>
      <c r="V59" s="196"/>
      <c r="W59" s="196"/>
      <c r="X59" s="196"/>
      <c r="Y59" s="196"/>
      <c r="Z59" s="196"/>
      <c r="AA59" s="196"/>
      <c r="AB59" s="196"/>
      <c r="AC59" s="196"/>
      <c r="AD59" s="196"/>
      <c r="AE59" s="196"/>
      <c r="AF59" s="196"/>
      <c r="AG59" s="196"/>
      <c r="AH59" s="196"/>
      <c r="AI59" s="196"/>
      <c r="AJ59" s="196"/>
      <c r="AK59" s="196"/>
      <c r="AL59" s="196"/>
      <c r="AM59" s="196"/>
      <c r="AN59" s="196"/>
      <c r="AO59" s="196"/>
    </row>
    <row r="60" spans="2:41" x14ac:dyDescent="0.2">
      <c r="B60" s="196"/>
      <c r="C60" s="196"/>
      <c r="D60" s="196"/>
      <c r="E60" s="196"/>
      <c r="F60" s="196"/>
      <c r="N60" s="196"/>
      <c r="O60" s="196"/>
      <c r="P60" s="196"/>
      <c r="Q60" s="196"/>
      <c r="R60" s="196"/>
      <c r="S60" s="196"/>
      <c r="T60" s="196"/>
      <c r="U60" s="196"/>
      <c r="V60" s="196"/>
      <c r="W60" s="196"/>
      <c r="X60" s="196"/>
      <c r="Y60" s="196"/>
      <c r="Z60" s="196"/>
      <c r="AA60" s="196"/>
      <c r="AB60" s="196"/>
      <c r="AC60" s="196"/>
      <c r="AD60" s="196"/>
      <c r="AE60" s="196"/>
      <c r="AF60" s="196"/>
      <c r="AG60" s="196"/>
      <c r="AH60" s="196"/>
      <c r="AI60" s="196"/>
      <c r="AJ60" s="196"/>
      <c r="AK60" s="196"/>
      <c r="AL60" s="196"/>
      <c r="AM60" s="196"/>
      <c r="AN60" s="196"/>
      <c r="AO60" s="196"/>
    </row>
    <row r="61" spans="2:41" x14ac:dyDescent="0.2">
      <c r="B61" s="196"/>
      <c r="C61" s="196"/>
      <c r="D61" s="196"/>
      <c r="E61" s="196"/>
      <c r="F61" s="196"/>
      <c r="N61" s="196"/>
      <c r="O61" s="196"/>
      <c r="P61" s="196"/>
      <c r="Q61" s="196"/>
      <c r="R61" s="196"/>
      <c r="S61" s="196"/>
      <c r="T61" s="196"/>
      <c r="U61" s="196"/>
      <c r="V61" s="196"/>
      <c r="W61" s="196"/>
      <c r="X61" s="196"/>
      <c r="Y61" s="196"/>
      <c r="Z61" s="196"/>
      <c r="AA61" s="196"/>
      <c r="AB61" s="196"/>
      <c r="AC61" s="196"/>
      <c r="AD61" s="196"/>
      <c r="AE61" s="196"/>
      <c r="AF61" s="196"/>
      <c r="AG61" s="196"/>
      <c r="AH61" s="196"/>
      <c r="AI61" s="196"/>
      <c r="AJ61" s="196"/>
      <c r="AK61" s="196"/>
      <c r="AL61" s="196"/>
      <c r="AM61" s="196"/>
      <c r="AN61" s="196"/>
      <c r="AO61" s="196"/>
    </row>
    <row r="62" spans="2:41" x14ac:dyDescent="0.2">
      <c r="B62" s="196"/>
      <c r="C62" s="196"/>
      <c r="D62" s="196"/>
      <c r="E62" s="196"/>
      <c r="F62" s="196"/>
      <c r="N62" s="196"/>
      <c r="O62" s="196"/>
      <c r="P62" s="196"/>
      <c r="Q62" s="196"/>
      <c r="R62" s="196"/>
      <c r="S62" s="196"/>
      <c r="T62" s="196"/>
      <c r="U62" s="196"/>
      <c r="V62" s="196"/>
      <c r="W62" s="196"/>
      <c r="X62" s="196"/>
      <c r="Y62" s="196"/>
      <c r="Z62" s="196"/>
      <c r="AA62" s="196"/>
      <c r="AB62" s="196"/>
      <c r="AC62" s="196"/>
      <c r="AD62" s="196"/>
      <c r="AE62" s="196"/>
      <c r="AF62" s="196"/>
      <c r="AG62" s="196"/>
      <c r="AH62" s="196"/>
      <c r="AI62" s="196"/>
      <c r="AJ62" s="196"/>
      <c r="AK62" s="196"/>
      <c r="AL62" s="196"/>
      <c r="AM62" s="196"/>
      <c r="AN62" s="196"/>
      <c r="AO62" s="196"/>
    </row>
    <row r="63" spans="2:41" x14ac:dyDescent="0.2">
      <c r="B63" s="196"/>
      <c r="C63" s="196"/>
      <c r="D63" s="196"/>
      <c r="E63" s="196"/>
      <c r="F63" s="196"/>
      <c r="N63" s="196"/>
      <c r="O63" s="196"/>
      <c r="P63" s="196"/>
      <c r="Q63" s="196"/>
      <c r="R63" s="196"/>
      <c r="S63" s="196"/>
      <c r="T63" s="196"/>
      <c r="U63" s="196"/>
      <c r="V63" s="196"/>
      <c r="W63" s="196"/>
      <c r="X63" s="196"/>
      <c r="Y63" s="196"/>
      <c r="Z63" s="196"/>
      <c r="AA63" s="196"/>
      <c r="AB63" s="196"/>
      <c r="AC63" s="196"/>
      <c r="AD63" s="196"/>
      <c r="AE63" s="196"/>
      <c r="AF63" s="196"/>
      <c r="AG63" s="196"/>
      <c r="AH63" s="196"/>
      <c r="AI63" s="196"/>
      <c r="AJ63" s="196"/>
      <c r="AK63" s="196"/>
      <c r="AL63" s="196"/>
      <c r="AM63" s="196"/>
      <c r="AN63" s="196"/>
      <c r="AO63" s="196"/>
    </row>
    <row r="64" spans="2:41" x14ac:dyDescent="0.2">
      <c r="B64" s="196"/>
      <c r="C64" s="196"/>
      <c r="D64" s="196"/>
      <c r="E64" s="196"/>
      <c r="F64" s="196"/>
      <c r="N64" s="196"/>
      <c r="O64" s="196"/>
      <c r="P64" s="196"/>
      <c r="Q64" s="196"/>
      <c r="R64" s="196"/>
      <c r="S64" s="196"/>
      <c r="T64" s="196"/>
      <c r="U64" s="196"/>
      <c r="V64" s="196"/>
      <c r="W64" s="196"/>
      <c r="X64" s="196"/>
      <c r="Y64" s="196"/>
      <c r="Z64" s="196"/>
      <c r="AA64" s="196"/>
      <c r="AB64" s="196"/>
      <c r="AC64" s="196"/>
      <c r="AD64" s="196"/>
      <c r="AE64" s="196"/>
      <c r="AF64" s="196"/>
      <c r="AG64" s="196"/>
      <c r="AH64" s="196"/>
      <c r="AI64" s="196"/>
      <c r="AJ64" s="196"/>
      <c r="AK64" s="196"/>
      <c r="AL64" s="196"/>
      <c r="AM64" s="196"/>
      <c r="AN64" s="196"/>
      <c r="AO64" s="196"/>
    </row>
    <row r="65" spans="2:41" x14ac:dyDescent="0.2">
      <c r="B65" s="196"/>
      <c r="C65" s="196"/>
      <c r="D65" s="196"/>
      <c r="E65" s="196"/>
      <c r="F65" s="196"/>
      <c r="N65" s="196"/>
      <c r="O65" s="196"/>
      <c r="P65" s="196"/>
      <c r="Q65" s="196"/>
      <c r="R65" s="196"/>
      <c r="S65" s="196"/>
      <c r="T65" s="196"/>
      <c r="U65" s="196"/>
      <c r="V65" s="196"/>
      <c r="W65" s="196"/>
      <c r="X65" s="196"/>
      <c r="Y65" s="196"/>
      <c r="Z65" s="196"/>
      <c r="AA65" s="196"/>
      <c r="AB65" s="196"/>
      <c r="AC65" s="196"/>
      <c r="AD65" s="196"/>
      <c r="AE65" s="196"/>
      <c r="AF65" s="196"/>
      <c r="AG65" s="196"/>
      <c r="AH65" s="196"/>
      <c r="AI65" s="196"/>
      <c r="AJ65" s="196"/>
      <c r="AK65" s="196"/>
      <c r="AL65" s="196"/>
      <c r="AM65" s="196"/>
      <c r="AN65" s="196"/>
      <c r="AO65" s="196"/>
    </row>
    <row r="66" spans="2:41" x14ac:dyDescent="0.2">
      <c r="B66" s="196"/>
      <c r="C66" s="196"/>
      <c r="D66" s="196"/>
      <c r="E66" s="196"/>
      <c r="F66" s="196"/>
      <c r="N66" s="196"/>
      <c r="O66" s="196"/>
      <c r="P66" s="196"/>
      <c r="Q66" s="196"/>
      <c r="R66" s="196"/>
      <c r="S66" s="196"/>
      <c r="T66" s="196"/>
      <c r="U66" s="196"/>
      <c r="V66" s="196"/>
      <c r="W66" s="196"/>
      <c r="X66" s="196"/>
      <c r="Y66" s="196"/>
      <c r="Z66" s="196"/>
      <c r="AA66" s="196"/>
      <c r="AB66" s="196"/>
      <c r="AC66" s="196"/>
      <c r="AD66" s="196"/>
      <c r="AE66" s="196"/>
      <c r="AF66" s="196"/>
      <c r="AG66" s="196"/>
      <c r="AH66" s="196"/>
      <c r="AI66" s="196"/>
      <c r="AJ66" s="196"/>
      <c r="AK66" s="196"/>
      <c r="AL66" s="196"/>
      <c r="AM66" s="196"/>
      <c r="AN66" s="196"/>
      <c r="AO66" s="196"/>
    </row>
    <row r="67" spans="2:41" x14ac:dyDescent="0.2">
      <c r="B67" s="196"/>
      <c r="C67" s="196"/>
      <c r="D67" s="196"/>
      <c r="E67" s="196"/>
      <c r="F67" s="196"/>
      <c r="N67" s="196"/>
      <c r="O67" s="196"/>
      <c r="P67" s="196"/>
      <c r="Q67" s="196"/>
      <c r="R67" s="196"/>
      <c r="S67" s="196"/>
      <c r="T67" s="196"/>
      <c r="U67" s="196"/>
      <c r="V67" s="196"/>
      <c r="W67" s="196"/>
      <c r="X67" s="196"/>
      <c r="Y67" s="196"/>
      <c r="Z67" s="196"/>
      <c r="AA67" s="196"/>
      <c r="AB67" s="196"/>
      <c r="AC67" s="196"/>
      <c r="AD67" s="196"/>
      <c r="AE67" s="196"/>
      <c r="AF67" s="196"/>
      <c r="AG67" s="196"/>
      <c r="AH67" s="196"/>
      <c r="AI67" s="196"/>
      <c r="AJ67" s="196"/>
      <c r="AK67" s="196"/>
      <c r="AL67" s="196"/>
      <c r="AM67" s="196"/>
      <c r="AN67" s="196"/>
      <c r="AO67" s="196"/>
    </row>
    <row r="68" spans="2:41" x14ac:dyDescent="0.2">
      <c r="B68" s="196"/>
      <c r="C68" s="196"/>
      <c r="D68" s="196"/>
      <c r="E68" s="196"/>
      <c r="F68" s="196"/>
      <c r="N68" s="196"/>
      <c r="O68" s="196"/>
      <c r="P68" s="196"/>
      <c r="Q68" s="196"/>
      <c r="R68" s="196"/>
      <c r="S68" s="196"/>
      <c r="T68" s="196"/>
      <c r="U68" s="196"/>
      <c r="V68" s="196"/>
      <c r="W68" s="196"/>
      <c r="X68" s="196"/>
      <c r="Y68" s="196"/>
      <c r="Z68" s="196"/>
      <c r="AA68" s="196"/>
      <c r="AB68" s="196"/>
      <c r="AC68" s="196"/>
      <c r="AD68" s="196"/>
      <c r="AE68" s="196"/>
      <c r="AF68" s="196"/>
      <c r="AG68" s="196"/>
      <c r="AH68" s="196"/>
      <c r="AI68" s="196"/>
      <c r="AJ68" s="196"/>
      <c r="AK68" s="196"/>
      <c r="AL68" s="196"/>
      <c r="AM68" s="196"/>
      <c r="AN68" s="196"/>
      <c r="AO68" s="196"/>
    </row>
    <row r="69" spans="2:41" x14ac:dyDescent="0.2">
      <c r="B69" s="196"/>
      <c r="C69" s="196"/>
      <c r="D69" s="196"/>
      <c r="E69" s="196"/>
      <c r="F69" s="196"/>
      <c r="N69" s="196"/>
      <c r="O69" s="196"/>
      <c r="P69" s="196"/>
      <c r="Q69" s="196"/>
      <c r="R69" s="196"/>
      <c r="S69" s="196"/>
      <c r="T69" s="196"/>
      <c r="U69" s="196"/>
      <c r="V69" s="196"/>
      <c r="W69" s="196"/>
      <c r="X69" s="196"/>
      <c r="Y69" s="196"/>
      <c r="Z69" s="196"/>
      <c r="AA69" s="196"/>
      <c r="AB69" s="196"/>
      <c r="AC69" s="196"/>
      <c r="AD69" s="196"/>
      <c r="AE69" s="196"/>
      <c r="AF69" s="196"/>
      <c r="AG69" s="196"/>
      <c r="AH69" s="196"/>
      <c r="AI69" s="196"/>
      <c r="AJ69" s="196"/>
      <c r="AK69" s="196"/>
      <c r="AL69" s="196"/>
      <c r="AM69" s="196"/>
      <c r="AN69" s="196"/>
      <c r="AO69" s="196"/>
    </row>
    <row r="70" spans="2:41" x14ac:dyDescent="0.2">
      <c r="B70" s="196"/>
      <c r="C70" s="196"/>
      <c r="D70" s="196"/>
      <c r="E70" s="196"/>
      <c r="F70" s="196"/>
      <c r="N70" s="196"/>
      <c r="O70" s="196"/>
      <c r="P70" s="196"/>
      <c r="Q70" s="196"/>
      <c r="R70" s="196"/>
      <c r="S70" s="196"/>
      <c r="T70" s="196"/>
      <c r="U70" s="196"/>
      <c r="V70" s="196"/>
      <c r="W70" s="196"/>
      <c r="X70" s="196"/>
      <c r="Y70" s="196"/>
      <c r="Z70" s="196"/>
      <c r="AA70" s="196"/>
      <c r="AB70" s="196"/>
      <c r="AC70" s="196"/>
      <c r="AD70" s="196"/>
      <c r="AE70" s="196"/>
      <c r="AF70" s="196"/>
      <c r="AG70" s="196"/>
      <c r="AH70" s="196"/>
      <c r="AI70" s="196"/>
      <c r="AJ70" s="196"/>
      <c r="AK70" s="196"/>
      <c r="AL70" s="196"/>
      <c r="AM70" s="196"/>
      <c r="AN70" s="196"/>
      <c r="AO70" s="196"/>
    </row>
    <row r="71" spans="2:41" x14ac:dyDescent="0.2">
      <c r="B71" s="196"/>
      <c r="C71" s="196"/>
      <c r="D71" s="196"/>
      <c r="E71" s="196"/>
      <c r="F71" s="196"/>
      <c r="N71" s="196"/>
      <c r="O71" s="196"/>
      <c r="P71" s="196"/>
      <c r="Q71" s="196"/>
      <c r="R71" s="196"/>
      <c r="S71" s="196"/>
      <c r="T71" s="196"/>
      <c r="U71" s="196"/>
      <c r="V71" s="196"/>
      <c r="W71" s="196"/>
      <c r="X71" s="196"/>
      <c r="Y71" s="196"/>
      <c r="Z71" s="196"/>
      <c r="AA71" s="196"/>
      <c r="AB71" s="196"/>
      <c r="AC71" s="196"/>
      <c r="AD71" s="196"/>
      <c r="AE71" s="196"/>
      <c r="AF71" s="196"/>
      <c r="AG71" s="196"/>
      <c r="AH71" s="196"/>
      <c r="AI71" s="196"/>
      <c r="AJ71" s="196"/>
      <c r="AK71" s="196"/>
      <c r="AL71" s="196"/>
      <c r="AM71" s="196"/>
      <c r="AN71" s="196"/>
      <c r="AO71" s="196"/>
    </row>
    <row r="72" spans="2:41" x14ac:dyDescent="0.2">
      <c r="B72" s="196"/>
      <c r="C72" s="196"/>
      <c r="D72" s="196"/>
      <c r="E72" s="196"/>
      <c r="F72" s="196"/>
      <c r="N72" s="196"/>
      <c r="O72" s="196"/>
      <c r="P72" s="196"/>
      <c r="Q72" s="196"/>
      <c r="R72" s="196"/>
      <c r="S72" s="196"/>
      <c r="T72" s="196"/>
      <c r="U72" s="196"/>
      <c r="V72" s="196"/>
      <c r="W72" s="196"/>
      <c r="X72" s="196"/>
      <c r="Y72" s="196"/>
      <c r="Z72" s="196"/>
      <c r="AA72" s="196"/>
      <c r="AB72" s="196"/>
      <c r="AC72" s="196"/>
      <c r="AD72" s="196"/>
      <c r="AE72" s="196"/>
      <c r="AF72" s="196"/>
      <c r="AG72" s="196"/>
      <c r="AH72" s="196"/>
      <c r="AI72" s="196"/>
      <c r="AJ72" s="196"/>
      <c r="AK72" s="196"/>
      <c r="AL72" s="196"/>
      <c r="AM72" s="196"/>
      <c r="AN72" s="196"/>
      <c r="AO72" s="196"/>
    </row>
    <row r="73" spans="2:41" x14ac:dyDescent="0.2">
      <c r="B73" s="196"/>
      <c r="C73" s="196"/>
      <c r="D73" s="196"/>
      <c r="E73" s="196"/>
      <c r="F73" s="196"/>
      <c r="N73" s="196"/>
      <c r="O73" s="196"/>
      <c r="P73" s="196"/>
      <c r="Q73" s="196"/>
      <c r="R73" s="196"/>
      <c r="S73" s="196"/>
      <c r="T73" s="196"/>
      <c r="U73" s="196"/>
      <c r="V73" s="196"/>
      <c r="W73" s="196"/>
      <c r="X73" s="196"/>
      <c r="Y73" s="196"/>
      <c r="Z73" s="196"/>
      <c r="AA73" s="196"/>
      <c r="AB73" s="196"/>
      <c r="AC73" s="196"/>
      <c r="AD73" s="196"/>
      <c r="AE73" s="196"/>
      <c r="AF73" s="196"/>
      <c r="AG73" s="196"/>
      <c r="AH73" s="196"/>
      <c r="AI73" s="196"/>
      <c r="AJ73" s="196"/>
      <c r="AK73" s="196"/>
      <c r="AL73" s="196"/>
      <c r="AM73" s="196"/>
      <c r="AN73" s="196"/>
      <c r="AO73" s="196"/>
    </row>
    <row r="74" spans="2:41" x14ac:dyDescent="0.2">
      <c r="B74" s="196"/>
      <c r="C74" s="196"/>
      <c r="D74" s="196"/>
      <c r="E74" s="196"/>
      <c r="F74" s="196"/>
      <c r="N74" s="196"/>
      <c r="O74" s="196"/>
      <c r="P74" s="196"/>
      <c r="Q74" s="196"/>
      <c r="R74" s="196"/>
      <c r="S74" s="196"/>
      <c r="T74" s="196"/>
      <c r="U74" s="196"/>
      <c r="V74" s="196"/>
      <c r="W74" s="196"/>
      <c r="X74" s="196"/>
      <c r="Y74" s="196"/>
      <c r="Z74" s="196"/>
      <c r="AA74" s="196"/>
      <c r="AB74" s="196"/>
      <c r="AC74" s="196"/>
      <c r="AD74" s="196"/>
      <c r="AE74" s="196"/>
      <c r="AF74" s="196"/>
      <c r="AG74" s="196"/>
      <c r="AH74" s="196"/>
      <c r="AI74" s="196"/>
      <c r="AJ74" s="196"/>
      <c r="AK74" s="196"/>
      <c r="AL74" s="196"/>
      <c r="AM74" s="196"/>
      <c r="AN74" s="196"/>
      <c r="AO74" s="196"/>
    </row>
    <row r="75" spans="2:41" x14ac:dyDescent="0.2">
      <c r="B75" s="196"/>
      <c r="C75" s="196"/>
      <c r="D75" s="196"/>
      <c r="E75" s="196"/>
      <c r="F75" s="196"/>
      <c r="N75" s="196"/>
      <c r="O75" s="196"/>
      <c r="P75" s="196"/>
      <c r="Q75" s="196"/>
      <c r="R75" s="196"/>
      <c r="S75" s="196"/>
      <c r="T75" s="196"/>
      <c r="U75" s="196"/>
      <c r="V75" s="196"/>
      <c r="W75" s="196"/>
      <c r="X75" s="196"/>
      <c r="Y75" s="196"/>
      <c r="Z75" s="196"/>
      <c r="AA75" s="196"/>
      <c r="AB75" s="196"/>
      <c r="AC75" s="196"/>
      <c r="AD75" s="196"/>
      <c r="AE75" s="196"/>
      <c r="AF75" s="196"/>
      <c r="AG75" s="196"/>
      <c r="AH75" s="196"/>
      <c r="AI75" s="196"/>
      <c r="AJ75" s="196"/>
      <c r="AK75" s="196"/>
      <c r="AL75" s="196"/>
      <c r="AM75" s="196"/>
      <c r="AN75" s="196"/>
      <c r="AO75" s="196"/>
    </row>
    <row r="76" spans="2:41" x14ac:dyDescent="0.2">
      <c r="B76" s="196"/>
      <c r="C76" s="196"/>
      <c r="D76" s="196"/>
      <c r="E76" s="196"/>
      <c r="F76" s="196"/>
      <c r="N76" s="196"/>
      <c r="O76" s="196"/>
      <c r="P76" s="196"/>
      <c r="Q76" s="196"/>
      <c r="R76" s="196"/>
      <c r="S76" s="196"/>
      <c r="T76" s="196"/>
      <c r="U76" s="196"/>
      <c r="V76" s="196"/>
      <c r="W76" s="196"/>
      <c r="X76" s="196"/>
      <c r="Y76" s="196"/>
      <c r="Z76" s="196"/>
      <c r="AA76" s="196"/>
      <c r="AB76" s="196"/>
      <c r="AC76" s="196"/>
      <c r="AD76" s="196"/>
      <c r="AE76" s="196"/>
      <c r="AF76" s="196"/>
      <c r="AG76" s="196"/>
      <c r="AH76" s="196"/>
      <c r="AI76" s="196"/>
      <c r="AJ76" s="196"/>
      <c r="AK76" s="196"/>
      <c r="AL76" s="196"/>
      <c r="AM76" s="196"/>
      <c r="AN76" s="196"/>
      <c r="AO76" s="196"/>
    </row>
    <row r="77" spans="2:41" x14ac:dyDescent="0.2">
      <c r="B77" s="196"/>
      <c r="C77" s="196"/>
      <c r="D77" s="196"/>
      <c r="E77" s="196"/>
      <c r="F77" s="196"/>
      <c r="N77" s="196"/>
      <c r="O77" s="196"/>
      <c r="P77" s="196"/>
      <c r="Q77" s="196"/>
      <c r="R77" s="196"/>
      <c r="S77" s="196"/>
      <c r="T77" s="196"/>
      <c r="U77" s="196"/>
      <c r="V77" s="196"/>
      <c r="W77" s="196"/>
      <c r="X77" s="196"/>
      <c r="Y77" s="196"/>
      <c r="Z77" s="196"/>
      <c r="AA77" s="196"/>
      <c r="AB77" s="196"/>
      <c r="AC77" s="196"/>
      <c r="AD77" s="196"/>
      <c r="AE77" s="196"/>
      <c r="AF77" s="196"/>
      <c r="AG77" s="196"/>
      <c r="AH77" s="196"/>
      <c r="AI77" s="196"/>
      <c r="AJ77" s="196"/>
      <c r="AK77" s="196"/>
      <c r="AL77" s="196"/>
      <c r="AM77" s="196"/>
      <c r="AN77" s="196"/>
      <c r="AO77" s="196"/>
    </row>
    <row r="78" spans="2:41" x14ac:dyDescent="0.2">
      <c r="B78" s="196"/>
      <c r="C78" s="196"/>
      <c r="D78" s="196"/>
      <c r="E78" s="196"/>
      <c r="F78" s="196"/>
      <c r="N78" s="196"/>
      <c r="O78" s="196"/>
      <c r="P78" s="196"/>
      <c r="Q78" s="196"/>
      <c r="R78" s="196"/>
      <c r="S78" s="196"/>
      <c r="T78" s="196"/>
      <c r="U78" s="196"/>
      <c r="V78" s="196"/>
      <c r="W78" s="196"/>
      <c r="X78" s="196"/>
      <c r="Y78" s="196"/>
      <c r="Z78" s="196"/>
      <c r="AA78" s="196"/>
      <c r="AB78" s="196"/>
      <c r="AC78" s="196"/>
      <c r="AD78" s="196"/>
      <c r="AE78" s="196"/>
      <c r="AF78" s="196"/>
      <c r="AG78" s="196"/>
      <c r="AH78" s="196"/>
      <c r="AI78" s="196"/>
      <c r="AJ78" s="196"/>
      <c r="AK78" s="196"/>
      <c r="AL78" s="196"/>
      <c r="AM78" s="196"/>
      <c r="AN78" s="196"/>
      <c r="AO78" s="196"/>
    </row>
    <row r="79" spans="2:41" x14ac:dyDescent="0.2">
      <c r="B79" s="196"/>
      <c r="C79" s="196"/>
      <c r="D79" s="196"/>
      <c r="E79" s="196"/>
      <c r="F79" s="196"/>
      <c r="N79" s="196"/>
      <c r="O79" s="196"/>
      <c r="P79" s="196"/>
      <c r="Q79" s="196"/>
      <c r="R79" s="196"/>
      <c r="S79" s="196"/>
      <c r="T79" s="196"/>
      <c r="U79" s="196"/>
      <c r="V79" s="196"/>
      <c r="W79" s="196"/>
      <c r="X79" s="196"/>
      <c r="Y79" s="196"/>
      <c r="Z79" s="196"/>
      <c r="AA79" s="196"/>
      <c r="AB79" s="196"/>
      <c r="AC79" s="196"/>
      <c r="AD79" s="196"/>
      <c r="AE79" s="196"/>
      <c r="AF79" s="196"/>
      <c r="AG79" s="196"/>
      <c r="AH79" s="196"/>
      <c r="AI79" s="196"/>
      <c r="AJ79" s="196"/>
      <c r="AK79" s="196"/>
      <c r="AL79" s="196"/>
      <c r="AM79" s="196"/>
      <c r="AN79" s="196"/>
      <c r="AO79" s="196"/>
    </row>
    <row r="80" spans="2:41" x14ac:dyDescent="0.2">
      <c r="B80" s="196"/>
      <c r="C80" s="196"/>
      <c r="D80" s="196"/>
      <c r="E80" s="196"/>
      <c r="F80" s="196"/>
      <c r="N80" s="196"/>
      <c r="O80" s="196"/>
      <c r="P80" s="196"/>
      <c r="Q80" s="196"/>
      <c r="R80" s="196"/>
      <c r="S80" s="196"/>
      <c r="T80" s="196"/>
      <c r="U80" s="196"/>
      <c r="V80" s="196"/>
      <c r="W80" s="196"/>
      <c r="X80" s="196"/>
      <c r="Y80" s="196"/>
      <c r="Z80" s="196"/>
      <c r="AA80" s="196"/>
      <c r="AB80" s="196"/>
      <c r="AC80" s="196"/>
      <c r="AD80" s="196"/>
      <c r="AE80" s="196"/>
      <c r="AF80" s="196"/>
      <c r="AG80" s="196"/>
      <c r="AH80" s="196"/>
      <c r="AI80" s="196"/>
      <c r="AJ80" s="196"/>
      <c r="AK80" s="196"/>
      <c r="AL80" s="196"/>
      <c r="AM80" s="196"/>
      <c r="AN80" s="196"/>
      <c r="AO80" s="196"/>
    </row>
    <row r="81" spans="2:41" x14ac:dyDescent="0.2">
      <c r="B81" s="196"/>
      <c r="C81" s="196"/>
      <c r="D81" s="196"/>
      <c r="E81" s="196"/>
      <c r="F81" s="196"/>
      <c r="N81" s="196"/>
      <c r="O81" s="196"/>
      <c r="P81" s="196"/>
      <c r="Q81" s="196"/>
      <c r="R81" s="196"/>
      <c r="S81" s="196"/>
      <c r="T81" s="196"/>
      <c r="U81" s="196"/>
      <c r="V81" s="196"/>
      <c r="W81" s="196"/>
      <c r="X81" s="196"/>
      <c r="Y81" s="196"/>
      <c r="Z81" s="196"/>
      <c r="AA81" s="196"/>
      <c r="AB81" s="196"/>
      <c r="AC81" s="196"/>
      <c r="AD81" s="196"/>
      <c r="AE81" s="196"/>
      <c r="AF81" s="196"/>
      <c r="AG81" s="196"/>
      <c r="AH81" s="196"/>
      <c r="AI81" s="196"/>
      <c r="AJ81" s="196"/>
      <c r="AK81" s="196"/>
      <c r="AL81" s="196"/>
      <c r="AM81" s="196"/>
      <c r="AN81" s="196"/>
      <c r="AO81" s="196"/>
    </row>
    <row r="82" spans="2:41" x14ac:dyDescent="0.2">
      <c r="B82" s="196"/>
      <c r="C82" s="196"/>
      <c r="D82" s="196"/>
      <c r="E82" s="196"/>
      <c r="F82" s="196"/>
      <c r="N82" s="196"/>
      <c r="O82" s="196"/>
      <c r="P82" s="196"/>
      <c r="Q82" s="196"/>
      <c r="R82" s="196"/>
      <c r="S82" s="196"/>
      <c r="T82" s="196"/>
      <c r="U82" s="196"/>
      <c r="V82" s="196"/>
      <c r="W82" s="196"/>
      <c r="X82" s="196"/>
      <c r="Y82" s="196"/>
      <c r="Z82" s="196"/>
      <c r="AA82" s="196"/>
      <c r="AB82" s="196"/>
      <c r="AC82" s="196"/>
      <c r="AD82" s="196"/>
      <c r="AE82" s="196"/>
      <c r="AF82" s="196"/>
      <c r="AG82" s="196"/>
      <c r="AH82" s="196"/>
      <c r="AI82" s="196"/>
      <c r="AJ82" s="196"/>
      <c r="AK82" s="196"/>
      <c r="AL82" s="196"/>
      <c r="AM82" s="196"/>
      <c r="AN82" s="196"/>
      <c r="AO82" s="196"/>
    </row>
    <row r="83" spans="2:41" x14ac:dyDescent="0.2">
      <c r="B83" s="196"/>
      <c r="C83" s="196"/>
      <c r="D83" s="196"/>
      <c r="E83" s="196"/>
      <c r="F83" s="196"/>
      <c r="N83" s="196"/>
      <c r="O83" s="196"/>
      <c r="P83" s="196"/>
      <c r="Q83" s="196"/>
      <c r="R83" s="196"/>
      <c r="S83" s="196"/>
      <c r="T83" s="196"/>
      <c r="U83" s="196"/>
      <c r="V83" s="196"/>
      <c r="W83" s="196"/>
      <c r="X83" s="196"/>
      <c r="Y83" s="196"/>
      <c r="Z83" s="196"/>
      <c r="AA83" s="196"/>
      <c r="AB83" s="196"/>
      <c r="AC83" s="196"/>
      <c r="AD83" s="196"/>
      <c r="AE83" s="196"/>
      <c r="AF83" s="196"/>
      <c r="AG83" s="196"/>
      <c r="AH83" s="196"/>
      <c r="AI83" s="196"/>
      <c r="AJ83" s="196"/>
      <c r="AK83" s="196"/>
      <c r="AL83" s="196"/>
      <c r="AM83" s="196"/>
      <c r="AN83" s="196"/>
      <c r="AO83" s="196"/>
    </row>
    <row r="84" spans="2:41" x14ac:dyDescent="0.2">
      <c r="B84" s="196"/>
      <c r="C84" s="196"/>
      <c r="D84" s="196"/>
      <c r="E84" s="196"/>
      <c r="F84" s="196"/>
      <c r="N84" s="196"/>
      <c r="O84" s="196"/>
      <c r="P84" s="196"/>
      <c r="Q84" s="196"/>
      <c r="R84" s="196"/>
      <c r="S84" s="196"/>
      <c r="T84" s="196"/>
      <c r="U84" s="196"/>
      <c r="V84" s="196"/>
      <c r="W84" s="196"/>
      <c r="X84" s="196"/>
      <c r="Y84" s="196"/>
      <c r="Z84" s="196"/>
      <c r="AA84" s="196"/>
      <c r="AB84" s="196"/>
      <c r="AC84" s="196"/>
      <c r="AD84" s="196"/>
      <c r="AE84" s="196"/>
      <c r="AF84" s="196"/>
      <c r="AG84" s="196"/>
      <c r="AH84" s="196"/>
      <c r="AI84" s="196"/>
      <c r="AJ84" s="196"/>
      <c r="AK84" s="196"/>
      <c r="AL84" s="196"/>
      <c r="AM84" s="196"/>
      <c r="AN84" s="196"/>
      <c r="AO84" s="196"/>
    </row>
    <row r="85" spans="2:41" x14ac:dyDescent="0.2">
      <c r="B85" s="196"/>
      <c r="C85" s="196"/>
      <c r="D85" s="196"/>
      <c r="E85" s="196"/>
      <c r="F85" s="196"/>
      <c r="N85" s="196"/>
      <c r="O85" s="196"/>
      <c r="P85" s="196"/>
      <c r="Q85" s="196"/>
      <c r="R85" s="196"/>
      <c r="S85" s="196"/>
      <c r="T85" s="196"/>
      <c r="U85" s="196"/>
      <c r="V85" s="196"/>
      <c r="W85" s="196"/>
      <c r="X85" s="196"/>
      <c r="Y85" s="196"/>
      <c r="Z85" s="196"/>
      <c r="AA85" s="196"/>
      <c r="AB85" s="196"/>
      <c r="AC85" s="196"/>
      <c r="AD85" s="196"/>
      <c r="AE85" s="196"/>
      <c r="AF85" s="196"/>
      <c r="AG85" s="196"/>
      <c r="AH85" s="196"/>
      <c r="AI85" s="196"/>
      <c r="AJ85" s="196"/>
      <c r="AK85" s="196"/>
      <c r="AL85" s="196"/>
      <c r="AM85" s="196"/>
      <c r="AN85" s="196"/>
      <c r="AO85" s="196"/>
    </row>
    <row r="86" spans="2:41" x14ac:dyDescent="0.2">
      <c r="B86" s="196"/>
      <c r="C86" s="196"/>
      <c r="D86" s="196"/>
      <c r="E86" s="196"/>
      <c r="F86" s="196"/>
      <c r="N86" s="196"/>
      <c r="O86" s="196"/>
      <c r="P86" s="196"/>
      <c r="Q86" s="196"/>
      <c r="R86" s="196"/>
      <c r="S86" s="196"/>
      <c r="T86" s="196"/>
      <c r="U86" s="196"/>
      <c r="V86" s="196"/>
      <c r="W86" s="196"/>
      <c r="X86" s="196"/>
      <c r="Y86" s="196"/>
      <c r="Z86" s="196"/>
      <c r="AA86" s="196"/>
      <c r="AB86" s="196"/>
      <c r="AC86" s="196"/>
      <c r="AD86" s="196"/>
      <c r="AE86" s="196"/>
      <c r="AF86" s="196"/>
      <c r="AG86" s="196"/>
      <c r="AH86" s="196"/>
      <c r="AI86" s="196"/>
      <c r="AJ86" s="196"/>
      <c r="AK86" s="196"/>
      <c r="AL86" s="196"/>
      <c r="AM86" s="196"/>
      <c r="AN86" s="196"/>
      <c r="AO86" s="196"/>
    </row>
    <row r="87" spans="2:41" x14ac:dyDescent="0.2">
      <c r="B87" s="196"/>
      <c r="C87" s="196"/>
      <c r="D87" s="196"/>
      <c r="E87" s="196"/>
      <c r="F87" s="196"/>
      <c r="N87" s="196"/>
      <c r="O87" s="196"/>
      <c r="P87" s="196"/>
      <c r="Q87" s="196"/>
      <c r="R87" s="196"/>
      <c r="S87" s="196"/>
      <c r="T87" s="196"/>
      <c r="U87" s="196"/>
      <c r="V87" s="196"/>
      <c r="W87" s="196"/>
      <c r="X87" s="196"/>
      <c r="Y87" s="196"/>
      <c r="Z87" s="196"/>
      <c r="AA87" s="196"/>
      <c r="AB87" s="196"/>
      <c r="AC87" s="196"/>
      <c r="AD87" s="196"/>
      <c r="AE87" s="196"/>
      <c r="AF87" s="196"/>
      <c r="AG87" s="196"/>
      <c r="AH87" s="196"/>
      <c r="AI87" s="196"/>
      <c r="AJ87" s="196"/>
      <c r="AK87" s="196"/>
      <c r="AL87" s="196"/>
      <c r="AM87" s="196"/>
      <c r="AN87" s="196"/>
      <c r="AO87" s="196"/>
    </row>
    <row r="88" spans="2:41" x14ac:dyDescent="0.2">
      <c r="B88" s="196"/>
      <c r="C88" s="196"/>
      <c r="D88" s="196"/>
      <c r="E88" s="196"/>
      <c r="F88" s="196"/>
      <c r="N88" s="196"/>
      <c r="O88" s="196"/>
      <c r="P88" s="196"/>
      <c r="Q88" s="196"/>
      <c r="R88" s="196"/>
      <c r="S88" s="196"/>
      <c r="T88" s="196"/>
      <c r="U88" s="196"/>
      <c r="V88" s="196"/>
      <c r="W88" s="196"/>
      <c r="X88" s="196"/>
      <c r="Y88" s="196"/>
      <c r="Z88" s="196"/>
      <c r="AA88" s="196"/>
      <c r="AB88" s="196"/>
      <c r="AC88" s="196"/>
      <c r="AD88" s="196"/>
      <c r="AE88" s="196"/>
      <c r="AF88" s="196"/>
      <c r="AG88" s="196"/>
      <c r="AH88" s="196"/>
      <c r="AI88" s="196"/>
      <c r="AJ88" s="196"/>
      <c r="AK88" s="196"/>
      <c r="AL88" s="196"/>
      <c r="AM88" s="196"/>
      <c r="AN88" s="196"/>
      <c r="AO88" s="196"/>
    </row>
    <row r="89" spans="2:41" x14ac:dyDescent="0.2">
      <c r="B89" s="196"/>
      <c r="C89" s="196"/>
      <c r="D89" s="196"/>
      <c r="E89" s="196"/>
      <c r="F89" s="196"/>
      <c r="N89" s="196"/>
      <c r="O89" s="196"/>
      <c r="P89" s="196"/>
      <c r="Q89" s="196"/>
      <c r="R89" s="196"/>
      <c r="S89" s="196"/>
      <c r="T89" s="196"/>
      <c r="U89" s="196"/>
      <c r="V89" s="196"/>
      <c r="W89" s="196"/>
      <c r="X89" s="196"/>
      <c r="Y89" s="196"/>
      <c r="Z89" s="196"/>
      <c r="AA89" s="196"/>
      <c r="AB89" s="196"/>
      <c r="AC89" s="196"/>
      <c r="AD89" s="196"/>
      <c r="AE89" s="196"/>
      <c r="AF89" s="196"/>
      <c r="AG89" s="196"/>
      <c r="AH89" s="196"/>
      <c r="AI89" s="196"/>
      <c r="AJ89" s="196"/>
      <c r="AK89" s="196"/>
      <c r="AL89" s="196"/>
      <c r="AM89" s="196"/>
      <c r="AN89" s="196"/>
      <c r="AO89" s="196"/>
    </row>
    <row r="90" spans="2:41" x14ac:dyDescent="0.2">
      <c r="B90" s="196"/>
      <c r="C90" s="196"/>
      <c r="D90" s="196"/>
      <c r="E90" s="196"/>
      <c r="F90" s="196"/>
      <c r="N90" s="196"/>
      <c r="O90" s="196"/>
      <c r="P90" s="196"/>
      <c r="Q90" s="196"/>
      <c r="R90" s="196"/>
      <c r="S90" s="196"/>
      <c r="T90" s="196"/>
      <c r="U90" s="196"/>
      <c r="V90" s="196"/>
      <c r="W90" s="196"/>
      <c r="X90" s="196"/>
      <c r="Y90" s="196"/>
      <c r="Z90" s="196"/>
      <c r="AA90" s="196"/>
      <c r="AB90" s="196"/>
      <c r="AC90" s="196"/>
      <c r="AD90" s="196"/>
      <c r="AE90" s="196"/>
      <c r="AF90" s="196"/>
      <c r="AG90" s="196"/>
      <c r="AH90" s="196"/>
      <c r="AI90" s="196"/>
      <c r="AJ90" s="196"/>
      <c r="AK90" s="196"/>
      <c r="AL90" s="196"/>
      <c r="AM90" s="196"/>
      <c r="AN90" s="196"/>
      <c r="AO90" s="196"/>
    </row>
    <row r="91" spans="2:41" x14ac:dyDescent="0.2">
      <c r="B91" s="196"/>
      <c r="C91" s="196"/>
      <c r="D91" s="196"/>
      <c r="E91" s="196"/>
      <c r="F91" s="196"/>
      <c r="N91" s="196"/>
      <c r="O91" s="196"/>
      <c r="P91" s="196"/>
      <c r="Q91" s="196"/>
      <c r="R91" s="196"/>
      <c r="S91" s="196"/>
      <c r="T91" s="196"/>
      <c r="U91" s="196"/>
      <c r="V91" s="196"/>
      <c r="W91" s="196"/>
      <c r="X91" s="196"/>
      <c r="Y91" s="196"/>
      <c r="Z91" s="196"/>
      <c r="AA91" s="196"/>
      <c r="AB91" s="196"/>
      <c r="AC91" s="196"/>
      <c r="AD91" s="196"/>
      <c r="AE91" s="196"/>
      <c r="AF91" s="196"/>
      <c r="AG91" s="196"/>
      <c r="AH91" s="196"/>
      <c r="AI91" s="196"/>
      <c r="AJ91" s="196"/>
      <c r="AK91" s="196"/>
      <c r="AL91" s="196"/>
      <c r="AM91" s="196"/>
      <c r="AN91" s="196"/>
      <c r="AO91" s="196"/>
    </row>
    <row r="92" spans="2:41" x14ac:dyDescent="0.2">
      <c r="B92" s="196"/>
      <c r="C92" s="196"/>
      <c r="D92" s="196"/>
      <c r="E92" s="196"/>
      <c r="F92" s="196"/>
      <c r="N92" s="196"/>
      <c r="O92" s="196"/>
      <c r="P92" s="196"/>
      <c r="Q92" s="196"/>
      <c r="R92" s="196"/>
      <c r="S92" s="196"/>
      <c r="T92" s="196"/>
      <c r="U92" s="196"/>
      <c r="V92" s="196"/>
      <c r="W92" s="196"/>
      <c r="X92" s="196"/>
      <c r="Y92" s="196"/>
      <c r="Z92" s="196"/>
      <c r="AA92" s="196"/>
      <c r="AB92" s="196"/>
      <c r="AC92" s="196"/>
      <c r="AD92" s="196"/>
      <c r="AE92" s="196"/>
      <c r="AF92" s="196"/>
      <c r="AG92" s="196"/>
      <c r="AH92" s="196"/>
      <c r="AI92" s="196"/>
      <c r="AJ92" s="196"/>
      <c r="AK92" s="196"/>
      <c r="AL92" s="196"/>
      <c r="AM92" s="196"/>
      <c r="AN92" s="196"/>
      <c r="AO92" s="196"/>
    </row>
    <row r="93" spans="2:41" x14ac:dyDescent="0.2">
      <c r="B93" s="196"/>
      <c r="C93" s="196"/>
      <c r="D93" s="196"/>
      <c r="E93" s="196"/>
      <c r="F93" s="196"/>
    </row>
    <row r="94" spans="2:41" x14ac:dyDescent="0.2">
      <c r="B94" s="196"/>
      <c r="C94" s="196"/>
      <c r="D94" s="196"/>
      <c r="E94" s="196"/>
      <c r="F94" s="196"/>
    </row>
    <row r="95" spans="2:41" x14ac:dyDescent="0.2">
      <c r="B95" s="196"/>
      <c r="C95" s="196"/>
      <c r="D95" s="196"/>
      <c r="E95" s="196"/>
      <c r="F95" s="196"/>
    </row>
    <row r="96" spans="2:41" x14ac:dyDescent="0.2">
      <c r="B96" s="196"/>
      <c r="C96" s="196"/>
      <c r="D96" s="196"/>
      <c r="E96" s="196"/>
      <c r="F96" s="196"/>
    </row>
    <row r="97" spans="2:6" x14ac:dyDescent="0.2">
      <c r="B97" s="196"/>
      <c r="C97" s="196"/>
      <c r="D97" s="196"/>
      <c r="E97" s="196"/>
      <c r="F97" s="196"/>
    </row>
    <row r="98" spans="2:6" x14ac:dyDescent="0.2">
      <c r="B98" s="196"/>
      <c r="C98" s="196"/>
      <c r="D98" s="196"/>
      <c r="E98" s="196"/>
      <c r="F98" s="196"/>
    </row>
    <row r="99" spans="2:6" x14ac:dyDescent="0.2">
      <c r="B99" s="196"/>
      <c r="C99" s="196"/>
      <c r="D99" s="196"/>
      <c r="E99" s="196"/>
      <c r="F99" s="196"/>
    </row>
    <row r="100" spans="2:6" x14ac:dyDescent="0.2">
      <c r="B100" s="196"/>
      <c r="C100" s="196"/>
      <c r="D100" s="196"/>
      <c r="E100" s="196"/>
      <c r="F100" s="196"/>
    </row>
    <row r="101" spans="2:6" x14ac:dyDescent="0.2">
      <c r="B101" s="196"/>
      <c r="C101" s="196"/>
      <c r="D101" s="196"/>
      <c r="E101" s="196"/>
      <c r="F101" s="196"/>
    </row>
    <row r="102" spans="2:6" x14ac:dyDescent="0.2">
      <c r="B102" s="196"/>
      <c r="C102" s="196"/>
      <c r="D102" s="196"/>
      <c r="E102" s="196"/>
      <c r="F102" s="196"/>
    </row>
    <row r="103" spans="2:6" x14ac:dyDescent="0.2">
      <c r="B103" s="196"/>
      <c r="C103" s="196"/>
      <c r="D103" s="196"/>
      <c r="E103" s="196"/>
      <c r="F103" s="196"/>
    </row>
    <row r="104" spans="2:6" x14ac:dyDescent="0.2">
      <c r="B104" s="196"/>
      <c r="C104" s="196"/>
      <c r="D104" s="196"/>
      <c r="E104" s="196"/>
      <c r="F104" s="196"/>
    </row>
    <row r="105" spans="2:6" x14ac:dyDescent="0.2">
      <c r="B105" s="196"/>
      <c r="C105" s="196"/>
      <c r="D105" s="196"/>
      <c r="E105" s="196"/>
      <c r="F105" s="196"/>
    </row>
    <row r="106" spans="2:6" x14ac:dyDescent="0.2">
      <c r="B106" s="196"/>
      <c r="C106" s="196"/>
      <c r="D106" s="196"/>
      <c r="E106" s="196"/>
      <c r="F106" s="196"/>
    </row>
    <row r="107" spans="2:6" x14ac:dyDescent="0.2">
      <c r="B107" s="196"/>
      <c r="C107" s="196"/>
      <c r="D107" s="196"/>
      <c r="E107" s="196"/>
      <c r="F107" s="196"/>
    </row>
    <row r="108" spans="2:6" x14ac:dyDescent="0.2">
      <c r="B108" s="196"/>
      <c r="C108" s="196"/>
      <c r="D108" s="196"/>
      <c r="E108" s="196"/>
      <c r="F108" s="196"/>
    </row>
    <row r="109" spans="2:6" x14ac:dyDescent="0.2">
      <c r="B109" s="196"/>
      <c r="C109" s="196"/>
      <c r="D109" s="196"/>
      <c r="E109" s="196"/>
      <c r="F109" s="196"/>
    </row>
    <row r="110" spans="2:6" x14ac:dyDescent="0.2">
      <c r="B110" s="196"/>
      <c r="C110" s="196"/>
      <c r="D110" s="196"/>
      <c r="E110" s="196"/>
      <c r="F110" s="196"/>
    </row>
    <row r="111" spans="2:6" x14ac:dyDescent="0.2">
      <c r="B111" s="196"/>
      <c r="C111" s="196"/>
      <c r="D111" s="196"/>
      <c r="E111" s="196"/>
      <c r="F111" s="196"/>
    </row>
    <row r="112" spans="2:6" x14ac:dyDescent="0.2">
      <c r="B112" s="196"/>
      <c r="C112" s="196"/>
      <c r="D112" s="196"/>
      <c r="E112" s="196"/>
      <c r="F112" s="196"/>
    </row>
    <row r="113" spans="2:6" x14ac:dyDescent="0.2">
      <c r="B113" s="196"/>
      <c r="C113" s="196"/>
      <c r="D113" s="196"/>
      <c r="E113" s="196"/>
      <c r="F113" s="196"/>
    </row>
    <row r="114" spans="2:6" x14ac:dyDescent="0.2">
      <c r="B114" s="196"/>
      <c r="C114" s="196"/>
      <c r="D114" s="196"/>
      <c r="E114" s="196"/>
      <c r="F114" s="196"/>
    </row>
    <row r="115" spans="2:6" x14ac:dyDescent="0.2">
      <c r="B115" s="196"/>
      <c r="C115" s="196"/>
      <c r="D115" s="196"/>
      <c r="E115" s="196"/>
      <c r="F115" s="196"/>
    </row>
    <row r="116" spans="2:6" x14ac:dyDescent="0.2">
      <c r="B116" s="196"/>
      <c r="C116" s="196"/>
      <c r="D116" s="196"/>
      <c r="E116" s="196"/>
      <c r="F116" s="196"/>
    </row>
    <row r="117" spans="2:6" x14ac:dyDescent="0.2">
      <c r="B117" s="196"/>
      <c r="C117" s="196"/>
      <c r="D117" s="196"/>
      <c r="E117" s="196"/>
      <c r="F117" s="196"/>
    </row>
    <row r="118" spans="2:6" x14ac:dyDescent="0.2">
      <c r="B118" s="196"/>
      <c r="C118" s="196"/>
      <c r="D118" s="196"/>
      <c r="E118" s="196"/>
      <c r="F118" s="196"/>
    </row>
    <row r="119" spans="2:6" x14ac:dyDescent="0.2">
      <c r="B119" s="196"/>
      <c r="C119" s="196"/>
      <c r="D119" s="196"/>
      <c r="E119" s="196"/>
      <c r="F119" s="196"/>
    </row>
    <row r="120" spans="2:6" x14ac:dyDescent="0.2">
      <c r="B120" s="196"/>
      <c r="C120" s="196"/>
      <c r="D120" s="196"/>
      <c r="E120" s="196"/>
      <c r="F120" s="196"/>
    </row>
    <row r="121" spans="2:6" x14ac:dyDescent="0.2">
      <c r="B121" s="196"/>
      <c r="C121" s="196"/>
      <c r="D121" s="196"/>
      <c r="E121" s="196"/>
      <c r="F121" s="196"/>
    </row>
    <row r="122" spans="2:6" x14ac:dyDescent="0.2">
      <c r="B122" s="196"/>
      <c r="C122" s="196"/>
      <c r="D122" s="196"/>
      <c r="E122" s="196"/>
      <c r="F122" s="196"/>
    </row>
    <row r="123" spans="2:6" x14ac:dyDescent="0.2">
      <c r="B123" s="196"/>
      <c r="C123" s="196"/>
      <c r="D123" s="196"/>
      <c r="E123" s="196"/>
      <c r="F123" s="196"/>
    </row>
    <row r="124" spans="2:6" x14ac:dyDescent="0.2">
      <c r="B124" s="196"/>
      <c r="C124" s="196"/>
      <c r="D124" s="196"/>
      <c r="E124" s="196"/>
      <c r="F124" s="196"/>
    </row>
    <row r="125" spans="2:6" x14ac:dyDescent="0.2">
      <c r="B125" s="196"/>
      <c r="C125" s="196"/>
      <c r="D125" s="196"/>
      <c r="E125" s="196"/>
      <c r="F125" s="196"/>
    </row>
    <row r="126" spans="2:6" x14ac:dyDescent="0.2">
      <c r="B126" s="196"/>
      <c r="C126" s="196"/>
      <c r="D126" s="196"/>
      <c r="E126" s="196"/>
      <c r="F126" s="196"/>
    </row>
    <row r="127" spans="2:6" x14ac:dyDescent="0.2">
      <c r="B127" s="196"/>
      <c r="C127" s="196"/>
      <c r="D127" s="196"/>
      <c r="E127" s="196"/>
      <c r="F127" s="196"/>
    </row>
    <row r="128" spans="2:6" x14ac:dyDescent="0.2">
      <c r="B128" s="196"/>
      <c r="C128" s="196"/>
      <c r="D128" s="196"/>
      <c r="E128" s="196"/>
      <c r="F128" s="196"/>
    </row>
    <row r="129" spans="2:6" x14ac:dyDescent="0.2">
      <c r="B129" s="196"/>
      <c r="C129" s="196"/>
      <c r="D129" s="196"/>
      <c r="E129" s="196"/>
      <c r="F129" s="196"/>
    </row>
    <row r="130" spans="2:6" x14ac:dyDescent="0.2">
      <c r="B130" s="196"/>
      <c r="C130" s="196"/>
      <c r="D130" s="196"/>
      <c r="E130" s="196"/>
      <c r="F130" s="196"/>
    </row>
    <row r="131" spans="2:6" x14ac:dyDescent="0.2">
      <c r="B131" s="196"/>
      <c r="C131" s="196"/>
      <c r="D131" s="196"/>
      <c r="E131" s="196"/>
      <c r="F131" s="196"/>
    </row>
    <row r="132" spans="2:6" x14ac:dyDescent="0.2">
      <c r="B132" s="196"/>
      <c r="C132" s="196"/>
      <c r="D132" s="196"/>
      <c r="E132" s="196"/>
      <c r="F132" s="196"/>
    </row>
    <row r="133" spans="2:6" x14ac:dyDescent="0.2">
      <c r="B133" s="196"/>
      <c r="C133" s="196"/>
      <c r="D133" s="196"/>
      <c r="E133" s="196"/>
      <c r="F133" s="196"/>
    </row>
    <row r="134" spans="2:6" x14ac:dyDescent="0.2">
      <c r="B134" s="196"/>
      <c r="C134" s="196"/>
      <c r="D134" s="196"/>
      <c r="E134" s="196"/>
      <c r="F134" s="196"/>
    </row>
    <row r="135" spans="2:6" x14ac:dyDescent="0.2">
      <c r="B135" s="196"/>
      <c r="C135" s="196"/>
      <c r="D135" s="196"/>
      <c r="E135" s="196"/>
      <c r="F135" s="196"/>
    </row>
    <row r="136" spans="2:6" x14ac:dyDescent="0.2">
      <c r="B136" s="196"/>
      <c r="C136" s="196"/>
      <c r="D136" s="196"/>
      <c r="E136" s="196"/>
      <c r="F136" s="196"/>
    </row>
    <row r="137" spans="2:6" x14ac:dyDescent="0.2">
      <c r="B137" s="196"/>
      <c r="C137" s="196"/>
      <c r="D137" s="196"/>
      <c r="E137" s="196"/>
      <c r="F137" s="196"/>
    </row>
    <row r="138" spans="2:6" x14ac:dyDescent="0.2">
      <c r="B138" s="196"/>
      <c r="C138" s="196"/>
      <c r="D138" s="196"/>
      <c r="E138" s="196"/>
      <c r="F138" s="196"/>
    </row>
    <row r="139" spans="2:6" x14ac:dyDescent="0.2">
      <c r="B139" s="196"/>
      <c r="C139" s="196"/>
      <c r="D139" s="196"/>
      <c r="E139" s="196"/>
      <c r="F139" s="196"/>
    </row>
    <row r="140" spans="2:6" x14ac:dyDescent="0.2">
      <c r="B140" s="196"/>
      <c r="C140" s="196"/>
      <c r="D140" s="196"/>
      <c r="E140" s="196"/>
      <c r="F140" s="196"/>
    </row>
    <row r="141" spans="2:6" x14ac:dyDescent="0.2">
      <c r="B141" s="196"/>
      <c r="C141" s="196"/>
      <c r="D141" s="196"/>
      <c r="E141" s="196"/>
      <c r="F141" s="196"/>
    </row>
    <row r="142" spans="2:6" x14ac:dyDescent="0.2">
      <c r="B142" s="196"/>
      <c r="C142" s="196"/>
      <c r="D142" s="196"/>
      <c r="E142" s="196"/>
      <c r="F142" s="196"/>
    </row>
    <row r="143" spans="2:6" x14ac:dyDescent="0.2">
      <c r="B143" s="196"/>
      <c r="C143" s="196"/>
      <c r="D143" s="196"/>
      <c r="E143" s="196"/>
      <c r="F143" s="196"/>
    </row>
    <row r="144" spans="2:6" x14ac:dyDescent="0.2">
      <c r="B144" s="196"/>
      <c r="C144" s="196"/>
      <c r="D144" s="196"/>
      <c r="E144" s="196"/>
      <c r="F144" s="196"/>
    </row>
    <row r="145" spans="2:6" x14ac:dyDescent="0.2">
      <c r="B145" s="196"/>
      <c r="C145" s="196"/>
      <c r="D145" s="196"/>
      <c r="E145" s="196"/>
      <c r="F145" s="196"/>
    </row>
    <row r="146" spans="2:6" x14ac:dyDescent="0.2">
      <c r="B146" s="196"/>
      <c r="C146" s="196"/>
      <c r="D146" s="196"/>
      <c r="E146" s="196"/>
      <c r="F146" s="196"/>
    </row>
    <row r="147" spans="2:6" x14ac:dyDescent="0.2">
      <c r="B147" s="196"/>
      <c r="C147" s="196"/>
      <c r="D147" s="196"/>
      <c r="E147" s="196"/>
      <c r="F147" s="196"/>
    </row>
    <row r="148" spans="2:6" x14ac:dyDescent="0.2">
      <c r="B148" s="196"/>
      <c r="C148" s="196"/>
      <c r="D148" s="196"/>
      <c r="E148" s="196"/>
      <c r="F148" s="196"/>
    </row>
    <row r="149" spans="2:6" x14ac:dyDescent="0.2">
      <c r="B149" s="196"/>
      <c r="C149" s="196"/>
      <c r="D149" s="196"/>
      <c r="E149" s="196"/>
      <c r="F149" s="196"/>
    </row>
    <row r="150" spans="2:6" x14ac:dyDescent="0.2">
      <c r="B150" s="196"/>
      <c r="C150" s="196"/>
      <c r="D150" s="196"/>
      <c r="E150" s="196"/>
      <c r="F150" s="196"/>
    </row>
    <row r="151" spans="2:6" x14ac:dyDescent="0.2">
      <c r="B151" s="196"/>
      <c r="C151" s="196"/>
      <c r="D151" s="196"/>
      <c r="E151" s="196"/>
      <c r="F151" s="196"/>
    </row>
    <row r="152" spans="2:6" x14ac:dyDescent="0.2">
      <c r="B152" s="196"/>
      <c r="C152" s="196"/>
      <c r="D152" s="196"/>
      <c r="E152" s="196"/>
      <c r="F152" s="196"/>
    </row>
    <row r="153" spans="2:6" x14ac:dyDescent="0.2">
      <c r="B153" s="196"/>
      <c r="C153" s="196"/>
      <c r="D153" s="196"/>
      <c r="E153" s="196"/>
      <c r="F153" s="196"/>
    </row>
    <row r="154" spans="2:6" x14ac:dyDescent="0.2">
      <c r="B154" s="196"/>
      <c r="C154" s="196"/>
      <c r="D154" s="196"/>
      <c r="E154" s="196"/>
      <c r="F154" s="196"/>
    </row>
    <row r="155" spans="2:6" x14ac:dyDescent="0.2">
      <c r="B155" s="196"/>
      <c r="C155" s="196"/>
      <c r="D155" s="196"/>
      <c r="E155" s="196"/>
      <c r="F155" s="196"/>
    </row>
    <row r="156" spans="2:6" x14ac:dyDescent="0.2">
      <c r="B156" s="196"/>
      <c r="C156" s="196"/>
      <c r="D156" s="196"/>
      <c r="E156" s="196"/>
      <c r="F156" s="196"/>
    </row>
    <row r="157" spans="2:6" x14ac:dyDescent="0.2">
      <c r="B157" s="196"/>
      <c r="C157" s="196"/>
      <c r="D157" s="196"/>
      <c r="E157" s="196"/>
      <c r="F157" s="196"/>
    </row>
    <row r="158" spans="2:6" x14ac:dyDescent="0.2">
      <c r="B158" s="196"/>
      <c r="C158" s="196"/>
      <c r="D158" s="196"/>
      <c r="E158" s="196"/>
      <c r="F158" s="196"/>
    </row>
    <row r="159" spans="2:6" x14ac:dyDescent="0.2">
      <c r="B159" s="196"/>
      <c r="C159" s="196"/>
      <c r="D159" s="196"/>
      <c r="E159" s="196"/>
      <c r="F159" s="196"/>
    </row>
    <row r="160" spans="2:6" x14ac:dyDescent="0.2">
      <c r="B160" s="196"/>
      <c r="C160" s="196"/>
      <c r="D160" s="196"/>
      <c r="E160" s="196"/>
      <c r="F160" s="196"/>
    </row>
    <row r="161" spans="2:6" x14ac:dyDescent="0.2">
      <c r="B161" s="196"/>
      <c r="C161" s="196"/>
      <c r="D161" s="196"/>
      <c r="E161" s="196"/>
      <c r="F161" s="196"/>
    </row>
    <row r="162" spans="2:6" x14ac:dyDescent="0.2">
      <c r="B162" s="196"/>
      <c r="C162" s="196"/>
      <c r="D162" s="196"/>
      <c r="E162" s="196"/>
      <c r="F162" s="196"/>
    </row>
    <row r="163" spans="2:6" x14ac:dyDescent="0.2">
      <c r="B163" s="196"/>
      <c r="C163" s="196"/>
      <c r="D163" s="196"/>
      <c r="E163" s="196"/>
      <c r="F163" s="196"/>
    </row>
    <row r="164" spans="2:6" x14ac:dyDescent="0.2">
      <c r="B164" s="196"/>
      <c r="C164" s="196"/>
      <c r="D164" s="196"/>
      <c r="E164" s="196"/>
      <c r="F164" s="196"/>
    </row>
    <row r="165" spans="2:6" x14ac:dyDescent="0.2">
      <c r="B165" s="196"/>
      <c r="C165" s="196"/>
      <c r="D165" s="196"/>
      <c r="E165" s="196"/>
      <c r="F165" s="196"/>
    </row>
    <row r="166" spans="2:6" x14ac:dyDescent="0.2">
      <c r="B166" s="196"/>
      <c r="C166" s="196"/>
      <c r="D166" s="196"/>
      <c r="E166" s="196"/>
      <c r="F166" s="196"/>
    </row>
    <row r="167" spans="2:6" x14ac:dyDescent="0.2">
      <c r="B167" s="196"/>
      <c r="C167" s="196"/>
      <c r="D167" s="196"/>
      <c r="E167" s="196"/>
      <c r="F167" s="196"/>
    </row>
    <row r="168" spans="2:6" x14ac:dyDescent="0.2">
      <c r="B168" s="196"/>
      <c r="C168" s="196"/>
      <c r="D168" s="196"/>
      <c r="E168" s="196"/>
      <c r="F168" s="196"/>
    </row>
    <row r="169" spans="2:6" x14ac:dyDescent="0.2">
      <c r="B169" s="196"/>
      <c r="C169" s="196"/>
      <c r="D169" s="196"/>
      <c r="E169" s="196"/>
      <c r="F169" s="196"/>
    </row>
    <row r="170" spans="2:6" x14ac:dyDescent="0.2">
      <c r="B170" s="196"/>
      <c r="C170" s="196"/>
      <c r="D170" s="196"/>
      <c r="E170" s="196"/>
      <c r="F170" s="196"/>
    </row>
    <row r="171" spans="2:6" x14ac:dyDescent="0.2">
      <c r="B171" s="196"/>
      <c r="C171" s="196"/>
      <c r="D171" s="196"/>
      <c r="E171" s="196"/>
      <c r="F171" s="196"/>
    </row>
    <row r="172" spans="2:6" x14ac:dyDescent="0.2">
      <c r="B172" s="196"/>
      <c r="C172" s="196"/>
      <c r="D172" s="196"/>
      <c r="E172" s="196"/>
      <c r="F172" s="196"/>
    </row>
    <row r="173" spans="2:6" x14ac:dyDescent="0.2">
      <c r="B173" s="196"/>
      <c r="C173" s="196"/>
      <c r="D173" s="196"/>
      <c r="E173" s="196"/>
      <c r="F173" s="196"/>
    </row>
    <row r="174" spans="2:6" x14ac:dyDescent="0.2">
      <c r="B174" s="196"/>
      <c r="C174" s="196"/>
      <c r="D174" s="196"/>
      <c r="E174" s="196"/>
      <c r="F174" s="196"/>
    </row>
    <row r="175" spans="2:6" x14ac:dyDescent="0.2">
      <c r="B175" s="196"/>
      <c r="C175" s="196"/>
      <c r="D175" s="196"/>
      <c r="E175" s="196"/>
      <c r="F175" s="196"/>
    </row>
    <row r="176" spans="2:6" x14ac:dyDescent="0.2">
      <c r="B176" s="196"/>
      <c r="C176" s="196"/>
      <c r="D176" s="196"/>
      <c r="E176" s="196"/>
      <c r="F176" s="196"/>
    </row>
  </sheetData>
  <mergeCells count="25">
    <mergeCell ref="B42:D42"/>
    <mergeCell ref="B33:E33"/>
    <mergeCell ref="B34:D34"/>
    <mergeCell ref="B35:D35"/>
    <mergeCell ref="B36:D36"/>
    <mergeCell ref="B40:D40"/>
    <mergeCell ref="B41:E41"/>
    <mergeCell ref="B32:D32"/>
    <mergeCell ref="B9:D9"/>
    <mergeCell ref="B10:D10"/>
    <mergeCell ref="B11:D11"/>
    <mergeCell ref="B12:D12"/>
    <mergeCell ref="B13:D13"/>
    <mergeCell ref="B14:D14"/>
    <mergeCell ref="B17:B18"/>
    <mergeCell ref="C17:F17"/>
    <mergeCell ref="B26:D26"/>
    <mergeCell ref="B27:D27"/>
    <mergeCell ref="B28:D28"/>
    <mergeCell ref="B7:D7"/>
    <mergeCell ref="B2:D2"/>
    <mergeCell ref="B3:D3"/>
    <mergeCell ref="B4:D4"/>
    <mergeCell ref="B5:D5"/>
    <mergeCell ref="B6:D6"/>
  </mergeCells>
  <pageMargins left="0.75" right="0.75" top="1" bottom="1" header="0.5" footer="0.5"/>
  <pageSetup paperSize="9" scale="20" orientation="landscape" r:id="rId1"/>
  <headerFooter alignWithMargins="0">
    <oddFooter>&amp;L&amp;T / &amp;D&amp;C&amp;P of &amp;N&amp;R&amp;F</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indexed="15"/>
    <pageSetUpPr autoPageBreaks="0"/>
  </sheetPr>
  <dimension ref="B1:BQ105"/>
  <sheetViews>
    <sheetView zoomScale="80" zoomScaleNormal="80" workbookViewId="0">
      <pane xSplit="3" ySplit="5" topLeftCell="D6" activePane="bottomRight" state="frozen"/>
      <selection activeCell="B2" sqref="B2:D2"/>
      <selection pane="topRight" activeCell="B2" sqref="B2:D2"/>
      <selection pane="bottomLeft" activeCell="B2" sqref="B2:D2"/>
      <selection pane="bottomRight" activeCell="F11" sqref="F11"/>
    </sheetView>
  </sheetViews>
  <sheetFormatPr defaultRowHeight="12.75" x14ac:dyDescent="0.2"/>
  <cols>
    <col min="1" max="1" width="1.85546875" style="196" customWidth="1"/>
    <col min="2" max="2" width="45" style="196" customWidth="1"/>
    <col min="3" max="3" width="2.85546875" style="196" customWidth="1"/>
    <col min="4" max="4" width="12.42578125" style="196" bestFit="1" customWidth="1"/>
    <col min="5" max="6" width="10.85546875" style="196" customWidth="1"/>
    <col min="7" max="7" width="16.140625" style="196" customWidth="1"/>
    <col min="8" max="8" width="12.42578125" style="196" customWidth="1"/>
    <col min="9" max="9" width="11.140625" style="196" customWidth="1"/>
    <col min="10" max="12" width="9.28515625" style="196" bestFit="1" customWidth="1"/>
    <col min="13" max="16" width="9.85546875" style="196" bestFit="1" customWidth="1"/>
    <col min="17" max="24" width="9.85546875" style="196" customWidth="1"/>
    <col min="25" max="25" width="1.85546875" style="196" customWidth="1"/>
    <col min="26" max="26" width="17.5703125" style="196" customWidth="1"/>
    <col min="27" max="27" width="18.7109375" style="196" bestFit="1" customWidth="1"/>
    <col min="28" max="28" width="18" style="196" customWidth="1"/>
    <col min="29" max="30" width="16.7109375" style="196" bestFit="1" customWidth="1"/>
    <col min="31" max="31" width="18.140625" style="196" customWidth="1"/>
    <col min="32" max="33" width="16.7109375" style="196" bestFit="1" customWidth="1"/>
    <col min="34" max="34" width="9.42578125" style="196" bestFit="1" customWidth="1"/>
    <col min="35" max="36" width="14.85546875" style="196" bestFit="1" customWidth="1"/>
    <col min="37" max="37" width="12.7109375" style="196" customWidth="1"/>
    <col min="38" max="38" width="13.28515625" style="196" customWidth="1"/>
    <col min="39" max="41" width="14.85546875" style="196" customWidth="1"/>
    <col min="42" max="42" width="10" style="196" customWidth="1"/>
    <col min="43" max="45" width="14.85546875" style="196" customWidth="1"/>
    <col min="46" max="46" width="10" style="196" customWidth="1"/>
    <col min="47" max="47" width="1.85546875" style="196" customWidth="1"/>
    <col min="48" max="48" width="12.42578125" style="196" bestFit="1" customWidth="1"/>
    <col min="49" max="49" width="17.5703125" style="196" customWidth="1"/>
    <col min="50" max="50" width="15.28515625" style="196" customWidth="1"/>
    <col min="51" max="51" width="14.7109375" style="196" customWidth="1"/>
    <col min="52" max="52" width="13.5703125" style="196" bestFit="1" customWidth="1"/>
    <col min="53" max="53" width="15.5703125" style="196" customWidth="1"/>
    <col min="54" max="54" width="12.42578125" style="196" bestFit="1" customWidth="1"/>
    <col min="55" max="56" width="9.28515625" style="196" bestFit="1" customWidth="1"/>
    <col min="57" max="57" width="13.5703125" style="196" bestFit="1" customWidth="1"/>
    <col min="58" max="58" width="12.42578125" style="196" bestFit="1" customWidth="1"/>
    <col min="59" max="60" width="9.85546875" style="196" bestFit="1" customWidth="1"/>
    <col min="61" max="63" width="13.5703125" style="196" customWidth="1"/>
    <col min="64" max="64" width="9.85546875" style="196" customWidth="1"/>
    <col min="65" max="67" width="11.28515625" style="196" customWidth="1"/>
    <col min="68" max="68" width="9.85546875" style="196" customWidth="1"/>
    <col min="69" max="69" width="17.28515625" style="196" customWidth="1"/>
    <col min="70" max="16384" width="9.140625" style="196"/>
  </cols>
  <sheetData>
    <row r="1" spans="2:69" ht="15" x14ac:dyDescent="0.25">
      <c r="B1" s="150" t="str">
        <f>"Tariff Approval - "&amp;'Model update'!C3</f>
        <v>Tariff Approval - CitiPower</v>
      </c>
      <c r="C1" s="150"/>
      <c r="F1" s="618"/>
    </row>
    <row r="2" spans="2:69" x14ac:dyDescent="0.2">
      <c r="D2" s="618"/>
      <c r="E2" s="618"/>
      <c r="F2" s="618"/>
    </row>
    <row r="3" spans="2:69" x14ac:dyDescent="0.2">
      <c r="B3" s="223" t="str">
        <f>"PROPOSED "&amp;'Model update'!$C$5&amp;" JURISDICTIONAL SCHEME TARIFFS"</f>
        <v>PROPOSED 2019 JURISDICTIONAL SCHEME TARIFFS</v>
      </c>
      <c r="C3" s="223"/>
    </row>
    <row r="4" spans="2:69" ht="13.5" thickBot="1" x14ac:dyDescent="0.25">
      <c r="D4" s="225" t="str">
        <f>"Proposed Jurisdictional scheme Tariffs (Pt) for "&amp;'Model update'!$C$5</f>
        <v>Proposed Jurisdictional scheme Tariffs (Pt) for 2019</v>
      </c>
      <c r="E4" s="226"/>
      <c r="F4" s="226"/>
      <c r="G4" s="226"/>
      <c r="H4" s="226"/>
      <c r="I4" s="182"/>
      <c r="J4" s="182"/>
      <c r="Z4" s="225" t="str">
        <f>"Forecast Quantities (Qt) for "&amp;'Model update'!$C$5</f>
        <v>Forecast Quantities (Qt) for 2019</v>
      </c>
      <c r="AA4" s="226"/>
      <c r="AB4" s="182"/>
      <c r="AV4" s="225" t="str">
        <f>"Forecast Revenue (Pt "&amp;'Model update'!$C$5&amp;")*(Qt " &amp;'Model update'!$C$5&amp;")"</f>
        <v>Forecast Revenue (Pt 2019)*(Qt 2019)</v>
      </c>
      <c r="AW4" s="226"/>
      <c r="AX4" s="226"/>
      <c r="AY4" s="182"/>
    </row>
    <row r="5" spans="2:69" ht="25.5" x14ac:dyDescent="0.2">
      <c r="B5" s="229" t="s">
        <v>128</v>
      </c>
      <c r="C5" s="278"/>
      <c r="D5" s="230" t="str">
        <f>Prop2019TransTar!D5</f>
        <v>PropTar
Fixed</v>
      </c>
      <c r="E5" s="231" t="str">
        <f>Prop2019TransTar!E5</f>
        <v>PropTar
Anytime</v>
      </c>
      <c r="F5" s="231" t="str">
        <f>Prop2019TransTar!F5</f>
        <v>PropTar
PkBlk</v>
      </c>
      <c r="G5" s="231"/>
      <c r="H5" s="231"/>
      <c r="I5" s="231" t="str">
        <f>Prop2019TransTar!I5</f>
        <v>PropTar
OPkBlk1</v>
      </c>
      <c r="J5" s="231"/>
      <c r="K5" s="231"/>
      <c r="L5" s="231"/>
      <c r="M5" s="231" t="str">
        <f>Prop2019TransTar!M5</f>
        <v>PropTar
Dem kVA</v>
      </c>
      <c r="N5" s="231" t="str">
        <f>Prop2019TransTar!N5</f>
        <v>PropTar
Dem kW</v>
      </c>
      <c r="O5" s="231" t="str">
        <f>Prop2019TransTar!O5</f>
        <v>PropTar
Dem kW Sum</v>
      </c>
      <c r="P5" s="231" t="str">
        <f>Prop2019TransTar!P5</f>
        <v>PropTar
Dem kW Win</v>
      </c>
      <c r="Q5" s="232" t="str">
        <f>Prop2019TransTar!Q5</f>
        <v>PropTar
SumBlk1</v>
      </c>
      <c r="R5" s="231" t="str">
        <f>Prop2019TransTar!R5</f>
        <v>PropTar
SumBlk2</v>
      </c>
      <c r="S5" s="231" t="str">
        <f>Prop2019TransTar!S5</f>
        <v>PropTar
SumBlk3</v>
      </c>
      <c r="T5" s="231"/>
      <c r="U5" s="231" t="str">
        <f>Prop2019TransTar!U5</f>
        <v>PropTar
WtrBlk1</v>
      </c>
      <c r="V5" s="231" t="str">
        <f>Prop2019TransTar!V5</f>
        <v>PropTar
WtrBlk2</v>
      </c>
      <c r="W5" s="231" t="str">
        <f>Prop2019TransTar!W5</f>
        <v>PropTar
WtrBlk3</v>
      </c>
      <c r="X5" s="233"/>
      <c r="Z5" s="230" t="str">
        <f>Prop2019TransTar!Z5</f>
        <v>FcastVol
Fixed</v>
      </c>
      <c r="AA5" s="231" t="str">
        <f>Prop2019TransTar!AA5</f>
        <v>FcastVol
Anytime</v>
      </c>
      <c r="AB5" s="231" t="str">
        <f>Prop2019TransTar!AB5</f>
        <v>FcastVol
Pk</v>
      </c>
      <c r="AC5" s="231"/>
      <c r="AD5" s="231"/>
      <c r="AE5" s="231" t="str">
        <f>Prop2019TransTar!AE5</f>
        <v>FcastVol
Opk</v>
      </c>
      <c r="AF5" s="231"/>
      <c r="AG5" s="231"/>
      <c r="AH5" s="231"/>
      <c r="AI5" s="231" t="str">
        <f>Prop2019TransTar!AI5</f>
        <v>FcastVol
Dem kVA</v>
      </c>
      <c r="AJ5" s="231" t="str">
        <f>Prop2019TransTar!AJ5</f>
        <v>FcastVol
Dem kW</v>
      </c>
      <c r="AK5" s="231" t="str">
        <f>Prop2019TransTar!AK5</f>
        <v>FcastVol
Dem kW Sum</v>
      </c>
      <c r="AL5" s="231" t="str">
        <f>Prop2019TransTar!AL5</f>
        <v>FcastVol
Dem kW Win</v>
      </c>
      <c r="AM5" s="232" t="str">
        <f>Prop2019TransTar!AM5</f>
        <v>FcastVol
SumBlk1</v>
      </c>
      <c r="AN5" s="231" t="str">
        <f>Prop2019TransTar!AN5</f>
        <v>FcastVol
SumBlk2</v>
      </c>
      <c r="AO5" s="231" t="str">
        <f>Prop2019TransTar!AO5</f>
        <v>FcastVol
SumBlk3</v>
      </c>
      <c r="AP5" s="231"/>
      <c r="AQ5" s="231" t="str">
        <f>Prop2019TransTar!AQ5</f>
        <v>FcastVol
WtrBlk1</v>
      </c>
      <c r="AR5" s="231" t="str">
        <f>Prop2019TransTar!AR5</f>
        <v>FcastVol
WtrBlk2</v>
      </c>
      <c r="AS5" s="231" t="str">
        <f>Prop2019TransTar!AS5</f>
        <v>FcastVol
WtrBlk3</v>
      </c>
      <c r="AT5" s="233"/>
      <c r="AV5" s="230" t="str">
        <f>Prop2019TransTar!AV5</f>
        <v>PropRev
Fixed</v>
      </c>
      <c r="AW5" s="231" t="str">
        <f>Prop2019TransTar!AW5</f>
        <v>PropRev
Anytime</v>
      </c>
      <c r="AX5" s="231" t="str">
        <f>Prop2019TransTar!AX5</f>
        <v>PropRev
Pk</v>
      </c>
      <c r="AY5" s="231"/>
      <c r="AZ5" s="231"/>
      <c r="BA5" s="231" t="str">
        <f>Prop2019TransTar!BA5</f>
        <v>PropRev
Opk</v>
      </c>
      <c r="BB5" s="231"/>
      <c r="BC5" s="231"/>
      <c r="BD5" s="231"/>
      <c r="BE5" s="231" t="str">
        <f>Prop2019TransTar!BE5</f>
        <v>PropRev
Dem kVA</v>
      </c>
      <c r="BF5" s="231" t="str">
        <f>Prop2019TransTar!BF5</f>
        <v>PropRev
Dem kW</v>
      </c>
      <c r="BG5" s="231" t="str">
        <f>Prop2019TransTar!BG5</f>
        <v>PropRev
Dem kW Sum</v>
      </c>
      <c r="BH5" s="231" t="str">
        <f>Prop2019TransTar!BH5</f>
        <v>PropRev
Dem kW Win</v>
      </c>
      <c r="BI5" s="231" t="str">
        <f>Prop2019TransTar!BI5</f>
        <v>PropRev
SumBlk1</v>
      </c>
      <c r="BJ5" s="231" t="str">
        <f>Prop2019TransTar!BJ5</f>
        <v>PropRev
SumBlk2</v>
      </c>
      <c r="BK5" s="231" t="str">
        <f>Prop2019TransTar!BK5</f>
        <v>PropRev
SumBlk3</v>
      </c>
      <c r="BL5" s="231"/>
      <c r="BM5" s="231" t="str">
        <f>Prop2019TransTar!BM5</f>
        <v>PropRev
WtrBlk1</v>
      </c>
      <c r="BN5" s="231" t="str">
        <f>Prop2019TransTar!BN5</f>
        <v>PropRev
WtrBlk2</v>
      </c>
      <c r="BO5" s="231" t="str">
        <f>Prop2019TransTar!BO5</f>
        <v>PropRev
WtrBlk3</v>
      </c>
      <c r="BP5" s="231"/>
      <c r="BQ5" s="233" t="str">
        <f>Prop2019TransTar!BQ5</f>
        <v>PropRev
Total</v>
      </c>
    </row>
    <row r="6" spans="2:69" x14ac:dyDescent="0.2">
      <c r="B6" s="234"/>
      <c r="C6" s="279"/>
      <c r="D6" s="657"/>
      <c r="E6" s="658"/>
      <c r="F6" s="658"/>
      <c r="G6" s="658"/>
      <c r="H6" s="658"/>
      <c r="I6" s="658"/>
      <c r="J6" s="658"/>
      <c r="K6" s="658"/>
      <c r="L6" s="658"/>
      <c r="M6" s="658"/>
      <c r="N6" s="658"/>
      <c r="O6" s="658"/>
      <c r="P6" s="658"/>
      <c r="Q6" s="662"/>
      <c r="R6" s="658"/>
      <c r="S6" s="658"/>
      <c r="T6" s="658"/>
      <c r="U6" s="658"/>
      <c r="V6" s="658"/>
      <c r="W6" s="658"/>
      <c r="X6" s="659"/>
      <c r="Z6" s="239"/>
      <c r="AA6" s="240"/>
      <c r="AB6" s="240"/>
      <c r="AC6" s="240"/>
      <c r="AD6" s="240"/>
      <c r="AE6" s="240"/>
      <c r="AF6" s="240"/>
      <c r="AG6" s="240"/>
      <c r="AH6" s="240"/>
      <c r="AI6" s="240"/>
      <c r="AJ6" s="240"/>
      <c r="AK6" s="240"/>
      <c r="AL6" s="240"/>
      <c r="AM6" s="723"/>
      <c r="AN6" s="240"/>
      <c r="AO6" s="240"/>
      <c r="AP6" s="240"/>
      <c r="AQ6" s="240"/>
      <c r="AR6" s="240"/>
      <c r="AS6" s="240"/>
      <c r="AT6" s="241"/>
      <c r="AV6" s="283">
        <f t="shared" ref="AV6" si="0">D6*Z6</f>
        <v>0</v>
      </c>
      <c r="AW6" s="219">
        <f t="shared" ref="AW6:BD6" si="1">E6/100*AA6</f>
        <v>0</v>
      </c>
      <c r="AX6" s="219">
        <f t="shared" si="1"/>
        <v>0</v>
      </c>
      <c r="AY6" s="219">
        <f t="shared" si="1"/>
        <v>0</v>
      </c>
      <c r="AZ6" s="219">
        <f t="shared" si="1"/>
        <v>0</v>
      </c>
      <c r="BA6" s="219">
        <f t="shared" si="1"/>
        <v>0</v>
      </c>
      <c r="BB6" s="219">
        <f t="shared" si="1"/>
        <v>0</v>
      </c>
      <c r="BC6" s="219">
        <f t="shared" si="1"/>
        <v>0</v>
      </c>
      <c r="BD6" s="219">
        <f t="shared" si="1"/>
        <v>0</v>
      </c>
      <c r="BE6" s="219">
        <f t="shared" ref="BE6:BH6" si="2">M6*AI6</f>
        <v>0</v>
      </c>
      <c r="BF6" s="219">
        <f t="shared" si="2"/>
        <v>0</v>
      </c>
      <c r="BG6" s="219">
        <f t="shared" si="2"/>
        <v>0</v>
      </c>
      <c r="BH6" s="219">
        <f t="shared" si="2"/>
        <v>0</v>
      </c>
      <c r="BI6" s="219">
        <f>Q6/100*AM6</f>
        <v>0</v>
      </c>
      <c r="BJ6" s="219">
        <f t="shared" ref="BJ6:BP6" si="3">R6/100*AN6</f>
        <v>0</v>
      </c>
      <c r="BK6" s="219">
        <f t="shared" si="3"/>
        <v>0</v>
      </c>
      <c r="BL6" s="219">
        <f t="shared" si="3"/>
        <v>0</v>
      </c>
      <c r="BM6" s="219">
        <f t="shared" si="3"/>
        <v>0</v>
      </c>
      <c r="BN6" s="219">
        <f t="shared" si="3"/>
        <v>0</v>
      </c>
      <c r="BO6" s="219">
        <f t="shared" si="3"/>
        <v>0</v>
      </c>
      <c r="BP6" s="219">
        <f t="shared" si="3"/>
        <v>0</v>
      </c>
      <c r="BQ6" s="243">
        <f>SUM(AV6:BP6)</f>
        <v>0</v>
      </c>
    </row>
    <row r="7" spans="2:69" x14ac:dyDescent="0.2">
      <c r="B7" s="234" t="str">
        <f>Prop2019DistTar!B7</f>
        <v>Residential Single Rate</v>
      </c>
      <c r="C7" s="284"/>
      <c r="D7" s="786">
        <v>0</v>
      </c>
      <c r="E7" s="787">
        <v>0.05</v>
      </c>
      <c r="F7" s="787">
        <v>0</v>
      </c>
      <c r="G7" s="787">
        <v>0</v>
      </c>
      <c r="H7" s="787">
        <v>0</v>
      </c>
      <c r="I7" s="787">
        <v>0</v>
      </c>
      <c r="J7" s="787">
        <v>0</v>
      </c>
      <c r="K7" s="787">
        <v>0</v>
      </c>
      <c r="L7" s="787">
        <v>0</v>
      </c>
      <c r="M7" s="787">
        <v>0</v>
      </c>
      <c r="N7" s="787">
        <v>0</v>
      </c>
      <c r="O7" s="787">
        <v>0</v>
      </c>
      <c r="P7" s="787">
        <v>0</v>
      </c>
      <c r="Q7" s="787">
        <v>0</v>
      </c>
      <c r="R7" s="787">
        <v>0</v>
      </c>
      <c r="S7" s="787">
        <v>0</v>
      </c>
      <c r="T7" s="787">
        <v>0</v>
      </c>
      <c r="U7" s="787">
        <v>0</v>
      </c>
      <c r="V7" s="787">
        <v>0</v>
      </c>
      <c r="W7" s="787">
        <v>0</v>
      </c>
      <c r="X7" s="796">
        <v>0</v>
      </c>
      <c r="Z7" s="249">
        <f>Prop2019DistTar!AV7</f>
        <v>205044.5</v>
      </c>
      <c r="AA7" s="250">
        <f>Prop2019DistTar!AW7</f>
        <v>853857291.19384253</v>
      </c>
      <c r="AB7" s="250">
        <f>Prop2019DistTar!AX7</f>
        <v>0</v>
      </c>
      <c r="AC7" s="250">
        <f>Prop2019DistTar!AY7</f>
        <v>0</v>
      </c>
      <c r="AD7" s="250">
        <f>Prop2019DistTar!AZ7</f>
        <v>0</v>
      </c>
      <c r="AE7" s="250">
        <f>Prop2019DistTar!BA7</f>
        <v>0</v>
      </c>
      <c r="AF7" s="250">
        <f>Prop2019DistTar!BB7</f>
        <v>0</v>
      </c>
      <c r="AG7" s="250">
        <f>Prop2019DistTar!BC7</f>
        <v>0</v>
      </c>
      <c r="AH7" s="250">
        <f>Prop2019DistTar!BD7</f>
        <v>0</v>
      </c>
      <c r="AI7" s="250">
        <f>Prop2019DistTar!BE7</f>
        <v>0</v>
      </c>
      <c r="AJ7" s="250">
        <f>Prop2019DistTar!BF7</f>
        <v>0</v>
      </c>
      <c r="AK7" s="250">
        <f>Prop2019DistTar!BG7</f>
        <v>0</v>
      </c>
      <c r="AL7" s="250">
        <f>Prop2019DistTar!BH7</f>
        <v>0</v>
      </c>
      <c r="AM7" s="250">
        <f>Prop2019DistTar!BI7</f>
        <v>0</v>
      </c>
      <c r="AN7" s="250">
        <f>Prop2019DistTar!BJ7</f>
        <v>0</v>
      </c>
      <c r="AO7" s="250">
        <f>Prop2019DistTar!BK7</f>
        <v>0</v>
      </c>
      <c r="AP7" s="250">
        <f>Prop2019DistTar!BL7</f>
        <v>0</v>
      </c>
      <c r="AQ7" s="250">
        <f>Prop2019DistTar!BM7</f>
        <v>0</v>
      </c>
      <c r="AR7" s="250">
        <f>Prop2019DistTar!BN7</f>
        <v>0</v>
      </c>
      <c r="AS7" s="250">
        <f>Prop2019DistTar!BO7</f>
        <v>0</v>
      </c>
      <c r="AT7" s="251">
        <f>Prop2019DistTar!BP7</f>
        <v>0</v>
      </c>
      <c r="AV7" s="252">
        <f t="shared" ref="AV7:AV65" si="4">D7*Z7</f>
        <v>0</v>
      </c>
      <c r="AW7" s="220">
        <f t="shared" ref="AW7:AW65" si="5">E7/100*AA7</f>
        <v>426928.64559692127</v>
      </c>
      <c r="AX7" s="220">
        <f t="shared" ref="AX7:AX65" si="6">F7/100*AB7</f>
        <v>0</v>
      </c>
      <c r="AY7" s="220">
        <f t="shared" ref="AY7:AY65" si="7">G7/100*AC7</f>
        <v>0</v>
      </c>
      <c r="AZ7" s="220">
        <f t="shared" ref="AZ7:AZ65" si="8">H7/100*AD7</f>
        <v>0</v>
      </c>
      <c r="BA7" s="220">
        <f t="shared" ref="BA7:BA65" si="9">I7/100*AE7</f>
        <v>0</v>
      </c>
      <c r="BB7" s="220">
        <f t="shared" ref="BB7:BB65" si="10">J7/100*AF7</f>
        <v>0</v>
      </c>
      <c r="BC7" s="220">
        <f t="shared" ref="BC7:BC65" si="11">K7/100*AG7</f>
        <v>0</v>
      </c>
      <c r="BD7" s="220">
        <f t="shared" ref="BD7:BD65" si="12">L7/100*AH7</f>
        <v>0</v>
      </c>
      <c r="BE7" s="220">
        <f t="shared" ref="BE7:BE65" si="13">M7*AI7</f>
        <v>0</v>
      </c>
      <c r="BF7" s="220">
        <f t="shared" ref="BF7:BF65" si="14">N7*AJ7</f>
        <v>0</v>
      </c>
      <c r="BG7" s="220">
        <f t="shared" ref="BG7:BG65" si="15">O7*AK7</f>
        <v>0</v>
      </c>
      <c r="BH7" s="220">
        <f t="shared" ref="BH7:BH65" si="16">P7*AL7</f>
        <v>0</v>
      </c>
      <c r="BI7" s="220">
        <f t="shared" ref="BI7:BI65" si="17">Q7/100*AM7</f>
        <v>0</v>
      </c>
      <c r="BJ7" s="220">
        <f t="shared" ref="BJ7:BJ65" si="18">R7/100*AN7</f>
        <v>0</v>
      </c>
      <c r="BK7" s="220">
        <f t="shared" ref="BK7:BK65" si="19">S7/100*AO7</f>
        <v>0</v>
      </c>
      <c r="BL7" s="220">
        <f t="shared" ref="BL7:BL65" si="20">T7/100*AP7</f>
        <v>0</v>
      </c>
      <c r="BM7" s="220">
        <f t="shared" ref="BM7:BM65" si="21">U7/100*AQ7</f>
        <v>0</v>
      </c>
      <c r="BN7" s="220">
        <f t="shared" ref="BN7:BN65" si="22">V7/100*AR7</f>
        <v>0</v>
      </c>
      <c r="BO7" s="220">
        <f t="shared" ref="BO7:BO65" si="23">W7/100*AS7</f>
        <v>0</v>
      </c>
      <c r="BP7" s="220">
        <f t="shared" ref="BP7:BP65" si="24">X7/100*AT7</f>
        <v>0</v>
      </c>
      <c r="BQ7" s="254">
        <f t="shared" ref="BQ7:BQ65" si="25">SUM(AV7:BP7)</f>
        <v>426928.64559692127</v>
      </c>
    </row>
    <row r="8" spans="2:69" x14ac:dyDescent="0.2">
      <c r="B8" s="234" t="str">
        <f>Prop2019DistTar!B8</f>
        <v>Residential Single Rate - Bulk</v>
      </c>
      <c r="C8" s="284"/>
      <c r="D8" s="786">
        <v>0</v>
      </c>
      <c r="E8" s="787">
        <v>0.05</v>
      </c>
      <c r="F8" s="787">
        <v>0</v>
      </c>
      <c r="G8" s="787">
        <v>0</v>
      </c>
      <c r="H8" s="787">
        <v>0</v>
      </c>
      <c r="I8" s="787">
        <v>0</v>
      </c>
      <c r="J8" s="787">
        <v>0</v>
      </c>
      <c r="K8" s="787">
        <v>0</v>
      </c>
      <c r="L8" s="787">
        <v>0</v>
      </c>
      <c r="M8" s="787">
        <v>0</v>
      </c>
      <c r="N8" s="787">
        <v>0</v>
      </c>
      <c r="O8" s="787">
        <v>0</v>
      </c>
      <c r="P8" s="787">
        <v>0</v>
      </c>
      <c r="Q8" s="787">
        <v>0</v>
      </c>
      <c r="R8" s="787">
        <v>0</v>
      </c>
      <c r="S8" s="787">
        <v>0</v>
      </c>
      <c r="T8" s="787">
        <v>0</v>
      </c>
      <c r="U8" s="787">
        <v>0</v>
      </c>
      <c r="V8" s="787">
        <v>0</v>
      </c>
      <c r="W8" s="787">
        <v>0</v>
      </c>
      <c r="X8" s="796">
        <v>0</v>
      </c>
      <c r="Z8" s="276">
        <f>Prop2019DistTar!AV8</f>
        <v>31480.916666666668</v>
      </c>
      <c r="AA8" s="250">
        <f>Prop2019DistTar!AW8</f>
        <v>106631799.39951396</v>
      </c>
      <c r="AB8" s="250">
        <f>Prop2019DistTar!AX8</f>
        <v>0</v>
      </c>
      <c r="AC8" s="250">
        <f>Prop2019DistTar!AY8</f>
        <v>0</v>
      </c>
      <c r="AD8" s="250">
        <f>Prop2019DistTar!AZ8</f>
        <v>0</v>
      </c>
      <c r="AE8" s="250">
        <f>Prop2019DistTar!BA8</f>
        <v>0</v>
      </c>
      <c r="AF8" s="250">
        <f>Prop2019DistTar!BB8</f>
        <v>0</v>
      </c>
      <c r="AG8" s="250">
        <f>Prop2019DistTar!BC8</f>
        <v>0</v>
      </c>
      <c r="AH8" s="250">
        <f>Prop2019DistTar!BD8</f>
        <v>0</v>
      </c>
      <c r="AI8" s="250">
        <f>Prop2019DistTar!BE8</f>
        <v>0</v>
      </c>
      <c r="AJ8" s="250">
        <f>Prop2019DistTar!BF8</f>
        <v>0</v>
      </c>
      <c r="AK8" s="250">
        <f>Prop2019DistTar!BG8</f>
        <v>0</v>
      </c>
      <c r="AL8" s="250">
        <f>Prop2019DistTar!BH8</f>
        <v>0</v>
      </c>
      <c r="AM8" s="250">
        <f>Prop2019DistTar!BI8</f>
        <v>0</v>
      </c>
      <c r="AN8" s="250">
        <f>Prop2019DistTar!BJ8</f>
        <v>0</v>
      </c>
      <c r="AO8" s="250">
        <f>Prop2019DistTar!BK8</f>
        <v>0</v>
      </c>
      <c r="AP8" s="250">
        <f>Prop2019DistTar!BL8</f>
        <v>0</v>
      </c>
      <c r="AQ8" s="250">
        <f>Prop2019DistTar!BM8</f>
        <v>0</v>
      </c>
      <c r="AR8" s="250">
        <f>Prop2019DistTar!BN8</f>
        <v>0</v>
      </c>
      <c r="AS8" s="250">
        <f>Prop2019DistTar!BO8</f>
        <v>0</v>
      </c>
      <c r="AT8" s="251">
        <f>Prop2019DistTar!BP8</f>
        <v>0</v>
      </c>
      <c r="AV8" s="252">
        <f t="shared" si="4"/>
        <v>0</v>
      </c>
      <c r="AW8" s="220">
        <f t="shared" si="5"/>
        <v>53315.899699756977</v>
      </c>
      <c r="AX8" s="220">
        <f t="shared" si="6"/>
        <v>0</v>
      </c>
      <c r="AY8" s="220">
        <f t="shared" si="7"/>
        <v>0</v>
      </c>
      <c r="AZ8" s="220">
        <f t="shared" si="8"/>
        <v>0</v>
      </c>
      <c r="BA8" s="220">
        <f t="shared" si="9"/>
        <v>0</v>
      </c>
      <c r="BB8" s="220">
        <f t="shared" si="10"/>
        <v>0</v>
      </c>
      <c r="BC8" s="220">
        <f t="shared" si="11"/>
        <v>0</v>
      </c>
      <c r="BD8" s="220">
        <f t="shared" si="12"/>
        <v>0</v>
      </c>
      <c r="BE8" s="220">
        <f t="shared" si="13"/>
        <v>0</v>
      </c>
      <c r="BF8" s="220">
        <f t="shared" si="14"/>
        <v>0</v>
      </c>
      <c r="BG8" s="220">
        <f t="shared" si="15"/>
        <v>0</v>
      </c>
      <c r="BH8" s="220">
        <f t="shared" si="16"/>
        <v>0</v>
      </c>
      <c r="BI8" s="220">
        <f t="shared" si="17"/>
        <v>0</v>
      </c>
      <c r="BJ8" s="220">
        <f t="shared" si="18"/>
        <v>0</v>
      </c>
      <c r="BK8" s="220">
        <f t="shared" si="19"/>
        <v>0</v>
      </c>
      <c r="BL8" s="220">
        <f t="shared" si="20"/>
        <v>0</v>
      </c>
      <c r="BM8" s="220">
        <f t="shared" si="21"/>
        <v>0</v>
      </c>
      <c r="BN8" s="220">
        <f t="shared" si="22"/>
        <v>0</v>
      </c>
      <c r="BO8" s="220">
        <f t="shared" si="23"/>
        <v>0</v>
      </c>
      <c r="BP8" s="220">
        <f t="shared" si="24"/>
        <v>0</v>
      </c>
      <c r="BQ8" s="254">
        <f t="shared" si="25"/>
        <v>53315.899699756977</v>
      </c>
    </row>
    <row r="9" spans="2:69" x14ac:dyDescent="0.2">
      <c r="B9" s="234" t="str">
        <f>Prop2019DistTar!B9</f>
        <v>Residential - flexible pricing</v>
      </c>
      <c r="C9" s="284"/>
      <c r="D9" s="786">
        <v>0</v>
      </c>
      <c r="E9" s="787">
        <v>0</v>
      </c>
      <c r="F9" s="787">
        <v>0</v>
      </c>
      <c r="G9" s="787">
        <v>0</v>
      </c>
      <c r="H9" s="787">
        <v>0</v>
      </c>
      <c r="I9" s="787">
        <v>0</v>
      </c>
      <c r="J9" s="787">
        <v>0</v>
      </c>
      <c r="K9" s="787">
        <v>0</v>
      </c>
      <c r="L9" s="787">
        <v>0</v>
      </c>
      <c r="M9" s="787">
        <v>0</v>
      </c>
      <c r="N9" s="787">
        <v>0</v>
      </c>
      <c r="O9" s="787">
        <v>0</v>
      </c>
      <c r="P9" s="787">
        <v>0</v>
      </c>
      <c r="Q9" s="787">
        <v>0.05</v>
      </c>
      <c r="R9" s="787">
        <v>0.05</v>
      </c>
      <c r="S9" s="787">
        <v>0.05</v>
      </c>
      <c r="T9" s="787">
        <v>0</v>
      </c>
      <c r="U9" s="787">
        <v>0.05</v>
      </c>
      <c r="V9" s="787">
        <v>0.05</v>
      </c>
      <c r="W9" s="787">
        <v>0.05</v>
      </c>
      <c r="X9" s="796">
        <v>0</v>
      </c>
      <c r="Z9" s="276">
        <f>Prop2019DistTar!AV9</f>
        <v>693.41666666666663</v>
      </c>
      <c r="AA9" s="250">
        <f>Prop2019DistTar!AW9</f>
        <v>0</v>
      </c>
      <c r="AB9" s="250">
        <f>Prop2019DistTar!AX9</f>
        <v>0</v>
      </c>
      <c r="AC9" s="250">
        <f>Prop2019DistTar!AY9</f>
        <v>0</v>
      </c>
      <c r="AD9" s="250">
        <f>Prop2019DistTar!AZ9</f>
        <v>0</v>
      </c>
      <c r="AE9" s="250">
        <f>Prop2019DistTar!BA9</f>
        <v>0</v>
      </c>
      <c r="AF9" s="250">
        <f>Prop2019DistTar!BB9</f>
        <v>0</v>
      </c>
      <c r="AG9" s="250">
        <f>Prop2019DistTar!BC9</f>
        <v>0</v>
      </c>
      <c r="AH9" s="250">
        <f>Prop2019DistTar!BD9</f>
        <v>0</v>
      </c>
      <c r="AI9" s="250">
        <f>Prop2019DistTar!BE9</f>
        <v>0</v>
      </c>
      <c r="AJ9" s="250">
        <f>Prop2019DistTar!BF9</f>
        <v>0</v>
      </c>
      <c r="AK9" s="250">
        <f>Prop2019DistTar!BG9</f>
        <v>0</v>
      </c>
      <c r="AL9" s="250">
        <f>Prop2019DistTar!BH9</f>
        <v>0</v>
      </c>
      <c r="AM9" s="250">
        <f>Prop2019DistTar!BI9</f>
        <v>205405.52138504913</v>
      </c>
      <c r="AN9" s="250">
        <f>Prop2019DistTar!BJ9</f>
        <v>427210.15422574908</v>
      </c>
      <c r="AO9" s="250">
        <f>Prop2019DistTar!BK9</f>
        <v>316794.33869324729</v>
      </c>
      <c r="AP9" s="250">
        <f>Prop2019DistTar!BL9</f>
        <v>0</v>
      </c>
      <c r="AQ9" s="250">
        <f>Prop2019DistTar!BM9</f>
        <v>740099.69108086498</v>
      </c>
      <c r="AR9" s="250">
        <f>Prop2019DistTar!BN9</f>
        <v>1539287.2647098142</v>
      </c>
      <c r="AS9" s="250">
        <f>Prop2019DistTar!BO9</f>
        <v>1141446.3964847678</v>
      </c>
      <c r="AT9" s="251">
        <f>Prop2019DistTar!BP9</f>
        <v>0</v>
      </c>
      <c r="AV9" s="252">
        <f t="shared" si="4"/>
        <v>0</v>
      </c>
      <c r="AW9" s="220">
        <f t="shared" si="5"/>
        <v>0</v>
      </c>
      <c r="AX9" s="220">
        <f t="shared" si="6"/>
        <v>0</v>
      </c>
      <c r="AY9" s="220">
        <f t="shared" si="7"/>
        <v>0</v>
      </c>
      <c r="AZ9" s="220">
        <f t="shared" si="8"/>
        <v>0</v>
      </c>
      <c r="BA9" s="220">
        <f t="shared" si="9"/>
        <v>0</v>
      </c>
      <c r="BB9" s="220">
        <f t="shared" si="10"/>
        <v>0</v>
      </c>
      <c r="BC9" s="220">
        <f t="shared" si="11"/>
        <v>0</v>
      </c>
      <c r="BD9" s="220">
        <f t="shared" si="12"/>
        <v>0</v>
      </c>
      <c r="BE9" s="220">
        <f t="shared" si="13"/>
        <v>0</v>
      </c>
      <c r="BF9" s="220">
        <f t="shared" si="14"/>
        <v>0</v>
      </c>
      <c r="BG9" s="220">
        <f t="shared" si="15"/>
        <v>0</v>
      </c>
      <c r="BH9" s="220">
        <f t="shared" si="16"/>
        <v>0</v>
      </c>
      <c r="BI9" s="220">
        <f t="shared" si="17"/>
        <v>102.70276069252456</v>
      </c>
      <c r="BJ9" s="220">
        <f t="shared" si="18"/>
        <v>213.60507711287454</v>
      </c>
      <c r="BK9" s="220">
        <f t="shared" si="19"/>
        <v>158.39716934662366</v>
      </c>
      <c r="BL9" s="220">
        <f t="shared" si="20"/>
        <v>0</v>
      </c>
      <c r="BM9" s="220">
        <f t="shared" si="21"/>
        <v>370.0498455404325</v>
      </c>
      <c r="BN9" s="220">
        <f t="shared" si="22"/>
        <v>769.64363235490714</v>
      </c>
      <c r="BO9" s="220">
        <f t="shared" si="23"/>
        <v>570.72319824238389</v>
      </c>
      <c r="BP9" s="220">
        <f t="shared" si="24"/>
        <v>0</v>
      </c>
      <c r="BQ9" s="254">
        <f t="shared" si="25"/>
        <v>2185.1216832897462</v>
      </c>
    </row>
    <row r="10" spans="2:69" x14ac:dyDescent="0.2">
      <c r="B10" s="234" t="str">
        <f>Prop2019DistTar!B10</f>
        <v>Residential - flexible pricing bulk</v>
      </c>
      <c r="C10" s="284"/>
      <c r="D10" s="786">
        <v>0</v>
      </c>
      <c r="E10" s="787">
        <v>0</v>
      </c>
      <c r="F10" s="787">
        <v>0</v>
      </c>
      <c r="G10" s="787">
        <v>0</v>
      </c>
      <c r="H10" s="787">
        <v>0</v>
      </c>
      <c r="I10" s="787">
        <v>0</v>
      </c>
      <c r="J10" s="787">
        <v>0</v>
      </c>
      <c r="K10" s="787">
        <v>0</v>
      </c>
      <c r="L10" s="787">
        <v>0</v>
      </c>
      <c r="M10" s="787">
        <v>0</v>
      </c>
      <c r="N10" s="787">
        <v>0</v>
      </c>
      <c r="O10" s="787">
        <v>0</v>
      </c>
      <c r="P10" s="787">
        <v>0</v>
      </c>
      <c r="Q10" s="787">
        <v>0.05</v>
      </c>
      <c r="R10" s="787">
        <v>0.05</v>
      </c>
      <c r="S10" s="787">
        <v>0.05</v>
      </c>
      <c r="T10" s="787">
        <v>0</v>
      </c>
      <c r="U10" s="787">
        <v>0.05</v>
      </c>
      <c r="V10" s="787">
        <v>0.05</v>
      </c>
      <c r="W10" s="787">
        <v>0.05</v>
      </c>
      <c r="X10" s="796">
        <v>0</v>
      </c>
      <c r="Z10" s="276">
        <f>Prop2019DistTar!AV10</f>
        <v>90</v>
      </c>
      <c r="AA10" s="250">
        <f>Prop2019DistTar!AW10</f>
        <v>0</v>
      </c>
      <c r="AB10" s="250">
        <f>Prop2019DistTar!AX10</f>
        <v>0</v>
      </c>
      <c r="AC10" s="250">
        <f>Prop2019DistTar!AY10</f>
        <v>0</v>
      </c>
      <c r="AD10" s="250">
        <f>Prop2019DistTar!AZ10</f>
        <v>0</v>
      </c>
      <c r="AE10" s="250">
        <f>Prop2019DistTar!BA10</f>
        <v>0</v>
      </c>
      <c r="AF10" s="250">
        <f>Prop2019DistTar!BB10</f>
        <v>0</v>
      </c>
      <c r="AG10" s="250">
        <f>Prop2019DistTar!BC10</f>
        <v>0</v>
      </c>
      <c r="AH10" s="250">
        <f>Prop2019DistTar!BD10</f>
        <v>0</v>
      </c>
      <c r="AI10" s="250">
        <f>Prop2019DistTar!BE10</f>
        <v>0</v>
      </c>
      <c r="AJ10" s="250">
        <f>Prop2019DistTar!BF10</f>
        <v>0</v>
      </c>
      <c r="AK10" s="250">
        <f>Prop2019DistTar!BG10</f>
        <v>0</v>
      </c>
      <c r="AL10" s="250">
        <f>Prop2019DistTar!BH10</f>
        <v>0</v>
      </c>
      <c r="AM10" s="250">
        <f>Prop2019DistTar!BI10</f>
        <v>15231.12129347165</v>
      </c>
      <c r="AN10" s="250">
        <f>Prop2019DistTar!BJ10</f>
        <v>32311.930045800349</v>
      </c>
      <c r="AO10" s="250">
        <f>Prop2019DistTar!BK10</f>
        <v>23662.580933605816</v>
      </c>
      <c r="AP10" s="250">
        <f>Prop2019DistTar!BL10</f>
        <v>0</v>
      </c>
      <c r="AQ10" s="250">
        <f>Prop2019DistTar!BM10</f>
        <v>55378.784196646673</v>
      </c>
      <c r="AR10" s="250">
        <f>Prop2019DistTar!BN10</f>
        <v>117482.84098758313</v>
      </c>
      <c r="AS10" s="250">
        <f>Prop2019DistTar!BO10</f>
        <v>86034.700781977721</v>
      </c>
      <c r="AT10" s="251">
        <f>Prop2019DistTar!BP10</f>
        <v>0</v>
      </c>
      <c r="AV10" s="252">
        <f t="shared" si="4"/>
        <v>0</v>
      </c>
      <c r="AW10" s="220">
        <f t="shared" si="5"/>
        <v>0</v>
      </c>
      <c r="AX10" s="220">
        <f t="shared" si="6"/>
        <v>0</v>
      </c>
      <c r="AY10" s="220">
        <f t="shared" si="7"/>
        <v>0</v>
      </c>
      <c r="AZ10" s="220">
        <f t="shared" si="8"/>
        <v>0</v>
      </c>
      <c r="BA10" s="220">
        <f t="shared" si="9"/>
        <v>0</v>
      </c>
      <c r="BB10" s="220">
        <f t="shared" si="10"/>
        <v>0</v>
      </c>
      <c r="BC10" s="220">
        <f t="shared" si="11"/>
        <v>0</v>
      </c>
      <c r="BD10" s="220">
        <f t="shared" si="12"/>
        <v>0</v>
      </c>
      <c r="BE10" s="220">
        <f t="shared" si="13"/>
        <v>0</v>
      </c>
      <c r="BF10" s="220">
        <f t="shared" si="14"/>
        <v>0</v>
      </c>
      <c r="BG10" s="220">
        <f t="shared" si="15"/>
        <v>0</v>
      </c>
      <c r="BH10" s="220">
        <f t="shared" si="16"/>
        <v>0</v>
      </c>
      <c r="BI10" s="220">
        <f t="shared" si="17"/>
        <v>7.6155606467358252</v>
      </c>
      <c r="BJ10" s="220">
        <f t="shared" si="18"/>
        <v>16.155965022900176</v>
      </c>
      <c r="BK10" s="220">
        <f t="shared" si="19"/>
        <v>11.831290466802908</v>
      </c>
      <c r="BL10" s="220">
        <f t="shared" si="20"/>
        <v>0</v>
      </c>
      <c r="BM10" s="220">
        <f t="shared" si="21"/>
        <v>27.689392098323339</v>
      </c>
      <c r="BN10" s="220">
        <f t="shared" si="22"/>
        <v>58.741420493791566</v>
      </c>
      <c r="BO10" s="220">
        <f t="shared" si="23"/>
        <v>43.017350390988859</v>
      </c>
      <c r="BP10" s="220">
        <f t="shared" si="24"/>
        <v>0</v>
      </c>
      <c r="BQ10" s="254">
        <f t="shared" si="25"/>
        <v>165.05097911954269</v>
      </c>
    </row>
    <row r="11" spans="2:69" x14ac:dyDescent="0.2">
      <c r="B11" s="234" t="str">
        <f>Prop2019DistTar!B11</f>
        <v>Residential Two Rate 5d</v>
      </c>
      <c r="C11" s="284"/>
      <c r="D11" s="786">
        <v>0</v>
      </c>
      <c r="E11" s="787">
        <v>0</v>
      </c>
      <c r="F11" s="787">
        <v>0.05</v>
      </c>
      <c r="G11" s="787">
        <v>0</v>
      </c>
      <c r="H11" s="787">
        <v>0</v>
      </c>
      <c r="I11" s="787">
        <v>0.05</v>
      </c>
      <c r="J11" s="787">
        <v>0</v>
      </c>
      <c r="K11" s="787">
        <v>0</v>
      </c>
      <c r="L11" s="787">
        <v>0</v>
      </c>
      <c r="M11" s="787">
        <v>0</v>
      </c>
      <c r="N11" s="787">
        <v>0</v>
      </c>
      <c r="O11" s="787">
        <v>0</v>
      </c>
      <c r="P11" s="787">
        <v>0</v>
      </c>
      <c r="Q11" s="787">
        <v>0</v>
      </c>
      <c r="R11" s="787">
        <v>0</v>
      </c>
      <c r="S11" s="787">
        <v>0</v>
      </c>
      <c r="T11" s="787">
        <v>0</v>
      </c>
      <c r="U11" s="787">
        <v>0</v>
      </c>
      <c r="V11" s="787">
        <v>0</v>
      </c>
      <c r="W11" s="787">
        <v>0</v>
      </c>
      <c r="X11" s="796">
        <v>0</v>
      </c>
      <c r="Z11" s="276">
        <f>Prop2019DistTar!AV11</f>
        <v>10820.083333333334</v>
      </c>
      <c r="AA11" s="250">
        <f>Prop2019DistTar!AW11</f>
        <v>0</v>
      </c>
      <c r="AB11" s="250">
        <f>Prop2019DistTar!AX11</f>
        <v>35024034.503626086</v>
      </c>
      <c r="AC11" s="250">
        <f>Prop2019DistTar!AY11</f>
        <v>0</v>
      </c>
      <c r="AD11" s="250">
        <f>Prop2019DistTar!AZ11</f>
        <v>0</v>
      </c>
      <c r="AE11" s="250">
        <f>Prop2019DistTar!BA11</f>
        <v>30157186.273130894</v>
      </c>
      <c r="AF11" s="250">
        <f>Prop2019DistTar!BB11</f>
        <v>0</v>
      </c>
      <c r="AG11" s="250">
        <f>Prop2019DistTar!BC11</f>
        <v>0</v>
      </c>
      <c r="AH11" s="250">
        <f>Prop2019DistTar!BD11</f>
        <v>0</v>
      </c>
      <c r="AI11" s="250">
        <f>Prop2019DistTar!BE11</f>
        <v>0</v>
      </c>
      <c r="AJ11" s="250">
        <f>Prop2019DistTar!BF11</f>
        <v>0</v>
      </c>
      <c r="AK11" s="250">
        <f>Prop2019DistTar!BG11</f>
        <v>0</v>
      </c>
      <c r="AL11" s="250">
        <f>Prop2019DistTar!BH11</f>
        <v>0</v>
      </c>
      <c r="AM11" s="250">
        <f>Prop2019DistTar!BI11</f>
        <v>0</v>
      </c>
      <c r="AN11" s="250">
        <f>Prop2019DistTar!BJ11</f>
        <v>0</v>
      </c>
      <c r="AO11" s="250">
        <f>Prop2019DistTar!BK11</f>
        <v>0</v>
      </c>
      <c r="AP11" s="250">
        <f>Prop2019DistTar!BL11</f>
        <v>0</v>
      </c>
      <c r="AQ11" s="250">
        <f>Prop2019DistTar!BM11</f>
        <v>0</v>
      </c>
      <c r="AR11" s="250">
        <f>Prop2019DistTar!BN11</f>
        <v>0</v>
      </c>
      <c r="AS11" s="250">
        <f>Prop2019DistTar!BO11</f>
        <v>0</v>
      </c>
      <c r="AT11" s="251">
        <f>Prop2019DistTar!BP11</f>
        <v>0</v>
      </c>
      <c r="AV11" s="252">
        <f t="shared" si="4"/>
        <v>0</v>
      </c>
      <c r="AW11" s="220">
        <f t="shared" si="5"/>
        <v>0</v>
      </c>
      <c r="AX11" s="220">
        <f t="shared" si="6"/>
        <v>17512.017251813042</v>
      </c>
      <c r="AY11" s="220">
        <f t="shared" si="7"/>
        <v>0</v>
      </c>
      <c r="AZ11" s="220">
        <f t="shared" si="8"/>
        <v>0</v>
      </c>
      <c r="BA11" s="220">
        <f t="shared" si="9"/>
        <v>15078.593136565447</v>
      </c>
      <c r="BB11" s="220">
        <f t="shared" si="10"/>
        <v>0</v>
      </c>
      <c r="BC11" s="220">
        <f t="shared" si="11"/>
        <v>0</v>
      </c>
      <c r="BD11" s="220">
        <f t="shared" si="12"/>
        <v>0</v>
      </c>
      <c r="BE11" s="220">
        <f t="shared" si="13"/>
        <v>0</v>
      </c>
      <c r="BF11" s="220">
        <f t="shared" si="14"/>
        <v>0</v>
      </c>
      <c r="BG11" s="220">
        <f t="shared" si="15"/>
        <v>0</v>
      </c>
      <c r="BH11" s="220">
        <f t="shared" si="16"/>
        <v>0</v>
      </c>
      <c r="BI11" s="220">
        <f t="shared" si="17"/>
        <v>0</v>
      </c>
      <c r="BJ11" s="220">
        <f t="shared" si="18"/>
        <v>0</v>
      </c>
      <c r="BK11" s="220">
        <f t="shared" si="19"/>
        <v>0</v>
      </c>
      <c r="BL11" s="220">
        <f t="shared" si="20"/>
        <v>0</v>
      </c>
      <c r="BM11" s="220">
        <f t="shared" si="21"/>
        <v>0</v>
      </c>
      <c r="BN11" s="220">
        <f t="shared" si="22"/>
        <v>0</v>
      </c>
      <c r="BO11" s="220">
        <f t="shared" si="23"/>
        <v>0</v>
      </c>
      <c r="BP11" s="220">
        <f t="shared" si="24"/>
        <v>0</v>
      </c>
      <c r="BQ11" s="254">
        <f t="shared" si="25"/>
        <v>32590.610388378489</v>
      </c>
    </row>
    <row r="12" spans="2:69" x14ac:dyDescent="0.2">
      <c r="B12" s="234" t="str">
        <f>Prop2019DistTar!B12</f>
        <v>Residential Two Rate 5d - Bulk</v>
      </c>
      <c r="C12" s="284"/>
      <c r="D12" s="786">
        <v>0</v>
      </c>
      <c r="E12" s="787">
        <v>0</v>
      </c>
      <c r="F12" s="787">
        <v>0.05</v>
      </c>
      <c r="G12" s="787">
        <v>0</v>
      </c>
      <c r="H12" s="787">
        <v>0</v>
      </c>
      <c r="I12" s="787">
        <v>0.05</v>
      </c>
      <c r="J12" s="787">
        <v>0</v>
      </c>
      <c r="K12" s="787">
        <v>0</v>
      </c>
      <c r="L12" s="787">
        <v>0</v>
      </c>
      <c r="M12" s="787">
        <v>0</v>
      </c>
      <c r="N12" s="787">
        <v>0</v>
      </c>
      <c r="O12" s="787">
        <v>0</v>
      </c>
      <c r="P12" s="787">
        <v>0</v>
      </c>
      <c r="Q12" s="787">
        <v>0</v>
      </c>
      <c r="R12" s="787">
        <v>0</v>
      </c>
      <c r="S12" s="787">
        <v>0</v>
      </c>
      <c r="T12" s="787">
        <v>0</v>
      </c>
      <c r="U12" s="787">
        <v>0</v>
      </c>
      <c r="V12" s="787">
        <v>0</v>
      </c>
      <c r="W12" s="787">
        <v>0</v>
      </c>
      <c r="X12" s="796">
        <v>0</v>
      </c>
      <c r="Z12" s="276">
        <f>Prop2019DistTar!AV12</f>
        <v>4352.5</v>
      </c>
      <c r="AA12" s="250">
        <f>Prop2019DistTar!AW12</f>
        <v>0</v>
      </c>
      <c r="AB12" s="250">
        <f>Prop2019DistTar!AX12</f>
        <v>12294584.523796603</v>
      </c>
      <c r="AC12" s="250">
        <f>Prop2019DistTar!AY12</f>
        <v>0</v>
      </c>
      <c r="AD12" s="250">
        <f>Prop2019DistTar!AZ12</f>
        <v>0</v>
      </c>
      <c r="AE12" s="250">
        <f>Prop2019DistTar!BA12</f>
        <v>10585730.046510926</v>
      </c>
      <c r="AF12" s="250">
        <f>Prop2019DistTar!BB12</f>
        <v>0</v>
      </c>
      <c r="AG12" s="250">
        <f>Prop2019DistTar!BC12</f>
        <v>0</v>
      </c>
      <c r="AH12" s="250">
        <f>Prop2019DistTar!BD12</f>
        <v>0</v>
      </c>
      <c r="AI12" s="250">
        <f>Prop2019DistTar!BE12</f>
        <v>0</v>
      </c>
      <c r="AJ12" s="250">
        <f>Prop2019DistTar!BF12</f>
        <v>0</v>
      </c>
      <c r="AK12" s="250">
        <f>Prop2019DistTar!BG12</f>
        <v>0</v>
      </c>
      <c r="AL12" s="250">
        <f>Prop2019DistTar!BH12</f>
        <v>0</v>
      </c>
      <c r="AM12" s="250">
        <f>Prop2019DistTar!BI12</f>
        <v>0</v>
      </c>
      <c r="AN12" s="250">
        <f>Prop2019DistTar!BJ12</f>
        <v>0</v>
      </c>
      <c r="AO12" s="250">
        <f>Prop2019DistTar!BK12</f>
        <v>0</v>
      </c>
      <c r="AP12" s="250">
        <f>Prop2019DistTar!BL12</f>
        <v>0</v>
      </c>
      <c r="AQ12" s="250">
        <f>Prop2019DistTar!BM12</f>
        <v>0</v>
      </c>
      <c r="AR12" s="250">
        <f>Prop2019DistTar!BN12</f>
        <v>0</v>
      </c>
      <c r="AS12" s="250">
        <f>Prop2019DistTar!BO12</f>
        <v>0</v>
      </c>
      <c r="AT12" s="251">
        <f>Prop2019DistTar!BP12</f>
        <v>0</v>
      </c>
      <c r="AV12" s="252">
        <f t="shared" si="4"/>
        <v>0</v>
      </c>
      <c r="AW12" s="220">
        <f t="shared" si="5"/>
        <v>0</v>
      </c>
      <c r="AX12" s="220">
        <f t="shared" si="6"/>
        <v>6147.2922618983021</v>
      </c>
      <c r="AY12" s="220">
        <f t="shared" si="7"/>
        <v>0</v>
      </c>
      <c r="AZ12" s="220">
        <f t="shared" si="8"/>
        <v>0</v>
      </c>
      <c r="BA12" s="220">
        <f t="shared" si="9"/>
        <v>5292.8650232554628</v>
      </c>
      <c r="BB12" s="220">
        <f t="shared" si="10"/>
        <v>0</v>
      </c>
      <c r="BC12" s="220">
        <f t="shared" si="11"/>
        <v>0</v>
      </c>
      <c r="BD12" s="220">
        <f t="shared" si="12"/>
        <v>0</v>
      </c>
      <c r="BE12" s="220">
        <f t="shared" si="13"/>
        <v>0</v>
      </c>
      <c r="BF12" s="220">
        <f t="shared" si="14"/>
        <v>0</v>
      </c>
      <c r="BG12" s="220">
        <f t="shared" si="15"/>
        <v>0</v>
      </c>
      <c r="BH12" s="220">
        <f t="shared" si="16"/>
        <v>0</v>
      </c>
      <c r="BI12" s="220">
        <f t="shared" si="17"/>
        <v>0</v>
      </c>
      <c r="BJ12" s="220">
        <f t="shared" si="18"/>
        <v>0</v>
      </c>
      <c r="BK12" s="220">
        <f t="shared" si="19"/>
        <v>0</v>
      </c>
      <c r="BL12" s="220">
        <f t="shared" si="20"/>
        <v>0</v>
      </c>
      <c r="BM12" s="220">
        <f t="shared" si="21"/>
        <v>0</v>
      </c>
      <c r="BN12" s="220">
        <f t="shared" si="22"/>
        <v>0</v>
      </c>
      <c r="BO12" s="220">
        <f t="shared" si="23"/>
        <v>0</v>
      </c>
      <c r="BP12" s="220">
        <f t="shared" si="24"/>
        <v>0</v>
      </c>
      <c r="BQ12" s="254">
        <f t="shared" si="25"/>
        <v>11440.157285153764</v>
      </c>
    </row>
    <row r="13" spans="2:69" x14ac:dyDescent="0.2">
      <c r="B13" s="234" t="str">
        <f>Prop2019DistTar!B13</f>
        <v>Residential Interval</v>
      </c>
      <c r="C13" s="284"/>
      <c r="D13" s="786">
        <v>0</v>
      </c>
      <c r="E13" s="787">
        <v>0</v>
      </c>
      <c r="F13" s="787">
        <v>0.05</v>
      </c>
      <c r="G13" s="787">
        <v>0</v>
      </c>
      <c r="H13" s="787">
        <v>0</v>
      </c>
      <c r="I13" s="787">
        <v>0.05</v>
      </c>
      <c r="J13" s="787">
        <v>0</v>
      </c>
      <c r="K13" s="787">
        <v>0</v>
      </c>
      <c r="L13" s="787">
        <v>0</v>
      </c>
      <c r="M13" s="787">
        <v>0</v>
      </c>
      <c r="N13" s="787">
        <v>0</v>
      </c>
      <c r="O13" s="787">
        <v>0</v>
      </c>
      <c r="P13" s="787">
        <v>0</v>
      </c>
      <c r="Q13" s="787">
        <v>0</v>
      </c>
      <c r="R13" s="787">
        <v>0</v>
      </c>
      <c r="S13" s="787">
        <v>0</v>
      </c>
      <c r="T13" s="787">
        <v>0</v>
      </c>
      <c r="U13" s="787">
        <v>0</v>
      </c>
      <c r="V13" s="787">
        <v>0</v>
      </c>
      <c r="W13" s="787">
        <v>0</v>
      </c>
      <c r="X13" s="796">
        <v>0</v>
      </c>
      <c r="Z13" s="276">
        <f>Prop2019DistTar!AV13</f>
        <v>17057.166666666668</v>
      </c>
      <c r="AA13" s="250">
        <f>Prop2019DistTar!AW13</f>
        <v>0</v>
      </c>
      <c r="AB13" s="250">
        <f>Prop2019DistTar!AX13</f>
        <v>60669728.275751241</v>
      </c>
      <c r="AC13" s="250">
        <f>Prop2019DistTar!AY13</f>
        <v>0</v>
      </c>
      <c r="AD13" s="250">
        <f>Prop2019DistTar!AZ13</f>
        <v>0</v>
      </c>
      <c r="AE13" s="250">
        <f>Prop2019DistTar!BA13</f>
        <v>52545941.858520873</v>
      </c>
      <c r="AF13" s="250">
        <f>Prop2019DistTar!BB13</f>
        <v>0</v>
      </c>
      <c r="AG13" s="250">
        <f>Prop2019DistTar!BC13</f>
        <v>0</v>
      </c>
      <c r="AH13" s="250">
        <f>Prop2019DistTar!BD13</f>
        <v>0</v>
      </c>
      <c r="AI13" s="250">
        <f>Prop2019DistTar!BE13</f>
        <v>0</v>
      </c>
      <c r="AJ13" s="250">
        <f>Prop2019DistTar!BF13</f>
        <v>0</v>
      </c>
      <c r="AK13" s="250">
        <f>Prop2019DistTar!BG13</f>
        <v>0</v>
      </c>
      <c r="AL13" s="250">
        <f>Prop2019DistTar!BH13</f>
        <v>0</v>
      </c>
      <c r="AM13" s="250">
        <f>Prop2019DistTar!BI13</f>
        <v>0</v>
      </c>
      <c r="AN13" s="250">
        <f>Prop2019DistTar!BJ13</f>
        <v>0</v>
      </c>
      <c r="AO13" s="250">
        <f>Prop2019DistTar!BK13</f>
        <v>0</v>
      </c>
      <c r="AP13" s="250">
        <f>Prop2019DistTar!BL13</f>
        <v>0</v>
      </c>
      <c r="AQ13" s="250">
        <f>Prop2019DistTar!BM13</f>
        <v>0</v>
      </c>
      <c r="AR13" s="250">
        <f>Prop2019DistTar!BN13</f>
        <v>0</v>
      </c>
      <c r="AS13" s="250">
        <f>Prop2019DistTar!BO13</f>
        <v>0</v>
      </c>
      <c r="AT13" s="251">
        <f>Prop2019DistTar!BP13</f>
        <v>0</v>
      </c>
      <c r="AV13" s="252">
        <f t="shared" si="4"/>
        <v>0</v>
      </c>
      <c r="AW13" s="220">
        <f t="shared" si="5"/>
        <v>0</v>
      </c>
      <c r="AX13" s="220">
        <f t="shared" si="6"/>
        <v>30334.864137875622</v>
      </c>
      <c r="AY13" s="220">
        <f t="shared" si="7"/>
        <v>0</v>
      </c>
      <c r="AZ13" s="220">
        <f t="shared" si="8"/>
        <v>0</v>
      </c>
      <c r="BA13" s="220">
        <f t="shared" si="9"/>
        <v>26272.970929260438</v>
      </c>
      <c r="BB13" s="220">
        <f t="shared" si="10"/>
        <v>0</v>
      </c>
      <c r="BC13" s="220">
        <f t="shared" si="11"/>
        <v>0</v>
      </c>
      <c r="BD13" s="220">
        <f t="shared" si="12"/>
        <v>0</v>
      </c>
      <c r="BE13" s="220">
        <f t="shared" si="13"/>
        <v>0</v>
      </c>
      <c r="BF13" s="220">
        <f t="shared" si="14"/>
        <v>0</v>
      </c>
      <c r="BG13" s="220">
        <f t="shared" si="15"/>
        <v>0</v>
      </c>
      <c r="BH13" s="220">
        <f t="shared" si="16"/>
        <v>0</v>
      </c>
      <c r="BI13" s="220">
        <f t="shared" si="17"/>
        <v>0</v>
      </c>
      <c r="BJ13" s="220">
        <f t="shared" si="18"/>
        <v>0</v>
      </c>
      <c r="BK13" s="220">
        <f t="shared" si="19"/>
        <v>0</v>
      </c>
      <c r="BL13" s="220">
        <f t="shared" si="20"/>
        <v>0</v>
      </c>
      <c r="BM13" s="220">
        <f t="shared" si="21"/>
        <v>0</v>
      </c>
      <c r="BN13" s="220">
        <f t="shared" si="22"/>
        <v>0</v>
      </c>
      <c r="BO13" s="220">
        <f t="shared" si="23"/>
        <v>0</v>
      </c>
      <c r="BP13" s="220">
        <f t="shared" si="24"/>
        <v>0</v>
      </c>
      <c r="BQ13" s="254">
        <f t="shared" si="25"/>
        <v>56607.83506713606</v>
      </c>
    </row>
    <row r="14" spans="2:69" x14ac:dyDescent="0.2">
      <c r="B14" s="234" t="str">
        <f>Prop2019DistTar!B14</f>
        <v>Residential Interval - Bulk</v>
      </c>
      <c r="C14" s="284"/>
      <c r="D14" s="786">
        <v>0</v>
      </c>
      <c r="E14" s="787">
        <v>0</v>
      </c>
      <c r="F14" s="787">
        <v>0.05</v>
      </c>
      <c r="G14" s="787">
        <v>0</v>
      </c>
      <c r="H14" s="787">
        <v>0</v>
      </c>
      <c r="I14" s="787">
        <v>0.05</v>
      </c>
      <c r="J14" s="787">
        <v>0</v>
      </c>
      <c r="K14" s="787">
        <v>0</v>
      </c>
      <c r="L14" s="787">
        <v>0</v>
      </c>
      <c r="M14" s="787">
        <v>0</v>
      </c>
      <c r="N14" s="787">
        <v>0</v>
      </c>
      <c r="O14" s="787">
        <v>0</v>
      </c>
      <c r="P14" s="787">
        <v>0</v>
      </c>
      <c r="Q14" s="787">
        <v>0</v>
      </c>
      <c r="R14" s="787">
        <v>0</v>
      </c>
      <c r="S14" s="787">
        <v>0</v>
      </c>
      <c r="T14" s="787">
        <v>0</v>
      </c>
      <c r="U14" s="787">
        <v>0</v>
      </c>
      <c r="V14" s="787">
        <v>0</v>
      </c>
      <c r="W14" s="787">
        <v>0</v>
      </c>
      <c r="X14" s="796">
        <v>0</v>
      </c>
      <c r="Z14" s="276">
        <f>Prop2019DistTar!AV14</f>
        <v>8658</v>
      </c>
      <c r="AA14" s="250">
        <f>Prop2019DistTar!AW14</f>
        <v>0</v>
      </c>
      <c r="AB14" s="250">
        <f>Prop2019DistTar!AX14</f>
        <v>15600572.119172478</v>
      </c>
      <c r="AC14" s="250">
        <f>Prop2019DistTar!AY14</f>
        <v>0</v>
      </c>
      <c r="AD14" s="250">
        <f>Prop2019DistTar!AZ14</f>
        <v>0</v>
      </c>
      <c r="AE14" s="250">
        <f>Prop2019DistTar!BA14</f>
        <v>14572772.142298045</v>
      </c>
      <c r="AF14" s="250">
        <f>Prop2019DistTar!BB14</f>
        <v>0</v>
      </c>
      <c r="AG14" s="250">
        <f>Prop2019DistTar!BC14</f>
        <v>0</v>
      </c>
      <c r="AH14" s="250">
        <f>Prop2019DistTar!BD14</f>
        <v>0</v>
      </c>
      <c r="AI14" s="250">
        <f>Prop2019DistTar!BE14</f>
        <v>0</v>
      </c>
      <c r="AJ14" s="250">
        <f>Prop2019DistTar!BF14</f>
        <v>0</v>
      </c>
      <c r="AK14" s="250">
        <f>Prop2019DistTar!BG14</f>
        <v>0</v>
      </c>
      <c r="AL14" s="250">
        <f>Prop2019DistTar!BH14</f>
        <v>0</v>
      </c>
      <c r="AM14" s="250">
        <f>Prop2019DistTar!BI14</f>
        <v>0</v>
      </c>
      <c r="AN14" s="250">
        <f>Prop2019DistTar!BJ14</f>
        <v>0</v>
      </c>
      <c r="AO14" s="250">
        <f>Prop2019DistTar!BK14</f>
        <v>0</v>
      </c>
      <c r="AP14" s="250">
        <f>Prop2019DistTar!BL14</f>
        <v>0</v>
      </c>
      <c r="AQ14" s="250">
        <f>Prop2019DistTar!BM14</f>
        <v>0</v>
      </c>
      <c r="AR14" s="250">
        <f>Prop2019DistTar!BN14</f>
        <v>0</v>
      </c>
      <c r="AS14" s="250">
        <f>Prop2019DistTar!BO14</f>
        <v>0</v>
      </c>
      <c r="AT14" s="251">
        <f>Prop2019DistTar!BP14</f>
        <v>0</v>
      </c>
      <c r="AV14" s="252">
        <f t="shared" si="4"/>
        <v>0</v>
      </c>
      <c r="AW14" s="220">
        <f t="shared" si="5"/>
        <v>0</v>
      </c>
      <c r="AX14" s="220">
        <f t="shared" si="6"/>
        <v>7800.2860595862394</v>
      </c>
      <c r="AY14" s="220">
        <f t="shared" si="7"/>
        <v>0</v>
      </c>
      <c r="AZ14" s="220">
        <f t="shared" si="8"/>
        <v>0</v>
      </c>
      <c r="BA14" s="220">
        <f t="shared" si="9"/>
        <v>7286.3860711490224</v>
      </c>
      <c r="BB14" s="220">
        <f t="shared" si="10"/>
        <v>0</v>
      </c>
      <c r="BC14" s="220">
        <f t="shared" si="11"/>
        <v>0</v>
      </c>
      <c r="BD14" s="220">
        <f t="shared" si="12"/>
        <v>0</v>
      </c>
      <c r="BE14" s="220">
        <f t="shared" si="13"/>
        <v>0</v>
      </c>
      <c r="BF14" s="220">
        <f t="shared" si="14"/>
        <v>0</v>
      </c>
      <c r="BG14" s="220">
        <f t="shared" si="15"/>
        <v>0</v>
      </c>
      <c r="BH14" s="220">
        <f t="shared" si="16"/>
        <v>0</v>
      </c>
      <c r="BI14" s="220">
        <f t="shared" si="17"/>
        <v>0</v>
      </c>
      <c r="BJ14" s="220">
        <f t="shared" si="18"/>
        <v>0</v>
      </c>
      <c r="BK14" s="220">
        <f t="shared" si="19"/>
        <v>0</v>
      </c>
      <c r="BL14" s="220">
        <f t="shared" si="20"/>
        <v>0</v>
      </c>
      <c r="BM14" s="220">
        <f t="shared" si="21"/>
        <v>0</v>
      </c>
      <c r="BN14" s="220">
        <f t="shared" si="22"/>
        <v>0</v>
      </c>
      <c r="BO14" s="220">
        <f t="shared" si="23"/>
        <v>0</v>
      </c>
      <c r="BP14" s="220">
        <f t="shared" si="24"/>
        <v>0</v>
      </c>
      <c r="BQ14" s="254">
        <f t="shared" si="25"/>
        <v>15086.672130735262</v>
      </c>
    </row>
    <row r="15" spans="2:69" x14ac:dyDescent="0.2">
      <c r="B15" s="234" t="str">
        <f>Prop2019DistTar!B15</f>
        <v>Residential Two Rate 5d - Controlled Load</v>
      </c>
      <c r="C15" s="284"/>
      <c r="D15" s="786">
        <v>0</v>
      </c>
      <c r="E15" s="787">
        <v>0</v>
      </c>
      <c r="F15" s="787">
        <v>0</v>
      </c>
      <c r="G15" s="787">
        <v>0</v>
      </c>
      <c r="H15" s="787">
        <v>0</v>
      </c>
      <c r="I15" s="787">
        <v>0.05</v>
      </c>
      <c r="J15" s="787">
        <v>0</v>
      </c>
      <c r="K15" s="787">
        <v>0</v>
      </c>
      <c r="L15" s="787">
        <v>0</v>
      </c>
      <c r="M15" s="787">
        <v>0</v>
      </c>
      <c r="N15" s="787">
        <v>0</v>
      </c>
      <c r="O15" s="787">
        <v>0</v>
      </c>
      <c r="P15" s="787">
        <v>0</v>
      </c>
      <c r="Q15" s="787">
        <v>0</v>
      </c>
      <c r="R15" s="787">
        <v>0</v>
      </c>
      <c r="S15" s="787">
        <v>0</v>
      </c>
      <c r="T15" s="787">
        <v>0</v>
      </c>
      <c r="U15" s="787">
        <v>0</v>
      </c>
      <c r="V15" s="787">
        <v>0</v>
      </c>
      <c r="W15" s="787">
        <v>0</v>
      </c>
      <c r="X15" s="796">
        <v>0</v>
      </c>
      <c r="Z15" s="276">
        <f>Prop2019DistTar!AV15</f>
        <v>9732.6666666666661</v>
      </c>
      <c r="AA15" s="250">
        <f>Prop2019DistTar!AW15</f>
        <v>0</v>
      </c>
      <c r="AB15" s="250">
        <f>Prop2019DistTar!AX15</f>
        <v>0</v>
      </c>
      <c r="AC15" s="250">
        <f>Prop2019DistTar!AY15</f>
        <v>0</v>
      </c>
      <c r="AD15" s="250">
        <f>Prop2019DistTar!AZ15</f>
        <v>0</v>
      </c>
      <c r="AE15" s="250">
        <f>Prop2019DistTar!BA15</f>
        <v>19246331.235837448</v>
      </c>
      <c r="AF15" s="250">
        <f>Prop2019DistTar!BB15</f>
        <v>0</v>
      </c>
      <c r="AG15" s="250">
        <f>Prop2019DistTar!BC15</f>
        <v>0</v>
      </c>
      <c r="AH15" s="250">
        <f>Prop2019DistTar!BD15</f>
        <v>0</v>
      </c>
      <c r="AI15" s="250">
        <f>Prop2019DistTar!BE15</f>
        <v>0</v>
      </c>
      <c r="AJ15" s="250">
        <f>Prop2019DistTar!BF15</f>
        <v>0</v>
      </c>
      <c r="AK15" s="250">
        <f>Prop2019DistTar!BG15</f>
        <v>0</v>
      </c>
      <c r="AL15" s="250">
        <f>Prop2019DistTar!BH15</f>
        <v>0</v>
      </c>
      <c r="AM15" s="250">
        <f>Prop2019DistTar!BI15</f>
        <v>0</v>
      </c>
      <c r="AN15" s="250">
        <f>Prop2019DistTar!BJ15</f>
        <v>0</v>
      </c>
      <c r="AO15" s="250">
        <f>Prop2019DistTar!BK15</f>
        <v>0</v>
      </c>
      <c r="AP15" s="250">
        <f>Prop2019DistTar!BL15</f>
        <v>0</v>
      </c>
      <c r="AQ15" s="250">
        <f>Prop2019DistTar!BM15</f>
        <v>0</v>
      </c>
      <c r="AR15" s="250">
        <f>Prop2019DistTar!BN15</f>
        <v>0</v>
      </c>
      <c r="AS15" s="250">
        <f>Prop2019DistTar!BO15</f>
        <v>0</v>
      </c>
      <c r="AT15" s="251">
        <f>Prop2019DistTar!BP15</f>
        <v>0</v>
      </c>
      <c r="AV15" s="252">
        <f t="shared" si="4"/>
        <v>0</v>
      </c>
      <c r="AW15" s="220">
        <f t="shared" si="5"/>
        <v>0</v>
      </c>
      <c r="AX15" s="220">
        <f t="shared" si="6"/>
        <v>0</v>
      </c>
      <c r="AY15" s="220">
        <f t="shared" si="7"/>
        <v>0</v>
      </c>
      <c r="AZ15" s="220">
        <f t="shared" si="8"/>
        <v>0</v>
      </c>
      <c r="BA15" s="220">
        <f t="shared" si="9"/>
        <v>9623.1656179187248</v>
      </c>
      <c r="BB15" s="220">
        <f t="shared" si="10"/>
        <v>0</v>
      </c>
      <c r="BC15" s="220">
        <f t="shared" si="11"/>
        <v>0</v>
      </c>
      <c r="BD15" s="220">
        <f t="shared" si="12"/>
        <v>0</v>
      </c>
      <c r="BE15" s="220">
        <f t="shared" si="13"/>
        <v>0</v>
      </c>
      <c r="BF15" s="220">
        <f t="shared" si="14"/>
        <v>0</v>
      </c>
      <c r="BG15" s="220">
        <f t="shared" si="15"/>
        <v>0</v>
      </c>
      <c r="BH15" s="220">
        <f t="shared" si="16"/>
        <v>0</v>
      </c>
      <c r="BI15" s="220">
        <f t="shared" si="17"/>
        <v>0</v>
      </c>
      <c r="BJ15" s="220">
        <f t="shared" si="18"/>
        <v>0</v>
      </c>
      <c r="BK15" s="220">
        <f t="shared" si="19"/>
        <v>0</v>
      </c>
      <c r="BL15" s="220">
        <f t="shared" si="20"/>
        <v>0</v>
      </c>
      <c r="BM15" s="220">
        <f t="shared" si="21"/>
        <v>0</v>
      </c>
      <c r="BN15" s="220">
        <f t="shared" si="22"/>
        <v>0</v>
      </c>
      <c r="BO15" s="220">
        <f t="shared" si="23"/>
        <v>0</v>
      </c>
      <c r="BP15" s="220">
        <f t="shared" si="24"/>
        <v>0</v>
      </c>
      <c r="BQ15" s="254">
        <f t="shared" si="25"/>
        <v>9623.1656179187248</v>
      </c>
    </row>
    <row r="16" spans="2:69" x14ac:dyDescent="0.2">
      <c r="B16" s="234" t="str">
        <f>Prop2019DistTar!B16</f>
        <v>Residential Two Rate 5d - Bulk - Controlled Load</v>
      </c>
      <c r="C16" s="284"/>
      <c r="D16" s="786">
        <v>0</v>
      </c>
      <c r="E16" s="787">
        <v>0</v>
      </c>
      <c r="F16" s="787">
        <v>0</v>
      </c>
      <c r="G16" s="787">
        <v>0</v>
      </c>
      <c r="H16" s="787">
        <v>0</v>
      </c>
      <c r="I16" s="787">
        <v>0.05</v>
      </c>
      <c r="J16" s="787">
        <v>0</v>
      </c>
      <c r="K16" s="787">
        <v>0</v>
      </c>
      <c r="L16" s="787">
        <v>0</v>
      </c>
      <c r="M16" s="787">
        <v>0</v>
      </c>
      <c r="N16" s="787">
        <v>0</v>
      </c>
      <c r="O16" s="787">
        <v>0</v>
      </c>
      <c r="P16" s="787">
        <v>0</v>
      </c>
      <c r="Q16" s="787">
        <v>0</v>
      </c>
      <c r="R16" s="787">
        <v>0</v>
      </c>
      <c r="S16" s="787">
        <v>0</v>
      </c>
      <c r="T16" s="787">
        <v>0</v>
      </c>
      <c r="U16" s="787">
        <v>0</v>
      </c>
      <c r="V16" s="787">
        <v>0</v>
      </c>
      <c r="W16" s="787">
        <v>0</v>
      </c>
      <c r="X16" s="796">
        <v>0</v>
      </c>
      <c r="Z16" s="276">
        <f>Prop2019DistTar!AV16</f>
        <v>3683.8333333333335</v>
      </c>
      <c r="AA16" s="250">
        <f>Prop2019DistTar!AW16</f>
        <v>0</v>
      </c>
      <c r="AB16" s="250">
        <f>Prop2019DistTar!AX16</f>
        <v>0</v>
      </c>
      <c r="AC16" s="250">
        <f>Prop2019DistTar!AY16</f>
        <v>0</v>
      </c>
      <c r="AD16" s="250">
        <f>Prop2019DistTar!AZ16</f>
        <v>0</v>
      </c>
      <c r="AE16" s="250">
        <f>Prop2019DistTar!BA16</f>
        <v>7176762.3174721245</v>
      </c>
      <c r="AF16" s="250">
        <f>Prop2019DistTar!BB16</f>
        <v>0</v>
      </c>
      <c r="AG16" s="250">
        <f>Prop2019DistTar!BC16</f>
        <v>0</v>
      </c>
      <c r="AH16" s="250">
        <f>Prop2019DistTar!BD16</f>
        <v>0</v>
      </c>
      <c r="AI16" s="250">
        <f>Prop2019DistTar!BE16</f>
        <v>0</v>
      </c>
      <c r="AJ16" s="250">
        <f>Prop2019DistTar!BF16</f>
        <v>0</v>
      </c>
      <c r="AK16" s="250">
        <f>Prop2019DistTar!BG16</f>
        <v>0</v>
      </c>
      <c r="AL16" s="250">
        <f>Prop2019DistTar!BH16</f>
        <v>0</v>
      </c>
      <c r="AM16" s="250">
        <f>Prop2019DistTar!BI16</f>
        <v>0</v>
      </c>
      <c r="AN16" s="250">
        <f>Prop2019DistTar!BJ16</f>
        <v>0</v>
      </c>
      <c r="AO16" s="250">
        <f>Prop2019DistTar!BK16</f>
        <v>0</v>
      </c>
      <c r="AP16" s="250">
        <f>Prop2019DistTar!BL16</f>
        <v>0</v>
      </c>
      <c r="AQ16" s="250">
        <f>Prop2019DistTar!BM16</f>
        <v>0</v>
      </c>
      <c r="AR16" s="250">
        <f>Prop2019DistTar!BN16</f>
        <v>0</v>
      </c>
      <c r="AS16" s="250">
        <f>Prop2019DistTar!BO16</f>
        <v>0</v>
      </c>
      <c r="AT16" s="251">
        <f>Prop2019DistTar!BP16</f>
        <v>0</v>
      </c>
      <c r="AV16" s="252">
        <f t="shared" si="4"/>
        <v>0</v>
      </c>
      <c r="AW16" s="220">
        <f t="shared" si="5"/>
        <v>0</v>
      </c>
      <c r="AX16" s="220">
        <f t="shared" si="6"/>
        <v>0</v>
      </c>
      <c r="AY16" s="220">
        <f t="shared" si="7"/>
        <v>0</v>
      </c>
      <c r="AZ16" s="220">
        <f t="shared" si="8"/>
        <v>0</v>
      </c>
      <c r="BA16" s="220">
        <f t="shared" si="9"/>
        <v>3588.3811587360624</v>
      </c>
      <c r="BB16" s="220">
        <f t="shared" si="10"/>
        <v>0</v>
      </c>
      <c r="BC16" s="220">
        <f t="shared" si="11"/>
        <v>0</v>
      </c>
      <c r="BD16" s="220">
        <f t="shared" si="12"/>
        <v>0</v>
      </c>
      <c r="BE16" s="220">
        <f t="shared" si="13"/>
        <v>0</v>
      </c>
      <c r="BF16" s="220">
        <f t="shared" si="14"/>
        <v>0</v>
      </c>
      <c r="BG16" s="220">
        <f t="shared" si="15"/>
        <v>0</v>
      </c>
      <c r="BH16" s="220">
        <f t="shared" si="16"/>
        <v>0</v>
      </c>
      <c r="BI16" s="220">
        <f t="shared" si="17"/>
        <v>0</v>
      </c>
      <c r="BJ16" s="220">
        <f t="shared" si="18"/>
        <v>0</v>
      </c>
      <c r="BK16" s="220">
        <f t="shared" si="19"/>
        <v>0</v>
      </c>
      <c r="BL16" s="220">
        <f t="shared" si="20"/>
        <v>0</v>
      </c>
      <c r="BM16" s="220">
        <f t="shared" si="21"/>
        <v>0</v>
      </c>
      <c r="BN16" s="220">
        <f t="shared" si="22"/>
        <v>0</v>
      </c>
      <c r="BO16" s="220">
        <f t="shared" si="23"/>
        <v>0</v>
      </c>
      <c r="BP16" s="220">
        <f t="shared" si="24"/>
        <v>0</v>
      </c>
      <c r="BQ16" s="254">
        <f t="shared" si="25"/>
        <v>3588.3811587360624</v>
      </c>
    </row>
    <row r="17" spans="2:69" x14ac:dyDescent="0.2">
      <c r="B17" s="234" t="str">
        <f>Prop2019DistTar!B17</f>
        <v>Dedicated Circuit</v>
      </c>
      <c r="C17" s="284"/>
      <c r="D17" s="786">
        <v>0</v>
      </c>
      <c r="E17" s="787">
        <v>0</v>
      </c>
      <c r="F17" s="787">
        <v>0</v>
      </c>
      <c r="G17" s="787">
        <v>0</v>
      </c>
      <c r="H17" s="787">
        <v>0</v>
      </c>
      <c r="I17" s="787">
        <v>0.05</v>
      </c>
      <c r="J17" s="787">
        <v>0</v>
      </c>
      <c r="K17" s="787">
        <v>0</v>
      </c>
      <c r="L17" s="787">
        <v>0</v>
      </c>
      <c r="M17" s="787">
        <v>0</v>
      </c>
      <c r="N17" s="787">
        <v>0</v>
      </c>
      <c r="O17" s="787">
        <v>0</v>
      </c>
      <c r="P17" s="787">
        <v>0</v>
      </c>
      <c r="Q17" s="787">
        <v>0</v>
      </c>
      <c r="R17" s="787">
        <v>0</v>
      </c>
      <c r="S17" s="787">
        <v>0</v>
      </c>
      <c r="T17" s="787">
        <v>0</v>
      </c>
      <c r="U17" s="787">
        <v>0</v>
      </c>
      <c r="V17" s="787">
        <v>0</v>
      </c>
      <c r="W17" s="787">
        <v>0</v>
      </c>
      <c r="X17" s="796">
        <v>0</v>
      </c>
      <c r="Z17" s="276">
        <f>Prop2019DistTar!AV17</f>
        <v>22825.5</v>
      </c>
      <c r="AA17" s="250">
        <f>Prop2019DistTar!AW17</f>
        <v>0</v>
      </c>
      <c r="AB17" s="250">
        <f>Prop2019DistTar!AX17</f>
        <v>0</v>
      </c>
      <c r="AC17" s="250">
        <f>Prop2019DistTar!AY17</f>
        <v>0</v>
      </c>
      <c r="AD17" s="250">
        <f>Prop2019DistTar!AZ17</f>
        <v>0</v>
      </c>
      <c r="AE17" s="250">
        <f>Prop2019DistTar!BA17</f>
        <v>31802481.572760597</v>
      </c>
      <c r="AF17" s="250">
        <f>Prop2019DistTar!BB17</f>
        <v>0</v>
      </c>
      <c r="AG17" s="250">
        <f>Prop2019DistTar!BC17</f>
        <v>0</v>
      </c>
      <c r="AH17" s="250">
        <f>Prop2019DistTar!BD17</f>
        <v>0</v>
      </c>
      <c r="AI17" s="250">
        <f>Prop2019DistTar!BE17</f>
        <v>0</v>
      </c>
      <c r="AJ17" s="250">
        <f>Prop2019DistTar!BF17</f>
        <v>0</v>
      </c>
      <c r="AK17" s="250">
        <f>Prop2019DistTar!BG17</f>
        <v>0</v>
      </c>
      <c r="AL17" s="250">
        <f>Prop2019DistTar!BH17</f>
        <v>0</v>
      </c>
      <c r="AM17" s="250">
        <f>Prop2019DistTar!BI17</f>
        <v>0</v>
      </c>
      <c r="AN17" s="250">
        <f>Prop2019DistTar!BJ17</f>
        <v>0</v>
      </c>
      <c r="AO17" s="250">
        <f>Prop2019DistTar!BK17</f>
        <v>0</v>
      </c>
      <c r="AP17" s="250">
        <f>Prop2019DistTar!BL17</f>
        <v>0</v>
      </c>
      <c r="AQ17" s="250">
        <f>Prop2019DistTar!BM17</f>
        <v>0</v>
      </c>
      <c r="AR17" s="250">
        <f>Prop2019DistTar!BN17</f>
        <v>0</v>
      </c>
      <c r="AS17" s="250">
        <f>Prop2019DistTar!BO17</f>
        <v>0</v>
      </c>
      <c r="AT17" s="251">
        <f>Prop2019DistTar!BP17</f>
        <v>0</v>
      </c>
      <c r="AV17" s="252">
        <f t="shared" si="4"/>
        <v>0</v>
      </c>
      <c r="AW17" s="220">
        <f t="shared" si="5"/>
        <v>0</v>
      </c>
      <c r="AX17" s="220">
        <f t="shared" si="6"/>
        <v>0</v>
      </c>
      <c r="AY17" s="220">
        <f t="shared" si="7"/>
        <v>0</v>
      </c>
      <c r="AZ17" s="220">
        <f t="shared" si="8"/>
        <v>0</v>
      </c>
      <c r="BA17" s="220">
        <f t="shared" si="9"/>
        <v>15901.240786380298</v>
      </c>
      <c r="BB17" s="220">
        <f t="shared" si="10"/>
        <v>0</v>
      </c>
      <c r="BC17" s="220">
        <f t="shared" si="11"/>
        <v>0</v>
      </c>
      <c r="BD17" s="220">
        <f t="shared" si="12"/>
        <v>0</v>
      </c>
      <c r="BE17" s="220">
        <f t="shared" si="13"/>
        <v>0</v>
      </c>
      <c r="BF17" s="220">
        <f t="shared" si="14"/>
        <v>0</v>
      </c>
      <c r="BG17" s="220">
        <f t="shared" si="15"/>
        <v>0</v>
      </c>
      <c r="BH17" s="220">
        <f t="shared" si="16"/>
        <v>0</v>
      </c>
      <c r="BI17" s="220">
        <f t="shared" si="17"/>
        <v>0</v>
      </c>
      <c r="BJ17" s="220">
        <f t="shared" si="18"/>
        <v>0</v>
      </c>
      <c r="BK17" s="220">
        <f t="shared" si="19"/>
        <v>0</v>
      </c>
      <c r="BL17" s="220">
        <f t="shared" si="20"/>
        <v>0</v>
      </c>
      <c r="BM17" s="220">
        <f t="shared" si="21"/>
        <v>0</v>
      </c>
      <c r="BN17" s="220">
        <f t="shared" si="22"/>
        <v>0</v>
      </c>
      <c r="BO17" s="220">
        <f t="shared" si="23"/>
        <v>0</v>
      </c>
      <c r="BP17" s="220">
        <f t="shared" si="24"/>
        <v>0</v>
      </c>
      <c r="BQ17" s="254">
        <f t="shared" si="25"/>
        <v>15901.240786380298</v>
      </c>
    </row>
    <row r="18" spans="2:69" x14ac:dyDescent="0.2">
      <c r="B18" s="234" t="str">
        <f>Prop2019DistTar!B18</f>
        <v>Dedicated Circuit - Bulk</v>
      </c>
      <c r="C18" s="284"/>
      <c r="D18" s="786">
        <v>0</v>
      </c>
      <c r="E18" s="787">
        <v>0</v>
      </c>
      <c r="F18" s="787">
        <v>0</v>
      </c>
      <c r="G18" s="787">
        <v>0</v>
      </c>
      <c r="H18" s="787">
        <v>0</v>
      </c>
      <c r="I18" s="787">
        <v>0.05</v>
      </c>
      <c r="J18" s="787">
        <v>0</v>
      </c>
      <c r="K18" s="787">
        <v>0</v>
      </c>
      <c r="L18" s="787">
        <v>0</v>
      </c>
      <c r="M18" s="787">
        <v>0</v>
      </c>
      <c r="N18" s="787">
        <v>0</v>
      </c>
      <c r="O18" s="787">
        <v>0</v>
      </c>
      <c r="P18" s="787">
        <v>0</v>
      </c>
      <c r="Q18" s="787">
        <v>0</v>
      </c>
      <c r="R18" s="787">
        <v>0</v>
      </c>
      <c r="S18" s="787">
        <v>0</v>
      </c>
      <c r="T18" s="787">
        <v>0</v>
      </c>
      <c r="U18" s="787">
        <v>0</v>
      </c>
      <c r="V18" s="787">
        <v>0</v>
      </c>
      <c r="W18" s="787">
        <v>0</v>
      </c>
      <c r="X18" s="796">
        <v>0</v>
      </c>
      <c r="Z18" s="276">
        <f>Prop2019DistTar!AV18</f>
        <v>1105.5833333333333</v>
      </c>
      <c r="AA18" s="250">
        <f>Prop2019DistTar!AW18</f>
        <v>0</v>
      </c>
      <c r="AB18" s="250">
        <f>Prop2019DistTar!AX18</f>
        <v>0</v>
      </c>
      <c r="AC18" s="250">
        <f>Prop2019DistTar!AY18</f>
        <v>0</v>
      </c>
      <c r="AD18" s="250">
        <f>Prop2019DistTar!AZ18</f>
        <v>0</v>
      </c>
      <c r="AE18" s="250">
        <f>Prop2019DistTar!BA18</f>
        <v>2202095.0102876872</v>
      </c>
      <c r="AF18" s="250">
        <f>Prop2019DistTar!BB18</f>
        <v>0</v>
      </c>
      <c r="AG18" s="250">
        <f>Prop2019DistTar!BC18</f>
        <v>0</v>
      </c>
      <c r="AH18" s="250">
        <f>Prop2019DistTar!BD18</f>
        <v>0</v>
      </c>
      <c r="AI18" s="250">
        <f>Prop2019DistTar!BE18</f>
        <v>0</v>
      </c>
      <c r="AJ18" s="250">
        <f>Prop2019DistTar!BF18</f>
        <v>0</v>
      </c>
      <c r="AK18" s="250">
        <f>Prop2019DistTar!BG18</f>
        <v>0</v>
      </c>
      <c r="AL18" s="250">
        <f>Prop2019DistTar!BH18</f>
        <v>0</v>
      </c>
      <c r="AM18" s="250">
        <f>Prop2019DistTar!BI18</f>
        <v>0</v>
      </c>
      <c r="AN18" s="250">
        <f>Prop2019DistTar!BJ18</f>
        <v>0</v>
      </c>
      <c r="AO18" s="250">
        <f>Prop2019DistTar!BK18</f>
        <v>0</v>
      </c>
      <c r="AP18" s="250">
        <f>Prop2019DistTar!BL18</f>
        <v>0</v>
      </c>
      <c r="AQ18" s="250">
        <f>Prop2019DistTar!BM18</f>
        <v>0</v>
      </c>
      <c r="AR18" s="250">
        <f>Prop2019DistTar!BN18</f>
        <v>0</v>
      </c>
      <c r="AS18" s="250">
        <f>Prop2019DistTar!BO18</f>
        <v>0</v>
      </c>
      <c r="AT18" s="251">
        <f>Prop2019DistTar!BP18</f>
        <v>0</v>
      </c>
      <c r="AV18" s="252">
        <f t="shared" si="4"/>
        <v>0</v>
      </c>
      <c r="AW18" s="220">
        <f t="shared" si="5"/>
        <v>0</v>
      </c>
      <c r="AX18" s="220">
        <f t="shared" si="6"/>
        <v>0</v>
      </c>
      <c r="AY18" s="220">
        <f t="shared" si="7"/>
        <v>0</v>
      </c>
      <c r="AZ18" s="220">
        <f t="shared" si="8"/>
        <v>0</v>
      </c>
      <c r="BA18" s="220">
        <f t="shared" si="9"/>
        <v>1101.0475051438436</v>
      </c>
      <c r="BB18" s="220">
        <f t="shared" si="10"/>
        <v>0</v>
      </c>
      <c r="BC18" s="220">
        <f t="shared" si="11"/>
        <v>0</v>
      </c>
      <c r="BD18" s="220">
        <f t="shared" si="12"/>
        <v>0</v>
      </c>
      <c r="BE18" s="220">
        <f t="shared" si="13"/>
        <v>0</v>
      </c>
      <c r="BF18" s="220">
        <f t="shared" si="14"/>
        <v>0</v>
      </c>
      <c r="BG18" s="220">
        <f t="shared" si="15"/>
        <v>0</v>
      </c>
      <c r="BH18" s="220">
        <f t="shared" si="16"/>
        <v>0</v>
      </c>
      <c r="BI18" s="220">
        <f t="shared" si="17"/>
        <v>0</v>
      </c>
      <c r="BJ18" s="220">
        <f t="shared" si="18"/>
        <v>0</v>
      </c>
      <c r="BK18" s="220">
        <f t="shared" si="19"/>
        <v>0</v>
      </c>
      <c r="BL18" s="220">
        <f t="shared" si="20"/>
        <v>0</v>
      </c>
      <c r="BM18" s="220">
        <f t="shared" si="21"/>
        <v>0</v>
      </c>
      <c r="BN18" s="220">
        <f t="shared" si="22"/>
        <v>0</v>
      </c>
      <c r="BO18" s="220">
        <f t="shared" si="23"/>
        <v>0</v>
      </c>
      <c r="BP18" s="220">
        <f t="shared" si="24"/>
        <v>0</v>
      </c>
      <c r="BQ18" s="254">
        <f t="shared" si="25"/>
        <v>1101.0475051438436</v>
      </c>
    </row>
    <row r="19" spans="2:69" x14ac:dyDescent="0.2">
      <c r="B19" s="234" t="str">
        <f>Prop2019DistTar!B19</f>
        <v>Residential Demand</v>
      </c>
      <c r="C19" s="284"/>
      <c r="D19" s="786">
        <v>0</v>
      </c>
      <c r="E19" s="787">
        <v>0.05</v>
      </c>
      <c r="F19" s="787">
        <v>0</v>
      </c>
      <c r="G19" s="787">
        <v>0</v>
      </c>
      <c r="H19" s="787">
        <v>0</v>
      </c>
      <c r="I19" s="787">
        <v>0</v>
      </c>
      <c r="J19" s="787">
        <v>0</v>
      </c>
      <c r="K19" s="787">
        <v>0</v>
      </c>
      <c r="L19" s="787">
        <v>0</v>
      </c>
      <c r="M19" s="787">
        <v>0</v>
      </c>
      <c r="N19" s="787">
        <v>0</v>
      </c>
      <c r="O19" s="787">
        <v>0</v>
      </c>
      <c r="P19" s="787">
        <v>0</v>
      </c>
      <c r="Q19" s="787">
        <v>0</v>
      </c>
      <c r="R19" s="787">
        <v>0</v>
      </c>
      <c r="S19" s="787">
        <v>0</v>
      </c>
      <c r="T19" s="787">
        <v>0</v>
      </c>
      <c r="U19" s="787">
        <v>0</v>
      </c>
      <c r="V19" s="787">
        <v>0</v>
      </c>
      <c r="W19" s="787">
        <v>0</v>
      </c>
      <c r="X19" s="796">
        <v>0</v>
      </c>
      <c r="Z19" s="276">
        <f>Prop2019DistTar!AV19</f>
        <v>4</v>
      </c>
      <c r="AA19" s="250">
        <f>Prop2019DistTar!AW19</f>
        <v>14863.138507993855</v>
      </c>
      <c r="AB19" s="250">
        <f>Prop2019DistTar!AX19</f>
        <v>0</v>
      </c>
      <c r="AC19" s="250">
        <f>Prop2019DistTar!AY19</f>
        <v>0</v>
      </c>
      <c r="AD19" s="250">
        <f>Prop2019DistTar!AZ19</f>
        <v>0</v>
      </c>
      <c r="AE19" s="250">
        <f>Prop2019DistTar!BA19</f>
        <v>0</v>
      </c>
      <c r="AF19" s="250">
        <f>Prop2019DistTar!BB19</f>
        <v>0</v>
      </c>
      <c r="AG19" s="250">
        <f>Prop2019DistTar!BC19</f>
        <v>0</v>
      </c>
      <c r="AH19" s="250">
        <f>Prop2019DistTar!BD19</f>
        <v>0</v>
      </c>
      <c r="AI19" s="250">
        <f>Prop2019DistTar!BE19</f>
        <v>0</v>
      </c>
      <c r="AJ19" s="250">
        <f>Prop2019DistTar!BF19</f>
        <v>0</v>
      </c>
      <c r="AK19" s="250">
        <f>Prop2019DistTar!BG19</f>
        <v>50.493333333333332</v>
      </c>
      <c r="AL19" s="250">
        <f>Prop2019DistTar!BH19</f>
        <v>120.75099999999999</v>
      </c>
      <c r="AM19" s="250">
        <f>Prop2019DistTar!BI19</f>
        <v>0</v>
      </c>
      <c r="AN19" s="250">
        <f>Prop2019DistTar!BJ19</f>
        <v>0</v>
      </c>
      <c r="AO19" s="250">
        <f>Prop2019DistTar!BK19</f>
        <v>0</v>
      </c>
      <c r="AP19" s="250">
        <f>Prop2019DistTar!BL19</f>
        <v>0</v>
      </c>
      <c r="AQ19" s="250">
        <f>Prop2019DistTar!BM19</f>
        <v>0</v>
      </c>
      <c r="AR19" s="250">
        <f>Prop2019DistTar!BN19</f>
        <v>0</v>
      </c>
      <c r="AS19" s="250">
        <f>Prop2019DistTar!BO19</f>
        <v>0</v>
      </c>
      <c r="AT19" s="251">
        <f>Prop2019DistTar!BP19</f>
        <v>0</v>
      </c>
      <c r="AV19" s="252">
        <f t="shared" si="4"/>
        <v>0</v>
      </c>
      <c r="AW19" s="220">
        <f t="shared" si="5"/>
        <v>7.431569253996928</v>
      </c>
      <c r="AX19" s="220">
        <f t="shared" si="6"/>
        <v>0</v>
      </c>
      <c r="AY19" s="220">
        <f t="shared" si="7"/>
        <v>0</v>
      </c>
      <c r="AZ19" s="220">
        <f t="shared" si="8"/>
        <v>0</v>
      </c>
      <c r="BA19" s="220">
        <f t="shared" si="9"/>
        <v>0</v>
      </c>
      <c r="BB19" s="220">
        <f t="shared" si="10"/>
        <v>0</v>
      </c>
      <c r="BC19" s="220">
        <f t="shared" si="11"/>
        <v>0</v>
      </c>
      <c r="BD19" s="220">
        <f t="shared" si="12"/>
        <v>0</v>
      </c>
      <c r="BE19" s="220">
        <f t="shared" si="13"/>
        <v>0</v>
      </c>
      <c r="BF19" s="220">
        <f t="shared" si="14"/>
        <v>0</v>
      </c>
      <c r="BG19" s="220">
        <f t="shared" si="15"/>
        <v>0</v>
      </c>
      <c r="BH19" s="220">
        <f t="shared" si="16"/>
        <v>0</v>
      </c>
      <c r="BI19" s="220">
        <f t="shared" si="17"/>
        <v>0</v>
      </c>
      <c r="BJ19" s="220">
        <f t="shared" si="18"/>
        <v>0</v>
      </c>
      <c r="BK19" s="220">
        <f t="shared" si="19"/>
        <v>0</v>
      </c>
      <c r="BL19" s="220">
        <f t="shared" si="20"/>
        <v>0</v>
      </c>
      <c r="BM19" s="220">
        <f t="shared" si="21"/>
        <v>0</v>
      </c>
      <c r="BN19" s="220">
        <f t="shared" si="22"/>
        <v>0</v>
      </c>
      <c r="BO19" s="220">
        <f t="shared" si="23"/>
        <v>0</v>
      </c>
      <c r="BP19" s="220">
        <f t="shared" si="24"/>
        <v>0</v>
      </c>
      <c r="BQ19" s="254">
        <f t="shared" si="25"/>
        <v>7.431569253996928</v>
      </c>
    </row>
    <row r="20" spans="2:69" x14ac:dyDescent="0.2">
      <c r="B20" s="234" t="str">
        <f>Prop2019DistTar!B20</f>
        <v>Residential Bulk Demand</v>
      </c>
      <c r="C20" s="284"/>
      <c r="D20" s="786">
        <v>0</v>
      </c>
      <c r="E20" s="787">
        <v>0.05</v>
      </c>
      <c r="F20" s="787">
        <v>0</v>
      </c>
      <c r="G20" s="787">
        <v>0</v>
      </c>
      <c r="H20" s="787">
        <v>0</v>
      </c>
      <c r="I20" s="787">
        <v>0</v>
      </c>
      <c r="J20" s="787">
        <v>0</v>
      </c>
      <c r="K20" s="787">
        <v>0</v>
      </c>
      <c r="L20" s="787">
        <v>0</v>
      </c>
      <c r="M20" s="787">
        <v>0</v>
      </c>
      <c r="N20" s="787">
        <v>0</v>
      </c>
      <c r="O20" s="787">
        <v>0</v>
      </c>
      <c r="P20" s="787">
        <v>0</v>
      </c>
      <c r="Q20" s="787">
        <v>0</v>
      </c>
      <c r="R20" s="787">
        <v>0</v>
      </c>
      <c r="S20" s="787">
        <v>0</v>
      </c>
      <c r="T20" s="787">
        <v>0</v>
      </c>
      <c r="U20" s="787">
        <v>0</v>
      </c>
      <c r="V20" s="787">
        <v>0</v>
      </c>
      <c r="W20" s="787">
        <v>0</v>
      </c>
      <c r="X20" s="796">
        <v>0</v>
      </c>
      <c r="Z20" s="276">
        <f>Prop2019DistTar!AV20</f>
        <v>0</v>
      </c>
      <c r="AA20" s="250">
        <f>Prop2019DistTar!AW20</f>
        <v>0</v>
      </c>
      <c r="AB20" s="250">
        <f>Prop2019DistTar!AX20</f>
        <v>0</v>
      </c>
      <c r="AC20" s="250">
        <f>Prop2019DistTar!AY20</f>
        <v>0</v>
      </c>
      <c r="AD20" s="250">
        <f>Prop2019DistTar!AZ20</f>
        <v>0</v>
      </c>
      <c r="AE20" s="250">
        <f>Prop2019DistTar!BA20</f>
        <v>0</v>
      </c>
      <c r="AF20" s="250">
        <f>Prop2019DistTar!BB20</f>
        <v>0</v>
      </c>
      <c r="AG20" s="250">
        <f>Prop2019DistTar!BC20</f>
        <v>0</v>
      </c>
      <c r="AH20" s="250">
        <f>Prop2019DistTar!BD20</f>
        <v>0</v>
      </c>
      <c r="AI20" s="250">
        <f>Prop2019DistTar!BE20</f>
        <v>0</v>
      </c>
      <c r="AJ20" s="250">
        <f>Prop2019DistTar!BF20</f>
        <v>0</v>
      </c>
      <c r="AK20" s="250">
        <f>Prop2019DistTar!BG20</f>
        <v>0</v>
      </c>
      <c r="AL20" s="250">
        <f>Prop2019DistTar!BH20</f>
        <v>0</v>
      </c>
      <c r="AM20" s="250">
        <f>Prop2019DistTar!BI20</f>
        <v>0</v>
      </c>
      <c r="AN20" s="250">
        <f>Prop2019DistTar!BJ20</f>
        <v>0</v>
      </c>
      <c r="AO20" s="250">
        <f>Prop2019DistTar!BK20</f>
        <v>0</v>
      </c>
      <c r="AP20" s="250">
        <f>Prop2019DistTar!BL20</f>
        <v>0</v>
      </c>
      <c r="AQ20" s="250">
        <f>Prop2019DistTar!BM20</f>
        <v>0</v>
      </c>
      <c r="AR20" s="250">
        <f>Prop2019DistTar!BN20</f>
        <v>0</v>
      </c>
      <c r="AS20" s="250">
        <f>Prop2019DistTar!BO20</f>
        <v>0</v>
      </c>
      <c r="AT20" s="251">
        <f>Prop2019DistTar!BP20</f>
        <v>0</v>
      </c>
      <c r="AV20" s="252">
        <f t="shared" si="4"/>
        <v>0</v>
      </c>
      <c r="AW20" s="220">
        <f t="shared" si="5"/>
        <v>0</v>
      </c>
      <c r="AX20" s="220">
        <f t="shared" si="6"/>
        <v>0</v>
      </c>
      <c r="AY20" s="220">
        <f t="shared" si="7"/>
        <v>0</v>
      </c>
      <c r="AZ20" s="220">
        <f t="shared" si="8"/>
        <v>0</v>
      </c>
      <c r="BA20" s="220">
        <f t="shared" si="9"/>
        <v>0</v>
      </c>
      <c r="BB20" s="220">
        <f t="shared" si="10"/>
        <v>0</v>
      </c>
      <c r="BC20" s="220">
        <f t="shared" si="11"/>
        <v>0</v>
      </c>
      <c r="BD20" s="220">
        <f t="shared" si="12"/>
        <v>0</v>
      </c>
      <c r="BE20" s="220">
        <f t="shared" si="13"/>
        <v>0</v>
      </c>
      <c r="BF20" s="220">
        <f t="shared" si="14"/>
        <v>0</v>
      </c>
      <c r="BG20" s="220">
        <f t="shared" si="15"/>
        <v>0</v>
      </c>
      <c r="BH20" s="220">
        <f t="shared" si="16"/>
        <v>0</v>
      </c>
      <c r="BI20" s="220">
        <f t="shared" si="17"/>
        <v>0</v>
      </c>
      <c r="BJ20" s="220">
        <f t="shared" si="18"/>
        <v>0</v>
      </c>
      <c r="BK20" s="220">
        <f t="shared" si="19"/>
        <v>0</v>
      </c>
      <c r="BL20" s="220">
        <f t="shared" si="20"/>
        <v>0</v>
      </c>
      <c r="BM20" s="220">
        <f t="shared" si="21"/>
        <v>0</v>
      </c>
      <c r="BN20" s="220">
        <f t="shared" si="22"/>
        <v>0</v>
      </c>
      <c r="BO20" s="220">
        <f t="shared" si="23"/>
        <v>0</v>
      </c>
      <c r="BP20" s="220">
        <f t="shared" si="24"/>
        <v>0</v>
      </c>
      <c r="BQ20" s="254">
        <f t="shared" si="25"/>
        <v>0</v>
      </c>
    </row>
    <row r="21" spans="2:69" x14ac:dyDescent="0.2">
      <c r="B21" s="234" t="str">
        <f>Prop2019DistTar!B21</f>
        <v>Non-Residential Single Rate</v>
      </c>
      <c r="C21" s="284"/>
      <c r="D21" s="786">
        <v>0</v>
      </c>
      <c r="E21" s="787">
        <v>0.05</v>
      </c>
      <c r="F21" s="787">
        <v>0</v>
      </c>
      <c r="G21" s="787">
        <v>0</v>
      </c>
      <c r="H21" s="787">
        <v>0</v>
      </c>
      <c r="I21" s="787">
        <v>0</v>
      </c>
      <c r="J21" s="787">
        <v>0</v>
      </c>
      <c r="K21" s="787">
        <v>0</v>
      </c>
      <c r="L21" s="787">
        <v>0</v>
      </c>
      <c r="M21" s="787">
        <v>0</v>
      </c>
      <c r="N21" s="787">
        <v>0</v>
      </c>
      <c r="O21" s="787">
        <v>0</v>
      </c>
      <c r="P21" s="787">
        <v>0</v>
      </c>
      <c r="Q21" s="787">
        <v>0</v>
      </c>
      <c r="R21" s="787">
        <v>0</v>
      </c>
      <c r="S21" s="787">
        <v>0</v>
      </c>
      <c r="T21" s="787">
        <v>0</v>
      </c>
      <c r="U21" s="787">
        <v>0</v>
      </c>
      <c r="V21" s="787">
        <v>0</v>
      </c>
      <c r="W21" s="787">
        <v>0</v>
      </c>
      <c r="X21" s="796">
        <v>0</v>
      </c>
      <c r="Z21" s="276">
        <f>Prop2019DistTar!AV21</f>
        <v>20319.916666666668</v>
      </c>
      <c r="AA21" s="250">
        <f>Prop2019DistTar!AW21</f>
        <v>233254649.14212352</v>
      </c>
      <c r="AB21" s="250">
        <f>Prop2019DistTar!AX21</f>
        <v>0</v>
      </c>
      <c r="AC21" s="250">
        <f>Prop2019DistTar!AY21</f>
        <v>0</v>
      </c>
      <c r="AD21" s="250">
        <f>Prop2019DistTar!AZ21</f>
        <v>0</v>
      </c>
      <c r="AE21" s="250">
        <f>Prop2019DistTar!BA21</f>
        <v>0</v>
      </c>
      <c r="AF21" s="250">
        <f>Prop2019DistTar!BB21</f>
        <v>0</v>
      </c>
      <c r="AG21" s="250">
        <f>Prop2019DistTar!BC21</f>
        <v>0</v>
      </c>
      <c r="AH21" s="250">
        <f>Prop2019DistTar!BD21</f>
        <v>0</v>
      </c>
      <c r="AI21" s="250">
        <f>Prop2019DistTar!BE21</f>
        <v>0</v>
      </c>
      <c r="AJ21" s="250">
        <f>Prop2019DistTar!BF21</f>
        <v>0</v>
      </c>
      <c r="AK21" s="250">
        <f>Prop2019DistTar!BG21</f>
        <v>0</v>
      </c>
      <c r="AL21" s="250">
        <f>Prop2019DistTar!BH21</f>
        <v>0</v>
      </c>
      <c r="AM21" s="250">
        <f>Prop2019DistTar!BI21</f>
        <v>0</v>
      </c>
      <c r="AN21" s="250">
        <f>Prop2019DistTar!BJ21</f>
        <v>0</v>
      </c>
      <c r="AO21" s="250">
        <f>Prop2019DistTar!BK21</f>
        <v>0</v>
      </c>
      <c r="AP21" s="250">
        <f>Prop2019DistTar!BL21</f>
        <v>0</v>
      </c>
      <c r="AQ21" s="250">
        <f>Prop2019DistTar!BM21</f>
        <v>0</v>
      </c>
      <c r="AR21" s="250">
        <f>Prop2019DistTar!BN21</f>
        <v>0</v>
      </c>
      <c r="AS21" s="250">
        <f>Prop2019DistTar!BO21</f>
        <v>0</v>
      </c>
      <c r="AT21" s="251">
        <f>Prop2019DistTar!BP21</f>
        <v>0</v>
      </c>
      <c r="AV21" s="252">
        <f t="shared" si="4"/>
        <v>0</v>
      </c>
      <c r="AW21" s="220">
        <f t="shared" si="5"/>
        <v>116627.32457106176</v>
      </c>
      <c r="AX21" s="220">
        <f t="shared" si="6"/>
        <v>0</v>
      </c>
      <c r="AY21" s="220">
        <f t="shared" si="7"/>
        <v>0</v>
      </c>
      <c r="AZ21" s="220">
        <f t="shared" si="8"/>
        <v>0</v>
      </c>
      <c r="BA21" s="220">
        <f t="shared" si="9"/>
        <v>0</v>
      </c>
      <c r="BB21" s="220">
        <f t="shared" si="10"/>
        <v>0</v>
      </c>
      <c r="BC21" s="220">
        <f t="shared" si="11"/>
        <v>0</v>
      </c>
      <c r="BD21" s="220">
        <f t="shared" si="12"/>
        <v>0</v>
      </c>
      <c r="BE21" s="220">
        <f t="shared" si="13"/>
        <v>0</v>
      </c>
      <c r="BF21" s="220">
        <f t="shared" si="14"/>
        <v>0</v>
      </c>
      <c r="BG21" s="220">
        <f t="shared" si="15"/>
        <v>0</v>
      </c>
      <c r="BH21" s="220">
        <f t="shared" si="16"/>
        <v>0</v>
      </c>
      <c r="BI21" s="220">
        <f t="shared" si="17"/>
        <v>0</v>
      </c>
      <c r="BJ21" s="220">
        <f t="shared" si="18"/>
        <v>0</v>
      </c>
      <c r="BK21" s="220">
        <f t="shared" si="19"/>
        <v>0</v>
      </c>
      <c r="BL21" s="220">
        <f t="shared" si="20"/>
        <v>0</v>
      </c>
      <c r="BM21" s="220">
        <f t="shared" si="21"/>
        <v>0</v>
      </c>
      <c r="BN21" s="220">
        <f t="shared" si="22"/>
        <v>0</v>
      </c>
      <c r="BO21" s="220">
        <f t="shared" si="23"/>
        <v>0</v>
      </c>
      <c r="BP21" s="220">
        <f t="shared" si="24"/>
        <v>0</v>
      </c>
      <c r="BQ21" s="254">
        <f t="shared" si="25"/>
        <v>116627.32457106176</v>
      </c>
    </row>
    <row r="22" spans="2:69" x14ac:dyDescent="0.2">
      <c r="B22" s="234" t="str">
        <f>Prop2019DistTar!B22</f>
        <v>Non-Residential Single Rate - Bulk</v>
      </c>
      <c r="C22" s="284"/>
      <c r="D22" s="786">
        <v>0</v>
      </c>
      <c r="E22" s="787">
        <v>0.05</v>
      </c>
      <c r="F22" s="787">
        <v>0</v>
      </c>
      <c r="G22" s="787">
        <v>0</v>
      </c>
      <c r="H22" s="787">
        <v>0</v>
      </c>
      <c r="I22" s="787">
        <v>0</v>
      </c>
      <c r="J22" s="787">
        <v>0</v>
      </c>
      <c r="K22" s="787">
        <v>0</v>
      </c>
      <c r="L22" s="787">
        <v>0</v>
      </c>
      <c r="M22" s="787">
        <v>0</v>
      </c>
      <c r="N22" s="787">
        <v>0</v>
      </c>
      <c r="O22" s="787">
        <v>0</v>
      </c>
      <c r="P22" s="787">
        <v>0</v>
      </c>
      <c r="Q22" s="787">
        <v>0</v>
      </c>
      <c r="R22" s="787">
        <v>0</v>
      </c>
      <c r="S22" s="787">
        <v>0</v>
      </c>
      <c r="T22" s="787">
        <v>0</v>
      </c>
      <c r="U22" s="787">
        <v>0</v>
      </c>
      <c r="V22" s="787">
        <v>0</v>
      </c>
      <c r="W22" s="787">
        <v>0</v>
      </c>
      <c r="X22" s="796">
        <v>0</v>
      </c>
      <c r="Z22" s="276">
        <f>Prop2019DistTar!AV22</f>
        <v>5859.166666666667</v>
      </c>
      <c r="AA22" s="250">
        <f>Prop2019DistTar!AW22</f>
        <v>77076676.161172211</v>
      </c>
      <c r="AB22" s="250">
        <f>Prop2019DistTar!AX22</f>
        <v>0</v>
      </c>
      <c r="AC22" s="250">
        <f>Prop2019DistTar!AY22</f>
        <v>0</v>
      </c>
      <c r="AD22" s="250">
        <f>Prop2019DistTar!AZ22</f>
        <v>0</v>
      </c>
      <c r="AE22" s="250">
        <f>Prop2019DistTar!BA22</f>
        <v>0</v>
      </c>
      <c r="AF22" s="250">
        <f>Prop2019DistTar!BB22</f>
        <v>0</v>
      </c>
      <c r="AG22" s="250">
        <f>Prop2019DistTar!BC22</f>
        <v>0</v>
      </c>
      <c r="AH22" s="250">
        <f>Prop2019DistTar!BD22</f>
        <v>0</v>
      </c>
      <c r="AI22" s="250">
        <f>Prop2019DistTar!BE22</f>
        <v>0</v>
      </c>
      <c r="AJ22" s="250">
        <f>Prop2019DistTar!BF22</f>
        <v>0</v>
      </c>
      <c r="AK22" s="250">
        <f>Prop2019DistTar!BG22</f>
        <v>0</v>
      </c>
      <c r="AL22" s="250">
        <f>Prop2019DistTar!BH22</f>
        <v>0</v>
      </c>
      <c r="AM22" s="250">
        <f>Prop2019DistTar!BI22</f>
        <v>0</v>
      </c>
      <c r="AN22" s="250">
        <f>Prop2019DistTar!BJ22</f>
        <v>0</v>
      </c>
      <c r="AO22" s="250">
        <f>Prop2019DistTar!BK22</f>
        <v>0</v>
      </c>
      <c r="AP22" s="250">
        <f>Prop2019DistTar!BL22</f>
        <v>0</v>
      </c>
      <c r="AQ22" s="250">
        <f>Prop2019DistTar!BM22</f>
        <v>0</v>
      </c>
      <c r="AR22" s="250">
        <f>Prop2019DistTar!BN22</f>
        <v>0</v>
      </c>
      <c r="AS22" s="250">
        <f>Prop2019DistTar!BO22</f>
        <v>0</v>
      </c>
      <c r="AT22" s="251">
        <f>Prop2019DistTar!BP22</f>
        <v>0</v>
      </c>
      <c r="AV22" s="252">
        <f t="shared" si="4"/>
        <v>0</v>
      </c>
      <c r="AW22" s="220">
        <f t="shared" si="5"/>
        <v>38538.338080586109</v>
      </c>
      <c r="AX22" s="220">
        <f t="shared" si="6"/>
        <v>0</v>
      </c>
      <c r="AY22" s="220">
        <f t="shared" si="7"/>
        <v>0</v>
      </c>
      <c r="AZ22" s="220">
        <f t="shared" si="8"/>
        <v>0</v>
      </c>
      <c r="BA22" s="220">
        <f t="shared" si="9"/>
        <v>0</v>
      </c>
      <c r="BB22" s="220">
        <f t="shared" si="10"/>
        <v>0</v>
      </c>
      <c r="BC22" s="220">
        <f t="shared" si="11"/>
        <v>0</v>
      </c>
      <c r="BD22" s="220">
        <f t="shared" si="12"/>
        <v>0</v>
      </c>
      <c r="BE22" s="220">
        <f t="shared" si="13"/>
        <v>0</v>
      </c>
      <c r="BF22" s="220">
        <f t="shared" si="14"/>
        <v>0</v>
      </c>
      <c r="BG22" s="220">
        <f t="shared" si="15"/>
        <v>0</v>
      </c>
      <c r="BH22" s="220">
        <f t="shared" si="16"/>
        <v>0</v>
      </c>
      <c r="BI22" s="220">
        <f t="shared" si="17"/>
        <v>0</v>
      </c>
      <c r="BJ22" s="220">
        <f t="shared" si="18"/>
        <v>0</v>
      </c>
      <c r="BK22" s="220">
        <f t="shared" si="19"/>
        <v>0</v>
      </c>
      <c r="BL22" s="220">
        <f t="shared" si="20"/>
        <v>0</v>
      </c>
      <c r="BM22" s="220">
        <f t="shared" si="21"/>
        <v>0</v>
      </c>
      <c r="BN22" s="220">
        <f t="shared" si="22"/>
        <v>0</v>
      </c>
      <c r="BO22" s="220">
        <f t="shared" si="23"/>
        <v>0</v>
      </c>
      <c r="BP22" s="220">
        <f t="shared" si="24"/>
        <v>0</v>
      </c>
      <c r="BQ22" s="254">
        <f t="shared" si="25"/>
        <v>38538.338080586109</v>
      </c>
    </row>
    <row r="23" spans="2:69" x14ac:dyDescent="0.2">
      <c r="B23" s="234" t="str">
        <f>Prop2019DistTar!B23</f>
        <v>Non-Residential Two Rate 5d</v>
      </c>
      <c r="C23" s="284"/>
      <c r="D23" s="786">
        <v>0</v>
      </c>
      <c r="E23" s="787">
        <v>0</v>
      </c>
      <c r="F23" s="787">
        <v>0.05</v>
      </c>
      <c r="G23" s="787">
        <v>0</v>
      </c>
      <c r="H23" s="787">
        <v>0</v>
      </c>
      <c r="I23" s="787">
        <v>0.05</v>
      </c>
      <c r="J23" s="787">
        <v>0</v>
      </c>
      <c r="K23" s="787">
        <v>0</v>
      </c>
      <c r="L23" s="787">
        <v>0</v>
      </c>
      <c r="M23" s="787">
        <v>0</v>
      </c>
      <c r="N23" s="787">
        <v>0</v>
      </c>
      <c r="O23" s="787">
        <v>0</v>
      </c>
      <c r="P23" s="787">
        <v>0</v>
      </c>
      <c r="Q23" s="787">
        <v>0</v>
      </c>
      <c r="R23" s="787">
        <v>0</v>
      </c>
      <c r="S23" s="787">
        <v>0</v>
      </c>
      <c r="T23" s="787">
        <v>0</v>
      </c>
      <c r="U23" s="787">
        <v>0</v>
      </c>
      <c r="V23" s="787">
        <v>0</v>
      </c>
      <c r="W23" s="787">
        <v>0</v>
      </c>
      <c r="X23" s="796">
        <v>0</v>
      </c>
      <c r="Z23" s="276">
        <f>Prop2019DistTar!AV23</f>
        <v>8457.4166666666661</v>
      </c>
      <c r="AA23" s="250">
        <f>Prop2019DistTar!AW23</f>
        <v>0</v>
      </c>
      <c r="AB23" s="250">
        <f>Prop2019DistTar!AX23</f>
        <v>92130994.291198537</v>
      </c>
      <c r="AC23" s="250">
        <f>Prop2019DistTar!AY23</f>
        <v>0</v>
      </c>
      <c r="AD23" s="250">
        <f>Prop2019DistTar!AZ23</f>
        <v>0</v>
      </c>
      <c r="AE23" s="250">
        <f>Prop2019DistTar!BA23</f>
        <v>57478450.853033125</v>
      </c>
      <c r="AF23" s="250">
        <f>Prop2019DistTar!BB23</f>
        <v>0</v>
      </c>
      <c r="AG23" s="250">
        <f>Prop2019DistTar!BC23</f>
        <v>0</v>
      </c>
      <c r="AH23" s="250">
        <f>Prop2019DistTar!BD23</f>
        <v>0</v>
      </c>
      <c r="AI23" s="250">
        <f>Prop2019DistTar!BE23</f>
        <v>0</v>
      </c>
      <c r="AJ23" s="250">
        <f>Prop2019DistTar!BF23</f>
        <v>0</v>
      </c>
      <c r="AK23" s="250">
        <f>Prop2019DistTar!BG23</f>
        <v>0</v>
      </c>
      <c r="AL23" s="250">
        <f>Prop2019DistTar!BH23</f>
        <v>0</v>
      </c>
      <c r="AM23" s="250">
        <f>Prop2019DistTar!BI23</f>
        <v>0</v>
      </c>
      <c r="AN23" s="250">
        <f>Prop2019DistTar!BJ23</f>
        <v>0</v>
      </c>
      <c r="AO23" s="250">
        <f>Prop2019DistTar!BK23</f>
        <v>0</v>
      </c>
      <c r="AP23" s="250">
        <f>Prop2019DistTar!BL23</f>
        <v>0</v>
      </c>
      <c r="AQ23" s="250">
        <f>Prop2019DistTar!BM23</f>
        <v>0</v>
      </c>
      <c r="AR23" s="250">
        <f>Prop2019DistTar!BN23</f>
        <v>0</v>
      </c>
      <c r="AS23" s="250">
        <f>Prop2019DistTar!BO23</f>
        <v>0</v>
      </c>
      <c r="AT23" s="251">
        <f>Prop2019DistTar!BP23</f>
        <v>0</v>
      </c>
      <c r="AV23" s="252">
        <f t="shared" si="4"/>
        <v>0</v>
      </c>
      <c r="AW23" s="220">
        <f t="shared" si="5"/>
        <v>0</v>
      </c>
      <c r="AX23" s="220">
        <f t="shared" si="6"/>
        <v>46065.497145599271</v>
      </c>
      <c r="AY23" s="220">
        <f t="shared" si="7"/>
        <v>0</v>
      </c>
      <c r="AZ23" s="220">
        <f t="shared" si="8"/>
        <v>0</v>
      </c>
      <c r="BA23" s="220">
        <f t="shared" si="9"/>
        <v>28739.225426516565</v>
      </c>
      <c r="BB23" s="220">
        <f t="shared" si="10"/>
        <v>0</v>
      </c>
      <c r="BC23" s="220">
        <f t="shared" si="11"/>
        <v>0</v>
      </c>
      <c r="BD23" s="220">
        <f t="shared" si="12"/>
        <v>0</v>
      </c>
      <c r="BE23" s="220">
        <f t="shared" si="13"/>
        <v>0</v>
      </c>
      <c r="BF23" s="220">
        <f t="shared" si="14"/>
        <v>0</v>
      </c>
      <c r="BG23" s="220">
        <f t="shared" si="15"/>
        <v>0</v>
      </c>
      <c r="BH23" s="220">
        <f t="shared" si="16"/>
        <v>0</v>
      </c>
      <c r="BI23" s="220">
        <f t="shared" si="17"/>
        <v>0</v>
      </c>
      <c r="BJ23" s="220">
        <f t="shared" si="18"/>
        <v>0</v>
      </c>
      <c r="BK23" s="220">
        <f t="shared" si="19"/>
        <v>0</v>
      </c>
      <c r="BL23" s="220">
        <f t="shared" si="20"/>
        <v>0</v>
      </c>
      <c r="BM23" s="220">
        <f t="shared" si="21"/>
        <v>0</v>
      </c>
      <c r="BN23" s="220">
        <f t="shared" si="22"/>
        <v>0</v>
      </c>
      <c r="BO23" s="220">
        <f t="shared" si="23"/>
        <v>0</v>
      </c>
      <c r="BP23" s="220">
        <f t="shared" si="24"/>
        <v>0</v>
      </c>
      <c r="BQ23" s="254">
        <f t="shared" si="25"/>
        <v>74804.722572115832</v>
      </c>
    </row>
    <row r="24" spans="2:69" x14ac:dyDescent="0.2">
      <c r="B24" s="234" t="str">
        <f>Prop2019DistTar!B24</f>
        <v>Non-Residential Two Rate 5d - Bulk</v>
      </c>
      <c r="C24" s="284"/>
      <c r="D24" s="786">
        <v>0</v>
      </c>
      <c r="E24" s="787">
        <v>0</v>
      </c>
      <c r="F24" s="787">
        <v>0.05</v>
      </c>
      <c r="G24" s="787">
        <v>0</v>
      </c>
      <c r="H24" s="787">
        <v>0</v>
      </c>
      <c r="I24" s="787">
        <v>0.05</v>
      </c>
      <c r="J24" s="787">
        <v>0</v>
      </c>
      <c r="K24" s="787">
        <v>0</v>
      </c>
      <c r="L24" s="787">
        <v>0</v>
      </c>
      <c r="M24" s="787">
        <v>0</v>
      </c>
      <c r="N24" s="787">
        <v>0</v>
      </c>
      <c r="O24" s="787">
        <v>0</v>
      </c>
      <c r="P24" s="787">
        <v>0</v>
      </c>
      <c r="Q24" s="787">
        <v>0</v>
      </c>
      <c r="R24" s="787">
        <v>0</v>
      </c>
      <c r="S24" s="787">
        <v>0</v>
      </c>
      <c r="T24" s="787">
        <v>0</v>
      </c>
      <c r="U24" s="787">
        <v>0</v>
      </c>
      <c r="V24" s="787">
        <v>0</v>
      </c>
      <c r="W24" s="787">
        <v>0</v>
      </c>
      <c r="X24" s="796">
        <v>0</v>
      </c>
      <c r="Z24" s="276">
        <f>Prop2019DistTar!AV24</f>
        <v>1060</v>
      </c>
      <c r="AA24" s="250">
        <f>Prop2019DistTar!AW24</f>
        <v>0</v>
      </c>
      <c r="AB24" s="250">
        <f>Prop2019DistTar!AX24</f>
        <v>17530830.09980379</v>
      </c>
      <c r="AC24" s="250">
        <f>Prop2019DistTar!AY24</f>
        <v>0</v>
      </c>
      <c r="AD24" s="250">
        <f>Prop2019DistTar!AZ24</f>
        <v>0</v>
      </c>
      <c r="AE24" s="250">
        <f>Prop2019DistTar!BA24</f>
        <v>10374374.192942632</v>
      </c>
      <c r="AF24" s="250">
        <f>Prop2019DistTar!BB24</f>
        <v>0</v>
      </c>
      <c r="AG24" s="250">
        <f>Prop2019DistTar!BC24</f>
        <v>0</v>
      </c>
      <c r="AH24" s="250">
        <f>Prop2019DistTar!BD24</f>
        <v>0</v>
      </c>
      <c r="AI24" s="250">
        <f>Prop2019DistTar!BE24</f>
        <v>0</v>
      </c>
      <c r="AJ24" s="250">
        <f>Prop2019DistTar!BF24</f>
        <v>0</v>
      </c>
      <c r="AK24" s="250">
        <f>Prop2019DistTar!BG24</f>
        <v>0</v>
      </c>
      <c r="AL24" s="250">
        <f>Prop2019DistTar!BH24</f>
        <v>0</v>
      </c>
      <c r="AM24" s="250">
        <f>Prop2019DistTar!BI24</f>
        <v>0</v>
      </c>
      <c r="AN24" s="250">
        <f>Prop2019DistTar!BJ24</f>
        <v>0</v>
      </c>
      <c r="AO24" s="250">
        <f>Prop2019DistTar!BK24</f>
        <v>0</v>
      </c>
      <c r="AP24" s="250">
        <f>Prop2019DistTar!BL24</f>
        <v>0</v>
      </c>
      <c r="AQ24" s="250">
        <f>Prop2019DistTar!BM24</f>
        <v>0</v>
      </c>
      <c r="AR24" s="250">
        <f>Prop2019DistTar!BN24</f>
        <v>0</v>
      </c>
      <c r="AS24" s="250">
        <f>Prop2019DistTar!BO24</f>
        <v>0</v>
      </c>
      <c r="AT24" s="251">
        <f>Prop2019DistTar!BP24</f>
        <v>0</v>
      </c>
      <c r="AV24" s="252">
        <f t="shared" si="4"/>
        <v>0</v>
      </c>
      <c r="AW24" s="220">
        <f t="shared" si="5"/>
        <v>0</v>
      </c>
      <c r="AX24" s="220">
        <f t="shared" si="6"/>
        <v>8765.4150499018961</v>
      </c>
      <c r="AY24" s="220">
        <f t="shared" si="7"/>
        <v>0</v>
      </c>
      <c r="AZ24" s="220">
        <f t="shared" si="8"/>
        <v>0</v>
      </c>
      <c r="BA24" s="220">
        <f t="shared" si="9"/>
        <v>5187.1870964713162</v>
      </c>
      <c r="BB24" s="220">
        <f t="shared" si="10"/>
        <v>0</v>
      </c>
      <c r="BC24" s="220">
        <f t="shared" si="11"/>
        <v>0</v>
      </c>
      <c r="BD24" s="220">
        <f t="shared" si="12"/>
        <v>0</v>
      </c>
      <c r="BE24" s="220">
        <f t="shared" si="13"/>
        <v>0</v>
      </c>
      <c r="BF24" s="220">
        <f t="shared" si="14"/>
        <v>0</v>
      </c>
      <c r="BG24" s="220">
        <f t="shared" si="15"/>
        <v>0</v>
      </c>
      <c r="BH24" s="220">
        <f t="shared" si="16"/>
        <v>0</v>
      </c>
      <c r="BI24" s="220">
        <f t="shared" si="17"/>
        <v>0</v>
      </c>
      <c r="BJ24" s="220">
        <f t="shared" si="18"/>
        <v>0</v>
      </c>
      <c r="BK24" s="220">
        <f t="shared" si="19"/>
        <v>0</v>
      </c>
      <c r="BL24" s="220">
        <f t="shared" si="20"/>
        <v>0</v>
      </c>
      <c r="BM24" s="220">
        <f t="shared" si="21"/>
        <v>0</v>
      </c>
      <c r="BN24" s="220">
        <f t="shared" si="22"/>
        <v>0</v>
      </c>
      <c r="BO24" s="220">
        <f t="shared" si="23"/>
        <v>0</v>
      </c>
      <c r="BP24" s="220">
        <f t="shared" si="24"/>
        <v>0</v>
      </c>
      <c r="BQ24" s="254">
        <f t="shared" si="25"/>
        <v>13952.602146373212</v>
      </c>
    </row>
    <row r="25" spans="2:69" x14ac:dyDescent="0.2">
      <c r="B25" s="234" t="str">
        <f>Prop2019DistTar!B25</f>
        <v>Non-Residential Interval</v>
      </c>
      <c r="C25" s="284"/>
      <c r="D25" s="786">
        <v>0</v>
      </c>
      <c r="E25" s="787">
        <v>0</v>
      </c>
      <c r="F25" s="787">
        <v>0.05</v>
      </c>
      <c r="G25" s="787">
        <v>0</v>
      </c>
      <c r="H25" s="787">
        <v>0</v>
      </c>
      <c r="I25" s="787">
        <v>0.05</v>
      </c>
      <c r="J25" s="787">
        <v>0</v>
      </c>
      <c r="K25" s="787">
        <v>0</v>
      </c>
      <c r="L25" s="787">
        <v>0</v>
      </c>
      <c r="M25" s="787">
        <v>0</v>
      </c>
      <c r="N25" s="787">
        <v>0</v>
      </c>
      <c r="O25" s="787">
        <v>0</v>
      </c>
      <c r="P25" s="787">
        <v>0</v>
      </c>
      <c r="Q25" s="787">
        <v>0</v>
      </c>
      <c r="R25" s="787">
        <v>0</v>
      </c>
      <c r="S25" s="787">
        <v>0</v>
      </c>
      <c r="T25" s="787">
        <v>0</v>
      </c>
      <c r="U25" s="787">
        <v>0</v>
      </c>
      <c r="V25" s="787">
        <v>0</v>
      </c>
      <c r="W25" s="787">
        <v>0</v>
      </c>
      <c r="X25" s="796">
        <v>0</v>
      </c>
      <c r="Z25" s="276">
        <f>Prop2019DistTar!AV25</f>
        <v>3960.0833333333335</v>
      </c>
      <c r="AA25" s="250">
        <f>Prop2019DistTar!AW25</f>
        <v>0</v>
      </c>
      <c r="AB25" s="250">
        <f>Prop2019DistTar!AX25</f>
        <v>45937500.616836645</v>
      </c>
      <c r="AC25" s="250">
        <f>Prop2019DistTar!AY25</f>
        <v>0</v>
      </c>
      <c r="AD25" s="250">
        <f>Prop2019DistTar!AZ25</f>
        <v>0</v>
      </c>
      <c r="AE25" s="250">
        <f>Prop2019DistTar!BA25</f>
        <v>25953497.24992197</v>
      </c>
      <c r="AF25" s="250">
        <f>Prop2019DistTar!BB25</f>
        <v>0</v>
      </c>
      <c r="AG25" s="250">
        <f>Prop2019DistTar!BC25</f>
        <v>0</v>
      </c>
      <c r="AH25" s="250">
        <f>Prop2019DistTar!BD25</f>
        <v>0</v>
      </c>
      <c r="AI25" s="250">
        <f>Prop2019DistTar!BE25</f>
        <v>0</v>
      </c>
      <c r="AJ25" s="250">
        <f>Prop2019DistTar!BF25</f>
        <v>0</v>
      </c>
      <c r="AK25" s="250">
        <f>Prop2019DistTar!BG25</f>
        <v>0</v>
      </c>
      <c r="AL25" s="250">
        <f>Prop2019DistTar!BH25</f>
        <v>0</v>
      </c>
      <c r="AM25" s="250">
        <f>Prop2019DistTar!BI25</f>
        <v>0</v>
      </c>
      <c r="AN25" s="250">
        <f>Prop2019DistTar!BJ25</f>
        <v>0</v>
      </c>
      <c r="AO25" s="250">
        <f>Prop2019DistTar!BK25</f>
        <v>0</v>
      </c>
      <c r="AP25" s="250">
        <f>Prop2019DistTar!BL25</f>
        <v>0</v>
      </c>
      <c r="AQ25" s="250">
        <f>Prop2019DistTar!BM25</f>
        <v>0</v>
      </c>
      <c r="AR25" s="250">
        <f>Prop2019DistTar!BN25</f>
        <v>0</v>
      </c>
      <c r="AS25" s="250">
        <f>Prop2019DistTar!BO25</f>
        <v>0</v>
      </c>
      <c r="AT25" s="251">
        <f>Prop2019DistTar!BP25</f>
        <v>0</v>
      </c>
      <c r="AV25" s="252">
        <f t="shared" si="4"/>
        <v>0</v>
      </c>
      <c r="AW25" s="220">
        <f t="shared" si="5"/>
        <v>0</v>
      </c>
      <c r="AX25" s="220">
        <f t="shared" si="6"/>
        <v>22968.750308418323</v>
      </c>
      <c r="AY25" s="220">
        <f t="shared" si="7"/>
        <v>0</v>
      </c>
      <c r="AZ25" s="220">
        <f t="shared" si="8"/>
        <v>0</v>
      </c>
      <c r="BA25" s="220">
        <f t="shared" si="9"/>
        <v>12976.748624960985</v>
      </c>
      <c r="BB25" s="220">
        <f t="shared" si="10"/>
        <v>0</v>
      </c>
      <c r="BC25" s="220">
        <f t="shared" si="11"/>
        <v>0</v>
      </c>
      <c r="BD25" s="220">
        <f t="shared" si="12"/>
        <v>0</v>
      </c>
      <c r="BE25" s="220">
        <f t="shared" si="13"/>
        <v>0</v>
      </c>
      <c r="BF25" s="220">
        <f t="shared" si="14"/>
        <v>0</v>
      </c>
      <c r="BG25" s="220">
        <f t="shared" si="15"/>
        <v>0</v>
      </c>
      <c r="BH25" s="220">
        <f t="shared" si="16"/>
        <v>0</v>
      </c>
      <c r="BI25" s="220">
        <f t="shared" si="17"/>
        <v>0</v>
      </c>
      <c r="BJ25" s="220">
        <f t="shared" si="18"/>
        <v>0</v>
      </c>
      <c r="BK25" s="220">
        <f t="shared" si="19"/>
        <v>0</v>
      </c>
      <c r="BL25" s="220">
        <f t="shared" si="20"/>
        <v>0</v>
      </c>
      <c r="BM25" s="220">
        <f t="shared" si="21"/>
        <v>0</v>
      </c>
      <c r="BN25" s="220">
        <f t="shared" si="22"/>
        <v>0</v>
      </c>
      <c r="BO25" s="220">
        <f t="shared" si="23"/>
        <v>0</v>
      </c>
      <c r="BP25" s="220">
        <f t="shared" si="24"/>
        <v>0</v>
      </c>
      <c r="BQ25" s="254">
        <f t="shared" si="25"/>
        <v>35945.498933379306</v>
      </c>
    </row>
    <row r="26" spans="2:69" x14ac:dyDescent="0.2">
      <c r="B26" s="234" t="str">
        <f>Prop2019DistTar!B26</f>
        <v>Non-Residential Interval - Bulk</v>
      </c>
      <c r="C26" s="284"/>
      <c r="D26" s="786">
        <v>0</v>
      </c>
      <c r="E26" s="787">
        <v>0</v>
      </c>
      <c r="F26" s="787">
        <v>0.05</v>
      </c>
      <c r="G26" s="787">
        <v>0</v>
      </c>
      <c r="H26" s="787">
        <v>0</v>
      </c>
      <c r="I26" s="787">
        <v>0.05</v>
      </c>
      <c r="J26" s="787">
        <v>0</v>
      </c>
      <c r="K26" s="787">
        <v>0</v>
      </c>
      <c r="L26" s="787">
        <v>0</v>
      </c>
      <c r="M26" s="787">
        <v>0</v>
      </c>
      <c r="N26" s="787">
        <v>0</v>
      </c>
      <c r="O26" s="787">
        <v>0</v>
      </c>
      <c r="P26" s="787">
        <v>0</v>
      </c>
      <c r="Q26" s="787">
        <v>0</v>
      </c>
      <c r="R26" s="787">
        <v>0</v>
      </c>
      <c r="S26" s="787">
        <v>0</v>
      </c>
      <c r="T26" s="787">
        <v>0</v>
      </c>
      <c r="U26" s="787">
        <v>0</v>
      </c>
      <c r="V26" s="787">
        <v>0</v>
      </c>
      <c r="W26" s="787">
        <v>0</v>
      </c>
      <c r="X26" s="796">
        <v>0</v>
      </c>
      <c r="Z26" s="276">
        <f>Prop2019DistTar!AV26</f>
        <v>1945.0833333333333</v>
      </c>
      <c r="AA26" s="250">
        <f>Prop2019DistTar!AW26</f>
        <v>0</v>
      </c>
      <c r="AB26" s="250">
        <f>Prop2019DistTar!AX26</f>
        <v>29899979.142567024</v>
      </c>
      <c r="AC26" s="250">
        <f>Prop2019DistTar!AY26</f>
        <v>0</v>
      </c>
      <c r="AD26" s="250">
        <f>Prop2019DistTar!AZ26</f>
        <v>0</v>
      </c>
      <c r="AE26" s="250">
        <f>Prop2019DistTar!BA26</f>
        <v>15763990.484742738</v>
      </c>
      <c r="AF26" s="250">
        <f>Prop2019DistTar!BB26</f>
        <v>0</v>
      </c>
      <c r="AG26" s="250">
        <f>Prop2019DistTar!BC26</f>
        <v>0</v>
      </c>
      <c r="AH26" s="250">
        <f>Prop2019DistTar!BD26</f>
        <v>0</v>
      </c>
      <c r="AI26" s="250">
        <f>Prop2019DistTar!BE26</f>
        <v>0</v>
      </c>
      <c r="AJ26" s="250">
        <f>Prop2019DistTar!BF26</f>
        <v>0</v>
      </c>
      <c r="AK26" s="250">
        <f>Prop2019DistTar!BG26</f>
        <v>0</v>
      </c>
      <c r="AL26" s="250">
        <f>Prop2019DistTar!BH26</f>
        <v>0</v>
      </c>
      <c r="AM26" s="250">
        <f>Prop2019DistTar!BI26</f>
        <v>0</v>
      </c>
      <c r="AN26" s="250">
        <f>Prop2019DistTar!BJ26</f>
        <v>0</v>
      </c>
      <c r="AO26" s="250">
        <f>Prop2019DistTar!BK26</f>
        <v>0</v>
      </c>
      <c r="AP26" s="250">
        <f>Prop2019DistTar!BL26</f>
        <v>0</v>
      </c>
      <c r="AQ26" s="250">
        <f>Prop2019DistTar!BM26</f>
        <v>0</v>
      </c>
      <c r="AR26" s="250">
        <f>Prop2019DistTar!BN26</f>
        <v>0</v>
      </c>
      <c r="AS26" s="250">
        <f>Prop2019DistTar!BO26</f>
        <v>0</v>
      </c>
      <c r="AT26" s="251">
        <f>Prop2019DistTar!BP26</f>
        <v>0</v>
      </c>
      <c r="AV26" s="252">
        <f t="shared" si="4"/>
        <v>0</v>
      </c>
      <c r="AW26" s="220">
        <f t="shared" si="5"/>
        <v>0</v>
      </c>
      <c r="AX26" s="220">
        <f t="shared" si="6"/>
        <v>14949.989571283511</v>
      </c>
      <c r="AY26" s="220">
        <f t="shared" si="7"/>
        <v>0</v>
      </c>
      <c r="AZ26" s="220">
        <f t="shared" si="8"/>
        <v>0</v>
      </c>
      <c r="BA26" s="220">
        <f t="shared" si="9"/>
        <v>7881.9952423713694</v>
      </c>
      <c r="BB26" s="220">
        <f t="shared" si="10"/>
        <v>0</v>
      </c>
      <c r="BC26" s="220">
        <f t="shared" si="11"/>
        <v>0</v>
      </c>
      <c r="BD26" s="220">
        <f t="shared" si="12"/>
        <v>0</v>
      </c>
      <c r="BE26" s="220">
        <f t="shared" si="13"/>
        <v>0</v>
      </c>
      <c r="BF26" s="220">
        <f t="shared" si="14"/>
        <v>0</v>
      </c>
      <c r="BG26" s="220">
        <f t="shared" si="15"/>
        <v>0</v>
      </c>
      <c r="BH26" s="220">
        <f t="shared" si="16"/>
        <v>0</v>
      </c>
      <c r="BI26" s="220">
        <f t="shared" si="17"/>
        <v>0</v>
      </c>
      <c r="BJ26" s="220">
        <f t="shared" si="18"/>
        <v>0</v>
      </c>
      <c r="BK26" s="220">
        <f t="shared" si="19"/>
        <v>0</v>
      </c>
      <c r="BL26" s="220">
        <f t="shared" si="20"/>
        <v>0</v>
      </c>
      <c r="BM26" s="220">
        <f t="shared" si="21"/>
        <v>0</v>
      </c>
      <c r="BN26" s="220">
        <f t="shared" si="22"/>
        <v>0</v>
      </c>
      <c r="BO26" s="220">
        <f t="shared" si="23"/>
        <v>0</v>
      </c>
      <c r="BP26" s="220">
        <f t="shared" si="24"/>
        <v>0</v>
      </c>
      <c r="BQ26" s="254">
        <f t="shared" si="25"/>
        <v>22831.984813654883</v>
      </c>
    </row>
    <row r="27" spans="2:69" x14ac:dyDescent="0.2">
      <c r="B27" s="234" t="str">
        <f>Prop2019DistTar!B27</f>
        <v>Non-Residential Flexible Pricing</v>
      </c>
      <c r="C27" s="284"/>
      <c r="D27" s="786">
        <v>0</v>
      </c>
      <c r="E27" s="787">
        <v>0</v>
      </c>
      <c r="F27" s="787">
        <v>0</v>
      </c>
      <c r="G27" s="787">
        <v>0</v>
      </c>
      <c r="H27" s="787">
        <v>0</v>
      </c>
      <c r="I27" s="787">
        <v>0</v>
      </c>
      <c r="J27" s="787">
        <v>0</v>
      </c>
      <c r="K27" s="787">
        <v>0</v>
      </c>
      <c r="L27" s="787">
        <v>0</v>
      </c>
      <c r="M27" s="787">
        <v>0</v>
      </c>
      <c r="N27" s="787">
        <v>0</v>
      </c>
      <c r="O27" s="787">
        <v>0</v>
      </c>
      <c r="P27" s="787">
        <v>0</v>
      </c>
      <c r="Q27" s="787">
        <v>0.05</v>
      </c>
      <c r="R27" s="787">
        <v>0.05</v>
      </c>
      <c r="S27" s="787">
        <v>0.05</v>
      </c>
      <c r="T27" s="787">
        <v>0</v>
      </c>
      <c r="U27" s="787">
        <v>0.05</v>
      </c>
      <c r="V27" s="787">
        <v>0.05</v>
      </c>
      <c r="W27" s="787">
        <v>0.05</v>
      </c>
      <c r="X27" s="796">
        <v>0</v>
      </c>
      <c r="Z27" s="276">
        <f>Prop2019DistTar!AV27</f>
        <v>22</v>
      </c>
      <c r="AA27" s="250">
        <f>Prop2019DistTar!AW27</f>
        <v>0</v>
      </c>
      <c r="AB27" s="250">
        <f>Prop2019DistTar!AX27</f>
        <v>0</v>
      </c>
      <c r="AC27" s="250">
        <f>Prop2019DistTar!AY27</f>
        <v>0</v>
      </c>
      <c r="AD27" s="250">
        <f>Prop2019DistTar!AZ27</f>
        <v>0</v>
      </c>
      <c r="AE27" s="250">
        <f>Prop2019DistTar!BA27</f>
        <v>0</v>
      </c>
      <c r="AF27" s="250">
        <f>Prop2019DistTar!BB27</f>
        <v>0</v>
      </c>
      <c r="AG27" s="250">
        <f>Prop2019DistTar!BC27</f>
        <v>0</v>
      </c>
      <c r="AH27" s="250">
        <f>Prop2019DistTar!BD27</f>
        <v>0</v>
      </c>
      <c r="AI27" s="250">
        <f>Prop2019DistTar!BE27</f>
        <v>0</v>
      </c>
      <c r="AJ27" s="250">
        <f>Prop2019DistTar!BF27</f>
        <v>0</v>
      </c>
      <c r="AK27" s="250">
        <f>Prop2019DistTar!BG27</f>
        <v>0</v>
      </c>
      <c r="AL27" s="250">
        <f>Prop2019DistTar!BH27</f>
        <v>0</v>
      </c>
      <c r="AM27" s="250">
        <f>Prop2019DistTar!BI27</f>
        <v>90532.516087055192</v>
      </c>
      <c r="AN27" s="250">
        <f>Prop2019DistTar!BJ27</f>
        <v>28600.363735072933</v>
      </c>
      <c r="AO27" s="250">
        <f>Prop2019DistTar!BK27</f>
        <v>77063.914568834094</v>
      </c>
      <c r="AP27" s="250">
        <f>Prop2019DistTar!BL27</f>
        <v>0</v>
      </c>
      <c r="AQ27" s="250">
        <f>Prop2019DistTar!BM27</f>
        <v>309844.84003868263</v>
      </c>
      <c r="AR27" s="250">
        <f>Prop2019DistTar!BN27</f>
        <v>97883.893097818145</v>
      </c>
      <c r="AS27" s="250">
        <f>Prop2019DistTar!BO27</f>
        <v>263748.95246890507</v>
      </c>
      <c r="AT27" s="251">
        <f>Prop2019DistTar!BP27</f>
        <v>0</v>
      </c>
      <c r="AV27" s="252">
        <f t="shared" si="4"/>
        <v>0</v>
      </c>
      <c r="AW27" s="220">
        <f t="shared" si="5"/>
        <v>0</v>
      </c>
      <c r="AX27" s="220">
        <f t="shared" si="6"/>
        <v>0</v>
      </c>
      <c r="AY27" s="220">
        <f t="shared" si="7"/>
        <v>0</v>
      </c>
      <c r="AZ27" s="220">
        <f t="shared" si="8"/>
        <v>0</v>
      </c>
      <c r="BA27" s="220">
        <f t="shared" si="9"/>
        <v>0</v>
      </c>
      <c r="BB27" s="220">
        <f t="shared" si="10"/>
        <v>0</v>
      </c>
      <c r="BC27" s="220">
        <f t="shared" si="11"/>
        <v>0</v>
      </c>
      <c r="BD27" s="220">
        <f t="shared" si="12"/>
        <v>0</v>
      </c>
      <c r="BE27" s="220">
        <f t="shared" si="13"/>
        <v>0</v>
      </c>
      <c r="BF27" s="220">
        <f t="shared" si="14"/>
        <v>0</v>
      </c>
      <c r="BG27" s="220">
        <f t="shared" si="15"/>
        <v>0</v>
      </c>
      <c r="BH27" s="220">
        <f t="shared" si="16"/>
        <v>0</v>
      </c>
      <c r="BI27" s="220">
        <f t="shared" si="17"/>
        <v>45.2662580435276</v>
      </c>
      <c r="BJ27" s="220">
        <f t="shared" si="18"/>
        <v>14.300181867536466</v>
      </c>
      <c r="BK27" s="220">
        <f t="shared" si="19"/>
        <v>38.531957284417047</v>
      </c>
      <c r="BL27" s="220">
        <f t="shared" si="20"/>
        <v>0</v>
      </c>
      <c r="BM27" s="220">
        <f t="shared" si="21"/>
        <v>154.9224200193413</v>
      </c>
      <c r="BN27" s="220">
        <f t="shared" si="22"/>
        <v>48.941946548909073</v>
      </c>
      <c r="BO27" s="220">
        <f t="shared" si="23"/>
        <v>131.87447623445254</v>
      </c>
      <c r="BP27" s="220">
        <f t="shared" si="24"/>
        <v>0</v>
      </c>
      <c r="BQ27" s="254">
        <f t="shared" si="25"/>
        <v>433.83723999818403</v>
      </c>
    </row>
    <row r="28" spans="2:69" x14ac:dyDescent="0.2">
      <c r="B28" s="234" t="str">
        <f>Prop2019DistTar!B28</f>
        <v>Non-Residential - Flexible Pricing Bulk</v>
      </c>
      <c r="C28" s="284"/>
      <c r="D28" s="786">
        <v>0</v>
      </c>
      <c r="E28" s="787">
        <v>0</v>
      </c>
      <c r="F28" s="787">
        <v>0</v>
      </c>
      <c r="G28" s="787">
        <v>0</v>
      </c>
      <c r="H28" s="787">
        <v>0</v>
      </c>
      <c r="I28" s="787">
        <v>0</v>
      </c>
      <c r="J28" s="787">
        <v>0</v>
      </c>
      <c r="K28" s="787">
        <v>0</v>
      </c>
      <c r="L28" s="787">
        <v>0</v>
      </c>
      <c r="M28" s="787">
        <v>0</v>
      </c>
      <c r="N28" s="787">
        <v>0</v>
      </c>
      <c r="O28" s="787">
        <v>0</v>
      </c>
      <c r="P28" s="787">
        <v>0</v>
      </c>
      <c r="Q28" s="787">
        <v>0.05</v>
      </c>
      <c r="R28" s="787">
        <v>0.05</v>
      </c>
      <c r="S28" s="787">
        <v>0.05</v>
      </c>
      <c r="T28" s="787">
        <v>0</v>
      </c>
      <c r="U28" s="787">
        <v>0.05</v>
      </c>
      <c r="V28" s="787">
        <v>0.05</v>
      </c>
      <c r="W28" s="787">
        <v>0.05</v>
      </c>
      <c r="X28" s="796">
        <v>0</v>
      </c>
      <c r="Z28" s="276">
        <f>Prop2019DistTar!AV28</f>
        <v>7</v>
      </c>
      <c r="AA28" s="250">
        <f>Prop2019DistTar!AW28</f>
        <v>0</v>
      </c>
      <c r="AB28" s="250">
        <f>Prop2019DistTar!AX28</f>
        <v>0</v>
      </c>
      <c r="AC28" s="250">
        <f>Prop2019DistTar!AY28</f>
        <v>0</v>
      </c>
      <c r="AD28" s="250">
        <f>Prop2019DistTar!AZ28</f>
        <v>0</v>
      </c>
      <c r="AE28" s="250">
        <f>Prop2019DistTar!BA28</f>
        <v>0</v>
      </c>
      <c r="AF28" s="250">
        <f>Prop2019DistTar!BB28</f>
        <v>0</v>
      </c>
      <c r="AG28" s="250">
        <f>Prop2019DistTar!BC28</f>
        <v>0</v>
      </c>
      <c r="AH28" s="250">
        <f>Prop2019DistTar!BD28</f>
        <v>0</v>
      </c>
      <c r="AI28" s="250">
        <f>Prop2019DistTar!BE28</f>
        <v>0</v>
      </c>
      <c r="AJ28" s="250">
        <f>Prop2019DistTar!BF28</f>
        <v>0</v>
      </c>
      <c r="AK28" s="250">
        <f>Prop2019DistTar!BG28</f>
        <v>0</v>
      </c>
      <c r="AL28" s="250">
        <f>Prop2019DistTar!BH28</f>
        <v>0</v>
      </c>
      <c r="AM28" s="250">
        <f>Prop2019DistTar!BI28</f>
        <v>103639.4071436401</v>
      </c>
      <c r="AN28" s="250">
        <f>Prop2019DistTar!BJ28</f>
        <v>27419.302376645079</v>
      </c>
      <c r="AO28" s="250">
        <f>Prop2019DistTar!BK28</f>
        <v>92664.296651991201</v>
      </c>
      <c r="AP28" s="250">
        <f>Prop2019DistTar!BL28</f>
        <v>0</v>
      </c>
      <c r="AQ28" s="250">
        <f>Prop2019DistTar!BM28</f>
        <v>277642.32949385105</v>
      </c>
      <c r="AR28" s="250">
        <f>Prop2019DistTar!BN28</f>
        <v>73454.289200989399</v>
      </c>
      <c r="AS28" s="250">
        <f>Prop2019DistTar!BO28</f>
        <v>248240.81777803652</v>
      </c>
      <c r="AT28" s="251">
        <f>Prop2019DistTar!BP28</f>
        <v>0</v>
      </c>
      <c r="AV28" s="252">
        <f t="shared" si="4"/>
        <v>0</v>
      </c>
      <c r="AW28" s="220">
        <f t="shared" si="5"/>
        <v>0</v>
      </c>
      <c r="AX28" s="220">
        <f t="shared" si="6"/>
        <v>0</v>
      </c>
      <c r="AY28" s="220">
        <f t="shared" si="7"/>
        <v>0</v>
      </c>
      <c r="AZ28" s="220">
        <f t="shared" si="8"/>
        <v>0</v>
      </c>
      <c r="BA28" s="220">
        <f t="shared" si="9"/>
        <v>0</v>
      </c>
      <c r="BB28" s="220">
        <f t="shared" si="10"/>
        <v>0</v>
      </c>
      <c r="BC28" s="220">
        <f t="shared" si="11"/>
        <v>0</v>
      </c>
      <c r="BD28" s="220">
        <f t="shared" si="12"/>
        <v>0</v>
      </c>
      <c r="BE28" s="220">
        <f t="shared" si="13"/>
        <v>0</v>
      </c>
      <c r="BF28" s="220">
        <f t="shared" si="14"/>
        <v>0</v>
      </c>
      <c r="BG28" s="220">
        <f t="shared" si="15"/>
        <v>0</v>
      </c>
      <c r="BH28" s="220">
        <f t="shared" si="16"/>
        <v>0</v>
      </c>
      <c r="BI28" s="220">
        <f t="shared" si="17"/>
        <v>51.81970357182005</v>
      </c>
      <c r="BJ28" s="220">
        <f t="shared" si="18"/>
        <v>13.709651188322539</v>
      </c>
      <c r="BK28" s="220">
        <f t="shared" si="19"/>
        <v>46.332148325995604</v>
      </c>
      <c r="BL28" s="220">
        <f t="shared" si="20"/>
        <v>0</v>
      </c>
      <c r="BM28" s="220">
        <f t="shared" si="21"/>
        <v>138.82116474692552</v>
      </c>
      <c r="BN28" s="220">
        <f t="shared" si="22"/>
        <v>36.727144600494697</v>
      </c>
      <c r="BO28" s="220">
        <f t="shared" si="23"/>
        <v>124.12040888901826</v>
      </c>
      <c r="BP28" s="220">
        <f t="shared" si="24"/>
        <v>0</v>
      </c>
      <c r="BQ28" s="254">
        <f t="shared" si="25"/>
        <v>411.53022132257666</v>
      </c>
    </row>
    <row r="29" spans="2:69" x14ac:dyDescent="0.2">
      <c r="B29" s="234" t="str">
        <f>Prop2019DistTar!B29</f>
        <v>Non-Residential Two Rate 7d</v>
      </c>
      <c r="C29" s="284"/>
      <c r="D29" s="786">
        <v>0</v>
      </c>
      <c r="E29" s="787">
        <v>0</v>
      </c>
      <c r="F29" s="787">
        <v>0.05</v>
      </c>
      <c r="G29" s="787">
        <v>0</v>
      </c>
      <c r="H29" s="787">
        <v>0</v>
      </c>
      <c r="I29" s="787">
        <v>0.05</v>
      </c>
      <c r="J29" s="787">
        <v>0</v>
      </c>
      <c r="K29" s="787">
        <v>0</v>
      </c>
      <c r="L29" s="787">
        <v>0</v>
      </c>
      <c r="M29" s="787">
        <v>0</v>
      </c>
      <c r="N29" s="787">
        <v>0</v>
      </c>
      <c r="O29" s="787">
        <v>0</v>
      </c>
      <c r="P29" s="787">
        <v>0</v>
      </c>
      <c r="Q29" s="787">
        <v>0</v>
      </c>
      <c r="R29" s="787">
        <v>0</v>
      </c>
      <c r="S29" s="787">
        <v>0</v>
      </c>
      <c r="T29" s="787">
        <v>0</v>
      </c>
      <c r="U29" s="787">
        <v>0</v>
      </c>
      <c r="V29" s="787">
        <v>0</v>
      </c>
      <c r="W29" s="787">
        <v>0</v>
      </c>
      <c r="X29" s="796">
        <v>0</v>
      </c>
      <c r="Z29" s="276">
        <f>Prop2019DistTar!AV29</f>
        <v>2325</v>
      </c>
      <c r="AA29" s="250">
        <f>Prop2019DistTar!AW29</f>
        <v>0</v>
      </c>
      <c r="AB29" s="250">
        <f>Prop2019DistTar!AX29</f>
        <v>39141830.195678435</v>
      </c>
      <c r="AC29" s="250">
        <f>Prop2019DistTar!AY29</f>
        <v>0</v>
      </c>
      <c r="AD29" s="250">
        <f>Prop2019DistTar!AZ29</f>
        <v>0</v>
      </c>
      <c r="AE29" s="250">
        <f>Prop2019DistTar!BA29</f>
        <v>9312690.0588423535</v>
      </c>
      <c r="AF29" s="250">
        <f>Prop2019DistTar!BB29</f>
        <v>0</v>
      </c>
      <c r="AG29" s="250">
        <f>Prop2019DistTar!BC29</f>
        <v>0</v>
      </c>
      <c r="AH29" s="250">
        <f>Prop2019DistTar!BD29</f>
        <v>0</v>
      </c>
      <c r="AI29" s="250">
        <f>Prop2019DistTar!BE29</f>
        <v>0</v>
      </c>
      <c r="AJ29" s="250">
        <f>Prop2019DistTar!BF29</f>
        <v>0</v>
      </c>
      <c r="AK29" s="250">
        <f>Prop2019DistTar!BG29</f>
        <v>0</v>
      </c>
      <c r="AL29" s="250">
        <f>Prop2019DistTar!BH29</f>
        <v>0</v>
      </c>
      <c r="AM29" s="250">
        <f>Prop2019DistTar!BI29</f>
        <v>0</v>
      </c>
      <c r="AN29" s="250">
        <f>Prop2019DistTar!BJ29</f>
        <v>0</v>
      </c>
      <c r="AO29" s="250">
        <f>Prop2019DistTar!BK29</f>
        <v>0</v>
      </c>
      <c r="AP29" s="250">
        <f>Prop2019DistTar!BL29</f>
        <v>0</v>
      </c>
      <c r="AQ29" s="250">
        <f>Prop2019DistTar!BM29</f>
        <v>0</v>
      </c>
      <c r="AR29" s="250">
        <f>Prop2019DistTar!BN29</f>
        <v>0</v>
      </c>
      <c r="AS29" s="250">
        <f>Prop2019DistTar!BO29</f>
        <v>0</v>
      </c>
      <c r="AT29" s="251">
        <f>Prop2019DistTar!BP29</f>
        <v>0</v>
      </c>
      <c r="AV29" s="252">
        <f t="shared" si="4"/>
        <v>0</v>
      </c>
      <c r="AW29" s="220">
        <f t="shared" si="5"/>
        <v>0</v>
      </c>
      <c r="AX29" s="220">
        <f t="shared" si="6"/>
        <v>19570.915097839217</v>
      </c>
      <c r="AY29" s="220">
        <f t="shared" si="7"/>
        <v>0</v>
      </c>
      <c r="AZ29" s="220">
        <f t="shared" si="8"/>
        <v>0</v>
      </c>
      <c r="BA29" s="220">
        <f t="shared" si="9"/>
        <v>4656.3450294211771</v>
      </c>
      <c r="BB29" s="220">
        <f t="shared" si="10"/>
        <v>0</v>
      </c>
      <c r="BC29" s="220">
        <f t="shared" si="11"/>
        <v>0</v>
      </c>
      <c r="BD29" s="220">
        <f t="shared" si="12"/>
        <v>0</v>
      </c>
      <c r="BE29" s="220">
        <f t="shared" si="13"/>
        <v>0</v>
      </c>
      <c r="BF29" s="220">
        <f t="shared" si="14"/>
        <v>0</v>
      </c>
      <c r="BG29" s="220">
        <f t="shared" si="15"/>
        <v>0</v>
      </c>
      <c r="BH29" s="220">
        <f t="shared" si="16"/>
        <v>0</v>
      </c>
      <c r="BI29" s="220">
        <f t="shared" si="17"/>
        <v>0</v>
      </c>
      <c r="BJ29" s="220">
        <f t="shared" si="18"/>
        <v>0</v>
      </c>
      <c r="BK29" s="220">
        <f t="shared" si="19"/>
        <v>0</v>
      </c>
      <c r="BL29" s="220">
        <f t="shared" si="20"/>
        <v>0</v>
      </c>
      <c r="BM29" s="220">
        <f t="shared" si="21"/>
        <v>0</v>
      </c>
      <c r="BN29" s="220">
        <f t="shared" si="22"/>
        <v>0</v>
      </c>
      <c r="BO29" s="220">
        <f t="shared" si="23"/>
        <v>0</v>
      </c>
      <c r="BP29" s="220">
        <f t="shared" si="24"/>
        <v>0</v>
      </c>
      <c r="BQ29" s="254">
        <f t="shared" si="25"/>
        <v>24227.260127260393</v>
      </c>
    </row>
    <row r="30" spans="2:69" x14ac:dyDescent="0.2">
      <c r="B30" s="234" t="str">
        <f>Prop2019DistTar!B30</f>
        <v>Non-Residential Two Rate 7d - Bulk</v>
      </c>
      <c r="C30" s="284"/>
      <c r="D30" s="786">
        <v>0</v>
      </c>
      <c r="E30" s="787">
        <v>0</v>
      </c>
      <c r="F30" s="787">
        <v>0.05</v>
      </c>
      <c r="G30" s="787">
        <v>0</v>
      </c>
      <c r="H30" s="787">
        <v>0</v>
      </c>
      <c r="I30" s="787">
        <v>0.05</v>
      </c>
      <c r="J30" s="787">
        <v>0</v>
      </c>
      <c r="K30" s="787">
        <v>0</v>
      </c>
      <c r="L30" s="787">
        <v>0</v>
      </c>
      <c r="M30" s="787">
        <v>0</v>
      </c>
      <c r="N30" s="787">
        <v>0</v>
      </c>
      <c r="O30" s="787">
        <v>0</v>
      </c>
      <c r="P30" s="787">
        <v>0</v>
      </c>
      <c r="Q30" s="787">
        <v>0</v>
      </c>
      <c r="R30" s="787">
        <v>0</v>
      </c>
      <c r="S30" s="787">
        <v>0</v>
      </c>
      <c r="T30" s="787">
        <v>0</v>
      </c>
      <c r="U30" s="787">
        <v>0</v>
      </c>
      <c r="V30" s="787">
        <v>0</v>
      </c>
      <c r="W30" s="787">
        <v>0</v>
      </c>
      <c r="X30" s="796">
        <v>0</v>
      </c>
      <c r="Z30" s="276">
        <f>Prop2019DistTar!AV30</f>
        <v>253.08333333333334</v>
      </c>
      <c r="AA30" s="250">
        <f>Prop2019DistTar!AW30</f>
        <v>0</v>
      </c>
      <c r="AB30" s="250">
        <f>Prop2019DistTar!AX30</f>
        <v>5750711.7271070778</v>
      </c>
      <c r="AC30" s="250">
        <f>Prop2019DistTar!AY30</f>
        <v>0</v>
      </c>
      <c r="AD30" s="250">
        <f>Prop2019DistTar!AZ30</f>
        <v>0</v>
      </c>
      <c r="AE30" s="250">
        <f>Prop2019DistTar!BA30</f>
        <v>1391434.2626145822</v>
      </c>
      <c r="AF30" s="250">
        <f>Prop2019DistTar!BB30</f>
        <v>0</v>
      </c>
      <c r="AG30" s="250">
        <f>Prop2019DistTar!BC30</f>
        <v>0</v>
      </c>
      <c r="AH30" s="250">
        <f>Prop2019DistTar!BD30</f>
        <v>0</v>
      </c>
      <c r="AI30" s="250">
        <f>Prop2019DistTar!BE30</f>
        <v>0</v>
      </c>
      <c r="AJ30" s="250">
        <f>Prop2019DistTar!BF30</f>
        <v>0</v>
      </c>
      <c r="AK30" s="250">
        <f>Prop2019DistTar!BG30</f>
        <v>0</v>
      </c>
      <c r="AL30" s="250">
        <f>Prop2019DistTar!BH30</f>
        <v>0</v>
      </c>
      <c r="AM30" s="250">
        <f>Prop2019DistTar!BI30</f>
        <v>0</v>
      </c>
      <c r="AN30" s="250">
        <f>Prop2019DistTar!BJ30</f>
        <v>0</v>
      </c>
      <c r="AO30" s="250">
        <f>Prop2019DistTar!BK30</f>
        <v>0</v>
      </c>
      <c r="AP30" s="250">
        <f>Prop2019DistTar!BL30</f>
        <v>0</v>
      </c>
      <c r="AQ30" s="250">
        <f>Prop2019DistTar!BM30</f>
        <v>0</v>
      </c>
      <c r="AR30" s="250">
        <f>Prop2019DistTar!BN30</f>
        <v>0</v>
      </c>
      <c r="AS30" s="250">
        <f>Prop2019DistTar!BO30</f>
        <v>0</v>
      </c>
      <c r="AT30" s="251">
        <f>Prop2019DistTar!BP30</f>
        <v>0</v>
      </c>
      <c r="AV30" s="252">
        <f t="shared" si="4"/>
        <v>0</v>
      </c>
      <c r="AW30" s="220">
        <f t="shared" si="5"/>
        <v>0</v>
      </c>
      <c r="AX30" s="220">
        <f t="shared" si="6"/>
        <v>2875.3558635535392</v>
      </c>
      <c r="AY30" s="220">
        <f t="shared" si="7"/>
        <v>0</v>
      </c>
      <c r="AZ30" s="220">
        <f t="shared" si="8"/>
        <v>0</v>
      </c>
      <c r="BA30" s="220">
        <f t="shared" si="9"/>
        <v>695.71713130729108</v>
      </c>
      <c r="BB30" s="220">
        <f t="shared" si="10"/>
        <v>0</v>
      </c>
      <c r="BC30" s="220">
        <f t="shared" si="11"/>
        <v>0</v>
      </c>
      <c r="BD30" s="220">
        <f t="shared" si="12"/>
        <v>0</v>
      </c>
      <c r="BE30" s="220">
        <f t="shared" si="13"/>
        <v>0</v>
      </c>
      <c r="BF30" s="220">
        <f t="shared" si="14"/>
        <v>0</v>
      </c>
      <c r="BG30" s="220">
        <f t="shared" si="15"/>
        <v>0</v>
      </c>
      <c r="BH30" s="220">
        <f t="shared" si="16"/>
        <v>0</v>
      </c>
      <c r="BI30" s="220">
        <f t="shared" si="17"/>
        <v>0</v>
      </c>
      <c r="BJ30" s="220">
        <f t="shared" si="18"/>
        <v>0</v>
      </c>
      <c r="BK30" s="220">
        <f t="shared" si="19"/>
        <v>0</v>
      </c>
      <c r="BL30" s="220">
        <f t="shared" si="20"/>
        <v>0</v>
      </c>
      <c r="BM30" s="220">
        <f t="shared" si="21"/>
        <v>0</v>
      </c>
      <c r="BN30" s="220">
        <f t="shared" si="22"/>
        <v>0</v>
      </c>
      <c r="BO30" s="220">
        <f t="shared" si="23"/>
        <v>0</v>
      </c>
      <c r="BP30" s="220">
        <f t="shared" si="24"/>
        <v>0</v>
      </c>
      <c r="BQ30" s="254">
        <f t="shared" si="25"/>
        <v>3571.0729948608305</v>
      </c>
    </row>
    <row r="31" spans="2:69" x14ac:dyDescent="0.2">
      <c r="B31" s="234" t="str">
        <f>Prop2019DistTar!B31</f>
        <v>Large Two Rate 7d</v>
      </c>
      <c r="C31" s="284"/>
      <c r="D31" s="786">
        <v>0</v>
      </c>
      <c r="E31" s="787">
        <v>0</v>
      </c>
      <c r="F31" s="787">
        <v>0.05</v>
      </c>
      <c r="G31" s="787">
        <v>0</v>
      </c>
      <c r="H31" s="787">
        <v>0</v>
      </c>
      <c r="I31" s="787">
        <v>0.05</v>
      </c>
      <c r="J31" s="787">
        <v>0</v>
      </c>
      <c r="K31" s="787">
        <v>0</v>
      </c>
      <c r="L31" s="787">
        <v>0</v>
      </c>
      <c r="M31" s="787">
        <v>0</v>
      </c>
      <c r="N31" s="787">
        <v>0</v>
      </c>
      <c r="O31" s="787">
        <v>0</v>
      </c>
      <c r="P31" s="787">
        <v>0</v>
      </c>
      <c r="Q31" s="787">
        <v>0</v>
      </c>
      <c r="R31" s="787">
        <v>0</v>
      </c>
      <c r="S31" s="787">
        <v>0</v>
      </c>
      <c r="T31" s="787">
        <v>0</v>
      </c>
      <c r="U31" s="787">
        <v>0</v>
      </c>
      <c r="V31" s="787">
        <v>0</v>
      </c>
      <c r="W31" s="787">
        <v>0</v>
      </c>
      <c r="X31" s="796">
        <v>0</v>
      </c>
      <c r="Z31" s="276">
        <f>Prop2019DistTar!AV31</f>
        <v>4</v>
      </c>
      <c r="AA31" s="250">
        <f>Prop2019DistTar!AW31</f>
        <v>0</v>
      </c>
      <c r="AB31" s="250">
        <f>Prop2019DistTar!AX31</f>
        <v>168556.17919268721</v>
      </c>
      <c r="AC31" s="250">
        <f>Prop2019DistTar!AY31</f>
        <v>0</v>
      </c>
      <c r="AD31" s="250">
        <f>Prop2019DistTar!AZ31</f>
        <v>0</v>
      </c>
      <c r="AE31" s="250">
        <f>Prop2019DistTar!BA31</f>
        <v>75139.006775332673</v>
      </c>
      <c r="AF31" s="250">
        <f>Prop2019DistTar!BB31</f>
        <v>0</v>
      </c>
      <c r="AG31" s="250">
        <f>Prop2019DistTar!BC31</f>
        <v>0</v>
      </c>
      <c r="AH31" s="250">
        <f>Prop2019DistTar!BD31</f>
        <v>0</v>
      </c>
      <c r="AI31" s="250">
        <f>Prop2019DistTar!BE31</f>
        <v>0</v>
      </c>
      <c r="AJ31" s="250">
        <f>Prop2019DistTar!BF31</f>
        <v>0</v>
      </c>
      <c r="AK31" s="250">
        <f>Prop2019DistTar!BG31</f>
        <v>0</v>
      </c>
      <c r="AL31" s="250">
        <f>Prop2019DistTar!BH31</f>
        <v>0</v>
      </c>
      <c r="AM31" s="250">
        <f>Prop2019DistTar!BI31</f>
        <v>0</v>
      </c>
      <c r="AN31" s="250">
        <f>Prop2019DistTar!BJ31</f>
        <v>0</v>
      </c>
      <c r="AO31" s="250">
        <f>Prop2019DistTar!BK31</f>
        <v>0</v>
      </c>
      <c r="AP31" s="250">
        <f>Prop2019DistTar!BL31</f>
        <v>0</v>
      </c>
      <c r="AQ31" s="250">
        <f>Prop2019DistTar!BM31</f>
        <v>0</v>
      </c>
      <c r="AR31" s="250">
        <f>Prop2019DistTar!BN31</f>
        <v>0</v>
      </c>
      <c r="AS31" s="250">
        <f>Prop2019DistTar!BO31</f>
        <v>0</v>
      </c>
      <c r="AT31" s="251">
        <f>Prop2019DistTar!BP31</f>
        <v>0</v>
      </c>
      <c r="AV31" s="252">
        <f t="shared" si="4"/>
        <v>0</v>
      </c>
      <c r="AW31" s="220">
        <f t="shared" si="5"/>
        <v>0</v>
      </c>
      <c r="AX31" s="220">
        <f t="shared" si="6"/>
        <v>84.278089596343605</v>
      </c>
      <c r="AY31" s="220">
        <f t="shared" si="7"/>
        <v>0</v>
      </c>
      <c r="AZ31" s="220">
        <f t="shared" si="8"/>
        <v>0</v>
      </c>
      <c r="BA31" s="220">
        <f t="shared" si="9"/>
        <v>37.569503387666337</v>
      </c>
      <c r="BB31" s="220">
        <f t="shared" si="10"/>
        <v>0</v>
      </c>
      <c r="BC31" s="220">
        <f t="shared" si="11"/>
        <v>0</v>
      </c>
      <c r="BD31" s="220">
        <f t="shared" si="12"/>
        <v>0</v>
      </c>
      <c r="BE31" s="220">
        <f t="shared" si="13"/>
        <v>0</v>
      </c>
      <c r="BF31" s="220">
        <f t="shared" si="14"/>
        <v>0</v>
      </c>
      <c r="BG31" s="220">
        <f t="shared" si="15"/>
        <v>0</v>
      </c>
      <c r="BH31" s="220">
        <f t="shared" si="16"/>
        <v>0</v>
      </c>
      <c r="BI31" s="220">
        <f t="shared" si="17"/>
        <v>0</v>
      </c>
      <c r="BJ31" s="220">
        <f t="shared" si="18"/>
        <v>0</v>
      </c>
      <c r="BK31" s="220">
        <f t="shared" si="19"/>
        <v>0</v>
      </c>
      <c r="BL31" s="220">
        <f t="shared" si="20"/>
        <v>0</v>
      </c>
      <c r="BM31" s="220">
        <f t="shared" si="21"/>
        <v>0</v>
      </c>
      <c r="BN31" s="220">
        <f t="shared" si="22"/>
        <v>0</v>
      </c>
      <c r="BO31" s="220">
        <f t="shared" si="23"/>
        <v>0</v>
      </c>
      <c r="BP31" s="220">
        <f t="shared" si="24"/>
        <v>0</v>
      </c>
      <c r="BQ31" s="254">
        <f t="shared" si="25"/>
        <v>121.84759298400994</v>
      </c>
    </row>
    <row r="32" spans="2:69" x14ac:dyDescent="0.2">
      <c r="B32" s="234" t="str">
        <f>Prop2019DistTar!B32</f>
        <v>Non-Residential Demand Tariff</v>
      </c>
      <c r="C32" s="284"/>
      <c r="D32" s="786">
        <v>0</v>
      </c>
      <c r="E32" s="787">
        <v>0.05</v>
      </c>
      <c r="F32" s="787">
        <v>0</v>
      </c>
      <c r="G32" s="787">
        <v>0</v>
      </c>
      <c r="H32" s="787">
        <v>0</v>
      </c>
      <c r="I32" s="787">
        <v>0</v>
      </c>
      <c r="J32" s="787">
        <v>0</v>
      </c>
      <c r="K32" s="787">
        <v>0</v>
      </c>
      <c r="L32" s="787">
        <v>0</v>
      </c>
      <c r="M32" s="787">
        <v>0</v>
      </c>
      <c r="N32" s="787">
        <v>0</v>
      </c>
      <c r="O32" s="787">
        <v>0</v>
      </c>
      <c r="P32" s="787">
        <v>0</v>
      </c>
      <c r="Q32" s="787">
        <v>0</v>
      </c>
      <c r="R32" s="787">
        <v>0</v>
      </c>
      <c r="S32" s="787">
        <v>0</v>
      </c>
      <c r="T32" s="787">
        <v>0</v>
      </c>
      <c r="U32" s="787">
        <v>0</v>
      </c>
      <c r="V32" s="787">
        <v>0</v>
      </c>
      <c r="W32" s="787">
        <v>0</v>
      </c>
      <c r="X32" s="796">
        <v>0</v>
      </c>
      <c r="Z32" s="276">
        <f>Prop2019DistTar!AV32</f>
        <v>8</v>
      </c>
      <c r="AA32" s="250">
        <f>Prop2019DistTar!AW32</f>
        <v>717136.61553414329</v>
      </c>
      <c r="AB32" s="250">
        <f>Prop2019DistTar!AX32</f>
        <v>0</v>
      </c>
      <c r="AC32" s="250">
        <f>Prop2019DistTar!AY32</f>
        <v>0</v>
      </c>
      <c r="AD32" s="250">
        <f>Prop2019DistTar!AZ32</f>
        <v>0</v>
      </c>
      <c r="AE32" s="250">
        <f>Prop2019DistTar!BA32</f>
        <v>0</v>
      </c>
      <c r="AF32" s="250">
        <f>Prop2019DistTar!BB32</f>
        <v>0</v>
      </c>
      <c r="AG32" s="250">
        <f>Prop2019DistTar!BC32</f>
        <v>0</v>
      </c>
      <c r="AH32" s="250">
        <f>Prop2019DistTar!BD32</f>
        <v>0</v>
      </c>
      <c r="AI32" s="250">
        <f>Prop2019DistTar!BE32</f>
        <v>0</v>
      </c>
      <c r="AJ32" s="250">
        <f>Prop2019DistTar!BF32</f>
        <v>0</v>
      </c>
      <c r="AK32" s="250">
        <f>Prop2019DistTar!BG32</f>
        <v>822.73759999999993</v>
      </c>
      <c r="AL32" s="250">
        <f>Prop2019DistTar!BH32</f>
        <v>1909.0406952380938</v>
      </c>
      <c r="AM32" s="250">
        <f>Prop2019DistTar!BI32</f>
        <v>0</v>
      </c>
      <c r="AN32" s="250">
        <f>Prop2019DistTar!BJ32</f>
        <v>0</v>
      </c>
      <c r="AO32" s="250">
        <f>Prop2019DistTar!BK32</f>
        <v>0</v>
      </c>
      <c r="AP32" s="250">
        <f>Prop2019DistTar!BL32</f>
        <v>0</v>
      </c>
      <c r="AQ32" s="250">
        <f>Prop2019DistTar!BM32</f>
        <v>0</v>
      </c>
      <c r="AR32" s="250">
        <f>Prop2019DistTar!BN32</f>
        <v>0</v>
      </c>
      <c r="AS32" s="250">
        <f>Prop2019DistTar!BO32</f>
        <v>0</v>
      </c>
      <c r="AT32" s="251">
        <f>Prop2019DistTar!BP32</f>
        <v>0</v>
      </c>
      <c r="AV32" s="252">
        <f t="shared" si="4"/>
        <v>0</v>
      </c>
      <c r="AW32" s="220">
        <f t="shared" si="5"/>
        <v>358.56830776707164</v>
      </c>
      <c r="AX32" s="220">
        <f t="shared" si="6"/>
        <v>0</v>
      </c>
      <c r="AY32" s="220">
        <f t="shared" si="7"/>
        <v>0</v>
      </c>
      <c r="AZ32" s="220">
        <f t="shared" si="8"/>
        <v>0</v>
      </c>
      <c r="BA32" s="220">
        <f t="shared" si="9"/>
        <v>0</v>
      </c>
      <c r="BB32" s="220">
        <f t="shared" si="10"/>
        <v>0</v>
      </c>
      <c r="BC32" s="220">
        <f t="shared" si="11"/>
        <v>0</v>
      </c>
      <c r="BD32" s="220">
        <f t="shared" si="12"/>
        <v>0</v>
      </c>
      <c r="BE32" s="220">
        <f t="shared" si="13"/>
        <v>0</v>
      </c>
      <c r="BF32" s="220">
        <f t="shared" si="14"/>
        <v>0</v>
      </c>
      <c r="BG32" s="220">
        <f t="shared" si="15"/>
        <v>0</v>
      </c>
      <c r="BH32" s="220">
        <f t="shared" si="16"/>
        <v>0</v>
      </c>
      <c r="BI32" s="220">
        <f t="shared" si="17"/>
        <v>0</v>
      </c>
      <c r="BJ32" s="220">
        <f t="shared" si="18"/>
        <v>0</v>
      </c>
      <c r="BK32" s="220">
        <f t="shared" si="19"/>
        <v>0</v>
      </c>
      <c r="BL32" s="220">
        <f t="shared" si="20"/>
        <v>0</v>
      </c>
      <c r="BM32" s="220">
        <f t="shared" si="21"/>
        <v>0</v>
      </c>
      <c r="BN32" s="220">
        <f t="shared" si="22"/>
        <v>0</v>
      </c>
      <c r="BO32" s="220">
        <f t="shared" si="23"/>
        <v>0</v>
      </c>
      <c r="BP32" s="220">
        <f t="shared" si="24"/>
        <v>0</v>
      </c>
      <c r="BQ32" s="254">
        <f t="shared" si="25"/>
        <v>358.56830776707164</v>
      </c>
    </row>
    <row r="33" spans="2:69" x14ac:dyDescent="0.2">
      <c r="B33" s="234" t="str">
        <f>Prop2019DistTar!B33</f>
        <v>Non-Residential Bulk Demand Tariff</v>
      </c>
      <c r="C33" s="284"/>
      <c r="D33" s="786">
        <v>0</v>
      </c>
      <c r="E33" s="787">
        <v>0.05</v>
      </c>
      <c r="F33" s="787">
        <v>0</v>
      </c>
      <c r="G33" s="787">
        <v>0</v>
      </c>
      <c r="H33" s="787">
        <v>0</v>
      </c>
      <c r="I33" s="787">
        <v>0</v>
      </c>
      <c r="J33" s="787">
        <v>0</v>
      </c>
      <c r="K33" s="787">
        <v>0</v>
      </c>
      <c r="L33" s="787">
        <v>0</v>
      </c>
      <c r="M33" s="787">
        <v>0</v>
      </c>
      <c r="N33" s="787">
        <v>0</v>
      </c>
      <c r="O33" s="787">
        <v>0</v>
      </c>
      <c r="P33" s="787">
        <v>0</v>
      </c>
      <c r="Q33" s="787">
        <v>0</v>
      </c>
      <c r="R33" s="787">
        <v>0</v>
      </c>
      <c r="S33" s="787">
        <v>0</v>
      </c>
      <c r="T33" s="787">
        <v>0</v>
      </c>
      <c r="U33" s="787">
        <v>0</v>
      </c>
      <c r="V33" s="787">
        <v>0</v>
      </c>
      <c r="W33" s="787">
        <v>0</v>
      </c>
      <c r="X33" s="796">
        <v>0</v>
      </c>
      <c r="Z33" s="276">
        <f>Prop2019DistTar!AV33</f>
        <v>4</v>
      </c>
      <c r="AA33" s="250">
        <f>Prop2019DistTar!AW33</f>
        <v>534045.01309481997</v>
      </c>
      <c r="AB33" s="250">
        <f>Prop2019DistTar!AX33</f>
        <v>0</v>
      </c>
      <c r="AC33" s="250">
        <f>Prop2019DistTar!AY33</f>
        <v>0</v>
      </c>
      <c r="AD33" s="250">
        <f>Prop2019DistTar!AZ33</f>
        <v>0</v>
      </c>
      <c r="AE33" s="250">
        <f>Prop2019DistTar!BA33</f>
        <v>0</v>
      </c>
      <c r="AF33" s="250">
        <f>Prop2019DistTar!BB33</f>
        <v>0</v>
      </c>
      <c r="AG33" s="250">
        <f>Prop2019DistTar!BC33</f>
        <v>0</v>
      </c>
      <c r="AH33" s="250">
        <f>Prop2019DistTar!BD33</f>
        <v>0</v>
      </c>
      <c r="AI33" s="250">
        <f>Prop2019DistTar!BE33</f>
        <v>0</v>
      </c>
      <c r="AJ33" s="250">
        <f>Prop2019DistTar!BF33</f>
        <v>0</v>
      </c>
      <c r="AK33" s="250">
        <f>Prop2019DistTar!BG33</f>
        <v>411.36879999999996</v>
      </c>
      <c r="AL33" s="250">
        <f>Prop2019DistTar!BH33</f>
        <v>954.5203476190469</v>
      </c>
      <c r="AM33" s="250">
        <f>Prop2019DistTar!BI33</f>
        <v>0</v>
      </c>
      <c r="AN33" s="250">
        <f>Prop2019DistTar!BJ33</f>
        <v>0</v>
      </c>
      <c r="AO33" s="250">
        <f>Prop2019DistTar!BK33</f>
        <v>0</v>
      </c>
      <c r="AP33" s="250">
        <f>Prop2019DistTar!BL33</f>
        <v>0</v>
      </c>
      <c r="AQ33" s="250">
        <f>Prop2019DistTar!BM33</f>
        <v>0</v>
      </c>
      <c r="AR33" s="250">
        <f>Prop2019DistTar!BN33</f>
        <v>0</v>
      </c>
      <c r="AS33" s="250">
        <f>Prop2019DistTar!BO33</f>
        <v>0</v>
      </c>
      <c r="AT33" s="251">
        <f>Prop2019DistTar!BP33</f>
        <v>0</v>
      </c>
      <c r="AV33" s="252">
        <f t="shared" si="4"/>
        <v>0</v>
      </c>
      <c r="AW33" s="220">
        <f t="shared" si="5"/>
        <v>267.02250654740999</v>
      </c>
      <c r="AX33" s="220">
        <f t="shared" si="6"/>
        <v>0</v>
      </c>
      <c r="AY33" s="220">
        <f t="shared" si="7"/>
        <v>0</v>
      </c>
      <c r="AZ33" s="220">
        <f t="shared" si="8"/>
        <v>0</v>
      </c>
      <c r="BA33" s="220">
        <f t="shared" si="9"/>
        <v>0</v>
      </c>
      <c r="BB33" s="220">
        <f t="shared" si="10"/>
        <v>0</v>
      </c>
      <c r="BC33" s="220">
        <f t="shared" si="11"/>
        <v>0</v>
      </c>
      <c r="BD33" s="220">
        <f t="shared" si="12"/>
        <v>0</v>
      </c>
      <c r="BE33" s="220">
        <f t="shared" si="13"/>
        <v>0</v>
      </c>
      <c r="BF33" s="220">
        <f t="shared" si="14"/>
        <v>0</v>
      </c>
      <c r="BG33" s="220">
        <f t="shared" si="15"/>
        <v>0</v>
      </c>
      <c r="BH33" s="220">
        <f t="shared" si="16"/>
        <v>0</v>
      </c>
      <c r="BI33" s="220">
        <f t="shared" si="17"/>
        <v>0</v>
      </c>
      <c r="BJ33" s="220">
        <f t="shared" si="18"/>
        <v>0</v>
      </c>
      <c r="BK33" s="220">
        <f t="shared" si="19"/>
        <v>0</v>
      </c>
      <c r="BL33" s="220">
        <f t="shared" si="20"/>
        <v>0</v>
      </c>
      <c r="BM33" s="220">
        <f t="shared" si="21"/>
        <v>0</v>
      </c>
      <c r="BN33" s="220">
        <f t="shared" si="22"/>
        <v>0</v>
      </c>
      <c r="BO33" s="220">
        <f t="shared" si="23"/>
        <v>0</v>
      </c>
      <c r="BP33" s="220">
        <f t="shared" si="24"/>
        <v>0</v>
      </c>
      <c r="BQ33" s="254">
        <f t="shared" si="25"/>
        <v>267.02250654740999</v>
      </c>
    </row>
    <row r="34" spans="2:69" x14ac:dyDescent="0.2">
      <c r="B34" s="234" t="str">
        <f>Prop2019DistTar!B34</f>
        <v>Medium Business Demand</v>
      </c>
      <c r="C34" s="284"/>
      <c r="D34" s="786">
        <v>0</v>
      </c>
      <c r="E34" s="787">
        <v>0</v>
      </c>
      <c r="F34" s="787">
        <v>0.05</v>
      </c>
      <c r="G34" s="787">
        <v>0</v>
      </c>
      <c r="H34" s="787">
        <v>0</v>
      </c>
      <c r="I34" s="787">
        <v>0.05</v>
      </c>
      <c r="J34" s="787">
        <v>0</v>
      </c>
      <c r="K34" s="787">
        <v>0</v>
      </c>
      <c r="L34" s="787">
        <v>0</v>
      </c>
      <c r="M34" s="787">
        <v>0</v>
      </c>
      <c r="N34" s="787">
        <v>0</v>
      </c>
      <c r="O34" s="787">
        <v>0</v>
      </c>
      <c r="P34" s="787">
        <v>0</v>
      </c>
      <c r="Q34" s="787">
        <v>0</v>
      </c>
      <c r="R34" s="787">
        <v>0</v>
      </c>
      <c r="S34" s="787">
        <v>0</v>
      </c>
      <c r="T34" s="787">
        <v>0</v>
      </c>
      <c r="U34" s="787">
        <v>0</v>
      </c>
      <c r="V34" s="787">
        <v>0</v>
      </c>
      <c r="W34" s="787">
        <v>0</v>
      </c>
      <c r="X34" s="796">
        <v>0</v>
      </c>
      <c r="Z34" s="276">
        <f>Prop2019DistTar!AV34</f>
        <v>4548</v>
      </c>
      <c r="AA34" s="250">
        <f>Prop2019DistTar!AW34</f>
        <v>0</v>
      </c>
      <c r="AB34" s="250">
        <f>Prop2019DistTar!AX34</f>
        <v>365166105.04280096</v>
      </c>
      <c r="AC34" s="250">
        <f>Prop2019DistTar!AY34</f>
        <v>0</v>
      </c>
      <c r="AD34" s="250">
        <f>Prop2019DistTar!AZ34</f>
        <v>0</v>
      </c>
      <c r="AE34" s="250">
        <f>Prop2019DistTar!BA34</f>
        <v>263865736.50712213</v>
      </c>
      <c r="AF34" s="250">
        <f>Prop2019DistTar!BB34</f>
        <v>0</v>
      </c>
      <c r="AG34" s="250">
        <f>Prop2019DistTar!BC34</f>
        <v>0</v>
      </c>
      <c r="AH34" s="250">
        <f>Prop2019DistTar!BD34</f>
        <v>0</v>
      </c>
      <c r="AI34" s="250">
        <f>Prop2019DistTar!BE34</f>
        <v>0</v>
      </c>
      <c r="AJ34" s="250">
        <f>Prop2019DistTar!BF34</f>
        <v>0</v>
      </c>
      <c r="AK34" s="250">
        <f>Prop2019DistTar!BG34</f>
        <v>730223.77142460272</v>
      </c>
      <c r="AL34" s="250">
        <f>Prop2019DistTar!BH34</f>
        <v>1303005.7703119123</v>
      </c>
      <c r="AM34" s="250">
        <f>Prop2019DistTar!BI34</f>
        <v>0</v>
      </c>
      <c r="AN34" s="250">
        <f>Prop2019DistTar!BJ34</f>
        <v>0</v>
      </c>
      <c r="AO34" s="250">
        <f>Prop2019DistTar!BK34</f>
        <v>0</v>
      </c>
      <c r="AP34" s="250">
        <f>Prop2019DistTar!BL34</f>
        <v>0</v>
      </c>
      <c r="AQ34" s="250">
        <f>Prop2019DistTar!BM34</f>
        <v>0</v>
      </c>
      <c r="AR34" s="250">
        <f>Prop2019DistTar!BN34</f>
        <v>0</v>
      </c>
      <c r="AS34" s="250">
        <f>Prop2019DistTar!BO34</f>
        <v>0</v>
      </c>
      <c r="AT34" s="251">
        <f>Prop2019DistTar!BP34</f>
        <v>0</v>
      </c>
      <c r="AV34" s="252">
        <f t="shared" si="4"/>
        <v>0</v>
      </c>
      <c r="AW34" s="220">
        <f t="shared" si="5"/>
        <v>0</v>
      </c>
      <c r="AX34" s="220">
        <f t="shared" si="6"/>
        <v>182583.05252140047</v>
      </c>
      <c r="AY34" s="220">
        <f t="shared" si="7"/>
        <v>0</v>
      </c>
      <c r="AZ34" s="220">
        <f t="shared" si="8"/>
        <v>0</v>
      </c>
      <c r="BA34" s="220">
        <f t="shared" si="9"/>
        <v>131932.86825356106</v>
      </c>
      <c r="BB34" s="220">
        <f t="shared" si="10"/>
        <v>0</v>
      </c>
      <c r="BC34" s="220">
        <f t="shared" si="11"/>
        <v>0</v>
      </c>
      <c r="BD34" s="220">
        <f t="shared" si="12"/>
        <v>0</v>
      </c>
      <c r="BE34" s="220">
        <f t="shared" si="13"/>
        <v>0</v>
      </c>
      <c r="BF34" s="220">
        <f t="shared" si="14"/>
        <v>0</v>
      </c>
      <c r="BG34" s="220">
        <f t="shared" si="15"/>
        <v>0</v>
      </c>
      <c r="BH34" s="220">
        <f t="shared" si="16"/>
        <v>0</v>
      </c>
      <c r="BI34" s="220">
        <f t="shared" si="17"/>
        <v>0</v>
      </c>
      <c r="BJ34" s="220">
        <f t="shared" si="18"/>
        <v>0</v>
      </c>
      <c r="BK34" s="220">
        <f t="shared" si="19"/>
        <v>0</v>
      </c>
      <c r="BL34" s="220">
        <f t="shared" si="20"/>
        <v>0</v>
      </c>
      <c r="BM34" s="220">
        <f t="shared" si="21"/>
        <v>0</v>
      </c>
      <c r="BN34" s="220">
        <f t="shared" si="22"/>
        <v>0</v>
      </c>
      <c r="BO34" s="220">
        <f t="shared" si="23"/>
        <v>0</v>
      </c>
      <c r="BP34" s="220">
        <f t="shared" si="24"/>
        <v>0</v>
      </c>
      <c r="BQ34" s="254">
        <f t="shared" si="25"/>
        <v>314515.92077496153</v>
      </c>
    </row>
    <row r="35" spans="2:69" x14ac:dyDescent="0.2">
      <c r="B35" s="234" t="str">
        <f>Prop2019DistTar!B35</f>
        <v>Medium Business Bulk Demand</v>
      </c>
      <c r="C35" s="284"/>
      <c r="D35" s="786">
        <v>0</v>
      </c>
      <c r="E35" s="787">
        <v>0</v>
      </c>
      <c r="F35" s="787">
        <v>0.05</v>
      </c>
      <c r="G35" s="787">
        <v>0</v>
      </c>
      <c r="H35" s="787">
        <v>0</v>
      </c>
      <c r="I35" s="787">
        <v>0.05</v>
      </c>
      <c r="J35" s="787">
        <v>0</v>
      </c>
      <c r="K35" s="787">
        <v>0</v>
      </c>
      <c r="L35" s="787">
        <v>0</v>
      </c>
      <c r="M35" s="787">
        <v>0</v>
      </c>
      <c r="N35" s="787">
        <v>0</v>
      </c>
      <c r="O35" s="787">
        <v>0</v>
      </c>
      <c r="P35" s="787">
        <v>0</v>
      </c>
      <c r="Q35" s="787">
        <v>0</v>
      </c>
      <c r="R35" s="787">
        <v>0</v>
      </c>
      <c r="S35" s="787">
        <v>0</v>
      </c>
      <c r="T35" s="787">
        <v>0</v>
      </c>
      <c r="U35" s="787">
        <v>0</v>
      </c>
      <c r="V35" s="787">
        <v>0</v>
      </c>
      <c r="W35" s="787">
        <v>0</v>
      </c>
      <c r="X35" s="796">
        <v>0</v>
      </c>
      <c r="Z35" s="276">
        <f>Prop2019DistTar!AV35</f>
        <v>2221.9166666666665</v>
      </c>
      <c r="AA35" s="250">
        <f>Prop2019DistTar!AW35</f>
        <v>0</v>
      </c>
      <c r="AB35" s="250">
        <f>Prop2019DistTar!AX35</f>
        <v>255479964.6620293</v>
      </c>
      <c r="AC35" s="250">
        <f>Prop2019DistTar!AY35</f>
        <v>0</v>
      </c>
      <c r="AD35" s="250">
        <f>Prop2019DistTar!AZ35</f>
        <v>0</v>
      </c>
      <c r="AE35" s="250">
        <f>Prop2019DistTar!BA35</f>
        <v>173141256.77774215</v>
      </c>
      <c r="AF35" s="250">
        <f>Prop2019DistTar!BB35</f>
        <v>0</v>
      </c>
      <c r="AG35" s="250">
        <f>Prop2019DistTar!BC35</f>
        <v>0</v>
      </c>
      <c r="AH35" s="250">
        <f>Prop2019DistTar!BD35</f>
        <v>0</v>
      </c>
      <c r="AI35" s="250">
        <f>Prop2019DistTar!BE35</f>
        <v>0</v>
      </c>
      <c r="AJ35" s="250">
        <f>Prop2019DistTar!BF35</f>
        <v>0</v>
      </c>
      <c r="AK35" s="250">
        <f>Prop2019DistTar!BG35</f>
        <v>520621.07651825261</v>
      </c>
      <c r="AL35" s="250">
        <f>Prop2019DistTar!BH35</f>
        <v>868527.91268999258</v>
      </c>
      <c r="AM35" s="250">
        <f>Prop2019DistTar!BI35</f>
        <v>0</v>
      </c>
      <c r="AN35" s="250">
        <f>Prop2019DistTar!BJ35</f>
        <v>0</v>
      </c>
      <c r="AO35" s="250">
        <f>Prop2019DistTar!BK35</f>
        <v>0</v>
      </c>
      <c r="AP35" s="250">
        <f>Prop2019DistTar!BL35</f>
        <v>0</v>
      </c>
      <c r="AQ35" s="250">
        <f>Prop2019DistTar!BM35</f>
        <v>0</v>
      </c>
      <c r="AR35" s="250">
        <f>Prop2019DistTar!BN35</f>
        <v>0</v>
      </c>
      <c r="AS35" s="250">
        <f>Prop2019DistTar!BO35</f>
        <v>0</v>
      </c>
      <c r="AT35" s="251">
        <f>Prop2019DistTar!BP35</f>
        <v>0</v>
      </c>
      <c r="AV35" s="252">
        <f t="shared" si="4"/>
        <v>0</v>
      </c>
      <c r="AW35" s="220">
        <f t="shared" si="5"/>
        <v>0</v>
      </c>
      <c r="AX35" s="220">
        <f t="shared" si="6"/>
        <v>127739.98233101465</v>
      </c>
      <c r="AY35" s="220">
        <f t="shared" si="7"/>
        <v>0</v>
      </c>
      <c r="AZ35" s="220">
        <f t="shared" si="8"/>
        <v>0</v>
      </c>
      <c r="BA35" s="220">
        <f t="shared" si="9"/>
        <v>86570.628388871075</v>
      </c>
      <c r="BB35" s="220">
        <f t="shared" si="10"/>
        <v>0</v>
      </c>
      <c r="BC35" s="220">
        <f t="shared" si="11"/>
        <v>0</v>
      </c>
      <c r="BD35" s="220">
        <f t="shared" si="12"/>
        <v>0</v>
      </c>
      <c r="BE35" s="220">
        <f t="shared" si="13"/>
        <v>0</v>
      </c>
      <c r="BF35" s="220">
        <f t="shared" si="14"/>
        <v>0</v>
      </c>
      <c r="BG35" s="220">
        <f t="shared" si="15"/>
        <v>0</v>
      </c>
      <c r="BH35" s="220">
        <f t="shared" si="16"/>
        <v>0</v>
      </c>
      <c r="BI35" s="220">
        <f t="shared" si="17"/>
        <v>0</v>
      </c>
      <c r="BJ35" s="220">
        <f t="shared" si="18"/>
        <v>0</v>
      </c>
      <c r="BK35" s="220">
        <f t="shared" si="19"/>
        <v>0</v>
      </c>
      <c r="BL35" s="220">
        <f t="shared" si="20"/>
        <v>0</v>
      </c>
      <c r="BM35" s="220">
        <f t="shared" si="21"/>
        <v>0</v>
      </c>
      <c r="BN35" s="220">
        <f t="shared" si="22"/>
        <v>0</v>
      </c>
      <c r="BO35" s="220">
        <f t="shared" si="23"/>
        <v>0</v>
      </c>
      <c r="BP35" s="220">
        <f t="shared" si="24"/>
        <v>0</v>
      </c>
      <c r="BQ35" s="254">
        <f t="shared" si="25"/>
        <v>214310.61071988574</v>
      </c>
    </row>
    <row r="36" spans="2:69" x14ac:dyDescent="0.2">
      <c r="B36" s="234" t="str">
        <f>Prop2019DistTar!B36</f>
        <v>Medium Business Opt-out</v>
      </c>
      <c r="C36" s="284"/>
      <c r="D36" s="786">
        <v>0</v>
      </c>
      <c r="E36" s="787">
        <v>0</v>
      </c>
      <c r="F36" s="787">
        <v>0.05</v>
      </c>
      <c r="G36" s="787">
        <v>0</v>
      </c>
      <c r="H36" s="787">
        <v>0</v>
      </c>
      <c r="I36" s="787">
        <v>0.05</v>
      </c>
      <c r="J36" s="787">
        <v>0</v>
      </c>
      <c r="K36" s="787">
        <v>0</v>
      </c>
      <c r="L36" s="787">
        <v>0</v>
      </c>
      <c r="M36" s="787">
        <v>0</v>
      </c>
      <c r="N36" s="787">
        <v>0</v>
      </c>
      <c r="O36" s="787">
        <v>0</v>
      </c>
      <c r="P36" s="787">
        <v>0</v>
      </c>
      <c r="Q36" s="787">
        <v>0</v>
      </c>
      <c r="R36" s="787">
        <v>0</v>
      </c>
      <c r="S36" s="787">
        <v>0</v>
      </c>
      <c r="T36" s="787">
        <v>0</v>
      </c>
      <c r="U36" s="787">
        <v>0</v>
      </c>
      <c r="V36" s="787">
        <v>0</v>
      </c>
      <c r="W36" s="787">
        <v>0</v>
      </c>
      <c r="X36" s="796">
        <v>0</v>
      </c>
      <c r="Z36" s="276">
        <f>Prop2019DistTar!AV36</f>
        <v>7</v>
      </c>
      <c r="AA36" s="250">
        <f>Prop2019DistTar!AW36</f>
        <v>0</v>
      </c>
      <c r="AB36" s="250">
        <f>Prop2019DistTar!AX36</f>
        <v>296417.25372207933</v>
      </c>
      <c r="AC36" s="250">
        <f>Prop2019DistTar!AY36</f>
        <v>0</v>
      </c>
      <c r="AD36" s="250">
        <f>Prop2019DistTar!AZ36</f>
        <v>0</v>
      </c>
      <c r="AE36" s="250">
        <f>Prop2019DistTar!BA36</f>
        <v>286499.78848501295</v>
      </c>
      <c r="AF36" s="250">
        <f>Prop2019DistTar!BB36</f>
        <v>0</v>
      </c>
      <c r="AG36" s="250">
        <f>Prop2019DistTar!BC36</f>
        <v>0</v>
      </c>
      <c r="AH36" s="250">
        <f>Prop2019DistTar!BD36</f>
        <v>0</v>
      </c>
      <c r="AI36" s="250">
        <f>Prop2019DistTar!BE36</f>
        <v>0</v>
      </c>
      <c r="AJ36" s="250">
        <f>Prop2019DistTar!BF36</f>
        <v>0</v>
      </c>
      <c r="AK36" s="250">
        <f>Prop2019DistTar!BG36</f>
        <v>0</v>
      </c>
      <c r="AL36" s="250">
        <f>Prop2019DistTar!BH36</f>
        <v>0</v>
      </c>
      <c r="AM36" s="250">
        <f>Prop2019DistTar!BI36</f>
        <v>0</v>
      </c>
      <c r="AN36" s="250">
        <f>Prop2019DistTar!BJ36</f>
        <v>0</v>
      </c>
      <c r="AO36" s="250">
        <f>Prop2019DistTar!BK36</f>
        <v>0</v>
      </c>
      <c r="AP36" s="250">
        <f>Prop2019DistTar!BL36</f>
        <v>0</v>
      </c>
      <c r="AQ36" s="250">
        <f>Prop2019DistTar!BM36</f>
        <v>0</v>
      </c>
      <c r="AR36" s="250">
        <f>Prop2019DistTar!BN36</f>
        <v>0</v>
      </c>
      <c r="AS36" s="250">
        <f>Prop2019DistTar!BO36</f>
        <v>0</v>
      </c>
      <c r="AT36" s="251">
        <f>Prop2019DistTar!BP36</f>
        <v>0</v>
      </c>
      <c r="AV36" s="252">
        <f t="shared" si="4"/>
        <v>0</v>
      </c>
      <c r="AW36" s="220">
        <f t="shared" si="5"/>
        <v>0</v>
      </c>
      <c r="AX36" s="220">
        <f t="shared" si="6"/>
        <v>148.20862686103968</v>
      </c>
      <c r="AY36" s="220">
        <f t="shared" si="7"/>
        <v>0</v>
      </c>
      <c r="AZ36" s="220">
        <f t="shared" si="8"/>
        <v>0</v>
      </c>
      <c r="BA36" s="220">
        <f t="shared" si="9"/>
        <v>143.24989424250649</v>
      </c>
      <c r="BB36" s="220">
        <f t="shared" si="10"/>
        <v>0</v>
      </c>
      <c r="BC36" s="220">
        <f t="shared" si="11"/>
        <v>0</v>
      </c>
      <c r="BD36" s="220">
        <f t="shared" si="12"/>
        <v>0</v>
      </c>
      <c r="BE36" s="220">
        <f t="shared" si="13"/>
        <v>0</v>
      </c>
      <c r="BF36" s="220">
        <f t="shared" si="14"/>
        <v>0</v>
      </c>
      <c r="BG36" s="220">
        <f t="shared" si="15"/>
        <v>0</v>
      </c>
      <c r="BH36" s="220">
        <f t="shared" si="16"/>
        <v>0</v>
      </c>
      <c r="BI36" s="220">
        <f t="shared" si="17"/>
        <v>0</v>
      </c>
      <c r="BJ36" s="220">
        <f t="shared" si="18"/>
        <v>0</v>
      </c>
      <c r="BK36" s="220">
        <f t="shared" si="19"/>
        <v>0</v>
      </c>
      <c r="BL36" s="220">
        <f t="shared" si="20"/>
        <v>0</v>
      </c>
      <c r="BM36" s="220">
        <f t="shared" si="21"/>
        <v>0</v>
      </c>
      <c r="BN36" s="220">
        <f t="shared" si="22"/>
        <v>0</v>
      </c>
      <c r="BO36" s="220">
        <f t="shared" si="23"/>
        <v>0</v>
      </c>
      <c r="BP36" s="220">
        <f t="shared" si="24"/>
        <v>0</v>
      </c>
      <c r="BQ36" s="254">
        <f t="shared" si="25"/>
        <v>291.45852110354616</v>
      </c>
    </row>
    <row r="37" spans="2:69" x14ac:dyDescent="0.2">
      <c r="B37" s="234" t="str">
        <f>Prop2019DistTar!B37</f>
        <v>Medium Business Bulk Opt-out</v>
      </c>
      <c r="C37" s="284"/>
      <c r="D37" s="786">
        <v>0</v>
      </c>
      <c r="E37" s="787">
        <v>0</v>
      </c>
      <c r="F37" s="787">
        <v>0.05</v>
      </c>
      <c r="G37" s="787">
        <v>0</v>
      </c>
      <c r="H37" s="787">
        <v>0</v>
      </c>
      <c r="I37" s="787">
        <v>0.05</v>
      </c>
      <c r="J37" s="787">
        <v>0</v>
      </c>
      <c r="K37" s="787">
        <v>0</v>
      </c>
      <c r="L37" s="787">
        <v>0</v>
      </c>
      <c r="M37" s="787">
        <v>0</v>
      </c>
      <c r="N37" s="787">
        <v>0</v>
      </c>
      <c r="O37" s="787">
        <v>0</v>
      </c>
      <c r="P37" s="787">
        <v>0</v>
      </c>
      <c r="Q37" s="787">
        <v>0</v>
      </c>
      <c r="R37" s="787">
        <v>0</v>
      </c>
      <c r="S37" s="787">
        <v>0</v>
      </c>
      <c r="T37" s="787">
        <v>0</v>
      </c>
      <c r="U37" s="787">
        <v>0</v>
      </c>
      <c r="V37" s="787">
        <v>0</v>
      </c>
      <c r="W37" s="787">
        <v>0</v>
      </c>
      <c r="X37" s="796">
        <v>0</v>
      </c>
      <c r="Z37" s="276">
        <f>Prop2019DistTar!AV37</f>
        <v>9</v>
      </c>
      <c r="AA37" s="250">
        <f>Prop2019DistTar!AW37</f>
        <v>0</v>
      </c>
      <c r="AB37" s="250">
        <f>Prop2019DistTar!AX37</f>
        <v>630002.22370326216</v>
      </c>
      <c r="AC37" s="250">
        <f>Prop2019DistTar!AY37</f>
        <v>0</v>
      </c>
      <c r="AD37" s="250">
        <f>Prop2019DistTar!AZ37</f>
        <v>0</v>
      </c>
      <c r="AE37" s="250">
        <f>Prop2019DistTar!BA37</f>
        <v>505149.35184775549</v>
      </c>
      <c r="AF37" s="250">
        <f>Prop2019DistTar!BB37</f>
        <v>0</v>
      </c>
      <c r="AG37" s="250">
        <f>Prop2019DistTar!BC37</f>
        <v>0</v>
      </c>
      <c r="AH37" s="250">
        <f>Prop2019DistTar!BD37</f>
        <v>0</v>
      </c>
      <c r="AI37" s="250">
        <f>Prop2019DistTar!BE37</f>
        <v>0</v>
      </c>
      <c r="AJ37" s="250">
        <f>Prop2019DistTar!BF37</f>
        <v>0</v>
      </c>
      <c r="AK37" s="250">
        <f>Prop2019DistTar!BG37</f>
        <v>0</v>
      </c>
      <c r="AL37" s="250">
        <f>Prop2019DistTar!BH37</f>
        <v>0</v>
      </c>
      <c r="AM37" s="250">
        <f>Prop2019DistTar!BI37</f>
        <v>0</v>
      </c>
      <c r="AN37" s="250">
        <f>Prop2019DistTar!BJ37</f>
        <v>0</v>
      </c>
      <c r="AO37" s="250">
        <f>Prop2019DistTar!BK37</f>
        <v>0</v>
      </c>
      <c r="AP37" s="250">
        <f>Prop2019DistTar!BL37</f>
        <v>0</v>
      </c>
      <c r="AQ37" s="250">
        <f>Prop2019DistTar!BM37</f>
        <v>0</v>
      </c>
      <c r="AR37" s="250">
        <f>Prop2019DistTar!BN37</f>
        <v>0</v>
      </c>
      <c r="AS37" s="250">
        <f>Prop2019DistTar!BO37</f>
        <v>0</v>
      </c>
      <c r="AT37" s="251">
        <f>Prop2019DistTar!BP37</f>
        <v>0</v>
      </c>
      <c r="AV37" s="252">
        <f t="shared" si="4"/>
        <v>0</v>
      </c>
      <c r="AW37" s="220">
        <f t="shared" si="5"/>
        <v>0</v>
      </c>
      <c r="AX37" s="220">
        <f t="shared" si="6"/>
        <v>315.00111185163109</v>
      </c>
      <c r="AY37" s="220">
        <f t="shared" si="7"/>
        <v>0</v>
      </c>
      <c r="AZ37" s="220">
        <f t="shared" si="8"/>
        <v>0</v>
      </c>
      <c r="BA37" s="220">
        <f t="shared" si="9"/>
        <v>252.57467592387775</v>
      </c>
      <c r="BB37" s="220">
        <f t="shared" si="10"/>
        <v>0</v>
      </c>
      <c r="BC37" s="220">
        <f t="shared" si="11"/>
        <v>0</v>
      </c>
      <c r="BD37" s="220">
        <f t="shared" si="12"/>
        <v>0</v>
      </c>
      <c r="BE37" s="220">
        <f t="shared" si="13"/>
        <v>0</v>
      </c>
      <c r="BF37" s="220">
        <f t="shared" si="14"/>
        <v>0</v>
      </c>
      <c r="BG37" s="220">
        <f t="shared" si="15"/>
        <v>0</v>
      </c>
      <c r="BH37" s="220">
        <f t="shared" si="16"/>
        <v>0</v>
      </c>
      <c r="BI37" s="220">
        <f t="shared" si="17"/>
        <v>0</v>
      </c>
      <c r="BJ37" s="220">
        <f t="shared" si="18"/>
        <v>0</v>
      </c>
      <c r="BK37" s="220">
        <f t="shared" si="19"/>
        <v>0</v>
      </c>
      <c r="BL37" s="220">
        <f t="shared" si="20"/>
        <v>0</v>
      </c>
      <c r="BM37" s="220">
        <f t="shared" si="21"/>
        <v>0</v>
      </c>
      <c r="BN37" s="220">
        <f t="shared" si="22"/>
        <v>0</v>
      </c>
      <c r="BO37" s="220">
        <f t="shared" si="23"/>
        <v>0</v>
      </c>
      <c r="BP37" s="220">
        <f t="shared" si="24"/>
        <v>0</v>
      </c>
      <c r="BQ37" s="254">
        <f t="shared" si="25"/>
        <v>567.57578777550884</v>
      </c>
    </row>
    <row r="38" spans="2:69" x14ac:dyDescent="0.2">
      <c r="B38" s="234" t="str">
        <f>Prop2019DistTar!B38</f>
        <v>Unmetered Supplies / Public Lighting</v>
      </c>
      <c r="C38" s="284"/>
      <c r="D38" s="786">
        <v>0</v>
      </c>
      <c r="E38" s="787">
        <v>0</v>
      </c>
      <c r="F38" s="787">
        <v>0</v>
      </c>
      <c r="G38" s="787">
        <v>0</v>
      </c>
      <c r="H38" s="787">
        <v>0</v>
      </c>
      <c r="I38" s="787">
        <v>0</v>
      </c>
      <c r="J38" s="787">
        <v>0</v>
      </c>
      <c r="K38" s="787">
        <v>0</v>
      </c>
      <c r="L38" s="787">
        <v>0</v>
      </c>
      <c r="M38" s="787">
        <v>0</v>
      </c>
      <c r="N38" s="787">
        <v>0</v>
      </c>
      <c r="O38" s="787">
        <v>0</v>
      </c>
      <c r="P38" s="787">
        <v>0</v>
      </c>
      <c r="Q38" s="787">
        <v>0</v>
      </c>
      <c r="R38" s="787">
        <v>0</v>
      </c>
      <c r="S38" s="787">
        <v>0</v>
      </c>
      <c r="T38" s="787">
        <v>0</v>
      </c>
      <c r="U38" s="787">
        <v>0</v>
      </c>
      <c r="V38" s="787">
        <v>0</v>
      </c>
      <c r="W38" s="787">
        <v>0</v>
      </c>
      <c r="X38" s="796">
        <v>0</v>
      </c>
      <c r="Z38" s="276">
        <f>Prop2019DistTar!AV38</f>
        <v>4425.5</v>
      </c>
      <c r="AA38" s="250">
        <f>Prop2019DistTar!AW38</f>
        <v>0</v>
      </c>
      <c r="AB38" s="250">
        <f>Prop2019DistTar!AX38</f>
        <v>7430325.4446869912</v>
      </c>
      <c r="AC38" s="250">
        <f>Prop2019DistTar!AY38</f>
        <v>0</v>
      </c>
      <c r="AD38" s="250">
        <f>Prop2019DistTar!AZ38</f>
        <v>0</v>
      </c>
      <c r="AE38" s="250">
        <f>Prop2019DistTar!BA38</f>
        <v>18727648.893831097</v>
      </c>
      <c r="AF38" s="250">
        <f>Prop2019DistTar!BB38</f>
        <v>0</v>
      </c>
      <c r="AG38" s="250">
        <f>Prop2019DistTar!BC38</f>
        <v>0</v>
      </c>
      <c r="AH38" s="250">
        <f>Prop2019DistTar!BD38</f>
        <v>0</v>
      </c>
      <c r="AI38" s="250">
        <f>Prop2019DistTar!BE38</f>
        <v>0</v>
      </c>
      <c r="AJ38" s="250">
        <f>Prop2019DistTar!BF38</f>
        <v>0</v>
      </c>
      <c r="AK38" s="250">
        <f>Prop2019DistTar!BG38</f>
        <v>0</v>
      </c>
      <c r="AL38" s="250">
        <f>Prop2019DistTar!BH38</f>
        <v>0</v>
      </c>
      <c r="AM38" s="250">
        <f>Prop2019DistTar!BI38</f>
        <v>0</v>
      </c>
      <c r="AN38" s="250">
        <f>Prop2019DistTar!BJ38</f>
        <v>0</v>
      </c>
      <c r="AO38" s="250">
        <f>Prop2019DistTar!BK38</f>
        <v>0</v>
      </c>
      <c r="AP38" s="250">
        <f>Prop2019DistTar!BL38</f>
        <v>0</v>
      </c>
      <c r="AQ38" s="250">
        <f>Prop2019DistTar!BM38</f>
        <v>0</v>
      </c>
      <c r="AR38" s="250">
        <f>Prop2019DistTar!BN38</f>
        <v>0</v>
      </c>
      <c r="AS38" s="250">
        <f>Prop2019DistTar!BO38</f>
        <v>0</v>
      </c>
      <c r="AT38" s="251">
        <f>Prop2019DistTar!BP38</f>
        <v>0</v>
      </c>
      <c r="AV38" s="252">
        <f t="shared" si="4"/>
        <v>0</v>
      </c>
      <c r="AW38" s="220">
        <f t="shared" si="5"/>
        <v>0</v>
      </c>
      <c r="AX38" s="220">
        <f t="shared" si="6"/>
        <v>0</v>
      </c>
      <c r="AY38" s="220">
        <f t="shared" si="7"/>
        <v>0</v>
      </c>
      <c r="AZ38" s="220">
        <f t="shared" si="8"/>
        <v>0</v>
      </c>
      <c r="BA38" s="220">
        <f t="shared" si="9"/>
        <v>0</v>
      </c>
      <c r="BB38" s="220">
        <f t="shared" si="10"/>
        <v>0</v>
      </c>
      <c r="BC38" s="220">
        <f t="shared" si="11"/>
        <v>0</v>
      </c>
      <c r="BD38" s="220">
        <f t="shared" si="12"/>
        <v>0</v>
      </c>
      <c r="BE38" s="220">
        <f t="shared" si="13"/>
        <v>0</v>
      </c>
      <c r="BF38" s="220">
        <f t="shared" si="14"/>
        <v>0</v>
      </c>
      <c r="BG38" s="220">
        <f t="shared" si="15"/>
        <v>0</v>
      </c>
      <c r="BH38" s="220">
        <f t="shared" si="16"/>
        <v>0</v>
      </c>
      <c r="BI38" s="220">
        <f t="shared" si="17"/>
        <v>0</v>
      </c>
      <c r="BJ38" s="220">
        <f t="shared" si="18"/>
        <v>0</v>
      </c>
      <c r="BK38" s="220">
        <f t="shared" si="19"/>
        <v>0</v>
      </c>
      <c r="BL38" s="220">
        <f t="shared" si="20"/>
        <v>0</v>
      </c>
      <c r="BM38" s="220">
        <f t="shared" si="21"/>
        <v>0</v>
      </c>
      <c r="BN38" s="220">
        <f t="shared" si="22"/>
        <v>0</v>
      </c>
      <c r="BO38" s="220">
        <f t="shared" si="23"/>
        <v>0</v>
      </c>
      <c r="BP38" s="220">
        <f t="shared" si="24"/>
        <v>0</v>
      </c>
      <c r="BQ38" s="254">
        <f t="shared" si="25"/>
        <v>0</v>
      </c>
    </row>
    <row r="39" spans="2:69" x14ac:dyDescent="0.2">
      <c r="B39" s="234" t="str">
        <f>Prop2019DistTar!B39</f>
        <v>Large low Voltage</v>
      </c>
      <c r="C39" s="284"/>
      <c r="D39" s="786">
        <v>0</v>
      </c>
      <c r="E39" s="787">
        <v>0</v>
      </c>
      <c r="F39" s="787">
        <v>0.04</v>
      </c>
      <c r="G39" s="787">
        <v>0</v>
      </c>
      <c r="H39" s="787">
        <v>0</v>
      </c>
      <c r="I39" s="787">
        <v>0.04</v>
      </c>
      <c r="J39" s="787">
        <v>0</v>
      </c>
      <c r="K39" s="787">
        <v>0</v>
      </c>
      <c r="L39" s="787">
        <v>0</v>
      </c>
      <c r="M39" s="787">
        <v>0</v>
      </c>
      <c r="N39" s="787">
        <v>0</v>
      </c>
      <c r="O39" s="787">
        <v>0</v>
      </c>
      <c r="P39" s="787">
        <v>0</v>
      </c>
      <c r="Q39" s="787">
        <v>0</v>
      </c>
      <c r="R39" s="787">
        <v>0</v>
      </c>
      <c r="S39" s="787">
        <v>0</v>
      </c>
      <c r="T39" s="787">
        <v>0</v>
      </c>
      <c r="U39" s="787">
        <v>0</v>
      </c>
      <c r="V39" s="787">
        <v>0</v>
      </c>
      <c r="W39" s="787">
        <v>0</v>
      </c>
      <c r="X39" s="796">
        <v>0</v>
      </c>
      <c r="Z39" s="276">
        <f>Prop2019DistTar!AV39</f>
        <v>334.33333333333331</v>
      </c>
      <c r="AA39" s="250">
        <f>Prop2019DistTar!AW39</f>
        <v>0</v>
      </c>
      <c r="AB39" s="250">
        <f>Prop2019DistTar!AX39</f>
        <v>103909055.5023116</v>
      </c>
      <c r="AC39" s="250">
        <f>Prop2019DistTar!AY39</f>
        <v>0</v>
      </c>
      <c r="AD39" s="250">
        <f>Prop2019DistTar!AZ39</f>
        <v>0</v>
      </c>
      <c r="AE39" s="250">
        <f>Prop2019DistTar!BA39</f>
        <v>80266733.268921614</v>
      </c>
      <c r="AF39" s="250">
        <f>Prop2019DistTar!BB39</f>
        <v>0</v>
      </c>
      <c r="AG39" s="250">
        <f>Prop2019DistTar!BC39</f>
        <v>0</v>
      </c>
      <c r="AH39" s="250">
        <f>Prop2019DistTar!BD39</f>
        <v>0</v>
      </c>
      <c r="AI39" s="250">
        <f>Prop2019DistTar!BE39</f>
        <v>59781.404083333327</v>
      </c>
      <c r="AJ39" s="250">
        <f>Prop2019DistTar!BF39</f>
        <v>0</v>
      </c>
      <c r="AK39" s="250">
        <f>Prop2019DistTar!BG39</f>
        <v>0</v>
      </c>
      <c r="AL39" s="250">
        <f>Prop2019DistTar!BH39</f>
        <v>0</v>
      </c>
      <c r="AM39" s="250">
        <f>Prop2019DistTar!BI39</f>
        <v>0</v>
      </c>
      <c r="AN39" s="250">
        <f>Prop2019DistTar!BJ39</f>
        <v>0</v>
      </c>
      <c r="AO39" s="250">
        <f>Prop2019DistTar!BK39</f>
        <v>0</v>
      </c>
      <c r="AP39" s="250">
        <f>Prop2019DistTar!BL39</f>
        <v>0</v>
      </c>
      <c r="AQ39" s="250">
        <f>Prop2019DistTar!BM39</f>
        <v>0</v>
      </c>
      <c r="AR39" s="250">
        <f>Prop2019DistTar!BN39</f>
        <v>0</v>
      </c>
      <c r="AS39" s="250">
        <f>Prop2019DistTar!BO39</f>
        <v>0</v>
      </c>
      <c r="AT39" s="251">
        <f>Prop2019DistTar!BP39</f>
        <v>0</v>
      </c>
      <c r="AV39" s="252">
        <f t="shared" si="4"/>
        <v>0</v>
      </c>
      <c r="AW39" s="220">
        <f t="shared" si="5"/>
        <v>0</v>
      </c>
      <c r="AX39" s="220">
        <f t="shared" si="6"/>
        <v>41563.622200924641</v>
      </c>
      <c r="AY39" s="220">
        <f t="shared" si="7"/>
        <v>0</v>
      </c>
      <c r="AZ39" s="220">
        <f t="shared" si="8"/>
        <v>0</v>
      </c>
      <c r="BA39" s="220">
        <f t="shared" si="9"/>
        <v>32106.693307568647</v>
      </c>
      <c r="BB39" s="220">
        <f t="shared" si="10"/>
        <v>0</v>
      </c>
      <c r="BC39" s="220">
        <f t="shared" si="11"/>
        <v>0</v>
      </c>
      <c r="BD39" s="220">
        <f t="shared" si="12"/>
        <v>0</v>
      </c>
      <c r="BE39" s="220">
        <f t="shared" si="13"/>
        <v>0</v>
      </c>
      <c r="BF39" s="220">
        <f t="shared" si="14"/>
        <v>0</v>
      </c>
      <c r="BG39" s="220">
        <f t="shared" si="15"/>
        <v>0</v>
      </c>
      <c r="BH39" s="220">
        <f t="shared" si="16"/>
        <v>0</v>
      </c>
      <c r="BI39" s="220">
        <f t="shared" si="17"/>
        <v>0</v>
      </c>
      <c r="BJ39" s="220">
        <f t="shared" si="18"/>
        <v>0</v>
      </c>
      <c r="BK39" s="220">
        <f t="shared" si="19"/>
        <v>0</v>
      </c>
      <c r="BL39" s="220">
        <f t="shared" si="20"/>
        <v>0</v>
      </c>
      <c r="BM39" s="220">
        <f t="shared" si="21"/>
        <v>0</v>
      </c>
      <c r="BN39" s="220">
        <f t="shared" si="22"/>
        <v>0</v>
      </c>
      <c r="BO39" s="220">
        <f t="shared" si="23"/>
        <v>0</v>
      </c>
      <c r="BP39" s="220">
        <f t="shared" si="24"/>
        <v>0</v>
      </c>
      <c r="BQ39" s="254">
        <f t="shared" si="25"/>
        <v>73670.315508493281</v>
      </c>
    </row>
    <row r="40" spans="2:69" x14ac:dyDescent="0.2">
      <c r="B40" s="234" t="str">
        <f>Prop2019DistTar!B40</f>
        <v>Large low Voltage Bulk</v>
      </c>
      <c r="C40" s="284"/>
      <c r="D40" s="786">
        <v>0</v>
      </c>
      <c r="E40" s="787">
        <v>0</v>
      </c>
      <c r="F40" s="787">
        <v>0.04</v>
      </c>
      <c r="G40" s="787">
        <v>0</v>
      </c>
      <c r="H40" s="787">
        <v>0</v>
      </c>
      <c r="I40" s="787">
        <v>0.04</v>
      </c>
      <c r="J40" s="787">
        <v>0</v>
      </c>
      <c r="K40" s="787">
        <v>0</v>
      </c>
      <c r="L40" s="787">
        <v>0</v>
      </c>
      <c r="M40" s="787">
        <v>0</v>
      </c>
      <c r="N40" s="787">
        <v>0</v>
      </c>
      <c r="O40" s="787">
        <v>0</v>
      </c>
      <c r="P40" s="787">
        <v>0</v>
      </c>
      <c r="Q40" s="787">
        <v>0</v>
      </c>
      <c r="R40" s="787">
        <v>0</v>
      </c>
      <c r="S40" s="787">
        <v>0</v>
      </c>
      <c r="T40" s="787">
        <v>0</v>
      </c>
      <c r="U40" s="787">
        <v>0</v>
      </c>
      <c r="V40" s="787">
        <v>0</v>
      </c>
      <c r="W40" s="787">
        <v>0</v>
      </c>
      <c r="X40" s="796">
        <v>0</v>
      </c>
      <c r="Z40" s="276">
        <f>Prop2019DistTar!AV40</f>
        <v>1731.1666666666667</v>
      </c>
      <c r="AA40" s="250">
        <f>Prop2019DistTar!AW40</f>
        <v>0</v>
      </c>
      <c r="AB40" s="250">
        <f>Prop2019DistTar!AX40</f>
        <v>1101354717.2937953</v>
      </c>
      <c r="AC40" s="250">
        <f>Prop2019DistTar!AY40</f>
        <v>0</v>
      </c>
      <c r="AD40" s="250">
        <f>Prop2019DistTar!AZ40</f>
        <v>0</v>
      </c>
      <c r="AE40" s="250">
        <f>Prop2019DistTar!BA40</f>
        <v>829525555.83137512</v>
      </c>
      <c r="AF40" s="250">
        <f>Prop2019DistTar!BB40</f>
        <v>0</v>
      </c>
      <c r="AG40" s="250">
        <f>Prop2019DistTar!BC40</f>
        <v>0</v>
      </c>
      <c r="AH40" s="250">
        <f>Prop2019DistTar!BD40</f>
        <v>0</v>
      </c>
      <c r="AI40" s="250">
        <f>Prop2019DistTar!BE40</f>
        <v>627630.98033333279</v>
      </c>
      <c r="AJ40" s="250">
        <f>Prop2019DistTar!BF40</f>
        <v>0</v>
      </c>
      <c r="AK40" s="250">
        <f>Prop2019DistTar!BG40</f>
        <v>0</v>
      </c>
      <c r="AL40" s="250">
        <f>Prop2019DistTar!BH40</f>
        <v>0</v>
      </c>
      <c r="AM40" s="250">
        <f>Prop2019DistTar!BI40</f>
        <v>0</v>
      </c>
      <c r="AN40" s="250">
        <f>Prop2019DistTar!BJ40</f>
        <v>0</v>
      </c>
      <c r="AO40" s="250">
        <f>Prop2019DistTar!BK40</f>
        <v>0</v>
      </c>
      <c r="AP40" s="250">
        <f>Prop2019DistTar!BL40</f>
        <v>0</v>
      </c>
      <c r="AQ40" s="250">
        <f>Prop2019DistTar!BM40</f>
        <v>0</v>
      </c>
      <c r="AR40" s="250">
        <f>Prop2019DistTar!BN40</f>
        <v>0</v>
      </c>
      <c r="AS40" s="250">
        <f>Prop2019DistTar!BO40</f>
        <v>0</v>
      </c>
      <c r="AT40" s="251">
        <f>Prop2019DistTar!BP40</f>
        <v>0</v>
      </c>
      <c r="AV40" s="252">
        <f t="shared" si="4"/>
        <v>0</v>
      </c>
      <c r="AW40" s="220">
        <f t="shared" si="5"/>
        <v>0</v>
      </c>
      <c r="AX40" s="220">
        <f t="shared" si="6"/>
        <v>440541.88691751816</v>
      </c>
      <c r="AY40" s="220">
        <f t="shared" si="7"/>
        <v>0</v>
      </c>
      <c r="AZ40" s="220">
        <f t="shared" si="8"/>
        <v>0</v>
      </c>
      <c r="BA40" s="220">
        <f t="shared" si="9"/>
        <v>331810.22233255004</v>
      </c>
      <c r="BB40" s="220">
        <f t="shared" si="10"/>
        <v>0</v>
      </c>
      <c r="BC40" s="220">
        <f t="shared" si="11"/>
        <v>0</v>
      </c>
      <c r="BD40" s="220">
        <f t="shared" si="12"/>
        <v>0</v>
      </c>
      <c r="BE40" s="220">
        <f t="shared" si="13"/>
        <v>0</v>
      </c>
      <c r="BF40" s="220">
        <f t="shared" si="14"/>
        <v>0</v>
      </c>
      <c r="BG40" s="220">
        <f t="shared" si="15"/>
        <v>0</v>
      </c>
      <c r="BH40" s="220">
        <f t="shared" si="16"/>
        <v>0</v>
      </c>
      <c r="BI40" s="220">
        <f t="shared" si="17"/>
        <v>0</v>
      </c>
      <c r="BJ40" s="220">
        <f t="shared" si="18"/>
        <v>0</v>
      </c>
      <c r="BK40" s="220">
        <f t="shared" si="19"/>
        <v>0</v>
      </c>
      <c r="BL40" s="220">
        <f t="shared" si="20"/>
        <v>0</v>
      </c>
      <c r="BM40" s="220">
        <f t="shared" si="21"/>
        <v>0</v>
      </c>
      <c r="BN40" s="220">
        <f t="shared" si="22"/>
        <v>0</v>
      </c>
      <c r="BO40" s="220">
        <f t="shared" si="23"/>
        <v>0</v>
      </c>
      <c r="BP40" s="220">
        <f t="shared" si="24"/>
        <v>0</v>
      </c>
      <c r="BQ40" s="254">
        <f t="shared" si="25"/>
        <v>772352.1092500682</v>
      </c>
    </row>
    <row r="41" spans="2:69" x14ac:dyDescent="0.2">
      <c r="B41" s="234" t="str">
        <f>Prop2019DistTar!B41</f>
        <v>High Voltage</v>
      </c>
      <c r="C41" s="284"/>
      <c r="D41" s="786">
        <v>0</v>
      </c>
      <c r="E41" s="787">
        <v>0</v>
      </c>
      <c r="F41" s="787">
        <v>0</v>
      </c>
      <c r="G41" s="787">
        <v>0</v>
      </c>
      <c r="H41" s="787">
        <v>0</v>
      </c>
      <c r="I41" s="787">
        <v>0</v>
      </c>
      <c r="J41" s="787">
        <v>0</v>
      </c>
      <c r="K41" s="787">
        <v>0</v>
      </c>
      <c r="L41" s="787">
        <v>0</v>
      </c>
      <c r="M41" s="787">
        <v>0</v>
      </c>
      <c r="N41" s="787">
        <v>0</v>
      </c>
      <c r="O41" s="787">
        <v>0</v>
      </c>
      <c r="P41" s="787">
        <v>0</v>
      </c>
      <c r="Q41" s="787">
        <v>0</v>
      </c>
      <c r="R41" s="787">
        <v>0</v>
      </c>
      <c r="S41" s="787">
        <v>0</v>
      </c>
      <c r="T41" s="787">
        <v>0</v>
      </c>
      <c r="U41" s="787">
        <v>0</v>
      </c>
      <c r="V41" s="787">
        <v>0</v>
      </c>
      <c r="W41" s="787">
        <v>0</v>
      </c>
      <c r="X41" s="796">
        <v>0</v>
      </c>
      <c r="Z41" s="276">
        <f>Prop2019DistTar!AV41</f>
        <v>88</v>
      </c>
      <c r="AA41" s="250">
        <f>Prop2019DistTar!AW41</f>
        <v>0</v>
      </c>
      <c r="AB41" s="250">
        <f>Prop2019DistTar!AX41</f>
        <v>345704462.09037936</v>
      </c>
      <c r="AC41" s="250">
        <f>Prop2019DistTar!AY41</f>
        <v>0</v>
      </c>
      <c r="AD41" s="250">
        <f>Prop2019DistTar!AZ41</f>
        <v>0</v>
      </c>
      <c r="AE41" s="250">
        <f>Prop2019DistTar!BA41</f>
        <v>319905209.40701491</v>
      </c>
      <c r="AF41" s="250">
        <f>Prop2019DistTar!BB41</f>
        <v>0</v>
      </c>
      <c r="AG41" s="250">
        <f>Prop2019DistTar!BC41</f>
        <v>0</v>
      </c>
      <c r="AH41" s="250">
        <f>Prop2019DistTar!BD41</f>
        <v>0</v>
      </c>
      <c r="AI41" s="250">
        <f>Prop2019DistTar!BE41</f>
        <v>191921.57674999998</v>
      </c>
      <c r="AJ41" s="250">
        <f>Prop2019DistTar!BF41</f>
        <v>0</v>
      </c>
      <c r="AK41" s="250">
        <f>Prop2019DistTar!BG41</f>
        <v>0</v>
      </c>
      <c r="AL41" s="250">
        <f>Prop2019DistTar!BH41</f>
        <v>0</v>
      </c>
      <c r="AM41" s="250">
        <f>Prop2019DistTar!BI41</f>
        <v>0</v>
      </c>
      <c r="AN41" s="250">
        <f>Prop2019DistTar!BJ41</f>
        <v>0</v>
      </c>
      <c r="AO41" s="250">
        <f>Prop2019DistTar!BK41</f>
        <v>0</v>
      </c>
      <c r="AP41" s="250">
        <f>Prop2019DistTar!BL41</f>
        <v>0</v>
      </c>
      <c r="AQ41" s="250">
        <f>Prop2019DistTar!BM41</f>
        <v>0</v>
      </c>
      <c r="AR41" s="250">
        <f>Prop2019DistTar!BN41</f>
        <v>0</v>
      </c>
      <c r="AS41" s="250">
        <f>Prop2019DistTar!BO41</f>
        <v>0</v>
      </c>
      <c r="AT41" s="251">
        <f>Prop2019DistTar!BP41</f>
        <v>0</v>
      </c>
      <c r="AV41" s="252">
        <f t="shared" si="4"/>
        <v>0</v>
      </c>
      <c r="AW41" s="220">
        <f t="shared" si="5"/>
        <v>0</v>
      </c>
      <c r="AX41" s="220">
        <f t="shared" si="6"/>
        <v>0</v>
      </c>
      <c r="AY41" s="220">
        <f t="shared" si="7"/>
        <v>0</v>
      </c>
      <c r="AZ41" s="220">
        <f t="shared" si="8"/>
        <v>0</v>
      </c>
      <c r="BA41" s="220">
        <f t="shared" si="9"/>
        <v>0</v>
      </c>
      <c r="BB41" s="220">
        <f t="shared" si="10"/>
        <v>0</v>
      </c>
      <c r="BC41" s="220">
        <f t="shared" si="11"/>
        <v>0</v>
      </c>
      <c r="BD41" s="220">
        <f t="shared" si="12"/>
        <v>0</v>
      </c>
      <c r="BE41" s="220">
        <f t="shared" si="13"/>
        <v>0</v>
      </c>
      <c r="BF41" s="220">
        <f t="shared" si="14"/>
        <v>0</v>
      </c>
      <c r="BG41" s="220">
        <f t="shared" si="15"/>
        <v>0</v>
      </c>
      <c r="BH41" s="220">
        <f t="shared" si="16"/>
        <v>0</v>
      </c>
      <c r="BI41" s="220">
        <f t="shared" si="17"/>
        <v>0</v>
      </c>
      <c r="BJ41" s="220">
        <f t="shared" si="18"/>
        <v>0</v>
      </c>
      <c r="BK41" s="220">
        <f t="shared" si="19"/>
        <v>0</v>
      </c>
      <c r="BL41" s="220">
        <f t="shared" si="20"/>
        <v>0</v>
      </c>
      <c r="BM41" s="220">
        <f t="shared" si="21"/>
        <v>0</v>
      </c>
      <c r="BN41" s="220">
        <f t="shared" si="22"/>
        <v>0</v>
      </c>
      <c r="BO41" s="220">
        <f t="shared" si="23"/>
        <v>0</v>
      </c>
      <c r="BP41" s="220">
        <f t="shared" si="24"/>
        <v>0</v>
      </c>
      <c r="BQ41" s="254">
        <f t="shared" si="25"/>
        <v>0</v>
      </c>
    </row>
    <row r="42" spans="2:69" x14ac:dyDescent="0.2">
      <c r="B42" s="234" t="str">
        <f>Prop2019DistTar!B42</f>
        <v>Subtransmission</v>
      </c>
      <c r="C42" s="284"/>
      <c r="D42" s="786">
        <v>0</v>
      </c>
      <c r="E42" s="787">
        <v>0</v>
      </c>
      <c r="F42" s="787">
        <v>0</v>
      </c>
      <c r="G42" s="787">
        <v>0</v>
      </c>
      <c r="H42" s="787">
        <v>0</v>
      </c>
      <c r="I42" s="787">
        <v>0</v>
      </c>
      <c r="J42" s="787">
        <v>0</v>
      </c>
      <c r="K42" s="787">
        <v>0</v>
      </c>
      <c r="L42" s="787">
        <v>0</v>
      </c>
      <c r="M42" s="787">
        <v>0</v>
      </c>
      <c r="N42" s="787">
        <v>0</v>
      </c>
      <c r="O42" s="787">
        <v>0</v>
      </c>
      <c r="P42" s="787">
        <v>0</v>
      </c>
      <c r="Q42" s="787">
        <v>0</v>
      </c>
      <c r="R42" s="787">
        <v>0</v>
      </c>
      <c r="S42" s="787">
        <v>0</v>
      </c>
      <c r="T42" s="787">
        <v>0</v>
      </c>
      <c r="U42" s="787">
        <v>0</v>
      </c>
      <c r="V42" s="787">
        <v>0</v>
      </c>
      <c r="W42" s="787">
        <v>0</v>
      </c>
      <c r="X42" s="796">
        <v>0</v>
      </c>
      <c r="Z42" s="276">
        <f>Prop2019DistTar!AV42</f>
        <v>6</v>
      </c>
      <c r="AA42" s="250">
        <f>Prop2019DistTar!AW42</f>
        <v>0</v>
      </c>
      <c r="AB42" s="250">
        <f>Prop2019DistTar!AX42</f>
        <v>63161450.703406543</v>
      </c>
      <c r="AC42" s="250">
        <f>Prop2019DistTar!AY42</f>
        <v>0</v>
      </c>
      <c r="AD42" s="250">
        <f>Prop2019DistTar!AZ42</f>
        <v>0</v>
      </c>
      <c r="AE42" s="250">
        <f>Prop2019DistTar!BA42</f>
        <v>37546309.7185238</v>
      </c>
      <c r="AF42" s="250">
        <f>Prop2019DistTar!BB42</f>
        <v>0</v>
      </c>
      <c r="AG42" s="250">
        <f>Prop2019DistTar!BC42</f>
        <v>0</v>
      </c>
      <c r="AH42" s="250">
        <f>Prop2019DistTar!BD42</f>
        <v>0</v>
      </c>
      <c r="AI42" s="250">
        <f>Prop2019DistTar!BE42</f>
        <v>35559.269916666664</v>
      </c>
      <c r="AJ42" s="250">
        <f>Prop2019DistTar!BF42</f>
        <v>0</v>
      </c>
      <c r="AK42" s="250">
        <f>Prop2019DistTar!BG42</f>
        <v>0</v>
      </c>
      <c r="AL42" s="250">
        <f>Prop2019DistTar!BH42</f>
        <v>0</v>
      </c>
      <c r="AM42" s="250">
        <f>Prop2019DistTar!BI42</f>
        <v>0</v>
      </c>
      <c r="AN42" s="250">
        <f>Prop2019DistTar!BJ42</f>
        <v>0</v>
      </c>
      <c r="AO42" s="250">
        <f>Prop2019DistTar!BK42</f>
        <v>0</v>
      </c>
      <c r="AP42" s="250">
        <f>Prop2019DistTar!BL42</f>
        <v>0</v>
      </c>
      <c r="AQ42" s="250">
        <f>Prop2019DistTar!BM42</f>
        <v>0</v>
      </c>
      <c r="AR42" s="250">
        <f>Prop2019DistTar!BN42</f>
        <v>0</v>
      </c>
      <c r="AS42" s="250">
        <f>Prop2019DistTar!BO42</f>
        <v>0</v>
      </c>
      <c r="AT42" s="251">
        <f>Prop2019DistTar!BP42</f>
        <v>0</v>
      </c>
      <c r="AV42" s="252">
        <f t="shared" si="4"/>
        <v>0</v>
      </c>
      <c r="AW42" s="220">
        <f t="shared" si="5"/>
        <v>0</v>
      </c>
      <c r="AX42" s="220">
        <f t="shared" si="6"/>
        <v>0</v>
      </c>
      <c r="AY42" s="220">
        <f t="shared" si="7"/>
        <v>0</v>
      </c>
      <c r="AZ42" s="220">
        <f t="shared" si="8"/>
        <v>0</v>
      </c>
      <c r="BA42" s="220">
        <f t="shared" si="9"/>
        <v>0</v>
      </c>
      <c r="BB42" s="220">
        <f t="shared" si="10"/>
        <v>0</v>
      </c>
      <c r="BC42" s="220">
        <f t="shared" si="11"/>
        <v>0</v>
      </c>
      <c r="BD42" s="220">
        <f t="shared" si="12"/>
        <v>0</v>
      </c>
      <c r="BE42" s="220">
        <f t="shared" si="13"/>
        <v>0</v>
      </c>
      <c r="BF42" s="220">
        <f t="shared" si="14"/>
        <v>0</v>
      </c>
      <c r="BG42" s="220">
        <f t="shared" si="15"/>
        <v>0</v>
      </c>
      <c r="BH42" s="220">
        <f t="shared" si="16"/>
        <v>0</v>
      </c>
      <c r="BI42" s="220">
        <f t="shared" si="17"/>
        <v>0</v>
      </c>
      <c r="BJ42" s="220">
        <f t="shared" si="18"/>
        <v>0</v>
      </c>
      <c r="BK42" s="220">
        <f t="shared" si="19"/>
        <v>0</v>
      </c>
      <c r="BL42" s="220">
        <f t="shared" si="20"/>
        <v>0</v>
      </c>
      <c r="BM42" s="220">
        <f t="shared" si="21"/>
        <v>0</v>
      </c>
      <c r="BN42" s="220">
        <f t="shared" si="22"/>
        <v>0</v>
      </c>
      <c r="BO42" s="220">
        <f t="shared" si="23"/>
        <v>0</v>
      </c>
      <c r="BP42" s="220">
        <f t="shared" si="24"/>
        <v>0</v>
      </c>
      <c r="BQ42" s="254">
        <f t="shared" si="25"/>
        <v>0</v>
      </c>
    </row>
    <row r="43" spans="2:69" x14ac:dyDescent="0.2">
      <c r="B43" s="234"/>
      <c r="C43" s="284"/>
      <c r="D43" s="650"/>
      <c r="E43" s="651"/>
      <c r="F43" s="651"/>
      <c r="G43" s="651"/>
      <c r="H43" s="651"/>
      <c r="I43" s="651"/>
      <c r="J43" s="651"/>
      <c r="K43" s="651"/>
      <c r="L43" s="651"/>
      <c r="M43" s="651"/>
      <c r="N43" s="651"/>
      <c r="O43" s="651"/>
      <c r="P43" s="651"/>
      <c r="Q43" s="651"/>
      <c r="R43" s="651"/>
      <c r="S43" s="651"/>
      <c r="T43" s="651"/>
      <c r="U43" s="651"/>
      <c r="V43" s="651"/>
      <c r="W43" s="651"/>
      <c r="X43" s="663"/>
      <c r="Z43" s="276"/>
      <c r="AA43" s="250"/>
      <c r="AB43" s="250"/>
      <c r="AC43" s="250"/>
      <c r="AD43" s="250"/>
      <c r="AE43" s="250"/>
      <c r="AF43" s="250"/>
      <c r="AG43" s="250"/>
      <c r="AH43" s="250"/>
      <c r="AI43" s="250"/>
      <c r="AJ43" s="250"/>
      <c r="AK43" s="250"/>
      <c r="AL43" s="250"/>
      <c r="AM43" s="250"/>
      <c r="AN43" s="250"/>
      <c r="AO43" s="250"/>
      <c r="AP43" s="250"/>
      <c r="AQ43" s="250"/>
      <c r="AR43" s="250"/>
      <c r="AS43" s="250"/>
      <c r="AT43" s="251"/>
      <c r="AV43" s="252">
        <f t="shared" si="4"/>
        <v>0</v>
      </c>
      <c r="AW43" s="220">
        <f t="shared" si="5"/>
        <v>0</v>
      </c>
      <c r="AX43" s="220">
        <f t="shared" si="6"/>
        <v>0</v>
      </c>
      <c r="AY43" s="220">
        <f t="shared" si="7"/>
        <v>0</v>
      </c>
      <c r="AZ43" s="220">
        <f t="shared" si="8"/>
        <v>0</v>
      </c>
      <c r="BA43" s="220">
        <f t="shared" si="9"/>
        <v>0</v>
      </c>
      <c r="BB43" s="220">
        <f t="shared" si="10"/>
        <v>0</v>
      </c>
      <c r="BC43" s="220">
        <f t="shared" si="11"/>
        <v>0</v>
      </c>
      <c r="BD43" s="220">
        <f t="shared" si="12"/>
        <v>0</v>
      </c>
      <c r="BE43" s="220">
        <f t="shared" si="13"/>
        <v>0</v>
      </c>
      <c r="BF43" s="220">
        <f t="shared" si="14"/>
        <v>0</v>
      </c>
      <c r="BG43" s="220">
        <f t="shared" si="15"/>
        <v>0</v>
      </c>
      <c r="BH43" s="220">
        <f t="shared" si="16"/>
        <v>0</v>
      </c>
      <c r="BI43" s="220">
        <f t="shared" si="17"/>
        <v>0</v>
      </c>
      <c r="BJ43" s="220">
        <f t="shared" si="18"/>
        <v>0</v>
      </c>
      <c r="BK43" s="220">
        <f t="shared" si="19"/>
        <v>0</v>
      </c>
      <c r="BL43" s="220">
        <f t="shared" si="20"/>
        <v>0</v>
      </c>
      <c r="BM43" s="220">
        <f t="shared" si="21"/>
        <v>0</v>
      </c>
      <c r="BN43" s="220">
        <f t="shared" si="22"/>
        <v>0</v>
      </c>
      <c r="BO43" s="220">
        <f t="shared" si="23"/>
        <v>0</v>
      </c>
      <c r="BP43" s="220">
        <f t="shared" si="24"/>
        <v>0</v>
      </c>
      <c r="BQ43" s="254">
        <f t="shared" si="25"/>
        <v>0</v>
      </c>
    </row>
    <row r="44" spans="2:69" x14ac:dyDescent="0.2">
      <c r="B44" s="234"/>
      <c r="C44" s="284"/>
      <c r="D44" s="650"/>
      <c r="E44" s="651"/>
      <c r="F44" s="651"/>
      <c r="G44" s="651"/>
      <c r="H44" s="651"/>
      <c r="I44" s="651"/>
      <c r="J44" s="651"/>
      <c r="K44" s="651"/>
      <c r="L44" s="651"/>
      <c r="M44" s="651"/>
      <c r="N44" s="651"/>
      <c r="O44" s="651"/>
      <c r="P44" s="651"/>
      <c r="Q44" s="651"/>
      <c r="R44" s="651"/>
      <c r="S44" s="651"/>
      <c r="T44" s="651"/>
      <c r="U44" s="651"/>
      <c r="V44" s="651"/>
      <c r="W44" s="651"/>
      <c r="X44" s="663"/>
      <c r="Z44" s="276"/>
      <c r="AA44" s="250"/>
      <c r="AB44" s="250"/>
      <c r="AC44" s="250"/>
      <c r="AD44" s="250"/>
      <c r="AE44" s="250"/>
      <c r="AF44" s="250"/>
      <c r="AG44" s="250"/>
      <c r="AH44" s="250"/>
      <c r="AI44" s="250"/>
      <c r="AJ44" s="250"/>
      <c r="AK44" s="250"/>
      <c r="AL44" s="250"/>
      <c r="AM44" s="250"/>
      <c r="AN44" s="250"/>
      <c r="AO44" s="250"/>
      <c r="AP44" s="250"/>
      <c r="AQ44" s="250"/>
      <c r="AR44" s="250"/>
      <c r="AS44" s="250"/>
      <c r="AT44" s="251"/>
      <c r="AV44" s="252">
        <f t="shared" si="4"/>
        <v>0</v>
      </c>
      <c r="AW44" s="220">
        <f t="shared" si="5"/>
        <v>0</v>
      </c>
      <c r="AX44" s="220">
        <f t="shared" si="6"/>
        <v>0</v>
      </c>
      <c r="AY44" s="220">
        <f t="shared" si="7"/>
        <v>0</v>
      </c>
      <c r="AZ44" s="220">
        <f t="shared" si="8"/>
        <v>0</v>
      </c>
      <c r="BA44" s="220">
        <f t="shared" si="9"/>
        <v>0</v>
      </c>
      <c r="BB44" s="220">
        <f t="shared" si="10"/>
        <v>0</v>
      </c>
      <c r="BC44" s="220">
        <f t="shared" si="11"/>
        <v>0</v>
      </c>
      <c r="BD44" s="220">
        <f t="shared" si="12"/>
        <v>0</v>
      </c>
      <c r="BE44" s="220">
        <f t="shared" si="13"/>
        <v>0</v>
      </c>
      <c r="BF44" s="220">
        <f t="shared" si="14"/>
        <v>0</v>
      </c>
      <c r="BG44" s="220">
        <f t="shared" si="15"/>
        <v>0</v>
      </c>
      <c r="BH44" s="220">
        <f t="shared" si="16"/>
        <v>0</v>
      </c>
      <c r="BI44" s="220">
        <f t="shared" si="17"/>
        <v>0</v>
      </c>
      <c r="BJ44" s="220">
        <f t="shared" si="18"/>
        <v>0</v>
      </c>
      <c r="BK44" s="220">
        <f t="shared" si="19"/>
        <v>0</v>
      </c>
      <c r="BL44" s="220">
        <f t="shared" si="20"/>
        <v>0</v>
      </c>
      <c r="BM44" s="220">
        <f t="shared" si="21"/>
        <v>0</v>
      </c>
      <c r="BN44" s="220">
        <f t="shared" si="22"/>
        <v>0</v>
      </c>
      <c r="BO44" s="220">
        <f t="shared" si="23"/>
        <v>0</v>
      </c>
      <c r="BP44" s="220">
        <f t="shared" si="24"/>
        <v>0</v>
      </c>
      <c r="BQ44" s="254">
        <f t="shared" si="25"/>
        <v>0</v>
      </c>
    </row>
    <row r="45" spans="2:69" x14ac:dyDescent="0.2">
      <c r="B45" s="234"/>
      <c r="C45" s="284"/>
      <c r="D45" s="650"/>
      <c r="E45" s="651"/>
      <c r="F45" s="651"/>
      <c r="G45" s="651"/>
      <c r="H45" s="651"/>
      <c r="I45" s="651"/>
      <c r="J45" s="651"/>
      <c r="K45" s="651"/>
      <c r="L45" s="651"/>
      <c r="M45" s="651"/>
      <c r="N45" s="651"/>
      <c r="O45" s="651"/>
      <c r="P45" s="651"/>
      <c r="Q45" s="651"/>
      <c r="R45" s="651"/>
      <c r="S45" s="651"/>
      <c r="T45" s="651"/>
      <c r="U45" s="651"/>
      <c r="V45" s="651"/>
      <c r="W45" s="651"/>
      <c r="X45" s="663"/>
      <c r="Z45" s="276"/>
      <c r="AA45" s="250"/>
      <c r="AB45" s="250"/>
      <c r="AC45" s="250"/>
      <c r="AD45" s="250"/>
      <c r="AE45" s="250"/>
      <c r="AF45" s="250"/>
      <c r="AG45" s="250"/>
      <c r="AH45" s="250"/>
      <c r="AI45" s="250"/>
      <c r="AJ45" s="250"/>
      <c r="AK45" s="250"/>
      <c r="AL45" s="250"/>
      <c r="AM45" s="250"/>
      <c r="AN45" s="250"/>
      <c r="AO45" s="250"/>
      <c r="AP45" s="250"/>
      <c r="AQ45" s="250"/>
      <c r="AR45" s="250"/>
      <c r="AS45" s="250"/>
      <c r="AT45" s="251"/>
      <c r="AV45" s="252">
        <f t="shared" si="4"/>
        <v>0</v>
      </c>
      <c r="AW45" s="220">
        <f t="shared" si="5"/>
        <v>0</v>
      </c>
      <c r="AX45" s="220">
        <f t="shared" si="6"/>
        <v>0</v>
      </c>
      <c r="AY45" s="220">
        <f t="shared" si="7"/>
        <v>0</v>
      </c>
      <c r="AZ45" s="220">
        <f t="shared" si="8"/>
        <v>0</v>
      </c>
      <c r="BA45" s="220">
        <f t="shared" si="9"/>
        <v>0</v>
      </c>
      <c r="BB45" s="220">
        <f t="shared" si="10"/>
        <v>0</v>
      </c>
      <c r="BC45" s="220">
        <f t="shared" si="11"/>
        <v>0</v>
      </c>
      <c r="BD45" s="220">
        <f t="shared" si="12"/>
        <v>0</v>
      </c>
      <c r="BE45" s="220">
        <f t="shared" si="13"/>
        <v>0</v>
      </c>
      <c r="BF45" s="220">
        <f t="shared" si="14"/>
        <v>0</v>
      </c>
      <c r="BG45" s="220">
        <f t="shared" si="15"/>
        <v>0</v>
      </c>
      <c r="BH45" s="220">
        <f t="shared" si="16"/>
        <v>0</v>
      </c>
      <c r="BI45" s="220">
        <f t="shared" si="17"/>
        <v>0</v>
      </c>
      <c r="BJ45" s="220">
        <f t="shared" si="18"/>
        <v>0</v>
      </c>
      <c r="BK45" s="220">
        <f t="shared" si="19"/>
        <v>0</v>
      </c>
      <c r="BL45" s="220">
        <f t="shared" si="20"/>
        <v>0</v>
      </c>
      <c r="BM45" s="220">
        <f t="shared" si="21"/>
        <v>0</v>
      </c>
      <c r="BN45" s="220">
        <f t="shared" si="22"/>
        <v>0</v>
      </c>
      <c r="BO45" s="220">
        <f t="shared" si="23"/>
        <v>0</v>
      </c>
      <c r="BP45" s="220">
        <f t="shared" si="24"/>
        <v>0</v>
      </c>
      <c r="BQ45" s="254">
        <f t="shared" si="25"/>
        <v>0</v>
      </c>
    </row>
    <row r="46" spans="2:69" x14ac:dyDescent="0.2">
      <c r="B46" s="234"/>
      <c r="C46" s="284"/>
      <c r="D46" s="650"/>
      <c r="E46" s="651"/>
      <c r="F46" s="651"/>
      <c r="G46" s="651"/>
      <c r="H46" s="651"/>
      <c r="I46" s="651"/>
      <c r="J46" s="651"/>
      <c r="K46" s="651"/>
      <c r="L46" s="651"/>
      <c r="M46" s="651"/>
      <c r="N46" s="651"/>
      <c r="O46" s="651"/>
      <c r="P46" s="651"/>
      <c r="Q46" s="651"/>
      <c r="R46" s="651"/>
      <c r="S46" s="651"/>
      <c r="T46" s="651"/>
      <c r="U46" s="651"/>
      <c r="V46" s="651"/>
      <c r="W46" s="651"/>
      <c r="X46" s="663"/>
      <c r="Z46" s="276"/>
      <c r="AA46" s="250"/>
      <c r="AB46" s="250"/>
      <c r="AC46" s="250"/>
      <c r="AD46" s="250"/>
      <c r="AE46" s="250"/>
      <c r="AF46" s="250"/>
      <c r="AG46" s="250"/>
      <c r="AH46" s="250"/>
      <c r="AI46" s="250"/>
      <c r="AJ46" s="250"/>
      <c r="AK46" s="250"/>
      <c r="AL46" s="250"/>
      <c r="AM46" s="250"/>
      <c r="AN46" s="250"/>
      <c r="AO46" s="250"/>
      <c r="AP46" s="250"/>
      <c r="AQ46" s="250"/>
      <c r="AR46" s="250"/>
      <c r="AS46" s="250"/>
      <c r="AT46" s="251"/>
      <c r="AV46" s="252">
        <f t="shared" si="4"/>
        <v>0</v>
      </c>
      <c r="AW46" s="220">
        <f t="shared" si="5"/>
        <v>0</v>
      </c>
      <c r="AX46" s="220">
        <f t="shared" si="6"/>
        <v>0</v>
      </c>
      <c r="AY46" s="220">
        <f t="shared" si="7"/>
        <v>0</v>
      </c>
      <c r="AZ46" s="220">
        <f t="shared" si="8"/>
        <v>0</v>
      </c>
      <c r="BA46" s="220">
        <f t="shared" si="9"/>
        <v>0</v>
      </c>
      <c r="BB46" s="220">
        <f t="shared" si="10"/>
        <v>0</v>
      </c>
      <c r="BC46" s="220">
        <f t="shared" si="11"/>
        <v>0</v>
      </c>
      <c r="BD46" s="220">
        <f t="shared" si="12"/>
        <v>0</v>
      </c>
      <c r="BE46" s="220">
        <f t="shared" si="13"/>
        <v>0</v>
      </c>
      <c r="BF46" s="220">
        <f t="shared" si="14"/>
        <v>0</v>
      </c>
      <c r="BG46" s="220">
        <f t="shared" si="15"/>
        <v>0</v>
      </c>
      <c r="BH46" s="220">
        <f t="shared" si="16"/>
        <v>0</v>
      </c>
      <c r="BI46" s="220">
        <f t="shared" si="17"/>
        <v>0</v>
      </c>
      <c r="BJ46" s="220">
        <f t="shared" si="18"/>
        <v>0</v>
      </c>
      <c r="BK46" s="220">
        <f t="shared" si="19"/>
        <v>0</v>
      </c>
      <c r="BL46" s="220">
        <f t="shared" si="20"/>
        <v>0</v>
      </c>
      <c r="BM46" s="220">
        <f t="shared" si="21"/>
        <v>0</v>
      </c>
      <c r="BN46" s="220">
        <f t="shared" si="22"/>
        <v>0</v>
      </c>
      <c r="BO46" s="220">
        <f t="shared" si="23"/>
        <v>0</v>
      </c>
      <c r="BP46" s="220">
        <f t="shared" si="24"/>
        <v>0</v>
      </c>
      <c r="BQ46" s="254">
        <f t="shared" si="25"/>
        <v>0</v>
      </c>
    </row>
    <row r="47" spans="2:69" x14ac:dyDescent="0.2">
      <c r="B47" s="234"/>
      <c r="C47" s="284"/>
      <c r="D47" s="650"/>
      <c r="E47" s="651"/>
      <c r="F47" s="651"/>
      <c r="G47" s="651"/>
      <c r="H47" s="651"/>
      <c r="I47" s="651"/>
      <c r="J47" s="651"/>
      <c r="K47" s="651"/>
      <c r="L47" s="651"/>
      <c r="M47" s="651"/>
      <c r="N47" s="651"/>
      <c r="O47" s="651"/>
      <c r="P47" s="651"/>
      <c r="Q47" s="651"/>
      <c r="R47" s="651"/>
      <c r="S47" s="651"/>
      <c r="T47" s="651"/>
      <c r="U47" s="651"/>
      <c r="V47" s="651"/>
      <c r="W47" s="651"/>
      <c r="X47" s="663"/>
      <c r="Z47" s="276"/>
      <c r="AA47" s="250"/>
      <c r="AB47" s="250"/>
      <c r="AC47" s="250"/>
      <c r="AD47" s="250"/>
      <c r="AE47" s="250"/>
      <c r="AF47" s="250"/>
      <c r="AG47" s="250"/>
      <c r="AH47" s="250"/>
      <c r="AI47" s="250"/>
      <c r="AJ47" s="250"/>
      <c r="AK47" s="250"/>
      <c r="AL47" s="250"/>
      <c r="AM47" s="250"/>
      <c r="AN47" s="250"/>
      <c r="AO47" s="250"/>
      <c r="AP47" s="250"/>
      <c r="AQ47" s="250"/>
      <c r="AR47" s="250"/>
      <c r="AS47" s="250"/>
      <c r="AT47" s="251"/>
      <c r="AV47" s="252">
        <f t="shared" si="4"/>
        <v>0</v>
      </c>
      <c r="AW47" s="220">
        <f t="shared" si="5"/>
        <v>0</v>
      </c>
      <c r="AX47" s="220">
        <f t="shared" si="6"/>
        <v>0</v>
      </c>
      <c r="AY47" s="220">
        <f t="shared" si="7"/>
        <v>0</v>
      </c>
      <c r="AZ47" s="220">
        <f t="shared" si="8"/>
        <v>0</v>
      </c>
      <c r="BA47" s="220">
        <f t="shared" si="9"/>
        <v>0</v>
      </c>
      <c r="BB47" s="220">
        <f t="shared" si="10"/>
        <v>0</v>
      </c>
      <c r="BC47" s="220">
        <f t="shared" si="11"/>
        <v>0</v>
      </c>
      <c r="BD47" s="220">
        <f t="shared" si="12"/>
        <v>0</v>
      </c>
      <c r="BE47" s="220">
        <f t="shared" si="13"/>
        <v>0</v>
      </c>
      <c r="BF47" s="220">
        <f t="shared" si="14"/>
        <v>0</v>
      </c>
      <c r="BG47" s="220">
        <f t="shared" si="15"/>
        <v>0</v>
      </c>
      <c r="BH47" s="220">
        <f t="shared" si="16"/>
        <v>0</v>
      </c>
      <c r="BI47" s="220">
        <f t="shared" si="17"/>
        <v>0</v>
      </c>
      <c r="BJ47" s="220">
        <f t="shared" si="18"/>
        <v>0</v>
      </c>
      <c r="BK47" s="220">
        <f t="shared" si="19"/>
        <v>0</v>
      </c>
      <c r="BL47" s="220">
        <f t="shared" si="20"/>
        <v>0</v>
      </c>
      <c r="BM47" s="220">
        <f t="shared" si="21"/>
        <v>0</v>
      </c>
      <c r="BN47" s="220">
        <f t="shared" si="22"/>
        <v>0</v>
      </c>
      <c r="BO47" s="220">
        <f t="shared" si="23"/>
        <v>0</v>
      </c>
      <c r="BP47" s="220">
        <f t="shared" si="24"/>
        <v>0</v>
      </c>
      <c r="BQ47" s="254">
        <f t="shared" si="25"/>
        <v>0</v>
      </c>
    </row>
    <row r="48" spans="2:69" x14ac:dyDescent="0.2">
      <c r="B48" s="234"/>
      <c r="C48" s="284"/>
      <c r="D48" s="717"/>
      <c r="E48" s="718"/>
      <c r="F48" s="718"/>
      <c r="G48" s="718"/>
      <c r="H48" s="718"/>
      <c r="I48" s="718"/>
      <c r="J48" s="718"/>
      <c r="K48" s="718"/>
      <c r="L48" s="718"/>
      <c r="M48" s="718"/>
      <c r="N48" s="718"/>
      <c r="O48" s="718"/>
      <c r="P48" s="718"/>
      <c r="Q48" s="722"/>
      <c r="R48" s="718"/>
      <c r="S48" s="718"/>
      <c r="T48" s="718"/>
      <c r="U48" s="718"/>
      <c r="V48" s="718"/>
      <c r="W48" s="718"/>
      <c r="X48" s="719"/>
      <c r="Z48" s="276"/>
      <c r="AA48" s="250"/>
      <c r="AB48" s="250"/>
      <c r="AC48" s="250"/>
      <c r="AD48" s="250"/>
      <c r="AE48" s="250"/>
      <c r="AF48" s="250"/>
      <c r="AG48" s="250"/>
      <c r="AH48" s="250"/>
      <c r="AI48" s="250"/>
      <c r="AJ48" s="250"/>
      <c r="AK48" s="250"/>
      <c r="AL48" s="250"/>
      <c r="AM48" s="250"/>
      <c r="AN48" s="250"/>
      <c r="AO48" s="250"/>
      <c r="AP48" s="250"/>
      <c r="AQ48" s="250"/>
      <c r="AR48" s="250"/>
      <c r="AS48" s="250"/>
      <c r="AT48" s="251"/>
      <c r="AV48" s="252">
        <f t="shared" si="4"/>
        <v>0</v>
      </c>
      <c r="AW48" s="220">
        <f t="shared" si="5"/>
        <v>0</v>
      </c>
      <c r="AX48" s="220">
        <f t="shared" si="6"/>
        <v>0</v>
      </c>
      <c r="AY48" s="220">
        <f t="shared" si="7"/>
        <v>0</v>
      </c>
      <c r="AZ48" s="220">
        <f t="shared" si="8"/>
        <v>0</v>
      </c>
      <c r="BA48" s="220">
        <f t="shared" si="9"/>
        <v>0</v>
      </c>
      <c r="BB48" s="220">
        <f t="shared" si="10"/>
        <v>0</v>
      </c>
      <c r="BC48" s="220">
        <f t="shared" si="11"/>
        <v>0</v>
      </c>
      <c r="BD48" s="220">
        <f t="shared" si="12"/>
        <v>0</v>
      </c>
      <c r="BE48" s="220">
        <f t="shared" si="13"/>
        <v>0</v>
      </c>
      <c r="BF48" s="220">
        <f t="shared" si="14"/>
        <v>0</v>
      </c>
      <c r="BG48" s="220">
        <f t="shared" si="15"/>
        <v>0</v>
      </c>
      <c r="BH48" s="220">
        <f t="shared" si="16"/>
        <v>0</v>
      </c>
      <c r="BI48" s="220">
        <f t="shared" si="17"/>
        <v>0</v>
      </c>
      <c r="BJ48" s="220">
        <f t="shared" si="18"/>
        <v>0</v>
      </c>
      <c r="BK48" s="220">
        <f t="shared" si="19"/>
        <v>0</v>
      </c>
      <c r="BL48" s="220">
        <f t="shared" si="20"/>
        <v>0</v>
      </c>
      <c r="BM48" s="220">
        <f t="shared" si="21"/>
        <v>0</v>
      </c>
      <c r="BN48" s="220">
        <f t="shared" si="22"/>
        <v>0</v>
      </c>
      <c r="BO48" s="220">
        <f t="shared" si="23"/>
        <v>0</v>
      </c>
      <c r="BP48" s="220">
        <f t="shared" si="24"/>
        <v>0</v>
      </c>
      <c r="BQ48" s="254">
        <f t="shared" si="25"/>
        <v>0</v>
      </c>
    </row>
    <row r="49" spans="2:69" x14ac:dyDescent="0.2">
      <c r="B49" s="234"/>
      <c r="C49" s="284"/>
      <c r="D49" s="717"/>
      <c r="E49" s="718"/>
      <c r="F49" s="718"/>
      <c r="G49" s="718"/>
      <c r="H49" s="718"/>
      <c r="I49" s="718"/>
      <c r="J49" s="718"/>
      <c r="K49" s="718"/>
      <c r="L49" s="718"/>
      <c r="M49" s="718"/>
      <c r="N49" s="718"/>
      <c r="O49" s="718"/>
      <c r="P49" s="718"/>
      <c r="Q49" s="722"/>
      <c r="R49" s="718"/>
      <c r="S49" s="718"/>
      <c r="T49" s="718"/>
      <c r="U49" s="718"/>
      <c r="V49" s="718"/>
      <c r="W49" s="718"/>
      <c r="X49" s="719"/>
      <c r="Z49" s="276"/>
      <c r="AA49" s="250"/>
      <c r="AB49" s="250"/>
      <c r="AC49" s="250"/>
      <c r="AD49" s="250"/>
      <c r="AE49" s="250"/>
      <c r="AF49" s="250"/>
      <c r="AG49" s="250"/>
      <c r="AH49" s="250"/>
      <c r="AI49" s="250"/>
      <c r="AJ49" s="250"/>
      <c r="AK49" s="250"/>
      <c r="AL49" s="250"/>
      <c r="AM49" s="250"/>
      <c r="AN49" s="250"/>
      <c r="AO49" s="250"/>
      <c r="AP49" s="250"/>
      <c r="AQ49" s="250"/>
      <c r="AR49" s="250"/>
      <c r="AS49" s="250"/>
      <c r="AT49" s="251"/>
      <c r="AV49" s="252">
        <f t="shared" si="4"/>
        <v>0</v>
      </c>
      <c r="AW49" s="220">
        <f t="shared" si="5"/>
        <v>0</v>
      </c>
      <c r="AX49" s="220">
        <f t="shared" si="6"/>
        <v>0</v>
      </c>
      <c r="AY49" s="220">
        <f t="shared" si="7"/>
        <v>0</v>
      </c>
      <c r="AZ49" s="220">
        <f t="shared" si="8"/>
        <v>0</v>
      </c>
      <c r="BA49" s="220">
        <f t="shared" si="9"/>
        <v>0</v>
      </c>
      <c r="BB49" s="220">
        <f t="shared" si="10"/>
        <v>0</v>
      </c>
      <c r="BC49" s="220">
        <f t="shared" si="11"/>
        <v>0</v>
      </c>
      <c r="BD49" s="220">
        <f t="shared" si="12"/>
        <v>0</v>
      </c>
      <c r="BE49" s="220">
        <f t="shared" si="13"/>
        <v>0</v>
      </c>
      <c r="BF49" s="220">
        <f t="shared" si="14"/>
        <v>0</v>
      </c>
      <c r="BG49" s="220">
        <f t="shared" si="15"/>
        <v>0</v>
      </c>
      <c r="BH49" s="220">
        <f t="shared" si="16"/>
        <v>0</v>
      </c>
      <c r="BI49" s="220">
        <f t="shared" si="17"/>
        <v>0</v>
      </c>
      <c r="BJ49" s="220">
        <f t="shared" si="18"/>
        <v>0</v>
      </c>
      <c r="BK49" s="220">
        <f t="shared" si="19"/>
        <v>0</v>
      </c>
      <c r="BL49" s="220">
        <f t="shared" si="20"/>
        <v>0</v>
      </c>
      <c r="BM49" s="220">
        <f t="shared" si="21"/>
        <v>0</v>
      </c>
      <c r="BN49" s="220">
        <f t="shared" si="22"/>
        <v>0</v>
      </c>
      <c r="BO49" s="220">
        <f t="shared" si="23"/>
        <v>0</v>
      </c>
      <c r="BP49" s="220">
        <f t="shared" si="24"/>
        <v>0</v>
      </c>
      <c r="BQ49" s="254">
        <f t="shared" si="25"/>
        <v>0</v>
      </c>
    </row>
    <row r="50" spans="2:69" x14ac:dyDescent="0.2">
      <c r="B50" s="234"/>
      <c r="C50" s="284"/>
      <c r="D50" s="717"/>
      <c r="E50" s="718"/>
      <c r="F50" s="718"/>
      <c r="G50" s="718"/>
      <c r="H50" s="718"/>
      <c r="I50" s="718"/>
      <c r="J50" s="718"/>
      <c r="K50" s="718"/>
      <c r="L50" s="718"/>
      <c r="M50" s="718"/>
      <c r="N50" s="718"/>
      <c r="O50" s="718"/>
      <c r="P50" s="718"/>
      <c r="Q50" s="722"/>
      <c r="R50" s="718"/>
      <c r="S50" s="718"/>
      <c r="T50" s="718"/>
      <c r="U50" s="718"/>
      <c r="V50" s="718"/>
      <c r="W50" s="718"/>
      <c r="X50" s="719"/>
      <c r="Z50" s="276"/>
      <c r="AA50" s="250"/>
      <c r="AB50" s="250"/>
      <c r="AC50" s="250"/>
      <c r="AD50" s="250"/>
      <c r="AE50" s="250"/>
      <c r="AF50" s="250"/>
      <c r="AG50" s="250"/>
      <c r="AH50" s="250"/>
      <c r="AI50" s="250"/>
      <c r="AJ50" s="250"/>
      <c r="AK50" s="250"/>
      <c r="AL50" s="250"/>
      <c r="AM50" s="250"/>
      <c r="AN50" s="250"/>
      <c r="AO50" s="250"/>
      <c r="AP50" s="250"/>
      <c r="AQ50" s="250"/>
      <c r="AR50" s="250"/>
      <c r="AS50" s="250"/>
      <c r="AT50" s="251"/>
      <c r="AV50" s="252">
        <f t="shared" si="4"/>
        <v>0</v>
      </c>
      <c r="AW50" s="220">
        <f t="shared" si="5"/>
        <v>0</v>
      </c>
      <c r="AX50" s="220">
        <f t="shared" si="6"/>
        <v>0</v>
      </c>
      <c r="AY50" s="220">
        <f t="shared" si="7"/>
        <v>0</v>
      </c>
      <c r="AZ50" s="220">
        <f t="shared" si="8"/>
        <v>0</v>
      </c>
      <c r="BA50" s="220">
        <f t="shared" si="9"/>
        <v>0</v>
      </c>
      <c r="BB50" s="220">
        <f t="shared" si="10"/>
        <v>0</v>
      </c>
      <c r="BC50" s="220">
        <f t="shared" si="11"/>
        <v>0</v>
      </c>
      <c r="BD50" s="220">
        <f t="shared" si="12"/>
        <v>0</v>
      </c>
      <c r="BE50" s="220">
        <f t="shared" si="13"/>
        <v>0</v>
      </c>
      <c r="BF50" s="220">
        <f t="shared" si="14"/>
        <v>0</v>
      </c>
      <c r="BG50" s="220">
        <f t="shared" si="15"/>
        <v>0</v>
      </c>
      <c r="BH50" s="220">
        <f t="shared" si="16"/>
        <v>0</v>
      </c>
      <c r="BI50" s="220">
        <f t="shared" si="17"/>
        <v>0</v>
      </c>
      <c r="BJ50" s="220">
        <f t="shared" si="18"/>
        <v>0</v>
      </c>
      <c r="BK50" s="220">
        <f t="shared" si="19"/>
        <v>0</v>
      </c>
      <c r="BL50" s="220">
        <f t="shared" si="20"/>
        <v>0</v>
      </c>
      <c r="BM50" s="220">
        <f t="shared" si="21"/>
        <v>0</v>
      </c>
      <c r="BN50" s="220">
        <f t="shared" si="22"/>
        <v>0</v>
      </c>
      <c r="BO50" s="220">
        <f t="shared" si="23"/>
        <v>0</v>
      </c>
      <c r="BP50" s="220">
        <f t="shared" si="24"/>
        <v>0</v>
      </c>
      <c r="BQ50" s="254">
        <f t="shared" si="25"/>
        <v>0</v>
      </c>
    </row>
    <row r="51" spans="2:69" x14ac:dyDescent="0.2">
      <c r="B51" s="234"/>
      <c r="C51" s="284"/>
      <c r="D51" s="717"/>
      <c r="E51" s="718"/>
      <c r="F51" s="718"/>
      <c r="G51" s="718"/>
      <c r="H51" s="718"/>
      <c r="I51" s="718"/>
      <c r="J51" s="718"/>
      <c r="K51" s="718"/>
      <c r="L51" s="718"/>
      <c r="M51" s="718"/>
      <c r="N51" s="718"/>
      <c r="O51" s="718"/>
      <c r="P51" s="718"/>
      <c r="Q51" s="722"/>
      <c r="R51" s="718"/>
      <c r="S51" s="718"/>
      <c r="T51" s="718"/>
      <c r="U51" s="718"/>
      <c r="V51" s="718"/>
      <c r="W51" s="718"/>
      <c r="X51" s="719"/>
      <c r="Z51" s="276"/>
      <c r="AA51" s="250"/>
      <c r="AB51" s="250"/>
      <c r="AC51" s="250"/>
      <c r="AD51" s="250"/>
      <c r="AE51" s="250"/>
      <c r="AF51" s="250"/>
      <c r="AG51" s="250"/>
      <c r="AH51" s="250"/>
      <c r="AI51" s="250"/>
      <c r="AJ51" s="250"/>
      <c r="AK51" s="250"/>
      <c r="AL51" s="250"/>
      <c r="AM51" s="250"/>
      <c r="AN51" s="250"/>
      <c r="AO51" s="250"/>
      <c r="AP51" s="250"/>
      <c r="AQ51" s="250"/>
      <c r="AR51" s="250"/>
      <c r="AS51" s="250"/>
      <c r="AT51" s="251"/>
      <c r="AV51" s="252">
        <f t="shared" si="4"/>
        <v>0</v>
      </c>
      <c r="AW51" s="220">
        <f t="shared" si="5"/>
        <v>0</v>
      </c>
      <c r="AX51" s="220">
        <f t="shared" si="6"/>
        <v>0</v>
      </c>
      <c r="AY51" s="220">
        <f t="shared" si="7"/>
        <v>0</v>
      </c>
      <c r="AZ51" s="220">
        <f t="shared" si="8"/>
        <v>0</v>
      </c>
      <c r="BA51" s="220">
        <f t="shared" si="9"/>
        <v>0</v>
      </c>
      <c r="BB51" s="220">
        <f t="shared" si="10"/>
        <v>0</v>
      </c>
      <c r="BC51" s="220">
        <f t="shared" si="11"/>
        <v>0</v>
      </c>
      <c r="BD51" s="220">
        <f t="shared" si="12"/>
        <v>0</v>
      </c>
      <c r="BE51" s="220">
        <f t="shared" si="13"/>
        <v>0</v>
      </c>
      <c r="BF51" s="220">
        <f t="shared" si="14"/>
        <v>0</v>
      </c>
      <c r="BG51" s="220">
        <f t="shared" si="15"/>
        <v>0</v>
      </c>
      <c r="BH51" s="220">
        <f t="shared" si="16"/>
        <v>0</v>
      </c>
      <c r="BI51" s="220">
        <f t="shared" si="17"/>
        <v>0</v>
      </c>
      <c r="BJ51" s="220">
        <f t="shared" si="18"/>
        <v>0</v>
      </c>
      <c r="BK51" s="220">
        <f t="shared" si="19"/>
        <v>0</v>
      </c>
      <c r="BL51" s="220">
        <f t="shared" si="20"/>
        <v>0</v>
      </c>
      <c r="BM51" s="220">
        <f t="shared" si="21"/>
        <v>0</v>
      </c>
      <c r="BN51" s="220">
        <f t="shared" si="22"/>
        <v>0</v>
      </c>
      <c r="BO51" s="220">
        <f t="shared" si="23"/>
        <v>0</v>
      </c>
      <c r="BP51" s="220">
        <f t="shared" si="24"/>
        <v>0</v>
      </c>
      <c r="BQ51" s="254">
        <f t="shared" si="25"/>
        <v>0</v>
      </c>
    </row>
    <row r="52" spans="2:69" x14ac:dyDescent="0.2">
      <c r="B52" s="234"/>
      <c r="C52" s="284"/>
      <c r="D52" s="717"/>
      <c r="E52" s="718"/>
      <c r="F52" s="718"/>
      <c r="G52" s="718"/>
      <c r="H52" s="718"/>
      <c r="I52" s="718"/>
      <c r="J52" s="718"/>
      <c r="K52" s="718"/>
      <c r="L52" s="718"/>
      <c r="M52" s="718"/>
      <c r="N52" s="718"/>
      <c r="O52" s="718"/>
      <c r="P52" s="718"/>
      <c r="Q52" s="722"/>
      <c r="R52" s="718"/>
      <c r="S52" s="718"/>
      <c r="T52" s="718"/>
      <c r="U52" s="718"/>
      <c r="V52" s="718"/>
      <c r="W52" s="718"/>
      <c r="X52" s="719"/>
      <c r="Z52" s="276"/>
      <c r="AA52" s="250"/>
      <c r="AB52" s="250"/>
      <c r="AC52" s="250"/>
      <c r="AD52" s="250"/>
      <c r="AE52" s="250"/>
      <c r="AF52" s="250"/>
      <c r="AG52" s="250"/>
      <c r="AH52" s="250"/>
      <c r="AI52" s="250"/>
      <c r="AJ52" s="250"/>
      <c r="AK52" s="250"/>
      <c r="AL52" s="250"/>
      <c r="AM52" s="250"/>
      <c r="AN52" s="250"/>
      <c r="AO52" s="250"/>
      <c r="AP52" s="250"/>
      <c r="AQ52" s="250"/>
      <c r="AR52" s="250"/>
      <c r="AS52" s="250"/>
      <c r="AT52" s="251"/>
      <c r="AV52" s="252">
        <f t="shared" si="4"/>
        <v>0</v>
      </c>
      <c r="AW52" s="220">
        <f t="shared" si="5"/>
        <v>0</v>
      </c>
      <c r="AX52" s="220">
        <f t="shared" si="6"/>
        <v>0</v>
      </c>
      <c r="AY52" s="220">
        <f t="shared" si="7"/>
        <v>0</v>
      </c>
      <c r="AZ52" s="220">
        <f t="shared" si="8"/>
        <v>0</v>
      </c>
      <c r="BA52" s="220">
        <f t="shared" si="9"/>
        <v>0</v>
      </c>
      <c r="BB52" s="220">
        <f t="shared" si="10"/>
        <v>0</v>
      </c>
      <c r="BC52" s="220">
        <f t="shared" si="11"/>
        <v>0</v>
      </c>
      <c r="BD52" s="220">
        <f t="shared" si="12"/>
        <v>0</v>
      </c>
      <c r="BE52" s="220">
        <f t="shared" si="13"/>
        <v>0</v>
      </c>
      <c r="BF52" s="220">
        <f t="shared" si="14"/>
        <v>0</v>
      </c>
      <c r="BG52" s="220">
        <f t="shared" si="15"/>
        <v>0</v>
      </c>
      <c r="BH52" s="220">
        <f t="shared" si="16"/>
        <v>0</v>
      </c>
      <c r="BI52" s="220">
        <f t="shared" si="17"/>
        <v>0</v>
      </c>
      <c r="BJ52" s="220">
        <f t="shared" si="18"/>
        <v>0</v>
      </c>
      <c r="BK52" s="220">
        <f t="shared" si="19"/>
        <v>0</v>
      </c>
      <c r="BL52" s="220">
        <f t="shared" si="20"/>
        <v>0</v>
      </c>
      <c r="BM52" s="220">
        <f t="shared" si="21"/>
        <v>0</v>
      </c>
      <c r="BN52" s="220">
        <f t="shared" si="22"/>
        <v>0</v>
      </c>
      <c r="BO52" s="220">
        <f t="shared" si="23"/>
        <v>0</v>
      </c>
      <c r="BP52" s="220">
        <f t="shared" si="24"/>
        <v>0</v>
      </c>
      <c r="BQ52" s="254">
        <f t="shared" si="25"/>
        <v>0</v>
      </c>
    </row>
    <row r="53" spans="2:69" x14ac:dyDescent="0.2">
      <c r="B53" s="234"/>
      <c r="C53" s="284"/>
      <c r="D53" s="285"/>
      <c r="E53" s="256"/>
      <c r="F53" s="256"/>
      <c r="G53" s="256"/>
      <c r="H53" s="256"/>
      <c r="I53" s="256"/>
      <c r="J53" s="256"/>
      <c r="K53" s="256"/>
      <c r="L53" s="256"/>
      <c r="M53" s="256"/>
      <c r="N53" s="256"/>
      <c r="O53" s="256"/>
      <c r="P53" s="256"/>
      <c r="Q53" s="286"/>
      <c r="R53" s="287"/>
      <c r="S53" s="287"/>
      <c r="T53" s="287"/>
      <c r="U53" s="287"/>
      <c r="V53" s="287"/>
      <c r="W53" s="287"/>
      <c r="X53" s="288"/>
      <c r="Z53" s="249"/>
      <c r="AA53" s="250"/>
      <c r="AB53" s="250"/>
      <c r="AC53" s="250"/>
      <c r="AD53" s="250"/>
      <c r="AE53" s="250"/>
      <c r="AF53" s="250"/>
      <c r="AG53" s="250"/>
      <c r="AH53" s="250"/>
      <c r="AI53" s="250"/>
      <c r="AJ53" s="250"/>
      <c r="AK53" s="250"/>
      <c r="AL53" s="251"/>
      <c r="AM53" s="250"/>
      <c r="AN53" s="250"/>
      <c r="AO53" s="250"/>
      <c r="AP53" s="250"/>
      <c r="AQ53" s="250"/>
      <c r="AR53" s="250"/>
      <c r="AS53" s="250"/>
      <c r="AT53" s="251"/>
      <c r="AV53" s="252">
        <f t="shared" si="4"/>
        <v>0</v>
      </c>
      <c r="AW53" s="220">
        <f t="shared" si="5"/>
        <v>0</v>
      </c>
      <c r="AX53" s="220">
        <f t="shared" si="6"/>
        <v>0</v>
      </c>
      <c r="AY53" s="220">
        <f t="shared" si="7"/>
        <v>0</v>
      </c>
      <c r="AZ53" s="220">
        <f t="shared" si="8"/>
        <v>0</v>
      </c>
      <c r="BA53" s="220">
        <f t="shared" si="9"/>
        <v>0</v>
      </c>
      <c r="BB53" s="220">
        <f t="shared" si="10"/>
        <v>0</v>
      </c>
      <c r="BC53" s="220">
        <f t="shared" si="11"/>
        <v>0</v>
      </c>
      <c r="BD53" s="220">
        <f t="shared" si="12"/>
        <v>0</v>
      </c>
      <c r="BE53" s="220">
        <f t="shared" si="13"/>
        <v>0</v>
      </c>
      <c r="BF53" s="220">
        <f t="shared" si="14"/>
        <v>0</v>
      </c>
      <c r="BG53" s="220">
        <f t="shared" si="15"/>
        <v>0</v>
      </c>
      <c r="BH53" s="220">
        <f t="shared" si="16"/>
        <v>0</v>
      </c>
      <c r="BI53" s="220">
        <f t="shared" si="17"/>
        <v>0</v>
      </c>
      <c r="BJ53" s="220">
        <f t="shared" si="18"/>
        <v>0</v>
      </c>
      <c r="BK53" s="220">
        <f t="shared" si="19"/>
        <v>0</v>
      </c>
      <c r="BL53" s="220">
        <f t="shared" si="20"/>
        <v>0</v>
      </c>
      <c r="BM53" s="220">
        <f t="shared" si="21"/>
        <v>0</v>
      </c>
      <c r="BN53" s="220">
        <f t="shared" si="22"/>
        <v>0</v>
      </c>
      <c r="BO53" s="220">
        <f t="shared" si="23"/>
        <v>0</v>
      </c>
      <c r="BP53" s="220">
        <f t="shared" si="24"/>
        <v>0</v>
      </c>
      <c r="BQ53" s="254">
        <f t="shared" si="25"/>
        <v>0</v>
      </c>
    </row>
    <row r="54" spans="2:69" x14ac:dyDescent="0.2">
      <c r="B54" s="234"/>
      <c r="C54" s="284"/>
      <c r="D54" s="285"/>
      <c r="E54" s="256"/>
      <c r="F54" s="256"/>
      <c r="G54" s="256"/>
      <c r="H54" s="256"/>
      <c r="I54" s="256"/>
      <c r="J54" s="256"/>
      <c r="K54" s="256"/>
      <c r="L54" s="256"/>
      <c r="M54" s="256"/>
      <c r="N54" s="256"/>
      <c r="O54" s="256"/>
      <c r="P54" s="256"/>
      <c r="Q54" s="286"/>
      <c r="R54" s="287"/>
      <c r="S54" s="287"/>
      <c r="T54" s="287"/>
      <c r="U54" s="287"/>
      <c r="V54" s="287"/>
      <c r="W54" s="287"/>
      <c r="X54" s="288"/>
      <c r="Z54" s="249"/>
      <c r="AA54" s="250"/>
      <c r="AB54" s="250"/>
      <c r="AC54" s="250"/>
      <c r="AD54" s="250"/>
      <c r="AE54" s="250"/>
      <c r="AF54" s="250"/>
      <c r="AG54" s="250"/>
      <c r="AH54" s="250"/>
      <c r="AI54" s="250"/>
      <c r="AJ54" s="250"/>
      <c r="AK54" s="250"/>
      <c r="AL54" s="251"/>
      <c r="AM54" s="250"/>
      <c r="AN54" s="250"/>
      <c r="AO54" s="250"/>
      <c r="AP54" s="250"/>
      <c r="AQ54" s="250"/>
      <c r="AR54" s="250"/>
      <c r="AS54" s="250"/>
      <c r="AT54" s="251"/>
      <c r="AV54" s="252">
        <f t="shared" si="4"/>
        <v>0</v>
      </c>
      <c r="AW54" s="220">
        <f t="shared" si="5"/>
        <v>0</v>
      </c>
      <c r="AX54" s="220">
        <f t="shared" si="6"/>
        <v>0</v>
      </c>
      <c r="AY54" s="220">
        <f t="shared" si="7"/>
        <v>0</v>
      </c>
      <c r="AZ54" s="220">
        <f t="shared" si="8"/>
        <v>0</v>
      </c>
      <c r="BA54" s="220">
        <f t="shared" si="9"/>
        <v>0</v>
      </c>
      <c r="BB54" s="220">
        <f t="shared" si="10"/>
        <v>0</v>
      </c>
      <c r="BC54" s="220">
        <f t="shared" si="11"/>
        <v>0</v>
      </c>
      <c r="BD54" s="220">
        <f t="shared" si="12"/>
        <v>0</v>
      </c>
      <c r="BE54" s="220">
        <f t="shared" si="13"/>
        <v>0</v>
      </c>
      <c r="BF54" s="220">
        <f t="shared" si="14"/>
        <v>0</v>
      </c>
      <c r="BG54" s="220">
        <f t="shared" si="15"/>
        <v>0</v>
      </c>
      <c r="BH54" s="220">
        <f t="shared" si="16"/>
        <v>0</v>
      </c>
      <c r="BI54" s="220">
        <f t="shared" si="17"/>
        <v>0</v>
      </c>
      <c r="BJ54" s="220">
        <f t="shared" si="18"/>
        <v>0</v>
      </c>
      <c r="BK54" s="220">
        <f t="shared" si="19"/>
        <v>0</v>
      </c>
      <c r="BL54" s="220">
        <f t="shared" si="20"/>
        <v>0</v>
      </c>
      <c r="BM54" s="220">
        <f t="shared" si="21"/>
        <v>0</v>
      </c>
      <c r="BN54" s="220">
        <f t="shared" si="22"/>
        <v>0</v>
      </c>
      <c r="BO54" s="220">
        <f t="shared" si="23"/>
        <v>0</v>
      </c>
      <c r="BP54" s="220">
        <f t="shared" si="24"/>
        <v>0</v>
      </c>
      <c r="BQ54" s="254">
        <f t="shared" si="25"/>
        <v>0</v>
      </c>
    </row>
    <row r="55" spans="2:69" x14ac:dyDescent="0.2">
      <c r="B55" s="234"/>
      <c r="C55" s="284"/>
      <c r="D55" s="285"/>
      <c r="E55" s="256"/>
      <c r="F55" s="256"/>
      <c r="G55" s="256"/>
      <c r="H55" s="256"/>
      <c r="I55" s="256"/>
      <c r="J55" s="256"/>
      <c r="K55" s="256"/>
      <c r="L55" s="256"/>
      <c r="M55" s="256"/>
      <c r="N55" s="256"/>
      <c r="O55" s="256"/>
      <c r="P55" s="256"/>
      <c r="Q55" s="286"/>
      <c r="R55" s="287"/>
      <c r="S55" s="287"/>
      <c r="T55" s="287"/>
      <c r="U55" s="287"/>
      <c r="V55" s="287"/>
      <c r="W55" s="287"/>
      <c r="X55" s="288"/>
      <c r="Z55" s="249"/>
      <c r="AA55" s="250"/>
      <c r="AB55" s="250"/>
      <c r="AC55" s="250"/>
      <c r="AD55" s="250"/>
      <c r="AE55" s="250"/>
      <c r="AF55" s="250"/>
      <c r="AG55" s="250"/>
      <c r="AH55" s="250"/>
      <c r="AI55" s="250"/>
      <c r="AJ55" s="250"/>
      <c r="AK55" s="250"/>
      <c r="AL55" s="251"/>
      <c r="AM55" s="250"/>
      <c r="AN55" s="250"/>
      <c r="AO55" s="250"/>
      <c r="AP55" s="250"/>
      <c r="AQ55" s="250"/>
      <c r="AR55" s="250"/>
      <c r="AS55" s="250"/>
      <c r="AT55" s="251"/>
      <c r="AV55" s="252">
        <f t="shared" si="4"/>
        <v>0</v>
      </c>
      <c r="AW55" s="220">
        <f t="shared" si="5"/>
        <v>0</v>
      </c>
      <c r="AX55" s="220">
        <f t="shared" si="6"/>
        <v>0</v>
      </c>
      <c r="AY55" s="220">
        <f t="shared" si="7"/>
        <v>0</v>
      </c>
      <c r="AZ55" s="220">
        <f t="shared" si="8"/>
        <v>0</v>
      </c>
      <c r="BA55" s="220">
        <f t="shared" si="9"/>
        <v>0</v>
      </c>
      <c r="BB55" s="220">
        <f t="shared" si="10"/>
        <v>0</v>
      </c>
      <c r="BC55" s="220">
        <f t="shared" si="11"/>
        <v>0</v>
      </c>
      <c r="BD55" s="220">
        <f t="shared" si="12"/>
        <v>0</v>
      </c>
      <c r="BE55" s="220">
        <f t="shared" si="13"/>
        <v>0</v>
      </c>
      <c r="BF55" s="220">
        <f t="shared" si="14"/>
        <v>0</v>
      </c>
      <c r="BG55" s="220">
        <f t="shared" si="15"/>
        <v>0</v>
      </c>
      <c r="BH55" s="220">
        <f t="shared" si="16"/>
        <v>0</v>
      </c>
      <c r="BI55" s="220">
        <f t="shared" si="17"/>
        <v>0</v>
      </c>
      <c r="BJ55" s="220">
        <f t="shared" si="18"/>
        <v>0</v>
      </c>
      <c r="BK55" s="220">
        <f t="shared" si="19"/>
        <v>0</v>
      </c>
      <c r="BL55" s="220">
        <f t="shared" si="20"/>
        <v>0</v>
      </c>
      <c r="BM55" s="220">
        <f t="shared" si="21"/>
        <v>0</v>
      </c>
      <c r="BN55" s="220">
        <f t="shared" si="22"/>
        <v>0</v>
      </c>
      <c r="BO55" s="220">
        <f t="shared" si="23"/>
        <v>0</v>
      </c>
      <c r="BP55" s="220">
        <f t="shared" si="24"/>
        <v>0</v>
      </c>
      <c r="BQ55" s="254">
        <f t="shared" si="25"/>
        <v>0</v>
      </c>
    </row>
    <row r="56" spans="2:69" x14ac:dyDescent="0.2">
      <c r="B56" s="234"/>
      <c r="C56" s="284"/>
      <c r="D56" s="285"/>
      <c r="E56" s="256"/>
      <c r="F56" s="256"/>
      <c r="G56" s="256"/>
      <c r="H56" s="256"/>
      <c r="I56" s="256"/>
      <c r="J56" s="256"/>
      <c r="K56" s="256"/>
      <c r="L56" s="256"/>
      <c r="M56" s="256"/>
      <c r="N56" s="256"/>
      <c r="O56" s="256"/>
      <c r="P56" s="256"/>
      <c r="Q56" s="286"/>
      <c r="R56" s="287"/>
      <c r="S56" s="287"/>
      <c r="T56" s="287"/>
      <c r="U56" s="287"/>
      <c r="V56" s="287"/>
      <c r="W56" s="287"/>
      <c r="X56" s="288"/>
      <c r="Z56" s="249"/>
      <c r="AA56" s="250"/>
      <c r="AB56" s="250"/>
      <c r="AC56" s="250"/>
      <c r="AD56" s="250"/>
      <c r="AE56" s="250"/>
      <c r="AF56" s="250"/>
      <c r="AG56" s="250"/>
      <c r="AH56" s="250"/>
      <c r="AI56" s="250"/>
      <c r="AJ56" s="250"/>
      <c r="AK56" s="250"/>
      <c r="AL56" s="251"/>
      <c r="AM56" s="250"/>
      <c r="AN56" s="250"/>
      <c r="AO56" s="250"/>
      <c r="AP56" s="250"/>
      <c r="AQ56" s="250"/>
      <c r="AR56" s="250"/>
      <c r="AS56" s="250"/>
      <c r="AT56" s="251"/>
      <c r="AV56" s="252">
        <f t="shared" si="4"/>
        <v>0</v>
      </c>
      <c r="AW56" s="220">
        <f t="shared" si="5"/>
        <v>0</v>
      </c>
      <c r="AX56" s="220">
        <f t="shared" si="6"/>
        <v>0</v>
      </c>
      <c r="AY56" s="220">
        <f t="shared" si="7"/>
        <v>0</v>
      </c>
      <c r="AZ56" s="220">
        <f t="shared" si="8"/>
        <v>0</v>
      </c>
      <c r="BA56" s="220">
        <f t="shared" si="9"/>
        <v>0</v>
      </c>
      <c r="BB56" s="220">
        <f t="shared" si="10"/>
        <v>0</v>
      </c>
      <c r="BC56" s="220">
        <f t="shared" si="11"/>
        <v>0</v>
      </c>
      <c r="BD56" s="220">
        <f t="shared" si="12"/>
        <v>0</v>
      </c>
      <c r="BE56" s="220">
        <f t="shared" si="13"/>
        <v>0</v>
      </c>
      <c r="BF56" s="220">
        <f t="shared" si="14"/>
        <v>0</v>
      </c>
      <c r="BG56" s="220">
        <f t="shared" si="15"/>
        <v>0</v>
      </c>
      <c r="BH56" s="220">
        <f t="shared" si="16"/>
        <v>0</v>
      </c>
      <c r="BI56" s="220">
        <f t="shared" si="17"/>
        <v>0</v>
      </c>
      <c r="BJ56" s="220">
        <f t="shared" si="18"/>
        <v>0</v>
      </c>
      <c r="BK56" s="220">
        <f t="shared" si="19"/>
        <v>0</v>
      </c>
      <c r="BL56" s="220">
        <f t="shared" si="20"/>
        <v>0</v>
      </c>
      <c r="BM56" s="220">
        <f t="shared" si="21"/>
        <v>0</v>
      </c>
      <c r="BN56" s="220">
        <f t="shared" si="22"/>
        <v>0</v>
      </c>
      <c r="BO56" s="220">
        <f t="shared" si="23"/>
        <v>0</v>
      </c>
      <c r="BP56" s="220">
        <f t="shared" si="24"/>
        <v>0</v>
      </c>
      <c r="BQ56" s="254">
        <f t="shared" si="25"/>
        <v>0</v>
      </c>
    </row>
    <row r="57" spans="2:69" x14ac:dyDescent="0.2">
      <c r="B57" s="234"/>
      <c r="C57" s="284"/>
      <c r="D57" s="285"/>
      <c r="E57" s="256"/>
      <c r="F57" s="256"/>
      <c r="G57" s="256"/>
      <c r="H57" s="256"/>
      <c r="I57" s="256"/>
      <c r="J57" s="256"/>
      <c r="K57" s="256"/>
      <c r="L57" s="256"/>
      <c r="M57" s="256"/>
      <c r="N57" s="256"/>
      <c r="O57" s="256"/>
      <c r="P57" s="256"/>
      <c r="Q57" s="286"/>
      <c r="R57" s="287"/>
      <c r="S57" s="287"/>
      <c r="T57" s="287"/>
      <c r="U57" s="287"/>
      <c r="V57" s="287"/>
      <c r="W57" s="287"/>
      <c r="X57" s="288"/>
      <c r="Z57" s="249"/>
      <c r="AA57" s="250"/>
      <c r="AB57" s="250"/>
      <c r="AC57" s="250"/>
      <c r="AD57" s="250"/>
      <c r="AE57" s="250"/>
      <c r="AF57" s="250"/>
      <c r="AG57" s="250"/>
      <c r="AH57" s="250"/>
      <c r="AI57" s="250"/>
      <c r="AJ57" s="250"/>
      <c r="AK57" s="250"/>
      <c r="AL57" s="251"/>
      <c r="AM57" s="250"/>
      <c r="AN57" s="250"/>
      <c r="AO57" s="250"/>
      <c r="AP57" s="250"/>
      <c r="AQ57" s="250"/>
      <c r="AR57" s="250"/>
      <c r="AS57" s="250"/>
      <c r="AT57" s="251"/>
      <c r="AV57" s="252">
        <f t="shared" si="4"/>
        <v>0</v>
      </c>
      <c r="AW57" s="220">
        <f t="shared" si="5"/>
        <v>0</v>
      </c>
      <c r="AX57" s="220">
        <f t="shared" si="6"/>
        <v>0</v>
      </c>
      <c r="AY57" s="220">
        <f t="shared" si="7"/>
        <v>0</v>
      </c>
      <c r="AZ57" s="220">
        <f t="shared" si="8"/>
        <v>0</v>
      </c>
      <c r="BA57" s="220">
        <f t="shared" si="9"/>
        <v>0</v>
      </c>
      <c r="BB57" s="220">
        <f t="shared" si="10"/>
        <v>0</v>
      </c>
      <c r="BC57" s="220">
        <f t="shared" si="11"/>
        <v>0</v>
      </c>
      <c r="BD57" s="220">
        <f t="shared" si="12"/>
        <v>0</v>
      </c>
      <c r="BE57" s="220">
        <f t="shared" si="13"/>
        <v>0</v>
      </c>
      <c r="BF57" s="220">
        <f t="shared" si="14"/>
        <v>0</v>
      </c>
      <c r="BG57" s="220">
        <f t="shared" si="15"/>
        <v>0</v>
      </c>
      <c r="BH57" s="220">
        <f t="shared" si="16"/>
        <v>0</v>
      </c>
      <c r="BI57" s="220">
        <f t="shared" si="17"/>
        <v>0</v>
      </c>
      <c r="BJ57" s="220">
        <f t="shared" si="18"/>
        <v>0</v>
      </c>
      <c r="BK57" s="220">
        <f t="shared" si="19"/>
        <v>0</v>
      </c>
      <c r="BL57" s="220">
        <f t="shared" si="20"/>
        <v>0</v>
      </c>
      <c r="BM57" s="220">
        <f t="shared" si="21"/>
        <v>0</v>
      </c>
      <c r="BN57" s="220">
        <f t="shared" si="22"/>
        <v>0</v>
      </c>
      <c r="BO57" s="220">
        <f t="shared" si="23"/>
        <v>0</v>
      </c>
      <c r="BP57" s="220">
        <f t="shared" si="24"/>
        <v>0</v>
      </c>
      <c r="BQ57" s="254">
        <f t="shared" si="25"/>
        <v>0</v>
      </c>
    </row>
    <row r="58" spans="2:69" x14ac:dyDescent="0.2">
      <c r="B58" s="234"/>
      <c r="C58" s="284"/>
      <c r="D58" s="285"/>
      <c r="E58" s="256"/>
      <c r="F58" s="256"/>
      <c r="G58" s="256"/>
      <c r="H58" s="256"/>
      <c r="I58" s="256"/>
      <c r="J58" s="256"/>
      <c r="K58" s="256"/>
      <c r="L58" s="256"/>
      <c r="M58" s="256"/>
      <c r="N58" s="256"/>
      <c r="O58" s="256"/>
      <c r="P58" s="256"/>
      <c r="Q58" s="286"/>
      <c r="R58" s="287"/>
      <c r="S58" s="287"/>
      <c r="T58" s="287"/>
      <c r="U58" s="287"/>
      <c r="V58" s="287"/>
      <c r="W58" s="287"/>
      <c r="X58" s="288"/>
      <c r="Z58" s="249"/>
      <c r="AA58" s="250"/>
      <c r="AB58" s="250"/>
      <c r="AC58" s="250"/>
      <c r="AD58" s="250"/>
      <c r="AE58" s="250"/>
      <c r="AF58" s="250"/>
      <c r="AG58" s="250"/>
      <c r="AH58" s="250"/>
      <c r="AI58" s="250"/>
      <c r="AJ58" s="250"/>
      <c r="AK58" s="250"/>
      <c r="AL58" s="251"/>
      <c r="AM58" s="250"/>
      <c r="AN58" s="250"/>
      <c r="AO58" s="250"/>
      <c r="AP58" s="250"/>
      <c r="AQ58" s="250"/>
      <c r="AR58" s="250"/>
      <c r="AS58" s="250"/>
      <c r="AT58" s="251"/>
      <c r="AV58" s="252">
        <f t="shared" si="4"/>
        <v>0</v>
      </c>
      <c r="AW58" s="220">
        <f t="shared" si="5"/>
        <v>0</v>
      </c>
      <c r="AX58" s="220">
        <f t="shared" si="6"/>
        <v>0</v>
      </c>
      <c r="AY58" s="220">
        <f t="shared" si="7"/>
        <v>0</v>
      </c>
      <c r="AZ58" s="220">
        <f t="shared" si="8"/>
        <v>0</v>
      </c>
      <c r="BA58" s="220">
        <f t="shared" si="9"/>
        <v>0</v>
      </c>
      <c r="BB58" s="220">
        <f t="shared" si="10"/>
        <v>0</v>
      </c>
      <c r="BC58" s="220">
        <f t="shared" si="11"/>
        <v>0</v>
      </c>
      <c r="BD58" s="220">
        <f t="shared" si="12"/>
        <v>0</v>
      </c>
      <c r="BE58" s="220">
        <f t="shared" si="13"/>
        <v>0</v>
      </c>
      <c r="BF58" s="220">
        <f t="shared" si="14"/>
        <v>0</v>
      </c>
      <c r="BG58" s="220">
        <f t="shared" si="15"/>
        <v>0</v>
      </c>
      <c r="BH58" s="220">
        <f t="shared" si="16"/>
        <v>0</v>
      </c>
      <c r="BI58" s="220">
        <f t="shared" si="17"/>
        <v>0</v>
      </c>
      <c r="BJ58" s="220">
        <f t="shared" si="18"/>
        <v>0</v>
      </c>
      <c r="BK58" s="220">
        <f t="shared" si="19"/>
        <v>0</v>
      </c>
      <c r="BL58" s="220">
        <f t="shared" si="20"/>
        <v>0</v>
      </c>
      <c r="BM58" s="220">
        <f t="shared" si="21"/>
        <v>0</v>
      </c>
      <c r="BN58" s="220">
        <f t="shared" si="22"/>
        <v>0</v>
      </c>
      <c r="BO58" s="220">
        <f t="shared" si="23"/>
        <v>0</v>
      </c>
      <c r="BP58" s="220">
        <f t="shared" si="24"/>
        <v>0</v>
      </c>
      <c r="BQ58" s="254">
        <f t="shared" si="25"/>
        <v>0</v>
      </c>
    </row>
    <row r="59" spans="2:69" x14ac:dyDescent="0.2">
      <c r="B59" s="234"/>
      <c r="C59" s="284"/>
      <c r="D59" s="285"/>
      <c r="E59" s="256"/>
      <c r="F59" s="256"/>
      <c r="G59" s="256"/>
      <c r="H59" s="256"/>
      <c r="I59" s="256"/>
      <c r="J59" s="256"/>
      <c r="K59" s="256"/>
      <c r="L59" s="256"/>
      <c r="M59" s="256"/>
      <c r="N59" s="256"/>
      <c r="O59" s="256"/>
      <c r="P59" s="256"/>
      <c r="Q59" s="286"/>
      <c r="R59" s="287"/>
      <c r="S59" s="287"/>
      <c r="T59" s="287"/>
      <c r="U59" s="287"/>
      <c r="V59" s="287"/>
      <c r="W59" s="287"/>
      <c r="X59" s="288"/>
      <c r="Z59" s="249"/>
      <c r="AA59" s="250"/>
      <c r="AB59" s="250"/>
      <c r="AC59" s="250"/>
      <c r="AD59" s="250"/>
      <c r="AE59" s="250"/>
      <c r="AF59" s="250"/>
      <c r="AG59" s="250"/>
      <c r="AH59" s="250"/>
      <c r="AI59" s="250"/>
      <c r="AJ59" s="250"/>
      <c r="AK59" s="250"/>
      <c r="AL59" s="251"/>
      <c r="AM59" s="250"/>
      <c r="AN59" s="250"/>
      <c r="AO59" s="250"/>
      <c r="AP59" s="250"/>
      <c r="AQ59" s="250"/>
      <c r="AR59" s="250"/>
      <c r="AS59" s="250"/>
      <c r="AT59" s="251"/>
      <c r="AV59" s="252">
        <f t="shared" si="4"/>
        <v>0</v>
      </c>
      <c r="AW59" s="220">
        <f t="shared" si="5"/>
        <v>0</v>
      </c>
      <c r="AX59" s="220">
        <f t="shared" si="6"/>
        <v>0</v>
      </c>
      <c r="AY59" s="220">
        <f t="shared" si="7"/>
        <v>0</v>
      </c>
      <c r="AZ59" s="220">
        <f t="shared" si="8"/>
        <v>0</v>
      </c>
      <c r="BA59" s="220">
        <f t="shared" si="9"/>
        <v>0</v>
      </c>
      <c r="BB59" s="220">
        <f t="shared" si="10"/>
        <v>0</v>
      </c>
      <c r="BC59" s="220">
        <f t="shared" si="11"/>
        <v>0</v>
      </c>
      <c r="BD59" s="220">
        <f t="shared" si="12"/>
        <v>0</v>
      </c>
      <c r="BE59" s="220">
        <f t="shared" si="13"/>
        <v>0</v>
      </c>
      <c r="BF59" s="220">
        <f t="shared" si="14"/>
        <v>0</v>
      </c>
      <c r="BG59" s="220">
        <f t="shared" si="15"/>
        <v>0</v>
      </c>
      <c r="BH59" s="220">
        <f t="shared" si="16"/>
        <v>0</v>
      </c>
      <c r="BI59" s="220">
        <f t="shared" si="17"/>
        <v>0</v>
      </c>
      <c r="BJ59" s="220">
        <f t="shared" si="18"/>
        <v>0</v>
      </c>
      <c r="BK59" s="220">
        <f t="shared" si="19"/>
        <v>0</v>
      </c>
      <c r="BL59" s="220">
        <f t="shared" si="20"/>
        <v>0</v>
      </c>
      <c r="BM59" s="220">
        <f t="shared" si="21"/>
        <v>0</v>
      </c>
      <c r="BN59" s="220">
        <f t="shared" si="22"/>
        <v>0</v>
      </c>
      <c r="BO59" s="220">
        <f t="shared" si="23"/>
        <v>0</v>
      </c>
      <c r="BP59" s="220">
        <f t="shared" si="24"/>
        <v>0</v>
      </c>
      <c r="BQ59" s="254">
        <f t="shared" si="25"/>
        <v>0</v>
      </c>
    </row>
    <row r="60" spans="2:69" x14ac:dyDescent="0.2">
      <c r="B60" s="234"/>
      <c r="C60" s="284"/>
      <c r="D60" s="285"/>
      <c r="E60" s="256"/>
      <c r="F60" s="256"/>
      <c r="G60" s="256"/>
      <c r="H60" s="256"/>
      <c r="I60" s="256"/>
      <c r="J60" s="256"/>
      <c r="K60" s="256"/>
      <c r="L60" s="256"/>
      <c r="M60" s="256"/>
      <c r="N60" s="256"/>
      <c r="O60" s="256"/>
      <c r="P60" s="256"/>
      <c r="Q60" s="286"/>
      <c r="R60" s="287"/>
      <c r="S60" s="287"/>
      <c r="T60" s="287"/>
      <c r="U60" s="287"/>
      <c r="V60" s="287"/>
      <c r="W60" s="287"/>
      <c r="X60" s="288"/>
      <c r="Z60" s="249"/>
      <c r="AA60" s="250"/>
      <c r="AB60" s="250"/>
      <c r="AC60" s="250"/>
      <c r="AD60" s="250"/>
      <c r="AE60" s="250"/>
      <c r="AF60" s="250"/>
      <c r="AG60" s="250"/>
      <c r="AH60" s="250"/>
      <c r="AI60" s="250"/>
      <c r="AJ60" s="250"/>
      <c r="AK60" s="250"/>
      <c r="AL60" s="251"/>
      <c r="AM60" s="250"/>
      <c r="AN60" s="250"/>
      <c r="AO60" s="250"/>
      <c r="AP60" s="250"/>
      <c r="AQ60" s="250"/>
      <c r="AR60" s="250"/>
      <c r="AS60" s="250"/>
      <c r="AT60" s="251"/>
      <c r="AV60" s="252">
        <f t="shared" si="4"/>
        <v>0</v>
      </c>
      <c r="AW60" s="220">
        <f t="shared" si="5"/>
        <v>0</v>
      </c>
      <c r="AX60" s="220">
        <f t="shared" si="6"/>
        <v>0</v>
      </c>
      <c r="AY60" s="220">
        <f t="shared" si="7"/>
        <v>0</v>
      </c>
      <c r="AZ60" s="220">
        <f t="shared" si="8"/>
        <v>0</v>
      </c>
      <c r="BA60" s="220">
        <f t="shared" si="9"/>
        <v>0</v>
      </c>
      <c r="BB60" s="220">
        <f t="shared" si="10"/>
        <v>0</v>
      </c>
      <c r="BC60" s="220">
        <f t="shared" si="11"/>
        <v>0</v>
      </c>
      <c r="BD60" s="220">
        <f t="shared" si="12"/>
        <v>0</v>
      </c>
      <c r="BE60" s="220">
        <f t="shared" si="13"/>
        <v>0</v>
      </c>
      <c r="BF60" s="220">
        <f t="shared" si="14"/>
        <v>0</v>
      </c>
      <c r="BG60" s="220">
        <f t="shared" si="15"/>
        <v>0</v>
      </c>
      <c r="BH60" s="220">
        <f t="shared" si="16"/>
        <v>0</v>
      </c>
      <c r="BI60" s="220">
        <f t="shared" si="17"/>
        <v>0</v>
      </c>
      <c r="BJ60" s="220">
        <f t="shared" si="18"/>
        <v>0</v>
      </c>
      <c r="BK60" s="220">
        <f t="shared" si="19"/>
        <v>0</v>
      </c>
      <c r="BL60" s="220">
        <f t="shared" si="20"/>
        <v>0</v>
      </c>
      <c r="BM60" s="220">
        <f t="shared" si="21"/>
        <v>0</v>
      </c>
      <c r="BN60" s="220">
        <f t="shared" si="22"/>
        <v>0</v>
      </c>
      <c r="BO60" s="220">
        <f t="shared" si="23"/>
        <v>0</v>
      </c>
      <c r="BP60" s="220">
        <f t="shared" si="24"/>
        <v>0</v>
      </c>
      <c r="BQ60" s="254">
        <f t="shared" si="25"/>
        <v>0</v>
      </c>
    </row>
    <row r="61" spans="2:69" x14ac:dyDescent="0.2">
      <c r="B61" s="234"/>
      <c r="C61" s="284"/>
      <c r="D61" s="285"/>
      <c r="E61" s="256"/>
      <c r="F61" s="256"/>
      <c r="G61" s="256"/>
      <c r="H61" s="256"/>
      <c r="I61" s="256"/>
      <c r="J61" s="256"/>
      <c r="K61" s="256"/>
      <c r="L61" s="256"/>
      <c r="M61" s="256"/>
      <c r="N61" s="256"/>
      <c r="O61" s="256"/>
      <c r="P61" s="256"/>
      <c r="Q61" s="286"/>
      <c r="R61" s="287"/>
      <c r="S61" s="287"/>
      <c r="T61" s="287"/>
      <c r="U61" s="287"/>
      <c r="V61" s="287"/>
      <c r="W61" s="287"/>
      <c r="X61" s="288"/>
      <c r="Z61" s="249"/>
      <c r="AA61" s="250"/>
      <c r="AB61" s="250"/>
      <c r="AC61" s="250"/>
      <c r="AD61" s="250"/>
      <c r="AE61" s="250"/>
      <c r="AF61" s="250"/>
      <c r="AG61" s="250"/>
      <c r="AH61" s="250"/>
      <c r="AI61" s="250"/>
      <c r="AJ61" s="250"/>
      <c r="AK61" s="250"/>
      <c r="AL61" s="251"/>
      <c r="AM61" s="250"/>
      <c r="AN61" s="250"/>
      <c r="AO61" s="250"/>
      <c r="AP61" s="250"/>
      <c r="AQ61" s="250"/>
      <c r="AR61" s="250"/>
      <c r="AS61" s="250"/>
      <c r="AT61" s="251"/>
      <c r="AV61" s="252">
        <f t="shared" si="4"/>
        <v>0</v>
      </c>
      <c r="AW61" s="220">
        <f t="shared" si="5"/>
        <v>0</v>
      </c>
      <c r="AX61" s="220">
        <f t="shared" si="6"/>
        <v>0</v>
      </c>
      <c r="AY61" s="220">
        <f t="shared" si="7"/>
        <v>0</v>
      </c>
      <c r="AZ61" s="220">
        <f t="shared" si="8"/>
        <v>0</v>
      </c>
      <c r="BA61" s="220">
        <f t="shared" si="9"/>
        <v>0</v>
      </c>
      <c r="BB61" s="220">
        <f t="shared" si="10"/>
        <v>0</v>
      </c>
      <c r="BC61" s="220">
        <f t="shared" si="11"/>
        <v>0</v>
      </c>
      <c r="BD61" s="220">
        <f t="shared" si="12"/>
        <v>0</v>
      </c>
      <c r="BE61" s="220">
        <f t="shared" si="13"/>
        <v>0</v>
      </c>
      <c r="BF61" s="220">
        <f t="shared" si="14"/>
        <v>0</v>
      </c>
      <c r="BG61" s="220">
        <f t="shared" si="15"/>
        <v>0</v>
      </c>
      <c r="BH61" s="220">
        <f t="shared" si="16"/>
        <v>0</v>
      </c>
      <c r="BI61" s="220">
        <f t="shared" si="17"/>
        <v>0</v>
      </c>
      <c r="BJ61" s="220">
        <f t="shared" si="18"/>
        <v>0</v>
      </c>
      <c r="BK61" s="220">
        <f t="shared" si="19"/>
        <v>0</v>
      </c>
      <c r="BL61" s="220">
        <f t="shared" si="20"/>
        <v>0</v>
      </c>
      <c r="BM61" s="220">
        <f t="shared" si="21"/>
        <v>0</v>
      </c>
      <c r="BN61" s="220">
        <f t="shared" si="22"/>
        <v>0</v>
      </c>
      <c r="BO61" s="220">
        <f t="shared" si="23"/>
        <v>0</v>
      </c>
      <c r="BP61" s="220">
        <f t="shared" si="24"/>
        <v>0</v>
      </c>
      <c r="BQ61" s="254">
        <f t="shared" si="25"/>
        <v>0</v>
      </c>
    </row>
    <row r="62" spans="2:69" x14ac:dyDescent="0.2">
      <c r="B62" s="234"/>
      <c r="C62" s="284"/>
      <c r="D62" s="285"/>
      <c r="E62" s="256"/>
      <c r="F62" s="256"/>
      <c r="G62" s="256"/>
      <c r="H62" s="256"/>
      <c r="I62" s="256"/>
      <c r="J62" s="256"/>
      <c r="K62" s="256"/>
      <c r="L62" s="256"/>
      <c r="M62" s="256"/>
      <c r="N62" s="256"/>
      <c r="O62" s="256"/>
      <c r="P62" s="256"/>
      <c r="Q62" s="286"/>
      <c r="R62" s="287"/>
      <c r="S62" s="287"/>
      <c r="T62" s="287"/>
      <c r="U62" s="287"/>
      <c r="V62" s="287"/>
      <c r="W62" s="287"/>
      <c r="X62" s="288"/>
      <c r="Z62" s="249"/>
      <c r="AA62" s="250"/>
      <c r="AB62" s="250"/>
      <c r="AC62" s="250"/>
      <c r="AD62" s="250"/>
      <c r="AE62" s="250"/>
      <c r="AF62" s="250"/>
      <c r="AG62" s="250"/>
      <c r="AH62" s="250"/>
      <c r="AI62" s="250"/>
      <c r="AJ62" s="250"/>
      <c r="AK62" s="250"/>
      <c r="AL62" s="251"/>
      <c r="AM62" s="250"/>
      <c r="AN62" s="250"/>
      <c r="AO62" s="250"/>
      <c r="AP62" s="250"/>
      <c r="AQ62" s="250"/>
      <c r="AR62" s="250"/>
      <c r="AS62" s="250"/>
      <c r="AT62" s="251"/>
      <c r="AV62" s="252">
        <f t="shared" si="4"/>
        <v>0</v>
      </c>
      <c r="AW62" s="220">
        <f t="shared" si="5"/>
        <v>0</v>
      </c>
      <c r="AX62" s="220">
        <f t="shared" si="6"/>
        <v>0</v>
      </c>
      <c r="AY62" s="220">
        <f t="shared" si="7"/>
        <v>0</v>
      </c>
      <c r="AZ62" s="220">
        <f t="shared" si="8"/>
        <v>0</v>
      </c>
      <c r="BA62" s="220">
        <f t="shared" si="9"/>
        <v>0</v>
      </c>
      <c r="BB62" s="220">
        <f t="shared" si="10"/>
        <v>0</v>
      </c>
      <c r="BC62" s="220">
        <f t="shared" si="11"/>
        <v>0</v>
      </c>
      <c r="BD62" s="220">
        <f t="shared" si="12"/>
        <v>0</v>
      </c>
      <c r="BE62" s="220">
        <f t="shared" si="13"/>
        <v>0</v>
      </c>
      <c r="BF62" s="220">
        <f t="shared" si="14"/>
        <v>0</v>
      </c>
      <c r="BG62" s="220">
        <f t="shared" si="15"/>
        <v>0</v>
      </c>
      <c r="BH62" s="220">
        <f t="shared" si="16"/>
        <v>0</v>
      </c>
      <c r="BI62" s="220">
        <f t="shared" si="17"/>
        <v>0</v>
      </c>
      <c r="BJ62" s="220">
        <f t="shared" si="18"/>
        <v>0</v>
      </c>
      <c r="BK62" s="220">
        <f t="shared" si="19"/>
        <v>0</v>
      </c>
      <c r="BL62" s="220">
        <f t="shared" si="20"/>
        <v>0</v>
      </c>
      <c r="BM62" s="220">
        <f t="shared" si="21"/>
        <v>0</v>
      </c>
      <c r="BN62" s="220">
        <f t="shared" si="22"/>
        <v>0</v>
      </c>
      <c r="BO62" s="220">
        <f t="shared" si="23"/>
        <v>0</v>
      </c>
      <c r="BP62" s="220">
        <f t="shared" si="24"/>
        <v>0</v>
      </c>
      <c r="BQ62" s="254">
        <f t="shared" si="25"/>
        <v>0</v>
      </c>
    </row>
    <row r="63" spans="2:69" x14ac:dyDescent="0.2">
      <c r="B63" s="234"/>
      <c r="C63" s="284"/>
      <c r="D63" s="285"/>
      <c r="E63" s="256"/>
      <c r="F63" s="256"/>
      <c r="G63" s="256"/>
      <c r="H63" s="256"/>
      <c r="I63" s="256"/>
      <c r="J63" s="256"/>
      <c r="K63" s="256"/>
      <c r="L63" s="256"/>
      <c r="M63" s="256"/>
      <c r="N63" s="256"/>
      <c r="O63" s="256"/>
      <c r="P63" s="256"/>
      <c r="Q63" s="286"/>
      <c r="R63" s="287"/>
      <c r="S63" s="287"/>
      <c r="T63" s="287"/>
      <c r="U63" s="287"/>
      <c r="V63" s="287"/>
      <c r="W63" s="287"/>
      <c r="X63" s="288"/>
      <c r="Z63" s="249"/>
      <c r="AA63" s="250"/>
      <c r="AB63" s="250"/>
      <c r="AC63" s="250"/>
      <c r="AD63" s="250"/>
      <c r="AE63" s="250"/>
      <c r="AF63" s="250"/>
      <c r="AG63" s="250"/>
      <c r="AH63" s="250"/>
      <c r="AI63" s="250"/>
      <c r="AJ63" s="250"/>
      <c r="AK63" s="250"/>
      <c r="AL63" s="251"/>
      <c r="AM63" s="250"/>
      <c r="AN63" s="250"/>
      <c r="AO63" s="250"/>
      <c r="AP63" s="250"/>
      <c r="AQ63" s="250"/>
      <c r="AR63" s="250"/>
      <c r="AS63" s="250"/>
      <c r="AT63" s="251"/>
      <c r="AV63" s="252">
        <f t="shared" si="4"/>
        <v>0</v>
      </c>
      <c r="AW63" s="220">
        <f t="shared" si="5"/>
        <v>0</v>
      </c>
      <c r="AX63" s="220">
        <f t="shared" si="6"/>
        <v>0</v>
      </c>
      <c r="AY63" s="220">
        <f t="shared" si="7"/>
        <v>0</v>
      </c>
      <c r="AZ63" s="220">
        <f t="shared" si="8"/>
        <v>0</v>
      </c>
      <c r="BA63" s="220">
        <f t="shared" si="9"/>
        <v>0</v>
      </c>
      <c r="BB63" s="220">
        <f t="shared" si="10"/>
        <v>0</v>
      </c>
      <c r="BC63" s="220">
        <f t="shared" si="11"/>
        <v>0</v>
      </c>
      <c r="BD63" s="220">
        <f t="shared" si="12"/>
        <v>0</v>
      </c>
      <c r="BE63" s="220">
        <f t="shared" si="13"/>
        <v>0</v>
      </c>
      <c r="BF63" s="220">
        <f t="shared" si="14"/>
        <v>0</v>
      </c>
      <c r="BG63" s="220">
        <f t="shared" si="15"/>
        <v>0</v>
      </c>
      <c r="BH63" s="220">
        <f t="shared" si="16"/>
        <v>0</v>
      </c>
      <c r="BI63" s="220">
        <f t="shared" si="17"/>
        <v>0</v>
      </c>
      <c r="BJ63" s="220">
        <f t="shared" si="18"/>
        <v>0</v>
      </c>
      <c r="BK63" s="220">
        <f t="shared" si="19"/>
        <v>0</v>
      </c>
      <c r="BL63" s="220">
        <f t="shared" si="20"/>
        <v>0</v>
      </c>
      <c r="BM63" s="220">
        <f t="shared" si="21"/>
        <v>0</v>
      </c>
      <c r="BN63" s="220">
        <f t="shared" si="22"/>
        <v>0</v>
      </c>
      <c r="BO63" s="220">
        <f t="shared" si="23"/>
        <v>0</v>
      </c>
      <c r="BP63" s="220">
        <f t="shared" si="24"/>
        <v>0</v>
      </c>
      <c r="BQ63" s="254">
        <f t="shared" si="25"/>
        <v>0</v>
      </c>
    </row>
    <row r="64" spans="2:69" x14ac:dyDescent="0.2">
      <c r="B64" s="234"/>
      <c r="C64" s="284"/>
      <c r="D64" s="285"/>
      <c r="E64" s="256"/>
      <c r="F64" s="256"/>
      <c r="G64" s="256"/>
      <c r="H64" s="256"/>
      <c r="I64" s="256"/>
      <c r="J64" s="256"/>
      <c r="K64" s="256"/>
      <c r="L64" s="256"/>
      <c r="M64" s="256"/>
      <c r="N64" s="256"/>
      <c r="O64" s="256"/>
      <c r="P64" s="256"/>
      <c r="Q64" s="286"/>
      <c r="R64" s="287"/>
      <c r="S64" s="287"/>
      <c r="T64" s="287"/>
      <c r="U64" s="287"/>
      <c r="V64" s="287"/>
      <c r="W64" s="287"/>
      <c r="X64" s="288"/>
      <c r="Z64" s="249"/>
      <c r="AA64" s="250"/>
      <c r="AB64" s="250"/>
      <c r="AC64" s="250"/>
      <c r="AD64" s="250"/>
      <c r="AE64" s="250"/>
      <c r="AF64" s="250"/>
      <c r="AG64" s="250"/>
      <c r="AH64" s="250"/>
      <c r="AI64" s="250"/>
      <c r="AJ64" s="250"/>
      <c r="AK64" s="250"/>
      <c r="AL64" s="251"/>
      <c r="AM64" s="250"/>
      <c r="AN64" s="250"/>
      <c r="AO64" s="250"/>
      <c r="AP64" s="250"/>
      <c r="AQ64" s="250"/>
      <c r="AR64" s="250"/>
      <c r="AS64" s="250"/>
      <c r="AT64" s="251"/>
      <c r="AV64" s="252">
        <f t="shared" si="4"/>
        <v>0</v>
      </c>
      <c r="AW64" s="220">
        <f t="shared" si="5"/>
        <v>0</v>
      </c>
      <c r="AX64" s="220">
        <f t="shared" si="6"/>
        <v>0</v>
      </c>
      <c r="AY64" s="220">
        <f t="shared" si="7"/>
        <v>0</v>
      </c>
      <c r="AZ64" s="220">
        <f t="shared" si="8"/>
        <v>0</v>
      </c>
      <c r="BA64" s="220">
        <f t="shared" si="9"/>
        <v>0</v>
      </c>
      <c r="BB64" s="220">
        <f t="shared" si="10"/>
        <v>0</v>
      </c>
      <c r="BC64" s="220">
        <f t="shared" si="11"/>
        <v>0</v>
      </c>
      <c r="BD64" s="220">
        <f t="shared" si="12"/>
        <v>0</v>
      </c>
      <c r="BE64" s="220">
        <f t="shared" si="13"/>
        <v>0</v>
      </c>
      <c r="BF64" s="220">
        <f t="shared" si="14"/>
        <v>0</v>
      </c>
      <c r="BG64" s="220">
        <f t="shared" si="15"/>
        <v>0</v>
      </c>
      <c r="BH64" s="220">
        <f t="shared" si="16"/>
        <v>0</v>
      </c>
      <c r="BI64" s="220">
        <f t="shared" si="17"/>
        <v>0</v>
      </c>
      <c r="BJ64" s="220">
        <f t="shared" si="18"/>
        <v>0</v>
      </c>
      <c r="BK64" s="220">
        <f t="shared" si="19"/>
        <v>0</v>
      </c>
      <c r="BL64" s="220">
        <f t="shared" si="20"/>
        <v>0</v>
      </c>
      <c r="BM64" s="220">
        <f t="shared" si="21"/>
        <v>0</v>
      </c>
      <c r="BN64" s="220">
        <f t="shared" si="22"/>
        <v>0</v>
      </c>
      <c r="BO64" s="220">
        <f t="shared" si="23"/>
        <v>0</v>
      </c>
      <c r="BP64" s="220">
        <f t="shared" si="24"/>
        <v>0</v>
      </c>
      <c r="BQ64" s="254">
        <f t="shared" si="25"/>
        <v>0</v>
      </c>
    </row>
    <row r="65" spans="2:69" ht="13.5" thickBot="1" x14ac:dyDescent="0.25">
      <c r="B65" s="259"/>
      <c r="C65" s="289"/>
      <c r="D65" s="290"/>
      <c r="E65" s="261"/>
      <c r="F65" s="261"/>
      <c r="G65" s="261"/>
      <c r="H65" s="261"/>
      <c r="I65" s="261"/>
      <c r="J65" s="261"/>
      <c r="K65" s="261"/>
      <c r="L65" s="261"/>
      <c r="M65" s="261"/>
      <c r="N65" s="261"/>
      <c r="O65" s="261"/>
      <c r="P65" s="261"/>
      <c r="Q65" s="291"/>
      <c r="R65" s="292"/>
      <c r="S65" s="292"/>
      <c r="T65" s="292"/>
      <c r="U65" s="292"/>
      <c r="V65" s="292"/>
      <c r="W65" s="292"/>
      <c r="X65" s="293"/>
      <c r="Z65" s="264"/>
      <c r="AA65" s="265"/>
      <c r="AB65" s="265"/>
      <c r="AC65" s="265"/>
      <c r="AD65" s="265"/>
      <c r="AE65" s="265"/>
      <c r="AF65" s="265"/>
      <c r="AG65" s="265"/>
      <c r="AH65" s="265"/>
      <c r="AI65" s="265"/>
      <c r="AJ65" s="265"/>
      <c r="AK65" s="265"/>
      <c r="AL65" s="266"/>
      <c r="AM65" s="265"/>
      <c r="AN65" s="265"/>
      <c r="AO65" s="265"/>
      <c r="AP65" s="265"/>
      <c r="AQ65" s="265"/>
      <c r="AR65" s="265"/>
      <c r="AS65" s="265"/>
      <c r="AT65" s="266"/>
      <c r="AV65" s="267">
        <f t="shared" si="4"/>
        <v>0</v>
      </c>
      <c r="AW65" s="268">
        <f t="shared" si="5"/>
        <v>0</v>
      </c>
      <c r="AX65" s="268">
        <f t="shared" si="6"/>
        <v>0</v>
      </c>
      <c r="AY65" s="268">
        <f t="shared" si="7"/>
        <v>0</v>
      </c>
      <c r="AZ65" s="268">
        <f t="shared" si="8"/>
        <v>0</v>
      </c>
      <c r="BA65" s="268">
        <f t="shared" si="9"/>
        <v>0</v>
      </c>
      <c r="BB65" s="268">
        <f t="shared" si="10"/>
        <v>0</v>
      </c>
      <c r="BC65" s="268">
        <f t="shared" si="11"/>
        <v>0</v>
      </c>
      <c r="BD65" s="268">
        <f t="shared" si="12"/>
        <v>0</v>
      </c>
      <c r="BE65" s="268">
        <f t="shared" si="13"/>
        <v>0</v>
      </c>
      <c r="BF65" s="268">
        <f t="shared" si="14"/>
        <v>0</v>
      </c>
      <c r="BG65" s="268">
        <f t="shared" si="15"/>
        <v>0</v>
      </c>
      <c r="BH65" s="268">
        <f t="shared" si="16"/>
        <v>0</v>
      </c>
      <c r="BI65" s="268">
        <f t="shared" si="17"/>
        <v>0</v>
      </c>
      <c r="BJ65" s="268">
        <f t="shared" si="18"/>
        <v>0</v>
      </c>
      <c r="BK65" s="268">
        <f t="shared" si="19"/>
        <v>0</v>
      </c>
      <c r="BL65" s="268">
        <f t="shared" si="20"/>
        <v>0</v>
      </c>
      <c r="BM65" s="268">
        <f t="shared" si="21"/>
        <v>0</v>
      </c>
      <c r="BN65" s="268">
        <f t="shared" si="22"/>
        <v>0</v>
      </c>
      <c r="BO65" s="268">
        <f t="shared" si="23"/>
        <v>0</v>
      </c>
      <c r="BP65" s="268">
        <f t="shared" si="24"/>
        <v>0</v>
      </c>
      <c r="BQ65" s="270">
        <f t="shared" si="25"/>
        <v>0</v>
      </c>
    </row>
    <row r="66" spans="2:69" ht="13.5" thickBot="1" x14ac:dyDescent="0.25">
      <c r="B66" s="271"/>
      <c r="C66" s="151"/>
      <c r="Z66" s="272">
        <f t="shared" ref="Z66:AL66" si="26">SUM(Z6:Z65)</f>
        <v>373143.83333333331</v>
      </c>
      <c r="AA66" s="272">
        <f t="shared" si="26"/>
        <v>1272086460.663789</v>
      </c>
      <c r="AB66" s="272">
        <f t="shared" si="26"/>
        <v>2597281821.8915658</v>
      </c>
      <c r="AC66" s="272">
        <f t="shared" si="26"/>
        <v>0</v>
      </c>
      <c r="AD66" s="272">
        <f t="shared" si="26"/>
        <v>0</v>
      </c>
      <c r="AE66" s="272">
        <f t="shared" si="26"/>
        <v>2012408976.1105549</v>
      </c>
      <c r="AF66" s="272">
        <f t="shared" si="26"/>
        <v>0</v>
      </c>
      <c r="AG66" s="272">
        <f t="shared" si="26"/>
        <v>0</v>
      </c>
      <c r="AH66" s="272">
        <f t="shared" si="26"/>
        <v>0</v>
      </c>
      <c r="AI66" s="272">
        <f t="shared" si="26"/>
        <v>914893.23108333279</v>
      </c>
      <c r="AJ66" s="272">
        <f t="shared" si="26"/>
        <v>0</v>
      </c>
      <c r="AK66" s="272">
        <f t="shared" si="26"/>
        <v>1252129.4476761888</v>
      </c>
      <c r="AL66" s="272">
        <f t="shared" si="26"/>
        <v>2174517.9950447618</v>
      </c>
      <c r="AM66" s="272">
        <f t="shared" ref="AM66:AT66" si="27">SUM(AM6:AM65)</f>
        <v>414808.56590921606</v>
      </c>
      <c r="AN66" s="272">
        <f t="shared" si="27"/>
        <v>515541.75038326747</v>
      </c>
      <c r="AO66" s="272">
        <f t="shared" si="27"/>
        <v>510185.1308476784</v>
      </c>
      <c r="AP66" s="272">
        <f t="shared" si="27"/>
        <v>0</v>
      </c>
      <c r="AQ66" s="272">
        <f t="shared" si="27"/>
        <v>1382965.6448100451</v>
      </c>
      <c r="AR66" s="272">
        <f t="shared" si="27"/>
        <v>1828108.2879962048</v>
      </c>
      <c r="AS66" s="272">
        <f t="shared" si="27"/>
        <v>1739470.8675136871</v>
      </c>
      <c r="AT66" s="272">
        <f t="shared" si="27"/>
        <v>0</v>
      </c>
      <c r="AV66" s="273">
        <f t="shared" ref="AV66:BP66" si="28">SUM(AV6:AV65)</f>
        <v>0</v>
      </c>
      <c r="AW66" s="272">
        <f t="shared" si="28"/>
        <v>636043.23033189459</v>
      </c>
      <c r="AX66" s="272">
        <f t="shared" si="28"/>
        <v>969966.41454693605</v>
      </c>
      <c r="AY66" s="272">
        <f t="shared" si="28"/>
        <v>0</v>
      </c>
      <c r="AZ66" s="272">
        <f t="shared" si="28"/>
        <v>0</v>
      </c>
      <c r="BA66" s="272">
        <f t="shared" si="28"/>
        <v>727135.67513556289</v>
      </c>
      <c r="BB66" s="272">
        <f t="shared" si="28"/>
        <v>0</v>
      </c>
      <c r="BC66" s="272">
        <f t="shared" si="28"/>
        <v>0</v>
      </c>
      <c r="BD66" s="272">
        <f t="shared" si="28"/>
        <v>0</v>
      </c>
      <c r="BE66" s="272">
        <f t="shared" si="28"/>
        <v>0</v>
      </c>
      <c r="BF66" s="272">
        <f t="shared" si="28"/>
        <v>0</v>
      </c>
      <c r="BG66" s="272">
        <f t="shared" si="28"/>
        <v>0</v>
      </c>
      <c r="BH66" s="272">
        <f t="shared" si="28"/>
        <v>0</v>
      </c>
      <c r="BI66" s="272">
        <f t="shared" si="28"/>
        <v>207.40428295460802</v>
      </c>
      <c r="BJ66" s="272">
        <f t="shared" si="28"/>
        <v>257.77087519163371</v>
      </c>
      <c r="BK66" s="272">
        <f t="shared" si="28"/>
        <v>255.0925654238392</v>
      </c>
      <c r="BL66" s="272">
        <f t="shared" si="28"/>
        <v>0</v>
      </c>
      <c r="BM66" s="272">
        <f t="shared" si="28"/>
        <v>691.48282240502272</v>
      </c>
      <c r="BN66" s="272">
        <f t="shared" si="28"/>
        <v>914.05414399810252</v>
      </c>
      <c r="BO66" s="272">
        <f t="shared" si="28"/>
        <v>869.73543375684358</v>
      </c>
      <c r="BP66" s="272">
        <f t="shared" si="28"/>
        <v>0</v>
      </c>
      <c r="BQ66" s="272">
        <f>SUM(AV66:BP66)</f>
        <v>2336340.8601381243</v>
      </c>
    </row>
    <row r="67" spans="2:69" ht="13.5" thickTop="1" x14ac:dyDescent="0.2">
      <c r="B67" s="271"/>
      <c r="C67" s="151"/>
    </row>
    <row r="68" spans="2:69" x14ac:dyDescent="0.2">
      <c r="B68" s="271"/>
      <c r="C68" s="151"/>
      <c r="BQ68" s="321"/>
    </row>
    <row r="69" spans="2:69" x14ac:dyDescent="0.2">
      <c r="B69" s="271"/>
      <c r="C69" s="151"/>
      <c r="BQ69" s="321"/>
    </row>
    <row r="70" spans="2:69" x14ac:dyDescent="0.2">
      <c r="B70" s="271"/>
      <c r="C70" s="151"/>
    </row>
    <row r="71" spans="2:69" x14ac:dyDescent="0.2">
      <c r="B71" s="271"/>
      <c r="C71" s="151"/>
    </row>
    <row r="72" spans="2:69" x14ac:dyDescent="0.2">
      <c r="B72" s="271"/>
      <c r="C72" s="151"/>
    </row>
    <row r="73" spans="2:69" x14ac:dyDescent="0.2">
      <c r="B73" s="271"/>
      <c r="C73" s="151"/>
    </row>
    <row r="74" spans="2:69" x14ac:dyDescent="0.2">
      <c r="B74" s="271"/>
      <c r="C74" s="151"/>
    </row>
    <row r="75" spans="2:69" x14ac:dyDescent="0.2">
      <c r="B75" s="271"/>
      <c r="C75" s="151"/>
    </row>
    <row r="76" spans="2:69" x14ac:dyDescent="0.2">
      <c r="B76" s="271"/>
      <c r="C76" s="151"/>
    </row>
    <row r="77" spans="2:69" x14ac:dyDescent="0.2">
      <c r="B77" s="271"/>
      <c r="C77" s="151"/>
    </row>
    <row r="78" spans="2:69" x14ac:dyDescent="0.2">
      <c r="B78" s="271"/>
      <c r="C78" s="151"/>
    </row>
    <row r="79" spans="2:69" x14ac:dyDescent="0.2">
      <c r="B79" s="271"/>
      <c r="C79" s="151"/>
    </row>
    <row r="80" spans="2:69" x14ac:dyDescent="0.2">
      <c r="B80" s="271"/>
      <c r="C80" s="151"/>
    </row>
    <row r="81" spans="2:3" x14ac:dyDescent="0.2">
      <c r="B81" s="271"/>
      <c r="C81" s="151"/>
    </row>
    <row r="82" spans="2:3" x14ac:dyDescent="0.2">
      <c r="B82" s="271"/>
      <c r="C82" s="151"/>
    </row>
    <row r="83" spans="2:3" x14ac:dyDescent="0.2">
      <c r="B83" s="271"/>
      <c r="C83" s="151"/>
    </row>
    <row r="84" spans="2:3" x14ac:dyDescent="0.2">
      <c r="B84" s="271"/>
      <c r="C84" s="151"/>
    </row>
    <row r="85" spans="2:3" x14ac:dyDescent="0.2">
      <c r="B85" s="271"/>
      <c r="C85" s="151"/>
    </row>
    <row r="86" spans="2:3" x14ac:dyDescent="0.2">
      <c r="B86" s="271"/>
      <c r="C86" s="151"/>
    </row>
    <row r="87" spans="2:3" x14ac:dyDescent="0.2">
      <c r="B87" s="271"/>
      <c r="C87" s="151"/>
    </row>
    <row r="88" spans="2:3" x14ac:dyDescent="0.2">
      <c r="B88" s="271"/>
      <c r="C88" s="151"/>
    </row>
    <row r="89" spans="2:3" x14ac:dyDescent="0.2">
      <c r="B89" s="271"/>
      <c r="C89" s="151"/>
    </row>
    <row r="90" spans="2:3" x14ac:dyDescent="0.2">
      <c r="B90" s="271"/>
      <c r="C90" s="151"/>
    </row>
    <row r="91" spans="2:3" x14ac:dyDescent="0.2">
      <c r="B91" s="271"/>
      <c r="C91" s="151"/>
    </row>
    <row r="92" spans="2:3" x14ac:dyDescent="0.2">
      <c r="B92" s="271"/>
      <c r="C92" s="151"/>
    </row>
    <row r="93" spans="2:3" x14ac:dyDescent="0.2">
      <c r="B93" s="271"/>
      <c r="C93" s="151"/>
    </row>
    <row r="94" spans="2:3" x14ac:dyDescent="0.2">
      <c r="B94" s="271"/>
      <c r="C94" s="151"/>
    </row>
    <row r="95" spans="2:3" x14ac:dyDescent="0.2">
      <c r="B95" s="271"/>
      <c r="C95" s="151"/>
    </row>
    <row r="96" spans="2:3" x14ac:dyDescent="0.2">
      <c r="B96" s="271"/>
      <c r="C96" s="151"/>
    </row>
    <row r="97" spans="2:3" x14ac:dyDescent="0.2">
      <c r="B97" s="271"/>
      <c r="C97" s="151"/>
    </row>
    <row r="98" spans="2:3" x14ac:dyDescent="0.2">
      <c r="B98" s="271"/>
      <c r="C98" s="151"/>
    </row>
    <row r="99" spans="2:3" x14ac:dyDescent="0.2">
      <c r="B99" s="271"/>
      <c r="C99" s="151"/>
    </row>
    <row r="100" spans="2:3" x14ac:dyDescent="0.2">
      <c r="B100" s="271"/>
      <c r="C100" s="151"/>
    </row>
    <row r="101" spans="2:3" x14ac:dyDescent="0.2">
      <c r="B101" s="271"/>
      <c r="C101" s="151"/>
    </row>
    <row r="102" spans="2:3" x14ac:dyDescent="0.2">
      <c r="B102" s="271"/>
      <c r="C102" s="151"/>
    </row>
    <row r="103" spans="2:3" x14ac:dyDescent="0.2">
      <c r="B103" s="271"/>
      <c r="C103" s="151"/>
    </row>
    <row r="104" spans="2:3" x14ac:dyDescent="0.2">
      <c r="B104" s="271"/>
      <c r="C104" s="151"/>
    </row>
    <row r="105" spans="2:3" x14ac:dyDescent="0.2">
      <c r="B105" s="271"/>
      <c r="C105" s="151"/>
    </row>
  </sheetData>
  <printOptions horizontalCentered="1"/>
  <pageMargins left="0.15748031496062992" right="0.15748031496062992" top="0.39370078740157483" bottom="0.39370078740157483" header="0.11811023622047245" footer="0.11811023622047245"/>
  <pageSetup paperSize="9" scale="41"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1048575" man="1"/>
    <brk id="46" max="65"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15"/>
    <pageSetUpPr autoPageBreaks="0"/>
  </sheetPr>
  <dimension ref="B1:BQ105"/>
  <sheetViews>
    <sheetView zoomScale="80" zoomScaleNormal="80" workbookViewId="0">
      <pane xSplit="3" ySplit="5" topLeftCell="D6" activePane="bottomRight" state="frozen"/>
      <selection activeCell="B2" sqref="B2:D2"/>
      <selection pane="topRight" activeCell="B2" sqref="B2:D2"/>
      <selection pane="bottomLeft" activeCell="B2" sqref="B2:D2"/>
      <selection pane="bottomRight" activeCell="D6" sqref="D6"/>
    </sheetView>
  </sheetViews>
  <sheetFormatPr defaultRowHeight="12.75" x14ac:dyDescent="0.2"/>
  <cols>
    <col min="1" max="1" width="1.85546875" style="196" customWidth="1"/>
    <col min="2" max="2" width="45" style="196" customWidth="1"/>
    <col min="3" max="3" width="1.85546875" style="196" customWidth="1"/>
    <col min="4" max="4" width="12.140625" style="196" customWidth="1"/>
    <col min="5" max="9" width="10.85546875" style="196" customWidth="1"/>
    <col min="10" max="10" width="10.7109375" style="196" customWidth="1"/>
    <col min="11" max="11" width="11.5703125" style="196" customWidth="1"/>
    <col min="12" max="12" width="11.28515625" style="196" customWidth="1"/>
    <col min="13" max="13" width="12.5703125" style="196" customWidth="1"/>
    <col min="14" max="14" width="11.140625" style="196" customWidth="1"/>
    <col min="15" max="15" width="12.140625" style="196" customWidth="1"/>
    <col min="16" max="16" width="11.42578125" style="196" customWidth="1"/>
    <col min="17" max="17" width="11.28515625" style="196" customWidth="1"/>
    <col min="18" max="18" width="14.85546875" style="196" bestFit="1" customWidth="1"/>
    <col min="19" max="19" width="16" style="196" customWidth="1"/>
    <col min="20" max="20" width="14.5703125" style="196" customWidth="1"/>
    <col min="21" max="22" width="16.7109375" style="196" bestFit="1" customWidth="1"/>
    <col min="23" max="23" width="16.85546875" style="196" bestFit="1" customWidth="1"/>
    <col min="24" max="24" width="13.42578125" style="196" customWidth="1"/>
    <col min="25" max="25" width="3.42578125" style="196" customWidth="1"/>
    <col min="26" max="26" width="15" style="196" customWidth="1"/>
    <col min="27" max="28" width="18.28515625" style="196" customWidth="1"/>
    <col min="29" max="29" width="15.5703125" style="196" customWidth="1"/>
    <col min="30" max="30" width="17.140625" style="196" customWidth="1"/>
    <col min="31" max="31" width="17.85546875" style="196" bestFit="1" customWidth="1"/>
    <col min="32" max="32" width="10.5703125" style="196" customWidth="1"/>
    <col min="33" max="33" width="11.7109375" style="196" customWidth="1"/>
    <col min="34" max="34" width="12.140625" style="196" customWidth="1"/>
    <col min="35" max="35" width="15.28515625" style="196" customWidth="1"/>
    <col min="36" max="36" width="14" style="196" customWidth="1"/>
    <col min="37" max="37" width="13.5703125" style="196" bestFit="1" customWidth="1"/>
    <col min="38" max="38" width="15.140625" style="196" customWidth="1"/>
    <col min="39" max="39" width="18" style="196" customWidth="1"/>
    <col min="40" max="40" width="15.140625" style="196" customWidth="1"/>
    <col min="41" max="41" width="14.5703125" style="196" customWidth="1"/>
    <col min="42" max="42" width="13.5703125" style="196" customWidth="1"/>
    <col min="43" max="45" width="14.42578125" style="196" bestFit="1" customWidth="1"/>
    <col min="46" max="46" width="11.85546875" style="196" customWidth="1"/>
    <col min="47" max="47" width="5.28515625" style="196" customWidth="1"/>
    <col min="48" max="48" width="14.5703125" style="196" customWidth="1"/>
    <col min="49" max="50" width="15.140625" style="196" customWidth="1"/>
    <col min="51" max="51" width="12.85546875" style="196" customWidth="1"/>
    <col min="52" max="52" width="14.7109375" style="196" customWidth="1"/>
    <col min="53" max="53" width="16.5703125" style="196" customWidth="1"/>
    <col min="54" max="56" width="9.140625" style="196"/>
    <col min="57" max="57" width="15.140625" style="196" customWidth="1"/>
    <col min="58" max="60" width="9.140625" style="196"/>
    <col min="61" max="62" width="12.42578125" style="196" customWidth="1"/>
    <col min="63" max="63" width="11.85546875" style="196" customWidth="1"/>
    <col min="64" max="64" width="9.140625" style="196"/>
    <col min="65" max="65" width="12.42578125" style="196" customWidth="1"/>
    <col min="66" max="66" width="12.5703125" style="196" customWidth="1"/>
    <col min="67" max="67" width="13.140625" style="196" customWidth="1"/>
    <col min="68" max="68" width="9.140625" style="196"/>
    <col min="69" max="69" width="17.140625" style="196" customWidth="1"/>
    <col min="70" max="16384" width="9.140625" style="196"/>
  </cols>
  <sheetData>
    <row r="1" spans="2:69" ht="15" x14ac:dyDescent="0.25">
      <c r="B1" s="150" t="str">
        <f>"Tariff Approval - "&amp;'Model update'!C3</f>
        <v>Tariff Approval - CitiPower</v>
      </c>
    </row>
    <row r="3" spans="2:69" x14ac:dyDescent="0.2">
      <c r="B3" s="223" t="str">
        <f>"ESTIMATED "&amp;'Model update'!C8&amp;" JURISDICTIONAL SCHEME REVENUE"</f>
        <v>ESTIMATED 2018 JURISDICTIONAL SCHEME REVENUE</v>
      </c>
    </row>
    <row r="4" spans="2:69" ht="13.5" thickBot="1" x14ac:dyDescent="0.25">
      <c r="D4" s="225" t="str">
        <f>"Current Jurisdictional scheme Tariffs (Pt-1) for "&amp;'Model update'!$C$8</f>
        <v>Current Jurisdictional scheme Tariffs (Pt-1) for 2018</v>
      </c>
      <c r="E4" s="226"/>
      <c r="F4" s="226"/>
      <c r="G4" s="226"/>
      <c r="H4" s="226"/>
      <c r="I4" s="182"/>
      <c r="Z4" s="225" t="str">
        <f>"Estimated Quantities (Qt-1) for "&amp;'Model update'!$C$8</f>
        <v>Estimated Quantities (Qt-1) for 2018</v>
      </c>
      <c r="AA4" s="226"/>
      <c r="AB4" s="226"/>
      <c r="AV4" s="227" t="str">
        <f>"Estimated Revenue (Pt-1 "&amp;'Model update'!$C$8&amp;")*(Qt-1 " &amp;'Model update'!$C$8&amp;")"</f>
        <v>Estimated Revenue (Pt-1 2018)*(Qt-1 2018)</v>
      </c>
      <c r="AW4" s="228"/>
      <c r="AX4" s="228"/>
      <c r="AY4" s="182"/>
      <c r="AZ4" s="182"/>
    </row>
    <row r="5" spans="2:69" ht="25.5" x14ac:dyDescent="0.2">
      <c r="B5" s="229" t="str">
        <f>"Tariffs "&amp;'Model update'!C8</f>
        <v>Tariffs 2018</v>
      </c>
      <c r="D5" s="230" t="str">
        <f>Est2018TransRev!D5</f>
        <v>CurrentTar
Fixed</v>
      </c>
      <c r="E5" s="231" t="str">
        <f>Est2018TransRev!E5</f>
        <v>CurrentTar
Anytime</v>
      </c>
      <c r="F5" s="231" t="str">
        <f>Est2018TransRev!F5</f>
        <v>CurrentTar
PkBlk</v>
      </c>
      <c r="G5" s="231"/>
      <c r="H5" s="231"/>
      <c r="I5" s="231" t="str">
        <f>Est2018TransRev!I5</f>
        <v>CurrentTar
OPkBlk1</v>
      </c>
      <c r="J5" s="231"/>
      <c r="K5" s="231"/>
      <c r="L5" s="231"/>
      <c r="M5" s="231" t="str">
        <f>Est2018TransRev!M5</f>
        <v>CurrentTar
Dem kVA</v>
      </c>
      <c r="N5" s="231" t="str">
        <f>Est2018TransRev!N5</f>
        <v>CurrentTar
Dem kW</v>
      </c>
      <c r="O5" s="231" t="str">
        <f>Est2018TransRev!O5</f>
        <v>CurrentTar
Dem kW Sum</v>
      </c>
      <c r="P5" s="231" t="str">
        <f>Est2018TransRev!P5</f>
        <v>CurrentTar
Dem kW Win</v>
      </c>
      <c r="Q5" s="232" t="str">
        <f>Est2018TransRev!Q5</f>
        <v>CurrentTar
SumBlk1</v>
      </c>
      <c r="R5" s="231" t="str">
        <f>Est2018TransRev!R5</f>
        <v>CurrentTar
SumBlk2</v>
      </c>
      <c r="S5" s="231" t="str">
        <f>Est2018TransRev!S5</f>
        <v>CurrentTar
SumBlk3</v>
      </c>
      <c r="T5" s="231"/>
      <c r="U5" s="231" t="str">
        <f>Est2018TransRev!U5</f>
        <v>CurrentTar
WtrBlk1</v>
      </c>
      <c r="V5" s="231" t="str">
        <f>Est2018TransRev!V5</f>
        <v>CurrentTar
WtrBlk2</v>
      </c>
      <c r="W5" s="231" t="str">
        <f>Est2018TransRev!W5</f>
        <v>CurrentTar
WtrBlk3</v>
      </c>
      <c r="X5" s="233"/>
      <c r="Z5" s="230" t="str">
        <f>Est2018TransRev!Z5</f>
        <v>EstVol
Fixed</v>
      </c>
      <c r="AA5" s="231" t="str">
        <f>Est2018TransRev!AA5</f>
        <v>EstVol
Anytime</v>
      </c>
      <c r="AB5" s="231" t="str">
        <f>Est2018TransRev!AB5</f>
        <v>EstVol
Pk</v>
      </c>
      <c r="AC5" s="231"/>
      <c r="AD5" s="231"/>
      <c r="AE5" s="231" t="str">
        <f>Est2018TransRev!AE5</f>
        <v>EstVol
Opk</v>
      </c>
      <c r="AF5" s="231"/>
      <c r="AG5" s="231"/>
      <c r="AH5" s="231"/>
      <c r="AI5" s="231" t="str">
        <f>Est2018TransRev!AI5</f>
        <v>EstVol
Dem kVA</v>
      </c>
      <c r="AJ5" s="231" t="str">
        <f>Est2018TransRev!AJ5</f>
        <v>EstVol
Dem kW</v>
      </c>
      <c r="AK5" s="231" t="str">
        <f>Est2018TransRev!AK5</f>
        <v>EstVol
Dem kW Sum</v>
      </c>
      <c r="AL5" s="231" t="str">
        <f>Est2018TransRev!AL5</f>
        <v>EstVol
Dem kW Win</v>
      </c>
      <c r="AM5" s="231" t="str">
        <f>Est2018TransRev!AM5</f>
        <v>EstVol
SumBlk1</v>
      </c>
      <c r="AN5" s="231" t="str">
        <f>Est2018TransRev!AN5</f>
        <v>EstVol
SumBlk2</v>
      </c>
      <c r="AO5" s="231" t="str">
        <f>Est2018TransRev!AO5</f>
        <v>EstVol
SumBlk3</v>
      </c>
      <c r="AP5" s="231"/>
      <c r="AQ5" s="231" t="str">
        <f>Est2018TransRev!AQ5</f>
        <v>EstVol
WtrBlk1</v>
      </c>
      <c r="AR5" s="231" t="str">
        <f>Est2018TransRev!AR5</f>
        <v>EstVol
WtrBlk2</v>
      </c>
      <c r="AS5" s="231" t="str">
        <f>Est2018TransRev!AS5</f>
        <v>EstVol
WtrBlk3</v>
      </c>
      <c r="AT5" s="233"/>
      <c r="AV5" s="230" t="str">
        <f>Est2018TransRev!AV5</f>
        <v>EstRev
Fixed</v>
      </c>
      <c r="AW5" s="231" t="str">
        <f>Est2018TransRev!AW5</f>
        <v>EstRev
Anytime</v>
      </c>
      <c r="AX5" s="231" t="str">
        <f>Est2018TransRev!AX5</f>
        <v>EstRev
Pk</v>
      </c>
      <c r="AY5" s="231"/>
      <c r="AZ5" s="231"/>
      <c r="BA5" s="231" t="str">
        <f>Est2018TransRev!BA5</f>
        <v>EstRev
Opk</v>
      </c>
      <c r="BB5" s="231"/>
      <c r="BC5" s="231"/>
      <c r="BD5" s="231"/>
      <c r="BE5" s="231" t="str">
        <f>Est2018TransRev!BE5</f>
        <v>EstRev
Dem kVA</v>
      </c>
      <c r="BF5" s="231" t="str">
        <f>Est2018TransRev!BF5</f>
        <v>EstRev
Dem kW</v>
      </c>
      <c r="BG5" s="231" t="str">
        <f>Est2018TransRev!BG5</f>
        <v>EstRev
Dem kW Sum</v>
      </c>
      <c r="BH5" s="231" t="str">
        <f>Est2018TransRev!BH5</f>
        <v>EstRev
Dem kW Win</v>
      </c>
      <c r="BI5" s="231" t="str">
        <f>Est2018TransRev!BI5</f>
        <v>EstRev
SumBlk1</v>
      </c>
      <c r="BJ5" s="231" t="str">
        <f>Est2018TransRev!BJ5</f>
        <v>EstRev
SumBlk2</v>
      </c>
      <c r="BK5" s="231" t="str">
        <f>Est2018TransRev!BK5</f>
        <v>EstRev
SumBlk3</v>
      </c>
      <c r="BL5" s="231"/>
      <c r="BM5" s="231" t="str">
        <f>Est2018TransRev!BM5</f>
        <v>EstRev
WtrBlk1</v>
      </c>
      <c r="BN5" s="231" t="str">
        <f>Est2018TransRev!BN5</f>
        <v>EstRev
WtrBlk2</v>
      </c>
      <c r="BO5" s="231" t="str">
        <f>Est2018TransRev!BO5</f>
        <v>EstRev
WtrBlk3</v>
      </c>
      <c r="BP5" s="231"/>
      <c r="BQ5" s="233" t="str">
        <f>Est2018TransRev!BQ5</f>
        <v>EstRev
Total</v>
      </c>
    </row>
    <row r="6" spans="2:69" x14ac:dyDescent="0.2">
      <c r="B6" s="234"/>
      <c r="D6" s="235"/>
      <c r="E6" s="236"/>
      <c r="F6" s="236"/>
      <c r="G6" s="236"/>
      <c r="H6" s="236"/>
      <c r="I6" s="236"/>
      <c r="J6" s="236"/>
      <c r="K6" s="236"/>
      <c r="L6" s="236"/>
      <c r="M6" s="237"/>
      <c r="N6" s="237"/>
      <c r="O6" s="237"/>
      <c r="P6" s="237"/>
      <c r="Q6" s="237"/>
      <c r="R6" s="237"/>
      <c r="S6" s="237"/>
      <c r="T6" s="237"/>
      <c r="U6" s="237"/>
      <c r="V6" s="237"/>
      <c r="W6" s="237"/>
      <c r="X6" s="238"/>
      <c r="Z6" s="239"/>
      <c r="AA6" s="240"/>
      <c r="AB6" s="240"/>
      <c r="AC6" s="240"/>
      <c r="AD6" s="240"/>
      <c r="AE6" s="240"/>
      <c r="AF6" s="240"/>
      <c r="AG6" s="240"/>
      <c r="AH6" s="240"/>
      <c r="AI6" s="240"/>
      <c r="AJ6" s="240"/>
      <c r="AK6" s="240"/>
      <c r="AL6" s="240"/>
      <c r="AM6" s="240"/>
      <c r="AN6" s="240"/>
      <c r="AO6" s="240"/>
      <c r="AP6" s="240"/>
      <c r="AQ6" s="240"/>
      <c r="AR6" s="240"/>
      <c r="AS6" s="240"/>
      <c r="AT6" s="241"/>
      <c r="AV6" s="283">
        <f t="shared" ref="AV6" si="0">D6*Z6</f>
        <v>0</v>
      </c>
      <c r="AW6" s="219">
        <f t="shared" ref="AW6:BD6" si="1">E6/100*AA6</f>
        <v>0</v>
      </c>
      <c r="AX6" s="219">
        <f t="shared" si="1"/>
        <v>0</v>
      </c>
      <c r="AY6" s="219">
        <f t="shared" si="1"/>
        <v>0</v>
      </c>
      <c r="AZ6" s="219">
        <f t="shared" si="1"/>
        <v>0</v>
      </c>
      <c r="BA6" s="219">
        <f t="shared" si="1"/>
        <v>0</v>
      </c>
      <c r="BB6" s="219">
        <f t="shared" si="1"/>
        <v>0</v>
      </c>
      <c r="BC6" s="219">
        <f t="shared" si="1"/>
        <v>0</v>
      </c>
      <c r="BD6" s="219">
        <f t="shared" si="1"/>
        <v>0</v>
      </c>
      <c r="BE6" s="219">
        <f t="shared" ref="BE6:BH6" si="2">M6*AI6</f>
        <v>0</v>
      </c>
      <c r="BF6" s="219">
        <f t="shared" si="2"/>
        <v>0</v>
      </c>
      <c r="BG6" s="219">
        <f t="shared" si="2"/>
        <v>0</v>
      </c>
      <c r="BH6" s="219">
        <f t="shared" si="2"/>
        <v>0</v>
      </c>
      <c r="BI6" s="242">
        <f t="shared" ref="BI6:BP6" si="3">Q6/100*AM6</f>
        <v>0</v>
      </c>
      <c r="BJ6" s="242">
        <f t="shared" si="3"/>
        <v>0</v>
      </c>
      <c r="BK6" s="242">
        <f t="shared" si="3"/>
        <v>0</v>
      </c>
      <c r="BL6" s="242">
        <f t="shared" si="3"/>
        <v>0</v>
      </c>
      <c r="BM6" s="242">
        <f t="shared" si="3"/>
        <v>0</v>
      </c>
      <c r="BN6" s="242">
        <f t="shared" si="3"/>
        <v>0</v>
      </c>
      <c r="BO6" s="242">
        <f t="shared" si="3"/>
        <v>0</v>
      </c>
      <c r="BP6" s="242">
        <f t="shared" si="3"/>
        <v>0</v>
      </c>
      <c r="BQ6" s="243">
        <f>SUM(AV6:BP6)</f>
        <v>0</v>
      </c>
    </row>
    <row r="7" spans="2:69" x14ac:dyDescent="0.2">
      <c r="B7" s="244" t="str">
        <f>Est2018TransRev!B7</f>
        <v>Residential Single Rate</v>
      </c>
      <c r="C7" s="274"/>
      <c r="D7" s="246">
        <v>0</v>
      </c>
      <c r="E7" s="247">
        <v>0.05</v>
      </c>
      <c r="F7" s="247">
        <v>0</v>
      </c>
      <c r="G7" s="247">
        <v>0</v>
      </c>
      <c r="H7" s="247">
        <v>0</v>
      </c>
      <c r="I7" s="247">
        <v>0</v>
      </c>
      <c r="J7" s="247">
        <v>0</v>
      </c>
      <c r="K7" s="247">
        <v>0</v>
      </c>
      <c r="L7" s="247">
        <v>0</v>
      </c>
      <c r="M7" s="247">
        <v>0</v>
      </c>
      <c r="N7" s="247">
        <v>0</v>
      </c>
      <c r="O7" s="247">
        <v>0</v>
      </c>
      <c r="P7" s="247">
        <v>0</v>
      </c>
      <c r="Q7" s="247">
        <v>0</v>
      </c>
      <c r="R7" s="247">
        <v>0</v>
      </c>
      <c r="S7" s="247">
        <v>0</v>
      </c>
      <c r="T7" s="247">
        <v>0</v>
      </c>
      <c r="U7" s="247">
        <v>0</v>
      </c>
      <c r="V7" s="247">
        <v>0</v>
      </c>
      <c r="W7" s="247">
        <v>0</v>
      </c>
      <c r="X7" s="275">
        <v>0</v>
      </c>
      <c r="Z7" s="276">
        <f>Est2018TransRev!Z7</f>
        <v>203567.54384608413</v>
      </c>
      <c r="AA7" s="250">
        <f>Est2018TransRev!AA7</f>
        <v>837924196.22455716</v>
      </c>
      <c r="AB7" s="250">
        <f>Est2018TransRev!AB7</f>
        <v>0</v>
      </c>
      <c r="AC7" s="250">
        <f>Est2018TransRev!AC7</f>
        <v>0</v>
      </c>
      <c r="AD7" s="250">
        <f>Est2018TransRev!AD7</f>
        <v>0</v>
      </c>
      <c r="AE7" s="250">
        <f>Est2018TransRev!AE7</f>
        <v>0</v>
      </c>
      <c r="AF7" s="250">
        <f>Est2018TransRev!AF7</f>
        <v>0</v>
      </c>
      <c r="AG7" s="250">
        <f>Est2018TransRev!AG7</f>
        <v>0</v>
      </c>
      <c r="AH7" s="250">
        <f>Est2018TransRev!AH7</f>
        <v>0</v>
      </c>
      <c r="AI7" s="250">
        <f>Est2018TransRev!AI7</f>
        <v>0</v>
      </c>
      <c r="AJ7" s="250">
        <f>Est2018TransRev!AJ7</f>
        <v>0</v>
      </c>
      <c r="AK7" s="250">
        <f>Est2018TransRev!AK7</f>
        <v>0</v>
      </c>
      <c r="AL7" s="250">
        <f>Est2018TransRev!AL7</f>
        <v>0</v>
      </c>
      <c r="AM7" s="250">
        <f>Est2018TransRev!AM7</f>
        <v>0</v>
      </c>
      <c r="AN7" s="250">
        <f>Est2018TransRev!AN7</f>
        <v>0</v>
      </c>
      <c r="AO7" s="250">
        <f>Est2018TransRev!AO7</f>
        <v>0</v>
      </c>
      <c r="AP7" s="250">
        <f>Est2018TransRev!AP7</f>
        <v>0</v>
      </c>
      <c r="AQ7" s="250">
        <f>Est2018TransRev!AQ7</f>
        <v>0</v>
      </c>
      <c r="AR7" s="250">
        <f>Est2018TransRev!AR7</f>
        <v>0</v>
      </c>
      <c r="AS7" s="250">
        <f>Est2018TransRev!AS7</f>
        <v>0</v>
      </c>
      <c r="AT7" s="277">
        <f>Est2018TransRev!AT7</f>
        <v>0</v>
      </c>
      <c r="AV7" s="252">
        <f t="shared" ref="AV7:AV65" si="4">D7*Z7</f>
        <v>0</v>
      </c>
      <c r="AW7" s="220">
        <f t="shared" ref="AW7:AW65" si="5">E7/100*AA7</f>
        <v>418962.09811227862</v>
      </c>
      <c r="AX7" s="220">
        <f t="shared" ref="AX7:AX65" si="6">F7/100*AB7</f>
        <v>0</v>
      </c>
      <c r="AY7" s="220">
        <f t="shared" ref="AY7:AY65" si="7">G7/100*AC7</f>
        <v>0</v>
      </c>
      <c r="AZ7" s="220">
        <f t="shared" ref="AZ7:AZ65" si="8">H7/100*AD7</f>
        <v>0</v>
      </c>
      <c r="BA7" s="220">
        <f t="shared" ref="BA7:BA65" si="9">I7/100*AE7</f>
        <v>0</v>
      </c>
      <c r="BB7" s="220">
        <f t="shared" ref="BB7:BB65" si="10">J7/100*AF7</f>
        <v>0</v>
      </c>
      <c r="BC7" s="220">
        <f t="shared" ref="BC7:BC65" si="11">K7/100*AG7</f>
        <v>0</v>
      </c>
      <c r="BD7" s="220">
        <f t="shared" ref="BD7:BD65" si="12">L7/100*AH7</f>
        <v>0</v>
      </c>
      <c r="BE7" s="220">
        <f t="shared" ref="BE7:BE65" si="13">M7*AI7</f>
        <v>0</v>
      </c>
      <c r="BF7" s="220">
        <f t="shared" ref="BF7:BF65" si="14">N7*AJ7</f>
        <v>0</v>
      </c>
      <c r="BG7" s="220">
        <f t="shared" ref="BG7:BG65" si="15">O7*AK7</f>
        <v>0</v>
      </c>
      <c r="BH7" s="220">
        <f t="shared" ref="BH7:BH65" si="16">P7*AL7</f>
        <v>0</v>
      </c>
      <c r="BI7" s="253">
        <f t="shared" ref="BI7:BI65" si="17">Q7/100*AM7</f>
        <v>0</v>
      </c>
      <c r="BJ7" s="253">
        <f t="shared" ref="BJ7:BJ65" si="18">R7/100*AN7</f>
        <v>0</v>
      </c>
      <c r="BK7" s="253">
        <f t="shared" ref="BK7:BK65" si="19">S7/100*AO7</f>
        <v>0</v>
      </c>
      <c r="BL7" s="253">
        <f t="shared" ref="BL7:BL65" si="20">T7/100*AP7</f>
        <v>0</v>
      </c>
      <c r="BM7" s="253">
        <f t="shared" ref="BM7:BM65" si="21">U7/100*AQ7</f>
        <v>0</v>
      </c>
      <c r="BN7" s="253">
        <f t="shared" ref="BN7:BN65" si="22">V7/100*AR7</f>
        <v>0</v>
      </c>
      <c r="BO7" s="253">
        <f t="shared" ref="BO7:BO65" si="23">W7/100*AS7</f>
        <v>0</v>
      </c>
      <c r="BP7" s="253">
        <f t="shared" ref="BP7:BP65" si="24">X7/100*AT7</f>
        <v>0</v>
      </c>
      <c r="BQ7" s="254">
        <f t="shared" ref="BQ7:BQ65" si="25">SUM(AV7:BP7)</f>
        <v>418962.09811227862</v>
      </c>
    </row>
    <row r="8" spans="2:69" x14ac:dyDescent="0.2">
      <c r="B8" s="244" t="str">
        <f>Est2018TransRev!B8</f>
        <v>Residential Single Rate - Bulk</v>
      </c>
      <c r="C8" s="274"/>
      <c r="D8" s="246">
        <v>0</v>
      </c>
      <c r="E8" s="247">
        <v>0.05</v>
      </c>
      <c r="F8" s="247">
        <v>0</v>
      </c>
      <c r="G8" s="247">
        <v>0</v>
      </c>
      <c r="H8" s="247">
        <v>0</v>
      </c>
      <c r="I8" s="247">
        <v>0</v>
      </c>
      <c r="J8" s="247">
        <v>0</v>
      </c>
      <c r="K8" s="247">
        <v>0</v>
      </c>
      <c r="L8" s="247">
        <v>0</v>
      </c>
      <c r="M8" s="247">
        <v>0</v>
      </c>
      <c r="N8" s="247">
        <v>0</v>
      </c>
      <c r="O8" s="247">
        <v>0</v>
      </c>
      <c r="P8" s="247">
        <v>0</v>
      </c>
      <c r="Q8" s="247">
        <v>0</v>
      </c>
      <c r="R8" s="247">
        <v>0</v>
      </c>
      <c r="S8" s="247">
        <v>0</v>
      </c>
      <c r="T8" s="247">
        <v>0</v>
      </c>
      <c r="U8" s="247">
        <v>0</v>
      </c>
      <c r="V8" s="247">
        <v>0</v>
      </c>
      <c r="W8" s="247">
        <v>0</v>
      </c>
      <c r="X8" s="275">
        <v>0</v>
      </c>
      <c r="Z8" s="276">
        <f>Est2018TransRev!Z8</f>
        <v>30796.16529635977</v>
      </c>
      <c r="AA8" s="250">
        <f>Est2018TransRev!AA8</f>
        <v>103793921.82591532</v>
      </c>
      <c r="AB8" s="250">
        <f>Est2018TransRev!AB8</f>
        <v>0</v>
      </c>
      <c r="AC8" s="250">
        <f>Est2018TransRev!AC8</f>
        <v>0</v>
      </c>
      <c r="AD8" s="250">
        <f>Est2018TransRev!AD8</f>
        <v>0</v>
      </c>
      <c r="AE8" s="250">
        <f>Est2018TransRev!AE8</f>
        <v>0</v>
      </c>
      <c r="AF8" s="250">
        <f>Est2018TransRev!AF8</f>
        <v>0</v>
      </c>
      <c r="AG8" s="250">
        <f>Est2018TransRev!AG8</f>
        <v>0</v>
      </c>
      <c r="AH8" s="250">
        <f>Est2018TransRev!AH8</f>
        <v>0</v>
      </c>
      <c r="AI8" s="250">
        <f>Est2018TransRev!AI8</f>
        <v>0</v>
      </c>
      <c r="AJ8" s="250">
        <f>Est2018TransRev!AJ8</f>
        <v>0</v>
      </c>
      <c r="AK8" s="250">
        <f>Est2018TransRev!AK8</f>
        <v>0</v>
      </c>
      <c r="AL8" s="250">
        <f>Est2018TransRev!AL8</f>
        <v>0</v>
      </c>
      <c r="AM8" s="250">
        <f>Est2018TransRev!AM8</f>
        <v>0</v>
      </c>
      <c r="AN8" s="250">
        <f>Est2018TransRev!AN8</f>
        <v>0</v>
      </c>
      <c r="AO8" s="250">
        <f>Est2018TransRev!AO8</f>
        <v>0</v>
      </c>
      <c r="AP8" s="250">
        <f>Est2018TransRev!AP8</f>
        <v>0</v>
      </c>
      <c r="AQ8" s="250">
        <f>Est2018TransRev!AQ8</f>
        <v>0</v>
      </c>
      <c r="AR8" s="250">
        <f>Est2018TransRev!AR8</f>
        <v>0</v>
      </c>
      <c r="AS8" s="250">
        <f>Est2018TransRev!AS8</f>
        <v>0</v>
      </c>
      <c r="AT8" s="277">
        <f>Est2018TransRev!AT8</f>
        <v>0</v>
      </c>
      <c r="AV8" s="252">
        <f t="shared" si="4"/>
        <v>0</v>
      </c>
      <c r="AW8" s="220">
        <f t="shared" si="5"/>
        <v>51896.960912957664</v>
      </c>
      <c r="AX8" s="220">
        <f t="shared" si="6"/>
        <v>0</v>
      </c>
      <c r="AY8" s="220">
        <f t="shared" si="7"/>
        <v>0</v>
      </c>
      <c r="AZ8" s="220">
        <f t="shared" si="8"/>
        <v>0</v>
      </c>
      <c r="BA8" s="220">
        <f t="shared" si="9"/>
        <v>0</v>
      </c>
      <c r="BB8" s="220">
        <f t="shared" si="10"/>
        <v>0</v>
      </c>
      <c r="BC8" s="220">
        <f t="shared" si="11"/>
        <v>0</v>
      </c>
      <c r="BD8" s="220">
        <f t="shared" si="12"/>
        <v>0</v>
      </c>
      <c r="BE8" s="220">
        <f t="shared" si="13"/>
        <v>0</v>
      </c>
      <c r="BF8" s="220">
        <f t="shared" si="14"/>
        <v>0</v>
      </c>
      <c r="BG8" s="220">
        <f t="shared" si="15"/>
        <v>0</v>
      </c>
      <c r="BH8" s="220">
        <f t="shared" si="16"/>
        <v>0</v>
      </c>
      <c r="BI8" s="253">
        <f t="shared" si="17"/>
        <v>0</v>
      </c>
      <c r="BJ8" s="253">
        <f t="shared" si="18"/>
        <v>0</v>
      </c>
      <c r="BK8" s="253">
        <f t="shared" si="19"/>
        <v>0</v>
      </c>
      <c r="BL8" s="253">
        <f t="shared" si="20"/>
        <v>0</v>
      </c>
      <c r="BM8" s="253">
        <f t="shared" si="21"/>
        <v>0</v>
      </c>
      <c r="BN8" s="253">
        <f t="shared" si="22"/>
        <v>0</v>
      </c>
      <c r="BO8" s="253">
        <f t="shared" si="23"/>
        <v>0</v>
      </c>
      <c r="BP8" s="253">
        <f t="shared" si="24"/>
        <v>0</v>
      </c>
      <c r="BQ8" s="254">
        <f t="shared" si="25"/>
        <v>51896.960912957664</v>
      </c>
    </row>
    <row r="9" spans="2:69" x14ac:dyDescent="0.2">
      <c r="B9" s="244" t="str">
        <f>Est2018TransRev!B9</f>
        <v>Residential - flexible pricing</v>
      </c>
      <c r="C9" s="274"/>
      <c r="D9" s="246">
        <v>0</v>
      </c>
      <c r="E9" s="247">
        <v>0</v>
      </c>
      <c r="F9" s="247">
        <v>0</v>
      </c>
      <c r="G9" s="247">
        <v>0</v>
      </c>
      <c r="H9" s="247">
        <v>0</v>
      </c>
      <c r="I9" s="247">
        <v>0</v>
      </c>
      <c r="J9" s="247">
        <v>0</v>
      </c>
      <c r="K9" s="247">
        <v>0</v>
      </c>
      <c r="L9" s="247">
        <v>0</v>
      </c>
      <c r="M9" s="247">
        <v>0</v>
      </c>
      <c r="N9" s="247">
        <v>0</v>
      </c>
      <c r="O9" s="247">
        <v>0</v>
      </c>
      <c r="P9" s="247">
        <v>0</v>
      </c>
      <c r="Q9" s="247">
        <v>0.05</v>
      </c>
      <c r="R9" s="247">
        <v>0.05</v>
      </c>
      <c r="S9" s="247">
        <v>0.05</v>
      </c>
      <c r="T9" s="247">
        <v>0</v>
      </c>
      <c r="U9" s="247">
        <v>0.05</v>
      </c>
      <c r="V9" s="247">
        <v>0.05</v>
      </c>
      <c r="W9" s="247">
        <v>0.05</v>
      </c>
      <c r="X9" s="275">
        <v>0</v>
      </c>
      <c r="Z9" s="276">
        <f>Est2018TransRev!Z9</f>
        <v>692.19902131802507</v>
      </c>
      <c r="AA9" s="250">
        <f>Est2018TransRev!AA9</f>
        <v>0</v>
      </c>
      <c r="AB9" s="250">
        <f>Est2018TransRev!AB9</f>
        <v>0</v>
      </c>
      <c r="AC9" s="250">
        <f>Est2018TransRev!AC9</f>
        <v>0</v>
      </c>
      <c r="AD9" s="250">
        <f>Est2018TransRev!AD9</f>
        <v>0</v>
      </c>
      <c r="AE9" s="250">
        <f>Est2018TransRev!AE9</f>
        <v>0</v>
      </c>
      <c r="AF9" s="250">
        <f>Est2018TransRev!AF9</f>
        <v>0</v>
      </c>
      <c r="AG9" s="250">
        <f>Est2018TransRev!AG9</f>
        <v>0</v>
      </c>
      <c r="AH9" s="250">
        <f>Est2018TransRev!AH9</f>
        <v>0</v>
      </c>
      <c r="AI9" s="250">
        <f>Est2018TransRev!AI9</f>
        <v>0</v>
      </c>
      <c r="AJ9" s="250">
        <f>Est2018TransRev!AJ9</f>
        <v>0</v>
      </c>
      <c r="AK9" s="250">
        <f>Est2018TransRev!AK9</f>
        <v>0</v>
      </c>
      <c r="AL9" s="250">
        <f>Est2018TransRev!AL9</f>
        <v>0</v>
      </c>
      <c r="AM9" s="250">
        <f>Est2018TransRev!AM9</f>
        <v>209399.38859650321</v>
      </c>
      <c r="AN9" s="250">
        <f>Est2018TransRev!AN9</f>
        <v>421530.70937171311</v>
      </c>
      <c r="AO9" s="250">
        <f>Est2018TransRev!AO9</f>
        <v>295381.02379908122</v>
      </c>
      <c r="AP9" s="250">
        <f>Est2018TransRev!AP9</f>
        <v>0</v>
      </c>
      <c r="AQ9" s="250">
        <f>Est2018TransRev!AQ9</f>
        <v>766444.76391363656</v>
      </c>
      <c r="AR9" s="250">
        <f>Est2018TransRev!AR9</f>
        <v>1512235.2073960255</v>
      </c>
      <c r="AS9" s="250">
        <f>Est2018TransRev!AS9</f>
        <v>1077906.585130814</v>
      </c>
      <c r="AT9" s="277">
        <f>Est2018TransRev!AT9</f>
        <v>0</v>
      </c>
      <c r="AV9" s="252">
        <f t="shared" si="4"/>
        <v>0</v>
      </c>
      <c r="AW9" s="220">
        <f t="shared" si="5"/>
        <v>0</v>
      </c>
      <c r="AX9" s="220">
        <f t="shared" si="6"/>
        <v>0</v>
      </c>
      <c r="AY9" s="220">
        <f t="shared" si="7"/>
        <v>0</v>
      </c>
      <c r="AZ9" s="220">
        <f t="shared" si="8"/>
        <v>0</v>
      </c>
      <c r="BA9" s="220">
        <f t="shared" si="9"/>
        <v>0</v>
      </c>
      <c r="BB9" s="220">
        <f t="shared" si="10"/>
        <v>0</v>
      </c>
      <c r="BC9" s="220">
        <f t="shared" si="11"/>
        <v>0</v>
      </c>
      <c r="BD9" s="220">
        <f t="shared" si="12"/>
        <v>0</v>
      </c>
      <c r="BE9" s="220">
        <f t="shared" si="13"/>
        <v>0</v>
      </c>
      <c r="BF9" s="220">
        <f t="shared" si="14"/>
        <v>0</v>
      </c>
      <c r="BG9" s="220">
        <f t="shared" si="15"/>
        <v>0</v>
      </c>
      <c r="BH9" s="220">
        <f t="shared" si="16"/>
        <v>0</v>
      </c>
      <c r="BI9" s="253">
        <f t="shared" si="17"/>
        <v>104.6996942982516</v>
      </c>
      <c r="BJ9" s="253">
        <f t="shared" si="18"/>
        <v>210.76535468585655</v>
      </c>
      <c r="BK9" s="253">
        <f t="shared" si="19"/>
        <v>147.69051189954061</v>
      </c>
      <c r="BL9" s="253">
        <f t="shared" si="20"/>
        <v>0</v>
      </c>
      <c r="BM9" s="253">
        <f t="shared" si="21"/>
        <v>383.22238195681831</v>
      </c>
      <c r="BN9" s="253">
        <f t="shared" si="22"/>
        <v>756.11760369801277</v>
      </c>
      <c r="BO9" s="253">
        <f t="shared" si="23"/>
        <v>538.95329256540697</v>
      </c>
      <c r="BP9" s="253">
        <f t="shared" si="24"/>
        <v>0</v>
      </c>
      <c r="BQ9" s="254">
        <f t="shared" si="25"/>
        <v>2141.4488391038867</v>
      </c>
    </row>
    <row r="10" spans="2:69" x14ac:dyDescent="0.2">
      <c r="B10" s="244" t="str">
        <f>Est2018TransRev!B10</f>
        <v>Residential - flexible pricing bulk</v>
      </c>
      <c r="C10" s="274"/>
      <c r="D10" s="246">
        <v>0</v>
      </c>
      <c r="E10" s="247">
        <v>0</v>
      </c>
      <c r="F10" s="247">
        <v>0</v>
      </c>
      <c r="G10" s="247">
        <v>0</v>
      </c>
      <c r="H10" s="247">
        <v>0</v>
      </c>
      <c r="I10" s="247">
        <v>0</v>
      </c>
      <c r="J10" s="247">
        <v>0</v>
      </c>
      <c r="K10" s="247">
        <v>0</v>
      </c>
      <c r="L10" s="247">
        <v>0</v>
      </c>
      <c r="M10" s="247">
        <v>0</v>
      </c>
      <c r="N10" s="247">
        <v>0</v>
      </c>
      <c r="O10" s="247">
        <v>0</v>
      </c>
      <c r="P10" s="247">
        <v>0</v>
      </c>
      <c r="Q10" s="247">
        <v>0.05</v>
      </c>
      <c r="R10" s="247">
        <v>0.05</v>
      </c>
      <c r="S10" s="247">
        <v>0.05</v>
      </c>
      <c r="T10" s="247">
        <v>0</v>
      </c>
      <c r="U10" s="247">
        <v>0.05</v>
      </c>
      <c r="V10" s="247">
        <v>0.05</v>
      </c>
      <c r="W10" s="247">
        <v>0.05</v>
      </c>
      <c r="X10" s="275">
        <v>0</v>
      </c>
      <c r="Z10" s="276">
        <f>Est2018TransRev!Z10</f>
        <v>86</v>
      </c>
      <c r="AA10" s="250">
        <f>Est2018TransRev!AA10</f>
        <v>0</v>
      </c>
      <c r="AB10" s="250">
        <f>Est2018TransRev!AB10</f>
        <v>0</v>
      </c>
      <c r="AC10" s="250">
        <f>Est2018TransRev!AC10</f>
        <v>0</v>
      </c>
      <c r="AD10" s="250">
        <f>Est2018TransRev!AD10</f>
        <v>0</v>
      </c>
      <c r="AE10" s="250">
        <f>Est2018TransRev!AE10</f>
        <v>0</v>
      </c>
      <c r="AF10" s="250">
        <f>Est2018TransRev!AF10</f>
        <v>0</v>
      </c>
      <c r="AG10" s="250">
        <f>Est2018TransRev!AG10</f>
        <v>0</v>
      </c>
      <c r="AH10" s="250">
        <f>Est2018TransRev!AH10</f>
        <v>0</v>
      </c>
      <c r="AI10" s="250">
        <f>Est2018TransRev!AI10</f>
        <v>0</v>
      </c>
      <c r="AJ10" s="250">
        <f>Est2018TransRev!AJ10</f>
        <v>0</v>
      </c>
      <c r="AK10" s="250">
        <f>Est2018TransRev!AK10</f>
        <v>0</v>
      </c>
      <c r="AL10" s="250">
        <f>Est2018TransRev!AL10</f>
        <v>0</v>
      </c>
      <c r="AM10" s="250">
        <f>Est2018TransRev!AM10</f>
        <v>14822.463938670589</v>
      </c>
      <c r="AN10" s="250">
        <f>Est2018TransRev!AN10</f>
        <v>30911.094070728293</v>
      </c>
      <c r="AO10" s="250">
        <f>Est2018TransRev!AO10</f>
        <v>25018.291769002386</v>
      </c>
      <c r="AP10" s="250">
        <f>Est2018TransRev!AP10</f>
        <v>0</v>
      </c>
      <c r="AQ10" s="250">
        <f>Est2018TransRev!AQ10</f>
        <v>55723.871652863061</v>
      </c>
      <c r="AR10" s="250">
        <f>Est2018TransRev!AR10</f>
        <v>110586.63633768729</v>
      </c>
      <c r="AS10" s="250">
        <f>Est2018TransRev!AS10</f>
        <v>89504.208037036224</v>
      </c>
      <c r="AT10" s="277">
        <f>Est2018TransRev!AT10</f>
        <v>0</v>
      </c>
      <c r="AV10" s="252">
        <f t="shared" si="4"/>
        <v>0</v>
      </c>
      <c r="AW10" s="220">
        <f t="shared" si="5"/>
        <v>0</v>
      </c>
      <c r="AX10" s="220">
        <f t="shared" si="6"/>
        <v>0</v>
      </c>
      <c r="AY10" s="220">
        <f t="shared" si="7"/>
        <v>0</v>
      </c>
      <c r="AZ10" s="220">
        <f t="shared" si="8"/>
        <v>0</v>
      </c>
      <c r="BA10" s="220">
        <f t="shared" si="9"/>
        <v>0</v>
      </c>
      <c r="BB10" s="220">
        <f t="shared" si="10"/>
        <v>0</v>
      </c>
      <c r="BC10" s="220">
        <f t="shared" si="11"/>
        <v>0</v>
      </c>
      <c r="BD10" s="220">
        <f t="shared" si="12"/>
        <v>0</v>
      </c>
      <c r="BE10" s="220">
        <f t="shared" si="13"/>
        <v>0</v>
      </c>
      <c r="BF10" s="220">
        <f t="shared" si="14"/>
        <v>0</v>
      </c>
      <c r="BG10" s="220">
        <f t="shared" si="15"/>
        <v>0</v>
      </c>
      <c r="BH10" s="220">
        <f t="shared" si="16"/>
        <v>0</v>
      </c>
      <c r="BI10" s="253">
        <f t="shared" si="17"/>
        <v>7.4112319693352946</v>
      </c>
      <c r="BJ10" s="253">
        <f t="shared" si="18"/>
        <v>15.455547035364146</v>
      </c>
      <c r="BK10" s="253">
        <f t="shared" si="19"/>
        <v>12.509145884501192</v>
      </c>
      <c r="BL10" s="253">
        <f t="shared" si="20"/>
        <v>0</v>
      </c>
      <c r="BM10" s="253">
        <f t="shared" si="21"/>
        <v>27.86193582643153</v>
      </c>
      <c r="BN10" s="253">
        <f t="shared" si="22"/>
        <v>55.293318168843648</v>
      </c>
      <c r="BO10" s="253">
        <f t="shared" si="23"/>
        <v>44.752104018518111</v>
      </c>
      <c r="BP10" s="253">
        <f t="shared" si="24"/>
        <v>0</v>
      </c>
      <c r="BQ10" s="254">
        <f t="shared" si="25"/>
        <v>163.28328290299393</v>
      </c>
    </row>
    <row r="11" spans="2:69" x14ac:dyDescent="0.2">
      <c r="B11" s="244" t="str">
        <f>Est2018TransRev!B11</f>
        <v>Residential Two Rate 5d</v>
      </c>
      <c r="C11" s="274"/>
      <c r="D11" s="246">
        <v>0</v>
      </c>
      <c r="E11" s="247">
        <v>0</v>
      </c>
      <c r="F11" s="247">
        <v>0.05</v>
      </c>
      <c r="G11" s="247">
        <v>0</v>
      </c>
      <c r="H11" s="247">
        <v>0</v>
      </c>
      <c r="I11" s="247">
        <v>0.05</v>
      </c>
      <c r="J11" s="247">
        <v>0</v>
      </c>
      <c r="K11" s="247">
        <v>0</v>
      </c>
      <c r="L11" s="247">
        <v>0</v>
      </c>
      <c r="M11" s="247">
        <v>0</v>
      </c>
      <c r="N11" s="247">
        <v>0</v>
      </c>
      <c r="O11" s="247">
        <v>0</v>
      </c>
      <c r="P11" s="247">
        <v>0</v>
      </c>
      <c r="Q11" s="247">
        <v>0</v>
      </c>
      <c r="R11" s="247">
        <v>0</v>
      </c>
      <c r="S11" s="247">
        <v>0</v>
      </c>
      <c r="T11" s="247">
        <v>0</v>
      </c>
      <c r="U11" s="247">
        <v>0</v>
      </c>
      <c r="V11" s="247">
        <v>0</v>
      </c>
      <c r="W11" s="247">
        <v>0</v>
      </c>
      <c r="X11" s="275">
        <v>0</v>
      </c>
      <c r="Z11" s="276">
        <f>Est2018TransRev!Z11</f>
        <v>10844.918915256892</v>
      </c>
      <c r="AA11" s="250">
        <f>Est2018TransRev!AA11</f>
        <v>0</v>
      </c>
      <c r="AB11" s="250">
        <f>Est2018TransRev!AB11</f>
        <v>34303841.218867712</v>
      </c>
      <c r="AC11" s="250">
        <f>Est2018TransRev!AC11</f>
        <v>0</v>
      </c>
      <c r="AD11" s="250">
        <f>Est2018TransRev!AD11</f>
        <v>0</v>
      </c>
      <c r="AE11" s="250">
        <f>Est2018TransRev!AE11</f>
        <v>29910228.5348082</v>
      </c>
      <c r="AF11" s="250">
        <f>Est2018TransRev!AF11</f>
        <v>0</v>
      </c>
      <c r="AG11" s="250">
        <f>Est2018TransRev!AG11</f>
        <v>0</v>
      </c>
      <c r="AH11" s="250">
        <f>Est2018TransRev!AH11</f>
        <v>0</v>
      </c>
      <c r="AI11" s="250">
        <f>Est2018TransRev!AI11</f>
        <v>0</v>
      </c>
      <c r="AJ11" s="250">
        <f>Est2018TransRev!AJ11</f>
        <v>0</v>
      </c>
      <c r="AK11" s="250">
        <f>Est2018TransRev!AK11</f>
        <v>0</v>
      </c>
      <c r="AL11" s="250">
        <f>Est2018TransRev!AL11</f>
        <v>0</v>
      </c>
      <c r="AM11" s="250">
        <f>Est2018TransRev!AM11</f>
        <v>0</v>
      </c>
      <c r="AN11" s="250">
        <f>Est2018TransRev!AN11</f>
        <v>0</v>
      </c>
      <c r="AO11" s="250">
        <f>Est2018TransRev!AO11</f>
        <v>0</v>
      </c>
      <c r="AP11" s="250">
        <f>Est2018TransRev!AP11</f>
        <v>0</v>
      </c>
      <c r="AQ11" s="250">
        <f>Est2018TransRev!AQ11</f>
        <v>0</v>
      </c>
      <c r="AR11" s="250">
        <f>Est2018TransRev!AR11</f>
        <v>0</v>
      </c>
      <c r="AS11" s="250">
        <f>Est2018TransRev!AS11</f>
        <v>0</v>
      </c>
      <c r="AT11" s="277">
        <f>Est2018TransRev!AT11</f>
        <v>0</v>
      </c>
      <c r="AV11" s="252">
        <f t="shared" si="4"/>
        <v>0</v>
      </c>
      <c r="AW11" s="220">
        <f t="shared" si="5"/>
        <v>0</v>
      </c>
      <c r="AX11" s="220">
        <f t="shared" si="6"/>
        <v>17151.920609433855</v>
      </c>
      <c r="AY11" s="220">
        <f t="shared" si="7"/>
        <v>0</v>
      </c>
      <c r="AZ11" s="220">
        <f t="shared" si="8"/>
        <v>0</v>
      </c>
      <c r="BA11" s="220">
        <f t="shared" si="9"/>
        <v>14955.1142674041</v>
      </c>
      <c r="BB11" s="220">
        <f t="shared" si="10"/>
        <v>0</v>
      </c>
      <c r="BC11" s="220">
        <f t="shared" si="11"/>
        <v>0</v>
      </c>
      <c r="BD11" s="220">
        <f t="shared" si="12"/>
        <v>0</v>
      </c>
      <c r="BE11" s="220">
        <f t="shared" si="13"/>
        <v>0</v>
      </c>
      <c r="BF11" s="220">
        <f t="shared" si="14"/>
        <v>0</v>
      </c>
      <c r="BG11" s="220">
        <f t="shared" si="15"/>
        <v>0</v>
      </c>
      <c r="BH11" s="220">
        <f t="shared" si="16"/>
        <v>0</v>
      </c>
      <c r="BI11" s="253">
        <f t="shared" si="17"/>
        <v>0</v>
      </c>
      <c r="BJ11" s="253">
        <f t="shared" si="18"/>
        <v>0</v>
      </c>
      <c r="BK11" s="253">
        <f t="shared" si="19"/>
        <v>0</v>
      </c>
      <c r="BL11" s="253">
        <f t="shared" si="20"/>
        <v>0</v>
      </c>
      <c r="BM11" s="253">
        <f t="shared" si="21"/>
        <v>0</v>
      </c>
      <c r="BN11" s="253">
        <f t="shared" si="22"/>
        <v>0</v>
      </c>
      <c r="BO11" s="253">
        <f t="shared" si="23"/>
        <v>0</v>
      </c>
      <c r="BP11" s="253">
        <f t="shared" si="24"/>
        <v>0</v>
      </c>
      <c r="BQ11" s="254">
        <f t="shared" si="25"/>
        <v>32107.034876837955</v>
      </c>
    </row>
    <row r="12" spans="2:69" x14ac:dyDescent="0.2">
      <c r="B12" s="244" t="str">
        <f>Est2018TransRev!B12</f>
        <v>Residential Two Rate 5d - Bulk</v>
      </c>
      <c r="C12" s="274"/>
      <c r="D12" s="246">
        <v>0</v>
      </c>
      <c r="E12" s="247">
        <v>0</v>
      </c>
      <c r="F12" s="247">
        <v>0.05</v>
      </c>
      <c r="G12" s="247">
        <v>0</v>
      </c>
      <c r="H12" s="247">
        <v>0</v>
      </c>
      <c r="I12" s="247">
        <v>0.05</v>
      </c>
      <c r="J12" s="247">
        <v>0</v>
      </c>
      <c r="K12" s="247">
        <v>0</v>
      </c>
      <c r="L12" s="247">
        <v>0</v>
      </c>
      <c r="M12" s="247">
        <v>0</v>
      </c>
      <c r="N12" s="247">
        <v>0</v>
      </c>
      <c r="O12" s="247">
        <v>0</v>
      </c>
      <c r="P12" s="247">
        <v>0</v>
      </c>
      <c r="Q12" s="247">
        <v>0</v>
      </c>
      <c r="R12" s="247">
        <v>0</v>
      </c>
      <c r="S12" s="247">
        <v>0</v>
      </c>
      <c r="T12" s="247">
        <v>0</v>
      </c>
      <c r="U12" s="247">
        <v>0</v>
      </c>
      <c r="V12" s="247">
        <v>0</v>
      </c>
      <c r="W12" s="247">
        <v>0</v>
      </c>
      <c r="X12" s="275">
        <v>0</v>
      </c>
      <c r="Z12" s="276">
        <f>Est2018TransRev!Z12</f>
        <v>4325.4798963063058</v>
      </c>
      <c r="AA12" s="250">
        <f>Est2018TransRev!AA12</f>
        <v>0</v>
      </c>
      <c r="AB12" s="250">
        <f>Est2018TransRev!AB12</f>
        <v>11937966.333181802</v>
      </c>
      <c r="AC12" s="250">
        <f>Est2018TransRev!AC12</f>
        <v>0</v>
      </c>
      <c r="AD12" s="250">
        <f>Est2018TransRev!AD12</f>
        <v>0</v>
      </c>
      <c r="AE12" s="250">
        <f>Est2018TransRev!AE12</f>
        <v>10332699.15836278</v>
      </c>
      <c r="AF12" s="250">
        <f>Est2018TransRev!AF12</f>
        <v>0</v>
      </c>
      <c r="AG12" s="250">
        <f>Est2018TransRev!AG12</f>
        <v>0</v>
      </c>
      <c r="AH12" s="250">
        <f>Est2018TransRev!AH12</f>
        <v>0</v>
      </c>
      <c r="AI12" s="250">
        <f>Est2018TransRev!AI12</f>
        <v>0</v>
      </c>
      <c r="AJ12" s="250">
        <f>Est2018TransRev!AJ12</f>
        <v>0</v>
      </c>
      <c r="AK12" s="250">
        <f>Est2018TransRev!AK12</f>
        <v>0</v>
      </c>
      <c r="AL12" s="250">
        <f>Est2018TransRev!AL12</f>
        <v>0</v>
      </c>
      <c r="AM12" s="250">
        <f>Est2018TransRev!AM12</f>
        <v>0</v>
      </c>
      <c r="AN12" s="250">
        <f>Est2018TransRev!AN12</f>
        <v>0</v>
      </c>
      <c r="AO12" s="250">
        <f>Est2018TransRev!AO12</f>
        <v>0</v>
      </c>
      <c r="AP12" s="250">
        <f>Est2018TransRev!AP12</f>
        <v>0</v>
      </c>
      <c r="AQ12" s="250">
        <f>Est2018TransRev!AQ12</f>
        <v>0</v>
      </c>
      <c r="AR12" s="250">
        <f>Est2018TransRev!AR12</f>
        <v>0</v>
      </c>
      <c r="AS12" s="250">
        <f>Est2018TransRev!AS12</f>
        <v>0</v>
      </c>
      <c r="AT12" s="277">
        <f>Est2018TransRev!AT12</f>
        <v>0</v>
      </c>
      <c r="AV12" s="252">
        <f t="shared" si="4"/>
        <v>0</v>
      </c>
      <c r="AW12" s="220">
        <f t="shared" si="5"/>
        <v>0</v>
      </c>
      <c r="AX12" s="220">
        <f t="shared" si="6"/>
        <v>5968.9831665909014</v>
      </c>
      <c r="AY12" s="220">
        <f t="shared" si="7"/>
        <v>0</v>
      </c>
      <c r="AZ12" s="220">
        <f t="shared" si="8"/>
        <v>0</v>
      </c>
      <c r="BA12" s="220">
        <f t="shared" si="9"/>
        <v>5166.3495791813903</v>
      </c>
      <c r="BB12" s="220">
        <f t="shared" si="10"/>
        <v>0</v>
      </c>
      <c r="BC12" s="220">
        <f t="shared" si="11"/>
        <v>0</v>
      </c>
      <c r="BD12" s="220">
        <f t="shared" si="12"/>
        <v>0</v>
      </c>
      <c r="BE12" s="220">
        <f t="shared" si="13"/>
        <v>0</v>
      </c>
      <c r="BF12" s="220">
        <f t="shared" si="14"/>
        <v>0</v>
      </c>
      <c r="BG12" s="220">
        <f t="shared" si="15"/>
        <v>0</v>
      </c>
      <c r="BH12" s="220">
        <f t="shared" si="16"/>
        <v>0</v>
      </c>
      <c r="BI12" s="253">
        <f t="shared" si="17"/>
        <v>0</v>
      </c>
      <c r="BJ12" s="253">
        <f t="shared" si="18"/>
        <v>0</v>
      </c>
      <c r="BK12" s="253">
        <f t="shared" si="19"/>
        <v>0</v>
      </c>
      <c r="BL12" s="253">
        <f t="shared" si="20"/>
        <v>0</v>
      </c>
      <c r="BM12" s="253">
        <f t="shared" si="21"/>
        <v>0</v>
      </c>
      <c r="BN12" s="253">
        <f t="shared" si="22"/>
        <v>0</v>
      </c>
      <c r="BO12" s="253">
        <f t="shared" si="23"/>
        <v>0</v>
      </c>
      <c r="BP12" s="253">
        <f t="shared" si="24"/>
        <v>0</v>
      </c>
      <c r="BQ12" s="254">
        <f t="shared" si="25"/>
        <v>11135.332745772292</v>
      </c>
    </row>
    <row r="13" spans="2:69" x14ac:dyDescent="0.2">
      <c r="B13" s="244" t="str">
        <f>Est2018TransRev!B13</f>
        <v>Residential Interval</v>
      </c>
      <c r="C13" s="274"/>
      <c r="D13" s="246">
        <v>0</v>
      </c>
      <c r="E13" s="247">
        <v>0</v>
      </c>
      <c r="F13" s="247">
        <v>0.05</v>
      </c>
      <c r="G13" s="247">
        <v>0</v>
      </c>
      <c r="H13" s="247">
        <v>0</v>
      </c>
      <c r="I13" s="247">
        <v>0.05</v>
      </c>
      <c r="J13" s="247">
        <v>0</v>
      </c>
      <c r="K13" s="247">
        <v>0</v>
      </c>
      <c r="L13" s="247">
        <v>0</v>
      </c>
      <c r="M13" s="247">
        <v>0</v>
      </c>
      <c r="N13" s="247">
        <v>0</v>
      </c>
      <c r="O13" s="247">
        <v>0</v>
      </c>
      <c r="P13" s="247">
        <v>0</v>
      </c>
      <c r="Q13" s="247">
        <v>0</v>
      </c>
      <c r="R13" s="247">
        <v>0</v>
      </c>
      <c r="S13" s="247">
        <v>0</v>
      </c>
      <c r="T13" s="247">
        <v>0</v>
      </c>
      <c r="U13" s="247">
        <v>0</v>
      </c>
      <c r="V13" s="247">
        <v>0</v>
      </c>
      <c r="W13" s="247">
        <v>0</v>
      </c>
      <c r="X13" s="275">
        <v>0</v>
      </c>
      <c r="Z13" s="276">
        <f>Est2018TransRev!Z13</f>
        <v>17220.894511590293</v>
      </c>
      <c r="AA13" s="250">
        <f>Est2018TransRev!AA13</f>
        <v>0</v>
      </c>
      <c r="AB13" s="250">
        <f>Est2018TransRev!AB13</f>
        <v>60059088.859664425</v>
      </c>
      <c r="AC13" s="250">
        <f>Est2018TransRev!AC13</f>
        <v>0</v>
      </c>
      <c r="AD13" s="250">
        <f>Est2018TransRev!AD13</f>
        <v>0</v>
      </c>
      <c r="AE13" s="250">
        <f>Est2018TransRev!AE13</f>
        <v>52811678.164143428</v>
      </c>
      <c r="AF13" s="250">
        <f>Est2018TransRev!AF13</f>
        <v>0</v>
      </c>
      <c r="AG13" s="250">
        <f>Est2018TransRev!AG13</f>
        <v>0</v>
      </c>
      <c r="AH13" s="250">
        <f>Est2018TransRev!AH13</f>
        <v>0</v>
      </c>
      <c r="AI13" s="250">
        <f>Est2018TransRev!AI13</f>
        <v>0</v>
      </c>
      <c r="AJ13" s="250">
        <f>Est2018TransRev!AJ13</f>
        <v>0</v>
      </c>
      <c r="AK13" s="250">
        <f>Est2018TransRev!AK13</f>
        <v>0</v>
      </c>
      <c r="AL13" s="250">
        <f>Est2018TransRev!AL13</f>
        <v>0</v>
      </c>
      <c r="AM13" s="250">
        <f>Est2018TransRev!AM13</f>
        <v>0</v>
      </c>
      <c r="AN13" s="250">
        <f>Est2018TransRev!AN13</f>
        <v>0</v>
      </c>
      <c r="AO13" s="250">
        <f>Est2018TransRev!AO13</f>
        <v>0</v>
      </c>
      <c r="AP13" s="250">
        <f>Est2018TransRev!AP13</f>
        <v>0</v>
      </c>
      <c r="AQ13" s="250">
        <f>Est2018TransRev!AQ13</f>
        <v>0</v>
      </c>
      <c r="AR13" s="250">
        <f>Est2018TransRev!AR13</f>
        <v>0</v>
      </c>
      <c r="AS13" s="250">
        <f>Est2018TransRev!AS13</f>
        <v>0</v>
      </c>
      <c r="AT13" s="277">
        <f>Est2018TransRev!AT13</f>
        <v>0</v>
      </c>
      <c r="AV13" s="252">
        <f t="shared" si="4"/>
        <v>0</v>
      </c>
      <c r="AW13" s="220">
        <f t="shared" si="5"/>
        <v>0</v>
      </c>
      <c r="AX13" s="220">
        <f t="shared" si="6"/>
        <v>30029.544429832215</v>
      </c>
      <c r="AY13" s="220">
        <f t="shared" si="7"/>
        <v>0</v>
      </c>
      <c r="AZ13" s="220">
        <f t="shared" si="8"/>
        <v>0</v>
      </c>
      <c r="BA13" s="220">
        <f t="shared" si="9"/>
        <v>26405.839082071714</v>
      </c>
      <c r="BB13" s="220">
        <f t="shared" si="10"/>
        <v>0</v>
      </c>
      <c r="BC13" s="220">
        <f t="shared" si="11"/>
        <v>0</v>
      </c>
      <c r="BD13" s="220">
        <f t="shared" si="12"/>
        <v>0</v>
      </c>
      <c r="BE13" s="220">
        <f t="shared" si="13"/>
        <v>0</v>
      </c>
      <c r="BF13" s="220">
        <f t="shared" si="14"/>
        <v>0</v>
      </c>
      <c r="BG13" s="220">
        <f t="shared" si="15"/>
        <v>0</v>
      </c>
      <c r="BH13" s="220">
        <f t="shared" si="16"/>
        <v>0</v>
      </c>
      <c r="BI13" s="253">
        <f t="shared" si="17"/>
        <v>0</v>
      </c>
      <c r="BJ13" s="253">
        <f t="shared" si="18"/>
        <v>0</v>
      </c>
      <c r="BK13" s="253">
        <f t="shared" si="19"/>
        <v>0</v>
      </c>
      <c r="BL13" s="253">
        <f t="shared" si="20"/>
        <v>0</v>
      </c>
      <c r="BM13" s="253">
        <f t="shared" si="21"/>
        <v>0</v>
      </c>
      <c r="BN13" s="253">
        <f t="shared" si="22"/>
        <v>0</v>
      </c>
      <c r="BO13" s="253">
        <f t="shared" si="23"/>
        <v>0</v>
      </c>
      <c r="BP13" s="253">
        <f t="shared" si="24"/>
        <v>0</v>
      </c>
      <c r="BQ13" s="254">
        <f t="shared" si="25"/>
        <v>56435.383511903929</v>
      </c>
    </row>
    <row r="14" spans="2:69" x14ac:dyDescent="0.2">
      <c r="B14" s="244" t="str">
        <f>Est2018TransRev!B14</f>
        <v>Residential Interval - Bulk</v>
      </c>
      <c r="C14" s="274"/>
      <c r="D14" s="246">
        <v>0</v>
      </c>
      <c r="E14" s="247">
        <v>0</v>
      </c>
      <c r="F14" s="247">
        <v>0.05</v>
      </c>
      <c r="G14" s="247">
        <v>0</v>
      </c>
      <c r="H14" s="247">
        <v>0</v>
      </c>
      <c r="I14" s="247">
        <v>0.05</v>
      </c>
      <c r="J14" s="247">
        <v>0</v>
      </c>
      <c r="K14" s="247">
        <v>0</v>
      </c>
      <c r="L14" s="247">
        <v>0</v>
      </c>
      <c r="M14" s="247">
        <v>0</v>
      </c>
      <c r="N14" s="247">
        <v>0</v>
      </c>
      <c r="O14" s="247">
        <v>0</v>
      </c>
      <c r="P14" s="247">
        <v>0</v>
      </c>
      <c r="Q14" s="247">
        <v>0</v>
      </c>
      <c r="R14" s="247">
        <v>0</v>
      </c>
      <c r="S14" s="247">
        <v>0</v>
      </c>
      <c r="T14" s="247">
        <v>0</v>
      </c>
      <c r="U14" s="247">
        <v>0</v>
      </c>
      <c r="V14" s="247">
        <v>0</v>
      </c>
      <c r="W14" s="247">
        <v>0</v>
      </c>
      <c r="X14" s="275">
        <v>0</v>
      </c>
      <c r="Z14" s="276">
        <f>Est2018TransRev!Z14</f>
        <v>8720.0761855865894</v>
      </c>
      <c r="AA14" s="250">
        <f>Est2018TransRev!AA14</f>
        <v>0</v>
      </c>
      <c r="AB14" s="250">
        <f>Est2018TransRev!AB14</f>
        <v>14985083.090693302</v>
      </c>
      <c r="AC14" s="250">
        <f>Est2018TransRev!AC14</f>
        <v>0</v>
      </c>
      <c r="AD14" s="250">
        <f>Est2018TransRev!AD14</f>
        <v>0</v>
      </c>
      <c r="AE14" s="250">
        <f>Est2018TransRev!AE14</f>
        <v>14138212.664102102</v>
      </c>
      <c r="AF14" s="250">
        <f>Est2018TransRev!AF14</f>
        <v>0</v>
      </c>
      <c r="AG14" s="250">
        <f>Est2018TransRev!AG14</f>
        <v>0</v>
      </c>
      <c r="AH14" s="250">
        <f>Est2018TransRev!AH14</f>
        <v>0</v>
      </c>
      <c r="AI14" s="250">
        <f>Est2018TransRev!AI14</f>
        <v>0</v>
      </c>
      <c r="AJ14" s="250">
        <f>Est2018TransRev!AJ14</f>
        <v>0</v>
      </c>
      <c r="AK14" s="250">
        <f>Est2018TransRev!AK14</f>
        <v>0</v>
      </c>
      <c r="AL14" s="250">
        <f>Est2018TransRev!AL14</f>
        <v>0</v>
      </c>
      <c r="AM14" s="250">
        <f>Est2018TransRev!AM14</f>
        <v>0</v>
      </c>
      <c r="AN14" s="250">
        <f>Est2018TransRev!AN14</f>
        <v>0</v>
      </c>
      <c r="AO14" s="250">
        <f>Est2018TransRev!AO14</f>
        <v>0</v>
      </c>
      <c r="AP14" s="250">
        <f>Est2018TransRev!AP14</f>
        <v>0</v>
      </c>
      <c r="AQ14" s="250">
        <f>Est2018TransRev!AQ14</f>
        <v>0</v>
      </c>
      <c r="AR14" s="250">
        <f>Est2018TransRev!AR14</f>
        <v>0</v>
      </c>
      <c r="AS14" s="250">
        <f>Est2018TransRev!AS14</f>
        <v>0</v>
      </c>
      <c r="AT14" s="277">
        <f>Est2018TransRev!AT14</f>
        <v>0</v>
      </c>
      <c r="AV14" s="252">
        <f t="shared" si="4"/>
        <v>0</v>
      </c>
      <c r="AW14" s="220">
        <f t="shared" si="5"/>
        <v>0</v>
      </c>
      <c r="AX14" s="220">
        <f t="shared" si="6"/>
        <v>7492.5415453466512</v>
      </c>
      <c r="AY14" s="220">
        <f t="shared" si="7"/>
        <v>0</v>
      </c>
      <c r="AZ14" s="220">
        <f t="shared" si="8"/>
        <v>0</v>
      </c>
      <c r="BA14" s="220">
        <f t="shared" si="9"/>
        <v>7069.1063320510511</v>
      </c>
      <c r="BB14" s="220">
        <f t="shared" si="10"/>
        <v>0</v>
      </c>
      <c r="BC14" s="220">
        <f t="shared" si="11"/>
        <v>0</v>
      </c>
      <c r="BD14" s="220">
        <f t="shared" si="12"/>
        <v>0</v>
      </c>
      <c r="BE14" s="220">
        <f t="shared" si="13"/>
        <v>0</v>
      </c>
      <c r="BF14" s="220">
        <f t="shared" si="14"/>
        <v>0</v>
      </c>
      <c r="BG14" s="220">
        <f t="shared" si="15"/>
        <v>0</v>
      </c>
      <c r="BH14" s="220">
        <f t="shared" si="16"/>
        <v>0</v>
      </c>
      <c r="BI14" s="253">
        <f t="shared" si="17"/>
        <v>0</v>
      </c>
      <c r="BJ14" s="253">
        <f t="shared" si="18"/>
        <v>0</v>
      </c>
      <c r="BK14" s="253">
        <f t="shared" si="19"/>
        <v>0</v>
      </c>
      <c r="BL14" s="253">
        <f t="shared" si="20"/>
        <v>0</v>
      </c>
      <c r="BM14" s="253">
        <f t="shared" si="21"/>
        <v>0</v>
      </c>
      <c r="BN14" s="253">
        <f t="shared" si="22"/>
        <v>0</v>
      </c>
      <c r="BO14" s="253">
        <f t="shared" si="23"/>
        <v>0</v>
      </c>
      <c r="BP14" s="253">
        <f t="shared" si="24"/>
        <v>0</v>
      </c>
      <c r="BQ14" s="254">
        <f t="shared" si="25"/>
        <v>14561.647877397703</v>
      </c>
    </row>
    <row r="15" spans="2:69" x14ac:dyDescent="0.2">
      <c r="B15" s="244" t="str">
        <f>Est2018TransRev!B15</f>
        <v>Residential Two Rate 5d - Controlled Load</v>
      </c>
      <c r="C15" s="274"/>
      <c r="D15" s="246">
        <v>0</v>
      </c>
      <c r="E15" s="247">
        <v>0</v>
      </c>
      <c r="F15" s="247">
        <v>0</v>
      </c>
      <c r="G15" s="247">
        <v>0</v>
      </c>
      <c r="H15" s="247">
        <v>0</v>
      </c>
      <c r="I15" s="247">
        <v>0.05</v>
      </c>
      <c r="J15" s="247">
        <v>0</v>
      </c>
      <c r="K15" s="247">
        <v>0</v>
      </c>
      <c r="L15" s="247">
        <v>0</v>
      </c>
      <c r="M15" s="247">
        <v>0</v>
      </c>
      <c r="N15" s="247">
        <v>0</v>
      </c>
      <c r="O15" s="247">
        <v>0</v>
      </c>
      <c r="P15" s="247">
        <v>0</v>
      </c>
      <c r="Q15" s="247">
        <v>0</v>
      </c>
      <c r="R15" s="247">
        <v>0</v>
      </c>
      <c r="S15" s="247">
        <v>0</v>
      </c>
      <c r="T15" s="247">
        <v>0</v>
      </c>
      <c r="U15" s="247">
        <v>0</v>
      </c>
      <c r="V15" s="247">
        <v>0</v>
      </c>
      <c r="W15" s="247">
        <v>0</v>
      </c>
      <c r="X15" s="275">
        <v>0</v>
      </c>
      <c r="Z15" s="276">
        <f>Est2018TransRev!Z15</f>
        <v>9721.6356157284772</v>
      </c>
      <c r="AA15" s="250">
        <f>Est2018TransRev!AA15</f>
        <v>0</v>
      </c>
      <c r="AB15" s="250">
        <f>Est2018TransRev!AB15</f>
        <v>0</v>
      </c>
      <c r="AC15" s="250">
        <f>Est2018TransRev!AC15</f>
        <v>0</v>
      </c>
      <c r="AD15" s="250">
        <f>Est2018TransRev!AD15</f>
        <v>0</v>
      </c>
      <c r="AE15" s="250">
        <f>Est2018TransRev!AE15</f>
        <v>19909930.707670532</v>
      </c>
      <c r="AF15" s="250">
        <f>Est2018TransRev!AF15</f>
        <v>0</v>
      </c>
      <c r="AG15" s="250">
        <f>Est2018TransRev!AG15</f>
        <v>0</v>
      </c>
      <c r="AH15" s="250">
        <f>Est2018TransRev!AH15</f>
        <v>0</v>
      </c>
      <c r="AI15" s="250">
        <f>Est2018TransRev!AI15</f>
        <v>0</v>
      </c>
      <c r="AJ15" s="250">
        <f>Est2018TransRev!AJ15</f>
        <v>0</v>
      </c>
      <c r="AK15" s="250">
        <f>Est2018TransRev!AK15</f>
        <v>0</v>
      </c>
      <c r="AL15" s="250">
        <f>Est2018TransRev!AL15</f>
        <v>0</v>
      </c>
      <c r="AM15" s="250">
        <f>Est2018TransRev!AM15</f>
        <v>0</v>
      </c>
      <c r="AN15" s="250">
        <f>Est2018TransRev!AN15</f>
        <v>0</v>
      </c>
      <c r="AO15" s="250">
        <f>Est2018TransRev!AO15</f>
        <v>0</v>
      </c>
      <c r="AP15" s="250">
        <f>Est2018TransRev!AP15</f>
        <v>0</v>
      </c>
      <c r="AQ15" s="250">
        <f>Est2018TransRev!AQ15</f>
        <v>0</v>
      </c>
      <c r="AR15" s="250">
        <f>Est2018TransRev!AR15</f>
        <v>0</v>
      </c>
      <c r="AS15" s="250">
        <f>Est2018TransRev!AS15</f>
        <v>0</v>
      </c>
      <c r="AT15" s="277">
        <f>Est2018TransRev!AT15</f>
        <v>0</v>
      </c>
      <c r="AV15" s="252">
        <f t="shared" si="4"/>
        <v>0</v>
      </c>
      <c r="AW15" s="220">
        <f t="shared" si="5"/>
        <v>0</v>
      </c>
      <c r="AX15" s="220">
        <f t="shared" si="6"/>
        <v>0</v>
      </c>
      <c r="AY15" s="220">
        <f t="shared" si="7"/>
        <v>0</v>
      </c>
      <c r="AZ15" s="220">
        <f t="shared" si="8"/>
        <v>0</v>
      </c>
      <c r="BA15" s="220">
        <f t="shared" si="9"/>
        <v>9954.9653538352668</v>
      </c>
      <c r="BB15" s="220">
        <f t="shared" si="10"/>
        <v>0</v>
      </c>
      <c r="BC15" s="220">
        <f t="shared" si="11"/>
        <v>0</v>
      </c>
      <c r="BD15" s="220">
        <f t="shared" si="12"/>
        <v>0</v>
      </c>
      <c r="BE15" s="220">
        <f t="shared" si="13"/>
        <v>0</v>
      </c>
      <c r="BF15" s="220">
        <f t="shared" si="14"/>
        <v>0</v>
      </c>
      <c r="BG15" s="220">
        <f t="shared" si="15"/>
        <v>0</v>
      </c>
      <c r="BH15" s="220">
        <f t="shared" si="16"/>
        <v>0</v>
      </c>
      <c r="BI15" s="253">
        <f t="shared" si="17"/>
        <v>0</v>
      </c>
      <c r="BJ15" s="253">
        <f t="shared" si="18"/>
        <v>0</v>
      </c>
      <c r="BK15" s="253">
        <f t="shared" si="19"/>
        <v>0</v>
      </c>
      <c r="BL15" s="253">
        <f t="shared" si="20"/>
        <v>0</v>
      </c>
      <c r="BM15" s="253">
        <f t="shared" si="21"/>
        <v>0</v>
      </c>
      <c r="BN15" s="253">
        <f t="shared" si="22"/>
        <v>0</v>
      </c>
      <c r="BO15" s="253">
        <f t="shared" si="23"/>
        <v>0</v>
      </c>
      <c r="BP15" s="253">
        <f t="shared" si="24"/>
        <v>0</v>
      </c>
      <c r="BQ15" s="254">
        <f t="shared" si="25"/>
        <v>9954.9653538352668</v>
      </c>
    </row>
    <row r="16" spans="2:69" x14ac:dyDescent="0.2">
      <c r="B16" s="244" t="str">
        <f>Est2018TransRev!B16</f>
        <v>Residential Two Rate 5d - Bulk - Controlled Load</v>
      </c>
      <c r="C16" s="274"/>
      <c r="D16" s="246">
        <v>0</v>
      </c>
      <c r="E16" s="247">
        <v>0</v>
      </c>
      <c r="F16" s="247">
        <v>0</v>
      </c>
      <c r="G16" s="247">
        <v>0</v>
      </c>
      <c r="H16" s="247">
        <v>0</v>
      </c>
      <c r="I16" s="247">
        <v>0.05</v>
      </c>
      <c r="J16" s="247">
        <v>0</v>
      </c>
      <c r="K16" s="247">
        <v>0</v>
      </c>
      <c r="L16" s="247">
        <v>0</v>
      </c>
      <c r="M16" s="247">
        <v>0</v>
      </c>
      <c r="N16" s="247">
        <v>0</v>
      </c>
      <c r="O16" s="247">
        <v>0</v>
      </c>
      <c r="P16" s="247">
        <v>0</v>
      </c>
      <c r="Q16" s="247">
        <v>0</v>
      </c>
      <c r="R16" s="247">
        <v>0</v>
      </c>
      <c r="S16" s="247">
        <v>0</v>
      </c>
      <c r="T16" s="247">
        <v>0</v>
      </c>
      <c r="U16" s="247">
        <v>0</v>
      </c>
      <c r="V16" s="247">
        <v>0</v>
      </c>
      <c r="W16" s="247">
        <v>0</v>
      </c>
      <c r="X16" s="275">
        <v>0</v>
      </c>
      <c r="Z16" s="276">
        <f>Est2018TransRev!Z16</f>
        <v>3658.6066628568519</v>
      </c>
      <c r="AA16" s="250">
        <f>Est2018TransRev!AA16</f>
        <v>0</v>
      </c>
      <c r="AB16" s="250">
        <f>Est2018TransRev!AB16</f>
        <v>0</v>
      </c>
      <c r="AC16" s="250">
        <f>Est2018TransRev!AC16</f>
        <v>0</v>
      </c>
      <c r="AD16" s="250">
        <f>Est2018TransRev!AD16</f>
        <v>0</v>
      </c>
      <c r="AE16" s="250">
        <f>Est2018TransRev!AE16</f>
        <v>7350471.8260590127</v>
      </c>
      <c r="AF16" s="250">
        <f>Est2018TransRev!AF16</f>
        <v>0</v>
      </c>
      <c r="AG16" s="250">
        <f>Est2018TransRev!AG16</f>
        <v>0</v>
      </c>
      <c r="AH16" s="250">
        <f>Est2018TransRev!AH16</f>
        <v>0</v>
      </c>
      <c r="AI16" s="250">
        <f>Est2018TransRev!AI16</f>
        <v>0</v>
      </c>
      <c r="AJ16" s="250">
        <f>Est2018TransRev!AJ16</f>
        <v>0</v>
      </c>
      <c r="AK16" s="250">
        <f>Est2018TransRev!AK16</f>
        <v>0</v>
      </c>
      <c r="AL16" s="250">
        <f>Est2018TransRev!AL16</f>
        <v>0</v>
      </c>
      <c r="AM16" s="250">
        <f>Est2018TransRev!AM16</f>
        <v>0</v>
      </c>
      <c r="AN16" s="250">
        <f>Est2018TransRev!AN16</f>
        <v>0</v>
      </c>
      <c r="AO16" s="250">
        <f>Est2018TransRev!AO16</f>
        <v>0</v>
      </c>
      <c r="AP16" s="250">
        <f>Est2018TransRev!AP16</f>
        <v>0</v>
      </c>
      <c r="AQ16" s="250">
        <f>Est2018TransRev!AQ16</f>
        <v>0</v>
      </c>
      <c r="AR16" s="250">
        <f>Est2018TransRev!AR16</f>
        <v>0</v>
      </c>
      <c r="AS16" s="250">
        <f>Est2018TransRev!AS16</f>
        <v>0</v>
      </c>
      <c r="AT16" s="277">
        <f>Est2018TransRev!AT16</f>
        <v>0</v>
      </c>
      <c r="AV16" s="252">
        <f t="shared" si="4"/>
        <v>0</v>
      </c>
      <c r="AW16" s="220">
        <f t="shared" si="5"/>
        <v>0</v>
      </c>
      <c r="AX16" s="220">
        <f t="shared" si="6"/>
        <v>0</v>
      </c>
      <c r="AY16" s="220">
        <f t="shared" si="7"/>
        <v>0</v>
      </c>
      <c r="AZ16" s="220">
        <f t="shared" si="8"/>
        <v>0</v>
      </c>
      <c r="BA16" s="220">
        <f t="shared" si="9"/>
        <v>3675.2359130295063</v>
      </c>
      <c r="BB16" s="220">
        <f t="shared" si="10"/>
        <v>0</v>
      </c>
      <c r="BC16" s="220">
        <f t="shared" si="11"/>
        <v>0</v>
      </c>
      <c r="BD16" s="220">
        <f t="shared" si="12"/>
        <v>0</v>
      </c>
      <c r="BE16" s="220">
        <f t="shared" si="13"/>
        <v>0</v>
      </c>
      <c r="BF16" s="220">
        <f t="shared" si="14"/>
        <v>0</v>
      </c>
      <c r="BG16" s="220">
        <f t="shared" si="15"/>
        <v>0</v>
      </c>
      <c r="BH16" s="220">
        <f t="shared" si="16"/>
        <v>0</v>
      </c>
      <c r="BI16" s="253">
        <f t="shared" si="17"/>
        <v>0</v>
      </c>
      <c r="BJ16" s="253">
        <f t="shared" si="18"/>
        <v>0</v>
      </c>
      <c r="BK16" s="253">
        <f t="shared" si="19"/>
        <v>0</v>
      </c>
      <c r="BL16" s="253">
        <f t="shared" si="20"/>
        <v>0</v>
      </c>
      <c r="BM16" s="253">
        <f t="shared" si="21"/>
        <v>0</v>
      </c>
      <c r="BN16" s="253">
        <f t="shared" si="22"/>
        <v>0</v>
      </c>
      <c r="BO16" s="253">
        <f t="shared" si="23"/>
        <v>0</v>
      </c>
      <c r="BP16" s="253">
        <f t="shared" si="24"/>
        <v>0</v>
      </c>
      <c r="BQ16" s="254">
        <f t="shared" si="25"/>
        <v>3675.2359130295063</v>
      </c>
    </row>
    <row r="17" spans="2:69" x14ac:dyDescent="0.2">
      <c r="B17" s="244" t="str">
        <f>Est2018TransRev!B17</f>
        <v>Dedicated Circuit</v>
      </c>
      <c r="C17" s="274"/>
      <c r="D17" s="246">
        <v>0</v>
      </c>
      <c r="E17" s="247">
        <v>0</v>
      </c>
      <c r="F17" s="247">
        <v>0</v>
      </c>
      <c r="G17" s="247">
        <v>0</v>
      </c>
      <c r="H17" s="247">
        <v>0</v>
      </c>
      <c r="I17" s="247">
        <v>0.05</v>
      </c>
      <c r="J17" s="247">
        <v>0</v>
      </c>
      <c r="K17" s="247">
        <v>0</v>
      </c>
      <c r="L17" s="247">
        <v>0</v>
      </c>
      <c r="M17" s="247">
        <v>0</v>
      </c>
      <c r="N17" s="247">
        <v>0</v>
      </c>
      <c r="O17" s="247">
        <v>0</v>
      </c>
      <c r="P17" s="247">
        <v>0</v>
      </c>
      <c r="Q17" s="247">
        <v>0</v>
      </c>
      <c r="R17" s="247">
        <v>0</v>
      </c>
      <c r="S17" s="247">
        <v>0</v>
      </c>
      <c r="T17" s="247">
        <v>0</v>
      </c>
      <c r="U17" s="247">
        <v>0</v>
      </c>
      <c r="V17" s="247">
        <v>0</v>
      </c>
      <c r="W17" s="247">
        <v>0</v>
      </c>
      <c r="X17" s="275">
        <v>0</v>
      </c>
      <c r="Z17" s="276">
        <f>Est2018TransRev!Z17</f>
        <v>22642.030575507612</v>
      </c>
      <c r="AA17" s="250">
        <f>Est2018TransRev!AA17</f>
        <v>0</v>
      </c>
      <c r="AB17" s="250">
        <f>Est2018TransRev!AB17</f>
        <v>0</v>
      </c>
      <c r="AC17" s="250">
        <f>Est2018TransRev!AC17</f>
        <v>0</v>
      </c>
      <c r="AD17" s="250">
        <f>Est2018TransRev!AD17</f>
        <v>0</v>
      </c>
      <c r="AE17" s="250">
        <f>Est2018TransRev!AE17</f>
        <v>33890069.863411687</v>
      </c>
      <c r="AF17" s="250">
        <f>Est2018TransRev!AF17</f>
        <v>0</v>
      </c>
      <c r="AG17" s="250">
        <f>Est2018TransRev!AG17</f>
        <v>0</v>
      </c>
      <c r="AH17" s="250">
        <f>Est2018TransRev!AH17</f>
        <v>0</v>
      </c>
      <c r="AI17" s="250">
        <f>Est2018TransRev!AI17</f>
        <v>0</v>
      </c>
      <c r="AJ17" s="250">
        <f>Est2018TransRev!AJ17</f>
        <v>0</v>
      </c>
      <c r="AK17" s="250">
        <f>Est2018TransRev!AK17</f>
        <v>0</v>
      </c>
      <c r="AL17" s="250">
        <f>Est2018TransRev!AL17</f>
        <v>0</v>
      </c>
      <c r="AM17" s="250">
        <f>Est2018TransRev!AM17</f>
        <v>0</v>
      </c>
      <c r="AN17" s="250">
        <f>Est2018TransRev!AN17</f>
        <v>0</v>
      </c>
      <c r="AO17" s="250">
        <f>Est2018TransRev!AO17</f>
        <v>0</v>
      </c>
      <c r="AP17" s="250">
        <f>Est2018TransRev!AP17</f>
        <v>0</v>
      </c>
      <c r="AQ17" s="250">
        <f>Est2018TransRev!AQ17</f>
        <v>0</v>
      </c>
      <c r="AR17" s="250">
        <f>Est2018TransRev!AR17</f>
        <v>0</v>
      </c>
      <c r="AS17" s="250">
        <f>Est2018TransRev!AS17</f>
        <v>0</v>
      </c>
      <c r="AT17" s="277">
        <f>Est2018TransRev!AT17</f>
        <v>0</v>
      </c>
      <c r="AV17" s="252">
        <f t="shared" si="4"/>
        <v>0</v>
      </c>
      <c r="AW17" s="220">
        <f t="shared" si="5"/>
        <v>0</v>
      </c>
      <c r="AX17" s="220">
        <f t="shared" si="6"/>
        <v>0</v>
      </c>
      <c r="AY17" s="220">
        <f t="shared" si="7"/>
        <v>0</v>
      </c>
      <c r="AZ17" s="220">
        <f t="shared" si="8"/>
        <v>0</v>
      </c>
      <c r="BA17" s="220">
        <f t="shared" si="9"/>
        <v>16945.034931705843</v>
      </c>
      <c r="BB17" s="220">
        <f t="shared" si="10"/>
        <v>0</v>
      </c>
      <c r="BC17" s="220">
        <f t="shared" si="11"/>
        <v>0</v>
      </c>
      <c r="BD17" s="220">
        <f t="shared" si="12"/>
        <v>0</v>
      </c>
      <c r="BE17" s="220">
        <f t="shared" si="13"/>
        <v>0</v>
      </c>
      <c r="BF17" s="220">
        <f t="shared" si="14"/>
        <v>0</v>
      </c>
      <c r="BG17" s="220">
        <f t="shared" si="15"/>
        <v>0</v>
      </c>
      <c r="BH17" s="220">
        <f t="shared" si="16"/>
        <v>0</v>
      </c>
      <c r="BI17" s="253">
        <f t="shared" si="17"/>
        <v>0</v>
      </c>
      <c r="BJ17" s="253">
        <f t="shared" si="18"/>
        <v>0</v>
      </c>
      <c r="BK17" s="253">
        <f t="shared" si="19"/>
        <v>0</v>
      </c>
      <c r="BL17" s="253">
        <f t="shared" si="20"/>
        <v>0</v>
      </c>
      <c r="BM17" s="253">
        <f t="shared" si="21"/>
        <v>0</v>
      </c>
      <c r="BN17" s="253">
        <f t="shared" si="22"/>
        <v>0</v>
      </c>
      <c r="BO17" s="253">
        <f t="shared" si="23"/>
        <v>0</v>
      </c>
      <c r="BP17" s="253">
        <f t="shared" si="24"/>
        <v>0</v>
      </c>
      <c r="BQ17" s="254">
        <f t="shared" si="25"/>
        <v>16945.034931705843</v>
      </c>
    </row>
    <row r="18" spans="2:69" x14ac:dyDescent="0.2">
      <c r="B18" s="244" t="str">
        <f>Est2018TransRev!B18</f>
        <v>Dedicated Circuit - Bulk</v>
      </c>
      <c r="C18" s="274"/>
      <c r="D18" s="246">
        <v>0</v>
      </c>
      <c r="E18" s="247">
        <v>0</v>
      </c>
      <c r="F18" s="247">
        <v>0</v>
      </c>
      <c r="G18" s="247">
        <v>0</v>
      </c>
      <c r="H18" s="247">
        <v>0</v>
      </c>
      <c r="I18" s="247">
        <v>0.05</v>
      </c>
      <c r="J18" s="247">
        <v>0</v>
      </c>
      <c r="K18" s="247">
        <v>0</v>
      </c>
      <c r="L18" s="247">
        <v>0</v>
      </c>
      <c r="M18" s="247">
        <v>0</v>
      </c>
      <c r="N18" s="247">
        <v>0</v>
      </c>
      <c r="O18" s="247">
        <v>0</v>
      </c>
      <c r="P18" s="247">
        <v>0</v>
      </c>
      <c r="Q18" s="247">
        <v>0</v>
      </c>
      <c r="R18" s="247">
        <v>0</v>
      </c>
      <c r="S18" s="247">
        <v>0</v>
      </c>
      <c r="T18" s="247">
        <v>0</v>
      </c>
      <c r="U18" s="247">
        <v>0</v>
      </c>
      <c r="V18" s="247">
        <v>0</v>
      </c>
      <c r="W18" s="247">
        <v>0</v>
      </c>
      <c r="X18" s="275">
        <v>0</v>
      </c>
      <c r="Z18" s="276">
        <f>Est2018TransRev!Z18</f>
        <v>1081.4792179376586</v>
      </c>
      <c r="AA18" s="250">
        <f>Est2018TransRev!AA18</f>
        <v>0</v>
      </c>
      <c r="AB18" s="250">
        <f>Est2018TransRev!AB18</f>
        <v>0</v>
      </c>
      <c r="AC18" s="250">
        <f>Est2018TransRev!AC18</f>
        <v>0</v>
      </c>
      <c r="AD18" s="250">
        <f>Est2018TransRev!AD18</f>
        <v>0</v>
      </c>
      <c r="AE18" s="250">
        <f>Est2018TransRev!AE18</f>
        <v>2219211.1923869113</v>
      </c>
      <c r="AF18" s="250">
        <f>Est2018TransRev!AF18</f>
        <v>0</v>
      </c>
      <c r="AG18" s="250">
        <f>Est2018TransRev!AG18</f>
        <v>0</v>
      </c>
      <c r="AH18" s="250">
        <f>Est2018TransRev!AH18</f>
        <v>0</v>
      </c>
      <c r="AI18" s="250">
        <f>Est2018TransRev!AI18</f>
        <v>0</v>
      </c>
      <c r="AJ18" s="250">
        <f>Est2018TransRev!AJ18</f>
        <v>0</v>
      </c>
      <c r="AK18" s="250">
        <f>Est2018TransRev!AK18</f>
        <v>0</v>
      </c>
      <c r="AL18" s="250">
        <f>Est2018TransRev!AL18</f>
        <v>0</v>
      </c>
      <c r="AM18" s="250">
        <f>Est2018TransRev!AM18</f>
        <v>0</v>
      </c>
      <c r="AN18" s="250">
        <f>Est2018TransRev!AN18</f>
        <v>0</v>
      </c>
      <c r="AO18" s="250">
        <f>Est2018TransRev!AO18</f>
        <v>0</v>
      </c>
      <c r="AP18" s="250">
        <f>Est2018TransRev!AP18</f>
        <v>0</v>
      </c>
      <c r="AQ18" s="250">
        <f>Est2018TransRev!AQ18</f>
        <v>0</v>
      </c>
      <c r="AR18" s="250">
        <f>Est2018TransRev!AR18</f>
        <v>0</v>
      </c>
      <c r="AS18" s="250">
        <f>Est2018TransRev!AS18</f>
        <v>0</v>
      </c>
      <c r="AT18" s="277">
        <f>Est2018TransRev!AT18</f>
        <v>0</v>
      </c>
      <c r="AV18" s="252">
        <f t="shared" si="4"/>
        <v>0</v>
      </c>
      <c r="AW18" s="220">
        <f t="shared" si="5"/>
        <v>0</v>
      </c>
      <c r="AX18" s="220">
        <f t="shared" si="6"/>
        <v>0</v>
      </c>
      <c r="AY18" s="220">
        <f t="shared" si="7"/>
        <v>0</v>
      </c>
      <c r="AZ18" s="220">
        <f t="shared" si="8"/>
        <v>0</v>
      </c>
      <c r="BA18" s="220">
        <f t="shared" si="9"/>
        <v>1109.6055961934555</v>
      </c>
      <c r="BB18" s="220">
        <f t="shared" si="10"/>
        <v>0</v>
      </c>
      <c r="BC18" s="220">
        <f t="shared" si="11"/>
        <v>0</v>
      </c>
      <c r="BD18" s="220">
        <f t="shared" si="12"/>
        <v>0</v>
      </c>
      <c r="BE18" s="220">
        <f t="shared" si="13"/>
        <v>0</v>
      </c>
      <c r="BF18" s="220">
        <f t="shared" si="14"/>
        <v>0</v>
      </c>
      <c r="BG18" s="220">
        <f t="shared" si="15"/>
        <v>0</v>
      </c>
      <c r="BH18" s="220">
        <f t="shared" si="16"/>
        <v>0</v>
      </c>
      <c r="BI18" s="253">
        <f t="shared" si="17"/>
        <v>0</v>
      </c>
      <c r="BJ18" s="253">
        <f t="shared" si="18"/>
        <v>0</v>
      </c>
      <c r="BK18" s="253">
        <f t="shared" si="19"/>
        <v>0</v>
      </c>
      <c r="BL18" s="253">
        <f t="shared" si="20"/>
        <v>0</v>
      </c>
      <c r="BM18" s="253">
        <f t="shared" si="21"/>
        <v>0</v>
      </c>
      <c r="BN18" s="253">
        <f t="shared" si="22"/>
        <v>0</v>
      </c>
      <c r="BO18" s="253">
        <f t="shared" si="23"/>
        <v>0</v>
      </c>
      <c r="BP18" s="253">
        <f t="shared" si="24"/>
        <v>0</v>
      </c>
      <c r="BQ18" s="254">
        <f t="shared" si="25"/>
        <v>1109.6055961934555</v>
      </c>
    </row>
    <row r="19" spans="2:69" x14ac:dyDescent="0.2">
      <c r="B19" s="244" t="str">
        <f>Est2018TransRev!B19</f>
        <v>Residential Demand</v>
      </c>
      <c r="C19" s="274"/>
      <c r="D19" s="246">
        <v>0</v>
      </c>
      <c r="E19" s="247">
        <v>0.05</v>
      </c>
      <c r="F19" s="247">
        <v>0</v>
      </c>
      <c r="G19" s="247">
        <v>0</v>
      </c>
      <c r="H19" s="247">
        <v>0</v>
      </c>
      <c r="I19" s="247">
        <v>0</v>
      </c>
      <c r="J19" s="247">
        <v>0</v>
      </c>
      <c r="K19" s="247">
        <v>0</v>
      </c>
      <c r="L19" s="247">
        <v>0</v>
      </c>
      <c r="M19" s="247">
        <v>0</v>
      </c>
      <c r="N19" s="247">
        <v>0</v>
      </c>
      <c r="O19" s="247">
        <v>0</v>
      </c>
      <c r="P19" s="247">
        <v>0</v>
      </c>
      <c r="Q19" s="247">
        <v>0</v>
      </c>
      <c r="R19" s="247">
        <v>0</v>
      </c>
      <c r="S19" s="247">
        <v>0</v>
      </c>
      <c r="T19" s="247">
        <v>0</v>
      </c>
      <c r="U19" s="247">
        <v>0</v>
      </c>
      <c r="V19" s="247">
        <v>0</v>
      </c>
      <c r="W19" s="247">
        <v>0</v>
      </c>
      <c r="X19" s="275">
        <v>0</v>
      </c>
      <c r="Z19" s="276">
        <f>Est2018TransRev!Z19</f>
        <v>5</v>
      </c>
      <c r="AA19" s="250">
        <f>Est2018TransRev!AA19</f>
        <v>27500</v>
      </c>
      <c r="AB19" s="250">
        <f>Est2018TransRev!AB19</f>
        <v>0</v>
      </c>
      <c r="AC19" s="250">
        <f>Est2018TransRev!AC19</f>
        <v>0</v>
      </c>
      <c r="AD19" s="250">
        <f>Est2018TransRev!AD19</f>
        <v>0</v>
      </c>
      <c r="AE19" s="250">
        <f>Est2018TransRev!AE19</f>
        <v>0</v>
      </c>
      <c r="AF19" s="250">
        <f>Est2018TransRev!AF19</f>
        <v>0</v>
      </c>
      <c r="AG19" s="250">
        <f>Est2018TransRev!AG19</f>
        <v>0</v>
      </c>
      <c r="AH19" s="250">
        <f>Est2018TransRev!AH19</f>
        <v>0</v>
      </c>
      <c r="AI19" s="250">
        <f>Est2018TransRev!AI19</f>
        <v>0</v>
      </c>
      <c r="AJ19" s="250">
        <f>Est2018TransRev!AJ19</f>
        <v>0</v>
      </c>
      <c r="AK19" s="250">
        <f>Est2018TransRev!AK19</f>
        <v>62.785388127853878</v>
      </c>
      <c r="AL19" s="250">
        <f>Est2018TransRev!AL19</f>
        <v>100.45662100456622</v>
      </c>
      <c r="AM19" s="250">
        <f>Est2018TransRev!AM19</f>
        <v>0</v>
      </c>
      <c r="AN19" s="250">
        <f>Est2018TransRev!AN19</f>
        <v>0</v>
      </c>
      <c r="AO19" s="250">
        <f>Est2018TransRev!AO19</f>
        <v>0</v>
      </c>
      <c r="AP19" s="250">
        <f>Est2018TransRev!AP19</f>
        <v>0</v>
      </c>
      <c r="AQ19" s="250">
        <f>Est2018TransRev!AQ19</f>
        <v>0</v>
      </c>
      <c r="AR19" s="250">
        <f>Est2018TransRev!AR19</f>
        <v>0</v>
      </c>
      <c r="AS19" s="250">
        <f>Est2018TransRev!AS19</f>
        <v>0</v>
      </c>
      <c r="AT19" s="277">
        <f>Est2018TransRev!AT19</f>
        <v>0</v>
      </c>
      <c r="AV19" s="252">
        <f t="shared" si="4"/>
        <v>0</v>
      </c>
      <c r="AW19" s="220">
        <f t="shared" si="5"/>
        <v>13.75</v>
      </c>
      <c r="AX19" s="220">
        <f t="shared" si="6"/>
        <v>0</v>
      </c>
      <c r="AY19" s="220">
        <f t="shared" si="7"/>
        <v>0</v>
      </c>
      <c r="AZ19" s="220">
        <f t="shared" si="8"/>
        <v>0</v>
      </c>
      <c r="BA19" s="220">
        <f t="shared" si="9"/>
        <v>0</v>
      </c>
      <c r="BB19" s="220">
        <f t="shared" si="10"/>
        <v>0</v>
      </c>
      <c r="BC19" s="220">
        <f t="shared" si="11"/>
        <v>0</v>
      </c>
      <c r="BD19" s="220">
        <f t="shared" si="12"/>
        <v>0</v>
      </c>
      <c r="BE19" s="220">
        <f t="shared" si="13"/>
        <v>0</v>
      </c>
      <c r="BF19" s="220">
        <f t="shared" si="14"/>
        <v>0</v>
      </c>
      <c r="BG19" s="220">
        <f t="shared" si="15"/>
        <v>0</v>
      </c>
      <c r="BH19" s="220">
        <f t="shared" si="16"/>
        <v>0</v>
      </c>
      <c r="BI19" s="253">
        <f t="shared" si="17"/>
        <v>0</v>
      </c>
      <c r="BJ19" s="253">
        <f t="shared" si="18"/>
        <v>0</v>
      </c>
      <c r="BK19" s="253">
        <f t="shared" si="19"/>
        <v>0</v>
      </c>
      <c r="BL19" s="253">
        <f t="shared" si="20"/>
        <v>0</v>
      </c>
      <c r="BM19" s="253">
        <f t="shared" si="21"/>
        <v>0</v>
      </c>
      <c r="BN19" s="253">
        <f t="shared" si="22"/>
        <v>0</v>
      </c>
      <c r="BO19" s="253">
        <f t="shared" si="23"/>
        <v>0</v>
      </c>
      <c r="BP19" s="253">
        <f t="shared" si="24"/>
        <v>0</v>
      </c>
      <c r="BQ19" s="254">
        <f t="shared" si="25"/>
        <v>13.75</v>
      </c>
    </row>
    <row r="20" spans="2:69" x14ac:dyDescent="0.2">
      <c r="B20" s="244" t="str">
        <f>Est2018TransRev!B20</f>
        <v>Residential Bulk Demand</v>
      </c>
      <c r="C20" s="274"/>
      <c r="D20" s="246">
        <v>0</v>
      </c>
      <c r="E20" s="247">
        <v>0.05</v>
      </c>
      <c r="F20" s="247">
        <v>0</v>
      </c>
      <c r="G20" s="247">
        <v>0</v>
      </c>
      <c r="H20" s="247">
        <v>0</v>
      </c>
      <c r="I20" s="247">
        <v>0</v>
      </c>
      <c r="J20" s="247">
        <v>0</v>
      </c>
      <c r="K20" s="247">
        <v>0</v>
      </c>
      <c r="L20" s="247">
        <v>0</v>
      </c>
      <c r="M20" s="247">
        <v>0</v>
      </c>
      <c r="N20" s="247">
        <v>0</v>
      </c>
      <c r="O20" s="247">
        <v>0</v>
      </c>
      <c r="P20" s="247">
        <v>0</v>
      </c>
      <c r="Q20" s="247">
        <v>0</v>
      </c>
      <c r="R20" s="247">
        <v>0</v>
      </c>
      <c r="S20" s="247">
        <v>0</v>
      </c>
      <c r="T20" s="247">
        <v>0</v>
      </c>
      <c r="U20" s="247">
        <v>0</v>
      </c>
      <c r="V20" s="247">
        <v>0</v>
      </c>
      <c r="W20" s="247">
        <v>0</v>
      </c>
      <c r="X20" s="275">
        <v>0</v>
      </c>
      <c r="Z20" s="276">
        <f>Est2018TransRev!Z20</f>
        <v>1</v>
      </c>
      <c r="AA20" s="250">
        <f>Est2018TransRev!AA20</f>
        <v>5500</v>
      </c>
      <c r="AB20" s="250">
        <f>Est2018TransRev!AB20</f>
        <v>0</v>
      </c>
      <c r="AC20" s="250">
        <f>Est2018TransRev!AC20</f>
        <v>0</v>
      </c>
      <c r="AD20" s="250">
        <f>Est2018TransRev!AD20</f>
        <v>0</v>
      </c>
      <c r="AE20" s="250">
        <f>Est2018TransRev!AE20</f>
        <v>0</v>
      </c>
      <c r="AF20" s="250">
        <f>Est2018TransRev!AF20</f>
        <v>0</v>
      </c>
      <c r="AG20" s="250">
        <f>Est2018TransRev!AG20</f>
        <v>0</v>
      </c>
      <c r="AH20" s="250">
        <f>Est2018TransRev!AH20</f>
        <v>0</v>
      </c>
      <c r="AI20" s="250">
        <f>Est2018TransRev!AI20</f>
        <v>0</v>
      </c>
      <c r="AJ20" s="250">
        <f>Est2018TransRev!AJ20</f>
        <v>0</v>
      </c>
      <c r="AK20" s="250">
        <f>Est2018TransRev!AK20</f>
        <v>12.557077625570775</v>
      </c>
      <c r="AL20" s="250">
        <f>Est2018TransRev!AL20</f>
        <v>20.091324200913242</v>
      </c>
      <c r="AM20" s="250">
        <f>Est2018TransRev!AM20</f>
        <v>0</v>
      </c>
      <c r="AN20" s="250">
        <f>Est2018TransRev!AN20</f>
        <v>0</v>
      </c>
      <c r="AO20" s="250">
        <f>Est2018TransRev!AO20</f>
        <v>0</v>
      </c>
      <c r="AP20" s="250">
        <f>Est2018TransRev!AP20</f>
        <v>0</v>
      </c>
      <c r="AQ20" s="250">
        <f>Est2018TransRev!AQ20</f>
        <v>0</v>
      </c>
      <c r="AR20" s="250">
        <f>Est2018TransRev!AR20</f>
        <v>0</v>
      </c>
      <c r="AS20" s="250">
        <f>Est2018TransRev!AS20</f>
        <v>0</v>
      </c>
      <c r="AT20" s="277">
        <f>Est2018TransRev!AT20</f>
        <v>0</v>
      </c>
      <c r="AV20" s="252">
        <f t="shared" si="4"/>
        <v>0</v>
      </c>
      <c r="AW20" s="220">
        <f t="shared" si="5"/>
        <v>2.75</v>
      </c>
      <c r="AX20" s="220">
        <f t="shared" si="6"/>
        <v>0</v>
      </c>
      <c r="AY20" s="220">
        <f t="shared" si="7"/>
        <v>0</v>
      </c>
      <c r="AZ20" s="220">
        <f t="shared" si="8"/>
        <v>0</v>
      </c>
      <c r="BA20" s="220">
        <f t="shared" si="9"/>
        <v>0</v>
      </c>
      <c r="BB20" s="220">
        <f t="shared" si="10"/>
        <v>0</v>
      </c>
      <c r="BC20" s="220">
        <f t="shared" si="11"/>
        <v>0</v>
      </c>
      <c r="BD20" s="220">
        <f t="shared" si="12"/>
        <v>0</v>
      </c>
      <c r="BE20" s="220">
        <f t="shared" si="13"/>
        <v>0</v>
      </c>
      <c r="BF20" s="220">
        <f t="shared" si="14"/>
        <v>0</v>
      </c>
      <c r="BG20" s="220">
        <f t="shared" si="15"/>
        <v>0</v>
      </c>
      <c r="BH20" s="220">
        <f t="shared" si="16"/>
        <v>0</v>
      </c>
      <c r="BI20" s="253">
        <f t="shared" si="17"/>
        <v>0</v>
      </c>
      <c r="BJ20" s="253">
        <f t="shared" si="18"/>
        <v>0</v>
      </c>
      <c r="BK20" s="253">
        <f t="shared" si="19"/>
        <v>0</v>
      </c>
      <c r="BL20" s="253">
        <f t="shared" si="20"/>
        <v>0</v>
      </c>
      <c r="BM20" s="253">
        <f t="shared" si="21"/>
        <v>0</v>
      </c>
      <c r="BN20" s="253">
        <f t="shared" si="22"/>
        <v>0</v>
      </c>
      <c r="BO20" s="253">
        <f t="shared" si="23"/>
        <v>0</v>
      </c>
      <c r="BP20" s="253">
        <f t="shared" si="24"/>
        <v>0</v>
      </c>
      <c r="BQ20" s="254">
        <f t="shared" si="25"/>
        <v>2.75</v>
      </c>
    </row>
    <row r="21" spans="2:69" x14ac:dyDescent="0.2">
      <c r="B21" s="244" t="str">
        <f>Est2018TransRev!B21</f>
        <v>Non-Residential Single Rate</v>
      </c>
      <c r="C21" s="274"/>
      <c r="D21" s="246">
        <v>0</v>
      </c>
      <c r="E21" s="247">
        <v>0.04</v>
      </c>
      <c r="F21" s="247">
        <v>0</v>
      </c>
      <c r="G21" s="247">
        <v>0</v>
      </c>
      <c r="H21" s="247">
        <v>0</v>
      </c>
      <c r="I21" s="247">
        <v>0</v>
      </c>
      <c r="J21" s="247">
        <v>0</v>
      </c>
      <c r="K21" s="247">
        <v>0</v>
      </c>
      <c r="L21" s="247">
        <v>0</v>
      </c>
      <c r="M21" s="247">
        <v>0</v>
      </c>
      <c r="N21" s="247">
        <v>0</v>
      </c>
      <c r="O21" s="247">
        <v>0</v>
      </c>
      <c r="P21" s="247">
        <v>0</v>
      </c>
      <c r="Q21" s="247">
        <v>0</v>
      </c>
      <c r="R21" s="247">
        <v>0</v>
      </c>
      <c r="S21" s="247">
        <v>0</v>
      </c>
      <c r="T21" s="247">
        <v>0</v>
      </c>
      <c r="U21" s="247">
        <v>0</v>
      </c>
      <c r="V21" s="247">
        <v>0</v>
      </c>
      <c r="W21" s="247">
        <v>0</v>
      </c>
      <c r="X21" s="275">
        <v>0</v>
      </c>
      <c r="Z21" s="276">
        <f>Est2018TransRev!Z21</f>
        <v>18214.931992410631</v>
      </c>
      <c r="AA21" s="250">
        <f>Est2018TransRev!AA21</f>
        <v>220224546.95765957</v>
      </c>
      <c r="AB21" s="250">
        <f>Est2018TransRev!AB21</f>
        <v>0</v>
      </c>
      <c r="AC21" s="250">
        <f>Est2018TransRev!AC21</f>
        <v>0</v>
      </c>
      <c r="AD21" s="250">
        <f>Est2018TransRev!AD21</f>
        <v>0</v>
      </c>
      <c r="AE21" s="250">
        <f>Est2018TransRev!AE21</f>
        <v>0</v>
      </c>
      <c r="AF21" s="250">
        <f>Est2018TransRev!AF21</f>
        <v>0</v>
      </c>
      <c r="AG21" s="250">
        <f>Est2018TransRev!AG21</f>
        <v>0</v>
      </c>
      <c r="AH21" s="250">
        <f>Est2018TransRev!AH21</f>
        <v>0</v>
      </c>
      <c r="AI21" s="250">
        <f>Est2018TransRev!AI21</f>
        <v>0</v>
      </c>
      <c r="AJ21" s="250">
        <f>Est2018TransRev!AJ21</f>
        <v>0</v>
      </c>
      <c r="AK21" s="250">
        <f>Est2018TransRev!AK21</f>
        <v>0</v>
      </c>
      <c r="AL21" s="250">
        <f>Est2018TransRev!AL21</f>
        <v>0</v>
      </c>
      <c r="AM21" s="250">
        <f>Est2018TransRev!AM21</f>
        <v>0</v>
      </c>
      <c r="AN21" s="250">
        <f>Est2018TransRev!AN21</f>
        <v>0</v>
      </c>
      <c r="AO21" s="250">
        <f>Est2018TransRev!AO21</f>
        <v>0</v>
      </c>
      <c r="AP21" s="250">
        <f>Est2018TransRev!AP21</f>
        <v>0</v>
      </c>
      <c r="AQ21" s="250">
        <f>Est2018TransRev!AQ21</f>
        <v>0</v>
      </c>
      <c r="AR21" s="250">
        <f>Est2018TransRev!AR21</f>
        <v>0</v>
      </c>
      <c r="AS21" s="250">
        <f>Est2018TransRev!AS21</f>
        <v>0</v>
      </c>
      <c r="AT21" s="277">
        <f>Est2018TransRev!AT21</f>
        <v>0</v>
      </c>
      <c r="AV21" s="252">
        <f t="shared" si="4"/>
        <v>0</v>
      </c>
      <c r="AW21" s="220">
        <f t="shared" si="5"/>
        <v>88089.818783063834</v>
      </c>
      <c r="AX21" s="220">
        <f t="shared" si="6"/>
        <v>0</v>
      </c>
      <c r="AY21" s="220">
        <f t="shared" si="7"/>
        <v>0</v>
      </c>
      <c r="AZ21" s="220">
        <f t="shared" si="8"/>
        <v>0</v>
      </c>
      <c r="BA21" s="220">
        <f t="shared" si="9"/>
        <v>0</v>
      </c>
      <c r="BB21" s="220">
        <f t="shared" si="10"/>
        <v>0</v>
      </c>
      <c r="BC21" s="220">
        <f t="shared" si="11"/>
        <v>0</v>
      </c>
      <c r="BD21" s="220">
        <f t="shared" si="12"/>
        <v>0</v>
      </c>
      <c r="BE21" s="220">
        <f t="shared" si="13"/>
        <v>0</v>
      </c>
      <c r="BF21" s="220">
        <f t="shared" si="14"/>
        <v>0</v>
      </c>
      <c r="BG21" s="220">
        <f t="shared" si="15"/>
        <v>0</v>
      </c>
      <c r="BH21" s="220">
        <f t="shared" si="16"/>
        <v>0</v>
      </c>
      <c r="BI21" s="253">
        <f t="shared" si="17"/>
        <v>0</v>
      </c>
      <c r="BJ21" s="253">
        <f t="shared" si="18"/>
        <v>0</v>
      </c>
      <c r="BK21" s="253">
        <f t="shared" si="19"/>
        <v>0</v>
      </c>
      <c r="BL21" s="253">
        <f t="shared" si="20"/>
        <v>0</v>
      </c>
      <c r="BM21" s="253">
        <f t="shared" si="21"/>
        <v>0</v>
      </c>
      <c r="BN21" s="253">
        <f t="shared" si="22"/>
        <v>0</v>
      </c>
      <c r="BO21" s="253">
        <f t="shared" si="23"/>
        <v>0</v>
      </c>
      <c r="BP21" s="253">
        <f t="shared" si="24"/>
        <v>0</v>
      </c>
      <c r="BQ21" s="254">
        <f t="shared" si="25"/>
        <v>88089.818783063834</v>
      </c>
    </row>
    <row r="22" spans="2:69" x14ac:dyDescent="0.2">
      <c r="B22" s="244" t="str">
        <f>Est2018TransRev!B22</f>
        <v>Non-Residential Single Rate - Bulk</v>
      </c>
      <c r="C22" s="274"/>
      <c r="D22" s="246">
        <v>0</v>
      </c>
      <c r="E22" s="247">
        <v>0.04</v>
      </c>
      <c r="F22" s="247">
        <v>0</v>
      </c>
      <c r="G22" s="247">
        <v>0</v>
      </c>
      <c r="H22" s="247">
        <v>0</v>
      </c>
      <c r="I22" s="247">
        <v>0</v>
      </c>
      <c r="J22" s="247">
        <v>0</v>
      </c>
      <c r="K22" s="247">
        <v>0</v>
      </c>
      <c r="L22" s="247">
        <v>0</v>
      </c>
      <c r="M22" s="247">
        <v>0</v>
      </c>
      <c r="N22" s="247">
        <v>0</v>
      </c>
      <c r="O22" s="247">
        <v>0</v>
      </c>
      <c r="P22" s="247">
        <v>0</v>
      </c>
      <c r="Q22" s="247">
        <v>0</v>
      </c>
      <c r="R22" s="247">
        <v>0</v>
      </c>
      <c r="S22" s="247">
        <v>0</v>
      </c>
      <c r="T22" s="247">
        <v>0</v>
      </c>
      <c r="U22" s="247">
        <v>0</v>
      </c>
      <c r="V22" s="247">
        <v>0</v>
      </c>
      <c r="W22" s="247">
        <v>0</v>
      </c>
      <c r="X22" s="275">
        <v>0</v>
      </c>
      <c r="Z22" s="276">
        <f>Est2018TransRev!Z22</f>
        <v>5599.0051578270723</v>
      </c>
      <c r="AA22" s="250">
        <f>Est2018TransRev!AA22</f>
        <v>73848559.175984561</v>
      </c>
      <c r="AB22" s="250">
        <f>Est2018TransRev!AB22</f>
        <v>0</v>
      </c>
      <c r="AC22" s="250">
        <f>Est2018TransRev!AC22</f>
        <v>0</v>
      </c>
      <c r="AD22" s="250">
        <f>Est2018TransRev!AD22</f>
        <v>0</v>
      </c>
      <c r="AE22" s="250">
        <f>Est2018TransRev!AE22</f>
        <v>0</v>
      </c>
      <c r="AF22" s="250">
        <f>Est2018TransRev!AF22</f>
        <v>0</v>
      </c>
      <c r="AG22" s="250">
        <f>Est2018TransRev!AG22</f>
        <v>0</v>
      </c>
      <c r="AH22" s="250">
        <f>Est2018TransRev!AH22</f>
        <v>0</v>
      </c>
      <c r="AI22" s="250">
        <f>Est2018TransRev!AI22</f>
        <v>0</v>
      </c>
      <c r="AJ22" s="250">
        <f>Est2018TransRev!AJ22</f>
        <v>0</v>
      </c>
      <c r="AK22" s="250">
        <f>Est2018TransRev!AK22</f>
        <v>0</v>
      </c>
      <c r="AL22" s="250">
        <f>Est2018TransRev!AL22</f>
        <v>0</v>
      </c>
      <c r="AM22" s="250">
        <f>Est2018TransRev!AM22</f>
        <v>0</v>
      </c>
      <c r="AN22" s="250">
        <f>Est2018TransRev!AN22</f>
        <v>0</v>
      </c>
      <c r="AO22" s="250">
        <f>Est2018TransRev!AO22</f>
        <v>0</v>
      </c>
      <c r="AP22" s="250">
        <f>Est2018TransRev!AP22</f>
        <v>0</v>
      </c>
      <c r="AQ22" s="250">
        <f>Est2018TransRev!AQ22</f>
        <v>0</v>
      </c>
      <c r="AR22" s="250">
        <f>Est2018TransRev!AR22</f>
        <v>0</v>
      </c>
      <c r="AS22" s="250">
        <f>Est2018TransRev!AS22</f>
        <v>0</v>
      </c>
      <c r="AT22" s="277">
        <f>Est2018TransRev!AT22</f>
        <v>0</v>
      </c>
      <c r="AV22" s="252">
        <f t="shared" si="4"/>
        <v>0</v>
      </c>
      <c r="AW22" s="220">
        <f t="shared" si="5"/>
        <v>29539.423670393826</v>
      </c>
      <c r="AX22" s="220">
        <f t="shared" si="6"/>
        <v>0</v>
      </c>
      <c r="AY22" s="220">
        <f t="shared" si="7"/>
        <v>0</v>
      </c>
      <c r="AZ22" s="220">
        <f t="shared" si="8"/>
        <v>0</v>
      </c>
      <c r="BA22" s="220">
        <f t="shared" si="9"/>
        <v>0</v>
      </c>
      <c r="BB22" s="220">
        <f t="shared" si="10"/>
        <v>0</v>
      </c>
      <c r="BC22" s="220">
        <f t="shared" si="11"/>
        <v>0</v>
      </c>
      <c r="BD22" s="220">
        <f t="shared" si="12"/>
        <v>0</v>
      </c>
      <c r="BE22" s="220">
        <f t="shared" si="13"/>
        <v>0</v>
      </c>
      <c r="BF22" s="220">
        <f t="shared" si="14"/>
        <v>0</v>
      </c>
      <c r="BG22" s="220">
        <f t="shared" si="15"/>
        <v>0</v>
      </c>
      <c r="BH22" s="220">
        <f t="shared" si="16"/>
        <v>0</v>
      </c>
      <c r="BI22" s="253">
        <f t="shared" si="17"/>
        <v>0</v>
      </c>
      <c r="BJ22" s="253">
        <f t="shared" si="18"/>
        <v>0</v>
      </c>
      <c r="BK22" s="253">
        <f t="shared" si="19"/>
        <v>0</v>
      </c>
      <c r="BL22" s="253">
        <f t="shared" si="20"/>
        <v>0</v>
      </c>
      <c r="BM22" s="253">
        <f t="shared" si="21"/>
        <v>0</v>
      </c>
      <c r="BN22" s="253">
        <f t="shared" si="22"/>
        <v>0</v>
      </c>
      <c r="BO22" s="253">
        <f t="shared" si="23"/>
        <v>0</v>
      </c>
      <c r="BP22" s="253">
        <f t="shared" si="24"/>
        <v>0</v>
      </c>
      <c r="BQ22" s="254">
        <f t="shared" si="25"/>
        <v>29539.423670393826</v>
      </c>
    </row>
    <row r="23" spans="2:69" x14ac:dyDescent="0.2">
      <c r="B23" s="244" t="str">
        <f>Est2018TransRev!B23</f>
        <v>Non-Residential Two Rate 5d</v>
      </c>
      <c r="C23" s="274"/>
      <c r="D23" s="246">
        <v>0</v>
      </c>
      <c r="E23" s="247">
        <v>0</v>
      </c>
      <c r="F23" s="247">
        <v>0.04</v>
      </c>
      <c r="G23" s="247">
        <v>0</v>
      </c>
      <c r="H23" s="247">
        <v>0</v>
      </c>
      <c r="I23" s="247">
        <v>0.04</v>
      </c>
      <c r="J23" s="247">
        <v>0</v>
      </c>
      <c r="K23" s="247">
        <v>0</v>
      </c>
      <c r="L23" s="247">
        <v>0</v>
      </c>
      <c r="M23" s="247">
        <v>0</v>
      </c>
      <c r="N23" s="247">
        <v>0</v>
      </c>
      <c r="O23" s="247">
        <v>0</v>
      </c>
      <c r="P23" s="247">
        <v>0</v>
      </c>
      <c r="Q23" s="247">
        <v>0</v>
      </c>
      <c r="R23" s="247">
        <v>0</v>
      </c>
      <c r="S23" s="247">
        <v>0</v>
      </c>
      <c r="T23" s="247">
        <v>0</v>
      </c>
      <c r="U23" s="247">
        <v>0</v>
      </c>
      <c r="V23" s="247">
        <v>0</v>
      </c>
      <c r="W23" s="247">
        <v>0</v>
      </c>
      <c r="X23" s="275">
        <v>0</v>
      </c>
      <c r="Z23" s="276">
        <f>Est2018TransRev!Z23</f>
        <v>6325.9121198712201</v>
      </c>
      <c r="AA23" s="250">
        <f>Est2018TransRev!AA23</f>
        <v>0</v>
      </c>
      <c r="AB23" s="250">
        <f>Est2018TransRev!AB23</f>
        <v>90006939.07082431</v>
      </c>
      <c r="AC23" s="250">
        <f>Est2018TransRev!AC23</f>
        <v>0</v>
      </c>
      <c r="AD23" s="250">
        <f>Est2018TransRev!AD23</f>
        <v>0</v>
      </c>
      <c r="AE23" s="250">
        <f>Est2018TransRev!AE23</f>
        <v>56232415.067280285</v>
      </c>
      <c r="AF23" s="250">
        <f>Est2018TransRev!AF23</f>
        <v>0</v>
      </c>
      <c r="AG23" s="250">
        <f>Est2018TransRev!AG23</f>
        <v>0</v>
      </c>
      <c r="AH23" s="250">
        <f>Est2018TransRev!AH23</f>
        <v>0</v>
      </c>
      <c r="AI23" s="250">
        <f>Est2018TransRev!AI23</f>
        <v>0</v>
      </c>
      <c r="AJ23" s="250">
        <f>Est2018TransRev!AJ23</f>
        <v>0</v>
      </c>
      <c r="AK23" s="250">
        <f>Est2018TransRev!AK23</f>
        <v>0</v>
      </c>
      <c r="AL23" s="250">
        <f>Est2018TransRev!AL23</f>
        <v>0</v>
      </c>
      <c r="AM23" s="250">
        <f>Est2018TransRev!AM23</f>
        <v>0</v>
      </c>
      <c r="AN23" s="250">
        <f>Est2018TransRev!AN23</f>
        <v>0</v>
      </c>
      <c r="AO23" s="250">
        <f>Est2018TransRev!AO23</f>
        <v>0</v>
      </c>
      <c r="AP23" s="250">
        <f>Est2018TransRev!AP23</f>
        <v>0</v>
      </c>
      <c r="AQ23" s="250">
        <f>Est2018TransRev!AQ23</f>
        <v>0</v>
      </c>
      <c r="AR23" s="250">
        <f>Est2018TransRev!AR23</f>
        <v>0</v>
      </c>
      <c r="AS23" s="250">
        <f>Est2018TransRev!AS23</f>
        <v>0</v>
      </c>
      <c r="AT23" s="277">
        <f>Est2018TransRev!AT23</f>
        <v>0</v>
      </c>
      <c r="AV23" s="252">
        <f t="shared" si="4"/>
        <v>0</v>
      </c>
      <c r="AW23" s="220">
        <f t="shared" si="5"/>
        <v>0</v>
      </c>
      <c r="AX23" s="220">
        <f t="shared" si="6"/>
        <v>36002.775628329728</v>
      </c>
      <c r="AY23" s="220">
        <f t="shared" si="7"/>
        <v>0</v>
      </c>
      <c r="AZ23" s="220">
        <f t="shared" si="8"/>
        <v>0</v>
      </c>
      <c r="BA23" s="220">
        <f t="shared" si="9"/>
        <v>22492.966026912116</v>
      </c>
      <c r="BB23" s="220">
        <f t="shared" si="10"/>
        <v>0</v>
      </c>
      <c r="BC23" s="220">
        <f t="shared" si="11"/>
        <v>0</v>
      </c>
      <c r="BD23" s="220">
        <f t="shared" si="12"/>
        <v>0</v>
      </c>
      <c r="BE23" s="220">
        <f t="shared" si="13"/>
        <v>0</v>
      </c>
      <c r="BF23" s="220">
        <f t="shared" si="14"/>
        <v>0</v>
      </c>
      <c r="BG23" s="220">
        <f t="shared" si="15"/>
        <v>0</v>
      </c>
      <c r="BH23" s="220">
        <f t="shared" si="16"/>
        <v>0</v>
      </c>
      <c r="BI23" s="253">
        <f t="shared" si="17"/>
        <v>0</v>
      </c>
      <c r="BJ23" s="253">
        <f t="shared" si="18"/>
        <v>0</v>
      </c>
      <c r="BK23" s="253">
        <f t="shared" si="19"/>
        <v>0</v>
      </c>
      <c r="BL23" s="253">
        <f t="shared" si="20"/>
        <v>0</v>
      </c>
      <c r="BM23" s="253">
        <f t="shared" si="21"/>
        <v>0</v>
      </c>
      <c r="BN23" s="253">
        <f t="shared" si="22"/>
        <v>0</v>
      </c>
      <c r="BO23" s="253">
        <f t="shared" si="23"/>
        <v>0</v>
      </c>
      <c r="BP23" s="253">
        <f t="shared" si="24"/>
        <v>0</v>
      </c>
      <c r="BQ23" s="254">
        <f t="shared" si="25"/>
        <v>58495.741655241844</v>
      </c>
    </row>
    <row r="24" spans="2:69" x14ac:dyDescent="0.2">
      <c r="B24" s="244" t="str">
        <f>Est2018TransRev!B24</f>
        <v>Non-Residential Two Rate 5d - Bulk</v>
      </c>
      <c r="C24" s="274"/>
      <c r="D24" s="246">
        <v>0</v>
      </c>
      <c r="E24" s="247">
        <v>0</v>
      </c>
      <c r="F24" s="247">
        <v>0.04</v>
      </c>
      <c r="G24" s="247">
        <v>0</v>
      </c>
      <c r="H24" s="247">
        <v>0</v>
      </c>
      <c r="I24" s="247">
        <v>0.04</v>
      </c>
      <c r="J24" s="247">
        <v>0</v>
      </c>
      <c r="K24" s="247">
        <v>0</v>
      </c>
      <c r="L24" s="247">
        <v>0</v>
      </c>
      <c r="M24" s="247">
        <v>0</v>
      </c>
      <c r="N24" s="247">
        <v>0</v>
      </c>
      <c r="O24" s="247">
        <v>0</v>
      </c>
      <c r="P24" s="247">
        <v>0</v>
      </c>
      <c r="Q24" s="247">
        <v>0</v>
      </c>
      <c r="R24" s="247">
        <v>0</v>
      </c>
      <c r="S24" s="247">
        <v>0</v>
      </c>
      <c r="T24" s="247">
        <v>0</v>
      </c>
      <c r="U24" s="247">
        <v>0</v>
      </c>
      <c r="V24" s="247">
        <v>0</v>
      </c>
      <c r="W24" s="247">
        <v>0</v>
      </c>
      <c r="X24" s="275">
        <v>0</v>
      </c>
      <c r="Z24" s="276">
        <f>Est2018TransRev!Z24</f>
        <v>1106.5355969893287</v>
      </c>
      <c r="AA24" s="250">
        <f>Est2018TransRev!AA24</f>
        <v>0</v>
      </c>
      <c r="AB24" s="250">
        <f>Est2018TransRev!AB24</f>
        <v>16887632.067035981</v>
      </c>
      <c r="AC24" s="250">
        <f>Est2018TransRev!AC24</f>
        <v>0</v>
      </c>
      <c r="AD24" s="250">
        <f>Est2018TransRev!AD24</f>
        <v>0</v>
      </c>
      <c r="AE24" s="250">
        <f>Est2018TransRev!AE24</f>
        <v>9694170.3462755531</v>
      </c>
      <c r="AF24" s="250">
        <f>Est2018TransRev!AF24</f>
        <v>0</v>
      </c>
      <c r="AG24" s="250">
        <f>Est2018TransRev!AG24</f>
        <v>0</v>
      </c>
      <c r="AH24" s="250">
        <f>Est2018TransRev!AH24</f>
        <v>0</v>
      </c>
      <c r="AI24" s="250">
        <f>Est2018TransRev!AI24</f>
        <v>0</v>
      </c>
      <c r="AJ24" s="250">
        <f>Est2018TransRev!AJ24</f>
        <v>0</v>
      </c>
      <c r="AK24" s="250">
        <f>Est2018TransRev!AK24</f>
        <v>0</v>
      </c>
      <c r="AL24" s="250">
        <f>Est2018TransRev!AL24</f>
        <v>0</v>
      </c>
      <c r="AM24" s="250">
        <f>Est2018TransRev!AM24</f>
        <v>0</v>
      </c>
      <c r="AN24" s="250">
        <f>Est2018TransRev!AN24</f>
        <v>0</v>
      </c>
      <c r="AO24" s="250">
        <f>Est2018TransRev!AO24</f>
        <v>0</v>
      </c>
      <c r="AP24" s="250">
        <f>Est2018TransRev!AP24</f>
        <v>0</v>
      </c>
      <c r="AQ24" s="250">
        <f>Est2018TransRev!AQ24</f>
        <v>0</v>
      </c>
      <c r="AR24" s="250">
        <f>Est2018TransRev!AR24</f>
        <v>0</v>
      </c>
      <c r="AS24" s="250">
        <f>Est2018TransRev!AS24</f>
        <v>0</v>
      </c>
      <c r="AT24" s="277">
        <f>Est2018TransRev!AT24</f>
        <v>0</v>
      </c>
      <c r="AV24" s="252">
        <f t="shared" si="4"/>
        <v>0</v>
      </c>
      <c r="AW24" s="220">
        <f t="shared" si="5"/>
        <v>0</v>
      </c>
      <c r="AX24" s="220">
        <f t="shared" si="6"/>
        <v>6755.0528268143926</v>
      </c>
      <c r="AY24" s="220">
        <f t="shared" si="7"/>
        <v>0</v>
      </c>
      <c r="AZ24" s="220">
        <f t="shared" si="8"/>
        <v>0</v>
      </c>
      <c r="BA24" s="220">
        <f t="shared" si="9"/>
        <v>3877.6681385102215</v>
      </c>
      <c r="BB24" s="220">
        <f t="shared" si="10"/>
        <v>0</v>
      </c>
      <c r="BC24" s="220">
        <f t="shared" si="11"/>
        <v>0</v>
      </c>
      <c r="BD24" s="220">
        <f t="shared" si="12"/>
        <v>0</v>
      </c>
      <c r="BE24" s="220">
        <f t="shared" si="13"/>
        <v>0</v>
      </c>
      <c r="BF24" s="220">
        <f t="shared" si="14"/>
        <v>0</v>
      </c>
      <c r="BG24" s="220">
        <f t="shared" si="15"/>
        <v>0</v>
      </c>
      <c r="BH24" s="220">
        <f t="shared" si="16"/>
        <v>0</v>
      </c>
      <c r="BI24" s="253">
        <f t="shared" si="17"/>
        <v>0</v>
      </c>
      <c r="BJ24" s="253">
        <f t="shared" si="18"/>
        <v>0</v>
      </c>
      <c r="BK24" s="253">
        <f t="shared" si="19"/>
        <v>0</v>
      </c>
      <c r="BL24" s="253">
        <f t="shared" si="20"/>
        <v>0</v>
      </c>
      <c r="BM24" s="253">
        <f t="shared" si="21"/>
        <v>0</v>
      </c>
      <c r="BN24" s="253">
        <f t="shared" si="22"/>
        <v>0</v>
      </c>
      <c r="BO24" s="253">
        <f t="shared" si="23"/>
        <v>0</v>
      </c>
      <c r="BP24" s="253">
        <f t="shared" si="24"/>
        <v>0</v>
      </c>
      <c r="BQ24" s="254">
        <f t="shared" si="25"/>
        <v>10632.720965324614</v>
      </c>
    </row>
    <row r="25" spans="2:69" x14ac:dyDescent="0.2">
      <c r="B25" s="244" t="str">
        <f>Est2018TransRev!B25</f>
        <v>Non-Residential Interval</v>
      </c>
      <c r="C25" s="274"/>
      <c r="D25" s="246">
        <v>0</v>
      </c>
      <c r="E25" s="247">
        <v>0</v>
      </c>
      <c r="F25" s="247">
        <v>0.04</v>
      </c>
      <c r="G25" s="247">
        <v>0</v>
      </c>
      <c r="H25" s="247">
        <v>0</v>
      </c>
      <c r="I25" s="247">
        <v>0.04</v>
      </c>
      <c r="J25" s="247">
        <v>0</v>
      </c>
      <c r="K25" s="247">
        <v>0</v>
      </c>
      <c r="L25" s="247">
        <v>0</v>
      </c>
      <c r="M25" s="247">
        <v>0</v>
      </c>
      <c r="N25" s="247">
        <v>0</v>
      </c>
      <c r="O25" s="247">
        <v>0</v>
      </c>
      <c r="P25" s="247">
        <v>0</v>
      </c>
      <c r="Q25" s="247">
        <v>0</v>
      </c>
      <c r="R25" s="247">
        <v>0</v>
      </c>
      <c r="S25" s="247">
        <v>0</v>
      </c>
      <c r="T25" s="247">
        <v>0</v>
      </c>
      <c r="U25" s="247">
        <v>0</v>
      </c>
      <c r="V25" s="247">
        <v>0</v>
      </c>
      <c r="W25" s="247">
        <v>0</v>
      </c>
      <c r="X25" s="275">
        <v>0</v>
      </c>
      <c r="Z25" s="276">
        <f>Est2018TransRev!Z25</f>
        <v>4011.7924540561471</v>
      </c>
      <c r="AA25" s="250">
        <f>Est2018TransRev!AA25</f>
        <v>0</v>
      </c>
      <c r="AB25" s="250">
        <f>Est2018TransRev!AB25</f>
        <v>44315700.538597859</v>
      </c>
      <c r="AC25" s="250">
        <f>Est2018TransRev!AC25</f>
        <v>0</v>
      </c>
      <c r="AD25" s="250">
        <f>Est2018TransRev!AD25</f>
        <v>0</v>
      </c>
      <c r="AE25" s="250">
        <f>Est2018TransRev!AE25</f>
        <v>25142157.462131292</v>
      </c>
      <c r="AF25" s="250">
        <f>Est2018TransRev!AF25</f>
        <v>0</v>
      </c>
      <c r="AG25" s="250">
        <f>Est2018TransRev!AG25</f>
        <v>0</v>
      </c>
      <c r="AH25" s="250">
        <f>Est2018TransRev!AH25</f>
        <v>0</v>
      </c>
      <c r="AI25" s="250">
        <f>Est2018TransRev!AI25</f>
        <v>0</v>
      </c>
      <c r="AJ25" s="250">
        <f>Est2018TransRev!AJ25</f>
        <v>0</v>
      </c>
      <c r="AK25" s="250">
        <f>Est2018TransRev!AK25</f>
        <v>0</v>
      </c>
      <c r="AL25" s="250">
        <f>Est2018TransRev!AL25</f>
        <v>0</v>
      </c>
      <c r="AM25" s="250">
        <f>Est2018TransRev!AM25</f>
        <v>0</v>
      </c>
      <c r="AN25" s="250">
        <f>Est2018TransRev!AN25</f>
        <v>0</v>
      </c>
      <c r="AO25" s="250">
        <f>Est2018TransRev!AO25</f>
        <v>0</v>
      </c>
      <c r="AP25" s="250">
        <f>Est2018TransRev!AP25</f>
        <v>0</v>
      </c>
      <c r="AQ25" s="250">
        <f>Est2018TransRev!AQ25</f>
        <v>0</v>
      </c>
      <c r="AR25" s="250">
        <f>Est2018TransRev!AR25</f>
        <v>0</v>
      </c>
      <c r="AS25" s="250">
        <f>Est2018TransRev!AS25</f>
        <v>0</v>
      </c>
      <c r="AT25" s="277">
        <f>Est2018TransRev!AT25</f>
        <v>0</v>
      </c>
      <c r="AV25" s="252">
        <f t="shared" si="4"/>
        <v>0</v>
      </c>
      <c r="AW25" s="220">
        <f t="shared" si="5"/>
        <v>0</v>
      </c>
      <c r="AX25" s="220">
        <f t="shared" si="6"/>
        <v>17726.280215439143</v>
      </c>
      <c r="AY25" s="220">
        <f t="shared" si="7"/>
        <v>0</v>
      </c>
      <c r="AZ25" s="220">
        <f t="shared" si="8"/>
        <v>0</v>
      </c>
      <c r="BA25" s="220">
        <f t="shared" si="9"/>
        <v>10056.862984852518</v>
      </c>
      <c r="BB25" s="220">
        <f t="shared" si="10"/>
        <v>0</v>
      </c>
      <c r="BC25" s="220">
        <f t="shared" si="11"/>
        <v>0</v>
      </c>
      <c r="BD25" s="220">
        <f t="shared" si="12"/>
        <v>0</v>
      </c>
      <c r="BE25" s="220">
        <f t="shared" si="13"/>
        <v>0</v>
      </c>
      <c r="BF25" s="220">
        <f t="shared" si="14"/>
        <v>0</v>
      </c>
      <c r="BG25" s="220">
        <f t="shared" si="15"/>
        <v>0</v>
      </c>
      <c r="BH25" s="220">
        <f t="shared" si="16"/>
        <v>0</v>
      </c>
      <c r="BI25" s="253">
        <f t="shared" si="17"/>
        <v>0</v>
      </c>
      <c r="BJ25" s="253">
        <f t="shared" si="18"/>
        <v>0</v>
      </c>
      <c r="BK25" s="253">
        <f t="shared" si="19"/>
        <v>0</v>
      </c>
      <c r="BL25" s="253">
        <f t="shared" si="20"/>
        <v>0</v>
      </c>
      <c r="BM25" s="253">
        <f t="shared" si="21"/>
        <v>0</v>
      </c>
      <c r="BN25" s="253">
        <f t="shared" si="22"/>
        <v>0</v>
      </c>
      <c r="BO25" s="253">
        <f t="shared" si="23"/>
        <v>0</v>
      </c>
      <c r="BP25" s="253">
        <f t="shared" si="24"/>
        <v>0</v>
      </c>
      <c r="BQ25" s="254">
        <f t="shared" si="25"/>
        <v>27783.143200291663</v>
      </c>
    </row>
    <row r="26" spans="2:69" x14ac:dyDescent="0.2">
      <c r="B26" s="244" t="str">
        <f>Est2018TransRev!B26</f>
        <v>Non-Residential Interval - Bulk</v>
      </c>
      <c r="C26" s="274"/>
      <c r="D26" s="246">
        <v>0</v>
      </c>
      <c r="E26" s="247">
        <v>0</v>
      </c>
      <c r="F26" s="247">
        <v>0.04</v>
      </c>
      <c r="G26" s="247">
        <v>0</v>
      </c>
      <c r="H26" s="247">
        <v>0</v>
      </c>
      <c r="I26" s="247">
        <v>0.04</v>
      </c>
      <c r="J26" s="247">
        <v>0</v>
      </c>
      <c r="K26" s="247">
        <v>0</v>
      </c>
      <c r="L26" s="247">
        <v>0</v>
      </c>
      <c r="M26" s="247">
        <v>0</v>
      </c>
      <c r="N26" s="247">
        <v>0</v>
      </c>
      <c r="O26" s="247">
        <v>0</v>
      </c>
      <c r="P26" s="247">
        <v>0</v>
      </c>
      <c r="Q26" s="247">
        <v>0</v>
      </c>
      <c r="R26" s="247">
        <v>0</v>
      </c>
      <c r="S26" s="247">
        <v>0</v>
      </c>
      <c r="T26" s="247">
        <v>0</v>
      </c>
      <c r="U26" s="247">
        <v>0</v>
      </c>
      <c r="V26" s="247">
        <v>0</v>
      </c>
      <c r="W26" s="247">
        <v>0</v>
      </c>
      <c r="X26" s="275">
        <v>0</v>
      </c>
      <c r="Z26" s="276">
        <f>Est2018TransRev!Z26</f>
        <v>1947.1728239646436</v>
      </c>
      <c r="AA26" s="250">
        <f>Est2018TransRev!AA26</f>
        <v>0</v>
      </c>
      <c r="AB26" s="250">
        <f>Est2018TransRev!AB26</f>
        <v>28963727.791959636</v>
      </c>
      <c r="AC26" s="250">
        <f>Est2018TransRev!AC26</f>
        <v>0</v>
      </c>
      <c r="AD26" s="250">
        <f>Est2018TransRev!AD26</f>
        <v>0</v>
      </c>
      <c r="AE26" s="250">
        <f>Est2018TransRev!AE26</f>
        <v>15296835.410435298</v>
      </c>
      <c r="AF26" s="250">
        <f>Est2018TransRev!AF26</f>
        <v>0</v>
      </c>
      <c r="AG26" s="250">
        <f>Est2018TransRev!AG26</f>
        <v>0</v>
      </c>
      <c r="AH26" s="250">
        <f>Est2018TransRev!AH26</f>
        <v>0</v>
      </c>
      <c r="AI26" s="250">
        <f>Est2018TransRev!AI26</f>
        <v>0</v>
      </c>
      <c r="AJ26" s="250">
        <f>Est2018TransRev!AJ26</f>
        <v>0</v>
      </c>
      <c r="AK26" s="250">
        <f>Est2018TransRev!AK26</f>
        <v>0</v>
      </c>
      <c r="AL26" s="250">
        <f>Est2018TransRev!AL26</f>
        <v>0</v>
      </c>
      <c r="AM26" s="250">
        <f>Est2018TransRev!AM26</f>
        <v>0</v>
      </c>
      <c r="AN26" s="250">
        <f>Est2018TransRev!AN26</f>
        <v>0</v>
      </c>
      <c r="AO26" s="250">
        <f>Est2018TransRev!AO26</f>
        <v>0</v>
      </c>
      <c r="AP26" s="250">
        <f>Est2018TransRev!AP26</f>
        <v>0</v>
      </c>
      <c r="AQ26" s="250">
        <f>Est2018TransRev!AQ26</f>
        <v>0</v>
      </c>
      <c r="AR26" s="250">
        <f>Est2018TransRev!AR26</f>
        <v>0</v>
      </c>
      <c r="AS26" s="250">
        <f>Est2018TransRev!AS26</f>
        <v>0</v>
      </c>
      <c r="AT26" s="277">
        <f>Est2018TransRev!AT26</f>
        <v>0</v>
      </c>
      <c r="AV26" s="252">
        <f t="shared" si="4"/>
        <v>0</v>
      </c>
      <c r="AW26" s="220">
        <f t="shared" si="5"/>
        <v>0</v>
      </c>
      <c r="AX26" s="220">
        <f t="shared" si="6"/>
        <v>11585.491116783855</v>
      </c>
      <c r="AY26" s="220">
        <f t="shared" si="7"/>
        <v>0</v>
      </c>
      <c r="AZ26" s="220">
        <f t="shared" si="8"/>
        <v>0</v>
      </c>
      <c r="BA26" s="220">
        <f t="shared" si="9"/>
        <v>6118.7341641741195</v>
      </c>
      <c r="BB26" s="220">
        <f t="shared" si="10"/>
        <v>0</v>
      </c>
      <c r="BC26" s="220">
        <f t="shared" si="11"/>
        <v>0</v>
      </c>
      <c r="BD26" s="220">
        <f t="shared" si="12"/>
        <v>0</v>
      </c>
      <c r="BE26" s="220">
        <f t="shared" si="13"/>
        <v>0</v>
      </c>
      <c r="BF26" s="220">
        <f t="shared" si="14"/>
        <v>0</v>
      </c>
      <c r="BG26" s="220">
        <f t="shared" si="15"/>
        <v>0</v>
      </c>
      <c r="BH26" s="220">
        <f t="shared" si="16"/>
        <v>0</v>
      </c>
      <c r="BI26" s="253">
        <f t="shared" si="17"/>
        <v>0</v>
      </c>
      <c r="BJ26" s="253">
        <f t="shared" si="18"/>
        <v>0</v>
      </c>
      <c r="BK26" s="253">
        <f t="shared" si="19"/>
        <v>0</v>
      </c>
      <c r="BL26" s="253">
        <f t="shared" si="20"/>
        <v>0</v>
      </c>
      <c r="BM26" s="253">
        <f t="shared" si="21"/>
        <v>0</v>
      </c>
      <c r="BN26" s="253">
        <f t="shared" si="22"/>
        <v>0</v>
      </c>
      <c r="BO26" s="253">
        <f t="shared" si="23"/>
        <v>0</v>
      </c>
      <c r="BP26" s="253">
        <f t="shared" si="24"/>
        <v>0</v>
      </c>
      <c r="BQ26" s="254">
        <f t="shared" si="25"/>
        <v>17704.225280957973</v>
      </c>
    </row>
    <row r="27" spans="2:69" x14ac:dyDescent="0.2">
      <c r="B27" s="244" t="str">
        <f>Est2018TransRev!B27</f>
        <v>Non-Residential Flexible Pricing</v>
      </c>
      <c r="C27" s="274"/>
      <c r="D27" s="246">
        <v>0</v>
      </c>
      <c r="E27" s="247">
        <v>0</v>
      </c>
      <c r="F27" s="247">
        <v>0</v>
      </c>
      <c r="G27" s="247">
        <v>0</v>
      </c>
      <c r="H27" s="247">
        <v>0</v>
      </c>
      <c r="I27" s="247">
        <v>0</v>
      </c>
      <c r="J27" s="247">
        <v>0</v>
      </c>
      <c r="K27" s="247">
        <v>0</v>
      </c>
      <c r="L27" s="247">
        <v>0</v>
      </c>
      <c r="M27" s="247">
        <v>0</v>
      </c>
      <c r="N27" s="247">
        <v>0</v>
      </c>
      <c r="O27" s="247">
        <v>0</v>
      </c>
      <c r="P27" s="247">
        <v>0</v>
      </c>
      <c r="Q27" s="247">
        <v>0.04</v>
      </c>
      <c r="R27" s="247">
        <v>0.04</v>
      </c>
      <c r="S27" s="247">
        <v>0.04</v>
      </c>
      <c r="T27" s="247">
        <v>0</v>
      </c>
      <c r="U27" s="247">
        <v>0.04</v>
      </c>
      <c r="V27" s="247">
        <v>0.04</v>
      </c>
      <c r="W27" s="247">
        <v>0.04</v>
      </c>
      <c r="X27" s="275">
        <v>0</v>
      </c>
      <c r="Z27" s="276">
        <f>Est2018TransRev!Z27</f>
        <v>21.102227884604787</v>
      </c>
      <c r="AA27" s="250">
        <f>Est2018TransRev!AA27</f>
        <v>0</v>
      </c>
      <c r="AB27" s="250">
        <f>Est2018TransRev!AB27</f>
        <v>0</v>
      </c>
      <c r="AC27" s="250">
        <f>Est2018TransRev!AC27</f>
        <v>0</v>
      </c>
      <c r="AD27" s="250">
        <f>Est2018TransRev!AD27</f>
        <v>0</v>
      </c>
      <c r="AE27" s="250">
        <f>Est2018TransRev!AE27</f>
        <v>0</v>
      </c>
      <c r="AF27" s="250">
        <f>Est2018TransRev!AF27</f>
        <v>0</v>
      </c>
      <c r="AG27" s="250">
        <f>Est2018TransRev!AG27</f>
        <v>0</v>
      </c>
      <c r="AH27" s="250">
        <f>Est2018TransRev!AH27</f>
        <v>0</v>
      </c>
      <c r="AI27" s="250">
        <f>Est2018TransRev!AI27</f>
        <v>0</v>
      </c>
      <c r="AJ27" s="250">
        <f>Est2018TransRev!AJ27</f>
        <v>0</v>
      </c>
      <c r="AK27" s="250">
        <f>Est2018TransRev!AK27</f>
        <v>0</v>
      </c>
      <c r="AL27" s="250">
        <f>Est2018TransRev!AL27</f>
        <v>0</v>
      </c>
      <c r="AM27" s="250">
        <f>Est2018TransRev!AM27</f>
        <v>43821.569362858281</v>
      </c>
      <c r="AN27" s="250">
        <f>Est2018TransRev!AN27</f>
        <v>12365.145540133803</v>
      </c>
      <c r="AO27" s="250">
        <f>Est2018TransRev!AO27</f>
        <v>36868.097137445991</v>
      </c>
      <c r="AP27" s="250">
        <f>Est2018TransRev!AP27</f>
        <v>0</v>
      </c>
      <c r="AQ27" s="250">
        <f>Est2018TransRev!AQ27</f>
        <v>161494.87127302433</v>
      </c>
      <c r="AR27" s="250">
        <f>Est2018TransRev!AR27</f>
        <v>41032.760510766886</v>
      </c>
      <c r="AS27" s="250">
        <f>Est2018TransRev!AS27</f>
        <v>110833.91500246867</v>
      </c>
      <c r="AT27" s="277">
        <f>Est2018TransRev!AT27</f>
        <v>0</v>
      </c>
      <c r="AV27" s="252">
        <f t="shared" si="4"/>
        <v>0</v>
      </c>
      <c r="AW27" s="220">
        <f t="shared" si="5"/>
        <v>0</v>
      </c>
      <c r="AX27" s="220">
        <f t="shared" si="6"/>
        <v>0</v>
      </c>
      <c r="AY27" s="220">
        <f t="shared" si="7"/>
        <v>0</v>
      </c>
      <c r="AZ27" s="220">
        <f t="shared" si="8"/>
        <v>0</v>
      </c>
      <c r="BA27" s="220">
        <f t="shared" si="9"/>
        <v>0</v>
      </c>
      <c r="BB27" s="220">
        <f t="shared" si="10"/>
        <v>0</v>
      </c>
      <c r="BC27" s="220">
        <f t="shared" si="11"/>
        <v>0</v>
      </c>
      <c r="BD27" s="220">
        <f t="shared" si="12"/>
        <v>0</v>
      </c>
      <c r="BE27" s="220">
        <f t="shared" si="13"/>
        <v>0</v>
      </c>
      <c r="BF27" s="220">
        <f t="shared" si="14"/>
        <v>0</v>
      </c>
      <c r="BG27" s="220">
        <f t="shared" si="15"/>
        <v>0</v>
      </c>
      <c r="BH27" s="220">
        <f t="shared" si="16"/>
        <v>0</v>
      </c>
      <c r="BI27" s="253">
        <f t="shared" si="17"/>
        <v>17.528627745143314</v>
      </c>
      <c r="BJ27" s="253">
        <f t="shared" si="18"/>
        <v>4.9460582160535216</v>
      </c>
      <c r="BK27" s="253">
        <f t="shared" si="19"/>
        <v>14.747238854978397</v>
      </c>
      <c r="BL27" s="253">
        <f t="shared" si="20"/>
        <v>0</v>
      </c>
      <c r="BM27" s="253">
        <f t="shared" si="21"/>
        <v>64.597948509209729</v>
      </c>
      <c r="BN27" s="253">
        <f t="shared" si="22"/>
        <v>16.413104204306755</v>
      </c>
      <c r="BO27" s="253">
        <f t="shared" si="23"/>
        <v>44.333566000987467</v>
      </c>
      <c r="BP27" s="253">
        <f t="shared" si="24"/>
        <v>0</v>
      </c>
      <c r="BQ27" s="254">
        <f t="shared" si="25"/>
        <v>162.56654353067918</v>
      </c>
    </row>
    <row r="28" spans="2:69" x14ac:dyDescent="0.2">
      <c r="B28" s="244" t="str">
        <f>Est2018TransRev!B28</f>
        <v>Non-Residential - Flexible Pricing Bulk</v>
      </c>
      <c r="C28" s="274"/>
      <c r="D28" s="246">
        <v>0</v>
      </c>
      <c r="E28" s="247">
        <v>0</v>
      </c>
      <c r="F28" s="247">
        <v>0</v>
      </c>
      <c r="G28" s="247">
        <v>0</v>
      </c>
      <c r="H28" s="247">
        <v>0</v>
      </c>
      <c r="I28" s="247">
        <v>0</v>
      </c>
      <c r="J28" s="247">
        <v>0</v>
      </c>
      <c r="K28" s="247">
        <v>0</v>
      </c>
      <c r="L28" s="247">
        <v>0</v>
      </c>
      <c r="M28" s="247">
        <v>0</v>
      </c>
      <c r="N28" s="247">
        <v>0</v>
      </c>
      <c r="O28" s="247">
        <v>0</v>
      </c>
      <c r="P28" s="247">
        <v>0</v>
      </c>
      <c r="Q28" s="247">
        <v>0.04</v>
      </c>
      <c r="R28" s="247">
        <v>0.04</v>
      </c>
      <c r="S28" s="247">
        <v>0.04</v>
      </c>
      <c r="T28" s="247">
        <v>0</v>
      </c>
      <c r="U28" s="247">
        <v>0.04</v>
      </c>
      <c r="V28" s="247">
        <v>0.04</v>
      </c>
      <c r="W28" s="247">
        <v>0.04</v>
      </c>
      <c r="X28" s="275">
        <v>0</v>
      </c>
      <c r="Z28" s="276">
        <f>Est2018TransRev!Z28</f>
        <v>5</v>
      </c>
      <c r="AA28" s="250">
        <f>Est2018TransRev!AA28</f>
        <v>0</v>
      </c>
      <c r="AB28" s="250">
        <f>Est2018TransRev!AB28</f>
        <v>0</v>
      </c>
      <c r="AC28" s="250">
        <f>Est2018TransRev!AC28</f>
        <v>0</v>
      </c>
      <c r="AD28" s="250">
        <f>Est2018TransRev!AD28</f>
        <v>0</v>
      </c>
      <c r="AE28" s="250">
        <f>Est2018TransRev!AE28</f>
        <v>0</v>
      </c>
      <c r="AF28" s="250">
        <f>Est2018TransRev!AF28</f>
        <v>0</v>
      </c>
      <c r="AG28" s="250">
        <f>Est2018TransRev!AG28</f>
        <v>0</v>
      </c>
      <c r="AH28" s="250">
        <f>Est2018TransRev!AH28</f>
        <v>0</v>
      </c>
      <c r="AI28" s="250">
        <f>Est2018TransRev!AI28</f>
        <v>0</v>
      </c>
      <c r="AJ28" s="250">
        <f>Est2018TransRev!AJ28</f>
        <v>0</v>
      </c>
      <c r="AK28" s="250">
        <f>Est2018TransRev!AK28</f>
        <v>0</v>
      </c>
      <c r="AL28" s="250">
        <f>Est2018TransRev!AL28</f>
        <v>0</v>
      </c>
      <c r="AM28" s="250">
        <f>Est2018TransRev!AM28</f>
        <v>10467.500468311788</v>
      </c>
      <c r="AN28" s="250">
        <f>Est2018TransRev!AN28</f>
        <v>2361.8467108005088</v>
      </c>
      <c r="AO28" s="250">
        <f>Est2018TransRev!AO28</f>
        <v>7699.3201699207311</v>
      </c>
      <c r="AP28" s="250">
        <f>Est2018TransRev!AP28</f>
        <v>0</v>
      </c>
      <c r="AQ28" s="250">
        <f>Est2018TransRev!AQ28</f>
        <v>30024.781573814373</v>
      </c>
      <c r="AR28" s="250">
        <f>Est2018TransRev!AR28</f>
        <v>6386.5841435979974</v>
      </c>
      <c r="AS28" s="250">
        <f>Est2018TransRev!AS28</f>
        <v>20918.502315015376</v>
      </c>
      <c r="AT28" s="277">
        <f>Est2018TransRev!AT28</f>
        <v>0</v>
      </c>
      <c r="AV28" s="252">
        <f t="shared" si="4"/>
        <v>0</v>
      </c>
      <c r="AW28" s="220">
        <f t="shared" si="5"/>
        <v>0</v>
      </c>
      <c r="AX28" s="220">
        <f t="shared" si="6"/>
        <v>0</v>
      </c>
      <c r="AY28" s="220">
        <f t="shared" si="7"/>
        <v>0</v>
      </c>
      <c r="AZ28" s="220">
        <f t="shared" si="8"/>
        <v>0</v>
      </c>
      <c r="BA28" s="220">
        <f t="shared" si="9"/>
        <v>0</v>
      </c>
      <c r="BB28" s="220">
        <f t="shared" si="10"/>
        <v>0</v>
      </c>
      <c r="BC28" s="220">
        <f t="shared" si="11"/>
        <v>0</v>
      </c>
      <c r="BD28" s="220">
        <f t="shared" si="12"/>
        <v>0</v>
      </c>
      <c r="BE28" s="220">
        <f t="shared" si="13"/>
        <v>0</v>
      </c>
      <c r="BF28" s="220">
        <f t="shared" si="14"/>
        <v>0</v>
      </c>
      <c r="BG28" s="220">
        <f t="shared" si="15"/>
        <v>0</v>
      </c>
      <c r="BH28" s="220">
        <f t="shared" si="16"/>
        <v>0</v>
      </c>
      <c r="BI28" s="253">
        <f t="shared" si="17"/>
        <v>4.1870001873247151</v>
      </c>
      <c r="BJ28" s="253">
        <f t="shared" si="18"/>
        <v>0.94473868432020358</v>
      </c>
      <c r="BK28" s="253">
        <f t="shared" si="19"/>
        <v>3.0797280679682926</v>
      </c>
      <c r="BL28" s="253">
        <f t="shared" si="20"/>
        <v>0</v>
      </c>
      <c r="BM28" s="253">
        <f t="shared" si="21"/>
        <v>12.009912629525749</v>
      </c>
      <c r="BN28" s="253">
        <f t="shared" si="22"/>
        <v>2.554633657439199</v>
      </c>
      <c r="BO28" s="253">
        <f t="shared" si="23"/>
        <v>8.3674009260061499</v>
      </c>
      <c r="BP28" s="253">
        <f t="shared" si="24"/>
        <v>0</v>
      </c>
      <c r="BQ28" s="254">
        <f t="shared" si="25"/>
        <v>31.143414152584306</v>
      </c>
    </row>
    <row r="29" spans="2:69" x14ac:dyDescent="0.2">
      <c r="B29" s="244" t="str">
        <f>Est2018TransRev!B29</f>
        <v>Non-Residential Two Rate 7d</v>
      </c>
      <c r="C29" s="274"/>
      <c r="D29" s="246">
        <v>0</v>
      </c>
      <c r="E29" s="247">
        <v>0</v>
      </c>
      <c r="F29" s="247">
        <v>0.04</v>
      </c>
      <c r="G29" s="247">
        <v>0</v>
      </c>
      <c r="H29" s="247">
        <v>0</v>
      </c>
      <c r="I29" s="247">
        <v>0.04</v>
      </c>
      <c r="J29" s="247">
        <v>0</v>
      </c>
      <c r="K29" s="247">
        <v>0</v>
      </c>
      <c r="L29" s="247">
        <v>0</v>
      </c>
      <c r="M29" s="247">
        <v>0</v>
      </c>
      <c r="N29" s="247">
        <v>0</v>
      </c>
      <c r="O29" s="247">
        <v>0</v>
      </c>
      <c r="P29" s="247">
        <v>0</v>
      </c>
      <c r="Q29" s="247">
        <v>0</v>
      </c>
      <c r="R29" s="247">
        <v>0</v>
      </c>
      <c r="S29" s="247">
        <v>0</v>
      </c>
      <c r="T29" s="247">
        <v>0</v>
      </c>
      <c r="U29" s="247">
        <v>0</v>
      </c>
      <c r="V29" s="247">
        <v>0</v>
      </c>
      <c r="W29" s="247">
        <v>0</v>
      </c>
      <c r="X29" s="275">
        <v>0</v>
      </c>
      <c r="Z29" s="276">
        <f>Est2018TransRev!Z29</f>
        <v>2322.444207091999</v>
      </c>
      <c r="AA29" s="250">
        <f>Est2018TransRev!AA29</f>
        <v>0</v>
      </c>
      <c r="AB29" s="250">
        <f>Est2018TransRev!AB29</f>
        <v>37314656.187938549</v>
      </c>
      <c r="AC29" s="250">
        <f>Est2018TransRev!AC29</f>
        <v>0</v>
      </c>
      <c r="AD29" s="250">
        <f>Est2018TransRev!AD29</f>
        <v>0</v>
      </c>
      <c r="AE29" s="250">
        <f>Est2018TransRev!AE29</f>
        <v>8982959.3015620131</v>
      </c>
      <c r="AF29" s="250">
        <f>Est2018TransRev!AF29</f>
        <v>0</v>
      </c>
      <c r="AG29" s="250">
        <f>Est2018TransRev!AG29</f>
        <v>0</v>
      </c>
      <c r="AH29" s="250">
        <f>Est2018TransRev!AH29</f>
        <v>0</v>
      </c>
      <c r="AI29" s="250">
        <f>Est2018TransRev!AI29</f>
        <v>0</v>
      </c>
      <c r="AJ29" s="250">
        <f>Est2018TransRev!AJ29</f>
        <v>0</v>
      </c>
      <c r="AK29" s="250">
        <f>Est2018TransRev!AK29</f>
        <v>0</v>
      </c>
      <c r="AL29" s="250">
        <f>Est2018TransRev!AL29</f>
        <v>0</v>
      </c>
      <c r="AM29" s="250">
        <f>Est2018TransRev!AM29</f>
        <v>0</v>
      </c>
      <c r="AN29" s="250">
        <f>Est2018TransRev!AN29</f>
        <v>0</v>
      </c>
      <c r="AO29" s="250">
        <f>Est2018TransRev!AO29</f>
        <v>0</v>
      </c>
      <c r="AP29" s="250">
        <f>Est2018TransRev!AP29</f>
        <v>0</v>
      </c>
      <c r="AQ29" s="250">
        <f>Est2018TransRev!AQ29</f>
        <v>0</v>
      </c>
      <c r="AR29" s="250">
        <f>Est2018TransRev!AR29</f>
        <v>0</v>
      </c>
      <c r="AS29" s="250">
        <f>Est2018TransRev!AS29</f>
        <v>0</v>
      </c>
      <c r="AT29" s="277">
        <f>Est2018TransRev!AT29</f>
        <v>0</v>
      </c>
      <c r="AV29" s="252">
        <f t="shared" si="4"/>
        <v>0</v>
      </c>
      <c r="AW29" s="220">
        <f t="shared" si="5"/>
        <v>0</v>
      </c>
      <c r="AX29" s="220">
        <f t="shared" si="6"/>
        <v>14925.86247517542</v>
      </c>
      <c r="AY29" s="220">
        <f t="shared" si="7"/>
        <v>0</v>
      </c>
      <c r="AZ29" s="220">
        <f t="shared" si="8"/>
        <v>0</v>
      </c>
      <c r="BA29" s="220">
        <f t="shared" si="9"/>
        <v>3593.1837206248056</v>
      </c>
      <c r="BB29" s="220">
        <f t="shared" si="10"/>
        <v>0</v>
      </c>
      <c r="BC29" s="220">
        <f t="shared" si="11"/>
        <v>0</v>
      </c>
      <c r="BD29" s="220">
        <f t="shared" si="12"/>
        <v>0</v>
      </c>
      <c r="BE29" s="220">
        <f t="shared" si="13"/>
        <v>0</v>
      </c>
      <c r="BF29" s="220">
        <f t="shared" si="14"/>
        <v>0</v>
      </c>
      <c r="BG29" s="220">
        <f t="shared" si="15"/>
        <v>0</v>
      </c>
      <c r="BH29" s="220">
        <f t="shared" si="16"/>
        <v>0</v>
      </c>
      <c r="BI29" s="253">
        <f t="shared" si="17"/>
        <v>0</v>
      </c>
      <c r="BJ29" s="253">
        <f t="shared" si="18"/>
        <v>0</v>
      </c>
      <c r="BK29" s="253">
        <f t="shared" si="19"/>
        <v>0</v>
      </c>
      <c r="BL29" s="253">
        <f t="shared" si="20"/>
        <v>0</v>
      </c>
      <c r="BM29" s="253">
        <f t="shared" si="21"/>
        <v>0</v>
      </c>
      <c r="BN29" s="253">
        <f t="shared" si="22"/>
        <v>0</v>
      </c>
      <c r="BO29" s="253">
        <f t="shared" si="23"/>
        <v>0</v>
      </c>
      <c r="BP29" s="253">
        <f t="shared" si="24"/>
        <v>0</v>
      </c>
      <c r="BQ29" s="254">
        <f t="shared" si="25"/>
        <v>18519.046195800227</v>
      </c>
    </row>
    <row r="30" spans="2:69" x14ac:dyDescent="0.2">
      <c r="B30" s="244" t="str">
        <f>Est2018TransRev!B30</f>
        <v>Non-Residential Two Rate 7d - Bulk</v>
      </c>
      <c r="C30" s="274"/>
      <c r="D30" s="246">
        <v>0</v>
      </c>
      <c r="E30" s="247">
        <v>0</v>
      </c>
      <c r="F30" s="247">
        <v>0.04</v>
      </c>
      <c r="G30" s="247">
        <v>0</v>
      </c>
      <c r="H30" s="247">
        <v>0</v>
      </c>
      <c r="I30" s="247">
        <v>0.04</v>
      </c>
      <c r="J30" s="247">
        <v>0</v>
      </c>
      <c r="K30" s="247">
        <v>0</v>
      </c>
      <c r="L30" s="247">
        <v>0</v>
      </c>
      <c r="M30" s="247">
        <v>0</v>
      </c>
      <c r="N30" s="247">
        <v>0</v>
      </c>
      <c r="O30" s="247">
        <v>0</v>
      </c>
      <c r="P30" s="247">
        <v>0</v>
      </c>
      <c r="Q30" s="247">
        <v>0</v>
      </c>
      <c r="R30" s="247">
        <v>0</v>
      </c>
      <c r="S30" s="247">
        <v>0</v>
      </c>
      <c r="T30" s="247">
        <v>0</v>
      </c>
      <c r="U30" s="247">
        <v>0</v>
      </c>
      <c r="V30" s="247">
        <v>0</v>
      </c>
      <c r="W30" s="247">
        <v>0</v>
      </c>
      <c r="X30" s="275">
        <v>0</v>
      </c>
      <c r="Z30" s="276">
        <f>Est2018TransRev!Z30</f>
        <v>251.52691546810573</v>
      </c>
      <c r="AA30" s="250">
        <f>Est2018TransRev!AA30</f>
        <v>0</v>
      </c>
      <c r="AB30" s="250">
        <f>Est2018TransRev!AB30</f>
        <v>5172333.90074181</v>
      </c>
      <c r="AC30" s="250">
        <f>Est2018TransRev!AC30</f>
        <v>0</v>
      </c>
      <c r="AD30" s="250">
        <f>Est2018TransRev!AD30</f>
        <v>0</v>
      </c>
      <c r="AE30" s="250">
        <f>Est2018TransRev!AE30</f>
        <v>1298680.7753647633</v>
      </c>
      <c r="AF30" s="250">
        <f>Est2018TransRev!AF30</f>
        <v>0</v>
      </c>
      <c r="AG30" s="250">
        <f>Est2018TransRev!AG30</f>
        <v>0</v>
      </c>
      <c r="AH30" s="250">
        <f>Est2018TransRev!AH30</f>
        <v>0</v>
      </c>
      <c r="AI30" s="250">
        <f>Est2018TransRev!AI30</f>
        <v>0</v>
      </c>
      <c r="AJ30" s="250">
        <f>Est2018TransRev!AJ30</f>
        <v>0</v>
      </c>
      <c r="AK30" s="250">
        <f>Est2018TransRev!AK30</f>
        <v>0</v>
      </c>
      <c r="AL30" s="250">
        <f>Est2018TransRev!AL30</f>
        <v>0</v>
      </c>
      <c r="AM30" s="250">
        <f>Est2018TransRev!AM30</f>
        <v>0</v>
      </c>
      <c r="AN30" s="250">
        <f>Est2018TransRev!AN30</f>
        <v>0</v>
      </c>
      <c r="AO30" s="250">
        <f>Est2018TransRev!AO30</f>
        <v>0</v>
      </c>
      <c r="AP30" s="250">
        <f>Est2018TransRev!AP30</f>
        <v>0</v>
      </c>
      <c r="AQ30" s="250">
        <f>Est2018TransRev!AQ30</f>
        <v>0</v>
      </c>
      <c r="AR30" s="250">
        <f>Est2018TransRev!AR30</f>
        <v>0</v>
      </c>
      <c r="AS30" s="250">
        <f>Est2018TransRev!AS30</f>
        <v>0</v>
      </c>
      <c r="AT30" s="277">
        <f>Est2018TransRev!AT30</f>
        <v>0</v>
      </c>
      <c r="AV30" s="252">
        <f t="shared" si="4"/>
        <v>0</v>
      </c>
      <c r="AW30" s="220">
        <f t="shared" si="5"/>
        <v>0</v>
      </c>
      <c r="AX30" s="220">
        <f t="shared" si="6"/>
        <v>2068.933560296724</v>
      </c>
      <c r="AY30" s="220">
        <f t="shared" si="7"/>
        <v>0</v>
      </c>
      <c r="AZ30" s="220">
        <f t="shared" si="8"/>
        <v>0</v>
      </c>
      <c r="BA30" s="220">
        <f t="shared" si="9"/>
        <v>519.47231014590534</v>
      </c>
      <c r="BB30" s="220">
        <f t="shared" si="10"/>
        <v>0</v>
      </c>
      <c r="BC30" s="220">
        <f t="shared" si="11"/>
        <v>0</v>
      </c>
      <c r="BD30" s="220">
        <f t="shared" si="12"/>
        <v>0</v>
      </c>
      <c r="BE30" s="220">
        <f t="shared" si="13"/>
        <v>0</v>
      </c>
      <c r="BF30" s="220">
        <f t="shared" si="14"/>
        <v>0</v>
      </c>
      <c r="BG30" s="220">
        <f t="shared" si="15"/>
        <v>0</v>
      </c>
      <c r="BH30" s="220">
        <f t="shared" si="16"/>
        <v>0</v>
      </c>
      <c r="BI30" s="253">
        <f t="shared" si="17"/>
        <v>0</v>
      </c>
      <c r="BJ30" s="253">
        <f t="shared" si="18"/>
        <v>0</v>
      </c>
      <c r="BK30" s="253">
        <f t="shared" si="19"/>
        <v>0</v>
      </c>
      <c r="BL30" s="253">
        <f t="shared" si="20"/>
        <v>0</v>
      </c>
      <c r="BM30" s="253">
        <f t="shared" si="21"/>
        <v>0</v>
      </c>
      <c r="BN30" s="253">
        <f t="shared" si="22"/>
        <v>0</v>
      </c>
      <c r="BO30" s="253">
        <f t="shared" si="23"/>
        <v>0</v>
      </c>
      <c r="BP30" s="253">
        <f t="shared" si="24"/>
        <v>0</v>
      </c>
      <c r="BQ30" s="254">
        <f t="shared" si="25"/>
        <v>2588.4058704426293</v>
      </c>
    </row>
    <row r="31" spans="2:69" x14ac:dyDescent="0.2">
      <c r="B31" s="244" t="str">
        <f>Est2018TransRev!B31</f>
        <v>Large Two Rate 7d</v>
      </c>
      <c r="C31" s="274"/>
      <c r="D31" s="246">
        <v>0</v>
      </c>
      <c r="E31" s="247">
        <v>0</v>
      </c>
      <c r="F31" s="247">
        <v>0.04</v>
      </c>
      <c r="G31" s="247">
        <v>0</v>
      </c>
      <c r="H31" s="247">
        <v>0</v>
      </c>
      <c r="I31" s="247">
        <v>0.04</v>
      </c>
      <c r="J31" s="247">
        <v>0</v>
      </c>
      <c r="K31" s="247">
        <v>0</v>
      </c>
      <c r="L31" s="247">
        <v>0</v>
      </c>
      <c r="M31" s="247">
        <v>0</v>
      </c>
      <c r="N31" s="247">
        <v>0</v>
      </c>
      <c r="O31" s="247">
        <v>0</v>
      </c>
      <c r="P31" s="247">
        <v>0</v>
      </c>
      <c r="Q31" s="247">
        <v>0</v>
      </c>
      <c r="R31" s="247">
        <v>0</v>
      </c>
      <c r="S31" s="247">
        <v>0</v>
      </c>
      <c r="T31" s="247">
        <v>0</v>
      </c>
      <c r="U31" s="247">
        <v>0</v>
      </c>
      <c r="V31" s="247">
        <v>0</v>
      </c>
      <c r="W31" s="247">
        <v>0</v>
      </c>
      <c r="X31" s="275">
        <v>0</v>
      </c>
      <c r="Z31" s="276">
        <f>Est2018TransRev!Z31</f>
        <v>4</v>
      </c>
      <c r="AA31" s="250">
        <f>Est2018TransRev!AA31</f>
        <v>0</v>
      </c>
      <c r="AB31" s="250">
        <f>Est2018TransRev!AB31</f>
        <v>224820.2679166478</v>
      </c>
      <c r="AC31" s="250">
        <f>Est2018TransRev!AC31</f>
        <v>0</v>
      </c>
      <c r="AD31" s="250">
        <f>Est2018TransRev!AD31</f>
        <v>0</v>
      </c>
      <c r="AE31" s="250">
        <f>Est2018TransRev!AE31</f>
        <v>61632.40762098199</v>
      </c>
      <c r="AF31" s="250">
        <f>Est2018TransRev!AF31</f>
        <v>0</v>
      </c>
      <c r="AG31" s="250">
        <f>Est2018TransRev!AG31</f>
        <v>0</v>
      </c>
      <c r="AH31" s="250">
        <f>Est2018TransRev!AH31</f>
        <v>0</v>
      </c>
      <c r="AI31" s="250">
        <f>Est2018TransRev!AI31</f>
        <v>0</v>
      </c>
      <c r="AJ31" s="250">
        <f>Est2018TransRev!AJ31</f>
        <v>0</v>
      </c>
      <c r="AK31" s="250">
        <f>Est2018TransRev!AK31</f>
        <v>0</v>
      </c>
      <c r="AL31" s="250">
        <f>Est2018TransRev!AL31</f>
        <v>0</v>
      </c>
      <c r="AM31" s="250">
        <f>Est2018TransRev!AM31</f>
        <v>0</v>
      </c>
      <c r="AN31" s="250">
        <f>Est2018TransRev!AN31</f>
        <v>0</v>
      </c>
      <c r="AO31" s="250">
        <f>Est2018TransRev!AO31</f>
        <v>0</v>
      </c>
      <c r="AP31" s="250">
        <f>Est2018TransRev!AP31</f>
        <v>0</v>
      </c>
      <c r="AQ31" s="250">
        <f>Est2018TransRev!AQ31</f>
        <v>0</v>
      </c>
      <c r="AR31" s="250">
        <f>Est2018TransRev!AR31</f>
        <v>0</v>
      </c>
      <c r="AS31" s="250">
        <f>Est2018TransRev!AS31</f>
        <v>0</v>
      </c>
      <c r="AT31" s="277">
        <f>Est2018TransRev!AT31</f>
        <v>0</v>
      </c>
      <c r="AV31" s="252">
        <f t="shared" si="4"/>
        <v>0</v>
      </c>
      <c r="AW31" s="220">
        <f t="shared" si="5"/>
        <v>0</v>
      </c>
      <c r="AX31" s="220">
        <f t="shared" si="6"/>
        <v>89.928107166659132</v>
      </c>
      <c r="AY31" s="220">
        <f t="shared" si="7"/>
        <v>0</v>
      </c>
      <c r="AZ31" s="220">
        <f t="shared" si="8"/>
        <v>0</v>
      </c>
      <c r="BA31" s="220">
        <f t="shared" si="9"/>
        <v>24.652963048392799</v>
      </c>
      <c r="BB31" s="220">
        <f t="shared" si="10"/>
        <v>0</v>
      </c>
      <c r="BC31" s="220">
        <f t="shared" si="11"/>
        <v>0</v>
      </c>
      <c r="BD31" s="220">
        <f t="shared" si="12"/>
        <v>0</v>
      </c>
      <c r="BE31" s="220">
        <f t="shared" si="13"/>
        <v>0</v>
      </c>
      <c r="BF31" s="220">
        <f t="shared" si="14"/>
        <v>0</v>
      </c>
      <c r="BG31" s="220">
        <f t="shared" si="15"/>
        <v>0</v>
      </c>
      <c r="BH31" s="220">
        <f t="shared" si="16"/>
        <v>0</v>
      </c>
      <c r="BI31" s="253">
        <f t="shared" si="17"/>
        <v>0</v>
      </c>
      <c r="BJ31" s="253">
        <f t="shared" si="18"/>
        <v>0</v>
      </c>
      <c r="BK31" s="253">
        <f t="shared" si="19"/>
        <v>0</v>
      </c>
      <c r="BL31" s="253">
        <f t="shared" si="20"/>
        <v>0</v>
      </c>
      <c r="BM31" s="253">
        <f t="shared" si="21"/>
        <v>0</v>
      </c>
      <c r="BN31" s="253">
        <f t="shared" si="22"/>
        <v>0</v>
      </c>
      <c r="BO31" s="253">
        <f t="shared" si="23"/>
        <v>0</v>
      </c>
      <c r="BP31" s="253">
        <f t="shared" si="24"/>
        <v>0</v>
      </c>
      <c r="BQ31" s="254">
        <f t="shared" si="25"/>
        <v>114.58107021505194</v>
      </c>
    </row>
    <row r="32" spans="2:69" x14ac:dyDescent="0.2">
      <c r="B32" s="244" t="str">
        <f>Est2018TransRev!B32</f>
        <v>Non-Residential Demand Tariff</v>
      </c>
      <c r="C32" s="274"/>
      <c r="D32" s="246">
        <v>0</v>
      </c>
      <c r="E32" s="247">
        <v>0.04</v>
      </c>
      <c r="F32" s="247">
        <v>0</v>
      </c>
      <c r="G32" s="247">
        <v>0</v>
      </c>
      <c r="H32" s="247">
        <v>0</v>
      </c>
      <c r="I32" s="247">
        <v>0</v>
      </c>
      <c r="J32" s="247">
        <v>0</v>
      </c>
      <c r="K32" s="247">
        <v>0</v>
      </c>
      <c r="L32" s="247">
        <v>0</v>
      </c>
      <c r="M32" s="247">
        <v>0</v>
      </c>
      <c r="N32" s="247">
        <v>0</v>
      </c>
      <c r="O32" s="247">
        <v>0</v>
      </c>
      <c r="P32" s="247">
        <v>0</v>
      </c>
      <c r="Q32" s="247">
        <v>0</v>
      </c>
      <c r="R32" s="247">
        <v>0</v>
      </c>
      <c r="S32" s="247">
        <v>0</v>
      </c>
      <c r="T32" s="247">
        <v>0</v>
      </c>
      <c r="U32" s="247">
        <v>0</v>
      </c>
      <c r="V32" s="247">
        <v>0</v>
      </c>
      <c r="W32" s="247">
        <v>0</v>
      </c>
      <c r="X32" s="275">
        <v>0</v>
      </c>
      <c r="Z32" s="276">
        <f>Est2018TransRev!Z32</f>
        <v>5</v>
      </c>
      <c r="AA32" s="250">
        <f>Est2018TransRev!AA32</f>
        <v>100000</v>
      </c>
      <c r="AB32" s="250">
        <f>Est2018TransRev!AB32</f>
        <v>0</v>
      </c>
      <c r="AC32" s="250">
        <f>Est2018TransRev!AC32</f>
        <v>0</v>
      </c>
      <c r="AD32" s="250">
        <f>Est2018TransRev!AD32</f>
        <v>0</v>
      </c>
      <c r="AE32" s="250">
        <f>Est2018TransRev!AE32</f>
        <v>0</v>
      </c>
      <c r="AF32" s="250">
        <f>Est2018TransRev!AF32</f>
        <v>0</v>
      </c>
      <c r="AG32" s="250">
        <f>Est2018TransRev!AG32</f>
        <v>0</v>
      </c>
      <c r="AH32" s="250">
        <f>Est2018TransRev!AH32</f>
        <v>0</v>
      </c>
      <c r="AI32" s="250">
        <f>Est2018TransRev!AI32</f>
        <v>0</v>
      </c>
      <c r="AJ32" s="250">
        <f>Est2018TransRev!AJ32</f>
        <v>0</v>
      </c>
      <c r="AK32" s="250">
        <f>Est2018TransRev!AK32</f>
        <v>130.46314416177432</v>
      </c>
      <c r="AL32" s="250">
        <f>Est2018TransRev!AL32</f>
        <v>228.31050228310502</v>
      </c>
      <c r="AM32" s="250">
        <f>Est2018TransRev!AM32</f>
        <v>0</v>
      </c>
      <c r="AN32" s="250">
        <f>Est2018TransRev!AN32</f>
        <v>0</v>
      </c>
      <c r="AO32" s="250">
        <f>Est2018TransRev!AO32</f>
        <v>0</v>
      </c>
      <c r="AP32" s="250">
        <f>Est2018TransRev!AP32</f>
        <v>0</v>
      </c>
      <c r="AQ32" s="250">
        <f>Est2018TransRev!AQ32</f>
        <v>0</v>
      </c>
      <c r="AR32" s="250">
        <f>Est2018TransRev!AR32</f>
        <v>0</v>
      </c>
      <c r="AS32" s="250">
        <f>Est2018TransRev!AS32</f>
        <v>0</v>
      </c>
      <c r="AT32" s="277">
        <f>Est2018TransRev!AT32</f>
        <v>0</v>
      </c>
      <c r="AV32" s="252">
        <f t="shared" si="4"/>
        <v>0</v>
      </c>
      <c r="AW32" s="220">
        <f t="shared" si="5"/>
        <v>40</v>
      </c>
      <c r="AX32" s="220">
        <f t="shared" si="6"/>
        <v>0</v>
      </c>
      <c r="AY32" s="220">
        <f t="shared" si="7"/>
        <v>0</v>
      </c>
      <c r="AZ32" s="220">
        <f t="shared" si="8"/>
        <v>0</v>
      </c>
      <c r="BA32" s="220">
        <f t="shared" si="9"/>
        <v>0</v>
      </c>
      <c r="BB32" s="220">
        <f t="shared" si="10"/>
        <v>0</v>
      </c>
      <c r="BC32" s="220">
        <f t="shared" si="11"/>
        <v>0</v>
      </c>
      <c r="BD32" s="220">
        <f t="shared" si="12"/>
        <v>0</v>
      </c>
      <c r="BE32" s="220">
        <f t="shared" si="13"/>
        <v>0</v>
      </c>
      <c r="BF32" s="220">
        <f t="shared" si="14"/>
        <v>0</v>
      </c>
      <c r="BG32" s="220">
        <f t="shared" si="15"/>
        <v>0</v>
      </c>
      <c r="BH32" s="220">
        <f t="shared" si="16"/>
        <v>0</v>
      </c>
      <c r="BI32" s="253">
        <f t="shared" si="17"/>
        <v>0</v>
      </c>
      <c r="BJ32" s="253">
        <f t="shared" si="18"/>
        <v>0</v>
      </c>
      <c r="BK32" s="253">
        <f t="shared" si="19"/>
        <v>0</v>
      </c>
      <c r="BL32" s="253">
        <f t="shared" si="20"/>
        <v>0</v>
      </c>
      <c r="BM32" s="253">
        <f t="shared" si="21"/>
        <v>0</v>
      </c>
      <c r="BN32" s="253">
        <f t="shared" si="22"/>
        <v>0</v>
      </c>
      <c r="BO32" s="253">
        <f t="shared" si="23"/>
        <v>0</v>
      </c>
      <c r="BP32" s="253">
        <f t="shared" si="24"/>
        <v>0</v>
      </c>
      <c r="BQ32" s="254">
        <f t="shared" si="25"/>
        <v>40</v>
      </c>
    </row>
    <row r="33" spans="2:69" x14ac:dyDescent="0.2">
      <c r="B33" s="389" t="str">
        <f>Est2018TransRev!B33</f>
        <v>Non-Residential Bulk Demand Tariff</v>
      </c>
      <c r="C33" s="274"/>
      <c r="D33" s="246">
        <v>0</v>
      </c>
      <c r="E33" s="247">
        <v>0.04</v>
      </c>
      <c r="F33" s="247">
        <v>0</v>
      </c>
      <c r="G33" s="247">
        <v>0</v>
      </c>
      <c r="H33" s="247">
        <v>0</v>
      </c>
      <c r="I33" s="247">
        <v>0</v>
      </c>
      <c r="J33" s="247">
        <v>0</v>
      </c>
      <c r="K33" s="247">
        <v>0</v>
      </c>
      <c r="L33" s="247">
        <v>0</v>
      </c>
      <c r="M33" s="247">
        <v>0</v>
      </c>
      <c r="N33" s="247">
        <v>0</v>
      </c>
      <c r="O33" s="247">
        <v>0</v>
      </c>
      <c r="P33" s="247">
        <v>0</v>
      </c>
      <c r="Q33" s="247">
        <v>0</v>
      </c>
      <c r="R33" s="247">
        <v>0</v>
      </c>
      <c r="S33" s="247">
        <v>0</v>
      </c>
      <c r="T33" s="247">
        <v>0</v>
      </c>
      <c r="U33" s="247">
        <v>0</v>
      </c>
      <c r="V33" s="247">
        <v>0</v>
      </c>
      <c r="W33" s="247">
        <v>0</v>
      </c>
      <c r="X33" s="275">
        <v>0</v>
      </c>
      <c r="Z33" s="276">
        <f>Est2018TransRev!Z33</f>
        <v>1</v>
      </c>
      <c r="AA33" s="250">
        <f>Est2018TransRev!AA33</f>
        <v>16000</v>
      </c>
      <c r="AB33" s="250">
        <f>Est2018TransRev!AB33</f>
        <v>0</v>
      </c>
      <c r="AC33" s="250">
        <f>Est2018TransRev!AC33</f>
        <v>0</v>
      </c>
      <c r="AD33" s="250">
        <f>Est2018TransRev!AD33</f>
        <v>0</v>
      </c>
      <c r="AE33" s="250">
        <f>Est2018TransRev!AE33</f>
        <v>0</v>
      </c>
      <c r="AF33" s="250">
        <f>Est2018TransRev!AF33</f>
        <v>0</v>
      </c>
      <c r="AG33" s="250">
        <f>Est2018TransRev!AG33</f>
        <v>0</v>
      </c>
      <c r="AH33" s="250">
        <f>Est2018TransRev!AH33</f>
        <v>0</v>
      </c>
      <c r="AI33" s="250">
        <f>Est2018TransRev!AI33</f>
        <v>0</v>
      </c>
      <c r="AJ33" s="250">
        <f>Est2018TransRev!AJ33</f>
        <v>0</v>
      </c>
      <c r="AK33" s="250">
        <f>Est2018TransRev!AK33</f>
        <v>20.874103065883887</v>
      </c>
      <c r="AL33" s="250">
        <f>Est2018TransRev!AL33</f>
        <v>36.529680365296798</v>
      </c>
      <c r="AM33" s="250">
        <f>Est2018TransRev!AM33</f>
        <v>0</v>
      </c>
      <c r="AN33" s="250">
        <f>Est2018TransRev!AN33</f>
        <v>0</v>
      </c>
      <c r="AO33" s="250">
        <f>Est2018TransRev!AO33</f>
        <v>0</v>
      </c>
      <c r="AP33" s="250">
        <f>Est2018TransRev!AP33</f>
        <v>0</v>
      </c>
      <c r="AQ33" s="250">
        <f>Est2018TransRev!AQ33</f>
        <v>0</v>
      </c>
      <c r="AR33" s="250">
        <f>Est2018TransRev!AR33</f>
        <v>0</v>
      </c>
      <c r="AS33" s="250">
        <f>Est2018TransRev!AS33</f>
        <v>0</v>
      </c>
      <c r="AT33" s="277">
        <f>Est2018TransRev!AT33</f>
        <v>0</v>
      </c>
      <c r="AV33" s="252">
        <f t="shared" si="4"/>
        <v>0</v>
      </c>
      <c r="AW33" s="220">
        <f t="shared" si="5"/>
        <v>6.4</v>
      </c>
      <c r="AX33" s="220">
        <f t="shared" si="6"/>
        <v>0</v>
      </c>
      <c r="AY33" s="220">
        <f t="shared" si="7"/>
        <v>0</v>
      </c>
      <c r="AZ33" s="220">
        <f t="shared" si="8"/>
        <v>0</v>
      </c>
      <c r="BA33" s="220">
        <f t="shared" si="9"/>
        <v>0</v>
      </c>
      <c r="BB33" s="220">
        <f t="shared" si="10"/>
        <v>0</v>
      </c>
      <c r="BC33" s="220">
        <f t="shared" si="11"/>
        <v>0</v>
      </c>
      <c r="BD33" s="220">
        <f t="shared" si="12"/>
        <v>0</v>
      </c>
      <c r="BE33" s="220">
        <f t="shared" si="13"/>
        <v>0</v>
      </c>
      <c r="BF33" s="220">
        <f t="shared" si="14"/>
        <v>0</v>
      </c>
      <c r="BG33" s="220">
        <f t="shared" si="15"/>
        <v>0</v>
      </c>
      <c r="BH33" s="220">
        <f t="shared" si="16"/>
        <v>0</v>
      </c>
      <c r="BI33" s="253">
        <f t="shared" si="17"/>
        <v>0</v>
      </c>
      <c r="BJ33" s="253">
        <f t="shared" si="18"/>
        <v>0</v>
      </c>
      <c r="BK33" s="253">
        <f t="shared" si="19"/>
        <v>0</v>
      </c>
      <c r="BL33" s="253">
        <f t="shared" si="20"/>
        <v>0</v>
      </c>
      <c r="BM33" s="253">
        <f t="shared" si="21"/>
        <v>0</v>
      </c>
      <c r="BN33" s="253">
        <f t="shared" si="22"/>
        <v>0</v>
      </c>
      <c r="BO33" s="253">
        <f t="shared" si="23"/>
        <v>0</v>
      </c>
      <c r="BP33" s="253">
        <f t="shared" si="24"/>
        <v>0</v>
      </c>
      <c r="BQ33" s="254">
        <f t="shared" si="25"/>
        <v>6.4</v>
      </c>
    </row>
    <row r="34" spans="2:69" x14ac:dyDescent="0.2">
      <c r="B34" s="244" t="str">
        <f>Est2018TransRev!B34</f>
        <v>Medium Business Demand</v>
      </c>
      <c r="C34" s="274"/>
      <c r="D34" s="246">
        <v>0</v>
      </c>
      <c r="E34" s="247">
        <v>0</v>
      </c>
      <c r="F34" s="247">
        <v>0.04</v>
      </c>
      <c r="G34" s="247">
        <v>0</v>
      </c>
      <c r="H34" s="247">
        <v>0</v>
      </c>
      <c r="I34" s="247">
        <v>0.04</v>
      </c>
      <c r="J34" s="247">
        <v>0</v>
      </c>
      <c r="K34" s="247">
        <v>0</v>
      </c>
      <c r="L34" s="247">
        <v>0</v>
      </c>
      <c r="M34" s="247">
        <v>0</v>
      </c>
      <c r="N34" s="247">
        <v>0</v>
      </c>
      <c r="O34" s="247">
        <v>0</v>
      </c>
      <c r="P34" s="247">
        <v>0</v>
      </c>
      <c r="Q34" s="247">
        <v>0</v>
      </c>
      <c r="R34" s="247">
        <v>0</v>
      </c>
      <c r="S34" s="247">
        <v>0</v>
      </c>
      <c r="T34" s="247">
        <v>0</v>
      </c>
      <c r="U34" s="247">
        <v>0</v>
      </c>
      <c r="V34" s="247">
        <v>0</v>
      </c>
      <c r="W34" s="247">
        <v>0</v>
      </c>
      <c r="X34" s="275">
        <v>0</v>
      </c>
      <c r="Z34" s="276">
        <f>Est2018TransRev!Z34</f>
        <v>4454.7584285325547</v>
      </c>
      <c r="AA34" s="250">
        <f>Est2018TransRev!AA34</f>
        <v>0</v>
      </c>
      <c r="AB34" s="250">
        <f>Est2018TransRev!AB34</f>
        <v>385749824.48949713</v>
      </c>
      <c r="AC34" s="250">
        <f>Est2018TransRev!AC34</f>
        <v>0</v>
      </c>
      <c r="AD34" s="250">
        <f>Est2018TransRev!AD34</f>
        <v>0</v>
      </c>
      <c r="AE34" s="250">
        <f>Est2018TransRev!AE34</f>
        <v>237077602.25050065</v>
      </c>
      <c r="AF34" s="250">
        <f>Est2018TransRev!AF34</f>
        <v>0</v>
      </c>
      <c r="AG34" s="250">
        <f>Est2018TransRev!AG34</f>
        <v>0</v>
      </c>
      <c r="AH34" s="250">
        <f>Est2018TransRev!AH34</f>
        <v>0</v>
      </c>
      <c r="AI34" s="250">
        <f>Est2018TransRev!AI34</f>
        <v>0</v>
      </c>
      <c r="AJ34" s="250">
        <f>Est2018TransRev!AJ34</f>
        <v>0</v>
      </c>
      <c r="AK34" s="250">
        <f>Est2018TransRev!AK34</f>
        <v>764494.43950180197</v>
      </c>
      <c r="AL34" s="250">
        <f>Est2018TransRev!AL34</f>
        <v>1326085.1464115628</v>
      </c>
      <c r="AM34" s="250">
        <f>Est2018TransRev!AM34</f>
        <v>0</v>
      </c>
      <c r="AN34" s="250">
        <f>Est2018TransRev!AN34</f>
        <v>0</v>
      </c>
      <c r="AO34" s="250">
        <f>Est2018TransRev!AO34</f>
        <v>0</v>
      </c>
      <c r="AP34" s="250">
        <f>Est2018TransRev!AP34</f>
        <v>0</v>
      </c>
      <c r="AQ34" s="250">
        <f>Est2018TransRev!AQ34</f>
        <v>0</v>
      </c>
      <c r="AR34" s="250">
        <f>Est2018TransRev!AR34</f>
        <v>0</v>
      </c>
      <c r="AS34" s="250">
        <f>Est2018TransRev!AS34</f>
        <v>0</v>
      </c>
      <c r="AT34" s="277">
        <f>Est2018TransRev!AT34</f>
        <v>0</v>
      </c>
      <c r="AV34" s="252">
        <f t="shared" si="4"/>
        <v>0</v>
      </c>
      <c r="AW34" s="220">
        <f t="shared" si="5"/>
        <v>0</v>
      </c>
      <c r="AX34" s="220">
        <f t="shared" si="6"/>
        <v>154299.92979579885</v>
      </c>
      <c r="AY34" s="220">
        <f t="shared" si="7"/>
        <v>0</v>
      </c>
      <c r="AZ34" s="220">
        <f t="shared" si="8"/>
        <v>0</v>
      </c>
      <c r="BA34" s="220">
        <f t="shared" si="9"/>
        <v>94831.040900200271</v>
      </c>
      <c r="BB34" s="220">
        <f t="shared" si="10"/>
        <v>0</v>
      </c>
      <c r="BC34" s="220">
        <f t="shared" si="11"/>
        <v>0</v>
      </c>
      <c r="BD34" s="220">
        <f t="shared" si="12"/>
        <v>0</v>
      </c>
      <c r="BE34" s="220">
        <f t="shared" si="13"/>
        <v>0</v>
      </c>
      <c r="BF34" s="220">
        <f t="shared" si="14"/>
        <v>0</v>
      </c>
      <c r="BG34" s="220">
        <f t="shared" si="15"/>
        <v>0</v>
      </c>
      <c r="BH34" s="220">
        <f t="shared" si="16"/>
        <v>0</v>
      </c>
      <c r="BI34" s="253">
        <f t="shared" si="17"/>
        <v>0</v>
      </c>
      <c r="BJ34" s="253">
        <f t="shared" si="18"/>
        <v>0</v>
      </c>
      <c r="BK34" s="253">
        <f t="shared" si="19"/>
        <v>0</v>
      </c>
      <c r="BL34" s="253">
        <f t="shared" si="20"/>
        <v>0</v>
      </c>
      <c r="BM34" s="253">
        <f t="shared" si="21"/>
        <v>0</v>
      </c>
      <c r="BN34" s="253">
        <f t="shared" si="22"/>
        <v>0</v>
      </c>
      <c r="BO34" s="253">
        <f t="shared" si="23"/>
        <v>0</v>
      </c>
      <c r="BP34" s="253">
        <f t="shared" si="24"/>
        <v>0</v>
      </c>
      <c r="BQ34" s="254">
        <f t="shared" si="25"/>
        <v>249130.9706959991</v>
      </c>
    </row>
    <row r="35" spans="2:69" x14ac:dyDescent="0.2">
      <c r="B35" s="244" t="str">
        <f>Est2018TransRev!B35</f>
        <v>Medium Business Bulk Demand</v>
      </c>
      <c r="C35" s="274"/>
      <c r="D35" s="246">
        <v>0</v>
      </c>
      <c r="E35" s="247">
        <v>0</v>
      </c>
      <c r="F35" s="247">
        <v>0.04</v>
      </c>
      <c r="G35" s="247">
        <v>0</v>
      </c>
      <c r="H35" s="247">
        <v>0</v>
      </c>
      <c r="I35" s="247">
        <v>0.04</v>
      </c>
      <c r="J35" s="247">
        <v>0</v>
      </c>
      <c r="K35" s="247">
        <v>0</v>
      </c>
      <c r="L35" s="247">
        <v>0</v>
      </c>
      <c r="M35" s="247">
        <v>0</v>
      </c>
      <c r="N35" s="247">
        <v>0</v>
      </c>
      <c r="O35" s="247">
        <v>0</v>
      </c>
      <c r="P35" s="247">
        <v>0</v>
      </c>
      <c r="Q35" s="247">
        <v>0</v>
      </c>
      <c r="R35" s="247">
        <v>0</v>
      </c>
      <c r="S35" s="247">
        <v>0</v>
      </c>
      <c r="T35" s="247">
        <v>0</v>
      </c>
      <c r="U35" s="247">
        <v>0</v>
      </c>
      <c r="V35" s="247">
        <v>0</v>
      </c>
      <c r="W35" s="247">
        <v>0</v>
      </c>
      <c r="X35" s="275">
        <v>0</v>
      </c>
      <c r="Z35" s="276">
        <f>Est2018TransRev!Z35</f>
        <v>2142.0682091572939</v>
      </c>
      <c r="AA35" s="250">
        <f>Est2018TransRev!AA35</f>
        <v>0</v>
      </c>
      <c r="AB35" s="250">
        <f>Est2018TransRev!AB35</f>
        <v>263482333.82347772</v>
      </c>
      <c r="AC35" s="250">
        <f>Est2018TransRev!AC35</f>
        <v>0</v>
      </c>
      <c r="AD35" s="250">
        <f>Est2018TransRev!AD35</f>
        <v>0</v>
      </c>
      <c r="AE35" s="250">
        <f>Est2018TransRev!AE35</f>
        <v>158002594.57150719</v>
      </c>
      <c r="AF35" s="250">
        <f>Est2018TransRev!AF35</f>
        <v>0</v>
      </c>
      <c r="AG35" s="250">
        <f>Est2018TransRev!AG35</f>
        <v>0</v>
      </c>
      <c r="AH35" s="250">
        <f>Est2018TransRev!AH35</f>
        <v>0</v>
      </c>
      <c r="AI35" s="250">
        <f>Est2018TransRev!AI35</f>
        <v>0</v>
      </c>
      <c r="AJ35" s="250">
        <f>Est2018TransRev!AJ35</f>
        <v>0</v>
      </c>
      <c r="AK35" s="250">
        <f>Est2018TransRev!AK35</f>
        <v>523965.08847416606</v>
      </c>
      <c r="AL35" s="250">
        <f>Est2018TransRev!AL35</f>
        <v>850358.31944324356</v>
      </c>
      <c r="AM35" s="250">
        <f>Est2018TransRev!AM35</f>
        <v>0</v>
      </c>
      <c r="AN35" s="250">
        <f>Est2018TransRev!AN35</f>
        <v>0</v>
      </c>
      <c r="AO35" s="250">
        <f>Est2018TransRev!AO35</f>
        <v>0</v>
      </c>
      <c r="AP35" s="250">
        <f>Est2018TransRev!AP35</f>
        <v>0</v>
      </c>
      <c r="AQ35" s="250">
        <f>Est2018TransRev!AQ35</f>
        <v>0</v>
      </c>
      <c r="AR35" s="250">
        <f>Est2018TransRev!AR35</f>
        <v>0</v>
      </c>
      <c r="AS35" s="250">
        <f>Est2018TransRev!AS35</f>
        <v>0</v>
      </c>
      <c r="AT35" s="277">
        <f>Est2018TransRev!AT35</f>
        <v>0</v>
      </c>
      <c r="AV35" s="252">
        <f t="shared" si="4"/>
        <v>0</v>
      </c>
      <c r="AW35" s="220">
        <f t="shared" si="5"/>
        <v>0</v>
      </c>
      <c r="AX35" s="220">
        <f t="shared" si="6"/>
        <v>105392.93352939108</v>
      </c>
      <c r="AY35" s="220">
        <f t="shared" si="7"/>
        <v>0</v>
      </c>
      <c r="AZ35" s="220">
        <f t="shared" si="8"/>
        <v>0</v>
      </c>
      <c r="BA35" s="220">
        <f t="shared" si="9"/>
        <v>63201.037828602879</v>
      </c>
      <c r="BB35" s="220">
        <f t="shared" si="10"/>
        <v>0</v>
      </c>
      <c r="BC35" s="220">
        <f t="shared" si="11"/>
        <v>0</v>
      </c>
      <c r="BD35" s="220">
        <f t="shared" si="12"/>
        <v>0</v>
      </c>
      <c r="BE35" s="220">
        <f t="shared" si="13"/>
        <v>0</v>
      </c>
      <c r="BF35" s="220">
        <f t="shared" si="14"/>
        <v>0</v>
      </c>
      <c r="BG35" s="220">
        <f t="shared" si="15"/>
        <v>0</v>
      </c>
      <c r="BH35" s="220">
        <f t="shared" si="16"/>
        <v>0</v>
      </c>
      <c r="BI35" s="253">
        <f t="shared" si="17"/>
        <v>0</v>
      </c>
      <c r="BJ35" s="253">
        <f t="shared" si="18"/>
        <v>0</v>
      </c>
      <c r="BK35" s="253">
        <f t="shared" si="19"/>
        <v>0</v>
      </c>
      <c r="BL35" s="253">
        <f t="shared" si="20"/>
        <v>0</v>
      </c>
      <c r="BM35" s="253">
        <f t="shared" si="21"/>
        <v>0</v>
      </c>
      <c r="BN35" s="253">
        <f t="shared" si="22"/>
        <v>0</v>
      </c>
      <c r="BO35" s="253">
        <f t="shared" si="23"/>
        <v>0</v>
      </c>
      <c r="BP35" s="253">
        <f t="shared" si="24"/>
        <v>0</v>
      </c>
      <c r="BQ35" s="254">
        <f t="shared" si="25"/>
        <v>168593.97135799396</v>
      </c>
    </row>
    <row r="36" spans="2:69" x14ac:dyDescent="0.2">
      <c r="B36" s="244" t="str">
        <f>Est2018TransRev!B36</f>
        <v>Medium Business Opt-out</v>
      </c>
      <c r="C36" s="274"/>
      <c r="D36" s="246">
        <v>0</v>
      </c>
      <c r="E36" s="247">
        <v>0</v>
      </c>
      <c r="F36" s="247">
        <v>0.04</v>
      </c>
      <c r="G36" s="247">
        <v>0</v>
      </c>
      <c r="H36" s="247">
        <v>0</v>
      </c>
      <c r="I36" s="247">
        <v>0.04</v>
      </c>
      <c r="J36" s="247">
        <v>0</v>
      </c>
      <c r="K36" s="247">
        <v>0</v>
      </c>
      <c r="L36" s="247">
        <v>0</v>
      </c>
      <c r="M36" s="247">
        <v>0</v>
      </c>
      <c r="N36" s="247">
        <v>0</v>
      </c>
      <c r="O36" s="247">
        <v>0</v>
      </c>
      <c r="P36" s="247">
        <v>0</v>
      </c>
      <c r="Q36" s="247">
        <v>0</v>
      </c>
      <c r="R36" s="247">
        <v>0</v>
      </c>
      <c r="S36" s="247">
        <v>0</v>
      </c>
      <c r="T36" s="247">
        <v>0</v>
      </c>
      <c r="U36" s="247">
        <v>0</v>
      </c>
      <c r="V36" s="247">
        <v>0</v>
      </c>
      <c r="W36" s="247">
        <v>0</v>
      </c>
      <c r="X36" s="275">
        <v>0</v>
      </c>
      <c r="Z36" s="276">
        <f>Est2018TransRev!Z36</f>
        <v>9</v>
      </c>
      <c r="AA36" s="250">
        <f>Est2018TransRev!AA36</f>
        <v>0</v>
      </c>
      <c r="AB36" s="250">
        <f>Est2018TransRev!AB36</f>
        <v>502552.90570333629</v>
      </c>
      <c r="AC36" s="250">
        <f>Est2018TransRev!AC36</f>
        <v>0</v>
      </c>
      <c r="AD36" s="250">
        <f>Est2018TransRev!AD36</f>
        <v>0</v>
      </c>
      <c r="AE36" s="250">
        <f>Est2018TransRev!AE36</f>
        <v>301011.28230802208</v>
      </c>
      <c r="AF36" s="250">
        <f>Est2018TransRev!AF36</f>
        <v>0</v>
      </c>
      <c r="AG36" s="250">
        <f>Est2018TransRev!AG36</f>
        <v>0</v>
      </c>
      <c r="AH36" s="250">
        <f>Est2018TransRev!AH36</f>
        <v>0</v>
      </c>
      <c r="AI36" s="250">
        <f>Est2018TransRev!AI36</f>
        <v>0</v>
      </c>
      <c r="AJ36" s="250">
        <f>Est2018TransRev!AJ36</f>
        <v>0</v>
      </c>
      <c r="AK36" s="250">
        <f>Est2018TransRev!AK36</f>
        <v>0</v>
      </c>
      <c r="AL36" s="250">
        <f>Est2018TransRev!AL36</f>
        <v>0</v>
      </c>
      <c r="AM36" s="250">
        <f>Est2018TransRev!AM36</f>
        <v>0</v>
      </c>
      <c r="AN36" s="250">
        <f>Est2018TransRev!AN36</f>
        <v>0</v>
      </c>
      <c r="AO36" s="250">
        <f>Est2018TransRev!AO36</f>
        <v>0</v>
      </c>
      <c r="AP36" s="250">
        <f>Est2018TransRev!AP36</f>
        <v>0</v>
      </c>
      <c r="AQ36" s="250">
        <f>Est2018TransRev!AQ36</f>
        <v>0</v>
      </c>
      <c r="AR36" s="250">
        <f>Est2018TransRev!AR36</f>
        <v>0</v>
      </c>
      <c r="AS36" s="250">
        <f>Est2018TransRev!AS36</f>
        <v>0</v>
      </c>
      <c r="AT36" s="277">
        <f>Est2018TransRev!AT36</f>
        <v>0</v>
      </c>
      <c r="AV36" s="252">
        <f t="shared" si="4"/>
        <v>0</v>
      </c>
      <c r="AW36" s="220">
        <f t="shared" si="5"/>
        <v>0</v>
      </c>
      <c r="AX36" s="220">
        <f t="shared" si="6"/>
        <v>201.02116228133454</v>
      </c>
      <c r="AY36" s="220">
        <f t="shared" si="7"/>
        <v>0</v>
      </c>
      <c r="AZ36" s="220">
        <f t="shared" si="8"/>
        <v>0</v>
      </c>
      <c r="BA36" s="220">
        <f t="shared" si="9"/>
        <v>120.40451292320884</v>
      </c>
      <c r="BB36" s="220">
        <f t="shared" si="10"/>
        <v>0</v>
      </c>
      <c r="BC36" s="220">
        <f t="shared" si="11"/>
        <v>0</v>
      </c>
      <c r="BD36" s="220">
        <f t="shared" si="12"/>
        <v>0</v>
      </c>
      <c r="BE36" s="220">
        <f t="shared" si="13"/>
        <v>0</v>
      </c>
      <c r="BF36" s="220">
        <f t="shared" si="14"/>
        <v>0</v>
      </c>
      <c r="BG36" s="220">
        <f t="shared" si="15"/>
        <v>0</v>
      </c>
      <c r="BH36" s="220">
        <f t="shared" si="16"/>
        <v>0</v>
      </c>
      <c r="BI36" s="253">
        <f t="shared" si="17"/>
        <v>0</v>
      </c>
      <c r="BJ36" s="253">
        <f t="shared" si="18"/>
        <v>0</v>
      </c>
      <c r="BK36" s="253">
        <f t="shared" si="19"/>
        <v>0</v>
      </c>
      <c r="BL36" s="253">
        <f t="shared" si="20"/>
        <v>0</v>
      </c>
      <c r="BM36" s="253">
        <f t="shared" si="21"/>
        <v>0</v>
      </c>
      <c r="BN36" s="253">
        <f t="shared" si="22"/>
        <v>0</v>
      </c>
      <c r="BO36" s="253">
        <f t="shared" si="23"/>
        <v>0</v>
      </c>
      <c r="BP36" s="253">
        <f t="shared" si="24"/>
        <v>0</v>
      </c>
      <c r="BQ36" s="254">
        <f t="shared" si="25"/>
        <v>321.42567520454338</v>
      </c>
    </row>
    <row r="37" spans="2:69" x14ac:dyDescent="0.2">
      <c r="B37" s="244" t="str">
        <f>Est2018TransRev!B37</f>
        <v>Medium Business Bulk Opt-out</v>
      </c>
      <c r="C37" s="274"/>
      <c r="D37" s="246">
        <v>0</v>
      </c>
      <c r="E37" s="247">
        <v>0</v>
      </c>
      <c r="F37" s="247">
        <v>0.04</v>
      </c>
      <c r="G37" s="247">
        <v>0</v>
      </c>
      <c r="H37" s="247">
        <v>0</v>
      </c>
      <c r="I37" s="247">
        <v>0.04</v>
      </c>
      <c r="J37" s="247">
        <v>0</v>
      </c>
      <c r="K37" s="247">
        <v>0</v>
      </c>
      <c r="L37" s="247">
        <v>0</v>
      </c>
      <c r="M37" s="247">
        <v>0</v>
      </c>
      <c r="N37" s="247">
        <v>0</v>
      </c>
      <c r="O37" s="247">
        <v>0</v>
      </c>
      <c r="P37" s="247">
        <v>0</v>
      </c>
      <c r="Q37" s="247">
        <v>0</v>
      </c>
      <c r="R37" s="247">
        <v>0</v>
      </c>
      <c r="S37" s="247">
        <v>0</v>
      </c>
      <c r="T37" s="247">
        <v>0</v>
      </c>
      <c r="U37" s="247">
        <v>0</v>
      </c>
      <c r="V37" s="247">
        <v>0</v>
      </c>
      <c r="W37" s="247">
        <v>0</v>
      </c>
      <c r="X37" s="275">
        <v>0</v>
      </c>
      <c r="Z37" s="276">
        <f>Est2018TransRev!Z37</f>
        <v>9</v>
      </c>
      <c r="AA37" s="250">
        <f>Est2018TransRev!AA37</f>
        <v>0</v>
      </c>
      <c r="AB37" s="250">
        <f>Est2018TransRev!AB37</f>
        <v>560828.84227428387</v>
      </c>
      <c r="AC37" s="250">
        <f>Est2018TransRev!AC37</f>
        <v>0</v>
      </c>
      <c r="AD37" s="250">
        <f>Est2018TransRev!AD37</f>
        <v>0</v>
      </c>
      <c r="AE37" s="250">
        <f>Est2018TransRev!AE37</f>
        <v>293112.81138169364</v>
      </c>
      <c r="AF37" s="250">
        <f>Est2018TransRev!AF37</f>
        <v>0</v>
      </c>
      <c r="AG37" s="250">
        <f>Est2018TransRev!AG37</f>
        <v>0</v>
      </c>
      <c r="AH37" s="250">
        <f>Est2018TransRev!AH37</f>
        <v>0</v>
      </c>
      <c r="AI37" s="250">
        <f>Est2018TransRev!AI37</f>
        <v>0</v>
      </c>
      <c r="AJ37" s="250">
        <f>Est2018TransRev!AJ37</f>
        <v>0</v>
      </c>
      <c r="AK37" s="250">
        <f>Est2018TransRev!AK37</f>
        <v>0</v>
      </c>
      <c r="AL37" s="250">
        <f>Est2018TransRev!AL37</f>
        <v>0</v>
      </c>
      <c r="AM37" s="250">
        <f>Est2018TransRev!AM37</f>
        <v>0</v>
      </c>
      <c r="AN37" s="250">
        <f>Est2018TransRev!AN37</f>
        <v>0</v>
      </c>
      <c r="AO37" s="250">
        <f>Est2018TransRev!AO37</f>
        <v>0</v>
      </c>
      <c r="AP37" s="250">
        <f>Est2018TransRev!AP37</f>
        <v>0</v>
      </c>
      <c r="AQ37" s="250">
        <f>Est2018TransRev!AQ37</f>
        <v>0</v>
      </c>
      <c r="AR37" s="250">
        <f>Est2018TransRev!AR37</f>
        <v>0</v>
      </c>
      <c r="AS37" s="250">
        <f>Est2018TransRev!AS37</f>
        <v>0</v>
      </c>
      <c r="AT37" s="277">
        <f>Est2018TransRev!AT37</f>
        <v>0</v>
      </c>
      <c r="AV37" s="252">
        <f t="shared" si="4"/>
        <v>0</v>
      </c>
      <c r="AW37" s="220">
        <f t="shared" si="5"/>
        <v>0</v>
      </c>
      <c r="AX37" s="220">
        <f t="shared" si="6"/>
        <v>224.33153690971355</v>
      </c>
      <c r="AY37" s="220">
        <f t="shared" si="7"/>
        <v>0</v>
      </c>
      <c r="AZ37" s="220">
        <f t="shared" si="8"/>
        <v>0</v>
      </c>
      <c r="BA37" s="220">
        <f t="shared" si="9"/>
        <v>117.24512455267747</v>
      </c>
      <c r="BB37" s="220">
        <f t="shared" si="10"/>
        <v>0</v>
      </c>
      <c r="BC37" s="220">
        <f t="shared" si="11"/>
        <v>0</v>
      </c>
      <c r="BD37" s="220">
        <f t="shared" si="12"/>
        <v>0</v>
      </c>
      <c r="BE37" s="220">
        <f t="shared" si="13"/>
        <v>0</v>
      </c>
      <c r="BF37" s="220">
        <f t="shared" si="14"/>
        <v>0</v>
      </c>
      <c r="BG37" s="220">
        <f t="shared" si="15"/>
        <v>0</v>
      </c>
      <c r="BH37" s="220">
        <f t="shared" si="16"/>
        <v>0</v>
      </c>
      <c r="BI37" s="253">
        <f t="shared" si="17"/>
        <v>0</v>
      </c>
      <c r="BJ37" s="253">
        <f t="shared" si="18"/>
        <v>0</v>
      </c>
      <c r="BK37" s="253">
        <f t="shared" si="19"/>
        <v>0</v>
      </c>
      <c r="BL37" s="253">
        <f t="shared" si="20"/>
        <v>0</v>
      </c>
      <c r="BM37" s="253">
        <f t="shared" si="21"/>
        <v>0</v>
      </c>
      <c r="BN37" s="253">
        <f t="shared" si="22"/>
        <v>0</v>
      </c>
      <c r="BO37" s="253">
        <f t="shared" si="23"/>
        <v>0</v>
      </c>
      <c r="BP37" s="253">
        <f t="shared" si="24"/>
        <v>0</v>
      </c>
      <c r="BQ37" s="254">
        <f t="shared" si="25"/>
        <v>341.57666146239103</v>
      </c>
    </row>
    <row r="38" spans="2:69" x14ac:dyDescent="0.2">
      <c r="B38" s="244" t="str">
        <f>Est2018TransRev!B38</f>
        <v>Unmetered Supplies / Public Lighting</v>
      </c>
      <c r="C38" s="274"/>
      <c r="D38" s="246">
        <v>0</v>
      </c>
      <c r="E38" s="247">
        <v>0</v>
      </c>
      <c r="F38" s="247">
        <v>0.04</v>
      </c>
      <c r="G38" s="247">
        <v>0</v>
      </c>
      <c r="H38" s="247">
        <v>0</v>
      </c>
      <c r="I38" s="247">
        <v>0.04</v>
      </c>
      <c r="J38" s="247">
        <v>0</v>
      </c>
      <c r="K38" s="247">
        <v>0</v>
      </c>
      <c r="L38" s="247">
        <v>0</v>
      </c>
      <c r="M38" s="247">
        <v>0</v>
      </c>
      <c r="N38" s="247">
        <v>0</v>
      </c>
      <c r="O38" s="247">
        <v>0</v>
      </c>
      <c r="P38" s="247">
        <v>0</v>
      </c>
      <c r="Q38" s="247">
        <v>0</v>
      </c>
      <c r="R38" s="247">
        <v>0</v>
      </c>
      <c r="S38" s="247">
        <v>0</v>
      </c>
      <c r="T38" s="247">
        <v>0</v>
      </c>
      <c r="U38" s="247">
        <v>0</v>
      </c>
      <c r="V38" s="247">
        <v>0</v>
      </c>
      <c r="W38" s="247">
        <v>0</v>
      </c>
      <c r="X38" s="275">
        <v>0</v>
      </c>
      <c r="Z38" s="276">
        <f>Est2018TransRev!Z38</f>
        <v>4063</v>
      </c>
      <c r="AA38" s="250">
        <f>Est2018TransRev!AA38</f>
        <v>0</v>
      </c>
      <c r="AB38" s="250">
        <f>Est2018TransRev!AB38</f>
        <v>14704755.161692999</v>
      </c>
      <c r="AC38" s="250">
        <f>Est2018TransRev!AC38</f>
        <v>0</v>
      </c>
      <c r="AD38" s="250">
        <f>Est2018TransRev!AD38</f>
        <v>0</v>
      </c>
      <c r="AE38" s="250">
        <f>Est2018TransRev!AE38</f>
        <v>24328971.636999998</v>
      </c>
      <c r="AF38" s="250">
        <f>Est2018TransRev!AF38</f>
        <v>0</v>
      </c>
      <c r="AG38" s="250">
        <f>Est2018TransRev!AG38</f>
        <v>0</v>
      </c>
      <c r="AH38" s="250">
        <f>Est2018TransRev!AH38</f>
        <v>0</v>
      </c>
      <c r="AI38" s="250">
        <f>Est2018TransRev!AI38</f>
        <v>0</v>
      </c>
      <c r="AJ38" s="250">
        <f>Est2018TransRev!AJ38</f>
        <v>0</v>
      </c>
      <c r="AK38" s="250">
        <f>Est2018TransRev!AK38</f>
        <v>0</v>
      </c>
      <c r="AL38" s="250">
        <f>Est2018TransRev!AL38</f>
        <v>0</v>
      </c>
      <c r="AM38" s="250">
        <f>Est2018TransRev!AM38</f>
        <v>0</v>
      </c>
      <c r="AN38" s="250">
        <f>Est2018TransRev!AN38</f>
        <v>0</v>
      </c>
      <c r="AO38" s="250">
        <f>Est2018TransRev!AO38</f>
        <v>0</v>
      </c>
      <c r="AP38" s="250">
        <f>Est2018TransRev!AP38</f>
        <v>0</v>
      </c>
      <c r="AQ38" s="250">
        <f>Est2018TransRev!AQ38</f>
        <v>0</v>
      </c>
      <c r="AR38" s="250">
        <f>Est2018TransRev!AR38</f>
        <v>0</v>
      </c>
      <c r="AS38" s="250">
        <f>Est2018TransRev!AS38</f>
        <v>0</v>
      </c>
      <c r="AT38" s="277">
        <f>Est2018TransRev!AT38</f>
        <v>0</v>
      </c>
      <c r="AV38" s="252">
        <f t="shared" si="4"/>
        <v>0</v>
      </c>
      <c r="AW38" s="220">
        <f t="shared" si="5"/>
        <v>0</v>
      </c>
      <c r="AX38" s="220">
        <f t="shared" si="6"/>
        <v>5881.9020646771996</v>
      </c>
      <c r="AY38" s="220">
        <f t="shared" si="7"/>
        <v>0</v>
      </c>
      <c r="AZ38" s="220">
        <f t="shared" si="8"/>
        <v>0</v>
      </c>
      <c r="BA38" s="220">
        <f t="shared" si="9"/>
        <v>9731.5886547999999</v>
      </c>
      <c r="BB38" s="220">
        <f t="shared" si="10"/>
        <v>0</v>
      </c>
      <c r="BC38" s="220">
        <f t="shared" si="11"/>
        <v>0</v>
      </c>
      <c r="BD38" s="220">
        <f t="shared" si="12"/>
        <v>0</v>
      </c>
      <c r="BE38" s="220">
        <f t="shared" si="13"/>
        <v>0</v>
      </c>
      <c r="BF38" s="220">
        <f t="shared" si="14"/>
        <v>0</v>
      </c>
      <c r="BG38" s="220">
        <f t="shared" si="15"/>
        <v>0</v>
      </c>
      <c r="BH38" s="220">
        <f t="shared" si="16"/>
        <v>0</v>
      </c>
      <c r="BI38" s="253">
        <f t="shared" si="17"/>
        <v>0</v>
      </c>
      <c r="BJ38" s="253">
        <f t="shared" si="18"/>
        <v>0</v>
      </c>
      <c r="BK38" s="253">
        <f t="shared" si="19"/>
        <v>0</v>
      </c>
      <c r="BL38" s="253">
        <f t="shared" si="20"/>
        <v>0</v>
      </c>
      <c r="BM38" s="253">
        <f t="shared" si="21"/>
        <v>0</v>
      </c>
      <c r="BN38" s="253">
        <f t="shared" si="22"/>
        <v>0</v>
      </c>
      <c r="BO38" s="253">
        <f t="shared" si="23"/>
        <v>0</v>
      </c>
      <c r="BP38" s="253">
        <f t="shared" si="24"/>
        <v>0</v>
      </c>
      <c r="BQ38" s="254">
        <f t="shared" si="25"/>
        <v>15613.490719477199</v>
      </c>
    </row>
    <row r="39" spans="2:69" x14ac:dyDescent="0.2">
      <c r="B39" s="244" t="str">
        <f>Est2018TransRev!B39</f>
        <v>Large low Voltage</v>
      </c>
      <c r="C39" s="274"/>
      <c r="D39" s="246">
        <v>0</v>
      </c>
      <c r="E39" s="247">
        <v>0</v>
      </c>
      <c r="F39" s="247">
        <v>0.04</v>
      </c>
      <c r="G39" s="247">
        <v>0</v>
      </c>
      <c r="H39" s="247">
        <v>0</v>
      </c>
      <c r="I39" s="247">
        <v>0.04</v>
      </c>
      <c r="J39" s="247">
        <v>0</v>
      </c>
      <c r="K39" s="247">
        <v>0</v>
      </c>
      <c r="L39" s="247">
        <v>0</v>
      </c>
      <c r="M39" s="247">
        <v>0</v>
      </c>
      <c r="N39" s="247">
        <v>0</v>
      </c>
      <c r="O39" s="247">
        <v>0</v>
      </c>
      <c r="P39" s="247">
        <v>0</v>
      </c>
      <c r="Q39" s="247">
        <v>0</v>
      </c>
      <c r="R39" s="247">
        <v>0</v>
      </c>
      <c r="S39" s="247">
        <v>0</v>
      </c>
      <c r="T39" s="247">
        <v>0</v>
      </c>
      <c r="U39" s="247">
        <v>0</v>
      </c>
      <c r="V39" s="247">
        <v>0</v>
      </c>
      <c r="W39" s="247">
        <v>0</v>
      </c>
      <c r="X39" s="275">
        <v>0</v>
      </c>
      <c r="Z39" s="276">
        <f>Est2018TransRev!Z39</f>
        <v>330.02895782458518</v>
      </c>
      <c r="AA39" s="250">
        <f>Est2018TransRev!AA39</f>
        <v>0</v>
      </c>
      <c r="AB39" s="250">
        <f>Est2018TransRev!AB39</f>
        <v>112861608.3435501</v>
      </c>
      <c r="AC39" s="250">
        <f>Est2018TransRev!AC39</f>
        <v>0</v>
      </c>
      <c r="AD39" s="250">
        <f>Est2018TransRev!AD39</f>
        <v>0</v>
      </c>
      <c r="AE39" s="250">
        <f>Est2018TransRev!AE39</f>
        <v>88751320.906778917</v>
      </c>
      <c r="AF39" s="250">
        <f>Est2018TransRev!AF39</f>
        <v>0</v>
      </c>
      <c r="AG39" s="250">
        <f>Est2018TransRev!AG39</f>
        <v>0</v>
      </c>
      <c r="AH39" s="250">
        <f>Est2018TransRev!AH39</f>
        <v>0</v>
      </c>
      <c r="AI39" s="250">
        <f>Est2018TransRev!AI39</f>
        <v>64648.710384258302</v>
      </c>
      <c r="AJ39" s="250">
        <f>Est2018TransRev!AJ39</f>
        <v>0</v>
      </c>
      <c r="AK39" s="250">
        <f>Est2018TransRev!AK39</f>
        <v>0</v>
      </c>
      <c r="AL39" s="250">
        <f>Est2018TransRev!AL39</f>
        <v>0</v>
      </c>
      <c r="AM39" s="250">
        <f>Est2018TransRev!AM39</f>
        <v>0</v>
      </c>
      <c r="AN39" s="250">
        <f>Est2018TransRev!AN39</f>
        <v>0</v>
      </c>
      <c r="AO39" s="250">
        <f>Est2018TransRev!AO39</f>
        <v>0</v>
      </c>
      <c r="AP39" s="250">
        <f>Est2018TransRev!AP39</f>
        <v>0</v>
      </c>
      <c r="AQ39" s="250">
        <f>Est2018TransRev!AQ39</f>
        <v>0</v>
      </c>
      <c r="AR39" s="250">
        <f>Est2018TransRev!AR39</f>
        <v>0</v>
      </c>
      <c r="AS39" s="250">
        <f>Est2018TransRev!AS39</f>
        <v>0</v>
      </c>
      <c r="AT39" s="277">
        <f>Est2018TransRev!AT39</f>
        <v>0</v>
      </c>
      <c r="AV39" s="252">
        <f t="shared" si="4"/>
        <v>0</v>
      </c>
      <c r="AW39" s="220">
        <f t="shared" si="5"/>
        <v>0</v>
      </c>
      <c r="AX39" s="220">
        <f t="shared" si="6"/>
        <v>45144.643337420042</v>
      </c>
      <c r="AY39" s="220">
        <f t="shared" si="7"/>
        <v>0</v>
      </c>
      <c r="AZ39" s="220">
        <f t="shared" si="8"/>
        <v>0</v>
      </c>
      <c r="BA39" s="220">
        <f t="shared" si="9"/>
        <v>35500.528362711571</v>
      </c>
      <c r="BB39" s="220">
        <f t="shared" si="10"/>
        <v>0</v>
      </c>
      <c r="BC39" s="220">
        <f t="shared" si="11"/>
        <v>0</v>
      </c>
      <c r="BD39" s="220">
        <f t="shared" si="12"/>
        <v>0</v>
      </c>
      <c r="BE39" s="220">
        <f t="shared" si="13"/>
        <v>0</v>
      </c>
      <c r="BF39" s="220">
        <f t="shared" si="14"/>
        <v>0</v>
      </c>
      <c r="BG39" s="220">
        <f t="shared" si="15"/>
        <v>0</v>
      </c>
      <c r="BH39" s="220">
        <f t="shared" si="16"/>
        <v>0</v>
      </c>
      <c r="BI39" s="253">
        <f t="shared" si="17"/>
        <v>0</v>
      </c>
      <c r="BJ39" s="253">
        <f t="shared" si="18"/>
        <v>0</v>
      </c>
      <c r="BK39" s="253">
        <f t="shared" si="19"/>
        <v>0</v>
      </c>
      <c r="BL39" s="253">
        <f t="shared" si="20"/>
        <v>0</v>
      </c>
      <c r="BM39" s="253">
        <f t="shared" si="21"/>
        <v>0</v>
      </c>
      <c r="BN39" s="253">
        <f t="shared" si="22"/>
        <v>0</v>
      </c>
      <c r="BO39" s="253">
        <f t="shared" si="23"/>
        <v>0</v>
      </c>
      <c r="BP39" s="253">
        <f t="shared" si="24"/>
        <v>0</v>
      </c>
      <c r="BQ39" s="254">
        <f t="shared" si="25"/>
        <v>80645.171700131614</v>
      </c>
    </row>
    <row r="40" spans="2:69" x14ac:dyDescent="0.2">
      <c r="B40" s="244" t="str">
        <f>Est2018TransRev!B40</f>
        <v>Large low Voltage Bulk</v>
      </c>
      <c r="C40" s="274"/>
      <c r="D40" s="246">
        <v>0</v>
      </c>
      <c r="E40" s="247">
        <v>0</v>
      </c>
      <c r="F40" s="247">
        <v>0.04</v>
      </c>
      <c r="G40" s="247">
        <v>0</v>
      </c>
      <c r="H40" s="247">
        <v>0</v>
      </c>
      <c r="I40" s="247">
        <v>0.04</v>
      </c>
      <c r="J40" s="247">
        <v>0</v>
      </c>
      <c r="K40" s="247">
        <v>0</v>
      </c>
      <c r="L40" s="247">
        <v>0</v>
      </c>
      <c r="M40" s="247">
        <v>0</v>
      </c>
      <c r="N40" s="247">
        <v>0</v>
      </c>
      <c r="O40" s="247">
        <v>0</v>
      </c>
      <c r="P40" s="247">
        <v>0</v>
      </c>
      <c r="Q40" s="247">
        <v>0</v>
      </c>
      <c r="R40" s="247">
        <v>0</v>
      </c>
      <c r="S40" s="247">
        <v>0</v>
      </c>
      <c r="T40" s="247">
        <v>0</v>
      </c>
      <c r="U40" s="247">
        <v>0</v>
      </c>
      <c r="V40" s="247">
        <v>0</v>
      </c>
      <c r="W40" s="247">
        <v>0</v>
      </c>
      <c r="X40" s="275">
        <v>0</v>
      </c>
      <c r="Z40" s="276">
        <f>Est2018TransRev!Z40</f>
        <v>1655.625823869291</v>
      </c>
      <c r="AA40" s="250">
        <f>Est2018TransRev!AA40</f>
        <v>0</v>
      </c>
      <c r="AB40" s="250">
        <f>Est2018TransRev!AB40</f>
        <v>1130104578.5870445</v>
      </c>
      <c r="AC40" s="250">
        <f>Est2018TransRev!AC40</f>
        <v>0</v>
      </c>
      <c r="AD40" s="250">
        <f>Est2018TransRev!AD40</f>
        <v>0</v>
      </c>
      <c r="AE40" s="250">
        <f>Est2018TransRev!AE40</f>
        <v>843930303.69004881</v>
      </c>
      <c r="AF40" s="250">
        <f>Est2018TransRev!AF40</f>
        <v>0</v>
      </c>
      <c r="AG40" s="250">
        <f>Est2018TransRev!AG40</f>
        <v>0</v>
      </c>
      <c r="AH40" s="250">
        <f>Est2018TransRev!AH40</f>
        <v>0</v>
      </c>
      <c r="AI40" s="250">
        <f>Est2018TransRev!AI40</f>
        <v>645709.60805396631</v>
      </c>
      <c r="AJ40" s="250">
        <f>Est2018TransRev!AJ40</f>
        <v>0</v>
      </c>
      <c r="AK40" s="250">
        <f>Est2018TransRev!AK40</f>
        <v>0</v>
      </c>
      <c r="AL40" s="250">
        <f>Est2018TransRev!AL40</f>
        <v>0</v>
      </c>
      <c r="AM40" s="250">
        <f>Est2018TransRev!AM40</f>
        <v>0</v>
      </c>
      <c r="AN40" s="250">
        <f>Est2018TransRev!AN40</f>
        <v>0</v>
      </c>
      <c r="AO40" s="250">
        <f>Est2018TransRev!AO40</f>
        <v>0</v>
      </c>
      <c r="AP40" s="250">
        <f>Est2018TransRev!AP40</f>
        <v>0</v>
      </c>
      <c r="AQ40" s="250">
        <f>Est2018TransRev!AQ40</f>
        <v>0</v>
      </c>
      <c r="AR40" s="250">
        <f>Est2018TransRev!AR40</f>
        <v>0</v>
      </c>
      <c r="AS40" s="250">
        <f>Est2018TransRev!AS40</f>
        <v>0</v>
      </c>
      <c r="AT40" s="277">
        <f>Est2018TransRev!AT40</f>
        <v>0</v>
      </c>
      <c r="AV40" s="252">
        <f t="shared" si="4"/>
        <v>0</v>
      </c>
      <c r="AW40" s="220">
        <f t="shared" si="5"/>
        <v>0</v>
      </c>
      <c r="AX40" s="220">
        <f t="shared" si="6"/>
        <v>452041.83143481781</v>
      </c>
      <c r="AY40" s="220">
        <f t="shared" si="7"/>
        <v>0</v>
      </c>
      <c r="AZ40" s="220">
        <f t="shared" si="8"/>
        <v>0</v>
      </c>
      <c r="BA40" s="220">
        <f t="shared" si="9"/>
        <v>337572.12147601956</v>
      </c>
      <c r="BB40" s="220">
        <f t="shared" si="10"/>
        <v>0</v>
      </c>
      <c r="BC40" s="220">
        <f t="shared" si="11"/>
        <v>0</v>
      </c>
      <c r="BD40" s="220">
        <f t="shared" si="12"/>
        <v>0</v>
      </c>
      <c r="BE40" s="220">
        <f t="shared" si="13"/>
        <v>0</v>
      </c>
      <c r="BF40" s="220">
        <f t="shared" si="14"/>
        <v>0</v>
      </c>
      <c r="BG40" s="220">
        <f t="shared" si="15"/>
        <v>0</v>
      </c>
      <c r="BH40" s="220">
        <f t="shared" si="16"/>
        <v>0</v>
      </c>
      <c r="BI40" s="253">
        <f t="shared" si="17"/>
        <v>0</v>
      </c>
      <c r="BJ40" s="253">
        <f t="shared" si="18"/>
        <v>0</v>
      </c>
      <c r="BK40" s="253">
        <f t="shared" si="19"/>
        <v>0</v>
      </c>
      <c r="BL40" s="253">
        <f t="shared" si="20"/>
        <v>0</v>
      </c>
      <c r="BM40" s="253">
        <f t="shared" si="21"/>
        <v>0</v>
      </c>
      <c r="BN40" s="253">
        <f t="shared" si="22"/>
        <v>0</v>
      </c>
      <c r="BO40" s="253">
        <f t="shared" si="23"/>
        <v>0</v>
      </c>
      <c r="BP40" s="253">
        <f t="shared" si="24"/>
        <v>0</v>
      </c>
      <c r="BQ40" s="254">
        <f t="shared" si="25"/>
        <v>789613.95291083737</v>
      </c>
    </row>
    <row r="41" spans="2:69" x14ac:dyDescent="0.2">
      <c r="B41" s="244" t="str">
        <f>Est2018TransRev!B41</f>
        <v>High Voltage</v>
      </c>
      <c r="C41" s="274"/>
      <c r="D41" s="246">
        <v>0</v>
      </c>
      <c r="E41" s="247">
        <v>0</v>
      </c>
      <c r="F41" s="247">
        <v>0</v>
      </c>
      <c r="G41" s="247">
        <v>0</v>
      </c>
      <c r="H41" s="247">
        <v>0</v>
      </c>
      <c r="I41" s="247">
        <v>0</v>
      </c>
      <c r="J41" s="247">
        <v>0</v>
      </c>
      <c r="K41" s="247">
        <v>0</v>
      </c>
      <c r="L41" s="247">
        <v>0</v>
      </c>
      <c r="M41" s="247">
        <v>0</v>
      </c>
      <c r="N41" s="247">
        <v>0</v>
      </c>
      <c r="O41" s="247">
        <v>0</v>
      </c>
      <c r="P41" s="247">
        <v>0</v>
      </c>
      <c r="Q41" s="247">
        <v>0</v>
      </c>
      <c r="R41" s="247">
        <v>0</v>
      </c>
      <c r="S41" s="247">
        <v>0</v>
      </c>
      <c r="T41" s="247">
        <v>0</v>
      </c>
      <c r="U41" s="247">
        <v>0</v>
      </c>
      <c r="V41" s="247">
        <v>0</v>
      </c>
      <c r="W41" s="247">
        <v>0</v>
      </c>
      <c r="X41" s="275">
        <v>0</v>
      </c>
      <c r="Z41" s="276">
        <f>Est2018TransRev!Z41</f>
        <v>90.982553708010002</v>
      </c>
      <c r="AA41" s="250">
        <f>Est2018TransRev!AA41</f>
        <v>0</v>
      </c>
      <c r="AB41" s="250">
        <f>Est2018TransRev!AB41</f>
        <v>343486676.72513288</v>
      </c>
      <c r="AC41" s="250">
        <f>Est2018TransRev!AC41</f>
        <v>0</v>
      </c>
      <c r="AD41" s="250">
        <f>Est2018TransRev!AD41</f>
        <v>0</v>
      </c>
      <c r="AE41" s="250">
        <f>Est2018TransRev!AE41</f>
        <v>320752044.24805528</v>
      </c>
      <c r="AF41" s="250">
        <f>Est2018TransRev!AF41</f>
        <v>0</v>
      </c>
      <c r="AG41" s="250">
        <f>Est2018TransRev!AG41</f>
        <v>0</v>
      </c>
      <c r="AH41" s="250">
        <f>Est2018TransRev!AH41</f>
        <v>0</v>
      </c>
      <c r="AI41" s="250">
        <f>Est2018TransRev!AI41</f>
        <v>198974.44614725537</v>
      </c>
      <c r="AJ41" s="250">
        <f>Est2018TransRev!AJ41</f>
        <v>0</v>
      </c>
      <c r="AK41" s="250">
        <f>Est2018TransRev!AK41</f>
        <v>0</v>
      </c>
      <c r="AL41" s="250">
        <f>Est2018TransRev!AL41</f>
        <v>0</v>
      </c>
      <c r="AM41" s="250">
        <f>Est2018TransRev!AM41</f>
        <v>0</v>
      </c>
      <c r="AN41" s="250">
        <f>Est2018TransRev!AN41</f>
        <v>0</v>
      </c>
      <c r="AO41" s="250">
        <f>Est2018TransRev!AO41</f>
        <v>0</v>
      </c>
      <c r="AP41" s="250">
        <f>Est2018TransRev!AP41</f>
        <v>0</v>
      </c>
      <c r="AQ41" s="250">
        <f>Est2018TransRev!AQ41</f>
        <v>0</v>
      </c>
      <c r="AR41" s="250">
        <f>Est2018TransRev!AR41</f>
        <v>0</v>
      </c>
      <c r="AS41" s="250">
        <f>Est2018TransRev!AS41</f>
        <v>0</v>
      </c>
      <c r="AT41" s="277">
        <f>Est2018TransRev!AT41</f>
        <v>0</v>
      </c>
      <c r="AV41" s="252">
        <f t="shared" si="4"/>
        <v>0</v>
      </c>
      <c r="AW41" s="220">
        <f t="shared" si="5"/>
        <v>0</v>
      </c>
      <c r="AX41" s="220">
        <f t="shared" si="6"/>
        <v>0</v>
      </c>
      <c r="AY41" s="220">
        <f t="shared" si="7"/>
        <v>0</v>
      </c>
      <c r="AZ41" s="220">
        <f t="shared" si="8"/>
        <v>0</v>
      </c>
      <c r="BA41" s="220">
        <f t="shared" si="9"/>
        <v>0</v>
      </c>
      <c r="BB41" s="220">
        <f t="shared" si="10"/>
        <v>0</v>
      </c>
      <c r="BC41" s="220">
        <f t="shared" si="11"/>
        <v>0</v>
      </c>
      <c r="BD41" s="220">
        <f t="shared" si="12"/>
        <v>0</v>
      </c>
      <c r="BE41" s="220">
        <f t="shared" si="13"/>
        <v>0</v>
      </c>
      <c r="BF41" s="220">
        <f t="shared" si="14"/>
        <v>0</v>
      </c>
      <c r="BG41" s="220">
        <f t="shared" si="15"/>
        <v>0</v>
      </c>
      <c r="BH41" s="220">
        <f t="shared" si="16"/>
        <v>0</v>
      </c>
      <c r="BI41" s="253">
        <f t="shared" si="17"/>
        <v>0</v>
      </c>
      <c r="BJ41" s="253">
        <f t="shared" si="18"/>
        <v>0</v>
      </c>
      <c r="BK41" s="253">
        <f t="shared" si="19"/>
        <v>0</v>
      </c>
      <c r="BL41" s="253">
        <f t="shared" si="20"/>
        <v>0</v>
      </c>
      <c r="BM41" s="253">
        <f t="shared" si="21"/>
        <v>0</v>
      </c>
      <c r="BN41" s="253">
        <f t="shared" si="22"/>
        <v>0</v>
      </c>
      <c r="BO41" s="253">
        <f t="shared" si="23"/>
        <v>0</v>
      </c>
      <c r="BP41" s="253">
        <f t="shared" si="24"/>
        <v>0</v>
      </c>
      <c r="BQ41" s="254">
        <f t="shared" si="25"/>
        <v>0</v>
      </c>
    </row>
    <row r="42" spans="2:69" x14ac:dyDescent="0.2">
      <c r="B42" s="244" t="str">
        <f>Est2018TransRev!B42</f>
        <v>Subtransmission</v>
      </c>
      <c r="C42" s="274"/>
      <c r="D42" s="246">
        <v>0</v>
      </c>
      <c r="E42" s="247">
        <v>0</v>
      </c>
      <c r="F42" s="247">
        <v>0</v>
      </c>
      <c r="G42" s="247">
        <v>0</v>
      </c>
      <c r="H42" s="247">
        <v>0</v>
      </c>
      <c r="I42" s="247">
        <v>0</v>
      </c>
      <c r="J42" s="247">
        <v>0</v>
      </c>
      <c r="K42" s="247">
        <v>0</v>
      </c>
      <c r="L42" s="247">
        <v>0</v>
      </c>
      <c r="M42" s="247">
        <v>0</v>
      </c>
      <c r="N42" s="247">
        <v>0</v>
      </c>
      <c r="O42" s="247">
        <v>0</v>
      </c>
      <c r="P42" s="247">
        <v>0</v>
      </c>
      <c r="Q42" s="247">
        <v>0</v>
      </c>
      <c r="R42" s="247">
        <v>0</v>
      </c>
      <c r="S42" s="247">
        <v>0</v>
      </c>
      <c r="T42" s="247">
        <v>0</v>
      </c>
      <c r="U42" s="247">
        <v>0</v>
      </c>
      <c r="V42" s="247">
        <v>0</v>
      </c>
      <c r="W42" s="247">
        <v>0</v>
      </c>
      <c r="X42" s="275">
        <v>0</v>
      </c>
      <c r="Z42" s="276">
        <f>Est2018TransRev!Z42</f>
        <v>6</v>
      </c>
      <c r="AA42" s="250">
        <f>Est2018TransRev!AA42</f>
        <v>0</v>
      </c>
      <c r="AB42" s="250">
        <f>Est2018TransRev!AB42</f>
        <v>65598744.876000002</v>
      </c>
      <c r="AC42" s="250">
        <f>Est2018TransRev!AC42</f>
        <v>0</v>
      </c>
      <c r="AD42" s="250">
        <f>Est2018TransRev!AD42</f>
        <v>0</v>
      </c>
      <c r="AE42" s="250">
        <f>Est2018TransRev!AE42</f>
        <v>37964642.608999997</v>
      </c>
      <c r="AF42" s="250">
        <f>Est2018TransRev!AF42</f>
        <v>0</v>
      </c>
      <c r="AG42" s="250">
        <f>Est2018TransRev!AG42</f>
        <v>0</v>
      </c>
      <c r="AH42" s="250">
        <f>Est2018TransRev!AH42</f>
        <v>0</v>
      </c>
      <c r="AI42" s="250">
        <f>Est2018TransRev!AI42</f>
        <v>37371.68516666667</v>
      </c>
      <c r="AJ42" s="250">
        <f>Est2018TransRev!AJ42</f>
        <v>0</v>
      </c>
      <c r="AK42" s="250">
        <f>Est2018TransRev!AK42</f>
        <v>0</v>
      </c>
      <c r="AL42" s="250">
        <f>Est2018TransRev!AL42</f>
        <v>0</v>
      </c>
      <c r="AM42" s="250">
        <f>Est2018TransRev!AM42</f>
        <v>0</v>
      </c>
      <c r="AN42" s="250">
        <f>Est2018TransRev!AN42</f>
        <v>0</v>
      </c>
      <c r="AO42" s="250">
        <f>Est2018TransRev!AO42</f>
        <v>0</v>
      </c>
      <c r="AP42" s="250">
        <f>Est2018TransRev!AP42</f>
        <v>0</v>
      </c>
      <c r="AQ42" s="250">
        <f>Est2018TransRev!AQ42</f>
        <v>0</v>
      </c>
      <c r="AR42" s="250">
        <f>Est2018TransRev!AR42</f>
        <v>0</v>
      </c>
      <c r="AS42" s="250">
        <f>Est2018TransRev!AS42</f>
        <v>0</v>
      </c>
      <c r="AT42" s="277">
        <f>Est2018TransRev!AT42</f>
        <v>0</v>
      </c>
      <c r="AV42" s="252">
        <f t="shared" si="4"/>
        <v>0</v>
      </c>
      <c r="AW42" s="220">
        <f t="shared" si="5"/>
        <v>0</v>
      </c>
      <c r="AX42" s="220">
        <f t="shared" si="6"/>
        <v>0</v>
      </c>
      <c r="AY42" s="220">
        <f t="shared" si="7"/>
        <v>0</v>
      </c>
      <c r="AZ42" s="220">
        <f t="shared" si="8"/>
        <v>0</v>
      </c>
      <c r="BA42" s="220">
        <f t="shared" si="9"/>
        <v>0</v>
      </c>
      <c r="BB42" s="220">
        <f t="shared" si="10"/>
        <v>0</v>
      </c>
      <c r="BC42" s="220">
        <f t="shared" si="11"/>
        <v>0</v>
      </c>
      <c r="BD42" s="220">
        <f t="shared" si="12"/>
        <v>0</v>
      </c>
      <c r="BE42" s="220">
        <f t="shared" si="13"/>
        <v>0</v>
      </c>
      <c r="BF42" s="220">
        <f t="shared" si="14"/>
        <v>0</v>
      </c>
      <c r="BG42" s="220">
        <f t="shared" si="15"/>
        <v>0</v>
      </c>
      <c r="BH42" s="220">
        <f t="shared" si="16"/>
        <v>0</v>
      </c>
      <c r="BI42" s="253">
        <f t="shared" si="17"/>
        <v>0</v>
      </c>
      <c r="BJ42" s="253">
        <f t="shared" si="18"/>
        <v>0</v>
      </c>
      <c r="BK42" s="253">
        <f t="shared" si="19"/>
        <v>0</v>
      </c>
      <c r="BL42" s="253">
        <f t="shared" si="20"/>
        <v>0</v>
      </c>
      <c r="BM42" s="253">
        <f t="shared" si="21"/>
        <v>0</v>
      </c>
      <c r="BN42" s="253">
        <f t="shared" si="22"/>
        <v>0</v>
      </c>
      <c r="BO42" s="253">
        <f t="shared" si="23"/>
        <v>0</v>
      </c>
      <c r="BP42" s="253">
        <f t="shared" si="24"/>
        <v>0</v>
      </c>
      <c r="BQ42" s="254">
        <f t="shared" si="25"/>
        <v>0</v>
      </c>
    </row>
    <row r="43" spans="2:69" x14ac:dyDescent="0.2">
      <c r="B43" s="244"/>
      <c r="C43" s="274"/>
      <c r="D43" s="246"/>
      <c r="E43" s="247"/>
      <c r="F43" s="247"/>
      <c r="G43" s="247"/>
      <c r="H43" s="247"/>
      <c r="I43" s="247"/>
      <c r="J43" s="247"/>
      <c r="K43" s="247"/>
      <c r="L43" s="247"/>
      <c r="M43" s="247"/>
      <c r="N43" s="247"/>
      <c r="O43" s="247"/>
      <c r="P43" s="247"/>
      <c r="Q43" s="247"/>
      <c r="R43" s="247"/>
      <c r="S43" s="247"/>
      <c r="T43" s="247"/>
      <c r="U43" s="247"/>
      <c r="V43" s="247"/>
      <c r="W43" s="247"/>
      <c r="X43" s="275"/>
      <c r="Z43" s="276"/>
      <c r="AA43" s="250"/>
      <c r="AB43" s="250"/>
      <c r="AC43" s="250"/>
      <c r="AD43" s="250"/>
      <c r="AE43" s="250"/>
      <c r="AF43" s="250"/>
      <c r="AG43" s="250"/>
      <c r="AH43" s="250"/>
      <c r="AI43" s="250"/>
      <c r="AJ43" s="250"/>
      <c r="AK43" s="250"/>
      <c r="AL43" s="250"/>
      <c r="AM43" s="250"/>
      <c r="AN43" s="250"/>
      <c r="AO43" s="250"/>
      <c r="AP43" s="250"/>
      <c r="AQ43" s="250"/>
      <c r="AR43" s="250"/>
      <c r="AS43" s="250"/>
      <c r="AT43" s="277"/>
      <c r="AV43" s="252">
        <f t="shared" si="4"/>
        <v>0</v>
      </c>
      <c r="AW43" s="220">
        <f t="shared" si="5"/>
        <v>0</v>
      </c>
      <c r="AX43" s="220">
        <f t="shared" si="6"/>
        <v>0</v>
      </c>
      <c r="AY43" s="220">
        <f t="shared" si="7"/>
        <v>0</v>
      </c>
      <c r="AZ43" s="220">
        <f t="shared" si="8"/>
        <v>0</v>
      </c>
      <c r="BA43" s="220">
        <f t="shared" si="9"/>
        <v>0</v>
      </c>
      <c r="BB43" s="220">
        <f t="shared" si="10"/>
        <v>0</v>
      </c>
      <c r="BC43" s="220">
        <f t="shared" si="11"/>
        <v>0</v>
      </c>
      <c r="BD43" s="220">
        <f t="shared" si="12"/>
        <v>0</v>
      </c>
      <c r="BE43" s="220">
        <f t="shared" si="13"/>
        <v>0</v>
      </c>
      <c r="BF43" s="220">
        <f t="shared" si="14"/>
        <v>0</v>
      </c>
      <c r="BG43" s="220">
        <f t="shared" si="15"/>
        <v>0</v>
      </c>
      <c r="BH43" s="220">
        <f t="shared" si="16"/>
        <v>0</v>
      </c>
      <c r="BI43" s="253">
        <f t="shared" si="17"/>
        <v>0</v>
      </c>
      <c r="BJ43" s="253">
        <f t="shared" si="18"/>
        <v>0</v>
      </c>
      <c r="BK43" s="253">
        <f t="shared" si="19"/>
        <v>0</v>
      </c>
      <c r="BL43" s="253">
        <f t="shared" si="20"/>
        <v>0</v>
      </c>
      <c r="BM43" s="253">
        <f t="shared" si="21"/>
        <v>0</v>
      </c>
      <c r="BN43" s="253">
        <f t="shared" si="22"/>
        <v>0</v>
      </c>
      <c r="BO43" s="253">
        <f t="shared" si="23"/>
        <v>0</v>
      </c>
      <c r="BP43" s="253">
        <f t="shared" si="24"/>
        <v>0</v>
      </c>
      <c r="BQ43" s="254">
        <f t="shared" si="25"/>
        <v>0</v>
      </c>
    </row>
    <row r="44" spans="2:69" x14ac:dyDescent="0.2">
      <c r="B44" s="244"/>
      <c r="C44" s="274"/>
      <c r="D44" s="246"/>
      <c r="E44" s="247"/>
      <c r="F44" s="247"/>
      <c r="G44" s="247"/>
      <c r="H44" s="247"/>
      <c r="I44" s="247"/>
      <c r="J44" s="247"/>
      <c r="K44" s="247"/>
      <c r="L44" s="247"/>
      <c r="M44" s="247"/>
      <c r="N44" s="247"/>
      <c r="O44" s="247"/>
      <c r="P44" s="247"/>
      <c r="Q44" s="247"/>
      <c r="R44" s="247"/>
      <c r="S44" s="247"/>
      <c r="T44" s="247"/>
      <c r="U44" s="247"/>
      <c r="V44" s="247"/>
      <c r="W44" s="247"/>
      <c r="X44" s="275"/>
      <c r="Z44" s="276"/>
      <c r="AA44" s="250"/>
      <c r="AB44" s="250"/>
      <c r="AC44" s="250"/>
      <c r="AD44" s="250"/>
      <c r="AE44" s="250"/>
      <c r="AF44" s="250"/>
      <c r="AG44" s="250"/>
      <c r="AH44" s="250"/>
      <c r="AI44" s="250"/>
      <c r="AJ44" s="250"/>
      <c r="AK44" s="250"/>
      <c r="AL44" s="250"/>
      <c r="AM44" s="250"/>
      <c r="AN44" s="250"/>
      <c r="AO44" s="250"/>
      <c r="AP44" s="250"/>
      <c r="AQ44" s="250"/>
      <c r="AR44" s="250"/>
      <c r="AS44" s="250"/>
      <c r="AT44" s="277"/>
      <c r="AV44" s="252">
        <f t="shared" si="4"/>
        <v>0</v>
      </c>
      <c r="AW44" s="220">
        <f t="shared" si="5"/>
        <v>0</v>
      </c>
      <c r="AX44" s="220">
        <f t="shared" si="6"/>
        <v>0</v>
      </c>
      <c r="AY44" s="220">
        <f t="shared" si="7"/>
        <v>0</v>
      </c>
      <c r="AZ44" s="220">
        <f t="shared" si="8"/>
        <v>0</v>
      </c>
      <c r="BA44" s="220">
        <f t="shared" si="9"/>
        <v>0</v>
      </c>
      <c r="BB44" s="220">
        <f t="shared" si="10"/>
        <v>0</v>
      </c>
      <c r="BC44" s="220">
        <f t="shared" si="11"/>
        <v>0</v>
      </c>
      <c r="BD44" s="220">
        <f t="shared" si="12"/>
        <v>0</v>
      </c>
      <c r="BE44" s="220">
        <f t="shared" si="13"/>
        <v>0</v>
      </c>
      <c r="BF44" s="220">
        <f t="shared" si="14"/>
        <v>0</v>
      </c>
      <c r="BG44" s="220">
        <f t="shared" si="15"/>
        <v>0</v>
      </c>
      <c r="BH44" s="220">
        <f t="shared" si="16"/>
        <v>0</v>
      </c>
      <c r="BI44" s="253">
        <f t="shared" si="17"/>
        <v>0</v>
      </c>
      <c r="BJ44" s="253">
        <f t="shared" si="18"/>
        <v>0</v>
      </c>
      <c r="BK44" s="253">
        <f t="shared" si="19"/>
        <v>0</v>
      </c>
      <c r="BL44" s="253">
        <f t="shared" si="20"/>
        <v>0</v>
      </c>
      <c r="BM44" s="253">
        <f t="shared" si="21"/>
        <v>0</v>
      </c>
      <c r="BN44" s="253">
        <f t="shared" si="22"/>
        <v>0</v>
      </c>
      <c r="BO44" s="253">
        <f t="shared" si="23"/>
        <v>0</v>
      </c>
      <c r="BP44" s="253">
        <f t="shared" si="24"/>
        <v>0</v>
      </c>
      <c r="BQ44" s="254">
        <f t="shared" si="25"/>
        <v>0</v>
      </c>
    </row>
    <row r="45" spans="2:69" x14ac:dyDescent="0.2">
      <c r="B45" s="244"/>
      <c r="C45" s="274"/>
      <c r="D45" s="246"/>
      <c r="E45" s="247"/>
      <c r="F45" s="247"/>
      <c r="G45" s="247"/>
      <c r="H45" s="247"/>
      <c r="I45" s="247"/>
      <c r="J45" s="247"/>
      <c r="K45" s="247"/>
      <c r="L45" s="247"/>
      <c r="M45" s="247"/>
      <c r="N45" s="247"/>
      <c r="O45" s="247"/>
      <c r="P45" s="247"/>
      <c r="Q45" s="247"/>
      <c r="R45" s="247"/>
      <c r="S45" s="247"/>
      <c r="T45" s="247"/>
      <c r="U45" s="247"/>
      <c r="V45" s="247"/>
      <c r="W45" s="247"/>
      <c r="X45" s="275"/>
      <c r="Z45" s="276"/>
      <c r="AA45" s="250"/>
      <c r="AB45" s="250"/>
      <c r="AC45" s="250"/>
      <c r="AD45" s="250"/>
      <c r="AE45" s="250"/>
      <c r="AF45" s="250"/>
      <c r="AG45" s="250"/>
      <c r="AH45" s="250"/>
      <c r="AI45" s="250"/>
      <c r="AJ45" s="250"/>
      <c r="AK45" s="250"/>
      <c r="AL45" s="250"/>
      <c r="AM45" s="250"/>
      <c r="AN45" s="250"/>
      <c r="AO45" s="250"/>
      <c r="AP45" s="250"/>
      <c r="AQ45" s="250"/>
      <c r="AR45" s="250"/>
      <c r="AS45" s="250"/>
      <c r="AT45" s="277"/>
      <c r="AV45" s="252">
        <f t="shared" si="4"/>
        <v>0</v>
      </c>
      <c r="AW45" s="220">
        <f t="shared" si="5"/>
        <v>0</v>
      </c>
      <c r="AX45" s="220">
        <f t="shared" si="6"/>
        <v>0</v>
      </c>
      <c r="AY45" s="220">
        <f t="shared" si="7"/>
        <v>0</v>
      </c>
      <c r="AZ45" s="220">
        <f t="shared" si="8"/>
        <v>0</v>
      </c>
      <c r="BA45" s="220">
        <f t="shared" si="9"/>
        <v>0</v>
      </c>
      <c r="BB45" s="220">
        <f t="shared" si="10"/>
        <v>0</v>
      </c>
      <c r="BC45" s="220">
        <f t="shared" si="11"/>
        <v>0</v>
      </c>
      <c r="BD45" s="220">
        <f t="shared" si="12"/>
        <v>0</v>
      </c>
      <c r="BE45" s="220">
        <f t="shared" si="13"/>
        <v>0</v>
      </c>
      <c r="BF45" s="220">
        <f t="shared" si="14"/>
        <v>0</v>
      </c>
      <c r="BG45" s="220">
        <f t="shared" si="15"/>
        <v>0</v>
      </c>
      <c r="BH45" s="220">
        <f t="shared" si="16"/>
        <v>0</v>
      </c>
      <c r="BI45" s="253">
        <f t="shared" si="17"/>
        <v>0</v>
      </c>
      <c r="BJ45" s="253">
        <f t="shared" si="18"/>
        <v>0</v>
      </c>
      <c r="BK45" s="253">
        <f t="shared" si="19"/>
        <v>0</v>
      </c>
      <c r="BL45" s="253">
        <f t="shared" si="20"/>
        <v>0</v>
      </c>
      <c r="BM45" s="253">
        <f t="shared" si="21"/>
        <v>0</v>
      </c>
      <c r="BN45" s="253">
        <f t="shared" si="22"/>
        <v>0</v>
      </c>
      <c r="BO45" s="253">
        <f t="shared" si="23"/>
        <v>0</v>
      </c>
      <c r="BP45" s="253">
        <f t="shared" si="24"/>
        <v>0</v>
      </c>
      <c r="BQ45" s="254">
        <f t="shared" si="25"/>
        <v>0</v>
      </c>
    </row>
    <row r="46" spans="2:69" x14ac:dyDescent="0.2">
      <c r="B46" s="244"/>
      <c r="C46" s="274"/>
      <c r="D46" s="246"/>
      <c r="E46" s="247"/>
      <c r="F46" s="247"/>
      <c r="G46" s="247"/>
      <c r="H46" s="247"/>
      <c r="I46" s="247"/>
      <c r="J46" s="247"/>
      <c r="K46" s="247"/>
      <c r="L46" s="247"/>
      <c r="M46" s="247"/>
      <c r="N46" s="247"/>
      <c r="O46" s="247"/>
      <c r="P46" s="247"/>
      <c r="Q46" s="247"/>
      <c r="R46" s="247"/>
      <c r="S46" s="247"/>
      <c r="T46" s="247"/>
      <c r="U46" s="247"/>
      <c r="V46" s="247"/>
      <c r="W46" s="247"/>
      <c r="X46" s="275"/>
      <c r="Z46" s="276"/>
      <c r="AA46" s="250"/>
      <c r="AB46" s="250"/>
      <c r="AC46" s="250"/>
      <c r="AD46" s="250"/>
      <c r="AE46" s="250"/>
      <c r="AF46" s="250"/>
      <c r="AG46" s="250"/>
      <c r="AH46" s="250"/>
      <c r="AI46" s="250"/>
      <c r="AJ46" s="250"/>
      <c r="AK46" s="250"/>
      <c r="AL46" s="250"/>
      <c r="AM46" s="250"/>
      <c r="AN46" s="250"/>
      <c r="AO46" s="250"/>
      <c r="AP46" s="250"/>
      <c r="AQ46" s="250"/>
      <c r="AR46" s="250"/>
      <c r="AS46" s="250"/>
      <c r="AT46" s="277"/>
      <c r="AV46" s="252">
        <f t="shared" si="4"/>
        <v>0</v>
      </c>
      <c r="AW46" s="220">
        <f t="shared" si="5"/>
        <v>0</v>
      </c>
      <c r="AX46" s="220">
        <f t="shared" si="6"/>
        <v>0</v>
      </c>
      <c r="AY46" s="220">
        <f t="shared" si="7"/>
        <v>0</v>
      </c>
      <c r="AZ46" s="220">
        <f t="shared" si="8"/>
        <v>0</v>
      </c>
      <c r="BA46" s="220">
        <f t="shared" si="9"/>
        <v>0</v>
      </c>
      <c r="BB46" s="220">
        <f t="shared" si="10"/>
        <v>0</v>
      </c>
      <c r="BC46" s="220">
        <f t="shared" si="11"/>
        <v>0</v>
      </c>
      <c r="BD46" s="220">
        <f t="shared" si="12"/>
        <v>0</v>
      </c>
      <c r="BE46" s="220">
        <f t="shared" si="13"/>
        <v>0</v>
      </c>
      <c r="BF46" s="220">
        <f t="shared" si="14"/>
        <v>0</v>
      </c>
      <c r="BG46" s="220">
        <f t="shared" si="15"/>
        <v>0</v>
      </c>
      <c r="BH46" s="220">
        <f t="shared" si="16"/>
        <v>0</v>
      </c>
      <c r="BI46" s="253">
        <f t="shared" si="17"/>
        <v>0</v>
      </c>
      <c r="BJ46" s="253">
        <f t="shared" si="18"/>
        <v>0</v>
      </c>
      <c r="BK46" s="253">
        <f t="shared" si="19"/>
        <v>0</v>
      </c>
      <c r="BL46" s="253">
        <f t="shared" si="20"/>
        <v>0</v>
      </c>
      <c r="BM46" s="253">
        <f t="shared" si="21"/>
        <v>0</v>
      </c>
      <c r="BN46" s="253">
        <f t="shared" si="22"/>
        <v>0</v>
      </c>
      <c r="BO46" s="253">
        <f t="shared" si="23"/>
        <v>0</v>
      </c>
      <c r="BP46" s="253">
        <f t="shared" si="24"/>
        <v>0</v>
      </c>
      <c r="BQ46" s="254">
        <f t="shared" si="25"/>
        <v>0</v>
      </c>
    </row>
    <row r="47" spans="2:69" x14ac:dyDescent="0.2">
      <c r="B47" s="244"/>
      <c r="C47" s="274"/>
      <c r="D47" s="246"/>
      <c r="E47" s="247"/>
      <c r="F47" s="247"/>
      <c r="G47" s="247"/>
      <c r="H47" s="247"/>
      <c r="I47" s="247"/>
      <c r="J47" s="247"/>
      <c r="K47" s="247"/>
      <c r="L47" s="247"/>
      <c r="M47" s="247"/>
      <c r="N47" s="247"/>
      <c r="O47" s="247"/>
      <c r="P47" s="247"/>
      <c r="Q47" s="247"/>
      <c r="R47" s="247"/>
      <c r="S47" s="247"/>
      <c r="T47" s="247"/>
      <c r="U47" s="247"/>
      <c r="V47" s="247"/>
      <c r="W47" s="247"/>
      <c r="X47" s="275"/>
      <c r="Z47" s="276"/>
      <c r="AA47" s="250"/>
      <c r="AB47" s="250"/>
      <c r="AC47" s="250"/>
      <c r="AD47" s="250"/>
      <c r="AE47" s="250"/>
      <c r="AF47" s="250"/>
      <c r="AG47" s="250"/>
      <c r="AH47" s="250"/>
      <c r="AI47" s="250"/>
      <c r="AJ47" s="250"/>
      <c r="AK47" s="250"/>
      <c r="AL47" s="250"/>
      <c r="AM47" s="250"/>
      <c r="AN47" s="250"/>
      <c r="AO47" s="250"/>
      <c r="AP47" s="250"/>
      <c r="AQ47" s="250"/>
      <c r="AR47" s="250"/>
      <c r="AS47" s="250"/>
      <c r="AT47" s="277"/>
      <c r="AV47" s="252">
        <f t="shared" si="4"/>
        <v>0</v>
      </c>
      <c r="AW47" s="220">
        <f t="shared" si="5"/>
        <v>0</v>
      </c>
      <c r="AX47" s="220">
        <f t="shared" si="6"/>
        <v>0</v>
      </c>
      <c r="AY47" s="220">
        <f t="shared" si="7"/>
        <v>0</v>
      </c>
      <c r="AZ47" s="220">
        <f t="shared" si="8"/>
        <v>0</v>
      </c>
      <c r="BA47" s="220">
        <f t="shared" si="9"/>
        <v>0</v>
      </c>
      <c r="BB47" s="220">
        <f t="shared" si="10"/>
        <v>0</v>
      </c>
      <c r="BC47" s="220">
        <f t="shared" si="11"/>
        <v>0</v>
      </c>
      <c r="BD47" s="220">
        <f t="shared" si="12"/>
        <v>0</v>
      </c>
      <c r="BE47" s="220">
        <f t="shared" si="13"/>
        <v>0</v>
      </c>
      <c r="BF47" s="220">
        <f t="shared" si="14"/>
        <v>0</v>
      </c>
      <c r="BG47" s="220">
        <f t="shared" si="15"/>
        <v>0</v>
      </c>
      <c r="BH47" s="220">
        <f t="shared" si="16"/>
        <v>0</v>
      </c>
      <c r="BI47" s="253">
        <f t="shared" si="17"/>
        <v>0</v>
      </c>
      <c r="BJ47" s="253">
        <f t="shared" si="18"/>
        <v>0</v>
      </c>
      <c r="BK47" s="253">
        <f t="shared" si="19"/>
        <v>0</v>
      </c>
      <c r="BL47" s="253">
        <f t="shared" si="20"/>
        <v>0</v>
      </c>
      <c r="BM47" s="253">
        <f t="shared" si="21"/>
        <v>0</v>
      </c>
      <c r="BN47" s="253">
        <f t="shared" si="22"/>
        <v>0</v>
      </c>
      <c r="BO47" s="253">
        <f t="shared" si="23"/>
        <v>0</v>
      </c>
      <c r="BP47" s="253">
        <f t="shared" si="24"/>
        <v>0</v>
      </c>
      <c r="BQ47" s="254">
        <f t="shared" si="25"/>
        <v>0</v>
      </c>
    </row>
    <row r="48" spans="2:69" x14ac:dyDescent="0.2">
      <c r="B48" s="244"/>
      <c r="D48" s="255"/>
      <c r="E48" s="256"/>
      <c r="F48" s="256"/>
      <c r="G48" s="256"/>
      <c r="H48" s="256"/>
      <c r="I48" s="256"/>
      <c r="J48" s="256"/>
      <c r="K48" s="256"/>
      <c r="L48" s="256"/>
      <c r="M48" s="257"/>
      <c r="N48" s="257"/>
      <c r="O48" s="257"/>
      <c r="P48" s="257"/>
      <c r="Q48" s="257"/>
      <c r="R48" s="257"/>
      <c r="S48" s="257"/>
      <c r="T48" s="257"/>
      <c r="U48" s="257"/>
      <c r="V48" s="257"/>
      <c r="W48" s="257"/>
      <c r="X48" s="258"/>
      <c r="Z48" s="249"/>
      <c r="AA48" s="250"/>
      <c r="AB48" s="250"/>
      <c r="AC48" s="250"/>
      <c r="AD48" s="250"/>
      <c r="AE48" s="250"/>
      <c r="AF48" s="250"/>
      <c r="AG48" s="250"/>
      <c r="AH48" s="250"/>
      <c r="AI48" s="250"/>
      <c r="AJ48" s="250"/>
      <c r="AK48" s="250"/>
      <c r="AL48" s="250"/>
      <c r="AM48" s="250"/>
      <c r="AN48" s="250"/>
      <c r="AO48" s="250"/>
      <c r="AP48" s="250"/>
      <c r="AQ48" s="250"/>
      <c r="AR48" s="250"/>
      <c r="AS48" s="250"/>
      <c r="AT48" s="251"/>
      <c r="AV48" s="252">
        <f t="shared" si="4"/>
        <v>0</v>
      </c>
      <c r="AW48" s="220">
        <f t="shared" si="5"/>
        <v>0</v>
      </c>
      <c r="AX48" s="220">
        <f t="shared" si="6"/>
        <v>0</v>
      </c>
      <c r="AY48" s="220">
        <f t="shared" si="7"/>
        <v>0</v>
      </c>
      <c r="AZ48" s="220">
        <f t="shared" si="8"/>
        <v>0</v>
      </c>
      <c r="BA48" s="220">
        <f t="shared" si="9"/>
        <v>0</v>
      </c>
      <c r="BB48" s="220">
        <f t="shared" si="10"/>
        <v>0</v>
      </c>
      <c r="BC48" s="220">
        <f t="shared" si="11"/>
        <v>0</v>
      </c>
      <c r="BD48" s="220">
        <f t="shared" si="12"/>
        <v>0</v>
      </c>
      <c r="BE48" s="220">
        <f t="shared" si="13"/>
        <v>0</v>
      </c>
      <c r="BF48" s="220">
        <f t="shared" si="14"/>
        <v>0</v>
      </c>
      <c r="BG48" s="220">
        <f t="shared" si="15"/>
        <v>0</v>
      </c>
      <c r="BH48" s="220">
        <f t="shared" si="16"/>
        <v>0</v>
      </c>
      <c r="BI48" s="253">
        <f t="shared" si="17"/>
        <v>0</v>
      </c>
      <c r="BJ48" s="253">
        <f t="shared" si="18"/>
        <v>0</v>
      </c>
      <c r="BK48" s="253">
        <f t="shared" si="19"/>
        <v>0</v>
      </c>
      <c r="BL48" s="253">
        <f t="shared" si="20"/>
        <v>0</v>
      </c>
      <c r="BM48" s="253">
        <f t="shared" si="21"/>
        <v>0</v>
      </c>
      <c r="BN48" s="253">
        <f t="shared" si="22"/>
        <v>0</v>
      </c>
      <c r="BO48" s="253">
        <f t="shared" si="23"/>
        <v>0</v>
      </c>
      <c r="BP48" s="253">
        <f t="shared" si="24"/>
        <v>0</v>
      </c>
      <c r="BQ48" s="254">
        <f t="shared" si="25"/>
        <v>0</v>
      </c>
    </row>
    <row r="49" spans="2:69" x14ac:dyDescent="0.2">
      <c r="B49" s="244"/>
      <c r="D49" s="255"/>
      <c r="E49" s="256"/>
      <c r="F49" s="256"/>
      <c r="G49" s="256"/>
      <c r="H49" s="256"/>
      <c r="I49" s="256"/>
      <c r="J49" s="256"/>
      <c r="K49" s="256"/>
      <c r="L49" s="256"/>
      <c r="M49" s="257"/>
      <c r="N49" s="257"/>
      <c r="O49" s="257"/>
      <c r="P49" s="257"/>
      <c r="Q49" s="257"/>
      <c r="R49" s="257"/>
      <c r="S49" s="257"/>
      <c r="T49" s="257"/>
      <c r="U49" s="257"/>
      <c r="V49" s="257"/>
      <c r="W49" s="257"/>
      <c r="X49" s="258"/>
      <c r="Z49" s="249"/>
      <c r="AA49" s="250"/>
      <c r="AB49" s="250"/>
      <c r="AC49" s="250"/>
      <c r="AD49" s="250"/>
      <c r="AE49" s="250"/>
      <c r="AF49" s="250"/>
      <c r="AG49" s="250"/>
      <c r="AH49" s="250"/>
      <c r="AI49" s="250"/>
      <c r="AJ49" s="250"/>
      <c r="AK49" s="250"/>
      <c r="AL49" s="250"/>
      <c r="AM49" s="250"/>
      <c r="AN49" s="250"/>
      <c r="AO49" s="250"/>
      <c r="AP49" s="250"/>
      <c r="AQ49" s="250"/>
      <c r="AR49" s="250"/>
      <c r="AS49" s="250"/>
      <c r="AT49" s="251"/>
      <c r="AV49" s="252">
        <f t="shared" si="4"/>
        <v>0</v>
      </c>
      <c r="AW49" s="220">
        <f t="shared" si="5"/>
        <v>0</v>
      </c>
      <c r="AX49" s="220">
        <f t="shared" si="6"/>
        <v>0</v>
      </c>
      <c r="AY49" s="220">
        <f t="shared" si="7"/>
        <v>0</v>
      </c>
      <c r="AZ49" s="220">
        <f t="shared" si="8"/>
        <v>0</v>
      </c>
      <c r="BA49" s="220">
        <f t="shared" si="9"/>
        <v>0</v>
      </c>
      <c r="BB49" s="220">
        <f t="shared" si="10"/>
        <v>0</v>
      </c>
      <c r="BC49" s="220">
        <f t="shared" si="11"/>
        <v>0</v>
      </c>
      <c r="BD49" s="220">
        <f t="shared" si="12"/>
        <v>0</v>
      </c>
      <c r="BE49" s="220">
        <f t="shared" si="13"/>
        <v>0</v>
      </c>
      <c r="BF49" s="220">
        <f t="shared" si="14"/>
        <v>0</v>
      </c>
      <c r="BG49" s="220">
        <f t="shared" si="15"/>
        <v>0</v>
      </c>
      <c r="BH49" s="220">
        <f t="shared" si="16"/>
        <v>0</v>
      </c>
      <c r="BI49" s="253">
        <f t="shared" si="17"/>
        <v>0</v>
      </c>
      <c r="BJ49" s="253">
        <f t="shared" si="18"/>
        <v>0</v>
      </c>
      <c r="BK49" s="253">
        <f t="shared" si="19"/>
        <v>0</v>
      </c>
      <c r="BL49" s="253">
        <f t="shared" si="20"/>
        <v>0</v>
      </c>
      <c r="BM49" s="253">
        <f t="shared" si="21"/>
        <v>0</v>
      </c>
      <c r="BN49" s="253">
        <f t="shared" si="22"/>
        <v>0</v>
      </c>
      <c r="BO49" s="253">
        <f t="shared" si="23"/>
        <v>0</v>
      </c>
      <c r="BP49" s="253">
        <f t="shared" si="24"/>
        <v>0</v>
      </c>
      <c r="BQ49" s="254">
        <f t="shared" si="25"/>
        <v>0</v>
      </c>
    </row>
    <row r="50" spans="2:69" x14ac:dyDescent="0.2">
      <c r="B50" s="244"/>
      <c r="D50" s="255"/>
      <c r="E50" s="256"/>
      <c r="F50" s="256"/>
      <c r="G50" s="256"/>
      <c r="H50" s="256"/>
      <c r="I50" s="256"/>
      <c r="J50" s="256"/>
      <c r="K50" s="256"/>
      <c r="L50" s="256"/>
      <c r="M50" s="257"/>
      <c r="N50" s="257"/>
      <c r="O50" s="257"/>
      <c r="P50" s="257"/>
      <c r="Q50" s="257"/>
      <c r="R50" s="257"/>
      <c r="S50" s="257"/>
      <c r="T50" s="257"/>
      <c r="U50" s="257"/>
      <c r="V50" s="257"/>
      <c r="W50" s="257"/>
      <c r="X50" s="258"/>
      <c r="Z50" s="249"/>
      <c r="AA50" s="250"/>
      <c r="AB50" s="250"/>
      <c r="AC50" s="250"/>
      <c r="AD50" s="250"/>
      <c r="AE50" s="250"/>
      <c r="AF50" s="250"/>
      <c r="AG50" s="250"/>
      <c r="AH50" s="250"/>
      <c r="AI50" s="250"/>
      <c r="AJ50" s="250"/>
      <c r="AK50" s="250"/>
      <c r="AL50" s="250"/>
      <c r="AM50" s="250"/>
      <c r="AN50" s="250"/>
      <c r="AO50" s="250"/>
      <c r="AP50" s="250"/>
      <c r="AQ50" s="250"/>
      <c r="AR50" s="250"/>
      <c r="AS50" s="250"/>
      <c r="AT50" s="251"/>
      <c r="AV50" s="252">
        <f t="shared" si="4"/>
        <v>0</v>
      </c>
      <c r="AW50" s="220">
        <f t="shared" si="5"/>
        <v>0</v>
      </c>
      <c r="AX50" s="220">
        <f t="shared" si="6"/>
        <v>0</v>
      </c>
      <c r="AY50" s="220">
        <f t="shared" si="7"/>
        <v>0</v>
      </c>
      <c r="AZ50" s="220">
        <f t="shared" si="8"/>
        <v>0</v>
      </c>
      <c r="BA50" s="220">
        <f t="shared" si="9"/>
        <v>0</v>
      </c>
      <c r="BB50" s="220">
        <f t="shared" si="10"/>
        <v>0</v>
      </c>
      <c r="BC50" s="220">
        <f t="shared" si="11"/>
        <v>0</v>
      </c>
      <c r="BD50" s="220">
        <f t="shared" si="12"/>
        <v>0</v>
      </c>
      <c r="BE50" s="220">
        <f t="shared" si="13"/>
        <v>0</v>
      </c>
      <c r="BF50" s="220">
        <f t="shared" si="14"/>
        <v>0</v>
      </c>
      <c r="BG50" s="220">
        <f t="shared" si="15"/>
        <v>0</v>
      </c>
      <c r="BH50" s="220">
        <f t="shared" si="16"/>
        <v>0</v>
      </c>
      <c r="BI50" s="253">
        <f t="shared" si="17"/>
        <v>0</v>
      </c>
      <c r="BJ50" s="253">
        <f t="shared" si="18"/>
        <v>0</v>
      </c>
      <c r="BK50" s="253">
        <f t="shared" si="19"/>
        <v>0</v>
      </c>
      <c r="BL50" s="253">
        <f t="shared" si="20"/>
        <v>0</v>
      </c>
      <c r="BM50" s="253">
        <f t="shared" si="21"/>
        <v>0</v>
      </c>
      <c r="BN50" s="253">
        <f t="shared" si="22"/>
        <v>0</v>
      </c>
      <c r="BO50" s="253">
        <f t="shared" si="23"/>
        <v>0</v>
      </c>
      <c r="BP50" s="253">
        <f t="shared" si="24"/>
        <v>0</v>
      </c>
      <c r="BQ50" s="254">
        <f t="shared" si="25"/>
        <v>0</v>
      </c>
    </row>
    <row r="51" spans="2:69" x14ac:dyDescent="0.2">
      <c r="B51" s="244"/>
      <c r="D51" s="255"/>
      <c r="E51" s="256"/>
      <c r="F51" s="256"/>
      <c r="G51" s="256"/>
      <c r="H51" s="256"/>
      <c r="I51" s="256"/>
      <c r="J51" s="256"/>
      <c r="K51" s="256"/>
      <c r="L51" s="256"/>
      <c r="M51" s="257"/>
      <c r="N51" s="257"/>
      <c r="O51" s="257"/>
      <c r="P51" s="257"/>
      <c r="Q51" s="257"/>
      <c r="R51" s="257"/>
      <c r="S51" s="257"/>
      <c r="T51" s="257"/>
      <c r="U51" s="257"/>
      <c r="V51" s="257"/>
      <c r="W51" s="257"/>
      <c r="X51" s="258"/>
      <c r="Z51" s="249"/>
      <c r="AA51" s="250"/>
      <c r="AB51" s="250"/>
      <c r="AC51" s="250"/>
      <c r="AD51" s="250"/>
      <c r="AE51" s="250"/>
      <c r="AF51" s="250"/>
      <c r="AG51" s="250"/>
      <c r="AH51" s="250"/>
      <c r="AI51" s="250"/>
      <c r="AJ51" s="250"/>
      <c r="AK51" s="250"/>
      <c r="AL51" s="250"/>
      <c r="AM51" s="250"/>
      <c r="AN51" s="250"/>
      <c r="AO51" s="250"/>
      <c r="AP51" s="250"/>
      <c r="AQ51" s="250"/>
      <c r="AR51" s="250"/>
      <c r="AS51" s="250"/>
      <c r="AT51" s="251"/>
      <c r="AV51" s="252">
        <f t="shared" si="4"/>
        <v>0</v>
      </c>
      <c r="AW51" s="220">
        <f t="shared" si="5"/>
        <v>0</v>
      </c>
      <c r="AX51" s="220">
        <f t="shared" si="6"/>
        <v>0</v>
      </c>
      <c r="AY51" s="220">
        <f t="shared" si="7"/>
        <v>0</v>
      </c>
      <c r="AZ51" s="220">
        <f t="shared" si="8"/>
        <v>0</v>
      </c>
      <c r="BA51" s="220">
        <f t="shared" si="9"/>
        <v>0</v>
      </c>
      <c r="BB51" s="220">
        <f t="shared" si="10"/>
        <v>0</v>
      </c>
      <c r="BC51" s="220">
        <f t="shared" si="11"/>
        <v>0</v>
      </c>
      <c r="BD51" s="220">
        <f t="shared" si="12"/>
        <v>0</v>
      </c>
      <c r="BE51" s="220">
        <f t="shared" si="13"/>
        <v>0</v>
      </c>
      <c r="BF51" s="220">
        <f t="shared" si="14"/>
        <v>0</v>
      </c>
      <c r="BG51" s="220">
        <f t="shared" si="15"/>
        <v>0</v>
      </c>
      <c r="BH51" s="220">
        <f t="shared" si="16"/>
        <v>0</v>
      </c>
      <c r="BI51" s="253">
        <f t="shared" si="17"/>
        <v>0</v>
      </c>
      <c r="BJ51" s="253">
        <f t="shared" si="18"/>
        <v>0</v>
      </c>
      <c r="BK51" s="253">
        <f t="shared" si="19"/>
        <v>0</v>
      </c>
      <c r="BL51" s="253">
        <f t="shared" si="20"/>
        <v>0</v>
      </c>
      <c r="BM51" s="253">
        <f t="shared" si="21"/>
        <v>0</v>
      </c>
      <c r="BN51" s="253">
        <f t="shared" si="22"/>
        <v>0</v>
      </c>
      <c r="BO51" s="253">
        <f t="shared" si="23"/>
        <v>0</v>
      </c>
      <c r="BP51" s="253">
        <f t="shared" si="24"/>
        <v>0</v>
      </c>
      <c r="BQ51" s="254">
        <f t="shared" si="25"/>
        <v>0</v>
      </c>
    </row>
    <row r="52" spans="2:69" x14ac:dyDescent="0.2">
      <c r="B52" s="244"/>
      <c r="D52" s="255"/>
      <c r="E52" s="256"/>
      <c r="F52" s="256"/>
      <c r="G52" s="256"/>
      <c r="H52" s="256"/>
      <c r="I52" s="256"/>
      <c r="J52" s="256"/>
      <c r="K52" s="256"/>
      <c r="L52" s="256"/>
      <c r="M52" s="257"/>
      <c r="N52" s="257"/>
      <c r="O52" s="257"/>
      <c r="P52" s="257"/>
      <c r="Q52" s="257"/>
      <c r="R52" s="257"/>
      <c r="S52" s="257"/>
      <c r="T52" s="257"/>
      <c r="U52" s="257"/>
      <c r="V52" s="257"/>
      <c r="W52" s="257"/>
      <c r="X52" s="258"/>
      <c r="Z52" s="249"/>
      <c r="AA52" s="250"/>
      <c r="AB52" s="250"/>
      <c r="AC52" s="250"/>
      <c r="AD52" s="250"/>
      <c r="AE52" s="250"/>
      <c r="AF52" s="250"/>
      <c r="AG52" s="250"/>
      <c r="AH52" s="250"/>
      <c r="AI52" s="250"/>
      <c r="AJ52" s="250"/>
      <c r="AK52" s="250"/>
      <c r="AL52" s="250"/>
      <c r="AM52" s="250"/>
      <c r="AN52" s="250"/>
      <c r="AO52" s="250"/>
      <c r="AP52" s="250"/>
      <c r="AQ52" s="250"/>
      <c r="AR52" s="250"/>
      <c r="AS52" s="250"/>
      <c r="AT52" s="251"/>
      <c r="AV52" s="252">
        <f t="shared" si="4"/>
        <v>0</v>
      </c>
      <c r="AW52" s="220">
        <f t="shared" si="5"/>
        <v>0</v>
      </c>
      <c r="AX52" s="220">
        <f t="shared" si="6"/>
        <v>0</v>
      </c>
      <c r="AY52" s="220">
        <f t="shared" si="7"/>
        <v>0</v>
      </c>
      <c r="AZ52" s="220">
        <f t="shared" si="8"/>
        <v>0</v>
      </c>
      <c r="BA52" s="220">
        <f t="shared" si="9"/>
        <v>0</v>
      </c>
      <c r="BB52" s="220">
        <f t="shared" si="10"/>
        <v>0</v>
      </c>
      <c r="BC52" s="220">
        <f t="shared" si="11"/>
        <v>0</v>
      </c>
      <c r="BD52" s="220">
        <f t="shared" si="12"/>
        <v>0</v>
      </c>
      <c r="BE52" s="220">
        <f t="shared" si="13"/>
        <v>0</v>
      </c>
      <c r="BF52" s="220">
        <f t="shared" si="14"/>
        <v>0</v>
      </c>
      <c r="BG52" s="220">
        <f t="shared" si="15"/>
        <v>0</v>
      </c>
      <c r="BH52" s="220">
        <f t="shared" si="16"/>
        <v>0</v>
      </c>
      <c r="BI52" s="253">
        <f t="shared" si="17"/>
        <v>0</v>
      </c>
      <c r="BJ52" s="253">
        <f t="shared" si="18"/>
        <v>0</v>
      </c>
      <c r="BK52" s="253">
        <f t="shared" si="19"/>
        <v>0</v>
      </c>
      <c r="BL52" s="253">
        <f t="shared" si="20"/>
        <v>0</v>
      </c>
      <c r="BM52" s="253">
        <f t="shared" si="21"/>
        <v>0</v>
      </c>
      <c r="BN52" s="253">
        <f t="shared" si="22"/>
        <v>0</v>
      </c>
      <c r="BO52" s="253">
        <f t="shared" si="23"/>
        <v>0</v>
      </c>
      <c r="BP52" s="253">
        <f t="shared" si="24"/>
        <v>0</v>
      </c>
      <c r="BQ52" s="254">
        <f t="shared" si="25"/>
        <v>0</v>
      </c>
    </row>
    <row r="53" spans="2:69" x14ac:dyDescent="0.2">
      <c r="B53" s="244"/>
      <c r="D53" s="255"/>
      <c r="E53" s="256"/>
      <c r="F53" s="256"/>
      <c r="G53" s="256"/>
      <c r="H53" s="256"/>
      <c r="I53" s="256"/>
      <c r="J53" s="256"/>
      <c r="K53" s="256"/>
      <c r="L53" s="256"/>
      <c r="M53" s="257"/>
      <c r="N53" s="257"/>
      <c r="O53" s="257"/>
      <c r="P53" s="257"/>
      <c r="Q53" s="257"/>
      <c r="R53" s="257"/>
      <c r="S53" s="257"/>
      <c r="T53" s="257"/>
      <c r="U53" s="257"/>
      <c r="V53" s="257"/>
      <c r="W53" s="257"/>
      <c r="X53" s="258"/>
      <c r="Z53" s="249"/>
      <c r="AA53" s="250"/>
      <c r="AB53" s="250"/>
      <c r="AC53" s="250"/>
      <c r="AD53" s="250"/>
      <c r="AE53" s="250"/>
      <c r="AF53" s="250"/>
      <c r="AG53" s="250"/>
      <c r="AH53" s="250"/>
      <c r="AI53" s="250"/>
      <c r="AJ53" s="250"/>
      <c r="AK53" s="250"/>
      <c r="AL53" s="250"/>
      <c r="AM53" s="250"/>
      <c r="AN53" s="250"/>
      <c r="AO53" s="250"/>
      <c r="AP53" s="250"/>
      <c r="AQ53" s="250"/>
      <c r="AR53" s="250"/>
      <c r="AS53" s="250"/>
      <c r="AT53" s="251"/>
      <c r="AV53" s="252">
        <f t="shared" si="4"/>
        <v>0</v>
      </c>
      <c r="AW53" s="220">
        <f t="shared" si="5"/>
        <v>0</v>
      </c>
      <c r="AX53" s="220">
        <f t="shared" si="6"/>
        <v>0</v>
      </c>
      <c r="AY53" s="220">
        <f t="shared" si="7"/>
        <v>0</v>
      </c>
      <c r="AZ53" s="220">
        <f t="shared" si="8"/>
        <v>0</v>
      </c>
      <c r="BA53" s="220">
        <f t="shared" si="9"/>
        <v>0</v>
      </c>
      <c r="BB53" s="220">
        <f t="shared" si="10"/>
        <v>0</v>
      </c>
      <c r="BC53" s="220">
        <f t="shared" si="11"/>
        <v>0</v>
      </c>
      <c r="BD53" s="220">
        <f t="shared" si="12"/>
        <v>0</v>
      </c>
      <c r="BE53" s="220">
        <f t="shared" si="13"/>
        <v>0</v>
      </c>
      <c r="BF53" s="220">
        <f t="shared" si="14"/>
        <v>0</v>
      </c>
      <c r="BG53" s="220">
        <f t="shared" si="15"/>
        <v>0</v>
      </c>
      <c r="BH53" s="220">
        <f t="shared" si="16"/>
        <v>0</v>
      </c>
      <c r="BI53" s="253">
        <f t="shared" si="17"/>
        <v>0</v>
      </c>
      <c r="BJ53" s="253">
        <f t="shared" si="18"/>
        <v>0</v>
      </c>
      <c r="BK53" s="253">
        <f t="shared" si="19"/>
        <v>0</v>
      </c>
      <c r="BL53" s="253">
        <f t="shared" si="20"/>
        <v>0</v>
      </c>
      <c r="BM53" s="253">
        <f t="shared" si="21"/>
        <v>0</v>
      </c>
      <c r="BN53" s="253">
        <f t="shared" si="22"/>
        <v>0</v>
      </c>
      <c r="BO53" s="253">
        <f t="shared" si="23"/>
        <v>0</v>
      </c>
      <c r="BP53" s="253">
        <f t="shared" si="24"/>
        <v>0</v>
      </c>
      <c r="BQ53" s="254">
        <f t="shared" si="25"/>
        <v>0</v>
      </c>
    </row>
    <row r="54" spans="2:69" x14ac:dyDescent="0.2">
      <c r="B54" s="244"/>
      <c r="D54" s="255"/>
      <c r="E54" s="256"/>
      <c r="F54" s="256"/>
      <c r="G54" s="256"/>
      <c r="H54" s="256"/>
      <c r="I54" s="256"/>
      <c r="J54" s="256"/>
      <c r="K54" s="256"/>
      <c r="L54" s="256"/>
      <c r="M54" s="257"/>
      <c r="N54" s="257"/>
      <c r="O54" s="257"/>
      <c r="P54" s="257"/>
      <c r="Q54" s="257"/>
      <c r="R54" s="257"/>
      <c r="S54" s="257"/>
      <c r="T54" s="257"/>
      <c r="U54" s="257"/>
      <c r="V54" s="257"/>
      <c r="W54" s="257"/>
      <c r="X54" s="258"/>
      <c r="Z54" s="249"/>
      <c r="AA54" s="250"/>
      <c r="AB54" s="250"/>
      <c r="AC54" s="250"/>
      <c r="AD54" s="250"/>
      <c r="AE54" s="250"/>
      <c r="AF54" s="250"/>
      <c r="AG54" s="250"/>
      <c r="AH54" s="250"/>
      <c r="AI54" s="250"/>
      <c r="AJ54" s="250"/>
      <c r="AK54" s="250"/>
      <c r="AL54" s="250"/>
      <c r="AM54" s="250"/>
      <c r="AN54" s="250"/>
      <c r="AO54" s="250"/>
      <c r="AP54" s="250"/>
      <c r="AQ54" s="250"/>
      <c r="AR54" s="250"/>
      <c r="AS54" s="250"/>
      <c r="AT54" s="251"/>
      <c r="AV54" s="252">
        <f t="shared" si="4"/>
        <v>0</v>
      </c>
      <c r="AW54" s="220">
        <f t="shared" si="5"/>
        <v>0</v>
      </c>
      <c r="AX54" s="220">
        <f t="shared" si="6"/>
        <v>0</v>
      </c>
      <c r="AY54" s="220">
        <f t="shared" si="7"/>
        <v>0</v>
      </c>
      <c r="AZ54" s="220">
        <f t="shared" si="8"/>
        <v>0</v>
      </c>
      <c r="BA54" s="220">
        <f t="shared" si="9"/>
        <v>0</v>
      </c>
      <c r="BB54" s="220">
        <f t="shared" si="10"/>
        <v>0</v>
      </c>
      <c r="BC54" s="220">
        <f t="shared" si="11"/>
        <v>0</v>
      </c>
      <c r="BD54" s="220">
        <f t="shared" si="12"/>
        <v>0</v>
      </c>
      <c r="BE54" s="220">
        <f t="shared" si="13"/>
        <v>0</v>
      </c>
      <c r="BF54" s="220">
        <f t="shared" si="14"/>
        <v>0</v>
      </c>
      <c r="BG54" s="220">
        <f t="shared" si="15"/>
        <v>0</v>
      </c>
      <c r="BH54" s="220">
        <f t="shared" si="16"/>
        <v>0</v>
      </c>
      <c r="BI54" s="253">
        <f t="shared" si="17"/>
        <v>0</v>
      </c>
      <c r="BJ54" s="253">
        <f t="shared" si="18"/>
        <v>0</v>
      </c>
      <c r="BK54" s="253">
        <f t="shared" si="19"/>
        <v>0</v>
      </c>
      <c r="BL54" s="253">
        <f t="shared" si="20"/>
        <v>0</v>
      </c>
      <c r="BM54" s="253">
        <f t="shared" si="21"/>
        <v>0</v>
      </c>
      <c r="BN54" s="253">
        <f t="shared" si="22"/>
        <v>0</v>
      </c>
      <c r="BO54" s="253">
        <f t="shared" si="23"/>
        <v>0</v>
      </c>
      <c r="BP54" s="253">
        <f t="shared" si="24"/>
        <v>0</v>
      </c>
      <c r="BQ54" s="254">
        <f t="shared" si="25"/>
        <v>0</v>
      </c>
    </row>
    <row r="55" spans="2:69" x14ac:dyDescent="0.2">
      <c r="B55" s="244"/>
      <c r="D55" s="255"/>
      <c r="E55" s="256"/>
      <c r="F55" s="256"/>
      <c r="G55" s="256"/>
      <c r="H55" s="256"/>
      <c r="I55" s="256"/>
      <c r="J55" s="256"/>
      <c r="K55" s="256"/>
      <c r="L55" s="256"/>
      <c r="M55" s="257"/>
      <c r="N55" s="257"/>
      <c r="O55" s="257"/>
      <c r="P55" s="257"/>
      <c r="Q55" s="257"/>
      <c r="R55" s="257"/>
      <c r="S55" s="257"/>
      <c r="T55" s="257"/>
      <c r="U55" s="257"/>
      <c r="V55" s="257"/>
      <c r="W55" s="257"/>
      <c r="X55" s="258"/>
      <c r="Z55" s="249"/>
      <c r="AA55" s="250"/>
      <c r="AB55" s="250"/>
      <c r="AC55" s="250"/>
      <c r="AD55" s="250"/>
      <c r="AE55" s="250"/>
      <c r="AF55" s="250"/>
      <c r="AG55" s="250"/>
      <c r="AH55" s="250"/>
      <c r="AI55" s="250"/>
      <c r="AJ55" s="250"/>
      <c r="AK55" s="250"/>
      <c r="AL55" s="250"/>
      <c r="AM55" s="250"/>
      <c r="AN55" s="250"/>
      <c r="AO55" s="250"/>
      <c r="AP55" s="250"/>
      <c r="AQ55" s="250"/>
      <c r="AR55" s="250"/>
      <c r="AS55" s="250"/>
      <c r="AT55" s="251"/>
      <c r="AV55" s="252">
        <f t="shared" si="4"/>
        <v>0</v>
      </c>
      <c r="AW55" s="220">
        <f t="shared" si="5"/>
        <v>0</v>
      </c>
      <c r="AX55" s="220">
        <f t="shared" si="6"/>
        <v>0</v>
      </c>
      <c r="AY55" s="220">
        <f t="shared" si="7"/>
        <v>0</v>
      </c>
      <c r="AZ55" s="220">
        <f t="shared" si="8"/>
        <v>0</v>
      </c>
      <c r="BA55" s="220">
        <f t="shared" si="9"/>
        <v>0</v>
      </c>
      <c r="BB55" s="220">
        <f t="shared" si="10"/>
        <v>0</v>
      </c>
      <c r="BC55" s="220">
        <f t="shared" si="11"/>
        <v>0</v>
      </c>
      <c r="BD55" s="220">
        <f t="shared" si="12"/>
        <v>0</v>
      </c>
      <c r="BE55" s="220">
        <f t="shared" si="13"/>
        <v>0</v>
      </c>
      <c r="BF55" s="220">
        <f t="shared" si="14"/>
        <v>0</v>
      </c>
      <c r="BG55" s="220">
        <f t="shared" si="15"/>
        <v>0</v>
      </c>
      <c r="BH55" s="220">
        <f t="shared" si="16"/>
        <v>0</v>
      </c>
      <c r="BI55" s="253">
        <f t="shared" si="17"/>
        <v>0</v>
      </c>
      <c r="BJ55" s="253">
        <f t="shared" si="18"/>
        <v>0</v>
      </c>
      <c r="BK55" s="253">
        <f t="shared" si="19"/>
        <v>0</v>
      </c>
      <c r="BL55" s="253">
        <f t="shared" si="20"/>
        <v>0</v>
      </c>
      <c r="BM55" s="253">
        <f t="shared" si="21"/>
        <v>0</v>
      </c>
      <c r="BN55" s="253">
        <f t="shared" si="22"/>
        <v>0</v>
      </c>
      <c r="BO55" s="253">
        <f t="shared" si="23"/>
        <v>0</v>
      </c>
      <c r="BP55" s="253">
        <f t="shared" si="24"/>
        <v>0</v>
      </c>
      <c r="BQ55" s="254">
        <f t="shared" si="25"/>
        <v>0</v>
      </c>
    </row>
    <row r="56" spans="2:69" x14ac:dyDescent="0.2">
      <c r="B56" s="244"/>
      <c r="D56" s="255"/>
      <c r="E56" s="256"/>
      <c r="F56" s="256"/>
      <c r="G56" s="256"/>
      <c r="H56" s="256"/>
      <c r="I56" s="256"/>
      <c r="J56" s="256"/>
      <c r="K56" s="256"/>
      <c r="L56" s="256"/>
      <c r="M56" s="257"/>
      <c r="N56" s="257"/>
      <c r="O56" s="257"/>
      <c r="P56" s="257"/>
      <c r="Q56" s="257"/>
      <c r="R56" s="257"/>
      <c r="S56" s="257"/>
      <c r="T56" s="257"/>
      <c r="U56" s="257"/>
      <c r="V56" s="257"/>
      <c r="W56" s="257"/>
      <c r="X56" s="258"/>
      <c r="Z56" s="249"/>
      <c r="AA56" s="250"/>
      <c r="AB56" s="250"/>
      <c r="AC56" s="250"/>
      <c r="AD56" s="250"/>
      <c r="AE56" s="250"/>
      <c r="AF56" s="250"/>
      <c r="AG56" s="250"/>
      <c r="AH56" s="250"/>
      <c r="AI56" s="250"/>
      <c r="AJ56" s="250"/>
      <c r="AK56" s="250"/>
      <c r="AL56" s="250"/>
      <c r="AM56" s="250"/>
      <c r="AN56" s="250"/>
      <c r="AO56" s="250"/>
      <c r="AP56" s="250"/>
      <c r="AQ56" s="250"/>
      <c r="AR56" s="250"/>
      <c r="AS56" s="250"/>
      <c r="AT56" s="251"/>
      <c r="AV56" s="252">
        <f t="shared" si="4"/>
        <v>0</v>
      </c>
      <c r="AW56" s="220">
        <f t="shared" si="5"/>
        <v>0</v>
      </c>
      <c r="AX56" s="220">
        <f t="shared" si="6"/>
        <v>0</v>
      </c>
      <c r="AY56" s="220">
        <f t="shared" si="7"/>
        <v>0</v>
      </c>
      <c r="AZ56" s="220">
        <f t="shared" si="8"/>
        <v>0</v>
      </c>
      <c r="BA56" s="220">
        <f t="shared" si="9"/>
        <v>0</v>
      </c>
      <c r="BB56" s="220">
        <f t="shared" si="10"/>
        <v>0</v>
      </c>
      <c r="BC56" s="220">
        <f t="shared" si="11"/>
        <v>0</v>
      </c>
      <c r="BD56" s="220">
        <f t="shared" si="12"/>
        <v>0</v>
      </c>
      <c r="BE56" s="220">
        <f t="shared" si="13"/>
        <v>0</v>
      </c>
      <c r="BF56" s="220">
        <f t="shared" si="14"/>
        <v>0</v>
      </c>
      <c r="BG56" s="220">
        <f t="shared" si="15"/>
        <v>0</v>
      </c>
      <c r="BH56" s="220">
        <f t="shared" si="16"/>
        <v>0</v>
      </c>
      <c r="BI56" s="253">
        <f t="shared" si="17"/>
        <v>0</v>
      </c>
      <c r="BJ56" s="253">
        <f t="shared" si="18"/>
        <v>0</v>
      </c>
      <c r="BK56" s="253">
        <f t="shared" si="19"/>
        <v>0</v>
      </c>
      <c r="BL56" s="253">
        <f t="shared" si="20"/>
        <v>0</v>
      </c>
      <c r="BM56" s="253">
        <f t="shared" si="21"/>
        <v>0</v>
      </c>
      <c r="BN56" s="253">
        <f t="shared" si="22"/>
        <v>0</v>
      </c>
      <c r="BO56" s="253">
        <f t="shared" si="23"/>
        <v>0</v>
      </c>
      <c r="BP56" s="253">
        <f t="shared" si="24"/>
        <v>0</v>
      </c>
      <c r="BQ56" s="254">
        <f t="shared" si="25"/>
        <v>0</v>
      </c>
    </row>
    <row r="57" spans="2:69" x14ac:dyDescent="0.2">
      <c r="B57" s="234"/>
      <c r="D57" s="255"/>
      <c r="E57" s="256"/>
      <c r="F57" s="256"/>
      <c r="G57" s="256"/>
      <c r="H57" s="256"/>
      <c r="I57" s="256"/>
      <c r="J57" s="256"/>
      <c r="K57" s="256"/>
      <c r="L57" s="256"/>
      <c r="M57" s="257"/>
      <c r="N57" s="257"/>
      <c r="O57" s="257"/>
      <c r="P57" s="257"/>
      <c r="Q57" s="257"/>
      <c r="R57" s="257"/>
      <c r="S57" s="257"/>
      <c r="T57" s="257"/>
      <c r="U57" s="257"/>
      <c r="V57" s="257"/>
      <c r="W57" s="257"/>
      <c r="X57" s="258"/>
      <c r="Z57" s="249"/>
      <c r="AA57" s="250"/>
      <c r="AB57" s="250"/>
      <c r="AC57" s="250"/>
      <c r="AD57" s="250"/>
      <c r="AE57" s="250"/>
      <c r="AF57" s="250"/>
      <c r="AG57" s="250"/>
      <c r="AH57" s="250"/>
      <c r="AI57" s="250"/>
      <c r="AJ57" s="250"/>
      <c r="AK57" s="250"/>
      <c r="AL57" s="250"/>
      <c r="AM57" s="250"/>
      <c r="AN57" s="250"/>
      <c r="AO57" s="250"/>
      <c r="AP57" s="250"/>
      <c r="AQ57" s="250"/>
      <c r="AR57" s="250"/>
      <c r="AS57" s="250"/>
      <c r="AT57" s="251"/>
      <c r="AV57" s="252">
        <f t="shared" si="4"/>
        <v>0</v>
      </c>
      <c r="AW57" s="220">
        <f t="shared" si="5"/>
        <v>0</v>
      </c>
      <c r="AX57" s="220">
        <f t="shared" si="6"/>
        <v>0</v>
      </c>
      <c r="AY57" s="220">
        <f t="shared" si="7"/>
        <v>0</v>
      </c>
      <c r="AZ57" s="220">
        <f t="shared" si="8"/>
        <v>0</v>
      </c>
      <c r="BA57" s="220">
        <f t="shared" si="9"/>
        <v>0</v>
      </c>
      <c r="BB57" s="220">
        <f t="shared" si="10"/>
        <v>0</v>
      </c>
      <c r="BC57" s="220">
        <f t="shared" si="11"/>
        <v>0</v>
      </c>
      <c r="BD57" s="220">
        <f t="shared" si="12"/>
        <v>0</v>
      </c>
      <c r="BE57" s="220">
        <f t="shared" si="13"/>
        <v>0</v>
      </c>
      <c r="BF57" s="220">
        <f t="shared" si="14"/>
        <v>0</v>
      </c>
      <c r="BG57" s="220">
        <f t="shared" si="15"/>
        <v>0</v>
      </c>
      <c r="BH57" s="220">
        <f t="shared" si="16"/>
        <v>0</v>
      </c>
      <c r="BI57" s="253">
        <f t="shared" si="17"/>
        <v>0</v>
      </c>
      <c r="BJ57" s="253">
        <f t="shared" si="18"/>
        <v>0</v>
      </c>
      <c r="BK57" s="253">
        <f t="shared" si="19"/>
        <v>0</v>
      </c>
      <c r="BL57" s="253">
        <f t="shared" si="20"/>
        <v>0</v>
      </c>
      <c r="BM57" s="253">
        <f t="shared" si="21"/>
        <v>0</v>
      </c>
      <c r="BN57" s="253">
        <f t="shared" si="22"/>
        <v>0</v>
      </c>
      <c r="BO57" s="253">
        <f t="shared" si="23"/>
        <v>0</v>
      </c>
      <c r="BP57" s="253">
        <f t="shared" si="24"/>
        <v>0</v>
      </c>
      <c r="BQ57" s="254">
        <f t="shared" si="25"/>
        <v>0</v>
      </c>
    </row>
    <row r="58" spans="2:69" x14ac:dyDescent="0.2">
      <c r="B58" s="234"/>
      <c r="D58" s="255"/>
      <c r="E58" s="256"/>
      <c r="F58" s="256"/>
      <c r="G58" s="256"/>
      <c r="H58" s="256"/>
      <c r="I58" s="256"/>
      <c r="J58" s="256"/>
      <c r="K58" s="256"/>
      <c r="L58" s="256"/>
      <c r="M58" s="257"/>
      <c r="N58" s="257"/>
      <c r="O58" s="257"/>
      <c r="P58" s="257"/>
      <c r="Q58" s="257"/>
      <c r="R58" s="257"/>
      <c r="S58" s="257"/>
      <c r="T58" s="257"/>
      <c r="U58" s="257"/>
      <c r="V58" s="257"/>
      <c r="W58" s="257"/>
      <c r="X58" s="258"/>
      <c r="Z58" s="249"/>
      <c r="AA58" s="250"/>
      <c r="AB58" s="250"/>
      <c r="AC58" s="250"/>
      <c r="AD58" s="250"/>
      <c r="AE58" s="250"/>
      <c r="AF58" s="250"/>
      <c r="AG58" s="250"/>
      <c r="AH58" s="250"/>
      <c r="AI58" s="250"/>
      <c r="AJ58" s="250"/>
      <c r="AK58" s="250"/>
      <c r="AL58" s="250"/>
      <c r="AM58" s="250"/>
      <c r="AN58" s="250"/>
      <c r="AO58" s="250"/>
      <c r="AP58" s="250"/>
      <c r="AQ58" s="250"/>
      <c r="AR58" s="250"/>
      <c r="AS58" s="250"/>
      <c r="AT58" s="251"/>
      <c r="AV58" s="252">
        <f t="shared" si="4"/>
        <v>0</v>
      </c>
      <c r="AW58" s="220">
        <f t="shared" si="5"/>
        <v>0</v>
      </c>
      <c r="AX58" s="220">
        <f t="shared" si="6"/>
        <v>0</v>
      </c>
      <c r="AY58" s="220">
        <f t="shared" si="7"/>
        <v>0</v>
      </c>
      <c r="AZ58" s="220">
        <f t="shared" si="8"/>
        <v>0</v>
      </c>
      <c r="BA58" s="220">
        <f t="shared" si="9"/>
        <v>0</v>
      </c>
      <c r="BB58" s="220">
        <f t="shared" si="10"/>
        <v>0</v>
      </c>
      <c r="BC58" s="220">
        <f t="shared" si="11"/>
        <v>0</v>
      </c>
      <c r="BD58" s="220">
        <f t="shared" si="12"/>
        <v>0</v>
      </c>
      <c r="BE58" s="220">
        <f t="shared" si="13"/>
        <v>0</v>
      </c>
      <c r="BF58" s="220">
        <f t="shared" si="14"/>
        <v>0</v>
      </c>
      <c r="BG58" s="220">
        <f t="shared" si="15"/>
        <v>0</v>
      </c>
      <c r="BH58" s="220">
        <f t="shared" si="16"/>
        <v>0</v>
      </c>
      <c r="BI58" s="253">
        <f t="shared" si="17"/>
        <v>0</v>
      </c>
      <c r="BJ58" s="253">
        <f t="shared" si="18"/>
        <v>0</v>
      </c>
      <c r="BK58" s="253">
        <f t="shared" si="19"/>
        <v>0</v>
      </c>
      <c r="BL58" s="253">
        <f t="shared" si="20"/>
        <v>0</v>
      </c>
      <c r="BM58" s="253">
        <f t="shared" si="21"/>
        <v>0</v>
      </c>
      <c r="BN58" s="253">
        <f t="shared" si="22"/>
        <v>0</v>
      </c>
      <c r="BO58" s="253">
        <f t="shared" si="23"/>
        <v>0</v>
      </c>
      <c r="BP58" s="253">
        <f t="shared" si="24"/>
        <v>0</v>
      </c>
      <c r="BQ58" s="254">
        <f t="shared" si="25"/>
        <v>0</v>
      </c>
    </row>
    <row r="59" spans="2:69" x14ac:dyDescent="0.2">
      <c r="B59" s="234"/>
      <c r="D59" s="255"/>
      <c r="E59" s="256"/>
      <c r="F59" s="256"/>
      <c r="G59" s="256"/>
      <c r="H59" s="256"/>
      <c r="I59" s="256"/>
      <c r="J59" s="256"/>
      <c r="K59" s="256"/>
      <c r="L59" s="256"/>
      <c r="M59" s="257"/>
      <c r="N59" s="257"/>
      <c r="O59" s="257"/>
      <c r="P59" s="257"/>
      <c r="Q59" s="257"/>
      <c r="R59" s="257"/>
      <c r="S59" s="257"/>
      <c r="T59" s="257"/>
      <c r="U59" s="257"/>
      <c r="V59" s="257"/>
      <c r="W59" s="257"/>
      <c r="X59" s="258"/>
      <c r="Z59" s="249"/>
      <c r="AA59" s="250"/>
      <c r="AB59" s="250"/>
      <c r="AC59" s="250"/>
      <c r="AD59" s="250"/>
      <c r="AE59" s="250"/>
      <c r="AF59" s="250"/>
      <c r="AG59" s="250"/>
      <c r="AH59" s="250"/>
      <c r="AI59" s="250"/>
      <c r="AJ59" s="250"/>
      <c r="AK59" s="250"/>
      <c r="AL59" s="250"/>
      <c r="AM59" s="250"/>
      <c r="AN59" s="250"/>
      <c r="AO59" s="250"/>
      <c r="AP59" s="250"/>
      <c r="AQ59" s="250"/>
      <c r="AR59" s="250"/>
      <c r="AS59" s="250"/>
      <c r="AT59" s="251"/>
      <c r="AV59" s="252">
        <f t="shared" si="4"/>
        <v>0</v>
      </c>
      <c r="AW59" s="220">
        <f t="shared" si="5"/>
        <v>0</v>
      </c>
      <c r="AX59" s="220">
        <f t="shared" si="6"/>
        <v>0</v>
      </c>
      <c r="AY59" s="220">
        <f t="shared" si="7"/>
        <v>0</v>
      </c>
      <c r="AZ59" s="220">
        <f t="shared" si="8"/>
        <v>0</v>
      </c>
      <c r="BA59" s="220">
        <f t="shared" si="9"/>
        <v>0</v>
      </c>
      <c r="BB59" s="220">
        <f t="shared" si="10"/>
        <v>0</v>
      </c>
      <c r="BC59" s="220">
        <f t="shared" si="11"/>
        <v>0</v>
      </c>
      <c r="BD59" s="220">
        <f t="shared" si="12"/>
        <v>0</v>
      </c>
      <c r="BE59" s="220">
        <f t="shared" si="13"/>
        <v>0</v>
      </c>
      <c r="BF59" s="220">
        <f t="shared" si="14"/>
        <v>0</v>
      </c>
      <c r="BG59" s="220">
        <f t="shared" si="15"/>
        <v>0</v>
      </c>
      <c r="BH59" s="220">
        <f t="shared" si="16"/>
        <v>0</v>
      </c>
      <c r="BI59" s="253">
        <f t="shared" si="17"/>
        <v>0</v>
      </c>
      <c r="BJ59" s="253">
        <f t="shared" si="18"/>
        <v>0</v>
      </c>
      <c r="BK59" s="253">
        <f t="shared" si="19"/>
        <v>0</v>
      </c>
      <c r="BL59" s="253">
        <f t="shared" si="20"/>
        <v>0</v>
      </c>
      <c r="BM59" s="253">
        <f t="shared" si="21"/>
        <v>0</v>
      </c>
      <c r="BN59" s="253">
        <f t="shared" si="22"/>
        <v>0</v>
      </c>
      <c r="BO59" s="253">
        <f t="shared" si="23"/>
        <v>0</v>
      </c>
      <c r="BP59" s="253">
        <f t="shared" si="24"/>
        <v>0</v>
      </c>
      <c r="BQ59" s="254">
        <f t="shared" si="25"/>
        <v>0</v>
      </c>
    </row>
    <row r="60" spans="2:69" x14ac:dyDescent="0.2">
      <c r="B60" s="234"/>
      <c r="D60" s="255"/>
      <c r="E60" s="256"/>
      <c r="F60" s="256"/>
      <c r="G60" s="256"/>
      <c r="H60" s="256"/>
      <c r="I60" s="256"/>
      <c r="J60" s="256"/>
      <c r="K60" s="256"/>
      <c r="L60" s="256"/>
      <c r="M60" s="257"/>
      <c r="N60" s="257"/>
      <c r="O60" s="257"/>
      <c r="P60" s="257"/>
      <c r="Q60" s="257"/>
      <c r="R60" s="257"/>
      <c r="S60" s="257"/>
      <c r="T60" s="257"/>
      <c r="U60" s="257"/>
      <c r="V60" s="257"/>
      <c r="W60" s="257"/>
      <c r="X60" s="258"/>
      <c r="Z60" s="249"/>
      <c r="AA60" s="250"/>
      <c r="AB60" s="250"/>
      <c r="AC60" s="250"/>
      <c r="AD60" s="250"/>
      <c r="AE60" s="250"/>
      <c r="AF60" s="250"/>
      <c r="AG60" s="250"/>
      <c r="AH60" s="250"/>
      <c r="AI60" s="250"/>
      <c r="AJ60" s="250"/>
      <c r="AK60" s="250"/>
      <c r="AL60" s="250"/>
      <c r="AM60" s="250"/>
      <c r="AN60" s="250"/>
      <c r="AO60" s="250"/>
      <c r="AP60" s="250"/>
      <c r="AQ60" s="250"/>
      <c r="AR60" s="250"/>
      <c r="AS60" s="250"/>
      <c r="AT60" s="251"/>
      <c r="AV60" s="252">
        <f t="shared" si="4"/>
        <v>0</v>
      </c>
      <c r="AW60" s="220">
        <f t="shared" si="5"/>
        <v>0</v>
      </c>
      <c r="AX60" s="220">
        <f t="shared" si="6"/>
        <v>0</v>
      </c>
      <c r="AY60" s="220">
        <f t="shared" si="7"/>
        <v>0</v>
      </c>
      <c r="AZ60" s="220">
        <f t="shared" si="8"/>
        <v>0</v>
      </c>
      <c r="BA60" s="220">
        <f t="shared" si="9"/>
        <v>0</v>
      </c>
      <c r="BB60" s="220">
        <f t="shared" si="10"/>
        <v>0</v>
      </c>
      <c r="BC60" s="220">
        <f t="shared" si="11"/>
        <v>0</v>
      </c>
      <c r="BD60" s="220">
        <f t="shared" si="12"/>
        <v>0</v>
      </c>
      <c r="BE60" s="220">
        <f t="shared" si="13"/>
        <v>0</v>
      </c>
      <c r="BF60" s="220">
        <f t="shared" si="14"/>
        <v>0</v>
      </c>
      <c r="BG60" s="220">
        <f t="shared" si="15"/>
        <v>0</v>
      </c>
      <c r="BH60" s="220">
        <f t="shared" si="16"/>
        <v>0</v>
      </c>
      <c r="BI60" s="253">
        <f t="shared" si="17"/>
        <v>0</v>
      </c>
      <c r="BJ60" s="253">
        <f t="shared" si="18"/>
        <v>0</v>
      </c>
      <c r="BK60" s="253">
        <f t="shared" si="19"/>
        <v>0</v>
      </c>
      <c r="BL60" s="253">
        <f t="shared" si="20"/>
        <v>0</v>
      </c>
      <c r="BM60" s="253">
        <f t="shared" si="21"/>
        <v>0</v>
      </c>
      <c r="BN60" s="253">
        <f t="shared" si="22"/>
        <v>0</v>
      </c>
      <c r="BO60" s="253">
        <f t="shared" si="23"/>
        <v>0</v>
      </c>
      <c r="BP60" s="253">
        <f t="shared" si="24"/>
        <v>0</v>
      </c>
      <c r="BQ60" s="254">
        <f t="shared" si="25"/>
        <v>0</v>
      </c>
    </row>
    <row r="61" spans="2:69" x14ac:dyDescent="0.2">
      <c r="B61" s="234"/>
      <c r="D61" s="255"/>
      <c r="E61" s="256"/>
      <c r="F61" s="256"/>
      <c r="G61" s="256"/>
      <c r="H61" s="256"/>
      <c r="I61" s="256"/>
      <c r="J61" s="256"/>
      <c r="K61" s="256"/>
      <c r="L61" s="256"/>
      <c r="M61" s="257"/>
      <c r="N61" s="257"/>
      <c r="O61" s="257"/>
      <c r="P61" s="257"/>
      <c r="Q61" s="257"/>
      <c r="R61" s="257"/>
      <c r="S61" s="257"/>
      <c r="T61" s="257"/>
      <c r="U61" s="257"/>
      <c r="V61" s="257"/>
      <c r="W61" s="257"/>
      <c r="X61" s="258"/>
      <c r="Z61" s="249"/>
      <c r="AA61" s="250"/>
      <c r="AB61" s="250"/>
      <c r="AC61" s="250"/>
      <c r="AD61" s="250"/>
      <c r="AE61" s="250"/>
      <c r="AF61" s="250"/>
      <c r="AG61" s="250"/>
      <c r="AH61" s="250"/>
      <c r="AI61" s="250"/>
      <c r="AJ61" s="250"/>
      <c r="AK61" s="250"/>
      <c r="AL61" s="250"/>
      <c r="AM61" s="250"/>
      <c r="AN61" s="250"/>
      <c r="AO61" s="250"/>
      <c r="AP61" s="250"/>
      <c r="AQ61" s="250"/>
      <c r="AR61" s="250"/>
      <c r="AS61" s="250"/>
      <c r="AT61" s="251"/>
      <c r="AV61" s="252">
        <f t="shared" si="4"/>
        <v>0</v>
      </c>
      <c r="AW61" s="220">
        <f t="shared" si="5"/>
        <v>0</v>
      </c>
      <c r="AX61" s="220">
        <f t="shared" si="6"/>
        <v>0</v>
      </c>
      <c r="AY61" s="220">
        <f t="shared" si="7"/>
        <v>0</v>
      </c>
      <c r="AZ61" s="220">
        <f t="shared" si="8"/>
        <v>0</v>
      </c>
      <c r="BA61" s="220">
        <f t="shared" si="9"/>
        <v>0</v>
      </c>
      <c r="BB61" s="220">
        <f t="shared" si="10"/>
        <v>0</v>
      </c>
      <c r="BC61" s="220">
        <f t="shared" si="11"/>
        <v>0</v>
      </c>
      <c r="BD61" s="220">
        <f t="shared" si="12"/>
        <v>0</v>
      </c>
      <c r="BE61" s="220">
        <f t="shared" si="13"/>
        <v>0</v>
      </c>
      <c r="BF61" s="220">
        <f t="shared" si="14"/>
        <v>0</v>
      </c>
      <c r="BG61" s="220">
        <f t="shared" si="15"/>
        <v>0</v>
      </c>
      <c r="BH61" s="220">
        <f t="shared" si="16"/>
        <v>0</v>
      </c>
      <c r="BI61" s="253">
        <f t="shared" si="17"/>
        <v>0</v>
      </c>
      <c r="BJ61" s="253">
        <f t="shared" si="18"/>
        <v>0</v>
      </c>
      <c r="BK61" s="253">
        <f t="shared" si="19"/>
        <v>0</v>
      </c>
      <c r="BL61" s="253">
        <f t="shared" si="20"/>
        <v>0</v>
      </c>
      <c r="BM61" s="253">
        <f t="shared" si="21"/>
        <v>0</v>
      </c>
      <c r="BN61" s="253">
        <f t="shared" si="22"/>
        <v>0</v>
      </c>
      <c r="BO61" s="253">
        <f t="shared" si="23"/>
        <v>0</v>
      </c>
      <c r="BP61" s="253">
        <f t="shared" si="24"/>
        <v>0</v>
      </c>
      <c r="BQ61" s="254">
        <f t="shared" si="25"/>
        <v>0</v>
      </c>
    </row>
    <row r="62" spans="2:69" x14ac:dyDescent="0.2">
      <c r="B62" s="234"/>
      <c r="D62" s="255"/>
      <c r="E62" s="256"/>
      <c r="F62" s="256"/>
      <c r="G62" s="256"/>
      <c r="H62" s="256"/>
      <c r="I62" s="256"/>
      <c r="J62" s="256"/>
      <c r="K62" s="256"/>
      <c r="L62" s="256"/>
      <c r="M62" s="257"/>
      <c r="N62" s="257"/>
      <c r="O62" s="257"/>
      <c r="P62" s="257"/>
      <c r="Q62" s="257"/>
      <c r="R62" s="257"/>
      <c r="S62" s="257"/>
      <c r="T62" s="257"/>
      <c r="U62" s="257"/>
      <c r="V62" s="257"/>
      <c r="W62" s="257"/>
      <c r="X62" s="258"/>
      <c r="Z62" s="249"/>
      <c r="AA62" s="250"/>
      <c r="AB62" s="250"/>
      <c r="AC62" s="250"/>
      <c r="AD62" s="250"/>
      <c r="AE62" s="250"/>
      <c r="AF62" s="250"/>
      <c r="AG62" s="250"/>
      <c r="AH62" s="250"/>
      <c r="AI62" s="250"/>
      <c r="AJ62" s="250"/>
      <c r="AK62" s="250"/>
      <c r="AL62" s="250"/>
      <c r="AM62" s="250"/>
      <c r="AN62" s="250"/>
      <c r="AO62" s="250"/>
      <c r="AP62" s="250"/>
      <c r="AQ62" s="250"/>
      <c r="AR62" s="250"/>
      <c r="AS62" s="250"/>
      <c r="AT62" s="251"/>
      <c r="AV62" s="252">
        <f t="shared" si="4"/>
        <v>0</v>
      </c>
      <c r="AW62" s="220">
        <f t="shared" si="5"/>
        <v>0</v>
      </c>
      <c r="AX62" s="220">
        <f t="shared" si="6"/>
        <v>0</v>
      </c>
      <c r="AY62" s="220">
        <f t="shared" si="7"/>
        <v>0</v>
      </c>
      <c r="AZ62" s="220">
        <f t="shared" si="8"/>
        <v>0</v>
      </c>
      <c r="BA62" s="220">
        <f t="shared" si="9"/>
        <v>0</v>
      </c>
      <c r="BB62" s="220">
        <f t="shared" si="10"/>
        <v>0</v>
      </c>
      <c r="BC62" s="220">
        <f t="shared" si="11"/>
        <v>0</v>
      </c>
      <c r="BD62" s="220">
        <f t="shared" si="12"/>
        <v>0</v>
      </c>
      <c r="BE62" s="220">
        <f t="shared" si="13"/>
        <v>0</v>
      </c>
      <c r="BF62" s="220">
        <f t="shared" si="14"/>
        <v>0</v>
      </c>
      <c r="BG62" s="220">
        <f t="shared" si="15"/>
        <v>0</v>
      </c>
      <c r="BH62" s="220">
        <f t="shared" si="16"/>
        <v>0</v>
      </c>
      <c r="BI62" s="253">
        <f t="shared" si="17"/>
        <v>0</v>
      </c>
      <c r="BJ62" s="253">
        <f t="shared" si="18"/>
        <v>0</v>
      </c>
      <c r="BK62" s="253">
        <f t="shared" si="19"/>
        <v>0</v>
      </c>
      <c r="BL62" s="253">
        <f t="shared" si="20"/>
        <v>0</v>
      </c>
      <c r="BM62" s="253">
        <f t="shared" si="21"/>
        <v>0</v>
      </c>
      <c r="BN62" s="253">
        <f t="shared" si="22"/>
        <v>0</v>
      </c>
      <c r="BO62" s="253">
        <f t="shared" si="23"/>
        <v>0</v>
      </c>
      <c r="BP62" s="253">
        <f t="shared" si="24"/>
        <v>0</v>
      </c>
      <c r="BQ62" s="254">
        <f t="shared" si="25"/>
        <v>0</v>
      </c>
    </row>
    <row r="63" spans="2:69" x14ac:dyDescent="0.2">
      <c r="B63" s="234"/>
      <c r="D63" s="255"/>
      <c r="E63" s="256"/>
      <c r="F63" s="256"/>
      <c r="G63" s="256"/>
      <c r="H63" s="256"/>
      <c r="I63" s="256"/>
      <c r="J63" s="256"/>
      <c r="K63" s="256"/>
      <c r="L63" s="256"/>
      <c r="M63" s="257"/>
      <c r="N63" s="257"/>
      <c r="O63" s="257"/>
      <c r="P63" s="257"/>
      <c r="Q63" s="257"/>
      <c r="R63" s="257"/>
      <c r="S63" s="257"/>
      <c r="T63" s="257"/>
      <c r="U63" s="257"/>
      <c r="V63" s="257"/>
      <c r="W63" s="257"/>
      <c r="X63" s="258"/>
      <c r="Z63" s="249"/>
      <c r="AA63" s="250"/>
      <c r="AB63" s="250"/>
      <c r="AC63" s="250"/>
      <c r="AD63" s="250"/>
      <c r="AE63" s="250"/>
      <c r="AF63" s="250"/>
      <c r="AG63" s="250"/>
      <c r="AH63" s="250"/>
      <c r="AI63" s="250"/>
      <c r="AJ63" s="250"/>
      <c r="AK63" s="250"/>
      <c r="AL63" s="250"/>
      <c r="AM63" s="250"/>
      <c r="AN63" s="250"/>
      <c r="AO63" s="250"/>
      <c r="AP63" s="250"/>
      <c r="AQ63" s="250"/>
      <c r="AR63" s="250"/>
      <c r="AS63" s="250"/>
      <c r="AT63" s="251"/>
      <c r="AV63" s="252">
        <f t="shared" si="4"/>
        <v>0</v>
      </c>
      <c r="AW63" s="220">
        <f t="shared" si="5"/>
        <v>0</v>
      </c>
      <c r="AX63" s="220">
        <f t="shared" si="6"/>
        <v>0</v>
      </c>
      <c r="AY63" s="220">
        <f t="shared" si="7"/>
        <v>0</v>
      </c>
      <c r="AZ63" s="220">
        <f t="shared" si="8"/>
        <v>0</v>
      </c>
      <c r="BA63" s="220">
        <f t="shared" si="9"/>
        <v>0</v>
      </c>
      <c r="BB63" s="220">
        <f t="shared" si="10"/>
        <v>0</v>
      </c>
      <c r="BC63" s="220">
        <f t="shared" si="11"/>
        <v>0</v>
      </c>
      <c r="BD63" s="220">
        <f t="shared" si="12"/>
        <v>0</v>
      </c>
      <c r="BE63" s="220">
        <f t="shared" si="13"/>
        <v>0</v>
      </c>
      <c r="BF63" s="220">
        <f t="shared" si="14"/>
        <v>0</v>
      </c>
      <c r="BG63" s="220">
        <f t="shared" si="15"/>
        <v>0</v>
      </c>
      <c r="BH63" s="220">
        <f t="shared" si="16"/>
        <v>0</v>
      </c>
      <c r="BI63" s="253">
        <f t="shared" si="17"/>
        <v>0</v>
      </c>
      <c r="BJ63" s="253">
        <f t="shared" si="18"/>
        <v>0</v>
      </c>
      <c r="BK63" s="253">
        <f t="shared" si="19"/>
        <v>0</v>
      </c>
      <c r="BL63" s="253">
        <f t="shared" si="20"/>
        <v>0</v>
      </c>
      <c r="BM63" s="253">
        <f t="shared" si="21"/>
        <v>0</v>
      </c>
      <c r="BN63" s="253">
        <f t="shared" si="22"/>
        <v>0</v>
      </c>
      <c r="BO63" s="253">
        <f t="shared" si="23"/>
        <v>0</v>
      </c>
      <c r="BP63" s="253">
        <f t="shared" si="24"/>
        <v>0</v>
      </c>
      <c r="BQ63" s="254">
        <f t="shared" si="25"/>
        <v>0</v>
      </c>
    </row>
    <row r="64" spans="2:69" x14ac:dyDescent="0.2">
      <c r="B64" s="234"/>
      <c r="D64" s="255"/>
      <c r="E64" s="256"/>
      <c r="F64" s="256"/>
      <c r="G64" s="256"/>
      <c r="H64" s="256"/>
      <c r="I64" s="256"/>
      <c r="J64" s="256"/>
      <c r="K64" s="256"/>
      <c r="L64" s="256"/>
      <c r="M64" s="257"/>
      <c r="N64" s="257"/>
      <c r="O64" s="257"/>
      <c r="P64" s="257"/>
      <c r="Q64" s="257"/>
      <c r="R64" s="257"/>
      <c r="S64" s="257"/>
      <c r="T64" s="257"/>
      <c r="U64" s="257"/>
      <c r="V64" s="257"/>
      <c r="W64" s="257"/>
      <c r="X64" s="258"/>
      <c r="Z64" s="249"/>
      <c r="AA64" s="250"/>
      <c r="AB64" s="250"/>
      <c r="AC64" s="250"/>
      <c r="AD64" s="250"/>
      <c r="AE64" s="250"/>
      <c r="AF64" s="250"/>
      <c r="AG64" s="250"/>
      <c r="AH64" s="250"/>
      <c r="AI64" s="250"/>
      <c r="AJ64" s="250"/>
      <c r="AK64" s="250"/>
      <c r="AL64" s="250"/>
      <c r="AM64" s="250"/>
      <c r="AN64" s="250"/>
      <c r="AO64" s="250"/>
      <c r="AP64" s="250"/>
      <c r="AQ64" s="250"/>
      <c r="AR64" s="250"/>
      <c r="AS64" s="250"/>
      <c r="AT64" s="251"/>
      <c r="AV64" s="252">
        <f t="shared" si="4"/>
        <v>0</v>
      </c>
      <c r="AW64" s="220">
        <f t="shared" si="5"/>
        <v>0</v>
      </c>
      <c r="AX64" s="220">
        <f t="shared" si="6"/>
        <v>0</v>
      </c>
      <c r="AY64" s="220">
        <f t="shared" si="7"/>
        <v>0</v>
      </c>
      <c r="AZ64" s="220">
        <f t="shared" si="8"/>
        <v>0</v>
      </c>
      <c r="BA64" s="220">
        <f t="shared" si="9"/>
        <v>0</v>
      </c>
      <c r="BB64" s="220">
        <f t="shared" si="10"/>
        <v>0</v>
      </c>
      <c r="BC64" s="220">
        <f t="shared" si="11"/>
        <v>0</v>
      </c>
      <c r="BD64" s="220">
        <f t="shared" si="12"/>
        <v>0</v>
      </c>
      <c r="BE64" s="220">
        <f t="shared" si="13"/>
        <v>0</v>
      </c>
      <c r="BF64" s="220">
        <f t="shared" si="14"/>
        <v>0</v>
      </c>
      <c r="BG64" s="220">
        <f t="shared" si="15"/>
        <v>0</v>
      </c>
      <c r="BH64" s="220">
        <f t="shared" si="16"/>
        <v>0</v>
      </c>
      <c r="BI64" s="253">
        <f t="shared" si="17"/>
        <v>0</v>
      </c>
      <c r="BJ64" s="253">
        <f t="shared" si="18"/>
        <v>0</v>
      </c>
      <c r="BK64" s="253">
        <f t="shared" si="19"/>
        <v>0</v>
      </c>
      <c r="BL64" s="253">
        <f t="shared" si="20"/>
        <v>0</v>
      </c>
      <c r="BM64" s="253">
        <f t="shared" si="21"/>
        <v>0</v>
      </c>
      <c r="BN64" s="253">
        <f t="shared" si="22"/>
        <v>0</v>
      </c>
      <c r="BO64" s="253">
        <f t="shared" si="23"/>
        <v>0</v>
      </c>
      <c r="BP64" s="253">
        <f t="shared" si="24"/>
        <v>0</v>
      </c>
      <c r="BQ64" s="254">
        <f t="shared" si="25"/>
        <v>0</v>
      </c>
    </row>
    <row r="65" spans="2:69" ht="13.5" thickBot="1" x14ac:dyDescent="0.25">
      <c r="B65" s="259"/>
      <c r="D65" s="260"/>
      <c r="E65" s="261"/>
      <c r="F65" s="261"/>
      <c r="G65" s="261"/>
      <c r="H65" s="261"/>
      <c r="I65" s="261"/>
      <c r="J65" s="261"/>
      <c r="K65" s="261"/>
      <c r="L65" s="261"/>
      <c r="M65" s="262"/>
      <c r="N65" s="262"/>
      <c r="O65" s="262"/>
      <c r="P65" s="262"/>
      <c r="Q65" s="262"/>
      <c r="R65" s="262"/>
      <c r="S65" s="262"/>
      <c r="T65" s="262"/>
      <c r="U65" s="262"/>
      <c r="V65" s="262"/>
      <c r="W65" s="262"/>
      <c r="X65" s="263"/>
      <c r="Z65" s="264"/>
      <c r="AA65" s="265"/>
      <c r="AB65" s="265"/>
      <c r="AC65" s="265"/>
      <c r="AD65" s="265"/>
      <c r="AE65" s="265"/>
      <c r="AF65" s="265"/>
      <c r="AG65" s="265"/>
      <c r="AH65" s="265"/>
      <c r="AI65" s="265"/>
      <c r="AJ65" s="265"/>
      <c r="AK65" s="265"/>
      <c r="AL65" s="265"/>
      <c r="AM65" s="265"/>
      <c r="AN65" s="265"/>
      <c r="AO65" s="265"/>
      <c r="AP65" s="265"/>
      <c r="AQ65" s="265"/>
      <c r="AR65" s="265"/>
      <c r="AS65" s="265"/>
      <c r="AT65" s="266"/>
      <c r="AV65" s="267">
        <f t="shared" si="4"/>
        <v>0</v>
      </c>
      <c r="AW65" s="268">
        <f t="shared" si="5"/>
        <v>0</v>
      </c>
      <c r="AX65" s="268">
        <f t="shared" si="6"/>
        <v>0</v>
      </c>
      <c r="AY65" s="268">
        <f t="shared" si="7"/>
        <v>0</v>
      </c>
      <c r="AZ65" s="268">
        <f t="shared" si="8"/>
        <v>0</v>
      </c>
      <c r="BA65" s="268">
        <f t="shared" si="9"/>
        <v>0</v>
      </c>
      <c r="BB65" s="268">
        <f t="shared" si="10"/>
        <v>0</v>
      </c>
      <c r="BC65" s="268">
        <f t="shared" si="11"/>
        <v>0</v>
      </c>
      <c r="BD65" s="268">
        <f t="shared" si="12"/>
        <v>0</v>
      </c>
      <c r="BE65" s="268">
        <f t="shared" si="13"/>
        <v>0</v>
      </c>
      <c r="BF65" s="268">
        <f t="shared" si="14"/>
        <v>0</v>
      </c>
      <c r="BG65" s="268">
        <f t="shared" si="15"/>
        <v>0</v>
      </c>
      <c r="BH65" s="268">
        <f t="shared" si="16"/>
        <v>0</v>
      </c>
      <c r="BI65" s="269">
        <f t="shared" si="17"/>
        <v>0</v>
      </c>
      <c r="BJ65" s="269">
        <f t="shared" si="18"/>
        <v>0</v>
      </c>
      <c r="BK65" s="269">
        <f t="shared" si="19"/>
        <v>0</v>
      </c>
      <c r="BL65" s="269">
        <f t="shared" si="20"/>
        <v>0</v>
      </c>
      <c r="BM65" s="269">
        <f t="shared" si="21"/>
        <v>0</v>
      </c>
      <c r="BN65" s="269">
        <f t="shared" si="22"/>
        <v>0</v>
      </c>
      <c r="BO65" s="269">
        <f t="shared" si="23"/>
        <v>0</v>
      </c>
      <c r="BP65" s="269">
        <f t="shared" si="24"/>
        <v>0</v>
      </c>
      <c r="BQ65" s="270">
        <f t="shared" si="25"/>
        <v>0</v>
      </c>
    </row>
    <row r="66" spans="2:69" ht="13.5" thickBot="1" x14ac:dyDescent="0.25">
      <c r="B66" s="271"/>
      <c r="Z66" s="272">
        <f t="shared" ref="Z66:AT66" si="26">SUM(Z6:Z65)</f>
        <v>365938.91721318808</v>
      </c>
      <c r="AA66" s="272">
        <f t="shared" si="26"/>
        <v>1235940224.1841166</v>
      </c>
      <c r="AB66" s="272">
        <f t="shared" si="26"/>
        <v>2661223693.0817952</v>
      </c>
      <c r="AC66" s="272">
        <f t="shared" si="26"/>
        <v>0</v>
      </c>
      <c r="AD66" s="272">
        <f t="shared" si="26"/>
        <v>0</v>
      </c>
      <c r="AE66" s="272">
        <f t="shared" si="26"/>
        <v>1998672956.8881953</v>
      </c>
      <c r="AF66" s="272">
        <f t="shared" si="26"/>
        <v>0</v>
      </c>
      <c r="AG66" s="272">
        <f t="shared" si="26"/>
        <v>0</v>
      </c>
      <c r="AH66" s="272">
        <f t="shared" si="26"/>
        <v>0</v>
      </c>
      <c r="AI66" s="272">
        <f t="shared" si="26"/>
        <v>946704.44975214661</v>
      </c>
      <c r="AJ66" s="272">
        <f t="shared" si="26"/>
        <v>0</v>
      </c>
      <c r="AK66" s="272">
        <f t="shared" si="26"/>
        <v>1288686.2076889491</v>
      </c>
      <c r="AL66" s="272">
        <f t="shared" si="26"/>
        <v>2176828.85398266</v>
      </c>
      <c r="AM66" s="272">
        <f t="shared" si="26"/>
        <v>278510.92236634385</v>
      </c>
      <c r="AN66" s="272">
        <f t="shared" si="26"/>
        <v>467168.79569337569</v>
      </c>
      <c r="AO66" s="272">
        <f t="shared" si="26"/>
        <v>364966.73287545034</v>
      </c>
      <c r="AP66" s="272">
        <f t="shared" si="26"/>
        <v>0</v>
      </c>
      <c r="AQ66" s="272">
        <f t="shared" si="26"/>
        <v>1013688.2884133384</v>
      </c>
      <c r="AR66" s="272">
        <f t="shared" si="26"/>
        <v>1670241.1883880778</v>
      </c>
      <c r="AS66" s="272">
        <f t="shared" si="26"/>
        <v>1299163.2104853343</v>
      </c>
      <c r="AT66" s="272">
        <f t="shared" si="26"/>
        <v>0</v>
      </c>
      <c r="AV66" s="273">
        <f t="shared" ref="AV66:BQ66" si="27">SUM(AV6:AV65)</f>
        <v>0</v>
      </c>
      <c r="AW66" s="272">
        <f t="shared" si="27"/>
        <v>588551.20147869398</v>
      </c>
      <c r="AX66" s="272">
        <f t="shared" si="27"/>
        <v>912983.9065425056</v>
      </c>
      <c r="AY66" s="272">
        <f t="shared" si="27"/>
        <v>0</v>
      </c>
      <c r="AZ66" s="272">
        <f t="shared" si="27"/>
        <v>0</v>
      </c>
      <c r="BA66" s="272">
        <f t="shared" si="27"/>
        <v>673038.75822355063</v>
      </c>
      <c r="BB66" s="272">
        <f t="shared" si="27"/>
        <v>0</v>
      </c>
      <c r="BC66" s="272">
        <f t="shared" si="27"/>
        <v>0</v>
      </c>
      <c r="BD66" s="272">
        <f t="shared" si="27"/>
        <v>0</v>
      </c>
      <c r="BE66" s="272">
        <f t="shared" si="27"/>
        <v>0</v>
      </c>
      <c r="BF66" s="272">
        <f t="shared" si="27"/>
        <v>0</v>
      </c>
      <c r="BG66" s="272">
        <f t="shared" si="27"/>
        <v>0</v>
      </c>
      <c r="BH66" s="272">
        <f t="shared" si="27"/>
        <v>0</v>
      </c>
      <c r="BI66" s="272">
        <f t="shared" si="27"/>
        <v>133.82655420005491</v>
      </c>
      <c r="BJ66" s="272">
        <f t="shared" si="27"/>
        <v>232.11169862159443</v>
      </c>
      <c r="BK66" s="272">
        <f t="shared" si="27"/>
        <v>178.02662470698849</v>
      </c>
      <c r="BL66" s="272">
        <f t="shared" si="27"/>
        <v>0</v>
      </c>
      <c r="BM66" s="272">
        <f t="shared" si="27"/>
        <v>487.69217892198532</v>
      </c>
      <c r="BN66" s="272">
        <f t="shared" si="27"/>
        <v>830.37865972860232</v>
      </c>
      <c r="BO66" s="272">
        <f t="shared" si="27"/>
        <v>636.40636351091871</v>
      </c>
      <c r="BP66" s="272">
        <f t="shared" si="27"/>
        <v>0</v>
      </c>
      <c r="BQ66" s="272">
        <f t="shared" si="27"/>
        <v>2177072.3083244404</v>
      </c>
    </row>
    <row r="67" spans="2:69" ht="13.5" thickTop="1" x14ac:dyDescent="0.2">
      <c r="B67" s="271"/>
    </row>
    <row r="68" spans="2:69" x14ac:dyDescent="0.2">
      <c r="B68" s="271"/>
      <c r="BQ68" s="321"/>
    </row>
    <row r="69" spans="2:69" x14ac:dyDescent="0.2">
      <c r="B69" s="271"/>
      <c r="BQ69" s="321"/>
    </row>
    <row r="70" spans="2:69" x14ac:dyDescent="0.2">
      <c r="B70" s="271"/>
    </row>
    <row r="71" spans="2:69" x14ac:dyDescent="0.2">
      <c r="B71" s="271"/>
    </row>
    <row r="72" spans="2:69" x14ac:dyDescent="0.2">
      <c r="B72" s="271"/>
    </row>
    <row r="73" spans="2:69" x14ac:dyDescent="0.2">
      <c r="B73" s="271"/>
    </row>
    <row r="74" spans="2:69" x14ac:dyDescent="0.2">
      <c r="B74" s="271"/>
    </row>
    <row r="75" spans="2:69" x14ac:dyDescent="0.2">
      <c r="B75" s="271"/>
    </row>
    <row r="76" spans="2:69" x14ac:dyDescent="0.2">
      <c r="B76" s="271"/>
    </row>
    <row r="77" spans="2:69" x14ac:dyDescent="0.2">
      <c r="B77" s="271"/>
    </row>
    <row r="78" spans="2:69" x14ac:dyDescent="0.2">
      <c r="B78" s="271"/>
    </row>
    <row r="79" spans="2:69" x14ac:dyDescent="0.2">
      <c r="B79" s="271"/>
    </row>
    <row r="80" spans="2:69" x14ac:dyDescent="0.2">
      <c r="B80" s="271"/>
    </row>
    <row r="81" spans="2:2" x14ac:dyDescent="0.2">
      <c r="B81" s="271"/>
    </row>
    <row r="82" spans="2:2" x14ac:dyDescent="0.2">
      <c r="B82" s="271"/>
    </row>
    <row r="83" spans="2:2" x14ac:dyDescent="0.2">
      <c r="B83" s="271"/>
    </row>
    <row r="84" spans="2:2" x14ac:dyDescent="0.2">
      <c r="B84" s="271"/>
    </row>
    <row r="85" spans="2:2" x14ac:dyDescent="0.2">
      <c r="B85" s="271"/>
    </row>
    <row r="86" spans="2:2" x14ac:dyDescent="0.2">
      <c r="B86" s="271"/>
    </row>
    <row r="87" spans="2:2" x14ac:dyDescent="0.2">
      <c r="B87" s="271"/>
    </row>
    <row r="88" spans="2:2" x14ac:dyDescent="0.2">
      <c r="B88" s="271"/>
    </row>
    <row r="89" spans="2:2" x14ac:dyDescent="0.2">
      <c r="B89" s="271"/>
    </row>
    <row r="90" spans="2:2" x14ac:dyDescent="0.2">
      <c r="B90" s="271"/>
    </row>
    <row r="91" spans="2:2" x14ac:dyDescent="0.2">
      <c r="B91" s="271"/>
    </row>
    <row r="92" spans="2:2" x14ac:dyDescent="0.2">
      <c r="B92" s="271"/>
    </row>
    <row r="93" spans="2:2" x14ac:dyDescent="0.2">
      <c r="B93" s="271"/>
    </row>
    <row r="94" spans="2:2" x14ac:dyDescent="0.2">
      <c r="B94" s="271"/>
    </row>
    <row r="95" spans="2:2" x14ac:dyDescent="0.2">
      <c r="B95" s="271"/>
    </row>
    <row r="96" spans="2:2" x14ac:dyDescent="0.2">
      <c r="B96" s="271"/>
    </row>
    <row r="97" spans="2:2" x14ac:dyDescent="0.2">
      <c r="B97" s="271"/>
    </row>
    <row r="98" spans="2:2" x14ac:dyDescent="0.2">
      <c r="B98" s="271"/>
    </row>
    <row r="99" spans="2:2" x14ac:dyDescent="0.2">
      <c r="B99" s="271"/>
    </row>
    <row r="100" spans="2:2" x14ac:dyDescent="0.2">
      <c r="B100" s="271"/>
    </row>
    <row r="101" spans="2:2" x14ac:dyDescent="0.2">
      <c r="B101" s="271"/>
    </row>
    <row r="102" spans="2:2" x14ac:dyDescent="0.2">
      <c r="B102" s="271"/>
    </row>
    <row r="103" spans="2:2" x14ac:dyDescent="0.2">
      <c r="B103" s="271"/>
    </row>
    <row r="104" spans="2:2" x14ac:dyDescent="0.2">
      <c r="B104" s="271"/>
    </row>
    <row r="105" spans="2:2" x14ac:dyDescent="0.2">
      <c r="B105" s="271"/>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65" man="1"/>
    <brk id="46" max="65" man="1"/>
  </colBreak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00FFFF"/>
  </sheetPr>
  <dimension ref="A2:X62"/>
  <sheetViews>
    <sheetView zoomScale="80" zoomScaleNormal="80" workbookViewId="0">
      <selection activeCell="C32" sqref="C32"/>
    </sheetView>
  </sheetViews>
  <sheetFormatPr defaultRowHeight="14.25" x14ac:dyDescent="0.2"/>
  <cols>
    <col min="1" max="1" width="5.42578125" style="32" customWidth="1"/>
    <col min="2" max="2" width="78.42578125" style="33" customWidth="1"/>
    <col min="3" max="3" width="18.5703125" style="34" customWidth="1"/>
    <col min="4" max="4" width="18.5703125" style="35" customWidth="1"/>
    <col min="5" max="5" width="18.7109375" style="35" customWidth="1"/>
    <col min="6" max="6" width="9" style="35" customWidth="1"/>
    <col min="7" max="7" width="10.140625" style="35" customWidth="1"/>
    <col min="8" max="8" width="9" style="35" customWidth="1"/>
    <col min="9" max="10" width="9" style="36" customWidth="1"/>
    <col min="11" max="19" width="9" style="35" customWidth="1"/>
    <col min="20" max="20" width="9.140625" style="35"/>
    <col min="21" max="21" width="8.7109375" style="35" customWidth="1"/>
    <col min="22" max="255" width="9.140625" style="35"/>
    <col min="256" max="256" width="2.7109375" style="35" customWidth="1"/>
    <col min="257" max="257" width="114.42578125" style="35" customWidth="1"/>
    <col min="258" max="258" width="0" style="35" hidden="1" customWidth="1"/>
    <col min="259" max="259" width="27.5703125" style="35" customWidth="1"/>
    <col min="260" max="260" width="20" style="35" customWidth="1"/>
    <col min="261" max="261" width="18.28515625" style="35" customWidth="1"/>
    <col min="262" max="262" width="20.140625" style="35" customWidth="1"/>
    <col min="263" max="263" width="10.7109375" style="35" customWidth="1"/>
    <col min="264" max="264" width="14.42578125" style="35" bestFit="1" customWidth="1"/>
    <col min="265" max="265" width="10.7109375" style="35" customWidth="1"/>
    <col min="266" max="266" width="12.7109375" style="35" bestFit="1" customWidth="1"/>
    <col min="267" max="269" width="8.42578125" style="35" customWidth="1"/>
    <col min="270" max="272" width="13" style="35" customWidth="1"/>
    <col min="273" max="276" width="9.140625" style="35"/>
    <col min="277" max="277" width="8.7109375" style="35" customWidth="1"/>
    <col min="278" max="511" width="9.140625" style="35"/>
    <col min="512" max="512" width="2.7109375" style="35" customWidth="1"/>
    <col min="513" max="513" width="114.42578125" style="35" customWidth="1"/>
    <col min="514" max="514" width="0" style="35" hidden="1" customWidth="1"/>
    <col min="515" max="515" width="27.5703125" style="35" customWidth="1"/>
    <col min="516" max="516" width="20" style="35" customWidth="1"/>
    <col min="517" max="517" width="18.28515625" style="35" customWidth="1"/>
    <col min="518" max="518" width="20.140625" style="35" customWidth="1"/>
    <col min="519" max="519" width="10.7109375" style="35" customWidth="1"/>
    <col min="520" max="520" width="14.42578125" style="35" bestFit="1" customWidth="1"/>
    <col min="521" max="521" width="10.7109375" style="35" customWidth="1"/>
    <col min="522" max="522" width="12.7109375" style="35" bestFit="1" customWidth="1"/>
    <col min="523" max="525" width="8.42578125" style="35" customWidth="1"/>
    <col min="526" max="528" width="13" style="35" customWidth="1"/>
    <col min="529" max="532" width="9.140625" style="35"/>
    <col min="533" max="533" width="8.7109375" style="35" customWidth="1"/>
    <col min="534" max="767" width="9.140625" style="35"/>
    <col min="768" max="768" width="2.7109375" style="35" customWidth="1"/>
    <col min="769" max="769" width="114.42578125" style="35" customWidth="1"/>
    <col min="770" max="770" width="0" style="35" hidden="1" customWidth="1"/>
    <col min="771" max="771" width="27.5703125" style="35" customWidth="1"/>
    <col min="772" max="772" width="20" style="35" customWidth="1"/>
    <col min="773" max="773" width="18.28515625" style="35" customWidth="1"/>
    <col min="774" max="774" width="20.140625" style="35" customWidth="1"/>
    <col min="775" max="775" width="10.7109375" style="35" customWidth="1"/>
    <col min="776" max="776" width="14.42578125" style="35" bestFit="1" customWidth="1"/>
    <col min="777" max="777" width="10.7109375" style="35" customWidth="1"/>
    <col min="778" max="778" width="12.7109375" style="35" bestFit="1" customWidth="1"/>
    <col min="779" max="781" width="8.42578125" style="35" customWidth="1"/>
    <col min="782" max="784" width="13" style="35" customWidth="1"/>
    <col min="785" max="788" width="9.140625" style="35"/>
    <col min="789" max="789" width="8.7109375" style="35" customWidth="1"/>
    <col min="790" max="1023" width="9.140625" style="35"/>
    <col min="1024" max="1024" width="2.7109375" style="35" customWidth="1"/>
    <col min="1025" max="1025" width="114.42578125" style="35" customWidth="1"/>
    <col min="1026" max="1026" width="0" style="35" hidden="1" customWidth="1"/>
    <col min="1027" max="1027" width="27.5703125" style="35" customWidth="1"/>
    <col min="1028" max="1028" width="20" style="35" customWidth="1"/>
    <col min="1029" max="1029" width="18.28515625" style="35" customWidth="1"/>
    <col min="1030" max="1030" width="20.140625" style="35" customWidth="1"/>
    <col min="1031" max="1031" width="10.7109375" style="35" customWidth="1"/>
    <col min="1032" max="1032" width="14.42578125" style="35" bestFit="1" customWidth="1"/>
    <col min="1033" max="1033" width="10.7109375" style="35" customWidth="1"/>
    <col min="1034" max="1034" width="12.7109375" style="35" bestFit="1" customWidth="1"/>
    <col min="1035" max="1037" width="8.42578125" style="35" customWidth="1"/>
    <col min="1038" max="1040" width="13" style="35" customWidth="1"/>
    <col min="1041" max="1044" width="9.140625" style="35"/>
    <col min="1045" max="1045" width="8.7109375" style="35" customWidth="1"/>
    <col min="1046" max="1279" width="9.140625" style="35"/>
    <col min="1280" max="1280" width="2.7109375" style="35" customWidth="1"/>
    <col min="1281" max="1281" width="114.42578125" style="35" customWidth="1"/>
    <col min="1282" max="1282" width="0" style="35" hidden="1" customWidth="1"/>
    <col min="1283" max="1283" width="27.5703125" style="35" customWidth="1"/>
    <col min="1284" max="1284" width="20" style="35" customWidth="1"/>
    <col min="1285" max="1285" width="18.28515625" style="35" customWidth="1"/>
    <col min="1286" max="1286" width="20.140625" style="35" customWidth="1"/>
    <col min="1287" max="1287" width="10.7109375" style="35" customWidth="1"/>
    <col min="1288" max="1288" width="14.42578125" style="35" bestFit="1" customWidth="1"/>
    <col min="1289" max="1289" width="10.7109375" style="35" customWidth="1"/>
    <col min="1290" max="1290" width="12.7109375" style="35" bestFit="1" customWidth="1"/>
    <col min="1291" max="1293" width="8.42578125" style="35" customWidth="1"/>
    <col min="1294" max="1296" width="13" style="35" customWidth="1"/>
    <col min="1297" max="1300" width="9.140625" style="35"/>
    <col min="1301" max="1301" width="8.7109375" style="35" customWidth="1"/>
    <col min="1302" max="1535" width="9.140625" style="35"/>
    <col min="1536" max="1536" width="2.7109375" style="35" customWidth="1"/>
    <col min="1537" max="1537" width="114.42578125" style="35" customWidth="1"/>
    <col min="1538" max="1538" width="0" style="35" hidden="1" customWidth="1"/>
    <col min="1539" max="1539" width="27.5703125" style="35" customWidth="1"/>
    <col min="1540" max="1540" width="20" style="35" customWidth="1"/>
    <col min="1541" max="1541" width="18.28515625" style="35" customWidth="1"/>
    <col min="1542" max="1542" width="20.140625" style="35" customWidth="1"/>
    <col min="1543" max="1543" width="10.7109375" style="35" customWidth="1"/>
    <col min="1544" max="1544" width="14.42578125" style="35" bestFit="1" customWidth="1"/>
    <col min="1545" max="1545" width="10.7109375" style="35" customWidth="1"/>
    <col min="1546" max="1546" width="12.7109375" style="35" bestFit="1" customWidth="1"/>
    <col min="1547" max="1549" width="8.42578125" style="35" customWidth="1"/>
    <col min="1550" max="1552" width="13" style="35" customWidth="1"/>
    <col min="1553" max="1556" width="9.140625" style="35"/>
    <col min="1557" max="1557" width="8.7109375" style="35" customWidth="1"/>
    <col min="1558" max="1791" width="9.140625" style="35"/>
    <col min="1792" max="1792" width="2.7109375" style="35" customWidth="1"/>
    <col min="1793" max="1793" width="114.42578125" style="35" customWidth="1"/>
    <col min="1794" max="1794" width="0" style="35" hidden="1" customWidth="1"/>
    <col min="1795" max="1795" width="27.5703125" style="35" customWidth="1"/>
    <col min="1796" max="1796" width="20" style="35" customWidth="1"/>
    <col min="1797" max="1797" width="18.28515625" style="35" customWidth="1"/>
    <col min="1798" max="1798" width="20.140625" style="35" customWidth="1"/>
    <col min="1799" max="1799" width="10.7109375" style="35" customWidth="1"/>
    <col min="1800" max="1800" width="14.42578125" style="35" bestFit="1" customWidth="1"/>
    <col min="1801" max="1801" width="10.7109375" style="35" customWidth="1"/>
    <col min="1802" max="1802" width="12.7109375" style="35" bestFit="1" customWidth="1"/>
    <col min="1803" max="1805" width="8.42578125" style="35" customWidth="1"/>
    <col min="1806" max="1808" width="13" style="35" customWidth="1"/>
    <col min="1809" max="1812" width="9.140625" style="35"/>
    <col min="1813" max="1813" width="8.7109375" style="35" customWidth="1"/>
    <col min="1814" max="2047" width="9.140625" style="35"/>
    <col min="2048" max="2048" width="2.7109375" style="35" customWidth="1"/>
    <col min="2049" max="2049" width="114.42578125" style="35" customWidth="1"/>
    <col min="2050" max="2050" width="0" style="35" hidden="1" customWidth="1"/>
    <col min="2051" max="2051" width="27.5703125" style="35" customWidth="1"/>
    <col min="2052" max="2052" width="20" style="35" customWidth="1"/>
    <col min="2053" max="2053" width="18.28515625" style="35" customWidth="1"/>
    <col min="2054" max="2054" width="20.140625" style="35" customWidth="1"/>
    <col min="2055" max="2055" width="10.7109375" style="35" customWidth="1"/>
    <col min="2056" max="2056" width="14.42578125" style="35" bestFit="1" customWidth="1"/>
    <col min="2057" max="2057" width="10.7109375" style="35" customWidth="1"/>
    <col min="2058" max="2058" width="12.7109375" style="35" bestFit="1" customWidth="1"/>
    <col min="2059" max="2061" width="8.42578125" style="35" customWidth="1"/>
    <col min="2062" max="2064" width="13" style="35" customWidth="1"/>
    <col min="2065" max="2068" width="9.140625" style="35"/>
    <col min="2069" max="2069" width="8.7109375" style="35" customWidth="1"/>
    <col min="2070" max="2303" width="9.140625" style="35"/>
    <col min="2304" max="2304" width="2.7109375" style="35" customWidth="1"/>
    <col min="2305" max="2305" width="114.42578125" style="35" customWidth="1"/>
    <col min="2306" max="2306" width="0" style="35" hidden="1" customWidth="1"/>
    <col min="2307" max="2307" width="27.5703125" style="35" customWidth="1"/>
    <col min="2308" max="2308" width="20" style="35" customWidth="1"/>
    <col min="2309" max="2309" width="18.28515625" style="35" customWidth="1"/>
    <col min="2310" max="2310" width="20.140625" style="35" customWidth="1"/>
    <col min="2311" max="2311" width="10.7109375" style="35" customWidth="1"/>
    <col min="2312" max="2312" width="14.42578125" style="35" bestFit="1" customWidth="1"/>
    <col min="2313" max="2313" width="10.7109375" style="35" customWidth="1"/>
    <col min="2314" max="2314" width="12.7109375" style="35" bestFit="1" customWidth="1"/>
    <col min="2315" max="2317" width="8.42578125" style="35" customWidth="1"/>
    <col min="2318" max="2320" width="13" style="35" customWidth="1"/>
    <col min="2321" max="2324" width="9.140625" style="35"/>
    <col min="2325" max="2325" width="8.7109375" style="35" customWidth="1"/>
    <col min="2326" max="2559" width="9.140625" style="35"/>
    <col min="2560" max="2560" width="2.7109375" style="35" customWidth="1"/>
    <col min="2561" max="2561" width="114.42578125" style="35" customWidth="1"/>
    <col min="2562" max="2562" width="0" style="35" hidden="1" customWidth="1"/>
    <col min="2563" max="2563" width="27.5703125" style="35" customWidth="1"/>
    <col min="2564" max="2564" width="20" style="35" customWidth="1"/>
    <col min="2565" max="2565" width="18.28515625" style="35" customWidth="1"/>
    <col min="2566" max="2566" width="20.140625" style="35" customWidth="1"/>
    <col min="2567" max="2567" width="10.7109375" style="35" customWidth="1"/>
    <col min="2568" max="2568" width="14.42578125" style="35" bestFit="1" customWidth="1"/>
    <col min="2569" max="2569" width="10.7109375" style="35" customWidth="1"/>
    <col min="2570" max="2570" width="12.7109375" style="35" bestFit="1" customWidth="1"/>
    <col min="2571" max="2573" width="8.42578125" style="35" customWidth="1"/>
    <col min="2574" max="2576" width="13" style="35" customWidth="1"/>
    <col min="2577" max="2580" width="9.140625" style="35"/>
    <col min="2581" max="2581" width="8.7109375" style="35" customWidth="1"/>
    <col min="2582" max="2815" width="9.140625" style="35"/>
    <col min="2816" max="2816" width="2.7109375" style="35" customWidth="1"/>
    <col min="2817" max="2817" width="114.42578125" style="35" customWidth="1"/>
    <col min="2818" max="2818" width="0" style="35" hidden="1" customWidth="1"/>
    <col min="2819" max="2819" width="27.5703125" style="35" customWidth="1"/>
    <col min="2820" max="2820" width="20" style="35" customWidth="1"/>
    <col min="2821" max="2821" width="18.28515625" style="35" customWidth="1"/>
    <col min="2822" max="2822" width="20.140625" style="35" customWidth="1"/>
    <col min="2823" max="2823" width="10.7109375" style="35" customWidth="1"/>
    <col min="2824" max="2824" width="14.42578125" style="35" bestFit="1" customWidth="1"/>
    <col min="2825" max="2825" width="10.7109375" style="35" customWidth="1"/>
    <col min="2826" max="2826" width="12.7109375" style="35" bestFit="1" customWidth="1"/>
    <col min="2827" max="2829" width="8.42578125" style="35" customWidth="1"/>
    <col min="2830" max="2832" width="13" style="35" customWidth="1"/>
    <col min="2833" max="2836" width="9.140625" style="35"/>
    <col min="2837" max="2837" width="8.7109375" style="35" customWidth="1"/>
    <col min="2838" max="3071" width="9.140625" style="35"/>
    <col min="3072" max="3072" width="2.7109375" style="35" customWidth="1"/>
    <col min="3073" max="3073" width="114.42578125" style="35" customWidth="1"/>
    <col min="3074" max="3074" width="0" style="35" hidden="1" customWidth="1"/>
    <col min="3075" max="3075" width="27.5703125" style="35" customWidth="1"/>
    <col min="3076" max="3076" width="20" style="35" customWidth="1"/>
    <col min="3077" max="3077" width="18.28515625" style="35" customWidth="1"/>
    <col min="3078" max="3078" width="20.140625" style="35" customWidth="1"/>
    <col min="3079" max="3079" width="10.7109375" style="35" customWidth="1"/>
    <col min="3080" max="3080" width="14.42578125" style="35" bestFit="1" customWidth="1"/>
    <col min="3081" max="3081" width="10.7109375" style="35" customWidth="1"/>
    <col min="3082" max="3082" width="12.7109375" style="35" bestFit="1" customWidth="1"/>
    <col min="3083" max="3085" width="8.42578125" style="35" customWidth="1"/>
    <col min="3086" max="3088" width="13" style="35" customWidth="1"/>
    <col min="3089" max="3092" width="9.140625" style="35"/>
    <col min="3093" max="3093" width="8.7109375" style="35" customWidth="1"/>
    <col min="3094" max="3327" width="9.140625" style="35"/>
    <col min="3328" max="3328" width="2.7109375" style="35" customWidth="1"/>
    <col min="3329" max="3329" width="114.42578125" style="35" customWidth="1"/>
    <col min="3330" max="3330" width="0" style="35" hidden="1" customWidth="1"/>
    <col min="3331" max="3331" width="27.5703125" style="35" customWidth="1"/>
    <col min="3332" max="3332" width="20" style="35" customWidth="1"/>
    <col min="3333" max="3333" width="18.28515625" style="35" customWidth="1"/>
    <col min="3334" max="3334" width="20.140625" style="35" customWidth="1"/>
    <col min="3335" max="3335" width="10.7109375" style="35" customWidth="1"/>
    <col min="3336" max="3336" width="14.42578125" style="35" bestFit="1" customWidth="1"/>
    <col min="3337" max="3337" width="10.7109375" style="35" customWidth="1"/>
    <col min="3338" max="3338" width="12.7109375" style="35" bestFit="1" customWidth="1"/>
    <col min="3339" max="3341" width="8.42578125" style="35" customWidth="1"/>
    <col min="3342" max="3344" width="13" style="35" customWidth="1"/>
    <col min="3345" max="3348" width="9.140625" style="35"/>
    <col min="3349" max="3349" width="8.7109375" style="35" customWidth="1"/>
    <col min="3350" max="3583" width="9.140625" style="35"/>
    <col min="3584" max="3584" width="2.7109375" style="35" customWidth="1"/>
    <col min="3585" max="3585" width="114.42578125" style="35" customWidth="1"/>
    <col min="3586" max="3586" width="0" style="35" hidden="1" customWidth="1"/>
    <col min="3587" max="3587" width="27.5703125" style="35" customWidth="1"/>
    <col min="3588" max="3588" width="20" style="35" customWidth="1"/>
    <col min="3589" max="3589" width="18.28515625" style="35" customWidth="1"/>
    <col min="3590" max="3590" width="20.140625" style="35" customWidth="1"/>
    <col min="3591" max="3591" width="10.7109375" style="35" customWidth="1"/>
    <col min="3592" max="3592" width="14.42578125" style="35" bestFit="1" customWidth="1"/>
    <col min="3593" max="3593" width="10.7109375" style="35" customWidth="1"/>
    <col min="3594" max="3594" width="12.7109375" style="35" bestFit="1" customWidth="1"/>
    <col min="3595" max="3597" width="8.42578125" style="35" customWidth="1"/>
    <col min="3598" max="3600" width="13" style="35" customWidth="1"/>
    <col min="3601" max="3604" width="9.140625" style="35"/>
    <col min="3605" max="3605" width="8.7109375" style="35" customWidth="1"/>
    <col min="3606" max="3839" width="9.140625" style="35"/>
    <col min="3840" max="3840" width="2.7109375" style="35" customWidth="1"/>
    <col min="3841" max="3841" width="114.42578125" style="35" customWidth="1"/>
    <col min="3842" max="3842" width="0" style="35" hidden="1" customWidth="1"/>
    <col min="3843" max="3843" width="27.5703125" style="35" customWidth="1"/>
    <col min="3844" max="3844" width="20" style="35" customWidth="1"/>
    <col min="3845" max="3845" width="18.28515625" style="35" customWidth="1"/>
    <col min="3846" max="3846" width="20.140625" style="35" customWidth="1"/>
    <col min="3847" max="3847" width="10.7109375" style="35" customWidth="1"/>
    <col min="3848" max="3848" width="14.42578125" style="35" bestFit="1" customWidth="1"/>
    <col min="3849" max="3849" width="10.7109375" style="35" customWidth="1"/>
    <col min="3850" max="3850" width="12.7109375" style="35" bestFit="1" customWidth="1"/>
    <col min="3851" max="3853" width="8.42578125" style="35" customWidth="1"/>
    <col min="3854" max="3856" width="13" style="35" customWidth="1"/>
    <col min="3857" max="3860" width="9.140625" style="35"/>
    <col min="3861" max="3861" width="8.7109375" style="35" customWidth="1"/>
    <col min="3862" max="4095" width="9.140625" style="35"/>
    <col min="4096" max="4096" width="2.7109375" style="35" customWidth="1"/>
    <col min="4097" max="4097" width="114.42578125" style="35" customWidth="1"/>
    <col min="4098" max="4098" width="0" style="35" hidden="1" customWidth="1"/>
    <col min="4099" max="4099" width="27.5703125" style="35" customWidth="1"/>
    <col min="4100" max="4100" width="20" style="35" customWidth="1"/>
    <col min="4101" max="4101" width="18.28515625" style="35" customWidth="1"/>
    <col min="4102" max="4102" width="20.140625" style="35" customWidth="1"/>
    <col min="4103" max="4103" width="10.7109375" style="35" customWidth="1"/>
    <col min="4104" max="4104" width="14.42578125" style="35" bestFit="1" customWidth="1"/>
    <col min="4105" max="4105" width="10.7109375" style="35" customWidth="1"/>
    <col min="4106" max="4106" width="12.7109375" style="35" bestFit="1" customWidth="1"/>
    <col min="4107" max="4109" width="8.42578125" style="35" customWidth="1"/>
    <col min="4110" max="4112" width="13" style="35" customWidth="1"/>
    <col min="4113" max="4116" width="9.140625" style="35"/>
    <col min="4117" max="4117" width="8.7109375" style="35" customWidth="1"/>
    <col min="4118" max="4351" width="9.140625" style="35"/>
    <col min="4352" max="4352" width="2.7109375" style="35" customWidth="1"/>
    <col min="4353" max="4353" width="114.42578125" style="35" customWidth="1"/>
    <col min="4354" max="4354" width="0" style="35" hidden="1" customWidth="1"/>
    <col min="4355" max="4355" width="27.5703125" style="35" customWidth="1"/>
    <col min="4356" max="4356" width="20" style="35" customWidth="1"/>
    <col min="4357" max="4357" width="18.28515625" style="35" customWidth="1"/>
    <col min="4358" max="4358" width="20.140625" style="35" customWidth="1"/>
    <col min="4359" max="4359" width="10.7109375" style="35" customWidth="1"/>
    <col min="4360" max="4360" width="14.42578125" style="35" bestFit="1" customWidth="1"/>
    <col min="4361" max="4361" width="10.7109375" style="35" customWidth="1"/>
    <col min="4362" max="4362" width="12.7109375" style="35" bestFit="1" customWidth="1"/>
    <col min="4363" max="4365" width="8.42578125" style="35" customWidth="1"/>
    <col min="4366" max="4368" width="13" style="35" customWidth="1"/>
    <col min="4369" max="4372" width="9.140625" style="35"/>
    <col min="4373" max="4373" width="8.7109375" style="35" customWidth="1"/>
    <col min="4374" max="4607" width="9.140625" style="35"/>
    <col min="4608" max="4608" width="2.7109375" style="35" customWidth="1"/>
    <col min="4609" max="4609" width="114.42578125" style="35" customWidth="1"/>
    <col min="4610" max="4610" width="0" style="35" hidden="1" customWidth="1"/>
    <col min="4611" max="4611" width="27.5703125" style="35" customWidth="1"/>
    <col min="4612" max="4612" width="20" style="35" customWidth="1"/>
    <col min="4613" max="4613" width="18.28515625" style="35" customWidth="1"/>
    <col min="4614" max="4614" width="20.140625" style="35" customWidth="1"/>
    <col min="4615" max="4615" width="10.7109375" style="35" customWidth="1"/>
    <col min="4616" max="4616" width="14.42578125" style="35" bestFit="1" customWidth="1"/>
    <col min="4617" max="4617" width="10.7109375" style="35" customWidth="1"/>
    <col min="4618" max="4618" width="12.7109375" style="35" bestFit="1" customWidth="1"/>
    <col min="4619" max="4621" width="8.42578125" style="35" customWidth="1"/>
    <col min="4622" max="4624" width="13" style="35" customWidth="1"/>
    <col min="4625" max="4628" width="9.140625" style="35"/>
    <col min="4629" max="4629" width="8.7109375" style="35" customWidth="1"/>
    <col min="4630" max="4863" width="9.140625" style="35"/>
    <col min="4864" max="4864" width="2.7109375" style="35" customWidth="1"/>
    <col min="4865" max="4865" width="114.42578125" style="35" customWidth="1"/>
    <col min="4866" max="4866" width="0" style="35" hidden="1" customWidth="1"/>
    <col min="4867" max="4867" width="27.5703125" style="35" customWidth="1"/>
    <col min="4868" max="4868" width="20" style="35" customWidth="1"/>
    <col min="4869" max="4869" width="18.28515625" style="35" customWidth="1"/>
    <col min="4870" max="4870" width="20.140625" style="35" customWidth="1"/>
    <col min="4871" max="4871" width="10.7109375" style="35" customWidth="1"/>
    <col min="4872" max="4872" width="14.42578125" style="35" bestFit="1" customWidth="1"/>
    <col min="4873" max="4873" width="10.7109375" style="35" customWidth="1"/>
    <col min="4874" max="4874" width="12.7109375" style="35" bestFit="1" customWidth="1"/>
    <col min="4875" max="4877" width="8.42578125" style="35" customWidth="1"/>
    <col min="4878" max="4880" width="13" style="35" customWidth="1"/>
    <col min="4881" max="4884" width="9.140625" style="35"/>
    <col min="4885" max="4885" width="8.7109375" style="35" customWidth="1"/>
    <col min="4886" max="5119" width="9.140625" style="35"/>
    <col min="5120" max="5120" width="2.7109375" style="35" customWidth="1"/>
    <col min="5121" max="5121" width="114.42578125" style="35" customWidth="1"/>
    <col min="5122" max="5122" width="0" style="35" hidden="1" customWidth="1"/>
    <col min="5123" max="5123" width="27.5703125" style="35" customWidth="1"/>
    <col min="5124" max="5124" width="20" style="35" customWidth="1"/>
    <col min="5125" max="5125" width="18.28515625" style="35" customWidth="1"/>
    <col min="5126" max="5126" width="20.140625" style="35" customWidth="1"/>
    <col min="5127" max="5127" width="10.7109375" style="35" customWidth="1"/>
    <col min="5128" max="5128" width="14.42578125" style="35" bestFit="1" customWidth="1"/>
    <col min="5129" max="5129" width="10.7109375" style="35" customWidth="1"/>
    <col min="5130" max="5130" width="12.7109375" style="35" bestFit="1" customWidth="1"/>
    <col min="5131" max="5133" width="8.42578125" style="35" customWidth="1"/>
    <col min="5134" max="5136" width="13" style="35" customWidth="1"/>
    <col min="5137" max="5140" width="9.140625" style="35"/>
    <col min="5141" max="5141" width="8.7109375" style="35" customWidth="1"/>
    <col min="5142" max="5375" width="9.140625" style="35"/>
    <col min="5376" max="5376" width="2.7109375" style="35" customWidth="1"/>
    <col min="5377" max="5377" width="114.42578125" style="35" customWidth="1"/>
    <col min="5378" max="5378" width="0" style="35" hidden="1" customWidth="1"/>
    <col min="5379" max="5379" width="27.5703125" style="35" customWidth="1"/>
    <col min="5380" max="5380" width="20" style="35" customWidth="1"/>
    <col min="5381" max="5381" width="18.28515625" style="35" customWidth="1"/>
    <col min="5382" max="5382" width="20.140625" style="35" customWidth="1"/>
    <col min="5383" max="5383" width="10.7109375" style="35" customWidth="1"/>
    <col min="5384" max="5384" width="14.42578125" style="35" bestFit="1" customWidth="1"/>
    <col min="5385" max="5385" width="10.7109375" style="35" customWidth="1"/>
    <col min="5386" max="5386" width="12.7109375" style="35" bestFit="1" customWidth="1"/>
    <col min="5387" max="5389" width="8.42578125" style="35" customWidth="1"/>
    <col min="5390" max="5392" width="13" style="35" customWidth="1"/>
    <col min="5393" max="5396" width="9.140625" style="35"/>
    <col min="5397" max="5397" width="8.7109375" style="35" customWidth="1"/>
    <col min="5398" max="5631" width="9.140625" style="35"/>
    <col min="5632" max="5632" width="2.7109375" style="35" customWidth="1"/>
    <col min="5633" max="5633" width="114.42578125" style="35" customWidth="1"/>
    <col min="5634" max="5634" width="0" style="35" hidden="1" customWidth="1"/>
    <col min="5635" max="5635" width="27.5703125" style="35" customWidth="1"/>
    <col min="5636" max="5636" width="20" style="35" customWidth="1"/>
    <col min="5637" max="5637" width="18.28515625" style="35" customWidth="1"/>
    <col min="5638" max="5638" width="20.140625" style="35" customWidth="1"/>
    <col min="5639" max="5639" width="10.7109375" style="35" customWidth="1"/>
    <col min="5640" max="5640" width="14.42578125" style="35" bestFit="1" customWidth="1"/>
    <col min="5641" max="5641" width="10.7109375" style="35" customWidth="1"/>
    <col min="5642" max="5642" width="12.7109375" style="35" bestFit="1" customWidth="1"/>
    <col min="5643" max="5645" width="8.42578125" style="35" customWidth="1"/>
    <col min="5646" max="5648" width="13" style="35" customWidth="1"/>
    <col min="5649" max="5652" width="9.140625" style="35"/>
    <col min="5653" max="5653" width="8.7109375" style="35" customWidth="1"/>
    <col min="5654" max="5887" width="9.140625" style="35"/>
    <col min="5888" max="5888" width="2.7109375" style="35" customWidth="1"/>
    <col min="5889" max="5889" width="114.42578125" style="35" customWidth="1"/>
    <col min="5890" max="5890" width="0" style="35" hidden="1" customWidth="1"/>
    <col min="5891" max="5891" width="27.5703125" style="35" customWidth="1"/>
    <col min="5892" max="5892" width="20" style="35" customWidth="1"/>
    <col min="5893" max="5893" width="18.28515625" style="35" customWidth="1"/>
    <col min="5894" max="5894" width="20.140625" style="35" customWidth="1"/>
    <col min="5895" max="5895" width="10.7109375" style="35" customWidth="1"/>
    <col min="5896" max="5896" width="14.42578125" style="35" bestFit="1" customWidth="1"/>
    <col min="5897" max="5897" width="10.7109375" style="35" customWidth="1"/>
    <col min="5898" max="5898" width="12.7109375" style="35" bestFit="1" customWidth="1"/>
    <col min="5899" max="5901" width="8.42578125" style="35" customWidth="1"/>
    <col min="5902" max="5904" width="13" style="35" customWidth="1"/>
    <col min="5905" max="5908" width="9.140625" style="35"/>
    <col min="5909" max="5909" width="8.7109375" style="35" customWidth="1"/>
    <col min="5910" max="6143" width="9.140625" style="35"/>
    <col min="6144" max="6144" width="2.7109375" style="35" customWidth="1"/>
    <col min="6145" max="6145" width="114.42578125" style="35" customWidth="1"/>
    <col min="6146" max="6146" width="0" style="35" hidden="1" customWidth="1"/>
    <col min="6147" max="6147" width="27.5703125" style="35" customWidth="1"/>
    <col min="6148" max="6148" width="20" style="35" customWidth="1"/>
    <col min="6149" max="6149" width="18.28515625" style="35" customWidth="1"/>
    <col min="6150" max="6150" width="20.140625" style="35" customWidth="1"/>
    <col min="6151" max="6151" width="10.7109375" style="35" customWidth="1"/>
    <col min="6152" max="6152" width="14.42578125" style="35" bestFit="1" customWidth="1"/>
    <col min="6153" max="6153" width="10.7109375" style="35" customWidth="1"/>
    <col min="6154" max="6154" width="12.7109375" style="35" bestFit="1" customWidth="1"/>
    <col min="6155" max="6157" width="8.42578125" style="35" customWidth="1"/>
    <col min="6158" max="6160" width="13" style="35" customWidth="1"/>
    <col min="6161" max="6164" width="9.140625" style="35"/>
    <col min="6165" max="6165" width="8.7109375" style="35" customWidth="1"/>
    <col min="6166" max="6399" width="9.140625" style="35"/>
    <col min="6400" max="6400" width="2.7109375" style="35" customWidth="1"/>
    <col min="6401" max="6401" width="114.42578125" style="35" customWidth="1"/>
    <col min="6402" max="6402" width="0" style="35" hidden="1" customWidth="1"/>
    <col min="6403" max="6403" width="27.5703125" style="35" customWidth="1"/>
    <col min="6404" max="6404" width="20" style="35" customWidth="1"/>
    <col min="6405" max="6405" width="18.28515625" style="35" customWidth="1"/>
    <col min="6406" max="6406" width="20.140625" style="35" customWidth="1"/>
    <col min="6407" max="6407" width="10.7109375" style="35" customWidth="1"/>
    <col min="6408" max="6408" width="14.42578125" style="35" bestFit="1" customWidth="1"/>
    <col min="6409" max="6409" width="10.7109375" style="35" customWidth="1"/>
    <col min="6410" max="6410" width="12.7109375" style="35" bestFit="1" customWidth="1"/>
    <col min="6411" max="6413" width="8.42578125" style="35" customWidth="1"/>
    <col min="6414" max="6416" width="13" style="35" customWidth="1"/>
    <col min="6417" max="6420" width="9.140625" style="35"/>
    <col min="6421" max="6421" width="8.7109375" style="35" customWidth="1"/>
    <col min="6422" max="6655" width="9.140625" style="35"/>
    <col min="6656" max="6656" width="2.7109375" style="35" customWidth="1"/>
    <col min="6657" max="6657" width="114.42578125" style="35" customWidth="1"/>
    <col min="6658" max="6658" width="0" style="35" hidden="1" customWidth="1"/>
    <col min="6659" max="6659" width="27.5703125" style="35" customWidth="1"/>
    <col min="6660" max="6660" width="20" style="35" customWidth="1"/>
    <col min="6661" max="6661" width="18.28515625" style="35" customWidth="1"/>
    <col min="6662" max="6662" width="20.140625" style="35" customWidth="1"/>
    <col min="6663" max="6663" width="10.7109375" style="35" customWidth="1"/>
    <col min="6664" max="6664" width="14.42578125" style="35" bestFit="1" customWidth="1"/>
    <col min="6665" max="6665" width="10.7109375" style="35" customWidth="1"/>
    <col min="6666" max="6666" width="12.7109375" style="35" bestFit="1" customWidth="1"/>
    <col min="6667" max="6669" width="8.42578125" style="35" customWidth="1"/>
    <col min="6670" max="6672" width="13" style="35" customWidth="1"/>
    <col min="6673" max="6676" width="9.140625" style="35"/>
    <col min="6677" max="6677" width="8.7109375" style="35" customWidth="1"/>
    <col min="6678" max="6911" width="9.140625" style="35"/>
    <col min="6912" max="6912" width="2.7109375" style="35" customWidth="1"/>
    <col min="6913" max="6913" width="114.42578125" style="35" customWidth="1"/>
    <col min="6914" max="6914" width="0" style="35" hidden="1" customWidth="1"/>
    <col min="6915" max="6915" width="27.5703125" style="35" customWidth="1"/>
    <col min="6916" max="6916" width="20" style="35" customWidth="1"/>
    <col min="6917" max="6917" width="18.28515625" style="35" customWidth="1"/>
    <col min="6918" max="6918" width="20.140625" style="35" customWidth="1"/>
    <col min="6919" max="6919" width="10.7109375" style="35" customWidth="1"/>
    <col min="6920" max="6920" width="14.42578125" style="35" bestFit="1" customWidth="1"/>
    <col min="6921" max="6921" width="10.7109375" style="35" customWidth="1"/>
    <col min="6922" max="6922" width="12.7109375" style="35" bestFit="1" customWidth="1"/>
    <col min="6923" max="6925" width="8.42578125" style="35" customWidth="1"/>
    <col min="6926" max="6928" width="13" style="35" customWidth="1"/>
    <col min="6929" max="6932" width="9.140625" style="35"/>
    <col min="6933" max="6933" width="8.7109375" style="35" customWidth="1"/>
    <col min="6934" max="7167" width="9.140625" style="35"/>
    <col min="7168" max="7168" width="2.7109375" style="35" customWidth="1"/>
    <col min="7169" max="7169" width="114.42578125" style="35" customWidth="1"/>
    <col min="7170" max="7170" width="0" style="35" hidden="1" customWidth="1"/>
    <col min="7171" max="7171" width="27.5703125" style="35" customWidth="1"/>
    <col min="7172" max="7172" width="20" style="35" customWidth="1"/>
    <col min="7173" max="7173" width="18.28515625" style="35" customWidth="1"/>
    <col min="7174" max="7174" width="20.140625" style="35" customWidth="1"/>
    <col min="7175" max="7175" width="10.7109375" style="35" customWidth="1"/>
    <col min="7176" max="7176" width="14.42578125" style="35" bestFit="1" customWidth="1"/>
    <col min="7177" max="7177" width="10.7109375" style="35" customWidth="1"/>
    <col min="7178" max="7178" width="12.7109375" style="35" bestFit="1" customWidth="1"/>
    <col min="7179" max="7181" width="8.42578125" style="35" customWidth="1"/>
    <col min="7182" max="7184" width="13" style="35" customWidth="1"/>
    <col min="7185" max="7188" width="9.140625" style="35"/>
    <col min="7189" max="7189" width="8.7109375" style="35" customWidth="1"/>
    <col min="7190" max="7423" width="9.140625" style="35"/>
    <col min="7424" max="7424" width="2.7109375" style="35" customWidth="1"/>
    <col min="7425" max="7425" width="114.42578125" style="35" customWidth="1"/>
    <col min="7426" max="7426" width="0" style="35" hidden="1" customWidth="1"/>
    <col min="7427" max="7427" width="27.5703125" style="35" customWidth="1"/>
    <col min="7428" max="7428" width="20" style="35" customWidth="1"/>
    <col min="7429" max="7429" width="18.28515625" style="35" customWidth="1"/>
    <col min="7430" max="7430" width="20.140625" style="35" customWidth="1"/>
    <col min="7431" max="7431" width="10.7109375" style="35" customWidth="1"/>
    <col min="7432" max="7432" width="14.42578125" style="35" bestFit="1" customWidth="1"/>
    <col min="7433" max="7433" width="10.7109375" style="35" customWidth="1"/>
    <col min="7434" max="7434" width="12.7109375" style="35" bestFit="1" customWidth="1"/>
    <col min="7435" max="7437" width="8.42578125" style="35" customWidth="1"/>
    <col min="7438" max="7440" width="13" style="35" customWidth="1"/>
    <col min="7441" max="7444" width="9.140625" style="35"/>
    <col min="7445" max="7445" width="8.7109375" style="35" customWidth="1"/>
    <col min="7446" max="7679" width="9.140625" style="35"/>
    <col min="7680" max="7680" width="2.7109375" style="35" customWidth="1"/>
    <col min="7681" max="7681" width="114.42578125" style="35" customWidth="1"/>
    <col min="7682" max="7682" width="0" style="35" hidden="1" customWidth="1"/>
    <col min="7683" max="7683" width="27.5703125" style="35" customWidth="1"/>
    <col min="7684" max="7684" width="20" style="35" customWidth="1"/>
    <col min="7685" max="7685" width="18.28515625" style="35" customWidth="1"/>
    <col min="7686" max="7686" width="20.140625" style="35" customWidth="1"/>
    <col min="7687" max="7687" width="10.7109375" style="35" customWidth="1"/>
    <col min="7688" max="7688" width="14.42578125" style="35" bestFit="1" customWidth="1"/>
    <col min="7689" max="7689" width="10.7109375" style="35" customWidth="1"/>
    <col min="7690" max="7690" width="12.7109375" style="35" bestFit="1" customWidth="1"/>
    <col min="7691" max="7693" width="8.42578125" style="35" customWidth="1"/>
    <col min="7694" max="7696" width="13" style="35" customWidth="1"/>
    <col min="7697" max="7700" width="9.140625" style="35"/>
    <col min="7701" max="7701" width="8.7109375" style="35" customWidth="1"/>
    <col min="7702" max="7935" width="9.140625" style="35"/>
    <col min="7936" max="7936" width="2.7109375" style="35" customWidth="1"/>
    <col min="7937" max="7937" width="114.42578125" style="35" customWidth="1"/>
    <col min="7938" max="7938" width="0" style="35" hidden="1" customWidth="1"/>
    <col min="7939" max="7939" width="27.5703125" style="35" customWidth="1"/>
    <col min="7940" max="7940" width="20" style="35" customWidth="1"/>
    <col min="7941" max="7941" width="18.28515625" style="35" customWidth="1"/>
    <col min="7942" max="7942" width="20.140625" style="35" customWidth="1"/>
    <col min="7943" max="7943" width="10.7109375" style="35" customWidth="1"/>
    <col min="7944" max="7944" width="14.42578125" style="35" bestFit="1" customWidth="1"/>
    <col min="7945" max="7945" width="10.7109375" style="35" customWidth="1"/>
    <col min="7946" max="7946" width="12.7109375" style="35" bestFit="1" customWidth="1"/>
    <col min="7947" max="7949" width="8.42578125" style="35" customWidth="1"/>
    <col min="7950" max="7952" width="13" style="35" customWidth="1"/>
    <col min="7953" max="7956" width="9.140625" style="35"/>
    <col min="7957" max="7957" width="8.7109375" style="35" customWidth="1"/>
    <col min="7958" max="8191" width="9.140625" style="35"/>
    <col min="8192" max="8192" width="2.7109375" style="35" customWidth="1"/>
    <col min="8193" max="8193" width="114.42578125" style="35" customWidth="1"/>
    <col min="8194" max="8194" width="0" style="35" hidden="1" customWidth="1"/>
    <col min="8195" max="8195" width="27.5703125" style="35" customWidth="1"/>
    <col min="8196" max="8196" width="20" style="35" customWidth="1"/>
    <col min="8197" max="8197" width="18.28515625" style="35" customWidth="1"/>
    <col min="8198" max="8198" width="20.140625" style="35" customWidth="1"/>
    <col min="8199" max="8199" width="10.7109375" style="35" customWidth="1"/>
    <col min="8200" max="8200" width="14.42578125" style="35" bestFit="1" customWidth="1"/>
    <col min="8201" max="8201" width="10.7109375" style="35" customWidth="1"/>
    <col min="8202" max="8202" width="12.7109375" style="35" bestFit="1" customWidth="1"/>
    <col min="8203" max="8205" width="8.42578125" style="35" customWidth="1"/>
    <col min="8206" max="8208" width="13" style="35" customWidth="1"/>
    <col min="8209" max="8212" width="9.140625" style="35"/>
    <col min="8213" max="8213" width="8.7109375" style="35" customWidth="1"/>
    <col min="8214" max="8447" width="9.140625" style="35"/>
    <col min="8448" max="8448" width="2.7109375" style="35" customWidth="1"/>
    <col min="8449" max="8449" width="114.42578125" style="35" customWidth="1"/>
    <col min="8450" max="8450" width="0" style="35" hidden="1" customWidth="1"/>
    <col min="8451" max="8451" width="27.5703125" style="35" customWidth="1"/>
    <col min="8452" max="8452" width="20" style="35" customWidth="1"/>
    <col min="8453" max="8453" width="18.28515625" style="35" customWidth="1"/>
    <col min="8454" max="8454" width="20.140625" style="35" customWidth="1"/>
    <col min="8455" max="8455" width="10.7109375" style="35" customWidth="1"/>
    <col min="8456" max="8456" width="14.42578125" style="35" bestFit="1" customWidth="1"/>
    <col min="8457" max="8457" width="10.7109375" style="35" customWidth="1"/>
    <col min="8458" max="8458" width="12.7109375" style="35" bestFit="1" customWidth="1"/>
    <col min="8459" max="8461" width="8.42578125" style="35" customWidth="1"/>
    <col min="8462" max="8464" width="13" style="35" customWidth="1"/>
    <col min="8465" max="8468" width="9.140625" style="35"/>
    <col min="8469" max="8469" width="8.7109375" style="35" customWidth="1"/>
    <col min="8470" max="8703" width="9.140625" style="35"/>
    <col min="8704" max="8704" width="2.7109375" style="35" customWidth="1"/>
    <col min="8705" max="8705" width="114.42578125" style="35" customWidth="1"/>
    <col min="8706" max="8706" width="0" style="35" hidden="1" customWidth="1"/>
    <col min="8707" max="8707" width="27.5703125" style="35" customWidth="1"/>
    <col min="8708" max="8708" width="20" style="35" customWidth="1"/>
    <col min="8709" max="8709" width="18.28515625" style="35" customWidth="1"/>
    <col min="8710" max="8710" width="20.140625" style="35" customWidth="1"/>
    <col min="8711" max="8711" width="10.7109375" style="35" customWidth="1"/>
    <col min="8712" max="8712" width="14.42578125" style="35" bestFit="1" customWidth="1"/>
    <col min="8713" max="8713" width="10.7109375" style="35" customWidth="1"/>
    <col min="8714" max="8714" width="12.7109375" style="35" bestFit="1" customWidth="1"/>
    <col min="8715" max="8717" width="8.42578125" style="35" customWidth="1"/>
    <col min="8718" max="8720" width="13" style="35" customWidth="1"/>
    <col min="8721" max="8724" width="9.140625" style="35"/>
    <col min="8725" max="8725" width="8.7109375" style="35" customWidth="1"/>
    <col min="8726" max="8959" width="9.140625" style="35"/>
    <col min="8960" max="8960" width="2.7109375" style="35" customWidth="1"/>
    <col min="8961" max="8961" width="114.42578125" style="35" customWidth="1"/>
    <col min="8962" max="8962" width="0" style="35" hidden="1" customWidth="1"/>
    <col min="8963" max="8963" width="27.5703125" style="35" customWidth="1"/>
    <col min="8964" max="8964" width="20" style="35" customWidth="1"/>
    <col min="8965" max="8965" width="18.28515625" style="35" customWidth="1"/>
    <col min="8966" max="8966" width="20.140625" style="35" customWidth="1"/>
    <col min="8967" max="8967" width="10.7109375" style="35" customWidth="1"/>
    <col min="8968" max="8968" width="14.42578125" style="35" bestFit="1" customWidth="1"/>
    <col min="8969" max="8969" width="10.7109375" style="35" customWidth="1"/>
    <col min="8970" max="8970" width="12.7109375" style="35" bestFit="1" customWidth="1"/>
    <col min="8971" max="8973" width="8.42578125" style="35" customWidth="1"/>
    <col min="8974" max="8976" width="13" style="35" customWidth="1"/>
    <col min="8977" max="8980" width="9.140625" style="35"/>
    <col min="8981" max="8981" width="8.7109375" style="35" customWidth="1"/>
    <col min="8982" max="9215" width="9.140625" style="35"/>
    <col min="9216" max="9216" width="2.7109375" style="35" customWidth="1"/>
    <col min="9217" max="9217" width="114.42578125" style="35" customWidth="1"/>
    <col min="9218" max="9218" width="0" style="35" hidden="1" customWidth="1"/>
    <col min="9219" max="9219" width="27.5703125" style="35" customWidth="1"/>
    <col min="9220" max="9220" width="20" style="35" customWidth="1"/>
    <col min="9221" max="9221" width="18.28515625" style="35" customWidth="1"/>
    <col min="9222" max="9222" width="20.140625" style="35" customWidth="1"/>
    <col min="9223" max="9223" width="10.7109375" style="35" customWidth="1"/>
    <col min="9224" max="9224" width="14.42578125" style="35" bestFit="1" customWidth="1"/>
    <col min="9225" max="9225" width="10.7109375" style="35" customWidth="1"/>
    <col min="9226" max="9226" width="12.7109375" style="35" bestFit="1" customWidth="1"/>
    <col min="9227" max="9229" width="8.42578125" style="35" customWidth="1"/>
    <col min="9230" max="9232" width="13" style="35" customWidth="1"/>
    <col min="9233" max="9236" width="9.140625" style="35"/>
    <col min="9237" max="9237" width="8.7109375" style="35" customWidth="1"/>
    <col min="9238" max="9471" width="9.140625" style="35"/>
    <col min="9472" max="9472" width="2.7109375" style="35" customWidth="1"/>
    <col min="9473" max="9473" width="114.42578125" style="35" customWidth="1"/>
    <col min="9474" max="9474" width="0" style="35" hidden="1" customWidth="1"/>
    <col min="9475" max="9475" width="27.5703125" style="35" customWidth="1"/>
    <col min="9476" max="9476" width="20" style="35" customWidth="1"/>
    <col min="9477" max="9477" width="18.28515625" style="35" customWidth="1"/>
    <col min="9478" max="9478" width="20.140625" style="35" customWidth="1"/>
    <col min="9479" max="9479" width="10.7109375" style="35" customWidth="1"/>
    <col min="9480" max="9480" width="14.42578125" style="35" bestFit="1" customWidth="1"/>
    <col min="9481" max="9481" width="10.7109375" style="35" customWidth="1"/>
    <col min="9482" max="9482" width="12.7109375" style="35" bestFit="1" customWidth="1"/>
    <col min="9483" max="9485" width="8.42578125" style="35" customWidth="1"/>
    <col min="9486" max="9488" width="13" style="35" customWidth="1"/>
    <col min="9489" max="9492" width="9.140625" style="35"/>
    <col min="9493" max="9493" width="8.7109375" style="35" customWidth="1"/>
    <col min="9494" max="9727" width="9.140625" style="35"/>
    <col min="9728" max="9728" width="2.7109375" style="35" customWidth="1"/>
    <col min="9729" max="9729" width="114.42578125" style="35" customWidth="1"/>
    <col min="9730" max="9730" width="0" style="35" hidden="1" customWidth="1"/>
    <col min="9731" max="9731" width="27.5703125" style="35" customWidth="1"/>
    <col min="9732" max="9732" width="20" style="35" customWidth="1"/>
    <col min="9733" max="9733" width="18.28515625" style="35" customWidth="1"/>
    <col min="9734" max="9734" width="20.140625" style="35" customWidth="1"/>
    <col min="9735" max="9735" width="10.7109375" style="35" customWidth="1"/>
    <col min="9736" max="9736" width="14.42578125" style="35" bestFit="1" customWidth="1"/>
    <col min="9737" max="9737" width="10.7109375" style="35" customWidth="1"/>
    <col min="9738" max="9738" width="12.7109375" style="35" bestFit="1" customWidth="1"/>
    <col min="9739" max="9741" width="8.42578125" style="35" customWidth="1"/>
    <col min="9742" max="9744" width="13" style="35" customWidth="1"/>
    <col min="9745" max="9748" width="9.140625" style="35"/>
    <col min="9749" max="9749" width="8.7109375" style="35" customWidth="1"/>
    <col min="9750" max="9983" width="9.140625" style="35"/>
    <col min="9984" max="9984" width="2.7109375" style="35" customWidth="1"/>
    <col min="9985" max="9985" width="114.42578125" style="35" customWidth="1"/>
    <col min="9986" max="9986" width="0" style="35" hidden="1" customWidth="1"/>
    <col min="9987" max="9987" width="27.5703125" style="35" customWidth="1"/>
    <col min="9988" max="9988" width="20" style="35" customWidth="1"/>
    <col min="9989" max="9989" width="18.28515625" style="35" customWidth="1"/>
    <col min="9990" max="9990" width="20.140625" style="35" customWidth="1"/>
    <col min="9991" max="9991" width="10.7109375" style="35" customWidth="1"/>
    <col min="9992" max="9992" width="14.42578125" style="35" bestFit="1" customWidth="1"/>
    <col min="9993" max="9993" width="10.7109375" style="35" customWidth="1"/>
    <col min="9994" max="9994" width="12.7109375" style="35" bestFit="1" customWidth="1"/>
    <col min="9995" max="9997" width="8.42578125" style="35" customWidth="1"/>
    <col min="9998" max="10000" width="13" style="35" customWidth="1"/>
    <col min="10001" max="10004" width="9.140625" style="35"/>
    <col min="10005" max="10005" width="8.7109375" style="35" customWidth="1"/>
    <col min="10006" max="10239" width="9.140625" style="35"/>
    <col min="10240" max="10240" width="2.7109375" style="35" customWidth="1"/>
    <col min="10241" max="10241" width="114.42578125" style="35" customWidth="1"/>
    <col min="10242" max="10242" width="0" style="35" hidden="1" customWidth="1"/>
    <col min="10243" max="10243" width="27.5703125" style="35" customWidth="1"/>
    <col min="10244" max="10244" width="20" style="35" customWidth="1"/>
    <col min="10245" max="10245" width="18.28515625" style="35" customWidth="1"/>
    <col min="10246" max="10246" width="20.140625" style="35" customWidth="1"/>
    <col min="10247" max="10247" width="10.7109375" style="35" customWidth="1"/>
    <col min="10248" max="10248" width="14.42578125" style="35" bestFit="1" customWidth="1"/>
    <col min="10249" max="10249" width="10.7109375" style="35" customWidth="1"/>
    <col min="10250" max="10250" width="12.7109375" style="35" bestFit="1" customWidth="1"/>
    <col min="10251" max="10253" width="8.42578125" style="35" customWidth="1"/>
    <col min="10254" max="10256" width="13" style="35" customWidth="1"/>
    <col min="10257" max="10260" width="9.140625" style="35"/>
    <col min="10261" max="10261" width="8.7109375" style="35" customWidth="1"/>
    <col min="10262" max="10495" width="9.140625" style="35"/>
    <col min="10496" max="10496" width="2.7109375" style="35" customWidth="1"/>
    <col min="10497" max="10497" width="114.42578125" style="35" customWidth="1"/>
    <col min="10498" max="10498" width="0" style="35" hidden="1" customWidth="1"/>
    <col min="10499" max="10499" width="27.5703125" style="35" customWidth="1"/>
    <col min="10500" max="10500" width="20" style="35" customWidth="1"/>
    <col min="10501" max="10501" width="18.28515625" style="35" customWidth="1"/>
    <col min="10502" max="10502" width="20.140625" style="35" customWidth="1"/>
    <col min="10503" max="10503" width="10.7109375" style="35" customWidth="1"/>
    <col min="10504" max="10504" width="14.42578125" style="35" bestFit="1" customWidth="1"/>
    <col min="10505" max="10505" width="10.7109375" style="35" customWidth="1"/>
    <col min="10506" max="10506" width="12.7109375" style="35" bestFit="1" customWidth="1"/>
    <col min="10507" max="10509" width="8.42578125" style="35" customWidth="1"/>
    <col min="10510" max="10512" width="13" style="35" customWidth="1"/>
    <col min="10513" max="10516" width="9.140625" style="35"/>
    <col min="10517" max="10517" width="8.7109375" style="35" customWidth="1"/>
    <col min="10518" max="10751" width="9.140625" style="35"/>
    <col min="10752" max="10752" width="2.7109375" style="35" customWidth="1"/>
    <col min="10753" max="10753" width="114.42578125" style="35" customWidth="1"/>
    <col min="10754" max="10754" width="0" style="35" hidden="1" customWidth="1"/>
    <col min="10755" max="10755" width="27.5703125" style="35" customWidth="1"/>
    <col min="10756" max="10756" width="20" style="35" customWidth="1"/>
    <col min="10757" max="10757" width="18.28515625" style="35" customWidth="1"/>
    <col min="10758" max="10758" width="20.140625" style="35" customWidth="1"/>
    <col min="10759" max="10759" width="10.7109375" style="35" customWidth="1"/>
    <col min="10760" max="10760" width="14.42578125" style="35" bestFit="1" customWidth="1"/>
    <col min="10761" max="10761" width="10.7109375" style="35" customWidth="1"/>
    <col min="10762" max="10762" width="12.7109375" style="35" bestFit="1" customWidth="1"/>
    <col min="10763" max="10765" width="8.42578125" style="35" customWidth="1"/>
    <col min="10766" max="10768" width="13" style="35" customWidth="1"/>
    <col min="10769" max="10772" width="9.140625" style="35"/>
    <col min="10773" max="10773" width="8.7109375" style="35" customWidth="1"/>
    <col min="10774" max="11007" width="9.140625" style="35"/>
    <col min="11008" max="11008" width="2.7109375" style="35" customWidth="1"/>
    <col min="11009" max="11009" width="114.42578125" style="35" customWidth="1"/>
    <col min="11010" max="11010" width="0" style="35" hidden="1" customWidth="1"/>
    <col min="11011" max="11011" width="27.5703125" style="35" customWidth="1"/>
    <col min="11012" max="11012" width="20" style="35" customWidth="1"/>
    <col min="11013" max="11013" width="18.28515625" style="35" customWidth="1"/>
    <col min="11014" max="11014" width="20.140625" style="35" customWidth="1"/>
    <col min="11015" max="11015" width="10.7109375" style="35" customWidth="1"/>
    <col min="11016" max="11016" width="14.42578125" style="35" bestFit="1" customWidth="1"/>
    <col min="11017" max="11017" width="10.7109375" style="35" customWidth="1"/>
    <col min="11018" max="11018" width="12.7109375" style="35" bestFit="1" customWidth="1"/>
    <col min="11019" max="11021" width="8.42578125" style="35" customWidth="1"/>
    <col min="11022" max="11024" width="13" style="35" customWidth="1"/>
    <col min="11025" max="11028" width="9.140625" style="35"/>
    <col min="11029" max="11029" width="8.7109375" style="35" customWidth="1"/>
    <col min="11030" max="11263" width="9.140625" style="35"/>
    <col min="11264" max="11264" width="2.7109375" style="35" customWidth="1"/>
    <col min="11265" max="11265" width="114.42578125" style="35" customWidth="1"/>
    <col min="11266" max="11266" width="0" style="35" hidden="1" customWidth="1"/>
    <col min="11267" max="11267" width="27.5703125" style="35" customWidth="1"/>
    <col min="11268" max="11268" width="20" style="35" customWidth="1"/>
    <col min="11269" max="11269" width="18.28515625" style="35" customWidth="1"/>
    <col min="11270" max="11270" width="20.140625" style="35" customWidth="1"/>
    <col min="11271" max="11271" width="10.7109375" style="35" customWidth="1"/>
    <col min="11272" max="11272" width="14.42578125" style="35" bestFit="1" customWidth="1"/>
    <col min="11273" max="11273" width="10.7109375" style="35" customWidth="1"/>
    <col min="11274" max="11274" width="12.7109375" style="35" bestFit="1" customWidth="1"/>
    <col min="11275" max="11277" width="8.42578125" style="35" customWidth="1"/>
    <col min="11278" max="11280" width="13" style="35" customWidth="1"/>
    <col min="11281" max="11284" width="9.140625" style="35"/>
    <col min="11285" max="11285" width="8.7109375" style="35" customWidth="1"/>
    <col min="11286" max="11519" width="9.140625" style="35"/>
    <col min="11520" max="11520" width="2.7109375" style="35" customWidth="1"/>
    <col min="11521" max="11521" width="114.42578125" style="35" customWidth="1"/>
    <col min="11522" max="11522" width="0" style="35" hidden="1" customWidth="1"/>
    <col min="11523" max="11523" width="27.5703125" style="35" customWidth="1"/>
    <col min="11524" max="11524" width="20" style="35" customWidth="1"/>
    <col min="11525" max="11525" width="18.28515625" style="35" customWidth="1"/>
    <col min="11526" max="11526" width="20.140625" style="35" customWidth="1"/>
    <col min="11527" max="11527" width="10.7109375" style="35" customWidth="1"/>
    <col min="11528" max="11528" width="14.42578125" style="35" bestFit="1" customWidth="1"/>
    <col min="11529" max="11529" width="10.7109375" style="35" customWidth="1"/>
    <col min="11530" max="11530" width="12.7109375" style="35" bestFit="1" customWidth="1"/>
    <col min="11531" max="11533" width="8.42578125" style="35" customWidth="1"/>
    <col min="11534" max="11536" width="13" style="35" customWidth="1"/>
    <col min="11537" max="11540" width="9.140625" style="35"/>
    <col min="11541" max="11541" width="8.7109375" style="35" customWidth="1"/>
    <col min="11542" max="11775" width="9.140625" style="35"/>
    <col min="11776" max="11776" width="2.7109375" style="35" customWidth="1"/>
    <col min="11777" max="11777" width="114.42578125" style="35" customWidth="1"/>
    <col min="11778" max="11778" width="0" style="35" hidden="1" customWidth="1"/>
    <col min="11779" max="11779" width="27.5703125" style="35" customWidth="1"/>
    <col min="11780" max="11780" width="20" style="35" customWidth="1"/>
    <col min="11781" max="11781" width="18.28515625" style="35" customWidth="1"/>
    <col min="11782" max="11782" width="20.140625" style="35" customWidth="1"/>
    <col min="11783" max="11783" width="10.7109375" style="35" customWidth="1"/>
    <col min="11784" max="11784" width="14.42578125" style="35" bestFit="1" customWidth="1"/>
    <col min="11785" max="11785" width="10.7109375" style="35" customWidth="1"/>
    <col min="11786" max="11786" width="12.7109375" style="35" bestFit="1" customWidth="1"/>
    <col min="11787" max="11789" width="8.42578125" style="35" customWidth="1"/>
    <col min="11790" max="11792" width="13" style="35" customWidth="1"/>
    <col min="11793" max="11796" width="9.140625" style="35"/>
    <col min="11797" max="11797" width="8.7109375" style="35" customWidth="1"/>
    <col min="11798" max="12031" width="9.140625" style="35"/>
    <col min="12032" max="12032" width="2.7109375" style="35" customWidth="1"/>
    <col min="12033" max="12033" width="114.42578125" style="35" customWidth="1"/>
    <col min="12034" max="12034" width="0" style="35" hidden="1" customWidth="1"/>
    <col min="12035" max="12035" width="27.5703125" style="35" customWidth="1"/>
    <col min="12036" max="12036" width="20" style="35" customWidth="1"/>
    <col min="12037" max="12037" width="18.28515625" style="35" customWidth="1"/>
    <col min="12038" max="12038" width="20.140625" style="35" customWidth="1"/>
    <col min="12039" max="12039" width="10.7109375" style="35" customWidth="1"/>
    <col min="12040" max="12040" width="14.42578125" style="35" bestFit="1" customWidth="1"/>
    <col min="12041" max="12041" width="10.7109375" style="35" customWidth="1"/>
    <col min="12042" max="12042" width="12.7109375" style="35" bestFit="1" customWidth="1"/>
    <col min="12043" max="12045" width="8.42578125" style="35" customWidth="1"/>
    <col min="12046" max="12048" width="13" style="35" customWidth="1"/>
    <col min="12049" max="12052" width="9.140625" style="35"/>
    <col min="12053" max="12053" width="8.7109375" style="35" customWidth="1"/>
    <col min="12054" max="12287" width="9.140625" style="35"/>
    <col min="12288" max="12288" width="2.7109375" style="35" customWidth="1"/>
    <col min="12289" max="12289" width="114.42578125" style="35" customWidth="1"/>
    <col min="12290" max="12290" width="0" style="35" hidden="1" customWidth="1"/>
    <col min="12291" max="12291" width="27.5703125" style="35" customWidth="1"/>
    <col min="12292" max="12292" width="20" style="35" customWidth="1"/>
    <col min="12293" max="12293" width="18.28515625" style="35" customWidth="1"/>
    <col min="12294" max="12294" width="20.140625" style="35" customWidth="1"/>
    <col min="12295" max="12295" width="10.7109375" style="35" customWidth="1"/>
    <col min="12296" max="12296" width="14.42578125" style="35" bestFit="1" customWidth="1"/>
    <col min="12297" max="12297" width="10.7109375" style="35" customWidth="1"/>
    <col min="12298" max="12298" width="12.7109375" style="35" bestFit="1" customWidth="1"/>
    <col min="12299" max="12301" width="8.42578125" style="35" customWidth="1"/>
    <col min="12302" max="12304" width="13" style="35" customWidth="1"/>
    <col min="12305" max="12308" width="9.140625" style="35"/>
    <col min="12309" max="12309" width="8.7109375" style="35" customWidth="1"/>
    <col min="12310" max="12543" width="9.140625" style="35"/>
    <col min="12544" max="12544" width="2.7109375" style="35" customWidth="1"/>
    <col min="12545" max="12545" width="114.42578125" style="35" customWidth="1"/>
    <col min="12546" max="12546" width="0" style="35" hidden="1" customWidth="1"/>
    <col min="12547" max="12547" width="27.5703125" style="35" customWidth="1"/>
    <col min="12548" max="12548" width="20" style="35" customWidth="1"/>
    <col min="12549" max="12549" width="18.28515625" style="35" customWidth="1"/>
    <col min="12550" max="12550" width="20.140625" style="35" customWidth="1"/>
    <col min="12551" max="12551" width="10.7109375" style="35" customWidth="1"/>
    <col min="12552" max="12552" width="14.42578125" style="35" bestFit="1" customWidth="1"/>
    <col min="12553" max="12553" width="10.7109375" style="35" customWidth="1"/>
    <col min="12554" max="12554" width="12.7109375" style="35" bestFit="1" customWidth="1"/>
    <col min="12555" max="12557" width="8.42578125" style="35" customWidth="1"/>
    <col min="12558" max="12560" width="13" style="35" customWidth="1"/>
    <col min="12561" max="12564" width="9.140625" style="35"/>
    <col min="12565" max="12565" width="8.7109375" style="35" customWidth="1"/>
    <col min="12566" max="12799" width="9.140625" style="35"/>
    <col min="12800" max="12800" width="2.7109375" style="35" customWidth="1"/>
    <col min="12801" max="12801" width="114.42578125" style="35" customWidth="1"/>
    <col min="12802" max="12802" width="0" style="35" hidden="1" customWidth="1"/>
    <col min="12803" max="12803" width="27.5703125" style="35" customWidth="1"/>
    <col min="12804" max="12804" width="20" style="35" customWidth="1"/>
    <col min="12805" max="12805" width="18.28515625" style="35" customWidth="1"/>
    <col min="12806" max="12806" width="20.140625" style="35" customWidth="1"/>
    <col min="12807" max="12807" width="10.7109375" style="35" customWidth="1"/>
    <col min="12808" max="12808" width="14.42578125" style="35" bestFit="1" customWidth="1"/>
    <col min="12809" max="12809" width="10.7109375" style="35" customWidth="1"/>
    <col min="12810" max="12810" width="12.7109375" style="35" bestFit="1" customWidth="1"/>
    <col min="12811" max="12813" width="8.42578125" style="35" customWidth="1"/>
    <col min="12814" max="12816" width="13" style="35" customWidth="1"/>
    <col min="12817" max="12820" width="9.140625" style="35"/>
    <col min="12821" max="12821" width="8.7109375" style="35" customWidth="1"/>
    <col min="12822" max="13055" width="9.140625" style="35"/>
    <col min="13056" max="13056" width="2.7109375" style="35" customWidth="1"/>
    <col min="13057" max="13057" width="114.42578125" style="35" customWidth="1"/>
    <col min="13058" max="13058" width="0" style="35" hidden="1" customWidth="1"/>
    <col min="13059" max="13059" width="27.5703125" style="35" customWidth="1"/>
    <col min="13060" max="13060" width="20" style="35" customWidth="1"/>
    <col min="13061" max="13061" width="18.28515625" style="35" customWidth="1"/>
    <col min="13062" max="13062" width="20.140625" style="35" customWidth="1"/>
    <col min="13063" max="13063" width="10.7109375" style="35" customWidth="1"/>
    <col min="13064" max="13064" width="14.42578125" style="35" bestFit="1" customWidth="1"/>
    <col min="13065" max="13065" width="10.7109375" style="35" customWidth="1"/>
    <col min="13066" max="13066" width="12.7109375" style="35" bestFit="1" customWidth="1"/>
    <col min="13067" max="13069" width="8.42578125" style="35" customWidth="1"/>
    <col min="13070" max="13072" width="13" style="35" customWidth="1"/>
    <col min="13073" max="13076" width="9.140625" style="35"/>
    <col min="13077" max="13077" width="8.7109375" style="35" customWidth="1"/>
    <col min="13078" max="13311" width="9.140625" style="35"/>
    <col min="13312" max="13312" width="2.7109375" style="35" customWidth="1"/>
    <col min="13313" max="13313" width="114.42578125" style="35" customWidth="1"/>
    <col min="13314" max="13314" width="0" style="35" hidden="1" customWidth="1"/>
    <col min="13315" max="13315" width="27.5703125" style="35" customWidth="1"/>
    <col min="13316" max="13316" width="20" style="35" customWidth="1"/>
    <col min="13317" max="13317" width="18.28515625" style="35" customWidth="1"/>
    <col min="13318" max="13318" width="20.140625" style="35" customWidth="1"/>
    <col min="13319" max="13319" width="10.7109375" style="35" customWidth="1"/>
    <col min="13320" max="13320" width="14.42578125" style="35" bestFit="1" customWidth="1"/>
    <col min="13321" max="13321" width="10.7109375" style="35" customWidth="1"/>
    <col min="13322" max="13322" width="12.7109375" style="35" bestFit="1" customWidth="1"/>
    <col min="13323" max="13325" width="8.42578125" style="35" customWidth="1"/>
    <col min="13326" max="13328" width="13" style="35" customWidth="1"/>
    <col min="13329" max="13332" width="9.140625" style="35"/>
    <col min="13333" max="13333" width="8.7109375" style="35" customWidth="1"/>
    <col min="13334" max="13567" width="9.140625" style="35"/>
    <col min="13568" max="13568" width="2.7109375" style="35" customWidth="1"/>
    <col min="13569" max="13569" width="114.42578125" style="35" customWidth="1"/>
    <col min="13570" max="13570" width="0" style="35" hidden="1" customWidth="1"/>
    <col min="13571" max="13571" width="27.5703125" style="35" customWidth="1"/>
    <col min="13572" max="13572" width="20" style="35" customWidth="1"/>
    <col min="13573" max="13573" width="18.28515625" style="35" customWidth="1"/>
    <col min="13574" max="13574" width="20.140625" style="35" customWidth="1"/>
    <col min="13575" max="13575" width="10.7109375" style="35" customWidth="1"/>
    <col min="13576" max="13576" width="14.42578125" style="35" bestFit="1" customWidth="1"/>
    <col min="13577" max="13577" width="10.7109375" style="35" customWidth="1"/>
    <col min="13578" max="13578" width="12.7109375" style="35" bestFit="1" customWidth="1"/>
    <col min="13579" max="13581" width="8.42578125" style="35" customWidth="1"/>
    <col min="13582" max="13584" width="13" style="35" customWidth="1"/>
    <col min="13585" max="13588" width="9.140625" style="35"/>
    <col min="13589" max="13589" width="8.7109375" style="35" customWidth="1"/>
    <col min="13590" max="13823" width="9.140625" style="35"/>
    <col min="13824" max="13824" width="2.7109375" style="35" customWidth="1"/>
    <col min="13825" max="13825" width="114.42578125" style="35" customWidth="1"/>
    <col min="13826" max="13826" width="0" style="35" hidden="1" customWidth="1"/>
    <col min="13827" max="13827" width="27.5703125" style="35" customWidth="1"/>
    <col min="13828" max="13828" width="20" style="35" customWidth="1"/>
    <col min="13829" max="13829" width="18.28515625" style="35" customWidth="1"/>
    <col min="13830" max="13830" width="20.140625" style="35" customWidth="1"/>
    <col min="13831" max="13831" width="10.7109375" style="35" customWidth="1"/>
    <col min="13832" max="13832" width="14.42578125" style="35" bestFit="1" customWidth="1"/>
    <col min="13833" max="13833" width="10.7109375" style="35" customWidth="1"/>
    <col min="13834" max="13834" width="12.7109375" style="35" bestFit="1" customWidth="1"/>
    <col min="13835" max="13837" width="8.42578125" style="35" customWidth="1"/>
    <col min="13838" max="13840" width="13" style="35" customWidth="1"/>
    <col min="13841" max="13844" width="9.140625" style="35"/>
    <col min="13845" max="13845" width="8.7109375" style="35" customWidth="1"/>
    <col min="13846" max="14079" width="9.140625" style="35"/>
    <col min="14080" max="14080" width="2.7109375" style="35" customWidth="1"/>
    <col min="14081" max="14081" width="114.42578125" style="35" customWidth="1"/>
    <col min="14082" max="14082" width="0" style="35" hidden="1" customWidth="1"/>
    <col min="14083" max="14083" width="27.5703125" style="35" customWidth="1"/>
    <col min="14084" max="14084" width="20" style="35" customWidth="1"/>
    <col min="14085" max="14085" width="18.28515625" style="35" customWidth="1"/>
    <col min="14086" max="14086" width="20.140625" style="35" customWidth="1"/>
    <col min="14087" max="14087" width="10.7109375" style="35" customWidth="1"/>
    <col min="14088" max="14088" width="14.42578125" style="35" bestFit="1" customWidth="1"/>
    <col min="14089" max="14089" width="10.7109375" style="35" customWidth="1"/>
    <col min="14090" max="14090" width="12.7109375" style="35" bestFit="1" customWidth="1"/>
    <col min="14091" max="14093" width="8.42578125" style="35" customWidth="1"/>
    <col min="14094" max="14096" width="13" style="35" customWidth="1"/>
    <col min="14097" max="14100" width="9.140625" style="35"/>
    <col min="14101" max="14101" width="8.7109375" style="35" customWidth="1"/>
    <col min="14102" max="14335" width="9.140625" style="35"/>
    <col min="14336" max="14336" width="2.7109375" style="35" customWidth="1"/>
    <col min="14337" max="14337" width="114.42578125" style="35" customWidth="1"/>
    <col min="14338" max="14338" width="0" style="35" hidden="1" customWidth="1"/>
    <col min="14339" max="14339" width="27.5703125" style="35" customWidth="1"/>
    <col min="14340" max="14340" width="20" style="35" customWidth="1"/>
    <col min="14341" max="14341" width="18.28515625" style="35" customWidth="1"/>
    <col min="14342" max="14342" width="20.140625" style="35" customWidth="1"/>
    <col min="14343" max="14343" width="10.7109375" style="35" customWidth="1"/>
    <col min="14344" max="14344" width="14.42578125" style="35" bestFit="1" customWidth="1"/>
    <col min="14345" max="14345" width="10.7109375" style="35" customWidth="1"/>
    <col min="14346" max="14346" width="12.7109375" style="35" bestFit="1" customWidth="1"/>
    <col min="14347" max="14349" width="8.42578125" style="35" customWidth="1"/>
    <col min="14350" max="14352" width="13" style="35" customWidth="1"/>
    <col min="14353" max="14356" width="9.140625" style="35"/>
    <col min="14357" max="14357" width="8.7109375" style="35" customWidth="1"/>
    <col min="14358" max="14591" width="9.140625" style="35"/>
    <col min="14592" max="14592" width="2.7109375" style="35" customWidth="1"/>
    <col min="14593" max="14593" width="114.42578125" style="35" customWidth="1"/>
    <col min="14594" max="14594" width="0" style="35" hidden="1" customWidth="1"/>
    <col min="14595" max="14595" width="27.5703125" style="35" customWidth="1"/>
    <col min="14596" max="14596" width="20" style="35" customWidth="1"/>
    <col min="14597" max="14597" width="18.28515625" style="35" customWidth="1"/>
    <col min="14598" max="14598" width="20.140625" style="35" customWidth="1"/>
    <col min="14599" max="14599" width="10.7109375" style="35" customWidth="1"/>
    <col min="14600" max="14600" width="14.42578125" style="35" bestFit="1" customWidth="1"/>
    <col min="14601" max="14601" width="10.7109375" style="35" customWidth="1"/>
    <col min="14602" max="14602" width="12.7109375" style="35" bestFit="1" customWidth="1"/>
    <col min="14603" max="14605" width="8.42578125" style="35" customWidth="1"/>
    <col min="14606" max="14608" width="13" style="35" customWidth="1"/>
    <col min="14609" max="14612" width="9.140625" style="35"/>
    <col min="14613" max="14613" width="8.7109375" style="35" customWidth="1"/>
    <col min="14614" max="14847" width="9.140625" style="35"/>
    <col min="14848" max="14848" width="2.7109375" style="35" customWidth="1"/>
    <col min="14849" max="14849" width="114.42578125" style="35" customWidth="1"/>
    <col min="14850" max="14850" width="0" style="35" hidden="1" customWidth="1"/>
    <col min="14851" max="14851" width="27.5703125" style="35" customWidth="1"/>
    <col min="14852" max="14852" width="20" style="35" customWidth="1"/>
    <col min="14853" max="14853" width="18.28515625" style="35" customWidth="1"/>
    <col min="14854" max="14854" width="20.140625" style="35" customWidth="1"/>
    <col min="14855" max="14855" width="10.7109375" style="35" customWidth="1"/>
    <col min="14856" max="14856" width="14.42578125" style="35" bestFit="1" customWidth="1"/>
    <col min="14857" max="14857" width="10.7109375" style="35" customWidth="1"/>
    <col min="14858" max="14858" width="12.7109375" style="35" bestFit="1" customWidth="1"/>
    <col min="14859" max="14861" width="8.42578125" style="35" customWidth="1"/>
    <col min="14862" max="14864" width="13" style="35" customWidth="1"/>
    <col min="14865" max="14868" width="9.140625" style="35"/>
    <col min="14869" max="14869" width="8.7109375" style="35" customWidth="1"/>
    <col min="14870" max="15103" width="9.140625" style="35"/>
    <col min="15104" max="15104" width="2.7109375" style="35" customWidth="1"/>
    <col min="15105" max="15105" width="114.42578125" style="35" customWidth="1"/>
    <col min="15106" max="15106" width="0" style="35" hidden="1" customWidth="1"/>
    <col min="15107" max="15107" width="27.5703125" style="35" customWidth="1"/>
    <col min="15108" max="15108" width="20" style="35" customWidth="1"/>
    <col min="15109" max="15109" width="18.28515625" style="35" customWidth="1"/>
    <col min="15110" max="15110" width="20.140625" style="35" customWidth="1"/>
    <col min="15111" max="15111" width="10.7109375" style="35" customWidth="1"/>
    <col min="15112" max="15112" width="14.42578125" style="35" bestFit="1" customWidth="1"/>
    <col min="15113" max="15113" width="10.7109375" style="35" customWidth="1"/>
    <col min="15114" max="15114" width="12.7109375" style="35" bestFit="1" customWidth="1"/>
    <col min="15115" max="15117" width="8.42578125" style="35" customWidth="1"/>
    <col min="15118" max="15120" width="13" style="35" customWidth="1"/>
    <col min="15121" max="15124" width="9.140625" style="35"/>
    <col min="15125" max="15125" width="8.7109375" style="35" customWidth="1"/>
    <col min="15126" max="15359" width="9.140625" style="35"/>
    <col min="15360" max="15360" width="2.7109375" style="35" customWidth="1"/>
    <col min="15361" max="15361" width="114.42578125" style="35" customWidth="1"/>
    <col min="15362" max="15362" width="0" style="35" hidden="1" customWidth="1"/>
    <col min="15363" max="15363" width="27.5703125" style="35" customWidth="1"/>
    <col min="15364" max="15364" width="20" style="35" customWidth="1"/>
    <col min="15365" max="15365" width="18.28515625" style="35" customWidth="1"/>
    <col min="15366" max="15366" width="20.140625" style="35" customWidth="1"/>
    <col min="15367" max="15367" width="10.7109375" style="35" customWidth="1"/>
    <col min="15368" max="15368" width="14.42578125" style="35" bestFit="1" customWidth="1"/>
    <col min="15369" max="15369" width="10.7109375" style="35" customWidth="1"/>
    <col min="15370" max="15370" width="12.7109375" style="35" bestFit="1" customWidth="1"/>
    <col min="15371" max="15373" width="8.42578125" style="35" customWidth="1"/>
    <col min="15374" max="15376" width="13" style="35" customWidth="1"/>
    <col min="15377" max="15380" width="9.140625" style="35"/>
    <col min="15381" max="15381" width="8.7109375" style="35" customWidth="1"/>
    <col min="15382" max="15615" width="9.140625" style="35"/>
    <col min="15616" max="15616" width="2.7109375" style="35" customWidth="1"/>
    <col min="15617" max="15617" width="114.42578125" style="35" customWidth="1"/>
    <col min="15618" max="15618" width="0" style="35" hidden="1" customWidth="1"/>
    <col min="15619" max="15619" width="27.5703125" style="35" customWidth="1"/>
    <col min="15620" max="15620" width="20" style="35" customWidth="1"/>
    <col min="15621" max="15621" width="18.28515625" style="35" customWidth="1"/>
    <col min="15622" max="15622" width="20.140625" style="35" customWidth="1"/>
    <col min="15623" max="15623" width="10.7109375" style="35" customWidth="1"/>
    <col min="15624" max="15624" width="14.42578125" style="35" bestFit="1" customWidth="1"/>
    <col min="15625" max="15625" width="10.7109375" style="35" customWidth="1"/>
    <col min="15626" max="15626" width="12.7109375" style="35" bestFit="1" customWidth="1"/>
    <col min="15627" max="15629" width="8.42578125" style="35" customWidth="1"/>
    <col min="15630" max="15632" width="13" style="35" customWidth="1"/>
    <col min="15633" max="15636" width="9.140625" style="35"/>
    <col min="15637" max="15637" width="8.7109375" style="35" customWidth="1"/>
    <col min="15638" max="15871" width="9.140625" style="35"/>
    <col min="15872" max="15872" width="2.7109375" style="35" customWidth="1"/>
    <col min="15873" max="15873" width="114.42578125" style="35" customWidth="1"/>
    <col min="15874" max="15874" width="0" style="35" hidden="1" customWidth="1"/>
    <col min="15875" max="15875" width="27.5703125" style="35" customWidth="1"/>
    <col min="15876" max="15876" width="20" style="35" customWidth="1"/>
    <col min="15877" max="15877" width="18.28515625" style="35" customWidth="1"/>
    <col min="15878" max="15878" width="20.140625" style="35" customWidth="1"/>
    <col min="15879" max="15879" width="10.7109375" style="35" customWidth="1"/>
    <col min="15880" max="15880" width="14.42578125" style="35" bestFit="1" customWidth="1"/>
    <col min="15881" max="15881" width="10.7109375" style="35" customWidth="1"/>
    <col min="15882" max="15882" width="12.7109375" style="35" bestFit="1" customWidth="1"/>
    <col min="15883" max="15885" width="8.42578125" style="35" customWidth="1"/>
    <col min="15886" max="15888" width="13" style="35" customWidth="1"/>
    <col min="15889" max="15892" width="9.140625" style="35"/>
    <col min="15893" max="15893" width="8.7109375" style="35" customWidth="1"/>
    <col min="15894" max="16127" width="9.140625" style="35"/>
    <col min="16128" max="16128" width="2.7109375" style="35" customWidth="1"/>
    <col min="16129" max="16129" width="114.42578125" style="35" customWidth="1"/>
    <col min="16130" max="16130" width="0" style="35" hidden="1" customWidth="1"/>
    <col min="16131" max="16131" width="27.5703125" style="35" customWidth="1"/>
    <col min="16132" max="16132" width="20" style="35" customWidth="1"/>
    <col min="16133" max="16133" width="18.28515625" style="35" customWidth="1"/>
    <col min="16134" max="16134" width="20.140625" style="35" customWidth="1"/>
    <col min="16135" max="16135" width="10.7109375" style="35" customWidth="1"/>
    <col min="16136" max="16136" width="14.42578125" style="35" bestFit="1" customWidth="1"/>
    <col min="16137" max="16137" width="10.7109375" style="35" customWidth="1"/>
    <col min="16138" max="16138" width="12.7109375" style="35" bestFit="1" customWidth="1"/>
    <col min="16139" max="16141" width="8.42578125" style="35" customWidth="1"/>
    <col min="16142" max="16144" width="13" style="35" customWidth="1"/>
    <col min="16145" max="16148" width="9.140625" style="35"/>
    <col min="16149" max="16149" width="8.7109375" style="35" customWidth="1"/>
    <col min="16150" max="16384" width="9.140625" style="35"/>
  </cols>
  <sheetData>
    <row r="2" spans="1:24" ht="15" x14ac:dyDescent="0.25">
      <c r="B2" s="63" t="str">
        <f>"Tariff Approval - "&amp;'Model update'!$C$3</f>
        <v>Tariff Approval - CitiPower</v>
      </c>
      <c r="D2" s="38"/>
      <c r="M2" s="77"/>
      <c r="N2" s="77"/>
      <c r="O2" s="77"/>
      <c r="P2" s="77"/>
      <c r="Q2" s="77"/>
      <c r="R2" s="77"/>
    </row>
    <row r="3" spans="1:24" ht="15" x14ac:dyDescent="0.25">
      <c r="B3" s="139"/>
      <c r="D3" s="38"/>
      <c r="M3" s="77"/>
      <c r="N3" s="77"/>
      <c r="O3" s="77"/>
      <c r="P3" s="77"/>
      <c r="Q3" s="77"/>
      <c r="R3" s="77"/>
    </row>
    <row r="4" spans="1:24" ht="18.75" x14ac:dyDescent="0.3">
      <c r="B4" s="140" t="s">
        <v>281</v>
      </c>
      <c r="C4" s="141"/>
      <c r="D4" s="38"/>
      <c r="M4" s="77"/>
      <c r="N4" s="77"/>
      <c r="O4" s="77"/>
      <c r="P4" s="77"/>
      <c r="Q4" s="77"/>
      <c r="R4" s="77"/>
    </row>
    <row r="5" spans="1:24" ht="15" x14ac:dyDescent="0.25">
      <c r="B5" s="39"/>
      <c r="D5" s="38"/>
      <c r="M5" s="77"/>
      <c r="N5" s="77"/>
      <c r="O5" s="77"/>
      <c r="P5" s="77"/>
      <c r="Q5" s="77"/>
      <c r="R5" s="77"/>
    </row>
    <row r="6" spans="1:24" ht="15" x14ac:dyDescent="0.25">
      <c r="B6" s="73" t="s">
        <v>220</v>
      </c>
      <c r="C6" s="93">
        <f>'Model update'!C5</f>
        <v>2019</v>
      </c>
      <c r="D6" s="38"/>
      <c r="M6" s="77"/>
      <c r="N6" s="77"/>
      <c r="O6" s="77"/>
      <c r="P6" s="77"/>
      <c r="Q6" s="77"/>
      <c r="R6" s="77"/>
    </row>
    <row r="7" spans="1:24" ht="15" x14ac:dyDescent="0.25">
      <c r="B7" s="37"/>
      <c r="C7" s="41"/>
      <c r="D7" s="38"/>
      <c r="E7" s="32"/>
      <c r="F7" s="32"/>
      <c r="G7" s="32"/>
      <c r="H7" s="32"/>
      <c r="I7" s="42"/>
      <c r="J7" s="42"/>
      <c r="K7" s="32"/>
      <c r="L7" s="32"/>
      <c r="M7" s="83"/>
      <c r="N7" s="83"/>
      <c r="O7" s="83"/>
      <c r="P7" s="83"/>
      <c r="Q7" s="83"/>
      <c r="R7" s="83"/>
      <c r="S7" s="32"/>
    </row>
    <row r="8" spans="1:24" ht="18" customHeight="1" x14ac:dyDescent="0.2">
      <c r="A8" s="43"/>
      <c r="B8" s="44" t="s">
        <v>282</v>
      </c>
      <c r="C8" s="46"/>
      <c r="D8" s="47"/>
      <c r="E8" s="47"/>
      <c r="M8" s="77"/>
      <c r="N8" s="77"/>
      <c r="O8" s="77"/>
      <c r="P8" s="77"/>
      <c r="Q8" s="77"/>
      <c r="R8" s="77"/>
    </row>
    <row r="9" spans="1:24" ht="18" customHeight="1" x14ac:dyDescent="0.2">
      <c r="A9" s="43"/>
      <c r="B9" s="48" t="s">
        <v>283</v>
      </c>
      <c r="C9" s="72">
        <f>Prop2019JSTar!BQ66</f>
        <v>2336340.8601381243</v>
      </c>
      <c r="D9" s="775"/>
      <c r="E9" s="36"/>
      <c r="I9" s="35"/>
      <c r="J9" s="35"/>
      <c r="M9" s="77"/>
      <c r="N9" s="77"/>
      <c r="O9" s="77"/>
      <c r="P9" s="77"/>
      <c r="Q9" s="77"/>
      <c r="R9" s="77"/>
    </row>
    <row r="10" spans="1:24" ht="18" customHeight="1" x14ac:dyDescent="0.2">
      <c r="A10" s="43"/>
      <c r="B10" s="84" t="s">
        <v>284</v>
      </c>
      <c r="C10" s="85">
        <f>C17</f>
        <v>2342116.8000408048</v>
      </c>
      <c r="D10" s="49"/>
      <c r="E10" s="145"/>
      <c r="I10" s="35"/>
      <c r="J10" s="35"/>
      <c r="M10" s="77"/>
      <c r="N10" s="77"/>
      <c r="O10" s="77"/>
      <c r="P10" s="77"/>
      <c r="Q10" s="77"/>
      <c r="R10" s="77"/>
    </row>
    <row r="11" spans="1:24" ht="18" customHeight="1" x14ac:dyDescent="0.25">
      <c r="A11" s="43"/>
      <c r="B11" s="86"/>
      <c r="C11" s="88" t="str">
        <f>IF(C9="","",IF(C10&gt;=C9,"JSA REVENUE FORMULA COMPLIANT","JSA REVENUE FORMULA BREACHED"))</f>
        <v>JSA REVENUE FORMULA COMPLIANT</v>
      </c>
      <c r="D11" s="50"/>
      <c r="E11" s="74"/>
      <c r="F11" s="75"/>
      <c r="G11" s="75"/>
      <c r="H11" s="75"/>
      <c r="I11" s="75"/>
      <c r="J11" s="75"/>
      <c r="K11" s="75"/>
      <c r="L11" s="75"/>
      <c r="M11" s="77"/>
      <c r="N11" s="77"/>
      <c r="O11" s="77"/>
      <c r="P11" s="77"/>
      <c r="Q11" s="77"/>
      <c r="R11" s="77"/>
      <c r="V11" s="51"/>
      <c r="W11" s="51"/>
      <c r="X11" s="51"/>
    </row>
    <row r="12" spans="1:24" ht="18" customHeight="1" x14ac:dyDescent="0.25">
      <c r="A12" s="43"/>
      <c r="B12" s="50"/>
      <c r="C12" s="50"/>
      <c r="D12" s="50"/>
      <c r="E12" s="74"/>
      <c r="F12" s="75"/>
      <c r="G12" s="75"/>
      <c r="H12" s="75"/>
      <c r="I12" s="75"/>
      <c r="J12" s="75"/>
      <c r="K12" s="75"/>
      <c r="L12" s="75"/>
      <c r="M12" s="77"/>
      <c r="N12" s="77"/>
      <c r="O12" s="77"/>
      <c r="P12" s="77"/>
      <c r="Q12" s="77"/>
      <c r="R12" s="77"/>
      <c r="V12" s="51"/>
      <c r="W12" s="51"/>
      <c r="X12" s="51"/>
    </row>
    <row r="13" spans="1:24" ht="18" customHeight="1" x14ac:dyDescent="0.25">
      <c r="A13" s="43"/>
      <c r="B13" s="44" t="s">
        <v>287</v>
      </c>
      <c r="C13" s="50"/>
      <c r="D13" s="50"/>
      <c r="E13" s="74"/>
      <c r="F13" s="75"/>
      <c r="G13" s="75"/>
      <c r="H13" s="75"/>
      <c r="I13" s="75"/>
      <c r="J13" s="75"/>
      <c r="K13" s="75"/>
      <c r="L13" s="75"/>
      <c r="M13" s="77"/>
      <c r="N13" s="77"/>
      <c r="O13" s="77"/>
      <c r="P13" s="77"/>
      <c r="Q13" s="77"/>
      <c r="R13" s="77"/>
      <c r="V13" s="51"/>
      <c r="W13" s="51"/>
      <c r="X13" s="51"/>
    </row>
    <row r="14" spans="1:24" ht="18" customHeight="1" x14ac:dyDescent="0.25">
      <c r="A14" s="43"/>
      <c r="B14" s="53" t="s">
        <v>288</v>
      </c>
      <c r="C14" s="64">
        <f>C22</f>
        <v>2000000</v>
      </c>
      <c r="D14" s="50"/>
      <c r="E14" s="74"/>
      <c r="F14" s="75"/>
      <c r="G14" s="75"/>
      <c r="H14" s="75"/>
      <c r="I14" s="75"/>
      <c r="J14" s="75"/>
      <c r="K14" s="75"/>
      <c r="L14" s="75"/>
      <c r="M14" s="77"/>
      <c r="N14" s="77"/>
      <c r="O14" s="77"/>
      <c r="P14" s="77"/>
      <c r="Q14" s="77"/>
      <c r="R14" s="77"/>
      <c r="V14" s="51"/>
      <c r="W14" s="51"/>
      <c r="X14" s="51"/>
    </row>
    <row r="15" spans="1:24" ht="18" customHeight="1" x14ac:dyDescent="0.25">
      <c r="A15" s="43"/>
      <c r="B15" s="54" t="s">
        <v>285</v>
      </c>
      <c r="C15" s="774">
        <f>-E56*(1+E54)^0.5</f>
        <v>342116.80004080461</v>
      </c>
      <c r="D15" s="50"/>
      <c r="E15" s="74"/>
      <c r="F15" s="75"/>
      <c r="G15" s="75"/>
      <c r="H15" s="75"/>
      <c r="I15" s="75"/>
      <c r="J15" s="75"/>
      <c r="K15" s="75"/>
      <c r="L15" s="75"/>
      <c r="M15" s="77"/>
      <c r="N15" s="77"/>
      <c r="O15" s="77"/>
      <c r="P15" s="77"/>
      <c r="Q15" s="77"/>
      <c r="R15" s="77"/>
      <c r="V15" s="51"/>
      <c r="W15" s="51"/>
      <c r="X15" s="51"/>
    </row>
    <row r="16" spans="1:24" ht="18" customHeight="1" x14ac:dyDescent="0.25">
      <c r="A16" s="43"/>
      <c r="B16" s="54" t="s">
        <v>286</v>
      </c>
      <c r="C16" s="675"/>
      <c r="D16" s="50"/>
      <c r="E16" s="74"/>
      <c r="F16" s="75"/>
      <c r="G16" s="75"/>
      <c r="H16" s="75"/>
      <c r="I16" s="75"/>
      <c r="J16" s="75"/>
      <c r="K16" s="75"/>
      <c r="L16" s="75"/>
      <c r="M16" s="77"/>
      <c r="N16" s="77"/>
      <c r="O16" s="77"/>
      <c r="P16" s="77"/>
      <c r="Q16" s="77"/>
      <c r="R16" s="77"/>
      <c r="V16" s="51"/>
      <c r="W16" s="51"/>
      <c r="X16" s="51"/>
    </row>
    <row r="17" spans="1:24" ht="18" customHeight="1" x14ac:dyDescent="0.25">
      <c r="A17" s="43"/>
      <c r="B17" s="48" t="s">
        <v>284</v>
      </c>
      <c r="C17" s="65">
        <f>SUM(C14:C16)</f>
        <v>2342116.8000408048</v>
      </c>
      <c r="D17" s="50"/>
      <c r="E17" s="74"/>
      <c r="F17" s="75"/>
      <c r="G17" s="75"/>
      <c r="H17" s="75"/>
      <c r="I17" s="75"/>
      <c r="J17" s="75"/>
      <c r="K17" s="75"/>
      <c r="L17" s="75"/>
      <c r="M17" s="77"/>
      <c r="N17" s="77"/>
      <c r="O17" s="77"/>
      <c r="P17" s="77"/>
      <c r="Q17" s="77"/>
      <c r="R17" s="77"/>
      <c r="V17" s="51"/>
      <c r="W17" s="51"/>
      <c r="X17" s="51"/>
    </row>
    <row r="18" spans="1:24" ht="18" customHeight="1" x14ac:dyDescent="0.25">
      <c r="A18" s="43"/>
      <c r="B18" s="56"/>
      <c r="C18" s="91"/>
      <c r="D18" s="50"/>
      <c r="E18" s="74"/>
      <c r="F18" s="75"/>
      <c r="G18" s="75"/>
      <c r="H18" s="75"/>
      <c r="I18" s="75"/>
      <c r="J18" s="75"/>
      <c r="K18" s="75"/>
      <c r="L18" s="75"/>
      <c r="M18" s="77"/>
      <c r="N18" s="77"/>
      <c r="O18" s="77"/>
      <c r="P18" s="77"/>
      <c r="Q18" s="77"/>
      <c r="R18" s="77"/>
      <c r="V18" s="51"/>
      <c r="W18" s="51"/>
      <c r="X18" s="51"/>
    </row>
    <row r="19" spans="1:24" ht="18" customHeight="1" x14ac:dyDescent="0.25">
      <c r="A19" s="43"/>
      <c r="B19" s="44" t="s">
        <v>289</v>
      </c>
      <c r="C19" s="50"/>
      <c r="D19" s="50"/>
      <c r="E19" s="74"/>
      <c r="F19" s="75"/>
      <c r="G19" s="75"/>
      <c r="H19" s="75"/>
      <c r="I19" s="75"/>
      <c r="J19" s="75"/>
      <c r="K19" s="75"/>
      <c r="L19" s="75"/>
      <c r="M19" s="77"/>
      <c r="N19" s="77"/>
      <c r="O19" s="77"/>
      <c r="P19" s="77"/>
      <c r="Q19" s="77"/>
      <c r="R19" s="77"/>
      <c r="V19" s="51"/>
      <c r="W19" s="51"/>
      <c r="X19" s="51"/>
    </row>
    <row r="20" spans="1:24" ht="18" customHeight="1" x14ac:dyDescent="0.25">
      <c r="A20" s="43"/>
      <c r="B20" s="53" t="s">
        <v>271</v>
      </c>
      <c r="C20" s="797">
        <v>2000000</v>
      </c>
      <c r="D20" s="50"/>
      <c r="E20" s="74"/>
      <c r="F20" s="75"/>
      <c r="G20" s="75"/>
      <c r="H20" s="75"/>
      <c r="I20" s="75"/>
      <c r="J20" s="75"/>
      <c r="K20" s="75"/>
      <c r="L20" s="75"/>
      <c r="M20" s="77"/>
      <c r="N20" s="77"/>
      <c r="O20" s="77"/>
      <c r="P20" s="77"/>
      <c r="Q20" s="77"/>
      <c r="R20" s="77"/>
      <c r="V20" s="51"/>
      <c r="W20" s="51"/>
      <c r="X20" s="51"/>
    </row>
    <row r="21" spans="1:24" ht="18" customHeight="1" x14ac:dyDescent="0.25">
      <c r="A21" s="43"/>
      <c r="B21" s="54" t="s">
        <v>272</v>
      </c>
      <c r="C21" s="664">
        <v>0</v>
      </c>
      <c r="D21" s="50"/>
      <c r="E21" s="74"/>
      <c r="F21" s="75"/>
      <c r="G21" s="75"/>
      <c r="H21" s="75"/>
      <c r="I21" s="75"/>
      <c r="J21" s="75"/>
      <c r="K21" s="75"/>
      <c r="L21" s="75"/>
      <c r="M21" s="77"/>
      <c r="N21" s="77"/>
      <c r="O21" s="77"/>
      <c r="P21" s="77"/>
      <c r="Q21" s="77"/>
      <c r="R21" s="77"/>
      <c r="V21" s="51"/>
      <c r="W21" s="51"/>
      <c r="X21" s="51"/>
    </row>
    <row r="22" spans="1:24" ht="18" customHeight="1" x14ac:dyDescent="0.25">
      <c r="A22" s="43"/>
      <c r="B22" s="48" t="s">
        <v>290</v>
      </c>
      <c r="C22" s="65">
        <f>SUM(C20:C21)</f>
        <v>2000000</v>
      </c>
      <c r="D22" s="50"/>
      <c r="E22" s="74"/>
      <c r="F22" s="75"/>
      <c r="G22" s="75"/>
      <c r="H22" s="75"/>
      <c r="I22" s="75"/>
      <c r="J22" s="75"/>
      <c r="K22" s="75"/>
      <c r="L22" s="75"/>
      <c r="M22" s="77"/>
      <c r="N22" s="77"/>
      <c r="O22" s="77"/>
      <c r="P22" s="77"/>
      <c r="Q22" s="77"/>
      <c r="R22" s="77"/>
      <c r="V22" s="51"/>
      <c r="W22" s="51"/>
      <c r="X22" s="51"/>
    </row>
    <row r="23" spans="1:24" ht="18" customHeight="1" x14ac:dyDescent="0.25">
      <c r="A23" s="43"/>
      <c r="B23" s="57"/>
      <c r="C23" s="68"/>
      <c r="D23" s="50"/>
      <c r="E23" s="74"/>
      <c r="F23" s="75"/>
      <c r="G23" s="75"/>
      <c r="H23" s="75"/>
      <c r="I23" s="75"/>
      <c r="J23" s="75"/>
      <c r="K23" s="75"/>
      <c r="L23" s="75"/>
      <c r="M23" s="77"/>
      <c r="N23" s="77"/>
      <c r="O23" s="77"/>
      <c r="P23" s="77"/>
      <c r="Q23" s="77"/>
      <c r="R23" s="77"/>
      <c r="V23" s="51"/>
      <c r="W23" s="51"/>
      <c r="X23" s="51"/>
    </row>
    <row r="27" spans="1:24" ht="15.75" x14ac:dyDescent="0.25">
      <c r="B27" s="105" t="s">
        <v>291</v>
      </c>
    </row>
    <row r="28" spans="1:24" ht="15" x14ac:dyDescent="0.25">
      <c r="B28" s="97"/>
      <c r="C28" s="110" t="s">
        <v>219</v>
      </c>
      <c r="D28" s="110" t="s">
        <v>486</v>
      </c>
      <c r="E28" s="110" t="s">
        <v>35</v>
      </c>
    </row>
    <row r="29" spans="1:24" ht="15" x14ac:dyDescent="0.25">
      <c r="B29" s="98"/>
      <c r="C29" s="111" t="s">
        <v>34</v>
      </c>
      <c r="D29" s="111" t="s">
        <v>395</v>
      </c>
      <c r="E29" s="111" t="s">
        <v>36</v>
      </c>
    </row>
    <row r="30" spans="1:24" ht="15" x14ac:dyDescent="0.25">
      <c r="B30" s="98"/>
      <c r="C30" s="112">
        <f>D30-1</f>
        <v>2017</v>
      </c>
      <c r="D30" s="112">
        <f>E30-1</f>
        <v>2018</v>
      </c>
      <c r="E30" s="112">
        <f>C$6</f>
        <v>2019</v>
      </c>
    </row>
    <row r="31" spans="1:24" x14ac:dyDescent="0.2">
      <c r="B31" s="98"/>
      <c r="C31" s="96"/>
      <c r="D31" s="96"/>
      <c r="E31" s="108"/>
    </row>
    <row r="32" spans="1:24" ht="15" x14ac:dyDescent="0.25">
      <c r="B32" s="613" t="s">
        <v>292</v>
      </c>
      <c r="C32" s="793">
        <v>2131997</v>
      </c>
      <c r="D32" s="605">
        <f>Est2018JSRev!BQ66</f>
        <v>2177072.3083244404</v>
      </c>
      <c r="E32" s="95">
        <f>C9</f>
        <v>2336340.8601381243</v>
      </c>
    </row>
    <row r="33" spans="2:7" x14ac:dyDescent="0.2">
      <c r="B33" s="388"/>
      <c r="C33" s="96"/>
      <c r="D33" s="96"/>
      <c r="E33" s="107"/>
    </row>
    <row r="34" spans="2:7" x14ac:dyDescent="0.2">
      <c r="B34" s="99"/>
      <c r="C34" s="96"/>
      <c r="D34" s="96"/>
      <c r="E34" s="107"/>
    </row>
    <row r="35" spans="2:7" ht="15" x14ac:dyDescent="0.25">
      <c r="B35" s="100" t="s">
        <v>293</v>
      </c>
      <c r="C35" s="95">
        <f>SUM(C37:C39)</f>
        <v>2702699.8009372894</v>
      </c>
      <c r="D35" s="95">
        <f>SUM(D37:D39)</f>
        <v>2026830.3180606128</v>
      </c>
      <c r="E35" s="95">
        <f>SUM(E37:E39)</f>
        <v>2000000</v>
      </c>
    </row>
    <row r="36" spans="2:7" ht="15" x14ac:dyDescent="0.25">
      <c r="B36" s="100"/>
      <c r="C36" s="95"/>
      <c r="D36" s="95"/>
      <c r="E36" s="95"/>
    </row>
    <row r="37" spans="2:7" x14ac:dyDescent="0.2">
      <c r="B37" s="101" t="s">
        <v>294</v>
      </c>
      <c r="C37" s="728">
        <v>299480.97093728953</v>
      </c>
      <c r="D37" s="743"/>
      <c r="E37" s="720"/>
    </row>
    <row r="38" spans="2:7" x14ac:dyDescent="0.2">
      <c r="B38" s="101"/>
      <c r="C38" s="144"/>
      <c r="D38" s="144"/>
      <c r="E38" s="619"/>
    </row>
    <row r="39" spans="2:7" x14ac:dyDescent="0.2">
      <c r="B39" s="101" t="s">
        <v>295</v>
      </c>
      <c r="C39" s="94">
        <f>SUM(C40:C41)</f>
        <v>2403218.83</v>
      </c>
      <c r="D39" s="94">
        <f>SUM(D40:D41)</f>
        <v>2026830.3180606128</v>
      </c>
      <c r="E39" s="94">
        <f>SUM(E40:E41)</f>
        <v>2000000</v>
      </c>
    </row>
    <row r="40" spans="2:7" ht="15" x14ac:dyDescent="0.2">
      <c r="B40" s="102" t="s">
        <v>296</v>
      </c>
      <c r="C40" s="144">
        <f>'JS cost audit template'!F4</f>
        <v>2326752.91</v>
      </c>
      <c r="D40" s="798">
        <v>2026830.3180606128</v>
      </c>
      <c r="E40" s="142">
        <f>C20</f>
        <v>2000000</v>
      </c>
    </row>
    <row r="41" spans="2:7" x14ac:dyDescent="0.2">
      <c r="B41" s="102" t="s">
        <v>297</v>
      </c>
      <c r="C41" s="716">
        <f>'JS cost audit template'!F5</f>
        <v>76465.919999999998</v>
      </c>
      <c r="D41" s="661">
        <v>0</v>
      </c>
      <c r="E41" s="117">
        <f>C21</f>
        <v>0</v>
      </c>
    </row>
    <row r="42" spans="2:7" ht="15" x14ac:dyDescent="0.25">
      <c r="B42" s="103"/>
      <c r="C42" s="96"/>
      <c r="D42" s="96"/>
      <c r="E42" s="107"/>
    </row>
    <row r="43" spans="2:7" x14ac:dyDescent="0.2">
      <c r="B43" s="101"/>
      <c r="C43" s="144"/>
      <c r="D43" s="144"/>
      <c r="E43" s="109"/>
    </row>
    <row r="44" spans="2:7" x14ac:dyDescent="0.2">
      <c r="B44" s="104"/>
      <c r="C44" s="96"/>
      <c r="D44" s="96"/>
      <c r="E44" s="107"/>
    </row>
    <row r="45" spans="2:7" ht="15" x14ac:dyDescent="0.25">
      <c r="B45" s="614" t="s">
        <v>45</v>
      </c>
      <c r="C45" s="95">
        <f>C32-C35</f>
        <v>-570702.80093728937</v>
      </c>
      <c r="D45" s="95">
        <f>D32-D35</f>
        <v>150241.99026382761</v>
      </c>
      <c r="E45" s="95">
        <f>E32-E35</f>
        <v>336340.86013812432</v>
      </c>
      <c r="G45" s="749"/>
    </row>
    <row r="46" spans="2:7" x14ac:dyDescent="0.2">
      <c r="B46" s="40"/>
      <c r="D46" s="34"/>
    </row>
    <row r="47" spans="2:7" x14ac:dyDescent="0.2">
      <c r="B47" s="40"/>
      <c r="D47" s="34"/>
    </row>
    <row r="48" spans="2:7" x14ac:dyDescent="0.2">
      <c r="B48" s="40"/>
      <c r="D48" s="34"/>
    </row>
    <row r="49" spans="2:7" ht="15.75" x14ac:dyDescent="0.25">
      <c r="B49" s="105" t="s">
        <v>298</v>
      </c>
      <c r="D49" s="34"/>
    </row>
    <row r="50" spans="2:7" ht="15" x14ac:dyDescent="0.25">
      <c r="B50" s="615"/>
      <c r="C50" s="110" t="s">
        <v>219</v>
      </c>
      <c r="D50" s="110" t="s">
        <v>486</v>
      </c>
      <c r="E50" s="110" t="s">
        <v>35</v>
      </c>
    </row>
    <row r="51" spans="2:7" ht="15" x14ac:dyDescent="0.25">
      <c r="B51" s="104"/>
      <c r="C51" s="111" t="s">
        <v>34</v>
      </c>
      <c r="D51" s="111" t="s">
        <v>395</v>
      </c>
      <c r="E51" s="111" t="s">
        <v>36</v>
      </c>
    </row>
    <row r="52" spans="2:7" ht="15" x14ac:dyDescent="0.25">
      <c r="B52" s="616" t="s">
        <v>221</v>
      </c>
      <c r="C52" s="112">
        <f>D52-1</f>
        <v>2017</v>
      </c>
      <c r="D52" s="112">
        <f>E52-1</f>
        <v>2018</v>
      </c>
      <c r="E52" s="112">
        <f>C$6</f>
        <v>2019</v>
      </c>
    </row>
    <row r="53" spans="2:7" x14ac:dyDescent="0.2">
      <c r="B53" s="104"/>
      <c r="C53" s="106"/>
      <c r="D53" s="106"/>
      <c r="E53" s="108"/>
    </row>
    <row r="54" spans="2:7" x14ac:dyDescent="0.2">
      <c r="B54" s="104" t="s">
        <v>489</v>
      </c>
      <c r="C54" s="606">
        <f>(1+'Model update'!$B$47)*(1+'Model update'!$C$28)-1</f>
        <v>4.6729804402760422E-2</v>
      </c>
      <c r="D54" s="106">
        <f>(1+'Model update'!$B$45)*(1+'Model update'!$C$29)-1</f>
        <v>5.5656482586260436E-2</v>
      </c>
      <c r="E54" s="607">
        <f>(1+'Model update'!$B$43)*(1+'Model update'!$C$30)-1</f>
        <v>5.6586211801394226E-2</v>
      </c>
    </row>
    <row r="55" spans="2:7" x14ac:dyDescent="0.2">
      <c r="B55" s="104"/>
      <c r="C55" s="96"/>
      <c r="D55" s="96"/>
      <c r="E55" s="108"/>
    </row>
    <row r="56" spans="2:7" x14ac:dyDescent="0.2">
      <c r="B56" s="104" t="s">
        <v>47</v>
      </c>
      <c r="C56" s="728">
        <v>116911.78619109535</v>
      </c>
      <c r="D56" s="107">
        <f>C60</f>
        <v>-461509.92313195125</v>
      </c>
      <c r="E56" s="107">
        <f>D60</f>
        <v>-332829.59134964237</v>
      </c>
    </row>
    <row r="57" spans="2:7" x14ac:dyDescent="0.2">
      <c r="B57" s="104" t="s">
        <v>488</v>
      </c>
      <c r="C57" s="144">
        <f>C56*C54</f>
        <v>5463.2649010872328</v>
      </c>
      <c r="D57" s="144">
        <f>D56*D54</f>
        <v>-25686.019000179836</v>
      </c>
      <c r="E57" s="144">
        <f>E56*E54</f>
        <v>-18833.565749882349</v>
      </c>
    </row>
    <row r="58" spans="2:7" x14ac:dyDescent="0.2">
      <c r="B58" s="104" t="s">
        <v>48</v>
      </c>
      <c r="C58" s="107">
        <f>C45</f>
        <v>-570702.80093728937</v>
      </c>
      <c r="D58" s="107">
        <f>D45</f>
        <v>150241.99026382761</v>
      </c>
      <c r="E58" s="107">
        <f>E45</f>
        <v>336340.86013812432</v>
      </c>
    </row>
    <row r="59" spans="2:7" x14ac:dyDescent="0.2">
      <c r="B59" s="104" t="s">
        <v>412</v>
      </c>
      <c r="C59" s="144">
        <f>C58*((1+C54)^0.5-1)</f>
        <v>-13182.173286844465</v>
      </c>
      <c r="D59" s="144">
        <f>D58*((1+D54)^0.5-1)</f>
        <v>4124.3605186610721</v>
      </c>
      <c r="E59" s="144">
        <f>E58*((1+E54)^0.5-1)</f>
        <v>9385.186415670345</v>
      </c>
    </row>
    <row r="60" spans="2:7" ht="15" x14ac:dyDescent="0.25">
      <c r="B60" s="614" t="s">
        <v>356</v>
      </c>
      <c r="C60" s="95">
        <f>SUM(C56:C59)</f>
        <v>-461509.92313195125</v>
      </c>
      <c r="D60" s="95">
        <f t="shared" ref="D60:E60" si="0">SUM(D56:D59)</f>
        <v>-332829.59134964237</v>
      </c>
      <c r="E60" s="95">
        <f t="shared" si="0"/>
        <v>-5937.11054573008</v>
      </c>
      <c r="G60" s="751"/>
    </row>
    <row r="62" spans="2:7" x14ac:dyDescent="0.2">
      <c r="B62" s="673" t="s">
        <v>502</v>
      </c>
    </row>
  </sheetData>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B0F0"/>
    <pageSetUpPr fitToPage="1"/>
  </sheetPr>
  <dimension ref="A1:AO176"/>
  <sheetViews>
    <sheetView showGridLines="0" zoomScale="90" zoomScaleNormal="90" workbookViewId="0"/>
  </sheetViews>
  <sheetFormatPr defaultColWidth="9.140625" defaultRowHeight="12.75" x14ac:dyDescent="0.2"/>
  <cols>
    <col min="1" max="1" width="4.7109375" style="196" customWidth="1"/>
    <col min="2" max="2" width="35.140625" style="222" bestFit="1" customWidth="1"/>
    <col min="3" max="3" width="12.140625" style="222" customWidth="1"/>
    <col min="4" max="4" width="16" style="222" customWidth="1"/>
    <col min="5" max="5" width="10.140625" style="222" customWidth="1"/>
    <col min="6" max="6" width="13.7109375" style="222" customWidth="1"/>
    <col min="7" max="13" width="10.5703125" style="196" customWidth="1"/>
    <col min="14" max="14" width="10.5703125" style="222" customWidth="1"/>
    <col min="15" max="16384" width="9.140625" style="222"/>
  </cols>
  <sheetData>
    <row r="1" spans="1:41" s="196" customFormat="1" ht="15.75" thickBot="1" x14ac:dyDescent="0.3">
      <c r="A1" s="89"/>
      <c r="B1" s="150" t="str">
        <f>"Tariff Approval - "&amp;'Model update'!C3</f>
        <v>Tariff Approval - CitiPower</v>
      </c>
    </row>
    <row r="2" spans="1:41" x14ac:dyDescent="0.2">
      <c r="B2" s="804" t="s">
        <v>270</v>
      </c>
      <c r="C2" s="805"/>
      <c r="D2" s="805"/>
      <c r="E2" s="155"/>
      <c r="F2" s="118" t="s">
        <v>225</v>
      </c>
      <c r="N2" s="196"/>
      <c r="O2" s="196"/>
      <c r="P2" s="196"/>
      <c r="Q2" s="196"/>
      <c r="R2" s="196"/>
      <c r="S2" s="196"/>
      <c r="T2" s="196"/>
      <c r="U2" s="196"/>
      <c r="V2" s="196"/>
      <c r="W2" s="196"/>
      <c r="X2" s="196"/>
      <c r="Y2" s="196"/>
      <c r="Z2" s="196"/>
      <c r="AA2" s="196"/>
      <c r="AB2" s="196"/>
      <c r="AC2" s="196"/>
      <c r="AD2" s="196"/>
      <c r="AE2" s="196"/>
      <c r="AF2" s="196"/>
      <c r="AG2" s="196"/>
      <c r="AH2" s="196"/>
      <c r="AI2" s="196"/>
      <c r="AJ2" s="196"/>
      <c r="AK2" s="196"/>
      <c r="AL2" s="196"/>
      <c r="AM2" s="196"/>
      <c r="AN2" s="196"/>
      <c r="AO2" s="196"/>
    </row>
    <row r="3" spans="1:41" x14ac:dyDescent="0.2">
      <c r="B3" s="806"/>
      <c r="C3" s="807"/>
      <c r="D3" s="807"/>
      <c r="E3" s="158"/>
      <c r="F3" s="119"/>
      <c r="N3" s="196"/>
      <c r="O3" s="196"/>
      <c r="P3" s="196"/>
      <c r="Q3" s="196"/>
      <c r="R3" s="196"/>
      <c r="S3" s="196"/>
      <c r="T3" s="196"/>
      <c r="U3" s="196"/>
      <c r="V3" s="196"/>
      <c r="W3" s="196"/>
      <c r="X3" s="196"/>
      <c r="Y3" s="196"/>
      <c r="Z3" s="196"/>
      <c r="AA3" s="196"/>
      <c r="AB3" s="196"/>
      <c r="AC3" s="196"/>
      <c r="AD3" s="196"/>
      <c r="AE3" s="196"/>
      <c r="AF3" s="196"/>
      <c r="AG3" s="196"/>
      <c r="AH3" s="196"/>
      <c r="AI3" s="196"/>
      <c r="AJ3" s="196"/>
      <c r="AK3" s="196"/>
      <c r="AL3" s="196"/>
      <c r="AM3" s="196"/>
      <c r="AN3" s="196"/>
      <c r="AO3" s="196"/>
    </row>
    <row r="4" spans="1:41" x14ac:dyDescent="0.2">
      <c r="B4" s="806" t="s">
        <v>271</v>
      </c>
      <c r="C4" s="807"/>
      <c r="D4" s="807"/>
      <c r="E4" s="158"/>
      <c r="F4" s="119">
        <v>2326752.91</v>
      </c>
      <c r="N4" s="196"/>
      <c r="O4" s="196"/>
      <c r="P4" s="196"/>
      <c r="Q4" s="196"/>
      <c r="R4" s="196"/>
      <c r="S4" s="196"/>
      <c r="T4" s="196"/>
      <c r="U4" s="196"/>
      <c r="V4" s="196"/>
      <c r="W4" s="196"/>
      <c r="X4" s="196"/>
      <c r="Y4" s="196"/>
      <c r="Z4" s="196"/>
      <c r="AA4" s="196"/>
      <c r="AB4" s="196"/>
      <c r="AC4" s="196"/>
      <c r="AD4" s="196"/>
      <c r="AE4" s="196"/>
      <c r="AF4" s="196"/>
      <c r="AG4" s="196"/>
      <c r="AH4" s="196"/>
      <c r="AI4" s="196"/>
      <c r="AJ4" s="196"/>
      <c r="AK4" s="196"/>
      <c r="AL4" s="196"/>
      <c r="AM4" s="196"/>
      <c r="AN4" s="196"/>
      <c r="AO4" s="196"/>
    </row>
    <row r="5" spans="1:41" x14ac:dyDescent="0.2">
      <c r="B5" s="806" t="s">
        <v>272</v>
      </c>
      <c r="C5" s="807"/>
      <c r="D5" s="807"/>
      <c r="E5" s="158"/>
      <c r="F5" s="119">
        <v>76465.919999999998</v>
      </c>
      <c r="N5" s="196"/>
      <c r="O5" s="196"/>
      <c r="P5" s="196"/>
      <c r="Q5" s="196"/>
      <c r="R5" s="196"/>
      <c r="S5" s="196"/>
      <c r="T5" s="196"/>
      <c r="U5" s="196"/>
      <c r="V5" s="196"/>
      <c r="W5" s="196"/>
      <c r="X5" s="196"/>
      <c r="Y5" s="196"/>
      <c r="Z5" s="196"/>
      <c r="AA5" s="196"/>
      <c r="AB5" s="196"/>
      <c r="AC5" s="196"/>
      <c r="AD5" s="196"/>
      <c r="AE5" s="196"/>
      <c r="AF5" s="196"/>
      <c r="AG5" s="196"/>
      <c r="AH5" s="196"/>
      <c r="AI5" s="196"/>
      <c r="AJ5" s="196"/>
      <c r="AK5" s="196"/>
      <c r="AL5" s="196"/>
      <c r="AM5" s="196"/>
      <c r="AN5" s="196"/>
      <c r="AO5" s="196"/>
    </row>
    <row r="6" spans="1:41" x14ac:dyDescent="0.2">
      <c r="B6" s="806"/>
      <c r="C6" s="807"/>
      <c r="D6" s="807"/>
      <c r="E6" s="158"/>
      <c r="F6" s="119"/>
      <c r="N6" s="196"/>
      <c r="O6" s="196"/>
      <c r="P6" s="196"/>
      <c r="Q6" s="196"/>
      <c r="R6" s="196"/>
      <c r="S6" s="196"/>
      <c r="T6" s="196"/>
      <c r="U6" s="196"/>
      <c r="V6" s="196"/>
      <c r="W6" s="196"/>
      <c r="X6" s="196"/>
      <c r="Y6" s="196"/>
      <c r="Z6" s="196"/>
      <c r="AA6" s="196"/>
      <c r="AB6" s="196"/>
      <c r="AC6" s="196"/>
      <c r="AD6" s="196"/>
      <c r="AE6" s="196"/>
      <c r="AF6" s="196"/>
      <c r="AG6" s="196"/>
      <c r="AH6" s="196"/>
      <c r="AI6" s="196"/>
      <c r="AJ6" s="196"/>
      <c r="AK6" s="196"/>
      <c r="AL6" s="196"/>
      <c r="AM6" s="196"/>
      <c r="AN6" s="196"/>
      <c r="AO6" s="196"/>
    </row>
    <row r="7" spans="1:41" ht="13.5" thickBot="1" x14ac:dyDescent="0.25">
      <c r="B7" s="802"/>
      <c r="C7" s="803"/>
      <c r="D7" s="803"/>
      <c r="E7" s="120" t="s">
        <v>122</v>
      </c>
      <c r="F7" s="121">
        <f>SUM(F3:F6)</f>
        <v>2403218.83</v>
      </c>
      <c r="N7" s="196"/>
      <c r="O7" s="196"/>
      <c r="P7" s="196"/>
      <c r="Q7" s="196"/>
      <c r="R7" s="196"/>
      <c r="S7" s="196"/>
      <c r="T7" s="196"/>
      <c r="U7" s="196"/>
      <c r="V7" s="196"/>
      <c r="W7" s="196"/>
      <c r="X7" s="196"/>
      <c r="Y7" s="196"/>
      <c r="Z7" s="196"/>
      <c r="AA7" s="196"/>
      <c r="AB7" s="196"/>
      <c r="AC7" s="196"/>
      <c r="AD7" s="196"/>
      <c r="AE7" s="196"/>
      <c r="AF7" s="196"/>
      <c r="AG7" s="196"/>
      <c r="AH7" s="196"/>
      <c r="AI7" s="196"/>
      <c r="AJ7" s="196"/>
      <c r="AK7" s="196"/>
      <c r="AL7" s="196"/>
      <c r="AM7" s="196"/>
      <c r="AN7" s="196"/>
      <c r="AO7" s="196"/>
    </row>
    <row r="8" spans="1:41" x14ac:dyDescent="0.2">
      <c r="B8" s="196"/>
      <c r="C8" s="196"/>
      <c r="D8" s="196"/>
      <c r="E8" s="196"/>
      <c r="F8" s="196"/>
      <c r="N8" s="196"/>
      <c r="O8" s="196"/>
      <c r="P8" s="196"/>
      <c r="Q8" s="196"/>
      <c r="R8" s="196"/>
      <c r="S8" s="196"/>
      <c r="T8" s="196"/>
      <c r="U8" s="196"/>
      <c r="V8" s="196"/>
      <c r="W8" s="196"/>
      <c r="X8" s="196"/>
      <c r="Y8" s="196"/>
      <c r="Z8" s="196"/>
      <c r="AA8" s="196"/>
      <c r="AB8" s="196"/>
      <c r="AC8" s="196"/>
      <c r="AD8" s="196"/>
      <c r="AE8" s="196"/>
      <c r="AF8" s="196"/>
      <c r="AG8" s="196"/>
      <c r="AH8" s="196"/>
      <c r="AI8" s="196"/>
      <c r="AJ8" s="196"/>
      <c r="AK8" s="196"/>
      <c r="AL8" s="196"/>
      <c r="AM8" s="196"/>
      <c r="AN8" s="196"/>
      <c r="AO8" s="196"/>
    </row>
    <row r="9" spans="1:41" x14ac:dyDescent="0.2">
      <c r="B9" s="196"/>
      <c r="C9" s="196"/>
      <c r="D9" s="196"/>
      <c r="E9" s="196"/>
      <c r="F9" s="196"/>
      <c r="N9" s="196"/>
      <c r="O9" s="196"/>
      <c r="P9" s="196"/>
      <c r="Q9" s="196"/>
      <c r="R9" s="196"/>
      <c r="S9" s="196"/>
      <c r="T9" s="196"/>
      <c r="U9" s="196"/>
      <c r="V9" s="196"/>
      <c r="W9" s="196"/>
      <c r="X9" s="196"/>
      <c r="Y9" s="196"/>
      <c r="Z9" s="196"/>
      <c r="AA9" s="196"/>
      <c r="AB9" s="196"/>
      <c r="AC9" s="196"/>
      <c r="AD9" s="196"/>
      <c r="AE9" s="196"/>
      <c r="AF9" s="196"/>
      <c r="AG9" s="196"/>
      <c r="AH9" s="196"/>
      <c r="AI9" s="196"/>
      <c r="AJ9" s="196"/>
      <c r="AK9" s="196"/>
      <c r="AL9" s="196"/>
      <c r="AM9" s="196"/>
      <c r="AN9" s="196"/>
      <c r="AO9" s="196"/>
    </row>
    <row r="10" spans="1:41" x14ac:dyDescent="0.2">
      <c r="B10" s="223" t="s">
        <v>238</v>
      </c>
      <c r="C10" s="196"/>
      <c r="D10" s="196"/>
      <c r="E10" s="196"/>
      <c r="F10" s="196"/>
      <c r="N10" s="196"/>
      <c r="O10" s="196"/>
      <c r="P10" s="196"/>
      <c r="Q10" s="196"/>
      <c r="R10" s="196"/>
      <c r="S10" s="196"/>
      <c r="T10" s="196"/>
      <c r="U10" s="196"/>
      <c r="V10" s="196"/>
      <c r="W10" s="196"/>
      <c r="X10" s="196"/>
      <c r="Y10" s="196"/>
      <c r="Z10" s="196"/>
      <c r="AA10" s="196"/>
      <c r="AB10" s="196"/>
      <c r="AC10" s="196"/>
      <c r="AD10" s="196"/>
      <c r="AE10" s="196"/>
      <c r="AF10" s="196"/>
      <c r="AG10" s="196"/>
      <c r="AH10" s="196"/>
      <c r="AI10" s="196"/>
      <c r="AJ10" s="196"/>
      <c r="AK10" s="196"/>
      <c r="AL10" s="196"/>
      <c r="AM10" s="196"/>
      <c r="AN10" s="196"/>
      <c r="AO10" s="196"/>
    </row>
    <row r="11" spans="1:41" x14ac:dyDescent="0.2">
      <c r="B11" s="196" t="s">
        <v>271</v>
      </c>
      <c r="C11" s="196" t="s">
        <v>273</v>
      </c>
      <c r="D11" s="196"/>
      <c r="E11" s="196"/>
      <c r="F11" s="196"/>
      <c r="N11" s="196"/>
      <c r="O11" s="196"/>
      <c r="P11" s="196"/>
      <c r="Q11" s="196"/>
      <c r="R11" s="196"/>
      <c r="S11" s="196"/>
      <c r="T11" s="196"/>
      <c r="U11" s="196"/>
      <c r="V11" s="196"/>
      <c r="W11" s="196"/>
      <c r="X11" s="196"/>
      <c r="Y11" s="196"/>
      <c r="Z11" s="196"/>
      <c r="AA11" s="196"/>
      <c r="AB11" s="196"/>
      <c r="AC11" s="196"/>
      <c r="AD11" s="196"/>
      <c r="AE11" s="196"/>
      <c r="AF11" s="196"/>
      <c r="AG11" s="196"/>
      <c r="AH11" s="196"/>
      <c r="AI11" s="196"/>
      <c r="AJ11" s="196"/>
      <c r="AK11" s="196"/>
      <c r="AL11" s="196"/>
      <c r="AM11" s="196"/>
      <c r="AN11" s="196"/>
      <c r="AO11" s="196"/>
    </row>
    <row r="12" spans="1:41" x14ac:dyDescent="0.2">
      <c r="B12" s="196" t="s">
        <v>272</v>
      </c>
      <c r="C12" s="196" t="s">
        <v>274</v>
      </c>
      <c r="D12" s="196"/>
      <c r="E12" s="196"/>
      <c r="F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row>
    <row r="13" spans="1:41" x14ac:dyDescent="0.2">
      <c r="B13" s="196"/>
      <c r="C13" s="196"/>
      <c r="D13" s="196"/>
      <c r="E13" s="196"/>
      <c r="F13" s="196"/>
      <c r="N13" s="196"/>
      <c r="O13" s="196"/>
      <c r="P13" s="196"/>
      <c r="Q13" s="196"/>
      <c r="R13" s="196"/>
      <c r="S13" s="196"/>
      <c r="T13" s="196"/>
      <c r="U13" s="196"/>
      <c r="V13" s="196"/>
      <c r="W13" s="196"/>
      <c r="X13" s="196"/>
      <c r="Y13" s="196"/>
      <c r="Z13" s="196"/>
      <c r="AA13" s="196"/>
      <c r="AB13" s="196"/>
      <c r="AC13" s="196"/>
      <c r="AD13" s="196"/>
      <c r="AE13" s="196"/>
      <c r="AF13" s="196"/>
      <c r="AG13" s="196"/>
      <c r="AH13" s="196"/>
      <c r="AI13" s="196"/>
      <c r="AJ13" s="196"/>
      <c r="AK13" s="196"/>
      <c r="AL13" s="196"/>
      <c r="AM13" s="196"/>
      <c r="AN13" s="196"/>
      <c r="AO13" s="196"/>
    </row>
    <row r="14" spans="1:41" x14ac:dyDescent="0.2">
      <c r="B14" s="196"/>
      <c r="C14" s="196"/>
      <c r="D14" s="196"/>
      <c r="E14" s="196"/>
      <c r="F14" s="196"/>
      <c r="N14" s="196"/>
      <c r="O14" s="196"/>
      <c r="P14" s="196"/>
      <c r="Q14" s="196"/>
      <c r="R14" s="196"/>
      <c r="S14" s="196"/>
      <c r="T14" s="196"/>
      <c r="U14" s="196"/>
      <c r="V14" s="196"/>
      <c r="W14" s="196"/>
      <c r="X14" s="196"/>
      <c r="Y14" s="196"/>
      <c r="Z14" s="196"/>
      <c r="AA14" s="196"/>
      <c r="AB14" s="196"/>
      <c r="AC14" s="196"/>
      <c r="AD14" s="196"/>
      <c r="AE14" s="196"/>
      <c r="AF14" s="196"/>
      <c r="AG14" s="196"/>
      <c r="AH14" s="196"/>
      <c r="AI14" s="196"/>
      <c r="AJ14" s="196"/>
      <c r="AK14" s="196"/>
      <c r="AL14" s="196"/>
      <c r="AM14" s="196"/>
      <c r="AN14" s="196"/>
      <c r="AO14" s="196"/>
    </row>
    <row r="15" spans="1:41" x14ac:dyDescent="0.2">
      <c r="B15" s="196"/>
      <c r="C15" s="196"/>
      <c r="D15" s="196"/>
      <c r="E15" s="196"/>
      <c r="F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row>
    <row r="16" spans="1:41" x14ac:dyDescent="0.2">
      <c r="B16" s="196"/>
      <c r="C16" s="196"/>
      <c r="D16" s="196"/>
      <c r="E16" s="196"/>
      <c r="F16" s="196"/>
      <c r="N16" s="196"/>
      <c r="O16" s="196"/>
      <c r="P16" s="196"/>
      <c r="Q16" s="196"/>
      <c r="R16" s="196"/>
      <c r="S16" s="196"/>
      <c r="T16" s="196"/>
      <c r="U16" s="196"/>
      <c r="V16" s="196"/>
      <c r="W16" s="196"/>
      <c r="X16" s="196"/>
      <c r="Y16" s="196"/>
      <c r="Z16" s="196"/>
      <c r="AA16" s="196"/>
      <c r="AB16" s="196"/>
      <c r="AC16" s="196"/>
      <c r="AD16" s="196"/>
      <c r="AE16" s="196"/>
      <c r="AF16" s="196"/>
      <c r="AG16" s="196"/>
      <c r="AH16" s="196"/>
      <c r="AI16" s="196"/>
      <c r="AJ16" s="196"/>
      <c r="AK16" s="196"/>
      <c r="AL16" s="196"/>
      <c r="AM16" s="196"/>
      <c r="AN16" s="196"/>
      <c r="AO16" s="196"/>
    </row>
    <row r="17" spans="2:41" x14ac:dyDescent="0.2">
      <c r="B17" s="196"/>
      <c r="C17" s="196"/>
      <c r="D17" s="196"/>
      <c r="E17" s="196"/>
      <c r="F17" s="196"/>
      <c r="N17" s="196"/>
      <c r="O17" s="196"/>
      <c r="P17" s="196"/>
      <c r="Q17" s="196"/>
      <c r="R17" s="196"/>
      <c r="S17" s="196"/>
      <c r="T17" s="196"/>
      <c r="U17" s="196"/>
      <c r="V17" s="196"/>
      <c r="W17" s="196"/>
      <c r="X17" s="196"/>
      <c r="Y17" s="196"/>
      <c r="Z17" s="196"/>
      <c r="AA17" s="196"/>
      <c r="AB17" s="196"/>
      <c r="AC17" s="196"/>
      <c r="AD17" s="196"/>
      <c r="AE17" s="196"/>
      <c r="AF17" s="196"/>
      <c r="AG17" s="196"/>
      <c r="AH17" s="196"/>
      <c r="AI17" s="196"/>
      <c r="AJ17" s="196"/>
      <c r="AK17" s="196"/>
      <c r="AL17" s="196"/>
      <c r="AM17" s="196"/>
      <c r="AN17" s="196"/>
      <c r="AO17" s="196"/>
    </row>
    <row r="18" spans="2:41" x14ac:dyDescent="0.2">
      <c r="B18" s="196"/>
      <c r="C18" s="196"/>
      <c r="D18" s="196"/>
      <c r="E18" s="196"/>
      <c r="F18" s="196"/>
      <c r="N18" s="196"/>
      <c r="O18" s="196"/>
      <c r="P18" s="196"/>
      <c r="Q18" s="196"/>
      <c r="R18" s="196"/>
      <c r="S18" s="196"/>
      <c r="T18" s="196"/>
      <c r="U18" s="196"/>
      <c r="V18" s="196"/>
      <c r="W18" s="196"/>
      <c r="X18" s="196"/>
      <c r="Y18" s="196"/>
      <c r="Z18" s="196"/>
      <c r="AA18" s="196"/>
      <c r="AB18" s="196"/>
      <c r="AC18" s="196"/>
      <c r="AD18" s="196"/>
      <c r="AE18" s="196"/>
      <c r="AF18" s="196"/>
      <c r="AG18" s="196"/>
      <c r="AH18" s="196"/>
      <c r="AI18" s="196"/>
      <c r="AJ18" s="196"/>
      <c r="AK18" s="196"/>
      <c r="AL18" s="196"/>
      <c r="AM18" s="196"/>
      <c r="AN18" s="196"/>
      <c r="AO18" s="196"/>
    </row>
    <row r="19" spans="2:41" x14ac:dyDescent="0.2">
      <c r="B19" s="196"/>
      <c r="C19" s="196"/>
      <c r="D19" s="196"/>
      <c r="E19" s="196"/>
      <c r="F19" s="196"/>
      <c r="N19" s="196"/>
      <c r="O19" s="196"/>
      <c r="P19" s="196"/>
      <c r="Q19" s="196"/>
      <c r="R19" s="196"/>
      <c r="S19" s="196"/>
      <c r="T19" s="196"/>
      <c r="U19" s="196"/>
      <c r="V19" s="196"/>
      <c r="W19" s="196"/>
      <c r="X19" s="196"/>
      <c r="Y19" s="196"/>
      <c r="Z19" s="196"/>
      <c r="AA19" s="196"/>
      <c r="AB19" s="196"/>
      <c r="AC19" s="196"/>
      <c r="AD19" s="196"/>
      <c r="AE19" s="196"/>
      <c r="AF19" s="196"/>
      <c r="AG19" s="196"/>
      <c r="AH19" s="196"/>
      <c r="AI19" s="196"/>
      <c r="AJ19" s="196"/>
      <c r="AK19" s="196"/>
      <c r="AL19" s="196"/>
      <c r="AM19" s="196"/>
      <c r="AN19" s="196"/>
      <c r="AO19" s="196"/>
    </row>
    <row r="20" spans="2:41" x14ac:dyDescent="0.2">
      <c r="B20" s="196"/>
      <c r="C20" s="196"/>
      <c r="D20" s="196"/>
      <c r="E20" s="196"/>
      <c r="F20" s="196"/>
      <c r="N20" s="196"/>
      <c r="O20" s="196"/>
      <c r="P20" s="196"/>
      <c r="Q20" s="196"/>
      <c r="R20" s="196"/>
      <c r="S20" s="196"/>
      <c r="T20" s="196"/>
      <c r="U20" s="196"/>
      <c r="V20" s="196"/>
      <c r="W20" s="196"/>
      <c r="X20" s="196"/>
      <c r="Y20" s="196"/>
      <c r="Z20" s="196"/>
      <c r="AA20" s="196"/>
      <c r="AB20" s="196"/>
      <c r="AC20" s="196"/>
      <c r="AD20" s="196"/>
      <c r="AE20" s="196"/>
      <c r="AF20" s="196"/>
      <c r="AG20" s="196"/>
      <c r="AH20" s="196"/>
      <c r="AI20" s="196"/>
      <c r="AJ20" s="196"/>
      <c r="AK20" s="196"/>
      <c r="AL20" s="196"/>
      <c r="AM20" s="196"/>
      <c r="AN20" s="196"/>
      <c r="AO20" s="196"/>
    </row>
    <row r="21" spans="2:41" x14ac:dyDescent="0.2">
      <c r="B21" s="196"/>
      <c r="C21" s="196"/>
      <c r="D21" s="196"/>
      <c r="E21" s="196"/>
      <c r="F21" s="196"/>
      <c r="N21" s="196"/>
      <c r="O21" s="196"/>
      <c r="P21" s="196"/>
      <c r="Q21" s="196"/>
      <c r="R21" s="196"/>
      <c r="S21" s="196"/>
      <c r="T21" s="196"/>
      <c r="U21" s="196"/>
      <c r="V21" s="196"/>
      <c r="W21" s="196"/>
      <c r="X21" s="196"/>
      <c r="Y21" s="196"/>
      <c r="Z21" s="196"/>
      <c r="AA21" s="196"/>
      <c r="AB21" s="196"/>
      <c r="AC21" s="196"/>
      <c r="AD21" s="196"/>
      <c r="AE21" s="196"/>
      <c r="AF21" s="196"/>
      <c r="AG21" s="196"/>
      <c r="AH21" s="196"/>
      <c r="AI21" s="196"/>
      <c r="AJ21" s="196"/>
      <c r="AK21" s="196"/>
      <c r="AL21" s="196"/>
      <c r="AM21" s="196"/>
      <c r="AN21" s="196"/>
      <c r="AO21" s="196"/>
    </row>
    <row r="22" spans="2:41" x14ac:dyDescent="0.2">
      <c r="B22" s="196"/>
      <c r="C22" s="196"/>
      <c r="D22" s="196"/>
      <c r="E22" s="196"/>
      <c r="F22" s="196"/>
      <c r="N22" s="196"/>
      <c r="O22" s="196"/>
      <c r="P22" s="196"/>
      <c r="Q22" s="196"/>
      <c r="R22" s="196"/>
      <c r="S22" s="196"/>
      <c r="T22" s="196"/>
      <c r="U22" s="196"/>
      <c r="V22" s="196"/>
      <c r="W22" s="196"/>
      <c r="X22" s="196"/>
      <c r="Y22" s="196"/>
      <c r="Z22" s="196"/>
      <c r="AA22" s="196"/>
      <c r="AB22" s="196"/>
      <c r="AC22" s="196"/>
      <c r="AD22" s="196"/>
      <c r="AE22" s="196"/>
      <c r="AF22" s="196"/>
      <c r="AG22" s="196"/>
      <c r="AH22" s="196"/>
      <c r="AI22" s="196"/>
      <c r="AJ22" s="196"/>
      <c r="AK22" s="196"/>
      <c r="AL22" s="196"/>
      <c r="AM22" s="196"/>
      <c r="AN22" s="196"/>
      <c r="AO22" s="196"/>
    </row>
    <row r="23" spans="2:41" x14ac:dyDescent="0.2">
      <c r="B23" s="196"/>
      <c r="C23" s="196"/>
      <c r="D23" s="196"/>
      <c r="E23" s="196"/>
      <c r="F23" s="196"/>
      <c r="N23" s="196"/>
      <c r="O23" s="196"/>
      <c r="P23" s="196"/>
      <c r="Q23" s="196"/>
      <c r="R23" s="196"/>
      <c r="S23" s="196"/>
      <c r="T23" s="196"/>
      <c r="U23" s="196"/>
      <c r="V23" s="196"/>
      <c r="W23" s="196"/>
      <c r="X23" s="196"/>
      <c r="Y23" s="196"/>
      <c r="Z23" s="196"/>
      <c r="AA23" s="196"/>
      <c r="AB23" s="196"/>
      <c r="AC23" s="196"/>
      <c r="AD23" s="196"/>
      <c r="AE23" s="196"/>
      <c r="AF23" s="196"/>
      <c r="AG23" s="196"/>
      <c r="AH23" s="196"/>
      <c r="AI23" s="196"/>
      <c r="AJ23" s="196"/>
      <c r="AK23" s="196"/>
      <c r="AL23" s="196"/>
      <c r="AM23" s="196"/>
      <c r="AN23" s="196"/>
      <c r="AO23" s="196"/>
    </row>
    <row r="24" spans="2:41" x14ac:dyDescent="0.2">
      <c r="B24" s="196"/>
      <c r="C24" s="196"/>
      <c r="D24" s="196"/>
      <c r="E24" s="196"/>
      <c r="F24" s="196"/>
      <c r="N24" s="196"/>
      <c r="O24" s="196"/>
      <c r="P24" s="196"/>
      <c r="Q24" s="196"/>
      <c r="R24" s="196"/>
      <c r="S24" s="196"/>
      <c r="T24" s="196"/>
      <c r="U24" s="196"/>
      <c r="V24" s="196"/>
      <c r="W24" s="196"/>
      <c r="X24" s="196"/>
      <c r="Y24" s="196"/>
      <c r="Z24" s="196"/>
      <c r="AA24" s="196"/>
      <c r="AB24" s="196"/>
      <c r="AC24" s="196"/>
      <c r="AD24" s="196"/>
      <c r="AE24" s="196"/>
      <c r="AF24" s="196"/>
      <c r="AG24" s="196"/>
      <c r="AH24" s="196"/>
      <c r="AI24" s="196"/>
      <c r="AJ24" s="196"/>
      <c r="AK24" s="196"/>
      <c r="AL24" s="196"/>
      <c r="AM24" s="196"/>
      <c r="AN24" s="196"/>
      <c r="AO24" s="196"/>
    </row>
    <row r="25" spans="2:41" x14ac:dyDescent="0.2">
      <c r="B25" s="196"/>
      <c r="C25" s="196"/>
      <c r="D25" s="196"/>
      <c r="E25" s="196"/>
      <c r="F25" s="196"/>
      <c r="N25" s="196"/>
      <c r="O25" s="196"/>
      <c r="P25" s="196"/>
      <c r="Q25" s="196"/>
      <c r="R25" s="196"/>
      <c r="S25" s="196"/>
      <c r="T25" s="196"/>
      <c r="U25" s="196"/>
      <c r="V25" s="196"/>
      <c r="W25" s="196"/>
      <c r="X25" s="196"/>
      <c r="Y25" s="196"/>
      <c r="Z25" s="196"/>
      <c r="AA25" s="196"/>
      <c r="AB25" s="196"/>
      <c r="AC25" s="196"/>
      <c r="AD25" s="196"/>
      <c r="AE25" s="196"/>
      <c r="AF25" s="196"/>
      <c r="AG25" s="196"/>
      <c r="AH25" s="196"/>
      <c r="AI25" s="196"/>
      <c r="AJ25" s="196"/>
      <c r="AK25" s="196"/>
      <c r="AL25" s="196"/>
      <c r="AM25" s="196"/>
      <c r="AN25" s="196"/>
      <c r="AO25" s="196"/>
    </row>
    <row r="26" spans="2:41" x14ac:dyDescent="0.2">
      <c r="B26" s="196"/>
      <c r="C26" s="196"/>
      <c r="D26" s="196"/>
      <c r="E26" s="196"/>
      <c r="F26" s="196"/>
      <c r="N26" s="196"/>
      <c r="O26" s="196"/>
      <c r="P26" s="196"/>
      <c r="Q26" s="196"/>
      <c r="R26" s="196"/>
      <c r="S26" s="196"/>
      <c r="T26" s="196"/>
      <c r="U26" s="196"/>
      <c r="V26" s="196"/>
      <c r="W26" s="196"/>
      <c r="X26" s="196"/>
      <c r="Y26" s="196"/>
      <c r="Z26" s="196"/>
      <c r="AA26" s="196"/>
      <c r="AB26" s="196"/>
      <c r="AC26" s="196"/>
      <c r="AD26" s="196"/>
      <c r="AE26" s="196"/>
      <c r="AF26" s="196"/>
      <c r="AG26" s="196"/>
      <c r="AH26" s="196"/>
      <c r="AI26" s="196"/>
      <c r="AJ26" s="196"/>
      <c r="AK26" s="196"/>
      <c r="AL26" s="196"/>
      <c r="AM26" s="196"/>
      <c r="AN26" s="196"/>
      <c r="AO26" s="196"/>
    </row>
    <row r="27" spans="2:41" x14ac:dyDescent="0.2">
      <c r="B27" s="196"/>
      <c r="C27" s="196"/>
      <c r="D27" s="196"/>
      <c r="E27" s="196"/>
      <c r="F27" s="196"/>
      <c r="N27" s="196"/>
      <c r="O27" s="196"/>
      <c r="P27" s="196"/>
      <c r="Q27" s="196"/>
      <c r="R27" s="196"/>
      <c r="S27" s="196"/>
      <c r="T27" s="196"/>
      <c r="U27" s="196"/>
      <c r="V27" s="196"/>
      <c r="W27" s="196"/>
      <c r="X27" s="196"/>
      <c r="Y27" s="196"/>
      <c r="Z27" s="196"/>
      <c r="AA27" s="196"/>
      <c r="AB27" s="196"/>
      <c r="AC27" s="196"/>
      <c r="AD27" s="196"/>
      <c r="AE27" s="196"/>
      <c r="AF27" s="196"/>
      <c r="AG27" s="196"/>
      <c r="AH27" s="196"/>
      <c r="AI27" s="196"/>
      <c r="AJ27" s="196"/>
      <c r="AK27" s="196"/>
      <c r="AL27" s="196"/>
      <c r="AM27" s="196"/>
      <c r="AN27" s="196"/>
      <c r="AO27" s="196"/>
    </row>
    <row r="28" spans="2:41" x14ac:dyDescent="0.2">
      <c r="B28" s="196"/>
      <c r="C28" s="196"/>
      <c r="D28" s="196"/>
      <c r="E28" s="196"/>
      <c r="F28" s="196"/>
      <c r="N28" s="196"/>
      <c r="O28" s="196"/>
      <c r="P28" s="196"/>
      <c r="Q28" s="196"/>
      <c r="R28" s="196"/>
      <c r="S28" s="196"/>
      <c r="T28" s="196"/>
      <c r="U28" s="196"/>
      <c r="V28" s="196"/>
      <c r="W28" s="196"/>
      <c r="X28" s="196"/>
      <c r="Y28" s="196"/>
      <c r="Z28" s="196"/>
      <c r="AA28" s="196"/>
      <c r="AB28" s="196"/>
      <c r="AC28" s="196"/>
      <c r="AD28" s="196"/>
      <c r="AE28" s="196"/>
      <c r="AF28" s="196"/>
      <c r="AG28" s="196"/>
      <c r="AH28" s="196"/>
      <c r="AI28" s="196"/>
      <c r="AJ28" s="196"/>
      <c r="AK28" s="196"/>
      <c r="AL28" s="196"/>
      <c r="AM28" s="196"/>
      <c r="AN28" s="196"/>
      <c r="AO28" s="196"/>
    </row>
    <row r="29" spans="2:41" x14ac:dyDescent="0.2">
      <c r="B29" s="196"/>
      <c r="C29" s="196"/>
      <c r="D29" s="196"/>
      <c r="E29" s="196"/>
      <c r="F29" s="196"/>
      <c r="N29" s="196"/>
      <c r="O29" s="196"/>
      <c r="P29" s="196"/>
      <c r="Q29" s="196"/>
      <c r="R29" s="196"/>
      <c r="S29" s="196"/>
      <c r="T29" s="196"/>
      <c r="U29" s="196"/>
      <c r="V29" s="196"/>
      <c r="W29" s="196"/>
      <c r="X29" s="196"/>
      <c r="Y29" s="196"/>
      <c r="Z29" s="196"/>
      <c r="AA29" s="196"/>
      <c r="AB29" s="196"/>
      <c r="AC29" s="196"/>
      <c r="AD29" s="196"/>
      <c r="AE29" s="196"/>
      <c r="AF29" s="196"/>
      <c r="AG29" s="196"/>
      <c r="AH29" s="196"/>
      <c r="AI29" s="196"/>
      <c r="AJ29" s="196"/>
      <c r="AK29" s="196"/>
      <c r="AL29" s="196"/>
      <c r="AM29" s="196"/>
      <c r="AN29" s="196"/>
      <c r="AO29" s="196"/>
    </row>
    <row r="30" spans="2:41" x14ac:dyDescent="0.2">
      <c r="B30" s="196"/>
      <c r="C30" s="196"/>
      <c r="D30" s="196"/>
      <c r="E30" s="196"/>
      <c r="F30" s="196"/>
      <c r="N30" s="196"/>
      <c r="O30" s="196"/>
      <c r="P30" s="196"/>
      <c r="Q30" s="196"/>
      <c r="R30" s="196"/>
      <c r="S30" s="196"/>
      <c r="T30" s="196"/>
      <c r="U30" s="196"/>
      <c r="V30" s="196"/>
      <c r="W30" s="196"/>
      <c r="X30" s="196"/>
      <c r="Y30" s="196"/>
      <c r="Z30" s="196"/>
      <c r="AA30" s="196"/>
      <c r="AB30" s="196"/>
      <c r="AC30" s="196"/>
      <c r="AD30" s="196"/>
      <c r="AE30" s="196"/>
      <c r="AF30" s="196"/>
      <c r="AG30" s="196"/>
      <c r="AH30" s="196"/>
      <c r="AI30" s="196"/>
      <c r="AJ30" s="196"/>
      <c r="AK30" s="196"/>
      <c r="AL30" s="196"/>
      <c r="AM30" s="196"/>
      <c r="AN30" s="196"/>
      <c r="AO30" s="196"/>
    </row>
    <row r="31" spans="2:41" x14ac:dyDescent="0.2">
      <c r="B31" s="196"/>
      <c r="C31" s="196"/>
      <c r="D31" s="196"/>
      <c r="E31" s="196"/>
      <c r="F31" s="196"/>
      <c r="N31" s="196"/>
      <c r="O31" s="196"/>
      <c r="P31" s="196"/>
      <c r="Q31" s="196"/>
      <c r="R31" s="196"/>
      <c r="S31" s="196"/>
      <c r="T31" s="196"/>
      <c r="U31" s="196"/>
      <c r="V31" s="196"/>
      <c r="W31" s="196"/>
      <c r="X31" s="196"/>
      <c r="Y31" s="196"/>
      <c r="Z31" s="196"/>
      <c r="AA31" s="196"/>
      <c r="AB31" s="196"/>
      <c r="AC31" s="196"/>
      <c r="AD31" s="196"/>
      <c r="AE31" s="196"/>
      <c r="AF31" s="196"/>
      <c r="AG31" s="196"/>
      <c r="AH31" s="196"/>
      <c r="AI31" s="196"/>
      <c r="AJ31" s="196"/>
      <c r="AK31" s="196"/>
      <c r="AL31" s="196"/>
      <c r="AM31" s="196"/>
      <c r="AN31" s="196"/>
      <c r="AO31" s="196"/>
    </row>
    <row r="32" spans="2:41" x14ac:dyDescent="0.2">
      <c r="B32" s="196"/>
      <c r="C32" s="196"/>
      <c r="D32" s="196"/>
      <c r="E32" s="196"/>
      <c r="F32" s="196"/>
      <c r="N32" s="196"/>
      <c r="O32" s="196"/>
      <c r="P32" s="196"/>
      <c r="Q32" s="196"/>
      <c r="R32" s="196"/>
      <c r="S32" s="196"/>
      <c r="T32" s="196"/>
      <c r="U32" s="196"/>
      <c r="V32" s="196"/>
      <c r="W32" s="196"/>
      <c r="X32" s="196"/>
      <c r="Y32" s="196"/>
      <c r="Z32" s="196"/>
      <c r="AA32" s="196"/>
      <c r="AB32" s="196"/>
      <c r="AC32" s="196"/>
      <c r="AD32" s="196"/>
      <c r="AE32" s="196"/>
      <c r="AF32" s="196"/>
      <c r="AG32" s="196"/>
      <c r="AH32" s="196"/>
      <c r="AI32" s="196"/>
      <c r="AJ32" s="196"/>
      <c r="AK32" s="196"/>
      <c r="AL32" s="196"/>
      <c r="AM32" s="196"/>
      <c r="AN32" s="196"/>
      <c r="AO32" s="196"/>
    </row>
    <row r="33" spans="1:41" x14ac:dyDescent="0.2">
      <c r="B33" s="387"/>
      <c r="C33" s="196"/>
      <c r="D33" s="196"/>
      <c r="E33" s="196"/>
      <c r="F33" s="196"/>
      <c r="N33" s="196"/>
      <c r="O33" s="196"/>
      <c r="P33" s="196"/>
      <c r="Q33" s="196"/>
      <c r="R33" s="196"/>
      <c r="S33" s="196"/>
      <c r="T33" s="196"/>
      <c r="U33" s="196"/>
      <c r="V33" s="196"/>
      <c r="W33" s="196"/>
      <c r="X33" s="196"/>
      <c r="Y33" s="196"/>
      <c r="Z33" s="196"/>
      <c r="AA33" s="196"/>
      <c r="AB33" s="196"/>
      <c r="AC33" s="196"/>
      <c r="AD33" s="196"/>
      <c r="AE33" s="196"/>
      <c r="AF33" s="196"/>
      <c r="AG33" s="196"/>
      <c r="AH33" s="196"/>
      <c r="AI33" s="196"/>
      <c r="AJ33" s="196"/>
      <c r="AK33" s="196"/>
      <c r="AL33" s="196"/>
      <c r="AM33" s="196"/>
      <c r="AN33" s="196"/>
      <c r="AO33" s="196"/>
    </row>
    <row r="34" spans="1:41" x14ac:dyDescent="0.2">
      <c r="B34" s="196"/>
      <c r="C34" s="196"/>
      <c r="D34" s="196"/>
      <c r="E34" s="196"/>
      <c r="F34" s="196"/>
      <c r="N34" s="196"/>
      <c r="O34" s="196"/>
      <c r="P34" s="196"/>
      <c r="Q34" s="196"/>
      <c r="R34" s="196"/>
      <c r="S34" s="196"/>
      <c r="T34" s="196"/>
      <c r="U34" s="196"/>
      <c r="V34" s="196"/>
      <c r="W34" s="196"/>
      <c r="X34" s="196"/>
      <c r="Y34" s="196"/>
      <c r="Z34" s="196"/>
      <c r="AA34" s="196"/>
      <c r="AB34" s="196"/>
      <c r="AC34" s="196"/>
      <c r="AD34" s="196"/>
      <c r="AE34" s="196"/>
      <c r="AF34" s="196"/>
      <c r="AG34" s="196"/>
      <c r="AH34" s="196"/>
      <c r="AI34" s="196"/>
      <c r="AJ34" s="196"/>
      <c r="AK34" s="196"/>
      <c r="AL34" s="196"/>
      <c r="AM34" s="196"/>
      <c r="AN34" s="196"/>
      <c r="AO34" s="196"/>
    </row>
    <row r="35" spans="1:41" x14ac:dyDescent="0.2">
      <c r="B35" s="196"/>
      <c r="C35" s="196"/>
      <c r="D35" s="196"/>
      <c r="E35" s="196"/>
      <c r="F35" s="196"/>
      <c r="N35" s="196"/>
      <c r="O35" s="196"/>
      <c r="P35" s="196"/>
      <c r="Q35" s="196"/>
      <c r="R35" s="196"/>
      <c r="S35" s="196"/>
      <c r="T35" s="196"/>
      <c r="U35" s="196"/>
      <c r="V35" s="196"/>
      <c r="W35" s="196"/>
      <c r="X35" s="196"/>
      <c r="Y35" s="196"/>
      <c r="Z35" s="196"/>
      <c r="AA35" s="196"/>
      <c r="AB35" s="196"/>
      <c r="AC35" s="196"/>
      <c r="AD35" s="196"/>
      <c r="AE35" s="196"/>
      <c r="AF35" s="196"/>
      <c r="AG35" s="196"/>
      <c r="AH35" s="196"/>
      <c r="AI35" s="196"/>
      <c r="AJ35" s="196"/>
      <c r="AK35" s="196"/>
      <c r="AL35" s="196"/>
      <c r="AM35" s="196"/>
      <c r="AN35" s="196"/>
      <c r="AO35" s="196"/>
    </row>
    <row r="36" spans="1:41" x14ac:dyDescent="0.2">
      <c r="B36" s="196"/>
      <c r="C36" s="196"/>
      <c r="D36" s="196"/>
      <c r="E36" s="196"/>
      <c r="F36" s="196"/>
      <c r="N36" s="196"/>
      <c r="O36" s="196"/>
      <c r="P36" s="196"/>
      <c r="Q36" s="196"/>
      <c r="R36" s="196"/>
      <c r="S36" s="196"/>
      <c r="T36" s="196"/>
      <c r="U36" s="196"/>
      <c r="V36" s="196"/>
      <c r="W36" s="196"/>
      <c r="X36" s="196"/>
      <c r="Y36" s="196"/>
      <c r="Z36" s="196"/>
      <c r="AA36" s="196"/>
      <c r="AB36" s="196"/>
      <c r="AC36" s="196"/>
      <c r="AD36" s="196"/>
      <c r="AE36" s="196"/>
      <c r="AF36" s="196"/>
      <c r="AG36" s="196"/>
      <c r="AH36" s="196"/>
      <c r="AI36" s="196"/>
      <c r="AJ36" s="196"/>
      <c r="AK36" s="196"/>
      <c r="AL36" s="196"/>
      <c r="AM36" s="196"/>
      <c r="AN36" s="196"/>
      <c r="AO36" s="196"/>
    </row>
    <row r="37" spans="1:41" x14ac:dyDescent="0.2">
      <c r="B37" s="196"/>
      <c r="C37" s="196"/>
      <c r="D37" s="196"/>
      <c r="E37" s="196"/>
      <c r="F37" s="196"/>
      <c r="N37" s="196"/>
      <c r="O37" s="196"/>
      <c r="P37" s="196"/>
      <c r="Q37" s="196"/>
      <c r="R37" s="196"/>
      <c r="S37" s="196"/>
      <c r="T37" s="196"/>
      <c r="U37" s="196"/>
      <c r="V37" s="196"/>
      <c r="W37" s="196"/>
      <c r="X37" s="196"/>
      <c r="Y37" s="196"/>
      <c r="Z37" s="196"/>
      <c r="AA37" s="196"/>
      <c r="AB37" s="196"/>
      <c r="AC37" s="196"/>
      <c r="AD37" s="196"/>
      <c r="AE37" s="196"/>
      <c r="AF37" s="196"/>
      <c r="AG37" s="196"/>
      <c r="AH37" s="196"/>
      <c r="AI37" s="196"/>
      <c r="AJ37" s="196"/>
      <c r="AK37" s="196"/>
      <c r="AL37" s="196"/>
      <c r="AM37" s="196"/>
      <c r="AN37" s="196"/>
      <c r="AO37" s="196"/>
    </row>
    <row r="38" spans="1:41" x14ac:dyDescent="0.2">
      <c r="B38" s="196"/>
      <c r="C38" s="196"/>
      <c r="D38" s="196"/>
      <c r="E38" s="196"/>
      <c r="F38" s="196"/>
      <c r="N38" s="196"/>
      <c r="O38" s="196"/>
      <c r="P38" s="196"/>
      <c r="Q38" s="196"/>
      <c r="R38" s="196"/>
      <c r="S38" s="196"/>
      <c r="T38" s="196"/>
      <c r="U38" s="196"/>
      <c r="V38" s="196"/>
      <c r="W38" s="196"/>
      <c r="X38" s="196"/>
      <c r="Y38" s="196"/>
      <c r="Z38" s="196"/>
      <c r="AA38" s="196"/>
      <c r="AB38" s="196"/>
      <c r="AC38" s="196"/>
      <c r="AD38" s="196"/>
      <c r="AE38" s="196"/>
      <c r="AF38" s="196"/>
      <c r="AG38" s="196"/>
      <c r="AH38" s="196"/>
      <c r="AI38" s="196"/>
      <c r="AJ38" s="196"/>
      <c r="AK38" s="196"/>
      <c r="AL38" s="196"/>
      <c r="AM38" s="196"/>
      <c r="AN38" s="196"/>
      <c r="AO38" s="196"/>
    </row>
    <row r="39" spans="1:41" x14ac:dyDescent="0.2">
      <c r="B39" s="196"/>
      <c r="C39" s="196"/>
      <c r="D39" s="196"/>
      <c r="E39" s="196"/>
      <c r="F39" s="196"/>
      <c r="N39" s="196"/>
      <c r="O39" s="196"/>
      <c r="P39" s="196"/>
      <c r="Q39" s="196"/>
      <c r="R39" s="196"/>
      <c r="S39" s="196"/>
      <c r="T39" s="196"/>
      <c r="U39" s="196"/>
      <c r="V39" s="196"/>
      <c r="W39" s="196"/>
      <c r="X39" s="196"/>
      <c r="Y39" s="196"/>
      <c r="Z39" s="196"/>
      <c r="AA39" s="196"/>
      <c r="AB39" s="196"/>
      <c r="AC39" s="196"/>
      <c r="AD39" s="196"/>
      <c r="AE39" s="196"/>
      <c r="AF39" s="196"/>
      <c r="AG39" s="196"/>
      <c r="AH39" s="196"/>
      <c r="AI39" s="196"/>
      <c r="AJ39" s="196"/>
      <c r="AK39" s="196"/>
      <c r="AL39" s="196"/>
      <c r="AM39" s="196"/>
      <c r="AN39" s="196"/>
      <c r="AO39" s="196"/>
    </row>
    <row r="40" spans="1:41" x14ac:dyDescent="0.2">
      <c r="B40" s="196"/>
      <c r="C40" s="196"/>
      <c r="D40" s="196"/>
      <c r="E40" s="196"/>
      <c r="F40" s="196"/>
      <c r="N40" s="196"/>
      <c r="O40" s="196"/>
      <c r="P40" s="196"/>
      <c r="Q40" s="196"/>
      <c r="R40" s="196"/>
      <c r="S40" s="196"/>
      <c r="T40" s="196"/>
      <c r="U40" s="196"/>
      <c r="V40" s="196"/>
      <c r="W40" s="196"/>
      <c r="X40" s="196"/>
      <c r="Y40" s="196"/>
      <c r="Z40" s="196"/>
      <c r="AA40" s="196"/>
      <c r="AB40" s="196"/>
      <c r="AC40" s="196"/>
      <c r="AD40" s="196"/>
      <c r="AE40" s="196"/>
      <c r="AF40" s="196"/>
      <c r="AG40" s="196"/>
      <c r="AH40" s="196"/>
      <c r="AI40" s="196"/>
      <c r="AJ40" s="196"/>
      <c r="AK40" s="196"/>
      <c r="AL40" s="196"/>
      <c r="AM40" s="196"/>
      <c r="AN40" s="196"/>
      <c r="AO40" s="196"/>
    </row>
    <row r="41" spans="1:41" x14ac:dyDescent="0.2">
      <c r="B41" s="196"/>
      <c r="C41" s="196"/>
      <c r="D41" s="196"/>
      <c r="E41" s="196"/>
      <c r="F41" s="196"/>
      <c r="N41" s="196"/>
      <c r="O41" s="196"/>
      <c r="P41" s="196"/>
      <c r="Q41" s="196"/>
      <c r="R41" s="196"/>
      <c r="S41" s="196"/>
      <c r="T41" s="196"/>
      <c r="U41" s="196"/>
      <c r="V41" s="196"/>
      <c r="W41" s="196"/>
      <c r="X41" s="196"/>
      <c r="Y41" s="196"/>
      <c r="Z41" s="196"/>
      <c r="AA41" s="196"/>
      <c r="AB41" s="196"/>
      <c r="AC41" s="196"/>
      <c r="AD41" s="196"/>
      <c r="AE41" s="196"/>
      <c r="AF41" s="196"/>
      <c r="AG41" s="196"/>
      <c r="AH41" s="196"/>
      <c r="AI41" s="196"/>
      <c r="AJ41" s="196"/>
      <c r="AK41" s="196"/>
      <c r="AL41" s="196"/>
      <c r="AM41" s="196"/>
      <c r="AN41" s="196"/>
      <c r="AO41" s="196"/>
    </row>
    <row r="42" spans="1:41" x14ac:dyDescent="0.2">
      <c r="B42" s="196"/>
      <c r="C42" s="196"/>
      <c r="D42" s="196"/>
      <c r="E42" s="196"/>
      <c r="F42" s="196"/>
      <c r="N42" s="196"/>
      <c r="O42" s="196"/>
      <c r="P42" s="196"/>
      <c r="Q42" s="196"/>
      <c r="R42" s="196"/>
      <c r="S42" s="196"/>
      <c r="T42" s="196"/>
      <c r="U42" s="196"/>
      <c r="V42" s="196"/>
      <c r="W42" s="196"/>
      <c r="X42" s="196"/>
      <c r="Y42" s="196"/>
      <c r="Z42" s="196"/>
      <c r="AA42" s="196"/>
      <c r="AB42" s="196"/>
      <c r="AC42" s="196"/>
      <c r="AD42" s="196"/>
      <c r="AE42" s="196"/>
      <c r="AF42" s="196"/>
      <c r="AG42" s="196"/>
      <c r="AH42" s="196"/>
      <c r="AI42" s="196"/>
      <c r="AJ42" s="196"/>
      <c r="AK42" s="196"/>
      <c r="AL42" s="196"/>
      <c r="AM42" s="196"/>
      <c r="AN42" s="196"/>
      <c r="AO42" s="196"/>
    </row>
    <row r="43" spans="1:41" x14ac:dyDescent="0.2">
      <c r="B43" s="196"/>
      <c r="C43" s="196"/>
      <c r="D43" s="196"/>
      <c r="E43" s="196"/>
      <c r="F43" s="196"/>
      <c r="N43" s="196"/>
      <c r="O43" s="196"/>
      <c r="P43" s="196"/>
      <c r="Q43" s="196"/>
      <c r="R43" s="196"/>
      <c r="S43" s="196"/>
      <c r="T43" s="196"/>
      <c r="U43" s="196"/>
      <c r="V43" s="196"/>
      <c r="W43" s="196"/>
      <c r="X43" s="196"/>
      <c r="Y43" s="196"/>
      <c r="Z43" s="196"/>
      <c r="AA43" s="196"/>
      <c r="AB43" s="196"/>
      <c r="AC43" s="196"/>
      <c r="AD43" s="196"/>
      <c r="AE43" s="196"/>
      <c r="AF43" s="196"/>
      <c r="AG43" s="196"/>
      <c r="AH43" s="196"/>
      <c r="AI43" s="196"/>
      <c r="AJ43" s="196"/>
      <c r="AK43" s="196"/>
      <c r="AL43" s="196"/>
      <c r="AM43" s="196"/>
      <c r="AN43" s="196"/>
      <c r="AO43" s="196"/>
    </row>
    <row r="44" spans="1:41" x14ac:dyDescent="0.2">
      <c r="B44" s="196"/>
      <c r="C44" s="196"/>
      <c r="D44" s="196"/>
      <c r="E44" s="196"/>
      <c r="F44" s="196"/>
      <c r="N44" s="196"/>
      <c r="O44" s="196"/>
      <c r="P44" s="196"/>
      <c r="Q44" s="196"/>
      <c r="R44" s="196"/>
      <c r="S44" s="196"/>
      <c r="T44" s="196"/>
      <c r="U44" s="196"/>
      <c r="V44" s="196"/>
      <c r="W44" s="196"/>
      <c r="X44" s="196"/>
      <c r="Y44" s="196"/>
      <c r="Z44" s="196"/>
      <c r="AA44" s="196"/>
      <c r="AB44" s="196"/>
      <c r="AC44" s="196"/>
      <c r="AD44" s="196"/>
      <c r="AE44" s="196"/>
      <c r="AF44" s="196"/>
      <c r="AG44" s="196"/>
      <c r="AH44" s="196"/>
      <c r="AI44" s="196"/>
      <c r="AJ44" s="196"/>
      <c r="AK44" s="196"/>
      <c r="AL44" s="196"/>
      <c r="AM44" s="196"/>
      <c r="AN44" s="196"/>
      <c r="AO44" s="196"/>
    </row>
    <row r="45" spans="1:41" s="224" customFormat="1" x14ac:dyDescent="0.2">
      <c r="A45" s="196"/>
      <c r="B45" s="196"/>
      <c r="C45" s="196"/>
      <c r="D45" s="196"/>
      <c r="E45" s="196"/>
      <c r="F45" s="196"/>
      <c r="G45" s="196"/>
      <c r="H45" s="196"/>
      <c r="I45" s="196"/>
      <c r="J45" s="196"/>
      <c r="K45" s="196"/>
      <c r="L45" s="196"/>
      <c r="M45" s="196"/>
      <c r="N45" s="196"/>
      <c r="O45" s="196"/>
      <c r="P45" s="196"/>
      <c r="Q45" s="196"/>
      <c r="R45" s="196"/>
      <c r="S45" s="196"/>
      <c r="T45" s="196"/>
      <c r="U45" s="196"/>
      <c r="V45" s="196"/>
      <c r="W45" s="196"/>
      <c r="X45" s="196"/>
      <c r="Y45" s="196"/>
      <c r="Z45" s="196"/>
      <c r="AA45" s="196"/>
      <c r="AB45" s="196"/>
      <c r="AC45" s="196"/>
      <c r="AD45" s="196"/>
      <c r="AE45" s="196"/>
      <c r="AF45" s="196"/>
      <c r="AG45" s="196"/>
      <c r="AH45" s="196"/>
      <c r="AI45" s="196"/>
      <c r="AJ45" s="196"/>
      <c r="AK45" s="196"/>
      <c r="AL45" s="196"/>
      <c r="AM45" s="196"/>
      <c r="AN45" s="196"/>
      <c r="AO45" s="196"/>
    </row>
    <row r="46" spans="1:41" s="224" customFormat="1" x14ac:dyDescent="0.2">
      <c r="A46" s="196"/>
      <c r="B46" s="196"/>
      <c r="C46" s="196"/>
      <c r="D46" s="196"/>
      <c r="E46" s="196"/>
      <c r="F46" s="196"/>
      <c r="G46" s="196"/>
      <c r="H46" s="196"/>
      <c r="I46" s="196"/>
      <c r="J46" s="196"/>
      <c r="K46" s="196"/>
      <c r="L46" s="196"/>
      <c r="M46" s="196"/>
      <c r="N46" s="196"/>
      <c r="O46" s="196"/>
      <c r="P46" s="196"/>
      <c r="Q46" s="196"/>
      <c r="R46" s="196"/>
      <c r="S46" s="196"/>
      <c r="T46" s="196"/>
      <c r="U46" s="196"/>
      <c r="V46" s="196"/>
      <c r="W46" s="196"/>
      <c r="X46" s="196"/>
      <c r="Y46" s="196"/>
      <c r="Z46" s="196"/>
      <c r="AA46" s="196"/>
      <c r="AB46" s="196"/>
      <c r="AC46" s="196"/>
      <c r="AD46" s="196"/>
      <c r="AE46" s="196"/>
      <c r="AF46" s="196"/>
      <c r="AG46" s="196"/>
      <c r="AH46" s="196"/>
      <c r="AI46" s="196"/>
      <c r="AJ46" s="196"/>
      <c r="AK46" s="196"/>
      <c r="AL46" s="196"/>
      <c r="AM46" s="196"/>
      <c r="AN46" s="196"/>
      <c r="AO46" s="196"/>
    </row>
    <row r="47" spans="1:41" s="224" customFormat="1" x14ac:dyDescent="0.2">
      <c r="A47" s="196"/>
      <c r="B47" s="196"/>
      <c r="C47" s="196"/>
      <c r="D47" s="196"/>
      <c r="E47" s="196"/>
      <c r="F47" s="196"/>
      <c r="G47" s="196"/>
      <c r="H47" s="196"/>
      <c r="I47" s="196"/>
      <c r="J47" s="196"/>
      <c r="K47" s="196"/>
      <c r="L47" s="196"/>
      <c r="M47" s="196"/>
      <c r="N47" s="196"/>
      <c r="O47" s="196"/>
      <c r="P47" s="196"/>
      <c r="Q47" s="196"/>
      <c r="R47" s="196"/>
      <c r="S47" s="196"/>
      <c r="T47" s="196"/>
      <c r="U47" s="196"/>
      <c r="V47" s="196"/>
      <c r="W47" s="196"/>
      <c r="X47" s="196"/>
      <c r="Y47" s="196"/>
      <c r="Z47" s="196"/>
      <c r="AA47" s="196"/>
      <c r="AB47" s="196"/>
      <c r="AC47" s="196"/>
      <c r="AD47" s="196"/>
      <c r="AE47" s="196"/>
      <c r="AF47" s="196"/>
      <c r="AG47" s="196"/>
      <c r="AH47" s="196"/>
      <c r="AI47" s="196"/>
      <c r="AJ47" s="196"/>
      <c r="AK47" s="196"/>
      <c r="AL47" s="196"/>
      <c r="AM47" s="196"/>
      <c r="AN47" s="196"/>
      <c r="AO47" s="196"/>
    </row>
    <row r="48" spans="1:41" x14ac:dyDescent="0.2">
      <c r="B48" s="196"/>
      <c r="C48" s="196"/>
      <c r="D48" s="196"/>
      <c r="E48" s="196"/>
      <c r="F48" s="196"/>
      <c r="N48" s="196"/>
      <c r="O48" s="196"/>
      <c r="P48" s="196"/>
      <c r="Q48" s="196"/>
      <c r="R48" s="196"/>
      <c r="S48" s="196"/>
      <c r="T48" s="196"/>
      <c r="U48" s="196"/>
      <c r="V48" s="196"/>
      <c r="W48" s="196"/>
      <c r="X48" s="196"/>
      <c r="Y48" s="196"/>
      <c r="Z48" s="196"/>
      <c r="AA48" s="196"/>
      <c r="AB48" s="196"/>
      <c r="AC48" s="196"/>
      <c r="AD48" s="196"/>
      <c r="AE48" s="196"/>
      <c r="AF48" s="196"/>
      <c r="AG48" s="196"/>
      <c r="AH48" s="196"/>
      <c r="AI48" s="196"/>
      <c r="AJ48" s="196"/>
      <c r="AK48" s="196"/>
      <c r="AL48" s="196"/>
      <c r="AM48" s="196"/>
      <c r="AN48" s="196"/>
      <c r="AO48" s="196"/>
    </row>
    <row r="49" spans="2:41" x14ac:dyDescent="0.2">
      <c r="B49" s="196"/>
      <c r="C49" s="196"/>
      <c r="D49" s="196"/>
      <c r="E49" s="196"/>
      <c r="F49" s="196"/>
      <c r="N49" s="196"/>
      <c r="O49" s="196"/>
      <c r="P49" s="196"/>
      <c r="Q49" s="196"/>
      <c r="R49" s="196"/>
      <c r="S49" s="196"/>
      <c r="T49" s="196"/>
      <c r="U49" s="196"/>
      <c r="V49" s="196"/>
      <c r="W49" s="196"/>
      <c r="X49" s="196"/>
      <c r="Y49" s="196"/>
      <c r="Z49" s="196"/>
      <c r="AA49" s="196"/>
      <c r="AB49" s="196"/>
      <c r="AC49" s="196"/>
      <c r="AD49" s="196"/>
      <c r="AE49" s="196"/>
      <c r="AF49" s="196"/>
      <c r="AG49" s="196"/>
      <c r="AH49" s="196"/>
      <c r="AI49" s="196"/>
      <c r="AJ49" s="196"/>
      <c r="AK49" s="196"/>
      <c r="AL49" s="196"/>
      <c r="AM49" s="196"/>
      <c r="AN49" s="196"/>
      <c r="AO49" s="196"/>
    </row>
    <row r="50" spans="2:41" x14ac:dyDescent="0.2">
      <c r="B50" s="196"/>
      <c r="C50" s="196"/>
      <c r="D50" s="196"/>
      <c r="E50" s="196"/>
      <c r="F50" s="196"/>
      <c r="N50" s="196"/>
      <c r="O50" s="196"/>
      <c r="P50" s="196"/>
      <c r="Q50" s="196"/>
      <c r="R50" s="196"/>
      <c r="S50" s="196"/>
      <c r="T50" s="196"/>
      <c r="U50" s="196"/>
      <c r="V50" s="196"/>
      <c r="W50" s="196"/>
      <c r="X50" s="196"/>
      <c r="Y50" s="196"/>
      <c r="Z50" s="196"/>
      <c r="AA50" s="196"/>
      <c r="AB50" s="196"/>
      <c r="AC50" s="196"/>
      <c r="AD50" s="196"/>
      <c r="AE50" s="196"/>
      <c r="AF50" s="196"/>
      <c r="AG50" s="196"/>
      <c r="AH50" s="196"/>
      <c r="AI50" s="196"/>
      <c r="AJ50" s="196"/>
      <c r="AK50" s="196"/>
      <c r="AL50" s="196"/>
      <c r="AM50" s="196"/>
      <c r="AN50" s="196"/>
      <c r="AO50" s="196"/>
    </row>
    <row r="51" spans="2:41" x14ac:dyDescent="0.2">
      <c r="B51" s="196"/>
      <c r="C51" s="196"/>
      <c r="D51" s="196"/>
      <c r="E51" s="196"/>
      <c r="F51" s="196"/>
      <c r="N51" s="196"/>
      <c r="O51" s="196"/>
      <c r="P51" s="196"/>
      <c r="Q51" s="196"/>
      <c r="R51" s="196"/>
      <c r="S51" s="196"/>
      <c r="T51" s="196"/>
      <c r="U51" s="196"/>
      <c r="V51" s="196"/>
      <c r="W51" s="196"/>
      <c r="X51" s="196"/>
      <c r="Y51" s="196"/>
      <c r="Z51" s="196"/>
      <c r="AA51" s="196"/>
      <c r="AB51" s="196"/>
      <c r="AC51" s="196"/>
      <c r="AD51" s="196"/>
      <c r="AE51" s="196"/>
      <c r="AF51" s="196"/>
      <c r="AG51" s="196"/>
      <c r="AH51" s="196"/>
      <c r="AI51" s="196"/>
      <c r="AJ51" s="196"/>
      <c r="AK51" s="196"/>
      <c r="AL51" s="196"/>
      <c r="AM51" s="196"/>
      <c r="AN51" s="196"/>
      <c r="AO51" s="196"/>
    </row>
    <row r="52" spans="2:41" x14ac:dyDescent="0.2">
      <c r="B52" s="196"/>
      <c r="C52" s="196"/>
      <c r="D52" s="196"/>
      <c r="E52" s="196"/>
      <c r="F52" s="196"/>
      <c r="N52" s="196"/>
      <c r="O52" s="196"/>
      <c r="P52" s="196"/>
      <c r="Q52" s="196"/>
      <c r="R52" s="196"/>
      <c r="S52" s="196"/>
      <c r="T52" s="196"/>
      <c r="U52" s="196"/>
      <c r="V52" s="196"/>
      <c r="W52" s="196"/>
      <c r="X52" s="196"/>
      <c r="Y52" s="196"/>
      <c r="Z52" s="196"/>
      <c r="AA52" s="196"/>
      <c r="AB52" s="196"/>
      <c r="AC52" s="196"/>
      <c r="AD52" s="196"/>
      <c r="AE52" s="196"/>
      <c r="AF52" s="196"/>
      <c r="AG52" s="196"/>
      <c r="AH52" s="196"/>
      <c r="AI52" s="196"/>
      <c r="AJ52" s="196"/>
      <c r="AK52" s="196"/>
      <c r="AL52" s="196"/>
      <c r="AM52" s="196"/>
      <c r="AN52" s="196"/>
      <c r="AO52" s="196"/>
    </row>
    <row r="53" spans="2:41" x14ac:dyDescent="0.2">
      <c r="B53" s="196"/>
      <c r="C53" s="196"/>
      <c r="D53" s="196"/>
      <c r="E53" s="196"/>
      <c r="F53" s="196"/>
      <c r="N53" s="196"/>
      <c r="O53" s="196"/>
      <c r="P53" s="196"/>
      <c r="Q53" s="196"/>
      <c r="R53" s="196"/>
      <c r="S53" s="196"/>
      <c r="T53" s="196"/>
      <c r="U53" s="196"/>
      <c r="V53" s="196"/>
      <c r="W53" s="196"/>
      <c r="X53" s="196"/>
      <c r="Y53" s="196"/>
      <c r="Z53" s="196"/>
      <c r="AA53" s="196"/>
      <c r="AB53" s="196"/>
      <c r="AC53" s="196"/>
      <c r="AD53" s="196"/>
      <c r="AE53" s="196"/>
      <c r="AF53" s="196"/>
      <c r="AG53" s="196"/>
      <c r="AH53" s="196"/>
      <c r="AI53" s="196"/>
      <c r="AJ53" s="196"/>
      <c r="AK53" s="196"/>
      <c r="AL53" s="196"/>
      <c r="AM53" s="196"/>
      <c r="AN53" s="196"/>
      <c r="AO53" s="196"/>
    </row>
    <row r="54" spans="2:41" x14ac:dyDescent="0.2">
      <c r="B54" s="196"/>
      <c r="C54" s="196"/>
      <c r="D54" s="196"/>
      <c r="E54" s="196"/>
      <c r="F54" s="196"/>
      <c r="N54" s="196"/>
      <c r="O54" s="196"/>
      <c r="P54" s="196"/>
      <c r="Q54" s="196"/>
      <c r="R54" s="196"/>
      <c r="S54" s="196"/>
      <c r="T54" s="196"/>
      <c r="U54" s="196"/>
      <c r="V54" s="196"/>
      <c r="W54" s="196"/>
      <c r="X54" s="196"/>
      <c r="Y54" s="196"/>
      <c r="Z54" s="196"/>
      <c r="AA54" s="196"/>
      <c r="AB54" s="196"/>
      <c r="AC54" s="196"/>
      <c r="AD54" s="196"/>
      <c r="AE54" s="196"/>
      <c r="AF54" s="196"/>
      <c r="AG54" s="196"/>
      <c r="AH54" s="196"/>
      <c r="AI54" s="196"/>
      <c r="AJ54" s="196"/>
      <c r="AK54" s="196"/>
      <c r="AL54" s="196"/>
      <c r="AM54" s="196"/>
      <c r="AN54" s="196"/>
      <c r="AO54" s="196"/>
    </row>
    <row r="55" spans="2:41" x14ac:dyDescent="0.2">
      <c r="B55" s="196"/>
      <c r="C55" s="196"/>
      <c r="D55" s="196"/>
      <c r="E55" s="196"/>
      <c r="F55" s="196"/>
      <c r="N55" s="196"/>
      <c r="O55" s="196"/>
      <c r="P55" s="196"/>
      <c r="Q55" s="196"/>
      <c r="R55" s="196"/>
      <c r="S55" s="196"/>
      <c r="T55" s="196"/>
      <c r="U55" s="196"/>
      <c r="V55" s="196"/>
      <c r="W55" s="196"/>
      <c r="X55" s="196"/>
      <c r="Y55" s="196"/>
      <c r="Z55" s="196"/>
      <c r="AA55" s="196"/>
      <c r="AB55" s="196"/>
      <c r="AC55" s="196"/>
      <c r="AD55" s="196"/>
      <c r="AE55" s="196"/>
      <c r="AF55" s="196"/>
      <c r="AG55" s="196"/>
      <c r="AH55" s="196"/>
      <c r="AI55" s="196"/>
      <c r="AJ55" s="196"/>
      <c r="AK55" s="196"/>
      <c r="AL55" s="196"/>
      <c r="AM55" s="196"/>
      <c r="AN55" s="196"/>
      <c r="AO55" s="196"/>
    </row>
    <row r="56" spans="2:41" x14ac:dyDescent="0.2">
      <c r="B56" s="196"/>
      <c r="C56" s="196"/>
      <c r="D56" s="196"/>
      <c r="E56" s="196"/>
      <c r="F56" s="196"/>
      <c r="N56" s="196"/>
      <c r="O56" s="196"/>
      <c r="P56" s="196"/>
      <c r="Q56" s="196"/>
      <c r="R56" s="196"/>
      <c r="S56" s="196"/>
      <c r="T56" s="196"/>
      <c r="U56" s="196"/>
      <c r="V56" s="196"/>
      <c r="W56" s="196"/>
      <c r="X56" s="196"/>
      <c r="Y56" s="196"/>
      <c r="Z56" s="196"/>
      <c r="AA56" s="196"/>
      <c r="AB56" s="196"/>
      <c r="AC56" s="196"/>
      <c r="AD56" s="196"/>
      <c r="AE56" s="196"/>
      <c r="AF56" s="196"/>
      <c r="AG56" s="196"/>
      <c r="AH56" s="196"/>
      <c r="AI56" s="196"/>
      <c r="AJ56" s="196"/>
      <c r="AK56" s="196"/>
      <c r="AL56" s="196"/>
      <c r="AM56" s="196"/>
      <c r="AN56" s="196"/>
      <c r="AO56" s="196"/>
    </row>
    <row r="57" spans="2:41" x14ac:dyDescent="0.2">
      <c r="B57" s="196"/>
      <c r="C57" s="196"/>
      <c r="D57" s="196"/>
      <c r="E57" s="196"/>
      <c r="F57" s="196"/>
      <c r="N57" s="196"/>
      <c r="O57" s="196"/>
      <c r="P57" s="196"/>
      <c r="Q57" s="196"/>
      <c r="R57" s="196"/>
      <c r="S57" s="196"/>
      <c r="T57" s="196"/>
      <c r="U57" s="196"/>
      <c r="V57" s="196"/>
      <c r="W57" s="196"/>
      <c r="X57" s="196"/>
      <c r="Y57" s="196"/>
      <c r="Z57" s="196"/>
      <c r="AA57" s="196"/>
      <c r="AB57" s="196"/>
      <c r="AC57" s="196"/>
      <c r="AD57" s="196"/>
      <c r="AE57" s="196"/>
      <c r="AF57" s="196"/>
      <c r="AG57" s="196"/>
      <c r="AH57" s="196"/>
      <c r="AI57" s="196"/>
      <c r="AJ57" s="196"/>
      <c r="AK57" s="196"/>
      <c r="AL57" s="196"/>
      <c r="AM57" s="196"/>
      <c r="AN57" s="196"/>
      <c r="AO57" s="196"/>
    </row>
    <row r="58" spans="2:41" x14ac:dyDescent="0.2">
      <c r="B58" s="196"/>
      <c r="C58" s="196"/>
      <c r="D58" s="196"/>
      <c r="E58" s="196"/>
      <c r="F58" s="196"/>
      <c r="N58" s="196"/>
      <c r="O58" s="196"/>
      <c r="P58" s="196"/>
      <c r="Q58" s="196"/>
      <c r="R58" s="196"/>
      <c r="S58" s="196"/>
      <c r="T58" s="196"/>
      <c r="U58" s="196"/>
      <c r="V58" s="196"/>
      <c r="W58" s="196"/>
      <c r="X58" s="196"/>
      <c r="Y58" s="196"/>
      <c r="Z58" s="196"/>
      <c r="AA58" s="196"/>
      <c r="AB58" s="196"/>
      <c r="AC58" s="196"/>
      <c r="AD58" s="196"/>
      <c r="AE58" s="196"/>
      <c r="AF58" s="196"/>
      <c r="AG58" s="196"/>
      <c r="AH58" s="196"/>
      <c r="AI58" s="196"/>
      <c r="AJ58" s="196"/>
      <c r="AK58" s="196"/>
      <c r="AL58" s="196"/>
      <c r="AM58" s="196"/>
      <c r="AN58" s="196"/>
      <c r="AO58" s="196"/>
    </row>
    <row r="59" spans="2:41" x14ac:dyDescent="0.2">
      <c r="B59" s="196"/>
      <c r="C59" s="196"/>
      <c r="D59" s="196"/>
      <c r="E59" s="196"/>
      <c r="F59" s="196"/>
      <c r="N59" s="196"/>
      <c r="O59" s="196"/>
      <c r="P59" s="196"/>
      <c r="Q59" s="196"/>
      <c r="R59" s="196"/>
      <c r="S59" s="196"/>
      <c r="T59" s="196"/>
      <c r="U59" s="196"/>
      <c r="V59" s="196"/>
      <c r="W59" s="196"/>
      <c r="X59" s="196"/>
      <c r="Y59" s="196"/>
      <c r="Z59" s="196"/>
      <c r="AA59" s="196"/>
      <c r="AB59" s="196"/>
      <c r="AC59" s="196"/>
      <c r="AD59" s="196"/>
      <c r="AE59" s="196"/>
      <c r="AF59" s="196"/>
      <c r="AG59" s="196"/>
      <c r="AH59" s="196"/>
      <c r="AI59" s="196"/>
      <c r="AJ59" s="196"/>
      <c r="AK59" s="196"/>
      <c r="AL59" s="196"/>
      <c r="AM59" s="196"/>
      <c r="AN59" s="196"/>
      <c r="AO59" s="196"/>
    </row>
    <row r="60" spans="2:41" x14ac:dyDescent="0.2">
      <c r="B60" s="196"/>
      <c r="C60" s="196"/>
      <c r="D60" s="196"/>
      <c r="E60" s="196"/>
      <c r="F60" s="196"/>
      <c r="N60" s="196"/>
      <c r="O60" s="196"/>
      <c r="P60" s="196"/>
      <c r="Q60" s="196"/>
      <c r="R60" s="196"/>
      <c r="S60" s="196"/>
      <c r="T60" s="196"/>
      <c r="U60" s="196"/>
      <c r="V60" s="196"/>
      <c r="W60" s="196"/>
      <c r="X60" s="196"/>
      <c r="Y60" s="196"/>
      <c r="Z60" s="196"/>
      <c r="AA60" s="196"/>
      <c r="AB60" s="196"/>
      <c r="AC60" s="196"/>
      <c r="AD60" s="196"/>
      <c r="AE60" s="196"/>
      <c r="AF60" s="196"/>
      <c r="AG60" s="196"/>
      <c r="AH60" s="196"/>
      <c r="AI60" s="196"/>
      <c r="AJ60" s="196"/>
      <c r="AK60" s="196"/>
      <c r="AL60" s="196"/>
      <c r="AM60" s="196"/>
      <c r="AN60" s="196"/>
      <c r="AO60" s="196"/>
    </row>
    <row r="61" spans="2:41" x14ac:dyDescent="0.2">
      <c r="B61" s="196"/>
      <c r="C61" s="196"/>
      <c r="D61" s="196"/>
      <c r="E61" s="196"/>
      <c r="F61" s="196"/>
      <c r="N61" s="196"/>
      <c r="O61" s="196"/>
      <c r="P61" s="196"/>
      <c r="Q61" s="196"/>
      <c r="R61" s="196"/>
      <c r="S61" s="196"/>
      <c r="T61" s="196"/>
      <c r="U61" s="196"/>
      <c r="V61" s="196"/>
      <c r="W61" s="196"/>
      <c r="X61" s="196"/>
      <c r="Y61" s="196"/>
      <c r="Z61" s="196"/>
      <c r="AA61" s="196"/>
      <c r="AB61" s="196"/>
      <c r="AC61" s="196"/>
      <c r="AD61" s="196"/>
      <c r="AE61" s="196"/>
      <c r="AF61" s="196"/>
      <c r="AG61" s="196"/>
      <c r="AH61" s="196"/>
      <c r="AI61" s="196"/>
      <c r="AJ61" s="196"/>
      <c r="AK61" s="196"/>
      <c r="AL61" s="196"/>
      <c r="AM61" s="196"/>
      <c r="AN61" s="196"/>
      <c r="AO61" s="196"/>
    </row>
    <row r="62" spans="2:41" x14ac:dyDescent="0.2">
      <c r="B62" s="196"/>
      <c r="C62" s="196"/>
      <c r="D62" s="196"/>
      <c r="E62" s="196"/>
      <c r="F62" s="196"/>
      <c r="N62" s="196"/>
      <c r="O62" s="196"/>
      <c r="P62" s="196"/>
      <c r="Q62" s="196"/>
      <c r="R62" s="196"/>
      <c r="S62" s="196"/>
      <c r="T62" s="196"/>
      <c r="U62" s="196"/>
      <c r="V62" s="196"/>
      <c r="W62" s="196"/>
      <c r="X62" s="196"/>
      <c r="Y62" s="196"/>
      <c r="Z62" s="196"/>
      <c r="AA62" s="196"/>
      <c r="AB62" s="196"/>
      <c r="AC62" s="196"/>
      <c r="AD62" s="196"/>
      <c r="AE62" s="196"/>
      <c r="AF62" s="196"/>
      <c r="AG62" s="196"/>
      <c r="AH62" s="196"/>
      <c r="AI62" s="196"/>
      <c r="AJ62" s="196"/>
      <c r="AK62" s="196"/>
      <c r="AL62" s="196"/>
      <c r="AM62" s="196"/>
      <c r="AN62" s="196"/>
      <c r="AO62" s="196"/>
    </row>
    <row r="63" spans="2:41" x14ac:dyDescent="0.2">
      <c r="B63" s="196"/>
      <c r="C63" s="196"/>
      <c r="D63" s="196"/>
      <c r="E63" s="196"/>
      <c r="F63" s="196"/>
      <c r="N63" s="196"/>
      <c r="O63" s="196"/>
      <c r="P63" s="196"/>
      <c r="Q63" s="196"/>
      <c r="R63" s="196"/>
      <c r="S63" s="196"/>
      <c r="T63" s="196"/>
      <c r="U63" s="196"/>
      <c r="V63" s="196"/>
      <c r="W63" s="196"/>
      <c r="X63" s="196"/>
      <c r="Y63" s="196"/>
      <c r="Z63" s="196"/>
      <c r="AA63" s="196"/>
      <c r="AB63" s="196"/>
      <c r="AC63" s="196"/>
      <c r="AD63" s="196"/>
      <c r="AE63" s="196"/>
      <c r="AF63" s="196"/>
      <c r="AG63" s="196"/>
      <c r="AH63" s="196"/>
      <c r="AI63" s="196"/>
      <c r="AJ63" s="196"/>
      <c r="AK63" s="196"/>
      <c r="AL63" s="196"/>
      <c r="AM63" s="196"/>
      <c r="AN63" s="196"/>
      <c r="AO63" s="196"/>
    </row>
    <row r="64" spans="2:41" x14ac:dyDescent="0.2">
      <c r="B64" s="196"/>
      <c r="C64" s="196"/>
      <c r="D64" s="196"/>
      <c r="E64" s="196"/>
      <c r="F64" s="196"/>
      <c r="N64" s="196"/>
      <c r="O64" s="196"/>
      <c r="P64" s="196"/>
      <c r="Q64" s="196"/>
      <c r="R64" s="196"/>
      <c r="S64" s="196"/>
      <c r="T64" s="196"/>
      <c r="U64" s="196"/>
      <c r="V64" s="196"/>
      <c r="W64" s="196"/>
      <c r="X64" s="196"/>
      <c r="Y64" s="196"/>
      <c r="Z64" s="196"/>
      <c r="AA64" s="196"/>
      <c r="AB64" s="196"/>
      <c r="AC64" s="196"/>
      <c r="AD64" s="196"/>
      <c r="AE64" s="196"/>
      <c r="AF64" s="196"/>
      <c r="AG64" s="196"/>
      <c r="AH64" s="196"/>
      <c r="AI64" s="196"/>
      <c r="AJ64" s="196"/>
      <c r="AK64" s="196"/>
      <c r="AL64" s="196"/>
      <c r="AM64" s="196"/>
      <c r="AN64" s="196"/>
      <c r="AO64" s="196"/>
    </row>
    <row r="65" spans="2:41" x14ac:dyDescent="0.2">
      <c r="B65" s="196"/>
      <c r="C65" s="196"/>
      <c r="D65" s="196"/>
      <c r="E65" s="196"/>
      <c r="F65" s="196"/>
      <c r="N65" s="196"/>
      <c r="O65" s="196"/>
      <c r="P65" s="196"/>
      <c r="Q65" s="196"/>
      <c r="R65" s="196"/>
      <c r="S65" s="196"/>
      <c r="T65" s="196"/>
      <c r="U65" s="196"/>
      <c r="V65" s="196"/>
      <c r="W65" s="196"/>
      <c r="X65" s="196"/>
      <c r="Y65" s="196"/>
      <c r="Z65" s="196"/>
      <c r="AA65" s="196"/>
      <c r="AB65" s="196"/>
      <c r="AC65" s="196"/>
      <c r="AD65" s="196"/>
      <c r="AE65" s="196"/>
      <c r="AF65" s="196"/>
      <c r="AG65" s="196"/>
      <c r="AH65" s="196"/>
      <c r="AI65" s="196"/>
      <c r="AJ65" s="196"/>
      <c r="AK65" s="196"/>
      <c r="AL65" s="196"/>
      <c r="AM65" s="196"/>
      <c r="AN65" s="196"/>
      <c r="AO65" s="196"/>
    </row>
    <row r="66" spans="2:41" x14ac:dyDescent="0.2">
      <c r="B66" s="196"/>
      <c r="C66" s="196"/>
      <c r="D66" s="196"/>
      <c r="E66" s="196"/>
      <c r="F66" s="196"/>
      <c r="N66" s="196"/>
      <c r="O66" s="196"/>
      <c r="P66" s="196"/>
      <c r="Q66" s="196"/>
      <c r="R66" s="196"/>
      <c r="S66" s="196"/>
      <c r="T66" s="196"/>
      <c r="U66" s="196"/>
      <c r="V66" s="196"/>
      <c r="W66" s="196"/>
      <c r="X66" s="196"/>
      <c r="Y66" s="196"/>
      <c r="Z66" s="196"/>
      <c r="AA66" s="196"/>
      <c r="AB66" s="196"/>
      <c r="AC66" s="196"/>
      <c r="AD66" s="196"/>
      <c r="AE66" s="196"/>
      <c r="AF66" s="196"/>
      <c r="AG66" s="196"/>
      <c r="AH66" s="196"/>
      <c r="AI66" s="196"/>
      <c r="AJ66" s="196"/>
      <c r="AK66" s="196"/>
      <c r="AL66" s="196"/>
      <c r="AM66" s="196"/>
      <c r="AN66" s="196"/>
      <c r="AO66" s="196"/>
    </row>
    <row r="67" spans="2:41" x14ac:dyDescent="0.2">
      <c r="B67" s="196"/>
      <c r="C67" s="196"/>
      <c r="D67" s="196"/>
      <c r="E67" s="196"/>
      <c r="F67" s="196"/>
      <c r="N67" s="196"/>
      <c r="O67" s="196"/>
      <c r="P67" s="196"/>
      <c r="Q67" s="196"/>
      <c r="R67" s="196"/>
      <c r="S67" s="196"/>
      <c r="T67" s="196"/>
      <c r="U67" s="196"/>
      <c r="V67" s="196"/>
      <c r="W67" s="196"/>
      <c r="X67" s="196"/>
      <c r="Y67" s="196"/>
      <c r="Z67" s="196"/>
      <c r="AA67" s="196"/>
      <c r="AB67" s="196"/>
      <c r="AC67" s="196"/>
      <c r="AD67" s="196"/>
      <c r="AE67" s="196"/>
      <c r="AF67" s="196"/>
      <c r="AG67" s="196"/>
      <c r="AH67" s="196"/>
      <c r="AI67" s="196"/>
      <c r="AJ67" s="196"/>
      <c r="AK67" s="196"/>
      <c r="AL67" s="196"/>
      <c r="AM67" s="196"/>
      <c r="AN67" s="196"/>
      <c r="AO67" s="196"/>
    </row>
    <row r="68" spans="2:41" x14ac:dyDescent="0.2">
      <c r="B68" s="196"/>
      <c r="C68" s="196"/>
      <c r="D68" s="196"/>
      <c r="E68" s="196"/>
      <c r="F68" s="196"/>
      <c r="N68" s="196"/>
      <c r="O68" s="196"/>
      <c r="P68" s="196"/>
      <c r="Q68" s="196"/>
      <c r="R68" s="196"/>
      <c r="S68" s="196"/>
      <c r="T68" s="196"/>
      <c r="U68" s="196"/>
      <c r="V68" s="196"/>
      <c r="W68" s="196"/>
      <c r="X68" s="196"/>
      <c r="Y68" s="196"/>
      <c r="Z68" s="196"/>
      <c r="AA68" s="196"/>
      <c r="AB68" s="196"/>
      <c r="AC68" s="196"/>
      <c r="AD68" s="196"/>
      <c r="AE68" s="196"/>
      <c r="AF68" s="196"/>
      <c r="AG68" s="196"/>
      <c r="AH68" s="196"/>
      <c r="AI68" s="196"/>
      <c r="AJ68" s="196"/>
      <c r="AK68" s="196"/>
      <c r="AL68" s="196"/>
      <c r="AM68" s="196"/>
      <c r="AN68" s="196"/>
      <c r="AO68" s="196"/>
    </row>
    <row r="69" spans="2:41" x14ac:dyDescent="0.2">
      <c r="B69" s="196"/>
      <c r="C69" s="196"/>
      <c r="D69" s="196"/>
      <c r="E69" s="196"/>
      <c r="F69" s="196"/>
      <c r="N69" s="196"/>
      <c r="O69" s="196"/>
      <c r="P69" s="196"/>
      <c r="Q69" s="196"/>
      <c r="R69" s="196"/>
      <c r="S69" s="196"/>
      <c r="T69" s="196"/>
      <c r="U69" s="196"/>
      <c r="V69" s="196"/>
      <c r="W69" s="196"/>
      <c r="X69" s="196"/>
      <c r="Y69" s="196"/>
      <c r="Z69" s="196"/>
      <c r="AA69" s="196"/>
      <c r="AB69" s="196"/>
      <c r="AC69" s="196"/>
      <c r="AD69" s="196"/>
      <c r="AE69" s="196"/>
      <c r="AF69" s="196"/>
      <c r="AG69" s="196"/>
      <c r="AH69" s="196"/>
      <c r="AI69" s="196"/>
      <c r="AJ69" s="196"/>
      <c r="AK69" s="196"/>
      <c r="AL69" s="196"/>
      <c r="AM69" s="196"/>
      <c r="AN69" s="196"/>
      <c r="AO69" s="196"/>
    </row>
    <row r="70" spans="2:41" x14ac:dyDescent="0.2">
      <c r="B70" s="196"/>
      <c r="C70" s="196"/>
      <c r="D70" s="196"/>
      <c r="E70" s="196"/>
      <c r="F70" s="196"/>
      <c r="N70" s="196"/>
      <c r="O70" s="196"/>
      <c r="P70" s="196"/>
      <c r="Q70" s="196"/>
      <c r="R70" s="196"/>
      <c r="S70" s="196"/>
      <c r="T70" s="196"/>
      <c r="U70" s="196"/>
      <c r="V70" s="196"/>
      <c r="W70" s="196"/>
      <c r="X70" s="196"/>
      <c r="Y70" s="196"/>
      <c r="Z70" s="196"/>
      <c r="AA70" s="196"/>
      <c r="AB70" s="196"/>
      <c r="AC70" s="196"/>
      <c r="AD70" s="196"/>
      <c r="AE70" s="196"/>
      <c r="AF70" s="196"/>
      <c r="AG70" s="196"/>
      <c r="AH70" s="196"/>
      <c r="AI70" s="196"/>
      <c r="AJ70" s="196"/>
      <c r="AK70" s="196"/>
      <c r="AL70" s="196"/>
      <c r="AM70" s="196"/>
      <c r="AN70" s="196"/>
      <c r="AO70" s="196"/>
    </row>
    <row r="71" spans="2:41" x14ac:dyDescent="0.2">
      <c r="B71" s="196"/>
      <c r="C71" s="196"/>
      <c r="D71" s="196"/>
      <c r="E71" s="196"/>
      <c r="F71" s="196"/>
      <c r="N71" s="196"/>
      <c r="O71" s="196"/>
      <c r="P71" s="196"/>
      <c r="Q71" s="196"/>
      <c r="R71" s="196"/>
      <c r="S71" s="196"/>
      <c r="T71" s="196"/>
      <c r="U71" s="196"/>
      <c r="V71" s="196"/>
      <c r="W71" s="196"/>
      <c r="X71" s="196"/>
      <c r="Y71" s="196"/>
      <c r="Z71" s="196"/>
      <c r="AA71" s="196"/>
      <c r="AB71" s="196"/>
      <c r="AC71" s="196"/>
      <c r="AD71" s="196"/>
      <c r="AE71" s="196"/>
      <c r="AF71" s="196"/>
      <c r="AG71" s="196"/>
      <c r="AH71" s="196"/>
      <c r="AI71" s="196"/>
      <c r="AJ71" s="196"/>
      <c r="AK71" s="196"/>
      <c r="AL71" s="196"/>
      <c r="AM71" s="196"/>
      <c r="AN71" s="196"/>
      <c r="AO71" s="196"/>
    </row>
    <row r="72" spans="2:41" x14ac:dyDescent="0.2">
      <c r="B72" s="196"/>
      <c r="C72" s="196"/>
      <c r="D72" s="196"/>
      <c r="E72" s="196"/>
      <c r="F72" s="196"/>
      <c r="N72" s="196"/>
      <c r="O72" s="196"/>
      <c r="P72" s="196"/>
      <c r="Q72" s="196"/>
      <c r="R72" s="196"/>
      <c r="S72" s="196"/>
      <c r="T72" s="196"/>
      <c r="U72" s="196"/>
      <c r="V72" s="196"/>
      <c r="W72" s="196"/>
      <c r="X72" s="196"/>
      <c r="Y72" s="196"/>
      <c r="Z72" s="196"/>
      <c r="AA72" s="196"/>
      <c r="AB72" s="196"/>
      <c r="AC72" s="196"/>
      <c r="AD72" s="196"/>
      <c r="AE72" s="196"/>
      <c r="AF72" s="196"/>
      <c r="AG72" s="196"/>
      <c r="AH72" s="196"/>
      <c r="AI72" s="196"/>
      <c r="AJ72" s="196"/>
      <c r="AK72" s="196"/>
      <c r="AL72" s="196"/>
      <c r="AM72" s="196"/>
      <c r="AN72" s="196"/>
      <c r="AO72" s="196"/>
    </row>
    <row r="73" spans="2:41" x14ac:dyDescent="0.2">
      <c r="B73" s="196"/>
      <c r="C73" s="196"/>
      <c r="D73" s="196"/>
      <c r="E73" s="196"/>
      <c r="F73" s="196"/>
      <c r="N73" s="196"/>
      <c r="O73" s="196"/>
      <c r="P73" s="196"/>
      <c r="Q73" s="196"/>
      <c r="R73" s="196"/>
      <c r="S73" s="196"/>
      <c r="T73" s="196"/>
      <c r="U73" s="196"/>
      <c r="V73" s="196"/>
      <c r="W73" s="196"/>
      <c r="X73" s="196"/>
      <c r="Y73" s="196"/>
      <c r="Z73" s="196"/>
      <c r="AA73" s="196"/>
      <c r="AB73" s="196"/>
      <c r="AC73" s="196"/>
      <c r="AD73" s="196"/>
      <c r="AE73" s="196"/>
      <c r="AF73" s="196"/>
      <c r="AG73" s="196"/>
      <c r="AH73" s="196"/>
      <c r="AI73" s="196"/>
      <c r="AJ73" s="196"/>
      <c r="AK73" s="196"/>
      <c r="AL73" s="196"/>
      <c r="AM73" s="196"/>
      <c r="AN73" s="196"/>
      <c r="AO73" s="196"/>
    </row>
    <row r="74" spans="2:41" x14ac:dyDescent="0.2">
      <c r="B74" s="196"/>
      <c r="C74" s="196"/>
      <c r="D74" s="196"/>
      <c r="E74" s="196"/>
      <c r="F74" s="196"/>
      <c r="N74" s="196"/>
      <c r="O74" s="196"/>
      <c r="P74" s="196"/>
      <c r="Q74" s="196"/>
      <c r="R74" s="196"/>
      <c r="S74" s="196"/>
      <c r="T74" s="196"/>
      <c r="U74" s="196"/>
      <c r="V74" s="196"/>
      <c r="W74" s="196"/>
      <c r="X74" s="196"/>
      <c r="Y74" s="196"/>
      <c r="Z74" s="196"/>
      <c r="AA74" s="196"/>
      <c r="AB74" s="196"/>
      <c r="AC74" s="196"/>
      <c r="AD74" s="196"/>
      <c r="AE74" s="196"/>
      <c r="AF74" s="196"/>
      <c r="AG74" s="196"/>
      <c r="AH74" s="196"/>
      <c r="AI74" s="196"/>
      <c r="AJ74" s="196"/>
      <c r="AK74" s="196"/>
      <c r="AL74" s="196"/>
      <c r="AM74" s="196"/>
      <c r="AN74" s="196"/>
      <c r="AO74" s="196"/>
    </row>
    <row r="75" spans="2:41" x14ac:dyDescent="0.2">
      <c r="B75" s="196"/>
      <c r="C75" s="196"/>
      <c r="D75" s="196"/>
      <c r="E75" s="196"/>
      <c r="F75" s="196"/>
      <c r="N75" s="196"/>
      <c r="O75" s="196"/>
      <c r="P75" s="196"/>
      <c r="Q75" s="196"/>
      <c r="R75" s="196"/>
      <c r="S75" s="196"/>
      <c r="T75" s="196"/>
      <c r="U75" s="196"/>
      <c r="V75" s="196"/>
      <c r="W75" s="196"/>
      <c r="X75" s="196"/>
      <c r="Y75" s="196"/>
      <c r="Z75" s="196"/>
      <c r="AA75" s="196"/>
      <c r="AB75" s="196"/>
      <c r="AC75" s="196"/>
      <c r="AD75" s="196"/>
      <c r="AE75" s="196"/>
      <c r="AF75" s="196"/>
      <c r="AG75" s="196"/>
      <c r="AH75" s="196"/>
      <c r="AI75" s="196"/>
      <c r="AJ75" s="196"/>
      <c r="AK75" s="196"/>
      <c r="AL75" s="196"/>
      <c r="AM75" s="196"/>
      <c r="AN75" s="196"/>
      <c r="AO75" s="196"/>
    </row>
    <row r="76" spans="2:41" x14ac:dyDescent="0.2">
      <c r="B76" s="196"/>
      <c r="C76" s="196"/>
      <c r="D76" s="196"/>
      <c r="E76" s="196"/>
      <c r="F76" s="196"/>
      <c r="N76" s="196"/>
      <c r="O76" s="196"/>
      <c r="P76" s="196"/>
      <c r="Q76" s="196"/>
      <c r="R76" s="196"/>
      <c r="S76" s="196"/>
      <c r="T76" s="196"/>
      <c r="U76" s="196"/>
      <c r="V76" s="196"/>
      <c r="W76" s="196"/>
      <c r="X76" s="196"/>
      <c r="Y76" s="196"/>
      <c r="Z76" s="196"/>
      <c r="AA76" s="196"/>
      <c r="AB76" s="196"/>
      <c r="AC76" s="196"/>
      <c r="AD76" s="196"/>
      <c r="AE76" s="196"/>
      <c r="AF76" s="196"/>
      <c r="AG76" s="196"/>
      <c r="AH76" s="196"/>
      <c r="AI76" s="196"/>
      <c r="AJ76" s="196"/>
      <c r="AK76" s="196"/>
      <c r="AL76" s="196"/>
      <c r="AM76" s="196"/>
      <c r="AN76" s="196"/>
      <c r="AO76" s="196"/>
    </row>
    <row r="77" spans="2:41" x14ac:dyDescent="0.2">
      <c r="B77" s="196"/>
      <c r="C77" s="196"/>
      <c r="D77" s="196"/>
      <c r="E77" s="196"/>
      <c r="F77" s="196"/>
      <c r="N77" s="196"/>
      <c r="O77" s="196"/>
      <c r="P77" s="196"/>
      <c r="Q77" s="196"/>
      <c r="R77" s="196"/>
      <c r="S77" s="196"/>
      <c r="T77" s="196"/>
      <c r="U77" s="196"/>
      <c r="V77" s="196"/>
      <c r="W77" s="196"/>
      <c r="X77" s="196"/>
      <c r="Y77" s="196"/>
      <c r="Z77" s="196"/>
      <c r="AA77" s="196"/>
      <c r="AB77" s="196"/>
      <c r="AC77" s="196"/>
      <c r="AD77" s="196"/>
      <c r="AE77" s="196"/>
      <c r="AF77" s="196"/>
      <c r="AG77" s="196"/>
      <c r="AH77" s="196"/>
      <c r="AI77" s="196"/>
      <c r="AJ77" s="196"/>
      <c r="AK77" s="196"/>
      <c r="AL77" s="196"/>
      <c r="AM77" s="196"/>
      <c r="AN77" s="196"/>
      <c r="AO77" s="196"/>
    </row>
    <row r="78" spans="2:41" x14ac:dyDescent="0.2">
      <c r="B78" s="196"/>
      <c r="C78" s="196"/>
      <c r="D78" s="196"/>
      <c r="E78" s="196"/>
      <c r="F78" s="196"/>
      <c r="N78" s="196"/>
      <c r="O78" s="196"/>
      <c r="P78" s="196"/>
      <c r="Q78" s="196"/>
      <c r="R78" s="196"/>
      <c r="S78" s="196"/>
      <c r="T78" s="196"/>
      <c r="U78" s="196"/>
      <c r="V78" s="196"/>
      <c r="W78" s="196"/>
      <c r="X78" s="196"/>
      <c r="Y78" s="196"/>
      <c r="Z78" s="196"/>
      <c r="AA78" s="196"/>
      <c r="AB78" s="196"/>
      <c r="AC78" s="196"/>
      <c r="AD78" s="196"/>
      <c r="AE78" s="196"/>
      <c r="AF78" s="196"/>
      <c r="AG78" s="196"/>
      <c r="AH78" s="196"/>
      <c r="AI78" s="196"/>
      <c r="AJ78" s="196"/>
      <c r="AK78" s="196"/>
      <c r="AL78" s="196"/>
      <c r="AM78" s="196"/>
      <c r="AN78" s="196"/>
      <c r="AO78" s="196"/>
    </row>
    <row r="79" spans="2:41" x14ac:dyDescent="0.2">
      <c r="B79" s="196"/>
      <c r="C79" s="196"/>
      <c r="D79" s="196"/>
      <c r="E79" s="196"/>
      <c r="F79" s="196"/>
      <c r="N79" s="196"/>
      <c r="O79" s="196"/>
      <c r="P79" s="196"/>
      <c r="Q79" s="196"/>
      <c r="R79" s="196"/>
      <c r="S79" s="196"/>
      <c r="T79" s="196"/>
      <c r="U79" s="196"/>
      <c r="V79" s="196"/>
      <c r="W79" s="196"/>
      <c r="X79" s="196"/>
      <c r="Y79" s="196"/>
      <c r="Z79" s="196"/>
      <c r="AA79" s="196"/>
      <c r="AB79" s="196"/>
      <c r="AC79" s="196"/>
      <c r="AD79" s="196"/>
      <c r="AE79" s="196"/>
      <c r="AF79" s="196"/>
      <c r="AG79" s="196"/>
      <c r="AH79" s="196"/>
      <c r="AI79" s="196"/>
      <c r="AJ79" s="196"/>
      <c r="AK79" s="196"/>
      <c r="AL79" s="196"/>
      <c r="AM79" s="196"/>
      <c r="AN79" s="196"/>
      <c r="AO79" s="196"/>
    </row>
    <row r="80" spans="2:41" x14ac:dyDescent="0.2">
      <c r="B80" s="196"/>
      <c r="C80" s="196"/>
      <c r="D80" s="196"/>
      <c r="E80" s="196"/>
      <c r="F80" s="196"/>
      <c r="N80" s="196"/>
      <c r="O80" s="196"/>
      <c r="P80" s="196"/>
      <c r="Q80" s="196"/>
      <c r="R80" s="196"/>
      <c r="S80" s="196"/>
      <c r="T80" s="196"/>
      <c r="U80" s="196"/>
      <c r="V80" s="196"/>
      <c r="W80" s="196"/>
      <c r="X80" s="196"/>
      <c r="Y80" s="196"/>
      <c r="Z80" s="196"/>
      <c r="AA80" s="196"/>
      <c r="AB80" s="196"/>
      <c r="AC80" s="196"/>
      <c r="AD80" s="196"/>
      <c r="AE80" s="196"/>
      <c r="AF80" s="196"/>
      <c r="AG80" s="196"/>
      <c r="AH80" s="196"/>
      <c r="AI80" s="196"/>
      <c r="AJ80" s="196"/>
      <c r="AK80" s="196"/>
      <c r="AL80" s="196"/>
      <c r="AM80" s="196"/>
      <c r="AN80" s="196"/>
      <c r="AO80" s="196"/>
    </row>
    <row r="81" spans="2:41" x14ac:dyDescent="0.2">
      <c r="B81" s="196"/>
      <c r="C81" s="196"/>
      <c r="D81" s="196"/>
      <c r="E81" s="196"/>
      <c r="F81" s="196"/>
      <c r="N81" s="196"/>
      <c r="O81" s="196"/>
      <c r="P81" s="196"/>
      <c r="Q81" s="196"/>
      <c r="R81" s="196"/>
      <c r="S81" s="196"/>
      <c r="T81" s="196"/>
      <c r="U81" s="196"/>
      <c r="V81" s="196"/>
      <c r="W81" s="196"/>
      <c r="X81" s="196"/>
      <c r="Y81" s="196"/>
      <c r="Z81" s="196"/>
      <c r="AA81" s="196"/>
      <c r="AB81" s="196"/>
      <c r="AC81" s="196"/>
      <c r="AD81" s="196"/>
      <c r="AE81" s="196"/>
      <c r="AF81" s="196"/>
      <c r="AG81" s="196"/>
      <c r="AH81" s="196"/>
      <c r="AI81" s="196"/>
      <c r="AJ81" s="196"/>
      <c r="AK81" s="196"/>
      <c r="AL81" s="196"/>
      <c r="AM81" s="196"/>
      <c r="AN81" s="196"/>
      <c r="AO81" s="196"/>
    </row>
    <row r="82" spans="2:41" x14ac:dyDescent="0.2">
      <c r="B82" s="196"/>
      <c r="C82" s="196"/>
      <c r="D82" s="196"/>
      <c r="E82" s="196"/>
      <c r="F82" s="196"/>
      <c r="N82" s="196"/>
      <c r="O82" s="196"/>
      <c r="P82" s="196"/>
      <c r="Q82" s="196"/>
      <c r="R82" s="196"/>
      <c r="S82" s="196"/>
      <c r="T82" s="196"/>
      <c r="U82" s="196"/>
      <c r="V82" s="196"/>
      <c r="W82" s="196"/>
      <c r="X82" s="196"/>
      <c r="Y82" s="196"/>
      <c r="Z82" s="196"/>
      <c r="AA82" s="196"/>
      <c r="AB82" s="196"/>
      <c r="AC82" s="196"/>
      <c r="AD82" s="196"/>
      <c r="AE82" s="196"/>
      <c r="AF82" s="196"/>
      <c r="AG82" s="196"/>
      <c r="AH82" s="196"/>
      <c r="AI82" s="196"/>
      <c r="AJ82" s="196"/>
      <c r="AK82" s="196"/>
      <c r="AL82" s="196"/>
      <c r="AM82" s="196"/>
      <c r="AN82" s="196"/>
      <c r="AO82" s="196"/>
    </row>
    <row r="83" spans="2:41" x14ac:dyDescent="0.2">
      <c r="B83" s="196"/>
      <c r="C83" s="196"/>
      <c r="D83" s="196"/>
      <c r="E83" s="196"/>
      <c r="F83" s="196"/>
      <c r="N83" s="196"/>
      <c r="O83" s="196"/>
      <c r="P83" s="196"/>
      <c r="Q83" s="196"/>
      <c r="R83" s="196"/>
      <c r="S83" s="196"/>
      <c r="T83" s="196"/>
      <c r="U83" s="196"/>
      <c r="V83" s="196"/>
      <c r="W83" s="196"/>
      <c r="X83" s="196"/>
      <c r="Y83" s="196"/>
      <c r="Z83" s="196"/>
      <c r="AA83" s="196"/>
      <c r="AB83" s="196"/>
      <c r="AC83" s="196"/>
      <c r="AD83" s="196"/>
      <c r="AE83" s="196"/>
      <c r="AF83" s="196"/>
      <c r="AG83" s="196"/>
      <c r="AH83" s="196"/>
      <c r="AI83" s="196"/>
      <c r="AJ83" s="196"/>
      <c r="AK83" s="196"/>
      <c r="AL83" s="196"/>
      <c r="AM83" s="196"/>
      <c r="AN83" s="196"/>
      <c r="AO83" s="196"/>
    </row>
    <row r="84" spans="2:41" x14ac:dyDescent="0.2">
      <c r="B84" s="196"/>
      <c r="C84" s="196"/>
      <c r="D84" s="196"/>
      <c r="E84" s="196"/>
      <c r="F84" s="196"/>
      <c r="N84" s="196"/>
      <c r="O84" s="196"/>
      <c r="P84" s="196"/>
      <c r="Q84" s="196"/>
      <c r="R84" s="196"/>
      <c r="S84" s="196"/>
      <c r="T84" s="196"/>
      <c r="U84" s="196"/>
      <c r="V84" s="196"/>
      <c r="W84" s="196"/>
      <c r="X84" s="196"/>
      <c r="Y84" s="196"/>
      <c r="Z84" s="196"/>
      <c r="AA84" s="196"/>
      <c r="AB84" s="196"/>
      <c r="AC84" s="196"/>
      <c r="AD84" s="196"/>
      <c r="AE84" s="196"/>
      <c r="AF84" s="196"/>
      <c r="AG84" s="196"/>
      <c r="AH84" s="196"/>
      <c r="AI84" s="196"/>
      <c r="AJ84" s="196"/>
      <c r="AK84" s="196"/>
      <c r="AL84" s="196"/>
      <c r="AM84" s="196"/>
      <c r="AN84" s="196"/>
      <c r="AO84" s="196"/>
    </row>
    <row r="85" spans="2:41" x14ac:dyDescent="0.2">
      <c r="B85" s="196"/>
      <c r="C85" s="196"/>
      <c r="D85" s="196"/>
      <c r="E85" s="196"/>
      <c r="F85" s="196"/>
      <c r="N85" s="196"/>
      <c r="O85" s="196"/>
      <c r="P85" s="196"/>
      <c r="Q85" s="196"/>
      <c r="R85" s="196"/>
      <c r="S85" s="196"/>
      <c r="T85" s="196"/>
      <c r="U85" s="196"/>
      <c r="V85" s="196"/>
      <c r="W85" s="196"/>
      <c r="X85" s="196"/>
      <c r="Y85" s="196"/>
      <c r="Z85" s="196"/>
      <c r="AA85" s="196"/>
      <c r="AB85" s="196"/>
      <c r="AC85" s="196"/>
      <c r="AD85" s="196"/>
      <c r="AE85" s="196"/>
      <c r="AF85" s="196"/>
      <c r="AG85" s="196"/>
      <c r="AH85" s="196"/>
      <c r="AI85" s="196"/>
      <c r="AJ85" s="196"/>
      <c r="AK85" s="196"/>
      <c r="AL85" s="196"/>
      <c r="AM85" s="196"/>
      <c r="AN85" s="196"/>
      <c r="AO85" s="196"/>
    </row>
    <row r="86" spans="2:41" x14ac:dyDescent="0.2">
      <c r="B86" s="196"/>
      <c r="C86" s="196"/>
      <c r="D86" s="196"/>
      <c r="E86" s="196"/>
      <c r="F86" s="196"/>
      <c r="N86" s="196"/>
      <c r="O86" s="196"/>
      <c r="P86" s="196"/>
      <c r="Q86" s="196"/>
      <c r="R86" s="196"/>
      <c r="S86" s="196"/>
      <c r="T86" s="196"/>
      <c r="U86" s="196"/>
      <c r="V86" s="196"/>
      <c r="W86" s="196"/>
      <c r="X86" s="196"/>
      <c r="Y86" s="196"/>
      <c r="Z86" s="196"/>
      <c r="AA86" s="196"/>
      <c r="AB86" s="196"/>
      <c r="AC86" s="196"/>
      <c r="AD86" s="196"/>
      <c r="AE86" s="196"/>
      <c r="AF86" s="196"/>
      <c r="AG86" s="196"/>
      <c r="AH86" s="196"/>
      <c r="AI86" s="196"/>
      <c r="AJ86" s="196"/>
      <c r="AK86" s="196"/>
      <c r="AL86" s="196"/>
      <c r="AM86" s="196"/>
      <c r="AN86" s="196"/>
      <c r="AO86" s="196"/>
    </row>
    <row r="87" spans="2:41" x14ac:dyDescent="0.2">
      <c r="B87" s="196"/>
      <c r="C87" s="196"/>
      <c r="D87" s="196"/>
      <c r="E87" s="196"/>
      <c r="F87" s="196"/>
      <c r="N87" s="196"/>
      <c r="O87" s="196"/>
      <c r="P87" s="196"/>
      <c r="Q87" s="196"/>
      <c r="R87" s="196"/>
      <c r="S87" s="196"/>
      <c r="T87" s="196"/>
      <c r="U87" s="196"/>
      <c r="V87" s="196"/>
      <c r="W87" s="196"/>
      <c r="X87" s="196"/>
      <c r="Y87" s="196"/>
      <c r="Z87" s="196"/>
      <c r="AA87" s="196"/>
      <c r="AB87" s="196"/>
      <c r="AC87" s="196"/>
      <c r="AD87" s="196"/>
      <c r="AE87" s="196"/>
      <c r="AF87" s="196"/>
      <c r="AG87" s="196"/>
      <c r="AH87" s="196"/>
      <c r="AI87" s="196"/>
      <c r="AJ87" s="196"/>
      <c r="AK87" s="196"/>
      <c r="AL87" s="196"/>
      <c r="AM87" s="196"/>
      <c r="AN87" s="196"/>
      <c r="AO87" s="196"/>
    </row>
    <row r="88" spans="2:41" x14ac:dyDescent="0.2">
      <c r="B88" s="196"/>
      <c r="C88" s="196"/>
      <c r="D88" s="196"/>
      <c r="E88" s="196"/>
      <c r="F88" s="196"/>
      <c r="N88" s="196"/>
      <c r="O88" s="196"/>
      <c r="P88" s="196"/>
      <c r="Q88" s="196"/>
      <c r="R88" s="196"/>
      <c r="S88" s="196"/>
      <c r="T88" s="196"/>
      <c r="U88" s="196"/>
      <c r="V88" s="196"/>
      <c r="W88" s="196"/>
      <c r="X88" s="196"/>
      <c r="Y88" s="196"/>
      <c r="Z88" s="196"/>
      <c r="AA88" s="196"/>
      <c r="AB88" s="196"/>
      <c r="AC88" s="196"/>
      <c r="AD88" s="196"/>
      <c r="AE88" s="196"/>
      <c r="AF88" s="196"/>
      <c r="AG88" s="196"/>
      <c r="AH88" s="196"/>
      <c r="AI88" s="196"/>
      <c r="AJ88" s="196"/>
      <c r="AK88" s="196"/>
      <c r="AL88" s="196"/>
      <c r="AM88" s="196"/>
      <c r="AN88" s="196"/>
      <c r="AO88" s="196"/>
    </row>
    <row r="89" spans="2:41" x14ac:dyDescent="0.2">
      <c r="B89" s="196"/>
      <c r="C89" s="196"/>
      <c r="D89" s="196"/>
      <c r="E89" s="196"/>
      <c r="F89" s="196"/>
      <c r="N89" s="196"/>
      <c r="O89" s="196"/>
      <c r="P89" s="196"/>
      <c r="Q89" s="196"/>
      <c r="R89" s="196"/>
      <c r="S89" s="196"/>
      <c r="T89" s="196"/>
      <c r="U89" s="196"/>
      <c r="V89" s="196"/>
      <c r="W89" s="196"/>
      <c r="X89" s="196"/>
      <c r="Y89" s="196"/>
      <c r="Z89" s="196"/>
      <c r="AA89" s="196"/>
      <c r="AB89" s="196"/>
      <c r="AC89" s="196"/>
      <c r="AD89" s="196"/>
      <c r="AE89" s="196"/>
      <c r="AF89" s="196"/>
      <c r="AG89" s="196"/>
      <c r="AH89" s="196"/>
      <c r="AI89" s="196"/>
      <c r="AJ89" s="196"/>
      <c r="AK89" s="196"/>
      <c r="AL89" s="196"/>
      <c r="AM89" s="196"/>
      <c r="AN89" s="196"/>
      <c r="AO89" s="196"/>
    </row>
    <row r="90" spans="2:41" x14ac:dyDescent="0.2">
      <c r="B90" s="196"/>
      <c r="C90" s="196"/>
      <c r="D90" s="196"/>
      <c r="E90" s="196"/>
      <c r="F90" s="196"/>
      <c r="N90" s="196"/>
      <c r="O90" s="196"/>
      <c r="P90" s="196"/>
      <c r="Q90" s="196"/>
      <c r="R90" s="196"/>
      <c r="S90" s="196"/>
      <c r="T90" s="196"/>
      <c r="U90" s="196"/>
      <c r="V90" s="196"/>
      <c r="W90" s="196"/>
      <c r="X90" s="196"/>
      <c r="Y90" s="196"/>
      <c r="Z90" s="196"/>
      <c r="AA90" s="196"/>
      <c r="AB90" s="196"/>
      <c r="AC90" s="196"/>
      <c r="AD90" s="196"/>
      <c r="AE90" s="196"/>
      <c r="AF90" s="196"/>
      <c r="AG90" s="196"/>
      <c r="AH90" s="196"/>
      <c r="AI90" s="196"/>
      <c r="AJ90" s="196"/>
      <c r="AK90" s="196"/>
      <c r="AL90" s="196"/>
      <c r="AM90" s="196"/>
      <c r="AN90" s="196"/>
      <c r="AO90" s="196"/>
    </row>
    <row r="91" spans="2:41" x14ac:dyDescent="0.2">
      <c r="B91" s="196"/>
      <c r="C91" s="196"/>
      <c r="D91" s="196"/>
      <c r="E91" s="196"/>
      <c r="F91" s="196"/>
      <c r="N91" s="196"/>
      <c r="O91" s="196"/>
      <c r="P91" s="196"/>
      <c r="Q91" s="196"/>
      <c r="R91" s="196"/>
      <c r="S91" s="196"/>
      <c r="T91" s="196"/>
      <c r="U91" s="196"/>
      <c r="V91" s="196"/>
      <c r="W91" s="196"/>
      <c r="X91" s="196"/>
      <c r="Y91" s="196"/>
      <c r="Z91" s="196"/>
      <c r="AA91" s="196"/>
      <c r="AB91" s="196"/>
      <c r="AC91" s="196"/>
      <c r="AD91" s="196"/>
      <c r="AE91" s="196"/>
      <c r="AF91" s="196"/>
      <c r="AG91" s="196"/>
      <c r="AH91" s="196"/>
      <c r="AI91" s="196"/>
      <c r="AJ91" s="196"/>
      <c r="AK91" s="196"/>
      <c r="AL91" s="196"/>
      <c r="AM91" s="196"/>
      <c r="AN91" s="196"/>
      <c r="AO91" s="196"/>
    </row>
    <row r="92" spans="2:41" x14ac:dyDescent="0.2">
      <c r="B92" s="196"/>
      <c r="C92" s="196"/>
      <c r="D92" s="196"/>
      <c r="E92" s="196"/>
      <c r="F92" s="196"/>
      <c r="N92" s="196"/>
      <c r="O92" s="196"/>
      <c r="P92" s="196"/>
      <c r="Q92" s="196"/>
      <c r="R92" s="196"/>
      <c r="S92" s="196"/>
      <c r="T92" s="196"/>
      <c r="U92" s="196"/>
      <c r="V92" s="196"/>
      <c r="W92" s="196"/>
      <c r="X92" s="196"/>
      <c r="Y92" s="196"/>
      <c r="Z92" s="196"/>
      <c r="AA92" s="196"/>
      <c r="AB92" s="196"/>
      <c r="AC92" s="196"/>
      <c r="AD92" s="196"/>
      <c r="AE92" s="196"/>
      <c r="AF92" s="196"/>
      <c r="AG92" s="196"/>
      <c r="AH92" s="196"/>
      <c r="AI92" s="196"/>
      <c r="AJ92" s="196"/>
      <c r="AK92" s="196"/>
      <c r="AL92" s="196"/>
      <c r="AM92" s="196"/>
      <c r="AN92" s="196"/>
      <c r="AO92" s="196"/>
    </row>
    <row r="93" spans="2:41" x14ac:dyDescent="0.2">
      <c r="B93" s="196"/>
      <c r="C93" s="196"/>
      <c r="D93" s="196"/>
      <c r="E93" s="196"/>
      <c r="F93" s="196"/>
    </row>
    <row r="94" spans="2:41" x14ac:dyDescent="0.2">
      <c r="B94" s="196"/>
      <c r="C94" s="196"/>
      <c r="D94" s="196"/>
      <c r="E94" s="196"/>
      <c r="F94" s="196"/>
    </row>
    <row r="95" spans="2:41" x14ac:dyDescent="0.2">
      <c r="B95" s="196"/>
      <c r="C95" s="196"/>
      <c r="D95" s="196"/>
      <c r="E95" s="196"/>
      <c r="F95" s="196"/>
    </row>
    <row r="96" spans="2:41" x14ac:dyDescent="0.2">
      <c r="B96" s="196"/>
      <c r="C96" s="196"/>
      <c r="D96" s="196"/>
      <c r="E96" s="196"/>
      <c r="F96" s="196"/>
    </row>
    <row r="97" spans="2:6" x14ac:dyDescent="0.2">
      <c r="B97" s="196"/>
      <c r="C97" s="196"/>
      <c r="D97" s="196"/>
      <c r="E97" s="196"/>
      <c r="F97" s="196"/>
    </row>
    <row r="98" spans="2:6" x14ac:dyDescent="0.2">
      <c r="B98" s="196"/>
      <c r="C98" s="196"/>
      <c r="D98" s="196"/>
      <c r="E98" s="196"/>
      <c r="F98" s="196"/>
    </row>
    <row r="99" spans="2:6" x14ac:dyDescent="0.2">
      <c r="B99" s="196"/>
      <c r="C99" s="196"/>
      <c r="D99" s="196"/>
      <c r="E99" s="196"/>
      <c r="F99" s="196"/>
    </row>
    <row r="100" spans="2:6" x14ac:dyDescent="0.2">
      <c r="B100" s="196"/>
      <c r="C100" s="196"/>
      <c r="D100" s="196"/>
      <c r="E100" s="196"/>
      <c r="F100" s="196"/>
    </row>
    <row r="101" spans="2:6" x14ac:dyDescent="0.2">
      <c r="B101" s="196"/>
      <c r="C101" s="196"/>
      <c r="D101" s="196"/>
      <c r="E101" s="196"/>
      <c r="F101" s="196"/>
    </row>
    <row r="102" spans="2:6" x14ac:dyDescent="0.2">
      <c r="B102" s="196"/>
      <c r="C102" s="196"/>
      <c r="D102" s="196"/>
      <c r="E102" s="196"/>
      <c r="F102" s="196"/>
    </row>
    <row r="103" spans="2:6" x14ac:dyDescent="0.2">
      <c r="B103" s="196"/>
      <c r="C103" s="196"/>
      <c r="D103" s="196"/>
      <c r="E103" s="196"/>
      <c r="F103" s="196"/>
    </row>
    <row r="104" spans="2:6" x14ac:dyDescent="0.2">
      <c r="B104" s="196"/>
      <c r="C104" s="196"/>
      <c r="D104" s="196"/>
      <c r="E104" s="196"/>
      <c r="F104" s="196"/>
    </row>
    <row r="105" spans="2:6" x14ac:dyDescent="0.2">
      <c r="B105" s="196"/>
      <c r="C105" s="196"/>
      <c r="D105" s="196"/>
      <c r="E105" s="196"/>
      <c r="F105" s="196"/>
    </row>
    <row r="106" spans="2:6" x14ac:dyDescent="0.2">
      <c r="B106" s="196"/>
      <c r="C106" s="196"/>
      <c r="D106" s="196"/>
      <c r="E106" s="196"/>
      <c r="F106" s="196"/>
    </row>
    <row r="107" spans="2:6" x14ac:dyDescent="0.2">
      <c r="B107" s="196"/>
      <c r="C107" s="196"/>
      <c r="D107" s="196"/>
      <c r="E107" s="196"/>
      <c r="F107" s="196"/>
    </row>
    <row r="108" spans="2:6" x14ac:dyDescent="0.2">
      <c r="B108" s="196"/>
      <c r="C108" s="196"/>
      <c r="D108" s="196"/>
      <c r="E108" s="196"/>
      <c r="F108" s="196"/>
    </row>
    <row r="109" spans="2:6" x14ac:dyDescent="0.2">
      <c r="B109" s="196"/>
      <c r="C109" s="196"/>
      <c r="D109" s="196"/>
      <c r="E109" s="196"/>
      <c r="F109" s="196"/>
    </row>
    <row r="110" spans="2:6" x14ac:dyDescent="0.2">
      <c r="B110" s="196"/>
      <c r="C110" s="196"/>
      <c r="D110" s="196"/>
      <c r="E110" s="196"/>
      <c r="F110" s="196"/>
    </row>
    <row r="111" spans="2:6" x14ac:dyDescent="0.2">
      <c r="B111" s="196"/>
      <c r="C111" s="196"/>
      <c r="D111" s="196"/>
      <c r="E111" s="196"/>
      <c r="F111" s="196"/>
    </row>
    <row r="112" spans="2:6" x14ac:dyDescent="0.2">
      <c r="B112" s="196"/>
      <c r="C112" s="196"/>
      <c r="D112" s="196"/>
      <c r="E112" s="196"/>
      <c r="F112" s="196"/>
    </row>
    <row r="113" spans="2:6" x14ac:dyDescent="0.2">
      <c r="B113" s="196"/>
      <c r="C113" s="196"/>
      <c r="D113" s="196"/>
      <c r="E113" s="196"/>
      <c r="F113" s="196"/>
    </row>
    <row r="114" spans="2:6" x14ac:dyDescent="0.2">
      <c r="B114" s="196"/>
      <c r="C114" s="196"/>
      <c r="D114" s="196"/>
      <c r="E114" s="196"/>
      <c r="F114" s="196"/>
    </row>
    <row r="115" spans="2:6" x14ac:dyDescent="0.2">
      <c r="B115" s="196"/>
      <c r="C115" s="196"/>
      <c r="D115" s="196"/>
      <c r="E115" s="196"/>
      <c r="F115" s="196"/>
    </row>
    <row r="116" spans="2:6" x14ac:dyDescent="0.2">
      <c r="B116" s="196"/>
      <c r="C116" s="196"/>
      <c r="D116" s="196"/>
      <c r="E116" s="196"/>
      <c r="F116" s="196"/>
    </row>
    <row r="117" spans="2:6" x14ac:dyDescent="0.2">
      <c r="B117" s="196"/>
      <c r="C117" s="196"/>
      <c r="D117" s="196"/>
      <c r="E117" s="196"/>
      <c r="F117" s="196"/>
    </row>
    <row r="118" spans="2:6" x14ac:dyDescent="0.2">
      <c r="B118" s="196"/>
      <c r="C118" s="196"/>
      <c r="D118" s="196"/>
      <c r="E118" s="196"/>
      <c r="F118" s="196"/>
    </row>
    <row r="119" spans="2:6" x14ac:dyDescent="0.2">
      <c r="B119" s="196"/>
      <c r="C119" s="196"/>
      <c r="D119" s="196"/>
      <c r="E119" s="196"/>
      <c r="F119" s="196"/>
    </row>
    <row r="120" spans="2:6" x14ac:dyDescent="0.2">
      <c r="B120" s="196"/>
      <c r="C120" s="196"/>
      <c r="D120" s="196"/>
      <c r="E120" s="196"/>
      <c r="F120" s="196"/>
    </row>
    <row r="121" spans="2:6" x14ac:dyDescent="0.2">
      <c r="B121" s="196"/>
      <c r="C121" s="196"/>
      <c r="D121" s="196"/>
      <c r="E121" s="196"/>
      <c r="F121" s="196"/>
    </row>
    <row r="122" spans="2:6" x14ac:dyDescent="0.2">
      <c r="B122" s="196"/>
      <c r="C122" s="196"/>
      <c r="D122" s="196"/>
      <c r="E122" s="196"/>
      <c r="F122" s="196"/>
    </row>
    <row r="123" spans="2:6" x14ac:dyDescent="0.2">
      <c r="B123" s="196"/>
      <c r="C123" s="196"/>
      <c r="D123" s="196"/>
      <c r="E123" s="196"/>
      <c r="F123" s="196"/>
    </row>
    <row r="124" spans="2:6" x14ac:dyDescent="0.2">
      <c r="B124" s="196"/>
      <c r="C124" s="196"/>
      <c r="D124" s="196"/>
      <c r="E124" s="196"/>
      <c r="F124" s="196"/>
    </row>
    <row r="125" spans="2:6" x14ac:dyDescent="0.2">
      <c r="B125" s="196"/>
      <c r="C125" s="196"/>
      <c r="D125" s="196"/>
      <c r="E125" s="196"/>
      <c r="F125" s="196"/>
    </row>
    <row r="126" spans="2:6" x14ac:dyDescent="0.2">
      <c r="B126" s="196"/>
      <c r="C126" s="196"/>
      <c r="D126" s="196"/>
      <c r="E126" s="196"/>
      <c r="F126" s="196"/>
    </row>
    <row r="127" spans="2:6" x14ac:dyDescent="0.2">
      <c r="B127" s="196"/>
      <c r="C127" s="196"/>
      <c r="D127" s="196"/>
      <c r="E127" s="196"/>
      <c r="F127" s="196"/>
    </row>
    <row r="128" spans="2:6" x14ac:dyDescent="0.2">
      <c r="B128" s="196"/>
      <c r="C128" s="196"/>
      <c r="D128" s="196"/>
      <c r="E128" s="196"/>
      <c r="F128" s="196"/>
    </row>
    <row r="129" spans="2:6" x14ac:dyDescent="0.2">
      <c r="B129" s="196"/>
      <c r="C129" s="196"/>
      <c r="D129" s="196"/>
      <c r="E129" s="196"/>
      <c r="F129" s="196"/>
    </row>
    <row r="130" spans="2:6" x14ac:dyDescent="0.2">
      <c r="B130" s="196"/>
      <c r="C130" s="196"/>
      <c r="D130" s="196"/>
      <c r="E130" s="196"/>
      <c r="F130" s="196"/>
    </row>
    <row r="131" spans="2:6" x14ac:dyDescent="0.2">
      <c r="B131" s="196"/>
      <c r="C131" s="196"/>
      <c r="D131" s="196"/>
      <c r="E131" s="196"/>
      <c r="F131" s="196"/>
    </row>
    <row r="132" spans="2:6" x14ac:dyDescent="0.2">
      <c r="B132" s="196"/>
      <c r="C132" s="196"/>
      <c r="D132" s="196"/>
      <c r="E132" s="196"/>
      <c r="F132" s="196"/>
    </row>
    <row r="133" spans="2:6" x14ac:dyDescent="0.2">
      <c r="B133" s="196"/>
      <c r="C133" s="196"/>
      <c r="D133" s="196"/>
      <c r="E133" s="196"/>
      <c r="F133" s="196"/>
    </row>
    <row r="134" spans="2:6" x14ac:dyDescent="0.2">
      <c r="B134" s="196"/>
      <c r="C134" s="196"/>
      <c r="D134" s="196"/>
      <c r="E134" s="196"/>
      <c r="F134" s="196"/>
    </row>
    <row r="135" spans="2:6" x14ac:dyDescent="0.2">
      <c r="B135" s="196"/>
      <c r="C135" s="196"/>
      <c r="D135" s="196"/>
      <c r="E135" s="196"/>
      <c r="F135" s="196"/>
    </row>
    <row r="136" spans="2:6" x14ac:dyDescent="0.2">
      <c r="B136" s="196"/>
      <c r="C136" s="196"/>
      <c r="D136" s="196"/>
      <c r="E136" s="196"/>
      <c r="F136" s="196"/>
    </row>
    <row r="137" spans="2:6" x14ac:dyDescent="0.2">
      <c r="B137" s="196"/>
      <c r="C137" s="196"/>
      <c r="D137" s="196"/>
      <c r="E137" s="196"/>
      <c r="F137" s="196"/>
    </row>
    <row r="138" spans="2:6" x14ac:dyDescent="0.2">
      <c r="B138" s="196"/>
      <c r="C138" s="196"/>
      <c r="D138" s="196"/>
      <c r="E138" s="196"/>
      <c r="F138" s="196"/>
    </row>
    <row r="139" spans="2:6" x14ac:dyDescent="0.2">
      <c r="B139" s="196"/>
      <c r="C139" s="196"/>
      <c r="D139" s="196"/>
      <c r="E139" s="196"/>
      <c r="F139" s="196"/>
    </row>
    <row r="140" spans="2:6" x14ac:dyDescent="0.2">
      <c r="B140" s="196"/>
      <c r="C140" s="196"/>
      <c r="D140" s="196"/>
      <c r="E140" s="196"/>
      <c r="F140" s="196"/>
    </row>
    <row r="141" spans="2:6" x14ac:dyDescent="0.2">
      <c r="B141" s="196"/>
      <c r="C141" s="196"/>
      <c r="D141" s="196"/>
      <c r="E141" s="196"/>
      <c r="F141" s="196"/>
    </row>
    <row r="142" spans="2:6" x14ac:dyDescent="0.2">
      <c r="B142" s="196"/>
      <c r="C142" s="196"/>
      <c r="D142" s="196"/>
      <c r="E142" s="196"/>
      <c r="F142" s="196"/>
    </row>
    <row r="143" spans="2:6" x14ac:dyDescent="0.2">
      <c r="B143" s="196"/>
      <c r="C143" s="196"/>
      <c r="D143" s="196"/>
      <c r="E143" s="196"/>
      <c r="F143" s="196"/>
    </row>
    <row r="144" spans="2:6" x14ac:dyDescent="0.2">
      <c r="B144" s="196"/>
      <c r="C144" s="196"/>
      <c r="D144" s="196"/>
      <c r="E144" s="196"/>
      <c r="F144" s="196"/>
    </row>
    <row r="145" spans="2:6" x14ac:dyDescent="0.2">
      <c r="B145" s="196"/>
      <c r="C145" s="196"/>
      <c r="D145" s="196"/>
      <c r="E145" s="196"/>
      <c r="F145" s="196"/>
    </row>
    <row r="146" spans="2:6" x14ac:dyDescent="0.2">
      <c r="B146" s="196"/>
      <c r="C146" s="196"/>
      <c r="D146" s="196"/>
      <c r="E146" s="196"/>
      <c r="F146" s="196"/>
    </row>
    <row r="147" spans="2:6" x14ac:dyDescent="0.2">
      <c r="B147" s="196"/>
      <c r="C147" s="196"/>
      <c r="D147" s="196"/>
      <c r="E147" s="196"/>
      <c r="F147" s="196"/>
    </row>
    <row r="148" spans="2:6" x14ac:dyDescent="0.2">
      <c r="B148" s="196"/>
      <c r="C148" s="196"/>
      <c r="D148" s="196"/>
      <c r="E148" s="196"/>
      <c r="F148" s="196"/>
    </row>
    <row r="149" spans="2:6" x14ac:dyDescent="0.2">
      <c r="B149" s="196"/>
      <c r="C149" s="196"/>
      <c r="D149" s="196"/>
      <c r="E149" s="196"/>
      <c r="F149" s="196"/>
    </row>
    <row r="150" spans="2:6" x14ac:dyDescent="0.2">
      <c r="B150" s="196"/>
      <c r="C150" s="196"/>
      <c r="D150" s="196"/>
      <c r="E150" s="196"/>
      <c r="F150" s="196"/>
    </row>
    <row r="151" spans="2:6" x14ac:dyDescent="0.2">
      <c r="B151" s="196"/>
      <c r="C151" s="196"/>
      <c r="D151" s="196"/>
      <c r="E151" s="196"/>
      <c r="F151" s="196"/>
    </row>
    <row r="152" spans="2:6" x14ac:dyDescent="0.2">
      <c r="B152" s="196"/>
      <c r="C152" s="196"/>
      <c r="D152" s="196"/>
      <c r="E152" s="196"/>
      <c r="F152" s="196"/>
    </row>
    <row r="153" spans="2:6" x14ac:dyDescent="0.2">
      <c r="B153" s="196"/>
      <c r="C153" s="196"/>
      <c r="D153" s="196"/>
      <c r="E153" s="196"/>
      <c r="F153" s="196"/>
    </row>
    <row r="154" spans="2:6" x14ac:dyDescent="0.2">
      <c r="B154" s="196"/>
      <c r="C154" s="196"/>
      <c r="D154" s="196"/>
      <c r="E154" s="196"/>
      <c r="F154" s="196"/>
    </row>
    <row r="155" spans="2:6" x14ac:dyDescent="0.2">
      <c r="B155" s="196"/>
      <c r="C155" s="196"/>
      <c r="D155" s="196"/>
      <c r="E155" s="196"/>
      <c r="F155" s="196"/>
    </row>
    <row r="156" spans="2:6" x14ac:dyDescent="0.2">
      <c r="B156" s="196"/>
      <c r="C156" s="196"/>
      <c r="D156" s="196"/>
      <c r="E156" s="196"/>
      <c r="F156" s="196"/>
    </row>
    <row r="157" spans="2:6" x14ac:dyDescent="0.2">
      <c r="B157" s="196"/>
      <c r="C157" s="196"/>
      <c r="D157" s="196"/>
      <c r="E157" s="196"/>
      <c r="F157" s="196"/>
    </row>
    <row r="158" spans="2:6" x14ac:dyDescent="0.2">
      <c r="B158" s="196"/>
      <c r="C158" s="196"/>
      <c r="D158" s="196"/>
      <c r="E158" s="196"/>
      <c r="F158" s="196"/>
    </row>
    <row r="159" spans="2:6" x14ac:dyDescent="0.2">
      <c r="B159" s="196"/>
      <c r="C159" s="196"/>
      <c r="D159" s="196"/>
      <c r="E159" s="196"/>
      <c r="F159" s="196"/>
    </row>
    <row r="160" spans="2:6" x14ac:dyDescent="0.2">
      <c r="B160" s="196"/>
      <c r="C160" s="196"/>
      <c r="D160" s="196"/>
      <c r="E160" s="196"/>
      <c r="F160" s="196"/>
    </row>
    <row r="161" spans="2:6" x14ac:dyDescent="0.2">
      <c r="B161" s="196"/>
      <c r="C161" s="196"/>
      <c r="D161" s="196"/>
      <c r="E161" s="196"/>
      <c r="F161" s="196"/>
    </row>
    <row r="162" spans="2:6" x14ac:dyDescent="0.2">
      <c r="B162" s="196"/>
      <c r="C162" s="196"/>
      <c r="D162" s="196"/>
      <c r="E162" s="196"/>
      <c r="F162" s="196"/>
    </row>
    <row r="163" spans="2:6" x14ac:dyDescent="0.2">
      <c r="B163" s="196"/>
      <c r="C163" s="196"/>
      <c r="D163" s="196"/>
      <c r="E163" s="196"/>
      <c r="F163" s="196"/>
    </row>
    <row r="164" spans="2:6" x14ac:dyDescent="0.2">
      <c r="B164" s="196"/>
      <c r="C164" s="196"/>
      <c r="D164" s="196"/>
      <c r="E164" s="196"/>
      <c r="F164" s="196"/>
    </row>
    <row r="165" spans="2:6" x14ac:dyDescent="0.2">
      <c r="B165" s="196"/>
      <c r="C165" s="196"/>
      <c r="D165" s="196"/>
      <c r="E165" s="196"/>
      <c r="F165" s="196"/>
    </row>
    <row r="166" spans="2:6" x14ac:dyDescent="0.2">
      <c r="B166" s="196"/>
      <c r="C166" s="196"/>
      <c r="D166" s="196"/>
      <c r="E166" s="196"/>
      <c r="F166" s="196"/>
    </row>
    <row r="167" spans="2:6" x14ac:dyDescent="0.2">
      <c r="B167" s="196"/>
      <c r="C167" s="196"/>
      <c r="D167" s="196"/>
      <c r="E167" s="196"/>
      <c r="F167" s="196"/>
    </row>
    <row r="168" spans="2:6" x14ac:dyDescent="0.2">
      <c r="B168" s="196"/>
      <c r="C168" s="196"/>
      <c r="D168" s="196"/>
      <c r="E168" s="196"/>
      <c r="F168" s="196"/>
    </row>
    <row r="169" spans="2:6" x14ac:dyDescent="0.2">
      <c r="B169" s="196"/>
      <c r="C169" s="196"/>
      <c r="D169" s="196"/>
      <c r="E169" s="196"/>
      <c r="F169" s="196"/>
    </row>
    <row r="170" spans="2:6" x14ac:dyDescent="0.2">
      <c r="B170" s="196"/>
      <c r="C170" s="196"/>
      <c r="D170" s="196"/>
      <c r="E170" s="196"/>
      <c r="F170" s="196"/>
    </row>
    <row r="171" spans="2:6" x14ac:dyDescent="0.2">
      <c r="B171" s="196"/>
      <c r="C171" s="196"/>
      <c r="D171" s="196"/>
      <c r="E171" s="196"/>
      <c r="F171" s="196"/>
    </row>
    <row r="172" spans="2:6" x14ac:dyDescent="0.2">
      <c r="B172" s="196"/>
      <c r="C172" s="196"/>
      <c r="D172" s="196"/>
      <c r="E172" s="196"/>
      <c r="F172" s="196"/>
    </row>
    <row r="173" spans="2:6" x14ac:dyDescent="0.2">
      <c r="B173" s="196"/>
      <c r="C173" s="196"/>
      <c r="D173" s="196"/>
      <c r="E173" s="196"/>
      <c r="F173" s="196"/>
    </row>
    <row r="174" spans="2:6" x14ac:dyDescent="0.2">
      <c r="B174" s="196"/>
      <c r="C174" s="196"/>
      <c r="D174" s="196"/>
      <c r="E174" s="196"/>
      <c r="F174" s="196"/>
    </row>
    <row r="175" spans="2:6" x14ac:dyDescent="0.2">
      <c r="B175" s="196"/>
      <c r="C175" s="196"/>
      <c r="D175" s="196"/>
      <c r="E175" s="196"/>
      <c r="F175" s="196"/>
    </row>
    <row r="176" spans="2:6" x14ac:dyDescent="0.2">
      <c r="B176" s="196"/>
      <c r="C176" s="196"/>
      <c r="D176" s="196"/>
      <c r="E176" s="196"/>
      <c r="F176" s="196"/>
    </row>
  </sheetData>
  <mergeCells count="6">
    <mergeCell ref="B7:D7"/>
    <mergeCell ref="B2:D2"/>
    <mergeCell ref="B3:D3"/>
    <mergeCell ref="B4:D4"/>
    <mergeCell ref="B5:D5"/>
    <mergeCell ref="B6:D6"/>
  </mergeCells>
  <pageMargins left="0.75" right="0.75" top="1" bottom="1" header="0.5" footer="0.5"/>
  <pageSetup paperSize="9" scale="20" orientation="landscape" r:id="rId1"/>
  <headerFooter alignWithMargins="0">
    <oddFooter>&amp;L&amp;T / &amp;D&amp;C&amp;P of &amp;N&amp;R&amp;F</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pageSetUpPr fitToPage="1"/>
  </sheetPr>
  <dimension ref="B1:BR105"/>
  <sheetViews>
    <sheetView zoomScale="80" zoomScaleNormal="80" workbookViewId="0">
      <pane xSplit="3" ySplit="5" topLeftCell="D6" activePane="bottomRight" state="frozen"/>
      <selection pane="topRight" activeCell="D1" sqref="D1"/>
      <selection pane="bottomLeft" activeCell="A6" sqref="A6"/>
      <selection pane="bottomRight" activeCell="D6" sqref="D6"/>
    </sheetView>
  </sheetViews>
  <sheetFormatPr defaultRowHeight="12.75" x14ac:dyDescent="0.2"/>
  <cols>
    <col min="1" max="1" width="3.85546875" style="196" customWidth="1"/>
    <col min="2" max="2" width="32.28515625" style="196" customWidth="1"/>
    <col min="3" max="3" width="37.42578125" style="196" customWidth="1"/>
    <col min="4" max="4" width="14.7109375" style="196" customWidth="1"/>
    <col min="5" max="5" width="11.28515625" style="196" customWidth="1"/>
    <col min="6" max="6" width="12.42578125" style="196" customWidth="1"/>
    <col min="7" max="7" width="13.5703125" style="196" customWidth="1"/>
    <col min="8" max="8" width="12.42578125" style="196" customWidth="1"/>
    <col min="9" max="9" width="11.28515625" style="196" customWidth="1"/>
    <col min="10" max="11" width="9.140625" style="196" customWidth="1"/>
    <col min="12" max="12" width="9.7109375" style="196" customWidth="1"/>
    <col min="13" max="13" width="13.28515625" style="196" customWidth="1"/>
    <col min="14" max="14" width="10.5703125" style="196" customWidth="1"/>
    <col min="15" max="24" width="11" style="196" customWidth="1"/>
    <col min="25" max="25" width="1.85546875" style="196" customWidth="1"/>
    <col min="26" max="26" width="17.42578125" style="196" customWidth="1"/>
    <col min="27" max="27" width="12.140625" style="196" customWidth="1"/>
    <col min="28" max="30" width="11.28515625" style="196" customWidth="1"/>
    <col min="31" max="31" width="10" style="196" customWidth="1"/>
    <col min="32" max="34" width="9.85546875" style="196" customWidth="1"/>
    <col min="35" max="35" width="12.42578125" style="196" customWidth="1"/>
    <col min="36" max="38" width="10.5703125" style="196" customWidth="1"/>
    <col min="39" max="39" width="11.28515625" style="196" customWidth="1"/>
    <col min="40" max="40" width="11.7109375" style="196" customWidth="1"/>
    <col min="41" max="41" width="12.7109375" style="196" customWidth="1"/>
    <col min="42" max="42" width="9.140625" style="196" customWidth="1"/>
    <col min="43" max="43" width="10.85546875" style="196" customWidth="1"/>
    <col min="44" max="45" width="10" style="196" customWidth="1"/>
    <col min="46" max="46" width="9.42578125" style="196" customWidth="1"/>
    <col min="47" max="47" width="1.85546875" style="196" customWidth="1"/>
    <col min="48" max="48" width="9.140625" style="196"/>
    <col min="49" max="69" width="12.140625" style="196" customWidth="1"/>
    <col min="70" max="70" width="18.5703125" style="196" customWidth="1"/>
    <col min="71" max="16384" width="9.140625" style="196"/>
  </cols>
  <sheetData>
    <row r="1" spans="2:70" ht="15" x14ac:dyDescent="0.25">
      <c r="B1" s="150" t="str">
        <f>"Tariff Approval - "&amp;'Model update'!$C$3</f>
        <v>Tariff Approval - CitiPower</v>
      </c>
      <c r="C1" s="150"/>
      <c r="D1" s="618"/>
      <c r="F1" s="618"/>
    </row>
    <row r="2" spans="2:70" ht="13.5" thickBot="1" x14ac:dyDescent="0.25">
      <c r="D2" s="618"/>
      <c r="E2" s="618"/>
      <c r="F2" s="618"/>
    </row>
    <row r="3" spans="2:70" x14ac:dyDescent="0.2">
      <c r="B3" s="223" t="str">
        <f>"COMPARISON OF "&amp;'Model update'!$C$5&amp;" PROPOSED AND TSS INDICATIVE DISTRIBUTION TARIFFS"</f>
        <v>COMPARISON OF 2019 PROPOSED AND TSS INDICATIVE DISTRIBUTION TARIFFS</v>
      </c>
      <c r="C3" s="223"/>
      <c r="BR3" s="758" t="s">
        <v>601</v>
      </c>
    </row>
    <row r="4" spans="2:70" ht="13.5" thickBot="1" x14ac:dyDescent="0.25">
      <c r="D4" s="225" t="str">
        <f>"Proposed NUOS Tariffs (Pt) for "&amp;'Model update'!$C$5</f>
        <v>Proposed NUOS Tariffs (Pt) for 2019</v>
      </c>
      <c r="E4" s="226"/>
      <c r="F4" s="226"/>
      <c r="G4" s="182"/>
      <c r="H4" s="182"/>
      <c r="M4" s="366"/>
      <c r="Z4" s="227" t="str">
        <f>"TSS indicative tariffs for "&amp;'Model update'!$C$5</f>
        <v>TSS indicative tariffs for 2019</v>
      </c>
      <c r="AA4" s="228"/>
      <c r="AB4" s="182"/>
      <c r="AW4" s="227" t="str">
        <f>"Percentage difference between proposed "&amp;'Model update'!$C$5&amp;" tariffs and indicative TSS tariffs"</f>
        <v>Percentage difference between proposed 2019 tariffs and indicative TSS tariffs</v>
      </c>
      <c r="AX4" s="228"/>
      <c r="AY4" s="228"/>
      <c r="AZ4" s="228"/>
      <c r="BA4" s="228"/>
      <c r="BB4" s="228"/>
      <c r="BC4" s="228"/>
      <c r="BR4" s="759">
        <v>0.1</v>
      </c>
    </row>
    <row r="5" spans="2:70" ht="38.25" x14ac:dyDescent="0.2">
      <c r="B5" s="229" t="s">
        <v>600</v>
      </c>
      <c r="C5" s="367" t="s">
        <v>128</v>
      </c>
      <c r="D5" s="230" t="s">
        <v>130</v>
      </c>
      <c r="E5" s="231" t="s">
        <v>517</v>
      </c>
      <c r="F5" s="231" t="s">
        <v>518</v>
      </c>
      <c r="G5" s="231"/>
      <c r="H5" s="231"/>
      <c r="I5" s="231" t="s">
        <v>131</v>
      </c>
      <c r="J5" s="231"/>
      <c r="K5" s="231"/>
      <c r="L5" s="231"/>
      <c r="M5" s="231" t="s">
        <v>519</v>
      </c>
      <c r="N5" s="231" t="s">
        <v>520</v>
      </c>
      <c r="O5" s="231" t="s">
        <v>521</v>
      </c>
      <c r="P5" s="231" t="s">
        <v>522</v>
      </c>
      <c r="Q5" s="232" t="s">
        <v>132</v>
      </c>
      <c r="R5" s="231" t="s">
        <v>133</v>
      </c>
      <c r="S5" s="231" t="s">
        <v>134</v>
      </c>
      <c r="T5" s="231"/>
      <c r="U5" s="231" t="s">
        <v>135</v>
      </c>
      <c r="V5" s="231" t="s">
        <v>136</v>
      </c>
      <c r="W5" s="231" t="s">
        <v>137</v>
      </c>
      <c r="X5" s="233"/>
      <c r="Z5" s="230" t="s">
        <v>138</v>
      </c>
      <c r="AA5" s="231" t="s">
        <v>530</v>
      </c>
      <c r="AB5" s="231" t="s">
        <v>531</v>
      </c>
      <c r="AC5" s="231"/>
      <c r="AD5" s="231"/>
      <c r="AE5" s="231" t="s">
        <v>532</v>
      </c>
      <c r="AF5" s="231"/>
      <c r="AG5" s="231"/>
      <c r="AH5" s="231"/>
      <c r="AI5" s="231" t="s">
        <v>533</v>
      </c>
      <c r="AJ5" s="231" t="s">
        <v>534</v>
      </c>
      <c r="AK5" s="231" t="s">
        <v>535</v>
      </c>
      <c r="AL5" s="231" t="s">
        <v>536</v>
      </c>
      <c r="AM5" s="232" t="s">
        <v>139</v>
      </c>
      <c r="AN5" s="231" t="s">
        <v>140</v>
      </c>
      <c r="AO5" s="231" t="s">
        <v>141</v>
      </c>
      <c r="AP5" s="231"/>
      <c r="AQ5" s="231" t="s">
        <v>142</v>
      </c>
      <c r="AR5" s="231" t="s">
        <v>143</v>
      </c>
      <c r="AS5" s="231" t="s">
        <v>144</v>
      </c>
      <c r="AT5" s="233"/>
      <c r="AW5" s="760" t="s">
        <v>602</v>
      </c>
      <c r="AX5" s="761" t="s">
        <v>603</v>
      </c>
      <c r="AY5" s="761" t="s">
        <v>604</v>
      </c>
      <c r="AZ5" s="761" t="s">
        <v>605</v>
      </c>
      <c r="BA5" s="761" t="s">
        <v>606</v>
      </c>
      <c r="BB5" s="761" t="s">
        <v>607</v>
      </c>
      <c r="BC5" s="761" t="s">
        <v>608</v>
      </c>
      <c r="BD5" s="761" t="s">
        <v>609</v>
      </c>
      <c r="BE5" s="761" t="s">
        <v>610</v>
      </c>
      <c r="BF5" s="761" t="s">
        <v>611</v>
      </c>
      <c r="BG5" s="761" t="s">
        <v>612</v>
      </c>
      <c r="BH5" s="761" t="s">
        <v>613</v>
      </c>
      <c r="BI5" s="761" t="s">
        <v>614</v>
      </c>
      <c r="BJ5" s="762" t="s">
        <v>615</v>
      </c>
      <c r="BK5" s="762" t="s">
        <v>616</v>
      </c>
      <c r="BL5" s="762" t="s">
        <v>617</v>
      </c>
      <c r="BM5" s="762" t="s">
        <v>618</v>
      </c>
      <c r="BN5" s="762" t="s">
        <v>619</v>
      </c>
      <c r="BO5" s="762" t="s">
        <v>620</v>
      </c>
      <c r="BP5" s="762" t="s">
        <v>621</v>
      </c>
      <c r="BQ5" s="762" t="s">
        <v>622</v>
      </c>
      <c r="BR5" s="763" t="s">
        <v>623</v>
      </c>
    </row>
    <row r="6" spans="2:70" x14ac:dyDescent="0.2">
      <c r="B6" s="234"/>
      <c r="C6" s="234"/>
      <c r="D6" s="297"/>
      <c r="E6" s="281"/>
      <c r="F6" s="281"/>
      <c r="G6" s="281"/>
      <c r="H6" s="281"/>
      <c r="I6" s="281"/>
      <c r="J6" s="281"/>
      <c r="K6" s="281"/>
      <c r="L6" s="281"/>
      <c r="M6" s="281"/>
      <c r="N6" s="281"/>
      <c r="O6" s="281"/>
      <c r="P6" s="281"/>
      <c r="Q6" s="280"/>
      <c r="R6" s="281"/>
      <c r="S6" s="281"/>
      <c r="T6" s="281"/>
      <c r="U6" s="281"/>
      <c r="V6" s="281"/>
      <c r="W6" s="281"/>
      <c r="X6" s="282"/>
      <c r="Z6" s="235"/>
      <c r="AA6" s="236"/>
      <c r="AB6" s="236"/>
      <c r="AC6" s="236"/>
      <c r="AD6" s="236"/>
      <c r="AE6" s="236"/>
      <c r="AF6" s="236"/>
      <c r="AG6" s="236"/>
      <c r="AH6" s="236"/>
      <c r="AI6" s="237"/>
      <c r="AJ6" s="237"/>
      <c r="AK6" s="237"/>
      <c r="AL6" s="237"/>
      <c r="AM6" s="369"/>
      <c r="AN6" s="237"/>
      <c r="AO6" s="237"/>
      <c r="AP6" s="237"/>
      <c r="AQ6" s="237"/>
      <c r="AR6" s="237"/>
      <c r="AS6" s="237"/>
      <c r="AT6" s="238"/>
      <c r="AW6" s="764">
        <f t="shared" ref="AW6:BL21" si="0">IFERROR(D6/Z6-1,0)</f>
        <v>0</v>
      </c>
      <c r="AX6" s="765">
        <f t="shared" si="0"/>
        <v>0</v>
      </c>
      <c r="AY6" s="765">
        <f t="shared" si="0"/>
        <v>0</v>
      </c>
      <c r="AZ6" s="765">
        <f t="shared" si="0"/>
        <v>0</v>
      </c>
      <c r="BA6" s="765">
        <f t="shared" si="0"/>
        <v>0</v>
      </c>
      <c r="BB6" s="765">
        <f t="shared" si="0"/>
        <v>0</v>
      </c>
      <c r="BC6" s="765">
        <f t="shared" si="0"/>
        <v>0</v>
      </c>
      <c r="BD6" s="765">
        <f t="shared" si="0"/>
        <v>0</v>
      </c>
      <c r="BE6" s="765">
        <f t="shared" si="0"/>
        <v>0</v>
      </c>
      <c r="BF6" s="765">
        <f t="shared" si="0"/>
        <v>0</v>
      </c>
      <c r="BG6" s="765">
        <f t="shared" si="0"/>
        <v>0</v>
      </c>
      <c r="BH6" s="765">
        <f t="shared" si="0"/>
        <v>0</v>
      </c>
      <c r="BI6" s="765">
        <f t="shared" si="0"/>
        <v>0</v>
      </c>
      <c r="BJ6" s="765">
        <f t="shared" si="0"/>
        <v>0</v>
      </c>
      <c r="BK6" s="765">
        <f t="shared" si="0"/>
        <v>0</v>
      </c>
      <c r="BL6" s="765">
        <f t="shared" si="0"/>
        <v>0</v>
      </c>
      <c r="BM6" s="765">
        <f t="shared" ref="BM6:BQ38" si="1">IFERROR(T6/AP6-1,0)</f>
        <v>0</v>
      </c>
      <c r="BN6" s="765">
        <f t="shared" si="1"/>
        <v>0</v>
      </c>
      <c r="BO6" s="765">
        <f t="shared" si="1"/>
        <v>0</v>
      </c>
      <c r="BP6" s="765">
        <f t="shared" si="1"/>
        <v>0</v>
      </c>
      <c r="BQ6" s="766">
        <f t="shared" si="1"/>
        <v>0</v>
      </c>
      <c r="BR6" s="550" t="str">
        <f t="array" ref="BR6">IF(MAX(ABS(AW6:BQ6))&gt;$BR$4,"EXPLAIN","")</f>
        <v/>
      </c>
    </row>
    <row r="7" spans="2:70" x14ac:dyDescent="0.2">
      <c r="B7" s="757" t="s">
        <v>696</v>
      </c>
      <c r="C7" s="234" t="str">
        <f>Prop2019DistTar!B7</f>
        <v>Residential Single Rate</v>
      </c>
      <c r="D7" s="246">
        <f>SUM(Prop2019DistTar!D7,Prop2019TransTar!D7,Prop2019JSTar!D7)</f>
        <v>90</v>
      </c>
      <c r="E7" s="247">
        <f>SUM(Prop2019DistTar!E7,Prop2019TransTar!E7,Prop2019JSTar!E7)</f>
        <v>6.59</v>
      </c>
      <c r="F7" s="247">
        <f>SUM(Prop2019DistTar!F7,Prop2019TransTar!F7,Prop2019JSTar!F7)</f>
        <v>0</v>
      </c>
      <c r="G7" s="247">
        <f>SUM(Prop2019DistTar!G7,Prop2019TransTar!G7,Prop2019JSTar!G7)</f>
        <v>0</v>
      </c>
      <c r="H7" s="247">
        <f>SUM(Prop2019DistTar!H7,Prop2019TransTar!H7,Prop2019JSTar!H7)</f>
        <v>0</v>
      </c>
      <c r="I7" s="247">
        <f>SUM(Prop2019DistTar!I7,Prop2019TransTar!I7,Prop2019JSTar!I7)</f>
        <v>0</v>
      </c>
      <c r="J7" s="247">
        <f>SUM(Prop2019DistTar!J7,Prop2019TransTar!J7,Prop2019JSTar!J7)</f>
        <v>0</v>
      </c>
      <c r="K7" s="247">
        <f>SUM(Prop2019DistTar!K7,Prop2019TransTar!K7,Prop2019JSTar!K7)</f>
        <v>0</v>
      </c>
      <c r="L7" s="247">
        <f>SUM(Prop2019DistTar!L7,Prop2019TransTar!L7,Prop2019JSTar!L7)</f>
        <v>0</v>
      </c>
      <c r="M7" s="247">
        <f>SUM(Prop2019DistTar!M7,Prop2019TransTar!M7,Prop2019JSTar!M7)</f>
        <v>0</v>
      </c>
      <c r="N7" s="247">
        <f>SUM(Prop2019DistTar!N7,Prop2019TransTar!N7,Prop2019JSTar!N7)</f>
        <v>0</v>
      </c>
      <c r="O7" s="247">
        <f>SUM(Prop2019DistTar!O7,Prop2019TransTar!O7,Prop2019JSTar!O7)</f>
        <v>0</v>
      </c>
      <c r="P7" s="247">
        <f>SUM(Prop2019DistTar!P7,Prop2019TransTar!P7,Prop2019JSTar!P7)</f>
        <v>0</v>
      </c>
      <c r="Q7" s="247">
        <f>SUM(Prop2019DistTar!Q7,Prop2019TransTar!Q7,Prop2019JSTar!Q7)</f>
        <v>0</v>
      </c>
      <c r="R7" s="247">
        <f>SUM(Prop2019DistTar!R7,Prop2019TransTar!R7,Prop2019JSTar!R7)</f>
        <v>0</v>
      </c>
      <c r="S7" s="247">
        <f>SUM(Prop2019DistTar!S7,Prop2019TransTar!S7,Prop2019JSTar!S7)</f>
        <v>0</v>
      </c>
      <c r="T7" s="247">
        <f>SUM(Prop2019DistTar!T7,Prop2019TransTar!T7,Prop2019JSTar!T7)</f>
        <v>0</v>
      </c>
      <c r="U7" s="247">
        <f>SUM(Prop2019DistTar!U7,Prop2019TransTar!U7,Prop2019JSTar!U7)</f>
        <v>0</v>
      </c>
      <c r="V7" s="247">
        <f>SUM(Prop2019DistTar!V7,Prop2019TransTar!V7,Prop2019JSTar!V7)</f>
        <v>0</v>
      </c>
      <c r="W7" s="247">
        <f>SUM(Prop2019DistTar!W7,Prop2019TransTar!W7,Prop2019JSTar!W7)</f>
        <v>0</v>
      </c>
      <c r="X7" s="248">
        <f>SUM(Prop2019DistTar!X7,Prop2019TransTar!X7,Prop2019JSTar!X7)</f>
        <v>0</v>
      </c>
      <c r="Z7" s="650">
        <v>90</v>
      </c>
      <c r="AA7" s="651">
        <v>6.67</v>
      </c>
      <c r="AB7" s="651"/>
      <c r="AC7" s="651"/>
      <c r="AD7" s="651"/>
      <c r="AE7" s="651"/>
      <c r="AF7" s="651"/>
      <c r="AG7" s="651"/>
      <c r="AH7" s="651"/>
      <c r="AI7" s="651"/>
      <c r="AJ7" s="651"/>
      <c r="AK7" s="651"/>
      <c r="AL7" s="651"/>
      <c r="AM7" s="651"/>
      <c r="AN7" s="651"/>
      <c r="AO7" s="651"/>
      <c r="AP7" s="651"/>
      <c r="AQ7" s="651"/>
      <c r="AR7" s="651"/>
      <c r="AS7" s="651"/>
      <c r="AT7" s="652"/>
      <c r="AW7" s="764">
        <f t="shared" si="0"/>
        <v>0</v>
      </c>
      <c r="AX7" s="765">
        <f t="shared" si="0"/>
        <v>-1.199400299850073E-2</v>
      </c>
      <c r="AY7" s="765">
        <f t="shared" si="0"/>
        <v>0</v>
      </c>
      <c r="AZ7" s="765">
        <f t="shared" si="0"/>
        <v>0</v>
      </c>
      <c r="BA7" s="765">
        <f t="shared" si="0"/>
        <v>0</v>
      </c>
      <c r="BB7" s="765">
        <f t="shared" si="0"/>
        <v>0</v>
      </c>
      <c r="BC7" s="765">
        <f t="shared" si="0"/>
        <v>0</v>
      </c>
      <c r="BD7" s="765">
        <f t="shared" si="0"/>
        <v>0</v>
      </c>
      <c r="BE7" s="765">
        <f t="shared" si="0"/>
        <v>0</v>
      </c>
      <c r="BF7" s="765">
        <f t="shared" si="0"/>
        <v>0</v>
      </c>
      <c r="BG7" s="765">
        <f t="shared" si="0"/>
        <v>0</v>
      </c>
      <c r="BH7" s="765">
        <f t="shared" si="0"/>
        <v>0</v>
      </c>
      <c r="BI7" s="765">
        <f t="shared" si="0"/>
        <v>0</v>
      </c>
      <c r="BJ7" s="765">
        <f t="shared" si="0"/>
        <v>0</v>
      </c>
      <c r="BK7" s="765">
        <f t="shared" si="0"/>
        <v>0</v>
      </c>
      <c r="BL7" s="765">
        <f t="shared" si="0"/>
        <v>0</v>
      </c>
      <c r="BM7" s="765">
        <f t="shared" si="1"/>
        <v>0</v>
      </c>
      <c r="BN7" s="765">
        <f t="shared" si="1"/>
        <v>0</v>
      </c>
      <c r="BO7" s="765">
        <f t="shared" si="1"/>
        <v>0</v>
      </c>
      <c r="BP7" s="765">
        <f t="shared" si="1"/>
        <v>0</v>
      </c>
      <c r="BQ7" s="766">
        <f t="shared" si="1"/>
        <v>0</v>
      </c>
      <c r="BR7" s="550" t="str">
        <f t="array" ref="BR7">IF(MAX(ABS(AW7:BQ7))&gt;$BR$4,"EXPLAIN","")</f>
        <v/>
      </c>
    </row>
    <row r="8" spans="2:70" x14ac:dyDescent="0.2">
      <c r="B8" s="757" t="s">
        <v>697</v>
      </c>
      <c r="C8" s="234" t="str">
        <f>Prop2019DistTar!B8</f>
        <v>Residential Single Rate - Bulk</v>
      </c>
      <c r="D8" s="246">
        <f>SUM(Prop2019DistTar!D8,Prop2019TransTar!D8,Prop2019JSTar!D8)</f>
        <v>85</v>
      </c>
      <c r="E8" s="247">
        <f>SUM(Prop2019DistTar!E8,Prop2019TransTar!E8,Prop2019JSTar!E8)</f>
        <v>5.04</v>
      </c>
      <c r="F8" s="247">
        <f>SUM(Prop2019DistTar!F8,Prop2019TransTar!F8,Prop2019JSTar!F8)</f>
        <v>0</v>
      </c>
      <c r="G8" s="247">
        <f>SUM(Prop2019DistTar!G8,Prop2019TransTar!G8,Prop2019JSTar!G8)</f>
        <v>0</v>
      </c>
      <c r="H8" s="247">
        <f>SUM(Prop2019DistTar!H8,Prop2019TransTar!H8,Prop2019JSTar!H8)</f>
        <v>0</v>
      </c>
      <c r="I8" s="247">
        <f>SUM(Prop2019DistTar!I8,Prop2019TransTar!I8,Prop2019JSTar!I8)</f>
        <v>0</v>
      </c>
      <c r="J8" s="247">
        <f>SUM(Prop2019DistTar!J8,Prop2019TransTar!J8,Prop2019JSTar!J8)</f>
        <v>0</v>
      </c>
      <c r="K8" s="247">
        <f>SUM(Prop2019DistTar!K8,Prop2019TransTar!K8,Prop2019JSTar!K8)</f>
        <v>0</v>
      </c>
      <c r="L8" s="247">
        <f>SUM(Prop2019DistTar!L8,Prop2019TransTar!L8,Prop2019JSTar!L8)</f>
        <v>0</v>
      </c>
      <c r="M8" s="247">
        <f>SUM(Prop2019DistTar!M8,Prop2019TransTar!M8,Prop2019JSTar!M8)</f>
        <v>0</v>
      </c>
      <c r="N8" s="247">
        <f>SUM(Prop2019DistTar!N8,Prop2019TransTar!N8,Prop2019JSTar!N8)</f>
        <v>0</v>
      </c>
      <c r="O8" s="247">
        <f>SUM(Prop2019DistTar!O8,Prop2019TransTar!O8,Prop2019JSTar!O8)</f>
        <v>0</v>
      </c>
      <c r="P8" s="247">
        <f>SUM(Prop2019DistTar!P8,Prop2019TransTar!P8,Prop2019JSTar!P8)</f>
        <v>0</v>
      </c>
      <c r="Q8" s="247">
        <f>SUM(Prop2019DistTar!Q8,Prop2019TransTar!Q8,Prop2019JSTar!Q8)</f>
        <v>0</v>
      </c>
      <c r="R8" s="247">
        <f>SUM(Prop2019DistTar!R8,Prop2019TransTar!R8,Prop2019JSTar!R8)</f>
        <v>0</v>
      </c>
      <c r="S8" s="247">
        <f>SUM(Prop2019DistTar!S8,Prop2019TransTar!S8,Prop2019JSTar!S8)</f>
        <v>0</v>
      </c>
      <c r="T8" s="247">
        <f>SUM(Prop2019DistTar!T8,Prop2019TransTar!T8,Prop2019JSTar!T8)</f>
        <v>0</v>
      </c>
      <c r="U8" s="247">
        <f>SUM(Prop2019DistTar!U8,Prop2019TransTar!U8,Prop2019JSTar!U8)</f>
        <v>0</v>
      </c>
      <c r="V8" s="247">
        <f>SUM(Prop2019DistTar!V8,Prop2019TransTar!V8,Prop2019JSTar!V8)</f>
        <v>0</v>
      </c>
      <c r="W8" s="247">
        <f>SUM(Prop2019DistTar!W8,Prop2019TransTar!W8,Prop2019JSTar!W8)</f>
        <v>0</v>
      </c>
      <c r="X8" s="248">
        <f>SUM(Prop2019DistTar!X8,Prop2019TransTar!X8,Prop2019JSTar!X8)</f>
        <v>0</v>
      </c>
      <c r="Z8" s="650">
        <v>80</v>
      </c>
      <c r="AA8" s="651">
        <v>4.97</v>
      </c>
      <c r="AB8" s="651"/>
      <c r="AC8" s="651"/>
      <c r="AD8" s="651"/>
      <c r="AE8" s="651"/>
      <c r="AF8" s="651"/>
      <c r="AG8" s="651"/>
      <c r="AH8" s="651"/>
      <c r="AI8" s="651"/>
      <c r="AJ8" s="651"/>
      <c r="AK8" s="651"/>
      <c r="AL8" s="651"/>
      <c r="AM8" s="651"/>
      <c r="AN8" s="651"/>
      <c r="AO8" s="651"/>
      <c r="AP8" s="651"/>
      <c r="AQ8" s="651"/>
      <c r="AR8" s="651"/>
      <c r="AS8" s="651"/>
      <c r="AT8" s="652"/>
      <c r="AW8" s="764">
        <f t="shared" si="0"/>
        <v>6.25E-2</v>
      </c>
      <c r="AX8" s="765">
        <f t="shared" si="0"/>
        <v>1.4084507042253502E-2</v>
      </c>
      <c r="AY8" s="765">
        <f t="shared" si="0"/>
        <v>0</v>
      </c>
      <c r="AZ8" s="765">
        <f t="shared" si="0"/>
        <v>0</v>
      </c>
      <c r="BA8" s="765">
        <f t="shared" si="0"/>
        <v>0</v>
      </c>
      <c r="BB8" s="765">
        <f t="shared" si="0"/>
        <v>0</v>
      </c>
      <c r="BC8" s="765">
        <f t="shared" si="0"/>
        <v>0</v>
      </c>
      <c r="BD8" s="765">
        <f t="shared" si="0"/>
        <v>0</v>
      </c>
      <c r="BE8" s="765">
        <f t="shared" si="0"/>
        <v>0</v>
      </c>
      <c r="BF8" s="765">
        <f t="shared" si="0"/>
        <v>0</v>
      </c>
      <c r="BG8" s="765">
        <f t="shared" si="0"/>
        <v>0</v>
      </c>
      <c r="BH8" s="765">
        <f t="shared" si="0"/>
        <v>0</v>
      </c>
      <c r="BI8" s="765">
        <f t="shared" si="0"/>
        <v>0</v>
      </c>
      <c r="BJ8" s="765">
        <f t="shared" si="0"/>
        <v>0</v>
      </c>
      <c r="BK8" s="765">
        <f t="shared" si="0"/>
        <v>0</v>
      </c>
      <c r="BL8" s="765">
        <f t="shared" si="0"/>
        <v>0</v>
      </c>
      <c r="BM8" s="765">
        <f t="shared" si="1"/>
        <v>0</v>
      </c>
      <c r="BN8" s="765">
        <f t="shared" si="1"/>
        <v>0</v>
      </c>
      <c r="BO8" s="765">
        <f t="shared" si="1"/>
        <v>0</v>
      </c>
      <c r="BP8" s="765">
        <f t="shared" si="1"/>
        <v>0</v>
      </c>
      <c r="BQ8" s="766">
        <f t="shared" si="1"/>
        <v>0</v>
      </c>
      <c r="BR8" s="550" t="str">
        <f t="array" ref="BR8">IF(MAX(ABS(AW8:BQ8))&gt;$BR$4,"EXPLAIN","")</f>
        <v/>
      </c>
    </row>
    <row r="9" spans="2:70" x14ac:dyDescent="0.2">
      <c r="B9" s="757" t="s">
        <v>698</v>
      </c>
      <c r="C9" s="234" t="str">
        <f>Prop2019DistTar!B9</f>
        <v>Residential - flexible pricing</v>
      </c>
      <c r="D9" s="246">
        <f>SUM(Prop2019DistTar!D9,Prop2019TransTar!D9,Prop2019JSTar!D9)</f>
        <v>90</v>
      </c>
      <c r="E9" s="247">
        <f>SUM(Prop2019DistTar!E9,Prop2019TransTar!E9,Prop2019JSTar!E9)</f>
        <v>0</v>
      </c>
      <c r="F9" s="247">
        <f>SUM(Prop2019DistTar!F9,Prop2019TransTar!F9,Prop2019JSTar!F9)</f>
        <v>0</v>
      </c>
      <c r="G9" s="247">
        <f>SUM(Prop2019DistTar!G9,Prop2019TransTar!G9,Prop2019JSTar!G9)</f>
        <v>0</v>
      </c>
      <c r="H9" s="247">
        <f>SUM(Prop2019DistTar!H9,Prop2019TransTar!H9,Prop2019JSTar!H9)</f>
        <v>0</v>
      </c>
      <c r="I9" s="247">
        <f>SUM(Prop2019DistTar!I9,Prop2019TransTar!I9,Prop2019JSTar!I9)</f>
        <v>0</v>
      </c>
      <c r="J9" s="247">
        <f>SUM(Prop2019DistTar!J9,Prop2019TransTar!J9,Prop2019JSTar!J9)</f>
        <v>0</v>
      </c>
      <c r="K9" s="247">
        <f>SUM(Prop2019DistTar!K9,Prop2019TransTar!K9,Prop2019JSTar!K9)</f>
        <v>0</v>
      </c>
      <c r="L9" s="247">
        <f>SUM(Prop2019DistTar!L9,Prop2019TransTar!L9,Prop2019JSTar!L9)</f>
        <v>0</v>
      </c>
      <c r="M9" s="247">
        <f>SUM(Prop2019DistTar!M9,Prop2019TransTar!M9,Prop2019JSTar!M9)</f>
        <v>0</v>
      </c>
      <c r="N9" s="247">
        <f>SUM(Prop2019DistTar!N9,Prop2019TransTar!N9,Prop2019JSTar!N9)</f>
        <v>0</v>
      </c>
      <c r="O9" s="247">
        <f>SUM(Prop2019DistTar!O9,Prop2019TransTar!O9,Prop2019JSTar!O9)</f>
        <v>0</v>
      </c>
      <c r="P9" s="247">
        <f>SUM(Prop2019DistTar!P9,Prop2019TransTar!P9,Prop2019JSTar!P9)</f>
        <v>0</v>
      </c>
      <c r="Q9" s="247">
        <f>SUM(Prop2019DistTar!Q9,Prop2019TransTar!Q9,Prop2019JSTar!Q9)</f>
        <v>13.01</v>
      </c>
      <c r="R9" s="247">
        <f>SUM(Prop2019DistTar!R9,Prop2019TransTar!R9,Prop2019JSTar!R9)</f>
        <v>8.7800000000000011</v>
      </c>
      <c r="S9" s="247">
        <f>SUM(Prop2019DistTar!S9,Prop2019TransTar!S9,Prop2019JSTar!S9)</f>
        <v>3.4799999999999995</v>
      </c>
      <c r="T9" s="247">
        <f>SUM(Prop2019DistTar!T9,Prop2019TransTar!T9,Prop2019JSTar!T9)</f>
        <v>0</v>
      </c>
      <c r="U9" s="247">
        <f>SUM(Prop2019DistTar!U9,Prop2019TransTar!U9,Prop2019JSTar!U9)</f>
        <v>13.01</v>
      </c>
      <c r="V9" s="247">
        <f>SUM(Prop2019DistTar!V9,Prop2019TransTar!V9,Prop2019JSTar!V9)</f>
        <v>8.7800000000000011</v>
      </c>
      <c r="W9" s="247">
        <f>SUM(Prop2019DistTar!W9,Prop2019TransTar!W9,Prop2019JSTar!W9)</f>
        <v>3.4799999999999995</v>
      </c>
      <c r="X9" s="248">
        <f>SUM(Prop2019DistTar!X9,Prop2019TransTar!X9,Prop2019JSTar!X9)</f>
        <v>0</v>
      </c>
      <c r="Z9" s="650">
        <v>90</v>
      </c>
      <c r="AA9" s="651"/>
      <c r="AB9" s="651"/>
      <c r="AC9" s="651"/>
      <c r="AD9" s="651"/>
      <c r="AE9" s="651"/>
      <c r="AF9" s="651"/>
      <c r="AG9" s="651"/>
      <c r="AH9" s="651"/>
      <c r="AI9" s="651"/>
      <c r="AJ9" s="651"/>
      <c r="AK9" s="651"/>
      <c r="AL9" s="651"/>
      <c r="AM9" s="651">
        <v>13.69</v>
      </c>
      <c r="AN9" s="651">
        <v>9.24</v>
      </c>
      <c r="AO9" s="651">
        <v>3.66</v>
      </c>
      <c r="AP9" s="651">
        <v>0</v>
      </c>
      <c r="AQ9" s="651">
        <v>13.69</v>
      </c>
      <c r="AR9" s="651">
        <v>9.24</v>
      </c>
      <c r="AS9" s="651">
        <v>3.66</v>
      </c>
      <c r="AT9" s="652"/>
      <c r="AW9" s="764">
        <f t="shared" si="0"/>
        <v>0</v>
      </c>
      <c r="AX9" s="765">
        <f t="shared" si="0"/>
        <v>0</v>
      </c>
      <c r="AY9" s="765">
        <f t="shared" si="0"/>
        <v>0</v>
      </c>
      <c r="AZ9" s="765">
        <f t="shared" si="0"/>
        <v>0</v>
      </c>
      <c r="BA9" s="765">
        <f t="shared" si="0"/>
        <v>0</v>
      </c>
      <c r="BB9" s="765">
        <f t="shared" si="0"/>
        <v>0</v>
      </c>
      <c r="BC9" s="765">
        <f t="shared" si="0"/>
        <v>0</v>
      </c>
      <c r="BD9" s="765">
        <f t="shared" si="0"/>
        <v>0</v>
      </c>
      <c r="BE9" s="765">
        <f t="shared" si="0"/>
        <v>0</v>
      </c>
      <c r="BF9" s="765">
        <f t="shared" si="0"/>
        <v>0</v>
      </c>
      <c r="BG9" s="765">
        <f t="shared" si="0"/>
        <v>0</v>
      </c>
      <c r="BH9" s="765">
        <f t="shared" si="0"/>
        <v>0</v>
      </c>
      <c r="BI9" s="765">
        <f t="shared" si="0"/>
        <v>0</v>
      </c>
      <c r="BJ9" s="765">
        <f t="shared" si="0"/>
        <v>-4.9671292914536092E-2</v>
      </c>
      <c r="BK9" s="765">
        <f t="shared" si="0"/>
        <v>-4.9783549783549708E-2</v>
      </c>
      <c r="BL9" s="765">
        <f t="shared" si="0"/>
        <v>-4.9180327868852625E-2</v>
      </c>
      <c r="BM9" s="765">
        <f t="shared" si="1"/>
        <v>0</v>
      </c>
      <c r="BN9" s="765">
        <f t="shared" si="1"/>
        <v>-4.9671292914536092E-2</v>
      </c>
      <c r="BO9" s="765">
        <f t="shared" si="1"/>
        <v>-4.9783549783549708E-2</v>
      </c>
      <c r="BP9" s="765">
        <f t="shared" si="1"/>
        <v>-4.9180327868852625E-2</v>
      </c>
      <c r="BQ9" s="766">
        <f t="shared" si="1"/>
        <v>0</v>
      </c>
      <c r="BR9" s="550" t="str">
        <f t="array" ref="BR9">IF(MAX(ABS(AW9:BQ9))&gt;$BR$4,"EXPLAIN","")</f>
        <v/>
      </c>
    </row>
    <row r="10" spans="2:70" x14ac:dyDescent="0.2">
      <c r="B10" s="757" t="s">
        <v>699</v>
      </c>
      <c r="C10" s="234" t="str">
        <f>Prop2019DistTar!B10</f>
        <v>Residential - flexible pricing bulk</v>
      </c>
      <c r="D10" s="246">
        <f>SUM(Prop2019DistTar!D10,Prop2019TransTar!D10,Prop2019JSTar!D10)</f>
        <v>85</v>
      </c>
      <c r="E10" s="247">
        <f>SUM(Prop2019DistTar!E10,Prop2019TransTar!E10,Prop2019JSTar!E10)</f>
        <v>0</v>
      </c>
      <c r="F10" s="247">
        <f>SUM(Prop2019DistTar!F10,Prop2019TransTar!F10,Prop2019JSTar!F10)</f>
        <v>0</v>
      </c>
      <c r="G10" s="247">
        <f>SUM(Prop2019DistTar!G10,Prop2019TransTar!G10,Prop2019JSTar!G10)</f>
        <v>0</v>
      </c>
      <c r="H10" s="247">
        <f>SUM(Prop2019DistTar!H10,Prop2019TransTar!H10,Prop2019JSTar!H10)</f>
        <v>0</v>
      </c>
      <c r="I10" s="247">
        <f>SUM(Prop2019DistTar!I10,Prop2019TransTar!I10,Prop2019JSTar!I10)</f>
        <v>0</v>
      </c>
      <c r="J10" s="247">
        <f>SUM(Prop2019DistTar!J10,Prop2019TransTar!J10,Prop2019JSTar!J10)</f>
        <v>0</v>
      </c>
      <c r="K10" s="247">
        <f>SUM(Prop2019DistTar!K10,Prop2019TransTar!K10,Prop2019JSTar!K10)</f>
        <v>0</v>
      </c>
      <c r="L10" s="247">
        <f>SUM(Prop2019DistTar!L10,Prop2019TransTar!L10,Prop2019JSTar!L10)</f>
        <v>0</v>
      </c>
      <c r="M10" s="247">
        <f>SUM(Prop2019DistTar!M10,Prop2019TransTar!M10,Prop2019JSTar!M10)</f>
        <v>0</v>
      </c>
      <c r="N10" s="247">
        <f>SUM(Prop2019DistTar!N10,Prop2019TransTar!N10,Prop2019JSTar!N10)</f>
        <v>0</v>
      </c>
      <c r="O10" s="247">
        <f>SUM(Prop2019DistTar!O10,Prop2019TransTar!O10,Prop2019JSTar!O10)</f>
        <v>0</v>
      </c>
      <c r="P10" s="247">
        <f>SUM(Prop2019DistTar!P10,Prop2019TransTar!P10,Prop2019JSTar!P10)</f>
        <v>0</v>
      </c>
      <c r="Q10" s="247">
        <f>SUM(Prop2019DistTar!Q10,Prop2019TransTar!Q10,Prop2019JSTar!Q10)</f>
        <v>10.920000000000002</v>
      </c>
      <c r="R10" s="247">
        <f>SUM(Prop2019DistTar!R10,Prop2019TransTar!R10,Prop2019JSTar!R10)</f>
        <v>7.3699999999999992</v>
      </c>
      <c r="S10" s="247">
        <f>SUM(Prop2019DistTar!S10,Prop2019TransTar!S10,Prop2019JSTar!S10)</f>
        <v>2.92</v>
      </c>
      <c r="T10" s="247">
        <f>SUM(Prop2019DistTar!T10,Prop2019TransTar!T10,Prop2019JSTar!T10)</f>
        <v>0</v>
      </c>
      <c r="U10" s="247">
        <f>SUM(Prop2019DistTar!U10,Prop2019TransTar!U10,Prop2019JSTar!U10)</f>
        <v>10.920000000000002</v>
      </c>
      <c r="V10" s="247">
        <f>SUM(Prop2019DistTar!V10,Prop2019TransTar!V10,Prop2019JSTar!V10)</f>
        <v>7.3699999999999992</v>
      </c>
      <c r="W10" s="247">
        <f>SUM(Prop2019DistTar!W10,Prop2019TransTar!W10,Prop2019JSTar!W10)</f>
        <v>2.92</v>
      </c>
      <c r="X10" s="248">
        <f>SUM(Prop2019DistTar!X10,Prop2019TransTar!X10,Prop2019JSTar!X10)</f>
        <v>0</v>
      </c>
      <c r="Z10" s="650">
        <v>80</v>
      </c>
      <c r="AA10" s="651"/>
      <c r="AB10" s="651"/>
      <c r="AC10" s="651"/>
      <c r="AD10" s="651"/>
      <c r="AE10" s="651"/>
      <c r="AF10" s="651"/>
      <c r="AG10" s="651"/>
      <c r="AH10" s="651"/>
      <c r="AI10" s="651"/>
      <c r="AJ10" s="651"/>
      <c r="AK10" s="651"/>
      <c r="AL10" s="651"/>
      <c r="AM10" s="651">
        <v>10.95</v>
      </c>
      <c r="AN10" s="651">
        <v>7.39</v>
      </c>
      <c r="AO10" s="651">
        <v>2.93</v>
      </c>
      <c r="AP10" s="651">
        <v>0</v>
      </c>
      <c r="AQ10" s="651">
        <v>10.95</v>
      </c>
      <c r="AR10" s="651">
        <v>7.39</v>
      </c>
      <c r="AS10" s="651">
        <v>2.93</v>
      </c>
      <c r="AT10" s="652"/>
      <c r="AW10" s="764">
        <f t="shared" si="0"/>
        <v>6.25E-2</v>
      </c>
      <c r="AX10" s="765">
        <f t="shared" si="0"/>
        <v>0</v>
      </c>
      <c r="AY10" s="765">
        <f t="shared" si="0"/>
        <v>0</v>
      </c>
      <c r="AZ10" s="765">
        <f t="shared" si="0"/>
        <v>0</v>
      </c>
      <c r="BA10" s="765">
        <f t="shared" si="0"/>
        <v>0</v>
      </c>
      <c r="BB10" s="765">
        <f t="shared" si="0"/>
        <v>0</v>
      </c>
      <c r="BC10" s="765">
        <f t="shared" si="0"/>
        <v>0</v>
      </c>
      <c r="BD10" s="765">
        <f t="shared" si="0"/>
        <v>0</v>
      </c>
      <c r="BE10" s="765">
        <f t="shared" si="0"/>
        <v>0</v>
      </c>
      <c r="BF10" s="765">
        <f t="shared" si="0"/>
        <v>0</v>
      </c>
      <c r="BG10" s="765">
        <f t="shared" si="0"/>
        <v>0</v>
      </c>
      <c r="BH10" s="765">
        <f t="shared" si="0"/>
        <v>0</v>
      </c>
      <c r="BI10" s="765">
        <f t="shared" si="0"/>
        <v>0</v>
      </c>
      <c r="BJ10" s="765">
        <f t="shared" si="0"/>
        <v>-2.739726027397027E-3</v>
      </c>
      <c r="BK10" s="765">
        <f t="shared" si="0"/>
        <v>-2.7063599458728715E-3</v>
      </c>
      <c r="BL10" s="765">
        <f t="shared" si="0"/>
        <v>-3.4129692832765013E-3</v>
      </c>
      <c r="BM10" s="765">
        <f t="shared" si="1"/>
        <v>0</v>
      </c>
      <c r="BN10" s="765">
        <f t="shared" si="1"/>
        <v>-2.739726027397027E-3</v>
      </c>
      <c r="BO10" s="765">
        <f t="shared" si="1"/>
        <v>-2.7063599458728715E-3</v>
      </c>
      <c r="BP10" s="765">
        <f t="shared" si="1"/>
        <v>-3.4129692832765013E-3</v>
      </c>
      <c r="BQ10" s="766">
        <f t="shared" si="1"/>
        <v>0</v>
      </c>
      <c r="BR10" s="550" t="str">
        <f t="array" ref="BR10">IF(MAX(ABS(AW10:BQ10))&gt;$BR$4,"EXPLAIN","")</f>
        <v/>
      </c>
    </row>
    <row r="11" spans="2:70" x14ac:dyDescent="0.2">
      <c r="B11" s="757" t="s">
        <v>700</v>
      </c>
      <c r="C11" s="234" t="str">
        <f>Prop2019DistTar!B11</f>
        <v>Residential Two Rate 5d</v>
      </c>
      <c r="D11" s="246">
        <f>SUM(Prop2019DistTar!D11,Prop2019TransTar!D11,Prop2019JSTar!D11)</f>
        <v>90</v>
      </c>
      <c r="E11" s="247">
        <f>SUM(Prop2019DistTar!E11,Prop2019TransTar!E11,Prop2019JSTar!E11)</f>
        <v>0</v>
      </c>
      <c r="F11" s="247">
        <f>SUM(Prop2019DistTar!F11,Prop2019TransTar!F11,Prop2019JSTar!F11)</f>
        <v>11.72</v>
      </c>
      <c r="G11" s="247">
        <f>SUM(Prop2019DistTar!G11,Prop2019TransTar!G11,Prop2019JSTar!G11)</f>
        <v>0</v>
      </c>
      <c r="H11" s="247">
        <f>SUM(Prop2019DistTar!H11,Prop2019TransTar!H11,Prop2019JSTar!H11)</f>
        <v>0</v>
      </c>
      <c r="I11" s="247">
        <f>SUM(Prop2019DistTar!I11,Prop2019TransTar!I11,Prop2019JSTar!I11)</f>
        <v>2.82</v>
      </c>
      <c r="J11" s="247">
        <f>SUM(Prop2019DistTar!J11,Prop2019TransTar!J11,Prop2019JSTar!J11)</f>
        <v>0</v>
      </c>
      <c r="K11" s="247">
        <f>SUM(Prop2019DistTar!K11,Prop2019TransTar!K11,Prop2019JSTar!K11)</f>
        <v>0</v>
      </c>
      <c r="L11" s="247">
        <f>SUM(Prop2019DistTar!L11,Prop2019TransTar!L11,Prop2019JSTar!L11)</f>
        <v>0</v>
      </c>
      <c r="M11" s="247">
        <f>SUM(Prop2019DistTar!M11,Prop2019TransTar!M11,Prop2019JSTar!M11)</f>
        <v>0</v>
      </c>
      <c r="N11" s="247">
        <f>SUM(Prop2019DistTar!N11,Prop2019TransTar!N11,Prop2019JSTar!N11)</f>
        <v>0</v>
      </c>
      <c r="O11" s="247">
        <f>SUM(Prop2019DistTar!O11,Prop2019TransTar!O11,Prop2019JSTar!O11)</f>
        <v>0</v>
      </c>
      <c r="P11" s="247">
        <f>SUM(Prop2019DistTar!P11,Prop2019TransTar!P11,Prop2019JSTar!P11)</f>
        <v>0</v>
      </c>
      <c r="Q11" s="247">
        <f>SUM(Prop2019DistTar!Q11,Prop2019TransTar!Q11,Prop2019JSTar!Q11)</f>
        <v>0</v>
      </c>
      <c r="R11" s="247">
        <f>SUM(Prop2019DistTar!R11,Prop2019TransTar!R11,Prop2019JSTar!R11)</f>
        <v>0</v>
      </c>
      <c r="S11" s="247">
        <f>SUM(Prop2019DistTar!S11,Prop2019TransTar!S11,Prop2019JSTar!S11)</f>
        <v>0</v>
      </c>
      <c r="T11" s="247">
        <f>SUM(Prop2019DistTar!T11,Prop2019TransTar!T11,Prop2019JSTar!T11)</f>
        <v>0</v>
      </c>
      <c r="U11" s="247">
        <f>SUM(Prop2019DistTar!U11,Prop2019TransTar!U11,Prop2019JSTar!U11)</f>
        <v>0</v>
      </c>
      <c r="V11" s="247">
        <f>SUM(Prop2019DistTar!V11,Prop2019TransTar!V11,Prop2019JSTar!V11)</f>
        <v>0</v>
      </c>
      <c r="W11" s="247">
        <f>SUM(Prop2019DistTar!W11,Prop2019TransTar!W11,Prop2019JSTar!W11)</f>
        <v>0</v>
      </c>
      <c r="X11" s="248">
        <f>SUM(Prop2019DistTar!X11,Prop2019TransTar!X11,Prop2019JSTar!X11)</f>
        <v>0</v>
      </c>
      <c r="Z11" s="650">
        <v>90</v>
      </c>
      <c r="AA11" s="651"/>
      <c r="AB11" s="651">
        <v>12.34</v>
      </c>
      <c r="AC11" s="651"/>
      <c r="AD11" s="651"/>
      <c r="AE11" s="651">
        <v>2.67</v>
      </c>
      <c r="AF11" s="651"/>
      <c r="AG11" s="651"/>
      <c r="AH11" s="651"/>
      <c r="AI11" s="651"/>
      <c r="AJ11" s="651"/>
      <c r="AK11" s="651"/>
      <c r="AL11" s="651"/>
      <c r="AM11" s="651"/>
      <c r="AN11" s="651"/>
      <c r="AO11" s="651"/>
      <c r="AP11" s="651"/>
      <c r="AQ11" s="651"/>
      <c r="AR11" s="651"/>
      <c r="AS11" s="651"/>
      <c r="AT11" s="652"/>
      <c r="AW11" s="764">
        <f t="shared" si="0"/>
        <v>0</v>
      </c>
      <c r="AX11" s="765">
        <f t="shared" si="0"/>
        <v>0</v>
      </c>
      <c r="AY11" s="765">
        <f t="shared" si="0"/>
        <v>-5.0243111831442366E-2</v>
      </c>
      <c r="AZ11" s="765">
        <f t="shared" si="0"/>
        <v>0</v>
      </c>
      <c r="BA11" s="765">
        <f t="shared" si="0"/>
        <v>0</v>
      </c>
      <c r="BB11" s="765">
        <f t="shared" si="0"/>
        <v>5.6179775280898792E-2</v>
      </c>
      <c r="BC11" s="765">
        <f t="shared" si="0"/>
        <v>0</v>
      </c>
      <c r="BD11" s="765">
        <f t="shared" si="0"/>
        <v>0</v>
      </c>
      <c r="BE11" s="765">
        <f t="shared" si="0"/>
        <v>0</v>
      </c>
      <c r="BF11" s="765">
        <f t="shared" si="0"/>
        <v>0</v>
      </c>
      <c r="BG11" s="765">
        <f t="shared" si="0"/>
        <v>0</v>
      </c>
      <c r="BH11" s="765">
        <f t="shared" si="0"/>
        <v>0</v>
      </c>
      <c r="BI11" s="765">
        <f t="shared" si="0"/>
        <v>0</v>
      </c>
      <c r="BJ11" s="765">
        <f t="shared" si="0"/>
        <v>0</v>
      </c>
      <c r="BK11" s="765">
        <f t="shared" si="0"/>
        <v>0</v>
      </c>
      <c r="BL11" s="765">
        <f t="shared" si="0"/>
        <v>0</v>
      </c>
      <c r="BM11" s="765">
        <f t="shared" si="1"/>
        <v>0</v>
      </c>
      <c r="BN11" s="765">
        <f t="shared" si="1"/>
        <v>0</v>
      </c>
      <c r="BO11" s="765">
        <f t="shared" si="1"/>
        <v>0</v>
      </c>
      <c r="BP11" s="765">
        <f t="shared" si="1"/>
        <v>0</v>
      </c>
      <c r="BQ11" s="766">
        <f t="shared" si="1"/>
        <v>0</v>
      </c>
      <c r="BR11" s="550" t="str">
        <f t="array" ref="BR11">IF(MAX(ABS(AW11:BQ11))&gt;$BR$4,"EXPLAIN","")</f>
        <v/>
      </c>
    </row>
    <row r="12" spans="2:70" x14ac:dyDescent="0.2">
      <c r="B12" s="757" t="s">
        <v>701</v>
      </c>
      <c r="C12" s="234" t="str">
        <f>Prop2019DistTar!B12</f>
        <v>Residential Two Rate 5d - Bulk</v>
      </c>
      <c r="D12" s="246">
        <f>SUM(Prop2019DistTar!D12,Prop2019TransTar!D12,Prop2019JSTar!D12)</f>
        <v>85</v>
      </c>
      <c r="E12" s="247">
        <f>SUM(Prop2019DistTar!E12,Prop2019TransTar!E12,Prop2019JSTar!E12)</f>
        <v>0</v>
      </c>
      <c r="F12" s="247">
        <f>SUM(Prop2019DistTar!F12,Prop2019TransTar!F12,Prop2019JSTar!F12)</f>
        <v>10.330000000000002</v>
      </c>
      <c r="G12" s="247">
        <f>SUM(Prop2019DistTar!G12,Prop2019TransTar!G12,Prop2019JSTar!G12)</f>
        <v>0</v>
      </c>
      <c r="H12" s="247">
        <f>SUM(Prop2019DistTar!H12,Prop2019TransTar!H12,Prop2019JSTar!H12)</f>
        <v>0</v>
      </c>
      <c r="I12" s="247">
        <f>SUM(Prop2019DistTar!I12,Prop2019TransTar!I12,Prop2019JSTar!I12)</f>
        <v>2.64</v>
      </c>
      <c r="J12" s="247">
        <f>SUM(Prop2019DistTar!J12,Prop2019TransTar!J12,Prop2019JSTar!J12)</f>
        <v>0</v>
      </c>
      <c r="K12" s="247">
        <f>SUM(Prop2019DistTar!K12,Prop2019TransTar!K12,Prop2019JSTar!K12)</f>
        <v>0</v>
      </c>
      <c r="L12" s="247">
        <f>SUM(Prop2019DistTar!L12,Prop2019TransTar!L12,Prop2019JSTar!L12)</f>
        <v>0</v>
      </c>
      <c r="M12" s="247">
        <f>SUM(Prop2019DistTar!M12,Prop2019TransTar!M12,Prop2019JSTar!M12)</f>
        <v>0</v>
      </c>
      <c r="N12" s="247">
        <f>SUM(Prop2019DistTar!N12,Prop2019TransTar!N12,Prop2019JSTar!N12)</f>
        <v>0</v>
      </c>
      <c r="O12" s="247">
        <f>SUM(Prop2019DistTar!O12,Prop2019TransTar!O12,Prop2019JSTar!O12)</f>
        <v>0</v>
      </c>
      <c r="P12" s="247">
        <f>SUM(Prop2019DistTar!P12,Prop2019TransTar!P12,Prop2019JSTar!P12)</f>
        <v>0</v>
      </c>
      <c r="Q12" s="247">
        <f>SUM(Prop2019DistTar!Q12,Prop2019TransTar!Q12,Prop2019JSTar!Q12)</f>
        <v>0</v>
      </c>
      <c r="R12" s="247">
        <f>SUM(Prop2019DistTar!R12,Prop2019TransTar!R12,Prop2019JSTar!R12)</f>
        <v>0</v>
      </c>
      <c r="S12" s="247">
        <f>SUM(Prop2019DistTar!S12,Prop2019TransTar!S12,Prop2019JSTar!S12)</f>
        <v>0</v>
      </c>
      <c r="T12" s="247">
        <f>SUM(Prop2019DistTar!T12,Prop2019TransTar!T12,Prop2019JSTar!T12)</f>
        <v>0</v>
      </c>
      <c r="U12" s="247">
        <f>SUM(Prop2019DistTar!U12,Prop2019TransTar!U12,Prop2019JSTar!U12)</f>
        <v>0</v>
      </c>
      <c r="V12" s="247">
        <f>SUM(Prop2019DistTar!V12,Prop2019TransTar!V12,Prop2019JSTar!V12)</f>
        <v>0</v>
      </c>
      <c r="W12" s="247">
        <f>SUM(Prop2019DistTar!W12,Prop2019TransTar!W12,Prop2019JSTar!W12)</f>
        <v>0</v>
      </c>
      <c r="X12" s="248">
        <f>SUM(Prop2019DistTar!X12,Prop2019TransTar!X12,Prop2019JSTar!X12)</f>
        <v>0</v>
      </c>
      <c r="Z12" s="650">
        <v>80</v>
      </c>
      <c r="AA12" s="651"/>
      <c r="AB12" s="651">
        <v>10.51</v>
      </c>
      <c r="AC12" s="651"/>
      <c r="AD12" s="651"/>
      <c r="AE12" s="651">
        <v>2.4300000000000002</v>
      </c>
      <c r="AF12" s="651"/>
      <c r="AG12" s="651"/>
      <c r="AH12" s="651"/>
      <c r="AI12" s="651"/>
      <c r="AJ12" s="651"/>
      <c r="AK12" s="651"/>
      <c r="AL12" s="651"/>
      <c r="AM12" s="651"/>
      <c r="AN12" s="651"/>
      <c r="AO12" s="651"/>
      <c r="AP12" s="651"/>
      <c r="AQ12" s="651"/>
      <c r="AR12" s="651"/>
      <c r="AS12" s="651"/>
      <c r="AT12" s="652"/>
      <c r="AW12" s="764">
        <f t="shared" si="0"/>
        <v>6.25E-2</v>
      </c>
      <c r="AX12" s="765">
        <f t="shared" si="0"/>
        <v>0</v>
      </c>
      <c r="AY12" s="765">
        <f t="shared" si="0"/>
        <v>-1.7126546146526866E-2</v>
      </c>
      <c r="AZ12" s="765">
        <f t="shared" si="0"/>
        <v>0</v>
      </c>
      <c r="BA12" s="765">
        <f t="shared" si="0"/>
        <v>0</v>
      </c>
      <c r="BB12" s="765">
        <f t="shared" si="0"/>
        <v>8.6419753086419693E-2</v>
      </c>
      <c r="BC12" s="765">
        <f t="shared" si="0"/>
        <v>0</v>
      </c>
      <c r="BD12" s="765">
        <f t="shared" si="0"/>
        <v>0</v>
      </c>
      <c r="BE12" s="765">
        <f t="shared" si="0"/>
        <v>0</v>
      </c>
      <c r="BF12" s="765">
        <f t="shared" si="0"/>
        <v>0</v>
      </c>
      <c r="BG12" s="765">
        <f t="shared" si="0"/>
        <v>0</v>
      </c>
      <c r="BH12" s="765">
        <f t="shared" si="0"/>
        <v>0</v>
      </c>
      <c r="BI12" s="765">
        <f t="shared" si="0"/>
        <v>0</v>
      </c>
      <c r="BJ12" s="765">
        <f t="shared" si="0"/>
        <v>0</v>
      </c>
      <c r="BK12" s="765">
        <f t="shared" si="0"/>
        <v>0</v>
      </c>
      <c r="BL12" s="765">
        <f t="shared" si="0"/>
        <v>0</v>
      </c>
      <c r="BM12" s="765">
        <f t="shared" si="1"/>
        <v>0</v>
      </c>
      <c r="BN12" s="765">
        <f t="shared" si="1"/>
        <v>0</v>
      </c>
      <c r="BO12" s="765">
        <f t="shared" si="1"/>
        <v>0</v>
      </c>
      <c r="BP12" s="765">
        <f t="shared" si="1"/>
        <v>0</v>
      </c>
      <c r="BQ12" s="766">
        <f t="shared" si="1"/>
        <v>0</v>
      </c>
      <c r="BR12" s="550" t="str">
        <f t="array" ref="BR12">IF(MAX(ABS(AW12:BQ12))&gt;$BR$4,"EXPLAIN","")</f>
        <v/>
      </c>
    </row>
    <row r="13" spans="2:70" x14ac:dyDescent="0.2">
      <c r="B13" s="757" t="str">
        <f>C13</f>
        <v>Residential Interval</v>
      </c>
      <c r="C13" s="234" t="str">
        <f>Prop2019DistTar!B13</f>
        <v>Residential Interval</v>
      </c>
      <c r="D13" s="246">
        <f>SUM(Prop2019DistTar!D13,Prop2019TransTar!D13,Prop2019JSTar!D13)</f>
        <v>90</v>
      </c>
      <c r="E13" s="247">
        <f>SUM(Prop2019DistTar!E13,Prop2019TransTar!E13,Prop2019JSTar!E13)</f>
        <v>0</v>
      </c>
      <c r="F13" s="247">
        <f>SUM(Prop2019DistTar!F13,Prop2019TransTar!F13,Prop2019JSTar!F13)</f>
        <v>11.72</v>
      </c>
      <c r="G13" s="247">
        <f>SUM(Prop2019DistTar!G13,Prop2019TransTar!G13,Prop2019JSTar!G13)</f>
        <v>0</v>
      </c>
      <c r="H13" s="247">
        <f>SUM(Prop2019DistTar!H13,Prop2019TransTar!H13,Prop2019JSTar!H13)</f>
        <v>0</v>
      </c>
      <c r="I13" s="247">
        <f>SUM(Prop2019DistTar!I13,Prop2019TransTar!I13,Prop2019JSTar!I13)</f>
        <v>2.82</v>
      </c>
      <c r="J13" s="247">
        <f>SUM(Prop2019DistTar!J13,Prop2019TransTar!J13,Prop2019JSTar!J13)</f>
        <v>0</v>
      </c>
      <c r="K13" s="247">
        <f>SUM(Prop2019DistTar!K13,Prop2019TransTar!K13,Prop2019JSTar!K13)</f>
        <v>0</v>
      </c>
      <c r="L13" s="247">
        <f>SUM(Prop2019DistTar!L13,Prop2019TransTar!L13,Prop2019JSTar!L13)</f>
        <v>0</v>
      </c>
      <c r="M13" s="247">
        <f>SUM(Prop2019DistTar!M13,Prop2019TransTar!M13,Prop2019JSTar!M13)</f>
        <v>0</v>
      </c>
      <c r="N13" s="247">
        <f>SUM(Prop2019DistTar!N13,Prop2019TransTar!N13,Prop2019JSTar!N13)</f>
        <v>0</v>
      </c>
      <c r="O13" s="247">
        <f>SUM(Prop2019DistTar!O13,Prop2019TransTar!O13,Prop2019JSTar!O13)</f>
        <v>0</v>
      </c>
      <c r="P13" s="247">
        <f>SUM(Prop2019DistTar!P13,Prop2019TransTar!P13,Prop2019JSTar!P13)</f>
        <v>0</v>
      </c>
      <c r="Q13" s="247">
        <f>SUM(Prop2019DistTar!Q13,Prop2019TransTar!Q13,Prop2019JSTar!Q13)</f>
        <v>0</v>
      </c>
      <c r="R13" s="247">
        <f>SUM(Prop2019DistTar!R13,Prop2019TransTar!R13,Prop2019JSTar!R13)</f>
        <v>0</v>
      </c>
      <c r="S13" s="247">
        <f>SUM(Prop2019DistTar!S13,Prop2019TransTar!S13,Prop2019JSTar!S13)</f>
        <v>0</v>
      </c>
      <c r="T13" s="247">
        <f>SUM(Prop2019DistTar!T13,Prop2019TransTar!T13,Prop2019JSTar!T13)</f>
        <v>0</v>
      </c>
      <c r="U13" s="247">
        <f>SUM(Prop2019DistTar!U13,Prop2019TransTar!U13,Prop2019JSTar!U13)</f>
        <v>0</v>
      </c>
      <c r="V13" s="247">
        <f>SUM(Prop2019DistTar!V13,Prop2019TransTar!V13,Prop2019JSTar!V13)</f>
        <v>0</v>
      </c>
      <c r="W13" s="247">
        <f>SUM(Prop2019DistTar!W13,Prop2019TransTar!W13,Prop2019JSTar!W13)</f>
        <v>0</v>
      </c>
      <c r="X13" s="248">
        <f>SUM(Prop2019DistTar!X13,Prop2019TransTar!X13,Prop2019JSTar!X13)</f>
        <v>0</v>
      </c>
      <c r="Z13" s="650">
        <v>90</v>
      </c>
      <c r="AA13" s="651"/>
      <c r="AB13" s="651">
        <v>12.34</v>
      </c>
      <c r="AC13" s="651"/>
      <c r="AD13" s="651"/>
      <c r="AE13" s="651">
        <v>2.67</v>
      </c>
      <c r="AF13" s="651"/>
      <c r="AG13" s="651"/>
      <c r="AH13" s="651"/>
      <c r="AI13" s="651"/>
      <c r="AJ13" s="651"/>
      <c r="AK13" s="651"/>
      <c r="AL13" s="651"/>
      <c r="AM13" s="651"/>
      <c r="AN13" s="651"/>
      <c r="AO13" s="651"/>
      <c r="AP13" s="651"/>
      <c r="AQ13" s="651"/>
      <c r="AR13" s="651"/>
      <c r="AS13" s="651"/>
      <c r="AT13" s="652"/>
      <c r="AW13" s="764">
        <f t="shared" si="0"/>
        <v>0</v>
      </c>
      <c r="AX13" s="765">
        <f t="shared" si="0"/>
        <v>0</v>
      </c>
      <c r="AY13" s="765">
        <f t="shared" si="0"/>
        <v>-5.0243111831442366E-2</v>
      </c>
      <c r="AZ13" s="765">
        <f t="shared" si="0"/>
        <v>0</v>
      </c>
      <c r="BA13" s="765">
        <f t="shared" si="0"/>
        <v>0</v>
      </c>
      <c r="BB13" s="765">
        <f t="shared" si="0"/>
        <v>5.6179775280898792E-2</v>
      </c>
      <c r="BC13" s="765">
        <f t="shared" si="0"/>
        <v>0</v>
      </c>
      <c r="BD13" s="765">
        <f t="shared" si="0"/>
        <v>0</v>
      </c>
      <c r="BE13" s="765">
        <f t="shared" si="0"/>
        <v>0</v>
      </c>
      <c r="BF13" s="765">
        <f t="shared" si="0"/>
        <v>0</v>
      </c>
      <c r="BG13" s="765">
        <f t="shared" si="0"/>
        <v>0</v>
      </c>
      <c r="BH13" s="765">
        <f t="shared" si="0"/>
        <v>0</v>
      </c>
      <c r="BI13" s="765">
        <f t="shared" si="0"/>
        <v>0</v>
      </c>
      <c r="BJ13" s="765">
        <f t="shared" si="0"/>
        <v>0</v>
      </c>
      <c r="BK13" s="765">
        <f t="shared" si="0"/>
        <v>0</v>
      </c>
      <c r="BL13" s="765">
        <f t="shared" si="0"/>
        <v>0</v>
      </c>
      <c r="BM13" s="765">
        <f t="shared" si="1"/>
        <v>0</v>
      </c>
      <c r="BN13" s="765">
        <f t="shared" si="1"/>
        <v>0</v>
      </c>
      <c r="BO13" s="765">
        <f t="shared" si="1"/>
        <v>0</v>
      </c>
      <c r="BP13" s="765">
        <f t="shared" si="1"/>
        <v>0</v>
      </c>
      <c r="BQ13" s="766">
        <f t="shared" si="1"/>
        <v>0</v>
      </c>
      <c r="BR13" s="550" t="str">
        <f t="array" ref="BR13">IF(MAX(ABS(AW13:BQ13))&gt;$BR$4,"EXPLAIN","")</f>
        <v/>
      </c>
    </row>
    <row r="14" spans="2:70" x14ac:dyDescent="0.2">
      <c r="B14" s="757" t="str">
        <f>C14</f>
        <v>Residential Interval - Bulk</v>
      </c>
      <c r="C14" s="234" t="str">
        <f>Prop2019DistTar!B14</f>
        <v>Residential Interval - Bulk</v>
      </c>
      <c r="D14" s="246">
        <f>SUM(Prop2019DistTar!D14,Prop2019TransTar!D14,Prop2019JSTar!D14)</f>
        <v>85</v>
      </c>
      <c r="E14" s="247">
        <f>SUM(Prop2019DistTar!E14,Prop2019TransTar!E14,Prop2019JSTar!E14)</f>
        <v>0</v>
      </c>
      <c r="F14" s="247">
        <f>SUM(Prop2019DistTar!F14,Prop2019TransTar!F14,Prop2019JSTar!F14)</f>
        <v>10.330000000000002</v>
      </c>
      <c r="G14" s="247">
        <f>SUM(Prop2019DistTar!G14,Prop2019TransTar!G14,Prop2019JSTar!G14)</f>
        <v>0</v>
      </c>
      <c r="H14" s="247">
        <f>SUM(Prop2019DistTar!H14,Prop2019TransTar!H14,Prop2019JSTar!H14)</f>
        <v>0</v>
      </c>
      <c r="I14" s="247">
        <f>SUM(Prop2019DistTar!I14,Prop2019TransTar!I14,Prop2019JSTar!I14)</f>
        <v>2.64</v>
      </c>
      <c r="J14" s="247">
        <f>SUM(Prop2019DistTar!J14,Prop2019TransTar!J14,Prop2019JSTar!J14)</f>
        <v>0</v>
      </c>
      <c r="K14" s="247">
        <f>SUM(Prop2019DistTar!K14,Prop2019TransTar!K14,Prop2019JSTar!K14)</f>
        <v>0</v>
      </c>
      <c r="L14" s="247">
        <f>SUM(Prop2019DistTar!L14,Prop2019TransTar!L14,Prop2019JSTar!L14)</f>
        <v>0</v>
      </c>
      <c r="M14" s="247">
        <f>SUM(Prop2019DistTar!M14,Prop2019TransTar!M14,Prop2019JSTar!M14)</f>
        <v>0</v>
      </c>
      <c r="N14" s="247">
        <f>SUM(Prop2019DistTar!N14,Prop2019TransTar!N14,Prop2019JSTar!N14)</f>
        <v>0</v>
      </c>
      <c r="O14" s="247">
        <f>SUM(Prop2019DistTar!O14,Prop2019TransTar!O14,Prop2019JSTar!O14)</f>
        <v>0</v>
      </c>
      <c r="P14" s="247">
        <f>SUM(Prop2019DistTar!P14,Prop2019TransTar!P14,Prop2019JSTar!P14)</f>
        <v>0</v>
      </c>
      <c r="Q14" s="247">
        <f>SUM(Prop2019DistTar!Q14,Prop2019TransTar!Q14,Prop2019JSTar!Q14)</f>
        <v>0</v>
      </c>
      <c r="R14" s="247">
        <f>SUM(Prop2019DistTar!R14,Prop2019TransTar!R14,Prop2019JSTar!R14)</f>
        <v>0</v>
      </c>
      <c r="S14" s="247">
        <f>SUM(Prop2019DistTar!S14,Prop2019TransTar!S14,Prop2019JSTar!S14)</f>
        <v>0</v>
      </c>
      <c r="T14" s="247">
        <f>SUM(Prop2019DistTar!T14,Prop2019TransTar!T14,Prop2019JSTar!T14)</f>
        <v>0</v>
      </c>
      <c r="U14" s="247">
        <f>SUM(Prop2019DistTar!U14,Prop2019TransTar!U14,Prop2019JSTar!U14)</f>
        <v>0</v>
      </c>
      <c r="V14" s="247">
        <f>SUM(Prop2019DistTar!V14,Prop2019TransTar!V14,Prop2019JSTar!V14)</f>
        <v>0</v>
      </c>
      <c r="W14" s="247">
        <f>SUM(Prop2019DistTar!W14,Prop2019TransTar!W14,Prop2019JSTar!W14)</f>
        <v>0</v>
      </c>
      <c r="X14" s="248">
        <f>SUM(Prop2019DistTar!X14,Prop2019TransTar!X14,Prop2019JSTar!X14)</f>
        <v>0</v>
      </c>
      <c r="Z14" s="650">
        <v>80</v>
      </c>
      <c r="AA14" s="651"/>
      <c r="AB14" s="651">
        <v>10.51</v>
      </c>
      <c r="AC14" s="651"/>
      <c r="AD14" s="651"/>
      <c r="AE14" s="651">
        <v>2.4300000000000002</v>
      </c>
      <c r="AF14" s="651"/>
      <c r="AG14" s="651"/>
      <c r="AH14" s="651"/>
      <c r="AI14" s="651"/>
      <c r="AJ14" s="651"/>
      <c r="AK14" s="651"/>
      <c r="AL14" s="651"/>
      <c r="AM14" s="651"/>
      <c r="AN14" s="651"/>
      <c r="AO14" s="651"/>
      <c r="AP14" s="651"/>
      <c r="AQ14" s="651"/>
      <c r="AR14" s="651"/>
      <c r="AS14" s="651"/>
      <c r="AT14" s="652"/>
      <c r="AW14" s="764">
        <f t="shared" si="0"/>
        <v>6.25E-2</v>
      </c>
      <c r="AX14" s="765">
        <f t="shared" si="0"/>
        <v>0</v>
      </c>
      <c r="AY14" s="765">
        <f t="shared" si="0"/>
        <v>-1.7126546146526866E-2</v>
      </c>
      <c r="AZ14" s="765">
        <f t="shared" si="0"/>
        <v>0</v>
      </c>
      <c r="BA14" s="765">
        <f t="shared" si="0"/>
        <v>0</v>
      </c>
      <c r="BB14" s="765">
        <f t="shared" si="0"/>
        <v>8.6419753086419693E-2</v>
      </c>
      <c r="BC14" s="765">
        <f t="shared" si="0"/>
        <v>0</v>
      </c>
      <c r="BD14" s="765">
        <f t="shared" si="0"/>
        <v>0</v>
      </c>
      <c r="BE14" s="765">
        <f t="shared" si="0"/>
        <v>0</v>
      </c>
      <c r="BF14" s="765">
        <f t="shared" si="0"/>
        <v>0</v>
      </c>
      <c r="BG14" s="765">
        <f t="shared" si="0"/>
        <v>0</v>
      </c>
      <c r="BH14" s="765">
        <f t="shared" si="0"/>
        <v>0</v>
      </c>
      <c r="BI14" s="765">
        <f t="shared" si="0"/>
        <v>0</v>
      </c>
      <c r="BJ14" s="765">
        <f t="shared" si="0"/>
        <v>0</v>
      </c>
      <c r="BK14" s="765">
        <f t="shared" si="0"/>
        <v>0</v>
      </c>
      <c r="BL14" s="765">
        <f t="shared" si="0"/>
        <v>0</v>
      </c>
      <c r="BM14" s="765">
        <f t="shared" si="1"/>
        <v>0</v>
      </c>
      <c r="BN14" s="765">
        <f t="shared" si="1"/>
        <v>0</v>
      </c>
      <c r="BO14" s="765">
        <f t="shared" si="1"/>
        <v>0</v>
      </c>
      <c r="BP14" s="765">
        <f t="shared" si="1"/>
        <v>0</v>
      </c>
      <c r="BQ14" s="766">
        <f t="shared" si="1"/>
        <v>0</v>
      </c>
      <c r="BR14" s="550" t="str">
        <f t="array" ref="BR14">IF(MAX(ABS(AW14:BQ14))&gt;$BR$4,"EXPLAIN","")</f>
        <v/>
      </c>
    </row>
    <row r="15" spans="2:70" x14ac:dyDescent="0.2">
      <c r="B15" s="757" t="s">
        <v>702</v>
      </c>
      <c r="C15" s="234" t="str">
        <f>Prop2019DistTar!B15</f>
        <v>Residential Two Rate 5d - Controlled Load</v>
      </c>
      <c r="D15" s="246">
        <f>SUM(Prop2019DistTar!D15,Prop2019TransTar!D15,Prop2019JSTar!D15)</f>
        <v>0</v>
      </c>
      <c r="E15" s="247">
        <f>SUM(Prop2019DistTar!E15,Prop2019TransTar!E15,Prop2019JSTar!E15)</f>
        <v>0</v>
      </c>
      <c r="F15" s="247">
        <f>SUM(Prop2019DistTar!F15,Prop2019TransTar!F15,Prop2019JSTar!F15)</f>
        <v>0</v>
      </c>
      <c r="G15" s="247">
        <f>SUM(Prop2019DistTar!G15,Prop2019TransTar!G15,Prop2019JSTar!G15)</f>
        <v>0</v>
      </c>
      <c r="H15" s="247">
        <f>SUM(Prop2019DistTar!H15,Prop2019TransTar!H15,Prop2019JSTar!H15)</f>
        <v>0</v>
      </c>
      <c r="I15" s="247">
        <f>SUM(Prop2019DistTar!I15,Prop2019TransTar!I15,Prop2019JSTar!I15)</f>
        <v>2.1599999999999997</v>
      </c>
      <c r="J15" s="247">
        <f>SUM(Prop2019DistTar!J15,Prop2019TransTar!J15,Prop2019JSTar!J15)</f>
        <v>0</v>
      </c>
      <c r="K15" s="247">
        <f>SUM(Prop2019DistTar!K15,Prop2019TransTar!K15,Prop2019JSTar!K15)</f>
        <v>0</v>
      </c>
      <c r="L15" s="247">
        <f>SUM(Prop2019DistTar!L15,Prop2019TransTar!L15,Prop2019JSTar!L15)</f>
        <v>0</v>
      </c>
      <c r="M15" s="247">
        <f>SUM(Prop2019DistTar!M15,Prop2019TransTar!M15,Prop2019JSTar!M15)</f>
        <v>0</v>
      </c>
      <c r="N15" s="247">
        <f>SUM(Prop2019DistTar!N15,Prop2019TransTar!N15,Prop2019JSTar!N15)</f>
        <v>0</v>
      </c>
      <c r="O15" s="247">
        <f>SUM(Prop2019DistTar!O15,Prop2019TransTar!O15,Prop2019JSTar!O15)</f>
        <v>0</v>
      </c>
      <c r="P15" s="247">
        <f>SUM(Prop2019DistTar!P15,Prop2019TransTar!P15,Prop2019JSTar!P15)</f>
        <v>0</v>
      </c>
      <c r="Q15" s="247">
        <f>SUM(Prop2019DistTar!Q15,Prop2019TransTar!Q15,Prop2019JSTar!Q15)</f>
        <v>0</v>
      </c>
      <c r="R15" s="247">
        <f>SUM(Prop2019DistTar!R15,Prop2019TransTar!R15,Prop2019JSTar!R15)</f>
        <v>0</v>
      </c>
      <c r="S15" s="247">
        <f>SUM(Prop2019DistTar!S15,Prop2019TransTar!S15,Prop2019JSTar!S15)</f>
        <v>0</v>
      </c>
      <c r="T15" s="247">
        <f>SUM(Prop2019DistTar!T15,Prop2019TransTar!T15,Prop2019JSTar!T15)</f>
        <v>0</v>
      </c>
      <c r="U15" s="247">
        <f>SUM(Prop2019DistTar!U15,Prop2019TransTar!U15,Prop2019JSTar!U15)</f>
        <v>0</v>
      </c>
      <c r="V15" s="247">
        <f>SUM(Prop2019DistTar!V15,Prop2019TransTar!V15,Prop2019JSTar!V15)</f>
        <v>0</v>
      </c>
      <c r="W15" s="247">
        <f>SUM(Prop2019DistTar!W15,Prop2019TransTar!W15,Prop2019JSTar!W15)</f>
        <v>0</v>
      </c>
      <c r="X15" s="248">
        <f>SUM(Prop2019DistTar!X15,Prop2019TransTar!X15,Prop2019JSTar!X15)</f>
        <v>0</v>
      </c>
      <c r="Z15" s="650"/>
      <c r="AA15" s="651"/>
      <c r="AB15" s="651"/>
      <c r="AC15" s="651"/>
      <c r="AD15" s="651"/>
      <c r="AE15" s="651">
        <v>2.27</v>
      </c>
      <c r="AF15" s="651"/>
      <c r="AG15" s="651"/>
      <c r="AH15" s="651"/>
      <c r="AI15" s="651"/>
      <c r="AJ15" s="651"/>
      <c r="AK15" s="651"/>
      <c r="AL15" s="651"/>
      <c r="AM15" s="651"/>
      <c r="AN15" s="651"/>
      <c r="AO15" s="651"/>
      <c r="AP15" s="651"/>
      <c r="AQ15" s="651"/>
      <c r="AR15" s="651"/>
      <c r="AS15" s="651"/>
      <c r="AT15" s="652"/>
      <c r="AW15" s="764">
        <f t="shared" si="0"/>
        <v>0</v>
      </c>
      <c r="AX15" s="765">
        <f t="shared" si="0"/>
        <v>0</v>
      </c>
      <c r="AY15" s="765">
        <f t="shared" si="0"/>
        <v>0</v>
      </c>
      <c r="AZ15" s="765">
        <f t="shared" si="0"/>
        <v>0</v>
      </c>
      <c r="BA15" s="765">
        <f t="shared" si="0"/>
        <v>0</v>
      </c>
      <c r="BB15" s="765">
        <f t="shared" si="0"/>
        <v>-4.8458149779735837E-2</v>
      </c>
      <c r="BC15" s="765">
        <f t="shared" si="0"/>
        <v>0</v>
      </c>
      <c r="BD15" s="765">
        <f t="shared" si="0"/>
        <v>0</v>
      </c>
      <c r="BE15" s="765">
        <f t="shared" si="0"/>
        <v>0</v>
      </c>
      <c r="BF15" s="765">
        <f t="shared" si="0"/>
        <v>0</v>
      </c>
      <c r="BG15" s="765">
        <f t="shared" si="0"/>
        <v>0</v>
      </c>
      <c r="BH15" s="765">
        <f t="shared" si="0"/>
        <v>0</v>
      </c>
      <c r="BI15" s="765">
        <f t="shared" si="0"/>
        <v>0</v>
      </c>
      <c r="BJ15" s="765">
        <f t="shared" si="0"/>
        <v>0</v>
      </c>
      <c r="BK15" s="765">
        <f t="shared" si="0"/>
        <v>0</v>
      </c>
      <c r="BL15" s="765">
        <f t="shared" si="0"/>
        <v>0</v>
      </c>
      <c r="BM15" s="765">
        <f t="shared" si="1"/>
        <v>0</v>
      </c>
      <c r="BN15" s="765">
        <f t="shared" si="1"/>
        <v>0</v>
      </c>
      <c r="BO15" s="765">
        <f t="shared" si="1"/>
        <v>0</v>
      </c>
      <c r="BP15" s="765">
        <f t="shared" si="1"/>
        <v>0</v>
      </c>
      <c r="BQ15" s="766">
        <f t="shared" si="1"/>
        <v>0</v>
      </c>
      <c r="BR15" s="550" t="str">
        <f t="array" ref="BR15">IF(MAX(ABS(AW15:BQ15))&gt;$BR$4,"EXPLAIN","")</f>
        <v/>
      </c>
    </row>
    <row r="16" spans="2:70" x14ac:dyDescent="0.2">
      <c r="B16" s="757" t="s">
        <v>703</v>
      </c>
      <c r="C16" s="234" t="str">
        <f>Prop2019DistTar!B16</f>
        <v>Residential Two Rate 5d - Bulk - Controlled Load</v>
      </c>
      <c r="D16" s="246">
        <f>SUM(Prop2019DistTar!D16,Prop2019TransTar!D16,Prop2019JSTar!D16)</f>
        <v>0</v>
      </c>
      <c r="E16" s="247">
        <f>SUM(Prop2019DistTar!E16,Prop2019TransTar!E16,Prop2019JSTar!E16)</f>
        <v>0</v>
      </c>
      <c r="F16" s="247">
        <f>SUM(Prop2019DistTar!F16,Prop2019TransTar!F16,Prop2019JSTar!F16)</f>
        <v>0</v>
      </c>
      <c r="G16" s="247">
        <f>SUM(Prop2019DistTar!G16,Prop2019TransTar!G16,Prop2019JSTar!G16)</f>
        <v>0</v>
      </c>
      <c r="H16" s="247">
        <f>SUM(Prop2019DistTar!H16,Prop2019TransTar!H16,Prop2019JSTar!H16)</f>
        <v>0</v>
      </c>
      <c r="I16" s="247">
        <f>SUM(Prop2019DistTar!I16,Prop2019TransTar!I16,Prop2019JSTar!I16)</f>
        <v>1.78</v>
      </c>
      <c r="J16" s="247">
        <f>SUM(Prop2019DistTar!J16,Prop2019TransTar!J16,Prop2019JSTar!J16)</f>
        <v>0</v>
      </c>
      <c r="K16" s="247">
        <f>SUM(Prop2019DistTar!K16,Prop2019TransTar!K16,Prop2019JSTar!K16)</f>
        <v>0</v>
      </c>
      <c r="L16" s="247">
        <f>SUM(Prop2019DistTar!L16,Prop2019TransTar!L16,Prop2019JSTar!L16)</f>
        <v>0</v>
      </c>
      <c r="M16" s="247">
        <f>SUM(Prop2019DistTar!M16,Prop2019TransTar!M16,Prop2019JSTar!M16)</f>
        <v>0</v>
      </c>
      <c r="N16" s="247">
        <f>SUM(Prop2019DistTar!N16,Prop2019TransTar!N16,Prop2019JSTar!N16)</f>
        <v>0</v>
      </c>
      <c r="O16" s="247">
        <f>SUM(Prop2019DistTar!O16,Prop2019TransTar!O16,Prop2019JSTar!O16)</f>
        <v>0</v>
      </c>
      <c r="P16" s="247">
        <f>SUM(Prop2019DistTar!P16,Prop2019TransTar!P16,Prop2019JSTar!P16)</f>
        <v>0</v>
      </c>
      <c r="Q16" s="247">
        <f>SUM(Prop2019DistTar!Q16,Prop2019TransTar!Q16,Prop2019JSTar!Q16)</f>
        <v>0</v>
      </c>
      <c r="R16" s="247">
        <f>SUM(Prop2019DistTar!R16,Prop2019TransTar!R16,Prop2019JSTar!R16)</f>
        <v>0</v>
      </c>
      <c r="S16" s="247">
        <f>SUM(Prop2019DistTar!S16,Prop2019TransTar!S16,Prop2019JSTar!S16)</f>
        <v>0</v>
      </c>
      <c r="T16" s="247">
        <f>SUM(Prop2019DistTar!T16,Prop2019TransTar!T16,Prop2019JSTar!T16)</f>
        <v>0</v>
      </c>
      <c r="U16" s="247">
        <f>SUM(Prop2019DistTar!U16,Prop2019TransTar!U16,Prop2019JSTar!U16)</f>
        <v>0</v>
      </c>
      <c r="V16" s="247">
        <f>SUM(Prop2019DistTar!V16,Prop2019TransTar!V16,Prop2019JSTar!V16)</f>
        <v>0</v>
      </c>
      <c r="W16" s="247">
        <f>SUM(Prop2019DistTar!W16,Prop2019TransTar!W16,Prop2019JSTar!W16)</f>
        <v>0</v>
      </c>
      <c r="X16" s="248">
        <f>SUM(Prop2019DistTar!X16,Prop2019TransTar!X16,Prop2019JSTar!X16)</f>
        <v>0</v>
      </c>
      <c r="Z16" s="650"/>
      <c r="AA16" s="651"/>
      <c r="AB16" s="651"/>
      <c r="AC16" s="651"/>
      <c r="AD16" s="651"/>
      <c r="AE16" s="651">
        <v>1.77</v>
      </c>
      <c r="AF16" s="651"/>
      <c r="AG16" s="651"/>
      <c r="AH16" s="651"/>
      <c r="AI16" s="651"/>
      <c r="AJ16" s="651"/>
      <c r="AK16" s="651"/>
      <c r="AL16" s="651"/>
      <c r="AM16" s="651"/>
      <c r="AN16" s="651"/>
      <c r="AO16" s="651"/>
      <c r="AP16" s="651"/>
      <c r="AQ16" s="651"/>
      <c r="AR16" s="651"/>
      <c r="AS16" s="651"/>
      <c r="AT16" s="652"/>
      <c r="AW16" s="764">
        <f t="shared" si="0"/>
        <v>0</v>
      </c>
      <c r="AX16" s="765">
        <f t="shared" si="0"/>
        <v>0</v>
      </c>
      <c r="AY16" s="765">
        <f t="shared" si="0"/>
        <v>0</v>
      </c>
      <c r="AZ16" s="765">
        <f t="shared" si="0"/>
        <v>0</v>
      </c>
      <c r="BA16" s="765">
        <f t="shared" si="0"/>
        <v>0</v>
      </c>
      <c r="BB16" s="765">
        <f t="shared" si="0"/>
        <v>5.6497175141243527E-3</v>
      </c>
      <c r="BC16" s="765">
        <f t="shared" si="0"/>
        <v>0</v>
      </c>
      <c r="BD16" s="765">
        <f t="shared" si="0"/>
        <v>0</v>
      </c>
      <c r="BE16" s="765">
        <f t="shared" si="0"/>
        <v>0</v>
      </c>
      <c r="BF16" s="765">
        <f t="shared" si="0"/>
        <v>0</v>
      </c>
      <c r="BG16" s="765">
        <f t="shared" si="0"/>
        <v>0</v>
      </c>
      <c r="BH16" s="765">
        <f t="shared" si="0"/>
        <v>0</v>
      </c>
      <c r="BI16" s="765">
        <f t="shared" si="0"/>
        <v>0</v>
      </c>
      <c r="BJ16" s="765">
        <f t="shared" si="0"/>
        <v>0</v>
      </c>
      <c r="BK16" s="765">
        <f t="shared" si="0"/>
        <v>0</v>
      </c>
      <c r="BL16" s="765">
        <f t="shared" si="0"/>
        <v>0</v>
      </c>
      <c r="BM16" s="765">
        <f t="shared" si="1"/>
        <v>0</v>
      </c>
      <c r="BN16" s="765">
        <f t="shared" si="1"/>
        <v>0</v>
      </c>
      <c r="BO16" s="765">
        <f t="shared" si="1"/>
        <v>0</v>
      </c>
      <c r="BP16" s="765">
        <f t="shared" si="1"/>
        <v>0</v>
      </c>
      <c r="BQ16" s="766">
        <f t="shared" si="1"/>
        <v>0</v>
      </c>
      <c r="BR16" s="550" t="str">
        <f t="array" ref="BR16">IF(MAX(ABS(AW16:BQ16))&gt;$BR$4,"EXPLAIN","")</f>
        <v/>
      </c>
    </row>
    <row r="17" spans="2:70" x14ac:dyDescent="0.2">
      <c r="B17" s="757" t="str">
        <f t="shared" ref="B17:B18" si="2">C17</f>
        <v>Dedicated Circuit</v>
      </c>
      <c r="C17" s="234" t="str">
        <f>Prop2019DistTar!B17</f>
        <v>Dedicated Circuit</v>
      </c>
      <c r="D17" s="246">
        <f>SUM(Prop2019DistTar!D17,Prop2019TransTar!D17,Prop2019JSTar!D17)</f>
        <v>0</v>
      </c>
      <c r="E17" s="247">
        <f>SUM(Prop2019DistTar!E17,Prop2019TransTar!E17,Prop2019JSTar!E17)</f>
        <v>0</v>
      </c>
      <c r="F17" s="247">
        <f>SUM(Prop2019DistTar!F17,Prop2019TransTar!F17,Prop2019JSTar!F17)</f>
        <v>0</v>
      </c>
      <c r="G17" s="247">
        <f>SUM(Prop2019DistTar!G17,Prop2019TransTar!G17,Prop2019JSTar!G17)</f>
        <v>0</v>
      </c>
      <c r="H17" s="247">
        <f>SUM(Prop2019DistTar!H17,Prop2019TransTar!H17,Prop2019JSTar!H17)</f>
        <v>0</v>
      </c>
      <c r="I17" s="247">
        <f>SUM(Prop2019DistTar!I17,Prop2019TransTar!I17,Prop2019JSTar!I17)</f>
        <v>2.1599999999999997</v>
      </c>
      <c r="J17" s="247">
        <f>SUM(Prop2019DistTar!J17,Prop2019TransTar!J17,Prop2019JSTar!J17)</f>
        <v>0</v>
      </c>
      <c r="K17" s="247">
        <f>SUM(Prop2019DistTar!K17,Prop2019TransTar!K17,Prop2019JSTar!K17)</f>
        <v>0</v>
      </c>
      <c r="L17" s="247">
        <f>SUM(Prop2019DistTar!L17,Prop2019TransTar!L17,Prop2019JSTar!L17)</f>
        <v>0</v>
      </c>
      <c r="M17" s="247">
        <f>SUM(Prop2019DistTar!M17,Prop2019TransTar!M17,Prop2019JSTar!M17)</f>
        <v>0</v>
      </c>
      <c r="N17" s="247">
        <f>SUM(Prop2019DistTar!N17,Prop2019TransTar!N17,Prop2019JSTar!N17)</f>
        <v>0</v>
      </c>
      <c r="O17" s="247">
        <f>SUM(Prop2019DistTar!O17,Prop2019TransTar!O17,Prop2019JSTar!O17)</f>
        <v>0</v>
      </c>
      <c r="P17" s="247">
        <f>SUM(Prop2019DistTar!P17,Prop2019TransTar!P17,Prop2019JSTar!P17)</f>
        <v>0</v>
      </c>
      <c r="Q17" s="247">
        <f>SUM(Prop2019DistTar!Q17,Prop2019TransTar!Q17,Prop2019JSTar!Q17)</f>
        <v>0</v>
      </c>
      <c r="R17" s="247">
        <f>SUM(Prop2019DistTar!R17,Prop2019TransTar!R17,Prop2019JSTar!R17)</f>
        <v>0</v>
      </c>
      <c r="S17" s="247">
        <f>SUM(Prop2019DistTar!S17,Prop2019TransTar!S17,Prop2019JSTar!S17)</f>
        <v>0</v>
      </c>
      <c r="T17" s="247">
        <f>SUM(Prop2019DistTar!T17,Prop2019TransTar!T17,Prop2019JSTar!T17)</f>
        <v>0</v>
      </c>
      <c r="U17" s="247">
        <f>SUM(Prop2019DistTar!U17,Prop2019TransTar!U17,Prop2019JSTar!U17)</f>
        <v>0</v>
      </c>
      <c r="V17" s="247">
        <f>SUM(Prop2019DistTar!V17,Prop2019TransTar!V17,Prop2019JSTar!V17)</f>
        <v>0</v>
      </c>
      <c r="W17" s="247">
        <f>SUM(Prop2019DistTar!W17,Prop2019TransTar!W17,Prop2019JSTar!W17)</f>
        <v>0</v>
      </c>
      <c r="X17" s="248">
        <f>SUM(Prop2019DistTar!X17,Prop2019TransTar!X17,Prop2019JSTar!X17)</f>
        <v>0</v>
      </c>
      <c r="Z17" s="650"/>
      <c r="AA17" s="651"/>
      <c r="AB17" s="651"/>
      <c r="AC17" s="651"/>
      <c r="AD17" s="651"/>
      <c r="AE17" s="651">
        <v>2.27</v>
      </c>
      <c r="AF17" s="651"/>
      <c r="AG17" s="651"/>
      <c r="AH17" s="651"/>
      <c r="AI17" s="651"/>
      <c r="AJ17" s="651"/>
      <c r="AK17" s="651"/>
      <c r="AL17" s="651"/>
      <c r="AM17" s="651"/>
      <c r="AN17" s="651"/>
      <c r="AO17" s="651"/>
      <c r="AP17" s="651"/>
      <c r="AQ17" s="651"/>
      <c r="AR17" s="651"/>
      <c r="AS17" s="651"/>
      <c r="AT17" s="652"/>
      <c r="AW17" s="764">
        <f t="shared" si="0"/>
        <v>0</v>
      </c>
      <c r="AX17" s="765">
        <f t="shared" si="0"/>
        <v>0</v>
      </c>
      <c r="AY17" s="765">
        <f t="shared" si="0"/>
        <v>0</v>
      </c>
      <c r="AZ17" s="765">
        <f t="shared" si="0"/>
        <v>0</v>
      </c>
      <c r="BA17" s="765">
        <f t="shared" si="0"/>
        <v>0</v>
      </c>
      <c r="BB17" s="765">
        <f t="shared" si="0"/>
        <v>-4.8458149779735837E-2</v>
      </c>
      <c r="BC17" s="765">
        <f t="shared" si="0"/>
        <v>0</v>
      </c>
      <c r="BD17" s="765">
        <f t="shared" si="0"/>
        <v>0</v>
      </c>
      <c r="BE17" s="765">
        <f t="shared" si="0"/>
        <v>0</v>
      </c>
      <c r="BF17" s="765">
        <f t="shared" si="0"/>
        <v>0</v>
      </c>
      <c r="BG17" s="765">
        <f t="shared" si="0"/>
        <v>0</v>
      </c>
      <c r="BH17" s="765">
        <f t="shared" si="0"/>
        <v>0</v>
      </c>
      <c r="BI17" s="765">
        <f t="shared" si="0"/>
        <v>0</v>
      </c>
      <c r="BJ17" s="765">
        <f t="shared" si="0"/>
        <v>0</v>
      </c>
      <c r="BK17" s="765">
        <f t="shared" si="0"/>
        <v>0</v>
      </c>
      <c r="BL17" s="765">
        <f t="shared" si="0"/>
        <v>0</v>
      </c>
      <c r="BM17" s="765">
        <f t="shared" si="1"/>
        <v>0</v>
      </c>
      <c r="BN17" s="765">
        <f t="shared" si="1"/>
        <v>0</v>
      </c>
      <c r="BO17" s="765">
        <f t="shared" si="1"/>
        <v>0</v>
      </c>
      <c r="BP17" s="765">
        <f t="shared" si="1"/>
        <v>0</v>
      </c>
      <c r="BQ17" s="766">
        <f t="shared" si="1"/>
        <v>0</v>
      </c>
      <c r="BR17" s="550" t="str">
        <f t="array" ref="BR17">IF(MAX(ABS(AW17:BQ17))&gt;$BR$4,"EXPLAIN","")</f>
        <v/>
      </c>
    </row>
    <row r="18" spans="2:70" x14ac:dyDescent="0.2">
      <c r="B18" s="757" t="str">
        <f t="shared" si="2"/>
        <v>Dedicated Circuit - Bulk</v>
      </c>
      <c r="C18" s="234" t="str">
        <f>Prop2019DistTar!B18</f>
        <v>Dedicated Circuit - Bulk</v>
      </c>
      <c r="D18" s="246">
        <f>SUM(Prop2019DistTar!D18,Prop2019TransTar!D18,Prop2019JSTar!D18)</f>
        <v>0</v>
      </c>
      <c r="E18" s="247">
        <f>SUM(Prop2019DistTar!E18,Prop2019TransTar!E18,Prop2019JSTar!E18)</f>
        <v>0</v>
      </c>
      <c r="F18" s="247">
        <f>SUM(Prop2019DistTar!F18,Prop2019TransTar!F18,Prop2019JSTar!F18)</f>
        <v>0</v>
      </c>
      <c r="G18" s="247">
        <f>SUM(Prop2019DistTar!G18,Prop2019TransTar!G18,Prop2019JSTar!G18)</f>
        <v>0</v>
      </c>
      <c r="H18" s="247">
        <f>SUM(Prop2019DistTar!H18,Prop2019TransTar!H18,Prop2019JSTar!H18)</f>
        <v>0</v>
      </c>
      <c r="I18" s="247">
        <f>SUM(Prop2019DistTar!I18,Prop2019TransTar!I18,Prop2019JSTar!I18)</f>
        <v>1.78</v>
      </c>
      <c r="J18" s="247">
        <f>SUM(Prop2019DistTar!J18,Prop2019TransTar!J18,Prop2019JSTar!J18)</f>
        <v>0</v>
      </c>
      <c r="K18" s="247">
        <f>SUM(Prop2019DistTar!K18,Prop2019TransTar!K18,Prop2019JSTar!K18)</f>
        <v>0</v>
      </c>
      <c r="L18" s="247">
        <f>SUM(Prop2019DistTar!L18,Prop2019TransTar!L18,Prop2019JSTar!L18)</f>
        <v>0</v>
      </c>
      <c r="M18" s="247">
        <f>SUM(Prop2019DistTar!M18,Prop2019TransTar!M18,Prop2019JSTar!M18)</f>
        <v>0</v>
      </c>
      <c r="N18" s="247">
        <f>SUM(Prop2019DistTar!N18,Prop2019TransTar!N18,Prop2019JSTar!N18)</f>
        <v>0</v>
      </c>
      <c r="O18" s="247">
        <f>SUM(Prop2019DistTar!O18,Prop2019TransTar!O18,Prop2019JSTar!O18)</f>
        <v>0</v>
      </c>
      <c r="P18" s="247">
        <f>SUM(Prop2019DistTar!P18,Prop2019TransTar!P18,Prop2019JSTar!P18)</f>
        <v>0</v>
      </c>
      <c r="Q18" s="247">
        <f>SUM(Prop2019DistTar!Q18,Prop2019TransTar!Q18,Prop2019JSTar!Q18)</f>
        <v>0</v>
      </c>
      <c r="R18" s="247">
        <f>SUM(Prop2019DistTar!R18,Prop2019TransTar!R18,Prop2019JSTar!R18)</f>
        <v>0</v>
      </c>
      <c r="S18" s="247">
        <f>SUM(Prop2019DistTar!S18,Prop2019TransTar!S18,Prop2019JSTar!S18)</f>
        <v>0</v>
      </c>
      <c r="T18" s="247">
        <f>SUM(Prop2019DistTar!T18,Prop2019TransTar!T18,Prop2019JSTar!T18)</f>
        <v>0</v>
      </c>
      <c r="U18" s="247">
        <f>SUM(Prop2019DistTar!U18,Prop2019TransTar!U18,Prop2019JSTar!U18)</f>
        <v>0</v>
      </c>
      <c r="V18" s="247">
        <f>SUM(Prop2019DistTar!V18,Prop2019TransTar!V18,Prop2019JSTar!V18)</f>
        <v>0</v>
      </c>
      <c r="W18" s="247">
        <f>SUM(Prop2019DistTar!W18,Prop2019TransTar!W18,Prop2019JSTar!W18)</f>
        <v>0</v>
      </c>
      <c r="X18" s="248">
        <f>SUM(Prop2019DistTar!X18,Prop2019TransTar!X18,Prop2019JSTar!X18)</f>
        <v>0</v>
      </c>
      <c r="Z18" s="650"/>
      <c r="AA18" s="651"/>
      <c r="AB18" s="651"/>
      <c r="AC18" s="651"/>
      <c r="AD18" s="651"/>
      <c r="AE18" s="651">
        <v>1.77</v>
      </c>
      <c r="AF18" s="651"/>
      <c r="AG18" s="651"/>
      <c r="AH18" s="651"/>
      <c r="AI18" s="651"/>
      <c r="AJ18" s="651"/>
      <c r="AK18" s="651"/>
      <c r="AL18" s="651"/>
      <c r="AM18" s="651"/>
      <c r="AN18" s="651"/>
      <c r="AO18" s="651"/>
      <c r="AP18" s="651"/>
      <c r="AQ18" s="651"/>
      <c r="AR18" s="651"/>
      <c r="AS18" s="651"/>
      <c r="AT18" s="652"/>
      <c r="AW18" s="764">
        <f t="shared" si="0"/>
        <v>0</v>
      </c>
      <c r="AX18" s="765">
        <f t="shared" si="0"/>
        <v>0</v>
      </c>
      <c r="AY18" s="765">
        <f t="shared" si="0"/>
        <v>0</v>
      </c>
      <c r="AZ18" s="765">
        <f t="shared" si="0"/>
        <v>0</v>
      </c>
      <c r="BA18" s="765">
        <f t="shared" si="0"/>
        <v>0</v>
      </c>
      <c r="BB18" s="765">
        <f t="shared" si="0"/>
        <v>5.6497175141243527E-3</v>
      </c>
      <c r="BC18" s="765">
        <f t="shared" si="0"/>
        <v>0</v>
      </c>
      <c r="BD18" s="765">
        <f t="shared" si="0"/>
        <v>0</v>
      </c>
      <c r="BE18" s="765">
        <f t="shared" si="0"/>
        <v>0</v>
      </c>
      <c r="BF18" s="765">
        <f t="shared" si="0"/>
        <v>0</v>
      </c>
      <c r="BG18" s="765">
        <f t="shared" si="0"/>
        <v>0</v>
      </c>
      <c r="BH18" s="765">
        <f t="shared" si="0"/>
        <v>0</v>
      </c>
      <c r="BI18" s="765">
        <f t="shared" si="0"/>
        <v>0</v>
      </c>
      <c r="BJ18" s="765">
        <f t="shared" si="0"/>
        <v>0</v>
      </c>
      <c r="BK18" s="765">
        <f t="shared" si="0"/>
        <v>0</v>
      </c>
      <c r="BL18" s="765">
        <f t="shared" si="0"/>
        <v>0</v>
      </c>
      <c r="BM18" s="765">
        <f t="shared" si="1"/>
        <v>0</v>
      </c>
      <c r="BN18" s="765">
        <f t="shared" si="1"/>
        <v>0</v>
      </c>
      <c r="BO18" s="765">
        <f t="shared" si="1"/>
        <v>0</v>
      </c>
      <c r="BP18" s="765">
        <f t="shared" si="1"/>
        <v>0</v>
      </c>
      <c r="BQ18" s="766">
        <f t="shared" si="1"/>
        <v>0</v>
      </c>
      <c r="BR18" s="550" t="str">
        <f t="array" ref="BR18">IF(MAX(ABS(AW18:BQ18))&gt;$BR$4,"EXPLAIN","")</f>
        <v/>
      </c>
    </row>
    <row r="19" spans="2:70" x14ac:dyDescent="0.2">
      <c r="B19" s="757" t="s">
        <v>704</v>
      </c>
      <c r="C19" s="234" t="str">
        <f>Prop2019DistTar!B19</f>
        <v>Residential Demand</v>
      </c>
      <c r="D19" s="246">
        <f>SUM(Prop2019DistTar!D19,Prop2019TransTar!D19,Prop2019JSTar!D19)</f>
        <v>90</v>
      </c>
      <c r="E19" s="247">
        <f>SUM(Prop2019DistTar!E19,Prop2019TransTar!E19,Prop2019JSTar!E19)</f>
        <v>3.52</v>
      </c>
      <c r="F19" s="247">
        <f>SUM(Prop2019DistTar!F19,Prop2019TransTar!F19,Prop2019JSTar!F19)</f>
        <v>0</v>
      </c>
      <c r="G19" s="247">
        <f>SUM(Prop2019DistTar!G19,Prop2019TransTar!G19,Prop2019JSTar!G19)</f>
        <v>0</v>
      </c>
      <c r="H19" s="247">
        <f>SUM(Prop2019DistTar!H19,Prop2019TransTar!H19,Prop2019JSTar!H19)</f>
        <v>0</v>
      </c>
      <c r="I19" s="247">
        <f>SUM(Prop2019DistTar!I19,Prop2019TransTar!I19,Prop2019JSTar!I19)</f>
        <v>0</v>
      </c>
      <c r="J19" s="247">
        <f>SUM(Prop2019DistTar!J19,Prop2019TransTar!J19,Prop2019JSTar!J19)</f>
        <v>0</v>
      </c>
      <c r="K19" s="247">
        <f>SUM(Prop2019DistTar!K19,Prop2019TransTar!K19,Prop2019JSTar!K19)</f>
        <v>0</v>
      </c>
      <c r="L19" s="247">
        <f>SUM(Prop2019DistTar!L19,Prop2019TransTar!L19,Prop2019JSTar!L19)</f>
        <v>0</v>
      </c>
      <c r="M19" s="247">
        <f>SUM(Prop2019DistTar!M19,Prop2019TransTar!M19,Prop2019JSTar!M19)</f>
        <v>0</v>
      </c>
      <c r="N19" s="247">
        <f>SUM(Prop2019DistTar!N19,Prop2019TransTar!N19,Prop2019JSTar!N19)</f>
        <v>0</v>
      </c>
      <c r="O19" s="247">
        <f>SUM(Prop2019DistTar!O19,Prop2019TransTar!O19,Prop2019JSTar!O19)</f>
        <v>8.4600000000000009</v>
      </c>
      <c r="P19" s="247">
        <f>SUM(Prop2019DistTar!P19,Prop2019TransTar!P19,Prop2019JSTar!P19)</f>
        <v>2.9000000000000004</v>
      </c>
      <c r="Q19" s="247">
        <f>SUM(Prop2019DistTar!Q19,Prop2019TransTar!Q19,Prop2019JSTar!Q19)</f>
        <v>0</v>
      </c>
      <c r="R19" s="247">
        <f>SUM(Prop2019DistTar!R19,Prop2019TransTar!R19,Prop2019JSTar!R19)</f>
        <v>0</v>
      </c>
      <c r="S19" s="247">
        <f>SUM(Prop2019DistTar!S19,Prop2019TransTar!S19,Prop2019JSTar!S19)</f>
        <v>0</v>
      </c>
      <c r="T19" s="247">
        <f>SUM(Prop2019DistTar!T19,Prop2019TransTar!T19,Prop2019JSTar!T19)</f>
        <v>0</v>
      </c>
      <c r="U19" s="247">
        <f>SUM(Prop2019DistTar!U19,Prop2019TransTar!U19,Prop2019JSTar!U19)</f>
        <v>0</v>
      </c>
      <c r="V19" s="247">
        <f>SUM(Prop2019DistTar!V19,Prop2019TransTar!V19,Prop2019JSTar!V19)</f>
        <v>0</v>
      </c>
      <c r="W19" s="247">
        <f>SUM(Prop2019DistTar!W19,Prop2019TransTar!W19,Prop2019JSTar!W19)</f>
        <v>0</v>
      </c>
      <c r="X19" s="248">
        <f>SUM(Prop2019DistTar!X19,Prop2019TransTar!X19,Prop2019JSTar!X19)</f>
        <v>0</v>
      </c>
      <c r="Z19" s="650">
        <v>90</v>
      </c>
      <c r="AA19" s="651">
        <v>3.7</v>
      </c>
      <c r="AB19" s="651"/>
      <c r="AC19" s="651"/>
      <c r="AD19" s="651"/>
      <c r="AE19" s="651"/>
      <c r="AF19" s="651"/>
      <c r="AG19" s="651"/>
      <c r="AH19" s="651"/>
      <c r="AI19" s="651"/>
      <c r="AJ19" s="651"/>
      <c r="AK19" s="651">
        <v>8.91</v>
      </c>
      <c r="AL19" s="651">
        <v>3.05</v>
      </c>
      <c r="AM19" s="651"/>
      <c r="AN19" s="651"/>
      <c r="AO19" s="651"/>
      <c r="AP19" s="651"/>
      <c r="AQ19" s="651"/>
      <c r="AR19" s="651"/>
      <c r="AS19" s="651"/>
      <c r="AT19" s="652"/>
      <c r="AW19" s="764">
        <f t="shared" si="0"/>
        <v>0</v>
      </c>
      <c r="AX19" s="765">
        <f t="shared" si="0"/>
        <v>-4.8648648648648707E-2</v>
      </c>
      <c r="AY19" s="765">
        <f t="shared" si="0"/>
        <v>0</v>
      </c>
      <c r="AZ19" s="765">
        <f t="shared" si="0"/>
        <v>0</v>
      </c>
      <c r="BA19" s="765">
        <f t="shared" si="0"/>
        <v>0</v>
      </c>
      <c r="BB19" s="765">
        <f t="shared" si="0"/>
        <v>0</v>
      </c>
      <c r="BC19" s="765">
        <f t="shared" si="0"/>
        <v>0</v>
      </c>
      <c r="BD19" s="765">
        <f t="shared" si="0"/>
        <v>0</v>
      </c>
      <c r="BE19" s="765">
        <f t="shared" si="0"/>
        <v>0</v>
      </c>
      <c r="BF19" s="765">
        <f t="shared" si="0"/>
        <v>0</v>
      </c>
      <c r="BG19" s="765">
        <f t="shared" si="0"/>
        <v>0</v>
      </c>
      <c r="BH19" s="765">
        <f t="shared" si="0"/>
        <v>-5.0505050505050386E-2</v>
      </c>
      <c r="BI19" s="765">
        <f t="shared" si="0"/>
        <v>-4.9180327868852292E-2</v>
      </c>
      <c r="BJ19" s="765">
        <f t="shared" si="0"/>
        <v>0</v>
      </c>
      <c r="BK19" s="765">
        <f t="shared" si="0"/>
        <v>0</v>
      </c>
      <c r="BL19" s="765">
        <f t="shared" si="0"/>
        <v>0</v>
      </c>
      <c r="BM19" s="765">
        <f t="shared" si="1"/>
        <v>0</v>
      </c>
      <c r="BN19" s="765">
        <f t="shared" si="1"/>
        <v>0</v>
      </c>
      <c r="BO19" s="765">
        <f t="shared" si="1"/>
        <v>0</v>
      </c>
      <c r="BP19" s="765">
        <f t="shared" si="1"/>
        <v>0</v>
      </c>
      <c r="BQ19" s="766">
        <f t="shared" si="1"/>
        <v>0</v>
      </c>
      <c r="BR19" s="550" t="str">
        <f t="array" ref="BR19">IF(MAX(ABS(AW19:BQ19))&gt;$BR$4,"EXPLAIN","")</f>
        <v/>
      </c>
    </row>
    <row r="20" spans="2:70" x14ac:dyDescent="0.2">
      <c r="B20" s="757" t="s">
        <v>705</v>
      </c>
      <c r="C20" s="234" t="str">
        <f>Prop2019DistTar!B20</f>
        <v>Residential Bulk Demand</v>
      </c>
      <c r="D20" s="246">
        <f>SUM(Prop2019DistTar!D20,Prop2019TransTar!D20,Prop2019JSTar!D20)</f>
        <v>85</v>
      </c>
      <c r="E20" s="247">
        <f>SUM(Prop2019DistTar!E20,Prop2019TransTar!E20,Prop2019JSTar!E20)</f>
        <v>2.4899999999999998</v>
      </c>
      <c r="F20" s="247">
        <f>SUM(Prop2019DistTar!F20,Prop2019TransTar!F20,Prop2019JSTar!F20)</f>
        <v>0</v>
      </c>
      <c r="G20" s="247">
        <f>SUM(Prop2019DistTar!G20,Prop2019TransTar!G20,Prop2019JSTar!G20)</f>
        <v>0</v>
      </c>
      <c r="H20" s="247">
        <f>SUM(Prop2019DistTar!H20,Prop2019TransTar!H20,Prop2019JSTar!H20)</f>
        <v>0</v>
      </c>
      <c r="I20" s="247">
        <f>SUM(Prop2019DistTar!I20,Prop2019TransTar!I20,Prop2019JSTar!I20)</f>
        <v>0</v>
      </c>
      <c r="J20" s="247">
        <f>SUM(Prop2019DistTar!J20,Prop2019TransTar!J20,Prop2019JSTar!J20)</f>
        <v>0</v>
      </c>
      <c r="K20" s="247">
        <f>SUM(Prop2019DistTar!K20,Prop2019TransTar!K20,Prop2019JSTar!K20)</f>
        <v>0</v>
      </c>
      <c r="L20" s="247">
        <f>SUM(Prop2019DistTar!L20,Prop2019TransTar!L20,Prop2019JSTar!L20)</f>
        <v>0</v>
      </c>
      <c r="M20" s="247">
        <f>SUM(Prop2019DistTar!M20,Prop2019TransTar!M20,Prop2019JSTar!M20)</f>
        <v>0</v>
      </c>
      <c r="N20" s="247">
        <f>SUM(Prop2019DistTar!N20,Prop2019TransTar!N20,Prop2019JSTar!N20)</f>
        <v>0</v>
      </c>
      <c r="O20" s="247">
        <f>SUM(Prop2019DistTar!O20,Prop2019TransTar!O20,Prop2019JSTar!O20)</f>
        <v>6.65</v>
      </c>
      <c r="P20" s="247">
        <f>SUM(Prop2019DistTar!P20,Prop2019TransTar!P20,Prop2019JSTar!P20)</f>
        <v>2.23</v>
      </c>
      <c r="Q20" s="247">
        <f>SUM(Prop2019DistTar!Q20,Prop2019TransTar!Q20,Prop2019JSTar!Q20)</f>
        <v>0</v>
      </c>
      <c r="R20" s="247">
        <f>SUM(Prop2019DistTar!R20,Prop2019TransTar!R20,Prop2019JSTar!R20)</f>
        <v>0</v>
      </c>
      <c r="S20" s="247">
        <f>SUM(Prop2019DistTar!S20,Prop2019TransTar!S20,Prop2019JSTar!S20)</f>
        <v>0</v>
      </c>
      <c r="T20" s="247">
        <f>SUM(Prop2019DistTar!T20,Prop2019TransTar!T20,Prop2019JSTar!T20)</f>
        <v>0</v>
      </c>
      <c r="U20" s="247">
        <f>SUM(Prop2019DistTar!U20,Prop2019TransTar!U20,Prop2019JSTar!U20)</f>
        <v>0</v>
      </c>
      <c r="V20" s="247">
        <f>SUM(Prop2019DistTar!V20,Prop2019TransTar!V20,Prop2019JSTar!V20)</f>
        <v>0</v>
      </c>
      <c r="W20" s="247">
        <f>SUM(Prop2019DistTar!W20,Prop2019TransTar!W20,Prop2019JSTar!W20)</f>
        <v>0</v>
      </c>
      <c r="X20" s="248">
        <f>SUM(Prop2019DistTar!X20,Prop2019TransTar!X20,Prop2019JSTar!X20)</f>
        <v>0</v>
      </c>
      <c r="Z20" s="650">
        <v>80</v>
      </c>
      <c r="AA20" s="651">
        <v>2.35</v>
      </c>
      <c r="AB20" s="651"/>
      <c r="AC20" s="651"/>
      <c r="AD20" s="651"/>
      <c r="AE20" s="651"/>
      <c r="AF20" s="651"/>
      <c r="AG20" s="651"/>
      <c r="AH20" s="651"/>
      <c r="AI20" s="651"/>
      <c r="AJ20" s="651"/>
      <c r="AK20" s="651">
        <v>6.52</v>
      </c>
      <c r="AL20" s="651">
        <v>2.17</v>
      </c>
      <c r="AM20" s="651"/>
      <c r="AN20" s="651"/>
      <c r="AO20" s="651"/>
      <c r="AP20" s="651"/>
      <c r="AQ20" s="651"/>
      <c r="AR20" s="651"/>
      <c r="AS20" s="651"/>
      <c r="AT20" s="652"/>
      <c r="AW20" s="764">
        <f t="shared" si="0"/>
        <v>6.25E-2</v>
      </c>
      <c r="AX20" s="765">
        <f t="shared" si="0"/>
        <v>5.9574468085106247E-2</v>
      </c>
      <c r="AY20" s="765">
        <f t="shared" si="0"/>
        <v>0</v>
      </c>
      <c r="AZ20" s="765">
        <f t="shared" si="0"/>
        <v>0</v>
      </c>
      <c r="BA20" s="765">
        <f t="shared" si="0"/>
        <v>0</v>
      </c>
      <c r="BB20" s="765">
        <f t="shared" si="0"/>
        <v>0</v>
      </c>
      <c r="BC20" s="765">
        <f t="shared" si="0"/>
        <v>0</v>
      </c>
      <c r="BD20" s="765">
        <f t="shared" si="0"/>
        <v>0</v>
      </c>
      <c r="BE20" s="765">
        <f t="shared" si="0"/>
        <v>0</v>
      </c>
      <c r="BF20" s="765">
        <f t="shared" si="0"/>
        <v>0</v>
      </c>
      <c r="BG20" s="765">
        <f t="shared" si="0"/>
        <v>0</v>
      </c>
      <c r="BH20" s="765">
        <f t="shared" si="0"/>
        <v>1.9938650306748684E-2</v>
      </c>
      <c r="BI20" s="765">
        <f t="shared" si="0"/>
        <v>2.7649769585253559E-2</v>
      </c>
      <c r="BJ20" s="765">
        <f t="shared" si="0"/>
        <v>0</v>
      </c>
      <c r="BK20" s="765">
        <f t="shared" si="0"/>
        <v>0</v>
      </c>
      <c r="BL20" s="765">
        <f t="shared" si="0"/>
        <v>0</v>
      </c>
      <c r="BM20" s="765">
        <f t="shared" si="1"/>
        <v>0</v>
      </c>
      <c r="BN20" s="765">
        <f t="shared" si="1"/>
        <v>0</v>
      </c>
      <c r="BO20" s="765">
        <f t="shared" si="1"/>
        <v>0</v>
      </c>
      <c r="BP20" s="765">
        <f t="shared" si="1"/>
        <v>0</v>
      </c>
      <c r="BQ20" s="766">
        <f t="shared" si="1"/>
        <v>0</v>
      </c>
      <c r="BR20" s="550" t="str">
        <f t="array" ref="BR20">IF(MAX(ABS(AW20:BQ20))&gt;$BR$4,"EXPLAIN","")</f>
        <v/>
      </c>
    </row>
    <row r="21" spans="2:70" x14ac:dyDescent="0.2">
      <c r="B21" s="757" t="s">
        <v>706</v>
      </c>
      <c r="C21" s="234" t="str">
        <f>Prop2019DistTar!B21</f>
        <v>Non-Residential Single Rate</v>
      </c>
      <c r="D21" s="246">
        <f>SUM(Prop2019DistTar!D21,Prop2019TransTar!D21,Prop2019JSTar!D21)</f>
        <v>150</v>
      </c>
      <c r="E21" s="247">
        <f>SUM(Prop2019DistTar!E21,Prop2019TransTar!E21,Prop2019JSTar!E21)</f>
        <v>8</v>
      </c>
      <c r="F21" s="247">
        <f>SUM(Prop2019DistTar!F21,Prop2019TransTar!F21,Prop2019JSTar!F21)</f>
        <v>0</v>
      </c>
      <c r="G21" s="247">
        <f>SUM(Prop2019DistTar!G21,Prop2019TransTar!G21,Prop2019JSTar!G21)</f>
        <v>0</v>
      </c>
      <c r="H21" s="247">
        <f>SUM(Prop2019DistTar!H21,Prop2019TransTar!H21,Prop2019JSTar!H21)</f>
        <v>0</v>
      </c>
      <c r="I21" s="247">
        <f>SUM(Prop2019DistTar!I21,Prop2019TransTar!I21,Prop2019JSTar!I21)</f>
        <v>0</v>
      </c>
      <c r="J21" s="247">
        <f>SUM(Prop2019DistTar!J21,Prop2019TransTar!J21,Prop2019JSTar!J21)</f>
        <v>0</v>
      </c>
      <c r="K21" s="247">
        <f>SUM(Prop2019DistTar!K21,Prop2019TransTar!K21,Prop2019JSTar!K21)</f>
        <v>0</v>
      </c>
      <c r="L21" s="247">
        <f>SUM(Prop2019DistTar!L21,Prop2019TransTar!L21,Prop2019JSTar!L21)</f>
        <v>0</v>
      </c>
      <c r="M21" s="247">
        <f>SUM(Prop2019DistTar!M21,Prop2019TransTar!M21,Prop2019JSTar!M21)</f>
        <v>0</v>
      </c>
      <c r="N21" s="247">
        <f>SUM(Prop2019DistTar!N21,Prop2019TransTar!N21,Prop2019JSTar!N21)</f>
        <v>0</v>
      </c>
      <c r="O21" s="247">
        <f>SUM(Prop2019DistTar!O21,Prop2019TransTar!O21,Prop2019JSTar!O21)</f>
        <v>0</v>
      </c>
      <c r="P21" s="247">
        <f>SUM(Prop2019DistTar!P21,Prop2019TransTar!P21,Prop2019JSTar!P21)</f>
        <v>0</v>
      </c>
      <c r="Q21" s="247">
        <f>SUM(Prop2019DistTar!Q21,Prop2019TransTar!Q21,Prop2019JSTar!Q21)</f>
        <v>0</v>
      </c>
      <c r="R21" s="247">
        <f>SUM(Prop2019DistTar!R21,Prop2019TransTar!R21,Prop2019JSTar!R21)</f>
        <v>0</v>
      </c>
      <c r="S21" s="247">
        <f>SUM(Prop2019DistTar!S21,Prop2019TransTar!S21,Prop2019JSTar!S21)</f>
        <v>0</v>
      </c>
      <c r="T21" s="247">
        <f>SUM(Prop2019DistTar!T21,Prop2019TransTar!T21,Prop2019JSTar!T21)</f>
        <v>0</v>
      </c>
      <c r="U21" s="247">
        <f>SUM(Prop2019DistTar!U21,Prop2019TransTar!U21,Prop2019JSTar!U21)</f>
        <v>0</v>
      </c>
      <c r="V21" s="247">
        <f>SUM(Prop2019DistTar!V21,Prop2019TransTar!V21,Prop2019JSTar!V21)</f>
        <v>0</v>
      </c>
      <c r="W21" s="247">
        <f>SUM(Prop2019DistTar!W21,Prop2019TransTar!W21,Prop2019JSTar!W21)</f>
        <v>0</v>
      </c>
      <c r="X21" s="248">
        <f>SUM(Prop2019DistTar!X21,Prop2019TransTar!X21,Prop2019JSTar!X21)</f>
        <v>0</v>
      </c>
      <c r="Z21" s="650">
        <v>150</v>
      </c>
      <c r="AA21" s="651">
        <v>8.32</v>
      </c>
      <c r="AB21" s="651"/>
      <c r="AC21" s="651"/>
      <c r="AD21" s="651"/>
      <c r="AE21" s="651"/>
      <c r="AF21" s="651"/>
      <c r="AG21" s="651"/>
      <c r="AH21" s="651"/>
      <c r="AI21" s="651"/>
      <c r="AJ21" s="651"/>
      <c r="AK21" s="651"/>
      <c r="AL21" s="651"/>
      <c r="AM21" s="651"/>
      <c r="AN21" s="651"/>
      <c r="AO21" s="651"/>
      <c r="AP21" s="651"/>
      <c r="AQ21" s="651"/>
      <c r="AR21" s="651"/>
      <c r="AS21" s="651"/>
      <c r="AT21" s="652"/>
      <c r="AW21" s="764">
        <f t="shared" si="0"/>
        <v>0</v>
      </c>
      <c r="AX21" s="765">
        <f t="shared" si="0"/>
        <v>-3.8461538461538547E-2</v>
      </c>
      <c r="AY21" s="765">
        <f t="shared" si="0"/>
        <v>0</v>
      </c>
      <c r="AZ21" s="765">
        <f t="shared" si="0"/>
        <v>0</v>
      </c>
      <c r="BA21" s="765">
        <f t="shared" si="0"/>
        <v>0</v>
      </c>
      <c r="BB21" s="765">
        <f t="shared" si="0"/>
        <v>0</v>
      </c>
      <c r="BC21" s="765">
        <f t="shared" si="0"/>
        <v>0</v>
      </c>
      <c r="BD21" s="765">
        <f t="shared" si="0"/>
        <v>0</v>
      </c>
      <c r="BE21" s="765">
        <f t="shared" si="0"/>
        <v>0</v>
      </c>
      <c r="BF21" s="765">
        <f t="shared" si="0"/>
        <v>0</v>
      </c>
      <c r="BG21" s="765">
        <f t="shared" si="0"/>
        <v>0</v>
      </c>
      <c r="BH21" s="765">
        <f t="shared" si="0"/>
        <v>0</v>
      </c>
      <c r="BI21" s="765">
        <f t="shared" si="0"/>
        <v>0</v>
      </c>
      <c r="BJ21" s="765">
        <f t="shared" si="0"/>
        <v>0</v>
      </c>
      <c r="BK21" s="765">
        <f t="shared" si="0"/>
        <v>0</v>
      </c>
      <c r="BL21" s="765">
        <f t="shared" ref="BL21:BQ42" si="3">IFERROR(S21/AO21-1,0)</f>
        <v>0</v>
      </c>
      <c r="BM21" s="765">
        <f t="shared" si="1"/>
        <v>0</v>
      </c>
      <c r="BN21" s="765">
        <f t="shared" si="1"/>
        <v>0</v>
      </c>
      <c r="BO21" s="765">
        <f t="shared" si="1"/>
        <v>0</v>
      </c>
      <c r="BP21" s="765">
        <f t="shared" si="1"/>
        <v>0</v>
      </c>
      <c r="BQ21" s="766">
        <f t="shared" si="1"/>
        <v>0</v>
      </c>
      <c r="BR21" s="550" t="str">
        <f t="array" ref="BR21">IF(MAX(ABS(AW21:BQ21))&gt;$BR$4,"EXPLAIN","")</f>
        <v/>
      </c>
    </row>
    <row r="22" spans="2:70" x14ac:dyDescent="0.2">
      <c r="B22" s="757" t="s">
        <v>707</v>
      </c>
      <c r="C22" s="234" t="str">
        <f>Prop2019DistTar!B22</f>
        <v>Non-Residential Single Rate - Bulk</v>
      </c>
      <c r="D22" s="246">
        <f>SUM(Prop2019DistTar!D22,Prop2019TransTar!D22,Prop2019JSTar!D22)</f>
        <v>140</v>
      </c>
      <c r="E22" s="247">
        <f>SUM(Prop2019DistTar!E22,Prop2019TransTar!E22,Prop2019JSTar!E22)</f>
        <v>6.5</v>
      </c>
      <c r="F22" s="247">
        <f>SUM(Prop2019DistTar!F22,Prop2019TransTar!F22,Prop2019JSTar!F22)</f>
        <v>0</v>
      </c>
      <c r="G22" s="247">
        <f>SUM(Prop2019DistTar!G22,Prop2019TransTar!G22,Prop2019JSTar!G22)</f>
        <v>0</v>
      </c>
      <c r="H22" s="247">
        <f>SUM(Prop2019DistTar!H22,Prop2019TransTar!H22,Prop2019JSTar!H22)</f>
        <v>0</v>
      </c>
      <c r="I22" s="247">
        <f>SUM(Prop2019DistTar!I22,Prop2019TransTar!I22,Prop2019JSTar!I22)</f>
        <v>0</v>
      </c>
      <c r="J22" s="247">
        <f>SUM(Prop2019DistTar!J22,Prop2019TransTar!J22,Prop2019JSTar!J22)</f>
        <v>0</v>
      </c>
      <c r="K22" s="247">
        <f>SUM(Prop2019DistTar!K22,Prop2019TransTar!K22,Prop2019JSTar!K22)</f>
        <v>0</v>
      </c>
      <c r="L22" s="247">
        <f>SUM(Prop2019DistTar!L22,Prop2019TransTar!L22,Prop2019JSTar!L22)</f>
        <v>0</v>
      </c>
      <c r="M22" s="247">
        <f>SUM(Prop2019DistTar!M22,Prop2019TransTar!M22,Prop2019JSTar!M22)</f>
        <v>0</v>
      </c>
      <c r="N22" s="247">
        <f>SUM(Prop2019DistTar!N22,Prop2019TransTar!N22,Prop2019JSTar!N22)</f>
        <v>0</v>
      </c>
      <c r="O22" s="247">
        <f>SUM(Prop2019DistTar!O22,Prop2019TransTar!O22,Prop2019JSTar!O22)</f>
        <v>0</v>
      </c>
      <c r="P22" s="247">
        <f>SUM(Prop2019DistTar!P22,Prop2019TransTar!P22,Prop2019JSTar!P22)</f>
        <v>0</v>
      </c>
      <c r="Q22" s="247">
        <f>SUM(Prop2019DistTar!Q22,Prop2019TransTar!Q22,Prop2019JSTar!Q22)</f>
        <v>0</v>
      </c>
      <c r="R22" s="247">
        <f>SUM(Prop2019DistTar!R22,Prop2019TransTar!R22,Prop2019JSTar!R22)</f>
        <v>0</v>
      </c>
      <c r="S22" s="247">
        <f>SUM(Prop2019DistTar!S22,Prop2019TransTar!S22,Prop2019JSTar!S22)</f>
        <v>0</v>
      </c>
      <c r="T22" s="247">
        <f>SUM(Prop2019DistTar!T22,Prop2019TransTar!T22,Prop2019JSTar!T22)</f>
        <v>0</v>
      </c>
      <c r="U22" s="247">
        <f>SUM(Prop2019DistTar!U22,Prop2019TransTar!U22,Prop2019JSTar!U22)</f>
        <v>0</v>
      </c>
      <c r="V22" s="247">
        <f>SUM(Prop2019DistTar!V22,Prop2019TransTar!V22,Prop2019JSTar!V22)</f>
        <v>0</v>
      </c>
      <c r="W22" s="247">
        <f>SUM(Prop2019DistTar!W22,Prop2019TransTar!W22,Prop2019JSTar!W22)</f>
        <v>0</v>
      </c>
      <c r="X22" s="248">
        <f>SUM(Prop2019DistTar!X22,Prop2019TransTar!X22,Prop2019JSTar!X22)</f>
        <v>0</v>
      </c>
      <c r="Z22" s="650">
        <v>130</v>
      </c>
      <c r="AA22" s="651">
        <v>6.39</v>
      </c>
      <c r="AB22" s="651"/>
      <c r="AC22" s="651"/>
      <c r="AD22" s="651"/>
      <c r="AE22" s="651"/>
      <c r="AF22" s="651"/>
      <c r="AG22" s="651"/>
      <c r="AH22" s="651"/>
      <c r="AI22" s="651"/>
      <c r="AJ22" s="651"/>
      <c r="AK22" s="651"/>
      <c r="AL22" s="651"/>
      <c r="AM22" s="651"/>
      <c r="AN22" s="651"/>
      <c r="AO22" s="651"/>
      <c r="AP22" s="651"/>
      <c r="AQ22" s="651"/>
      <c r="AR22" s="651"/>
      <c r="AS22" s="651"/>
      <c r="AT22" s="652"/>
      <c r="AW22" s="764">
        <f t="shared" ref="AW22:BK38" si="4">IFERROR(D22/Z22-1,0)</f>
        <v>7.6923076923076872E-2</v>
      </c>
      <c r="AX22" s="765">
        <f t="shared" si="4"/>
        <v>1.7214397496087663E-2</v>
      </c>
      <c r="AY22" s="765">
        <f t="shared" si="4"/>
        <v>0</v>
      </c>
      <c r="AZ22" s="765">
        <f t="shared" si="4"/>
        <v>0</v>
      </c>
      <c r="BA22" s="765">
        <f t="shared" si="4"/>
        <v>0</v>
      </c>
      <c r="BB22" s="765">
        <f t="shared" si="4"/>
        <v>0</v>
      </c>
      <c r="BC22" s="765">
        <f t="shared" si="4"/>
        <v>0</v>
      </c>
      <c r="BD22" s="765">
        <f t="shared" si="4"/>
        <v>0</v>
      </c>
      <c r="BE22" s="765">
        <f t="shared" si="4"/>
        <v>0</v>
      </c>
      <c r="BF22" s="765">
        <f t="shared" si="4"/>
        <v>0</v>
      </c>
      <c r="BG22" s="765">
        <f t="shared" si="4"/>
        <v>0</v>
      </c>
      <c r="BH22" s="765">
        <f t="shared" si="4"/>
        <v>0</v>
      </c>
      <c r="BI22" s="765">
        <f t="shared" si="4"/>
        <v>0</v>
      </c>
      <c r="BJ22" s="765">
        <f t="shared" si="4"/>
        <v>0</v>
      </c>
      <c r="BK22" s="765">
        <f t="shared" si="4"/>
        <v>0</v>
      </c>
      <c r="BL22" s="765">
        <f t="shared" si="3"/>
        <v>0</v>
      </c>
      <c r="BM22" s="765">
        <f t="shared" si="1"/>
        <v>0</v>
      </c>
      <c r="BN22" s="765">
        <f t="shared" si="1"/>
        <v>0</v>
      </c>
      <c r="BO22" s="765">
        <f t="shared" si="1"/>
        <v>0</v>
      </c>
      <c r="BP22" s="765">
        <f t="shared" si="1"/>
        <v>0</v>
      </c>
      <c r="BQ22" s="766">
        <f t="shared" si="1"/>
        <v>0</v>
      </c>
      <c r="BR22" s="550" t="str">
        <f t="array" ref="BR22">IF(MAX(ABS(AW22:BQ22))&gt;$BR$4,"EXPLAIN","")</f>
        <v/>
      </c>
    </row>
    <row r="23" spans="2:70" x14ac:dyDescent="0.2">
      <c r="B23" s="757" t="s">
        <v>708</v>
      </c>
      <c r="C23" s="234" t="str">
        <f>Prop2019DistTar!B23</f>
        <v>Non-Residential Two Rate 5d</v>
      </c>
      <c r="D23" s="246">
        <f>SUM(Prop2019DistTar!D23,Prop2019TransTar!D23,Prop2019JSTar!D23)</f>
        <v>150</v>
      </c>
      <c r="E23" s="247">
        <f>SUM(Prop2019DistTar!E23,Prop2019TransTar!E23,Prop2019JSTar!E23)</f>
        <v>0</v>
      </c>
      <c r="F23" s="247">
        <f>SUM(Prop2019DistTar!F23,Prop2019TransTar!F23,Prop2019JSTar!F23)</f>
        <v>12.000000000000002</v>
      </c>
      <c r="G23" s="247">
        <f>SUM(Prop2019DistTar!G23,Prop2019TransTar!G23,Prop2019JSTar!G23)</f>
        <v>0</v>
      </c>
      <c r="H23" s="247">
        <f>SUM(Prop2019DistTar!H23,Prop2019TransTar!H23,Prop2019JSTar!H23)</f>
        <v>0</v>
      </c>
      <c r="I23" s="247">
        <f>SUM(Prop2019DistTar!I23,Prop2019TransTar!I23,Prop2019JSTar!I23)</f>
        <v>3.4899999999999998</v>
      </c>
      <c r="J23" s="247">
        <f>SUM(Prop2019DistTar!J23,Prop2019TransTar!J23,Prop2019JSTar!J23)</f>
        <v>0</v>
      </c>
      <c r="K23" s="247">
        <f>SUM(Prop2019DistTar!K23,Prop2019TransTar!K23,Prop2019JSTar!K23)</f>
        <v>0</v>
      </c>
      <c r="L23" s="247">
        <f>SUM(Prop2019DistTar!L23,Prop2019TransTar!L23,Prop2019JSTar!L23)</f>
        <v>0</v>
      </c>
      <c r="M23" s="247">
        <f>SUM(Prop2019DistTar!M23,Prop2019TransTar!M23,Prop2019JSTar!M23)</f>
        <v>0</v>
      </c>
      <c r="N23" s="247">
        <f>SUM(Prop2019DistTar!N23,Prop2019TransTar!N23,Prop2019JSTar!N23)</f>
        <v>0</v>
      </c>
      <c r="O23" s="247">
        <f>SUM(Prop2019DistTar!O23,Prop2019TransTar!O23,Prop2019JSTar!O23)</f>
        <v>0</v>
      </c>
      <c r="P23" s="247">
        <f>SUM(Prop2019DistTar!P23,Prop2019TransTar!P23,Prop2019JSTar!P23)</f>
        <v>0</v>
      </c>
      <c r="Q23" s="247">
        <f>SUM(Prop2019DistTar!Q23,Prop2019TransTar!Q23,Prop2019JSTar!Q23)</f>
        <v>0</v>
      </c>
      <c r="R23" s="247">
        <f>SUM(Prop2019DistTar!R23,Prop2019TransTar!R23,Prop2019JSTar!R23)</f>
        <v>0</v>
      </c>
      <c r="S23" s="247">
        <f>SUM(Prop2019DistTar!S23,Prop2019TransTar!S23,Prop2019JSTar!S23)</f>
        <v>0</v>
      </c>
      <c r="T23" s="247">
        <f>SUM(Prop2019DistTar!T23,Prop2019TransTar!T23,Prop2019JSTar!T23)</f>
        <v>0</v>
      </c>
      <c r="U23" s="247">
        <f>SUM(Prop2019DistTar!U23,Prop2019TransTar!U23,Prop2019JSTar!U23)</f>
        <v>0</v>
      </c>
      <c r="V23" s="247">
        <f>SUM(Prop2019DistTar!V23,Prop2019TransTar!V23,Prop2019JSTar!V23)</f>
        <v>0</v>
      </c>
      <c r="W23" s="247">
        <f>SUM(Prop2019DistTar!W23,Prop2019TransTar!W23,Prop2019JSTar!W23)</f>
        <v>0</v>
      </c>
      <c r="X23" s="248">
        <f>SUM(Prop2019DistTar!X23,Prop2019TransTar!X23,Prop2019JSTar!X23)</f>
        <v>0</v>
      </c>
      <c r="Z23" s="650">
        <v>150</v>
      </c>
      <c r="AA23" s="651"/>
      <c r="AB23" s="651">
        <v>12.49</v>
      </c>
      <c r="AC23" s="651"/>
      <c r="AD23" s="651"/>
      <c r="AE23" s="651">
        <v>3.34</v>
      </c>
      <c r="AF23" s="651"/>
      <c r="AG23" s="651"/>
      <c r="AH23" s="651"/>
      <c r="AI23" s="651"/>
      <c r="AJ23" s="651"/>
      <c r="AK23" s="651"/>
      <c r="AL23" s="651"/>
      <c r="AM23" s="651"/>
      <c r="AN23" s="651"/>
      <c r="AO23" s="651"/>
      <c r="AP23" s="651"/>
      <c r="AQ23" s="651"/>
      <c r="AR23" s="651"/>
      <c r="AS23" s="651"/>
      <c r="AT23" s="652"/>
      <c r="AW23" s="764">
        <f t="shared" si="4"/>
        <v>0</v>
      </c>
      <c r="AX23" s="765">
        <f t="shared" si="4"/>
        <v>0</v>
      </c>
      <c r="AY23" s="765">
        <f t="shared" si="4"/>
        <v>-3.9231385108086325E-2</v>
      </c>
      <c r="AZ23" s="765">
        <f t="shared" si="4"/>
        <v>0</v>
      </c>
      <c r="BA23" s="765">
        <f t="shared" si="4"/>
        <v>0</v>
      </c>
      <c r="BB23" s="765">
        <f t="shared" si="4"/>
        <v>4.4910179640718528E-2</v>
      </c>
      <c r="BC23" s="765">
        <f t="shared" si="4"/>
        <v>0</v>
      </c>
      <c r="BD23" s="765">
        <f t="shared" si="4"/>
        <v>0</v>
      </c>
      <c r="BE23" s="765">
        <f t="shared" si="4"/>
        <v>0</v>
      </c>
      <c r="BF23" s="765">
        <f t="shared" si="4"/>
        <v>0</v>
      </c>
      <c r="BG23" s="765">
        <f t="shared" si="4"/>
        <v>0</v>
      </c>
      <c r="BH23" s="765">
        <f t="shared" si="4"/>
        <v>0</v>
      </c>
      <c r="BI23" s="765">
        <f t="shared" si="4"/>
        <v>0</v>
      </c>
      <c r="BJ23" s="765">
        <f t="shared" si="4"/>
        <v>0</v>
      </c>
      <c r="BK23" s="765">
        <f t="shared" si="4"/>
        <v>0</v>
      </c>
      <c r="BL23" s="765">
        <f t="shared" si="3"/>
        <v>0</v>
      </c>
      <c r="BM23" s="765">
        <f t="shared" si="1"/>
        <v>0</v>
      </c>
      <c r="BN23" s="765">
        <f t="shared" si="1"/>
        <v>0</v>
      </c>
      <c r="BO23" s="765">
        <f t="shared" si="1"/>
        <v>0</v>
      </c>
      <c r="BP23" s="765">
        <f t="shared" si="1"/>
        <v>0</v>
      </c>
      <c r="BQ23" s="766">
        <f t="shared" si="1"/>
        <v>0</v>
      </c>
      <c r="BR23" s="550" t="str">
        <f t="array" ref="BR23">IF(MAX(ABS(AW23:BQ23))&gt;$BR$4,"EXPLAIN","")</f>
        <v/>
      </c>
    </row>
    <row r="24" spans="2:70" x14ac:dyDescent="0.2">
      <c r="B24" s="757" t="s">
        <v>709</v>
      </c>
      <c r="C24" s="234" t="str">
        <f>Prop2019DistTar!B24</f>
        <v>Non-Residential Two Rate 5d - Bulk</v>
      </c>
      <c r="D24" s="246">
        <f>SUM(Prop2019DistTar!D24,Prop2019TransTar!D24,Prop2019JSTar!D24)</f>
        <v>140</v>
      </c>
      <c r="E24" s="247">
        <f>SUM(Prop2019DistTar!E24,Prop2019TransTar!E24,Prop2019JSTar!E24)</f>
        <v>0</v>
      </c>
      <c r="F24" s="247">
        <f>SUM(Prop2019DistTar!F24,Prop2019TransTar!F24,Prop2019JSTar!F24)</f>
        <v>9.370000000000001</v>
      </c>
      <c r="G24" s="247">
        <f>SUM(Prop2019DistTar!G24,Prop2019TransTar!G24,Prop2019JSTar!G24)</f>
        <v>0</v>
      </c>
      <c r="H24" s="247">
        <f>SUM(Prop2019DistTar!H24,Prop2019TransTar!H24,Prop2019JSTar!H24)</f>
        <v>0</v>
      </c>
      <c r="I24" s="247">
        <f>SUM(Prop2019DistTar!I24,Prop2019TransTar!I24,Prop2019JSTar!I24)</f>
        <v>2.8599999999999994</v>
      </c>
      <c r="J24" s="247">
        <f>SUM(Prop2019DistTar!J24,Prop2019TransTar!J24,Prop2019JSTar!J24)</f>
        <v>0</v>
      </c>
      <c r="K24" s="247">
        <f>SUM(Prop2019DistTar!K24,Prop2019TransTar!K24,Prop2019JSTar!K24)</f>
        <v>0</v>
      </c>
      <c r="L24" s="247">
        <f>SUM(Prop2019DistTar!L24,Prop2019TransTar!L24,Prop2019JSTar!L24)</f>
        <v>0</v>
      </c>
      <c r="M24" s="247">
        <f>SUM(Prop2019DistTar!M24,Prop2019TransTar!M24,Prop2019JSTar!M24)</f>
        <v>0</v>
      </c>
      <c r="N24" s="247">
        <f>SUM(Prop2019DistTar!N24,Prop2019TransTar!N24,Prop2019JSTar!N24)</f>
        <v>0</v>
      </c>
      <c r="O24" s="247">
        <f>SUM(Prop2019DistTar!O24,Prop2019TransTar!O24,Prop2019JSTar!O24)</f>
        <v>0</v>
      </c>
      <c r="P24" s="247">
        <f>SUM(Prop2019DistTar!P24,Prop2019TransTar!P24,Prop2019JSTar!P24)</f>
        <v>0</v>
      </c>
      <c r="Q24" s="247">
        <f>SUM(Prop2019DistTar!Q24,Prop2019TransTar!Q24,Prop2019JSTar!Q24)</f>
        <v>0</v>
      </c>
      <c r="R24" s="247">
        <f>SUM(Prop2019DistTar!R24,Prop2019TransTar!R24,Prop2019JSTar!R24)</f>
        <v>0</v>
      </c>
      <c r="S24" s="247">
        <f>SUM(Prop2019DistTar!S24,Prop2019TransTar!S24,Prop2019JSTar!S24)</f>
        <v>0</v>
      </c>
      <c r="T24" s="247">
        <f>SUM(Prop2019DistTar!T24,Prop2019TransTar!T24,Prop2019JSTar!T24)</f>
        <v>0</v>
      </c>
      <c r="U24" s="247">
        <f>SUM(Prop2019DistTar!U24,Prop2019TransTar!U24,Prop2019JSTar!U24)</f>
        <v>0</v>
      </c>
      <c r="V24" s="247">
        <f>SUM(Prop2019DistTar!V24,Prop2019TransTar!V24,Prop2019JSTar!V24)</f>
        <v>0</v>
      </c>
      <c r="W24" s="247">
        <f>SUM(Prop2019DistTar!W24,Prop2019TransTar!W24,Prop2019JSTar!W24)</f>
        <v>0</v>
      </c>
      <c r="X24" s="248">
        <f>SUM(Prop2019DistTar!X24,Prop2019TransTar!X24,Prop2019JSTar!X24)</f>
        <v>0</v>
      </c>
      <c r="Z24" s="650">
        <v>130</v>
      </c>
      <c r="AA24" s="651"/>
      <c r="AB24" s="651">
        <v>9.08</v>
      </c>
      <c r="AC24" s="651"/>
      <c r="AD24" s="651"/>
      <c r="AE24" s="651">
        <v>2.5099999999999998</v>
      </c>
      <c r="AF24" s="651"/>
      <c r="AG24" s="651"/>
      <c r="AH24" s="651"/>
      <c r="AI24" s="651"/>
      <c r="AJ24" s="651"/>
      <c r="AK24" s="651"/>
      <c r="AL24" s="651"/>
      <c r="AM24" s="651"/>
      <c r="AN24" s="651"/>
      <c r="AO24" s="651"/>
      <c r="AP24" s="651"/>
      <c r="AQ24" s="651"/>
      <c r="AR24" s="651"/>
      <c r="AS24" s="651"/>
      <c r="AT24" s="652"/>
      <c r="AW24" s="764">
        <f t="shared" si="4"/>
        <v>7.6923076923076872E-2</v>
      </c>
      <c r="AX24" s="765">
        <f t="shared" si="4"/>
        <v>0</v>
      </c>
      <c r="AY24" s="765">
        <f t="shared" si="4"/>
        <v>3.193832599118962E-2</v>
      </c>
      <c r="AZ24" s="765">
        <f t="shared" si="4"/>
        <v>0</v>
      </c>
      <c r="BA24" s="765">
        <f t="shared" si="4"/>
        <v>0</v>
      </c>
      <c r="BB24" s="765">
        <f t="shared" si="4"/>
        <v>0.13944223107569709</v>
      </c>
      <c r="BC24" s="765">
        <f t="shared" si="4"/>
        <v>0</v>
      </c>
      <c r="BD24" s="765">
        <f t="shared" si="4"/>
        <v>0</v>
      </c>
      <c r="BE24" s="765">
        <f t="shared" si="4"/>
        <v>0</v>
      </c>
      <c r="BF24" s="765">
        <f t="shared" si="4"/>
        <v>0</v>
      </c>
      <c r="BG24" s="765">
        <f t="shared" si="4"/>
        <v>0</v>
      </c>
      <c r="BH24" s="765">
        <f t="shared" si="4"/>
        <v>0</v>
      </c>
      <c r="BI24" s="765">
        <f t="shared" si="4"/>
        <v>0</v>
      </c>
      <c r="BJ24" s="765">
        <f t="shared" si="4"/>
        <v>0</v>
      </c>
      <c r="BK24" s="765">
        <f t="shared" si="4"/>
        <v>0</v>
      </c>
      <c r="BL24" s="765">
        <f t="shared" si="3"/>
        <v>0</v>
      </c>
      <c r="BM24" s="765">
        <f t="shared" si="1"/>
        <v>0</v>
      </c>
      <c r="BN24" s="765">
        <f t="shared" si="1"/>
        <v>0</v>
      </c>
      <c r="BO24" s="765">
        <f t="shared" si="1"/>
        <v>0</v>
      </c>
      <c r="BP24" s="765">
        <f t="shared" si="1"/>
        <v>0</v>
      </c>
      <c r="BQ24" s="766">
        <f t="shared" si="1"/>
        <v>0</v>
      </c>
      <c r="BR24" s="550" t="str">
        <f t="array" ref="BR24">IF(MAX(ABS(AW24:BQ24))&gt;$BR$4,"EXPLAIN","")</f>
        <v>EXPLAIN</v>
      </c>
    </row>
    <row r="25" spans="2:70" x14ac:dyDescent="0.2">
      <c r="B25" s="757" t="str">
        <f t="shared" ref="B25:B26" si="5">C25</f>
        <v>Non-Residential Interval</v>
      </c>
      <c r="C25" s="234" t="str">
        <f>Prop2019DistTar!B25</f>
        <v>Non-Residential Interval</v>
      </c>
      <c r="D25" s="246">
        <f>SUM(Prop2019DistTar!D25,Prop2019TransTar!D25,Prop2019JSTar!D25)</f>
        <v>150</v>
      </c>
      <c r="E25" s="247">
        <f>SUM(Prop2019DistTar!E25,Prop2019TransTar!E25,Prop2019JSTar!E25)</f>
        <v>0</v>
      </c>
      <c r="F25" s="247">
        <f>SUM(Prop2019DistTar!F25,Prop2019TransTar!F25,Prop2019JSTar!F25)</f>
        <v>12.000000000000002</v>
      </c>
      <c r="G25" s="247">
        <f>SUM(Prop2019DistTar!G25,Prop2019TransTar!G25,Prop2019JSTar!G25)</f>
        <v>0</v>
      </c>
      <c r="H25" s="247">
        <f>SUM(Prop2019DistTar!H25,Prop2019TransTar!H25,Prop2019JSTar!H25)</f>
        <v>0</v>
      </c>
      <c r="I25" s="247">
        <f>SUM(Prop2019DistTar!I25,Prop2019TransTar!I25,Prop2019JSTar!I25)</f>
        <v>3.21</v>
      </c>
      <c r="J25" s="247">
        <f>SUM(Prop2019DistTar!J25,Prop2019TransTar!J25,Prop2019JSTar!J25)</f>
        <v>0</v>
      </c>
      <c r="K25" s="247">
        <f>SUM(Prop2019DistTar!K25,Prop2019TransTar!K25,Prop2019JSTar!K25)</f>
        <v>0</v>
      </c>
      <c r="L25" s="247">
        <f>SUM(Prop2019DistTar!L25,Prop2019TransTar!L25,Prop2019JSTar!L25)</f>
        <v>0</v>
      </c>
      <c r="M25" s="247">
        <f>SUM(Prop2019DistTar!M25,Prop2019TransTar!M25,Prop2019JSTar!M25)</f>
        <v>0</v>
      </c>
      <c r="N25" s="247">
        <f>SUM(Prop2019DistTar!N25,Prop2019TransTar!N25,Prop2019JSTar!N25)</f>
        <v>0</v>
      </c>
      <c r="O25" s="247">
        <f>SUM(Prop2019DistTar!O25,Prop2019TransTar!O25,Prop2019JSTar!O25)</f>
        <v>0</v>
      </c>
      <c r="P25" s="247">
        <f>SUM(Prop2019DistTar!P25,Prop2019TransTar!P25,Prop2019JSTar!P25)</f>
        <v>0</v>
      </c>
      <c r="Q25" s="247">
        <f>SUM(Prop2019DistTar!Q25,Prop2019TransTar!Q25,Prop2019JSTar!Q25)</f>
        <v>0</v>
      </c>
      <c r="R25" s="247">
        <f>SUM(Prop2019DistTar!R25,Prop2019TransTar!R25,Prop2019JSTar!R25)</f>
        <v>0</v>
      </c>
      <c r="S25" s="247">
        <f>SUM(Prop2019DistTar!S25,Prop2019TransTar!S25,Prop2019JSTar!S25)</f>
        <v>0</v>
      </c>
      <c r="T25" s="247">
        <f>SUM(Prop2019DistTar!T25,Prop2019TransTar!T25,Prop2019JSTar!T25)</f>
        <v>0</v>
      </c>
      <c r="U25" s="247">
        <f>SUM(Prop2019DistTar!U25,Prop2019TransTar!U25,Prop2019JSTar!U25)</f>
        <v>0</v>
      </c>
      <c r="V25" s="247">
        <f>SUM(Prop2019DistTar!V25,Prop2019TransTar!V25,Prop2019JSTar!V25)</f>
        <v>0</v>
      </c>
      <c r="W25" s="247">
        <f>SUM(Prop2019DistTar!W25,Prop2019TransTar!W25,Prop2019JSTar!W25)</f>
        <v>0</v>
      </c>
      <c r="X25" s="248">
        <f>SUM(Prop2019DistTar!X25,Prop2019TransTar!X25,Prop2019JSTar!X25)</f>
        <v>0</v>
      </c>
      <c r="Z25" s="650">
        <v>150</v>
      </c>
      <c r="AA25" s="651"/>
      <c r="AB25" s="651">
        <v>12.49</v>
      </c>
      <c r="AC25" s="651"/>
      <c r="AD25" s="651"/>
      <c r="AE25" s="651">
        <v>3.34</v>
      </c>
      <c r="AF25" s="651"/>
      <c r="AG25" s="651"/>
      <c r="AH25" s="651"/>
      <c r="AI25" s="651"/>
      <c r="AJ25" s="651"/>
      <c r="AK25" s="651"/>
      <c r="AL25" s="651"/>
      <c r="AM25" s="651"/>
      <c r="AN25" s="651"/>
      <c r="AO25" s="651"/>
      <c r="AP25" s="651"/>
      <c r="AQ25" s="651"/>
      <c r="AR25" s="651"/>
      <c r="AS25" s="651"/>
      <c r="AT25" s="652"/>
      <c r="AW25" s="764">
        <f t="shared" si="4"/>
        <v>0</v>
      </c>
      <c r="AX25" s="765">
        <f t="shared" si="4"/>
        <v>0</v>
      </c>
      <c r="AY25" s="765">
        <f t="shared" si="4"/>
        <v>-3.9231385108086325E-2</v>
      </c>
      <c r="AZ25" s="765">
        <f t="shared" si="4"/>
        <v>0</v>
      </c>
      <c r="BA25" s="765">
        <f t="shared" si="4"/>
        <v>0</v>
      </c>
      <c r="BB25" s="765">
        <f t="shared" si="4"/>
        <v>-3.8922155688622673E-2</v>
      </c>
      <c r="BC25" s="765">
        <f t="shared" si="4"/>
        <v>0</v>
      </c>
      <c r="BD25" s="765">
        <f t="shared" si="4"/>
        <v>0</v>
      </c>
      <c r="BE25" s="765">
        <f t="shared" si="4"/>
        <v>0</v>
      </c>
      <c r="BF25" s="765">
        <f t="shared" si="4"/>
        <v>0</v>
      </c>
      <c r="BG25" s="765">
        <f t="shared" si="4"/>
        <v>0</v>
      </c>
      <c r="BH25" s="765">
        <f t="shared" si="4"/>
        <v>0</v>
      </c>
      <c r="BI25" s="765">
        <f t="shared" si="4"/>
        <v>0</v>
      </c>
      <c r="BJ25" s="765">
        <f t="shared" si="4"/>
        <v>0</v>
      </c>
      <c r="BK25" s="765">
        <f t="shared" si="4"/>
        <v>0</v>
      </c>
      <c r="BL25" s="765">
        <f t="shared" si="3"/>
        <v>0</v>
      </c>
      <c r="BM25" s="765">
        <f t="shared" si="1"/>
        <v>0</v>
      </c>
      <c r="BN25" s="765">
        <f t="shared" si="1"/>
        <v>0</v>
      </c>
      <c r="BO25" s="765">
        <f t="shared" si="1"/>
        <v>0</v>
      </c>
      <c r="BP25" s="765">
        <f t="shared" si="1"/>
        <v>0</v>
      </c>
      <c r="BQ25" s="766">
        <f t="shared" si="1"/>
        <v>0</v>
      </c>
      <c r="BR25" s="550" t="str">
        <f t="array" ref="BR25">IF(MAX(ABS(AW25:BQ25))&gt;$BR$4,"EXPLAIN","")</f>
        <v/>
      </c>
    </row>
    <row r="26" spans="2:70" x14ac:dyDescent="0.2">
      <c r="B26" s="757" t="str">
        <f t="shared" si="5"/>
        <v>Non-Residential Interval - Bulk</v>
      </c>
      <c r="C26" s="234" t="str">
        <f>Prop2019DistTar!B26</f>
        <v>Non-Residential Interval - Bulk</v>
      </c>
      <c r="D26" s="246">
        <f>SUM(Prop2019DistTar!D26,Prop2019TransTar!D26,Prop2019JSTar!D26)</f>
        <v>140</v>
      </c>
      <c r="E26" s="247">
        <f>SUM(Prop2019DistTar!E26,Prop2019TransTar!E26,Prop2019JSTar!E26)</f>
        <v>0</v>
      </c>
      <c r="F26" s="247">
        <f>SUM(Prop2019DistTar!F26,Prop2019TransTar!F26,Prop2019JSTar!F26)</f>
        <v>9.370000000000001</v>
      </c>
      <c r="G26" s="247">
        <f>SUM(Prop2019DistTar!G26,Prop2019TransTar!G26,Prop2019JSTar!G26)</f>
        <v>0</v>
      </c>
      <c r="H26" s="247">
        <f>SUM(Prop2019DistTar!H26,Prop2019TransTar!H26,Prop2019JSTar!H26)</f>
        <v>0</v>
      </c>
      <c r="I26" s="247">
        <f>SUM(Prop2019DistTar!I26,Prop2019TransTar!I26,Prop2019JSTar!I26)</f>
        <v>2.8599999999999994</v>
      </c>
      <c r="J26" s="247">
        <f>SUM(Prop2019DistTar!J26,Prop2019TransTar!J26,Prop2019JSTar!J26)</f>
        <v>0</v>
      </c>
      <c r="K26" s="247">
        <f>SUM(Prop2019DistTar!K26,Prop2019TransTar!K26,Prop2019JSTar!K26)</f>
        <v>0</v>
      </c>
      <c r="L26" s="247">
        <f>SUM(Prop2019DistTar!L26,Prop2019TransTar!L26,Prop2019JSTar!L26)</f>
        <v>0</v>
      </c>
      <c r="M26" s="247">
        <f>SUM(Prop2019DistTar!M26,Prop2019TransTar!M26,Prop2019JSTar!M26)</f>
        <v>0</v>
      </c>
      <c r="N26" s="247">
        <f>SUM(Prop2019DistTar!N26,Prop2019TransTar!N26,Prop2019JSTar!N26)</f>
        <v>0</v>
      </c>
      <c r="O26" s="247">
        <f>SUM(Prop2019DistTar!O26,Prop2019TransTar!O26,Prop2019JSTar!O26)</f>
        <v>0</v>
      </c>
      <c r="P26" s="247">
        <f>SUM(Prop2019DistTar!P26,Prop2019TransTar!P26,Prop2019JSTar!P26)</f>
        <v>0</v>
      </c>
      <c r="Q26" s="247">
        <f>SUM(Prop2019DistTar!Q26,Prop2019TransTar!Q26,Prop2019JSTar!Q26)</f>
        <v>0</v>
      </c>
      <c r="R26" s="247">
        <f>SUM(Prop2019DistTar!R26,Prop2019TransTar!R26,Prop2019JSTar!R26)</f>
        <v>0</v>
      </c>
      <c r="S26" s="247">
        <f>SUM(Prop2019DistTar!S26,Prop2019TransTar!S26,Prop2019JSTar!S26)</f>
        <v>0</v>
      </c>
      <c r="T26" s="247">
        <f>SUM(Prop2019DistTar!T26,Prop2019TransTar!T26,Prop2019JSTar!T26)</f>
        <v>0</v>
      </c>
      <c r="U26" s="247">
        <f>SUM(Prop2019DistTar!U26,Prop2019TransTar!U26,Prop2019JSTar!U26)</f>
        <v>0</v>
      </c>
      <c r="V26" s="247">
        <f>SUM(Prop2019DistTar!V26,Prop2019TransTar!V26,Prop2019JSTar!V26)</f>
        <v>0</v>
      </c>
      <c r="W26" s="247">
        <f>SUM(Prop2019DistTar!W26,Prop2019TransTar!W26,Prop2019JSTar!W26)</f>
        <v>0</v>
      </c>
      <c r="X26" s="248">
        <f>SUM(Prop2019DistTar!X26,Prop2019TransTar!X26,Prop2019JSTar!X26)</f>
        <v>0</v>
      </c>
      <c r="Z26" s="650">
        <v>130</v>
      </c>
      <c r="AA26" s="651"/>
      <c r="AB26" s="651">
        <v>9.08</v>
      </c>
      <c r="AC26" s="651"/>
      <c r="AD26" s="651"/>
      <c r="AE26" s="651">
        <v>2.5099999999999998</v>
      </c>
      <c r="AF26" s="651"/>
      <c r="AG26" s="651"/>
      <c r="AH26" s="651"/>
      <c r="AI26" s="651"/>
      <c r="AJ26" s="651"/>
      <c r="AK26" s="651"/>
      <c r="AL26" s="651"/>
      <c r="AM26" s="651"/>
      <c r="AN26" s="651"/>
      <c r="AO26" s="651"/>
      <c r="AP26" s="651"/>
      <c r="AQ26" s="651"/>
      <c r="AR26" s="651"/>
      <c r="AS26" s="651"/>
      <c r="AT26" s="652"/>
      <c r="AW26" s="764">
        <f t="shared" si="4"/>
        <v>7.6923076923076872E-2</v>
      </c>
      <c r="AX26" s="765">
        <f t="shared" si="4"/>
        <v>0</v>
      </c>
      <c r="AY26" s="765">
        <f t="shared" si="4"/>
        <v>3.193832599118962E-2</v>
      </c>
      <c r="AZ26" s="765">
        <f t="shared" si="4"/>
        <v>0</v>
      </c>
      <c r="BA26" s="765">
        <f t="shared" si="4"/>
        <v>0</v>
      </c>
      <c r="BB26" s="765">
        <f t="shared" si="4"/>
        <v>0.13944223107569709</v>
      </c>
      <c r="BC26" s="765">
        <f t="shared" si="4"/>
        <v>0</v>
      </c>
      <c r="BD26" s="765">
        <f t="shared" si="4"/>
        <v>0</v>
      </c>
      <c r="BE26" s="765">
        <f t="shared" si="4"/>
        <v>0</v>
      </c>
      <c r="BF26" s="765">
        <f t="shared" si="4"/>
        <v>0</v>
      </c>
      <c r="BG26" s="765">
        <f t="shared" si="4"/>
        <v>0</v>
      </c>
      <c r="BH26" s="765">
        <f t="shared" si="4"/>
        <v>0</v>
      </c>
      <c r="BI26" s="765">
        <f t="shared" si="4"/>
        <v>0</v>
      </c>
      <c r="BJ26" s="765">
        <f t="shared" si="4"/>
        <v>0</v>
      </c>
      <c r="BK26" s="765">
        <f t="shared" si="4"/>
        <v>0</v>
      </c>
      <c r="BL26" s="765">
        <f t="shared" si="3"/>
        <v>0</v>
      </c>
      <c r="BM26" s="765">
        <f t="shared" si="1"/>
        <v>0</v>
      </c>
      <c r="BN26" s="765">
        <f t="shared" si="1"/>
        <v>0</v>
      </c>
      <c r="BO26" s="765">
        <f t="shared" si="1"/>
        <v>0</v>
      </c>
      <c r="BP26" s="765">
        <f t="shared" si="1"/>
        <v>0</v>
      </c>
      <c r="BQ26" s="766">
        <f t="shared" si="1"/>
        <v>0</v>
      </c>
      <c r="BR26" s="550" t="str">
        <f t="array" ref="BR26">IF(MAX(ABS(AW26:BQ26))&gt;$BR$4,"EXPLAIN","")</f>
        <v>EXPLAIN</v>
      </c>
    </row>
    <row r="27" spans="2:70" x14ac:dyDescent="0.2">
      <c r="B27" s="757" t="s">
        <v>710</v>
      </c>
      <c r="C27" s="234" t="str">
        <f>Prop2019DistTar!B27</f>
        <v>Non-Residential Flexible Pricing</v>
      </c>
      <c r="D27" s="246">
        <f>SUM(Prop2019DistTar!D27,Prop2019TransTar!D27,Prop2019JSTar!D27)</f>
        <v>150</v>
      </c>
      <c r="E27" s="247">
        <f>SUM(Prop2019DistTar!E27,Prop2019TransTar!E27,Prop2019JSTar!E27)</f>
        <v>0</v>
      </c>
      <c r="F27" s="247">
        <f>SUM(Prop2019DistTar!F27,Prop2019TransTar!F27,Prop2019JSTar!F27)</f>
        <v>0</v>
      </c>
      <c r="G27" s="247">
        <f>SUM(Prop2019DistTar!G27,Prop2019TransTar!G27,Prop2019JSTar!G27)</f>
        <v>0</v>
      </c>
      <c r="H27" s="247">
        <f>SUM(Prop2019DistTar!H27,Prop2019TransTar!H27,Prop2019JSTar!H27)</f>
        <v>0</v>
      </c>
      <c r="I27" s="247">
        <f>SUM(Prop2019DistTar!I27,Prop2019TransTar!I27,Prop2019JSTar!I27)</f>
        <v>0</v>
      </c>
      <c r="J27" s="247">
        <f>SUM(Prop2019DistTar!J27,Prop2019TransTar!J27,Prop2019JSTar!J27)</f>
        <v>0</v>
      </c>
      <c r="K27" s="247">
        <f>SUM(Prop2019DistTar!K27,Prop2019TransTar!K27,Prop2019JSTar!K27)</f>
        <v>0</v>
      </c>
      <c r="L27" s="247">
        <f>SUM(Prop2019DistTar!L27,Prop2019TransTar!L27,Prop2019JSTar!L27)</f>
        <v>0</v>
      </c>
      <c r="M27" s="247">
        <f>SUM(Prop2019DistTar!M27,Prop2019TransTar!M27,Prop2019JSTar!M27)</f>
        <v>0</v>
      </c>
      <c r="N27" s="247">
        <f>SUM(Prop2019DistTar!N27,Prop2019TransTar!N27,Prop2019JSTar!N27)</f>
        <v>0</v>
      </c>
      <c r="O27" s="247">
        <f>SUM(Prop2019DistTar!O27,Prop2019TransTar!O27,Prop2019JSTar!O27)</f>
        <v>0</v>
      </c>
      <c r="P27" s="247">
        <f>SUM(Prop2019DistTar!P27,Prop2019TransTar!P27,Prop2019JSTar!P27)</f>
        <v>0</v>
      </c>
      <c r="Q27" s="247">
        <f>SUM(Prop2019DistTar!Q27,Prop2019TransTar!Q27,Prop2019JSTar!Q27)</f>
        <v>14.610000000000001</v>
      </c>
      <c r="R27" s="247">
        <f>SUM(Prop2019DistTar!R27,Prop2019TransTar!R27,Prop2019JSTar!R27)</f>
        <v>10.220000000000001</v>
      </c>
      <c r="S27" s="247">
        <f>SUM(Prop2019DistTar!S27,Prop2019TransTar!S27,Prop2019JSTar!S27)</f>
        <v>4.05</v>
      </c>
      <c r="T27" s="247">
        <f>SUM(Prop2019DistTar!T27,Prop2019TransTar!T27,Prop2019JSTar!T27)</f>
        <v>0</v>
      </c>
      <c r="U27" s="247">
        <f>SUM(Prop2019DistTar!U27,Prop2019TransTar!U27,Prop2019JSTar!U27)</f>
        <v>14.610000000000001</v>
      </c>
      <c r="V27" s="247">
        <f>SUM(Prop2019DistTar!V27,Prop2019TransTar!V27,Prop2019JSTar!V27)</f>
        <v>10.220000000000001</v>
      </c>
      <c r="W27" s="247">
        <f>SUM(Prop2019DistTar!W27,Prop2019TransTar!W27,Prop2019JSTar!W27)</f>
        <v>4.05</v>
      </c>
      <c r="X27" s="248">
        <f>SUM(Prop2019DistTar!X27,Prop2019TransTar!X27,Prop2019JSTar!X27)</f>
        <v>0</v>
      </c>
      <c r="Z27" s="650">
        <v>150</v>
      </c>
      <c r="AA27" s="651"/>
      <c r="AB27" s="651"/>
      <c r="AC27" s="651"/>
      <c r="AD27" s="651"/>
      <c r="AE27" s="651"/>
      <c r="AF27" s="651"/>
      <c r="AG27" s="651"/>
      <c r="AH27" s="651"/>
      <c r="AI27" s="651"/>
      <c r="AJ27" s="651"/>
      <c r="AK27" s="651"/>
      <c r="AL27" s="651"/>
      <c r="AM27" s="651">
        <v>15.22</v>
      </c>
      <c r="AN27" s="651">
        <v>10.65</v>
      </c>
      <c r="AO27" s="651">
        <v>4.22</v>
      </c>
      <c r="AP27" s="651">
        <v>0</v>
      </c>
      <c r="AQ27" s="651">
        <v>15.22</v>
      </c>
      <c r="AR27" s="651">
        <v>10.65</v>
      </c>
      <c r="AS27" s="651">
        <v>4.22</v>
      </c>
      <c r="AT27" s="652"/>
      <c r="AW27" s="764">
        <f t="shared" si="4"/>
        <v>0</v>
      </c>
      <c r="AX27" s="765">
        <f t="shared" si="4"/>
        <v>0</v>
      </c>
      <c r="AY27" s="765">
        <f t="shared" si="4"/>
        <v>0</v>
      </c>
      <c r="AZ27" s="765">
        <f t="shared" si="4"/>
        <v>0</v>
      </c>
      <c r="BA27" s="765">
        <f t="shared" si="4"/>
        <v>0</v>
      </c>
      <c r="BB27" s="765">
        <f t="shared" si="4"/>
        <v>0</v>
      </c>
      <c r="BC27" s="765">
        <f t="shared" si="4"/>
        <v>0</v>
      </c>
      <c r="BD27" s="765">
        <f t="shared" si="4"/>
        <v>0</v>
      </c>
      <c r="BE27" s="765">
        <f t="shared" si="4"/>
        <v>0</v>
      </c>
      <c r="BF27" s="765">
        <f t="shared" si="4"/>
        <v>0</v>
      </c>
      <c r="BG27" s="765">
        <f t="shared" si="4"/>
        <v>0</v>
      </c>
      <c r="BH27" s="765">
        <f t="shared" si="4"/>
        <v>0</v>
      </c>
      <c r="BI27" s="765">
        <f t="shared" si="4"/>
        <v>0</v>
      </c>
      <c r="BJ27" s="765">
        <f t="shared" si="4"/>
        <v>-4.0078843626806804E-2</v>
      </c>
      <c r="BK27" s="765">
        <f t="shared" si="4"/>
        <v>-4.0375586854460077E-2</v>
      </c>
      <c r="BL27" s="765">
        <f t="shared" si="3"/>
        <v>-4.0284360189573487E-2</v>
      </c>
      <c r="BM27" s="765">
        <f t="shared" si="1"/>
        <v>0</v>
      </c>
      <c r="BN27" s="765">
        <f t="shared" si="1"/>
        <v>-4.0078843626806804E-2</v>
      </c>
      <c r="BO27" s="765">
        <f t="shared" si="1"/>
        <v>-4.0375586854460077E-2</v>
      </c>
      <c r="BP27" s="765">
        <f t="shared" si="1"/>
        <v>-4.0284360189573487E-2</v>
      </c>
      <c r="BQ27" s="766">
        <f t="shared" si="1"/>
        <v>0</v>
      </c>
      <c r="BR27" s="550" t="str">
        <f t="array" ref="BR27">IF(MAX(ABS(AW27:BQ27))&gt;$BR$4,"EXPLAIN","")</f>
        <v/>
      </c>
    </row>
    <row r="28" spans="2:70" x14ac:dyDescent="0.2">
      <c r="B28" s="757" t="s">
        <v>711</v>
      </c>
      <c r="C28" s="234" t="str">
        <f>Prop2019DistTar!B28</f>
        <v>Non-Residential - Flexible Pricing Bulk</v>
      </c>
      <c r="D28" s="246">
        <f>SUM(Prop2019DistTar!D28,Prop2019TransTar!D28,Prop2019JSTar!D28)</f>
        <v>140</v>
      </c>
      <c r="E28" s="247">
        <f>SUM(Prop2019DistTar!E28,Prop2019TransTar!E28,Prop2019JSTar!E28)</f>
        <v>0</v>
      </c>
      <c r="F28" s="247">
        <f>SUM(Prop2019DistTar!F28,Prop2019TransTar!F28,Prop2019JSTar!F28)</f>
        <v>0</v>
      </c>
      <c r="G28" s="247">
        <f>SUM(Prop2019DistTar!G28,Prop2019TransTar!G28,Prop2019JSTar!G28)</f>
        <v>0</v>
      </c>
      <c r="H28" s="247">
        <f>SUM(Prop2019DistTar!H28,Prop2019TransTar!H28,Prop2019JSTar!H28)</f>
        <v>0</v>
      </c>
      <c r="I28" s="247">
        <f>SUM(Prop2019DistTar!I28,Prop2019TransTar!I28,Prop2019JSTar!I28)</f>
        <v>0</v>
      </c>
      <c r="J28" s="247">
        <f>SUM(Prop2019DistTar!J28,Prop2019TransTar!J28,Prop2019JSTar!J28)</f>
        <v>0</v>
      </c>
      <c r="K28" s="247">
        <f>SUM(Prop2019DistTar!K28,Prop2019TransTar!K28,Prop2019JSTar!K28)</f>
        <v>0</v>
      </c>
      <c r="L28" s="247">
        <f>SUM(Prop2019DistTar!L28,Prop2019TransTar!L28,Prop2019JSTar!L28)</f>
        <v>0</v>
      </c>
      <c r="M28" s="247">
        <f>SUM(Prop2019DistTar!M28,Prop2019TransTar!M28,Prop2019JSTar!M28)</f>
        <v>0</v>
      </c>
      <c r="N28" s="247">
        <f>SUM(Prop2019DistTar!N28,Prop2019TransTar!N28,Prop2019JSTar!N28)</f>
        <v>0</v>
      </c>
      <c r="O28" s="247">
        <f>SUM(Prop2019DistTar!O28,Prop2019TransTar!O28,Prop2019JSTar!O28)</f>
        <v>0</v>
      </c>
      <c r="P28" s="247">
        <f>SUM(Prop2019DistTar!P28,Prop2019TransTar!P28,Prop2019JSTar!P28)</f>
        <v>0</v>
      </c>
      <c r="Q28" s="247">
        <f>SUM(Prop2019DistTar!Q28,Prop2019TransTar!Q28,Prop2019JSTar!Q28)</f>
        <v>12.850000000000001</v>
      </c>
      <c r="R28" s="247">
        <f>SUM(Prop2019DistTar!R28,Prop2019TransTar!R28,Prop2019JSTar!R28)</f>
        <v>9</v>
      </c>
      <c r="S28" s="247">
        <f>SUM(Prop2019DistTar!S28,Prop2019TransTar!S28,Prop2019JSTar!S28)</f>
        <v>3.57</v>
      </c>
      <c r="T28" s="247">
        <f>SUM(Prop2019DistTar!T28,Prop2019TransTar!T28,Prop2019JSTar!T28)</f>
        <v>0</v>
      </c>
      <c r="U28" s="247">
        <f>SUM(Prop2019DistTar!U28,Prop2019TransTar!U28,Prop2019JSTar!U28)</f>
        <v>12.850000000000001</v>
      </c>
      <c r="V28" s="247">
        <f>SUM(Prop2019DistTar!V28,Prop2019TransTar!V28,Prop2019JSTar!V28)</f>
        <v>9</v>
      </c>
      <c r="W28" s="247">
        <f>SUM(Prop2019DistTar!W28,Prop2019TransTar!W28,Prop2019JSTar!W28)</f>
        <v>3.57</v>
      </c>
      <c r="X28" s="248">
        <f>SUM(Prop2019DistTar!X28,Prop2019TransTar!X28,Prop2019JSTar!X28)</f>
        <v>0</v>
      </c>
      <c r="Z28" s="650">
        <v>130</v>
      </c>
      <c r="AA28" s="651"/>
      <c r="AB28" s="651"/>
      <c r="AC28" s="651"/>
      <c r="AD28" s="651"/>
      <c r="AE28" s="651"/>
      <c r="AF28" s="651"/>
      <c r="AG28" s="651"/>
      <c r="AH28" s="651"/>
      <c r="AI28" s="651"/>
      <c r="AJ28" s="651"/>
      <c r="AK28" s="651"/>
      <c r="AL28" s="651"/>
      <c r="AM28" s="651">
        <v>12.93</v>
      </c>
      <c r="AN28" s="651">
        <v>9.0500000000000007</v>
      </c>
      <c r="AO28" s="651">
        <v>3.59</v>
      </c>
      <c r="AP28" s="651">
        <v>0</v>
      </c>
      <c r="AQ28" s="651">
        <v>12.93</v>
      </c>
      <c r="AR28" s="651">
        <v>9.0500000000000007</v>
      </c>
      <c r="AS28" s="651">
        <v>3.59</v>
      </c>
      <c r="AT28" s="652"/>
      <c r="AW28" s="764">
        <f t="shared" si="4"/>
        <v>7.6923076923076872E-2</v>
      </c>
      <c r="AX28" s="765">
        <f t="shared" si="4"/>
        <v>0</v>
      </c>
      <c r="AY28" s="765">
        <f t="shared" si="4"/>
        <v>0</v>
      </c>
      <c r="AZ28" s="765">
        <f t="shared" si="4"/>
        <v>0</v>
      </c>
      <c r="BA28" s="765">
        <f t="shared" si="4"/>
        <v>0</v>
      </c>
      <c r="BB28" s="765">
        <f t="shared" si="4"/>
        <v>0</v>
      </c>
      <c r="BC28" s="765">
        <f t="shared" si="4"/>
        <v>0</v>
      </c>
      <c r="BD28" s="765">
        <f t="shared" si="4"/>
        <v>0</v>
      </c>
      <c r="BE28" s="765">
        <f t="shared" si="4"/>
        <v>0</v>
      </c>
      <c r="BF28" s="765">
        <f t="shared" si="4"/>
        <v>0</v>
      </c>
      <c r="BG28" s="765">
        <f t="shared" si="4"/>
        <v>0</v>
      </c>
      <c r="BH28" s="765">
        <f t="shared" si="4"/>
        <v>0</v>
      </c>
      <c r="BI28" s="765">
        <f t="shared" si="4"/>
        <v>0</v>
      </c>
      <c r="BJ28" s="765">
        <f t="shared" si="4"/>
        <v>-6.1871616395976492E-3</v>
      </c>
      <c r="BK28" s="765">
        <f t="shared" si="4"/>
        <v>-5.5248618784531356E-3</v>
      </c>
      <c r="BL28" s="765">
        <f t="shared" si="3"/>
        <v>-5.5710306406685506E-3</v>
      </c>
      <c r="BM28" s="765">
        <f t="shared" si="1"/>
        <v>0</v>
      </c>
      <c r="BN28" s="765">
        <f t="shared" si="1"/>
        <v>-6.1871616395976492E-3</v>
      </c>
      <c r="BO28" s="765">
        <f t="shared" si="1"/>
        <v>-5.5248618784531356E-3</v>
      </c>
      <c r="BP28" s="765">
        <f t="shared" si="1"/>
        <v>-5.5710306406685506E-3</v>
      </c>
      <c r="BQ28" s="766">
        <f t="shared" si="1"/>
        <v>0</v>
      </c>
      <c r="BR28" s="550" t="str">
        <f t="array" ref="BR28">IF(MAX(ABS(AW28:BQ28))&gt;$BR$4,"EXPLAIN","")</f>
        <v/>
      </c>
    </row>
    <row r="29" spans="2:70" x14ac:dyDescent="0.2">
      <c r="B29" s="757" t="s">
        <v>712</v>
      </c>
      <c r="C29" s="234" t="str">
        <f>Prop2019DistTar!B29</f>
        <v>Non-Residential Two Rate 7d</v>
      </c>
      <c r="D29" s="246">
        <f>SUM(Prop2019DistTar!D29,Prop2019TransTar!D29,Prop2019JSTar!D29)</f>
        <v>150</v>
      </c>
      <c r="E29" s="247">
        <f>SUM(Prop2019DistTar!E29,Prop2019TransTar!E29,Prop2019JSTar!E29)</f>
        <v>0</v>
      </c>
      <c r="F29" s="247">
        <f>SUM(Prop2019DistTar!F29,Prop2019TransTar!F29,Prop2019JSTar!F29)</f>
        <v>9.4500000000000011</v>
      </c>
      <c r="G29" s="247">
        <f>SUM(Prop2019DistTar!G29,Prop2019TransTar!G29,Prop2019JSTar!G29)</f>
        <v>0</v>
      </c>
      <c r="H29" s="247">
        <f>SUM(Prop2019DistTar!H29,Prop2019TransTar!H29,Prop2019JSTar!H29)</f>
        <v>0</v>
      </c>
      <c r="I29" s="247">
        <f>SUM(Prop2019DistTar!I29,Prop2019TransTar!I29,Prop2019JSTar!I29)</f>
        <v>3.21</v>
      </c>
      <c r="J29" s="247">
        <f>SUM(Prop2019DistTar!J29,Prop2019TransTar!J29,Prop2019JSTar!J29)</f>
        <v>0</v>
      </c>
      <c r="K29" s="247">
        <f>SUM(Prop2019DistTar!K29,Prop2019TransTar!K29,Prop2019JSTar!K29)</f>
        <v>0</v>
      </c>
      <c r="L29" s="247">
        <f>SUM(Prop2019DistTar!L29,Prop2019TransTar!L29,Prop2019JSTar!L29)</f>
        <v>0</v>
      </c>
      <c r="M29" s="247">
        <f>SUM(Prop2019DistTar!M29,Prop2019TransTar!M29,Prop2019JSTar!M29)</f>
        <v>0</v>
      </c>
      <c r="N29" s="247">
        <f>SUM(Prop2019DistTar!N29,Prop2019TransTar!N29,Prop2019JSTar!N29)</f>
        <v>0</v>
      </c>
      <c r="O29" s="247">
        <f>SUM(Prop2019DistTar!O29,Prop2019TransTar!O29,Prop2019JSTar!O29)</f>
        <v>0</v>
      </c>
      <c r="P29" s="247">
        <f>SUM(Prop2019DistTar!P29,Prop2019TransTar!P29,Prop2019JSTar!P29)</f>
        <v>0</v>
      </c>
      <c r="Q29" s="247">
        <f>SUM(Prop2019DistTar!Q29,Prop2019TransTar!Q29,Prop2019JSTar!Q29)</f>
        <v>0</v>
      </c>
      <c r="R29" s="247">
        <f>SUM(Prop2019DistTar!R29,Prop2019TransTar!R29,Prop2019JSTar!R29)</f>
        <v>0</v>
      </c>
      <c r="S29" s="247">
        <f>SUM(Prop2019DistTar!S29,Prop2019TransTar!S29,Prop2019JSTar!S29)</f>
        <v>0</v>
      </c>
      <c r="T29" s="247">
        <f>SUM(Prop2019DistTar!T29,Prop2019TransTar!T29,Prop2019JSTar!T29)</f>
        <v>0</v>
      </c>
      <c r="U29" s="247">
        <f>SUM(Prop2019DistTar!U29,Prop2019TransTar!U29,Prop2019JSTar!U29)</f>
        <v>0</v>
      </c>
      <c r="V29" s="247">
        <f>SUM(Prop2019DistTar!V29,Prop2019TransTar!V29,Prop2019JSTar!V29)</f>
        <v>0</v>
      </c>
      <c r="W29" s="247">
        <f>SUM(Prop2019DistTar!W29,Prop2019TransTar!W29,Prop2019JSTar!W29)</f>
        <v>0</v>
      </c>
      <c r="X29" s="248">
        <f>SUM(Prop2019DistTar!X29,Prop2019TransTar!X29,Prop2019JSTar!X29)</f>
        <v>0</v>
      </c>
      <c r="Z29" s="650">
        <v>150</v>
      </c>
      <c r="AA29" s="651"/>
      <c r="AB29" s="651">
        <v>9.84</v>
      </c>
      <c r="AC29" s="651"/>
      <c r="AD29" s="651"/>
      <c r="AE29" s="651">
        <v>3.34</v>
      </c>
      <c r="AF29" s="651"/>
      <c r="AG29" s="651"/>
      <c r="AH29" s="651"/>
      <c r="AI29" s="651"/>
      <c r="AJ29" s="651"/>
      <c r="AK29" s="651"/>
      <c r="AL29" s="651"/>
      <c r="AM29" s="651"/>
      <c r="AN29" s="651"/>
      <c r="AO29" s="651"/>
      <c r="AP29" s="651"/>
      <c r="AQ29" s="651"/>
      <c r="AR29" s="651"/>
      <c r="AS29" s="651"/>
      <c r="AT29" s="652"/>
      <c r="AW29" s="764">
        <f t="shared" si="4"/>
        <v>0</v>
      </c>
      <c r="AX29" s="765">
        <f t="shared" si="4"/>
        <v>0</v>
      </c>
      <c r="AY29" s="765">
        <f t="shared" si="4"/>
        <v>-3.9634146341463339E-2</v>
      </c>
      <c r="AZ29" s="765">
        <f t="shared" si="4"/>
        <v>0</v>
      </c>
      <c r="BA29" s="765">
        <f t="shared" si="4"/>
        <v>0</v>
      </c>
      <c r="BB29" s="765">
        <f t="shared" si="4"/>
        <v>-3.8922155688622673E-2</v>
      </c>
      <c r="BC29" s="765">
        <f t="shared" si="4"/>
        <v>0</v>
      </c>
      <c r="BD29" s="765">
        <f t="shared" si="4"/>
        <v>0</v>
      </c>
      <c r="BE29" s="765">
        <f t="shared" si="4"/>
        <v>0</v>
      </c>
      <c r="BF29" s="765">
        <f t="shared" si="4"/>
        <v>0</v>
      </c>
      <c r="BG29" s="765">
        <f t="shared" si="4"/>
        <v>0</v>
      </c>
      <c r="BH29" s="765">
        <f t="shared" si="4"/>
        <v>0</v>
      </c>
      <c r="BI29" s="765">
        <f t="shared" si="4"/>
        <v>0</v>
      </c>
      <c r="BJ29" s="765">
        <f t="shared" si="4"/>
        <v>0</v>
      </c>
      <c r="BK29" s="765">
        <f t="shared" si="4"/>
        <v>0</v>
      </c>
      <c r="BL29" s="765">
        <f t="shared" si="3"/>
        <v>0</v>
      </c>
      <c r="BM29" s="765">
        <f t="shared" si="1"/>
        <v>0</v>
      </c>
      <c r="BN29" s="765">
        <f t="shared" si="1"/>
        <v>0</v>
      </c>
      <c r="BO29" s="765">
        <f t="shared" si="1"/>
        <v>0</v>
      </c>
      <c r="BP29" s="765">
        <f t="shared" si="1"/>
        <v>0</v>
      </c>
      <c r="BQ29" s="766">
        <f t="shared" si="1"/>
        <v>0</v>
      </c>
      <c r="BR29" s="550" t="str">
        <f t="array" ref="BR29">IF(MAX(ABS(AW29:BQ29))&gt;$BR$4,"EXPLAIN","")</f>
        <v/>
      </c>
    </row>
    <row r="30" spans="2:70" x14ac:dyDescent="0.2">
      <c r="B30" s="757" t="s">
        <v>713</v>
      </c>
      <c r="C30" s="234" t="str">
        <f>Prop2019DistTar!B30</f>
        <v>Non-Residential Two Rate 7d - Bulk</v>
      </c>
      <c r="D30" s="246">
        <f>SUM(Prop2019DistTar!D30,Prop2019TransTar!D30,Prop2019JSTar!D30)</f>
        <v>140</v>
      </c>
      <c r="E30" s="247">
        <f>SUM(Prop2019DistTar!E30,Prop2019TransTar!E30,Prop2019JSTar!E30)</f>
        <v>0</v>
      </c>
      <c r="F30" s="247">
        <f>SUM(Prop2019DistTar!F30,Prop2019TransTar!F30,Prop2019JSTar!F30)</f>
        <v>8.41</v>
      </c>
      <c r="G30" s="247">
        <f>SUM(Prop2019DistTar!G30,Prop2019TransTar!G30,Prop2019JSTar!G30)</f>
        <v>0</v>
      </c>
      <c r="H30" s="247">
        <f>SUM(Prop2019DistTar!H30,Prop2019TransTar!H30,Prop2019JSTar!H30)</f>
        <v>0</v>
      </c>
      <c r="I30" s="247">
        <f>SUM(Prop2019DistTar!I30,Prop2019TransTar!I30,Prop2019JSTar!I30)</f>
        <v>2.8599999999999994</v>
      </c>
      <c r="J30" s="247">
        <f>SUM(Prop2019DistTar!J30,Prop2019TransTar!J30,Prop2019JSTar!J30)</f>
        <v>0</v>
      </c>
      <c r="K30" s="247">
        <f>SUM(Prop2019DistTar!K30,Prop2019TransTar!K30,Prop2019JSTar!K30)</f>
        <v>0</v>
      </c>
      <c r="L30" s="247">
        <f>SUM(Prop2019DistTar!L30,Prop2019TransTar!L30,Prop2019JSTar!L30)</f>
        <v>0</v>
      </c>
      <c r="M30" s="247">
        <f>SUM(Prop2019DistTar!M30,Prop2019TransTar!M30,Prop2019JSTar!M30)</f>
        <v>0</v>
      </c>
      <c r="N30" s="247">
        <f>SUM(Prop2019DistTar!N30,Prop2019TransTar!N30,Prop2019JSTar!N30)</f>
        <v>0</v>
      </c>
      <c r="O30" s="247">
        <f>SUM(Prop2019DistTar!O30,Prop2019TransTar!O30,Prop2019JSTar!O30)</f>
        <v>0</v>
      </c>
      <c r="P30" s="247">
        <f>SUM(Prop2019DistTar!P30,Prop2019TransTar!P30,Prop2019JSTar!P30)</f>
        <v>0</v>
      </c>
      <c r="Q30" s="247">
        <f>SUM(Prop2019DistTar!Q30,Prop2019TransTar!Q30,Prop2019JSTar!Q30)</f>
        <v>0</v>
      </c>
      <c r="R30" s="247">
        <f>SUM(Prop2019DistTar!R30,Prop2019TransTar!R30,Prop2019JSTar!R30)</f>
        <v>0</v>
      </c>
      <c r="S30" s="247">
        <f>SUM(Prop2019DistTar!S30,Prop2019TransTar!S30,Prop2019JSTar!S30)</f>
        <v>0</v>
      </c>
      <c r="T30" s="247">
        <f>SUM(Prop2019DistTar!T30,Prop2019TransTar!T30,Prop2019JSTar!T30)</f>
        <v>0</v>
      </c>
      <c r="U30" s="247">
        <f>SUM(Prop2019DistTar!U30,Prop2019TransTar!U30,Prop2019JSTar!U30)</f>
        <v>0</v>
      </c>
      <c r="V30" s="247">
        <f>SUM(Prop2019DistTar!V30,Prop2019TransTar!V30,Prop2019JSTar!V30)</f>
        <v>0</v>
      </c>
      <c r="W30" s="247">
        <f>SUM(Prop2019DistTar!W30,Prop2019TransTar!W30,Prop2019JSTar!W30)</f>
        <v>0</v>
      </c>
      <c r="X30" s="248">
        <f>SUM(Prop2019DistTar!X30,Prop2019TransTar!X30,Prop2019JSTar!X30)</f>
        <v>0</v>
      </c>
      <c r="Z30" s="650">
        <v>130</v>
      </c>
      <c r="AA30" s="651"/>
      <c r="AB30" s="651">
        <v>8.49</v>
      </c>
      <c r="AC30" s="651"/>
      <c r="AD30" s="651"/>
      <c r="AE30" s="651">
        <v>2.5099999999999998</v>
      </c>
      <c r="AF30" s="651"/>
      <c r="AG30" s="651"/>
      <c r="AH30" s="651"/>
      <c r="AI30" s="651"/>
      <c r="AJ30" s="651"/>
      <c r="AK30" s="651"/>
      <c r="AL30" s="651"/>
      <c r="AM30" s="651"/>
      <c r="AN30" s="651"/>
      <c r="AO30" s="651"/>
      <c r="AP30" s="651"/>
      <c r="AQ30" s="651"/>
      <c r="AR30" s="651"/>
      <c r="AS30" s="651"/>
      <c r="AT30" s="652"/>
      <c r="AW30" s="764">
        <f t="shared" si="4"/>
        <v>7.6923076923076872E-2</v>
      </c>
      <c r="AX30" s="765">
        <f t="shared" si="4"/>
        <v>0</v>
      </c>
      <c r="AY30" s="765">
        <f t="shared" si="4"/>
        <v>-9.4228504122496615E-3</v>
      </c>
      <c r="AZ30" s="765">
        <f t="shared" si="4"/>
        <v>0</v>
      </c>
      <c r="BA30" s="765">
        <f t="shared" si="4"/>
        <v>0</v>
      </c>
      <c r="BB30" s="765">
        <f t="shared" si="4"/>
        <v>0.13944223107569709</v>
      </c>
      <c r="BC30" s="765">
        <f t="shared" si="4"/>
        <v>0</v>
      </c>
      <c r="BD30" s="765">
        <f t="shared" si="4"/>
        <v>0</v>
      </c>
      <c r="BE30" s="765">
        <f t="shared" si="4"/>
        <v>0</v>
      </c>
      <c r="BF30" s="765">
        <f t="shared" si="4"/>
        <v>0</v>
      </c>
      <c r="BG30" s="765">
        <f t="shared" si="4"/>
        <v>0</v>
      </c>
      <c r="BH30" s="765">
        <f t="shared" si="4"/>
        <v>0</v>
      </c>
      <c r="BI30" s="765">
        <f t="shared" si="4"/>
        <v>0</v>
      </c>
      <c r="BJ30" s="765">
        <f t="shared" si="4"/>
        <v>0</v>
      </c>
      <c r="BK30" s="765">
        <f t="shared" si="4"/>
        <v>0</v>
      </c>
      <c r="BL30" s="765">
        <f t="shared" si="3"/>
        <v>0</v>
      </c>
      <c r="BM30" s="765">
        <f t="shared" si="1"/>
        <v>0</v>
      </c>
      <c r="BN30" s="765">
        <f t="shared" si="1"/>
        <v>0</v>
      </c>
      <c r="BO30" s="765">
        <f t="shared" si="1"/>
        <v>0</v>
      </c>
      <c r="BP30" s="765">
        <f t="shared" si="1"/>
        <v>0</v>
      </c>
      <c r="BQ30" s="766">
        <f t="shared" si="1"/>
        <v>0</v>
      </c>
      <c r="BR30" s="550" t="str">
        <f t="array" ref="BR30">IF(MAX(ABS(AW30:BQ30))&gt;$BR$4,"EXPLAIN","")</f>
        <v>EXPLAIN</v>
      </c>
    </row>
    <row r="31" spans="2:70" x14ac:dyDescent="0.2">
      <c r="B31" s="757" t="s">
        <v>714</v>
      </c>
      <c r="C31" s="234" t="str">
        <f>Prop2019DistTar!B31</f>
        <v>Large Two Rate 7d</v>
      </c>
      <c r="D31" s="246">
        <f>SUM(Prop2019DistTar!D31,Prop2019TransTar!D31,Prop2019JSTar!D31)</f>
        <v>150</v>
      </c>
      <c r="E31" s="247">
        <f>SUM(Prop2019DistTar!E31,Prop2019TransTar!E31,Prop2019JSTar!E31)</f>
        <v>0</v>
      </c>
      <c r="F31" s="247">
        <f>SUM(Prop2019DistTar!F31,Prop2019TransTar!F31,Prop2019JSTar!F31)</f>
        <v>12.000000000000002</v>
      </c>
      <c r="G31" s="247">
        <f>SUM(Prop2019DistTar!G31,Prop2019TransTar!G31,Prop2019JSTar!G31)</f>
        <v>0</v>
      </c>
      <c r="H31" s="247">
        <f>SUM(Prop2019DistTar!H31,Prop2019TransTar!H31,Prop2019JSTar!H31)</f>
        <v>0</v>
      </c>
      <c r="I31" s="247">
        <f>SUM(Prop2019DistTar!I31,Prop2019TransTar!I31,Prop2019JSTar!I31)</f>
        <v>3.4899999999999998</v>
      </c>
      <c r="J31" s="247">
        <f>SUM(Prop2019DistTar!J31,Prop2019TransTar!J31,Prop2019JSTar!J31)</f>
        <v>0</v>
      </c>
      <c r="K31" s="247">
        <f>SUM(Prop2019DistTar!K31,Prop2019TransTar!K31,Prop2019JSTar!K31)</f>
        <v>0</v>
      </c>
      <c r="L31" s="247">
        <f>SUM(Prop2019DistTar!L31,Prop2019TransTar!L31,Prop2019JSTar!L31)</f>
        <v>0</v>
      </c>
      <c r="M31" s="247">
        <f>SUM(Prop2019DistTar!M31,Prop2019TransTar!M31,Prop2019JSTar!M31)</f>
        <v>0</v>
      </c>
      <c r="N31" s="247">
        <f>SUM(Prop2019DistTar!N31,Prop2019TransTar!N31,Prop2019JSTar!N31)</f>
        <v>0</v>
      </c>
      <c r="O31" s="247">
        <f>SUM(Prop2019DistTar!O31,Prop2019TransTar!O31,Prop2019JSTar!O31)</f>
        <v>0</v>
      </c>
      <c r="P31" s="247">
        <f>SUM(Prop2019DistTar!P31,Prop2019TransTar!P31,Prop2019JSTar!P31)</f>
        <v>0</v>
      </c>
      <c r="Q31" s="247">
        <f>SUM(Prop2019DistTar!Q31,Prop2019TransTar!Q31,Prop2019JSTar!Q31)</f>
        <v>0</v>
      </c>
      <c r="R31" s="247">
        <f>SUM(Prop2019DistTar!R31,Prop2019TransTar!R31,Prop2019JSTar!R31)</f>
        <v>0</v>
      </c>
      <c r="S31" s="247">
        <f>SUM(Prop2019DistTar!S31,Prop2019TransTar!S31,Prop2019JSTar!S31)</f>
        <v>0</v>
      </c>
      <c r="T31" s="247">
        <f>SUM(Prop2019DistTar!T31,Prop2019TransTar!T31,Prop2019JSTar!T31)</f>
        <v>0</v>
      </c>
      <c r="U31" s="247">
        <f>SUM(Prop2019DistTar!U31,Prop2019TransTar!U31,Prop2019JSTar!U31)</f>
        <v>0</v>
      </c>
      <c r="V31" s="247">
        <f>SUM(Prop2019DistTar!V31,Prop2019TransTar!V31,Prop2019JSTar!V31)</f>
        <v>0</v>
      </c>
      <c r="W31" s="247">
        <f>SUM(Prop2019DistTar!W31,Prop2019TransTar!W31,Prop2019JSTar!W31)</f>
        <v>0</v>
      </c>
      <c r="X31" s="248">
        <f>SUM(Prop2019DistTar!X31,Prop2019TransTar!X31,Prop2019JSTar!X31)</f>
        <v>0</v>
      </c>
      <c r="Z31" s="650">
        <v>150</v>
      </c>
      <c r="AA31" s="651"/>
      <c r="AB31" s="651">
        <v>12.49</v>
      </c>
      <c r="AC31" s="651"/>
      <c r="AD31" s="651"/>
      <c r="AE31" s="651">
        <v>3.34</v>
      </c>
      <c r="AF31" s="651"/>
      <c r="AG31" s="651"/>
      <c r="AH31" s="651"/>
      <c r="AI31" s="651"/>
      <c r="AJ31" s="651"/>
      <c r="AK31" s="651"/>
      <c r="AL31" s="651"/>
      <c r="AM31" s="651"/>
      <c r="AN31" s="651"/>
      <c r="AO31" s="651"/>
      <c r="AP31" s="651"/>
      <c r="AQ31" s="651"/>
      <c r="AR31" s="651"/>
      <c r="AS31" s="651"/>
      <c r="AT31" s="652"/>
      <c r="AW31" s="764">
        <f t="shared" si="4"/>
        <v>0</v>
      </c>
      <c r="AX31" s="765">
        <f t="shared" si="4"/>
        <v>0</v>
      </c>
      <c r="AY31" s="765">
        <f t="shared" si="4"/>
        <v>-3.9231385108086325E-2</v>
      </c>
      <c r="AZ31" s="765">
        <f t="shared" si="4"/>
        <v>0</v>
      </c>
      <c r="BA31" s="765">
        <f t="shared" si="4"/>
        <v>0</v>
      </c>
      <c r="BB31" s="765">
        <f t="shared" si="4"/>
        <v>4.4910179640718528E-2</v>
      </c>
      <c r="BC31" s="765">
        <f t="shared" si="4"/>
        <v>0</v>
      </c>
      <c r="BD31" s="765">
        <f t="shared" si="4"/>
        <v>0</v>
      </c>
      <c r="BE31" s="765">
        <f t="shared" si="4"/>
        <v>0</v>
      </c>
      <c r="BF31" s="765">
        <f t="shared" si="4"/>
        <v>0</v>
      </c>
      <c r="BG31" s="765">
        <f t="shared" si="4"/>
        <v>0</v>
      </c>
      <c r="BH31" s="765">
        <f t="shared" si="4"/>
        <v>0</v>
      </c>
      <c r="BI31" s="765">
        <f t="shared" si="4"/>
        <v>0</v>
      </c>
      <c r="BJ31" s="765">
        <f t="shared" si="4"/>
        <v>0</v>
      </c>
      <c r="BK31" s="765">
        <f t="shared" si="4"/>
        <v>0</v>
      </c>
      <c r="BL31" s="765">
        <f t="shared" si="3"/>
        <v>0</v>
      </c>
      <c r="BM31" s="765">
        <f t="shared" si="1"/>
        <v>0</v>
      </c>
      <c r="BN31" s="765">
        <f t="shared" si="1"/>
        <v>0</v>
      </c>
      <c r="BO31" s="765">
        <f t="shared" si="1"/>
        <v>0</v>
      </c>
      <c r="BP31" s="765">
        <f t="shared" si="1"/>
        <v>0</v>
      </c>
      <c r="BQ31" s="766">
        <f t="shared" si="1"/>
        <v>0</v>
      </c>
      <c r="BR31" s="550" t="str">
        <f t="array" ref="BR31">IF(MAX(ABS(AW31:BQ31))&gt;$BR$4,"EXPLAIN","")</f>
        <v/>
      </c>
    </row>
    <row r="32" spans="2:70" x14ac:dyDescent="0.2">
      <c r="B32" s="757" t="s">
        <v>715</v>
      </c>
      <c r="C32" s="234" t="str">
        <f>Prop2019DistTar!B32</f>
        <v>Non-Residential Demand Tariff</v>
      </c>
      <c r="D32" s="246">
        <f>SUM(Prop2019DistTar!D32,Prop2019TransTar!D32,Prop2019JSTar!D32)</f>
        <v>150</v>
      </c>
      <c r="E32" s="247">
        <f>SUM(Prop2019DistTar!E32,Prop2019TransTar!E32,Prop2019JSTar!E32)</f>
        <v>4.41</v>
      </c>
      <c r="F32" s="247">
        <f>SUM(Prop2019DistTar!F32,Prop2019TransTar!F32,Prop2019JSTar!F32)</f>
        <v>0</v>
      </c>
      <c r="G32" s="247">
        <f>SUM(Prop2019DistTar!G32,Prop2019TransTar!G32,Prop2019JSTar!G32)</f>
        <v>0</v>
      </c>
      <c r="H32" s="247">
        <f>SUM(Prop2019DistTar!H32,Prop2019TransTar!H32,Prop2019JSTar!H32)</f>
        <v>0</v>
      </c>
      <c r="I32" s="247">
        <f>SUM(Prop2019DistTar!I32,Prop2019TransTar!I32,Prop2019JSTar!I32)</f>
        <v>0</v>
      </c>
      <c r="J32" s="247">
        <f>SUM(Prop2019DistTar!J32,Prop2019TransTar!J32,Prop2019JSTar!J32)</f>
        <v>0</v>
      </c>
      <c r="K32" s="247">
        <f>SUM(Prop2019DistTar!K32,Prop2019TransTar!K32,Prop2019JSTar!K32)</f>
        <v>0</v>
      </c>
      <c r="L32" s="247">
        <f>SUM(Prop2019DistTar!L32,Prop2019TransTar!L32,Prop2019JSTar!L32)</f>
        <v>0</v>
      </c>
      <c r="M32" s="247">
        <f>SUM(Prop2019DistTar!M32,Prop2019TransTar!M32,Prop2019JSTar!M32)</f>
        <v>0</v>
      </c>
      <c r="N32" s="247">
        <f>SUM(Prop2019DistTar!N32,Prop2019TransTar!N32,Prop2019JSTar!N32)</f>
        <v>0</v>
      </c>
      <c r="O32" s="247">
        <f>SUM(Prop2019DistTar!O32,Prop2019TransTar!O32,Prop2019JSTar!O32)</f>
        <v>13.91</v>
      </c>
      <c r="P32" s="247">
        <f>SUM(Prop2019DistTar!P32,Prop2019TransTar!P32,Prop2019JSTar!P32)</f>
        <v>4.6399999999999997</v>
      </c>
      <c r="Q32" s="247">
        <f>SUM(Prop2019DistTar!Q32,Prop2019TransTar!Q32,Prop2019JSTar!Q32)</f>
        <v>0</v>
      </c>
      <c r="R32" s="247">
        <f>SUM(Prop2019DistTar!R32,Prop2019TransTar!R32,Prop2019JSTar!R32)</f>
        <v>0</v>
      </c>
      <c r="S32" s="247">
        <f>SUM(Prop2019DistTar!S32,Prop2019TransTar!S32,Prop2019JSTar!S32)</f>
        <v>0</v>
      </c>
      <c r="T32" s="247">
        <f>SUM(Prop2019DistTar!T32,Prop2019TransTar!T32,Prop2019JSTar!T32)</f>
        <v>0</v>
      </c>
      <c r="U32" s="247">
        <f>SUM(Prop2019DistTar!U32,Prop2019TransTar!U32,Prop2019JSTar!U32)</f>
        <v>0</v>
      </c>
      <c r="V32" s="247">
        <f>SUM(Prop2019DistTar!V32,Prop2019TransTar!V32,Prop2019JSTar!V32)</f>
        <v>0</v>
      </c>
      <c r="W32" s="247">
        <f>SUM(Prop2019DistTar!W32,Prop2019TransTar!W32,Prop2019JSTar!W32)</f>
        <v>0</v>
      </c>
      <c r="X32" s="248">
        <f>SUM(Prop2019DistTar!X32,Prop2019TransTar!X32,Prop2019JSTar!X32)</f>
        <v>0</v>
      </c>
      <c r="Z32" s="650">
        <v>150</v>
      </c>
      <c r="AA32" s="651">
        <v>4.59</v>
      </c>
      <c r="AB32" s="651"/>
      <c r="AC32" s="651"/>
      <c r="AD32" s="651"/>
      <c r="AE32" s="651"/>
      <c r="AF32" s="651"/>
      <c r="AG32" s="651"/>
      <c r="AH32" s="651"/>
      <c r="AI32" s="651"/>
      <c r="AJ32" s="651"/>
      <c r="AK32" s="651">
        <v>14.49</v>
      </c>
      <c r="AL32" s="651">
        <v>4.83</v>
      </c>
      <c r="AM32" s="651"/>
      <c r="AN32" s="651"/>
      <c r="AO32" s="651"/>
      <c r="AP32" s="651"/>
      <c r="AQ32" s="651"/>
      <c r="AR32" s="651"/>
      <c r="AS32" s="651"/>
      <c r="AT32" s="652"/>
      <c r="AW32" s="764">
        <f t="shared" si="4"/>
        <v>0</v>
      </c>
      <c r="AX32" s="765">
        <f t="shared" si="4"/>
        <v>-3.9215686274509776E-2</v>
      </c>
      <c r="AY32" s="765">
        <f t="shared" si="4"/>
        <v>0</v>
      </c>
      <c r="AZ32" s="765">
        <f t="shared" si="4"/>
        <v>0</v>
      </c>
      <c r="BA32" s="765">
        <f t="shared" si="4"/>
        <v>0</v>
      </c>
      <c r="BB32" s="765">
        <f t="shared" si="4"/>
        <v>0</v>
      </c>
      <c r="BC32" s="765">
        <f t="shared" si="4"/>
        <v>0</v>
      </c>
      <c r="BD32" s="765">
        <f t="shared" si="4"/>
        <v>0</v>
      </c>
      <c r="BE32" s="765">
        <f t="shared" si="4"/>
        <v>0</v>
      </c>
      <c r="BF32" s="765">
        <f t="shared" si="4"/>
        <v>0</v>
      </c>
      <c r="BG32" s="765">
        <f t="shared" si="4"/>
        <v>0</v>
      </c>
      <c r="BH32" s="765">
        <f t="shared" si="4"/>
        <v>-4.00276052449966E-2</v>
      </c>
      <c r="BI32" s="765">
        <f t="shared" si="4"/>
        <v>-3.9337474120082927E-2</v>
      </c>
      <c r="BJ32" s="765">
        <f t="shared" si="4"/>
        <v>0</v>
      </c>
      <c r="BK32" s="765">
        <f t="shared" si="4"/>
        <v>0</v>
      </c>
      <c r="BL32" s="765">
        <f t="shared" si="3"/>
        <v>0</v>
      </c>
      <c r="BM32" s="765">
        <f t="shared" si="1"/>
        <v>0</v>
      </c>
      <c r="BN32" s="765">
        <f t="shared" si="1"/>
        <v>0</v>
      </c>
      <c r="BO32" s="765">
        <f t="shared" si="1"/>
        <v>0</v>
      </c>
      <c r="BP32" s="765">
        <f t="shared" si="1"/>
        <v>0</v>
      </c>
      <c r="BQ32" s="766">
        <f t="shared" si="1"/>
        <v>0</v>
      </c>
      <c r="BR32" s="550" t="str">
        <f t="array" ref="BR32">IF(MAX(ABS(AW32:BQ32))&gt;$BR$4,"EXPLAIN","")</f>
        <v/>
      </c>
    </row>
    <row r="33" spans="2:70" x14ac:dyDescent="0.2">
      <c r="B33" s="757" t="s">
        <v>716</v>
      </c>
      <c r="C33" s="234" t="str">
        <f>Prop2019DistTar!B33</f>
        <v>Non-Residential Bulk Demand Tariff</v>
      </c>
      <c r="D33" s="246">
        <f>SUM(Prop2019DistTar!D33,Prop2019TransTar!D33,Prop2019JSTar!D33)</f>
        <v>140</v>
      </c>
      <c r="E33" s="247">
        <f>SUM(Prop2019DistTar!E33,Prop2019TransTar!E33,Prop2019JSTar!E33)</f>
        <v>4.05</v>
      </c>
      <c r="F33" s="247">
        <f>SUM(Prop2019DistTar!F33,Prop2019TransTar!F33,Prop2019JSTar!F33)</f>
        <v>0</v>
      </c>
      <c r="G33" s="247">
        <f>SUM(Prop2019DistTar!G33,Prop2019TransTar!G33,Prop2019JSTar!G33)</f>
        <v>0</v>
      </c>
      <c r="H33" s="247">
        <f>SUM(Prop2019DistTar!H33,Prop2019TransTar!H33,Prop2019JSTar!H33)</f>
        <v>0</v>
      </c>
      <c r="I33" s="247">
        <f>SUM(Prop2019DistTar!I33,Prop2019TransTar!I33,Prop2019JSTar!I33)</f>
        <v>0</v>
      </c>
      <c r="J33" s="247">
        <f>SUM(Prop2019DistTar!J33,Prop2019TransTar!J33,Prop2019JSTar!J33)</f>
        <v>0</v>
      </c>
      <c r="K33" s="247">
        <f>SUM(Prop2019DistTar!K33,Prop2019TransTar!K33,Prop2019JSTar!K33)</f>
        <v>0</v>
      </c>
      <c r="L33" s="247">
        <f>SUM(Prop2019DistTar!L33,Prop2019TransTar!L33,Prop2019JSTar!L33)</f>
        <v>0</v>
      </c>
      <c r="M33" s="247">
        <f>SUM(Prop2019DistTar!M33,Prop2019TransTar!M33,Prop2019JSTar!M33)</f>
        <v>0</v>
      </c>
      <c r="N33" s="247">
        <f>SUM(Prop2019DistTar!N33,Prop2019TransTar!N33,Prop2019JSTar!N33)</f>
        <v>0</v>
      </c>
      <c r="O33" s="247">
        <f>SUM(Prop2019DistTar!O33,Prop2019TransTar!O33,Prop2019JSTar!O33)</f>
        <v>11.129999999999999</v>
      </c>
      <c r="P33" s="247">
        <f>SUM(Prop2019DistTar!P33,Prop2019TransTar!P33,Prop2019JSTar!P33)</f>
        <v>3.71</v>
      </c>
      <c r="Q33" s="247">
        <f>SUM(Prop2019DistTar!Q33,Prop2019TransTar!Q33,Prop2019JSTar!Q33)</f>
        <v>0</v>
      </c>
      <c r="R33" s="247">
        <f>SUM(Prop2019DistTar!R33,Prop2019TransTar!R33,Prop2019JSTar!R33)</f>
        <v>0</v>
      </c>
      <c r="S33" s="247">
        <f>SUM(Prop2019DistTar!S33,Prop2019TransTar!S33,Prop2019JSTar!S33)</f>
        <v>0</v>
      </c>
      <c r="T33" s="247">
        <f>SUM(Prop2019DistTar!T33,Prop2019TransTar!T33,Prop2019JSTar!T33)</f>
        <v>0</v>
      </c>
      <c r="U33" s="247">
        <f>SUM(Prop2019DistTar!U33,Prop2019TransTar!U33,Prop2019JSTar!U33)</f>
        <v>0</v>
      </c>
      <c r="V33" s="247">
        <f>SUM(Prop2019DistTar!V33,Prop2019TransTar!V33,Prop2019JSTar!V33)</f>
        <v>0</v>
      </c>
      <c r="W33" s="247">
        <f>SUM(Prop2019DistTar!W33,Prop2019TransTar!W33,Prop2019JSTar!W33)</f>
        <v>0</v>
      </c>
      <c r="X33" s="248">
        <f>SUM(Prop2019DistTar!X33,Prop2019TransTar!X33,Prop2019JSTar!X33)</f>
        <v>0</v>
      </c>
      <c r="Z33" s="650">
        <v>130</v>
      </c>
      <c r="AA33" s="651">
        <v>4.13</v>
      </c>
      <c r="AB33" s="651"/>
      <c r="AC33" s="651"/>
      <c r="AD33" s="651"/>
      <c r="AE33" s="651"/>
      <c r="AF33" s="651"/>
      <c r="AG33" s="651"/>
      <c r="AH33" s="651"/>
      <c r="AI33" s="651"/>
      <c r="AJ33" s="651"/>
      <c r="AK33" s="651">
        <v>10.87</v>
      </c>
      <c r="AL33" s="651">
        <v>3.62</v>
      </c>
      <c r="AM33" s="651"/>
      <c r="AN33" s="651"/>
      <c r="AO33" s="651"/>
      <c r="AP33" s="651"/>
      <c r="AQ33" s="651"/>
      <c r="AR33" s="651"/>
      <c r="AS33" s="651"/>
      <c r="AT33" s="652"/>
      <c r="AW33" s="764">
        <f t="shared" si="4"/>
        <v>7.6923076923076872E-2</v>
      </c>
      <c r="AX33" s="765">
        <f t="shared" si="4"/>
        <v>-1.937046004842613E-2</v>
      </c>
      <c r="AY33" s="765">
        <f t="shared" si="4"/>
        <v>0</v>
      </c>
      <c r="AZ33" s="765">
        <f t="shared" si="4"/>
        <v>0</v>
      </c>
      <c r="BA33" s="765">
        <f t="shared" si="4"/>
        <v>0</v>
      </c>
      <c r="BB33" s="765">
        <f t="shared" si="4"/>
        <v>0</v>
      </c>
      <c r="BC33" s="765">
        <f t="shared" si="4"/>
        <v>0</v>
      </c>
      <c r="BD33" s="765">
        <f t="shared" si="4"/>
        <v>0</v>
      </c>
      <c r="BE33" s="765">
        <f t="shared" si="4"/>
        <v>0</v>
      </c>
      <c r="BF33" s="765">
        <f t="shared" si="4"/>
        <v>0</v>
      </c>
      <c r="BG33" s="765">
        <f t="shared" si="4"/>
        <v>0</v>
      </c>
      <c r="BH33" s="765">
        <f t="shared" si="4"/>
        <v>2.3919043238270543E-2</v>
      </c>
      <c r="BI33" s="765">
        <f t="shared" si="4"/>
        <v>2.4861878453038555E-2</v>
      </c>
      <c r="BJ33" s="765">
        <f t="shared" si="4"/>
        <v>0</v>
      </c>
      <c r="BK33" s="765">
        <f t="shared" si="4"/>
        <v>0</v>
      </c>
      <c r="BL33" s="765">
        <f t="shared" si="3"/>
        <v>0</v>
      </c>
      <c r="BM33" s="765">
        <f t="shared" si="1"/>
        <v>0</v>
      </c>
      <c r="BN33" s="765">
        <f t="shared" si="1"/>
        <v>0</v>
      </c>
      <c r="BO33" s="765">
        <f t="shared" si="1"/>
        <v>0</v>
      </c>
      <c r="BP33" s="765">
        <f t="shared" si="1"/>
        <v>0</v>
      </c>
      <c r="BQ33" s="766">
        <f t="shared" si="1"/>
        <v>0</v>
      </c>
      <c r="BR33" s="550" t="str">
        <f t="array" ref="BR33">IF(MAX(ABS(AW33:BQ33))&gt;$BR$4,"EXPLAIN","")</f>
        <v/>
      </c>
    </row>
    <row r="34" spans="2:70" x14ac:dyDescent="0.2">
      <c r="B34" s="757" t="s">
        <v>717</v>
      </c>
      <c r="C34" s="234" t="str">
        <f>Prop2019DistTar!B34</f>
        <v>Medium Business Demand</v>
      </c>
      <c r="D34" s="246">
        <f>SUM(Prop2019DistTar!D34,Prop2019TransTar!D34,Prop2019JSTar!D34)</f>
        <v>1000</v>
      </c>
      <c r="E34" s="247">
        <f>SUM(Prop2019DistTar!E34,Prop2019TransTar!E34,Prop2019JSTar!E34)</f>
        <v>0</v>
      </c>
      <c r="F34" s="247">
        <f>SUM(Prop2019DistTar!F34,Prop2019TransTar!F34,Prop2019JSTar!F34)</f>
        <v>5.79</v>
      </c>
      <c r="G34" s="247">
        <f>SUM(Prop2019DistTar!G34,Prop2019TransTar!G34,Prop2019JSTar!G34)</f>
        <v>0</v>
      </c>
      <c r="H34" s="247">
        <f>SUM(Prop2019DistTar!H34,Prop2019TransTar!H34,Prop2019JSTar!H34)</f>
        <v>0</v>
      </c>
      <c r="I34" s="247">
        <f>SUM(Prop2019DistTar!I34,Prop2019TransTar!I34,Prop2019JSTar!I34)</f>
        <v>4.43</v>
      </c>
      <c r="J34" s="247">
        <f>SUM(Prop2019DistTar!J34,Prop2019TransTar!J34,Prop2019JSTar!J34)</f>
        <v>0</v>
      </c>
      <c r="K34" s="247">
        <f>SUM(Prop2019DistTar!K34,Prop2019TransTar!K34,Prop2019JSTar!K34)</f>
        <v>0</v>
      </c>
      <c r="L34" s="247">
        <f>SUM(Prop2019DistTar!L34,Prop2019TransTar!L34,Prop2019JSTar!L34)</f>
        <v>0</v>
      </c>
      <c r="M34" s="247">
        <f>SUM(Prop2019DistTar!M34,Prop2019TransTar!M34,Prop2019JSTar!M34)</f>
        <v>0</v>
      </c>
      <c r="N34" s="247">
        <f>SUM(Prop2019DistTar!N34,Prop2019TransTar!N34,Prop2019JSTar!N34)</f>
        <v>0</v>
      </c>
      <c r="O34" s="247">
        <f>SUM(Prop2019DistTar!O34,Prop2019TransTar!O34,Prop2019JSTar!O34)</f>
        <v>7.7700000000000005</v>
      </c>
      <c r="P34" s="247">
        <f>SUM(Prop2019DistTar!P34,Prop2019TransTar!P34,Prop2019JSTar!P34)</f>
        <v>3.88</v>
      </c>
      <c r="Q34" s="247">
        <f>SUM(Prop2019DistTar!Q34,Prop2019TransTar!Q34,Prop2019JSTar!Q34)</f>
        <v>0</v>
      </c>
      <c r="R34" s="247">
        <f>SUM(Prop2019DistTar!R34,Prop2019TransTar!R34,Prop2019JSTar!R34)</f>
        <v>0</v>
      </c>
      <c r="S34" s="247">
        <f>SUM(Prop2019DistTar!S34,Prop2019TransTar!S34,Prop2019JSTar!S34)</f>
        <v>0</v>
      </c>
      <c r="T34" s="247">
        <f>SUM(Prop2019DistTar!T34,Prop2019TransTar!T34,Prop2019JSTar!T34)</f>
        <v>0</v>
      </c>
      <c r="U34" s="247">
        <f>SUM(Prop2019DistTar!U34,Prop2019TransTar!U34,Prop2019JSTar!U34)</f>
        <v>0</v>
      </c>
      <c r="V34" s="247">
        <f>SUM(Prop2019DistTar!V34,Prop2019TransTar!V34,Prop2019JSTar!V34)</f>
        <v>0</v>
      </c>
      <c r="W34" s="247">
        <f>SUM(Prop2019DistTar!W34,Prop2019TransTar!W34,Prop2019JSTar!W34)</f>
        <v>0</v>
      </c>
      <c r="X34" s="248">
        <f>SUM(Prop2019DistTar!X34,Prop2019TransTar!X34,Prop2019JSTar!X34)</f>
        <v>0</v>
      </c>
      <c r="Z34" s="650">
        <v>1000</v>
      </c>
      <c r="AA34" s="651"/>
      <c r="AB34" s="651">
        <v>6</v>
      </c>
      <c r="AC34" s="651"/>
      <c r="AD34" s="651"/>
      <c r="AE34" s="651">
        <v>4.59</v>
      </c>
      <c r="AF34" s="651"/>
      <c r="AG34" s="651"/>
      <c r="AH34" s="651"/>
      <c r="AI34" s="651"/>
      <c r="AJ34" s="651"/>
      <c r="AK34" s="651">
        <v>8.0500000000000007</v>
      </c>
      <c r="AL34" s="651">
        <v>4.0199999999999996</v>
      </c>
      <c r="AM34" s="651"/>
      <c r="AN34" s="651"/>
      <c r="AO34" s="651"/>
      <c r="AP34" s="651"/>
      <c r="AQ34" s="651"/>
      <c r="AR34" s="651"/>
      <c r="AS34" s="651"/>
      <c r="AT34" s="652"/>
      <c r="AW34" s="764">
        <f t="shared" si="4"/>
        <v>0</v>
      </c>
      <c r="AX34" s="765">
        <f t="shared" si="4"/>
        <v>0</v>
      </c>
      <c r="AY34" s="765">
        <f t="shared" si="4"/>
        <v>-3.5000000000000031E-2</v>
      </c>
      <c r="AZ34" s="765">
        <f t="shared" si="4"/>
        <v>0</v>
      </c>
      <c r="BA34" s="765">
        <f t="shared" si="4"/>
        <v>0</v>
      </c>
      <c r="BB34" s="765">
        <f t="shared" si="4"/>
        <v>-3.4858387799564294E-2</v>
      </c>
      <c r="BC34" s="765">
        <f t="shared" si="4"/>
        <v>0</v>
      </c>
      <c r="BD34" s="765">
        <f t="shared" si="4"/>
        <v>0</v>
      </c>
      <c r="BE34" s="765">
        <f t="shared" si="4"/>
        <v>0</v>
      </c>
      <c r="BF34" s="765">
        <f t="shared" si="4"/>
        <v>0</v>
      </c>
      <c r="BG34" s="765">
        <f t="shared" si="4"/>
        <v>0</v>
      </c>
      <c r="BH34" s="765">
        <f t="shared" si="4"/>
        <v>-3.4782608695652195E-2</v>
      </c>
      <c r="BI34" s="765">
        <f t="shared" si="4"/>
        <v>-3.4825870646766122E-2</v>
      </c>
      <c r="BJ34" s="765">
        <f t="shared" si="4"/>
        <v>0</v>
      </c>
      <c r="BK34" s="765">
        <f t="shared" si="4"/>
        <v>0</v>
      </c>
      <c r="BL34" s="765">
        <f t="shared" si="3"/>
        <v>0</v>
      </c>
      <c r="BM34" s="765">
        <f t="shared" si="1"/>
        <v>0</v>
      </c>
      <c r="BN34" s="765">
        <f t="shared" si="1"/>
        <v>0</v>
      </c>
      <c r="BO34" s="765">
        <f t="shared" si="1"/>
        <v>0</v>
      </c>
      <c r="BP34" s="765">
        <f t="shared" si="1"/>
        <v>0</v>
      </c>
      <c r="BQ34" s="766">
        <f t="shared" si="1"/>
        <v>0</v>
      </c>
      <c r="BR34" s="550" t="str">
        <f t="array" ref="BR34">IF(MAX(ABS(AW34:BQ34))&gt;$BR$4,"EXPLAIN","")</f>
        <v/>
      </c>
    </row>
    <row r="35" spans="2:70" x14ac:dyDescent="0.2">
      <c r="B35" s="757" t="s">
        <v>718</v>
      </c>
      <c r="C35" s="234" t="str">
        <f>Prop2019DistTar!B35</f>
        <v>Medium Business Bulk Demand</v>
      </c>
      <c r="D35" s="246">
        <f>SUM(Prop2019DistTar!D35,Prop2019TransTar!D35,Prop2019JSTar!D35)</f>
        <v>975</v>
      </c>
      <c r="E35" s="247">
        <f>SUM(Prop2019DistTar!E35,Prop2019TransTar!E35,Prop2019JSTar!E35)</f>
        <v>0</v>
      </c>
      <c r="F35" s="247">
        <f>SUM(Prop2019DistTar!F35,Prop2019TransTar!F35,Prop2019JSTar!F35)</f>
        <v>4.5999999999999996</v>
      </c>
      <c r="G35" s="247">
        <f>SUM(Prop2019DistTar!G35,Prop2019TransTar!G35,Prop2019JSTar!G35)</f>
        <v>0</v>
      </c>
      <c r="H35" s="247">
        <f>SUM(Prop2019DistTar!H35,Prop2019TransTar!H35,Prop2019JSTar!H35)</f>
        <v>0</v>
      </c>
      <c r="I35" s="247">
        <f>SUM(Prop2019DistTar!I35,Prop2019TransTar!I35,Prop2019JSTar!I35)</f>
        <v>3.6799999999999997</v>
      </c>
      <c r="J35" s="247">
        <f>SUM(Prop2019DistTar!J35,Prop2019TransTar!J35,Prop2019JSTar!J35)</f>
        <v>0</v>
      </c>
      <c r="K35" s="247">
        <f>SUM(Prop2019DistTar!K35,Prop2019TransTar!K35,Prop2019JSTar!K35)</f>
        <v>0</v>
      </c>
      <c r="L35" s="247">
        <f>SUM(Prop2019DistTar!L35,Prop2019TransTar!L35,Prop2019JSTar!L35)</f>
        <v>0</v>
      </c>
      <c r="M35" s="247">
        <f>SUM(Prop2019DistTar!M35,Prop2019TransTar!M35,Prop2019JSTar!M35)</f>
        <v>0</v>
      </c>
      <c r="N35" s="247">
        <f>SUM(Prop2019DistTar!N35,Prop2019TransTar!N35,Prop2019JSTar!N35)</f>
        <v>0</v>
      </c>
      <c r="O35" s="247">
        <f>SUM(Prop2019DistTar!O35,Prop2019TransTar!O35,Prop2019JSTar!O35)</f>
        <v>6.22</v>
      </c>
      <c r="P35" s="247">
        <f>SUM(Prop2019DistTar!P35,Prop2019TransTar!P35,Prop2019JSTar!P35)</f>
        <v>3.11</v>
      </c>
      <c r="Q35" s="247">
        <f>SUM(Prop2019DistTar!Q35,Prop2019TransTar!Q35,Prop2019JSTar!Q35)</f>
        <v>0</v>
      </c>
      <c r="R35" s="247">
        <f>SUM(Prop2019DistTar!R35,Prop2019TransTar!R35,Prop2019JSTar!R35)</f>
        <v>0</v>
      </c>
      <c r="S35" s="247">
        <f>SUM(Prop2019DistTar!S35,Prop2019TransTar!S35,Prop2019JSTar!S35)</f>
        <v>0</v>
      </c>
      <c r="T35" s="247">
        <f>SUM(Prop2019DistTar!T35,Prop2019TransTar!T35,Prop2019JSTar!T35)</f>
        <v>0</v>
      </c>
      <c r="U35" s="247">
        <f>SUM(Prop2019DistTar!U35,Prop2019TransTar!U35,Prop2019JSTar!U35)</f>
        <v>0</v>
      </c>
      <c r="V35" s="247">
        <f>SUM(Prop2019DistTar!V35,Prop2019TransTar!V35,Prop2019JSTar!V35)</f>
        <v>0</v>
      </c>
      <c r="W35" s="247">
        <f>SUM(Prop2019DistTar!W35,Prop2019TransTar!W35,Prop2019JSTar!W35)</f>
        <v>0</v>
      </c>
      <c r="X35" s="248">
        <f>SUM(Prop2019DistTar!X35,Prop2019TransTar!X35,Prop2019JSTar!X35)</f>
        <v>0</v>
      </c>
      <c r="Z35" s="650">
        <v>950</v>
      </c>
      <c r="AA35" s="651"/>
      <c r="AB35" s="651">
        <v>4.46</v>
      </c>
      <c r="AC35" s="651"/>
      <c r="AD35" s="651"/>
      <c r="AE35" s="651">
        <v>3.62</v>
      </c>
      <c r="AF35" s="651"/>
      <c r="AG35" s="651"/>
      <c r="AH35" s="651"/>
      <c r="AI35" s="651"/>
      <c r="AJ35" s="651"/>
      <c r="AK35" s="651">
        <v>6.04</v>
      </c>
      <c r="AL35" s="651">
        <v>3.02</v>
      </c>
      <c r="AM35" s="651"/>
      <c r="AN35" s="651"/>
      <c r="AO35" s="651"/>
      <c r="AP35" s="651"/>
      <c r="AQ35" s="651"/>
      <c r="AR35" s="651"/>
      <c r="AS35" s="651"/>
      <c r="AT35" s="652"/>
      <c r="AW35" s="764">
        <f t="shared" si="4"/>
        <v>2.6315789473684292E-2</v>
      </c>
      <c r="AX35" s="765">
        <f t="shared" si="4"/>
        <v>0</v>
      </c>
      <c r="AY35" s="765">
        <f t="shared" si="4"/>
        <v>3.1390134529147851E-2</v>
      </c>
      <c r="AZ35" s="765">
        <f t="shared" si="4"/>
        <v>0</v>
      </c>
      <c r="BA35" s="765">
        <f t="shared" si="4"/>
        <v>0</v>
      </c>
      <c r="BB35" s="765">
        <f t="shared" si="4"/>
        <v>1.6574585635358963E-2</v>
      </c>
      <c r="BC35" s="765">
        <f t="shared" si="4"/>
        <v>0</v>
      </c>
      <c r="BD35" s="765">
        <f t="shared" si="4"/>
        <v>0</v>
      </c>
      <c r="BE35" s="765">
        <f t="shared" si="4"/>
        <v>0</v>
      </c>
      <c r="BF35" s="765">
        <f t="shared" si="4"/>
        <v>0</v>
      </c>
      <c r="BG35" s="765">
        <f t="shared" si="4"/>
        <v>0</v>
      </c>
      <c r="BH35" s="765">
        <f t="shared" si="4"/>
        <v>2.9801324503311299E-2</v>
      </c>
      <c r="BI35" s="765">
        <f t="shared" si="4"/>
        <v>2.9801324503311299E-2</v>
      </c>
      <c r="BJ35" s="765">
        <f t="shared" si="4"/>
        <v>0</v>
      </c>
      <c r="BK35" s="765">
        <f t="shared" si="4"/>
        <v>0</v>
      </c>
      <c r="BL35" s="765">
        <f t="shared" si="3"/>
        <v>0</v>
      </c>
      <c r="BM35" s="765">
        <f t="shared" si="1"/>
        <v>0</v>
      </c>
      <c r="BN35" s="765">
        <f t="shared" si="1"/>
        <v>0</v>
      </c>
      <c r="BO35" s="765">
        <f t="shared" si="1"/>
        <v>0</v>
      </c>
      <c r="BP35" s="765">
        <f t="shared" si="1"/>
        <v>0</v>
      </c>
      <c r="BQ35" s="766">
        <f t="shared" si="1"/>
        <v>0</v>
      </c>
      <c r="BR35" s="550" t="str">
        <f t="array" ref="BR35">IF(MAX(ABS(AW35:BQ35))&gt;$BR$4,"EXPLAIN","")</f>
        <v/>
      </c>
    </row>
    <row r="36" spans="2:70" x14ac:dyDescent="0.2">
      <c r="B36" s="757" t="str">
        <f t="shared" ref="B36:B37" si="6">C36</f>
        <v>Medium Business Opt-out</v>
      </c>
      <c r="C36" s="234" t="str">
        <f>Prop2019DistTar!B36</f>
        <v>Medium Business Opt-out</v>
      </c>
      <c r="D36" s="246">
        <f>SUM(Prop2019DistTar!D36,Prop2019TransTar!D36,Prop2019JSTar!D36)</f>
        <v>1000</v>
      </c>
      <c r="E36" s="247">
        <f>SUM(Prop2019DistTar!E36,Prop2019TransTar!E36,Prop2019JSTar!E36)</f>
        <v>0</v>
      </c>
      <c r="F36" s="247">
        <f>SUM(Prop2019DistTar!F36,Prop2019TransTar!F36,Prop2019JSTar!F36)</f>
        <v>11.41</v>
      </c>
      <c r="G36" s="247">
        <f>SUM(Prop2019DistTar!G36,Prop2019TransTar!G36,Prop2019JSTar!G36)</f>
        <v>0</v>
      </c>
      <c r="H36" s="247">
        <f>SUM(Prop2019DistTar!H36,Prop2019TransTar!H36,Prop2019JSTar!H36)</f>
        <v>0</v>
      </c>
      <c r="I36" s="247">
        <f>SUM(Prop2019DistTar!I36,Prop2019TransTar!I36,Prop2019JSTar!I36)</f>
        <v>4.59</v>
      </c>
      <c r="J36" s="247">
        <f>SUM(Prop2019DistTar!J36,Prop2019TransTar!J36,Prop2019JSTar!J36)</f>
        <v>0</v>
      </c>
      <c r="K36" s="247">
        <f>SUM(Prop2019DistTar!K36,Prop2019TransTar!K36,Prop2019JSTar!K36)</f>
        <v>0</v>
      </c>
      <c r="L36" s="247">
        <f>SUM(Prop2019DistTar!L36,Prop2019TransTar!L36,Prop2019JSTar!L36)</f>
        <v>0</v>
      </c>
      <c r="M36" s="247">
        <f>SUM(Prop2019DistTar!M36,Prop2019TransTar!M36,Prop2019JSTar!M36)</f>
        <v>0</v>
      </c>
      <c r="N36" s="247">
        <f>SUM(Prop2019DistTar!N36,Prop2019TransTar!N36,Prop2019JSTar!N36)</f>
        <v>0</v>
      </c>
      <c r="O36" s="247">
        <f>SUM(Prop2019DistTar!O36,Prop2019TransTar!O36,Prop2019JSTar!O36)</f>
        <v>0</v>
      </c>
      <c r="P36" s="247">
        <f>SUM(Prop2019DistTar!P36,Prop2019TransTar!P36,Prop2019JSTar!P36)</f>
        <v>0</v>
      </c>
      <c r="Q36" s="247">
        <f>SUM(Prop2019DistTar!Q36,Prop2019TransTar!Q36,Prop2019JSTar!Q36)</f>
        <v>0</v>
      </c>
      <c r="R36" s="247">
        <f>SUM(Prop2019DistTar!R36,Prop2019TransTar!R36,Prop2019JSTar!R36)</f>
        <v>0</v>
      </c>
      <c r="S36" s="247">
        <f>SUM(Prop2019DistTar!S36,Prop2019TransTar!S36,Prop2019JSTar!S36)</f>
        <v>0</v>
      </c>
      <c r="T36" s="247">
        <f>SUM(Prop2019DistTar!T36,Prop2019TransTar!T36,Prop2019JSTar!T36)</f>
        <v>0</v>
      </c>
      <c r="U36" s="247">
        <f>SUM(Prop2019DistTar!U36,Prop2019TransTar!U36,Prop2019JSTar!U36)</f>
        <v>0</v>
      </c>
      <c r="V36" s="247">
        <f>SUM(Prop2019DistTar!V36,Prop2019TransTar!V36,Prop2019JSTar!V36)</f>
        <v>0</v>
      </c>
      <c r="W36" s="247">
        <f>SUM(Prop2019DistTar!W36,Prop2019TransTar!W36,Prop2019JSTar!W36)</f>
        <v>0</v>
      </c>
      <c r="X36" s="248">
        <f>SUM(Prop2019DistTar!X36,Prop2019TransTar!X36,Prop2019JSTar!X36)</f>
        <v>0</v>
      </c>
      <c r="Z36" s="650">
        <v>1000</v>
      </c>
      <c r="AA36" s="651"/>
      <c r="AB36" s="651">
        <v>11.82</v>
      </c>
      <c r="AC36" s="651"/>
      <c r="AD36" s="651"/>
      <c r="AE36" s="651">
        <v>4.76</v>
      </c>
      <c r="AF36" s="651"/>
      <c r="AG36" s="651"/>
      <c r="AH36" s="651"/>
      <c r="AI36" s="651"/>
      <c r="AJ36" s="651"/>
      <c r="AK36" s="651"/>
      <c r="AL36" s="651"/>
      <c r="AM36" s="651"/>
      <c r="AN36" s="651"/>
      <c r="AO36" s="651"/>
      <c r="AP36" s="651"/>
      <c r="AQ36" s="651"/>
      <c r="AR36" s="651"/>
      <c r="AS36" s="651"/>
      <c r="AT36" s="652"/>
      <c r="AW36" s="764">
        <f t="shared" si="4"/>
        <v>0</v>
      </c>
      <c r="AX36" s="765">
        <f t="shared" si="4"/>
        <v>0</v>
      </c>
      <c r="AY36" s="765">
        <f t="shared" si="4"/>
        <v>-3.4686971235194597E-2</v>
      </c>
      <c r="AZ36" s="765">
        <f t="shared" si="4"/>
        <v>0</v>
      </c>
      <c r="BA36" s="765">
        <f t="shared" si="4"/>
        <v>0</v>
      </c>
      <c r="BB36" s="765">
        <f t="shared" si="4"/>
        <v>-3.5714285714285698E-2</v>
      </c>
      <c r="BC36" s="765">
        <f t="shared" si="4"/>
        <v>0</v>
      </c>
      <c r="BD36" s="765">
        <f t="shared" si="4"/>
        <v>0</v>
      </c>
      <c r="BE36" s="765">
        <f t="shared" si="4"/>
        <v>0</v>
      </c>
      <c r="BF36" s="765">
        <f t="shared" si="4"/>
        <v>0</v>
      </c>
      <c r="BG36" s="765">
        <f t="shared" si="4"/>
        <v>0</v>
      </c>
      <c r="BH36" s="765">
        <f t="shared" si="4"/>
        <v>0</v>
      </c>
      <c r="BI36" s="765">
        <f t="shared" si="4"/>
        <v>0</v>
      </c>
      <c r="BJ36" s="765">
        <f t="shared" si="4"/>
        <v>0</v>
      </c>
      <c r="BK36" s="765">
        <f t="shared" si="4"/>
        <v>0</v>
      </c>
      <c r="BL36" s="765">
        <f t="shared" si="3"/>
        <v>0</v>
      </c>
      <c r="BM36" s="765">
        <f t="shared" si="1"/>
        <v>0</v>
      </c>
      <c r="BN36" s="765">
        <f t="shared" si="1"/>
        <v>0</v>
      </c>
      <c r="BO36" s="765">
        <f t="shared" si="1"/>
        <v>0</v>
      </c>
      <c r="BP36" s="765">
        <f t="shared" si="1"/>
        <v>0</v>
      </c>
      <c r="BQ36" s="766">
        <f t="shared" si="1"/>
        <v>0</v>
      </c>
      <c r="BR36" s="550" t="str">
        <f t="array" ref="BR36">IF(MAX(ABS(AW36:BQ36))&gt;$BR$4,"EXPLAIN","")</f>
        <v/>
      </c>
    </row>
    <row r="37" spans="2:70" x14ac:dyDescent="0.2">
      <c r="B37" s="757" t="str">
        <f t="shared" si="6"/>
        <v>Medium Business Bulk Opt-out</v>
      </c>
      <c r="C37" s="234" t="str">
        <f>Prop2019DistTar!B37</f>
        <v>Medium Business Bulk Opt-out</v>
      </c>
      <c r="D37" s="246">
        <f>SUM(Prop2019DistTar!D37,Prop2019TransTar!D37,Prop2019JSTar!D37)</f>
        <v>975</v>
      </c>
      <c r="E37" s="247">
        <f>SUM(Prop2019DistTar!E37,Prop2019TransTar!E37,Prop2019JSTar!E37)</f>
        <v>0</v>
      </c>
      <c r="F37" s="247">
        <f>SUM(Prop2019DistTar!F37,Prop2019TransTar!F37,Prop2019JSTar!F37)</f>
        <v>8.98</v>
      </c>
      <c r="G37" s="247">
        <f>SUM(Prop2019DistTar!G37,Prop2019TransTar!G37,Prop2019JSTar!G37)</f>
        <v>0</v>
      </c>
      <c r="H37" s="247">
        <f>SUM(Prop2019DistTar!H37,Prop2019TransTar!H37,Prop2019JSTar!H37)</f>
        <v>0</v>
      </c>
      <c r="I37" s="247">
        <f>SUM(Prop2019DistTar!I37,Prop2019TransTar!I37,Prop2019JSTar!I37)</f>
        <v>3.8099999999999996</v>
      </c>
      <c r="J37" s="247">
        <f>SUM(Prop2019DistTar!J37,Prop2019TransTar!J37,Prop2019JSTar!J37)</f>
        <v>0</v>
      </c>
      <c r="K37" s="247">
        <f>SUM(Prop2019DistTar!K37,Prop2019TransTar!K37,Prop2019JSTar!K37)</f>
        <v>0</v>
      </c>
      <c r="L37" s="247">
        <f>SUM(Prop2019DistTar!L37,Prop2019TransTar!L37,Prop2019JSTar!L37)</f>
        <v>0</v>
      </c>
      <c r="M37" s="247">
        <f>SUM(Prop2019DistTar!M37,Prop2019TransTar!M37,Prop2019JSTar!M37)</f>
        <v>0</v>
      </c>
      <c r="N37" s="247">
        <f>SUM(Prop2019DistTar!N37,Prop2019TransTar!N37,Prop2019JSTar!N37)</f>
        <v>0</v>
      </c>
      <c r="O37" s="247">
        <f>SUM(Prop2019DistTar!O37,Prop2019TransTar!O37,Prop2019JSTar!O37)</f>
        <v>0</v>
      </c>
      <c r="P37" s="247">
        <f>SUM(Prop2019DistTar!P37,Prop2019TransTar!P37,Prop2019JSTar!P37)</f>
        <v>0</v>
      </c>
      <c r="Q37" s="247">
        <f>SUM(Prop2019DistTar!Q37,Prop2019TransTar!Q37,Prop2019JSTar!Q37)</f>
        <v>0</v>
      </c>
      <c r="R37" s="247">
        <f>SUM(Prop2019DistTar!R37,Prop2019TransTar!R37,Prop2019JSTar!R37)</f>
        <v>0</v>
      </c>
      <c r="S37" s="247">
        <f>SUM(Prop2019DistTar!S37,Prop2019TransTar!S37,Prop2019JSTar!S37)</f>
        <v>0</v>
      </c>
      <c r="T37" s="247">
        <f>SUM(Prop2019DistTar!T37,Prop2019TransTar!T37,Prop2019JSTar!T37)</f>
        <v>0</v>
      </c>
      <c r="U37" s="247">
        <f>SUM(Prop2019DistTar!U37,Prop2019TransTar!U37,Prop2019JSTar!U37)</f>
        <v>0</v>
      </c>
      <c r="V37" s="247">
        <f>SUM(Prop2019DistTar!V37,Prop2019TransTar!V37,Prop2019JSTar!V37)</f>
        <v>0</v>
      </c>
      <c r="W37" s="247">
        <f>SUM(Prop2019DistTar!W37,Prop2019TransTar!W37,Prop2019JSTar!W37)</f>
        <v>0</v>
      </c>
      <c r="X37" s="248">
        <f>SUM(Prop2019DistTar!X37,Prop2019TransTar!X37,Prop2019JSTar!X37)</f>
        <v>0</v>
      </c>
      <c r="Z37" s="650">
        <v>950</v>
      </c>
      <c r="AA37" s="651"/>
      <c r="AB37" s="651">
        <v>8.68</v>
      </c>
      <c r="AC37" s="651"/>
      <c r="AD37" s="651"/>
      <c r="AE37" s="651">
        <v>3.75</v>
      </c>
      <c r="AF37" s="651"/>
      <c r="AG37" s="651"/>
      <c r="AH37" s="651"/>
      <c r="AI37" s="651"/>
      <c r="AJ37" s="651"/>
      <c r="AK37" s="651"/>
      <c r="AL37" s="651"/>
      <c r="AM37" s="651"/>
      <c r="AN37" s="651"/>
      <c r="AO37" s="651"/>
      <c r="AP37" s="651"/>
      <c r="AQ37" s="651"/>
      <c r="AR37" s="651"/>
      <c r="AS37" s="651"/>
      <c r="AT37" s="652"/>
      <c r="AW37" s="764">
        <f t="shared" si="4"/>
        <v>2.6315789473684292E-2</v>
      </c>
      <c r="AX37" s="765">
        <f t="shared" si="4"/>
        <v>0</v>
      </c>
      <c r="AY37" s="765">
        <f t="shared" si="4"/>
        <v>3.4562211981566948E-2</v>
      </c>
      <c r="AZ37" s="765">
        <f t="shared" si="4"/>
        <v>0</v>
      </c>
      <c r="BA37" s="765">
        <f t="shared" si="4"/>
        <v>0</v>
      </c>
      <c r="BB37" s="765">
        <f t="shared" si="4"/>
        <v>1.5999999999999792E-2</v>
      </c>
      <c r="BC37" s="765">
        <f t="shared" si="4"/>
        <v>0</v>
      </c>
      <c r="BD37" s="765">
        <f t="shared" si="4"/>
        <v>0</v>
      </c>
      <c r="BE37" s="765">
        <f t="shared" si="4"/>
        <v>0</v>
      </c>
      <c r="BF37" s="765">
        <f t="shared" si="4"/>
        <v>0</v>
      </c>
      <c r="BG37" s="765">
        <f t="shared" si="4"/>
        <v>0</v>
      </c>
      <c r="BH37" s="765">
        <f t="shared" si="4"/>
        <v>0</v>
      </c>
      <c r="BI37" s="765">
        <f t="shared" si="4"/>
        <v>0</v>
      </c>
      <c r="BJ37" s="765">
        <f t="shared" si="4"/>
        <v>0</v>
      </c>
      <c r="BK37" s="765">
        <f t="shared" si="4"/>
        <v>0</v>
      </c>
      <c r="BL37" s="765">
        <f t="shared" si="3"/>
        <v>0</v>
      </c>
      <c r="BM37" s="765">
        <f t="shared" si="1"/>
        <v>0</v>
      </c>
      <c r="BN37" s="765">
        <f t="shared" si="1"/>
        <v>0</v>
      </c>
      <c r="BO37" s="765">
        <f t="shared" si="1"/>
        <v>0</v>
      </c>
      <c r="BP37" s="765">
        <f t="shared" si="1"/>
        <v>0</v>
      </c>
      <c r="BQ37" s="766">
        <f t="shared" si="1"/>
        <v>0</v>
      </c>
      <c r="BR37" s="550" t="str">
        <f t="array" ref="BR37">IF(MAX(ABS(AW37:BQ37))&gt;$BR$4,"EXPLAIN","")</f>
        <v/>
      </c>
    </row>
    <row r="38" spans="2:70" x14ac:dyDescent="0.2">
      <c r="B38" s="757" t="s">
        <v>719</v>
      </c>
      <c r="C38" s="234" t="str">
        <f>Prop2019DistTar!B38</f>
        <v>Unmetered Supplies / Public Lighting</v>
      </c>
      <c r="D38" s="246">
        <f>SUM(Prop2019DistTar!D38,Prop2019TransTar!D38,Prop2019JSTar!D38)</f>
        <v>0</v>
      </c>
      <c r="E38" s="247">
        <f>SUM(Prop2019DistTar!E38,Prop2019TransTar!E38,Prop2019JSTar!E38)</f>
        <v>0</v>
      </c>
      <c r="F38" s="247">
        <f>SUM(Prop2019DistTar!F38,Prop2019TransTar!F38,Prop2019JSTar!F38)</f>
        <v>11.24</v>
      </c>
      <c r="G38" s="247">
        <f>SUM(Prop2019DistTar!G38,Prop2019TransTar!G38,Prop2019JSTar!G38)</f>
        <v>0</v>
      </c>
      <c r="H38" s="247">
        <f>SUM(Prop2019DistTar!H38,Prop2019TransTar!H38,Prop2019JSTar!H38)</f>
        <v>0</v>
      </c>
      <c r="I38" s="247">
        <f>SUM(Prop2019DistTar!I38,Prop2019TransTar!I38,Prop2019JSTar!I38)</f>
        <v>3.15</v>
      </c>
      <c r="J38" s="247">
        <f>SUM(Prop2019DistTar!J38,Prop2019TransTar!J38,Prop2019JSTar!J38)</f>
        <v>0</v>
      </c>
      <c r="K38" s="247">
        <f>SUM(Prop2019DistTar!K38,Prop2019TransTar!K38,Prop2019JSTar!K38)</f>
        <v>0</v>
      </c>
      <c r="L38" s="247">
        <f>SUM(Prop2019DistTar!L38,Prop2019TransTar!L38,Prop2019JSTar!L38)</f>
        <v>0</v>
      </c>
      <c r="M38" s="247">
        <f>SUM(Prop2019DistTar!M38,Prop2019TransTar!M38,Prop2019JSTar!M38)</f>
        <v>0</v>
      </c>
      <c r="N38" s="247">
        <f>SUM(Prop2019DistTar!N38,Prop2019TransTar!N38,Prop2019JSTar!N38)</f>
        <v>0</v>
      </c>
      <c r="O38" s="247">
        <f>SUM(Prop2019DistTar!O38,Prop2019TransTar!O38,Prop2019JSTar!O38)</f>
        <v>0</v>
      </c>
      <c r="P38" s="247">
        <f>SUM(Prop2019DistTar!P38,Prop2019TransTar!P38,Prop2019JSTar!P38)</f>
        <v>0</v>
      </c>
      <c r="Q38" s="247">
        <f>SUM(Prop2019DistTar!Q38,Prop2019TransTar!Q38,Prop2019JSTar!Q38)</f>
        <v>0</v>
      </c>
      <c r="R38" s="247">
        <f>SUM(Prop2019DistTar!R38,Prop2019TransTar!R38,Prop2019JSTar!R38)</f>
        <v>0</v>
      </c>
      <c r="S38" s="247">
        <f>SUM(Prop2019DistTar!S38,Prop2019TransTar!S38,Prop2019JSTar!S38)</f>
        <v>0</v>
      </c>
      <c r="T38" s="247">
        <f>SUM(Prop2019DistTar!T38,Prop2019TransTar!T38,Prop2019JSTar!T38)</f>
        <v>0</v>
      </c>
      <c r="U38" s="247">
        <f>SUM(Prop2019DistTar!U38,Prop2019TransTar!U38,Prop2019JSTar!U38)</f>
        <v>0</v>
      </c>
      <c r="V38" s="247">
        <f>SUM(Prop2019DistTar!V38,Prop2019TransTar!V38,Prop2019JSTar!V38)</f>
        <v>0</v>
      </c>
      <c r="W38" s="247">
        <f>SUM(Prop2019DistTar!W38,Prop2019TransTar!W38,Prop2019JSTar!W38)</f>
        <v>0</v>
      </c>
      <c r="X38" s="248">
        <f>SUM(Prop2019DistTar!X38,Prop2019TransTar!X38,Prop2019JSTar!X38)</f>
        <v>0</v>
      </c>
      <c r="Z38" s="650"/>
      <c r="AA38" s="651"/>
      <c r="AB38" s="651">
        <v>11.71</v>
      </c>
      <c r="AC38" s="651"/>
      <c r="AD38" s="651"/>
      <c r="AE38" s="651">
        <v>3.28</v>
      </c>
      <c r="AF38" s="651"/>
      <c r="AG38" s="651"/>
      <c r="AH38" s="651"/>
      <c r="AI38" s="651"/>
      <c r="AJ38" s="651"/>
      <c r="AK38" s="651"/>
      <c r="AL38" s="651"/>
      <c r="AM38" s="651"/>
      <c r="AN38" s="651"/>
      <c r="AO38" s="651"/>
      <c r="AP38" s="651"/>
      <c r="AQ38" s="651"/>
      <c r="AR38" s="651"/>
      <c r="AS38" s="651"/>
      <c r="AT38" s="652"/>
      <c r="AW38" s="764">
        <f t="shared" si="4"/>
        <v>0</v>
      </c>
      <c r="AX38" s="765">
        <f t="shared" si="4"/>
        <v>0</v>
      </c>
      <c r="AY38" s="765">
        <f t="shared" si="4"/>
        <v>-4.0136635354398043E-2</v>
      </c>
      <c r="AZ38" s="765">
        <f t="shared" si="4"/>
        <v>0</v>
      </c>
      <c r="BA38" s="765">
        <f t="shared" si="4"/>
        <v>0</v>
      </c>
      <c r="BB38" s="765">
        <f t="shared" si="4"/>
        <v>-3.9634146341463339E-2</v>
      </c>
      <c r="BC38" s="765">
        <f t="shared" si="4"/>
        <v>0</v>
      </c>
      <c r="BD38" s="765">
        <f t="shared" si="4"/>
        <v>0</v>
      </c>
      <c r="BE38" s="765">
        <f t="shared" si="4"/>
        <v>0</v>
      </c>
      <c r="BF38" s="765">
        <f t="shared" si="4"/>
        <v>0</v>
      </c>
      <c r="BG38" s="765">
        <f t="shared" si="4"/>
        <v>0</v>
      </c>
      <c r="BH38" s="765">
        <f t="shared" si="4"/>
        <v>0</v>
      </c>
      <c r="BI38" s="765">
        <f t="shared" si="4"/>
        <v>0</v>
      </c>
      <c r="BJ38" s="765">
        <f t="shared" si="4"/>
        <v>0</v>
      </c>
      <c r="BK38" s="765">
        <f t="shared" si="4"/>
        <v>0</v>
      </c>
      <c r="BL38" s="765">
        <f t="shared" si="3"/>
        <v>0</v>
      </c>
      <c r="BM38" s="765">
        <f t="shared" si="1"/>
        <v>0</v>
      </c>
      <c r="BN38" s="765">
        <f t="shared" si="1"/>
        <v>0</v>
      </c>
      <c r="BO38" s="765">
        <f t="shared" si="1"/>
        <v>0</v>
      </c>
      <c r="BP38" s="765">
        <f t="shared" si="1"/>
        <v>0</v>
      </c>
      <c r="BQ38" s="766">
        <f t="shared" si="1"/>
        <v>0</v>
      </c>
      <c r="BR38" s="550" t="str">
        <f t="array" ref="BR38">IF(MAX(ABS(AW38:BQ38))&gt;$BR$4,"EXPLAIN","")</f>
        <v/>
      </c>
    </row>
    <row r="39" spans="2:70" x14ac:dyDescent="0.2">
      <c r="B39" s="757" t="s">
        <v>720</v>
      </c>
      <c r="C39" s="234" t="str">
        <f>Prop2019DistTar!B39</f>
        <v>Large low Voltage</v>
      </c>
      <c r="D39" s="246">
        <f>SUM(Prop2019DistTar!D39,Prop2019TransTar!D39,Prop2019JSTar!D39)</f>
        <v>6200</v>
      </c>
      <c r="E39" s="247">
        <f>SUM(Prop2019DistTar!E39,Prop2019TransTar!E39,Prop2019JSTar!E39)</f>
        <v>0</v>
      </c>
      <c r="F39" s="247">
        <f>SUM(Prop2019DistTar!F39,Prop2019TransTar!F39,Prop2019JSTar!F39)</f>
        <v>3.46</v>
      </c>
      <c r="G39" s="247">
        <f>SUM(Prop2019DistTar!G39,Prop2019TransTar!G39,Prop2019JSTar!G39)</f>
        <v>0</v>
      </c>
      <c r="H39" s="247">
        <f>SUM(Prop2019DistTar!H39,Prop2019TransTar!H39,Prop2019JSTar!H39)</f>
        <v>0</v>
      </c>
      <c r="I39" s="247">
        <f>SUM(Prop2019DistTar!I39,Prop2019TransTar!I39,Prop2019JSTar!I39)</f>
        <v>2.12</v>
      </c>
      <c r="J39" s="247">
        <f>SUM(Prop2019DistTar!J39,Prop2019TransTar!J39,Prop2019JSTar!J39)</f>
        <v>0</v>
      </c>
      <c r="K39" s="247">
        <f>SUM(Prop2019DistTar!K39,Prop2019TransTar!K39,Prop2019JSTar!K39)</f>
        <v>0</v>
      </c>
      <c r="L39" s="247">
        <f>SUM(Prop2019DistTar!L39,Prop2019TransTar!L39,Prop2019JSTar!L39)</f>
        <v>0</v>
      </c>
      <c r="M39" s="247">
        <f>SUM(Prop2019DistTar!M39,Prop2019TransTar!M39,Prop2019JSTar!M39)</f>
        <v>105.74000000000001</v>
      </c>
      <c r="N39" s="247">
        <f>SUM(Prop2019DistTar!N39,Prop2019TransTar!N39,Prop2019JSTar!N39)</f>
        <v>0</v>
      </c>
      <c r="O39" s="247">
        <f>SUM(Prop2019DistTar!O39,Prop2019TransTar!O39,Prop2019JSTar!O39)</f>
        <v>0</v>
      </c>
      <c r="P39" s="247">
        <f>SUM(Prop2019DistTar!P39,Prop2019TransTar!P39,Prop2019JSTar!P39)</f>
        <v>0</v>
      </c>
      <c r="Q39" s="247">
        <f>SUM(Prop2019DistTar!Q39,Prop2019TransTar!Q39,Prop2019JSTar!Q39)</f>
        <v>0</v>
      </c>
      <c r="R39" s="247">
        <f>SUM(Prop2019DistTar!R39,Prop2019TransTar!R39,Prop2019JSTar!R39)</f>
        <v>0</v>
      </c>
      <c r="S39" s="247">
        <f>SUM(Prop2019DistTar!S39,Prop2019TransTar!S39,Prop2019JSTar!S39)</f>
        <v>0</v>
      </c>
      <c r="T39" s="247">
        <f>SUM(Prop2019DistTar!T39,Prop2019TransTar!T39,Prop2019JSTar!T39)</f>
        <v>0</v>
      </c>
      <c r="U39" s="247">
        <f>SUM(Prop2019DistTar!U39,Prop2019TransTar!U39,Prop2019JSTar!U39)</f>
        <v>0</v>
      </c>
      <c r="V39" s="247">
        <f>SUM(Prop2019DistTar!V39,Prop2019TransTar!V39,Prop2019JSTar!V39)</f>
        <v>0</v>
      </c>
      <c r="W39" s="247">
        <f>SUM(Prop2019DistTar!W39,Prop2019TransTar!W39,Prop2019JSTar!W39)</f>
        <v>0</v>
      </c>
      <c r="X39" s="248">
        <f>SUM(Prop2019DistTar!X39,Prop2019TransTar!X39,Prop2019JSTar!X39)</f>
        <v>0</v>
      </c>
      <c r="Z39" s="650">
        <v>6550</v>
      </c>
      <c r="AA39" s="651"/>
      <c r="AB39" s="651">
        <v>3.64</v>
      </c>
      <c r="AC39" s="651"/>
      <c r="AD39" s="651"/>
      <c r="AE39" s="651">
        <v>2.23</v>
      </c>
      <c r="AF39" s="651"/>
      <c r="AG39" s="651"/>
      <c r="AH39" s="651"/>
      <c r="AI39" s="651">
        <v>111.3</v>
      </c>
      <c r="AJ39" s="651"/>
      <c r="AK39" s="651"/>
      <c r="AL39" s="651"/>
      <c r="AM39" s="651"/>
      <c r="AN39" s="651"/>
      <c r="AO39" s="651"/>
      <c r="AP39" s="651"/>
      <c r="AQ39" s="651"/>
      <c r="AR39" s="651"/>
      <c r="AS39" s="651"/>
      <c r="AT39" s="652"/>
      <c r="AW39" s="764">
        <f t="shared" ref="AW39:BL46" si="7">IFERROR(D39/Z39-1,0)</f>
        <v>-5.3435114503816772E-2</v>
      </c>
      <c r="AX39" s="765">
        <f t="shared" si="7"/>
        <v>0</v>
      </c>
      <c r="AY39" s="765">
        <f t="shared" si="7"/>
        <v>-4.9450549450549497E-2</v>
      </c>
      <c r="AZ39" s="765">
        <f t="shared" si="7"/>
        <v>0</v>
      </c>
      <c r="BA39" s="765">
        <f t="shared" si="7"/>
        <v>0</v>
      </c>
      <c r="BB39" s="765">
        <f t="shared" si="7"/>
        <v>-4.9327354260089606E-2</v>
      </c>
      <c r="BC39" s="765">
        <f t="shared" si="7"/>
        <v>0</v>
      </c>
      <c r="BD39" s="765">
        <f t="shared" si="7"/>
        <v>0</v>
      </c>
      <c r="BE39" s="765">
        <f t="shared" si="7"/>
        <v>0</v>
      </c>
      <c r="BF39" s="765">
        <f t="shared" si="7"/>
        <v>-4.9955076370170604E-2</v>
      </c>
      <c r="BG39" s="765">
        <f t="shared" si="7"/>
        <v>0</v>
      </c>
      <c r="BH39" s="765">
        <f t="shared" si="7"/>
        <v>0</v>
      </c>
      <c r="BI39" s="765">
        <f t="shared" si="7"/>
        <v>0</v>
      </c>
      <c r="BJ39" s="765">
        <f t="shared" si="7"/>
        <v>0</v>
      </c>
      <c r="BK39" s="765">
        <f t="shared" si="7"/>
        <v>0</v>
      </c>
      <c r="BL39" s="765">
        <f t="shared" si="3"/>
        <v>0</v>
      </c>
      <c r="BM39" s="765">
        <f t="shared" si="3"/>
        <v>0</v>
      </c>
      <c r="BN39" s="765">
        <f t="shared" si="3"/>
        <v>0</v>
      </c>
      <c r="BO39" s="765">
        <f t="shared" si="3"/>
        <v>0</v>
      </c>
      <c r="BP39" s="765">
        <f t="shared" si="3"/>
        <v>0</v>
      </c>
      <c r="BQ39" s="766">
        <f t="shared" si="3"/>
        <v>0</v>
      </c>
      <c r="BR39" s="550" t="str">
        <f t="array" ref="BR39">IF(MAX(ABS(AW39:BQ39))&gt;$BR$4,"EXPLAIN","")</f>
        <v/>
      </c>
    </row>
    <row r="40" spans="2:70" x14ac:dyDescent="0.2">
      <c r="B40" s="757" t="s">
        <v>721</v>
      </c>
      <c r="C40" s="234" t="str">
        <f>Prop2019DistTar!B40</f>
        <v>Large low Voltage Bulk</v>
      </c>
      <c r="D40" s="246">
        <f>SUM(Prop2019DistTar!D40,Prop2019TransTar!D40,Prop2019JSTar!D40)</f>
        <v>6000</v>
      </c>
      <c r="E40" s="247">
        <f>SUM(Prop2019DistTar!E40,Prop2019TransTar!E40,Prop2019JSTar!E40)</f>
        <v>0</v>
      </c>
      <c r="F40" s="247">
        <f>SUM(Prop2019DistTar!F40,Prop2019TransTar!F40,Prop2019JSTar!F40)</f>
        <v>3.15</v>
      </c>
      <c r="G40" s="247">
        <f>SUM(Prop2019DistTar!G40,Prop2019TransTar!G40,Prop2019JSTar!G40)</f>
        <v>0</v>
      </c>
      <c r="H40" s="247">
        <f>SUM(Prop2019DistTar!H40,Prop2019TransTar!H40,Prop2019JSTar!H40)</f>
        <v>0</v>
      </c>
      <c r="I40" s="247">
        <f>SUM(Prop2019DistTar!I40,Prop2019TransTar!I40,Prop2019JSTar!I40)</f>
        <v>1.9700000000000002</v>
      </c>
      <c r="J40" s="247">
        <f>SUM(Prop2019DistTar!J40,Prop2019TransTar!J40,Prop2019JSTar!J40)</f>
        <v>0</v>
      </c>
      <c r="K40" s="247">
        <f>SUM(Prop2019DistTar!K40,Prop2019TransTar!K40,Prop2019JSTar!K40)</f>
        <v>0</v>
      </c>
      <c r="L40" s="247">
        <f>SUM(Prop2019DistTar!L40,Prop2019TransTar!L40,Prop2019JSTar!L40)</f>
        <v>0</v>
      </c>
      <c r="M40" s="247">
        <f>SUM(Prop2019DistTar!M40,Prop2019TransTar!M40,Prop2019JSTar!M40)</f>
        <v>97.27</v>
      </c>
      <c r="N40" s="247">
        <f>SUM(Prop2019DistTar!N40,Prop2019TransTar!N40,Prop2019JSTar!N40)</f>
        <v>0</v>
      </c>
      <c r="O40" s="247">
        <f>SUM(Prop2019DistTar!O40,Prop2019TransTar!O40,Prop2019JSTar!O40)</f>
        <v>0</v>
      </c>
      <c r="P40" s="247">
        <f>SUM(Prop2019DistTar!P40,Prop2019TransTar!P40,Prop2019JSTar!P40)</f>
        <v>0</v>
      </c>
      <c r="Q40" s="247">
        <f>SUM(Prop2019DistTar!Q40,Prop2019TransTar!Q40,Prop2019JSTar!Q40)</f>
        <v>0</v>
      </c>
      <c r="R40" s="247">
        <f>SUM(Prop2019DistTar!R40,Prop2019TransTar!R40,Prop2019JSTar!R40)</f>
        <v>0</v>
      </c>
      <c r="S40" s="247">
        <f>SUM(Prop2019DistTar!S40,Prop2019TransTar!S40,Prop2019JSTar!S40)</f>
        <v>0</v>
      </c>
      <c r="T40" s="247">
        <f>SUM(Prop2019DistTar!T40,Prop2019TransTar!T40,Prop2019JSTar!T40)</f>
        <v>0</v>
      </c>
      <c r="U40" s="247">
        <f>SUM(Prop2019DistTar!U40,Prop2019TransTar!U40,Prop2019JSTar!U40)</f>
        <v>0</v>
      </c>
      <c r="V40" s="247">
        <f>SUM(Prop2019DistTar!V40,Prop2019TransTar!V40,Prop2019JSTar!V40)</f>
        <v>0</v>
      </c>
      <c r="W40" s="247">
        <f>SUM(Prop2019DistTar!W40,Prop2019TransTar!W40,Prop2019JSTar!W40)</f>
        <v>0</v>
      </c>
      <c r="X40" s="248">
        <f>SUM(Prop2019DistTar!X40,Prop2019TransTar!X40,Prop2019JSTar!X40)</f>
        <v>0</v>
      </c>
      <c r="Z40" s="650">
        <v>6100</v>
      </c>
      <c r="AA40" s="651"/>
      <c r="AB40" s="651">
        <v>3.24</v>
      </c>
      <c r="AC40" s="651"/>
      <c r="AD40" s="651"/>
      <c r="AE40" s="651">
        <v>2.0299999999999998</v>
      </c>
      <c r="AF40" s="651"/>
      <c r="AG40" s="651"/>
      <c r="AH40" s="651"/>
      <c r="AI40" s="651">
        <v>100.16</v>
      </c>
      <c r="AJ40" s="651"/>
      <c r="AK40" s="651"/>
      <c r="AL40" s="651"/>
      <c r="AM40" s="651"/>
      <c r="AN40" s="651"/>
      <c r="AO40" s="651"/>
      <c r="AP40" s="651"/>
      <c r="AQ40" s="651"/>
      <c r="AR40" s="651"/>
      <c r="AS40" s="651"/>
      <c r="AT40" s="652"/>
      <c r="AW40" s="764">
        <f t="shared" si="7"/>
        <v>-1.6393442622950838E-2</v>
      </c>
      <c r="AX40" s="765">
        <f t="shared" si="7"/>
        <v>0</v>
      </c>
      <c r="AY40" s="765">
        <f t="shared" si="7"/>
        <v>-2.7777777777777901E-2</v>
      </c>
      <c r="AZ40" s="765">
        <f t="shared" si="7"/>
        <v>0</v>
      </c>
      <c r="BA40" s="765">
        <f t="shared" si="7"/>
        <v>0</v>
      </c>
      <c r="BB40" s="765">
        <f t="shared" si="7"/>
        <v>-2.9556650246305272E-2</v>
      </c>
      <c r="BC40" s="765">
        <f t="shared" si="7"/>
        <v>0</v>
      </c>
      <c r="BD40" s="765">
        <f t="shared" si="7"/>
        <v>0</v>
      </c>
      <c r="BE40" s="765">
        <f t="shared" si="7"/>
        <v>0</v>
      </c>
      <c r="BF40" s="765">
        <f t="shared" si="7"/>
        <v>-2.8853833865814749E-2</v>
      </c>
      <c r="BG40" s="765">
        <f t="shared" si="7"/>
        <v>0</v>
      </c>
      <c r="BH40" s="765">
        <f t="shared" si="7"/>
        <v>0</v>
      </c>
      <c r="BI40" s="765">
        <f t="shared" si="7"/>
        <v>0</v>
      </c>
      <c r="BJ40" s="765">
        <f t="shared" si="7"/>
        <v>0</v>
      </c>
      <c r="BK40" s="765">
        <f t="shared" si="7"/>
        <v>0</v>
      </c>
      <c r="BL40" s="765">
        <f t="shared" si="3"/>
        <v>0</v>
      </c>
      <c r="BM40" s="765">
        <f t="shared" si="3"/>
        <v>0</v>
      </c>
      <c r="BN40" s="765">
        <f t="shared" si="3"/>
        <v>0</v>
      </c>
      <c r="BO40" s="765">
        <f t="shared" si="3"/>
        <v>0</v>
      </c>
      <c r="BP40" s="765">
        <f t="shared" si="3"/>
        <v>0</v>
      </c>
      <c r="BQ40" s="766">
        <f t="shared" si="3"/>
        <v>0</v>
      </c>
      <c r="BR40" s="550" t="str">
        <f t="array" ref="BR40">IF(MAX(ABS(AW40:BQ40))&gt;$BR$4,"EXPLAIN","")</f>
        <v/>
      </c>
    </row>
    <row r="41" spans="2:70" x14ac:dyDescent="0.2">
      <c r="B41" s="757" t="s">
        <v>722</v>
      </c>
      <c r="C41" s="234" t="str">
        <f>Prop2019DistTar!B41</f>
        <v>High Voltage</v>
      </c>
      <c r="D41" s="246">
        <f>SUM(Prop2019DistTar!D41,Prop2019TransTar!D41,Prop2019JSTar!D41)</f>
        <v>31800</v>
      </c>
      <c r="E41" s="247">
        <f>SUM(Prop2019DistTar!E41,Prop2019TransTar!E41,Prop2019JSTar!E41)</f>
        <v>0</v>
      </c>
      <c r="F41" s="247">
        <f>SUM(Prop2019DistTar!F41,Prop2019TransTar!F41,Prop2019JSTar!F41)</f>
        <v>2.46</v>
      </c>
      <c r="G41" s="247">
        <f>SUM(Prop2019DistTar!G41,Prop2019TransTar!G41,Prop2019JSTar!G41)</f>
        <v>0</v>
      </c>
      <c r="H41" s="247">
        <f>SUM(Prop2019DistTar!H41,Prop2019TransTar!H41,Prop2019JSTar!H41)</f>
        <v>0</v>
      </c>
      <c r="I41" s="247">
        <f>SUM(Prop2019DistTar!I41,Prop2019TransTar!I41,Prop2019JSTar!I41)</f>
        <v>1.27</v>
      </c>
      <c r="J41" s="247">
        <f>SUM(Prop2019DistTar!J41,Prop2019TransTar!J41,Prop2019JSTar!J41)</f>
        <v>0</v>
      </c>
      <c r="K41" s="247">
        <f>SUM(Prop2019DistTar!K41,Prop2019TransTar!K41,Prop2019JSTar!K41)</f>
        <v>0</v>
      </c>
      <c r="L41" s="247">
        <f>SUM(Prop2019DistTar!L41,Prop2019TransTar!L41,Prop2019JSTar!L41)</f>
        <v>0</v>
      </c>
      <c r="M41" s="247">
        <f>SUM(Prop2019DistTar!M41,Prop2019TransTar!M41,Prop2019JSTar!M41)</f>
        <v>69.62</v>
      </c>
      <c r="N41" s="247">
        <f>SUM(Prop2019DistTar!N41,Prop2019TransTar!N41,Prop2019JSTar!N41)</f>
        <v>0</v>
      </c>
      <c r="O41" s="247">
        <f>SUM(Prop2019DistTar!O41,Prop2019TransTar!O41,Prop2019JSTar!O41)</f>
        <v>0</v>
      </c>
      <c r="P41" s="247">
        <f>SUM(Prop2019DistTar!P41,Prop2019TransTar!P41,Prop2019JSTar!P41)</f>
        <v>0</v>
      </c>
      <c r="Q41" s="247">
        <f>SUM(Prop2019DistTar!Q41,Prop2019TransTar!Q41,Prop2019JSTar!Q41)</f>
        <v>0</v>
      </c>
      <c r="R41" s="247">
        <f>SUM(Prop2019DistTar!R41,Prop2019TransTar!R41,Prop2019JSTar!R41)</f>
        <v>0</v>
      </c>
      <c r="S41" s="247">
        <f>SUM(Prop2019DistTar!S41,Prop2019TransTar!S41,Prop2019JSTar!S41)</f>
        <v>0</v>
      </c>
      <c r="T41" s="247">
        <f>SUM(Prop2019DistTar!T41,Prop2019TransTar!T41,Prop2019JSTar!T41)</f>
        <v>0</v>
      </c>
      <c r="U41" s="247">
        <f>SUM(Prop2019DistTar!U41,Prop2019TransTar!U41,Prop2019JSTar!U41)</f>
        <v>0</v>
      </c>
      <c r="V41" s="247">
        <f>SUM(Prop2019DistTar!V41,Prop2019TransTar!V41,Prop2019JSTar!V41)</f>
        <v>0</v>
      </c>
      <c r="W41" s="247">
        <f>SUM(Prop2019DistTar!W41,Prop2019TransTar!W41,Prop2019JSTar!W41)</f>
        <v>0</v>
      </c>
      <c r="X41" s="248">
        <f>SUM(Prop2019DistTar!X41,Prop2019TransTar!X41,Prop2019JSTar!X41)</f>
        <v>0</v>
      </c>
      <c r="Z41" s="650">
        <v>32400</v>
      </c>
      <c r="AA41" s="651"/>
      <c r="AB41" s="651">
        <v>2.5</v>
      </c>
      <c r="AC41" s="651"/>
      <c r="AD41" s="651"/>
      <c r="AE41" s="651">
        <v>1.29</v>
      </c>
      <c r="AF41" s="651"/>
      <c r="AG41" s="651"/>
      <c r="AH41" s="651"/>
      <c r="AI41" s="651">
        <v>70.819999999999993</v>
      </c>
      <c r="AJ41" s="651"/>
      <c r="AK41" s="651"/>
      <c r="AL41" s="651"/>
      <c r="AM41" s="651"/>
      <c r="AN41" s="651"/>
      <c r="AO41" s="651"/>
      <c r="AP41" s="651"/>
      <c r="AQ41" s="651"/>
      <c r="AR41" s="651"/>
      <c r="AS41" s="651"/>
      <c r="AT41" s="652"/>
      <c r="AW41" s="764">
        <f t="shared" si="7"/>
        <v>-1.851851851851849E-2</v>
      </c>
      <c r="AX41" s="765">
        <f t="shared" si="7"/>
        <v>0</v>
      </c>
      <c r="AY41" s="765">
        <f t="shared" si="7"/>
        <v>-1.6000000000000014E-2</v>
      </c>
      <c r="AZ41" s="765">
        <f t="shared" si="7"/>
        <v>0</v>
      </c>
      <c r="BA41" s="765">
        <f t="shared" si="7"/>
        <v>0</v>
      </c>
      <c r="BB41" s="765">
        <f t="shared" si="7"/>
        <v>-1.5503875968992276E-2</v>
      </c>
      <c r="BC41" s="765">
        <f t="shared" si="7"/>
        <v>0</v>
      </c>
      <c r="BD41" s="765">
        <f t="shared" si="7"/>
        <v>0</v>
      </c>
      <c r="BE41" s="765">
        <f t="shared" si="7"/>
        <v>0</v>
      </c>
      <c r="BF41" s="765">
        <f t="shared" si="7"/>
        <v>-1.69443659983054E-2</v>
      </c>
      <c r="BG41" s="765">
        <f t="shared" si="7"/>
        <v>0</v>
      </c>
      <c r="BH41" s="765">
        <f t="shared" si="7"/>
        <v>0</v>
      </c>
      <c r="BI41" s="765">
        <f t="shared" si="7"/>
        <v>0</v>
      </c>
      <c r="BJ41" s="765">
        <f t="shared" si="7"/>
        <v>0</v>
      </c>
      <c r="BK41" s="765">
        <f t="shared" si="7"/>
        <v>0</v>
      </c>
      <c r="BL41" s="765">
        <f t="shared" si="3"/>
        <v>0</v>
      </c>
      <c r="BM41" s="765">
        <f t="shared" si="3"/>
        <v>0</v>
      </c>
      <c r="BN41" s="765">
        <f t="shared" si="3"/>
        <v>0</v>
      </c>
      <c r="BO41" s="765">
        <f t="shared" si="3"/>
        <v>0</v>
      </c>
      <c r="BP41" s="765">
        <f t="shared" si="3"/>
        <v>0</v>
      </c>
      <c r="BQ41" s="766">
        <f t="shared" si="3"/>
        <v>0</v>
      </c>
      <c r="BR41" s="550" t="str">
        <f t="array" ref="BR41">IF(MAX(ABS(AW41:BQ41))&gt;$BR$4,"EXPLAIN","")</f>
        <v/>
      </c>
    </row>
    <row r="42" spans="2:70" x14ac:dyDescent="0.2">
      <c r="B42" s="757" t="s">
        <v>695</v>
      </c>
      <c r="C42" s="234" t="str">
        <f>Prop2019DistTar!B42</f>
        <v>Subtransmission</v>
      </c>
      <c r="D42" s="246">
        <f>SUM(Prop2019DistTar!D42,Prop2019TransTar!D42,Prop2019JSTar!D42)</f>
        <v>146800</v>
      </c>
      <c r="E42" s="247">
        <f>SUM(Prop2019DistTar!E42,Prop2019TransTar!E42,Prop2019JSTar!E42)</f>
        <v>0</v>
      </c>
      <c r="F42" s="247">
        <f>SUM(Prop2019DistTar!F42,Prop2019TransTar!F42,Prop2019JSTar!F42)</f>
        <v>2.11</v>
      </c>
      <c r="G42" s="247">
        <f>SUM(Prop2019DistTar!G42,Prop2019TransTar!G42,Prop2019JSTar!G42)</f>
        <v>0</v>
      </c>
      <c r="H42" s="247">
        <f>SUM(Prop2019DistTar!H42,Prop2019TransTar!H42,Prop2019JSTar!H42)</f>
        <v>0</v>
      </c>
      <c r="I42" s="247">
        <f>SUM(Prop2019DistTar!I42,Prop2019TransTar!I42,Prop2019JSTar!I42)</f>
        <v>0.87</v>
      </c>
      <c r="J42" s="247">
        <f>SUM(Prop2019DistTar!J42,Prop2019TransTar!J42,Prop2019JSTar!J42)</f>
        <v>0</v>
      </c>
      <c r="K42" s="247">
        <f>SUM(Prop2019DistTar!K42,Prop2019TransTar!K42,Prop2019JSTar!K42)</f>
        <v>0</v>
      </c>
      <c r="L42" s="247">
        <f>SUM(Prop2019DistTar!L42,Prop2019TransTar!L42,Prop2019JSTar!L42)</f>
        <v>0</v>
      </c>
      <c r="M42" s="247">
        <f>SUM(Prop2019DistTar!M42,Prop2019TransTar!M42,Prop2019JSTar!M42)</f>
        <v>17.11</v>
      </c>
      <c r="N42" s="247">
        <f>SUM(Prop2019DistTar!N42,Prop2019TransTar!N42,Prop2019JSTar!N42)</f>
        <v>0</v>
      </c>
      <c r="O42" s="247">
        <f>SUM(Prop2019DistTar!O42,Prop2019TransTar!O42,Prop2019JSTar!O42)</f>
        <v>0</v>
      </c>
      <c r="P42" s="247">
        <f>SUM(Prop2019DistTar!P42,Prop2019TransTar!P42,Prop2019JSTar!P42)</f>
        <v>0</v>
      </c>
      <c r="Q42" s="247">
        <f>SUM(Prop2019DistTar!Q42,Prop2019TransTar!Q42,Prop2019JSTar!Q42)</f>
        <v>0</v>
      </c>
      <c r="R42" s="247">
        <f>SUM(Prop2019DistTar!R42,Prop2019TransTar!R42,Prop2019JSTar!R42)</f>
        <v>0</v>
      </c>
      <c r="S42" s="247">
        <f>SUM(Prop2019DistTar!S42,Prop2019TransTar!S42,Prop2019JSTar!S42)</f>
        <v>0</v>
      </c>
      <c r="T42" s="247">
        <f>SUM(Prop2019DistTar!T42,Prop2019TransTar!T42,Prop2019JSTar!T42)</f>
        <v>0</v>
      </c>
      <c r="U42" s="247">
        <f>SUM(Prop2019DistTar!U42,Prop2019TransTar!U42,Prop2019JSTar!U42)</f>
        <v>0</v>
      </c>
      <c r="V42" s="247">
        <f>SUM(Prop2019DistTar!V42,Prop2019TransTar!V42,Prop2019JSTar!V42)</f>
        <v>0</v>
      </c>
      <c r="W42" s="247">
        <f>SUM(Prop2019DistTar!W42,Prop2019TransTar!W42,Prop2019JSTar!W42)</f>
        <v>0</v>
      </c>
      <c r="X42" s="248">
        <f>SUM(Prop2019DistTar!X42,Prop2019TransTar!X42,Prop2019JSTar!X42)</f>
        <v>0</v>
      </c>
      <c r="Z42" s="650">
        <v>149800</v>
      </c>
      <c r="AA42" s="651"/>
      <c r="AB42" s="651">
        <v>2.14</v>
      </c>
      <c r="AC42" s="651"/>
      <c r="AD42" s="651"/>
      <c r="AE42" s="651">
        <v>0.89</v>
      </c>
      <c r="AF42" s="651"/>
      <c r="AG42" s="651"/>
      <c r="AH42" s="651"/>
      <c r="AI42" s="651">
        <v>17.46</v>
      </c>
      <c r="AJ42" s="651"/>
      <c r="AK42" s="651"/>
      <c r="AL42" s="651"/>
      <c r="AM42" s="651"/>
      <c r="AN42" s="651"/>
      <c r="AO42" s="651"/>
      <c r="AP42" s="651"/>
      <c r="AQ42" s="651"/>
      <c r="AR42" s="651"/>
      <c r="AS42" s="651"/>
      <c r="AT42" s="652"/>
      <c r="AW42" s="764">
        <f t="shared" si="7"/>
        <v>-2.0026702269692942E-2</v>
      </c>
      <c r="AX42" s="765">
        <f t="shared" si="7"/>
        <v>0</v>
      </c>
      <c r="AY42" s="765">
        <f t="shared" si="7"/>
        <v>-1.4018691588785215E-2</v>
      </c>
      <c r="AZ42" s="765">
        <f t="shared" si="7"/>
        <v>0</v>
      </c>
      <c r="BA42" s="765">
        <f t="shared" si="7"/>
        <v>0</v>
      </c>
      <c r="BB42" s="765">
        <f t="shared" si="7"/>
        <v>-2.2471910112359605E-2</v>
      </c>
      <c r="BC42" s="765">
        <f t="shared" si="7"/>
        <v>0</v>
      </c>
      <c r="BD42" s="765">
        <f t="shared" si="7"/>
        <v>0</v>
      </c>
      <c r="BE42" s="765">
        <f t="shared" si="7"/>
        <v>0</v>
      </c>
      <c r="BF42" s="765">
        <f t="shared" si="7"/>
        <v>-2.004581901489122E-2</v>
      </c>
      <c r="BG42" s="765">
        <f t="shared" si="7"/>
        <v>0</v>
      </c>
      <c r="BH42" s="765">
        <f t="shared" si="7"/>
        <v>0</v>
      </c>
      <c r="BI42" s="765">
        <f t="shared" si="7"/>
        <v>0</v>
      </c>
      <c r="BJ42" s="765">
        <f t="shared" si="7"/>
        <v>0</v>
      </c>
      <c r="BK42" s="765">
        <f t="shared" si="7"/>
        <v>0</v>
      </c>
      <c r="BL42" s="765">
        <f t="shared" si="3"/>
        <v>0</v>
      </c>
      <c r="BM42" s="765">
        <f t="shared" si="3"/>
        <v>0</v>
      </c>
      <c r="BN42" s="765">
        <f t="shared" si="3"/>
        <v>0</v>
      </c>
      <c r="BO42" s="765">
        <f t="shared" si="3"/>
        <v>0</v>
      </c>
      <c r="BP42" s="765">
        <f t="shared" si="3"/>
        <v>0</v>
      </c>
      <c r="BQ42" s="766">
        <f t="shared" si="3"/>
        <v>0</v>
      </c>
      <c r="BR42" s="550" t="str">
        <f t="array" ref="BR42">IF(MAX(ABS(AW42:BQ42))&gt;$BR$4,"EXPLAIN","")</f>
        <v/>
      </c>
    </row>
    <row r="43" spans="2:70" x14ac:dyDescent="0.2">
      <c r="B43" s="234"/>
      <c r="C43" s="234"/>
      <c r="D43" s="650"/>
      <c r="E43" s="651"/>
      <c r="F43" s="651"/>
      <c r="G43" s="651"/>
      <c r="H43" s="651"/>
      <c r="I43" s="651"/>
      <c r="J43" s="651"/>
      <c r="K43" s="651"/>
      <c r="L43" s="651"/>
      <c r="M43" s="651"/>
      <c r="N43" s="651"/>
      <c r="O43" s="651"/>
      <c r="P43" s="651"/>
      <c r="Q43" s="651"/>
      <c r="R43" s="651"/>
      <c r="S43" s="651"/>
      <c r="T43" s="651"/>
      <c r="U43" s="651"/>
      <c r="V43" s="651"/>
      <c r="W43" s="651"/>
      <c r="X43" s="652"/>
      <c r="Z43" s="246"/>
      <c r="AA43" s="247"/>
      <c r="AB43" s="247"/>
      <c r="AC43" s="247"/>
      <c r="AD43" s="247"/>
      <c r="AE43" s="247"/>
      <c r="AF43" s="247"/>
      <c r="AG43" s="247"/>
      <c r="AH43" s="247"/>
      <c r="AI43" s="247"/>
      <c r="AJ43" s="247"/>
      <c r="AK43" s="247"/>
      <c r="AL43" s="247"/>
      <c r="AM43" s="247"/>
      <c r="AN43" s="247"/>
      <c r="AO43" s="247"/>
      <c r="AP43" s="247"/>
      <c r="AQ43" s="247"/>
      <c r="AR43" s="247"/>
      <c r="AS43" s="247"/>
      <c r="AT43" s="248"/>
      <c r="AW43" s="764">
        <f t="shared" si="7"/>
        <v>0</v>
      </c>
      <c r="AX43" s="765">
        <f t="shared" si="7"/>
        <v>0</v>
      </c>
      <c r="AY43" s="765">
        <f t="shared" si="7"/>
        <v>0</v>
      </c>
      <c r="AZ43" s="765">
        <f t="shared" si="7"/>
        <v>0</v>
      </c>
      <c r="BA43" s="765">
        <f t="shared" si="7"/>
        <v>0</v>
      </c>
      <c r="BB43" s="765">
        <f t="shared" si="7"/>
        <v>0</v>
      </c>
      <c r="BC43" s="765">
        <f t="shared" si="7"/>
        <v>0</v>
      </c>
      <c r="BD43" s="765">
        <f t="shared" si="7"/>
        <v>0</v>
      </c>
      <c r="BE43" s="765">
        <f t="shared" si="7"/>
        <v>0</v>
      </c>
      <c r="BF43" s="765">
        <f t="shared" si="7"/>
        <v>0</v>
      </c>
      <c r="BG43" s="765">
        <f t="shared" si="7"/>
        <v>0</v>
      </c>
      <c r="BH43" s="765">
        <f t="shared" si="7"/>
        <v>0</v>
      </c>
      <c r="BI43" s="765">
        <f t="shared" si="7"/>
        <v>0</v>
      </c>
      <c r="BJ43" s="765">
        <f t="shared" si="7"/>
        <v>0</v>
      </c>
      <c r="BK43" s="765">
        <f t="shared" si="7"/>
        <v>0</v>
      </c>
      <c r="BL43" s="765">
        <f t="shared" si="7"/>
        <v>0</v>
      </c>
      <c r="BM43" s="765">
        <f t="shared" ref="BM43:BQ46" si="8">IFERROR(T43/AP43-1,0)</f>
        <v>0</v>
      </c>
      <c r="BN43" s="765">
        <f t="shared" si="8"/>
        <v>0</v>
      </c>
      <c r="BO43" s="765">
        <f t="shared" si="8"/>
        <v>0</v>
      </c>
      <c r="BP43" s="765">
        <f t="shared" si="8"/>
        <v>0</v>
      </c>
      <c r="BQ43" s="766">
        <f t="shared" si="8"/>
        <v>0</v>
      </c>
      <c r="BR43" s="550" t="str">
        <f t="array" ref="BR43">IF(MAX(ABS(AW43:BQ43))&gt;$BR$4,"EXPLAIN","")</f>
        <v/>
      </c>
    </row>
    <row r="44" spans="2:70" x14ac:dyDescent="0.2">
      <c r="B44" s="234"/>
      <c r="C44" s="234"/>
      <c r="D44" s="650"/>
      <c r="E44" s="651"/>
      <c r="F44" s="651"/>
      <c r="G44" s="651"/>
      <c r="H44" s="651"/>
      <c r="I44" s="651"/>
      <c r="J44" s="651"/>
      <c r="K44" s="651"/>
      <c r="L44" s="651"/>
      <c r="M44" s="651"/>
      <c r="N44" s="651"/>
      <c r="O44" s="651"/>
      <c r="P44" s="651"/>
      <c r="Q44" s="651"/>
      <c r="R44" s="651"/>
      <c r="S44" s="651"/>
      <c r="T44" s="651"/>
      <c r="U44" s="651"/>
      <c r="V44" s="651"/>
      <c r="W44" s="651"/>
      <c r="X44" s="652"/>
      <c r="Z44" s="246"/>
      <c r="AA44" s="247"/>
      <c r="AB44" s="247"/>
      <c r="AC44" s="247"/>
      <c r="AD44" s="247"/>
      <c r="AE44" s="247"/>
      <c r="AF44" s="247"/>
      <c r="AG44" s="247"/>
      <c r="AH44" s="247"/>
      <c r="AI44" s="247"/>
      <c r="AJ44" s="247"/>
      <c r="AK44" s="247"/>
      <c r="AL44" s="247"/>
      <c r="AM44" s="247"/>
      <c r="AN44" s="247"/>
      <c r="AO44" s="247"/>
      <c r="AP44" s="247"/>
      <c r="AQ44" s="247"/>
      <c r="AR44" s="247"/>
      <c r="AS44" s="247"/>
      <c r="AT44" s="248"/>
      <c r="AW44" s="764">
        <f t="shared" si="7"/>
        <v>0</v>
      </c>
      <c r="AX44" s="765">
        <f t="shared" si="7"/>
        <v>0</v>
      </c>
      <c r="AY44" s="765">
        <f t="shared" si="7"/>
        <v>0</v>
      </c>
      <c r="AZ44" s="765">
        <f t="shared" si="7"/>
        <v>0</v>
      </c>
      <c r="BA44" s="765">
        <f t="shared" si="7"/>
        <v>0</v>
      </c>
      <c r="BB44" s="765">
        <f t="shared" si="7"/>
        <v>0</v>
      </c>
      <c r="BC44" s="765">
        <f t="shared" si="7"/>
        <v>0</v>
      </c>
      <c r="BD44" s="765">
        <f t="shared" si="7"/>
        <v>0</v>
      </c>
      <c r="BE44" s="765">
        <f t="shared" si="7"/>
        <v>0</v>
      </c>
      <c r="BF44" s="765">
        <f t="shared" si="7"/>
        <v>0</v>
      </c>
      <c r="BG44" s="765">
        <f t="shared" si="7"/>
        <v>0</v>
      </c>
      <c r="BH44" s="765">
        <f t="shared" si="7"/>
        <v>0</v>
      </c>
      <c r="BI44" s="765">
        <f t="shared" si="7"/>
        <v>0</v>
      </c>
      <c r="BJ44" s="765">
        <f t="shared" si="7"/>
        <v>0</v>
      </c>
      <c r="BK44" s="765">
        <f t="shared" si="7"/>
        <v>0</v>
      </c>
      <c r="BL44" s="765">
        <f t="shared" si="7"/>
        <v>0</v>
      </c>
      <c r="BM44" s="765">
        <f t="shared" si="8"/>
        <v>0</v>
      </c>
      <c r="BN44" s="765">
        <f t="shared" si="8"/>
        <v>0</v>
      </c>
      <c r="BO44" s="765">
        <f t="shared" si="8"/>
        <v>0</v>
      </c>
      <c r="BP44" s="765">
        <f t="shared" si="8"/>
        <v>0</v>
      </c>
      <c r="BQ44" s="766">
        <f t="shared" si="8"/>
        <v>0</v>
      </c>
      <c r="BR44" s="550" t="str">
        <f t="array" ref="BR44">IF(MAX(ABS(AW44:BQ44))&gt;$BR$4,"EXPLAIN","")</f>
        <v/>
      </c>
    </row>
    <row r="45" spans="2:70" x14ac:dyDescent="0.2">
      <c r="B45" s="234"/>
      <c r="C45" s="234"/>
      <c r="D45" s="650"/>
      <c r="E45" s="651"/>
      <c r="F45" s="651"/>
      <c r="G45" s="651"/>
      <c r="H45" s="651"/>
      <c r="I45" s="651"/>
      <c r="J45" s="651"/>
      <c r="K45" s="651"/>
      <c r="L45" s="651"/>
      <c r="M45" s="651"/>
      <c r="N45" s="651"/>
      <c r="O45" s="651"/>
      <c r="P45" s="651"/>
      <c r="Q45" s="651"/>
      <c r="R45" s="651"/>
      <c r="S45" s="651"/>
      <c r="T45" s="651"/>
      <c r="U45" s="651"/>
      <c r="V45" s="651"/>
      <c r="W45" s="651"/>
      <c r="X45" s="652"/>
      <c r="Z45" s="246"/>
      <c r="AA45" s="247"/>
      <c r="AB45" s="247"/>
      <c r="AC45" s="247"/>
      <c r="AD45" s="247"/>
      <c r="AE45" s="247"/>
      <c r="AF45" s="247"/>
      <c r="AG45" s="247"/>
      <c r="AH45" s="247"/>
      <c r="AI45" s="247"/>
      <c r="AJ45" s="247"/>
      <c r="AK45" s="247"/>
      <c r="AL45" s="247"/>
      <c r="AM45" s="247"/>
      <c r="AN45" s="247"/>
      <c r="AO45" s="247"/>
      <c r="AP45" s="247"/>
      <c r="AQ45" s="247"/>
      <c r="AR45" s="247"/>
      <c r="AS45" s="247"/>
      <c r="AT45" s="248"/>
      <c r="AW45" s="764">
        <f t="shared" si="7"/>
        <v>0</v>
      </c>
      <c r="AX45" s="765">
        <f t="shared" si="7"/>
        <v>0</v>
      </c>
      <c r="AY45" s="765">
        <f t="shared" si="7"/>
        <v>0</v>
      </c>
      <c r="AZ45" s="765">
        <f t="shared" si="7"/>
        <v>0</v>
      </c>
      <c r="BA45" s="765">
        <f t="shared" si="7"/>
        <v>0</v>
      </c>
      <c r="BB45" s="765">
        <f t="shared" si="7"/>
        <v>0</v>
      </c>
      <c r="BC45" s="765">
        <f t="shared" si="7"/>
        <v>0</v>
      </c>
      <c r="BD45" s="765">
        <f t="shared" si="7"/>
        <v>0</v>
      </c>
      <c r="BE45" s="765">
        <f t="shared" si="7"/>
        <v>0</v>
      </c>
      <c r="BF45" s="765">
        <f t="shared" si="7"/>
        <v>0</v>
      </c>
      <c r="BG45" s="765">
        <f t="shared" si="7"/>
        <v>0</v>
      </c>
      <c r="BH45" s="765">
        <f t="shared" si="7"/>
        <v>0</v>
      </c>
      <c r="BI45" s="765">
        <f t="shared" si="7"/>
        <v>0</v>
      </c>
      <c r="BJ45" s="765">
        <f t="shared" si="7"/>
        <v>0</v>
      </c>
      <c r="BK45" s="765">
        <f t="shared" si="7"/>
        <v>0</v>
      </c>
      <c r="BL45" s="765">
        <f t="shared" si="7"/>
        <v>0</v>
      </c>
      <c r="BM45" s="765">
        <f t="shared" si="8"/>
        <v>0</v>
      </c>
      <c r="BN45" s="765">
        <f t="shared" si="8"/>
        <v>0</v>
      </c>
      <c r="BO45" s="765">
        <f t="shared" si="8"/>
        <v>0</v>
      </c>
      <c r="BP45" s="765">
        <f t="shared" si="8"/>
        <v>0</v>
      </c>
      <c r="BQ45" s="766">
        <f t="shared" si="8"/>
        <v>0</v>
      </c>
      <c r="BR45" s="550" t="str">
        <f t="array" ref="BR45">IF(MAX(ABS(AW45:BQ45))&gt;$BR$4,"EXPLAIN","")</f>
        <v/>
      </c>
    </row>
    <row r="46" spans="2:70" x14ac:dyDescent="0.2">
      <c r="B46" s="234"/>
      <c r="C46" s="234"/>
      <c r="D46" s="650"/>
      <c r="E46" s="651"/>
      <c r="F46" s="651"/>
      <c r="G46" s="651"/>
      <c r="H46" s="651"/>
      <c r="I46" s="651"/>
      <c r="J46" s="651"/>
      <c r="K46" s="651"/>
      <c r="L46" s="651"/>
      <c r="M46" s="651"/>
      <c r="N46" s="651"/>
      <c r="O46" s="651"/>
      <c r="P46" s="651"/>
      <c r="Q46" s="651"/>
      <c r="R46" s="651"/>
      <c r="S46" s="651"/>
      <c r="T46" s="651"/>
      <c r="U46" s="651"/>
      <c r="V46" s="651"/>
      <c r="W46" s="651"/>
      <c r="X46" s="652"/>
      <c r="Z46" s="246"/>
      <c r="AA46" s="247"/>
      <c r="AB46" s="247"/>
      <c r="AC46" s="247"/>
      <c r="AD46" s="247"/>
      <c r="AE46" s="247"/>
      <c r="AF46" s="247"/>
      <c r="AG46" s="247"/>
      <c r="AH46" s="247"/>
      <c r="AI46" s="247"/>
      <c r="AJ46" s="247"/>
      <c r="AK46" s="247"/>
      <c r="AL46" s="247"/>
      <c r="AM46" s="247"/>
      <c r="AN46" s="247"/>
      <c r="AO46" s="247"/>
      <c r="AP46" s="247"/>
      <c r="AQ46" s="247"/>
      <c r="AR46" s="247"/>
      <c r="AS46" s="247"/>
      <c r="AT46" s="248"/>
      <c r="AW46" s="764">
        <f t="shared" si="7"/>
        <v>0</v>
      </c>
      <c r="AX46" s="765">
        <f t="shared" si="7"/>
        <v>0</v>
      </c>
      <c r="AY46" s="765">
        <f t="shared" si="7"/>
        <v>0</v>
      </c>
      <c r="AZ46" s="765">
        <f t="shared" si="7"/>
        <v>0</v>
      </c>
      <c r="BA46" s="765">
        <f t="shared" si="7"/>
        <v>0</v>
      </c>
      <c r="BB46" s="765">
        <f t="shared" si="7"/>
        <v>0</v>
      </c>
      <c r="BC46" s="765">
        <f t="shared" si="7"/>
        <v>0</v>
      </c>
      <c r="BD46" s="765">
        <f t="shared" si="7"/>
        <v>0</v>
      </c>
      <c r="BE46" s="765">
        <f t="shared" si="7"/>
        <v>0</v>
      </c>
      <c r="BF46" s="765">
        <f t="shared" si="7"/>
        <v>0</v>
      </c>
      <c r="BG46" s="765">
        <f t="shared" si="7"/>
        <v>0</v>
      </c>
      <c r="BH46" s="765">
        <f t="shared" si="7"/>
        <v>0</v>
      </c>
      <c r="BI46" s="765">
        <f t="shared" si="7"/>
        <v>0</v>
      </c>
      <c r="BJ46" s="765">
        <f t="shared" si="7"/>
        <v>0</v>
      </c>
      <c r="BK46" s="765">
        <f t="shared" si="7"/>
        <v>0</v>
      </c>
      <c r="BL46" s="765">
        <f t="shared" si="7"/>
        <v>0</v>
      </c>
      <c r="BM46" s="765">
        <f t="shared" si="8"/>
        <v>0</v>
      </c>
      <c r="BN46" s="765">
        <f t="shared" si="8"/>
        <v>0</v>
      </c>
      <c r="BO46" s="765">
        <f t="shared" si="8"/>
        <v>0</v>
      </c>
      <c r="BP46" s="765">
        <f t="shared" si="8"/>
        <v>0</v>
      </c>
      <c r="BQ46" s="766">
        <f t="shared" si="8"/>
        <v>0</v>
      </c>
      <c r="BR46" s="550" t="str">
        <f t="array" ref="BR46">IF(MAX(ABS(AW46:BQ46))&gt;$BR$4,"EXPLAIN","")</f>
        <v/>
      </c>
    </row>
    <row r="47" spans="2:70" x14ac:dyDescent="0.2">
      <c r="B47" s="234"/>
      <c r="C47" s="234"/>
      <c r="D47" s="650"/>
      <c r="E47" s="651"/>
      <c r="F47" s="651"/>
      <c r="G47" s="651"/>
      <c r="H47" s="651"/>
      <c r="I47" s="651"/>
      <c r="J47" s="651"/>
      <c r="K47" s="651"/>
      <c r="L47" s="651"/>
      <c r="M47" s="651"/>
      <c r="N47" s="651"/>
      <c r="O47" s="651"/>
      <c r="P47" s="651"/>
      <c r="Q47" s="651"/>
      <c r="R47" s="651"/>
      <c r="S47" s="651"/>
      <c r="T47" s="651"/>
      <c r="U47" s="651"/>
      <c r="V47" s="651"/>
      <c r="W47" s="651"/>
      <c r="X47" s="652"/>
      <c r="Z47" s="246"/>
      <c r="AA47" s="247"/>
      <c r="AB47" s="247"/>
      <c r="AC47" s="247"/>
      <c r="AD47" s="247"/>
      <c r="AE47" s="247"/>
      <c r="AF47" s="247"/>
      <c r="AG47" s="247"/>
      <c r="AH47" s="247"/>
      <c r="AI47" s="247"/>
      <c r="AJ47" s="247"/>
      <c r="AK47" s="247"/>
      <c r="AL47" s="247"/>
      <c r="AM47" s="247"/>
      <c r="AN47" s="247"/>
      <c r="AO47" s="247"/>
      <c r="AP47" s="247"/>
      <c r="AQ47" s="247"/>
      <c r="AR47" s="247"/>
      <c r="AS47" s="247"/>
      <c r="AT47" s="248"/>
      <c r="AW47" s="764"/>
      <c r="AX47" s="765"/>
      <c r="AY47" s="765"/>
      <c r="AZ47" s="765"/>
      <c r="BA47" s="765"/>
      <c r="BB47" s="765"/>
      <c r="BC47" s="765"/>
      <c r="BD47" s="765"/>
      <c r="BE47" s="765"/>
      <c r="BF47" s="765"/>
      <c r="BG47" s="765"/>
      <c r="BH47" s="765"/>
      <c r="BI47" s="765"/>
      <c r="BJ47" s="765"/>
      <c r="BK47" s="765"/>
      <c r="BL47" s="765"/>
      <c r="BM47" s="765"/>
      <c r="BN47" s="765"/>
      <c r="BO47" s="765"/>
      <c r="BP47" s="765"/>
      <c r="BQ47" s="766"/>
      <c r="BR47" s="550"/>
    </row>
    <row r="48" spans="2:70" x14ac:dyDescent="0.2">
      <c r="B48" s="234"/>
      <c r="C48" s="234"/>
      <c r="D48" s="660"/>
      <c r="E48" s="651"/>
      <c r="F48" s="651"/>
      <c r="G48" s="651"/>
      <c r="H48" s="651"/>
      <c r="I48" s="651"/>
      <c r="J48" s="651"/>
      <c r="K48" s="651"/>
      <c r="L48" s="651"/>
      <c r="M48" s="651"/>
      <c r="N48" s="651"/>
      <c r="O48" s="651"/>
      <c r="P48" s="651"/>
      <c r="Q48" s="682"/>
      <c r="R48" s="651"/>
      <c r="S48" s="651"/>
      <c r="T48" s="651"/>
      <c r="U48" s="651"/>
      <c r="V48" s="651"/>
      <c r="W48" s="651"/>
      <c r="X48" s="652"/>
      <c r="Z48" s="246"/>
      <c r="AA48" s="247"/>
      <c r="AB48" s="247"/>
      <c r="AC48" s="247"/>
      <c r="AD48" s="247"/>
      <c r="AE48" s="247"/>
      <c r="AF48" s="247"/>
      <c r="AG48" s="247"/>
      <c r="AH48" s="247"/>
      <c r="AI48" s="247"/>
      <c r="AJ48" s="247"/>
      <c r="AK48" s="247"/>
      <c r="AL48" s="247"/>
      <c r="AM48" s="247"/>
      <c r="AN48" s="247"/>
      <c r="AO48" s="247"/>
      <c r="AP48" s="247"/>
      <c r="AQ48" s="247"/>
      <c r="AR48" s="247"/>
      <c r="AS48" s="247"/>
      <c r="AT48" s="248"/>
      <c r="AW48" s="764"/>
      <c r="AX48" s="765"/>
      <c r="AY48" s="765"/>
      <c r="AZ48" s="765"/>
      <c r="BA48" s="765"/>
      <c r="BB48" s="765"/>
      <c r="BC48" s="765"/>
      <c r="BD48" s="765"/>
      <c r="BE48" s="765"/>
      <c r="BF48" s="765"/>
      <c r="BG48" s="765"/>
      <c r="BH48" s="765"/>
      <c r="BI48" s="765"/>
      <c r="BJ48" s="765"/>
      <c r="BK48" s="765"/>
      <c r="BL48" s="765"/>
      <c r="BM48" s="765"/>
      <c r="BN48" s="765"/>
      <c r="BO48" s="765"/>
      <c r="BP48" s="765"/>
      <c r="BQ48" s="766"/>
      <c r="BR48" s="550"/>
    </row>
    <row r="49" spans="2:70" x14ac:dyDescent="0.2">
      <c r="B49" s="234"/>
      <c r="C49" s="234"/>
      <c r="D49" s="660"/>
      <c r="E49" s="651"/>
      <c r="F49" s="651"/>
      <c r="G49" s="651"/>
      <c r="H49" s="651"/>
      <c r="I49" s="651"/>
      <c r="J49" s="651"/>
      <c r="K49" s="651"/>
      <c r="L49" s="651"/>
      <c r="M49" s="651"/>
      <c r="N49" s="651"/>
      <c r="O49" s="651"/>
      <c r="P49" s="651"/>
      <c r="Q49" s="682"/>
      <c r="R49" s="651"/>
      <c r="S49" s="651"/>
      <c r="T49" s="651"/>
      <c r="U49" s="651"/>
      <c r="V49" s="651"/>
      <c r="W49" s="651"/>
      <c r="X49" s="652"/>
      <c r="Z49" s="246"/>
      <c r="AA49" s="247"/>
      <c r="AB49" s="247"/>
      <c r="AC49" s="247"/>
      <c r="AD49" s="247"/>
      <c r="AE49" s="247"/>
      <c r="AF49" s="247"/>
      <c r="AG49" s="247"/>
      <c r="AH49" s="247"/>
      <c r="AI49" s="247"/>
      <c r="AJ49" s="247"/>
      <c r="AK49" s="247"/>
      <c r="AL49" s="247"/>
      <c r="AM49" s="247"/>
      <c r="AN49" s="247"/>
      <c r="AO49" s="247"/>
      <c r="AP49" s="247"/>
      <c r="AQ49" s="247"/>
      <c r="AR49" s="247"/>
      <c r="AS49" s="247"/>
      <c r="AT49" s="248"/>
      <c r="AW49" s="764"/>
      <c r="AX49" s="765"/>
      <c r="AY49" s="765"/>
      <c r="AZ49" s="765"/>
      <c r="BA49" s="765"/>
      <c r="BB49" s="765"/>
      <c r="BC49" s="765"/>
      <c r="BD49" s="765"/>
      <c r="BE49" s="765"/>
      <c r="BF49" s="765"/>
      <c r="BG49" s="765"/>
      <c r="BH49" s="765"/>
      <c r="BI49" s="765"/>
      <c r="BJ49" s="765"/>
      <c r="BK49" s="765"/>
      <c r="BL49" s="765"/>
      <c r="BM49" s="765"/>
      <c r="BN49" s="765"/>
      <c r="BO49" s="765"/>
      <c r="BP49" s="765"/>
      <c r="BQ49" s="766"/>
      <c r="BR49" s="550"/>
    </row>
    <row r="50" spans="2:70" x14ac:dyDescent="0.2">
      <c r="B50" s="234"/>
      <c r="C50" s="234"/>
      <c r="D50" s="660"/>
      <c r="E50" s="651"/>
      <c r="F50" s="651"/>
      <c r="G50" s="651"/>
      <c r="H50" s="651"/>
      <c r="I50" s="651"/>
      <c r="J50" s="651"/>
      <c r="K50" s="651"/>
      <c r="L50" s="651"/>
      <c r="M50" s="651"/>
      <c r="N50" s="651"/>
      <c r="O50" s="651"/>
      <c r="P50" s="651"/>
      <c r="Q50" s="682"/>
      <c r="R50" s="651"/>
      <c r="S50" s="651"/>
      <c r="T50" s="651"/>
      <c r="U50" s="651"/>
      <c r="V50" s="651"/>
      <c r="W50" s="651"/>
      <c r="X50" s="652"/>
      <c r="Z50" s="246"/>
      <c r="AA50" s="247"/>
      <c r="AB50" s="247"/>
      <c r="AC50" s="247"/>
      <c r="AD50" s="247"/>
      <c r="AE50" s="247"/>
      <c r="AF50" s="247"/>
      <c r="AG50" s="247"/>
      <c r="AH50" s="247"/>
      <c r="AI50" s="247"/>
      <c r="AJ50" s="247"/>
      <c r="AK50" s="247"/>
      <c r="AL50" s="247"/>
      <c r="AM50" s="247"/>
      <c r="AN50" s="247"/>
      <c r="AO50" s="247"/>
      <c r="AP50" s="247"/>
      <c r="AQ50" s="247"/>
      <c r="AR50" s="247"/>
      <c r="AS50" s="247"/>
      <c r="AT50" s="248"/>
      <c r="AW50" s="764"/>
      <c r="AX50" s="765"/>
      <c r="AY50" s="765"/>
      <c r="AZ50" s="765"/>
      <c r="BA50" s="765"/>
      <c r="BB50" s="765"/>
      <c r="BC50" s="765"/>
      <c r="BD50" s="765"/>
      <c r="BE50" s="765"/>
      <c r="BF50" s="765"/>
      <c r="BG50" s="765"/>
      <c r="BH50" s="765"/>
      <c r="BI50" s="765"/>
      <c r="BJ50" s="765"/>
      <c r="BK50" s="765"/>
      <c r="BL50" s="765"/>
      <c r="BM50" s="765"/>
      <c r="BN50" s="765"/>
      <c r="BO50" s="765"/>
      <c r="BP50" s="765"/>
      <c r="BQ50" s="766"/>
      <c r="BR50" s="550"/>
    </row>
    <row r="51" spans="2:70" x14ac:dyDescent="0.2">
      <c r="B51" s="234"/>
      <c r="C51" s="234"/>
      <c r="D51" s="660"/>
      <c r="E51" s="651"/>
      <c r="F51" s="651"/>
      <c r="G51" s="651"/>
      <c r="H51" s="651"/>
      <c r="I51" s="651"/>
      <c r="J51" s="651"/>
      <c r="K51" s="651"/>
      <c r="L51" s="651"/>
      <c r="M51" s="651"/>
      <c r="N51" s="651"/>
      <c r="O51" s="651"/>
      <c r="P51" s="651"/>
      <c r="Q51" s="682"/>
      <c r="R51" s="651"/>
      <c r="S51" s="651"/>
      <c r="T51" s="651"/>
      <c r="U51" s="651"/>
      <c r="V51" s="651"/>
      <c r="W51" s="651"/>
      <c r="X51" s="652"/>
      <c r="Z51" s="246"/>
      <c r="AA51" s="247"/>
      <c r="AB51" s="247"/>
      <c r="AC51" s="247"/>
      <c r="AD51" s="247"/>
      <c r="AE51" s="247"/>
      <c r="AF51" s="247"/>
      <c r="AG51" s="247"/>
      <c r="AH51" s="247"/>
      <c r="AI51" s="247"/>
      <c r="AJ51" s="247"/>
      <c r="AK51" s="247"/>
      <c r="AL51" s="247"/>
      <c r="AM51" s="247"/>
      <c r="AN51" s="247"/>
      <c r="AO51" s="247"/>
      <c r="AP51" s="247"/>
      <c r="AQ51" s="247"/>
      <c r="AR51" s="247"/>
      <c r="AS51" s="247"/>
      <c r="AT51" s="248"/>
      <c r="AW51" s="764"/>
      <c r="AX51" s="765"/>
      <c r="AY51" s="765"/>
      <c r="AZ51" s="765"/>
      <c r="BA51" s="765"/>
      <c r="BB51" s="765"/>
      <c r="BC51" s="765"/>
      <c r="BD51" s="765"/>
      <c r="BE51" s="765"/>
      <c r="BF51" s="765"/>
      <c r="BG51" s="765"/>
      <c r="BH51" s="765"/>
      <c r="BI51" s="765"/>
      <c r="BJ51" s="765"/>
      <c r="BK51" s="765"/>
      <c r="BL51" s="765"/>
      <c r="BM51" s="765"/>
      <c r="BN51" s="765"/>
      <c r="BO51" s="765"/>
      <c r="BP51" s="765"/>
      <c r="BQ51" s="766"/>
      <c r="BR51" s="550"/>
    </row>
    <row r="52" spans="2:70" x14ac:dyDescent="0.2">
      <c r="B52" s="234"/>
      <c r="C52" s="234"/>
      <c r="D52" s="660"/>
      <c r="E52" s="651"/>
      <c r="F52" s="651"/>
      <c r="G52" s="651"/>
      <c r="H52" s="651"/>
      <c r="I52" s="651"/>
      <c r="J52" s="651"/>
      <c r="K52" s="651"/>
      <c r="L52" s="651"/>
      <c r="M52" s="651"/>
      <c r="N52" s="651"/>
      <c r="O52" s="651"/>
      <c r="P52" s="651"/>
      <c r="Q52" s="682"/>
      <c r="R52" s="651"/>
      <c r="S52" s="651"/>
      <c r="T52" s="651"/>
      <c r="U52" s="651"/>
      <c r="V52" s="651"/>
      <c r="W52" s="651"/>
      <c r="X52" s="652"/>
      <c r="Z52" s="246"/>
      <c r="AA52" s="247"/>
      <c r="AB52" s="247"/>
      <c r="AC52" s="247"/>
      <c r="AD52" s="247"/>
      <c r="AE52" s="247"/>
      <c r="AF52" s="247"/>
      <c r="AG52" s="247"/>
      <c r="AH52" s="247"/>
      <c r="AI52" s="247"/>
      <c r="AJ52" s="247"/>
      <c r="AK52" s="247"/>
      <c r="AL52" s="247"/>
      <c r="AM52" s="247"/>
      <c r="AN52" s="247"/>
      <c r="AO52" s="247"/>
      <c r="AP52" s="247"/>
      <c r="AQ52" s="247"/>
      <c r="AR52" s="247"/>
      <c r="AS52" s="247"/>
      <c r="AT52" s="248"/>
      <c r="AW52" s="764"/>
      <c r="AX52" s="765"/>
      <c r="AY52" s="765"/>
      <c r="AZ52" s="765"/>
      <c r="BA52" s="765"/>
      <c r="BB52" s="765"/>
      <c r="BC52" s="765"/>
      <c r="BD52" s="765"/>
      <c r="BE52" s="765"/>
      <c r="BF52" s="765"/>
      <c r="BG52" s="765"/>
      <c r="BH52" s="765"/>
      <c r="BI52" s="765"/>
      <c r="BJ52" s="765"/>
      <c r="BK52" s="765"/>
      <c r="BL52" s="765"/>
      <c r="BM52" s="765"/>
      <c r="BN52" s="765"/>
      <c r="BO52" s="765"/>
      <c r="BP52" s="765"/>
      <c r="BQ52" s="766"/>
      <c r="BR52" s="550"/>
    </row>
    <row r="53" spans="2:70" x14ac:dyDescent="0.2">
      <c r="B53" s="234"/>
      <c r="C53" s="234"/>
      <c r="D53" s="294"/>
      <c r="E53" s="295"/>
      <c r="F53" s="295"/>
      <c r="G53" s="295"/>
      <c r="H53" s="295"/>
      <c r="I53" s="295"/>
      <c r="J53" s="295"/>
      <c r="K53" s="295"/>
      <c r="L53" s="295"/>
      <c r="M53" s="295"/>
      <c r="N53" s="295"/>
      <c r="O53" s="295"/>
      <c r="P53" s="295"/>
      <c r="Q53" s="371"/>
      <c r="R53" s="295"/>
      <c r="S53" s="295"/>
      <c r="T53" s="295"/>
      <c r="U53" s="295"/>
      <c r="V53" s="295"/>
      <c r="W53" s="295"/>
      <c r="X53" s="296"/>
      <c r="Z53" s="317"/>
      <c r="AA53" s="247"/>
      <c r="AB53" s="247"/>
      <c r="AC53" s="247"/>
      <c r="AD53" s="247"/>
      <c r="AE53" s="247"/>
      <c r="AF53" s="247"/>
      <c r="AG53" s="247"/>
      <c r="AH53" s="247"/>
      <c r="AI53" s="247"/>
      <c r="AJ53" s="247"/>
      <c r="AK53" s="247"/>
      <c r="AL53" s="247"/>
      <c r="AM53" s="371"/>
      <c r="AN53" s="295"/>
      <c r="AO53" s="295"/>
      <c r="AP53" s="295"/>
      <c r="AQ53" s="295"/>
      <c r="AR53" s="295"/>
      <c r="AS53" s="295"/>
      <c r="AT53" s="296"/>
      <c r="AW53" s="764"/>
      <c r="AX53" s="765"/>
      <c r="AY53" s="765"/>
      <c r="AZ53" s="765"/>
      <c r="BA53" s="765"/>
      <c r="BB53" s="765"/>
      <c r="BC53" s="765"/>
      <c r="BD53" s="765"/>
      <c r="BE53" s="765"/>
      <c r="BF53" s="765"/>
      <c r="BG53" s="765"/>
      <c r="BH53" s="765"/>
      <c r="BI53" s="765"/>
      <c r="BJ53" s="765"/>
      <c r="BK53" s="765"/>
      <c r="BL53" s="765"/>
      <c r="BM53" s="765"/>
      <c r="BN53" s="765"/>
      <c r="BO53" s="765"/>
      <c r="BP53" s="765"/>
      <c r="BQ53" s="766"/>
      <c r="BR53" s="550"/>
    </row>
    <row r="54" spans="2:70" x14ac:dyDescent="0.2">
      <c r="B54" s="234"/>
      <c r="C54" s="234"/>
      <c r="D54" s="294"/>
      <c r="E54" s="295"/>
      <c r="F54" s="295"/>
      <c r="G54" s="295"/>
      <c r="H54" s="295"/>
      <c r="I54" s="295"/>
      <c r="J54" s="295"/>
      <c r="K54" s="295"/>
      <c r="L54" s="295"/>
      <c r="M54" s="295"/>
      <c r="N54" s="295"/>
      <c r="O54" s="295"/>
      <c r="P54" s="295"/>
      <c r="Q54" s="371"/>
      <c r="R54" s="295"/>
      <c r="S54" s="295"/>
      <c r="T54" s="295"/>
      <c r="U54" s="295"/>
      <c r="V54" s="295"/>
      <c r="W54" s="295"/>
      <c r="X54" s="296"/>
      <c r="Z54" s="317"/>
      <c r="AA54" s="247"/>
      <c r="AB54" s="247"/>
      <c r="AC54" s="247"/>
      <c r="AD54" s="247"/>
      <c r="AE54" s="247"/>
      <c r="AF54" s="247"/>
      <c r="AG54" s="247"/>
      <c r="AH54" s="247"/>
      <c r="AI54" s="247"/>
      <c r="AJ54" s="247"/>
      <c r="AK54" s="247"/>
      <c r="AL54" s="247"/>
      <c r="AM54" s="371"/>
      <c r="AN54" s="295"/>
      <c r="AO54" s="295"/>
      <c r="AP54" s="295"/>
      <c r="AQ54" s="295"/>
      <c r="AR54" s="295"/>
      <c r="AS54" s="295"/>
      <c r="AT54" s="296"/>
      <c r="AW54" s="764"/>
      <c r="AX54" s="765"/>
      <c r="AY54" s="765"/>
      <c r="AZ54" s="765"/>
      <c r="BA54" s="765"/>
      <c r="BB54" s="765"/>
      <c r="BC54" s="765"/>
      <c r="BD54" s="765"/>
      <c r="BE54" s="765"/>
      <c r="BF54" s="765"/>
      <c r="BG54" s="765"/>
      <c r="BH54" s="765"/>
      <c r="BI54" s="765"/>
      <c r="BJ54" s="765"/>
      <c r="BK54" s="765"/>
      <c r="BL54" s="765"/>
      <c r="BM54" s="765"/>
      <c r="BN54" s="765"/>
      <c r="BO54" s="765"/>
      <c r="BP54" s="765"/>
      <c r="BQ54" s="766"/>
      <c r="BR54" s="550"/>
    </row>
    <row r="55" spans="2:70" x14ac:dyDescent="0.2">
      <c r="B55" s="234"/>
      <c r="C55" s="234"/>
      <c r="D55" s="294"/>
      <c r="E55" s="295"/>
      <c r="F55" s="295"/>
      <c r="G55" s="295"/>
      <c r="H55" s="295"/>
      <c r="I55" s="295"/>
      <c r="J55" s="295"/>
      <c r="K55" s="295"/>
      <c r="L55" s="295"/>
      <c r="M55" s="295"/>
      <c r="N55" s="295"/>
      <c r="O55" s="295"/>
      <c r="P55" s="295"/>
      <c r="Q55" s="371"/>
      <c r="R55" s="295"/>
      <c r="S55" s="295"/>
      <c r="T55" s="295"/>
      <c r="U55" s="295"/>
      <c r="V55" s="295"/>
      <c r="W55" s="295"/>
      <c r="X55" s="296"/>
      <c r="Z55" s="317"/>
      <c r="AA55" s="247"/>
      <c r="AB55" s="247"/>
      <c r="AC55" s="247"/>
      <c r="AD55" s="247"/>
      <c r="AE55" s="247"/>
      <c r="AF55" s="247"/>
      <c r="AG55" s="247"/>
      <c r="AH55" s="247"/>
      <c r="AI55" s="247"/>
      <c r="AJ55" s="247"/>
      <c r="AK55" s="247"/>
      <c r="AL55" s="247"/>
      <c r="AM55" s="371"/>
      <c r="AN55" s="295"/>
      <c r="AO55" s="295"/>
      <c r="AP55" s="295"/>
      <c r="AQ55" s="295"/>
      <c r="AR55" s="295"/>
      <c r="AS55" s="295"/>
      <c r="AT55" s="296"/>
      <c r="AW55" s="764"/>
      <c r="AX55" s="765"/>
      <c r="AY55" s="765"/>
      <c r="AZ55" s="765"/>
      <c r="BA55" s="765"/>
      <c r="BB55" s="765"/>
      <c r="BC55" s="765"/>
      <c r="BD55" s="765"/>
      <c r="BE55" s="765"/>
      <c r="BF55" s="765"/>
      <c r="BG55" s="765"/>
      <c r="BH55" s="765"/>
      <c r="BI55" s="765"/>
      <c r="BJ55" s="765"/>
      <c r="BK55" s="765"/>
      <c r="BL55" s="765"/>
      <c r="BM55" s="765"/>
      <c r="BN55" s="765"/>
      <c r="BO55" s="765"/>
      <c r="BP55" s="765"/>
      <c r="BQ55" s="766"/>
      <c r="BR55" s="550"/>
    </row>
    <row r="56" spans="2:70" x14ac:dyDescent="0.2">
      <c r="B56" s="234"/>
      <c r="C56" s="234"/>
      <c r="D56" s="294"/>
      <c r="E56" s="295"/>
      <c r="F56" s="295"/>
      <c r="G56" s="295"/>
      <c r="H56" s="295"/>
      <c r="I56" s="295"/>
      <c r="J56" s="295"/>
      <c r="K56" s="295"/>
      <c r="L56" s="295"/>
      <c r="M56" s="295"/>
      <c r="N56" s="295"/>
      <c r="O56" s="295"/>
      <c r="P56" s="295"/>
      <c r="Q56" s="371"/>
      <c r="R56" s="295"/>
      <c r="S56" s="295"/>
      <c r="T56" s="295"/>
      <c r="U56" s="295"/>
      <c r="V56" s="295"/>
      <c r="W56" s="295"/>
      <c r="X56" s="296"/>
      <c r="Z56" s="317"/>
      <c r="AA56" s="247"/>
      <c r="AB56" s="247"/>
      <c r="AC56" s="247"/>
      <c r="AD56" s="247"/>
      <c r="AE56" s="247"/>
      <c r="AF56" s="247"/>
      <c r="AG56" s="247"/>
      <c r="AH56" s="247"/>
      <c r="AI56" s="247"/>
      <c r="AJ56" s="247"/>
      <c r="AK56" s="247"/>
      <c r="AL56" s="247"/>
      <c r="AM56" s="371"/>
      <c r="AN56" s="295"/>
      <c r="AO56" s="295"/>
      <c r="AP56" s="295"/>
      <c r="AQ56" s="295"/>
      <c r="AR56" s="295"/>
      <c r="AS56" s="295"/>
      <c r="AT56" s="296"/>
      <c r="AW56" s="764"/>
      <c r="AX56" s="765"/>
      <c r="AY56" s="765"/>
      <c r="AZ56" s="765"/>
      <c r="BA56" s="765"/>
      <c r="BB56" s="765"/>
      <c r="BC56" s="765"/>
      <c r="BD56" s="765"/>
      <c r="BE56" s="765"/>
      <c r="BF56" s="765"/>
      <c r="BG56" s="765"/>
      <c r="BH56" s="765"/>
      <c r="BI56" s="765"/>
      <c r="BJ56" s="765"/>
      <c r="BK56" s="765"/>
      <c r="BL56" s="765"/>
      <c r="BM56" s="765"/>
      <c r="BN56" s="765"/>
      <c r="BO56" s="765"/>
      <c r="BP56" s="765"/>
      <c r="BQ56" s="766"/>
      <c r="BR56" s="550"/>
    </row>
    <row r="57" spans="2:70" x14ac:dyDescent="0.2">
      <c r="B57" s="234"/>
      <c r="C57" s="234"/>
      <c r="D57" s="294"/>
      <c r="E57" s="295"/>
      <c r="F57" s="295"/>
      <c r="G57" s="295"/>
      <c r="H57" s="295"/>
      <c r="I57" s="295"/>
      <c r="J57" s="295"/>
      <c r="K57" s="295"/>
      <c r="L57" s="295"/>
      <c r="M57" s="295"/>
      <c r="N57" s="295"/>
      <c r="O57" s="295"/>
      <c r="P57" s="295"/>
      <c r="Q57" s="371"/>
      <c r="R57" s="295"/>
      <c r="S57" s="295"/>
      <c r="T57" s="295"/>
      <c r="U57" s="295"/>
      <c r="V57" s="295"/>
      <c r="W57" s="295"/>
      <c r="X57" s="296"/>
      <c r="Z57" s="317"/>
      <c r="AA57" s="247"/>
      <c r="AB57" s="247"/>
      <c r="AC57" s="247"/>
      <c r="AD57" s="247"/>
      <c r="AE57" s="247"/>
      <c r="AF57" s="247"/>
      <c r="AG57" s="247"/>
      <c r="AH57" s="247"/>
      <c r="AI57" s="247"/>
      <c r="AJ57" s="247"/>
      <c r="AK57" s="247"/>
      <c r="AL57" s="247"/>
      <c r="AM57" s="371"/>
      <c r="AN57" s="295"/>
      <c r="AO57" s="295"/>
      <c r="AP57" s="295"/>
      <c r="AQ57" s="295"/>
      <c r="AR57" s="295"/>
      <c r="AS57" s="295"/>
      <c r="AT57" s="296"/>
      <c r="AW57" s="764">
        <f t="shared" ref="AW57:BL65" si="9">IFERROR(D57/Z57-1,0)</f>
        <v>0</v>
      </c>
      <c r="AX57" s="765">
        <f t="shared" si="9"/>
        <v>0</v>
      </c>
      <c r="AY57" s="765">
        <f t="shared" si="9"/>
        <v>0</v>
      </c>
      <c r="AZ57" s="765">
        <f t="shared" si="9"/>
        <v>0</v>
      </c>
      <c r="BA57" s="765">
        <f t="shared" si="9"/>
        <v>0</v>
      </c>
      <c r="BB57" s="765">
        <f t="shared" si="9"/>
        <v>0</v>
      </c>
      <c r="BC57" s="765">
        <f t="shared" si="9"/>
        <v>0</v>
      </c>
      <c r="BD57" s="765">
        <f t="shared" si="9"/>
        <v>0</v>
      </c>
      <c r="BE57" s="765">
        <f t="shared" si="9"/>
        <v>0</v>
      </c>
      <c r="BF57" s="765">
        <f t="shared" si="9"/>
        <v>0</v>
      </c>
      <c r="BG57" s="765">
        <f t="shared" si="9"/>
        <v>0</v>
      </c>
      <c r="BH57" s="765">
        <f t="shared" si="9"/>
        <v>0</v>
      </c>
      <c r="BI57" s="765">
        <f t="shared" si="9"/>
        <v>0</v>
      </c>
      <c r="BJ57" s="765">
        <f t="shared" si="9"/>
        <v>0</v>
      </c>
      <c r="BK57" s="765">
        <f t="shared" si="9"/>
        <v>0</v>
      </c>
      <c r="BL57" s="765">
        <f t="shared" si="9"/>
        <v>0</v>
      </c>
      <c r="BM57" s="765">
        <f t="shared" ref="BM57:BQ65" si="10">IFERROR(T57/AP57-1,0)</f>
        <v>0</v>
      </c>
      <c r="BN57" s="765">
        <f t="shared" si="10"/>
        <v>0</v>
      </c>
      <c r="BO57" s="765">
        <f t="shared" si="10"/>
        <v>0</v>
      </c>
      <c r="BP57" s="765">
        <f t="shared" si="10"/>
        <v>0</v>
      </c>
      <c r="BQ57" s="766">
        <f t="shared" si="10"/>
        <v>0</v>
      </c>
      <c r="BR57" s="550" t="str">
        <f t="array" ref="BR57">IF(MAX(ABS(AW57:BQ57))&gt;$BR$4,"EXPLAIN","")</f>
        <v/>
      </c>
    </row>
    <row r="58" spans="2:70" x14ac:dyDescent="0.2">
      <c r="B58" s="234"/>
      <c r="C58" s="234"/>
      <c r="D58" s="294"/>
      <c r="E58" s="295"/>
      <c r="F58" s="295"/>
      <c r="G58" s="295"/>
      <c r="H58" s="295"/>
      <c r="I58" s="295"/>
      <c r="J58" s="295"/>
      <c r="K58" s="295"/>
      <c r="L58" s="295"/>
      <c r="M58" s="295"/>
      <c r="N58" s="295"/>
      <c r="O58" s="295"/>
      <c r="P58" s="295"/>
      <c r="Q58" s="371"/>
      <c r="R58" s="295"/>
      <c r="S58" s="295"/>
      <c r="T58" s="295"/>
      <c r="U58" s="295"/>
      <c r="V58" s="295"/>
      <c r="W58" s="295"/>
      <c r="X58" s="296"/>
      <c r="Z58" s="317"/>
      <c r="AA58" s="247"/>
      <c r="AB58" s="247"/>
      <c r="AC58" s="247"/>
      <c r="AD58" s="247"/>
      <c r="AE58" s="247"/>
      <c r="AF58" s="247"/>
      <c r="AG58" s="247"/>
      <c r="AH58" s="247"/>
      <c r="AI58" s="247"/>
      <c r="AJ58" s="247"/>
      <c r="AK58" s="247"/>
      <c r="AL58" s="247"/>
      <c r="AM58" s="371"/>
      <c r="AN58" s="295"/>
      <c r="AO58" s="295"/>
      <c r="AP58" s="295"/>
      <c r="AQ58" s="295"/>
      <c r="AR58" s="295"/>
      <c r="AS58" s="295"/>
      <c r="AT58" s="296"/>
      <c r="AW58" s="764">
        <f t="shared" si="9"/>
        <v>0</v>
      </c>
      <c r="AX58" s="765">
        <f t="shared" si="9"/>
        <v>0</v>
      </c>
      <c r="AY58" s="765">
        <f t="shared" si="9"/>
        <v>0</v>
      </c>
      <c r="AZ58" s="765">
        <f t="shared" si="9"/>
        <v>0</v>
      </c>
      <c r="BA58" s="765">
        <f t="shared" si="9"/>
        <v>0</v>
      </c>
      <c r="BB58" s="765">
        <f t="shared" si="9"/>
        <v>0</v>
      </c>
      <c r="BC58" s="765">
        <f t="shared" si="9"/>
        <v>0</v>
      </c>
      <c r="BD58" s="765">
        <f t="shared" si="9"/>
        <v>0</v>
      </c>
      <c r="BE58" s="765">
        <f t="shared" si="9"/>
        <v>0</v>
      </c>
      <c r="BF58" s="765">
        <f t="shared" si="9"/>
        <v>0</v>
      </c>
      <c r="BG58" s="765">
        <f t="shared" si="9"/>
        <v>0</v>
      </c>
      <c r="BH58" s="765">
        <f t="shared" si="9"/>
        <v>0</v>
      </c>
      <c r="BI58" s="765">
        <f t="shared" si="9"/>
        <v>0</v>
      </c>
      <c r="BJ58" s="765">
        <f t="shared" si="9"/>
        <v>0</v>
      </c>
      <c r="BK58" s="765">
        <f t="shared" si="9"/>
        <v>0</v>
      </c>
      <c r="BL58" s="765">
        <f t="shared" si="9"/>
        <v>0</v>
      </c>
      <c r="BM58" s="765">
        <f t="shared" si="10"/>
        <v>0</v>
      </c>
      <c r="BN58" s="765">
        <f t="shared" si="10"/>
        <v>0</v>
      </c>
      <c r="BO58" s="765">
        <f t="shared" si="10"/>
        <v>0</v>
      </c>
      <c r="BP58" s="765">
        <f t="shared" si="10"/>
        <v>0</v>
      </c>
      <c r="BQ58" s="766">
        <f t="shared" si="10"/>
        <v>0</v>
      </c>
      <c r="BR58" s="550" t="str">
        <f t="array" ref="BR58">IF(MAX(ABS(AW58:BQ58))&gt;$BR$4,"EXPLAIN","")</f>
        <v/>
      </c>
    </row>
    <row r="59" spans="2:70" x14ac:dyDescent="0.2">
      <c r="B59" s="234"/>
      <c r="C59" s="373"/>
      <c r="D59" s="304"/>
      <c r="E59" s="287"/>
      <c r="F59" s="287"/>
      <c r="G59" s="287"/>
      <c r="H59" s="287"/>
      <c r="I59" s="287"/>
      <c r="J59" s="287"/>
      <c r="K59" s="287"/>
      <c r="L59" s="287"/>
      <c r="M59" s="287"/>
      <c r="N59" s="287"/>
      <c r="O59" s="287"/>
      <c r="P59" s="287"/>
      <c r="Q59" s="286"/>
      <c r="R59" s="287"/>
      <c r="S59" s="287"/>
      <c r="T59" s="287"/>
      <c r="U59" s="287"/>
      <c r="V59" s="287"/>
      <c r="W59" s="287"/>
      <c r="X59" s="288"/>
      <c r="Z59" s="255"/>
      <c r="AA59" s="256"/>
      <c r="AB59" s="256"/>
      <c r="AC59" s="256"/>
      <c r="AD59" s="256"/>
      <c r="AE59" s="256"/>
      <c r="AF59" s="256"/>
      <c r="AG59" s="256"/>
      <c r="AH59" s="256"/>
      <c r="AI59" s="257"/>
      <c r="AJ59" s="257"/>
      <c r="AK59" s="257"/>
      <c r="AL59" s="257"/>
      <c r="AM59" s="374"/>
      <c r="AN59" s="257"/>
      <c r="AO59" s="257"/>
      <c r="AP59" s="257"/>
      <c r="AQ59" s="257"/>
      <c r="AR59" s="257"/>
      <c r="AS59" s="257"/>
      <c r="AT59" s="258"/>
      <c r="AW59" s="764">
        <f t="shared" si="9"/>
        <v>0</v>
      </c>
      <c r="AX59" s="765">
        <f t="shared" si="9"/>
        <v>0</v>
      </c>
      <c r="AY59" s="765">
        <f t="shared" si="9"/>
        <v>0</v>
      </c>
      <c r="AZ59" s="765">
        <f t="shared" si="9"/>
        <v>0</v>
      </c>
      <c r="BA59" s="765">
        <f t="shared" si="9"/>
        <v>0</v>
      </c>
      <c r="BB59" s="765">
        <f t="shared" si="9"/>
        <v>0</v>
      </c>
      <c r="BC59" s="765">
        <f t="shared" si="9"/>
        <v>0</v>
      </c>
      <c r="BD59" s="765">
        <f t="shared" si="9"/>
        <v>0</v>
      </c>
      <c r="BE59" s="765">
        <f t="shared" si="9"/>
        <v>0</v>
      </c>
      <c r="BF59" s="765">
        <f t="shared" si="9"/>
        <v>0</v>
      </c>
      <c r="BG59" s="765">
        <f t="shared" si="9"/>
        <v>0</v>
      </c>
      <c r="BH59" s="765">
        <f t="shared" si="9"/>
        <v>0</v>
      </c>
      <c r="BI59" s="765">
        <f t="shared" si="9"/>
        <v>0</v>
      </c>
      <c r="BJ59" s="765">
        <f t="shared" si="9"/>
        <v>0</v>
      </c>
      <c r="BK59" s="765">
        <f t="shared" si="9"/>
        <v>0</v>
      </c>
      <c r="BL59" s="765">
        <f t="shared" si="9"/>
        <v>0</v>
      </c>
      <c r="BM59" s="765">
        <f t="shared" si="10"/>
        <v>0</v>
      </c>
      <c r="BN59" s="765">
        <f t="shared" si="10"/>
        <v>0</v>
      </c>
      <c r="BO59" s="765">
        <f t="shared" si="10"/>
        <v>0</v>
      </c>
      <c r="BP59" s="765">
        <f t="shared" si="10"/>
        <v>0</v>
      </c>
      <c r="BQ59" s="766">
        <f t="shared" si="10"/>
        <v>0</v>
      </c>
      <c r="BR59" s="550" t="str">
        <f t="array" ref="BR59">IF(MAX(ABS(AW59:BQ59))&gt;$BR$4,"EXPLAIN","")</f>
        <v/>
      </c>
    </row>
    <row r="60" spans="2:70" x14ac:dyDescent="0.2">
      <c r="B60" s="234"/>
      <c r="C60" s="373"/>
      <c r="D60" s="304"/>
      <c r="E60" s="287"/>
      <c r="F60" s="287"/>
      <c r="G60" s="287"/>
      <c r="H60" s="287"/>
      <c r="I60" s="287"/>
      <c r="J60" s="287"/>
      <c r="K60" s="287"/>
      <c r="L60" s="287"/>
      <c r="M60" s="287"/>
      <c r="N60" s="287"/>
      <c r="O60" s="287"/>
      <c r="P60" s="287"/>
      <c r="Q60" s="286"/>
      <c r="R60" s="287"/>
      <c r="S60" s="287"/>
      <c r="T60" s="287"/>
      <c r="U60" s="287"/>
      <c r="V60" s="287"/>
      <c r="W60" s="287"/>
      <c r="X60" s="288"/>
      <c r="Z60" s="255"/>
      <c r="AA60" s="256"/>
      <c r="AB60" s="256"/>
      <c r="AC60" s="256"/>
      <c r="AD60" s="256"/>
      <c r="AE60" s="256"/>
      <c r="AF60" s="256"/>
      <c r="AG60" s="256"/>
      <c r="AH60" s="256"/>
      <c r="AI60" s="257"/>
      <c r="AJ60" s="257"/>
      <c r="AK60" s="257"/>
      <c r="AL60" s="257"/>
      <c r="AM60" s="374"/>
      <c r="AN60" s="257"/>
      <c r="AO60" s="257"/>
      <c r="AP60" s="257"/>
      <c r="AQ60" s="257"/>
      <c r="AR60" s="257"/>
      <c r="AS60" s="257"/>
      <c r="AT60" s="258"/>
      <c r="AW60" s="764">
        <f t="shared" si="9"/>
        <v>0</v>
      </c>
      <c r="AX60" s="765">
        <f t="shared" si="9"/>
        <v>0</v>
      </c>
      <c r="AY60" s="765">
        <f t="shared" si="9"/>
        <v>0</v>
      </c>
      <c r="AZ60" s="765">
        <f t="shared" si="9"/>
        <v>0</v>
      </c>
      <c r="BA60" s="765">
        <f t="shared" si="9"/>
        <v>0</v>
      </c>
      <c r="BB60" s="765">
        <f t="shared" si="9"/>
        <v>0</v>
      </c>
      <c r="BC60" s="765">
        <f t="shared" si="9"/>
        <v>0</v>
      </c>
      <c r="BD60" s="765">
        <f t="shared" si="9"/>
        <v>0</v>
      </c>
      <c r="BE60" s="765">
        <f t="shared" si="9"/>
        <v>0</v>
      </c>
      <c r="BF60" s="765">
        <f t="shared" si="9"/>
        <v>0</v>
      </c>
      <c r="BG60" s="765">
        <f t="shared" si="9"/>
        <v>0</v>
      </c>
      <c r="BH60" s="765">
        <f t="shared" si="9"/>
        <v>0</v>
      </c>
      <c r="BI60" s="765">
        <f t="shared" si="9"/>
        <v>0</v>
      </c>
      <c r="BJ60" s="765">
        <f t="shared" si="9"/>
        <v>0</v>
      </c>
      <c r="BK60" s="765">
        <f t="shared" si="9"/>
        <v>0</v>
      </c>
      <c r="BL60" s="765">
        <f t="shared" si="9"/>
        <v>0</v>
      </c>
      <c r="BM60" s="765">
        <f t="shared" si="10"/>
        <v>0</v>
      </c>
      <c r="BN60" s="765">
        <f t="shared" si="10"/>
        <v>0</v>
      </c>
      <c r="BO60" s="765">
        <f t="shared" si="10"/>
        <v>0</v>
      </c>
      <c r="BP60" s="765">
        <f t="shared" si="10"/>
        <v>0</v>
      </c>
      <c r="BQ60" s="766">
        <f t="shared" si="10"/>
        <v>0</v>
      </c>
      <c r="BR60" s="550" t="str">
        <f t="array" ref="BR60">IF(MAX(ABS(AW60:BQ60))&gt;$BR$4,"EXPLAIN","")</f>
        <v/>
      </c>
    </row>
    <row r="61" spans="2:70" x14ac:dyDescent="0.2">
      <c r="B61" s="234"/>
      <c r="C61" s="373"/>
      <c r="D61" s="304"/>
      <c r="E61" s="287"/>
      <c r="F61" s="287"/>
      <c r="G61" s="287"/>
      <c r="H61" s="287"/>
      <c r="I61" s="287"/>
      <c r="J61" s="287"/>
      <c r="K61" s="287"/>
      <c r="L61" s="287"/>
      <c r="M61" s="287"/>
      <c r="N61" s="287"/>
      <c r="O61" s="287"/>
      <c r="P61" s="287"/>
      <c r="Q61" s="286"/>
      <c r="R61" s="287"/>
      <c r="S61" s="287"/>
      <c r="T61" s="287"/>
      <c r="U61" s="287"/>
      <c r="V61" s="287"/>
      <c r="W61" s="287"/>
      <c r="X61" s="288"/>
      <c r="Z61" s="255"/>
      <c r="AA61" s="256"/>
      <c r="AB61" s="256"/>
      <c r="AC61" s="256"/>
      <c r="AD61" s="256"/>
      <c r="AE61" s="256"/>
      <c r="AF61" s="256"/>
      <c r="AG61" s="256"/>
      <c r="AH61" s="256"/>
      <c r="AI61" s="257"/>
      <c r="AJ61" s="257"/>
      <c r="AK61" s="257"/>
      <c r="AL61" s="257"/>
      <c r="AM61" s="374"/>
      <c r="AN61" s="257"/>
      <c r="AO61" s="257"/>
      <c r="AP61" s="257"/>
      <c r="AQ61" s="257"/>
      <c r="AR61" s="257"/>
      <c r="AS61" s="257"/>
      <c r="AT61" s="258"/>
      <c r="AW61" s="764">
        <f t="shared" si="9"/>
        <v>0</v>
      </c>
      <c r="AX61" s="765">
        <f t="shared" si="9"/>
        <v>0</v>
      </c>
      <c r="AY61" s="765">
        <f t="shared" si="9"/>
        <v>0</v>
      </c>
      <c r="AZ61" s="765">
        <f t="shared" si="9"/>
        <v>0</v>
      </c>
      <c r="BA61" s="765">
        <f t="shared" si="9"/>
        <v>0</v>
      </c>
      <c r="BB61" s="765">
        <f t="shared" si="9"/>
        <v>0</v>
      </c>
      <c r="BC61" s="765">
        <f t="shared" si="9"/>
        <v>0</v>
      </c>
      <c r="BD61" s="765">
        <f t="shared" si="9"/>
        <v>0</v>
      </c>
      <c r="BE61" s="765">
        <f t="shared" si="9"/>
        <v>0</v>
      </c>
      <c r="BF61" s="765">
        <f t="shared" si="9"/>
        <v>0</v>
      </c>
      <c r="BG61" s="765">
        <f t="shared" si="9"/>
        <v>0</v>
      </c>
      <c r="BH61" s="765">
        <f t="shared" si="9"/>
        <v>0</v>
      </c>
      <c r="BI61" s="765">
        <f t="shared" si="9"/>
        <v>0</v>
      </c>
      <c r="BJ61" s="765">
        <f t="shared" si="9"/>
        <v>0</v>
      </c>
      <c r="BK61" s="765">
        <f t="shared" si="9"/>
        <v>0</v>
      </c>
      <c r="BL61" s="765">
        <f t="shared" si="9"/>
        <v>0</v>
      </c>
      <c r="BM61" s="765">
        <f t="shared" si="10"/>
        <v>0</v>
      </c>
      <c r="BN61" s="765">
        <f t="shared" si="10"/>
        <v>0</v>
      </c>
      <c r="BO61" s="765">
        <f t="shared" si="10"/>
        <v>0</v>
      </c>
      <c r="BP61" s="765">
        <f t="shared" si="10"/>
        <v>0</v>
      </c>
      <c r="BQ61" s="766">
        <f t="shared" si="10"/>
        <v>0</v>
      </c>
      <c r="BR61" s="550" t="str">
        <f t="array" ref="BR61">IF(MAX(ABS(AW61:BQ61))&gt;$BR$4,"EXPLAIN","")</f>
        <v/>
      </c>
    </row>
    <row r="62" spans="2:70" x14ac:dyDescent="0.2">
      <c r="B62" s="234"/>
      <c r="C62" s="373"/>
      <c r="D62" s="304"/>
      <c r="E62" s="287"/>
      <c r="F62" s="287"/>
      <c r="G62" s="287"/>
      <c r="H62" s="287"/>
      <c r="I62" s="287"/>
      <c r="J62" s="287"/>
      <c r="K62" s="287"/>
      <c r="L62" s="287"/>
      <c r="M62" s="287"/>
      <c r="N62" s="287"/>
      <c r="O62" s="287"/>
      <c r="P62" s="287"/>
      <c r="Q62" s="286"/>
      <c r="R62" s="287"/>
      <c r="S62" s="287"/>
      <c r="T62" s="287"/>
      <c r="U62" s="287"/>
      <c r="V62" s="287"/>
      <c r="W62" s="287"/>
      <c r="X62" s="288"/>
      <c r="Z62" s="255"/>
      <c r="AA62" s="256"/>
      <c r="AB62" s="256"/>
      <c r="AC62" s="256"/>
      <c r="AD62" s="256"/>
      <c r="AE62" s="256"/>
      <c r="AF62" s="256"/>
      <c r="AG62" s="256"/>
      <c r="AH62" s="256"/>
      <c r="AI62" s="257"/>
      <c r="AJ62" s="257"/>
      <c r="AK62" s="257"/>
      <c r="AL62" s="257"/>
      <c r="AM62" s="374"/>
      <c r="AN62" s="257"/>
      <c r="AO62" s="257"/>
      <c r="AP62" s="257"/>
      <c r="AQ62" s="257"/>
      <c r="AR62" s="257"/>
      <c r="AS62" s="257"/>
      <c r="AT62" s="258"/>
      <c r="AW62" s="764">
        <f t="shared" si="9"/>
        <v>0</v>
      </c>
      <c r="AX62" s="765">
        <f t="shared" si="9"/>
        <v>0</v>
      </c>
      <c r="AY62" s="765">
        <f t="shared" si="9"/>
        <v>0</v>
      </c>
      <c r="AZ62" s="765">
        <f t="shared" si="9"/>
        <v>0</v>
      </c>
      <c r="BA62" s="765">
        <f t="shared" si="9"/>
        <v>0</v>
      </c>
      <c r="BB62" s="765">
        <f t="shared" si="9"/>
        <v>0</v>
      </c>
      <c r="BC62" s="765">
        <f t="shared" si="9"/>
        <v>0</v>
      </c>
      <c r="BD62" s="765">
        <f t="shared" si="9"/>
        <v>0</v>
      </c>
      <c r="BE62" s="765">
        <f t="shared" si="9"/>
        <v>0</v>
      </c>
      <c r="BF62" s="765">
        <f t="shared" si="9"/>
        <v>0</v>
      </c>
      <c r="BG62" s="765">
        <f t="shared" si="9"/>
        <v>0</v>
      </c>
      <c r="BH62" s="765">
        <f t="shared" si="9"/>
        <v>0</v>
      </c>
      <c r="BI62" s="765">
        <f t="shared" si="9"/>
        <v>0</v>
      </c>
      <c r="BJ62" s="765">
        <f t="shared" si="9"/>
        <v>0</v>
      </c>
      <c r="BK62" s="765">
        <f t="shared" si="9"/>
        <v>0</v>
      </c>
      <c r="BL62" s="765">
        <f t="shared" si="9"/>
        <v>0</v>
      </c>
      <c r="BM62" s="765">
        <f t="shared" si="10"/>
        <v>0</v>
      </c>
      <c r="BN62" s="765">
        <f t="shared" si="10"/>
        <v>0</v>
      </c>
      <c r="BO62" s="765">
        <f t="shared" si="10"/>
        <v>0</v>
      </c>
      <c r="BP62" s="765">
        <f t="shared" si="10"/>
        <v>0</v>
      </c>
      <c r="BQ62" s="766">
        <f t="shared" si="10"/>
        <v>0</v>
      </c>
      <c r="BR62" s="550" t="str">
        <f t="array" ref="BR62">IF(MAX(ABS(AW62:BQ62))&gt;$BR$4,"EXPLAIN","")</f>
        <v/>
      </c>
    </row>
    <row r="63" spans="2:70" x14ac:dyDescent="0.2">
      <c r="B63" s="234"/>
      <c r="C63" s="373"/>
      <c r="D63" s="304"/>
      <c r="E63" s="287"/>
      <c r="F63" s="287"/>
      <c r="G63" s="287"/>
      <c r="H63" s="287"/>
      <c r="I63" s="287"/>
      <c r="J63" s="287"/>
      <c r="K63" s="287"/>
      <c r="L63" s="287"/>
      <c r="M63" s="287"/>
      <c r="N63" s="287"/>
      <c r="O63" s="287"/>
      <c r="P63" s="287"/>
      <c r="Q63" s="286"/>
      <c r="R63" s="287"/>
      <c r="S63" s="287"/>
      <c r="T63" s="287"/>
      <c r="U63" s="287"/>
      <c r="V63" s="287"/>
      <c r="W63" s="287"/>
      <c r="X63" s="288"/>
      <c r="Z63" s="255"/>
      <c r="AA63" s="256"/>
      <c r="AB63" s="256"/>
      <c r="AC63" s="256"/>
      <c r="AD63" s="256"/>
      <c r="AE63" s="256"/>
      <c r="AF63" s="256"/>
      <c r="AG63" s="256"/>
      <c r="AH63" s="256"/>
      <c r="AI63" s="257"/>
      <c r="AJ63" s="257"/>
      <c r="AK63" s="257"/>
      <c r="AL63" s="257"/>
      <c r="AM63" s="374"/>
      <c r="AN63" s="257"/>
      <c r="AO63" s="257"/>
      <c r="AP63" s="257"/>
      <c r="AQ63" s="257"/>
      <c r="AR63" s="257"/>
      <c r="AS63" s="257"/>
      <c r="AT63" s="258"/>
      <c r="AW63" s="764">
        <f t="shared" si="9"/>
        <v>0</v>
      </c>
      <c r="AX63" s="765">
        <f t="shared" si="9"/>
        <v>0</v>
      </c>
      <c r="AY63" s="765">
        <f t="shared" si="9"/>
        <v>0</v>
      </c>
      <c r="AZ63" s="765">
        <f t="shared" si="9"/>
        <v>0</v>
      </c>
      <c r="BA63" s="765">
        <f t="shared" si="9"/>
        <v>0</v>
      </c>
      <c r="BB63" s="765">
        <f t="shared" si="9"/>
        <v>0</v>
      </c>
      <c r="BC63" s="765">
        <f t="shared" si="9"/>
        <v>0</v>
      </c>
      <c r="BD63" s="765">
        <f t="shared" si="9"/>
        <v>0</v>
      </c>
      <c r="BE63" s="765">
        <f t="shared" si="9"/>
        <v>0</v>
      </c>
      <c r="BF63" s="765">
        <f t="shared" si="9"/>
        <v>0</v>
      </c>
      <c r="BG63" s="765">
        <f t="shared" si="9"/>
        <v>0</v>
      </c>
      <c r="BH63" s="765">
        <f t="shared" si="9"/>
        <v>0</v>
      </c>
      <c r="BI63" s="765">
        <f t="shared" si="9"/>
        <v>0</v>
      </c>
      <c r="BJ63" s="765">
        <f t="shared" si="9"/>
        <v>0</v>
      </c>
      <c r="BK63" s="765">
        <f t="shared" si="9"/>
        <v>0</v>
      </c>
      <c r="BL63" s="765">
        <f t="shared" si="9"/>
        <v>0</v>
      </c>
      <c r="BM63" s="765">
        <f t="shared" si="10"/>
        <v>0</v>
      </c>
      <c r="BN63" s="765">
        <f t="shared" si="10"/>
        <v>0</v>
      </c>
      <c r="BO63" s="765">
        <f t="shared" si="10"/>
        <v>0</v>
      </c>
      <c r="BP63" s="765">
        <f t="shared" si="10"/>
        <v>0</v>
      </c>
      <c r="BQ63" s="766">
        <f t="shared" si="10"/>
        <v>0</v>
      </c>
      <c r="BR63" s="550" t="str">
        <f t="array" ref="BR63">IF(MAX(ABS(AW63:BQ63))&gt;$BR$4,"EXPLAIN","")</f>
        <v/>
      </c>
    </row>
    <row r="64" spans="2:70" x14ac:dyDescent="0.2">
      <c r="B64" s="234"/>
      <c r="C64" s="373"/>
      <c r="D64" s="304"/>
      <c r="E64" s="287"/>
      <c r="F64" s="287"/>
      <c r="G64" s="287"/>
      <c r="H64" s="287"/>
      <c r="I64" s="287"/>
      <c r="J64" s="287"/>
      <c r="K64" s="287"/>
      <c r="L64" s="287"/>
      <c r="M64" s="287"/>
      <c r="N64" s="287"/>
      <c r="O64" s="287"/>
      <c r="P64" s="287"/>
      <c r="Q64" s="286"/>
      <c r="R64" s="287"/>
      <c r="S64" s="287"/>
      <c r="T64" s="287"/>
      <c r="U64" s="287"/>
      <c r="V64" s="287"/>
      <c r="W64" s="287"/>
      <c r="X64" s="288"/>
      <c r="Z64" s="255"/>
      <c r="AA64" s="256"/>
      <c r="AB64" s="256"/>
      <c r="AC64" s="256"/>
      <c r="AD64" s="256"/>
      <c r="AE64" s="256"/>
      <c r="AF64" s="256"/>
      <c r="AG64" s="256"/>
      <c r="AH64" s="256"/>
      <c r="AI64" s="257"/>
      <c r="AJ64" s="257"/>
      <c r="AK64" s="257"/>
      <c r="AL64" s="257"/>
      <c r="AM64" s="374"/>
      <c r="AN64" s="257"/>
      <c r="AO64" s="257"/>
      <c r="AP64" s="257"/>
      <c r="AQ64" s="257"/>
      <c r="AR64" s="257"/>
      <c r="AS64" s="257"/>
      <c r="AT64" s="258"/>
      <c r="AW64" s="764">
        <f t="shared" si="9"/>
        <v>0</v>
      </c>
      <c r="AX64" s="765">
        <f t="shared" si="9"/>
        <v>0</v>
      </c>
      <c r="AY64" s="765">
        <f t="shared" si="9"/>
        <v>0</v>
      </c>
      <c r="AZ64" s="765">
        <f t="shared" si="9"/>
        <v>0</v>
      </c>
      <c r="BA64" s="765">
        <f t="shared" si="9"/>
        <v>0</v>
      </c>
      <c r="BB64" s="765">
        <f t="shared" si="9"/>
        <v>0</v>
      </c>
      <c r="BC64" s="765">
        <f t="shared" si="9"/>
        <v>0</v>
      </c>
      <c r="BD64" s="765">
        <f t="shared" si="9"/>
        <v>0</v>
      </c>
      <c r="BE64" s="765">
        <f t="shared" si="9"/>
        <v>0</v>
      </c>
      <c r="BF64" s="765">
        <f t="shared" si="9"/>
        <v>0</v>
      </c>
      <c r="BG64" s="765">
        <f t="shared" si="9"/>
        <v>0</v>
      </c>
      <c r="BH64" s="765">
        <f t="shared" si="9"/>
        <v>0</v>
      </c>
      <c r="BI64" s="765">
        <f t="shared" si="9"/>
        <v>0</v>
      </c>
      <c r="BJ64" s="765">
        <f t="shared" si="9"/>
        <v>0</v>
      </c>
      <c r="BK64" s="765">
        <f t="shared" si="9"/>
        <v>0</v>
      </c>
      <c r="BL64" s="765">
        <f t="shared" si="9"/>
        <v>0</v>
      </c>
      <c r="BM64" s="765">
        <f t="shared" si="10"/>
        <v>0</v>
      </c>
      <c r="BN64" s="765">
        <f t="shared" si="10"/>
        <v>0</v>
      </c>
      <c r="BO64" s="765">
        <f t="shared" si="10"/>
        <v>0</v>
      </c>
      <c r="BP64" s="765">
        <f t="shared" si="10"/>
        <v>0</v>
      </c>
      <c r="BQ64" s="766">
        <f t="shared" si="10"/>
        <v>0</v>
      </c>
      <c r="BR64" s="550" t="str">
        <f t="array" ref="BR64">IF(MAX(ABS(AW64:BQ64))&gt;$BR$4,"EXPLAIN","")</f>
        <v/>
      </c>
    </row>
    <row r="65" spans="2:70" ht="13.5" thickBot="1" x14ac:dyDescent="0.25">
      <c r="B65" s="259"/>
      <c r="C65" s="375"/>
      <c r="D65" s="308"/>
      <c r="E65" s="292"/>
      <c r="F65" s="292"/>
      <c r="G65" s="292"/>
      <c r="H65" s="292"/>
      <c r="I65" s="292"/>
      <c r="J65" s="292"/>
      <c r="K65" s="292"/>
      <c r="L65" s="292"/>
      <c r="M65" s="292"/>
      <c r="N65" s="292"/>
      <c r="O65" s="292"/>
      <c r="P65" s="292"/>
      <c r="Q65" s="291"/>
      <c r="R65" s="292"/>
      <c r="S65" s="292"/>
      <c r="T65" s="292"/>
      <c r="U65" s="292"/>
      <c r="V65" s="292"/>
      <c r="W65" s="292"/>
      <c r="X65" s="293"/>
      <c r="Z65" s="260"/>
      <c r="AA65" s="261"/>
      <c r="AB65" s="261"/>
      <c r="AC65" s="261"/>
      <c r="AD65" s="261"/>
      <c r="AE65" s="261"/>
      <c r="AF65" s="261"/>
      <c r="AG65" s="261"/>
      <c r="AH65" s="261"/>
      <c r="AI65" s="262"/>
      <c r="AJ65" s="262"/>
      <c r="AK65" s="262"/>
      <c r="AL65" s="262"/>
      <c r="AM65" s="376"/>
      <c r="AN65" s="262"/>
      <c r="AO65" s="262"/>
      <c r="AP65" s="262"/>
      <c r="AQ65" s="262"/>
      <c r="AR65" s="262"/>
      <c r="AS65" s="262"/>
      <c r="AT65" s="263"/>
      <c r="AW65" s="767">
        <f t="shared" si="9"/>
        <v>0</v>
      </c>
      <c r="AX65" s="768">
        <f t="shared" si="9"/>
        <v>0</v>
      </c>
      <c r="AY65" s="768">
        <f t="shared" si="9"/>
        <v>0</v>
      </c>
      <c r="AZ65" s="768">
        <f t="shared" si="9"/>
        <v>0</v>
      </c>
      <c r="BA65" s="768">
        <f t="shared" si="9"/>
        <v>0</v>
      </c>
      <c r="BB65" s="768">
        <f t="shared" si="9"/>
        <v>0</v>
      </c>
      <c r="BC65" s="768">
        <f t="shared" si="9"/>
        <v>0</v>
      </c>
      <c r="BD65" s="768">
        <f t="shared" si="9"/>
        <v>0</v>
      </c>
      <c r="BE65" s="768">
        <f t="shared" si="9"/>
        <v>0</v>
      </c>
      <c r="BF65" s="768">
        <f t="shared" si="9"/>
        <v>0</v>
      </c>
      <c r="BG65" s="768">
        <f t="shared" si="9"/>
        <v>0</v>
      </c>
      <c r="BH65" s="768">
        <f t="shared" si="9"/>
        <v>0</v>
      </c>
      <c r="BI65" s="768">
        <f t="shared" si="9"/>
        <v>0</v>
      </c>
      <c r="BJ65" s="768">
        <f t="shared" si="9"/>
        <v>0</v>
      </c>
      <c r="BK65" s="768">
        <f t="shared" si="9"/>
        <v>0</v>
      </c>
      <c r="BL65" s="768">
        <f t="shared" si="9"/>
        <v>0</v>
      </c>
      <c r="BM65" s="768">
        <f t="shared" si="10"/>
        <v>0</v>
      </c>
      <c r="BN65" s="768">
        <f t="shared" si="10"/>
        <v>0</v>
      </c>
      <c r="BO65" s="768">
        <f t="shared" si="10"/>
        <v>0</v>
      </c>
      <c r="BP65" s="768">
        <f t="shared" si="10"/>
        <v>0</v>
      </c>
      <c r="BQ65" s="769">
        <f t="shared" si="10"/>
        <v>0</v>
      </c>
      <c r="BR65" s="770" t="str">
        <f t="array" ref="BR65">IF(MAX(ABS(AW65:BQ65))&gt;$BR$4,"EXPLAIN","")</f>
        <v/>
      </c>
    </row>
    <row r="66" spans="2:70" s="151" customFormat="1" x14ac:dyDescent="0.2"/>
    <row r="67" spans="2:70" s="151" customFormat="1" x14ac:dyDescent="0.2"/>
    <row r="68" spans="2:70" s="151" customFormat="1" x14ac:dyDescent="0.2"/>
    <row r="69" spans="2:70" s="151" customFormat="1" x14ac:dyDescent="0.2"/>
    <row r="70" spans="2:70" s="151" customFormat="1" x14ac:dyDescent="0.2"/>
    <row r="71" spans="2:70" s="151" customFormat="1" x14ac:dyDescent="0.2"/>
    <row r="72" spans="2:70" s="151" customFormat="1" x14ac:dyDescent="0.2"/>
    <row r="73" spans="2:70" s="151" customFormat="1" x14ac:dyDescent="0.2"/>
    <row r="74" spans="2:70" s="151" customFormat="1" x14ac:dyDescent="0.2"/>
    <row r="75" spans="2:70" s="151" customFormat="1" x14ac:dyDescent="0.2"/>
    <row r="76" spans="2:70" s="151" customFormat="1" x14ac:dyDescent="0.2"/>
    <row r="77" spans="2:70" s="151" customFormat="1" x14ac:dyDescent="0.2"/>
    <row r="78" spans="2:70" s="151" customFormat="1" x14ac:dyDescent="0.2"/>
    <row r="79" spans="2:70" s="151" customFormat="1" x14ac:dyDescent="0.2"/>
    <row r="80" spans="2:70" s="151" customFormat="1" x14ac:dyDescent="0.2"/>
    <row r="81" s="151" customFormat="1" x14ac:dyDescent="0.2"/>
    <row r="82" s="151" customFormat="1" x14ac:dyDescent="0.2"/>
    <row r="83" s="151" customFormat="1" x14ac:dyDescent="0.2"/>
    <row r="84" s="151" customFormat="1" x14ac:dyDescent="0.2"/>
    <row r="85" s="151" customFormat="1" x14ac:dyDescent="0.2"/>
    <row r="86" s="151" customFormat="1" x14ac:dyDescent="0.2"/>
    <row r="87" s="151" customFormat="1" x14ac:dyDescent="0.2"/>
    <row r="88" s="151" customFormat="1" x14ac:dyDescent="0.2"/>
    <row r="89" s="151" customFormat="1" x14ac:dyDescent="0.2"/>
    <row r="90" s="151" customFormat="1" x14ac:dyDescent="0.2"/>
    <row r="91" s="151" customFormat="1" x14ac:dyDescent="0.2"/>
    <row r="92" s="151" customFormat="1" x14ac:dyDescent="0.2"/>
    <row r="93" s="151" customFormat="1" x14ac:dyDescent="0.2"/>
    <row r="94" s="151" customFormat="1" x14ac:dyDescent="0.2"/>
    <row r="95" s="151" customFormat="1" x14ac:dyDescent="0.2"/>
    <row r="96" s="151" customFormat="1" x14ac:dyDescent="0.2"/>
    <row r="97" spans="49:70" s="151" customFormat="1" x14ac:dyDescent="0.2"/>
    <row r="98" spans="49:70" s="151" customFormat="1" x14ac:dyDescent="0.2"/>
    <row r="99" spans="49:70" s="151" customFormat="1" x14ac:dyDescent="0.2"/>
    <row r="100" spans="49:70" s="151" customFormat="1" x14ac:dyDescent="0.2"/>
    <row r="101" spans="49:70" s="151" customFormat="1" x14ac:dyDescent="0.2"/>
    <row r="102" spans="49:70" s="151" customFormat="1" x14ac:dyDescent="0.2"/>
    <row r="103" spans="49:70" s="151" customFormat="1" x14ac:dyDescent="0.2"/>
    <row r="104" spans="49:70" s="151" customFormat="1" x14ac:dyDescent="0.2"/>
    <row r="105" spans="49:70" s="151" customFormat="1" x14ac:dyDescent="0.2">
      <c r="AW105" s="196"/>
      <c r="AX105" s="196"/>
      <c r="AY105" s="196"/>
      <c r="AZ105" s="196"/>
      <c r="BA105" s="196"/>
      <c r="BB105" s="196"/>
      <c r="BC105" s="196"/>
      <c r="BD105" s="196"/>
      <c r="BE105" s="196"/>
      <c r="BF105" s="196"/>
      <c r="BG105" s="196"/>
      <c r="BH105" s="196"/>
      <c r="BI105" s="196"/>
      <c r="BJ105" s="196"/>
      <c r="BK105" s="196"/>
      <c r="BL105" s="196"/>
      <c r="BM105" s="196"/>
      <c r="BN105" s="196"/>
      <c r="BO105" s="196"/>
      <c r="BP105" s="196"/>
      <c r="BQ105" s="196"/>
      <c r="BR105" s="196"/>
    </row>
  </sheetData>
  <conditionalFormatting sqref="BR6:BR35 BR38:BR65">
    <cfRule type="cellIs" dxfId="4" priority="5" operator="equal">
      <formula>"EXPLAIN"</formula>
    </cfRule>
  </conditionalFormatting>
  <conditionalFormatting sqref="BR36:BR37">
    <cfRule type="cellIs" dxfId="3" priority="4" operator="equal">
      <formula>"EXPLAIN"</formula>
    </cfRule>
  </conditionalFormatting>
  <conditionalFormatting sqref="AW6:BQ65">
    <cfRule type="cellIs" dxfId="2" priority="2" operator="lessThan">
      <formula>-0.1</formula>
    </cfRule>
    <cfRule type="cellIs" dxfId="1" priority="3" operator="greaterThan">
      <formula>0.1</formula>
    </cfRule>
  </conditionalFormatting>
  <conditionalFormatting sqref="BJ6:BQ65">
    <cfRule type="cellIs" dxfId="0" priority="1" operator="greaterThan">
      <formula>0.1</formula>
    </cfRule>
  </conditionalFormatting>
  <printOptions gridLines="1"/>
  <pageMargins left="0.23622047244094491" right="0.23622047244094491" top="0.74803149606299213" bottom="0.74803149606299213" header="0.31496062992125984" footer="0.31496062992125984"/>
  <pageSetup paperSize="9" scale="88" orientation="landscape" horizontalDpi="4294967293"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B1:X105"/>
  <sheetViews>
    <sheetView zoomScale="80" zoomScaleNormal="80" workbookViewId="0">
      <pane xSplit="3" ySplit="5" topLeftCell="D6" activePane="bottomRight" state="frozen"/>
      <selection pane="topRight" activeCell="D1" sqref="D1"/>
      <selection pane="bottomLeft" activeCell="A6" sqref="A6"/>
      <selection pane="bottomRight" activeCell="D7" sqref="D7"/>
    </sheetView>
  </sheetViews>
  <sheetFormatPr defaultRowHeight="12.75" x14ac:dyDescent="0.2"/>
  <cols>
    <col min="1" max="1" width="3.85546875" style="196" customWidth="1"/>
    <col min="2" max="2" width="32.28515625" style="196" customWidth="1"/>
    <col min="3" max="3" width="37.42578125" style="196" customWidth="1"/>
    <col min="4" max="4" width="15.140625" style="196" customWidth="1"/>
    <col min="5" max="5" width="12.7109375" style="196" customWidth="1"/>
    <col min="6" max="6" width="12.42578125" style="196" bestFit="1" customWidth="1"/>
    <col min="7" max="7" width="13.5703125" style="196" customWidth="1"/>
    <col min="8" max="8" width="12.42578125" style="196" customWidth="1"/>
    <col min="9" max="9" width="11.28515625" style="196" bestFit="1" customWidth="1"/>
    <col min="10" max="11" width="9.140625" style="196" customWidth="1"/>
    <col min="12" max="12" width="9.7109375" style="196" customWidth="1"/>
    <col min="13" max="13" width="13.28515625" style="196" customWidth="1"/>
    <col min="14" max="14" width="10.5703125" style="196" customWidth="1"/>
    <col min="15" max="16" width="11" style="196" bestFit="1" customWidth="1"/>
    <col min="17" max="24" width="11" style="196" customWidth="1"/>
    <col min="25" max="25" width="1.85546875" style="196" customWidth="1"/>
    <col min="26" max="16384" width="9.140625" style="196"/>
  </cols>
  <sheetData>
    <row r="1" spans="2:24" ht="15" x14ac:dyDescent="0.25">
      <c r="B1" s="150" t="str">
        <f>"Tariff Approval - "&amp;'Model update'!$C$3</f>
        <v>Tariff Approval - CitiPower</v>
      </c>
      <c r="C1" s="150"/>
      <c r="D1" s="618"/>
      <c r="F1" s="618"/>
    </row>
    <row r="2" spans="2:24" x14ac:dyDescent="0.2">
      <c r="D2" s="618"/>
      <c r="E2" s="618"/>
      <c r="F2" s="618"/>
    </row>
    <row r="3" spans="2:24" x14ac:dyDescent="0.2">
      <c r="B3" s="223" t="str">
        <f>"TSS - updated indicative prices for "&amp;'Model update'!$C$5+1</f>
        <v>TSS - updated indicative prices for 2020</v>
      </c>
      <c r="C3" s="223"/>
    </row>
    <row r="4" spans="2:24" ht="13.5" thickBot="1" x14ac:dyDescent="0.25">
      <c r="D4" s="227" t="str">
        <f>"TSS indicative tariffs for "&amp;'Model update'!$C$5+1</f>
        <v>TSS indicative tariffs for 2020</v>
      </c>
      <c r="E4" s="228"/>
      <c r="F4" s="228"/>
      <c r="G4" s="182"/>
      <c r="H4" s="182"/>
      <c r="M4" s="366"/>
    </row>
    <row r="5" spans="2:24" ht="38.25" x14ac:dyDescent="0.2">
      <c r="B5" s="229" t="s">
        <v>600</v>
      </c>
      <c r="C5" s="367" t="s">
        <v>128</v>
      </c>
      <c r="D5" s="230" t="s">
        <v>130</v>
      </c>
      <c r="E5" s="231" t="s">
        <v>517</v>
      </c>
      <c r="F5" s="231" t="s">
        <v>518</v>
      </c>
      <c r="G5" s="231"/>
      <c r="H5" s="231"/>
      <c r="I5" s="231" t="s">
        <v>131</v>
      </c>
      <c r="J5" s="231"/>
      <c r="K5" s="231"/>
      <c r="L5" s="231"/>
      <c r="M5" s="231" t="s">
        <v>519</v>
      </c>
      <c r="N5" s="231" t="s">
        <v>520</v>
      </c>
      <c r="O5" s="231" t="s">
        <v>521</v>
      </c>
      <c r="P5" s="231" t="s">
        <v>522</v>
      </c>
      <c r="Q5" s="232" t="s">
        <v>132</v>
      </c>
      <c r="R5" s="231" t="s">
        <v>133</v>
      </c>
      <c r="S5" s="231" t="s">
        <v>134</v>
      </c>
      <c r="T5" s="231"/>
      <c r="U5" s="231" t="s">
        <v>135</v>
      </c>
      <c r="V5" s="231" t="s">
        <v>136</v>
      </c>
      <c r="W5" s="231" t="s">
        <v>137</v>
      </c>
      <c r="X5" s="233"/>
    </row>
    <row r="6" spans="2:24" x14ac:dyDescent="0.2">
      <c r="B6" s="234"/>
      <c r="C6" s="234"/>
      <c r="D6" s="297"/>
      <c r="E6" s="281"/>
      <c r="F6" s="281"/>
      <c r="G6" s="281"/>
      <c r="H6" s="281"/>
      <c r="I6" s="281"/>
      <c r="J6" s="281"/>
      <c r="K6" s="281"/>
      <c r="L6" s="281"/>
      <c r="M6" s="281"/>
      <c r="N6" s="281"/>
      <c r="O6" s="281"/>
      <c r="P6" s="281"/>
      <c r="Q6" s="280"/>
      <c r="R6" s="281"/>
      <c r="S6" s="281"/>
      <c r="T6" s="281"/>
      <c r="U6" s="281"/>
      <c r="V6" s="281"/>
      <c r="W6" s="281"/>
      <c r="X6" s="282"/>
    </row>
    <row r="7" spans="2:24" x14ac:dyDescent="0.2">
      <c r="B7" s="757" t="str">
        <f>Prop2019TSSComp!B7</f>
        <v>Residential flat</v>
      </c>
      <c r="C7" s="234" t="str">
        <f>Prop2019TSSComp!C7</f>
        <v>Residential Single Rate</v>
      </c>
      <c r="D7" s="786">
        <v>95</v>
      </c>
      <c r="E7" s="787">
        <v>6.92</v>
      </c>
      <c r="F7" s="787">
        <v>0</v>
      </c>
      <c r="G7" s="787">
        <v>0</v>
      </c>
      <c r="H7" s="787">
        <v>0</v>
      </c>
      <c r="I7" s="787">
        <v>0</v>
      </c>
      <c r="J7" s="787">
        <v>0</v>
      </c>
      <c r="K7" s="787">
        <v>0</v>
      </c>
      <c r="L7" s="787">
        <v>0</v>
      </c>
      <c r="M7" s="787">
        <v>0</v>
      </c>
      <c r="N7" s="787">
        <v>0</v>
      </c>
      <c r="O7" s="787">
        <v>0</v>
      </c>
      <c r="P7" s="787">
        <v>0</v>
      </c>
      <c r="Q7" s="787">
        <v>0</v>
      </c>
      <c r="R7" s="787">
        <v>0</v>
      </c>
      <c r="S7" s="787">
        <v>0</v>
      </c>
      <c r="T7" s="787">
        <v>0</v>
      </c>
      <c r="U7" s="787">
        <v>0</v>
      </c>
      <c r="V7" s="787">
        <v>0</v>
      </c>
      <c r="W7" s="787">
        <v>0</v>
      </c>
      <c r="X7" s="652"/>
    </row>
    <row r="8" spans="2:24" x14ac:dyDescent="0.2">
      <c r="B8" s="757" t="str">
        <f>Prop2019TSSComp!B8</f>
        <v>Residential flat (bulk)</v>
      </c>
      <c r="C8" s="234" t="str">
        <f>Prop2019TSSComp!C8</f>
        <v>Residential Single Rate - Bulk</v>
      </c>
      <c r="D8" s="786">
        <v>95</v>
      </c>
      <c r="E8" s="787">
        <v>5.47</v>
      </c>
      <c r="F8" s="787">
        <v>0</v>
      </c>
      <c r="G8" s="787">
        <v>0</v>
      </c>
      <c r="H8" s="787">
        <v>0</v>
      </c>
      <c r="I8" s="787">
        <v>0</v>
      </c>
      <c r="J8" s="787">
        <v>0</v>
      </c>
      <c r="K8" s="787">
        <v>0</v>
      </c>
      <c r="L8" s="787">
        <v>0</v>
      </c>
      <c r="M8" s="787">
        <v>0</v>
      </c>
      <c r="N8" s="787">
        <v>0</v>
      </c>
      <c r="O8" s="787">
        <v>0</v>
      </c>
      <c r="P8" s="787">
        <v>0</v>
      </c>
      <c r="Q8" s="787">
        <v>0</v>
      </c>
      <c r="R8" s="787">
        <v>0</v>
      </c>
      <c r="S8" s="787">
        <v>0</v>
      </c>
      <c r="T8" s="787">
        <v>0</v>
      </c>
      <c r="U8" s="787">
        <v>0</v>
      </c>
      <c r="V8" s="787">
        <v>0</v>
      </c>
      <c r="W8" s="787">
        <v>0</v>
      </c>
      <c r="X8" s="652"/>
    </row>
    <row r="9" spans="2:24" x14ac:dyDescent="0.2">
      <c r="B9" s="757" t="str">
        <f>Prop2019TSSComp!B9</f>
        <v>Residential flexible</v>
      </c>
      <c r="C9" s="234" t="str">
        <f>Prop2019TSSComp!C9</f>
        <v>Residential - flexible pricing</v>
      </c>
      <c r="D9" s="786">
        <v>95</v>
      </c>
      <c r="E9" s="787">
        <v>0</v>
      </c>
      <c r="F9" s="787">
        <v>0</v>
      </c>
      <c r="G9" s="787">
        <v>0</v>
      </c>
      <c r="H9" s="787">
        <v>0</v>
      </c>
      <c r="I9" s="787">
        <v>0</v>
      </c>
      <c r="J9" s="787">
        <v>0</v>
      </c>
      <c r="K9" s="787">
        <v>0</v>
      </c>
      <c r="L9" s="787">
        <v>0</v>
      </c>
      <c r="M9" s="787">
        <v>0</v>
      </c>
      <c r="N9" s="787">
        <v>0</v>
      </c>
      <c r="O9" s="787">
        <v>0</v>
      </c>
      <c r="P9" s="787">
        <v>0</v>
      </c>
      <c r="Q9" s="787">
        <v>13.66</v>
      </c>
      <c r="R9" s="787">
        <v>9.2200000000000006</v>
      </c>
      <c r="S9" s="787">
        <v>3.65</v>
      </c>
      <c r="T9" s="787">
        <v>0</v>
      </c>
      <c r="U9" s="787">
        <v>13.66</v>
      </c>
      <c r="V9" s="787">
        <v>9.2200000000000006</v>
      </c>
      <c r="W9" s="787">
        <v>3.65</v>
      </c>
      <c r="X9" s="652"/>
    </row>
    <row r="10" spans="2:24" x14ac:dyDescent="0.2">
      <c r="B10" s="757" t="str">
        <f>Prop2019TSSComp!B10</f>
        <v>Residential flexible (bulk)</v>
      </c>
      <c r="C10" s="234" t="str">
        <f>Prop2019TSSComp!C10</f>
        <v>Residential - flexible pricing bulk</v>
      </c>
      <c r="D10" s="786">
        <v>95</v>
      </c>
      <c r="E10" s="787">
        <v>0</v>
      </c>
      <c r="F10" s="787">
        <v>0</v>
      </c>
      <c r="G10" s="787">
        <v>0</v>
      </c>
      <c r="H10" s="787">
        <v>0</v>
      </c>
      <c r="I10" s="787">
        <v>0</v>
      </c>
      <c r="J10" s="787">
        <v>0</v>
      </c>
      <c r="K10" s="787">
        <v>0</v>
      </c>
      <c r="L10" s="787">
        <v>0</v>
      </c>
      <c r="M10" s="787">
        <v>0</v>
      </c>
      <c r="N10" s="787">
        <v>0</v>
      </c>
      <c r="O10" s="787">
        <v>0</v>
      </c>
      <c r="P10" s="787">
        <v>0</v>
      </c>
      <c r="Q10" s="787">
        <v>11.75</v>
      </c>
      <c r="R10" s="787">
        <v>7.9300000000000006</v>
      </c>
      <c r="S10" s="787">
        <v>3.14</v>
      </c>
      <c r="T10" s="787">
        <v>0</v>
      </c>
      <c r="U10" s="787">
        <v>11.75</v>
      </c>
      <c r="V10" s="787">
        <v>7.9300000000000006</v>
      </c>
      <c r="W10" s="787">
        <v>3.14</v>
      </c>
      <c r="X10" s="652"/>
    </row>
    <row r="11" spans="2:24" x14ac:dyDescent="0.2">
      <c r="B11" s="757" t="str">
        <f>Prop2019TSSComp!B11</f>
        <v>Residential two rate 5d</v>
      </c>
      <c r="C11" s="234" t="str">
        <f>Prop2019TSSComp!C11</f>
        <v>Residential Two Rate 5d</v>
      </c>
      <c r="D11" s="786">
        <v>95</v>
      </c>
      <c r="E11" s="787">
        <v>0</v>
      </c>
      <c r="F11" s="787">
        <v>12.31</v>
      </c>
      <c r="G11" s="787">
        <v>0</v>
      </c>
      <c r="H11" s="787">
        <v>0</v>
      </c>
      <c r="I11" s="787">
        <v>3.2800000000000002</v>
      </c>
      <c r="J11" s="787">
        <v>0</v>
      </c>
      <c r="K11" s="787">
        <v>0</v>
      </c>
      <c r="L11" s="787">
        <v>0</v>
      </c>
      <c r="M11" s="787">
        <v>0</v>
      </c>
      <c r="N11" s="787">
        <v>0</v>
      </c>
      <c r="O11" s="787">
        <v>0</v>
      </c>
      <c r="P11" s="787">
        <v>0</v>
      </c>
      <c r="Q11" s="787">
        <v>0</v>
      </c>
      <c r="R11" s="787">
        <v>0</v>
      </c>
      <c r="S11" s="787">
        <v>0</v>
      </c>
      <c r="T11" s="787">
        <v>0</v>
      </c>
      <c r="U11" s="787">
        <v>0</v>
      </c>
      <c r="V11" s="787">
        <v>0</v>
      </c>
      <c r="W11" s="787">
        <v>0</v>
      </c>
      <c r="X11" s="652"/>
    </row>
    <row r="12" spans="2:24" x14ac:dyDescent="0.2">
      <c r="B12" s="757" t="str">
        <f>Prop2019TSSComp!B12</f>
        <v>Residential two rate 5d (bulk)</v>
      </c>
      <c r="C12" s="234" t="str">
        <f>Prop2019TSSComp!C12</f>
        <v>Residential Two Rate 5d - Bulk</v>
      </c>
      <c r="D12" s="786">
        <v>95</v>
      </c>
      <c r="E12" s="787">
        <v>0</v>
      </c>
      <c r="F12" s="787">
        <v>11.040000000000001</v>
      </c>
      <c r="G12" s="787">
        <v>0</v>
      </c>
      <c r="H12" s="787">
        <v>0</v>
      </c>
      <c r="I12" s="787">
        <v>3.11</v>
      </c>
      <c r="J12" s="787">
        <v>0</v>
      </c>
      <c r="K12" s="787">
        <v>0</v>
      </c>
      <c r="L12" s="787">
        <v>0</v>
      </c>
      <c r="M12" s="787">
        <v>0</v>
      </c>
      <c r="N12" s="787">
        <v>0</v>
      </c>
      <c r="O12" s="787">
        <v>0</v>
      </c>
      <c r="P12" s="787">
        <v>0</v>
      </c>
      <c r="Q12" s="787">
        <v>0</v>
      </c>
      <c r="R12" s="787">
        <v>0</v>
      </c>
      <c r="S12" s="787">
        <v>0</v>
      </c>
      <c r="T12" s="787">
        <v>0</v>
      </c>
      <c r="U12" s="787">
        <v>0</v>
      </c>
      <c r="V12" s="787">
        <v>0</v>
      </c>
      <c r="W12" s="787">
        <v>0</v>
      </c>
      <c r="X12" s="652"/>
    </row>
    <row r="13" spans="2:24" x14ac:dyDescent="0.2">
      <c r="B13" s="757" t="str">
        <f>Prop2019TSSComp!B13</f>
        <v>Residential Interval</v>
      </c>
      <c r="C13" s="234" t="str">
        <f>Prop2019TSSComp!C13</f>
        <v>Residential Interval</v>
      </c>
      <c r="D13" s="786">
        <v>95</v>
      </c>
      <c r="E13" s="787">
        <v>0</v>
      </c>
      <c r="F13" s="787">
        <v>12.31</v>
      </c>
      <c r="G13" s="787">
        <v>0</v>
      </c>
      <c r="H13" s="787">
        <v>0</v>
      </c>
      <c r="I13" s="787">
        <v>3.2800000000000002</v>
      </c>
      <c r="J13" s="787">
        <v>0</v>
      </c>
      <c r="K13" s="787">
        <v>0</v>
      </c>
      <c r="L13" s="787">
        <v>0</v>
      </c>
      <c r="M13" s="787">
        <v>0</v>
      </c>
      <c r="N13" s="787">
        <v>0</v>
      </c>
      <c r="O13" s="787">
        <v>0</v>
      </c>
      <c r="P13" s="787">
        <v>0</v>
      </c>
      <c r="Q13" s="787">
        <v>0</v>
      </c>
      <c r="R13" s="787">
        <v>0</v>
      </c>
      <c r="S13" s="787">
        <v>0</v>
      </c>
      <c r="T13" s="787">
        <v>0</v>
      </c>
      <c r="U13" s="787">
        <v>0</v>
      </c>
      <c r="V13" s="787">
        <v>0</v>
      </c>
      <c r="W13" s="787">
        <v>0</v>
      </c>
      <c r="X13" s="652"/>
    </row>
    <row r="14" spans="2:24" x14ac:dyDescent="0.2">
      <c r="B14" s="757" t="str">
        <f>Prop2019TSSComp!B14</f>
        <v>Residential Interval - Bulk</v>
      </c>
      <c r="C14" s="234" t="str">
        <f>Prop2019TSSComp!C14</f>
        <v>Residential Interval - Bulk</v>
      </c>
      <c r="D14" s="786">
        <v>95</v>
      </c>
      <c r="E14" s="787">
        <v>0</v>
      </c>
      <c r="F14" s="787">
        <v>11.040000000000001</v>
      </c>
      <c r="G14" s="787">
        <v>0</v>
      </c>
      <c r="H14" s="787">
        <v>0</v>
      </c>
      <c r="I14" s="787">
        <v>3.11</v>
      </c>
      <c r="J14" s="787">
        <v>0</v>
      </c>
      <c r="K14" s="787">
        <v>0</v>
      </c>
      <c r="L14" s="787">
        <v>0</v>
      </c>
      <c r="M14" s="787">
        <v>0</v>
      </c>
      <c r="N14" s="787">
        <v>0</v>
      </c>
      <c r="O14" s="787">
        <v>0</v>
      </c>
      <c r="P14" s="787">
        <v>0</v>
      </c>
      <c r="Q14" s="787">
        <v>0</v>
      </c>
      <c r="R14" s="787">
        <v>0</v>
      </c>
      <c r="S14" s="787">
        <v>0</v>
      </c>
      <c r="T14" s="787">
        <v>0</v>
      </c>
      <c r="U14" s="787">
        <v>0</v>
      </c>
      <c r="V14" s="787">
        <v>0</v>
      </c>
      <c r="W14" s="787">
        <v>0</v>
      </c>
      <c r="X14" s="652"/>
    </row>
    <row r="15" spans="2:24" x14ac:dyDescent="0.2">
      <c r="B15" s="757" t="str">
        <f>Prop2019TSSComp!B15</f>
        <v>Residential controlled load</v>
      </c>
      <c r="C15" s="234" t="str">
        <f>Prop2019TSSComp!C15</f>
        <v>Residential Two Rate 5d - Controlled Load</v>
      </c>
      <c r="D15" s="786">
        <v>0</v>
      </c>
      <c r="E15" s="787">
        <v>0</v>
      </c>
      <c r="F15" s="787">
        <v>0</v>
      </c>
      <c r="G15" s="787">
        <v>0</v>
      </c>
      <c r="H15" s="787">
        <v>0</v>
      </c>
      <c r="I15" s="787">
        <v>2.27</v>
      </c>
      <c r="J15" s="787">
        <v>0</v>
      </c>
      <c r="K15" s="787">
        <v>0</v>
      </c>
      <c r="L15" s="787">
        <v>0</v>
      </c>
      <c r="M15" s="787">
        <v>0</v>
      </c>
      <c r="N15" s="787">
        <v>0</v>
      </c>
      <c r="O15" s="787">
        <v>0</v>
      </c>
      <c r="P15" s="787">
        <v>0</v>
      </c>
      <c r="Q15" s="787">
        <v>0</v>
      </c>
      <c r="R15" s="787">
        <v>0</v>
      </c>
      <c r="S15" s="787">
        <v>0</v>
      </c>
      <c r="T15" s="787">
        <v>0</v>
      </c>
      <c r="U15" s="787">
        <v>0</v>
      </c>
      <c r="V15" s="787">
        <v>0</v>
      </c>
      <c r="W15" s="787">
        <v>0</v>
      </c>
      <c r="X15" s="652"/>
    </row>
    <row r="16" spans="2:24" x14ac:dyDescent="0.2">
      <c r="B16" s="757" t="str">
        <f>Prop2019TSSComp!B16</f>
        <v>Residential controlled load (bulk)</v>
      </c>
      <c r="C16" s="234" t="str">
        <f>Prop2019TSSComp!C16</f>
        <v>Residential Two Rate 5d - Bulk - Controlled Load</v>
      </c>
      <c r="D16" s="786">
        <v>0</v>
      </c>
      <c r="E16" s="787">
        <v>0</v>
      </c>
      <c r="F16" s="787">
        <v>0</v>
      </c>
      <c r="G16" s="787">
        <v>0</v>
      </c>
      <c r="H16" s="787">
        <v>0</v>
      </c>
      <c r="I16" s="787">
        <v>1.87</v>
      </c>
      <c r="J16" s="787">
        <v>0</v>
      </c>
      <c r="K16" s="787">
        <v>0</v>
      </c>
      <c r="L16" s="787">
        <v>0</v>
      </c>
      <c r="M16" s="787">
        <v>0</v>
      </c>
      <c r="N16" s="787">
        <v>0</v>
      </c>
      <c r="O16" s="787">
        <v>0</v>
      </c>
      <c r="P16" s="787">
        <v>0</v>
      </c>
      <c r="Q16" s="787">
        <v>0</v>
      </c>
      <c r="R16" s="787">
        <v>0</v>
      </c>
      <c r="S16" s="787">
        <v>0</v>
      </c>
      <c r="T16" s="787">
        <v>0</v>
      </c>
      <c r="U16" s="787">
        <v>0</v>
      </c>
      <c r="V16" s="787">
        <v>0</v>
      </c>
      <c r="W16" s="787">
        <v>0</v>
      </c>
      <c r="X16" s="652"/>
    </row>
    <row r="17" spans="2:24" x14ac:dyDescent="0.2">
      <c r="B17" s="757" t="str">
        <f>Prop2019TSSComp!B17</f>
        <v>Dedicated Circuit</v>
      </c>
      <c r="C17" s="234" t="str">
        <f>Prop2019TSSComp!C17</f>
        <v>Dedicated Circuit</v>
      </c>
      <c r="D17" s="786">
        <v>0</v>
      </c>
      <c r="E17" s="787">
        <v>0</v>
      </c>
      <c r="F17" s="787">
        <v>0</v>
      </c>
      <c r="G17" s="787">
        <v>0</v>
      </c>
      <c r="H17" s="787">
        <v>0</v>
      </c>
      <c r="I17" s="787">
        <v>2.27</v>
      </c>
      <c r="J17" s="787">
        <v>0</v>
      </c>
      <c r="K17" s="787">
        <v>0</v>
      </c>
      <c r="L17" s="787">
        <v>0</v>
      </c>
      <c r="M17" s="787">
        <v>0</v>
      </c>
      <c r="N17" s="787">
        <v>0</v>
      </c>
      <c r="O17" s="787">
        <v>0</v>
      </c>
      <c r="P17" s="787">
        <v>0</v>
      </c>
      <c r="Q17" s="787">
        <v>0</v>
      </c>
      <c r="R17" s="787">
        <v>0</v>
      </c>
      <c r="S17" s="787">
        <v>0</v>
      </c>
      <c r="T17" s="787">
        <v>0</v>
      </c>
      <c r="U17" s="787">
        <v>0</v>
      </c>
      <c r="V17" s="787">
        <v>0</v>
      </c>
      <c r="W17" s="787">
        <v>0</v>
      </c>
      <c r="X17" s="652"/>
    </row>
    <row r="18" spans="2:24" x14ac:dyDescent="0.2">
      <c r="B18" s="757" t="str">
        <f>Prop2019TSSComp!B18</f>
        <v>Dedicated Circuit - Bulk</v>
      </c>
      <c r="C18" s="234" t="str">
        <f>Prop2019TSSComp!C18</f>
        <v>Dedicated Circuit - Bulk</v>
      </c>
      <c r="D18" s="786">
        <v>0</v>
      </c>
      <c r="E18" s="787">
        <v>0</v>
      </c>
      <c r="F18" s="787">
        <v>0</v>
      </c>
      <c r="G18" s="787">
        <v>0</v>
      </c>
      <c r="H18" s="787">
        <v>0</v>
      </c>
      <c r="I18" s="787">
        <v>1.87</v>
      </c>
      <c r="J18" s="787">
        <v>0</v>
      </c>
      <c r="K18" s="787">
        <v>0</v>
      </c>
      <c r="L18" s="787">
        <v>0</v>
      </c>
      <c r="M18" s="787">
        <v>0</v>
      </c>
      <c r="N18" s="787">
        <v>0</v>
      </c>
      <c r="O18" s="787">
        <v>0</v>
      </c>
      <c r="P18" s="787">
        <v>0</v>
      </c>
      <c r="Q18" s="787">
        <v>0</v>
      </c>
      <c r="R18" s="787">
        <v>0</v>
      </c>
      <c r="S18" s="787">
        <v>0</v>
      </c>
      <c r="T18" s="787">
        <v>0</v>
      </c>
      <c r="U18" s="787">
        <v>0</v>
      </c>
      <c r="V18" s="787">
        <v>0</v>
      </c>
      <c r="W18" s="787">
        <v>0</v>
      </c>
      <c r="X18" s="652"/>
    </row>
    <row r="19" spans="2:24" x14ac:dyDescent="0.2">
      <c r="B19" s="757" t="str">
        <f>Prop2019TSSComp!B19</f>
        <v>Residential cost-reflective</v>
      </c>
      <c r="C19" s="234" t="str">
        <f>Prop2019TSSComp!C19</f>
        <v>Residential Demand</v>
      </c>
      <c r="D19" s="786">
        <v>95</v>
      </c>
      <c r="E19" s="787">
        <v>3.7</v>
      </c>
      <c r="F19" s="787">
        <v>0</v>
      </c>
      <c r="G19" s="787">
        <v>0</v>
      </c>
      <c r="H19" s="787">
        <v>0</v>
      </c>
      <c r="I19" s="787">
        <v>0</v>
      </c>
      <c r="J19" s="787">
        <v>0</v>
      </c>
      <c r="K19" s="787">
        <v>0</v>
      </c>
      <c r="L19" s="787">
        <v>0</v>
      </c>
      <c r="M19" s="787">
        <v>0</v>
      </c>
      <c r="N19" s="787">
        <v>0</v>
      </c>
      <c r="O19" s="787">
        <v>8.8800000000000008</v>
      </c>
      <c r="P19" s="787">
        <v>3.0500000000000003</v>
      </c>
      <c r="Q19" s="787">
        <v>0</v>
      </c>
      <c r="R19" s="787">
        <v>0</v>
      </c>
      <c r="S19" s="787">
        <v>0</v>
      </c>
      <c r="T19" s="787">
        <v>0</v>
      </c>
      <c r="U19" s="787">
        <v>0</v>
      </c>
      <c r="V19" s="787">
        <v>0</v>
      </c>
      <c r="W19" s="787">
        <v>0</v>
      </c>
      <c r="X19" s="652"/>
    </row>
    <row r="20" spans="2:24" x14ac:dyDescent="0.2">
      <c r="B20" s="757" t="str">
        <f>Prop2019TSSComp!B20</f>
        <v>Residential cost-reflective (bulk)</v>
      </c>
      <c r="C20" s="234" t="str">
        <f>Prop2019TSSComp!C20</f>
        <v>Residential Bulk Demand</v>
      </c>
      <c r="D20" s="786">
        <v>95</v>
      </c>
      <c r="E20" s="787">
        <v>2.7600000000000002</v>
      </c>
      <c r="F20" s="787">
        <v>0</v>
      </c>
      <c r="G20" s="787">
        <v>0</v>
      </c>
      <c r="H20" s="787">
        <v>0</v>
      </c>
      <c r="I20" s="787">
        <v>0</v>
      </c>
      <c r="J20" s="787">
        <v>0</v>
      </c>
      <c r="K20" s="787">
        <v>0</v>
      </c>
      <c r="L20" s="787">
        <v>0</v>
      </c>
      <c r="M20" s="787">
        <v>0</v>
      </c>
      <c r="N20" s="787">
        <v>0</v>
      </c>
      <c r="O20" s="787">
        <v>7.23</v>
      </c>
      <c r="P20" s="787">
        <v>2.4300000000000002</v>
      </c>
      <c r="Q20" s="787">
        <v>0</v>
      </c>
      <c r="R20" s="787">
        <v>0</v>
      </c>
      <c r="S20" s="787">
        <v>0</v>
      </c>
      <c r="T20" s="787">
        <v>0</v>
      </c>
      <c r="U20" s="787">
        <v>0</v>
      </c>
      <c r="V20" s="787">
        <v>0</v>
      </c>
      <c r="W20" s="787">
        <v>0</v>
      </c>
      <c r="X20" s="652"/>
    </row>
    <row r="21" spans="2:24" x14ac:dyDescent="0.2">
      <c r="B21" s="757" t="str">
        <f>Prop2019TSSComp!B21</f>
        <v>Small business flat</v>
      </c>
      <c r="C21" s="234" t="str">
        <f>Prop2019TSSComp!C21</f>
        <v>Non-Residential Single Rate</v>
      </c>
      <c r="D21" s="786">
        <v>160</v>
      </c>
      <c r="E21" s="787">
        <v>8.4</v>
      </c>
      <c r="F21" s="787">
        <v>0</v>
      </c>
      <c r="G21" s="787">
        <v>0</v>
      </c>
      <c r="H21" s="787">
        <v>0</v>
      </c>
      <c r="I21" s="787">
        <v>0</v>
      </c>
      <c r="J21" s="787">
        <v>0</v>
      </c>
      <c r="K21" s="787">
        <v>0</v>
      </c>
      <c r="L21" s="787">
        <v>0</v>
      </c>
      <c r="M21" s="787">
        <v>0</v>
      </c>
      <c r="N21" s="787">
        <v>0</v>
      </c>
      <c r="O21" s="787">
        <v>0</v>
      </c>
      <c r="P21" s="787">
        <v>0</v>
      </c>
      <c r="Q21" s="787">
        <v>0</v>
      </c>
      <c r="R21" s="787">
        <v>0</v>
      </c>
      <c r="S21" s="787">
        <v>0</v>
      </c>
      <c r="T21" s="787">
        <v>0</v>
      </c>
      <c r="U21" s="787">
        <v>0</v>
      </c>
      <c r="V21" s="787">
        <v>0</v>
      </c>
      <c r="W21" s="787">
        <v>0</v>
      </c>
      <c r="X21" s="652"/>
    </row>
    <row r="22" spans="2:24" x14ac:dyDescent="0.2">
      <c r="B22" s="757" t="str">
        <f>Prop2019TSSComp!B22</f>
        <v>Small business flat (bulk)</v>
      </c>
      <c r="C22" s="234" t="str">
        <f>Prop2019TSSComp!C22</f>
        <v>Non-Residential Single Rate - Bulk</v>
      </c>
      <c r="D22" s="786">
        <v>160</v>
      </c>
      <c r="E22" s="787">
        <v>7.03</v>
      </c>
      <c r="F22" s="787">
        <v>0</v>
      </c>
      <c r="G22" s="787">
        <v>0</v>
      </c>
      <c r="H22" s="787">
        <v>0</v>
      </c>
      <c r="I22" s="787">
        <v>0</v>
      </c>
      <c r="J22" s="787">
        <v>0</v>
      </c>
      <c r="K22" s="787">
        <v>0</v>
      </c>
      <c r="L22" s="787">
        <v>0</v>
      </c>
      <c r="M22" s="787">
        <v>0</v>
      </c>
      <c r="N22" s="787">
        <v>0</v>
      </c>
      <c r="O22" s="787">
        <v>0</v>
      </c>
      <c r="P22" s="787">
        <v>0</v>
      </c>
      <c r="Q22" s="787">
        <v>0</v>
      </c>
      <c r="R22" s="787">
        <v>0</v>
      </c>
      <c r="S22" s="787">
        <v>0</v>
      </c>
      <c r="T22" s="787">
        <v>0</v>
      </c>
      <c r="U22" s="787">
        <v>0</v>
      </c>
      <c r="V22" s="787">
        <v>0</v>
      </c>
      <c r="W22" s="787">
        <v>0</v>
      </c>
      <c r="X22" s="652"/>
    </row>
    <row r="23" spans="2:24" x14ac:dyDescent="0.2">
      <c r="B23" s="757" t="str">
        <f>Prop2019TSSComp!B23</f>
        <v>Non-residential two rate 5d</v>
      </c>
      <c r="C23" s="234" t="str">
        <f>Prop2019TSSComp!C23</f>
        <v>Non-Residential Two Rate 5d</v>
      </c>
      <c r="D23" s="786">
        <v>160</v>
      </c>
      <c r="E23" s="787">
        <v>0</v>
      </c>
      <c r="F23" s="787">
        <v>12.6</v>
      </c>
      <c r="G23" s="787">
        <v>0</v>
      </c>
      <c r="H23" s="787">
        <v>0</v>
      </c>
      <c r="I23" s="787">
        <v>3.98</v>
      </c>
      <c r="J23" s="787">
        <v>0</v>
      </c>
      <c r="K23" s="787">
        <v>0</v>
      </c>
      <c r="L23" s="787">
        <v>0</v>
      </c>
      <c r="M23" s="787">
        <v>0</v>
      </c>
      <c r="N23" s="787">
        <v>0</v>
      </c>
      <c r="O23" s="787">
        <v>0</v>
      </c>
      <c r="P23" s="787">
        <v>0</v>
      </c>
      <c r="Q23" s="787">
        <v>0</v>
      </c>
      <c r="R23" s="787">
        <v>0</v>
      </c>
      <c r="S23" s="787">
        <v>0</v>
      </c>
      <c r="T23" s="787">
        <v>0</v>
      </c>
      <c r="U23" s="787">
        <v>0</v>
      </c>
      <c r="V23" s="787">
        <v>0</v>
      </c>
      <c r="W23" s="787">
        <v>0</v>
      </c>
      <c r="X23" s="652"/>
    </row>
    <row r="24" spans="2:24" x14ac:dyDescent="0.2">
      <c r="B24" s="757" t="str">
        <f>Prop2019TSSComp!B24</f>
        <v>Non-residential two rate 5d (bulk)</v>
      </c>
      <c r="C24" s="234" t="str">
        <f>Prop2019TSSComp!C24</f>
        <v>Non-Residential Two Rate 5d - Bulk</v>
      </c>
      <c r="D24" s="786">
        <v>160</v>
      </c>
      <c r="E24" s="787">
        <v>0</v>
      </c>
      <c r="F24" s="787">
        <v>10.200000000000001</v>
      </c>
      <c r="G24" s="787">
        <v>0</v>
      </c>
      <c r="H24" s="787">
        <v>0</v>
      </c>
      <c r="I24" s="787">
        <v>3.41</v>
      </c>
      <c r="J24" s="787">
        <v>0</v>
      </c>
      <c r="K24" s="787">
        <v>0</v>
      </c>
      <c r="L24" s="787">
        <v>0</v>
      </c>
      <c r="M24" s="787">
        <v>0</v>
      </c>
      <c r="N24" s="787">
        <v>0</v>
      </c>
      <c r="O24" s="787">
        <v>0</v>
      </c>
      <c r="P24" s="787">
        <v>0</v>
      </c>
      <c r="Q24" s="787">
        <v>0</v>
      </c>
      <c r="R24" s="787">
        <v>0</v>
      </c>
      <c r="S24" s="787">
        <v>0</v>
      </c>
      <c r="T24" s="787">
        <v>0</v>
      </c>
      <c r="U24" s="787">
        <v>0</v>
      </c>
      <c r="V24" s="787">
        <v>0</v>
      </c>
      <c r="W24" s="787">
        <v>0</v>
      </c>
      <c r="X24" s="652"/>
    </row>
    <row r="25" spans="2:24" x14ac:dyDescent="0.2">
      <c r="B25" s="757" t="str">
        <f>Prop2019TSSComp!B25</f>
        <v>Non-Residential Interval</v>
      </c>
      <c r="C25" s="234" t="str">
        <f>Prop2019TSSComp!C25</f>
        <v>Non-Residential Interval</v>
      </c>
      <c r="D25" s="786">
        <v>160</v>
      </c>
      <c r="E25" s="787">
        <v>0</v>
      </c>
      <c r="F25" s="787">
        <v>12.6</v>
      </c>
      <c r="G25" s="787">
        <v>0</v>
      </c>
      <c r="H25" s="787">
        <v>0</v>
      </c>
      <c r="I25" s="787">
        <v>3.69</v>
      </c>
      <c r="J25" s="787">
        <v>0</v>
      </c>
      <c r="K25" s="787">
        <v>0</v>
      </c>
      <c r="L25" s="787">
        <v>0</v>
      </c>
      <c r="M25" s="787">
        <v>0</v>
      </c>
      <c r="N25" s="787">
        <v>0</v>
      </c>
      <c r="O25" s="787">
        <v>0</v>
      </c>
      <c r="P25" s="787">
        <v>0</v>
      </c>
      <c r="Q25" s="787">
        <v>0</v>
      </c>
      <c r="R25" s="787">
        <v>0</v>
      </c>
      <c r="S25" s="787">
        <v>0</v>
      </c>
      <c r="T25" s="787">
        <v>0</v>
      </c>
      <c r="U25" s="787">
        <v>0</v>
      </c>
      <c r="V25" s="787">
        <v>0</v>
      </c>
      <c r="W25" s="787">
        <v>0</v>
      </c>
      <c r="X25" s="652"/>
    </row>
    <row r="26" spans="2:24" x14ac:dyDescent="0.2">
      <c r="B26" s="757" t="str">
        <f>Prop2019TSSComp!B26</f>
        <v>Non-Residential Interval - Bulk</v>
      </c>
      <c r="C26" s="234" t="str">
        <f>Prop2019TSSComp!C26</f>
        <v>Non-Residential Interval - Bulk</v>
      </c>
      <c r="D26" s="786">
        <v>160</v>
      </c>
      <c r="E26" s="787">
        <v>0</v>
      </c>
      <c r="F26" s="787">
        <v>10.200000000000001</v>
      </c>
      <c r="G26" s="787">
        <v>0</v>
      </c>
      <c r="H26" s="787">
        <v>0</v>
      </c>
      <c r="I26" s="787">
        <v>3.41</v>
      </c>
      <c r="J26" s="787">
        <v>0</v>
      </c>
      <c r="K26" s="787">
        <v>0</v>
      </c>
      <c r="L26" s="787">
        <v>0</v>
      </c>
      <c r="M26" s="787">
        <v>0</v>
      </c>
      <c r="N26" s="787">
        <v>0</v>
      </c>
      <c r="O26" s="787">
        <v>0</v>
      </c>
      <c r="P26" s="787">
        <v>0</v>
      </c>
      <c r="Q26" s="787">
        <v>0</v>
      </c>
      <c r="R26" s="787">
        <v>0</v>
      </c>
      <c r="S26" s="787">
        <v>0</v>
      </c>
      <c r="T26" s="787">
        <v>0</v>
      </c>
      <c r="U26" s="787">
        <v>0</v>
      </c>
      <c r="V26" s="787">
        <v>0</v>
      </c>
      <c r="W26" s="787">
        <v>0</v>
      </c>
      <c r="X26" s="652"/>
    </row>
    <row r="27" spans="2:24" x14ac:dyDescent="0.2">
      <c r="B27" s="757" t="str">
        <f>Prop2019TSSComp!B27</f>
        <v>Non-residential flexible pricing</v>
      </c>
      <c r="C27" s="234" t="str">
        <f>Prop2019TSSComp!C27</f>
        <v>Non-Residential Flexible Pricing</v>
      </c>
      <c r="D27" s="786">
        <v>160</v>
      </c>
      <c r="E27" s="787">
        <v>0</v>
      </c>
      <c r="F27" s="787">
        <v>0</v>
      </c>
      <c r="G27" s="787">
        <v>0</v>
      </c>
      <c r="H27" s="787">
        <v>0</v>
      </c>
      <c r="I27" s="787">
        <v>0</v>
      </c>
      <c r="J27" s="787">
        <v>0</v>
      </c>
      <c r="K27" s="787">
        <v>0</v>
      </c>
      <c r="L27" s="787">
        <v>0</v>
      </c>
      <c r="M27" s="787">
        <v>0</v>
      </c>
      <c r="N27" s="787">
        <v>0</v>
      </c>
      <c r="O27" s="787">
        <v>0</v>
      </c>
      <c r="P27" s="787">
        <v>0</v>
      </c>
      <c r="Q27" s="787">
        <v>15.34</v>
      </c>
      <c r="R27" s="787">
        <v>10.73</v>
      </c>
      <c r="S27" s="787">
        <v>4.25</v>
      </c>
      <c r="T27" s="787">
        <v>0</v>
      </c>
      <c r="U27" s="787">
        <v>15.34</v>
      </c>
      <c r="V27" s="787">
        <v>10.73</v>
      </c>
      <c r="W27" s="787">
        <v>4.25</v>
      </c>
      <c r="X27" s="652"/>
    </row>
    <row r="28" spans="2:24" x14ac:dyDescent="0.2">
      <c r="B28" s="757" t="str">
        <f>Prop2019TSSComp!B28</f>
        <v>Non-residential flexible pricing (bulk)</v>
      </c>
      <c r="C28" s="234" t="str">
        <f>Prop2019TSSComp!C28</f>
        <v>Non-Residential - Flexible Pricing Bulk</v>
      </c>
      <c r="D28" s="786">
        <v>160</v>
      </c>
      <c r="E28" s="787">
        <v>0</v>
      </c>
      <c r="F28" s="787">
        <v>0</v>
      </c>
      <c r="G28" s="787">
        <v>0</v>
      </c>
      <c r="H28" s="787">
        <v>0</v>
      </c>
      <c r="I28" s="787">
        <v>0</v>
      </c>
      <c r="J28" s="787">
        <v>0</v>
      </c>
      <c r="K28" s="787">
        <v>0</v>
      </c>
      <c r="L28" s="787">
        <v>0</v>
      </c>
      <c r="M28" s="787">
        <v>0</v>
      </c>
      <c r="N28" s="787">
        <v>0</v>
      </c>
      <c r="O28" s="787">
        <v>0</v>
      </c>
      <c r="P28" s="787">
        <v>0</v>
      </c>
      <c r="Q28" s="787">
        <v>13.73</v>
      </c>
      <c r="R28" s="787">
        <v>9.620000000000001</v>
      </c>
      <c r="S28" s="787">
        <v>3.81</v>
      </c>
      <c r="T28" s="787">
        <v>0</v>
      </c>
      <c r="U28" s="787">
        <v>13.73</v>
      </c>
      <c r="V28" s="787">
        <v>9.620000000000001</v>
      </c>
      <c r="W28" s="787">
        <v>3.81</v>
      </c>
      <c r="X28" s="652"/>
    </row>
    <row r="29" spans="2:24" x14ac:dyDescent="0.2">
      <c r="B29" s="757" t="str">
        <f>Prop2019TSSComp!B29</f>
        <v>Non-residential two rate 7d</v>
      </c>
      <c r="C29" s="234" t="str">
        <f>Prop2019TSSComp!C29</f>
        <v>Non-Residential Two Rate 7d</v>
      </c>
      <c r="D29" s="786">
        <v>160</v>
      </c>
      <c r="E29" s="787">
        <v>0</v>
      </c>
      <c r="F29" s="787">
        <v>9.92</v>
      </c>
      <c r="G29" s="787">
        <v>0</v>
      </c>
      <c r="H29" s="787">
        <v>0</v>
      </c>
      <c r="I29" s="787">
        <v>3.69</v>
      </c>
      <c r="J29" s="787">
        <v>0</v>
      </c>
      <c r="K29" s="787">
        <v>0</v>
      </c>
      <c r="L29" s="787">
        <v>0</v>
      </c>
      <c r="M29" s="787">
        <v>0</v>
      </c>
      <c r="N29" s="787">
        <v>0</v>
      </c>
      <c r="O29" s="787">
        <v>0</v>
      </c>
      <c r="P29" s="787">
        <v>0</v>
      </c>
      <c r="Q29" s="787">
        <v>0</v>
      </c>
      <c r="R29" s="787">
        <v>0</v>
      </c>
      <c r="S29" s="787">
        <v>0</v>
      </c>
      <c r="T29" s="787">
        <v>0</v>
      </c>
      <c r="U29" s="787">
        <v>0</v>
      </c>
      <c r="V29" s="787">
        <v>0</v>
      </c>
      <c r="W29" s="787">
        <v>0</v>
      </c>
      <c r="X29" s="652"/>
    </row>
    <row r="30" spans="2:24" x14ac:dyDescent="0.2">
      <c r="B30" s="757" t="str">
        <f>Prop2019TSSComp!B30</f>
        <v>Non-residential two rate 7d (bulk)</v>
      </c>
      <c r="C30" s="234" t="str">
        <f>Prop2019TSSComp!C30</f>
        <v>Non-Residential Two Rate 7d - Bulk</v>
      </c>
      <c r="D30" s="786">
        <v>160</v>
      </c>
      <c r="E30" s="787">
        <v>0</v>
      </c>
      <c r="F30" s="787">
        <v>8.9700000000000006</v>
      </c>
      <c r="G30" s="787">
        <v>0</v>
      </c>
      <c r="H30" s="787">
        <v>0</v>
      </c>
      <c r="I30" s="787">
        <v>3.41</v>
      </c>
      <c r="J30" s="787">
        <v>0</v>
      </c>
      <c r="K30" s="787">
        <v>0</v>
      </c>
      <c r="L30" s="787">
        <v>0</v>
      </c>
      <c r="M30" s="787">
        <v>0</v>
      </c>
      <c r="N30" s="787">
        <v>0</v>
      </c>
      <c r="O30" s="787">
        <v>0</v>
      </c>
      <c r="P30" s="787">
        <v>0</v>
      </c>
      <c r="Q30" s="787">
        <v>0</v>
      </c>
      <c r="R30" s="787">
        <v>0</v>
      </c>
      <c r="S30" s="787">
        <v>0</v>
      </c>
      <c r="T30" s="787">
        <v>0</v>
      </c>
      <c r="U30" s="787">
        <v>0</v>
      </c>
      <c r="V30" s="787">
        <v>0</v>
      </c>
      <c r="W30" s="787">
        <v>0</v>
      </c>
      <c r="X30" s="652"/>
    </row>
    <row r="31" spans="2:24" x14ac:dyDescent="0.2">
      <c r="B31" s="757" t="str">
        <f>Prop2019TSSComp!B31</f>
        <v>Large two rate 7d</v>
      </c>
      <c r="C31" s="234" t="str">
        <f>Prop2019TSSComp!C31</f>
        <v>Large Two Rate 7d</v>
      </c>
      <c r="D31" s="786">
        <v>160</v>
      </c>
      <c r="E31" s="787">
        <v>0</v>
      </c>
      <c r="F31" s="787">
        <v>12.6</v>
      </c>
      <c r="G31" s="787">
        <v>0</v>
      </c>
      <c r="H31" s="787">
        <v>0</v>
      </c>
      <c r="I31" s="787">
        <v>3.98</v>
      </c>
      <c r="J31" s="787">
        <v>0</v>
      </c>
      <c r="K31" s="787">
        <v>0</v>
      </c>
      <c r="L31" s="787">
        <v>0</v>
      </c>
      <c r="M31" s="787">
        <v>0</v>
      </c>
      <c r="N31" s="787">
        <v>0</v>
      </c>
      <c r="O31" s="787">
        <v>0</v>
      </c>
      <c r="P31" s="787">
        <v>0</v>
      </c>
      <c r="Q31" s="787">
        <v>0</v>
      </c>
      <c r="R31" s="787">
        <v>0</v>
      </c>
      <c r="S31" s="787">
        <v>0</v>
      </c>
      <c r="T31" s="787">
        <v>0</v>
      </c>
      <c r="U31" s="787">
        <v>0</v>
      </c>
      <c r="V31" s="787">
        <v>0</v>
      </c>
      <c r="W31" s="787">
        <v>0</v>
      </c>
      <c r="X31" s="652"/>
    </row>
    <row r="32" spans="2:24" x14ac:dyDescent="0.2">
      <c r="B32" s="757" t="str">
        <f>Prop2019TSSComp!B32</f>
        <v>Small business cost-reflective</v>
      </c>
      <c r="C32" s="234" t="str">
        <f>Prop2019TSSComp!C32</f>
        <v>Non-Residential Demand Tariff</v>
      </c>
      <c r="D32" s="786">
        <v>160</v>
      </c>
      <c r="E32" s="787">
        <v>4.63</v>
      </c>
      <c r="F32" s="787">
        <v>0</v>
      </c>
      <c r="G32" s="787">
        <v>0</v>
      </c>
      <c r="H32" s="787">
        <v>0</v>
      </c>
      <c r="I32" s="787">
        <v>0</v>
      </c>
      <c r="J32" s="787">
        <v>0</v>
      </c>
      <c r="K32" s="787">
        <v>0</v>
      </c>
      <c r="L32" s="787">
        <v>0</v>
      </c>
      <c r="M32" s="787">
        <v>0</v>
      </c>
      <c r="N32" s="787">
        <v>0</v>
      </c>
      <c r="O32" s="787">
        <v>14.61</v>
      </c>
      <c r="P32" s="787">
        <v>4.87</v>
      </c>
      <c r="Q32" s="787">
        <v>0</v>
      </c>
      <c r="R32" s="787">
        <v>0</v>
      </c>
      <c r="S32" s="787">
        <v>0</v>
      </c>
      <c r="T32" s="787">
        <v>0</v>
      </c>
      <c r="U32" s="787">
        <v>0</v>
      </c>
      <c r="V32" s="787">
        <v>0</v>
      </c>
      <c r="W32" s="787">
        <v>0</v>
      </c>
      <c r="X32" s="652"/>
    </row>
    <row r="33" spans="2:24" x14ac:dyDescent="0.2">
      <c r="B33" s="757" t="str">
        <f>Prop2019TSSComp!B33</f>
        <v>Small business cost-reflective (bulk)</v>
      </c>
      <c r="C33" s="234" t="str">
        <f>Prop2019TSSComp!C33</f>
        <v>Non-Residential Bulk Demand Tariff</v>
      </c>
      <c r="D33" s="786">
        <v>160</v>
      </c>
      <c r="E33" s="787">
        <v>4.3</v>
      </c>
      <c r="F33" s="787">
        <v>0</v>
      </c>
      <c r="G33" s="787">
        <v>0</v>
      </c>
      <c r="H33" s="787">
        <v>0</v>
      </c>
      <c r="I33" s="787">
        <v>0</v>
      </c>
      <c r="J33" s="787">
        <v>0</v>
      </c>
      <c r="K33" s="787">
        <v>0</v>
      </c>
      <c r="L33" s="787">
        <v>0</v>
      </c>
      <c r="M33" s="787">
        <v>0</v>
      </c>
      <c r="N33" s="787">
        <v>0</v>
      </c>
      <c r="O33" s="787">
        <v>12.07</v>
      </c>
      <c r="P33" s="787">
        <v>4.0200000000000005</v>
      </c>
      <c r="Q33" s="787">
        <v>0</v>
      </c>
      <c r="R33" s="787">
        <v>0</v>
      </c>
      <c r="S33" s="787">
        <v>0</v>
      </c>
      <c r="T33" s="787">
        <v>0</v>
      </c>
      <c r="U33" s="787">
        <v>0</v>
      </c>
      <c r="V33" s="787">
        <v>0</v>
      </c>
      <c r="W33" s="787">
        <v>0</v>
      </c>
      <c r="X33" s="652"/>
    </row>
    <row r="34" spans="2:24" x14ac:dyDescent="0.2">
      <c r="B34" s="757" t="str">
        <f>Prop2019TSSComp!B34</f>
        <v>Medium business</v>
      </c>
      <c r="C34" s="234" t="str">
        <f>Prop2019TSSComp!C34</f>
        <v>Medium Business Demand</v>
      </c>
      <c r="D34" s="786">
        <v>1200</v>
      </c>
      <c r="E34" s="787">
        <v>0</v>
      </c>
      <c r="F34" s="787">
        <v>4.5999999999999996</v>
      </c>
      <c r="G34" s="787">
        <v>0</v>
      </c>
      <c r="H34" s="787">
        <v>0</v>
      </c>
      <c r="I34" s="787">
        <v>4.5999999999999996</v>
      </c>
      <c r="J34" s="787">
        <v>0</v>
      </c>
      <c r="K34" s="787">
        <v>0</v>
      </c>
      <c r="L34" s="787">
        <v>0</v>
      </c>
      <c r="M34" s="787">
        <v>0</v>
      </c>
      <c r="N34" s="787">
        <v>0</v>
      </c>
      <c r="O34" s="787">
        <v>12.55</v>
      </c>
      <c r="P34" s="787">
        <v>6.28</v>
      </c>
      <c r="Q34" s="787">
        <v>0</v>
      </c>
      <c r="R34" s="787">
        <v>0</v>
      </c>
      <c r="S34" s="787">
        <v>0</v>
      </c>
      <c r="T34" s="787">
        <v>0</v>
      </c>
      <c r="U34" s="787">
        <v>0</v>
      </c>
      <c r="V34" s="787">
        <v>0</v>
      </c>
      <c r="W34" s="787">
        <v>0</v>
      </c>
      <c r="X34" s="652"/>
    </row>
    <row r="35" spans="2:24" x14ac:dyDescent="0.2">
      <c r="B35" s="757" t="str">
        <f>Prop2019TSSComp!B35</f>
        <v>Medium business (bulk)</v>
      </c>
      <c r="C35" s="234" t="str">
        <f>Prop2019TSSComp!C35</f>
        <v>Medium Business Bulk Demand</v>
      </c>
      <c r="D35" s="786">
        <v>1200</v>
      </c>
      <c r="E35" s="787">
        <v>0</v>
      </c>
      <c r="F35" s="787">
        <v>3.7039999999999997</v>
      </c>
      <c r="G35" s="787">
        <v>0</v>
      </c>
      <c r="H35" s="787">
        <v>0</v>
      </c>
      <c r="I35" s="787">
        <v>3.7039999999999997</v>
      </c>
      <c r="J35" s="787">
        <v>0</v>
      </c>
      <c r="K35" s="787">
        <v>0</v>
      </c>
      <c r="L35" s="787">
        <v>0</v>
      </c>
      <c r="M35" s="787">
        <v>0</v>
      </c>
      <c r="N35" s="787">
        <v>0</v>
      </c>
      <c r="O35" s="787">
        <v>9.6210000000000004</v>
      </c>
      <c r="P35" s="787">
        <v>4.8099999999999996</v>
      </c>
      <c r="Q35" s="787">
        <v>0</v>
      </c>
      <c r="R35" s="787">
        <v>0</v>
      </c>
      <c r="S35" s="787">
        <v>0</v>
      </c>
      <c r="T35" s="787">
        <v>0</v>
      </c>
      <c r="U35" s="787">
        <v>0</v>
      </c>
      <c r="V35" s="787">
        <v>0</v>
      </c>
      <c r="W35" s="787">
        <v>0</v>
      </c>
      <c r="X35" s="652"/>
    </row>
    <row r="36" spans="2:24" x14ac:dyDescent="0.2">
      <c r="B36" s="757" t="str">
        <f>Prop2019TSSComp!B36</f>
        <v>Medium Business Opt-out</v>
      </c>
      <c r="C36" s="234" t="str">
        <f>Prop2019TSSComp!C36</f>
        <v>Medium Business Opt-out</v>
      </c>
      <c r="D36" s="786">
        <v>1200</v>
      </c>
      <c r="E36" s="787">
        <v>0</v>
      </c>
      <c r="F36" s="787">
        <v>11.98</v>
      </c>
      <c r="G36" s="787">
        <v>0</v>
      </c>
      <c r="H36" s="787">
        <v>0</v>
      </c>
      <c r="I36" s="787">
        <v>4.82</v>
      </c>
      <c r="J36" s="787">
        <v>0</v>
      </c>
      <c r="K36" s="787">
        <v>0</v>
      </c>
      <c r="L36" s="787">
        <v>0</v>
      </c>
      <c r="M36" s="787">
        <v>0</v>
      </c>
      <c r="N36" s="787">
        <v>0</v>
      </c>
      <c r="O36" s="787">
        <v>0</v>
      </c>
      <c r="P36" s="787">
        <v>0</v>
      </c>
      <c r="Q36" s="787">
        <v>0</v>
      </c>
      <c r="R36" s="787">
        <v>0</v>
      </c>
      <c r="S36" s="787">
        <v>0</v>
      </c>
      <c r="T36" s="787">
        <v>0</v>
      </c>
      <c r="U36" s="787">
        <v>0</v>
      </c>
      <c r="V36" s="787">
        <v>0</v>
      </c>
      <c r="W36" s="787">
        <v>0</v>
      </c>
      <c r="X36" s="652"/>
    </row>
    <row r="37" spans="2:24" x14ac:dyDescent="0.2">
      <c r="B37" s="757" t="str">
        <f>Prop2019TSSComp!B37</f>
        <v>Medium Business Bulk Opt-out</v>
      </c>
      <c r="C37" s="234" t="str">
        <f>Prop2019TSSComp!C37</f>
        <v>Medium Business Bulk Opt-out</v>
      </c>
      <c r="D37" s="786">
        <v>1200</v>
      </c>
      <c r="E37" s="787">
        <v>0</v>
      </c>
      <c r="F37" s="787">
        <v>9.76</v>
      </c>
      <c r="G37" s="787">
        <v>0</v>
      </c>
      <c r="H37" s="787">
        <v>0</v>
      </c>
      <c r="I37" s="787">
        <v>4.1100000000000003</v>
      </c>
      <c r="J37" s="787">
        <v>0</v>
      </c>
      <c r="K37" s="787">
        <v>0</v>
      </c>
      <c r="L37" s="787">
        <v>0</v>
      </c>
      <c r="M37" s="787">
        <v>0</v>
      </c>
      <c r="N37" s="787">
        <v>0</v>
      </c>
      <c r="O37" s="787">
        <v>0</v>
      </c>
      <c r="P37" s="787">
        <v>0</v>
      </c>
      <c r="Q37" s="787">
        <v>0</v>
      </c>
      <c r="R37" s="787">
        <v>0</v>
      </c>
      <c r="S37" s="787">
        <v>0</v>
      </c>
      <c r="T37" s="787">
        <v>0</v>
      </c>
      <c r="U37" s="787">
        <v>0</v>
      </c>
      <c r="V37" s="787">
        <v>0</v>
      </c>
      <c r="W37" s="787">
        <v>0</v>
      </c>
      <c r="X37" s="652"/>
    </row>
    <row r="38" spans="2:24" x14ac:dyDescent="0.2">
      <c r="B38" s="757" t="str">
        <f>Prop2019TSSComp!B38</f>
        <v>Unmetered supplies</v>
      </c>
      <c r="C38" s="234" t="str">
        <f>Prop2019TSSComp!C38</f>
        <v>Unmetered Supplies / Public Lighting</v>
      </c>
      <c r="D38" s="786">
        <v>0</v>
      </c>
      <c r="E38" s="787">
        <v>0</v>
      </c>
      <c r="F38" s="787">
        <v>11.8</v>
      </c>
      <c r="G38" s="787">
        <v>0</v>
      </c>
      <c r="H38" s="787">
        <v>0</v>
      </c>
      <c r="I38" s="787">
        <v>3.31</v>
      </c>
      <c r="J38" s="787">
        <v>0</v>
      </c>
      <c r="K38" s="787">
        <v>0</v>
      </c>
      <c r="L38" s="787">
        <v>0</v>
      </c>
      <c r="M38" s="787">
        <v>0</v>
      </c>
      <c r="N38" s="787">
        <v>0</v>
      </c>
      <c r="O38" s="787">
        <v>0</v>
      </c>
      <c r="P38" s="787">
        <v>0</v>
      </c>
      <c r="Q38" s="787">
        <v>0</v>
      </c>
      <c r="R38" s="787">
        <v>0</v>
      </c>
      <c r="S38" s="787">
        <v>0</v>
      </c>
      <c r="T38" s="787">
        <v>0</v>
      </c>
      <c r="U38" s="787">
        <v>0</v>
      </c>
      <c r="V38" s="787">
        <v>0</v>
      </c>
      <c r="W38" s="787">
        <v>0</v>
      </c>
      <c r="X38" s="652"/>
    </row>
    <row r="39" spans="2:24" x14ac:dyDescent="0.2">
      <c r="B39" s="757" t="str">
        <f>Prop2019TSSComp!B39</f>
        <v>Large low voltage</v>
      </c>
      <c r="C39" s="234" t="str">
        <f>Prop2019TSSComp!C39</f>
        <v>Large low Voltage</v>
      </c>
      <c r="D39" s="786">
        <v>6500</v>
      </c>
      <c r="E39" s="787">
        <v>0</v>
      </c>
      <c r="F39" s="787">
        <v>3.63</v>
      </c>
      <c r="G39" s="787">
        <v>0</v>
      </c>
      <c r="H39" s="787">
        <v>0</v>
      </c>
      <c r="I39" s="787">
        <v>2.23</v>
      </c>
      <c r="J39" s="787">
        <v>0</v>
      </c>
      <c r="K39" s="787">
        <v>0</v>
      </c>
      <c r="L39" s="787">
        <v>0</v>
      </c>
      <c r="M39" s="787">
        <v>111.03</v>
      </c>
      <c r="N39" s="787">
        <v>0</v>
      </c>
      <c r="O39" s="787">
        <v>0</v>
      </c>
      <c r="P39" s="787">
        <v>0</v>
      </c>
      <c r="Q39" s="787">
        <v>0</v>
      </c>
      <c r="R39" s="787">
        <v>0</v>
      </c>
      <c r="S39" s="787">
        <v>0</v>
      </c>
      <c r="T39" s="787">
        <v>0</v>
      </c>
      <c r="U39" s="787">
        <v>0</v>
      </c>
      <c r="V39" s="787">
        <v>0</v>
      </c>
      <c r="W39" s="787">
        <v>0</v>
      </c>
      <c r="X39" s="652"/>
    </row>
    <row r="40" spans="2:24" x14ac:dyDescent="0.2">
      <c r="B40" s="757" t="str">
        <f>Prop2019TSSComp!B40</f>
        <v>Large low voltage (bulk)</v>
      </c>
      <c r="C40" s="234" t="str">
        <f>Prop2019TSSComp!C40</f>
        <v>Large low Voltage Bulk</v>
      </c>
      <c r="D40" s="786">
        <v>6500</v>
      </c>
      <c r="E40" s="787">
        <v>0</v>
      </c>
      <c r="F40" s="787">
        <v>3.35</v>
      </c>
      <c r="G40" s="787">
        <v>0</v>
      </c>
      <c r="H40" s="787">
        <v>0</v>
      </c>
      <c r="I40" s="787">
        <v>2.09</v>
      </c>
      <c r="J40" s="787">
        <v>0</v>
      </c>
      <c r="K40" s="787">
        <v>0</v>
      </c>
      <c r="L40" s="787">
        <v>0</v>
      </c>
      <c r="M40" s="787">
        <v>103.3</v>
      </c>
      <c r="N40" s="787">
        <v>0</v>
      </c>
      <c r="O40" s="787">
        <v>0</v>
      </c>
      <c r="P40" s="787">
        <v>0</v>
      </c>
      <c r="Q40" s="787">
        <v>0</v>
      </c>
      <c r="R40" s="787">
        <v>0</v>
      </c>
      <c r="S40" s="787">
        <v>0</v>
      </c>
      <c r="T40" s="787">
        <v>0</v>
      </c>
      <c r="U40" s="787">
        <v>0</v>
      </c>
      <c r="V40" s="787">
        <v>0</v>
      </c>
      <c r="W40" s="787">
        <v>0</v>
      </c>
      <c r="X40" s="652"/>
    </row>
    <row r="41" spans="2:24" x14ac:dyDescent="0.2">
      <c r="B41" s="757" t="str">
        <f>Prop2019TSSComp!B41</f>
        <v>High voltage</v>
      </c>
      <c r="C41" s="234" t="str">
        <f>Prop2019TSSComp!C41</f>
        <v>High Voltage</v>
      </c>
      <c r="D41" s="786">
        <v>33400</v>
      </c>
      <c r="E41" s="787">
        <v>0</v>
      </c>
      <c r="F41" s="787">
        <v>2.58</v>
      </c>
      <c r="G41" s="787">
        <v>0</v>
      </c>
      <c r="H41" s="787">
        <v>0</v>
      </c>
      <c r="I41" s="787">
        <v>1.33</v>
      </c>
      <c r="J41" s="787">
        <v>0</v>
      </c>
      <c r="K41" s="787">
        <v>0</v>
      </c>
      <c r="L41" s="787">
        <v>0</v>
      </c>
      <c r="M41" s="787">
        <v>73.100000000000009</v>
      </c>
      <c r="N41" s="787">
        <v>0</v>
      </c>
      <c r="O41" s="787">
        <v>0</v>
      </c>
      <c r="P41" s="787">
        <v>0</v>
      </c>
      <c r="Q41" s="787">
        <v>0</v>
      </c>
      <c r="R41" s="787">
        <v>0</v>
      </c>
      <c r="S41" s="787">
        <v>0</v>
      </c>
      <c r="T41" s="787">
        <v>0</v>
      </c>
      <c r="U41" s="787">
        <v>0</v>
      </c>
      <c r="V41" s="787">
        <v>0</v>
      </c>
      <c r="W41" s="787">
        <v>0</v>
      </c>
      <c r="X41" s="652"/>
    </row>
    <row r="42" spans="2:24" x14ac:dyDescent="0.2">
      <c r="B42" s="757" t="str">
        <f>Prop2019TSSComp!B42</f>
        <v>Subtransmission</v>
      </c>
      <c r="C42" s="234" t="str">
        <f>Prop2019TSSComp!C42</f>
        <v>Subtransmission</v>
      </c>
      <c r="D42" s="786">
        <v>154100</v>
      </c>
      <c r="E42" s="787">
        <v>0</v>
      </c>
      <c r="F42" s="787">
        <v>2.2200000000000002</v>
      </c>
      <c r="G42" s="787">
        <v>0</v>
      </c>
      <c r="H42" s="787">
        <v>0</v>
      </c>
      <c r="I42" s="787">
        <v>0.91</v>
      </c>
      <c r="J42" s="787">
        <v>0</v>
      </c>
      <c r="K42" s="787">
        <v>0</v>
      </c>
      <c r="L42" s="787">
        <v>0</v>
      </c>
      <c r="M42" s="787">
        <v>17.97</v>
      </c>
      <c r="N42" s="787">
        <v>0</v>
      </c>
      <c r="O42" s="787">
        <v>0</v>
      </c>
      <c r="P42" s="787">
        <v>0</v>
      </c>
      <c r="Q42" s="787">
        <v>0</v>
      </c>
      <c r="R42" s="787">
        <v>0</v>
      </c>
      <c r="S42" s="787">
        <v>0</v>
      </c>
      <c r="T42" s="787">
        <v>0</v>
      </c>
      <c r="U42" s="787">
        <v>0</v>
      </c>
      <c r="V42" s="787">
        <v>0</v>
      </c>
      <c r="W42" s="787">
        <v>0</v>
      </c>
      <c r="X42" s="652"/>
    </row>
    <row r="43" spans="2:24" x14ac:dyDescent="0.2">
      <c r="B43" s="234"/>
      <c r="C43" s="234"/>
      <c r="D43" s="650"/>
      <c r="E43" s="651"/>
      <c r="F43" s="651"/>
      <c r="G43" s="651"/>
      <c r="H43" s="651"/>
      <c r="I43" s="651"/>
      <c r="J43" s="651"/>
      <c r="K43" s="651"/>
      <c r="L43" s="651"/>
      <c r="M43" s="651"/>
      <c r="N43" s="651"/>
      <c r="O43" s="651"/>
      <c r="P43" s="651"/>
      <c r="Q43" s="651"/>
      <c r="R43" s="651"/>
      <c r="S43" s="651"/>
      <c r="T43" s="651"/>
      <c r="U43" s="651"/>
      <c r="V43" s="651"/>
      <c r="W43" s="651"/>
      <c r="X43" s="652"/>
    </row>
    <row r="44" spans="2:24" x14ac:dyDescent="0.2">
      <c r="B44" s="234"/>
      <c r="C44" s="234"/>
      <c r="D44" s="650"/>
      <c r="E44" s="651"/>
      <c r="F44" s="651"/>
      <c r="G44" s="651"/>
      <c r="H44" s="651"/>
      <c r="I44" s="651"/>
      <c r="J44" s="651"/>
      <c r="K44" s="651"/>
      <c r="L44" s="651"/>
      <c r="M44" s="651"/>
      <c r="N44" s="651"/>
      <c r="O44" s="651"/>
      <c r="P44" s="651"/>
      <c r="Q44" s="651"/>
      <c r="R44" s="651"/>
      <c r="S44" s="651"/>
      <c r="T44" s="651"/>
      <c r="U44" s="651"/>
      <c r="V44" s="651"/>
      <c r="W44" s="651"/>
      <c r="X44" s="652"/>
    </row>
    <row r="45" spans="2:24" x14ac:dyDescent="0.2">
      <c r="B45" s="234"/>
      <c r="C45" s="234"/>
      <c r="D45" s="650"/>
      <c r="E45" s="651"/>
      <c r="F45" s="651"/>
      <c r="G45" s="651"/>
      <c r="H45" s="651"/>
      <c r="I45" s="651"/>
      <c r="J45" s="651"/>
      <c r="K45" s="651"/>
      <c r="L45" s="651"/>
      <c r="M45" s="651"/>
      <c r="N45" s="651"/>
      <c r="O45" s="651"/>
      <c r="P45" s="651"/>
      <c r="Q45" s="651"/>
      <c r="R45" s="651"/>
      <c r="S45" s="651"/>
      <c r="T45" s="651"/>
      <c r="U45" s="651"/>
      <c r="V45" s="651"/>
      <c r="W45" s="651"/>
      <c r="X45" s="652"/>
    </row>
    <row r="46" spans="2:24" x14ac:dyDescent="0.2">
      <c r="B46" s="234"/>
      <c r="C46" s="234"/>
      <c r="D46" s="650"/>
      <c r="E46" s="651"/>
      <c r="F46" s="651"/>
      <c r="G46" s="651"/>
      <c r="H46" s="651"/>
      <c r="I46" s="651"/>
      <c r="J46" s="651"/>
      <c r="K46" s="651"/>
      <c r="L46" s="651"/>
      <c r="M46" s="651"/>
      <c r="N46" s="651"/>
      <c r="O46" s="651"/>
      <c r="P46" s="651"/>
      <c r="Q46" s="651"/>
      <c r="R46" s="651"/>
      <c r="S46" s="651"/>
      <c r="T46" s="651"/>
      <c r="U46" s="651"/>
      <c r="V46" s="651"/>
      <c r="W46" s="651"/>
      <c r="X46" s="652"/>
    </row>
    <row r="47" spans="2:24" x14ac:dyDescent="0.2">
      <c r="B47" s="234"/>
      <c r="C47" s="234"/>
      <c r="D47" s="650"/>
      <c r="E47" s="651"/>
      <c r="F47" s="651"/>
      <c r="G47" s="651"/>
      <c r="H47" s="651"/>
      <c r="I47" s="651"/>
      <c r="J47" s="651"/>
      <c r="K47" s="651"/>
      <c r="L47" s="651"/>
      <c r="M47" s="651"/>
      <c r="N47" s="651"/>
      <c r="O47" s="651"/>
      <c r="P47" s="651"/>
      <c r="Q47" s="651"/>
      <c r="R47" s="651"/>
      <c r="S47" s="651"/>
      <c r="T47" s="651"/>
      <c r="U47" s="651"/>
      <c r="V47" s="651"/>
      <c r="W47" s="651"/>
      <c r="X47" s="652"/>
    </row>
    <row r="48" spans="2:24" x14ac:dyDescent="0.2">
      <c r="B48" s="234"/>
      <c r="C48" s="234"/>
      <c r="D48" s="660"/>
      <c r="E48" s="651"/>
      <c r="F48" s="651"/>
      <c r="G48" s="651"/>
      <c r="H48" s="651"/>
      <c r="I48" s="651"/>
      <c r="J48" s="651"/>
      <c r="K48" s="651"/>
      <c r="L48" s="651"/>
      <c r="M48" s="651"/>
      <c r="N48" s="651"/>
      <c r="O48" s="651"/>
      <c r="P48" s="651"/>
      <c r="Q48" s="682"/>
      <c r="R48" s="651"/>
      <c r="S48" s="651"/>
      <c r="T48" s="651"/>
      <c r="U48" s="651"/>
      <c r="V48" s="651"/>
      <c r="W48" s="651"/>
      <c r="X48" s="652"/>
    </row>
    <row r="49" spans="2:24" x14ac:dyDescent="0.2">
      <c r="B49" s="234"/>
      <c r="C49" s="234"/>
      <c r="D49" s="660"/>
      <c r="E49" s="651"/>
      <c r="F49" s="651"/>
      <c r="G49" s="651"/>
      <c r="H49" s="651"/>
      <c r="I49" s="651"/>
      <c r="J49" s="651"/>
      <c r="K49" s="651"/>
      <c r="L49" s="651"/>
      <c r="M49" s="651"/>
      <c r="N49" s="651"/>
      <c r="O49" s="651"/>
      <c r="P49" s="651"/>
      <c r="Q49" s="682"/>
      <c r="R49" s="651"/>
      <c r="S49" s="651"/>
      <c r="T49" s="651"/>
      <c r="U49" s="651"/>
      <c r="V49" s="651"/>
      <c r="W49" s="651"/>
      <c r="X49" s="652"/>
    </row>
    <row r="50" spans="2:24" x14ac:dyDescent="0.2">
      <c r="B50" s="234"/>
      <c r="C50" s="234"/>
      <c r="D50" s="660"/>
      <c r="E50" s="651"/>
      <c r="F50" s="651"/>
      <c r="G50" s="651"/>
      <c r="H50" s="651"/>
      <c r="I50" s="651"/>
      <c r="J50" s="651"/>
      <c r="K50" s="651"/>
      <c r="L50" s="651"/>
      <c r="M50" s="651"/>
      <c r="N50" s="651"/>
      <c r="O50" s="651"/>
      <c r="P50" s="651"/>
      <c r="Q50" s="682"/>
      <c r="R50" s="651"/>
      <c r="S50" s="651"/>
      <c r="T50" s="651"/>
      <c r="U50" s="651"/>
      <c r="V50" s="651"/>
      <c r="W50" s="651"/>
      <c r="X50" s="652"/>
    </row>
    <row r="51" spans="2:24" x14ac:dyDescent="0.2">
      <c r="B51" s="234"/>
      <c r="C51" s="234"/>
      <c r="D51" s="660"/>
      <c r="E51" s="651"/>
      <c r="F51" s="651"/>
      <c r="G51" s="651"/>
      <c r="H51" s="651"/>
      <c r="I51" s="651"/>
      <c r="J51" s="651"/>
      <c r="K51" s="651"/>
      <c r="L51" s="651"/>
      <c r="M51" s="651"/>
      <c r="N51" s="651"/>
      <c r="O51" s="651"/>
      <c r="P51" s="651"/>
      <c r="Q51" s="682"/>
      <c r="R51" s="651"/>
      <c r="S51" s="651"/>
      <c r="T51" s="651"/>
      <c r="U51" s="651"/>
      <c r="V51" s="651"/>
      <c r="W51" s="651"/>
      <c r="X51" s="652"/>
    </row>
    <row r="52" spans="2:24" x14ac:dyDescent="0.2">
      <c r="B52" s="234"/>
      <c r="C52" s="234"/>
      <c r="D52" s="660"/>
      <c r="E52" s="651"/>
      <c r="F52" s="651"/>
      <c r="G52" s="651"/>
      <c r="H52" s="651"/>
      <c r="I52" s="651"/>
      <c r="J52" s="651"/>
      <c r="K52" s="651"/>
      <c r="L52" s="651"/>
      <c r="M52" s="651"/>
      <c r="N52" s="651"/>
      <c r="O52" s="651"/>
      <c r="P52" s="651"/>
      <c r="Q52" s="682"/>
      <c r="R52" s="651"/>
      <c r="S52" s="651"/>
      <c r="T52" s="651"/>
      <c r="U52" s="651"/>
      <c r="V52" s="651"/>
      <c r="W52" s="651"/>
      <c r="X52" s="652"/>
    </row>
    <row r="53" spans="2:24" x14ac:dyDescent="0.2">
      <c r="B53" s="234"/>
      <c r="C53" s="234"/>
      <c r="D53" s="294"/>
      <c r="E53" s="295"/>
      <c r="F53" s="295"/>
      <c r="G53" s="295"/>
      <c r="H53" s="295"/>
      <c r="I53" s="295"/>
      <c r="J53" s="295"/>
      <c r="K53" s="295"/>
      <c r="L53" s="295"/>
      <c r="M53" s="295"/>
      <c r="N53" s="295"/>
      <c r="O53" s="295"/>
      <c r="P53" s="295"/>
      <c r="Q53" s="371"/>
      <c r="R53" s="295"/>
      <c r="S53" s="295"/>
      <c r="T53" s="295"/>
      <c r="U53" s="295"/>
      <c r="V53" s="295"/>
      <c r="W53" s="295"/>
      <c r="X53" s="296"/>
    </row>
    <row r="54" spans="2:24" x14ac:dyDescent="0.2">
      <c r="B54" s="234"/>
      <c r="C54" s="234"/>
      <c r="D54" s="294"/>
      <c r="E54" s="295"/>
      <c r="F54" s="295"/>
      <c r="G54" s="295"/>
      <c r="H54" s="295"/>
      <c r="I54" s="295"/>
      <c r="J54" s="295"/>
      <c r="K54" s="295"/>
      <c r="L54" s="295"/>
      <c r="M54" s="295"/>
      <c r="N54" s="295"/>
      <c r="O54" s="295"/>
      <c r="P54" s="295"/>
      <c r="Q54" s="371"/>
      <c r="R54" s="295"/>
      <c r="S54" s="295"/>
      <c r="T54" s="295"/>
      <c r="U54" s="295"/>
      <c r="V54" s="295"/>
      <c r="W54" s="295"/>
      <c r="X54" s="296"/>
    </row>
    <row r="55" spans="2:24" x14ac:dyDescent="0.2">
      <c r="B55" s="234"/>
      <c r="C55" s="234"/>
      <c r="D55" s="294"/>
      <c r="E55" s="295"/>
      <c r="F55" s="295"/>
      <c r="G55" s="295"/>
      <c r="H55" s="295"/>
      <c r="I55" s="295"/>
      <c r="J55" s="295"/>
      <c r="K55" s="295"/>
      <c r="L55" s="295"/>
      <c r="M55" s="295"/>
      <c r="N55" s="295"/>
      <c r="O55" s="295"/>
      <c r="P55" s="295"/>
      <c r="Q55" s="371"/>
      <c r="R55" s="295"/>
      <c r="S55" s="295"/>
      <c r="T55" s="295"/>
      <c r="U55" s="295"/>
      <c r="V55" s="295"/>
      <c r="W55" s="295"/>
      <c r="X55" s="296"/>
    </row>
    <row r="56" spans="2:24" x14ac:dyDescent="0.2">
      <c r="B56" s="234"/>
      <c r="C56" s="234"/>
      <c r="D56" s="294"/>
      <c r="E56" s="295"/>
      <c r="F56" s="295"/>
      <c r="G56" s="295"/>
      <c r="H56" s="295"/>
      <c r="I56" s="295"/>
      <c r="J56" s="295"/>
      <c r="K56" s="295"/>
      <c r="L56" s="295"/>
      <c r="M56" s="295"/>
      <c r="N56" s="295"/>
      <c r="O56" s="295"/>
      <c r="P56" s="295"/>
      <c r="Q56" s="371"/>
      <c r="R56" s="295"/>
      <c r="S56" s="295"/>
      <c r="T56" s="295"/>
      <c r="U56" s="295"/>
      <c r="V56" s="295"/>
      <c r="W56" s="295"/>
      <c r="X56" s="296"/>
    </row>
    <row r="57" spans="2:24" x14ac:dyDescent="0.2">
      <c r="B57" s="234"/>
      <c r="C57" s="234"/>
      <c r="D57" s="294"/>
      <c r="E57" s="295"/>
      <c r="F57" s="295"/>
      <c r="G57" s="295"/>
      <c r="H57" s="295"/>
      <c r="I57" s="295"/>
      <c r="J57" s="295"/>
      <c r="K57" s="295"/>
      <c r="L57" s="295"/>
      <c r="M57" s="295"/>
      <c r="N57" s="295"/>
      <c r="O57" s="295"/>
      <c r="P57" s="295"/>
      <c r="Q57" s="371"/>
      <c r="R57" s="295"/>
      <c r="S57" s="295"/>
      <c r="T57" s="295"/>
      <c r="U57" s="295"/>
      <c r="V57" s="295"/>
      <c r="W57" s="295"/>
      <c r="X57" s="296"/>
    </row>
    <row r="58" spans="2:24" x14ac:dyDescent="0.2">
      <c r="B58" s="234"/>
      <c r="C58" s="234"/>
      <c r="D58" s="294"/>
      <c r="E58" s="295"/>
      <c r="F58" s="295"/>
      <c r="G58" s="295"/>
      <c r="H58" s="295"/>
      <c r="I58" s="295"/>
      <c r="J58" s="295"/>
      <c r="K58" s="295"/>
      <c r="L58" s="295"/>
      <c r="M58" s="295"/>
      <c r="N58" s="295"/>
      <c r="O58" s="295"/>
      <c r="P58" s="295"/>
      <c r="Q58" s="371"/>
      <c r="R58" s="295"/>
      <c r="S58" s="295"/>
      <c r="T58" s="295"/>
      <c r="U58" s="295"/>
      <c r="V58" s="295"/>
      <c r="W58" s="295"/>
      <c r="X58" s="296"/>
    </row>
    <row r="59" spans="2:24" x14ac:dyDescent="0.2">
      <c r="B59" s="234"/>
      <c r="C59" s="373"/>
      <c r="D59" s="304"/>
      <c r="E59" s="287"/>
      <c r="F59" s="287"/>
      <c r="G59" s="287"/>
      <c r="H59" s="287"/>
      <c r="I59" s="287"/>
      <c r="J59" s="287"/>
      <c r="K59" s="287"/>
      <c r="L59" s="287"/>
      <c r="M59" s="287"/>
      <c r="N59" s="287"/>
      <c r="O59" s="287"/>
      <c r="P59" s="287"/>
      <c r="Q59" s="286"/>
      <c r="R59" s="287"/>
      <c r="S59" s="287"/>
      <c r="T59" s="287"/>
      <c r="U59" s="287"/>
      <c r="V59" s="287"/>
      <c r="W59" s="287"/>
      <c r="X59" s="288"/>
    </row>
    <row r="60" spans="2:24" x14ac:dyDescent="0.2">
      <c r="B60" s="234"/>
      <c r="C60" s="373"/>
      <c r="D60" s="304"/>
      <c r="E60" s="287"/>
      <c r="F60" s="287"/>
      <c r="G60" s="287"/>
      <c r="H60" s="287"/>
      <c r="I60" s="287"/>
      <c r="J60" s="287"/>
      <c r="K60" s="287"/>
      <c r="L60" s="287"/>
      <c r="M60" s="287"/>
      <c r="N60" s="287"/>
      <c r="O60" s="287"/>
      <c r="P60" s="287"/>
      <c r="Q60" s="286"/>
      <c r="R60" s="287"/>
      <c r="S60" s="287"/>
      <c r="T60" s="287"/>
      <c r="U60" s="287"/>
      <c r="V60" s="287"/>
      <c r="W60" s="287"/>
      <c r="X60" s="288"/>
    </row>
    <row r="61" spans="2:24" x14ac:dyDescent="0.2">
      <c r="B61" s="234"/>
      <c r="C61" s="373"/>
      <c r="D61" s="304"/>
      <c r="E61" s="287"/>
      <c r="F61" s="287"/>
      <c r="G61" s="287"/>
      <c r="H61" s="287"/>
      <c r="I61" s="287"/>
      <c r="J61" s="287"/>
      <c r="K61" s="287"/>
      <c r="L61" s="287"/>
      <c r="M61" s="287"/>
      <c r="N61" s="287"/>
      <c r="O61" s="287"/>
      <c r="P61" s="287"/>
      <c r="Q61" s="286"/>
      <c r="R61" s="287"/>
      <c r="S61" s="287"/>
      <c r="T61" s="287"/>
      <c r="U61" s="287"/>
      <c r="V61" s="287"/>
      <c r="W61" s="287"/>
      <c r="X61" s="288"/>
    </row>
    <row r="62" spans="2:24" x14ac:dyDescent="0.2">
      <c r="B62" s="234"/>
      <c r="C62" s="373"/>
      <c r="D62" s="304"/>
      <c r="E62" s="287"/>
      <c r="F62" s="287"/>
      <c r="G62" s="287"/>
      <c r="H62" s="287"/>
      <c r="I62" s="287"/>
      <c r="J62" s="287"/>
      <c r="K62" s="287"/>
      <c r="L62" s="287"/>
      <c r="M62" s="287"/>
      <c r="N62" s="287"/>
      <c r="O62" s="287"/>
      <c r="P62" s="287"/>
      <c r="Q62" s="286"/>
      <c r="R62" s="287"/>
      <c r="S62" s="287"/>
      <c r="T62" s="287"/>
      <c r="U62" s="287"/>
      <c r="V62" s="287"/>
      <c r="W62" s="287"/>
      <c r="X62" s="288"/>
    </row>
    <row r="63" spans="2:24" x14ac:dyDescent="0.2">
      <c r="B63" s="234"/>
      <c r="C63" s="373"/>
      <c r="D63" s="304"/>
      <c r="E63" s="287"/>
      <c r="F63" s="287"/>
      <c r="G63" s="287"/>
      <c r="H63" s="287"/>
      <c r="I63" s="287"/>
      <c r="J63" s="287"/>
      <c r="K63" s="287"/>
      <c r="L63" s="287"/>
      <c r="M63" s="287"/>
      <c r="N63" s="287"/>
      <c r="O63" s="287"/>
      <c r="P63" s="287"/>
      <c r="Q63" s="286"/>
      <c r="R63" s="287"/>
      <c r="S63" s="287"/>
      <c r="T63" s="287"/>
      <c r="U63" s="287"/>
      <c r="V63" s="287"/>
      <c r="W63" s="287"/>
      <c r="X63" s="288"/>
    </row>
    <row r="64" spans="2:24" x14ac:dyDescent="0.2">
      <c r="B64" s="234"/>
      <c r="C64" s="373"/>
      <c r="D64" s="304"/>
      <c r="E64" s="287"/>
      <c r="F64" s="287"/>
      <c r="G64" s="287"/>
      <c r="H64" s="287"/>
      <c r="I64" s="287"/>
      <c r="J64" s="287"/>
      <c r="K64" s="287"/>
      <c r="L64" s="287"/>
      <c r="M64" s="287"/>
      <c r="N64" s="287"/>
      <c r="O64" s="287"/>
      <c r="P64" s="287"/>
      <c r="Q64" s="286"/>
      <c r="R64" s="287"/>
      <c r="S64" s="287"/>
      <c r="T64" s="287"/>
      <c r="U64" s="287"/>
      <c r="V64" s="287"/>
      <c r="W64" s="287"/>
      <c r="X64" s="288"/>
    </row>
    <row r="65" spans="2:24" ht="13.5" thickBot="1" x14ac:dyDescent="0.25">
      <c r="B65" s="259"/>
      <c r="C65" s="375"/>
      <c r="D65" s="308"/>
      <c r="E65" s="292"/>
      <c r="F65" s="292"/>
      <c r="G65" s="292"/>
      <c r="H65" s="292"/>
      <c r="I65" s="292"/>
      <c r="J65" s="292"/>
      <c r="K65" s="292"/>
      <c r="L65" s="292"/>
      <c r="M65" s="292"/>
      <c r="N65" s="292"/>
      <c r="O65" s="292"/>
      <c r="P65" s="292"/>
      <c r="Q65" s="291"/>
      <c r="R65" s="292"/>
      <c r="S65" s="292"/>
      <c r="T65" s="292"/>
      <c r="U65" s="292"/>
      <c r="V65" s="292"/>
      <c r="W65" s="292"/>
      <c r="X65" s="293"/>
    </row>
    <row r="66" spans="2:24" s="151" customFormat="1" x14ac:dyDescent="0.2"/>
    <row r="67" spans="2:24" s="151" customFormat="1" x14ac:dyDescent="0.2"/>
    <row r="68" spans="2:24" s="151" customFormat="1" x14ac:dyDescent="0.2"/>
    <row r="69" spans="2:24" s="151" customFormat="1" x14ac:dyDescent="0.2"/>
    <row r="70" spans="2:24" s="151" customFormat="1" x14ac:dyDescent="0.2"/>
    <row r="71" spans="2:24" s="151" customFormat="1" x14ac:dyDescent="0.2"/>
    <row r="72" spans="2:24" s="151" customFormat="1" x14ac:dyDescent="0.2"/>
    <row r="73" spans="2:24" s="151" customFormat="1" x14ac:dyDescent="0.2"/>
    <row r="74" spans="2:24" s="151" customFormat="1" x14ac:dyDescent="0.2"/>
    <row r="75" spans="2:24" s="151" customFormat="1" x14ac:dyDescent="0.2"/>
    <row r="76" spans="2:24" s="151" customFormat="1" x14ac:dyDescent="0.2"/>
    <row r="77" spans="2:24" s="151" customFormat="1" x14ac:dyDescent="0.2"/>
    <row r="78" spans="2:24" s="151" customFormat="1" x14ac:dyDescent="0.2"/>
    <row r="79" spans="2:24" s="151" customFormat="1" x14ac:dyDescent="0.2"/>
    <row r="80" spans="2:24" s="151" customFormat="1" x14ac:dyDescent="0.2"/>
    <row r="81" s="151" customFormat="1" x14ac:dyDescent="0.2"/>
    <row r="82" s="151" customFormat="1" x14ac:dyDescent="0.2"/>
    <row r="83" s="151" customFormat="1" x14ac:dyDescent="0.2"/>
    <row r="84" s="151" customFormat="1" x14ac:dyDescent="0.2"/>
    <row r="85" s="151" customFormat="1" x14ac:dyDescent="0.2"/>
    <row r="86" s="151" customFormat="1" x14ac:dyDescent="0.2"/>
    <row r="87" s="151" customFormat="1" x14ac:dyDescent="0.2"/>
    <row r="88" s="151" customFormat="1" x14ac:dyDescent="0.2"/>
    <row r="89" s="151" customFormat="1" x14ac:dyDescent="0.2"/>
    <row r="90" s="151" customFormat="1" x14ac:dyDescent="0.2"/>
    <row r="91" s="151" customFormat="1" x14ac:dyDescent="0.2"/>
    <row r="92" s="151" customFormat="1" x14ac:dyDescent="0.2"/>
    <row r="93" s="151" customFormat="1" x14ac:dyDescent="0.2"/>
    <row r="94" s="151" customFormat="1" x14ac:dyDescent="0.2"/>
    <row r="95" s="151" customFormat="1" x14ac:dyDescent="0.2"/>
    <row r="96" s="151" customFormat="1" x14ac:dyDescent="0.2"/>
    <row r="97" s="151" customFormat="1" x14ac:dyDescent="0.2"/>
    <row r="98" s="151" customFormat="1" x14ac:dyDescent="0.2"/>
    <row r="99" s="151" customFormat="1" x14ac:dyDescent="0.2"/>
    <row r="100" s="151" customFormat="1" x14ac:dyDescent="0.2"/>
    <row r="101" s="151" customFormat="1" x14ac:dyDescent="0.2"/>
    <row r="102" s="151" customFormat="1" x14ac:dyDescent="0.2"/>
    <row r="103" s="151" customFormat="1" x14ac:dyDescent="0.2"/>
    <row r="104" s="151" customFormat="1" x14ac:dyDescent="0.2"/>
    <row r="105" s="151" customFormat="1"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vt:i4>
      </vt:variant>
    </vt:vector>
  </HeadingPairs>
  <TitlesOfParts>
    <vt:vector size="19" baseType="lpstr">
      <vt:lpstr>NOTES</vt:lpstr>
      <vt:lpstr>Formulae</vt:lpstr>
      <vt:lpstr>Model update</vt:lpstr>
      <vt:lpstr>Metering</vt:lpstr>
      <vt:lpstr>Prop2019DistTar</vt:lpstr>
      <vt:lpstr>2019DistRevCapForm</vt:lpstr>
      <vt:lpstr>2019DistTarRebalCont</vt:lpstr>
      <vt:lpstr>Est2018DistRev</vt:lpstr>
      <vt:lpstr>Prop2019TransTar</vt:lpstr>
      <vt:lpstr>Est2018TransRev</vt:lpstr>
      <vt:lpstr>2019TransRevCont</vt:lpstr>
      <vt:lpstr>TUoS cost audit template</vt:lpstr>
      <vt:lpstr>Prop2019JSTar</vt:lpstr>
      <vt:lpstr>Est2018JSRev</vt:lpstr>
      <vt:lpstr>2019JSRevCont</vt:lpstr>
      <vt:lpstr>JS cost audit template</vt:lpstr>
      <vt:lpstr>Prop2019TSSComp</vt:lpstr>
      <vt:lpstr>Indicative prices for 2020</vt:lpstr>
      <vt:lpstr>Prop2019TSSComp!Print_Area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rombo1@bigpond.com</dc:creator>
  <cp:lastModifiedBy>Jay Stein</cp:lastModifiedBy>
  <cp:lastPrinted>2018-08-21T03:31:48Z</cp:lastPrinted>
  <dcterms:created xsi:type="dcterms:W3CDTF">2015-11-10T05:39:38Z</dcterms:created>
  <dcterms:modified xsi:type="dcterms:W3CDTF">2018-09-26T07:33:40Z</dcterms:modified>
</cp:coreProperties>
</file>