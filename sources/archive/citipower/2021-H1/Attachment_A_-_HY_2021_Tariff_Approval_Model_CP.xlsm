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G:\MKT\DEPT\NetworkPricing\Network Tariffs\Tariff Set 2021\CitiPower\Pricing Proposal\Submitted\Submitted on 20201029\"/>
    </mc:Choice>
  </mc:AlternateContent>
  <xr:revisionPtr revIDLastSave="0" documentId="13_ncr:1_{FA69A7E5-87BE-4E83-A79B-3E2C44018104}" xr6:coauthVersionLast="45" xr6:coauthVersionMax="45" xr10:uidLastSave="{00000000-0000-0000-0000-000000000000}"/>
  <bookViews>
    <workbookView xWindow="-120" yWindow="-120" windowWidth="29040" windowHeight="15840" tabRatio="918" activeTab="4" xr2:uid="{00000000-000D-0000-FFFF-FFFF00000000}"/>
  </bookViews>
  <sheets>
    <sheet name="NOTES" sheetId="33" r:id="rId1"/>
    <sheet name="Formulae" sheetId="1" r:id="rId2"/>
    <sheet name="6 month formulae" sheetId="34" r:id="rId3"/>
    <sheet name="Model update" sheetId="4" r:id="rId4"/>
    <sheet name="Metering" sheetId="28" r:id="rId5"/>
    <sheet name="Metering exit fees" sheetId="35" r:id="rId6"/>
    <sheet name="Public lighting" sheetId="36" r:id="rId7"/>
    <sheet name="ANS" sheetId="37" r:id="rId8"/>
    <sheet name="Prop2021DistTar" sheetId="5" r:id="rId9"/>
    <sheet name="2021DistRevCapForm" sheetId="2" r:id="rId10"/>
    <sheet name="2021DistTarRebalCont" sheetId="9" r:id="rId11"/>
    <sheet name="Est2020DistRev" sheetId="13" r:id="rId12"/>
    <sheet name="Prop2021TransTar" sheetId="15" r:id="rId13"/>
    <sheet name="2021TransRevCont" sheetId="23" r:id="rId14"/>
    <sheet name="Prop2021JSTar" sheetId="17" r:id="rId15"/>
    <sheet name="2021JSRevCont" sheetId="27" r:id="rId16"/>
  </sheets>
  <externalReferences>
    <externalReference r:id="rId17"/>
  </externalReferences>
  <definedNames>
    <definedName name="_xlnm._FilterDatabase" localSheetId="10" hidden="1">'2021DistTarRebalCont'!$B$43:$DO$103</definedName>
    <definedName name="_ftn1" localSheetId="1">Formulae!#REF!</definedName>
    <definedName name="_ftnref1" localSheetId="1">Formulae!#REF!</definedName>
    <definedName name="_Ref432575057" localSheetId="1">Formulae!#REF!</definedName>
    <definedName name="_Ref432594810" localSheetId="1">Formulae!#REF!</definedName>
    <definedName name="_Ref433108207" localSheetId="1">Formulae!#REF!</definedName>
    <definedName name="solver_adj" localSheetId="9" hidden="1">'2021DistRevCapForm'!$E$9</definedName>
    <definedName name="solver_adj" localSheetId="4" hidden="1">Metering!$F$22</definedName>
    <definedName name="solver_cvg" localSheetId="9" hidden="1">0.0001</definedName>
    <definedName name="solver_cvg" localSheetId="4" hidden="1">0.0001</definedName>
    <definedName name="solver_drv" localSheetId="9" hidden="1">1</definedName>
    <definedName name="solver_drv" localSheetId="4" hidden="1">1</definedName>
    <definedName name="solver_eng" localSheetId="9" hidden="1">3</definedName>
    <definedName name="solver_eng" localSheetId="4" hidden="1">3</definedName>
    <definedName name="solver_est" localSheetId="9" hidden="1">1</definedName>
    <definedName name="solver_est" localSheetId="4" hidden="1">1</definedName>
    <definedName name="solver_itr" localSheetId="9" hidden="1">2147483647</definedName>
    <definedName name="solver_itr" localSheetId="4" hidden="1">2147483647</definedName>
    <definedName name="solver_lhs1" localSheetId="9" hidden="1">'2021DistRevCapForm'!$C$9</definedName>
    <definedName name="solver_lhs1" localSheetId="4" hidden="1">Metering!$D$25</definedName>
    <definedName name="solver_lhs2" localSheetId="9" hidden="1">'2021DistRevCapForm'!$E$9</definedName>
    <definedName name="solver_lhs2" localSheetId="4" hidden="1">Metering!$F$22</definedName>
    <definedName name="solver_lhs3" localSheetId="9" hidden="1">'2021DistRevCapForm'!$E$9</definedName>
    <definedName name="solver_lhs3" localSheetId="4" hidden="1">Metering!$F$22</definedName>
    <definedName name="solver_mip" localSheetId="9" hidden="1">2147483647</definedName>
    <definedName name="solver_mip" localSheetId="4" hidden="1">2147483647</definedName>
    <definedName name="solver_mni" localSheetId="9" hidden="1">30</definedName>
    <definedName name="solver_mni" localSheetId="4" hidden="1">30</definedName>
    <definedName name="solver_mrt" localSheetId="9" hidden="1">0.075</definedName>
    <definedName name="solver_mrt" localSheetId="4" hidden="1">0.075</definedName>
    <definedName name="solver_msl" localSheetId="9" hidden="1">2</definedName>
    <definedName name="solver_msl" localSheetId="4" hidden="1">2</definedName>
    <definedName name="solver_neg" localSheetId="9" hidden="1">1</definedName>
    <definedName name="solver_neg" localSheetId="4" hidden="1">1</definedName>
    <definedName name="solver_nod" localSheetId="9" hidden="1">2147483647</definedName>
    <definedName name="solver_nod" localSheetId="4" hidden="1">2147483647</definedName>
    <definedName name="solver_num" localSheetId="9" hidden="1">3</definedName>
    <definedName name="solver_num" localSheetId="4" hidden="1">3</definedName>
    <definedName name="solver_nwt" localSheetId="9" hidden="1">1</definedName>
    <definedName name="solver_nwt" localSheetId="4" hidden="1">1</definedName>
    <definedName name="solver_opt" localSheetId="9" hidden="1">'2021DistRevCapForm'!$E$10</definedName>
    <definedName name="solver_opt" localSheetId="4" hidden="1">Metering!$F$23</definedName>
    <definedName name="solver_pre" localSheetId="9" hidden="1">0.000001</definedName>
    <definedName name="solver_pre" localSheetId="4" hidden="1">0.000001</definedName>
    <definedName name="solver_rbv" localSheetId="9" hidden="1">1</definedName>
    <definedName name="solver_rbv" localSheetId="4" hidden="1">1</definedName>
    <definedName name="solver_rel1" localSheetId="9" hidden="1">1</definedName>
    <definedName name="solver_rel1" localSheetId="4" hidden="1">1</definedName>
    <definedName name="solver_rel2" localSheetId="9" hidden="1">1</definedName>
    <definedName name="solver_rel2" localSheetId="4" hidden="1">1</definedName>
    <definedName name="solver_rel3" localSheetId="9" hidden="1">3</definedName>
    <definedName name="solver_rel3" localSheetId="4" hidden="1">3</definedName>
    <definedName name="solver_rhs1" localSheetId="9" hidden="1">'2021DistRevCapForm'!$C$10</definedName>
    <definedName name="solver_rhs1" localSheetId="4" hidden="1">Metering!$D$26</definedName>
    <definedName name="solver_rhs2" localSheetId="9" hidden="1">2</definedName>
    <definedName name="solver_rhs2" localSheetId="4" hidden="1">2</definedName>
    <definedName name="solver_rhs3" localSheetId="9" hidden="1">0</definedName>
    <definedName name="solver_rhs3" localSheetId="4" hidden="1">0</definedName>
    <definedName name="solver_rlx" localSheetId="9" hidden="1">2</definedName>
    <definedName name="solver_rlx" localSheetId="4" hidden="1">2</definedName>
    <definedName name="solver_rsd" localSheetId="9" hidden="1">0</definedName>
    <definedName name="solver_rsd" localSheetId="4" hidden="1">0</definedName>
    <definedName name="solver_scl" localSheetId="9" hidden="1">1</definedName>
    <definedName name="solver_scl" localSheetId="4" hidden="1">1</definedName>
    <definedName name="solver_sho" localSheetId="9" hidden="1">2</definedName>
    <definedName name="solver_sho" localSheetId="4" hidden="1">2</definedName>
    <definedName name="solver_ssz" localSheetId="9" hidden="1">100</definedName>
    <definedName name="solver_ssz" localSheetId="4" hidden="1">100</definedName>
    <definedName name="solver_tim" localSheetId="9" hidden="1">2147483647</definedName>
    <definedName name="solver_tim" localSheetId="4" hidden="1">2147483647</definedName>
    <definedName name="solver_tol" localSheetId="9" hidden="1">0.01</definedName>
    <definedName name="solver_tol" localSheetId="4" hidden="1">0.01</definedName>
    <definedName name="solver_typ" localSheetId="9" hidden="1">2</definedName>
    <definedName name="solver_typ" localSheetId="4" hidden="1">2</definedName>
    <definedName name="solver_val" localSheetId="9" hidden="1">0</definedName>
    <definedName name="solver_val" localSheetId="4" hidden="1">0</definedName>
    <definedName name="solver_ver" localSheetId="9" hidden="1">3</definedName>
    <definedName name="solver_ver" localSheetId="4" hidden="1">3</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0" i="36" l="1"/>
  <c r="D39" i="36"/>
  <c r="AR65" i="17" l="1"/>
  <c r="AQ65" i="17"/>
  <c r="AP65" i="17"/>
  <c r="AO65" i="17"/>
  <c r="AN65" i="17"/>
  <c r="AM65" i="17"/>
  <c r="AL65" i="17"/>
  <c r="AK65" i="17"/>
  <c r="AJ65" i="17"/>
  <c r="AR64" i="17"/>
  <c r="AQ64" i="17"/>
  <c r="AP64" i="17"/>
  <c r="AO64" i="17"/>
  <c r="AN64" i="17"/>
  <c r="AM64" i="17"/>
  <c r="AL64" i="17"/>
  <c r="AK64" i="17"/>
  <c r="AJ64" i="17"/>
  <c r="AR63" i="17"/>
  <c r="AQ63" i="17"/>
  <c r="AP63" i="17"/>
  <c r="AO63" i="17"/>
  <c r="AN63" i="17"/>
  <c r="AM63" i="17"/>
  <c r="AL63" i="17"/>
  <c r="AK63" i="17"/>
  <c r="AJ63" i="17"/>
  <c r="AR62" i="17"/>
  <c r="AQ62" i="17"/>
  <c r="AP62" i="17"/>
  <c r="AO62" i="17"/>
  <c r="AN62" i="17"/>
  <c r="AM62" i="17"/>
  <c r="AL62" i="17"/>
  <c r="AK62" i="17"/>
  <c r="AJ62" i="17"/>
  <c r="AR61" i="17"/>
  <c r="AQ61" i="17"/>
  <c r="AP61" i="17"/>
  <c r="AO61" i="17"/>
  <c r="AN61" i="17"/>
  <c r="AM61" i="17"/>
  <c r="AL61" i="17"/>
  <c r="AK61" i="17"/>
  <c r="AJ61" i="17"/>
  <c r="AR60" i="17"/>
  <c r="AQ60" i="17"/>
  <c r="AP60" i="17"/>
  <c r="AO60" i="17"/>
  <c r="AN60" i="17"/>
  <c r="AM60" i="17"/>
  <c r="AL60" i="17"/>
  <c r="AK60" i="17"/>
  <c r="AJ60" i="17"/>
  <c r="AR59" i="17"/>
  <c r="AQ59" i="17"/>
  <c r="AP59" i="17"/>
  <c r="AO59" i="17"/>
  <c r="AN59" i="17"/>
  <c r="AM59" i="17"/>
  <c r="AL59" i="17"/>
  <c r="AK59" i="17"/>
  <c r="AJ59" i="17"/>
  <c r="AR58" i="17"/>
  <c r="AQ58" i="17"/>
  <c r="AP58" i="17"/>
  <c r="AO58" i="17"/>
  <c r="AN58" i="17"/>
  <c r="AM58" i="17"/>
  <c r="AL58" i="17"/>
  <c r="AK58" i="17"/>
  <c r="AJ58" i="17"/>
  <c r="AR57" i="17"/>
  <c r="AQ57" i="17"/>
  <c r="AP57" i="17"/>
  <c r="AO57" i="17"/>
  <c r="AN57" i="17"/>
  <c r="AM57" i="17"/>
  <c r="AL57" i="17"/>
  <c r="AK57" i="17"/>
  <c r="AJ57" i="17"/>
  <c r="AR56" i="17"/>
  <c r="AQ56" i="17"/>
  <c r="AP56" i="17"/>
  <c r="AO56" i="17"/>
  <c r="AN56" i="17"/>
  <c r="AM56" i="17"/>
  <c r="AL56" i="17"/>
  <c r="AK56" i="17"/>
  <c r="AJ56" i="17"/>
  <c r="AR55" i="17"/>
  <c r="AQ55" i="17"/>
  <c r="AP55" i="17"/>
  <c r="AO55" i="17"/>
  <c r="AN55" i="17"/>
  <c r="AM55" i="17"/>
  <c r="AL55" i="17"/>
  <c r="AK55" i="17"/>
  <c r="AJ55" i="17"/>
  <c r="AR65" i="15"/>
  <c r="AQ65" i="15"/>
  <c r="AP65" i="15"/>
  <c r="AO65" i="15"/>
  <c r="AN65" i="15"/>
  <c r="AM65" i="15"/>
  <c r="AL65" i="15"/>
  <c r="AK65" i="15"/>
  <c r="AJ65" i="15"/>
  <c r="AR64" i="15"/>
  <c r="AQ64" i="15"/>
  <c r="AP64" i="15"/>
  <c r="AO64" i="15"/>
  <c r="AN64" i="15"/>
  <c r="AM64" i="15"/>
  <c r="AL64" i="15"/>
  <c r="AK64" i="15"/>
  <c r="AJ64" i="15"/>
  <c r="AR63" i="15"/>
  <c r="AQ63" i="15"/>
  <c r="AP63" i="15"/>
  <c r="AO63" i="15"/>
  <c r="AN63" i="15"/>
  <c r="AM63" i="15"/>
  <c r="AL63" i="15"/>
  <c r="AK63" i="15"/>
  <c r="AJ63" i="15"/>
  <c r="AR62" i="15"/>
  <c r="AQ62" i="15"/>
  <c r="AP62" i="15"/>
  <c r="AO62" i="15"/>
  <c r="AN62" i="15"/>
  <c r="AM62" i="15"/>
  <c r="AL62" i="15"/>
  <c r="AK62" i="15"/>
  <c r="AJ62" i="15"/>
  <c r="AR61" i="15"/>
  <c r="AQ61" i="15"/>
  <c r="AP61" i="15"/>
  <c r="AO61" i="15"/>
  <c r="AN61" i="15"/>
  <c r="AM61" i="15"/>
  <c r="AL61" i="15"/>
  <c r="AK61" i="15"/>
  <c r="AJ61" i="15"/>
  <c r="AR60" i="15"/>
  <c r="AQ60" i="15"/>
  <c r="AP60" i="15"/>
  <c r="AO60" i="15"/>
  <c r="AN60" i="15"/>
  <c r="AM60" i="15"/>
  <c r="AL60" i="15"/>
  <c r="AK60" i="15"/>
  <c r="AJ60" i="15"/>
  <c r="AR59" i="15"/>
  <c r="AQ59" i="15"/>
  <c r="AP59" i="15"/>
  <c r="AO59" i="15"/>
  <c r="AN59" i="15"/>
  <c r="AM59" i="15"/>
  <c r="AL59" i="15"/>
  <c r="AK59" i="15"/>
  <c r="AJ59" i="15"/>
  <c r="AR58" i="15"/>
  <c r="AQ58" i="15"/>
  <c r="AP58" i="15"/>
  <c r="AO58" i="15"/>
  <c r="AN58" i="15"/>
  <c r="AM58" i="15"/>
  <c r="AL58" i="15"/>
  <c r="AK58" i="15"/>
  <c r="AJ58" i="15"/>
  <c r="AR57" i="15"/>
  <c r="AQ57" i="15"/>
  <c r="AP57" i="15"/>
  <c r="AO57" i="15"/>
  <c r="AN57" i="15"/>
  <c r="AM57" i="15"/>
  <c r="AL57" i="15"/>
  <c r="AK57" i="15"/>
  <c r="AJ57" i="15"/>
  <c r="AR56" i="15"/>
  <c r="AQ56" i="15"/>
  <c r="AP56" i="15"/>
  <c r="AO56" i="15"/>
  <c r="AN56" i="15"/>
  <c r="AM56" i="15"/>
  <c r="AL56" i="15"/>
  <c r="AK56" i="15"/>
  <c r="AJ56" i="15"/>
  <c r="AR55" i="15"/>
  <c r="AQ55" i="15"/>
  <c r="AP55" i="15"/>
  <c r="AO55" i="15"/>
  <c r="AN55" i="15"/>
  <c r="AM55" i="15"/>
  <c r="AL55" i="15"/>
  <c r="AK55" i="15"/>
  <c r="AJ55" i="15"/>
  <c r="AJ7" i="13"/>
  <c r="AK7" i="13"/>
  <c r="AL7" i="13"/>
  <c r="AM7" i="13"/>
  <c r="AN7" i="13"/>
  <c r="AO7" i="13"/>
  <c r="AP7" i="13"/>
  <c r="AQ7" i="13"/>
  <c r="AR7" i="13"/>
  <c r="AJ8" i="13"/>
  <c r="AK8" i="13"/>
  <c r="AL8" i="13"/>
  <c r="AM8" i="13"/>
  <c r="AN8" i="13"/>
  <c r="AO8" i="13"/>
  <c r="AP8" i="13"/>
  <c r="AQ8" i="13"/>
  <c r="AR8" i="13"/>
  <c r="AJ9" i="13"/>
  <c r="AK9" i="13"/>
  <c r="AL9" i="13"/>
  <c r="AM9" i="13"/>
  <c r="AN9" i="13"/>
  <c r="AO9" i="13"/>
  <c r="AP9" i="13"/>
  <c r="AQ9" i="13"/>
  <c r="AR9" i="13"/>
  <c r="AJ10" i="13"/>
  <c r="AK10" i="13"/>
  <c r="AL10" i="13"/>
  <c r="AM10" i="13"/>
  <c r="AN10" i="13"/>
  <c r="AO10" i="13"/>
  <c r="AP10" i="13"/>
  <c r="AQ10" i="13"/>
  <c r="AR10" i="13"/>
  <c r="AJ11" i="13"/>
  <c r="AK11" i="13"/>
  <c r="AL11" i="13"/>
  <c r="AM11" i="13"/>
  <c r="AN11" i="13"/>
  <c r="AO11" i="13"/>
  <c r="AP11" i="13"/>
  <c r="AQ11" i="13"/>
  <c r="AR11" i="13"/>
  <c r="AJ12" i="13"/>
  <c r="AK12" i="13"/>
  <c r="AL12" i="13"/>
  <c r="AM12" i="13"/>
  <c r="AN12" i="13"/>
  <c r="AO12" i="13"/>
  <c r="AP12" i="13"/>
  <c r="AQ12" i="13"/>
  <c r="AR12" i="13"/>
  <c r="AJ13" i="13"/>
  <c r="AK13" i="13"/>
  <c r="AL13" i="13"/>
  <c r="AM13" i="13"/>
  <c r="AN13" i="13"/>
  <c r="AO13" i="13"/>
  <c r="AP13" i="13"/>
  <c r="AQ13" i="13"/>
  <c r="AR13" i="13"/>
  <c r="AJ14" i="13"/>
  <c r="AK14" i="13"/>
  <c r="AL14" i="13"/>
  <c r="AM14" i="13"/>
  <c r="AN14" i="13"/>
  <c r="AO14" i="13"/>
  <c r="AP14" i="13"/>
  <c r="AQ14" i="13"/>
  <c r="AR14" i="13"/>
  <c r="AJ15" i="13"/>
  <c r="AK15" i="13"/>
  <c r="AL15" i="13"/>
  <c r="AM15" i="13"/>
  <c r="AN15" i="13"/>
  <c r="AO15" i="13"/>
  <c r="AP15" i="13"/>
  <c r="AQ15" i="13"/>
  <c r="AR15" i="13"/>
  <c r="AJ16" i="13"/>
  <c r="AK16" i="13"/>
  <c r="AL16" i="13"/>
  <c r="AM16" i="13"/>
  <c r="AN16" i="13"/>
  <c r="AO16" i="13"/>
  <c r="AP16" i="13"/>
  <c r="AQ16" i="13"/>
  <c r="AR16" i="13"/>
  <c r="AJ17" i="13"/>
  <c r="AK17" i="13"/>
  <c r="AL17" i="13"/>
  <c r="AM17" i="13"/>
  <c r="AN17" i="13"/>
  <c r="AO17" i="13"/>
  <c r="AP17" i="13"/>
  <c r="AQ17" i="13"/>
  <c r="AR17" i="13"/>
  <c r="AJ18" i="13"/>
  <c r="AK18" i="13"/>
  <c r="AL18" i="13"/>
  <c r="AM18" i="13"/>
  <c r="AN18" i="13"/>
  <c r="AO18" i="13"/>
  <c r="AP18" i="13"/>
  <c r="AQ18" i="13"/>
  <c r="AR18" i="13"/>
  <c r="AJ19" i="13"/>
  <c r="AK19" i="13"/>
  <c r="AL19" i="13"/>
  <c r="AM19" i="13"/>
  <c r="AN19" i="13"/>
  <c r="AO19" i="13"/>
  <c r="AP19" i="13"/>
  <c r="AQ19" i="13"/>
  <c r="AR19" i="13"/>
  <c r="AJ20" i="13"/>
  <c r="AK20" i="13"/>
  <c r="AL20" i="13"/>
  <c r="AM20" i="13"/>
  <c r="AN20" i="13"/>
  <c r="AO20" i="13"/>
  <c r="AP20" i="13"/>
  <c r="AQ20" i="13"/>
  <c r="AR20" i="13"/>
  <c r="AJ21" i="13"/>
  <c r="AK21" i="13"/>
  <c r="AL21" i="13"/>
  <c r="AM21" i="13"/>
  <c r="AN21" i="13"/>
  <c r="AO21" i="13"/>
  <c r="AP21" i="13"/>
  <c r="AQ21" i="13"/>
  <c r="AR21" i="13"/>
  <c r="AJ22" i="13"/>
  <c r="AK22" i="13"/>
  <c r="AL22" i="13"/>
  <c r="AM22" i="13"/>
  <c r="AN22" i="13"/>
  <c r="AO22" i="13"/>
  <c r="AP22" i="13"/>
  <c r="AQ22" i="13"/>
  <c r="AR22" i="13"/>
  <c r="AJ23" i="13"/>
  <c r="AK23" i="13"/>
  <c r="AL23" i="13"/>
  <c r="AM23" i="13"/>
  <c r="AN23" i="13"/>
  <c r="AO23" i="13"/>
  <c r="AP23" i="13"/>
  <c r="AQ23" i="13"/>
  <c r="AR23" i="13"/>
  <c r="AJ24" i="13"/>
  <c r="AK24" i="13"/>
  <c r="AL24" i="13"/>
  <c r="AM24" i="13"/>
  <c r="AN24" i="13"/>
  <c r="AO24" i="13"/>
  <c r="AP24" i="13"/>
  <c r="AQ24" i="13"/>
  <c r="AR24" i="13"/>
  <c r="AJ25" i="13"/>
  <c r="AK25" i="13"/>
  <c r="AL25" i="13"/>
  <c r="AM25" i="13"/>
  <c r="AN25" i="13"/>
  <c r="AO25" i="13"/>
  <c r="AP25" i="13"/>
  <c r="AQ25" i="13"/>
  <c r="AR25" i="13"/>
  <c r="AJ26" i="13"/>
  <c r="AK26" i="13"/>
  <c r="AL26" i="13"/>
  <c r="AM26" i="13"/>
  <c r="AN26" i="13"/>
  <c r="AO26" i="13"/>
  <c r="AP26" i="13"/>
  <c r="AQ26" i="13"/>
  <c r="AR26" i="13"/>
  <c r="AJ27" i="13"/>
  <c r="AK27" i="13"/>
  <c r="AL27" i="13"/>
  <c r="AM27" i="13"/>
  <c r="AN27" i="13"/>
  <c r="AO27" i="13"/>
  <c r="AP27" i="13"/>
  <c r="AQ27" i="13"/>
  <c r="AR27" i="13"/>
  <c r="AJ28" i="13"/>
  <c r="AK28" i="13"/>
  <c r="AL28" i="13"/>
  <c r="AM28" i="13"/>
  <c r="AN28" i="13"/>
  <c r="AO28" i="13"/>
  <c r="AP28" i="13"/>
  <c r="AQ28" i="13"/>
  <c r="AR28" i="13"/>
  <c r="AJ29" i="13"/>
  <c r="AK29" i="13"/>
  <c r="AL29" i="13"/>
  <c r="AM29" i="13"/>
  <c r="AN29" i="13"/>
  <c r="AO29" i="13"/>
  <c r="AP29" i="13"/>
  <c r="AQ29" i="13"/>
  <c r="AR29" i="13"/>
  <c r="AJ30" i="13"/>
  <c r="AK30" i="13"/>
  <c r="AL30" i="13"/>
  <c r="AM30" i="13"/>
  <c r="AN30" i="13"/>
  <c r="AO30" i="13"/>
  <c r="AP30" i="13"/>
  <c r="AQ30" i="13"/>
  <c r="AR30" i="13"/>
  <c r="AJ31" i="13"/>
  <c r="AK31" i="13"/>
  <c r="AL31" i="13"/>
  <c r="AM31" i="13"/>
  <c r="AN31" i="13"/>
  <c r="AO31" i="13"/>
  <c r="AP31" i="13"/>
  <c r="AQ31" i="13"/>
  <c r="AR31" i="13"/>
  <c r="AJ32" i="13"/>
  <c r="AK32" i="13"/>
  <c r="AL32" i="13"/>
  <c r="AM32" i="13"/>
  <c r="AN32" i="13"/>
  <c r="AO32" i="13"/>
  <c r="AP32" i="13"/>
  <c r="AQ32" i="13"/>
  <c r="AR32" i="13"/>
  <c r="AJ33" i="13"/>
  <c r="AK33" i="13"/>
  <c r="AL33" i="13"/>
  <c r="AM33" i="13"/>
  <c r="AN33" i="13"/>
  <c r="AO33" i="13"/>
  <c r="AP33" i="13"/>
  <c r="AQ33" i="13"/>
  <c r="AR33" i="13"/>
  <c r="AJ34" i="13"/>
  <c r="AK34" i="13"/>
  <c r="AL34" i="13"/>
  <c r="AM34" i="13"/>
  <c r="AN34" i="13"/>
  <c r="AO34" i="13"/>
  <c r="AP34" i="13"/>
  <c r="AQ34" i="13"/>
  <c r="AR34" i="13"/>
  <c r="AJ35" i="13"/>
  <c r="AK35" i="13"/>
  <c r="AL35" i="13"/>
  <c r="AM35" i="13"/>
  <c r="AN35" i="13"/>
  <c r="AO35" i="13"/>
  <c r="AP35" i="13"/>
  <c r="AQ35" i="13"/>
  <c r="AR35" i="13"/>
  <c r="AJ36" i="13"/>
  <c r="AK36" i="13"/>
  <c r="AL36" i="13"/>
  <c r="AM36" i="13"/>
  <c r="AN36" i="13"/>
  <c r="AO36" i="13"/>
  <c r="AP36" i="13"/>
  <c r="AQ36" i="13"/>
  <c r="AR36" i="13"/>
  <c r="AJ37" i="13"/>
  <c r="AK37" i="13"/>
  <c r="AL37" i="13"/>
  <c r="AM37" i="13"/>
  <c r="AN37" i="13"/>
  <c r="AO37" i="13"/>
  <c r="AP37" i="13"/>
  <c r="AQ37" i="13"/>
  <c r="AR37" i="13"/>
  <c r="AJ38" i="13"/>
  <c r="AK38" i="13"/>
  <c r="AL38" i="13"/>
  <c r="AM38" i="13"/>
  <c r="AN38" i="13"/>
  <c r="AO38" i="13"/>
  <c r="AP38" i="13"/>
  <c r="AQ38" i="13"/>
  <c r="AR38" i="13"/>
  <c r="AJ39" i="13"/>
  <c r="AK39" i="13"/>
  <c r="AL39" i="13"/>
  <c r="AM39" i="13"/>
  <c r="AN39" i="13"/>
  <c r="AO39" i="13"/>
  <c r="AP39" i="13"/>
  <c r="AQ39" i="13"/>
  <c r="AR39" i="13"/>
  <c r="AJ40" i="13"/>
  <c r="AK40" i="13"/>
  <c r="AL40" i="13"/>
  <c r="AM40" i="13"/>
  <c r="AN40" i="13"/>
  <c r="AO40" i="13"/>
  <c r="AP40" i="13"/>
  <c r="AQ40" i="13"/>
  <c r="AR40" i="13"/>
  <c r="AJ41" i="13"/>
  <c r="AK41" i="13"/>
  <c r="AL41" i="13"/>
  <c r="AM41" i="13"/>
  <c r="AN41" i="13"/>
  <c r="AO41" i="13"/>
  <c r="AP41" i="13"/>
  <c r="AQ41" i="13"/>
  <c r="AR41" i="13"/>
  <c r="AJ42" i="13"/>
  <c r="AK42" i="13"/>
  <c r="AL42" i="13"/>
  <c r="AM42" i="13"/>
  <c r="AN42" i="13"/>
  <c r="AO42" i="13"/>
  <c r="AP42" i="13"/>
  <c r="AQ42" i="13"/>
  <c r="AR42" i="13"/>
  <c r="AJ43" i="13"/>
  <c r="AK43" i="13"/>
  <c r="AL43" i="13"/>
  <c r="AM43" i="13"/>
  <c r="AN43" i="13"/>
  <c r="AO43" i="13"/>
  <c r="AP43" i="13"/>
  <c r="AQ43" i="13"/>
  <c r="AR43" i="13"/>
  <c r="AJ44" i="13"/>
  <c r="AK44" i="13"/>
  <c r="AL44" i="13"/>
  <c r="AM44" i="13"/>
  <c r="AN44" i="13"/>
  <c r="AO44" i="13"/>
  <c r="AP44" i="13"/>
  <c r="AQ44" i="13"/>
  <c r="AR44" i="13"/>
  <c r="AJ45" i="13"/>
  <c r="AK45" i="13"/>
  <c r="AL45" i="13"/>
  <c r="AM45" i="13"/>
  <c r="AN45" i="13"/>
  <c r="AO45" i="13"/>
  <c r="AP45" i="13"/>
  <c r="AQ45" i="13"/>
  <c r="AR45" i="13"/>
  <c r="AJ46" i="13"/>
  <c r="AK46" i="13"/>
  <c r="AL46" i="13"/>
  <c r="AM46" i="13"/>
  <c r="AN46" i="13"/>
  <c r="AO46" i="13"/>
  <c r="AP46" i="13"/>
  <c r="AQ46" i="13"/>
  <c r="AR46" i="13"/>
  <c r="AJ47" i="13"/>
  <c r="AK47" i="13"/>
  <c r="AL47" i="13"/>
  <c r="AM47" i="13"/>
  <c r="AN47" i="13"/>
  <c r="AO47" i="13"/>
  <c r="AP47" i="13"/>
  <c r="AQ47" i="13"/>
  <c r="AR47" i="13"/>
  <c r="AJ48" i="13"/>
  <c r="AK48" i="13"/>
  <c r="AL48" i="13"/>
  <c r="AM48" i="13"/>
  <c r="AN48" i="13"/>
  <c r="AO48" i="13"/>
  <c r="AP48" i="13"/>
  <c r="AQ48" i="13"/>
  <c r="AR48" i="13"/>
  <c r="AJ49" i="13"/>
  <c r="AK49" i="13"/>
  <c r="AL49" i="13"/>
  <c r="AM49" i="13"/>
  <c r="AN49" i="13"/>
  <c r="AO49" i="13"/>
  <c r="AP49" i="13"/>
  <c r="AQ49" i="13"/>
  <c r="AR49" i="13"/>
  <c r="AJ50" i="13"/>
  <c r="AK50" i="13"/>
  <c r="AL50" i="13"/>
  <c r="AM50" i="13"/>
  <c r="AN50" i="13"/>
  <c r="AO50" i="13"/>
  <c r="AP50" i="13"/>
  <c r="AQ50" i="13"/>
  <c r="AR50" i="13"/>
  <c r="AJ51" i="13"/>
  <c r="AK51" i="13"/>
  <c r="AL51" i="13"/>
  <c r="AM51" i="13"/>
  <c r="AN51" i="13"/>
  <c r="AO51" i="13"/>
  <c r="AP51" i="13"/>
  <c r="AQ51" i="13"/>
  <c r="AR51" i="13"/>
  <c r="AJ52" i="13"/>
  <c r="AK52" i="13"/>
  <c r="AL52" i="13"/>
  <c r="AM52" i="13"/>
  <c r="AN52" i="13"/>
  <c r="AO52" i="13"/>
  <c r="AP52" i="13"/>
  <c r="AQ52" i="13"/>
  <c r="AR52" i="13"/>
  <c r="AJ53" i="13"/>
  <c r="AK53" i="13"/>
  <c r="AL53" i="13"/>
  <c r="AM53" i="13"/>
  <c r="AN53" i="13"/>
  <c r="AO53" i="13"/>
  <c r="AP53" i="13"/>
  <c r="AQ53" i="13"/>
  <c r="AR53" i="13"/>
  <c r="AJ54" i="13"/>
  <c r="AK54" i="13"/>
  <c r="AL54" i="13"/>
  <c r="AM54" i="13"/>
  <c r="AN54" i="13"/>
  <c r="AO54" i="13"/>
  <c r="AP54" i="13"/>
  <c r="AQ54" i="13"/>
  <c r="AR54" i="13"/>
  <c r="AJ55" i="13"/>
  <c r="AK55" i="13"/>
  <c r="AL55" i="13"/>
  <c r="AM55" i="13"/>
  <c r="AN55" i="13"/>
  <c r="AO55" i="13"/>
  <c r="AP55" i="13"/>
  <c r="AQ55" i="13"/>
  <c r="AR55" i="13"/>
  <c r="AJ56" i="13"/>
  <c r="AK56" i="13"/>
  <c r="AL56" i="13"/>
  <c r="AM56" i="13"/>
  <c r="AN56" i="13"/>
  <c r="AO56" i="13"/>
  <c r="AP56" i="13"/>
  <c r="AQ56" i="13"/>
  <c r="AR56" i="13"/>
  <c r="AJ57" i="13"/>
  <c r="AK57" i="13"/>
  <c r="AL57" i="13"/>
  <c r="AM57" i="13"/>
  <c r="AN57" i="13"/>
  <c r="AO57" i="13"/>
  <c r="AP57" i="13"/>
  <c r="AQ57" i="13"/>
  <c r="AR57" i="13"/>
  <c r="AJ58" i="13"/>
  <c r="AK58" i="13"/>
  <c r="AL58" i="13"/>
  <c r="AM58" i="13"/>
  <c r="AN58" i="13"/>
  <c r="AO58" i="13"/>
  <c r="AP58" i="13"/>
  <c r="AQ58" i="13"/>
  <c r="AR58" i="13"/>
  <c r="AJ59" i="13"/>
  <c r="AK59" i="13"/>
  <c r="AL59" i="13"/>
  <c r="AM59" i="13"/>
  <c r="AN59" i="13"/>
  <c r="AO59" i="13"/>
  <c r="AP59" i="13"/>
  <c r="AQ59" i="13"/>
  <c r="AR59" i="13"/>
  <c r="AJ60" i="13"/>
  <c r="AK60" i="13"/>
  <c r="AL60" i="13"/>
  <c r="AM60" i="13"/>
  <c r="AN60" i="13"/>
  <c r="AO60" i="13"/>
  <c r="AP60" i="13"/>
  <c r="AQ60" i="13"/>
  <c r="AR60" i="13"/>
  <c r="AJ61" i="13"/>
  <c r="AK61" i="13"/>
  <c r="AL61" i="13"/>
  <c r="AM61" i="13"/>
  <c r="AN61" i="13"/>
  <c r="AO61" i="13"/>
  <c r="AP61" i="13"/>
  <c r="AQ61" i="13"/>
  <c r="AR61" i="13"/>
  <c r="AJ62" i="13"/>
  <c r="AK62" i="13"/>
  <c r="AL62" i="13"/>
  <c r="AM62" i="13"/>
  <c r="AN62" i="13"/>
  <c r="AO62" i="13"/>
  <c r="AP62" i="13"/>
  <c r="AQ62" i="13"/>
  <c r="AR62" i="13"/>
  <c r="AJ63" i="13"/>
  <c r="AK63" i="13"/>
  <c r="AL63" i="13"/>
  <c r="AM63" i="13"/>
  <c r="AN63" i="13"/>
  <c r="AO63" i="13"/>
  <c r="AP63" i="13"/>
  <c r="AQ63" i="13"/>
  <c r="AR63" i="13"/>
  <c r="AJ64" i="13"/>
  <c r="AK64" i="13"/>
  <c r="AL64" i="13"/>
  <c r="AM64" i="13"/>
  <c r="AN64" i="13"/>
  <c r="AO64" i="13"/>
  <c r="AP64" i="13"/>
  <c r="AQ64" i="13"/>
  <c r="AR64" i="13"/>
  <c r="AJ65" i="13"/>
  <c r="AK65" i="13"/>
  <c r="AL65" i="13"/>
  <c r="AM65" i="13"/>
  <c r="AN65" i="13"/>
  <c r="AO65" i="13"/>
  <c r="AP65" i="13"/>
  <c r="AQ65" i="13"/>
  <c r="AR65" i="13"/>
  <c r="AN6" i="13"/>
  <c r="AO6" i="13"/>
  <c r="AP6" i="13"/>
  <c r="AQ6" i="13"/>
  <c r="AR6" i="13"/>
  <c r="AM6" i="13"/>
  <c r="AJ6" i="13"/>
  <c r="AK6" i="13"/>
  <c r="AL6" i="13"/>
  <c r="BM55" i="5"/>
  <c r="BN55" i="5"/>
  <c r="BO55" i="5"/>
  <c r="BP55" i="5"/>
  <c r="BQ55" i="5"/>
  <c r="BR55" i="5"/>
  <c r="BS55" i="5"/>
  <c r="BT55" i="5"/>
  <c r="BU55" i="5"/>
  <c r="BM56" i="5"/>
  <c r="BN56" i="5"/>
  <c r="BO56" i="5"/>
  <c r="BP56" i="5"/>
  <c r="BQ56" i="5"/>
  <c r="BR56" i="5"/>
  <c r="BS56" i="5"/>
  <c r="BT56" i="5"/>
  <c r="BU56" i="5"/>
  <c r="BM57" i="5"/>
  <c r="BN57" i="5"/>
  <c r="BO57" i="5"/>
  <c r="BP57" i="5"/>
  <c r="BQ57" i="5"/>
  <c r="BR57" i="5"/>
  <c r="BS57" i="5"/>
  <c r="BT57" i="5"/>
  <c r="BU57" i="5"/>
  <c r="BM58" i="5"/>
  <c r="BN58" i="5"/>
  <c r="BO58" i="5"/>
  <c r="BP58" i="5"/>
  <c r="BQ58" i="5"/>
  <c r="BR58" i="5"/>
  <c r="BS58" i="5"/>
  <c r="BT58" i="5"/>
  <c r="BU58" i="5"/>
  <c r="BM59" i="5"/>
  <c r="BN59" i="5"/>
  <c r="BO59" i="5"/>
  <c r="BP59" i="5"/>
  <c r="BQ59" i="5"/>
  <c r="BR59" i="5"/>
  <c r="BS59" i="5"/>
  <c r="BT59" i="5"/>
  <c r="BU59" i="5"/>
  <c r="BM60" i="5"/>
  <c r="BN60" i="5"/>
  <c r="BO60" i="5"/>
  <c r="BP60" i="5"/>
  <c r="BQ60" i="5"/>
  <c r="BR60" i="5"/>
  <c r="BS60" i="5"/>
  <c r="BT60" i="5"/>
  <c r="BU60" i="5"/>
  <c r="BM61" i="5"/>
  <c r="BN61" i="5"/>
  <c r="BO61" i="5"/>
  <c r="BP61" i="5"/>
  <c r="BQ61" i="5"/>
  <c r="BR61" i="5"/>
  <c r="BS61" i="5"/>
  <c r="BT61" i="5"/>
  <c r="BU61" i="5"/>
  <c r="BM62" i="5"/>
  <c r="BN62" i="5"/>
  <c r="BO62" i="5"/>
  <c r="BP62" i="5"/>
  <c r="BQ62" i="5"/>
  <c r="BR62" i="5"/>
  <c r="BS62" i="5"/>
  <c r="BT62" i="5"/>
  <c r="BU62" i="5"/>
  <c r="BM63" i="5"/>
  <c r="BN63" i="5"/>
  <c r="BO63" i="5"/>
  <c r="BP63" i="5"/>
  <c r="BQ63" i="5"/>
  <c r="BR63" i="5"/>
  <c r="BS63" i="5"/>
  <c r="BT63" i="5"/>
  <c r="BU63" i="5"/>
  <c r="BM64" i="5"/>
  <c r="BN64" i="5"/>
  <c r="BO64" i="5"/>
  <c r="BP64" i="5"/>
  <c r="BQ64" i="5"/>
  <c r="BR64" i="5"/>
  <c r="BS64" i="5"/>
  <c r="BT64" i="5"/>
  <c r="BU64" i="5"/>
  <c r="BM65" i="5"/>
  <c r="BN65" i="5"/>
  <c r="BO65" i="5"/>
  <c r="BP65" i="5"/>
  <c r="BQ65" i="5"/>
  <c r="BR65" i="5"/>
  <c r="BS65" i="5"/>
  <c r="BT65" i="5"/>
  <c r="BU65" i="5"/>
  <c r="AX7" i="5"/>
  <c r="AY7" i="5"/>
  <c r="AZ7" i="5"/>
  <c r="BA7" i="5"/>
  <c r="BB7" i="5"/>
  <c r="BC7" i="5"/>
  <c r="BD7" i="5"/>
  <c r="BE7" i="5"/>
  <c r="BF7" i="5"/>
  <c r="AX8" i="5"/>
  <c r="AY8" i="5"/>
  <c r="AZ8" i="5"/>
  <c r="BA8" i="5"/>
  <c r="BB8" i="5"/>
  <c r="BC8" i="5"/>
  <c r="BD8" i="5"/>
  <c r="BE8" i="5"/>
  <c r="BF8" i="5"/>
  <c r="AX9" i="5"/>
  <c r="AY9" i="5"/>
  <c r="AZ9" i="5"/>
  <c r="BA9" i="5"/>
  <c r="BB9" i="5"/>
  <c r="BC9" i="5"/>
  <c r="BD9" i="5"/>
  <c r="BE9" i="5"/>
  <c r="BF9" i="5"/>
  <c r="AX10" i="5"/>
  <c r="AY10" i="5"/>
  <c r="AZ10" i="5"/>
  <c r="BA10" i="5"/>
  <c r="BB10" i="5"/>
  <c r="BC10" i="5"/>
  <c r="BD10" i="5"/>
  <c r="BE10" i="5"/>
  <c r="BF10" i="5"/>
  <c r="AX11" i="5"/>
  <c r="AY11" i="5"/>
  <c r="AZ11" i="5"/>
  <c r="BA11" i="5"/>
  <c r="BB11" i="5"/>
  <c r="BC11" i="5"/>
  <c r="BD11" i="5"/>
  <c r="BE11" i="5"/>
  <c r="BF11" i="5"/>
  <c r="AX12" i="5"/>
  <c r="AY12" i="5"/>
  <c r="AZ12" i="5"/>
  <c r="BA12" i="5"/>
  <c r="BB12" i="5"/>
  <c r="BC12" i="5"/>
  <c r="BD12" i="5"/>
  <c r="BE12" i="5"/>
  <c r="BF12" i="5"/>
  <c r="AX13" i="5"/>
  <c r="AY13" i="5"/>
  <c r="AZ13" i="5"/>
  <c r="BA13" i="5"/>
  <c r="BB13" i="5"/>
  <c r="BC13" i="5"/>
  <c r="BD13" i="5"/>
  <c r="BE13" i="5"/>
  <c r="BF13" i="5"/>
  <c r="AX14" i="5"/>
  <c r="AY14" i="5"/>
  <c r="AZ14" i="5"/>
  <c r="BA14" i="5"/>
  <c r="BB14" i="5"/>
  <c r="BC14" i="5"/>
  <c r="BD14" i="5"/>
  <c r="BE14" i="5"/>
  <c r="BF14" i="5"/>
  <c r="AX15" i="5"/>
  <c r="AY15" i="5"/>
  <c r="AZ15" i="5"/>
  <c r="BA15" i="5"/>
  <c r="BB15" i="5"/>
  <c r="BC15" i="5"/>
  <c r="BD15" i="5"/>
  <c r="BE15" i="5"/>
  <c r="BF15" i="5"/>
  <c r="AX16" i="5"/>
  <c r="AY16" i="5"/>
  <c r="AZ16" i="5"/>
  <c r="BA16" i="5"/>
  <c r="BB16" i="5"/>
  <c r="BC16" i="5"/>
  <c r="BD16" i="5"/>
  <c r="BE16" i="5"/>
  <c r="BF16" i="5"/>
  <c r="AX17" i="5"/>
  <c r="AY17" i="5"/>
  <c r="AZ17" i="5"/>
  <c r="BA17" i="5"/>
  <c r="BB17" i="5"/>
  <c r="BC17" i="5"/>
  <c r="BD17" i="5"/>
  <c r="BE17" i="5"/>
  <c r="BF17" i="5"/>
  <c r="AX18" i="5"/>
  <c r="AY18" i="5"/>
  <c r="AZ18" i="5"/>
  <c r="BA18" i="5"/>
  <c r="BB18" i="5"/>
  <c r="BC18" i="5"/>
  <c r="BD18" i="5"/>
  <c r="BE18" i="5"/>
  <c r="BF18" i="5"/>
  <c r="AX19" i="5"/>
  <c r="AY19" i="5"/>
  <c r="AZ19" i="5"/>
  <c r="BA19" i="5"/>
  <c r="BB19" i="5"/>
  <c r="BC19" i="5"/>
  <c r="BD19" i="5"/>
  <c r="BE19" i="5"/>
  <c r="BF19" i="5"/>
  <c r="AX20" i="5"/>
  <c r="AY20" i="5"/>
  <c r="AZ20" i="5"/>
  <c r="BA20" i="5"/>
  <c r="BB20" i="5"/>
  <c r="BC20" i="5"/>
  <c r="BD20" i="5"/>
  <c r="BE20" i="5"/>
  <c r="BF20" i="5"/>
  <c r="AX21" i="5"/>
  <c r="AY21" i="5"/>
  <c r="AZ21" i="5"/>
  <c r="BA21" i="5"/>
  <c r="BB21" i="5"/>
  <c r="BC21" i="5"/>
  <c r="BD21" i="5"/>
  <c r="BE21" i="5"/>
  <c r="BF21" i="5"/>
  <c r="AX22" i="5"/>
  <c r="AY22" i="5"/>
  <c r="AZ22" i="5"/>
  <c r="BA22" i="5"/>
  <c r="BB22" i="5"/>
  <c r="BC22" i="5"/>
  <c r="BD22" i="5"/>
  <c r="BE22" i="5"/>
  <c r="BF22" i="5"/>
  <c r="AX23" i="5"/>
  <c r="AY23" i="5"/>
  <c r="AZ23" i="5"/>
  <c r="BA23" i="5"/>
  <c r="BB23" i="5"/>
  <c r="BC23" i="5"/>
  <c r="BD23" i="5"/>
  <c r="BE23" i="5"/>
  <c r="BF23" i="5"/>
  <c r="AX24" i="5"/>
  <c r="AY24" i="5"/>
  <c r="AZ24" i="5"/>
  <c r="BA24" i="5"/>
  <c r="BB24" i="5"/>
  <c r="BC24" i="5"/>
  <c r="BD24" i="5"/>
  <c r="BE24" i="5"/>
  <c r="BF24" i="5"/>
  <c r="AX25" i="5"/>
  <c r="AY25" i="5"/>
  <c r="AZ25" i="5"/>
  <c r="BA25" i="5"/>
  <c r="BB25" i="5"/>
  <c r="BC25" i="5"/>
  <c r="BD25" i="5"/>
  <c r="BE25" i="5"/>
  <c r="BF25" i="5"/>
  <c r="AX26" i="5"/>
  <c r="AY26" i="5"/>
  <c r="AZ26" i="5"/>
  <c r="BA26" i="5"/>
  <c r="BB26" i="5"/>
  <c r="BC26" i="5"/>
  <c r="BD26" i="5"/>
  <c r="BE26" i="5"/>
  <c r="BF26" i="5"/>
  <c r="AX27" i="5"/>
  <c r="AY27" i="5"/>
  <c r="AZ27" i="5"/>
  <c r="BA27" i="5"/>
  <c r="BB27" i="5"/>
  <c r="BC27" i="5"/>
  <c r="BD27" i="5"/>
  <c r="BE27" i="5"/>
  <c r="BF27" i="5"/>
  <c r="AX28" i="5"/>
  <c r="AY28" i="5"/>
  <c r="AZ28" i="5"/>
  <c r="AX29" i="5"/>
  <c r="AY29" i="5"/>
  <c r="AZ29" i="5"/>
  <c r="AX30" i="5"/>
  <c r="AY30" i="5"/>
  <c r="AZ30" i="5"/>
  <c r="AX31" i="5"/>
  <c r="AY31" i="5"/>
  <c r="AZ31" i="5"/>
  <c r="AX32" i="5"/>
  <c r="AY32" i="5"/>
  <c r="AZ32" i="5"/>
  <c r="AX33" i="5"/>
  <c r="AY33" i="5"/>
  <c r="AZ33" i="5"/>
  <c r="AX34" i="5"/>
  <c r="AY34" i="5"/>
  <c r="AZ34" i="5"/>
  <c r="AX35" i="5"/>
  <c r="AY35" i="5"/>
  <c r="AZ35" i="5"/>
  <c r="AX36" i="5"/>
  <c r="AY36" i="5"/>
  <c r="AZ36" i="5"/>
  <c r="AX37" i="5"/>
  <c r="AY37" i="5"/>
  <c r="AZ37" i="5"/>
  <c r="AX38" i="5"/>
  <c r="AY38" i="5"/>
  <c r="AZ38" i="5"/>
  <c r="AX39" i="5"/>
  <c r="AY39" i="5"/>
  <c r="AZ39" i="5"/>
  <c r="AX40" i="5"/>
  <c r="AY40" i="5"/>
  <c r="AZ40" i="5"/>
  <c r="AX41" i="5"/>
  <c r="AY41" i="5"/>
  <c r="AZ41" i="5"/>
  <c r="AX55" i="5"/>
  <c r="AY55" i="5"/>
  <c r="AZ55" i="5"/>
  <c r="BA55" i="5"/>
  <c r="BB55" i="5"/>
  <c r="BC55" i="5"/>
  <c r="BD55" i="5"/>
  <c r="BE55" i="5"/>
  <c r="BF55" i="5"/>
  <c r="AX56" i="5"/>
  <c r="AY56" i="5"/>
  <c r="AZ56" i="5"/>
  <c r="BA56" i="5"/>
  <c r="BB56" i="5"/>
  <c r="BC56" i="5"/>
  <c r="BD56" i="5"/>
  <c r="BE56" i="5"/>
  <c r="BF56" i="5"/>
  <c r="AX57" i="5"/>
  <c r="AY57" i="5"/>
  <c r="AZ57" i="5"/>
  <c r="BA57" i="5"/>
  <c r="BB57" i="5"/>
  <c r="BC57" i="5"/>
  <c r="BD57" i="5"/>
  <c r="BE57" i="5"/>
  <c r="BF57" i="5"/>
  <c r="AX58" i="5"/>
  <c r="AY58" i="5"/>
  <c r="AZ58" i="5"/>
  <c r="BA58" i="5"/>
  <c r="BB58" i="5"/>
  <c r="BC58" i="5"/>
  <c r="BD58" i="5"/>
  <c r="BE58" i="5"/>
  <c r="BF58" i="5"/>
  <c r="AX59" i="5"/>
  <c r="AY59" i="5"/>
  <c r="AZ59" i="5"/>
  <c r="BA59" i="5"/>
  <c r="BB59" i="5"/>
  <c r="BC59" i="5"/>
  <c r="BD59" i="5"/>
  <c r="BE59" i="5"/>
  <c r="BF59" i="5"/>
  <c r="AX60" i="5"/>
  <c r="AY60" i="5"/>
  <c r="AZ60" i="5"/>
  <c r="BA60" i="5"/>
  <c r="BB60" i="5"/>
  <c r="BC60" i="5"/>
  <c r="BD60" i="5"/>
  <c r="BE60" i="5"/>
  <c r="BF60" i="5"/>
  <c r="AX61" i="5"/>
  <c r="AY61" i="5"/>
  <c r="AZ61" i="5"/>
  <c r="BA61" i="5"/>
  <c r="BB61" i="5"/>
  <c r="BC61" i="5"/>
  <c r="BD61" i="5"/>
  <c r="BE61" i="5"/>
  <c r="BF61" i="5"/>
  <c r="AX62" i="5"/>
  <c r="AY62" i="5"/>
  <c r="AZ62" i="5"/>
  <c r="BA62" i="5"/>
  <c r="BB62" i="5"/>
  <c r="BC62" i="5"/>
  <c r="BD62" i="5"/>
  <c r="BE62" i="5"/>
  <c r="BF62" i="5"/>
  <c r="AX63" i="5"/>
  <c r="AY63" i="5"/>
  <c r="AZ63" i="5"/>
  <c r="BA63" i="5"/>
  <c r="BB63" i="5"/>
  <c r="BC63" i="5"/>
  <c r="BD63" i="5"/>
  <c r="BE63" i="5"/>
  <c r="BF63" i="5"/>
  <c r="AX64" i="5"/>
  <c r="AY64" i="5"/>
  <c r="AZ64" i="5"/>
  <c r="BA64" i="5"/>
  <c r="BB64" i="5"/>
  <c r="BC64" i="5"/>
  <c r="BD64" i="5"/>
  <c r="BE64" i="5"/>
  <c r="BF64" i="5"/>
  <c r="AX65" i="5"/>
  <c r="AY65" i="5"/>
  <c r="AZ65" i="5"/>
  <c r="BA65" i="5"/>
  <c r="BB65" i="5"/>
  <c r="BC65" i="5"/>
  <c r="BD65" i="5"/>
  <c r="BE65" i="5"/>
  <c r="BF65" i="5"/>
  <c r="BB6" i="5"/>
  <c r="BC6" i="5"/>
  <c r="BD6" i="5"/>
  <c r="BE6" i="5"/>
  <c r="BF6" i="5"/>
  <c r="BA6" i="5"/>
  <c r="AX6" i="5"/>
  <c r="AY6" i="5"/>
  <c r="AZ6" i="5"/>
  <c r="E53" i="37" l="1"/>
  <c r="E54" i="37"/>
  <c r="E55" i="37"/>
  <c r="E56" i="37"/>
  <c r="E57" i="37"/>
  <c r="E58" i="37"/>
  <c r="E59" i="37"/>
  <c r="E60" i="37"/>
  <c r="E61" i="37"/>
  <c r="E62" i="37"/>
  <c r="E63" i="37"/>
  <c r="E64" i="37"/>
  <c r="E65" i="37"/>
  <c r="E66" i="37"/>
  <c r="E67" i="37"/>
  <c r="E31" i="37"/>
  <c r="E32" i="37"/>
  <c r="E39" i="37"/>
  <c r="E40" i="37"/>
  <c r="E47" i="37"/>
  <c r="E48" i="37"/>
  <c r="E49" i="37"/>
  <c r="AR5" i="15" l="1"/>
  <c r="AQ5" i="15"/>
  <c r="AP5" i="15"/>
  <c r="AO5" i="15"/>
  <c r="AN5" i="15"/>
  <c r="AM5" i="15"/>
  <c r="AL5" i="15"/>
  <c r="AK5" i="15"/>
  <c r="AJ5" i="15"/>
  <c r="AI5" i="15"/>
  <c r="AH5" i="15"/>
  <c r="AG5" i="15"/>
  <c r="AF5" i="15"/>
  <c r="AD5" i="15"/>
  <c r="AC5" i="15"/>
  <c r="AB5" i="15"/>
  <c r="AA5" i="15"/>
  <c r="Z5" i="15"/>
  <c r="Y5" i="15"/>
  <c r="X5" i="15"/>
  <c r="W5" i="15"/>
  <c r="V5" i="15"/>
  <c r="U5" i="15"/>
  <c r="T5" i="15"/>
  <c r="S5" i="15"/>
  <c r="R5" i="15"/>
  <c r="P5" i="15"/>
  <c r="O5" i="15"/>
  <c r="N5" i="15"/>
  <c r="M5" i="15"/>
  <c r="L5" i="15"/>
  <c r="K5" i="15"/>
  <c r="J5" i="15"/>
  <c r="I5" i="15"/>
  <c r="H5" i="15"/>
  <c r="G5" i="15"/>
  <c r="F5" i="15"/>
  <c r="E5" i="15"/>
  <c r="D5" i="15"/>
  <c r="AR5" i="17"/>
  <c r="AQ5" i="17"/>
  <c r="AP5" i="17"/>
  <c r="AO5" i="17"/>
  <c r="AN5" i="17"/>
  <c r="AM5" i="17"/>
  <c r="AL5" i="17"/>
  <c r="AK5" i="17"/>
  <c r="AJ5" i="17"/>
  <c r="AI5" i="17"/>
  <c r="AH5" i="17"/>
  <c r="AG5" i="17"/>
  <c r="AF5" i="17"/>
  <c r="AD5" i="17"/>
  <c r="AC5" i="17"/>
  <c r="AB5" i="17"/>
  <c r="AA5" i="17"/>
  <c r="Z5" i="17"/>
  <c r="Y5" i="17"/>
  <c r="X5" i="17"/>
  <c r="W5" i="17"/>
  <c r="V5" i="17"/>
  <c r="U5" i="17"/>
  <c r="T5" i="17"/>
  <c r="S5" i="17"/>
  <c r="R5" i="17"/>
  <c r="P5" i="17"/>
  <c r="O5" i="17"/>
  <c r="N5" i="17"/>
  <c r="M5" i="17"/>
  <c r="L5" i="17"/>
  <c r="K5" i="17"/>
  <c r="J5" i="17"/>
  <c r="I5" i="17"/>
  <c r="H5" i="17"/>
  <c r="G5" i="17"/>
  <c r="F5" i="17"/>
  <c r="E5" i="17"/>
  <c r="D5" i="17"/>
  <c r="B5" i="13"/>
  <c r="D7" i="36"/>
  <c r="E7" i="36" s="1"/>
  <c r="F7" i="36" s="1"/>
  <c r="AA11" i="17" l="1"/>
  <c r="AO11" i="17" s="1"/>
  <c r="AB11" i="17"/>
  <c r="AP11" i="17" s="1"/>
  <c r="W15" i="17"/>
  <c r="AK15" i="17" s="1"/>
  <c r="Z16" i="17"/>
  <c r="AN16" i="17" s="1"/>
  <c r="AC19" i="17"/>
  <c r="AQ19" i="17" s="1"/>
  <c r="V20" i="17"/>
  <c r="AJ20" i="17" s="1"/>
  <c r="AA24" i="17"/>
  <c r="AO24" i="17" s="1"/>
  <c r="AB24" i="17"/>
  <c r="AP24" i="17" s="1"/>
  <c r="W28" i="17"/>
  <c r="AK28" i="17" s="1"/>
  <c r="U33" i="17"/>
  <c r="V33" i="17"/>
  <c r="AJ33" i="17" s="1"/>
  <c r="T38" i="17"/>
  <c r="W41" i="17"/>
  <c r="AK41" i="17" s="1"/>
  <c r="T42" i="17"/>
  <c r="U42" i="17"/>
  <c r="X42" i="17"/>
  <c r="AL42" i="17" s="1"/>
  <c r="Y42" i="17"/>
  <c r="AM42" i="17" s="1"/>
  <c r="AB42" i="17"/>
  <c r="AP42" i="17" s="1"/>
  <c r="AC42" i="17"/>
  <c r="AQ42" i="17" s="1"/>
  <c r="S43" i="17"/>
  <c r="T43" i="17"/>
  <c r="W43" i="17"/>
  <c r="AK43" i="17" s="1"/>
  <c r="X43" i="17"/>
  <c r="AL43" i="17" s="1"/>
  <c r="AA43" i="17"/>
  <c r="AO43" i="17" s="1"/>
  <c r="AB43" i="17"/>
  <c r="AP43" i="17" s="1"/>
  <c r="R44" i="17"/>
  <c r="S44" i="17"/>
  <c r="V44" i="17"/>
  <c r="AJ44" i="17" s="1"/>
  <c r="W44" i="17"/>
  <c r="AK44" i="17" s="1"/>
  <c r="Z44" i="17"/>
  <c r="AN44" i="17" s="1"/>
  <c r="AA44" i="17"/>
  <c r="AO44" i="17" s="1"/>
  <c r="AD44" i="17"/>
  <c r="AR44" i="17" s="1"/>
  <c r="R45" i="17"/>
  <c r="U45" i="17"/>
  <c r="V45" i="17"/>
  <c r="AJ45" i="17" s="1"/>
  <c r="Y45" i="17"/>
  <c r="AM45" i="17" s="1"/>
  <c r="Z45" i="17"/>
  <c r="AN45" i="17" s="1"/>
  <c r="AC45" i="17"/>
  <c r="AQ45" i="17" s="1"/>
  <c r="AD45" i="17"/>
  <c r="AR45" i="17" s="1"/>
  <c r="T46" i="17"/>
  <c r="U46" i="17"/>
  <c r="X46" i="17"/>
  <c r="AL46" i="17" s="1"/>
  <c r="Y46" i="17"/>
  <c r="AM46" i="17" s="1"/>
  <c r="AB46" i="17"/>
  <c r="AP46" i="17" s="1"/>
  <c r="AC46" i="17"/>
  <c r="AQ46" i="17" s="1"/>
  <c r="S47" i="17"/>
  <c r="T47" i="17"/>
  <c r="W47" i="17"/>
  <c r="AK47" i="17" s="1"/>
  <c r="X47" i="17"/>
  <c r="AL47" i="17" s="1"/>
  <c r="AA47" i="17"/>
  <c r="AO47" i="17" s="1"/>
  <c r="AB47" i="17"/>
  <c r="AP47" i="17" s="1"/>
  <c r="R48" i="17"/>
  <c r="S48" i="17"/>
  <c r="V48" i="17"/>
  <c r="AJ48" i="17" s="1"/>
  <c r="W48" i="17"/>
  <c r="AK48" i="17" s="1"/>
  <c r="Z48" i="17"/>
  <c r="AN48" i="17" s="1"/>
  <c r="AA48" i="17"/>
  <c r="AO48" i="17" s="1"/>
  <c r="AD48" i="17"/>
  <c r="AR48" i="17" s="1"/>
  <c r="R49" i="17"/>
  <c r="U49" i="17"/>
  <c r="V49" i="17"/>
  <c r="AJ49" i="17" s="1"/>
  <c r="Y49" i="17"/>
  <c r="AM49" i="17" s="1"/>
  <c r="Z49" i="17"/>
  <c r="AN49" i="17" s="1"/>
  <c r="AC49" i="17"/>
  <c r="AQ49" i="17" s="1"/>
  <c r="AD49" i="17"/>
  <c r="AR49" i="17" s="1"/>
  <c r="T50" i="17"/>
  <c r="U50" i="17"/>
  <c r="X50" i="17"/>
  <c r="AL50" i="17" s="1"/>
  <c r="Y50" i="17"/>
  <c r="AM50" i="17" s="1"/>
  <c r="AB50" i="17"/>
  <c r="AP50" i="17" s="1"/>
  <c r="AC50" i="17"/>
  <c r="AQ50" i="17" s="1"/>
  <c r="S51" i="17"/>
  <c r="T51" i="17"/>
  <c r="W51" i="17"/>
  <c r="AK51" i="17" s="1"/>
  <c r="X51" i="17"/>
  <c r="AL51" i="17" s="1"/>
  <c r="AA51" i="17"/>
  <c r="AO51" i="17" s="1"/>
  <c r="AB51" i="17"/>
  <c r="AP51" i="17" s="1"/>
  <c r="R52" i="17"/>
  <c r="S52" i="17"/>
  <c r="V52" i="17"/>
  <c r="AJ52" i="17" s="1"/>
  <c r="W52" i="17"/>
  <c r="AK52" i="17" s="1"/>
  <c r="Z52" i="17"/>
  <c r="AN52" i="17" s="1"/>
  <c r="AA52" i="17"/>
  <c r="AO52" i="17" s="1"/>
  <c r="AD52" i="17"/>
  <c r="AR52" i="17" s="1"/>
  <c r="R53" i="17"/>
  <c r="U53" i="17"/>
  <c r="V53" i="17"/>
  <c r="AJ53" i="17" s="1"/>
  <c r="Y53" i="17"/>
  <c r="AM53" i="17" s="1"/>
  <c r="Z53" i="17"/>
  <c r="AN53" i="17" s="1"/>
  <c r="AC53" i="17"/>
  <c r="AQ53" i="17" s="1"/>
  <c r="AD53" i="17"/>
  <c r="AR53" i="17" s="1"/>
  <c r="T54" i="17"/>
  <c r="U54" i="17"/>
  <c r="X54" i="17"/>
  <c r="AL54" i="17" s="1"/>
  <c r="Y54" i="17"/>
  <c r="AM54" i="17" s="1"/>
  <c r="AB54" i="17"/>
  <c r="AP54" i="17" s="1"/>
  <c r="AC54" i="17"/>
  <c r="AQ54" i="17" s="1"/>
  <c r="AB13" i="15"/>
  <c r="AP13" i="15" s="1"/>
  <c r="AC16" i="15"/>
  <c r="AQ16" i="15" s="1"/>
  <c r="Y23" i="15"/>
  <c r="AM23" i="15" s="1"/>
  <c r="R24" i="15"/>
  <c r="V25" i="15"/>
  <c r="AJ25" i="15" s="1"/>
  <c r="W25" i="15"/>
  <c r="AK25" i="15" s="1"/>
  <c r="S27" i="15"/>
  <c r="T27" i="15"/>
  <c r="X28" i="15"/>
  <c r="AL28" i="15" s="1"/>
  <c r="AD28" i="15"/>
  <c r="AR28" i="15" s="1"/>
  <c r="U30" i="15"/>
  <c r="V30" i="15"/>
  <c r="AJ30" i="15" s="1"/>
  <c r="R32" i="15"/>
  <c r="S32" i="15"/>
  <c r="W33" i="15"/>
  <c r="AK33" i="15" s="1"/>
  <c r="T35" i="15"/>
  <c r="U35" i="15"/>
  <c r="AD36" i="15"/>
  <c r="AR36" i="15" s="1"/>
  <c r="R37" i="15"/>
  <c r="V38" i="15"/>
  <c r="AJ38" i="15" s="1"/>
  <c r="AB38" i="15"/>
  <c r="AP38" i="15" s="1"/>
  <c r="S40" i="15"/>
  <c r="T40" i="15"/>
  <c r="R7" i="17"/>
  <c r="S7" i="17"/>
  <c r="T7" i="17"/>
  <c r="W7" i="15"/>
  <c r="AK7" i="15" s="1"/>
  <c r="X7" i="15"/>
  <c r="AL7" i="15" s="1"/>
  <c r="Y7" i="15"/>
  <c r="AM7" i="15" s="1"/>
  <c r="Z7" i="17"/>
  <c r="AN7" i="17" s="1"/>
  <c r="AA7" i="17"/>
  <c r="AO7" i="17" s="1"/>
  <c r="AB7" i="17"/>
  <c r="AP7" i="17" s="1"/>
  <c r="R8" i="15"/>
  <c r="S8" i="15"/>
  <c r="T8" i="15"/>
  <c r="U8" i="17"/>
  <c r="V8" i="17"/>
  <c r="AJ8" i="17" s="1"/>
  <c r="W8" i="17"/>
  <c r="AK8" i="17" s="1"/>
  <c r="Z8" i="15"/>
  <c r="AN8" i="15" s="1"/>
  <c r="AA8" i="15"/>
  <c r="AO8" i="15" s="1"/>
  <c r="AB8" i="15"/>
  <c r="AP8" i="15" s="1"/>
  <c r="AC8" i="17"/>
  <c r="AQ8" i="17" s="1"/>
  <c r="AD8" i="17"/>
  <c r="AR8" i="17" s="1"/>
  <c r="R9" i="17"/>
  <c r="U9" i="15"/>
  <c r="V9" i="15"/>
  <c r="AJ9" i="15" s="1"/>
  <c r="W9" i="15"/>
  <c r="AK9" i="15" s="1"/>
  <c r="X9" i="17"/>
  <c r="AL9" i="17" s="1"/>
  <c r="Y9" i="17"/>
  <c r="AM9" i="17" s="1"/>
  <c r="Z9" i="17"/>
  <c r="AN9" i="17" s="1"/>
  <c r="AC9" i="15"/>
  <c r="AQ9" i="15" s="1"/>
  <c r="AD9" i="15"/>
  <c r="AR9" i="15" s="1"/>
  <c r="R10" i="15"/>
  <c r="S10" i="17"/>
  <c r="T10" i="17"/>
  <c r="U10" i="17"/>
  <c r="X10" i="15"/>
  <c r="AL10" i="15" s="1"/>
  <c r="Y10" i="15"/>
  <c r="AM10" i="15" s="1"/>
  <c r="Z10" i="15"/>
  <c r="AN10" i="15" s="1"/>
  <c r="AA10" i="17"/>
  <c r="AO10" i="17" s="1"/>
  <c r="AB10" i="17"/>
  <c r="AP10" i="17" s="1"/>
  <c r="AC10" i="17"/>
  <c r="AQ10" i="17" s="1"/>
  <c r="S11" i="15"/>
  <c r="T11" i="15"/>
  <c r="U11" i="15"/>
  <c r="V11" i="17"/>
  <c r="AJ11" i="17" s="1"/>
  <c r="W11" i="17"/>
  <c r="AK11" i="17" s="1"/>
  <c r="X11" i="17"/>
  <c r="AL11" i="17" s="1"/>
  <c r="AA11" i="15"/>
  <c r="AO11" i="15" s="1"/>
  <c r="AB11" i="15"/>
  <c r="AP11" i="15" s="1"/>
  <c r="AC11" i="15"/>
  <c r="AQ11" i="15" s="1"/>
  <c r="AD11" i="17"/>
  <c r="AR11" i="17" s="1"/>
  <c r="R12" i="17"/>
  <c r="S12" i="17"/>
  <c r="V12" i="15"/>
  <c r="AJ12" i="15" s="1"/>
  <c r="W12" i="15"/>
  <c r="AK12" i="15" s="1"/>
  <c r="X12" i="15"/>
  <c r="AL12" i="15" s="1"/>
  <c r="Y12" i="17"/>
  <c r="AM12" i="17" s="1"/>
  <c r="Z12" i="17"/>
  <c r="AN12" i="17" s="1"/>
  <c r="AA12" i="17"/>
  <c r="AO12" i="17" s="1"/>
  <c r="AD12" i="15"/>
  <c r="AR12" i="15" s="1"/>
  <c r="R13" i="15"/>
  <c r="S13" i="15"/>
  <c r="T13" i="17"/>
  <c r="U13" i="17"/>
  <c r="V13" i="17"/>
  <c r="AJ13" i="17" s="1"/>
  <c r="Y13" i="15"/>
  <c r="AM13" i="15" s="1"/>
  <c r="Z13" i="15"/>
  <c r="AN13" i="15" s="1"/>
  <c r="AA13" i="15"/>
  <c r="AO13" i="15" s="1"/>
  <c r="AB13" i="17"/>
  <c r="AP13" i="17" s="1"/>
  <c r="AC13" i="17"/>
  <c r="AQ13" i="17" s="1"/>
  <c r="AD13" i="17"/>
  <c r="AR13" i="17" s="1"/>
  <c r="T14" i="15"/>
  <c r="U14" i="15"/>
  <c r="V14" i="15"/>
  <c r="AJ14" i="15" s="1"/>
  <c r="W14" i="17"/>
  <c r="AK14" i="17" s="1"/>
  <c r="X14" i="17"/>
  <c r="AL14" i="17" s="1"/>
  <c r="Y14" i="17"/>
  <c r="AM14" i="17" s="1"/>
  <c r="AB14" i="15"/>
  <c r="AP14" i="15" s="1"/>
  <c r="AC14" i="15"/>
  <c r="AQ14" i="15" s="1"/>
  <c r="AD14" i="15"/>
  <c r="AR14" i="15" s="1"/>
  <c r="R15" i="17"/>
  <c r="S15" i="17"/>
  <c r="T15" i="17"/>
  <c r="W15" i="15"/>
  <c r="AK15" i="15" s="1"/>
  <c r="X15" i="15"/>
  <c r="AL15" i="15" s="1"/>
  <c r="Y15" i="15"/>
  <c r="AM15" i="15" s="1"/>
  <c r="Z15" i="17"/>
  <c r="AN15" i="17" s="1"/>
  <c r="AA15" i="17"/>
  <c r="AO15" i="17" s="1"/>
  <c r="AB15" i="17"/>
  <c r="AP15" i="17" s="1"/>
  <c r="R16" i="15"/>
  <c r="S16" i="15"/>
  <c r="T16" i="15"/>
  <c r="U16" i="17"/>
  <c r="V16" i="17"/>
  <c r="AJ16" i="17" s="1"/>
  <c r="W16" i="17"/>
  <c r="AK16" i="17" s="1"/>
  <c r="Z16" i="15"/>
  <c r="AN16" i="15" s="1"/>
  <c r="AA16" i="15"/>
  <c r="AO16" i="15" s="1"/>
  <c r="AB16" i="15"/>
  <c r="AP16" i="15" s="1"/>
  <c r="AC16" i="17"/>
  <c r="AQ16" i="17" s="1"/>
  <c r="AD16" i="17"/>
  <c r="AR16" i="17" s="1"/>
  <c r="R17" i="17"/>
  <c r="U17" i="15"/>
  <c r="V17" i="15"/>
  <c r="AJ17" i="15" s="1"/>
  <c r="W17" i="15"/>
  <c r="AK17" i="15" s="1"/>
  <c r="X17" i="17"/>
  <c r="AL17" i="17" s="1"/>
  <c r="Y17" i="17"/>
  <c r="AM17" i="17" s="1"/>
  <c r="Z17" i="17"/>
  <c r="AN17" i="17" s="1"/>
  <c r="AC17" i="15"/>
  <c r="AQ17" i="15" s="1"/>
  <c r="AD17" i="15"/>
  <c r="AR17" i="15" s="1"/>
  <c r="R18" i="15"/>
  <c r="S18" i="17"/>
  <c r="T18" i="17"/>
  <c r="U18" i="17"/>
  <c r="X18" i="15"/>
  <c r="AL18" i="15" s="1"/>
  <c r="Y18" i="15"/>
  <c r="AM18" i="15" s="1"/>
  <c r="Z18" i="15"/>
  <c r="AN18" i="15" s="1"/>
  <c r="AA18" i="17"/>
  <c r="AO18" i="17" s="1"/>
  <c r="AB18" i="17"/>
  <c r="AP18" i="17" s="1"/>
  <c r="AC18" i="17"/>
  <c r="AQ18" i="17" s="1"/>
  <c r="S19" i="15"/>
  <c r="T19" i="15"/>
  <c r="U19" i="15"/>
  <c r="V19" i="17"/>
  <c r="AJ19" i="17" s="1"/>
  <c r="W19" i="17"/>
  <c r="AK19" i="17" s="1"/>
  <c r="X19" i="17"/>
  <c r="AL19" i="17" s="1"/>
  <c r="AA19" i="15"/>
  <c r="AO19" i="15" s="1"/>
  <c r="AB19" i="15"/>
  <c r="AP19" i="15" s="1"/>
  <c r="AC19" i="15"/>
  <c r="AQ19" i="15" s="1"/>
  <c r="AD19" i="17"/>
  <c r="AR19" i="17" s="1"/>
  <c r="R20" i="17"/>
  <c r="S20" i="17"/>
  <c r="V20" i="15"/>
  <c r="AJ20" i="15" s="1"/>
  <c r="W20" i="15"/>
  <c r="AK20" i="15" s="1"/>
  <c r="X20" i="15"/>
  <c r="AL20" i="15" s="1"/>
  <c r="Y20" i="17"/>
  <c r="AM20" i="17" s="1"/>
  <c r="Z20" i="17"/>
  <c r="AN20" i="17" s="1"/>
  <c r="AA20" i="17"/>
  <c r="AO20" i="17" s="1"/>
  <c r="AC20" i="17"/>
  <c r="AQ20" i="17" s="1"/>
  <c r="AD20" i="15"/>
  <c r="AR20" i="15" s="1"/>
  <c r="R21" i="15"/>
  <c r="S21" i="15"/>
  <c r="T21" i="17"/>
  <c r="U21" i="17"/>
  <c r="V21" i="17"/>
  <c r="AJ21" i="17" s="1"/>
  <c r="X21" i="17"/>
  <c r="AL21" i="17" s="1"/>
  <c r="Y21" i="15"/>
  <c r="AM21" i="15" s="1"/>
  <c r="Z21" i="15"/>
  <c r="AN21" i="15" s="1"/>
  <c r="AA21" i="15"/>
  <c r="AO21" i="15" s="1"/>
  <c r="AB21" i="17"/>
  <c r="AP21" i="17" s="1"/>
  <c r="AC21" i="17"/>
  <c r="AQ21" i="17" s="1"/>
  <c r="AD21" i="17"/>
  <c r="AR21" i="17" s="1"/>
  <c r="S22" i="17"/>
  <c r="T22" i="15"/>
  <c r="U22" i="15"/>
  <c r="V22" i="15"/>
  <c r="AJ22" i="15" s="1"/>
  <c r="W22" i="17"/>
  <c r="AK22" i="17" s="1"/>
  <c r="X22" i="17"/>
  <c r="AL22" i="17" s="1"/>
  <c r="Y22" i="17"/>
  <c r="AM22" i="17" s="1"/>
  <c r="AA22" i="17"/>
  <c r="AO22" i="17" s="1"/>
  <c r="AB22" i="15"/>
  <c r="AP22" i="15" s="1"/>
  <c r="AC22" i="15"/>
  <c r="AQ22" i="15" s="1"/>
  <c r="AD22" i="15"/>
  <c r="AR22" i="15" s="1"/>
  <c r="R23" i="17"/>
  <c r="S23" i="17"/>
  <c r="T23" i="17"/>
  <c r="U23" i="17"/>
  <c r="V23" i="17"/>
  <c r="AJ23" i="17" s="1"/>
  <c r="W23" i="17"/>
  <c r="AK23" i="17" s="1"/>
  <c r="X23" i="17"/>
  <c r="AL23" i="17" s="1"/>
  <c r="Y23" i="17"/>
  <c r="AM23" i="17" s="1"/>
  <c r="Z23" i="17"/>
  <c r="AN23" i="17" s="1"/>
  <c r="AA23" i="17"/>
  <c r="AO23" i="17" s="1"/>
  <c r="AB23" i="17"/>
  <c r="AP23" i="17" s="1"/>
  <c r="AC23" i="17"/>
  <c r="AQ23" i="17" s="1"/>
  <c r="AD23" i="17"/>
  <c r="AR23" i="17" s="1"/>
  <c r="R24" i="17"/>
  <c r="S24" i="17"/>
  <c r="T24" i="17"/>
  <c r="U24" i="17"/>
  <c r="V24" i="17"/>
  <c r="AJ24" i="17" s="1"/>
  <c r="W24" i="17"/>
  <c r="AK24" i="17" s="1"/>
  <c r="X24" i="17"/>
  <c r="AL24" i="17" s="1"/>
  <c r="Y24" i="17"/>
  <c r="AM24" i="17" s="1"/>
  <c r="Z24" i="17"/>
  <c r="AN24" i="17" s="1"/>
  <c r="AA24" i="15"/>
  <c r="AO24" i="15" s="1"/>
  <c r="AB24" i="15"/>
  <c r="AP24" i="15" s="1"/>
  <c r="AC24" i="17"/>
  <c r="AQ24" i="17" s="1"/>
  <c r="AD24" i="17"/>
  <c r="AR24" i="17" s="1"/>
  <c r="R25" i="17"/>
  <c r="S25" i="17"/>
  <c r="T25" i="17"/>
  <c r="U25" i="17"/>
  <c r="V25" i="17"/>
  <c r="AJ25" i="17" s="1"/>
  <c r="W25" i="17"/>
  <c r="AK25" i="17" s="1"/>
  <c r="X25" i="17"/>
  <c r="AL25" i="17" s="1"/>
  <c r="Y25" i="17"/>
  <c r="AM25" i="17" s="1"/>
  <c r="Z25" i="17"/>
  <c r="AN25" i="17" s="1"/>
  <c r="AA25" i="17"/>
  <c r="AO25" i="17" s="1"/>
  <c r="AB25" i="17"/>
  <c r="AP25" i="17" s="1"/>
  <c r="AC25" i="17"/>
  <c r="AQ25" i="17" s="1"/>
  <c r="AD25" i="17"/>
  <c r="AR25" i="17" s="1"/>
  <c r="R26" i="17"/>
  <c r="S26" i="17"/>
  <c r="T26" i="17"/>
  <c r="U26" i="17"/>
  <c r="V26" i="17"/>
  <c r="AJ26" i="17" s="1"/>
  <c r="W26" i="17"/>
  <c r="AK26" i="17" s="1"/>
  <c r="X26" i="17"/>
  <c r="AL26" i="17" s="1"/>
  <c r="Y26" i="17"/>
  <c r="AM26" i="17" s="1"/>
  <c r="Z26" i="17"/>
  <c r="AN26" i="17" s="1"/>
  <c r="AA26" i="17"/>
  <c r="AO26" i="17" s="1"/>
  <c r="AB26" i="17"/>
  <c r="AP26" i="17" s="1"/>
  <c r="AC26" i="17"/>
  <c r="AQ26" i="17" s="1"/>
  <c r="AD26" i="17"/>
  <c r="AR26" i="17" s="1"/>
  <c r="R27" i="17"/>
  <c r="S27" i="17"/>
  <c r="T27" i="17"/>
  <c r="U27" i="17"/>
  <c r="V27" i="17"/>
  <c r="AJ27" i="17" s="1"/>
  <c r="W27" i="17"/>
  <c r="AK27" i="17" s="1"/>
  <c r="X27" i="17"/>
  <c r="AL27" i="17" s="1"/>
  <c r="Y27" i="17"/>
  <c r="AM27" i="17" s="1"/>
  <c r="Z27" i="17"/>
  <c r="AN27" i="17" s="1"/>
  <c r="AA27" i="17"/>
  <c r="AO27" i="17" s="1"/>
  <c r="AB27" i="17"/>
  <c r="AP27" i="17" s="1"/>
  <c r="AC27" i="15"/>
  <c r="AQ27" i="15" s="1"/>
  <c r="AD27" i="17"/>
  <c r="AR27" i="17" s="1"/>
  <c r="R28" i="17"/>
  <c r="S28" i="17"/>
  <c r="T28" i="17"/>
  <c r="U28" i="17"/>
  <c r="V28" i="15"/>
  <c r="AJ28" i="15" s="1"/>
  <c r="W28" i="15"/>
  <c r="AK28" i="15" s="1"/>
  <c r="X28" i="17"/>
  <c r="AL28" i="17" s="1"/>
  <c r="AM28" i="5"/>
  <c r="AN28" i="5"/>
  <c r="AO28" i="5"/>
  <c r="AP28" i="5"/>
  <c r="AQ28" i="5"/>
  <c r="AR28" i="5"/>
  <c r="R29" i="17"/>
  <c r="S29" i="17"/>
  <c r="T29" i="17"/>
  <c r="U29" i="17"/>
  <c r="V29" i="17"/>
  <c r="AJ29" i="17" s="1"/>
  <c r="W29" i="17"/>
  <c r="AK29" i="17" s="1"/>
  <c r="X29" i="17"/>
  <c r="AL29" i="17" s="1"/>
  <c r="AM29" i="5"/>
  <c r="AN29" i="5"/>
  <c r="AO29" i="5"/>
  <c r="AP29" i="5"/>
  <c r="AQ29" i="5"/>
  <c r="AR29" i="5"/>
  <c r="R30" i="17"/>
  <c r="S30" i="17"/>
  <c r="T30" i="17"/>
  <c r="U30" i="17"/>
  <c r="V30" i="17"/>
  <c r="AJ30" i="17" s="1"/>
  <c r="W30" i="17"/>
  <c r="AK30" i="17" s="1"/>
  <c r="X30" i="17"/>
  <c r="AL30" i="17" s="1"/>
  <c r="AM30" i="5"/>
  <c r="AN30" i="5"/>
  <c r="AO30" i="5"/>
  <c r="AP30" i="5"/>
  <c r="AQ30" i="5"/>
  <c r="AR30" i="5"/>
  <c r="R31" i="17"/>
  <c r="S31" i="17"/>
  <c r="T31" i="17"/>
  <c r="U31" i="17"/>
  <c r="V31" i="17"/>
  <c r="AJ31" i="17" s="1"/>
  <c r="W31" i="17"/>
  <c r="AK31" i="17" s="1"/>
  <c r="X31" i="17"/>
  <c r="AL31" i="17" s="1"/>
  <c r="AM31" i="5"/>
  <c r="AN31" i="5"/>
  <c r="AO31" i="5"/>
  <c r="AP31" i="5"/>
  <c r="AQ31" i="5"/>
  <c r="AR31" i="5"/>
  <c r="R32" i="17"/>
  <c r="S32" i="17"/>
  <c r="T32" i="17"/>
  <c r="U32" i="17"/>
  <c r="V32" i="17"/>
  <c r="AJ32" i="17" s="1"/>
  <c r="W32" i="17"/>
  <c r="AK32" i="17" s="1"/>
  <c r="X32" i="17"/>
  <c r="AL32" i="17" s="1"/>
  <c r="AM32" i="5"/>
  <c r="AN32" i="5"/>
  <c r="AO32" i="5"/>
  <c r="AP32" i="5"/>
  <c r="AQ32" i="5"/>
  <c r="AR32" i="5"/>
  <c r="R33" i="17"/>
  <c r="S33" i="17"/>
  <c r="T33" i="17"/>
  <c r="U33" i="15"/>
  <c r="V33" i="15"/>
  <c r="AJ33" i="15" s="1"/>
  <c r="W33" i="17"/>
  <c r="AK33" i="17" s="1"/>
  <c r="X33" i="17"/>
  <c r="AL33" i="17" s="1"/>
  <c r="AM33" i="5"/>
  <c r="AN33" i="5"/>
  <c r="AO33" i="5"/>
  <c r="AP33" i="5"/>
  <c r="AQ33" i="5"/>
  <c r="AC33" i="15" s="1"/>
  <c r="AQ33" i="15" s="1"/>
  <c r="AR33" i="5"/>
  <c r="R34" i="17"/>
  <c r="S34" i="17"/>
  <c r="T34" i="17"/>
  <c r="U34" i="17"/>
  <c r="V34" i="17"/>
  <c r="AJ34" i="17" s="1"/>
  <c r="W34" i="17"/>
  <c r="AK34" i="17" s="1"/>
  <c r="X34" i="17"/>
  <c r="AL34" i="17" s="1"/>
  <c r="AM34" i="5"/>
  <c r="AN34" i="5"/>
  <c r="AO34" i="5"/>
  <c r="AP34" i="5"/>
  <c r="AQ34" i="5"/>
  <c r="AR34" i="5"/>
  <c r="R35" i="17"/>
  <c r="S35" i="17"/>
  <c r="T35" i="17"/>
  <c r="U35" i="17"/>
  <c r="V35" i="17"/>
  <c r="AJ35" i="17" s="1"/>
  <c r="W35" i="17"/>
  <c r="AK35" i="17" s="1"/>
  <c r="X35" i="17"/>
  <c r="AL35" i="17" s="1"/>
  <c r="AM35" i="5"/>
  <c r="AN35" i="5"/>
  <c r="AO35" i="5"/>
  <c r="AP35" i="5"/>
  <c r="AQ35" i="5"/>
  <c r="AR35" i="5"/>
  <c r="R36" i="17"/>
  <c r="S36" i="17"/>
  <c r="T36" i="17"/>
  <c r="U36" i="17"/>
  <c r="V36" i="17"/>
  <c r="AJ36" i="17" s="1"/>
  <c r="W36" i="17"/>
  <c r="AK36" i="17" s="1"/>
  <c r="X36" i="17"/>
  <c r="AL36" i="17" s="1"/>
  <c r="AM36" i="5"/>
  <c r="AN36" i="5"/>
  <c r="AO36" i="5"/>
  <c r="AP36" i="5"/>
  <c r="AQ36" i="5"/>
  <c r="AR36" i="5"/>
  <c r="R37" i="17"/>
  <c r="S37" i="17"/>
  <c r="T37" i="17"/>
  <c r="U37" i="17"/>
  <c r="V37" i="17"/>
  <c r="AJ37" i="17" s="1"/>
  <c r="W37" i="17"/>
  <c r="AK37" i="17" s="1"/>
  <c r="X37" i="17"/>
  <c r="AL37" i="17" s="1"/>
  <c r="AM37" i="5"/>
  <c r="AN37" i="5"/>
  <c r="AO37" i="5"/>
  <c r="AP37" i="5"/>
  <c r="AQ37" i="5"/>
  <c r="AR37" i="5"/>
  <c r="R38" i="17"/>
  <c r="S38" i="17"/>
  <c r="T38" i="15"/>
  <c r="U38" i="17"/>
  <c r="V38" i="17"/>
  <c r="AJ38" i="17" s="1"/>
  <c r="W38" i="17"/>
  <c r="AK38" i="17" s="1"/>
  <c r="X38" i="17"/>
  <c r="AL38" i="17" s="1"/>
  <c r="AM38" i="5"/>
  <c r="AN38" i="5"/>
  <c r="AO38" i="5"/>
  <c r="AP38" i="5"/>
  <c r="AQ38" i="5"/>
  <c r="AR38" i="5"/>
  <c r="R39" i="17"/>
  <c r="S39" i="17"/>
  <c r="T39" i="17"/>
  <c r="U39" i="17"/>
  <c r="V39" i="17"/>
  <c r="AJ39" i="17" s="1"/>
  <c r="W39" i="17"/>
  <c r="AK39" i="17" s="1"/>
  <c r="X39" i="17"/>
  <c r="AL39" i="17" s="1"/>
  <c r="AM39" i="5"/>
  <c r="AN39" i="5"/>
  <c r="AO39" i="5"/>
  <c r="AP39" i="5"/>
  <c r="AQ39" i="5"/>
  <c r="AR39" i="5"/>
  <c r="R40" i="17"/>
  <c r="S40" i="17"/>
  <c r="T40" i="17"/>
  <c r="U40" i="17"/>
  <c r="V40" i="17"/>
  <c r="AJ40" i="17" s="1"/>
  <c r="W40" i="17"/>
  <c r="AK40" i="17" s="1"/>
  <c r="X40" i="17"/>
  <c r="AL40" i="17" s="1"/>
  <c r="AM40" i="5"/>
  <c r="AN40" i="5"/>
  <c r="AO40" i="5"/>
  <c r="AP40" i="5"/>
  <c r="AQ40" i="5"/>
  <c r="AR40" i="5"/>
  <c r="R41" i="17"/>
  <c r="S41" i="17"/>
  <c r="T41" i="17"/>
  <c r="U41" i="15"/>
  <c r="V41" i="15"/>
  <c r="AJ41" i="15" s="1"/>
  <c r="W41" i="15"/>
  <c r="AK41" i="15" s="1"/>
  <c r="X41" i="17"/>
  <c r="AL41" i="17" s="1"/>
  <c r="AM41" i="5"/>
  <c r="AN41" i="5"/>
  <c r="AO41" i="5"/>
  <c r="AP41" i="5"/>
  <c r="AQ41" i="5"/>
  <c r="AR41" i="5"/>
  <c r="AF42" i="5"/>
  <c r="AG42" i="5"/>
  <c r="S42" i="17" s="1"/>
  <c r="AH42" i="5"/>
  <c r="T42" i="15" s="1"/>
  <c r="AI42" i="5"/>
  <c r="U42" i="15" s="1"/>
  <c r="AJ42" i="5"/>
  <c r="AK42" i="5"/>
  <c r="AY42" i="5" s="1"/>
  <c r="AL42" i="5"/>
  <c r="AZ42" i="5" s="1"/>
  <c r="AM42" i="5"/>
  <c r="BA42" i="5" s="1"/>
  <c r="AN42" i="5"/>
  <c r="AO42" i="5"/>
  <c r="BC42" i="5" s="1"/>
  <c r="AP42" i="5"/>
  <c r="BD42" i="5" s="1"/>
  <c r="AQ42" i="5"/>
  <c r="BE42" i="5" s="1"/>
  <c r="AR42" i="5"/>
  <c r="AF43" i="5"/>
  <c r="R43" i="17" s="1"/>
  <c r="AG43" i="5"/>
  <c r="S43" i="15" s="1"/>
  <c r="AH43" i="5"/>
  <c r="T43" i="15" s="1"/>
  <c r="AI43" i="5"/>
  <c r="AJ43" i="5"/>
  <c r="AX43" i="5" s="1"/>
  <c r="AK43" i="5"/>
  <c r="AY43" i="5" s="1"/>
  <c r="AL43" i="5"/>
  <c r="AZ43" i="5" s="1"/>
  <c r="AM43" i="5"/>
  <c r="AN43" i="5"/>
  <c r="BB43" i="5" s="1"/>
  <c r="AO43" i="5"/>
  <c r="BC43" i="5" s="1"/>
  <c r="AP43" i="5"/>
  <c r="BD43" i="5" s="1"/>
  <c r="AQ43" i="5"/>
  <c r="AR43" i="5"/>
  <c r="BF43" i="5" s="1"/>
  <c r="AF44" i="5"/>
  <c r="R44" i="15" s="1"/>
  <c r="AG44" i="5"/>
  <c r="S44" i="15" s="1"/>
  <c r="AH44" i="5"/>
  <c r="AI44" i="5"/>
  <c r="U44" i="17" s="1"/>
  <c r="AJ44" i="5"/>
  <c r="AX44" i="5" s="1"/>
  <c r="AK44" i="5"/>
  <c r="AY44" i="5" s="1"/>
  <c r="AL44" i="5"/>
  <c r="AM44" i="5"/>
  <c r="BA44" i="5" s="1"/>
  <c r="AN44" i="5"/>
  <c r="BB44" i="5" s="1"/>
  <c r="AO44" i="5"/>
  <c r="BC44" i="5" s="1"/>
  <c r="AP44" i="5"/>
  <c r="AQ44" i="5"/>
  <c r="BE44" i="5" s="1"/>
  <c r="AR44" i="5"/>
  <c r="BF44" i="5" s="1"/>
  <c r="AF45" i="5"/>
  <c r="R45" i="15" s="1"/>
  <c r="AG45" i="5"/>
  <c r="AH45" i="5"/>
  <c r="T45" i="17" s="1"/>
  <c r="AI45" i="5"/>
  <c r="U45" i="15" s="1"/>
  <c r="AJ45" i="5"/>
  <c r="AX45" i="5" s="1"/>
  <c r="AK45" i="5"/>
  <c r="AL45" i="5"/>
  <c r="AZ45" i="5" s="1"/>
  <c r="AM45" i="5"/>
  <c r="BA45" i="5" s="1"/>
  <c r="AN45" i="5"/>
  <c r="BB45" i="5" s="1"/>
  <c r="AO45" i="5"/>
  <c r="AP45" i="5"/>
  <c r="BD45" i="5" s="1"/>
  <c r="AQ45" i="5"/>
  <c r="BE45" i="5" s="1"/>
  <c r="AR45" i="5"/>
  <c r="BF45" i="5" s="1"/>
  <c r="AF46" i="5"/>
  <c r="AG46" i="5"/>
  <c r="S46" i="17" s="1"/>
  <c r="AH46" i="5"/>
  <c r="T46" i="15" s="1"/>
  <c r="AI46" i="5"/>
  <c r="U46" i="15" s="1"/>
  <c r="AJ46" i="5"/>
  <c r="AK46" i="5"/>
  <c r="AY46" i="5" s="1"/>
  <c r="AL46" i="5"/>
  <c r="AZ46" i="5" s="1"/>
  <c r="AM46" i="5"/>
  <c r="BA46" i="5" s="1"/>
  <c r="AN46" i="5"/>
  <c r="AO46" i="5"/>
  <c r="BC46" i="5" s="1"/>
  <c r="AP46" i="5"/>
  <c r="BD46" i="5" s="1"/>
  <c r="AQ46" i="5"/>
  <c r="BE46" i="5" s="1"/>
  <c r="AR46" i="5"/>
  <c r="AF47" i="5"/>
  <c r="R47" i="17" s="1"/>
  <c r="AG47" i="5"/>
  <c r="S47" i="15" s="1"/>
  <c r="AH47" i="5"/>
  <c r="T47" i="15" s="1"/>
  <c r="AI47" i="5"/>
  <c r="AJ47" i="5"/>
  <c r="AX47" i="5" s="1"/>
  <c r="AK47" i="5"/>
  <c r="AY47" i="5" s="1"/>
  <c r="AL47" i="5"/>
  <c r="AZ47" i="5" s="1"/>
  <c r="AM47" i="5"/>
  <c r="AN47" i="5"/>
  <c r="BB47" i="5" s="1"/>
  <c r="AO47" i="5"/>
  <c r="BC47" i="5" s="1"/>
  <c r="AP47" i="5"/>
  <c r="BD47" i="5" s="1"/>
  <c r="AQ47" i="5"/>
  <c r="AR47" i="5"/>
  <c r="BF47" i="5" s="1"/>
  <c r="AF48" i="5"/>
  <c r="R48" i="15" s="1"/>
  <c r="AG48" i="5"/>
  <c r="S48" i="15" s="1"/>
  <c r="AH48" i="5"/>
  <c r="AI48" i="5"/>
  <c r="U48" i="17" s="1"/>
  <c r="AJ48" i="5"/>
  <c r="AX48" i="5" s="1"/>
  <c r="AK48" i="5"/>
  <c r="AY48" i="5" s="1"/>
  <c r="AL48" i="5"/>
  <c r="AM48" i="5"/>
  <c r="BA48" i="5" s="1"/>
  <c r="AN48" i="5"/>
  <c r="BB48" i="5" s="1"/>
  <c r="AO48" i="5"/>
  <c r="BC48" i="5" s="1"/>
  <c r="AP48" i="5"/>
  <c r="AQ48" i="5"/>
  <c r="BE48" i="5" s="1"/>
  <c r="AR48" i="5"/>
  <c r="BF48" i="5" s="1"/>
  <c r="AF49" i="5"/>
  <c r="R49" i="15" s="1"/>
  <c r="AG49" i="5"/>
  <c r="AH49" i="5"/>
  <c r="T49" i="17" s="1"/>
  <c r="AI49" i="5"/>
  <c r="U49" i="15" s="1"/>
  <c r="AJ49" i="5"/>
  <c r="AX49" i="5" s="1"/>
  <c r="AK49" i="5"/>
  <c r="AL49" i="5"/>
  <c r="AZ49" i="5" s="1"/>
  <c r="AM49" i="5"/>
  <c r="BA49" i="5" s="1"/>
  <c r="AN49" i="5"/>
  <c r="BB49" i="5" s="1"/>
  <c r="AO49" i="5"/>
  <c r="AP49" i="5"/>
  <c r="BD49" i="5" s="1"/>
  <c r="AQ49" i="5"/>
  <c r="BE49" i="5" s="1"/>
  <c r="AR49" i="5"/>
  <c r="BF49" i="5" s="1"/>
  <c r="AF50" i="5"/>
  <c r="AG50" i="5"/>
  <c r="S50" i="17" s="1"/>
  <c r="AH50" i="5"/>
  <c r="T50" i="15" s="1"/>
  <c r="AI50" i="5"/>
  <c r="U50" i="15" s="1"/>
  <c r="AJ50" i="5"/>
  <c r="AK50" i="5"/>
  <c r="AY50" i="5" s="1"/>
  <c r="AL50" i="5"/>
  <c r="AZ50" i="5" s="1"/>
  <c r="AM50" i="5"/>
  <c r="BA50" i="5" s="1"/>
  <c r="AN50" i="5"/>
  <c r="AO50" i="5"/>
  <c r="BC50" i="5" s="1"/>
  <c r="AP50" i="5"/>
  <c r="BD50" i="5" s="1"/>
  <c r="AQ50" i="5"/>
  <c r="BE50" i="5" s="1"/>
  <c r="AR50" i="5"/>
  <c r="AF51" i="5"/>
  <c r="R51" i="17" s="1"/>
  <c r="AG51" i="5"/>
  <c r="S51" i="15" s="1"/>
  <c r="AH51" i="5"/>
  <c r="T51" i="15" s="1"/>
  <c r="AI51" i="5"/>
  <c r="AJ51" i="5"/>
  <c r="AX51" i="5" s="1"/>
  <c r="AK51" i="5"/>
  <c r="AY51" i="5" s="1"/>
  <c r="AL51" i="5"/>
  <c r="AZ51" i="5" s="1"/>
  <c r="AM51" i="5"/>
  <c r="AN51" i="5"/>
  <c r="BB51" i="5" s="1"/>
  <c r="AO51" i="5"/>
  <c r="BC51" i="5" s="1"/>
  <c r="AP51" i="5"/>
  <c r="BD51" i="5" s="1"/>
  <c r="AQ51" i="5"/>
  <c r="AR51" i="5"/>
  <c r="BF51" i="5" s="1"/>
  <c r="AF52" i="5"/>
  <c r="R52" i="15" s="1"/>
  <c r="AG52" i="5"/>
  <c r="S52" i="15" s="1"/>
  <c r="AH52" i="5"/>
  <c r="AI52" i="5"/>
  <c r="U52" i="17" s="1"/>
  <c r="AJ52" i="5"/>
  <c r="AX52" i="5" s="1"/>
  <c r="AK52" i="5"/>
  <c r="AY52" i="5" s="1"/>
  <c r="AL52" i="5"/>
  <c r="AM52" i="5"/>
  <c r="BA52" i="5" s="1"/>
  <c r="AN52" i="5"/>
  <c r="BB52" i="5" s="1"/>
  <c r="AO52" i="5"/>
  <c r="BC52" i="5" s="1"/>
  <c r="AP52" i="5"/>
  <c r="AQ52" i="5"/>
  <c r="BE52" i="5" s="1"/>
  <c r="AR52" i="5"/>
  <c r="BF52" i="5" s="1"/>
  <c r="AF53" i="5"/>
  <c r="R53" i="15" s="1"/>
  <c r="AG53" i="5"/>
  <c r="AH53" i="5"/>
  <c r="T53" i="17" s="1"/>
  <c r="AI53" i="5"/>
  <c r="U53" i="15" s="1"/>
  <c r="AJ53" i="5"/>
  <c r="AX53" i="5" s="1"/>
  <c r="AK53" i="5"/>
  <c r="AL53" i="5"/>
  <c r="AZ53" i="5" s="1"/>
  <c r="AM53" i="5"/>
  <c r="BA53" i="5" s="1"/>
  <c r="AN53" i="5"/>
  <c r="BB53" i="5" s="1"/>
  <c r="AO53" i="5"/>
  <c r="AP53" i="5"/>
  <c r="BD53" i="5" s="1"/>
  <c r="AQ53" i="5"/>
  <c r="BE53" i="5" s="1"/>
  <c r="AR53" i="5"/>
  <c r="BF53" i="5" s="1"/>
  <c r="AF54" i="5"/>
  <c r="AG54" i="5"/>
  <c r="S54" i="17" s="1"/>
  <c r="AH54" i="5"/>
  <c r="T54" i="15" s="1"/>
  <c r="AI54" i="5"/>
  <c r="U54" i="15" s="1"/>
  <c r="AJ54" i="5"/>
  <c r="AK54" i="5"/>
  <c r="AY54" i="5" s="1"/>
  <c r="AL54" i="5"/>
  <c r="AZ54" i="5" s="1"/>
  <c r="AM54" i="5"/>
  <c r="BA54" i="5" s="1"/>
  <c r="AN54" i="5"/>
  <c r="AO54" i="5"/>
  <c r="BC54" i="5" s="1"/>
  <c r="AP54" i="5"/>
  <c r="BD54" i="5" s="1"/>
  <c r="AQ54" i="5"/>
  <c r="BE54" i="5" s="1"/>
  <c r="AR54" i="5"/>
  <c r="S6" i="17"/>
  <c r="T6" i="17"/>
  <c r="U6" i="17"/>
  <c r="V6" i="17"/>
  <c r="AJ6" i="17" s="1"/>
  <c r="W6" i="17"/>
  <c r="AK6" i="17" s="1"/>
  <c r="X6" i="17"/>
  <c r="AL6" i="17" s="1"/>
  <c r="Y6" i="17"/>
  <c r="AM6" i="17" s="1"/>
  <c r="Z6" i="17"/>
  <c r="AN6" i="17" s="1"/>
  <c r="AA6" i="17"/>
  <c r="AO6" i="17" s="1"/>
  <c r="AB6" i="17"/>
  <c r="AP6" i="17" s="1"/>
  <c r="AC6" i="17"/>
  <c r="AQ6" i="17" s="1"/>
  <c r="AD6" i="17"/>
  <c r="AR6" i="17" s="1"/>
  <c r="R6" i="17"/>
  <c r="F31" i="37"/>
  <c r="G31" i="37" s="1"/>
  <c r="F39" i="37"/>
  <c r="G39" i="37" s="1"/>
  <c r="F54" i="37"/>
  <c r="G54" i="37" s="1"/>
  <c r="D8" i="36"/>
  <c r="E8" i="36" s="1"/>
  <c r="D9" i="36"/>
  <c r="E9" i="36" s="1"/>
  <c r="D10" i="36"/>
  <c r="E10" i="36" s="1"/>
  <c r="D11" i="36"/>
  <c r="E11" i="36" s="1"/>
  <c r="D12" i="36"/>
  <c r="E12" i="36" s="1"/>
  <c r="D13" i="36"/>
  <c r="E13" i="36" s="1"/>
  <c r="D14" i="36"/>
  <c r="E14" i="36" s="1"/>
  <c r="D15" i="36"/>
  <c r="E15" i="36" s="1"/>
  <c r="D16" i="36"/>
  <c r="E16" i="36" s="1"/>
  <c r="D17" i="36"/>
  <c r="E17" i="36" s="1"/>
  <c r="D18" i="36"/>
  <c r="E18" i="36" s="1"/>
  <c r="D19" i="36"/>
  <c r="E19" i="36" s="1"/>
  <c r="D20" i="36"/>
  <c r="E20" i="36" s="1"/>
  <c r="D21" i="36"/>
  <c r="E21" i="36" s="1"/>
  <c r="D22" i="36"/>
  <c r="E22" i="36" s="1"/>
  <c r="D23" i="36"/>
  <c r="E23" i="36" s="1"/>
  <c r="D24" i="36"/>
  <c r="E24" i="36" s="1"/>
  <c r="D25" i="36"/>
  <c r="E25" i="36" s="1"/>
  <c r="D26" i="36"/>
  <c r="E26" i="36" s="1"/>
  <c r="D27" i="36"/>
  <c r="E27" i="36" s="1"/>
  <c r="D28" i="36"/>
  <c r="E28" i="36" s="1"/>
  <c r="D29" i="36"/>
  <c r="E29" i="36" s="1"/>
  <c r="D30" i="36"/>
  <c r="E30" i="36" s="1"/>
  <c r="D31" i="36"/>
  <c r="E31" i="36" s="1"/>
  <c r="D32" i="36"/>
  <c r="E32" i="36" s="1"/>
  <c r="D33" i="36"/>
  <c r="E33" i="36" s="1"/>
  <c r="D34" i="36"/>
  <c r="E34" i="36" s="1"/>
  <c r="D35" i="36"/>
  <c r="E35" i="36" s="1"/>
  <c r="D36" i="36"/>
  <c r="E36" i="36" s="1"/>
  <c r="D37" i="36"/>
  <c r="E37" i="36" s="1"/>
  <c r="D38" i="36"/>
  <c r="E38" i="36" s="1"/>
  <c r="E39" i="36"/>
  <c r="E40" i="36"/>
  <c r="D41" i="36"/>
  <c r="E41" i="36" s="1"/>
  <c r="D42" i="36"/>
  <c r="D43" i="36"/>
  <c r="D44" i="36"/>
  <c r="D45" i="36"/>
  <c r="D46" i="36"/>
  <c r="D47" i="36"/>
  <c r="D48" i="36"/>
  <c r="D49" i="36"/>
  <c r="D50" i="36"/>
  <c r="D6" i="36"/>
  <c r="D7" i="35"/>
  <c r="D8" i="35"/>
  <c r="D9" i="35"/>
  <c r="D10" i="35"/>
  <c r="D6" i="35"/>
  <c r="F32" i="37"/>
  <c r="G32" i="37" s="1"/>
  <c r="F40" i="37"/>
  <c r="G40" i="37" s="1"/>
  <c r="F47" i="37"/>
  <c r="G47" i="37" s="1"/>
  <c r="F48" i="37"/>
  <c r="G48" i="37" s="1"/>
  <c r="F49" i="37"/>
  <c r="G49" i="37" s="1"/>
  <c r="F53" i="37"/>
  <c r="G53" i="37" s="1"/>
  <c r="F55" i="37"/>
  <c r="G55" i="37" s="1"/>
  <c r="F56" i="37"/>
  <c r="G56" i="37" s="1"/>
  <c r="F57" i="37"/>
  <c r="G57" i="37" s="1"/>
  <c r="F58" i="37"/>
  <c r="G58" i="37" s="1"/>
  <c r="F59" i="37"/>
  <c r="G59" i="37" s="1"/>
  <c r="F60" i="37"/>
  <c r="G60" i="37" s="1"/>
  <c r="AX54" i="5" l="1"/>
  <c r="V54" i="17"/>
  <c r="AJ54" i="17" s="1"/>
  <c r="V54" i="15"/>
  <c r="AJ54" i="15" s="1"/>
  <c r="AY53" i="5"/>
  <c r="W53" i="17"/>
  <c r="AK53" i="17" s="1"/>
  <c r="W53" i="15"/>
  <c r="AK53" i="15" s="1"/>
  <c r="AZ52" i="5"/>
  <c r="X52" i="15"/>
  <c r="AL52" i="15" s="1"/>
  <c r="X52" i="17"/>
  <c r="AL52" i="17" s="1"/>
  <c r="BE51" i="5"/>
  <c r="AC51" i="15"/>
  <c r="AQ51" i="15" s="1"/>
  <c r="AC51" i="17"/>
  <c r="AQ51" i="17" s="1"/>
  <c r="U51" i="17"/>
  <c r="U51" i="15"/>
  <c r="AX50" i="5"/>
  <c r="V50" i="17"/>
  <c r="AJ50" i="17" s="1"/>
  <c r="V50" i="15"/>
  <c r="AJ50" i="15" s="1"/>
  <c r="AY49" i="5"/>
  <c r="W49" i="17"/>
  <c r="AK49" i="17" s="1"/>
  <c r="W49" i="15"/>
  <c r="AK49" i="15" s="1"/>
  <c r="AZ48" i="5"/>
  <c r="X48" i="15"/>
  <c r="AL48" i="15" s="1"/>
  <c r="X48" i="17"/>
  <c r="AL48" i="17" s="1"/>
  <c r="BA47" i="5"/>
  <c r="Y47" i="17"/>
  <c r="AM47" i="17" s="1"/>
  <c r="Y47" i="15"/>
  <c r="AM47" i="15" s="1"/>
  <c r="BB46" i="5"/>
  <c r="Z46" i="15"/>
  <c r="AN46" i="15" s="1"/>
  <c r="Z46" i="17"/>
  <c r="AN46" i="17" s="1"/>
  <c r="BC45" i="5"/>
  <c r="AA45" i="15"/>
  <c r="AO45" i="15" s="1"/>
  <c r="AA45" i="17"/>
  <c r="AO45" i="17" s="1"/>
  <c r="BD44" i="5"/>
  <c r="AB44" i="15"/>
  <c r="AP44" i="15" s="1"/>
  <c r="AB44" i="17"/>
  <c r="AP44" i="17" s="1"/>
  <c r="BE43" i="5"/>
  <c r="AC43" i="15"/>
  <c r="AQ43" i="15" s="1"/>
  <c r="AC43" i="17"/>
  <c r="AQ43" i="17" s="1"/>
  <c r="U43" i="15"/>
  <c r="U43" i="17"/>
  <c r="AX42" i="5"/>
  <c r="V42" i="15"/>
  <c r="AJ42" i="15" s="1"/>
  <c r="V42" i="17"/>
  <c r="AJ42" i="17" s="1"/>
  <c r="AA41" i="17"/>
  <c r="AO41" i="17" s="1"/>
  <c r="BC41" i="5"/>
  <c r="AD38" i="17"/>
  <c r="AR38" i="17" s="1"/>
  <c r="BF38" i="5"/>
  <c r="Y35" i="17"/>
  <c r="AM35" i="17" s="1"/>
  <c r="BA35" i="5"/>
  <c r="Z34" i="17"/>
  <c r="AN34" i="17" s="1"/>
  <c r="BB34" i="5"/>
  <c r="AB32" i="15"/>
  <c r="AP32" i="15" s="1"/>
  <c r="BD32" i="5"/>
  <c r="AC31" i="17"/>
  <c r="AQ31" i="17" s="1"/>
  <c r="BE31" i="5"/>
  <c r="Z30" i="17"/>
  <c r="AN30" i="17" s="1"/>
  <c r="BB30" i="5"/>
  <c r="AA29" i="17"/>
  <c r="AO29" i="17" s="1"/>
  <c r="BC29" i="5"/>
  <c r="BF54" i="5"/>
  <c r="AD54" i="15"/>
  <c r="AR54" i="15" s="1"/>
  <c r="AD54" i="17"/>
  <c r="AR54" i="17" s="1"/>
  <c r="R54" i="15"/>
  <c r="R54" i="17"/>
  <c r="S53" i="15"/>
  <c r="S53" i="17"/>
  <c r="T52" i="17"/>
  <c r="T52" i="15"/>
  <c r="BF50" i="5"/>
  <c r="AD50" i="15"/>
  <c r="AR50" i="15" s="1"/>
  <c r="AD50" i="17"/>
  <c r="AR50" i="17" s="1"/>
  <c r="R50" i="15"/>
  <c r="R50" i="17"/>
  <c r="S49" i="15"/>
  <c r="S49" i="17"/>
  <c r="T48" i="17"/>
  <c r="T48" i="15"/>
  <c r="U47" i="15"/>
  <c r="U47" i="17"/>
  <c r="BF46" i="5"/>
  <c r="AD46" i="15"/>
  <c r="AR46" i="15" s="1"/>
  <c r="AD46" i="17"/>
  <c r="AR46" i="17" s="1"/>
  <c r="R46" i="15"/>
  <c r="R46" i="17"/>
  <c r="AY45" i="5"/>
  <c r="W45" i="17"/>
  <c r="AK45" i="17" s="1"/>
  <c r="W45" i="15"/>
  <c r="AK45" i="15" s="1"/>
  <c r="AZ44" i="5"/>
  <c r="X44" i="17"/>
  <c r="AL44" i="17" s="1"/>
  <c r="X44" i="15"/>
  <c r="AL44" i="15" s="1"/>
  <c r="BA43" i="5"/>
  <c r="Y43" i="17"/>
  <c r="AM43" i="17" s="1"/>
  <c r="Y43" i="15"/>
  <c r="AM43" i="15" s="1"/>
  <c r="BB42" i="5"/>
  <c r="Z42" i="15"/>
  <c r="AN42" i="15" s="1"/>
  <c r="Z42" i="17"/>
  <c r="AN42" i="17" s="1"/>
  <c r="AB40" i="17"/>
  <c r="AP40" i="17" s="1"/>
  <c r="BD40" i="5"/>
  <c r="AC39" i="17"/>
  <c r="AQ39" i="17" s="1"/>
  <c r="BE39" i="5"/>
  <c r="AB36" i="17"/>
  <c r="AP36" i="17" s="1"/>
  <c r="BD36" i="5"/>
  <c r="AC35" i="17"/>
  <c r="AQ35" i="17" s="1"/>
  <c r="BE35" i="5"/>
  <c r="AD34" i="17"/>
  <c r="AR34" i="17" s="1"/>
  <c r="BF34" i="5"/>
  <c r="AA33" i="17"/>
  <c r="AO33" i="17" s="1"/>
  <c r="BC33" i="5"/>
  <c r="Y31" i="17"/>
  <c r="AM31" i="17" s="1"/>
  <c r="BA31" i="5"/>
  <c r="AB28" i="17"/>
  <c r="AP28" i="17" s="1"/>
  <c r="BD28" i="5"/>
  <c r="BB54" i="5"/>
  <c r="Z54" i="15"/>
  <c r="AN54" i="15" s="1"/>
  <c r="Z54" i="17"/>
  <c r="AN54" i="17" s="1"/>
  <c r="BC53" i="5"/>
  <c r="AA53" i="15"/>
  <c r="AO53" i="15" s="1"/>
  <c r="AA53" i="17"/>
  <c r="AO53" i="17" s="1"/>
  <c r="BD52" i="5"/>
  <c r="AB52" i="17"/>
  <c r="AP52" i="17" s="1"/>
  <c r="AB52" i="15"/>
  <c r="AP52" i="15" s="1"/>
  <c r="BA51" i="5"/>
  <c r="Y51" i="15"/>
  <c r="AM51" i="15" s="1"/>
  <c r="Y51" i="17"/>
  <c r="AM51" i="17" s="1"/>
  <c r="BB50" i="5"/>
  <c r="Z50" i="15"/>
  <c r="AN50" i="15" s="1"/>
  <c r="Z50" i="17"/>
  <c r="AN50" i="17" s="1"/>
  <c r="BC49" i="5"/>
  <c r="AA49" i="15"/>
  <c r="AO49" i="15" s="1"/>
  <c r="AA49" i="17"/>
  <c r="AO49" i="17" s="1"/>
  <c r="BD48" i="5"/>
  <c r="AB48" i="15"/>
  <c r="AP48" i="15" s="1"/>
  <c r="AB48" i="17"/>
  <c r="AP48" i="17" s="1"/>
  <c r="BE47" i="5"/>
  <c r="AC47" i="15"/>
  <c r="AQ47" i="15" s="1"/>
  <c r="AC47" i="17"/>
  <c r="AQ47" i="17" s="1"/>
  <c r="AX46" i="5"/>
  <c r="V46" i="17"/>
  <c r="AJ46" i="17" s="1"/>
  <c r="V46" i="15"/>
  <c r="AJ46" i="15" s="1"/>
  <c r="S45" i="15"/>
  <c r="S45" i="17"/>
  <c r="T44" i="15"/>
  <c r="T44" i="17"/>
  <c r="BF42" i="5"/>
  <c r="AD42" i="15"/>
  <c r="AR42" i="15" s="1"/>
  <c r="AD42" i="17"/>
  <c r="AR42" i="17" s="1"/>
  <c r="R42" i="17"/>
  <c r="R42" i="15"/>
  <c r="Y39" i="17"/>
  <c r="AM39" i="17" s="1"/>
  <c r="BA39" i="5"/>
  <c r="Z38" i="17"/>
  <c r="AN38" i="17" s="1"/>
  <c r="BB38" i="5"/>
  <c r="AA37" i="15"/>
  <c r="AO37" i="15" s="1"/>
  <c r="BC37" i="5"/>
  <c r="AA37" i="17"/>
  <c r="AO37" i="17" s="1"/>
  <c r="AD30" i="17"/>
  <c r="AR30" i="17" s="1"/>
  <c r="BF30" i="5"/>
  <c r="AC38" i="17"/>
  <c r="AQ38" i="17" s="1"/>
  <c r="BE38" i="5"/>
  <c r="Z37" i="17"/>
  <c r="AN37" i="17" s="1"/>
  <c r="BB37" i="5"/>
  <c r="AB35" i="17"/>
  <c r="AP35" i="17" s="1"/>
  <c r="BD35" i="5"/>
  <c r="AC34" i="17"/>
  <c r="AQ34" i="17" s="1"/>
  <c r="BE34" i="5"/>
  <c r="AA32" i="17"/>
  <c r="AO32" i="17" s="1"/>
  <c r="BC32" i="5"/>
  <c r="AB31" i="17"/>
  <c r="AP31" i="17" s="1"/>
  <c r="BD31" i="5"/>
  <c r="Y30" i="17"/>
  <c r="AM30" i="17" s="1"/>
  <c r="BA30" i="5"/>
  <c r="Z29" i="15"/>
  <c r="AN29" i="15" s="1"/>
  <c r="BB29" i="5"/>
  <c r="AB41" i="17"/>
  <c r="AP41" i="17" s="1"/>
  <c r="BD41" i="5"/>
  <c r="AC40" i="17"/>
  <c r="AQ40" i="17" s="1"/>
  <c r="BE40" i="5"/>
  <c r="Y40" i="17"/>
  <c r="AM40" i="17" s="1"/>
  <c r="BA40" i="5"/>
  <c r="AD39" i="17"/>
  <c r="AR39" i="17" s="1"/>
  <c r="BF39" i="5"/>
  <c r="Z39" i="17"/>
  <c r="AN39" i="17" s="1"/>
  <c r="BB39" i="5"/>
  <c r="AA38" i="17"/>
  <c r="AO38" i="17" s="1"/>
  <c r="BC38" i="5"/>
  <c r="AB37" i="17"/>
  <c r="AP37" i="17" s="1"/>
  <c r="BD37" i="5"/>
  <c r="AC36" i="17"/>
  <c r="AQ36" i="17" s="1"/>
  <c r="BE36" i="5"/>
  <c r="Y36" i="17"/>
  <c r="AM36" i="17" s="1"/>
  <c r="BA36" i="5"/>
  <c r="AD35" i="17"/>
  <c r="AR35" i="17" s="1"/>
  <c r="BF35" i="5"/>
  <c r="Z35" i="17"/>
  <c r="AN35" i="17" s="1"/>
  <c r="BB35" i="5"/>
  <c r="AA34" i="17"/>
  <c r="AO34" i="17" s="1"/>
  <c r="BC34" i="5"/>
  <c r="AB33" i="17"/>
  <c r="AP33" i="17" s="1"/>
  <c r="BD33" i="5"/>
  <c r="AC32" i="17"/>
  <c r="AQ32" i="17" s="1"/>
  <c r="BE32" i="5"/>
  <c r="Y32" i="17"/>
  <c r="AM32" i="17" s="1"/>
  <c r="BA32" i="5"/>
  <c r="AD31" i="17"/>
  <c r="AR31" i="17" s="1"/>
  <c r="BF31" i="5"/>
  <c r="Z31" i="17"/>
  <c r="AN31" i="17" s="1"/>
  <c r="BB31" i="5"/>
  <c r="AA30" i="17"/>
  <c r="AO30" i="17" s="1"/>
  <c r="BC30" i="5"/>
  <c r="AB29" i="17"/>
  <c r="AP29" i="17" s="1"/>
  <c r="BD29" i="5"/>
  <c r="AC28" i="17"/>
  <c r="AQ28" i="17" s="1"/>
  <c r="BE28" i="5"/>
  <c r="Y28" i="17"/>
  <c r="AM28" i="17" s="1"/>
  <c r="BA28" i="5"/>
  <c r="AA54" i="15"/>
  <c r="AO54" i="15" s="1"/>
  <c r="W54" i="15"/>
  <c r="AK54" i="15" s="1"/>
  <c r="S54" i="15"/>
  <c r="AB53" i="15"/>
  <c r="AP53" i="15" s="1"/>
  <c r="X53" i="15"/>
  <c r="AL53" i="15" s="1"/>
  <c r="T53" i="15"/>
  <c r="AC52" i="15"/>
  <c r="AQ52" i="15" s="1"/>
  <c r="Y52" i="15"/>
  <c r="AM52" i="15" s="1"/>
  <c r="U52" i="15"/>
  <c r="AD51" i="15"/>
  <c r="AR51" i="15" s="1"/>
  <c r="Z51" i="15"/>
  <c r="AN51" i="15" s="1"/>
  <c r="V51" i="15"/>
  <c r="AJ51" i="15" s="1"/>
  <c r="R51" i="15"/>
  <c r="AA50" i="15"/>
  <c r="AO50" i="15" s="1"/>
  <c r="W50" i="15"/>
  <c r="AK50" i="15" s="1"/>
  <c r="S50" i="15"/>
  <c r="AB49" i="15"/>
  <c r="AP49" i="15" s="1"/>
  <c r="X49" i="15"/>
  <c r="AL49" i="15" s="1"/>
  <c r="T49" i="15"/>
  <c r="AC48" i="15"/>
  <c r="AQ48" i="15" s="1"/>
  <c r="Y48" i="15"/>
  <c r="AM48" i="15" s="1"/>
  <c r="U48" i="15"/>
  <c r="AD47" i="15"/>
  <c r="AR47" i="15" s="1"/>
  <c r="Z47" i="15"/>
  <c r="AN47" i="15" s="1"/>
  <c r="V47" i="15"/>
  <c r="AJ47" i="15" s="1"/>
  <c r="R47" i="15"/>
  <c r="AA46" i="15"/>
  <c r="AO46" i="15" s="1"/>
  <c r="W46" i="15"/>
  <c r="AK46" i="15" s="1"/>
  <c r="S46" i="15"/>
  <c r="AB45" i="15"/>
  <c r="AP45" i="15" s="1"/>
  <c r="X45" i="15"/>
  <c r="AL45" i="15" s="1"/>
  <c r="T45" i="15"/>
  <c r="AC44" i="15"/>
  <c r="AQ44" i="15" s="1"/>
  <c r="Y44" i="15"/>
  <c r="AM44" i="15" s="1"/>
  <c r="U44" i="15"/>
  <c r="AD43" i="15"/>
  <c r="AR43" i="15" s="1"/>
  <c r="Z43" i="15"/>
  <c r="AN43" i="15" s="1"/>
  <c r="V43" i="15"/>
  <c r="AJ43" i="15" s="1"/>
  <c r="R43" i="15"/>
  <c r="AA42" i="15"/>
  <c r="AO42" i="15" s="1"/>
  <c r="W42" i="15"/>
  <c r="AK42" i="15" s="1"/>
  <c r="S42" i="15"/>
  <c r="AD41" i="17"/>
  <c r="AR41" i="17" s="1"/>
  <c r="BF41" i="5"/>
  <c r="Z41" i="17"/>
  <c r="AN41" i="17" s="1"/>
  <c r="BB41" i="5"/>
  <c r="AA40" i="17"/>
  <c r="AO40" i="17" s="1"/>
  <c r="BC40" i="5"/>
  <c r="AB39" i="17"/>
  <c r="AP39" i="17" s="1"/>
  <c r="BD39" i="5"/>
  <c r="Y38" i="17"/>
  <c r="AM38" i="17" s="1"/>
  <c r="BA38" i="5"/>
  <c r="AD37" i="17"/>
  <c r="AR37" i="17" s="1"/>
  <c r="BF37" i="5"/>
  <c r="AA36" i="17"/>
  <c r="AO36" i="17" s="1"/>
  <c r="BC36" i="5"/>
  <c r="Y34" i="17"/>
  <c r="AM34" i="17" s="1"/>
  <c r="BA34" i="5"/>
  <c r="AD33" i="17"/>
  <c r="AR33" i="17" s="1"/>
  <c r="BF33" i="5"/>
  <c r="Z33" i="17"/>
  <c r="AN33" i="17" s="1"/>
  <c r="BB33" i="5"/>
  <c r="AC30" i="17"/>
  <c r="AQ30" i="17" s="1"/>
  <c r="BE30" i="5"/>
  <c r="AD29" i="17"/>
  <c r="AR29" i="17" s="1"/>
  <c r="BF29" i="5"/>
  <c r="AA28" i="17"/>
  <c r="AO28" i="17" s="1"/>
  <c r="BC28" i="5"/>
  <c r="AC54" i="15"/>
  <c r="AQ54" i="15" s="1"/>
  <c r="Y54" i="15"/>
  <c r="AM54" i="15" s="1"/>
  <c r="AD53" i="15"/>
  <c r="AR53" i="15" s="1"/>
  <c r="Z53" i="15"/>
  <c r="AN53" i="15" s="1"/>
  <c r="V53" i="15"/>
  <c r="AJ53" i="15" s="1"/>
  <c r="AA52" i="15"/>
  <c r="AO52" i="15" s="1"/>
  <c r="W52" i="15"/>
  <c r="AK52" i="15" s="1"/>
  <c r="AB51" i="15"/>
  <c r="AP51" i="15" s="1"/>
  <c r="X51" i="15"/>
  <c r="AL51" i="15" s="1"/>
  <c r="AC50" i="15"/>
  <c r="AQ50" i="15" s="1"/>
  <c r="Y50" i="15"/>
  <c r="AM50" i="15" s="1"/>
  <c r="AD49" i="15"/>
  <c r="AR49" i="15" s="1"/>
  <c r="Z49" i="15"/>
  <c r="AN49" i="15" s="1"/>
  <c r="V49" i="15"/>
  <c r="AJ49" i="15" s="1"/>
  <c r="AA48" i="15"/>
  <c r="AO48" i="15" s="1"/>
  <c r="W48" i="15"/>
  <c r="AK48" i="15" s="1"/>
  <c r="AB47" i="15"/>
  <c r="AP47" i="15" s="1"/>
  <c r="X47" i="15"/>
  <c r="AL47" i="15" s="1"/>
  <c r="AC46" i="15"/>
  <c r="AQ46" i="15" s="1"/>
  <c r="Y46" i="15"/>
  <c r="AM46" i="15" s="1"/>
  <c r="AD45" i="15"/>
  <c r="AR45" i="15" s="1"/>
  <c r="Z45" i="15"/>
  <c r="AN45" i="15" s="1"/>
  <c r="V45" i="15"/>
  <c r="AJ45" i="15" s="1"/>
  <c r="AA44" i="15"/>
  <c r="AO44" i="15" s="1"/>
  <c r="W44" i="15"/>
  <c r="AK44" i="15" s="1"/>
  <c r="AB43" i="15"/>
  <c r="AP43" i="15" s="1"/>
  <c r="X43" i="15"/>
  <c r="AL43" i="15" s="1"/>
  <c r="AC42" i="15"/>
  <c r="AQ42" i="15" s="1"/>
  <c r="Y42" i="15"/>
  <c r="AM42" i="15" s="1"/>
  <c r="AD41" i="15"/>
  <c r="AR41" i="15" s="1"/>
  <c r="Z29" i="17"/>
  <c r="AN29" i="17" s="1"/>
  <c r="AC41" i="17"/>
  <c r="AQ41" i="17" s="1"/>
  <c r="BE41" i="5"/>
  <c r="Y41" i="17"/>
  <c r="AM41" i="17" s="1"/>
  <c r="BA41" i="5"/>
  <c r="AD40" i="17"/>
  <c r="AR40" i="17" s="1"/>
  <c r="BF40" i="5"/>
  <c r="Z40" i="17"/>
  <c r="AN40" i="17" s="1"/>
  <c r="BB40" i="5"/>
  <c r="AA39" i="17"/>
  <c r="AO39" i="17" s="1"/>
  <c r="BC39" i="5"/>
  <c r="AB38" i="17"/>
  <c r="AP38" i="17" s="1"/>
  <c r="BD38" i="5"/>
  <c r="AC37" i="17"/>
  <c r="AQ37" i="17" s="1"/>
  <c r="BE37" i="5"/>
  <c r="Y37" i="17"/>
  <c r="AM37" i="17" s="1"/>
  <c r="BA37" i="5"/>
  <c r="AD36" i="17"/>
  <c r="AR36" i="17" s="1"/>
  <c r="BF36" i="5"/>
  <c r="Z36" i="17"/>
  <c r="AN36" i="17" s="1"/>
  <c r="BB36" i="5"/>
  <c r="AA35" i="17"/>
  <c r="AO35" i="17" s="1"/>
  <c r="BC35" i="5"/>
  <c r="AB34" i="17"/>
  <c r="AP34" i="17" s="1"/>
  <c r="BD34" i="5"/>
  <c r="AC33" i="17"/>
  <c r="AQ33" i="17" s="1"/>
  <c r="BE33" i="5"/>
  <c r="Y33" i="17"/>
  <c r="AM33" i="17" s="1"/>
  <c r="BA33" i="5"/>
  <c r="AD32" i="17"/>
  <c r="AR32" i="17" s="1"/>
  <c r="BF32" i="5"/>
  <c r="Z32" i="17"/>
  <c r="AN32" i="17" s="1"/>
  <c r="BB32" i="5"/>
  <c r="AA31" i="17"/>
  <c r="AO31" i="17" s="1"/>
  <c r="BC31" i="5"/>
  <c r="AB30" i="17"/>
  <c r="AP30" i="17" s="1"/>
  <c r="BD30" i="5"/>
  <c r="AC29" i="17"/>
  <c r="AQ29" i="17" s="1"/>
  <c r="BE29" i="5"/>
  <c r="Y29" i="17"/>
  <c r="AM29" i="17" s="1"/>
  <c r="BA29" i="5"/>
  <c r="AD28" i="17"/>
  <c r="AR28" i="17" s="1"/>
  <c r="BF28" i="5"/>
  <c r="Z28" i="17"/>
  <c r="AN28" i="17" s="1"/>
  <c r="BB28" i="5"/>
  <c r="AB54" i="15"/>
  <c r="AP54" i="15" s="1"/>
  <c r="X54" i="15"/>
  <c r="AL54" i="15" s="1"/>
  <c r="AC53" i="15"/>
  <c r="AQ53" i="15" s="1"/>
  <c r="Y53" i="15"/>
  <c r="AM53" i="15" s="1"/>
  <c r="AD52" i="15"/>
  <c r="AR52" i="15" s="1"/>
  <c r="Z52" i="15"/>
  <c r="AN52" i="15" s="1"/>
  <c r="V52" i="15"/>
  <c r="AJ52" i="15" s="1"/>
  <c r="AA51" i="15"/>
  <c r="AO51" i="15" s="1"/>
  <c r="W51" i="15"/>
  <c r="AK51" i="15" s="1"/>
  <c r="AB50" i="15"/>
  <c r="AP50" i="15" s="1"/>
  <c r="X50" i="15"/>
  <c r="AL50" i="15" s="1"/>
  <c r="AC49" i="15"/>
  <c r="AQ49" i="15" s="1"/>
  <c r="Y49" i="15"/>
  <c r="AM49" i="15" s="1"/>
  <c r="AD48" i="15"/>
  <c r="AR48" i="15" s="1"/>
  <c r="Z48" i="15"/>
  <c r="AN48" i="15" s="1"/>
  <c r="V48" i="15"/>
  <c r="AJ48" i="15" s="1"/>
  <c r="AA47" i="15"/>
  <c r="AO47" i="15" s="1"/>
  <c r="W47" i="15"/>
  <c r="AK47" i="15" s="1"/>
  <c r="AB46" i="15"/>
  <c r="AP46" i="15" s="1"/>
  <c r="X46" i="15"/>
  <c r="AL46" i="15" s="1"/>
  <c r="AC45" i="15"/>
  <c r="AQ45" i="15" s="1"/>
  <c r="Y45" i="15"/>
  <c r="AM45" i="15" s="1"/>
  <c r="AD44" i="15"/>
  <c r="AR44" i="15" s="1"/>
  <c r="Z44" i="15"/>
  <c r="AN44" i="15" s="1"/>
  <c r="V44" i="15"/>
  <c r="AJ44" i="15" s="1"/>
  <c r="AA43" i="15"/>
  <c r="AO43" i="15" s="1"/>
  <c r="W43" i="15"/>
  <c r="AK43" i="15" s="1"/>
  <c r="AB42" i="15"/>
  <c r="AP42" i="15" s="1"/>
  <c r="X42" i="15"/>
  <c r="AL42" i="15" s="1"/>
  <c r="AC41" i="15"/>
  <c r="AQ41" i="15" s="1"/>
  <c r="AA54" i="17"/>
  <c r="AO54" i="17" s="1"/>
  <c r="W54" i="17"/>
  <c r="AK54" i="17" s="1"/>
  <c r="AB53" i="17"/>
  <c r="AP53" i="17" s="1"/>
  <c r="X53" i="17"/>
  <c r="AL53" i="17" s="1"/>
  <c r="AC52" i="17"/>
  <c r="AQ52" i="17" s="1"/>
  <c r="Y52" i="17"/>
  <c r="AM52" i="17" s="1"/>
  <c r="AD51" i="17"/>
  <c r="AR51" i="17" s="1"/>
  <c r="Z51" i="17"/>
  <c r="AN51" i="17" s="1"/>
  <c r="V51" i="17"/>
  <c r="AJ51" i="17" s="1"/>
  <c r="AA50" i="17"/>
  <c r="AO50" i="17" s="1"/>
  <c r="W50" i="17"/>
  <c r="AK50" i="17" s="1"/>
  <c r="AB49" i="17"/>
  <c r="AP49" i="17" s="1"/>
  <c r="X49" i="17"/>
  <c r="AL49" i="17" s="1"/>
  <c r="AC48" i="17"/>
  <c r="AQ48" i="17" s="1"/>
  <c r="Y48" i="17"/>
  <c r="AM48" i="17" s="1"/>
  <c r="AD47" i="17"/>
  <c r="AR47" i="17" s="1"/>
  <c r="Z47" i="17"/>
  <c r="AN47" i="17" s="1"/>
  <c r="V47" i="17"/>
  <c r="AJ47" i="17" s="1"/>
  <c r="AA46" i="17"/>
  <c r="AO46" i="17" s="1"/>
  <c r="W46" i="17"/>
  <c r="AK46" i="17" s="1"/>
  <c r="AB45" i="17"/>
  <c r="AP45" i="17" s="1"/>
  <c r="X45" i="17"/>
  <c r="AL45" i="17" s="1"/>
  <c r="AC44" i="17"/>
  <c r="AQ44" i="17" s="1"/>
  <c r="Y44" i="17"/>
  <c r="AM44" i="17" s="1"/>
  <c r="AD43" i="17"/>
  <c r="AR43" i="17" s="1"/>
  <c r="Z43" i="17"/>
  <c r="AN43" i="17" s="1"/>
  <c r="V43" i="17"/>
  <c r="AJ43" i="17" s="1"/>
  <c r="AA42" i="17"/>
  <c r="AO42" i="17" s="1"/>
  <c r="W42" i="17"/>
  <c r="AK42" i="17" s="1"/>
  <c r="R40" i="15"/>
  <c r="U38" i="15"/>
  <c r="X36" i="15"/>
  <c r="AL36" i="15" s="1"/>
  <c r="S35" i="15"/>
  <c r="Y31" i="15"/>
  <c r="AM31" i="15" s="1"/>
  <c r="T30" i="15"/>
  <c r="Z26" i="15"/>
  <c r="AN26" i="15" s="1"/>
  <c r="U25" i="15"/>
  <c r="X23" i="15"/>
  <c r="AL23" i="15" s="1"/>
  <c r="R12" i="15"/>
  <c r="V41" i="17"/>
  <c r="AJ41" i="17" s="1"/>
  <c r="AB32" i="17"/>
  <c r="AP32" i="17" s="1"/>
  <c r="V28" i="17"/>
  <c r="AJ28" i="17" s="1"/>
  <c r="AB19" i="17"/>
  <c r="AP19" i="17" s="1"/>
  <c r="AD14" i="17"/>
  <c r="AR14" i="17" s="1"/>
  <c r="X10" i="17"/>
  <c r="AL10" i="17" s="1"/>
  <c r="Y39" i="15"/>
  <c r="AM39" i="15" s="1"/>
  <c r="W36" i="15"/>
  <c r="AK36" i="15" s="1"/>
  <c r="Z34" i="15"/>
  <c r="AN34" i="15" s="1"/>
  <c r="X31" i="15"/>
  <c r="AL31" i="15" s="1"/>
  <c r="AA29" i="15"/>
  <c r="AO29" i="15" s="1"/>
  <c r="Y26" i="15"/>
  <c r="AM26" i="15" s="1"/>
  <c r="W23" i="15"/>
  <c r="AK23" i="15" s="1"/>
  <c r="AD11" i="15"/>
  <c r="AR11" i="15" s="1"/>
  <c r="U41" i="17"/>
  <c r="AC27" i="17"/>
  <c r="AQ27" i="17" s="1"/>
  <c r="Y18" i="17"/>
  <c r="AM18" i="17" s="1"/>
  <c r="AC14" i="17"/>
  <c r="AQ14" i="17" s="1"/>
  <c r="R10" i="17"/>
  <c r="Z6" i="15"/>
  <c r="AN6" i="15" s="1"/>
  <c r="X39" i="15"/>
  <c r="AL39" i="15" s="1"/>
  <c r="V36" i="15"/>
  <c r="AJ36" i="15" s="1"/>
  <c r="Y34" i="15"/>
  <c r="AM34" i="15" s="1"/>
  <c r="W31" i="15"/>
  <c r="AK31" i="15" s="1"/>
  <c r="X26" i="15"/>
  <c r="AL26" i="15" s="1"/>
  <c r="AA22" i="15"/>
  <c r="AO22" i="15" s="1"/>
  <c r="AC8" i="15"/>
  <c r="AQ8" i="15" s="1"/>
  <c r="AD22" i="17"/>
  <c r="AR22" i="17" s="1"/>
  <c r="X18" i="17"/>
  <c r="AL18" i="17" s="1"/>
  <c r="Z13" i="17"/>
  <c r="AN13" i="17" s="1"/>
  <c r="AD9" i="17"/>
  <c r="AR9" i="17" s="1"/>
  <c r="Y6" i="15"/>
  <c r="AM6" i="15" s="1"/>
  <c r="AB40" i="15"/>
  <c r="AP40" i="15" s="1"/>
  <c r="W39" i="15"/>
  <c r="AK39" i="15" s="1"/>
  <c r="Z37" i="15"/>
  <c r="AN37" i="15" s="1"/>
  <c r="AC35" i="15"/>
  <c r="AQ35" i="15" s="1"/>
  <c r="X34" i="15"/>
  <c r="AL34" i="15" s="1"/>
  <c r="AA32" i="15"/>
  <c r="AO32" i="15" s="1"/>
  <c r="AD30" i="15"/>
  <c r="AR30" i="15" s="1"/>
  <c r="Y29" i="15"/>
  <c r="AM29" i="15" s="1"/>
  <c r="AB27" i="15"/>
  <c r="AP27" i="15" s="1"/>
  <c r="R26" i="15"/>
  <c r="Z24" i="15"/>
  <c r="AN24" i="15" s="1"/>
  <c r="X21" i="15"/>
  <c r="AL21" i="15" s="1"/>
  <c r="S7" i="15"/>
  <c r="AA21" i="17"/>
  <c r="AO21" i="17" s="1"/>
  <c r="R18" i="17"/>
  <c r="Y13" i="17"/>
  <c r="AM13" i="17" s="1"/>
  <c r="AA8" i="17"/>
  <c r="AO8" i="17" s="1"/>
  <c r="X6" i="15"/>
  <c r="AL6" i="15" s="1"/>
  <c r="AA40" i="15"/>
  <c r="AO40" i="15" s="1"/>
  <c r="AD38" i="15"/>
  <c r="AR38" i="15" s="1"/>
  <c r="Y37" i="15"/>
  <c r="AM37" i="15" s="1"/>
  <c r="AB35" i="15"/>
  <c r="AP35" i="15" s="1"/>
  <c r="R34" i="15"/>
  <c r="Z32" i="15"/>
  <c r="AN32" i="15" s="1"/>
  <c r="AC30" i="15"/>
  <c r="AQ30" i="15" s="1"/>
  <c r="S29" i="15"/>
  <c r="AA27" i="15"/>
  <c r="AO27" i="15" s="1"/>
  <c r="AD25" i="15"/>
  <c r="AR25" i="15" s="1"/>
  <c r="T24" i="15"/>
  <c r="AA18" i="15"/>
  <c r="AO18" i="15" s="1"/>
  <c r="R7" i="15"/>
  <c r="Z21" i="17"/>
  <c r="AN21" i="17" s="1"/>
  <c r="AB16" i="17"/>
  <c r="AP16" i="17" s="1"/>
  <c r="S13" i="17"/>
  <c r="Z8" i="17"/>
  <c r="AN8" i="17" s="1"/>
  <c r="Z40" i="15"/>
  <c r="AN40" i="15" s="1"/>
  <c r="AC38" i="15"/>
  <c r="AQ38" i="15" s="1"/>
  <c r="S37" i="15"/>
  <c r="AA35" i="15"/>
  <c r="AO35" i="15" s="1"/>
  <c r="AD33" i="15"/>
  <c r="AR33" i="15" s="1"/>
  <c r="T32" i="15"/>
  <c r="AB30" i="15"/>
  <c r="AP30" i="15" s="1"/>
  <c r="R29" i="15"/>
  <c r="U27" i="15"/>
  <c r="AC25" i="15"/>
  <c r="AQ25" i="15" s="1"/>
  <c r="S24" i="15"/>
  <c r="AD16" i="15"/>
  <c r="AR16" i="15" s="1"/>
  <c r="Y21" i="17"/>
  <c r="AM21" i="17" s="1"/>
  <c r="AA16" i="17"/>
  <c r="AO16" i="17" s="1"/>
  <c r="AC11" i="17"/>
  <c r="AQ11" i="17" s="1"/>
  <c r="T8" i="17"/>
  <c r="T18" i="15"/>
  <c r="V8" i="15"/>
  <c r="AJ8" i="15" s="1"/>
  <c r="R6" i="15"/>
  <c r="W6" i="15"/>
  <c r="AK6" i="15" s="1"/>
  <c r="AB41" i="15"/>
  <c r="AP41" i="15" s="1"/>
  <c r="T41" i="15"/>
  <c r="Y40" i="15"/>
  <c r="AM40" i="15" s="1"/>
  <c r="AD39" i="15"/>
  <c r="AR39" i="15" s="1"/>
  <c r="V39" i="15"/>
  <c r="AJ39" i="15" s="1"/>
  <c r="AA38" i="15"/>
  <c r="AO38" i="15" s="1"/>
  <c r="S38" i="15"/>
  <c r="X37" i="15"/>
  <c r="AL37" i="15" s="1"/>
  <c r="AC36" i="15"/>
  <c r="AQ36" i="15" s="1"/>
  <c r="U36" i="15"/>
  <c r="Z35" i="15"/>
  <c r="AN35" i="15" s="1"/>
  <c r="R35" i="15"/>
  <c r="W34" i="15"/>
  <c r="AK34" i="15" s="1"/>
  <c r="AB33" i="15"/>
  <c r="AP33" i="15" s="1"/>
  <c r="T33" i="15"/>
  <c r="Y32" i="15"/>
  <c r="AM32" i="15" s="1"/>
  <c r="AD31" i="15"/>
  <c r="AR31" i="15" s="1"/>
  <c r="V31" i="15"/>
  <c r="AJ31" i="15" s="1"/>
  <c r="AA30" i="15"/>
  <c r="AO30" i="15" s="1"/>
  <c r="S30" i="15"/>
  <c r="X29" i="15"/>
  <c r="AL29" i="15" s="1"/>
  <c r="AC28" i="15"/>
  <c r="AQ28" i="15" s="1"/>
  <c r="U28" i="15"/>
  <c r="Z27" i="15"/>
  <c r="AN27" i="15" s="1"/>
  <c r="R27" i="15"/>
  <c r="W26" i="15"/>
  <c r="AK26" i="15" s="1"/>
  <c r="AB25" i="15"/>
  <c r="AP25" i="15" s="1"/>
  <c r="T25" i="15"/>
  <c r="Y24" i="15"/>
  <c r="AM24" i="15" s="1"/>
  <c r="AD23" i="15"/>
  <c r="AR23" i="15" s="1"/>
  <c r="V23" i="15"/>
  <c r="AJ23" i="15" s="1"/>
  <c r="W22" i="15"/>
  <c r="AK22" i="15" s="1"/>
  <c r="T21" i="15"/>
  <c r="X19" i="15"/>
  <c r="AL19" i="15" s="1"/>
  <c r="S18" i="15"/>
  <c r="V16" i="15"/>
  <c r="AJ16" i="15" s="1"/>
  <c r="Y14" i="15"/>
  <c r="AM14" i="15" s="1"/>
  <c r="T13" i="15"/>
  <c r="W11" i="15"/>
  <c r="AK11" i="15" s="1"/>
  <c r="Z9" i="15"/>
  <c r="AN9" i="15" s="1"/>
  <c r="U8" i="15"/>
  <c r="AC22" i="17"/>
  <c r="AQ22" i="17" s="1"/>
  <c r="S21" i="17"/>
  <c r="AA19" i="17"/>
  <c r="AO19" i="17" s="1"/>
  <c r="AD17" i="17"/>
  <c r="AR17" i="17" s="1"/>
  <c r="T16" i="17"/>
  <c r="AB14" i="17"/>
  <c r="AP14" i="17" s="1"/>
  <c r="R13" i="17"/>
  <c r="U11" i="17"/>
  <c r="AC9" i="17"/>
  <c r="AQ9" i="17" s="1"/>
  <c r="S8" i="17"/>
  <c r="Y22" i="15"/>
  <c r="AM22" i="15" s="1"/>
  <c r="U18" i="15"/>
  <c r="U21" i="15"/>
  <c r="W16" i="15"/>
  <c r="AK16" i="15" s="1"/>
  <c r="U13" i="15"/>
  <c r="S10" i="15"/>
  <c r="AD6" i="15"/>
  <c r="AR6" i="15" s="1"/>
  <c r="V6" i="15"/>
  <c r="AJ6" i="15" s="1"/>
  <c r="AA41" i="15"/>
  <c r="AO41" i="15" s="1"/>
  <c r="S41" i="15"/>
  <c r="X40" i="15"/>
  <c r="AL40" i="15" s="1"/>
  <c r="AC39" i="15"/>
  <c r="AQ39" i="15" s="1"/>
  <c r="U39" i="15"/>
  <c r="Z38" i="15"/>
  <c r="AN38" i="15" s="1"/>
  <c r="R38" i="15"/>
  <c r="W37" i="15"/>
  <c r="AK37" i="15" s="1"/>
  <c r="AB36" i="15"/>
  <c r="AP36" i="15" s="1"/>
  <c r="T36" i="15"/>
  <c r="Y35" i="15"/>
  <c r="AM35" i="15" s="1"/>
  <c r="AD34" i="15"/>
  <c r="AR34" i="15" s="1"/>
  <c r="V34" i="15"/>
  <c r="AJ34" i="15" s="1"/>
  <c r="AA33" i="15"/>
  <c r="AO33" i="15" s="1"/>
  <c r="S33" i="15"/>
  <c r="X32" i="15"/>
  <c r="AL32" i="15" s="1"/>
  <c r="AC31" i="15"/>
  <c r="AQ31" i="15" s="1"/>
  <c r="U31" i="15"/>
  <c r="Z30" i="15"/>
  <c r="AN30" i="15" s="1"/>
  <c r="R30" i="15"/>
  <c r="W29" i="15"/>
  <c r="AK29" i="15" s="1"/>
  <c r="AB28" i="15"/>
  <c r="AP28" i="15" s="1"/>
  <c r="T28" i="15"/>
  <c r="Y27" i="15"/>
  <c r="AM27" i="15" s="1"/>
  <c r="AD26" i="15"/>
  <c r="AR26" i="15" s="1"/>
  <c r="V26" i="15"/>
  <c r="AJ26" i="15" s="1"/>
  <c r="AA25" i="15"/>
  <c r="AO25" i="15" s="1"/>
  <c r="S25" i="15"/>
  <c r="X24" i="15"/>
  <c r="AL24" i="15" s="1"/>
  <c r="AC23" i="15"/>
  <c r="AQ23" i="15" s="1"/>
  <c r="U23" i="15"/>
  <c r="S22" i="15"/>
  <c r="AC20" i="15"/>
  <c r="AQ20" i="15" s="1"/>
  <c r="W19" i="15"/>
  <c r="AK19" i="15" s="1"/>
  <c r="Z17" i="15"/>
  <c r="AN17" i="15" s="1"/>
  <c r="U16" i="15"/>
  <c r="X14" i="15"/>
  <c r="AL14" i="15" s="1"/>
  <c r="AA12" i="15"/>
  <c r="AO12" i="15" s="1"/>
  <c r="V11" i="15"/>
  <c r="AJ11" i="15" s="1"/>
  <c r="Y9" i="15"/>
  <c r="AM9" i="15" s="1"/>
  <c r="AB7" i="15"/>
  <c r="AP7" i="15" s="1"/>
  <c r="AB22" i="17"/>
  <c r="AP22" i="17" s="1"/>
  <c r="R21" i="17"/>
  <c r="U19" i="17"/>
  <c r="AC17" i="17"/>
  <c r="AQ17" i="17" s="1"/>
  <c r="S16" i="17"/>
  <c r="V14" i="17"/>
  <c r="AJ14" i="17" s="1"/>
  <c r="AD12" i="17"/>
  <c r="AR12" i="17" s="1"/>
  <c r="T11" i="17"/>
  <c r="W9" i="17"/>
  <c r="AK9" i="17" s="1"/>
  <c r="R8" i="17"/>
  <c r="S20" i="15"/>
  <c r="R20" i="15"/>
  <c r="S15" i="15"/>
  <c r="T10" i="15"/>
  <c r="X22" i="15"/>
  <c r="AL22" i="15" s="1"/>
  <c r="AD19" i="15"/>
  <c r="AR19" i="15" s="1"/>
  <c r="R15" i="15"/>
  <c r="X11" i="15"/>
  <c r="AL11" i="15" s="1"/>
  <c r="AC6" i="15"/>
  <c r="AQ6" i="15" s="1"/>
  <c r="U6" i="15"/>
  <c r="Z41" i="15"/>
  <c r="AN41" i="15" s="1"/>
  <c r="R41" i="15"/>
  <c r="W40" i="15"/>
  <c r="AK40" i="15" s="1"/>
  <c r="AB39" i="15"/>
  <c r="AP39" i="15" s="1"/>
  <c r="T39" i="15"/>
  <c r="Y38" i="15"/>
  <c r="AM38" i="15" s="1"/>
  <c r="AD37" i="15"/>
  <c r="AR37" i="15" s="1"/>
  <c r="V37" i="15"/>
  <c r="AJ37" i="15" s="1"/>
  <c r="AA36" i="15"/>
  <c r="AO36" i="15" s="1"/>
  <c r="S36" i="15"/>
  <c r="X35" i="15"/>
  <c r="AL35" i="15" s="1"/>
  <c r="AC34" i="15"/>
  <c r="AQ34" i="15" s="1"/>
  <c r="U34" i="15"/>
  <c r="Z33" i="15"/>
  <c r="AN33" i="15" s="1"/>
  <c r="R33" i="15"/>
  <c r="W32" i="15"/>
  <c r="AK32" i="15" s="1"/>
  <c r="AB31" i="15"/>
  <c r="AP31" i="15" s="1"/>
  <c r="T31" i="15"/>
  <c r="Y30" i="15"/>
  <c r="AM30" i="15" s="1"/>
  <c r="AD29" i="15"/>
  <c r="AR29" i="15" s="1"/>
  <c r="V29" i="15"/>
  <c r="AJ29" i="15" s="1"/>
  <c r="AA28" i="15"/>
  <c r="AO28" i="15" s="1"/>
  <c r="S28" i="15"/>
  <c r="X27" i="15"/>
  <c r="AL27" i="15" s="1"/>
  <c r="AC26" i="15"/>
  <c r="AQ26" i="15" s="1"/>
  <c r="U26" i="15"/>
  <c r="Z25" i="15"/>
  <c r="AN25" i="15" s="1"/>
  <c r="R25" i="15"/>
  <c r="W24" i="15"/>
  <c r="AK24" i="15" s="1"/>
  <c r="AB23" i="15"/>
  <c r="AP23" i="15" s="1"/>
  <c r="T23" i="15"/>
  <c r="AD21" i="15"/>
  <c r="AR21" i="15" s="1"/>
  <c r="AA20" i="15"/>
  <c r="AO20" i="15" s="1"/>
  <c r="V19" i="15"/>
  <c r="AJ19" i="15" s="1"/>
  <c r="Y17" i="15"/>
  <c r="AM17" i="15" s="1"/>
  <c r="AB15" i="15"/>
  <c r="AP15" i="15" s="1"/>
  <c r="W14" i="15"/>
  <c r="AK14" i="15" s="1"/>
  <c r="Z12" i="15"/>
  <c r="AN12" i="15" s="1"/>
  <c r="AC10" i="15"/>
  <c r="AQ10" i="15" s="1"/>
  <c r="X9" i="15"/>
  <c r="AL9" i="15" s="1"/>
  <c r="AA7" i="15"/>
  <c r="AO7" i="15" s="1"/>
  <c r="V22" i="17"/>
  <c r="AJ22" i="17" s="1"/>
  <c r="AD20" i="17"/>
  <c r="AR20" i="17" s="1"/>
  <c r="T19" i="17"/>
  <c r="W17" i="17"/>
  <c r="AK17" i="17" s="1"/>
  <c r="R16" i="17"/>
  <c r="U14" i="17"/>
  <c r="X12" i="17"/>
  <c r="AL12" i="17" s="1"/>
  <c r="S11" i="17"/>
  <c r="V9" i="17"/>
  <c r="AJ9" i="17" s="1"/>
  <c r="Y7" i="17"/>
  <c r="AM7" i="17" s="1"/>
  <c r="T15" i="15"/>
  <c r="U20" i="15"/>
  <c r="U20" i="17"/>
  <c r="Z19" i="15"/>
  <c r="AN19" i="15" s="1"/>
  <c r="Z19" i="17"/>
  <c r="AN19" i="17" s="1"/>
  <c r="R19" i="15"/>
  <c r="R19" i="17"/>
  <c r="W18" i="15"/>
  <c r="AK18" i="15" s="1"/>
  <c r="W18" i="17"/>
  <c r="AK18" i="17" s="1"/>
  <c r="AB17" i="15"/>
  <c r="AP17" i="15" s="1"/>
  <c r="AB17" i="17"/>
  <c r="AP17" i="17" s="1"/>
  <c r="T17" i="15"/>
  <c r="T17" i="17"/>
  <c r="Y16" i="15"/>
  <c r="AM16" i="15" s="1"/>
  <c r="Y16" i="17"/>
  <c r="AM16" i="17" s="1"/>
  <c r="AD15" i="15"/>
  <c r="AR15" i="15" s="1"/>
  <c r="AD15" i="17"/>
  <c r="AR15" i="17" s="1"/>
  <c r="V15" i="15"/>
  <c r="AJ15" i="15" s="1"/>
  <c r="V15" i="17"/>
  <c r="AJ15" i="17" s="1"/>
  <c r="AA14" i="15"/>
  <c r="AO14" i="15" s="1"/>
  <c r="AA14" i="17"/>
  <c r="AO14" i="17" s="1"/>
  <c r="S14" i="15"/>
  <c r="S14" i="17"/>
  <c r="X13" i="15"/>
  <c r="AL13" i="15" s="1"/>
  <c r="X13" i="17"/>
  <c r="AL13" i="17" s="1"/>
  <c r="AC12" i="15"/>
  <c r="AQ12" i="15" s="1"/>
  <c r="AC12" i="17"/>
  <c r="AQ12" i="17" s="1"/>
  <c r="U12" i="15"/>
  <c r="U12" i="17"/>
  <c r="Z11" i="15"/>
  <c r="AN11" i="15" s="1"/>
  <c r="Z11" i="17"/>
  <c r="AN11" i="17" s="1"/>
  <c r="R11" i="15"/>
  <c r="R11" i="17"/>
  <c r="W10" i="15"/>
  <c r="AK10" i="15" s="1"/>
  <c r="W10" i="17"/>
  <c r="AK10" i="17" s="1"/>
  <c r="AB9" i="15"/>
  <c r="AP9" i="15" s="1"/>
  <c r="AB9" i="17"/>
  <c r="AP9" i="17" s="1"/>
  <c r="T9" i="15"/>
  <c r="T9" i="17"/>
  <c r="Y8" i="15"/>
  <c r="AM8" i="15" s="1"/>
  <c r="Y8" i="17"/>
  <c r="AM8" i="17" s="1"/>
  <c r="AD7" i="15"/>
  <c r="AR7" i="15" s="1"/>
  <c r="AD7" i="17"/>
  <c r="AR7" i="17" s="1"/>
  <c r="V7" i="15"/>
  <c r="AJ7" i="15" s="1"/>
  <c r="V7" i="17"/>
  <c r="AJ7" i="17" s="1"/>
  <c r="AB6" i="15"/>
  <c r="AP6" i="15" s="1"/>
  <c r="T6" i="15"/>
  <c r="Y41" i="15"/>
  <c r="AM41" i="15" s="1"/>
  <c r="AD40" i="15"/>
  <c r="AR40" i="15" s="1"/>
  <c r="V40" i="15"/>
  <c r="AJ40" i="15" s="1"/>
  <c r="AA39" i="15"/>
  <c r="AO39" i="15" s="1"/>
  <c r="S39" i="15"/>
  <c r="X38" i="15"/>
  <c r="AL38" i="15" s="1"/>
  <c r="AC37" i="15"/>
  <c r="AQ37" i="15" s="1"/>
  <c r="U37" i="15"/>
  <c r="Z36" i="15"/>
  <c r="AN36" i="15" s="1"/>
  <c r="R36" i="15"/>
  <c r="W35" i="15"/>
  <c r="AK35" i="15" s="1"/>
  <c r="AB34" i="15"/>
  <c r="AP34" i="15" s="1"/>
  <c r="T34" i="15"/>
  <c r="Y33" i="15"/>
  <c r="AM33" i="15" s="1"/>
  <c r="AD32" i="15"/>
  <c r="AR32" i="15" s="1"/>
  <c r="V32" i="15"/>
  <c r="AJ32" i="15" s="1"/>
  <c r="AA31" i="15"/>
  <c r="AO31" i="15" s="1"/>
  <c r="S31" i="15"/>
  <c r="X30" i="15"/>
  <c r="AL30" i="15" s="1"/>
  <c r="AC29" i="15"/>
  <c r="AQ29" i="15" s="1"/>
  <c r="U29" i="15"/>
  <c r="Z28" i="15"/>
  <c r="AN28" i="15" s="1"/>
  <c r="R28" i="15"/>
  <c r="W27" i="15"/>
  <c r="AK27" i="15" s="1"/>
  <c r="AB26" i="15"/>
  <c r="AP26" i="15" s="1"/>
  <c r="T26" i="15"/>
  <c r="Y25" i="15"/>
  <c r="AM25" i="15" s="1"/>
  <c r="AD24" i="15"/>
  <c r="AR24" i="15" s="1"/>
  <c r="V24" i="15"/>
  <c r="AJ24" i="15" s="1"/>
  <c r="AA23" i="15"/>
  <c r="AO23" i="15" s="1"/>
  <c r="S23" i="15"/>
  <c r="AC21" i="15"/>
  <c r="AQ21" i="15" s="1"/>
  <c r="Z20" i="15"/>
  <c r="AN20" i="15" s="1"/>
  <c r="AC18" i="15"/>
  <c r="AQ18" i="15" s="1"/>
  <c r="X17" i="15"/>
  <c r="AL17" i="15" s="1"/>
  <c r="AA15" i="15"/>
  <c r="AO15" i="15" s="1"/>
  <c r="AD13" i="15"/>
  <c r="AR13" i="15" s="1"/>
  <c r="Y12" i="15"/>
  <c r="AM12" i="15" s="1"/>
  <c r="AB10" i="15"/>
  <c r="AP10" i="15" s="1"/>
  <c r="R9" i="15"/>
  <c r="Z7" i="15"/>
  <c r="AN7" i="15" s="1"/>
  <c r="U22" i="17"/>
  <c r="X20" i="17"/>
  <c r="AL20" i="17" s="1"/>
  <c r="S19" i="17"/>
  <c r="V17" i="17"/>
  <c r="AJ17" i="17" s="1"/>
  <c r="Y15" i="17"/>
  <c r="AM15" i="17" s="1"/>
  <c r="T14" i="17"/>
  <c r="W12" i="17"/>
  <c r="AK12" i="17" s="1"/>
  <c r="Z10" i="17"/>
  <c r="AN10" i="17" s="1"/>
  <c r="U9" i="17"/>
  <c r="X7" i="17"/>
  <c r="AL7" i="17" s="1"/>
  <c r="U10" i="15"/>
  <c r="V21" i="15"/>
  <c r="AJ21" i="15" s="1"/>
  <c r="V13" i="15"/>
  <c r="AJ13" i="15" s="1"/>
  <c r="W8" i="15"/>
  <c r="AK8" i="15" s="1"/>
  <c r="Z22" i="15"/>
  <c r="AN22" i="15" s="1"/>
  <c r="Z22" i="17"/>
  <c r="AN22" i="17" s="1"/>
  <c r="R22" i="15"/>
  <c r="R22" i="17"/>
  <c r="W21" i="15"/>
  <c r="AK21" i="15" s="1"/>
  <c r="W21" i="17"/>
  <c r="AK21" i="17" s="1"/>
  <c r="AB20" i="15"/>
  <c r="AP20" i="15" s="1"/>
  <c r="AB20" i="17"/>
  <c r="AP20" i="17" s="1"/>
  <c r="T20" i="15"/>
  <c r="T20" i="17"/>
  <c r="Y19" i="15"/>
  <c r="AM19" i="15" s="1"/>
  <c r="Y19" i="17"/>
  <c r="AM19" i="17" s="1"/>
  <c r="AD18" i="15"/>
  <c r="AR18" i="15" s="1"/>
  <c r="AD18" i="17"/>
  <c r="AR18" i="17" s="1"/>
  <c r="V18" i="15"/>
  <c r="AJ18" i="15" s="1"/>
  <c r="V18" i="17"/>
  <c r="AJ18" i="17" s="1"/>
  <c r="AA17" i="15"/>
  <c r="AO17" i="15" s="1"/>
  <c r="AA17" i="17"/>
  <c r="AO17" i="17" s="1"/>
  <c r="S17" i="15"/>
  <c r="S17" i="17"/>
  <c r="X16" i="15"/>
  <c r="AL16" i="15" s="1"/>
  <c r="X16" i="17"/>
  <c r="AL16" i="17" s="1"/>
  <c r="AC15" i="15"/>
  <c r="AQ15" i="15" s="1"/>
  <c r="AC15" i="17"/>
  <c r="AQ15" i="17" s="1"/>
  <c r="U15" i="15"/>
  <c r="U15" i="17"/>
  <c r="Z14" i="15"/>
  <c r="AN14" i="15" s="1"/>
  <c r="Z14" i="17"/>
  <c r="AN14" i="17" s="1"/>
  <c r="R14" i="15"/>
  <c r="R14" i="17"/>
  <c r="W13" i="15"/>
  <c r="AK13" i="15" s="1"/>
  <c r="W13" i="17"/>
  <c r="AK13" i="17" s="1"/>
  <c r="AB12" i="15"/>
  <c r="AP12" i="15" s="1"/>
  <c r="AB12" i="17"/>
  <c r="AP12" i="17" s="1"/>
  <c r="T12" i="15"/>
  <c r="T12" i="17"/>
  <c r="Y11" i="15"/>
  <c r="AM11" i="15" s="1"/>
  <c r="Y11" i="17"/>
  <c r="AM11" i="17" s="1"/>
  <c r="AD10" i="15"/>
  <c r="AR10" i="15" s="1"/>
  <c r="AD10" i="17"/>
  <c r="AR10" i="17" s="1"/>
  <c r="V10" i="15"/>
  <c r="AJ10" i="15" s="1"/>
  <c r="V10" i="17"/>
  <c r="AJ10" i="17" s="1"/>
  <c r="AA9" i="15"/>
  <c r="AO9" i="15" s="1"/>
  <c r="AA9" i="17"/>
  <c r="AO9" i="17" s="1"/>
  <c r="S9" i="15"/>
  <c r="S9" i="17"/>
  <c r="X8" i="15"/>
  <c r="AL8" i="15" s="1"/>
  <c r="X8" i="17"/>
  <c r="AL8" i="17" s="1"/>
  <c r="AC7" i="15"/>
  <c r="AQ7" i="15" s="1"/>
  <c r="AC7" i="17"/>
  <c r="AQ7" i="17" s="1"/>
  <c r="U7" i="15"/>
  <c r="U7" i="17"/>
  <c r="AA6" i="15"/>
  <c r="AO6" i="15" s="1"/>
  <c r="S6" i="15"/>
  <c r="X41" i="15"/>
  <c r="AL41" i="15" s="1"/>
  <c r="AC40" i="15"/>
  <c r="AQ40" i="15" s="1"/>
  <c r="U40" i="15"/>
  <c r="Z39" i="15"/>
  <c r="AN39" i="15" s="1"/>
  <c r="R39" i="15"/>
  <c r="W38" i="15"/>
  <c r="AK38" i="15" s="1"/>
  <c r="AB37" i="15"/>
  <c r="AP37" i="15" s="1"/>
  <c r="T37" i="15"/>
  <c r="Y36" i="15"/>
  <c r="AM36" i="15" s="1"/>
  <c r="AD35" i="15"/>
  <c r="AR35" i="15" s="1"/>
  <c r="V35" i="15"/>
  <c r="AJ35" i="15" s="1"/>
  <c r="AA34" i="15"/>
  <c r="AO34" i="15" s="1"/>
  <c r="S34" i="15"/>
  <c r="X33" i="15"/>
  <c r="AL33" i="15" s="1"/>
  <c r="AC32" i="15"/>
  <c r="AQ32" i="15" s="1"/>
  <c r="U32" i="15"/>
  <c r="Z31" i="15"/>
  <c r="AN31" i="15" s="1"/>
  <c r="R31" i="15"/>
  <c r="W30" i="15"/>
  <c r="AK30" i="15" s="1"/>
  <c r="AB29" i="15"/>
  <c r="AP29" i="15" s="1"/>
  <c r="T29" i="15"/>
  <c r="Y28" i="15"/>
  <c r="AM28" i="15" s="1"/>
  <c r="AD27" i="15"/>
  <c r="AR27" i="15" s="1"/>
  <c r="V27" i="15"/>
  <c r="AJ27" i="15" s="1"/>
  <c r="AA26" i="15"/>
  <c r="AO26" i="15" s="1"/>
  <c r="S26" i="15"/>
  <c r="X25" i="15"/>
  <c r="AL25" i="15" s="1"/>
  <c r="AC24" i="15"/>
  <c r="AQ24" i="15" s="1"/>
  <c r="U24" i="15"/>
  <c r="Z23" i="15"/>
  <c r="AN23" i="15" s="1"/>
  <c r="R23" i="15"/>
  <c r="AB21" i="15"/>
  <c r="AP21" i="15" s="1"/>
  <c r="Y20" i="15"/>
  <c r="AM20" i="15" s="1"/>
  <c r="AB18" i="15"/>
  <c r="AP18" i="15" s="1"/>
  <c r="R17" i="15"/>
  <c r="Z15" i="15"/>
  <c r="AN15" i="15" s="1"/>
  <c r="AC13" i="15"/>
  <c r="AQ13" i="15" s="1"/>
  <c r="S12" i="15"/>
  <c r="AA10" i="15"/>
  <c r="AO10" i="15" s="1"/>
  <c r="AD8" i="15"/>
  <c r="AR8" i="15" s="1"/>
  <c r="T7" i="15"/>
  <c r="T22" i="17"/>
  <c r="W20" i="17"/>
  <c r="AK20" i="17" s="1"/>
  <c r="Z18" i="17"/>
  <c r="AN18" i="17" s="1"/>
  <c r="U17" i="17"/>
  <c r="X15" i="17"/>
  <c r="AL15" i="17" s="1"/>
  <c r="AA13" i="17"/>
  <c r="AO13" i="17" s="1"/>
  <c r="V12" i="17"/>
  <c r="AJ12" i="17" s="1"/>
  <c r="Y10" i="17"/>
  <c r="AM10" i="17" s="1"/>
  <c r="AB8" i="17"/>
  <c r="AP8" i="17" s="1"/>
  <c r="W7" i="17"/>
  <c r="AK7" i="17" s="1"/>
  <c r="F65" i="37"/>
  <c r="G65" i="37" s="1"/>
  <c r="F66" i="37"/>
  <c r="G66" i="37" s="1"/>
  <c r="F67" i="37"/>
  <c r="G67" i="37" s="1"/>
  <c r="F9" i="36"/>
  <c r="F12" i="36"/>
  <c r="F13" i="36"/>
  <c r="F14" i="36"/>
  <c r="F15" i="36"/>
  <c r="F16" i="36"/>
  <c r="F17" i="36"/>
  <c r="F20" i="36"/>
  <c r="F21" i="36"/>
  <c r="F22" i="36"/>
  <c r="F23" i="36"/>
  <c r="F24" i="36"/>
  <c r="F25" i="36"/>
  <c r="F28" i="36"/>
  <c r="F29" i="36"/>
  <c r="F30" i="36"/>
  <c r="F36" i="36"/>
  <c r="F37" i="36"/>
  <c r="F38" i="36"/>
  <c r="F39" i="36"/>
  <c r="F40" i="36"/>
  <c r="F41" i="36"/>
  <c r="E42" i="36"/>
  <c r="E43" i="36"/>
  <c r="E44" i="36"/>
  <c r="F44" i="36" s="1"/>
  <c r="E45" i="36"/>
  <c r="F45" i="36" s="1"/>
  <c r="E46" i="36"/>
  <c r="F46" i="36" s="1"/>
  <c r="E47" i="36"/>
  <c r="F47" i="36" s="1"/>
  <c r="E48" i="36"/>
  <c r="F48" i="36" s="1"/>
  <c r="E49" i="36"/>
  <c r="F49" i="36" s="1"/>
  <c r="E50" i="36"/>
  <c r="E6" i="36"/>
  <c r="F6" i="36" s="1"/>
  <c r="E7" i="35"/>
  <c r="F7" i="35" s="1"/>
  <c r="E8" i="35"/>
  <c r="F8" i="35" s="1"/>
  <c r="E9" i="35"/>
  <c r="F9" i="35" s="1"/>
  <c r="E10" i="35"/>
  <c r="F10" i="35" s="1"/>
  <c r="E6" i="35"/>
  <c r="F6" i="35" s="1"/>
  <c r="F61" i="37"/>
  <c r="G61" i="37" s="1"/>
  <c r="F62" i="37"/>
  <c r="G62" i="37" s="1"/>
  <c r="F63" i="37"/>
  <c r="G63" i="37" s="1"/>
  <c r="F64" i="37"/>
  <c r="G64" i="37" s="1"/>
  <c r="K7" i="37"/>
  <c r="B1" i="37"/>
  <c r="F8" i="36"/>
  <c r="F10" i="36"/>
  <c r="F11" i="36"/>
  <c r="F18" i="36"/>
  <c r="F19" i="36"/>
  <c r="F26" i="36"/>
  <c r="F27" i="36"/>
  <c r="F31" i="36"/>
  <c r="F32" i="36"/>
  <c r="F33" i="36"/>
  <c r="F34" i="36"/>
  <c r="F35" i="36"/>
  <c r="F42" i="36"/>
  <c r="F43" i="36"/>
  <c r="F50" i="36"/>
  <c r="B1" i="36"/>
  <c r="B1" i="35"/>
  <c r="B6" i="17" l="1"/>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F26" i="4" l="1"/>
  <c r="A8" i="33" l="1"/>
  <c r="A10" i="33" s="1"/>
  <c r="A12" i="33" s="1"/>
  <c r="A15" i="33" l="1"/>
  <c r="A18" i="33" s="1"/>
  <c r="A27" i="33" s="1"/>
  <c r="A29" i="33" s="1"/>
  <c r="A31" i="33" s="1"/>
  <c r="A33" i="33" s="1"/>
  <c r="AT7" i="5"/>
  <c r="AT8" i="5"/>
  <c r="AT9" i="5"/>
  <c r="AT10" i="5"/>
  <c r="AT11" i="5"/>
  <c r="AT12" i="5"/>
  <c r="AT13" i="5"/>
  <c r="AT14" i="5"/>
  <c r="AT15" i="5"/>
  <c r="AT16" i="5"/>
  <c r="AT17" i="5"/>
  <c r="AT18" i="5"/>
  <c r="AT19" i="5"/>
  <c r="AT20" i="5"/>
  <c r="AT21" i="5"/>
  <c r="AT22"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49" i="5"/>
  <c r="AT50" i="5"/>
  <c r="AT51" i="5"/>
  <c r="AT52" i="5"/>
  <c r="AT53" i="5"/>
  <c r="AT54" i="5"/>
  <c r="AT55" i="5"/>
  <c r="AT56" i="5"/>
  <c r="AT57" i="5"/>
  <c r="AT58" i="5"/>
  <c r="AT59" i="5"/>
  <c r="AT60" i="5"/>
  <c r="AT61" i="5"/>
  <c r="AT62" i="5"/>
  <c r="AT63" i="5"/>
  <c r="AT64" i="5"/>
  <c r="AT65" i="5"/>
  <c r="AT6" i="5"/>
  <c r="A35" i="33" l="1"/>
  <c r="A37" i="33" s="1"/>
  <c r="A40" i="33" s="1"/>
  <c r="A43" i="33" s="1"/>
  <c r="A47" i="33" s="1"/>
  <c r="A49" i="33" s="1"/>
  <c r="AG35" i="15"/>
  <c r="AF35" i="15"/>
  <c r="AH35" i="15"/>
  <c r="AI35" i="15"/>
  <c r="AF36" i="15"/>
  <c r="AH36" i="15"/>
  <c r="AI36" i="15"/>
  <c r="AG36" i="15"/>
  <c r="AF37" i="15"/>
  <c r="AG37" i="15"/>
  <c r="AI37" i="15"/>
  <c r="AH37" i="15"/>
  <c r="AF38" i="15"/>
  <c r="AG38" i="15"/>
  <c r="AH38" i="15"/>
  <c r="AI38" i="15"/>
  <c r="AG39" i="15"/>
  <c r="AH39" i="15"/>
  <c r="AI39" i="15"/>
  <c r="AF39" i="15"/>
  <c r="AF40" i="15"/>
  <c r="AH40" i="15"/>
  <c r="AG40" i="15"/>
  <c r="AI40" i="15"/>
  <c r="AI41" i="15"/>
  <c r="AF41" i="15"/>
  <c r="AG41" i="15"/>
  <c r="AH41" i="15"/>
  <c r="AF42" i="15"/>
  <c r="AG42" i="15"/>
  <c r="AH42" i="15"/>
  <c r="AI42" i="15"/>
  <c r="AG43" i="15"/>
  <c r="AF43" i="15"/>
  <c r="AH43" i="15"/>
  <c r="AI43" i="15"/>
  <c r="AH44" i="15"/>
  <c r="AI44" i="15"/>
  <c r="AF44" i="15"/>
  <c r="AG44" i="15"/>
  <c r="AG45" i="15"/>
  <c r="AI45" i="15"/>
  <c r="AF45" i="15"/>
  <c r="AH45" i="15"/>
  <c r="AF46" i="15"/>
  <c r="AG46" i="15"/>
  <c r="AH46" i="15"/>
  <c r="AI46" i="15"/>
  <c r="AG47" i="15"/>
  <c r="AI47" i="15"/>
  <c r="AF47" i="15"/>
  <c r="AH47" i="15"/>
  <c r="AF48" i="15"/>
  <c r="AH48" i="15"/>
  <c r="AG48" i="15"/>
  <c r="AI48" i="15"/>
  <c r="AI49" i="15"/>
  <c r="AF49" i="15"/>
  <c r="AG49" i="15"/>
  <c r="AH49" i="15"/>
  <c r="AF50" i="15"/>
  <c r="AH50" i="15"/>
  <c r="AG50" i="15"/>
  <c r="AI50" i="15"/>
  <c r="AG51" i="15"/>
  <c r="AF51" i="15"/>
  <c r="AH51" i="15"/>
  <c r="AI51" i="15"/>
  <c r="AH52" i="15"/>
  <c r="AF52" i="15"/>
  <c r="AG52" i="15"/>
  <c r="AI52" i="15"/>
  <c r="AG53" i="15"/>
  <c r="AI53" i="15"/>
  <c r="AF53" i="15"/>
  <c r="AH53" i="15"/>
  <c r="AF54" i="15"/>
  <c r="AG54" i="15"/>
  <c r="AH54" i="15"/>
  <c r="AI5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6" i="15"/>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6" i="13"/>
  <c r="A51" i="33" l="1"/>
  <c r="A56" i="33" s="1"/>
  <c r="A59" i="33" s="1"/>
  <c r="A61" i="33" s="1"/>
  <c r="A63" i="33" s="1"/>
  <c r="A66" i="33" s="1"/>
  <c r="A68" i="33" s="1"/>
  <c r="A71" i="33" s="1"/>
  <c r="A74" i="33" s="1"/>
  <c r="A77" i="33" s="1"/>
  <c r="A80" i="33" s="1"/>
  <c r="AS36" i="15"/>
  <c r="AS49" i="15"/>
  <c r="AS54" i="15"/>
  <c r="AS52" i="15"/>
  <c r="AS42" i="15"/>
  <c r="AS40" i="15"/>
  <c r="AS37" i="15"/>
  <c r="AS51" i="15"/>
  <c r="AS44" i="15"/>
  <c r="AS35" i="15"/>
  <c r="AS45" i="15"/>
  <c r="AS53" i="15"/>
  <c r="AS39" i="15"/>
  <c r="AS50" i="15"/>
  <c r="AS48" i="15"/>
  <c r="AS47" i="15"/>
  <c r="AS41" i="15"/>
  <c r="AS38" i="15"/>
  <c r="AS46" i="15"/>
  <c r="AS43" i="15"/>
  <c r="R36" i="5" l="1"/>
  <c r="BI36" i="5" s="1"/>
  <c r="S36" i="5"/>
  <c r="T36" i="5"/>
  <c r="U36" i="5"/>
  <c r="BL36" i="5" s="1"/>
  <c r="V36" i="5"/>
  <c r="BM36" i="5" s="1"/>
  <c r="W36" i="5"/>
  <c r="BN36" i="5" s="1"/>
  <c r="X36" i="5"/>
  <c r="BO36" i="5" s="1"/>
  <c r="Y36" i="5"/>
  <c r="BP36" i="5" s="1"/>
  <c r="Z36" i="5"/>
  <c r="BQ36" i="5" s="1"/>
  <c r="AA36" i="5"/>
  <c r="BR36" i="5" s="1"/>
  <c r="AB36" i="5"/>
  <c r="BS36" i="5" s="1"/>
  <c r="AC36" i="5"/>
  <c r="BT36" i="5" s="1"/>
  <c r="AD36" i="5"/>
  <c r="BU36" i="5" s="1"/>
  <c r="R37" i="5"/>
  <c r="BI37" i="5" s="1"/>
  <c r="S37" i="5"/>
  <c r="BJ37" i="5" s="1"/>
  <c r="T37" i="5"/>
  <c r="BK37" i="5" s="1"/>
  <c r="U37" i="5"/>
  <c r="V37" i="5"/>
  <c r="BM37" i="5" s="1"/>
  <c r="W37" i="5"/>
  <c r="BN37" i="5" s="1"/>
  <c r="X37" i="5"/>
  <c r="BO37" i="5" s="1"/>
  <c r="Y37" i="5"/>
  <c r="BP37" i="5" s="1"/>
  <c r="Z37" i="5"/>
  <c r="BQ37" i="5" s="1"/>
  <c r="AA37" i="5"/>
  <c r="BR37" i="5" s="1"/>
  <c r="AB37" i="5"/>
  <c r="BS37" i="5" s="1"/>
  <c r="AC37" i="5"/>
  <c r="BT37" i="5" s="1"/>
  <c r="AD37" i="5"/>
  <c r="BU37" i="5" s="1"/>
  <c r="R38" i="5"/>
  <c r="S38" i="5"/>
  <c r="BJ38" i="5" s="1"/>
  <c r="T38" i="5"/>
  <c r="BK38" i="5" s="1"/>
  <c r="U38" i="5"/>
  <c r="BL38" i="5" s="1"/>
  <c r="V38" i="5"/>
  <c r="BM38" i="5" s="1"/>
  <c r="W38" i="5"/>
  <c r="BN38" i="5" s="1"/>
  <c r="X38" i="5"/>
  <c r="BO38" i="5" s="1"/>
  <c r="Y38" i="5"/>
  <c r="BP38" i="5" s="1"/>
  <c r="Z38" i="5"/>
  <c r="BQ38" i="5" s="1"/>
  <c r="AA38" i="5"/>
  <c r="BR38" i="5" s="1"/>
  <c r="AB38" i="5"/>
  <c r="BS38" i="5" s="1"/>
  <c r="AC38" i="5"/>
  <c r="BT38" i="5" s="1"/>
  <c r="AD38" i="5"/>
  <c r="BU38" i="5" s="1"/>
  <c r="R39" i="5"/>
  <c r="BI39" i="5" s="1"/>
  <c r="S39" i="5"/>
  <c r="T39" i="5"/>
  <c r="U39" i="5"/>
  <c r="V39" i="5"/>
  <c r="BM39" i="5" s="1"/>
  <c r="W39" i="5"/>
  <c r="BN39" i="5" s="1"/>
  <c r="X39" i="5"/>
  <c r="BO39" i="5" s="1"/>
  <c r="Y39" i="5"/>
  <c r="BP39" i="5" s="1"/>
  <c r="Z39" i="5"/>
  <c r="BQ39" i="5" s="1"/>
  <c r="AA39" i="5"/>
  <c r="BR39" i="5" s="1"/>
  <c r="AB39" i="5"/>
  <c r="BS39" i="5" s="1"/>
  <c r="AC39" i="5"/>
  <c r="BT39" i="5" s="1"/>
  <c r="AD39" i="5"/>
  <c r="BU39" i="5" s="1"/>
  <c r="R40" i="5"/>
  <c r="BI40" i="5" s="1"/>
  <c r="S40" i="5"/>
  <c r="BJ40" i="5" s="1"/>
  <c r="T40" i="5"/>
  <c r="BK40" i="5" s="1"/>
  <c r="U40" i="5"/>
  <c r="BL40" i="5" s="1"/>
  <c r="V40" i="5"/>
  <c r="BM40" i="5" s="1"/>
  <c r="W40" i="5"/>
  <c r="BN40" i="5" s="1"/>
  <c r="X40" i="5"/>
  <c r="BO40" i="5" s="1"/>
  <c r="Y40" i="5"/>
  <c r="BP40" i="5" s="1"/>
  <c r="Z40" i="5"/>
  <c r="BQ40" i="5" s="1"/>
  <c r="AA40" i="5"/>
  <c r="BR40" i="5" s="1"/>
  <c r="AB40" i="5"/>
  <c r="BS40" i="5" s="1"/>
  <c r="AC40" i="5"/>
  <c r="BT40" i="5" s="1"/>
  <c r="AD40" i="5"/>
  <c r="BU40" i="5" s="1"/>
  <c r="R41" i="5"/>
  <c r="S41" i="5"/>
  <c r="T41" i="5"/>
  <c r="BK41" i="5" s="1"/>
  <c r="U41" i="5"/>
  <c r="BL41" i="5" s="1"/>
  <c r="V41" i="5"/>
  <c r="BM41" i="5" s="1"/>
  <c r="W41" i="5"/>
  <c r="BN41" i="5" s="1"/>
  <c r="X41" i="5"/>
  <c r="BO41" i="5" s="1"/>
  <c r="Y41" i="5"/>
  <c r="BP41" i="5" s="1"/>
  <c r="Z41" i="5"/>
  <c r="BQ41" i="5" s="1"/>
  <c r="AA41" i="5"/>
  <c r="BR41" i="5" s="1"/>
  <c r="AB41" i="5"/>
  <c r="BS41" i="5" s="1"/>
  <c r="AC41" i="5"/>
  <c r="BT41" i="5" s="1"/>
  <c r="AD41" i="5"/>
  <c r="BU41" i="5" s="1"/>
  <c r="R42" i="5"/>
  <c r="BI42" i="5" s="1"/>
  <c r="S42" i="5"/>
  <c r="BJ42" i="5" s="1"/>
  <c r="T42" i="5"/>
  <c r="U42" i="5"/>
  <c r="V42" i="5"/>
  <c r="BM42" i="5" s="1"/>
  <c r="W42" i="5"/>
  <c r="BN42" i="5" s="1"/>
  <c r="X42" i="5"/>
  <c r="BO42" i="5" s="1"/>
  <c r="Y42" i="5"/>
  <c r="BP42" i="5" s="1"/>
  <c r="Z42" i="5"/>
  <c r="BQ42" i="5" s="1"/>
  <c r="AA42" i="5"/>
  <c r="BR42" i="5" s="1"/>
  <c r="AB42" i="5"/>
  <c r="BS42" i="5" s="1"/>
  <c r="AC42" i="5"/>
  <c r="BT42" i="5" s="1"/>
  <c r="AD42" i="5"/>
  <c r="BU42" i="5" s="1"/>
  <c r="R43" i="5"/>
  <c r="BI43" i="5" s="1"/>
  <c r="S43" i="5"/>
  <c r="BJ43" i="5" s="1"/>
  <c r="T43" i="5"/>
  <c r="BK43" i="5" s="1"/>
  <c r="U43" i="5"/>
  <c r="BL43" i="5" s="1"/>
  <c r="V43" i="5"/>
  <c r="BM43" i="5" s="1"/>
  <c r="W43" i="5"/>
  <c r="BN43" i="5" s="1"/>
  <c r="X43" i="5"/>
  <c r="BO43" i="5" s="1"/>
  <c r="Y43" i="5"/>
  <c r="BP43" i="5" s="1"/>
  <c r="Z43" i="5"/>
  <c r="BQ43" i="5" s="1"/>
  <c r="AA43" i="5"/>
  <c r="BR43" i="5" s="1"/>
  <c r="AB43" i="5"/>
  <c r="BS43" i="5" s="1"/>
  <c r="AC43" i="5"/>
  <c r="BT43" i="5" s="1"/>
  <c r="AD43" i="5"/>
  <c r="BU43" i="5" s="1"/>
  <c r="R44" i="5"/>
  <c r="S44" i="5"/>
  <c r="T44" i="5"/>
  <c r="U44" i="5"/>
  <c r="BL44" i="5" s="1"/>
  <c r="V44" i="5"/>
  <c r="BM44" i="5" s="1"/>
  <c r="W44" i="5"/>
  <c r="BN44" i="5" s="1"/>
  <c r="X44" i="5"/>
  <c r="BO44" i="5" s="1"/>
  <c r="Y44" i="5"/>
  <c r="BP44" i="5" s="1"/>
  <c r="Z44" i="5"/>
  <c r="BQ44" i="5" s="1"/>
  <c r="AA44" i="5"/>
  <c r="BR44" i="5" s="1"/>
  <c r="AB44" i="5"/>
  <c r="BS44" i="5" s="1"/>
  <c r="AC44" i="5"/>
  <c r="BT44" i="5" s="1"/>
  <c r="AD44" i="5"/>
  <c r="BU44" i="5" s="1"/>
  <c r="R45" i="5"/>
  <c r="BI45" i="5" s="1"/>
  <c r="S45" i="5"/>
  <c r="BJ45" i="5" s="1"/>
  <c r="T45" i="5"/>
  <c r="BK45" i="5" s="1"/>
  <c r="U45" i="5"/>
  <c r="BL45" i="5" s="1"/>
  <c r="V45" i="5"/>
  <c r="BM45" i="5" s="1"/>
  <c r="W45" i="5"/>
  <c r="BN45" i="5" s="1"/>
  <c r="X45" i="5"/>
  <c r="BO45" i="5" s="1"/>
  <c r="Y45" i="5"/>
  <c r="BP45" i="5" s="1"/>
  <c r="Z45" i="5"/>
  <c r="BQ45" i="5" s="1"/>
  <c r="AA45" i="5"/>
  <c r="BR45" i="5" s="1"/>
  <c r="AB45" i="5"/>
  <c r="BS45" i="5" s="1"/>
  <c r="AC45" i="5"/>
  <c r="BT45" i="5" s="1"/>
  <c r="AD45" i="5"/>
  <c r="BU45" i="5" s="1"/>
  <c r="R46" i="5"/>
  <c r="S46" i="5"/>
  <c r="BJ46" i="5" s="1"/>
  <c r="T46" i="5"/>
  <c r="U46" i="5"/>
  <c r="BL46" i="5" s="1"/>
  <c r="V46" i="5"/>
  <c r="BM46" i="5" s="1"/>
  <c r="W46" i="5"/>
  <c r="BN46" i="5" s="1"/>
  <c r="X46" i="5"/>
  <c r="BO46" i="5" s="1"/>
  <c r="Y46" i="5"/>
  <c r="BP46" i="5" s="1"/>
  <c r="Z46" i="5"/>
  <c r="BQ46" i="5" s="1"/>
  <c r="AA46" i="5"/>
  <c r="BR46" i="5" s="1"/>
  <c r="AB46" i="5"/>
  <c r="BS46" i="5" s="1"/>
  <c r="AC46" i="5"/>
  <c r="BT46" i="5" s="1"/>
  <c r="AD46" i="5"/>
  <c r="BU46" i="5" s="1"/>
  <c r="R47" i="5"/>
  <c r="BI47" i="5" s="1"/>
  <c r="S47" i="5"/>
  <c r="BJ47" i="5" s="1"/>
  <c r="T47" i="5"/>
  <c r="U47" i="5"/>
  <c r="V47" i="5"/>
  <c r="BM47" i="5" s="1"/>
  <c r="W47" i="5"/>
  <c r="BN47" i="5" s="1"/>
  <c r="X47" i="5"/>
  <c r="BO47" i="5" s="1"/>
  <c r="Y47" i="5"/>
  <c r="BP47" i="5" s="1"/>
  <c r="Z47" i="5"/>
  <c r="BQ47" i="5" s="1"/>
  <c r="AA47" i="5"/>
  <c r="BR47" i="5" s="1"/>
  <c r="AB47" i="5"/>
  <c r="BS47" i="5" s="1"/>
  <c r="AC47" i="5"/>
  <c r="BT47" i="5" s="1"/>
  <c r="AD47" i="5"/>
  <c r="BU47" i="5" s="1"/>
  <c r="R48" i="5"/>
  <c r="S48" i="5"/>
  <c r="BJ48" i="5" s="1"/>
  <c r="T48" i="5"/>
  <c r="BK48" i="5" s="1"/>
  <c r="U48" i="5"/>
  <c r="BL48" i="5" s="1"/>
  <c r="V48" i="5"/>
  <c r="BM48" i="5" s="1"/>
  <c r="W48" i="5"/>
  <c r="BN48" i="5" s="1"/>
  <c r="X48" i="5"/>
  <c r="BO48" i="5" s="1"/>
  <c r="Y48" i="5"/>
  <c r="BP48" i="5" s="1"/>
  <c r="Z48" i="5"/>
  <c r="BQ48" i="5" s="1"/>
  <c r="AA48" i="5"/>
  <c r="BR48" i="5" s="1"/>
  <c r="AB48" i="5"/>
  <c r="BS48" i="5" s="1"/>
  <c r="AC48" i="5"/>
  <c r="BT48" i="5" s="1"/>
  <c r="AD48" i="5"/>
  <c r="BU48" i="5" s="1"/>
  <c r="R49" i="5"/>
  <c r="S49" i="5"/>
  <c r="T49" i="5"/>
  <c r="BK49" i="5" s="1"/>
  <c r="U49" i="5"/>
  <c r="BL49" i="5" s="1"/>
  <c r="V49" i="5"/>
  <c r="BM49" i="5" s="1"/>
  <c r="W49" i="5"/>
  <c r="BN49" i="5" s="1"/>
  <c r="X49" i="5"/>
  <c r="BO49" i="5" s="1"/>
  <c r="Y49" i="5"/>
  <c r="BP49" i="5" s="1"/>
  <c r="Z49" i="5"/>
  <c r="BQ49" i="5" s="1"/>
  <c r="AA49" i="5"/>
  <c r="BR49" i="5" s="1"/>
  <c r="AB49" i="5"/>
  <c r="BS49" i="5" s="1"/>
  <c r="AC49" i="5"/>
  <c r="BT49" i="5" s="1"/>
  <c r="AD49" i="5"/>
  <c r="BU49" i="5" s="1"/>
  <c r="R50" i="5"/>
  <c r="BI50" i="5" s="1"/>
  <c r="S50" i="5"/>
  <c r="BJ50" i="5" s="1"/>
  <c r="T50" i="5"/>
  <c r="U50" i="5"/>
  <c r="V50" i="5"/>
  <c r="BM50" i="5" s="1"/>
  <c r="W50" i="5"/>
  <c r="BN50" i="5" s="1"/>
  <c r="X50" i="5"/>
  <c r="BO50" i="5" s="1"/>
  <c r="Y50" i="5"/>
  <c r="BP50" i="5" s="1"/>
  <c r="Z50" i="5"/>
  <c r="BQ50" i="5" s="1"/>
  <c r="AA50" i="5"/>
  <c r="BR50" i="5" s="1"/>
  <c r="AB50" i="5"/>
  <c r="BS50" i="5" s="1"/>
  <c r="AC50" i="5"/>
  <c r="BT50" i="5" s="1"/>
  <c r="AD50" i="5"/>
  <c r="BU50" i="5" s="1"/>
  <c r="R51" i="5"/>
  <c r="BI51" i="5" s="1"/>
  <c r="S51" i="5"/>
  <c r="T51" i="5"/>
  <c r="BK51" i="5" s="1"/>
  <c r="U51" i="5"/>
  <c r="BL51" i="5" s="1"/>
  <c r="V51" i="5"/>
  <c r="BM51" i="5" s="1"/>
  <c r="W51" i="5"/>
  <c r="BN51" i="5" s="1"/>
  <c r="X51" i="5"/>
  <c r="BO51" i="5" s="1"/>
  <c r="Y51" i="5"/>
  <c r="BP51" i="5" s="1"/>
  <c r="Z51" i="5"/>
  <c r="BQ51" i="5" s="1"/>
  <c r="AA51" i="5"/>
  <c r="BR51" i="5" s="1"/>
  <c r="AB51" i="5"/>
  <c r="BS51" i="5" s="1"/>
  <c r="AC51" i="5"/>
  <c r="BT51" i="5" s="1"/>
  <c r="AD51" i="5"/>
  <c r="BU51" i="5" s="1"/>
  <c r="R52" i="5"/>
  <c r="BI52" i="5" s="1"/>
  <c r="S52" i="5"/>
  <c r="T52" i="5"/>
  <c r="U52" i="5"/>
  <c r="BL52" i="5" s="1"/>
  <c r="V52" i="5"/>
  <c r="BM52" i="5" s="1"/>
  <c r="W52" i="5"/>
  <c r="BN52" i="5" s="1"/>
  <c r="X52" i="5"/>
  <c r="BO52" i="5" s="1"/>
  <c r="Y52" i="5"/>
  <c r="BP52" i="5" s="1"/>
  <c r="Z52" i="5"/>
  <c r="BQ52" i="5" s="1"/>
  <c r="AA52" i="5"/>
  <c r="BR52" i="5" s="1"/>
  <c r="AB52" i="5"/>
  <c r="BS52" i="5" s="1"/>
  <c r="AC52" i="5"/>
  <c r="BT52" i="5" s="1"/>
  <c r="AD52" i="5"/>
  <c r="BU52" i="5" s="1"/>
  <c r="R53" i="5"/>
  <c r="BI53" i="5" s="1"/>
  <c r="S53" i="5"/>
  <c r="BJ53" i="5" s="1"/>
  <c r="T53" i="5"/>
  <c r="BK53" i="5" s="1"/>
  <c r="U53" i="5"/>
  <c r="V53" i="5"/>
  <c r="BM53" i="5" s="1"/>
  <c r="W53" i="5"/>
  <c r="BN53" i="5" s="1"/>
  <c r="X53" i="5"/>
  <c r="BO53" i="5" s="1"/>
  <c r="Y53" i="5"/>
  <c r="BP53" i="5" s="1"/>
  <c r="Z53" i="5"/>
  <c r="BQ53" i="5" s="1"/>
  <c r="AA53" i="5"/>
  <c r="BR53" i="5" s="1"/>
  <c r="AB53" i="5"/>
  <c r="BS53" i="5" s="1"/>
  <c r="AC53" i="5"/>
  <c r="BT53" i="5" s="1"/>
  <c r="AD53" i="5"/>
  <c r="BU53" i="5" s="1"/>
  <c r="R54" i="5"/>
  <c r="S54" i="5"/>
  <c r="BJ54" i="5" s="1"/>
  <c r="T54" i="5"/>
  <c r="U54" i="5"/>
  <c r="BL54" i="5" s="1"/>
  <c r="V54" i="5"/>
  <c r="BM54" i="5" s="1"/>
  <c r="W54" i="5"/>
  <c r="BN54" i="5" s="1"/>
  <c r="X54" i="5"/>
  <c r="BO54" i="5" s="1"/>
  <c r="Y54" i="5"/>
  <c r="BP54" i="5" s="1"/>
  <c r="Z54" i="5"/>
  <c r="BQ54" i="5" s="1"/>
  <c r="AA54" i="5"/>
  <c r="BR54" i="5" s="1"/>
  <c r="AB54" i="5"/>
  <c r="BS54" i="5" s="1"/>
  <c r="AC54" i="5"/>
  <c r="BT54" i="5" s="1"/>
  <c r="AD54" i="5"/>
  <c r="BU54" i="5" s="1"/>
  <c r="W19" i="5"/>
  <c r="BN19" i="5" s="1"/>
  <c r="AC18" i="5"/>
  <c r="BT18" i="5" s="1"/>
  <c r="U18" i="5"/>
  <c r="BL18" i="5" s="1"/>
  <c r="Y16" i="5"/>
  <c r="BP16" i="5" s="1"/>
  <c r="AC14" i="5"/>
  <c r="BT14" i="5" s="1"/>
  <c r="U14" i="5"/>
  <c r="BL14" i="5" s="1"/>
  <c r="Z12" i="5"/>
  <c r="BQ12" i="5" s="1"/>
  <c r="Y12" i="5"/>
  <c r="BP12" i="5" s="1"/>
  <c r="R12" i="5"/>
  <c r="BI12" i="5" s="1"/>
  <c r="X11" i="5"/>
  <c r="BO11" i="5" s="1"/>
  <c r="W11" i="5"/>
  <c r="BN11" i="5" s="1"/>
  <c r="AC10" i="5"/>
  <c r="BT10" i="5" s="1"/>
  <c r="U10" i="5"/>
  <c r="BL10" i="5" s="1"/>
  <c r="AB9" i="5"/>
  <c r="BS9" i="5" s="1"/>
  <c r="AA9" i="5"/>
  <c r="BR9" i="5" s="1"/>
  <c r="T9" i="5"/>
  <c r="BK9" i="5" s="1"/>
  <c r="S9" i="5"/>
  <c r="BJ9" i="5" s="1"/>
  <c r="Y8" i="5"/>
  <c r="BP8" i="5" s="1"/>
  <c r="X7" i="5"/>
  <c r="BO7" i="5" s="1"/>
  <c r="W7" i="5"/>
  <c r="BN7" i="5" s="1"/>
  <c r="AD6" i="5"/>
  <c r="BU6" i="5" s="1"/>
  <c r="AC6" i="5"/>
  <c r="BT6" i="5" s="1"/>
  <c r="V6" i="5"/>
  <c r="BM6" i="5" s="1"/>
  <c r="U6" i="5"/>
  <c r="BL6" i="5" s="1"/>
  <c r="R6" i="5"/>
  <c r="BI6" i="5" s="1"/>
  <c r="S6" i="5"/>
  <c r="BJ6" i="5" s="1"/>
  <c r="T6" i="5"/>
  <c r="BK6" i="5" s="1"/>
  <c r="W6" i="5"/>
  <c r="BN6" i="5" s="1"/>
  <c r="X6" i="5"/>
  <c r="BO6" i="5" s="1"/>
  <c r="Y6" i="5"/>
  <c r="BP6" i="5" s="1"/>
  <c r="Z6" i="5"/>
  <c r="BQ6" i="5" s="1"/>
  <c r="AA6" i="5"/>
  <c r="BR6" i="5" s="1"/>
  <c r="AB6" i="5"/>
  <c r="BS6" i="5" s="1"/>
  <c r="AU6" i="5"/>
  <c r="AV6" i="5"/>
  <c r="AW6" i="5"/>
  <c r="R7" i="5"/>
  <c r="BI7" i="5" s="1"/>
  <c r="S7" i="5"/>
  <c r="BJ7" i="5" s="1"/>
  <c r="T7" i="5"/>
  <c r="BK7" i="5" s="1"/>
  <c r="U7" i="5"/>
  <c r="BL7" i="5" s="1"/>
  <c r="V7" i="5"/>
  <c r="BM7" i="5" s="1"/>
  <c r="Y7" i="5"/>
  <c r="BP7" i="5" s="1"/>
  <c r="Z7" i="5"/>
  <c r="BQ7" i="5" s="1"/>
  <c r="AA7" i="5"/>
  <c r="BR7" i="5" s="1"/>
  <c r="AB7" i="5"/>
  <c r="BS7" i="5" s="1"/>
  <c r="AC7" i="5"/>
  <c r="BT7" i="5" s="1"/>
  <c r="AD7" i="5"/>
  <c r="BU7" i="5" s="1"/>
  <c r="AU7" i="5"/>
  <c r="AV7" i="5"/>
  <c r="AW7" i="5"/>
  <c r="R8" i="5"/>
  <c r="BI8" i="5" s="1"/>
  <c r="S8" i="5"/>
  <c r="BJ8" i="5" s="1"/>
  <c r="T8" i="5"/>
  <c r="BK8" i="5" s="1"/>
  <c r="U8" i="5"/>
  <c r="BL8" i="5" s="1"/>
  <c r="V8" i="5"/>
  <c r="BM8" i="5" s="1"/>
  <c r="W8" i="5"/>
  <c r="BN8" i="5" s="1"/>
  <c r="X8" i="5"/>
  <c r="BO8" i="5" s="1"/>
  <c r="Z8" i="5"/>
  <c r="BQ8" i="5" s="1"/>
  <c r="AA8" i="5"/>
  <c r="BR8" i="5" s="1"/>
  <c r="AB8" i="5"/>
  <c r="BS8" i="5" s="1"/>
  <c r="AC8" i="5"/>
  <c r="BT8" i="5" s="1"/>
  <c r="AD8" i="5"/>
  <c r="BU8" i="5" s="1"/>
  <c r="AU8" i="5"/>
  <c r="AV8" i="5"/>
  <c r="AW8" i="5"/>
  <c r="R9" i="5"/>
  <c r="BI9" i="5" s="1"/>
  <c r="U9" i="5"/>
  <c r="BL9" i="5" s="1"/>
  <c r="V9" i="5"/>
  <c r="BM9" i="5" s="1"/>
  <c r="W9" i="5"/>
  <c r="BN9" i="5" s="1"/>
  <c r="X9" i="5"/>
  <c r="BO9" i="5" s="1"/>
  <c r="Y9" i="5"/>
  <c r="BP9" i="5" s="1"/>
  <c r="Z9" i="5"/>
  <c r="BQ9" i="5" s="1"/>
  <c r="AC9" i="5"/>
  <c r="BT9" i="5" s="1"/>
  <c r="AD9" i="5"/>
  <c r="BU9" i="5" s="1"/>
  <c r="AU9" i="5"/>
  <c r="AV9" i="5"/>
  <c r="AW9" i="5"/>
  <c r="R10" i="5"/>
  <c r="BI10" i="5" s="1"/>
  <c r="S10" i="5"/>
  <c r="BJ10" i="5" s="1"/>
  <c r="T10" i="5"/>
  <c r="BK10" i="5" s="1"/>
  <c r="V10" i="5"/>
  <c r="BM10" i="5" s="1"/>
  <c r="W10" i="5"/>
  <c r="BN10" i="5" s="1"/>
  <c r="X10" i="5"/>
  <c r="BO10" i="5" s="1"/>
  <c r="Y10" i="5"/>
  <c r="BP10" i="5" s="1"/>
  <c r="Z10" i="5"/>
  <c r="BQ10" i="5" s="1"/>
  <c r="AA10" i="5"/>
  <c r="BR10" i="5" s="1"/>
  <c r="AB10" i="5"/>
  <c r="BS10" i="5" s="1"/>
  <c r="AD10" i="5"/>
  <c r="BU10" i="5" s="1"/>
  <c r="AU10" i="5"/>
  <c r="AV10" i="5"/>
  <c r="AW10" i="5"/>
  <c r="R11" i="5"/>
  <c r="BI11" i="5" s="1"/>
  <c r="S11" i="5"/>
  <c r="BJ11" i="5" s="1"/>
  <c r="T11" i="5"/>
  <c r="BK11" i="5" s="1"/>
  <c r="U11" i="5"/>
  <c r="BL11" i="5" s="1"/>
  <c r="V11" i="5"/>
  <c r="BM11" i="5" s="1"/>
  <c r="Y11" i="5"/>
  <c r="BP11" i="5" s="1"/>
  <c r="Z11" i="5"/>
  <c r="BQ11" i="5" s="1"/>
  <c r="AA11" i="5"/>
  <c r="BR11" i="5" s="1"/>
  <c r="AB11" i="5"/>
  <c r="BS11" i="5" s="1"/>
  <c r="AC11" i="5"/>
  <c r="BT11" i="5" s="1"/>
  <c r="AD11" i="5"/>
  <c r="BU11" i="5" s="1"/>
  <c r="AU11" i="5"/>
  <c r="AV11" i="5"/>
  <c r="AW11" i="5"/>
  <c r="S12" i="5"/>
  <c r="BJ12" i="5" s="1"/>
  <c r="T12" i="5"/>
  <c r="BK12" i="5" s="1"/>
  <c r="U12" i="5"/>
  <c r="BL12" i="5" s="1"/>
  <c r="V12" i="5"/>
  <c r="BM12" i="5" s="1"/>
  <c r="W12" i="5"/>
  <c r="BN12" i="5" s="1"/>
  <c r="X12" i="5"/>
  <c r="BO12" i="5" s="1"/>
  <c r="AA12" i="5"/>
  <c r="BR12" i="5" s="1"/>
  <c r="AB12" i="5"/>
  <c r="BS12" i="5" s="1"/>
  <c r="AC12" i="5"/>
  <c r="BT12" i="5" s="1"/>
  <c r="AD12" i="5"/>
  <c r="BU12" i="5" s="1"/>
  <c r="AU12" i="5"/>
  <c r="AV12" i="5"/>
  <c r="AW12" i="5"/>
  <c r="R13" i="5"/>
  <c r="BI13" i="5" s="1"/>
  <c r="S13" i="5"/>
  <c r="BJ13" i="5" s="1"/>
  <c r="T13" i="5"/>
  <c r="BK13" i="5" s="1"/>
  <c r="U13" i="5"/>
  <c r="BL13" i="5" s="1"/>
  <c r="V13" i="5"/>
  <c r="BM13" i="5" s="1"/>
  <c r="W13" i="5"/>
  <c r="BN13" i="5" s="1"/>
  <c r="X13" i="5"/>
  <c r="BO13" i="5" s="1"/>
  <c r="Y13" i="5"/>
  <c r="BP13" i="5" s="1"/>
  <c r="Z13" i="5"/>
  <c r="BQ13" i="5" s="1"/>
  <c r="AA13" i="5"/>
  <c r="BR13" i="5" s="1"/>
  <c r="AB13" i="5"/>
  <c r="BS13" i="5" s="1"/>
  <c r="AC13" i="5"/>
  <c r="BT13" i="5" s="1"/>
  <c r="AD13" i="5"/>
  <c r="BU13" i="5" s="1"/>
  <c r="AU13" i="5"/>
  <c r="AV13" i="5"/>
  <c r="AW13" i="5"/>
  <c r="R14" i="5"/>
  <c r="BI14" i="5" s="1"/>
  <c r="S14" i="5"/>
  <c r="BJ14" i="5" s="1"/>
  <c r="T14" i="5"/>
  <c r="BK14" i="5" s="1"/>
  <c r="V14" i="5"/>
  <c r="BM14" i="5" s="1"/>
  <c r="W14" i="5"/>
  <c r="BN14" i="5" s="1"/>
  <c r="X14" i="5"/>
  <c r="BO14" i="5" s="1"/>
  <c r="Y14" i="5"/>
  <c r="BP14" i="5" s="1"/>
  <c r="Z14" i="5"/>
  <c r="BQ14" i="5" s="1"/>
  <c r="AA14" i="5"/>
  <c r="BR14" i="5" s="1"/>
  <c r="AB14" i="5"/>
  <c r="BS14" i="5" s="1"/>
  <c r="AD14" i="5"/>
  <c r="BU14" i="5" s="1"/>
  <c r="AU14" i="5"/>
  <c r="AV14" i="5"/>
  <c r="AW14" i="5"/>
  <c r="R15" i="5"/>
  <c r="BI15" i="5" s="1"/>
  <c r="S15" i="5"/>
  <c r="BJ15" i="5" s="1"/>
  <c r="T15" i="5"/>
  <c r="BK15" i="5" s="1"/>
  <c r="U15" i="5"/>
  <c r="BL15" i="5" s="1"/>
  <c r="V15" i="5"/>
  <c r="BM15" i="5" s="1"/>
  <c r="W15" i="5"/>
  <c r="BN15" i="5" s="1"/>
  <c r="X15" i="5"/>
  <c r="BO15" i="5" s="1"/>
  <c r="Y15" i="5"/>
  <c r="BP15" i="5" s="1"/>
  <c r="Z15" i="5"/>
  <c r="BQ15" i="5" s="1"/>
  <c r="AA15" i="5"/>
  <c r="BR15" i="5" s="1"/>
  <c r="AB15" i="5"/>
  <c r="BS15" i="5" s="1"/>
  <c r="AC15" i="5"/>
  <c r="BT15" i="5" s="1"/>
  <c r="AD15" i="5"/>
  <c r="BU15" i="5" s="1"/>
  <c r="AU15" i="5"/>
  <c r="AV15" i="5"/>
  <c r="AW15" i="5"/>
  <c r="R16" i="5"/>
  <c r="BI16" i="5" s="1"/>
  <c r="S16" i="5"/>
  <c r="BJ16" i="5" s="1"/>
  <c r="T16" i="5"/>
  <c r="BK16" i="5" s="1"/>
  <c r="U16" i="5"/>
  <c r="BL16" i="5" s="1"/>
  <c r="V16" i="5"/>
  <c r="BM16" i="5" s="1"/>
  <c r="W16" i="5"/>
  <c r="BN16" i="5" s="1"/>
  <c r="X16" i="5"/>
  <c r="BO16" i="5" s="1"/>
  <c r="Z16" i="5"/>
  <c r="BQ16" i="5" s="1"/>
  <c r="AA16" i="5"/>
  <c r="BR16" i="5" s="1"/>
  <c r="AB16" i="5"/>
  <c r="BS16" i="5" s="1"/>
  <c r="AC16" i="5"/>
  <c r="BT16" i="5" s="1"/>
  <c r="AD16" i="5"/>
  <c r="BU16" i="5" s="1"/>
  <c r="AU16" i="5"/>
  <c r="AV16" i="5"/>
  <c r="AW16" i="5"/>
  <c r="R17" i="5"/>
  <c r="BI17" i="5" s="1"/>
  <c r="S17" i="5"/>
  <c r="BJ17" i="5" s="1"/>
  <c r="T17" i="5"/>
  <c r="BK17" i="5" s="1"/>
  <c r="U17" i="5"/>
  <c r="BL17" i="5" s="1"/>
  <c r="V17" i="5"/>
  <c r="BM17" i="5" s="1"/>
  <c r="W17" i="5"/>
  <c r="BN17" i="5" s="1"/>
  <c r="X17" i="5"/>
  <c r="BO17" i="5" s="1"/>
  <c r="Y17" i="5"/>
  <c r="BP17" i="5" s="1"/>
  <c r="Z17" i="5"/>
  <c r="BQ17" i="5" s="1"/>
  <c r="AA17" i="5"/>
  <c r="BR17" i="5" s="1"/>
  <c r="AB17" i="5"/>
  <c r="BS17" i="5" s="1"/>
  <c r="AC17" i="5"/>
  <c r="BT17" i="5" s="1"/>
  <c r="AD17" i="5"/>
  <c r="BU17" i="5" s="1"/>
  <c r="AU17" i="5"/>
  <c r="AV17" i="5"/>
  <c r="AW17" i="5"/>
  <c r="R18" i="5"/>
  <c r="BI18" i="5" s="1"/>
  <c r="S18" i="5"/>
  <c r="BJ18" i="5" s="1"/>
  <c r="T18" i="5"/>
  <c r="BK18" i="5" s="1"/>
  <c r="V18" i="5"/>
  <c r="BM18" i="5" s="1"/>
  <c r="W18" i="5"/>
  <c r="BN18" i="5" s="1"/>
  <c r="X18" i="5"/>
  <c r="BO18" i="5" s="1"/>
  <c r="Y18" i="5"/>
  <c r="BP18" i="5" s="1"/>
  <c r="Z18" i="5"/>
  <c r="BQ18" i="5" s="1"/>
  <c r="AA18" i="5"/>
  <c r="BR18" i="5" s="1"/>
  <c r="AB18" i="5"/>
  <c r="BS18" i="5" s="1"/>
  <c r="AD18" i="5"/>
  <c r="BU18" i="5" s="1"/>
  <c r="AU18" i="5"/>
  <c r="AV18" i="5"/>
  <c r="AW18" i="5"/>
  <c r="R19" i="5"/>
  <c r="BI19" i="5" s="1"/>
  <c r="S19" i="5"/>
  <c r="BJ19" i="5" s="1"/>
  <c r="T19" i="5"/>
  <c r="BK19" i="5" s="1"/>
  <c r="U19" i="5"/>
  <c r="BL19" i="5" s="1"/>
  <c r="V19" i="5"/>
  <c r="BM19" i="5" s="1"/>
  <c r="X19" i="5"/>
  <c r="BO19" i="5" s="1"/>
  <c r="Y19" i="5"/>
  <c r="BP19" i="5" s="1"/>
  <c r="Z19" i="5"/>
  <c r="BQ19" i="5" s="1"/>
  <c r="AA19" i="5"/>
  <c r="BR19" i="5" s="1"/>
  <c r="AB19" i="5"/>
  <c r="BS19" i="5" s="1"/>
  <c r="AC19" i="5"/>
  <c r="BT19" i="5" s="1"/>
  <c r="AD19" i="5"/>
  <c r="BU19" i="5" s="1"/>
  <c r="AU19" i="5"/>
  <c r="AV19" i="5"/>
  <c r="AW19" i="5"/>
  <c r="R20" i="5"/>
  <c r="BI20" i="5" s="1"/>
  <c r="S20" i="5"/>
  <c r="BJ20" i="5" s="1"/>
  <c r="T20" i="5"/>
  <c r="BK20" i="5" s="1"/>
  <c r="U20" i="5"/>
  <c r="BL20" i="5" s="1"/>
  <c r="V20" i="5"/>
  <c r="BM20" i="5" s="1"/>
  <c r="W20" i="5"/>
  <c r="BN20" i="5" s="1"/>
  <c r="X20" i="5"/>
  <c r="BO20" i="5" s="1"/>
  <c r="Y20" i="5"/>
  <c r="BP20" i="5" s="1"/>
  <c r="Z20" i="5"/>
  <c r="BQ20" i="5" s="1"/>
  <c r="AA20" i="5"/>
  <c r="BR20" i="5" s="1"/>
  <c r="AB20" i="5"/>
  <c r="BS20" i="5" s="1"/>
  <c r="AC20" i="5"/>
  <c r="BT20" i="5" s="1"/>
  <c r="AD20" i="5"/>
  <c r="BU20" i="5" s="1"/>
  <c r="AU20" i="5"/>
  <c r="AV20" i="5"/>
  <c r="AW20" i="5"/>
  <c r="R21" i="5"/>
  <c r="BI21" i="5" s="1"/>
  <c r="S21" i="5"/>
  <c r="BJ21" i="5" s="1"/>
  <c r="T21" i="5"/>
  <c r="BK21" i="5" s="1"/>
  <c r="U21" i="5"/>
  <c r="BL21" i="5" s="1"/>
  <c r="V21" i="5"/>
  <c r="BM21" i="5" s="1"/>
  <c r="W21" i="5"/>
  <c r="BN21" i="5" s="1"/>
  <c r="X21" i="5"/>
  <c r="BO21" i="5" s="1"/>
  <c r="Y21" i="5"/>
  <c r="BP21" i="5" s="1"/>
  <c r="Z21" i="5"/>
  <c r="BQ21" i="5" s="1"/>
  <c r="AA21" i="5"/>
  <c r="BR21" i="5" s="1"/>
  <c r="AB21" i="5"/>
  <c r="BS21" i="5" s="1"/>
  <c r="AC21" i="5"/>
  <c r="BT21" i="5" s="1"/>
  <c r="AD21" i="5"/>
  <c r="BU21" i="5" s="1"/>
  <c r="AU21" i="5"/>
  <c r="AV21" i="5"/>
  <c r="AW21" i="5"/>
  <c r="R22" i="5"/>
  <c r="BI22" i="5" s="1"/>
  <c r="S22" i="5"/>
  <c r="BJ22" i="5" s="1"/>
  <c r="T22" i="5"/>
  <c r="BK22" i="5" s="1"/>
  <c r="U22" i="5"/>
  <c r="BL22" i="5" s="1"/>
  <c r="V22" i="5"/>
  <c r="BM22" i="5" s="1"/>
  <c r="W22" i="5"/>
  <c r="BN22" i="5" s="1"/>
  <c r="X22" i="5"/>
  <c r="BO22" i="5" s="1"/>
  <c r="Y22" i="5"/>
  <c r="BP22" i="5" s="1"/>
  <c r="Z22" i="5"/>
  <c r="BQ22" i="5" s="1"/>
  <c r="AA22" i="5"/>
  <c r="BR22" i="5" s="1"/>
  <c r="AB22" i="5"/>
  <c r="BS22" i="5" s="1"/>
  <c r="AC22" i="5"/>
  <c r="BT22" i="5" s="1"/>
  <c r="AD22" i="5"/>
  <c r="BU22" i="5" s="1"/>
  <c r="AU22" i="5"/>
  <c r="AV22" i="5"/>
  <c r="AW22" i="5"/>
  <c r="R23" i="5"/>
  <c r="BI23" i="5" s="1"/>
  <c r="S23" i="5"/>
  <c r="BJ23" i="5" s="1"/>
  <c r="T23" i="5"/>
  <c r="BK23" i="5" s="1"/>
  <c r="U23" i="5"/>
  <c r="BL23" i="5" s="1"/>
  <c r="V23" i="5"/>
  <c r="BM23" i="5" s="1"/>
  <c r="W23" i="5"/>
  <c r="BN23" i="5" s="1"/>
  <c r="X23" i="5"/>
  <c r="BO23" i="5" s="1"/>
  <c r="Y23" i="5"/>
  <c r="BP23" i="5" s="1"/>
  <c r="Z23" i="5"/>
  <c r="BQ23" i="5" s="1"/>
  <c r="AA23" i="5"/>
  <c r="BR23" i="5" s="1"/>
  <c r="AB23" i="5"/>
  <c r="BS23" i="5" s="1"/>
  <c r="AC23" i="5"/>
  <c r="BT23" i="5" s="1"/>
  <c r="AD23" i="5"/>
  <c r="BU23" i="5" s="1"/>
  <c r="AU23" i="5"/>
  <c r="AV23" i="5"/>
  <c r="AW23" i="5"/>
  <c r="R24" i="5"/>
  <c r="BI24" i="5" s="1"/>
  <c r="S24" i="5"/>
  <c r="BJ24" i="5" s="1"/>
  <c r="T24" i="5"/>
  <c r="BK24" i="5" s="1"/>
  <c r="U24" i="5"/>
  <c r="BL24" i="5" s="1"/>
  <c r="V24" i="5"/>
  <c r="BM24" i="5" s="1"/>
  <c r="W24" i="5"/>
  <c r="BN24" i="5" s="1"/>
  <c r="X24" i="5"/>
  <c r="BO24" i="5" s="1"/>
  <c r="Y24" i="5"/>
  <c r="BP24" i="5" s="1"/>
  <c r="Z24" i="5"/>
  <c r="BQ24" i="5" s="1"/>
  <c r="AA24" i="5"/>
  <c r="BR24" i="5" s="1"/>
  <c r="AB24" i="5"/>
  <c r="BS24" i="5" s="1"/>
  <c r="AC24" i="5"/>
  <c r="BT24" i="5" s="1"/>
  <c r="AD24" i="5"/>
  <c r="BU24" i="5" s="1"/>
  <c r="AU24" i="5"/>
  <c r="AV24" i="5"/>
  <c r="AW24" i="5"/>
  <c r="R25" i="5"/>
  <c r="BI25" i="5" s="1"/>
  <c r="S25" i="5"/>
  <c r="BJ25" i="5" s="1"/>
  <c r="T25" i="5"/>
  <c r="BK25" i="5" s="1"/>
  <c r="U25" i="5"/>
  <c r="BL25" i="5" s="1"/>
  <c r="V25" i="5"/>
  <c r="BM25" i="5" s="1"/>
  <c r="W25" i="5"/>
  <c r="BN25" i="5" s="1"/>
  <c r="X25" i="5"/>
  <c r="BO25" i="5" s="1"/>
  <c r="Y25" i="5"/>
  <c r="BP25" i="5" s="1"/>
  <c r="Z25" i="5"/>
  <c r="BQ25" i="5" s="1"/>
  <c r="AA25" i="5"/>
  <c r="BR25" i="5" s="1"/>
  <c r="AB25" i="5"/>
  <c r="BS25" i="5" s="1"/>
  <c r="AC25" i="5"/>
  <c r="BT25" i="5" s="1"/>
  <c r="AD25" i="5"/>
  <c r="BU25" i="5" s="1"/>
  <c r="AU25" i="5"/>
  <c r="AV25" i="5"/>
  <c r="AW25" i="5"/>
  <c r="R26" i="5"/>
  <c r="BI26" i="5" s="1"/>
  <c r="S26" i="5"/>
  <c r="BJ26" i="5" s="1"/>
  <c r="T26" i="5"/>
  <c r="BK26" i="5" s="1"/>
  <c r="U26" i="5"/>
  <c r="BL26" i="5" s="1"/>
  <c r="V26" i="5"/>
  <c r="BM26" i="5" s="1"/>
  <c r="W26" i="5"/>
  <c r="BN26" i="5" s="1"/>
  <c r="X26" i="5"/>
  <c r="BO26" i="5" s="1"/>
  <c r="Y26" i="5"/>
  <c r="BP26" i="5" s="1"/>
  <c r="Z26" i="5"/>
  <c r="BQ26" i="5" s="1"/>
  <c r="AA26" i="5"/>
  <c r="BR26" i="5" s="1"/>
  <c r="AB26" i="5"/>
  <c r="BS26" i="5" s="1"/>
  <c r="AC26" i="5"/>
  <c r="BT26" i="5" s="1"/>
  <c r="AD26" i="5"/>
  <c r="BU26" i="5" s="1"/>
  <c r="AU26" i="5"/>
  <c r="AV26" i="5"/>
  <c r="AW26" i="5"/>
  <c r="R27" i="5"/>
  <c r="BI27" i="5" s="1"/>
  <c r="S27" i="5"/>
  <c r="BJ27" i="5" s="1"/>
  <c r="T27" i="5"/>
  <c r="BK27" i="5" s="1"/>
  <c r="U27" i="5"/>
  <c r="BL27" i="5" s="1"/>
  <c r="V27" i="5"/>
  <c r="BM27" i="5" s="1"/>
  <c r="W27" i="5"/>
  <c r="BN27" i="5" s="1"/>
  <c r="X27" i="5"/>
  <c r="BO27" i="5" s="1"/>
  <c r="Y27" i="5"/>
  <c r="BP27" i="5" s="1"/>
  <c r="Z27" i="5"/>
  <c r="BQ27" i="5" s="1"/>
  <c r="AA27" i="5"/>
  <c r="BR27" i="5" s="1"/>
  <c r="AB27" i="5"/>
  <c r="BS27" i="5" s="1"/>
  <c r="AC27" i="5"/>
  <c r="BT27" i="5" s="1"/>
  <c r="AD27" i="5"/>
  <c r="BU27" i="5" s="1"/>
  <c r="AU27" i="5"/>
  <c r="AV27" i="5"/>
  <c r="AW27" i="5"/>
  <c r="R28" i="5"/>
  <c r="BI28" i="5" s="1"/>
  <c r="S28" i="5"/>
  <c r="BJ28" i="5" s="1"/>
  <c r="T28" i="5"/>
  <c r="BK28" i="5" s="1"/>
  <c r="U28" i="5"/>
  <c r="BL28" i="5" s="1"/>
  <c r="V28" i="5"/>
  <c r="BM28" i="5" s="1"/>
  <c r="W28" i="5"/>
  <c r="BN28" i="5" s="1"/>
  <c r="X28" i="5"/>
  <c r="BO28" i="5" s="1"/>
  <c r="Y28" i="5"/>
  <c r="BP28" i="5" s="1"/>
  <c r="Z28" i="5"/>
  <c r="BQ28" i="5" s="1"/>
  <c r="AA28" i="5"/>
  <c r="BR28" i="5" s="1"/>
  <c r="AB28" i="5"/>
  <c r="BS28" i="5" s="1"/>
  <c r="AC28" i="5"/>
  <c r="BT28" i="5" s="1"/>
  <c r="AD28" i="5"/>
  <c r="BU28" i="5" s="1"/>
  <c r="AU28" i="5"/>
  <c r="AV28" i="5"/>
  <c r="AW28" i="5"/>
  <c r="R29" i="5"/>
  <c r="BI29" i="5" s="1"/>
  <c r="S29" i="5"/>
  <c r="BJ29" i="5" s="1"/>
  <c r="T29" i="5"/>
  <c r="BK29" i="5" s="1"/>
  <c r="U29" i="5"/>
  <c r="BL29" i="5" s="1"/>
  <c r="V29" i="5"/>
  <c r="BM29" i="5" s="1"/>
  <c r="W29" i="5"/>
  <c r="BN29" i="5" s="1"/>
  <c r="X29" i="5"/>
  <c r="BO29" i="5" s="1"/>
  <c r="Y29" i="5"/>
  <c r="BP29" i="5" s="1"/>
  <c r="Z29" i="5"/>
  <c r="BQ29" i="5" s="1"/>
  <c r="AA29" i="5"/>
  <c r="BR29" i="5" s="1"/>
  <c r="AB29" i="5"/>
  <c r="BS29" i="5" s="1"/>
  <c r="AC29" i="5"/>
  <c r="BT29" i="5" s="1"/>
  <c r="AD29" i="5"/>
  <c r="BU29" i="5" s="1"/>
  <c r="AU29" i="5"/>
  <c r="AV29" i="5"/>
  <c r="AW29" i="5"/>
  <c r="R30" i="5"/>
  <c r="BI30" i="5" s="1"/>
  <c r="S30" i="5"/>
  <c r="BJ30" i="5" s="1"/>
  <c r="T30" i="5"/>
  <c r="BK30" i="5" s="1"/>
  <c r="U30" i="5"/>
  <c r="BL30" i="5" s="1"/>
  <c r="V30" i="5"/>
  <c r="BM30" i="5" s="1"/>
  <c r="W30" i="5"/>
  <c r="BN30" i="5" s="1"/>
  <c r="X30" i="5"/>
  <c r="BO30" i="5" s="1"/>
  <c r="Y30" i="5"/>
  <c r="BP30" i="5" s="1"/>
  <c r="Z30" i="5"/>
  <c r="BQ30" i="5" s="1"/>
  <c r="AA30" i="5"/>
  <c r="BR30" i="5" s="1"/>
  <c r="AB30" i="5"/>
  <c r="BS30" i="5" s="1"/>
  <c r="AC30" i="5"/>
  <c r="BT30" i="5" s="1"/>
  <c r="AD30" i="5"/>
  <c r="BU30" i="5" s="1"/>
  <c r="AU30" i="5"/>
  <c r="AV30" i="5"/>
  <c r="AW30" i="5"/>
  <c r="R31" i="5"/>
  <c r="BI31" i="5" s="1"/>
  <c r="S31" i="5"/>
  <c r="BJ31" i="5" s="1"/>
  <c r="T31" i="5"/>
  <c r="BK31" i="5" s="1"/>
  <c r="U31" i="5"/>
  <c r="BL31" i="5" s="1"/>
  <c r="V31" i="5"/>
  <c r="BM31" i="5" s="1"/>
  <c r="W31" i="5"/>
  <c r="BN31" i="5" s="1"/>
  <c r="X31" i="5"/>
  <c r="BO31" i="5" s="1"/>
  <c r="Y31" i="5"/>
  <c r="BP31" i="5" s="1"/>
  <c r="Z31" i="5"/>
  <c r="BQ31" i="5" s="1"/>
  <c r="AA31" i="5"/>
  <c r="BR31" i="5" s="1"/>
  <c r="AB31" i="5"/>
  <c r="BS31" i="5" s="1"/>
  <c r="AC31" i="5"/>
  <c r="BT31" i="5" s="1"/>
  <c r="AD31" i="5"/>
  <c r="BU31" i="5" s="1"/>
  <c r="AU31" i="5"/>
  <c r="AV31" i="5"/>
  <c r="AW31" i="5"/>
  <c r="R32" i="5"/>
  <c r="BI32" i="5" s="1"/>
  <c r="S32" i="5"/>
  <c r="BJ32" i="5" s="1"/>
  <c r="T32" i="5"/>
  <c r="BK32" i="5" s="1"/>
  <c r="U32" i="5"/>
  <c r="BL32" i="5" s="1"/>
  <c r="V32" i="5"/>
  <c r="BM32" i="5" s="1"/>
  <c r="W32" i="5"/>
  <c r="BN32" i="5" s="1"/>
  <c r="X32" i="5"/>
  <c r="BO32" i="5" s="1"/>
  <c r="Y32" i="5"/>
  <c r="BP32" i="5" s="1"/>
  <c r="Z32" i="5"/>
  <c r="BQ32" i="5" s="1"/>
  <c r="AA32" i="5"/>
  <c r="BR32" i="5" s="1"/>
  <c r="AB32" i="5"/>
  <c r="BS32" i="5" s="1"/>
  <c r="AC32" i="5"/>
  <c r="BT32" i="5" s="1"/>
  <c r="AD32" i="5"/>
  <c r="BU32" i="5" s="1"/>
  <c r="AU32" i="5"/>
  <c r="AV32" i="5"/>
  <c r="AW32" i="5"/>
  <c r="R33" i="5"/>
  <c r="BI33" i="5" s="1"/>
  <c r="S33" i="5"/>
  <c r="BJ33" i="5" s="1"/>
  <c r="T33" i="5"/>
  <c r="BK33" i="5" s="1"/>
  <c r="U33" i="5"/>
  <c r="BL33" i="5" s="1"/>
  <c r="V33" i="5"/>
  <c r="BM33" i="5" s="1"/>
  <c r="W33" i="5"/>
  <c r="BN33" i="5" s="1"/>
  <c r="X33" i="5"/>
  <c r="BO33" i="5" s="1"/>
  <c r="Y33" i="5"/>
  <c r="BP33" i="5" s="1"/>
  <c r="Z33" i="5"/>
  <c r="BQ33" i="5" s="1"/>
  <c r="AA33" i="5"/>
  <c r="BR33" i="5" s="1"/>
  <c r="AB33" i="5"/>
  <c r="BS33" i="5" s="1"/>
  <c r="AC33" i="5"/>
  <c r="BT33" i="5" s="1"/>
  <c r="AD33" i="5"/>
  <c r="BU33" i="5" s="1"/>
  <c r="AE33" i="5"/>
  <c r="AU33" i="5"/>
  <c r="AV33" i="5"/>
  <c r="AW33" i="5"/>
  <c r="R34" i="5"/>
  <c r="BI34" i="5" s="1"/>
  <c r="S34" i="5"/>
  <c r="BJ34" i="5" s="1"/>
  <c r="T34" i="5"/>
  <c r="BK34" i="5" s="1"/>
  <c r="U34" i="5"/>
  <c r="BL34" i="5" s="1"/>
  <c r="V34" i="5"/>
  <c r="BM34" i="5" s="1"/>
  <c r="W34" i="5"/>
  <c r="BN34" i="5" s="1"/>
  <c r="X34" i="5"/>
  <c r="BO34" i="5" s="1"/>
  <c r="Y34" i="5"/>
  <c r="BP34" i="5" s="1"/>
  <c r="Z34" i="5"/>
  <c r="BQ34" i="5" s="1"/>
  <c r="AA34" i="5"/>
  <c r="BR34" i="5" s="1"/>
  <c r="AB34" i="5"/>
  <c r="BS34" i="5" s="1"/>
  <c r="AC34" i="5"/>
  <c r="BT34" i="5" s="1"/>
  <c r="AD34" i="5"/>
  <c r="BU34" i="5" s="1"/>
  <c r="AE34" i="5"/>
  <c r="AU34" i="5"/>
  <c r="AV34" i="5"/>
  <c r="AW34" i="5"/>
  <c r="R35" i="5"/>
  <c r="BI35" i="5" s="1"/>
  <c r="S35" i="5"/>
  <c r="BJ35" i="5" s="1"/>
  <c r="T35" i="5"/>
  <c r="BK35" i="5" s="1"/>
  <c r="U35" i="5"/>
  <c r="BL35" i="5" s="1"/>
  <c r="V35" i="5"/>
  <c r="BM35" i="5" s="1"/>
  <c r="W35" i="5"/>
  <c r="BN35" i="5" s="1"/>
  <c r="X35" i="5"/>
  <c r="BO35" i="5" s="1"/>
  <c r="Y35" i="5"/>
  <c r="BP35" i="5" s="1"/>
  <c r="Z35" i="5"/>
  <c r="BQ35" i="5" s="1"/>
  <c r="AA35" i="5"/>
  <c r="BR35" i="5" s="1"/>
  <c r="AB35" i="5"/>
  <c r="BS35" i="5" s="1"/>
  <c r="AC35" i="5"/>
  <c r="BT35" i="5" s="1"/>
  <c r="AD35" i="5"/>
  <c r="BU35" i="5" s="1"/>
  <c r="AE35" i="5"/>
  <c r="AU35" i="5"/>
  <c r="AV35" i="5"/>
  <c r="AW35" i="5"/>
  <c r="AU36" i="5"/>
  <c r="AV36" i="5"/>
  <c r="AW36" i="5"/>
  <c r="BJ36" i="5"/>
  <c r="BK36" i="5"/>
  <c r="AU37" i="5"/>
  <c r="AV37" i="5"/>
  <c r="AW37" i="5"/>
  <c r="BL37" i="5"/>
  <c r="AU38" i="5"/>
  <c r="AV38" i="5"/>
  <c r="AW38" i="5"/>
  <c r="BI38" i="5"/>
  <c r="AU39" i="5"/>
  <c r="AV39" i="5"/>
  <c r="AW39" i="5"/>
  <c r="BJ39" i="5"/>
  <c r="BK39" i="5"/>
  <c r="BL39" i="5"/>
  <c r="AU40" i="5"/>
  <c r="AV40" i="5"/>
  <c r="AW40" i="5"/>
  <c r="AU41" i="5"/>
  <c r="AV41" i="5"/>
  <c r="AW41" i="5"/>
  <c r="BI41" i="5"/>
  <c r="BJ41" i="5"/>
  <c r="AU42" i="5"/>
  <c r="AV42" i="5"/>
  <c r="AW42" i="5"/>
  <c r="BK42" i="5"/>
  <c r="BL42" i="5"/>
  <c r="AU43" i="5"/>
  <c r="AV43" i="5"/>
  <c r="AW43" i="5"/>
  <c r="AU44" i="5"/>
  <c r="AV44" i="5"/>
  <c r="AW44" i="5"/>
  <c r="BI44" i="5"/>
  <c r="BJ44" i="5"/>
  <c r="BK44" i="5"/>
  <c r="AU45" i="5"/>
  <c r="AV45" i="5"/>
  <c r="AW45" i="5"/>
  <c r="AU46" i="5"/>
  <c r="AV46" i="5"/>
  <c r="AW46" i="5"/>
  <c r="BI46" i="5"/>
  <c r="BK46" i="5"/>
  <c r="AU47" i="5"/>
  <c r="AV47" i="5"/>
  <c r="AW47" i="5"/>
  <c r="BK47" i="5"/>
  <c r="BL47" i="5"/>
  <c r="AU48" i="5"/>
  <c r="AV48" i="5"/>
  <c r="AW48" i="5"/>
  <c r="BI48" i="5"/>
  <c r="AU49" i="5"/>
  <c r="AV49" i="5"/>
  <c r="AW49" i="5"/>
  <c r="BI49" i="5"/>
  <c r="BJ49" i="5"/>
  <c r="AU50" i="5"/>
  <c r="AV50" i="5"/>
  <c r="AW50" i="5"/>
  <c r="BK50" i="5"/>
  <c r="BL50" i="5"/>
  <c r="AU51" i="5"/>
  <c r="AV51" i="5"/>
  <c r="AW51" i="5"/>
  <c r="BJ51" i="5"/>
  <c r="AU52" i="5"/>
  <c r="AV52" i="5"/>
  <c r="AW52" i="5"/>
  <c r="BJ52" i="5"/>
  <c r="BK52" i="5"/>
  <c r="AU53" i="5"/>
  <c r="AV53" i="5"/>
  <c r="AW53" i="5"/>
  <c r="BL53" i="5"/>
  <c r="AU54" i="5"/>
  <c r="AV54" i="5"/>
  <c r="AW54" i="5"/>
  <c r="BI54" i="5"/>
  <c r="BK54" i="5"/>
  <c r="AU55" i="5"/>
  <c r="AV55" i="5"/>
  <c r="AW55" i="5"/>
  <c r="BI55" i="5"/>
  <c r="BJ55" i="5"/>
  <c r="BK55" i="5"/>
  <c r="BL55" i="5"/>
  <c r="AU56" i="5"/>
  <c r="AV56" i="5"/>
  <c r="AW56" i="5"/>
  <c r="BI56" i="5"/>
  <c r="BJ56" i="5"/>
  <c r="BK56" i="5"/>
  <c r="BL56" i="5"/>
  <c r="AU57" i="5"/>
  <c r="AV57" i="5"/>
  <c r="AW57" i="5"/>
  <c r="BI57" i="5"/>
  <c r="BJ57" i="5"/>
  <c r="BK57" i="5"/>
  <c r="BL57" i="5"/>
  <c r="AU58" i="5"/>
  <c r="AV58" i="5"/>
  <c r="AW58" i="5"/>
  <c r="BI58" i="5"/>
  <c r="BJ58" i="5"/>
  <c r="BK58" i="5"/>
  <c r="BL58" i="5"/>
  <c r="AU59" i="5"/>
  <c r="AV59" i="5"/>
  <c r="AW59" i="5"/>
  <c r="BI59" i="5"/>
  <c r="BJ59" i="5"/>
  <c r="BK59" i="5"/>
  <c r="BL59" i="5"/>
  <c r="AU60" i="5"/>
  <c r="AV60" i="5"/>
  <c r="AW60" i="5"/>
  <c r="BI60" i="5"/>
  <c r="BJ60" i="5"/>
  <c r="BK60" i="5"/>
  <c r="BL60" i="5"/>
  <c r="AU61" i="5"/>
  <c r="AV61" i="5"/>
  <c r="AW61" i="5"/>
  <c r="BI61" i="5"/>
  <c r="BJ61" i="5"/>
  <c r="BK61" i="5"/>
  <c r="BL61" i="5"/>
  <c r="AU62" i="5"/>
  <c r="AV62" i="5"/>
  <c r="AW62" i="5"/>
  <c r="BI62" i="5"/>
  <c r="BJ62" i="5"/>
  <c r="BK62" i="5"/>
  <c r="BL62" i="5"/>
  <c r="AU63" i="5"/>
  <c r="AV63" i="5"/>
  <c r="AW63" i="5"/>
  <c r="BI63" i="5"/>
  <c r="BJ63" i="5"/>
  <c r="BK63" i="5"/>
  <c r="BL63" i="5"/>
  <c r="AU64" i="5"/>
  <c r="AV64" i="5"/>
  <c r="AW64" i="5"/>
  <c r="BI64" i="5"/>
  <c r="BJ64" i="5"/>
  <c r="BK64" i="5"/>
  <c r="BL64" i="5"/>
  <c r="AU65" i="5"/>
  <c r="AV65" i="5"/>
  <c r="AW65" i="5"/>
  <c r="BI65" i="5"/>
  <c r="BJ65" i="5"/>
  <c r="BK65" i="5"/>
  <c r="BL65" i="5"/>
  <c r="B3" i="5"/>
  <c r="D4" i="5"/>
  <c r="AF4" i="5"/>
  <c r="AT4" i="5"/>
  <c r="BV59" i="5" l="1"/>
  <c r="BV55" i="5"/>
  <c r="BV47" i="5"/>
  <c r="BV31" i="5"/>
  <c r="BV13" i="5"/>
  <c r="BV28" i="5"/>
  <c r="BV63" i="5"/>
  <c r="BV39" i="5"/>
  <c r="BV15" i="5"/>
  <c r="BV26" i="5"/>
  <c r="BV65" i="5"/>
  <c r="BV57" i="5"/>
  <c r="BV51" i="5"/>
  <c r="BV49" i="5"/>
  <c r="BV43" i="5"/>
  <c r="BV41" i="5"/>
  <c r="BV29" i="5"/>
  <c r="BV12" i="5"/>
  <c r="BV61" i="5"/>
  <c r="BV53" i="5"/>
  <c r="BV45" i="5"/>
  <c r="BV37" i="5"/>
  <c r="BV52" i="5"/>
  <c r="BV23" i="5"/>
  <c r="BV21" i="5"/>
  <c r="BG31" i="5"/>
  <c r="BG28" i="5"/>
  <c r="BG6" i="5"/>
  <c r="BG65" i="5"/>
  <c r="BG49" i="5"/>
  <c r="BG54" i="5"/>
  <c r="BG22" i="5"/>
  <c r="BG14" i="5"/>
  <c r="BG51" i="5"/>
  <c r="BG26" i="5"/>
  <c r="BG24" i="5"/>
  <c r="BG15" i="5"/>
  <c r="BG35" i="5"/>
  <c r="BG20" i="5"/>
  <c r="BG9" i="5"/>
  <c r="BG30" i="5"/>
  <c r="BG7" i="5"/>
  <c r="BG33" i="5"/>
  <c r="BG43" i="5"/>
  <c r="BG63" i="5"/>
  <c r="BG55" i="5"/>
  <c r="BG47" i="5"/>
  <c r="BG39" i="5"/>
  <c r="BG25" i="5"/>
  <c r="BG23" i="5"/>
  <c r="BG17" i="5"/>
  <c r="BG57" i="5"/>
  <c r="BG41" i="5"/>
  <c r="BG59" i="5"/>
  <c r="BG61" i="5"/>
  <c r="BG53" i="5"/>
  <c r="BG45" i="5"/>
  <c r="BG37" i="5"/>
  <c r="BV7" i="5"/>
  <c r="BV33" i="5"/>
  <c r="BV32" i="5"/>
  <c r="BV35" i="5"/>
  <c r="BV20" i="5"/>
  <c r="BG62" i="5"/>
  <c r="BG46" i="5"/>
  <c r="BG60" i="5"/>
  <c r="BV58" i="5"/>
  <c r="BG52" i="5"/>
  <c r="BV50" i="5"/>
  <c r="BG44" i="5"/>
  <c r="BV42" i="5"/>
  <c r="BG36" i="5"/>
  <c r="BG29" i="5"/>
  <c r="BG27" i="5"/>
  <c r="BV25" i="5"/>
  <c r="BG19" i="5"/>
  <c r="BV16" i="5"/>
  <c r="BV14" i="5"/>
  <c r="BG8" i="5"/>
  <c r="BV6" i="5"/>
  <c r="BV60" i="5"/>
  <c r="BV44" i="5"/>
  <c r="BV34" i="5"/>
  <c r="BG32" i="5"/>
  <c r="BV27" i="5"/>
  <c r="BG11" i="5"/>
  <c r="BG64" i="5"/>
  <c r="BG56" i="5"/>
  <c r="BV54" i="5"/>
  <c r="BG48" i="5"/>
  <c r="BV46" i="5"/>
  <c r="BG40" i="5"/>
  <c r="BV38" i="5"/>
  <c r="BG34" i="5"/>
  <c r="BV19" i="5"/>
  <c r="BG18" i="5"/>
  <c r="BG13" i="5"/>
  <c r="BV10" i="5"/>
  <c r="BV8" i="5"/>
  <c r="BV36" i="5"/>
  <c r="BV18" i="5"/>
  <c r="BV62" i="5"/>
  <c r="BV30" i="5"/>
  <c r="BG12" i="5"/>
  <c r="BV9" i="5"/>
  <c r="BG38" i="5"/>
  <c r="BG58" i="5"/>
  <c r="BV56" i="5"/>
  <c r="BG50" i="5"/>
  <c r="BV48" i="5"/>
  <c r="BG42" i="5"/>
  <c r="BV40" i="5"/>
  <c r="BV11" i="5"/>
  <c r="BG10" i="5"/>
  <c r="BV22" i="5"/>
  <c r="BG21" i="5"/>
  <c r="BV17" i="5"/>
  <c r="BV64" i="5"/>
  <c r="BV24" i="5"/>
  <c r="BG16" i="5"/>
  <c r="C1" i="5" l="1"/>
  <c r="C2" i="2" l="1"/>
  <c r="C1" i="9"/>
  <c r="D1" i="13"/>
  <c r="D1" i="15"/>
  <c r="C2" i="23"/>
  <c r="D1" i="17"/>
  <c r="C2" i="27"/>
  <c r="AH35" i="17" l="1"/>
  <c r="AG35" i="17"/>
  <c r="AF35" i="17"/>
  <c r="AI35" i="17"/>
  <c r="AS35" i="17" l="1"/>
  <c r="AH34" i="17" l="1"/>
  <c r="AG34" i="17"/>
  <c r="AG33" i="17"/>
  <c r="AI33" i="17"/>
  <c r="AF34" i="17"/>
  <c r="AI34" i="17"/>
  <c r="AF33" i="17"/>
  <c r="AH33" i="17"/>
  <c r="AS33" i="17" l="1"/>
  <c r="AS34" i="17"/>
  <c r="D22" i="28" l="1"/>
  <c r="D20" i="9" l="1"/>
  <c r="C20" i="9"/>
  <c r="F42" i="9" l="1"/>
  <c r="R66" i="13" l="1"/>
  <c r="V66" i="13"/>
  <c r="Z66" i="13"/>
  <c r="S66" i="13"/>
  <c r="W66" i="13"/>
  <c r="T66" i="13"/>
  <c r="X66" i="13"/>
  <c r="U66" i="13"/>
  <c r="Y66" i="13"/>
  <c r="AI65" i="17" l="1"/>
  <c r="AH65" i="17"/>
  <c r="AG65" i="17"/>
  <c r="AF65" i="17"/>
  <c r="AI64" i="17"/>
  <c r="AH64" i="17"/>
  <c r="AG64" i="17"/>
  <c r="AF64" i="17"/>
  <c r="AS64" i="17" s="1"/>
  <c r="AI63" i="17"/>
  <c r="AH63" i="17"/>
  <c r="AG63" i="17"/>
  <c r="AF63" i="17"/>
  <c r="AS63" i="17" s="1"/>
  <c r="AI62" i="17"/>
  <c r="AH62" i="17"/>
  <c r="AG62" i="17"/>
  <c r="AF62" i="17"/>
  <c r="AI61" i="17"/>
  <c r="AH61" i="17"/>
  <c r="AG61" i="17"/>
  <c r="AF61" i="17"/>
  <c r="AI60" i="17"/>
  <c r="AH60" i="17"/>
  <c r="AG60" i="17"/>
  <c r="AF60" i="17"/>
  <c r="AI59" i="17"/>
  <c r="AH59" i="17"/>
  <c r="AG59" i="17"/>
  <c r="AF59" i="17"/>
  <c r="AS59" i="17" s="1"/>
  <c r="AI58" i="17"/>
  <c r="AH58" i="17"/>
  <c r="AG58" i="17"/>
  <c r="AF58" i="17"/>
  <c r="AI57" i="17"/>
  <c r="AH57" i="17"/>
  <c r="AG57" i="17"/>
  <c r="AF57" i="17"/>
  <c r="AI56" i="17"/>
  <c r="AH56" i="17"/>
  <c r="AG56" i="17"/>
  <c r="AF56" i="17"/>
  <c r="AI55" i="17"/>
  <c r="AH55" i="17"/>
  <c r="AG55" i="17"/>
  <c r="AF55" i="17"/>
  <c r="AI54" i="17"/>
  <c r="AH54" i="17"/>
  <c r="AG54" i="17"/>
  <c r="AF54" i="17"/>
  <c r="AI53" i="17"/>
  <c r="AH53" i="17"/>
  <c r="AG53" i="17"/>
  <c r="AF53" i="17"/>
  <c r="AI52" i="17"/>
  <c r="AH52" i="17"/>
  <c r="AG52" i="17"/>
  <c r="AF52" i="17"/>
  <c r="AI51" i="17"/>
  <c r="AH51" i="17"/>
  <c r="AG51" i="17"/>
  <c r="AF51" i="17"/>
  <c r="AI50" i="17"/>
  <c r="AH50" i="17"/>
  <c r="AG50" i="17"/>
  <c r="AF50" i="17"/>
  <c r="AI49" i="17"/>
  <c r="AH49" i="17"/>
  <c r="AG49" i="17"/>
  <c r="AF49" i="17"/>
  <c r="AI48" i="17"/>
  <c r="AH48" i="17"/>
  <c r="AG48" i="17"/>
  <c r="AF48" i="17"/>
  <c r="AI47" i="17"/>
  <c r="AH47" i="17"/>
  <c r="AG47" i="17"/>
  <c r="AF47" i="17"/>
  <c r="AI46" i="17"/>
  <c r="AH46" i="17"/>
  <c r="AG46" i="17"/>
  <c r="AF46" i="17"/>
  <c r="AI45" i="17"/>
  <c r="AH45" i="17"/>
  <c r="AG45" i="17"/>
  <c r="AF45" i="17"/>
  <c r="AI44" i="17"/>
  <c r="AH44" i="17"/>
  <c r="AG44" i="17"/>
  <c r="AF44" i="17"/>
  <c r="AI43" i="17"/>
  <c r="AH43" i="17"/>
  <c r="AG43" i="17"/>
  <c r="AF43" i="17"/>
  <c r="AI42" i="17"/>
  <c r="AH42" i="17"/>
  <c r="AG42" i="17"/>
  <c r="AF42" i="17"/>
  <c r="AI41" i="17"/>
  <c r="AH41" i="17"/>
  <c r="AG41" i="17"/>
  <c r="AF41" i="17"/>
  <c r="AI40" i="17"/>
  <c r="AH40" i="17"/>
  <c r="AG40" i="17"/>
  <c r="AF40" i="17"/>
  <c r="AI39" i="17"/>
  <c r="AH39" i="17"/>
  <c r="AG39" i="17"/>
  <c r="AF39" i="17"/>
  <c r="AI38" i="17"/>
  <c r="AH38" i="17"/>
  <c r="AG38" i="17"/>
  <c r="AF38" i="17"/>
  <c r="AI37" i="17"/>
  <c r="AH37" i="17"/>
  <c r="AG37" i="17"/>
  <c r="AF37" i="17"/>
  <c r="AI36" i="17"/>
  <c r="AH36" i="17"/>
  <c r="AG36" i="17"/>
  <c r="AF36" i="17"/>
  <c r="AI65" i="13"/>
  <c r="AH65" i="13"/>
  <c r="AG65" i="13"/>
  <c r="AF65" i="13"/>
  <c r="AI64" i="13"/>
  <c r="AH64" i="13"/>
  <c r="AG64" i="13"/>
  <c r="AF64" i="13"/>
  <c r="AI63" i="13"/>
  <c r="AH63" i="13"/>
  <c r="AG63" i="13"/>
  <c r="AF63" i="13"/>
  <c r="AS63" i="13" s="1"/>
  <c r="AI62" i="13"/>
  <c r="AH62" i="13"/>
  <c r="AG62" i="13"/>
  <c r="AF62" i="13"/>
  <c r="AI61" i="13"/>
  <c r="AH61" i="13"/>
  <c r="AG61" i="13"/>
  <c r="AF61" i="13"/>
  <c r="AI60" i="13"/>
  <c r="AH60" i="13"/>
  <c r="AG60" i="13"/>
  <c r="AF60" i="13"/>
  <c r="AI59" i="13"/>
  <c r="AH59" i="13"/>
  <c r="AG59" i="13"/>
  <c r="AF59" i="13"/>
  <c r="AI58" i="13"/>
  <c r="AH58" i="13"/>
  <c r="AG58" i="13"/>
  <c r="AF58" i="13"/>
  <c r="AI57" i="13"/>
  <c r="AH57" i="13"/>
  <c r="AG57" i="13"/>
  <c r="AF57" i="13"/>
  <c r="AI56" i="13"/>
  <c r="AH56" i="13"/>
  <c r="AG56" i="13"/>
  <c r="AF56" i="13"/>
  <c r="AI55" i="13"/>
  <c r="AH55" i="13"/>
  <c r="AG55" i="13"/>
  <c r="AF55" i="13"/>
  <c r="AS55" i="13" s="1"/>
  <c r="AI54" i="13"/>
  <c r="AH54" i="13"/>
  <c r="AG54" i="13"/>
  <c r="AF54" i="13"/>
  <c r="AI53" i="13"/>
  <c r="AH53" i="13"/>
  <c r="AG53" i="13"/>
  <c r="AF53" i="13"/>
  <c r="AI52" i="13"/>
  <c r="AH52" i="13"/>
  <c r="AG52" i="13"/>
  <c r="AF52" i="13"/>
  <c r="AI51" i="13"/>
  <c r="AH51" i="13"/>
  <c r="AG51" i="13"/>
  <c r="AF51" i="13"/>
  <c r="AI50" i="13"/>
  <c r="AH50" i="13"/>
  <c r="AG50" i="13"/>
  <c r="AF50" i="13"/>
  <c r="AI49" i="13"/>
  <c r="AH49" i="13"/>
  <c r="AG49" i="13"/>
  <c r="AF49" i="13"/>
  <c r="AI48" i="13"/>
  <c r="AH48" i="13"/>
  <c r="AG48" i="13"/>
  <c r="AF48" i="13"/>
  <c r="AI47" i="13"/>
  <c r="AH47" i="13"/>
  <c r="AG47" i="13"/>
  <c r="AF47" i="13"/>
  <c r="AI46" i="13"/>
  <c r="AH46" i="13"/>
  <c r="AG46" i="13"/>
  <c r="AF46" i="13"/>
  <c r="AI45" i="13"/>
  <c r="AH45" i="13"/>
  <c r="AG45" i="13"/>
  <c r="AF45" i="13"/>
  <c r="AI44" i="13"/>
  <c r="AH44" i="13"/>
  <c r="AG44" i="13"/>
  <c r="AF44" i="13"/>
  <c r="AI43" i="13"/>
  <c r="AH43" i="13"/>
  <c r="AG43" i="13"/>
  <c r="AF43" i="13"/>
  <c r="AI42" i="13"/>
  <c r="AH42" i="13"/>
  <c r="AG42" i="13"/>
  <c r="AF42" i="13"/>
  <c r="AI41" i="13"/>
  <c r="AH41" i="13"/>
  <c r="AG41" i="13"/>
  <c r="AF41" i="13"/>
  <c r="AI40" i="13"/>
  <c r="AH40" i="13"/>
  <c r="AG40" i="13"/>
  <c r="AF40" i="13"/>
  <c r="AI39" i="13"/>
  <c r="AH39" i="13"/>
  <c r="AG39" i="13"/>
  <c r="AF39" i="13"/>
  <c r="AI38" i="13"/>
  <c r="AH38" i="13"/>
  <c r="AG38" i="13"/>
  <c r="AF38" i="13"/>
  <c r="AI37" i="13"/>
  <c r="AH37" i="13"/>
  <c r="AG37" i="13"/>
  <c r="AF37" i="13"/>
  <c r="AI36" i="13"/>
  <c r="AH36" i="13"/>
  <c r="AG36" i="13"/>
  <c r="AF36" i="13"/>
  <c r="AI35" i="13"/>
  <c r="AH35" i="13"/>
  <c r="AG35" i="13"/>
  <c r="AF35" i="13"/>
  <c r="AI34" i="13"/>
  <c r="AH34" i="13"/>
  <c r="AG34" i="13"/>
  <c r="AF34" i="13"/>
  <c r="AI33" i="13"/>
  <c r="AH33" i="13"/>
  <c r="AG33" i="13"/>
  <c r="AF33" i="13"/>
  <c r="I102" i="9"/>
  <c r="I100" i="9"/>
  <c r="I98" i="9"/>
  <c r="I96" i="9"/>
  <c r="I94" i="9"/>
  <c r="I92" i="9"/>
  <c r="I90" i="9"/>
  <c r="I88" i="9"/>
  <c r="I86" i="9"/>
  <c r="I84" i="9"/>
  <c r="C31" i="9" s="1"/>
  <c r="I82" i="9"/>
  <c r="C29" i="9" s="1"/>
  <c r="I80" i="9"/>
  <c r="C27" i="9" s="1"/>
  <c r="I78" i="9"/>
  <c r="I76" i="9"/>
  <c r="I74" i="9"/>
  <c r="I73" i="9"/>
  <c r="AI65" i="15"/>
  <c r="AH65" i="15"/>
  <c r="AG65" i="15"/>
  <c r="AF65" i="15"/>
  <c r="AI64" i="15"/>
  <c r="AH64" i="15"/>
  <c r="AG64" i="15"/>
  <c r="AF64" i="15"/>
  <c r="AI63" i="15"/>
  <c r="AH63" i="15"/>
  <c r="AG63" i="15"/>
  <c r="AF63" i="15"/>
  <c r="AI62" i="15"/>
  <c r="AH62" i="15"/>
  <c r="AG62" i="15"/>
  <c r="AF62" i="15"/>
  <c r="AI61" i="15"/>
  <c r="AH61" i="15"/>
  <c r="AG61" i="15"/>
  <c r="AF61" i="15"/>
  <c r="AI60" i="15"/>
  <c r="AH60" i="15"/>
  <c r="AG60" i="15"/>
  <c r="AF60" i="15"/>
  <c r="AI59" i="15"/>
  <c r="AH59" i="15"/>
  <c r="AG59" i="15"/>
  <c r="AF59" i="15"/>
  <c r="AI58" i="15"/>
  <c r="AH58" i="15"/>
  <c r="AG58" i="15"/>
  <c r="AF58" i="15"/>
  <c r="AI57" i="15"/>
  <c r="AH57" i="15"/>
  <c r="AG57" i="15"/>
  <c r="AF57" i="15"/>
  <c r="AI56" i="15"/>
  <c r="AH56" i="15"/>
  <c r="AG56" i="15"/>
  <c r="AF56" i="15"/>
  <c r="AI55" i="15"/>
  <c r="AH55" i="15"/>
  <c r="AG55" i="15"/>
  <c r="AF55" i="15"/>
  <c r="AI34" i="15"/>
  <c r="AH34" i="15"/>
  <c r="AG34" i="15"/>
  <c r="AF34" i="15"/>
  <c r="AI33" i="15"/>
  <c r="AH33" i="15"/>
  <c r="AG33" i="15"/>
  <c r="AF33" i="15"/>
  <c r="AS56" i="15" l="1"/>
  <c r="AS64" i="15"/>
  <c r="AS58" i="13"/>
  <c r="AS58" i="17"/>
  <c r="AS62" i="17"/>
  <c r="AS60" i="15"/>
  <c r="AS55" i="17"/>
  <c r="AS47" i="17"/>
  <c r="AS39" i="17"/>
  <c r="AS43" i="17"/>
  <c r="AS51" i="17"/>
  <c r="AS54" i="17"/>
  <c r="AS59" i="13"/>
  <c r="AS62" i="13"/>
  <c r="AS43" i="13"/>
  <c r="AS51" i="13"/>
  <c r="AS54" i="13"/>
  <c r="AS39" i="13"/>
  <c r="AS47" i="13"/>
  <c r="AS50" i="13"/>
  <c r="AS58" i="15"/>
  <c r="AS62" i="15"/>
  <c r="I75" i="9"/>
  <c r="I77" i="9"/>
  <c r="I79" i="9"/>
  <c r="I81" i="9"/>
  <c r="C28" i="9" s="1"/>
  <c r="I83" i="9"/>
  <c r="C30" i="9" s="1"/>
  <c r="I85" i="9"/>
  <c r="I87" i="9"/>
  <c r="C34" i="9" s="1"/>
  <c r="I89" i="9"/>
  <c r="I91" i="9"/>
  <c r="I93" i="9"/>
  <c r="I95" i="9"/>
  <c r="I97" i="9"/>
  <c r="I99" i="9"/>
  <c r="I101" i="9"/>
  <c r="I103" i="9"/>
  <c r="AS41" i="13"/>
  <c r="AS45" i="13"/>
  <c r="AS48" i="13"/>
  <c r="AS49" i="13"/>
  <c r="AS52" i="13"/>
  <c r="AS53" i="13"/>
  <c r="AS56" i="13"/>
  <c r="AS57" i="13"/>
  <c r="AS60" i="13"/>
  <c r="AS61" i="13"/>
  <c r="AS64" i="13"/>
  <c r="AS65" i="13"/>
  <c r="AS41" i="17"/>
  <c r="AS45" i="17"/>
  <c r="AS49" i="17"/>
  <c r="AS53" i="17"/>
  <c r="AS56" i="17"/>
  <c r="AS57" i="17"/>
  <c r="AS60" i="17"/>
  <c r="AS61" i="17"/>
  <c r="AS65" i="17"/>
  <c r="AS55" i="15"/>
  <c r="AS59" i="15"/>
  <c r="AS63" i="15"/>
  <c r="F74" i="9"/>
  <c r="F76" i="9"/>
  <c r="F78" i="9"/>
  <c r="F80" i="9"/>
  <c r="D27" i="9" s="1"/>
  <c r="E27" i="9" s="1"/>
  <c r="F82" i="9"/>
  <c r="D29" i="9" s="1"/>
  <c r="E29" i="9" s="1"/>
  <c r="F84" i="9"/>
  <c r="D31" i="9" s="1"/>
  <c r="E31" i="9" s="1"/>
  <c r="F86" i="9"/>
  <c r="F88" i="9"/>
  <c r="F90" i="9"/>
  <c r="F92" i="9"/>
  <c r="F94" i="9"/>
  <c r="F96" i="9"/>
  <c r="F98" i="9"/>
  <c r="F100" i="9"/>
  <c r="F102" i="9"/>
  <c r="AS42" i="13"/>
  <c r="AS46" i="13"/>
  <c r="AS38" i="17"/>
  <c r="AS42" i="17"/>
  <c r="AS46" i="17"/>
  <c r="AS50" i="17"/>
  <c r="AS57" i="15"/>
  <c r="AS61" i="15"/>
  <c r="AS65" i="15"/>
  <c r="F77" i="9"/>
  <c r="F79" i="9"/>
  <c r="F81" i="9"/>
  <c r="D28" i="9" s="1"/>
  <c r="F83" i="9"/>
  <c r="D30" i="9" s="1"/>
  <c r="F85" i="9"/>
  <c r="F87" i="9"/>
  <c r="F89" i="9"/>
  <c r="F91" i="9"/>
  <c r="F93" i="9"/>
  <c r="F95" i="9"/>
  <c r="F97" i="9"/>
  <c r="F99" i="9"/>
  <c r="F101" i="9"/>
  <c r="F103" i="9"/>
  <c r="AS40" i="13"/>
  <c r="AS44" i="13"/>
  <c r="AS40" i="17"/>
  <c r="AS44" i="17"/>
  <c r="AS48" i="17"/>
  <c r="AS52" i="17"/>
  <c r="AS37" i="13"/>
  <c r="I72" i="9"/>
  <c r="I71" i="9"/>
  <c r="F72" i="9"/>
  <c r="AS36" i="13"/>
  <c r="AS34" i="15"/>
  <c r="F71" i="9"/>
  <c r="F73" i="9"/>
  <c r="F75" i="9"/>
  <c r="I52" i="9"/>
  <c r="I56" i="9"/>
  <c r="I46" i="9"/>
  <c r="I50" i="9"/>
  <c r="I54" i="9"/>
  <c r="I62" i="9"/>
  <c r="I48" i="9"/>
  <c r="I60" i="9"/>
  <c r="AS33" i="15"/>
  <c r="AS35" i="13"/>
  <c r="AS36" i="17"/>
  <c r="I66" i="9"/>
  <c r="I70" i="9"/>
  <c r="AS37" i="17"/>
  <c r="AS33" i="13"/>
  <c r="I64" i="9"/>
  <c r="AS34" i="13"/>
  <c r="AS38" i="13"/>
  <c r="I45" i="9"/>
  <c r="I49" i="9"/>
  <c r="I53" i="9"/>
  <c r="I57" i="9"/>
  <c r="I61" i="9"/>
  <c r="I65" i="9"/>
  <c r="I69" i="9"/>
  <c r="AH7" i="13"/>
  <c r="AG8" i="13"/>
  <c r="AF9" i="13"/>
  <c r="AI10" i="13"/>
  <c r="AH11" i="13"/>
  <c r="AG12" i="13"/>
  <c r="AF13" i="13"/>
  <c r="AI14" i="13"/>
  <c r="AH15" i="13"/>
  <c r="AG16" i="13"/>
  <c r="AF17" i="13"/>
  <c r="AI18" i="13"/>
  <c r="AH19" i="13"/>
  <c r="AG20" i="13"/>
  <c r="AF21" i="13"/>
  <c r="AI22" i="13"/>
  <c r="AH23" i="13"/>
  <c r="AG24" i="13"/>
  <c r="AF25" i="13"/>
  <c r="AI26" i="13"/>
  <c r="AH27" i="13"/>
  <c r="AG28" i="13"/>
  <c r="AF29" i="13"/>
  <c r="AI30" i="13"/>
  <c r="AH31" i="13"/>
  <c r="AG32" i="13"/>
  <c r="I58" i="9"/>
  <c r="AI7" i="13"/>
  <c r="AH8" i="13"/>
  <c r="AG9" i="13"/>
  <c r="AF10" i="13"/>
  <c r="AI11" i="13"/>
  <c r="AH12" i="13"/>
  <c r="AG13" i="13"/>
  <c r="AF14" i="13"/>
  <c r="AI15" i="13"/>
  <c r="AH16" i="13"/>
  <c r="AG17" i="13"/>
  <c r="AF18" i="13"/>
  <c r="AI19" i="13"/>
  <c r="AH20" i="13"/>
  <c r="AG21" i="13"/>
  <c r="AF22" i="13"/>
  <c r="AI23" i="13"/>
  <c r="AH24" i="13"/>
  <c r="AG25" i="13"/>
  <c r="AF26" i="13"/>
  <c r="AI27" i="13"/>
  <c r="AH28" i="13"/>
  <c r="AG29" i="13"/>
  <c r="AF30" i="13"/>
  <c r="AI31" i="13"/>
  <c r="AH32" i="13"/>
  <c r="I47" i="9"/>
  <c r="I51" i="9"/>
  <c r="I55" i="9"/>
  <c r="I59" i="9"/>
  <c r="I63" i="9"/>
  <c r="I67" i="9"/>
  <c r="AF7" i="13"/>
  <c r="AI8" i="13"/>
  <c r="AH9" i="13"/>
  <c r="AG10" i="13"/>
  <c r="AF11" i="13"/>
  <c r="AI12" i="13"/>
  <c r="AH13" i="13"/>
  <c r="AG14" i="13"/>
  <c r="AF15" i="13"/>
  <c r="AI16" i="13"/>
  <c r="AH17" i="13"/>
  <c r="AG18" i="13"/>
  <c r="AF19" i="13"/>
  <c r="AI20" i="13"/>
  <c r="AH21" i="13"/>
  <c r="AG22" i="13"/>
  <c r="AF23" i="13"/>
  <c r="AI24" i="13"/>
  <c r="AH25" i="13"/>
  <c r="AG26" i="13"/>
  <c r="AF27" i="13"/>
  <c r="AI28" i="13"/>
  <c r="AH29" i="13"/>
  <c r="AG30" i="13"/>
  <c r="AF31" i="13"/>
  <c r="AI32" i="13"/>
  <c r="I68" i="9"/>
  <c r="AG7" i="13"/>
  <c r="AF8" i="13"/>
  <c r="AI9" i="13"/>
  <c r="AH10" i="13"/>
  <c r="AG11" i="13"/>
  <c r="AF12" i="13"/>
  <c r="AI13" i="13"/>
  <c r="AH14" i="13"/>
  <c r="AG15" i="13"/>
  <c r="AF16" i="13"/>
  <c r="AI17" i="13"/>
  <c r="AH18" i="13"/>
  <c r="AG19" i="13"/>
  <c r="AF20" i="13"/>
  <c r="AI21" i="13"/>
  <c r="AH22" i="13"/>
  <c r="AG23" i="13"/>
  <c r="AF24" i="13"/>
  <c r="AI25" i="13"/>
  <c r="AH26" i="13"/>
  <c r="AG27" i="13"/>
  <c r="AF28" i="13"/>
  <c r="AI29" i="13"/>
  <c r="AH30" i="13"/>
  <c r="AG31" i="13"/>
  <c r="AF32" i="13"/>
  <c r="C6" i="2"/>
  <c r="AF6" i="17"/>
  <c r="AI32" i="17"/>
  <c r="AH32" i="17"/>
  <c r="AG32" i="17"/>
  <c r="AF32" i="17"/>
  <c r="AI31" i="17"/>
  <c r="AH31" i="17"/>
  <c r="AG31" i="17"/>
  <c r="AF31" i="17"/>
  <c r="AI30" i="17"/>
  <c r="AH30" i="17"/>
  <c r="AG30" i="17"/>
  <c r="AF30" i="17"/>
  <c r="AI29" i="17"/>
  <c r="AH29" i="17"/>
  <c r="AG29" i="17"/>
  <c r="AF29" i="17"/>
  <c r="AI28" i="17"/>
  <c r="AH28" i="17"/>
  <c r="AG28" i="17"/>
  <c r="AF28" i="17"/>
  <c r="AI27" i="17"/>
  <c r="AH27" i="17"/>
  <c r="AG27" i="17"/>
  <c r="AF27" i="17"/>
  <c r="AI26" i="17"/>
  <c r="AH26" i="17"/>
  <c r="AG26" i="17"/>
  <c r="AF26" i="17"/>
  <c r="AI25" i="17"/>
  <c r="AH25" i="17"/>
  <c r="AG25" i="17"/>
  <c r="AF25" i="17"/>
  <c r="AI24" i="17"/>
  <c r="AH24" i="17"/>
  <c r="AG24" i="17"/>
  <c r="AF24" i="17"/>
  <c r="AI23" i="17"/>
  <c r="AH23" i="17"/>
  <c r="AG23" i="17"/>
  <c r="AF23" i="17"/>
  <c r="AI22" i="17"/>
  <c r="AH22" i="17"/>
  <c r="AG22" i="17"/>
  <c r="AF22" i="17"/>
  <c r="AI21" i="17"/>
  <c r="AH21" i="17"/>
  <c r="AG21" i="17"/>
  <c r="AF21" i="17"/>
  <c r="AI20" i="17"/>
  <c r="AH20" i="17"/>
  <c r="AG20" i="17"/>
  <c r="AF20" i="17"/>
  <c r="AI19" i="17"/>
  <c r="AH19" i="17"/>
  <c r="AG19" i="17"/>
  <c r="AF19" i="17"/>
  <c r="AI18" i="17"/>
  <c r="AH18" i="17"/>
  <c r="AG18" i="17"/>
  <c r="AF18" i="17"/>
  <c r="AI17" i="17"/>
  <c r="AH17" i="17"/>
  <c r="AG17" i="17"/>
  <c r="AF17" i="17"/>
  <c r="AI16" i="17"/>
  <c r="AH16" i="17"/>
  <c r="AG16" i="17"/>
  <c r="AF16" i="17"/>
  <c r="AI15" i="17"/>
  <c r="AH15" i="17"/>
  <c r="AG15" i="17"/>
  <c r="AF15" i="17"/>
  <c r="AI14" i="17"/>
  <c r="AH14" i="17"/>
  <c r="AG14" i="17"/>
  <c r="AF14" i="17"/>
  <c r="AI13" i="17"/>
  <c r="AH13" i="17"/>
  <c r="AG13" i="17"/>
  <c r="AF13" i="17"/>
  <c r="AI12" i="17"/>
  <c r="AH12" i="17"/>
  <c r="AG12" i="17"/>
  <c r="AF12" i="17"/>
  <c r="AI11" i="17"/>
  <c r="AH11" i="17"/>
  <c r="AG11" i="17"/>
  <c r="AF11" i="17"/>
  <c r="AI10" i="17"/>
  <c r="AH10" i="17"/>
  <c r="AG10" i="17"/>
  <c r="AF10" i="17"/>
  <c r="AI9" i="17"/>
  <c r="AH9" i="17"/>
  <c r="AG9" i="17"/>
  <c r="AF9" i="17"/>
  <c r="AI8" i="17"/>
  <c r="AH8" i="17"/>
  <c r="AG8" i="17"/>
  <c r="AF8" i="17"/>
  <c r="AI7" i="17"/>
  <c r="AH7" i="17"/>
  <c r="AG7" i="17"/>
  <c r="AF7" i="17"/>
  <c r="AI6" i="17"/>
  <c r="AG6" i="17"/>
  <c r="AI32" i="15"/>
  <c r="AH32" i="15"/>
  <c r="AG32" i="15"/>
  <c r="AF32" i="15"/>
  <c r="AI31" i="15"/>
  <c r="AH31" i="15"/>
  <c r="AG31" i="15"/>
  <c r="AF31" i="15"/>
  <c r="AI30" i="15"/>
  <c r="AH30" i="15"/>
  <c r="AG30" i="15"/>
  <c r="AF30" i="15"/>
  <c r="AI29" i="15"/>
  <c r="AH29" i="15"/>
  <c r="AG29" i="15"/>
  <c r="AF29" i="15"/>
  <c r="AI28" i="15"/>
  <c r="AH28" i="15"/>
  <c r="AG28" i="15"/>
  <c r="AF28" i="15"/>
  <c r="AI27" i="15"/>
  <c r="AH27" i="15"/>
  <c r="AG27" i="15"/>
  <c r="AF27" i="15"/>
  <c r="AI26" i="15"/>
  <c r="AH26" i="15"/>
  <c r="AG26" i="15"/>
  <c r="AF26" i="15"/>
  <c r="AI25" i="15"/>
  <c r="AH25" i="15"/>
  <c r="AG25" i="15"/>
  <c r="AF25" i="15"/>
  <c r="AI24" i="15"/>
  <c r="AH24" i="15"/>
  <c r="AG24" i="15"/>
  <c r="AF24" i="15"/>
  <c r="AI23" i="15"/>
  <c r="AH23" i="15"/>
  <c r="AG23" i="15"/>
  <c r="AF23" i="15"/>
  <c r="AI22" i="15"/>
  <c r="AH22" i="15"/>
  <c r="AG22" i="15"/>
  <c r="AF22" i="15"/>
  <c r="AI21" i="15"/>
  <c r="AH21" i="15"/>
  <c r="AG21" i="15"/>
  <c r="AF21" i="15"/>
  <c r="AI20" i="15"/>
  <c r="AH20" i="15"/>
  <c r="AG20" i="15"/>
  <c r="AF20" i="15"/>
  <c r="AI19" i="15"/>
  <c r="AH19" i="15"/>
  <c r="AG19" i="15"/>
  <c r="AF19" i="15"/>
  <c r="AI18" i="15"/>
  <c r="AH18" i="15"/>
  <c r="AG18" i="15"/>
  <c r="AF18" i="15"/>
  <c r="AI17" i="15"/>
  <c r="AH17" i="15"/>
  <c r="AG17" i="15"/>
  <c r="AF17" i="15"/>
  <c r="AI16" i="15"/>
  <c r="AH16" i="15"/>
  <c r="AG16" i="15"/>
  <c r="AF16" i="15"/>
  <c r="AI15" i="15"/>
  <c r="AH15" i="15"/>
  <c r="AG15" i="15"/>
  <c r="AF15" i="15"/>
  <c r="AI14" i="15"/>
  <c r="AH14" i="15"/>
  <c r="AG14" i="15"/>
  <c r="AF14" i="15"/>
  <c r="AI13" i="15"/>
  <c r="AH13" i="15"/>
  <c r="AG13" i="15"/>
  <c r="AF13" i="15"/>
  <c r="AI12" i="15"/>
  <c r="AH12" i="15"/>
  <c r="AG12" i="15"/>
  <c r="AF12" i="15"/>
  <c r="AI11" i="15"/>
  <c r="AH11" i="15"/>
  <c r="AG11" i="15"/>
  <c r="AF11" i="15"/>
  <c r="AI10" i="15"/>
  <c r="AH10" i="15"/>
  <c r="AG10" i="15"/>
  <c r="AF10" i="15"/>
  <c r="AI9" i="15"/>
  <c r="AH9" i="15"/>
  <c r="AG9" i="15"/>
  <c r="AH8" i="15"/>
  <c r="AG8" i="15"/>
  <c r="AF8" i="15"/>
  <c r="AI7" i="15"/>
  <c r="AG7" i="15"/>
  <c r="AF7" i="15"/>
  <c r="AI6" i="15"/>
  <c r="AH6" i="15"/>
  <c r="AG6" i="15"/>
  <c r="AF6" i="15"/>
  <c r="AI6" i="13"/>
  <c r="AH6" i="13"/>
  <c r="AG6" i="13"/>
  <c r="AF6" i="13"/>
  <c r="E103" i="9"/>
  <c r="D103" i="9"/>
  <c r="A103" i="9" s="1" a="1"/>
  <c r="A103" i="9" s="1"/>
  <c r="E102" i="9"/>
  <c r="D102" i="9"/>
  <c r="A102" i="9" s="1" a="1"/>
  <c r="A102" i="9" s="1"/>
  <c r="E101" i="9"/>
  <c r="D101" i="9"/>
  <c r="A101" i="9" s="1" a="1"/>
  <c r="A101" i="9" s="1"/>
  <c r="E100" i="9"/>
  <c r="D100" i="9"/>
  <c r="A100" i="9" s="1" a="1"/>
  <c r="A100" i="9" s="1"/>
  <c r="E99" i="9"/>
  <c r="D99" i="9"/>
  <c r="A99" i="9" s="1" a="1"/>
  <c r="A99" i="9" s="1"/>
  <c r="E98" i="9"/>
  <c r="D98" i="9"/>
  <c r="A98" i="9" s="1" a="1"/>
  <c r="A98" i="9" s="1"/>
  <c r="E97" i="9"/>
  <c r="D97" i="9"/>
  <c r="A97" i="9" s="1" a="1"/>
  <c r="A97" i="9" s="1"/>
  <c r="E96" i="9"/>
  <c r="D96" i="9"/>
  <c r="A96" i="9" s="1" a="1"/>
  <c r="A96" i="9" s="1"/>
  <c r="E95" i="9"/>
  <c r="D95" i="9"/>
  <c r="A95" i="9" s="1" a="1"/>
  <c r="A95" i="9" s="1"/>
  <c r="E94" i="9"/>
  <c r="D94" i="9"/>
  <c r="A94" i="9" s="1" a="1"/>
  <c r="A94" i="9" s="1"/>
  <c r="E93" i="9"/>
  <c r="D93" i="9"/>
  <c r="A93" i="9" s="1" a="1"/>
  <c r="A93" i="9" s="1"/>
  <c r="E92" i="9"/>
  <c r="D92" i="9"/>
  <c r="A92" i="9" s="1" a="1"/>
  <c r="A92" i="9" s="1"/>
  <c r="E91" i="9"/>
  <c r="D91" i="9"/>
  <c r="A91" i="9" s="1" a="1"/>
  <c r="A91" i="9" s="1"/>
  <c r="E90" i="9"/>
  <c r="D90" i="9"/>
  <c r="A90" i="9" s="1" a="1"/>
  <c r="A90" i="9" s="1"/>
  <c r="E89" i="9"/>
  <c r="D89" i="9"/>
  <c r="A89" i="9" s="1" a="1"/>
  <c r="A89" i="9" s="1"/>
  <c r="E88" i="9"/>
  <c r="D88" i="9"/>
  <c r="A88" i="9" s="1" a="1"/>
  <c r="A88" i="9" s="1"/>
  <c r="E87" i="9"/>
  <c r="D87" i="9"/>
  <c r="A87" i="9" s="1" a="1"/>
  <c r="A87" i="9" s="1"/>
  <c r="E86" i="9"/>
  <c r="D86" i="9"/>
  <c r="A86" i="9" s="1" a="1"/>
  <c r="A86" i="9" s="1"/>
  <c r="E85" i="9"/>
  <c r="D85" i="9"/>
  <c r="A85" i="9" s="1" a="1"/>
  <c r="A85" i="9" s="1"/>
  <c r="E84" i="9"/>
  <c r="D84" i="9"/>
  <c r="A84" i="9" s="1" a="1"/>
  <c r="A84" i="9" s="1"/>
  <c r="E83" i="9"/>
  <c r="D83" i="9"/>
  <c r="A83" i="9" s="1" a="1"/>
  <c r="A83" i="9" s="1"/>
  <c r="E82" i="9"/>
  <c r="D82" i="9"/>
  <c r="A82" i="9" s="1" a="1"/>
  <c r="A82" i="9" s="1"/>
  <c r="E81" i="9"/>
  <c r="D81" i="9"/>
  <c r="A81" i="9" s="1" a="1"/>
  <c r="A81" i="9" s="1"/>
  <c r="E80" i="9"/>
  <c r="D80" i="9"/>
  <c r="A80" i="9" s="1" a="1"/>
  <c r="A80" i="9" s="1"/>
  <c r="E79" i="9"/>
  <c r="D79" i="9"/>
  <c r="A79" i="9" s="1" a="1"/>
  <c r="A79" i="9" s="1"/>
  <c r="E78" i="9"/>
  <c r="D78" i="9"/>
  <c r="A78" i="9" s="1" a="1"/>
  <c r="A78" i="9" s="1"/>
  <c r="E77" i="9"/>
  <c r="D77" i="9"/>
  <c r="A77" i="9" s="1" a="1"/>
  <c r="A77" i="9" s="1"/>
  <c r="E76" i="9"/>
  <c r="D76" i="9"/>
  <c r="A76" i="9" s="1" a="1"/>
  <c r="A76" i="9" s="1"/>
  <c r="E75" i="9"/>
  <c r="D75" i="9"/>
  <c r="A75" i="9" s="1" a="1"/>
  <c r="A75" i="9" s="1"/>
  <c r="E74" i="9"/>
  <c r="D74" i="9"/>
  <c r="A74" i="9" s="1" a="1"/>
  <c r="A74" i="9" s="1"/>
  <c r="E73" i="9"/>
  <c r="D73" i="9"/>
  <c r="A73" i="9" s="1" a="1"/>
  <c r="A73" i="9" s="1"/>
  <c r="E72" i="9"/>
  <c r="D72" i="9"/>
  <c r="A72" i="9" s="1" a="1"/>
  <c r="A72" i="9" s="1"/>
  <c r="E71" i="9"/>
  <c r="D71" i="9"/>
  <c r="A71" i="9" s="1" a="1"/>
  <c r="A71" i="9" s="1"/>
  <c r="E70" i="9"/>
  <c r="D70" i="9"/>
  <c r="A70" i="9" s="1" a="1"/>
  <c r="A70" i="9" s="1"/>
  <c r="E69" i="9"/>
  <c r="D69" i="9"/>
  <c r="A69" i="9" s="1" a="1"/>
  <c r="E68" i="9"/>
  <c r="D68" i="9"/>
  <c r="A68" i="9" s="1" a="1"/>
  <c r="E67" i="9"/>
  <c r="D67" i="9"/>
  <c r="A67" i="9" s="1" a="1"/>
  <c r="E66" i="9"/>
  <c r="D66" i="9"/>
  <c r="A66" i="9" s="1" a="1"/>
  <c r="E65" i="9"/>
  <c r="D65" i="9"/>
  <c r="A65" i="9" s="1" a="1"/>
  <c r="E64" i="9"/>
  <c r="D64" i="9"/>
  <c r="A64" i="9" s="1" a="1"/>
  <c r="E63" i="9"/>
  <c r="D63" i="9"/>
  <c r="A63" i="9" a="1"/>
  <c r="E62" i="9"/>
  <c r="D62" i="9"/>
  <c r="A62" i="9" s="1" a="1"/>
  <c r="E61" i="9"/>
  <c r="D61" i="9"/>
  <c r="A61" i="9" s="1" a="1"/>
  <c r="E60" i="9"/>
  <c r="D60" i="9"/>
  <c r="A60" i="9" s="1" a="1"/>
  <c r="E59" i="9"/>
  <c r="D59" i="9"/>
  <c r="A59" i="9" s="1" a="1"/>
  <c r="E58" i="9"/>
  <c r="D58" i="9"/>
  <c r="A58" i="9" s="1" a="1"/>
  <c r="E57" i="9"/>
  <c r="D57" i="9"/>
  <c r="A57" i="9" s="1" a="1"/>
  <c r="A57" i="9" s="1"/>
  <c r="E56" i="9"/>
  <c r="D56" i="9"/>
  <c r="A56" i="9" s="1" a="1"/>
  <c r="E55" i="9"/>
  <c r="D55" i="9"/>
  <c r="A55" i="9" s="1" a="1"/>
  <c r="E54" i="9"/>
  <c r="D54" i="9"/>
  <c r="A54" i="9" a="1"/>
  <c r="E53" i="9"/>
  <c r="D53" i="9"/>
  <c r="A53" i="9" s="1" a="1"/>
  <c r="E52" i="9"/>
  <c r="D52" i="9"/>
  <c r="A52" i="9" s="1" a="1"/>
  <c r="E51" i="9"/>
  <c r="D51" i="9"/>
  <c r="A51" i="9" s="1" a="1"/>
  <c r="E50" i="9"/>
  <c r="D50" i="9"/>
  <c r="A50" i="9" s="1" a="1"/>
  <c r="E49" i="9"/>
  <c r="D49" i="9"/>
  <c r="A49" i="9" s="1" a="1"/>
  <c r="E48" i="9"/>
  <c r="D48" i="9"/>
  <c r="A48" i="9" s="1" a="1"/>
  <c r="E47" i="9"/>
  <c r="D47" i="9"/>
  <c r="A47" i="9" s="1" a="1"/>
  <c r="E46" i="9"/>
  <c r="D46" i="9"/>
  <c r="A46" i="9" a="1"/>
  <c r="E45" i="9"/>
  <c r="D45" i="9"/>
  <c r="A45" i="9" s="1" a="1"/>
  <c r="E44" i="9"/>
  <c r="D44" i="9"/>
  <c r="A44" i="9" s="1" a="1"/>
  <c r="D38" i="9"/>
  <c r="E38" i="9" s="1"/>
  <c r="F38" i="9" s="1"/>
  <c r="C38" i="9"/>
  <c r="D37" i="9"/>
  <c r="E37" i="9" s="1"/>
  <c r="F37" i="9" s="1"/>
  <c r="C37" i="9"/>
  <c r="D36" i="9"/>
  <c r="E36" i="9" s="1"/>
  <c r="F36" i="9" s="1"/>
  <c r="C36" i="9"/>
  <c r="D35" i="9"/>
  <c r="C35" i="9"/>
  <c r="D34" i="9"/>
  <c r="D33" i="9"/>
  <c r="C33" i="9"/>
  <c r="D32" i="9"/>
  <c r="C32" i="9"/>
  <c r="AR66" i="5"/>
  <c r="AQ66" i="5"/>
  <c r="AP66" i="5"/>
  <c r="AO66" i="5"/>
  <c r="AN66" i="5"/>
  <c r="AM66" i="5"/>
  <c r="AL66" i="5"/>
  <c r="AK66" i="5"/>
  <c r="AJ66" i="5"/>
  <c r="AI66" i="5"/>
  <c r="AH66" i="5"/>
  <c r="AG66" i="5"/>
  <c r="AF66" i="5"/>
  <c r="BU66" i="5"/>
  <c r="BT66" i="5"/>
  <c r="BS66" i="5"/>
  <c r="BR66" i="5"/>
  <c r="BQ66" i="5"/>
  <c r="BP66" i="5"/>
  <c r="BO66" i="5"/>
  <c r="BN66" i="5"/>
  <c r="BM66" i="5"/>
  <c r="BL66" i="5"/>
  <c r="BK66" i="5"/>
  <c r="BJ66" i="5"/>
  <c r="A30" i="4"/>
  <c r="C30" i="4" s="1"/>
  <c r="AF4" i="17"/>
  <c r="R4" i="17"/>
  <c r="D4" i="17"/>
  <c r="B3" i="17"/>
  <c r="B1" i="17"/>
  <c r="AF4" i="15"/>
  <c r="R4" i="15"/>
  <c r="D4" i="15"/>
  <c r="B3" i="15"/>
  <c r="B1" i="15"/>
  <c r="B1" i="5"/>
  <c r="D5" i="28"/>
  <c r="F5" i="28"/>
  <c r="L16" i="28"/>
  <c r="L15" i="28"/>
  <c r="L14" i="28"/>
  <c r="L13" i="28"/>
  <c r="H25" i="28"/>
  <c r="H16" i="28"/>
  <c r="H15" i="28"/>
  <c r="H14" i="28"/>
  <c r="H13" i="28"/>
  <c r="H12" i="28"/>
  <c r="H11" i="28"/>
  <c r="I16" i="28"/>
  <c r="I15" i="28"/>
  <c r="I14" i="28"/>
  <c r="I13" i="28"/>
  <c r="I12" i="28"/>
  <c r="I11" i="28"/>
  <c r="I10" i="28"/>
  <c r="I9" i="28"/>
  <c r="I8" i="28"/>
  <c r="H5" i="28"/>
  <c r="B3" i="28"/>
  <c r="H10" i="28"/>
  <c r="H9" i="28"/>
  <c r="H8" i="28"/>
  <c r="C17" i="27"/>
  <c r="C10" i="27" s="1"/>
  <c r="C6" i="27"/>
  <c r="C19" i="23"/>
  <c r="C6" i="23"/>
  <c r="AD66" i="13"/>
  <c r="AC66" i="13"/>
  <c r="AB66" i="13"/>
  <c r="AA66" i="13"/>
  <c r="B8" i="9"/>
  <c r="B3" i="9"/>
  <c r="BJ104" i="9"/>
  <c r="F25" i="4"/>
  <c r="F24" i="4"/>
  <c r="F23" i="4"/>
  <c r="F22" i="4"/>
  <c r="F20" i="4"/>
  <c r="F19" i="4"/>
  <c r="F18" i="4"/>
  <c r="F17" i="4"/>
  <c r="B1" i="28"/>
  <c r="B2" i="27"/>
  <c r="B2" i="23"/>
  <c r="B1" i="13"/>
  <c r="B1" i="9"/>
  <c r="C7" i="4"/>
  <c r="K6" i="37" l="1"/>
  <c r="C8" i="9"/>
  <c r="I25" i="28"/>
  <c r="K8" i="28"/>
  <c r="C10" i="23"/>
  <c r="E32" i="9"/>
  <c r="E30" i="9"/>
  <c r="E28" i="9"/>
  <c r="C8" i="4"/>
  <c r="E34" i="9"/>
  <c r="E33" i="9"/>
  <c r="E35" i="9"/>
  <c r="A46" i="9"/>
  <c r="A50" i="9"/>
  <c r="A54" i="9"/>
  <c r="A59" i="9"/>
  <c r="A63" i="9"/>
  <c r="A67" i="9"/>
  <c r="B2" i="2"/>
  <c r="A45" i="9"/>
  <c r="A49" i="9"/>
  <c r="A53" i="9"/>
  <c r="A58" i="9"/>
  <c r="A62" i="9"/>
  <c r="A66" i="9"/>
  <c r="A44" i="9"/>
  <c r="A48" i="9"/>
  <c r="A52" i="9"/>
  <c r="A56" i="9"/>
  <c r="A61" i="9"/>
  <c r="A65" i="9"/>
  <c r="A69" i="9"/>
  <c r="A47" i="9"/>
  <c r="A51" i="9"/>
  <c r="A55" i="9"/>
  <c r="A60" i="9"/>
  <c r="A64" i="9"/>
  <c r="A68" i="9"/>
  <c r="AG66" i="13"/>
  <c r="AK66" i="13"/>
  <c r="AM66" i="13"/>
  <c r="AR66" i="13"/>
  <c r="AI66" i="13"/>
  <c r="AQ66" i="13"/>
  <c r="K9" i="28"/>
  <c r="K10" i="28"/>
  <c r="I17" i="28"/>
  <c r="AJ66" i="13"/>
  <c r="AO66" i="13"/>
  <c r="AN66" i="13"/>
  <c r="AF66" i="13"/>
  <c r="AU66" i="5"/>
  <c r="BC66" i="5"/>
  <c r="AV66" i="5"/>
  <c r="AZ66" i="5"/>
  <c r="BD66" i="5"/>
  <c r="AW66" i="5"/>
  <c r="BA66" i="5"/>
  <c r="BE66" i="5"/>
  <c r="AT66" i="5"/>
  <c r="K13" i="28"/>
  <c r="K14" i="28"/>
  <c r="K15" i="28"/>
  <c r="K12" i="28"/>
  <c r="K16" i="28"/>
  <c r="K11" i="28"/>
  <c r="F70" i="9"/>
  <c r="F47" i="9"/>
  <c r="F56" i="9"/>
  <c r="F54" i="9"/>
  <c r="F51" i="9"/>
  <c r="F55" i="9"/>
  <c r="F50" i="9"/>
  <c r="F48" i="9"/>
  <c r="F46" i="9"/>
  <c r="F66" i="9"/>
  <c r="F68" i="9"/>
  <c r="F62" i="9"/>
  <c r="F58" i="9"/>
  <c r="F45" i="9"/>
  <c r="F52" i="9"/>
  <c r="F53" i="9"/>
  <c r="F49" i="9"/>
  <c r="AS6" i="13"/>
  <c r="F65" i="9"/>
  <c r="F59" i="9"/>
  <c r="Y66" i="17"/>
  <c r="AH66" i="13"/>
  <c r="AL66" i="13"/>
  <c r="AP66" i="13"/>
  <c r="F61" i="9"/>
  <c r="F60" i="9"/>
  <c r="F57" i="9"/>
  <c r="F69" i="9"/>
  <c r="F64" i="9"/>
  <c r="F63" i="9"/>
  <c r="F67" i="9"/>
  <c r="AP66" i="15"/>
  <c r="AB66" i="15"/>
  <c r="AF9" i="15"/>
  <c r="AF66" i="15" s="1"/>
  <c r="R66" i="15"/>
  <c r="AJ66" i="15"/>
  <c r="AK66" i="15"/>
  <c r="AL66" i="15"/>
  <c r="W66" i="15"/>
  <c r="V66" i="15"/>
  <c r="U66" i="15"/>
  <c r="AS14" i="15"/>
  <c r="AS18" i="15"/>
  <c r="X66" i="15"/>
  <c r="T66" i="15"/>
  <c r="AS12" i="15"/>
  <c r="AS16" i="15"/>
  <c r="AS20" i="15"/>
  <c r="AS24" i="15"/>
  <c r="AS28" i="15"/>
  <c r="AS32" i="15"/>
  <c r="R66" i="17"/>
  <c r="AS13" i="15"/>
  <c r="AS17" i="15"/>
  <c r="AS21" i="15"/>
  <c r="AS25" i="15"/>
  <c r="AS29" i="15"/>
  <c r="AS8" i="17"/>
  <c r="AS10" i="17"/>
  <c r="AS12" i="17"/>
  <c r="AS14" i="17"/>
  <c r="AS16" i="17"/>
  <c r="AS18" i="17"/>
  <c r="AS20" i="17"/>
  <c r="AS22" i="17"/>
  <c r="AS24" i="17"/>
  <c r="AS26" i="17"/>
  <c r="AS28" i="17"/>
  <c r="AS30" i="17"/>
  <c r="AS32" i="17"/>
  <c r="AS10" i="15"/>
  <c r="AS22" i="15"/>
  <c r="AS26" i="15"/>
  <c r="AS30" i="15"/>
  <c r="AS11" i="15"/>
  <c r="AS15" i="15"/>
  <c r="AS19" i="15"/>
  <c r="AS23" i="15"/>
  <c r="AS27" i="15"/>
  <c r="AS31" i="15"/>
  <c r="AS7" i="17"/>
  <c r="AS9" i="17"/>
  <c r="AS11" i="17"/>
  <c r="AS13" i="17"/>
  <c r="AS15" i="17"/>
  <c r="AS17" i="17"/>
  <c r="AS19" i="17"/>
  <c r="AS21" i="17"/>
  <c r="AS23" i="17"/>
  <c r="AS25" i="17"/>
  <c r="AS27" i="17"/>
  <c r="AS29" i="17"/>
  <c r="AS31" i="17"/>
  <c r="AA66" i="15"/>
  <c r="Z66" i="15"/>
  <c r="AD66" i="15"/>
  <c r="Y66" i="15"/>
  <c r="AS27" i="13"/>
  <c r="AS19" i="13"/>
  <c r="AS11" i="13"/>
  <c r="AS29" i="13"/>
  <c r="AS21" i="13"/>
  <c r="AS13" i="13"/>
  <c r="AH7" i="15"/>
  <c r="AH66" i="15" s="1"/>
  <c r="AS32" i="13"/>
  <c r="AS24" i="13"/>
  <c r="AS16" i="13"/>
  <c r="AS8" i="13"/>
  <c r="AI8" i="15"/>
  <c r="AS8" i="15" s="1"/>
  <c r="AS30" i="13"/>
  <c r="AS22" i="13"/>
  <c r="AS14" i="13"/>
  <c r="AM66" i="15"/>
  <c r="S66" i="15"/>
  <c r="AC66" i="15"/>
  <c r="AM66" i="17"/>
  <c r="AS31" i="13"/>
  <c r="AS23" i="13"/>
  <c r="AS15" i="13"/>
  <c r="AS7" i="13"/>
  <c r="AS25" i="13"/>
  <c r="AS17" i="13"/>
  <c r="AS9" i="13"/>
  <c r="AN66" i="15"/>
  <c r="AR66" i="15"/>
  <c r="AS28" i="13"/>
  <c r="AS20" i="13"/>
  <c r="AS12" i="13"/>
  <c r="AS26" i="13"/>
  <c r="AS18" i="13"/>
  <c r="AS10" i="13"/>
  <c r="AG66" i="15"/>
  <c r="AO66" i="15"/>
  <c r="AY66" i="5"/>
  <c r="BI66" i="5"/>
  <c r="AX66" i="5"/>
  <c r="BB66" i="5"/>
  <c r="BF66" i="5"/>
  <c r="AG66" i="17"/>
  <c r="S66" i="17"/>
  <c r="W66" i="17"/>
  <c r="AA66" i="17"/>
  <c r="AO66" i="17"/>
  <c r="AQ66" i="15"/>
  <c r="AK66" i="17"/>
  <c r="AQ66" i="17"/>
  <c r="T66" i="17"/>
  <c r="AH6" i="17"/>
  <c r="AH66" i="17" s="1"/>
  <c r="AC66" i="17"/>
  <c r="AB66" i="17"/>
  <c r="U66" i="17"/>
  <c r="AI66" i="17"/>
  <c r="X66" i="17"/>
  <c r="AL66" i="17"/>
  <c r="Z66" i="17"/>
  <c r="AN66" i="17"/>
  <c r="AD66" i="17"/>
  <c r="AR66" i="17"/>
  <c r="V66" i="17"/>
  <c r="AJ66" i="17"/>
  <c r="AF66" i="17"/>
  <c r="AS6" i="15"/>
  <c r="H17" i="28"/>
  <c r="D25" i="28" s="1"/>
  <c r="E8" i="37" l="1"/>
  <c r="F8" i="37" s="1"/>
  <c r="G8" i="37" s="1"/>
  <c r="E25" i="37"/>
  <c r="F25" i="37" s="1"/>
  <c r="G25" i="37" s="1"/>
  <c r="E26" i="37"/>
  <c r="F26" i="37" s="1"/>
  <c r="G26" i="37" s="1"/>
  <c r="E19" i="37"/>
  <c r="F19" i="37" s="1"/>
  <c r="G19" i="37" s="1"/>
  <c r="E51" i="37"/>
  <c r="F51" i="37" s="1"/>
  <c r="G51" i="37" s="1"/>
  <c r="E44" i="37"/>
  <c r="F44" i="37" s="1"/>
  <c r="G44" i="37" s="1"/>
  <c r="E37" i="37"/>
  <c r="F37" i="37" s="1"/>
  <c r="G37" i="37" s="1"/>
  <c r="E30" i="37"/>
  <c r="F30" i="37" s="1"/>
  <c r="G30" i="37" s="1"/>
  <c r="E15" i="37"/>
  <c r="F15" i="37" s="1"/>
  <c r="G15" i="37" s="1"/>
  <c r="E11" i="37"/>
  <c r="F11" i="37" s="1"/>
  <c r="G11" i="37" s="1"/>
  <c r="E43" i="37"/>
  <c r="F43" i="37" s="1"/>
  <c r="G43" i="37" s="1"/>
  <c r="E29" i="37"/>
  <c r="F29" i="37" s="1"/>
  <c r="G29" i="37" s="1"/>
  <c r="E10" i="37"/>
  <c r="F10" i="37" s="1"/>
  <c r="G10" i="37" s="1"/>
  <c r="E16" i="37"/>
  <c r="F16" i="37" s="1"/>
  <c r="G16" i="37" s="1"/>
  <c r="E33" i="37"/>
  <c r="F33" i="37" s="1"/>
  <c r="G33" i="37" s="1"/>
  <c r="E34" i="37"/>
  <c r="F34" i="37" s="1"/>
  <c r="G34" i="37" s="1"/>
  <c r="E27" i="37"/>
  <c r="F27" i="37" s="1"/>
  <c r="G27" i="37" s="1"/>
  <c r="E20" i="37"/>
  <c r="F20" i="37" s="1"/>
  <c r="G20" i="37" s="1"/>
  <c r="E52" i="37"/>
  <c r="F52" i="37" s="1"/>
  <c r="G52" i="37" s="1"/>
  <c r="E45" i="37"/>
  <c r="F45" i="37" s="1"/>
  <c r="G45" i="37" s="1"/>
  <c r="E38" i="37"/>
  <c r="F38" i="37" s="1"/>
  <c r="G38" i="37" s="1"/>
  <c r="E23" i="37"/>
  <c r="F23" i="37" s="1"/>
  <c r="G23" i="37" s="1"/>
  <c r="E12" i="37"/>
  <c r="F12" i="37" s="1"/>
  <c r="G12" i="37" s="1"/>
  <c r="E18" i="37"/>
  <c r="F18" i="37" s="1"/>
  <c r="G18" i="37" s="1"/>
  <c r="E22" i="37"/>
  <c r="F22" i="37" s="1"/>
  <c r="G22" i="37" s="1"/>
  <c r="E24" i="37"/>
  <c r="F24" i="37" s="1"/>
  <c r="G24" i="37" s="1"/>
  <c r="E41" i="37"/>
  <c r="F41" i="37" s="1"/>
  <c r="G41" i="37" s="1"/>
  <c r="E42" i="37"/>
  <c r="F42" i="37" s="1"/>
  <c r="G42" i="37" s="1"/>
  <c r="E35" i="37"/>
  <c r="F35" i="37" s="1"/>
  <c r="G35" i="37" s="1"/>
  <c r="E28" i="37"/>
  <c r="F28" i="37" s="1"/>
  <c r="G28" i="37" s="1"/>
  <c r="E21" i="37"/>
  <c r="F21" i="37" s="1"/>
  <c r="G21" i="37" s="1"/>
  <c r="E6" i="37"/>
  <c r="F6" i="37" s="1"/>
  <c r="G6" i="37" s="1"/>
  <c r="E46" i="37"/>
  <c r="F46" i="37" s="1"/>
  <c r="G46" i="37" s="1"/>
  <c r="E9" i="37"/>
  <c r="F9" i="37" s="1"/>
  <c r="G9" i="37" s="1"/>
  <c r="E13" i="37"/>
  <c r="F13" i="37" s="1"/>
  <c r="G13" i="37" s="1"/>
  <c r="E17" i="37"/>
  <c r="F17" i="37" s="1"/>
  <c r="G17" i="37" s="1"/>
  <c r="E50" i="37"/>
  <c r="F50" i="37" s="1"/>
  <c r="G50" i="37" s="1"/>
  <c r="E36" i="37"/>
  <c r="F36" i="37" s="1"/>
  <c r="G36" i="37" s="1"/>
  <c r="E7" i="37"/>
  <c r="F7" i="37" s="1"/>
  <c r="G7" i="37" s="1"/>
  <c r="E14" i="37"/>
  <c r="F14" i="37" s="1"/>
  <c r="G14" i="37" s="1"/>
  <c r="D4" i="13"/>
  <c r="E5" i="28"/>
  <c r="I5" i="28"/>
  <c r="I42" i="9"/>
  <c r="C9" i="4"/>
  <c r="AF4" i="13"/>
  <c r="A29" i="4"/>
  <c r="C29" i="4" s="1"/>
  <c r="B3" i="13"/>
  <c r="R4" i="13"/>
  <c r="BI4" i="5"/>
  <c r="R4" i="5"/>
  <c r="AS9" i="15"/>
  <c r="AI66" i="15"/>
  <c r="BV66" i="5"/>
  <c r="I44" i="9"/>
  <c r="I104" i="9" s="1"/>
  <c r="BG66" i="5"/>
  <c r="C9" i="2" s="1"/>
  <c r="F44" i="9"/>
  <c r="F104" i="9" s="1"/>
  <c r="D26" i="9"/>
  <c r="C25" i="9"/>
  <c r="A28" i="4"/>
  <c r="C28" i="4" s="1"/>
  <c r="C10" i="4"/>
  <c r="C11" i="4" s="1"/>
  <c r="C23" i="9"/>
  <c r="AS7" i="15"/>
  <c r="C26" i="9"/>
  <c r="AS66" i="13"/>
  <c r="AS6" i="17"/>
  <c r="AP66" i="17"/>
  <c r="D23" i="9"/>
  <c r="C22" i="9" l="1"/>
  <c r="AS66" i="15"/>
  <c r="C9" i="23" s="1"/>
  <c r="E26" i="9"/>
  <c r="D25" i="9"/>
  <c r="E25" i="9" s="1"/>
  <c r="D24" i="9"/>
  <c r="C24" i="9"/>
  <c r="E23" i="9"/>
  <c r="AS66" i="17"/>
  <c r="C9" i="27" s="1"/>
  <c r="D22" i="9"/>
  <c r="C40" i="9" l="1"/>
  <c r="E24" i="9"/>
  <c r="C39" i="9"/>
  <c r="D40" i="9"/>
  <c r="D39" i="9"/>
  <c r="E22" i="9"/>
  <c r="C11" i="27" l="1"/>
  <c r="I30" i="28" l="1"/>
  <c r="L12" i="28" s="1"/>
  <c r="D27" i="28"/>
  <c r="C11" i="2" l="1"/>
  <c r="C16" i="9"/>
  <c r="L11" i="28"/>
  <c r="L8" i="28"/>
  <c r="L10" i="28"/>
  <c r="L9" i="28"/>
  <c r="F32" i="9" l="1"/>
  <c r="F27" i="9"/>
  <c r="F29" i="9"/>
  <c r="F30" i="9"/>
  <c r="F31" i="9"/>
  <c r="F28" i="9"/>
  <c r="F33" i="9"/>
  <c r="F35" i="9"/>
  <c r="F34" i="9"/>
  <c r="F26" i="9"/>
  <c r="F24" i="9"/>
  <c r="F22" i="9"/>
  <c r="F23" i="9"/>
  <c r="F25" i="9"/>
  <c r="C11" i="2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E6" authorId="0" shapeId="0" xr:uid="{00000000-0006-0000-0400-000001000000}">
      <text>
        <r>
          <rPr>
            <b/>
            <sz val="9"/>
            <color indexed="81"/>
            <rFont val="Tahoma"/>
            <family val="2"/>
          </rPr>
          <t>AER:</t>
        </r>
        <r>
          <rPr>
            <sz val="9"/>
            <color indexed="81"/>
            <rFont val="Tahoma"/>
            <family val="2"/>
          </rPr>
          <t xml:space="preserve">
Sourced from 2020 approved proposal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C5" authorId="0" shapeId="0" xr:uid="{00000000-0006-0000-0500-000001000000}">
      <text>
        <r>
          <rPr>
            <b/>
            <sz val="9"/>
            <color indexed="81"/>
            <rFont val="Tahoma"/>
            <family val="2"/>
          </rPr>
          <t>AER:</t>
        </r>
        <r>
          <rPr>
            <sz val="9"/>
            <color indexed="81"/>
            <rFont val="Tahoma"/>
            <family val="2"/>
          </rPr>
          <t xml:space="preserve">
Sourced from 2020 approved proposal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C5" authorId="0" shapeId="0" xr:uid="{00000000-0006-0000-0600-000001000000}">
      <text>
        <r>
          <rPr>
            <b/>
            <sz val="9"/>
            <color indexed="81"/>
            <rFont val="Tahoma"/>
            <family val="2"/>
          </rPr>
          <t>AER:</t>
        </r>
        <r>
          <rPr>
            <sz val="9"/>
            <color indexed="81"/>
            <rFont val="Tahoma"/>
            <family val="2"/>
          </rPr>
          <t xml:space="preserve">
Sourced from 2020 approved proposal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D5" authorId="0" shapeId="0" xr:uid="{00000000-0006-0000-0700-000001000000}">
      <text>
        <r>
          <rPr>
            <b/>
            <sz val="9"/>
            <color indexed="81"/>
            <rFont val="Tahoma"/>
            <family val="2"/>
          </rPr>
          <t>AER:</t>
        </r>
        <r>
          <rPr>
            <sz val="9"/>
            <color indexed="81"/>
            <rFont val="Tahoma"/>
            <family val="2"/>
          </rPr>
          <t xml:space="preserve">
Sourced from 2020 approved proposal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43" authorId="0" shapeId="0" xr:uid="{00000000-0006-0000-0A00-00000100000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43" authorId="0" shapeId="0" xr:uid="{00000000-0006-0000-0A00-00000200000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sharedStrings.xml><?xml version="1.0" encoding="utf-8"?>
<sst xmlns="http://schemas.openxmlformats.org/spreadsheetml/2006/main" count="1017" uniqueCount="663">
  <si>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</si>
  <si>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</si>
  <si>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</si>
  <si>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</si>
  <si>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</si>
  <si>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</si>
  <si>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</si>
  <si>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</si>
  <si>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</si>
  <si>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</si>
  <si>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</si>
  <si>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</si>
  <si>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</si>
  <si>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</si>
  <si>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</si>
  <si>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</si>
  <si>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</si>
  <si>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</si>
  <si>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</si>
  <si>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</si>
  <si>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</si>
  <si>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</si>
  <si>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</si>
  <si>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</si>
  <si>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</si>
  <si>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</si>
  <si>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</si>
  <si>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</si>
  <si>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</si>
  <si>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</si>
  <si>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</si>
  <si>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</si>
  <si>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</si>
  <si>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</si>
  <si>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</si>
  <si>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</si>
  <si>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</si>
  <si>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</si>
  <si>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</si>
  <si>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</si>
  <si>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</si>
  <si>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</si>
  <si>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</si>
  <si>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</si>
  <si>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</si>
  <si>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</si>
  <si>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</si>
  <si>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</si>
  <si>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</si>
  <si>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</si>
  <si>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</si>
  <si>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</si>
  <si>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</si>
  <si>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</si>
  <si>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</si>
  <si>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</si>
  <si>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</si>
  <si>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</si>
  <si>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</si>
  <si>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</si>
  <si>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</si>
  <si>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</si>
  <si>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</si>
  <si>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</si>
  <si>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</si>
  <si>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</si>
  <si>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</si>
  <si>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</si>
  <si>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</si>
  <si>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</si>
  <si>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</si>
  <si>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</si>
  <si>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</si>
  <si>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</si>
  <si>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</si>
  <si>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</si>
  <si>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</si>
  <si>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</si>
  <si>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</si>
  <si>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</si>
  <si>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</si>
  <si>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</si>
  <si>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CPI Index Sept 2015</t>
  </si>
  <si>
    <t>Table 1- Compliance with AER Final Determination Total Annual Revenue</t>
  </si>
  <si>
    <t>Revenue from DUoS charges for year t</t>
  </si>
  <si>
    <t>Total Annual Revenue for year t</t>
  </si>
  <si>
    <t>t-4</t>
  </si>
  <si>
    <t>Proposed tariff</t>
  </si>
  <si>
    <t>Existing tariff</t>
  </si>
  <si>
    <t>PropTar
Fixed</t>
  </si>
  <si>
    <t>PropTar
OPkBlk1</t>
  </si>
  <si>
    <t>ExistTar
Fixed</t>
  </si>
  <si>
    <t>PropRev
Fixed</t>
  </si>
  <si>
    <t>PropRev
Total</t>
  </si>
  <si>
    <t>ExistRev
Fixed</t>
  </si>
  <si>
    <t>ExistRev
Total</t>
  </si>
  <si>
    <t>FcastVol
Fixed</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</si>
  <si>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</si>
  <si>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</si>
  <si>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</si>
  <si>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</si>
  <si>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</si>
  <si>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</si>
  <si>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</si>
  <si>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</si>
  <si>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</si>
  <si>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</si>
  <si>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</si>
  <si>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</si>
  <si>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</si>
  <si>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</si>
  <si>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</si>
  <si>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</si>
  <si>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</si>
  <si>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</si>
  <si>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</si>
  <si>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</si>
  <si>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Check Total</t>
  </si>
  <si>
    <t>New Tariff Test</t>
  </si>
  <si>
    <t>Destination tariff class</t>
  </si>
  <si>
    <t>Source tariff class</t>
  </si>
  <si>
    <t>EstRev
Fixed</t>
  </si>
  <si>
    <t>EstRev
Total</t>
  </si>
  <si>
    <t>EstVol
Fixed</t>
  </si>
  <si>
    <t>Year (t)</t>
  </si>
  <si>
    <t>TC + G - D</t>
  </si>
  <si>
    <t xml:space="preserve"> DUoS</t>
  </si>
  <si>
    <t>AEMO (TCt)</t>
  </si>
  <si>
    <t>Embedded generators (Gt)</t>
  </si>
  <si>
    <t>Inter-network (Dt)</t>
  </si>
  <si>
    <t>Table 3 - Transmission charges for year t</t>
  </si>
  <si>
    <t>Table 2 - Total DPPC related payments for year t</t>
  </si>
  <si>
    <t xml:space="preserve"> Designated pricing proposal charges (DPPC)</t>
  </si>
  <si>
    <t>Total DPPC related payments for year t</t>
  </si>
  <si>
    <t>Revenue from designated pricing proposal charges for year t</t>
  </si>
  <si>
    <t>Table 1- Compliance with DPPC Revenue Formula</t>
  </si>
  <si>
    <t>PFIT</t>
  </si>
  <si>
    <t>TFIT</t>
  </si>
  <si>
    <t xml:space="preserve"> Jurisdictional Scheme Amounts (JSA)</t>
  </si>
  <si>
    <t>Table 1- Compliance with JSA Revenue Formula</t>
  </si>
  <si>
    <t>Revenue from  Jurisdictional Scheme Amounts charges for year t</t>
  </si>
  <si>
    <t>Total JSA related payments for year t</t>
  </si>
  <si>
    <t>Table 2 - Total JSA related payments for year t</t>
  </si>
  <si>
    <t>Table 3 - PFIT &amp; TFIT charges for year t</t>
  </si>
  <si>
    <t>PFIT &amp; TFIT charges</t>
  </si>
  <si>
    <t>PropTar
$/Cust/year</t>
  </si>
  <si>
    <t>ExistTar
$/Cust/year</t>
  </si>
  <si>
    <t>FcastVol
Cust #</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</si>
  <si>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</si>
  <si>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</si>
  <si>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</si>
  <si>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</si>
  <si>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</si>
  <si>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</si>
  <si>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</si>
  <si>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</si>
  <si>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</si>
  <si>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</si>
  <si>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</si>
  <si>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</si>
  <si>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</si>
  <si>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</si>
  <si>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</si>
  <si>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</si>
  <si>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</si>
  <si>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</si>
  <si>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</si>
  <si>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</si>
  <si>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</si>
  <si>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</si>
  <si>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</si>
  <si>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</si>
  <si>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Table 1- Compliance with AER Final Determination Total Metering Annual Revenue</t>
  </si>
  <si>
    <t>Revenue from  Metering charges for year t</t>
  </si>
  <si>
    <t>Total Annual Metering Revenue for year t</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</si>
  <si>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</si>
  <si>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</si>
  <si>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</si>
  <si>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</si>
  <si>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</si>
  <si>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</si>
  <si>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</si>
  <si>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</si>
  <si>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</si>
  <si>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</si>
  <si>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t>(t)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</si>
  <si>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</si>
  <si>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</si>
  <si>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</si>
  <si>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</si>
  <si>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</si>
  <si>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</si>
  <si>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</si>
  <si>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</si>
  <si>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</si>
  <si>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</si>
  <si>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</si>
  <si>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</si>
  <si>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</si>
  <si>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</si>
  <si>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</si>
  <si>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</si>
  <si>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</si>
  <si>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</si>
  <si>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</si>
  <si>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</si>
  <si>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</si>
  <si>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</si>
  <si>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</si>
  <si>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</si>
  <si>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</si>
  <si>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</si>
  <si>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</si>
  <si>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</si>
  <si>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</si>
  <si>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</si>
  <si>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</si>
  <si>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</si>
  <si>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</si>
  <si>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</si>
  <si>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</si>
  <si>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</si>
  <si>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</si>
  <si>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</si>
  <si>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</si>
  <si>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</si>
  <si>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</si>
  <si>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</si>
  <si>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</si>
  <si>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</si>
  <si>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</si>
  <si>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</si>
  <si>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</si>
  <si>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</si>
  <si>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</si>
  <si>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</si>
  <si>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</si>
  <si>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</si>
  <si>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</si>
  <si>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</si>
  <si>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</si>
  <si>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</si>
  <si>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</si>
  <si>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</si>
  <si>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</si>
  <si>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</si>
  <si>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</si>
  <si>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</si>
  <si>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</si>
  <si>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</si>
  <si>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</si>
  <si>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</si>
  <si>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</si>
  <si>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</si>
  <si>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</si>
  <si>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</si>
  <si>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</si>
  <si>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</si>
  <si>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</si>
  <si>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</si>
  <si>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</si>
  <si>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</si>
  <si>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</si>
  <si>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</si>
  <si>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</si>
  <si>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</si>
  <si>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</si>
  <si>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</si>
  <si>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</si>
  <si>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</si>
  <si>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</si>
  <si>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</si>
  <si>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</si>
  <si>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</si>
  <si>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</si>
  <si>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</si>
  <si>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</si>
  <si>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</si>
  <si>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</si>
  <si>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</si>
  <si>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</si>
  <si>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</si>
  <si>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</si>
  <si>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</si>
  <si>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</si>
  <si>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</si>
  <si>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</si>
  <si>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</si>
  <si>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</si>
  <si>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</si>
  <si>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</si>
  <si>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</si>
  <si>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</si>
  <si>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</si>
  <si>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</si>
  <si>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</si>
  <si>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</si>
  <si>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Issue</t>
  </si>
  <si>
    <t>Location</t>
  </si>
  <si>
    <t>Comment</t>
  </si>
  <si>
    <t>Item</t>
  </si>
  <si>
    <t>Transmission connection (TCt)</t>
  </si>
  <si>
    <t>The following changes have been made for the tariff approval model to apply to the 2021 6-month extension period</t>
  </si>
  <si>
    <t>The revenue cap to be applied to revenue-capped type 5 and 6 (inc. smart metering) services will be as set in the amended metering PTRM, with no other factors applied.</t>
  </si>
  <si>
    <t>The revenue cap to be applies to standard control services will be as set in the amended PTRM, with no other factors applied.*</t>
  </si>
  <si>
    <t>The side constraint mechanism to apply to standard control services and metering services will be just CPI and the 2% allowance as there is no X-factor to apply, and no other adjustments need to be discounted from the permissable percentage.*</t>
  </si>
  <si>
    <t>The price cap to be applied to type 7 metering services will be escalated for CPI</t>
  </si>
  <si>
    <t>The price cap to apply to ancillary network services will be escalated for CPI and x-factor.</t>
  </si>
  <si>
    <t>X-factor to apply will reflect updated labour escalation forecast for the extended period in line with the calculation of the 2021–26 draft decision, being half of the forecast yearly change in the State utilities sector real wages for Vic in 21/22.</t>
  </si>
  <si>
    <t>The price cap to apply to metering exit fees and public lighting services will not be escalated.</t>
  </si>
  <si>
    <t>CPI definition to remain as per the 2015–20 determination.</t>
  </si>
  <si>
    <t>'6 month formulae'</t>
  </si>
  <si>
    <t>Price control formulae</t>
  </si>
  <si>
    <t>Added formulae to apply to the 6-month extension</t>
  </si>
  <si>
    <t>'Prop2020TSSComp'</t>
  </si>
  <si>
    <t>'Indicative prices for 2021'</t>
  </si>
  <si>
    <t>Comparison to previous year indicative prices</t>
  </si>
  <si>
    <t>Removed worksheet as no indicative prices for 2021 to compare to</t>
  </si>
  <si>
    <t>Indicative prices for next year</t>
  </si>
  <si>
    <t>Removed worksheet as no indicative prices required for 2021/22 year</t>
  </si>
  <si>
    <t>'JS cost audit template'</t>
  </si>
  <si>
    <t>t-2 jurisdictional scheme costs</t>
  </si>
  <si>
    <t>Removed worksheet as no true-up to occur in 6-month extension</t>
  </si>
  <si>
    <t>'TUOS cost audit template'</t>
  </si>
  <si>
    <t>t-2 designated pricing proposal charges</t>
  </si>
  <si>
    <t>'Prop2021DistTar'</t>
  </si>
  <si>
    <t>'2021DistRevCapForm'</t>
  </si>
  <si>
    <t>'2021DistTarRebalCont'</t>
  </si>
  <si>
    <t>'Est2020DistRev'</t>
  </si>
  <si>
    <t>'Prop2021TransTar'</t>
  </si>
  <si>
    <t>'2021TransRevCont'</t>
  </si>
  <si>
    <t>'Prop2021JSTar'</t>
  </si>
  <si>
    <t>'Est2019TransRev'</t>
  </si>
  <si>
    <t>'Est2019JSRev'</t>
  </si>
  <si>
    <t>'2021JSRevCont'</t>
  </si>
  <si>
    <t>Removed worksheet as t-1 estimates not needed in 6-month extension</t>
  </si>
  <si>
    <t>Calculating t-1 estimates for unders/overs account</t>
  </si>
  <si>
    <t>Renamed for relevant year</t>
  </si>
  <si>
    <t>Proposed 2021 transmission tariffs</t>
  </si>
  <si>
    <t>2021 transmission revenue cap</t>
  </si>
  <si>
    <t>Proposed 2021 jurisdictional scheme tariffs</t>
  </si>
  <si>
    <t>2021 jurisdictional scheme revenue cap</t>
  </si>
  <si>
    <t>Proposed 2021 distribution tariffs</t>
  </si>
  <si>
    <t>2021 distribution revenue cap</t>
  </si>
  <si>
    <t>2021 distribution side constraints</t>
  </si>
  <si>
    <t>Estimated 2020 distribution revenue</t>
  </si>
  <si>
    <t>'Model update'!A34:N299</t>
  </si>
  <si>
    <t>Inputs for control formulae</t>
  </si>
  <si>
    <t>Removed all 2016–20 inputs for control formulae as not used in 6-month extension</t>
  </si>
  <si>
    <t>'Model update'!C5</t>
  </si>
  <si>
    <t>Regulatory year</t>
  </si>
  <si>
    <t>Changed to 2021</t>
  </si>
  <si>
    <t>CPI Index June 2020</t>
  </si>
  <si>
    <t>CPI 2021</t>
  </si>
  <si>
    <t>'Model update'!A26:F26</t>
  </si>
  <si>
    <t>CPI data</t>
  </si>
  <si>
    <t>Expanded CPI data to include 2021</t>
  </si>
  <si>
    <t>'Model update'!C3</t>
  </si>
  <si>
    <t>Business name</t>
  </si>
  <si>
    <t>Updated for relevant business name</t>
  </si>
  <si>
    <t>Metering!H26:I28</t>
  </si>
  <si>
    <t>Side constraint factors</t>
  </si>
  <si>
    <t xml:space="preserve">Removed side constraint factors not applied for 6-month extension. </t>
  </si>
  <si>
    <t>Table 2 - Total annual revenue calculations</t>
  </si>
  <si>
    <t>Table 3 - Adjusted annual revenue calculations</t>
  </si>
  <si>
    <t>Removed calculations for factors not applied in 6-month extension</t>
  </si>
  <si>
    <t>Removed calculations for escalations not applied in 6-month extension</t>
  </si>
  <si>
    <t>Metering!I25</t>
  </si>
  <si>
    <t>Updated CPI reference to 'Model update' sheet</t>
  </si>
  <si>
    <t>Table 4 - Metering service recovery arrangements</t>
  </si>
  <si>
    <t>Table 5 - Metering services unders/overs account</t>
  </si>
  <si>
    <t>Calculation of estimated metering revenue for t-1</t>
  </si>
  <si>
    <t>Removed table as unders/overs not applied in 6-month extension</t>
  </si>
  <si>
    <t>Removed t-1 data as not used for calculating revenue cap for 6-month extension</t>
  </si>
  <si>
    <t>t-1 data for calculating revenue cap</t>
  </si>
  <si>
    <t>Metering!D26</t>
  </si>
  <si>
    <t>Revenue cap</t>
  </si>
  <si>
    <t>Formula replaced with revenue directly from 6-month extension PTRM</t>
  </si>
  <si>
    <t>'2021DistRevCapForm'!B13:C38</t>
  </si>
  <si>
    <t>Table 4 - B factor calculations</t>
  </si>
  <si>
    <t>Table 5 - License fee calculations</t>
  </si>
  <si>
    <t>Metering!E22:E33</t>
  </si>
  <si>
    <t>Metering!B44:F89</t>
  </si>
  <si>
    <t>Metering!B29:D39</t>
  </si>
  <si>
    <t>'2021DistRevCapForm'!B42:E77</t>
  </si>
  <si>
    <t>'2021DistRevCapForm'!H6:H38</t>
  </si>
  <si>
    <t>Table 6 - DUoS recovery arrangements</t>
  </si>
  <si>
    <t>Table 7 - DUoS unders and overs account</t>
  </si>
  <si>
    <t>'2021DistRevCapForm'!C10</t>
  </si>
  <si>
    <t>'2021DistTarRebalCont'!B9:C13</t>
  </si>
  <si>
    <t>'2021DistTarRebalCont'!C8</t>
  </si>
  <si>
    <t>'2021TransRevCont'!B29:E66</t>
  </si>
  <si>
    <t>'2021TransRevCont'!B13:C17</t>
  </si>
  <si>
    <t>'2021TransRevCont'!C10</t>
  </si>
  <si>
    <t>Table 5 - DPPC unders and overs account</t>
  </si>
  <si>
    <t>Table 4 - DPPC recovery arrangements</t>
  </si>
  <si>
    <t>Updated formula to source total costs from Table 3</t>
  </si>
  <si>
    <t>'2021JSRevCont'!B13:C17</t>
  </si>
  <si>
    <t>'2021JSRevCont'!C10</t>
  </si>
  <si>
    <t>'2021JSRevCont'!B27:E62</t>
  </si>
  <si>
    <t>Table 4 - JSA recovery arrangements</t>
  </si>
  <si>
    <t>Table 5 - JSA unders and overs account</t>
  </si>
  <si>
    <t>Est2020DistRev!D6:P54</t>
  </si>
  <si>
    <t>t-1 prices</t>
  </si>
  <si>
    <t>Updated t-1 prices for approved 2020 prices</t>
  </si>
  <si>
    <t>Metering type</t>
  </si>
  <si>
    <t>2021 price cap</t>
  </si>
  <si>
    <t>Proposed 2021 price</t>
  </si>
  <si>
    <t>2020 price cap</t>
  </si>
  <si>
    <t>Proposed public lighting prices</t>
  </si>
  <si>
    <t>Proposed metering exit fees</t>
  </si>
  <si>
    <t>Public lighting tariff</t>
  </si>
  <si>
    <t>Proposed ancillary network service prices</t>
  </si>
  <si>
    <t>Ancillary network service</t>
  </si>
  <si>
    <t>'Meteing exit fees'</t>
  </si>
  <si>
    <t>'Public lighting'</t>
  </si>
  <si>
    <t>'ANS'</t>
  </si>
  <si>
    <t>Worksheet</t>
  </si>
  <si>
    <t>Added worksheet for calculating ACS price caps</t>
  </si>
  <si>
    <t>X-factor for ANS</t>
  </si>
  <si>
    <t>2021 X-factor for ANS</t>
  </si>
  <si>
    <t>'Model update'!A34:D36</t>
  </si>
  <si>
    <t>Added 2021 X-factor for use in escalating ANS price caps</t>
  </si>
  <si>
    <t>X-factor</t>
  </si>
  <si>
    <t>Escalators</t>
  </si>
  <si>
    <t>Single phase</t>
  </si>
  <si>
    <t>Three phase direct connected meter</t>
  </si>
  <si>
    <t>Three phase CT connected meter</t>
  </si>
  <si>
    <t>Basic or MRIM</t>
  </si>
  <si>
    <t>Existing Lights</t>
  </si>
  <si>
    <t>Mercury vapour 80 watt</t>
  </si>
  <si>
    <t>Sodium high pressure 150 watt</t>
  </si>
  <si>
    <t>Sodium high pressure 250 watt</t>
  </si>
  <si>
    <t>Fluorescent 20 watt</t>
  </si>
  <si>
    <t>Fluorescent 40 watt</t>
  </si>
  <si>
    <t>Mercury vapour 50 watt</t>
  </si>
  <si>
    <t>Mercury vapour 125 watt</t>
  </si>
  <si>
    <t>Mercury vapour 250 watt</t>
  </si>
  <si>
    <t>Mercury vapour 400 watt</t>
  </si>
  <si>
    <t>Mercury vapour 700 watt</t>
  </si>
  <si>
    <t>Sodium high pressure 70 watt</t>
  </si>
  <si>
    <t>Sodium high pressure 100 watt</t>
  </si>
  <si>
    <t>Sodium high pressure 220 watt</t>
  </si>
  <si>
    <t>Sodium high pressure 360 watt</t>
  </si>
  <si>
    <t>Sodium high pressure 400 watt</t>
  </si>
  <si>
    <t>Sodium high pressure 1000 watt</t>
  </si>
  <si>
    <t>Metal halide 70 watt</t>
  </si>
  <si>
    <t>Metal halide 100 watt</t>
  </si>
  <si>
    <t>Metal halide 150 watt</t>
  </si>
  <si>
    <t>Metal halide 250 watt</t>
  </si>
  <si>
    <t>Metal halide 400 watt</t>
  </si>
  <si>
    <t>Metal halide 1000 watt</t>
  </si>
  <si>
    <t>Energy Efficient Lights</t>
  </si>
  <si>
    <t>T5 2X14W</t>
  </si>
  <si>
    <t>T5 2X24W</t>
  </si>
  <si>
    <t>CF32</t>
  </si>
  <si>
    <t>CF42</t>
  </si>
  <si>
    <t>Category P LED 18 Watt</t>
  </si>
  <si>
    <t>Category P LED 47 Watt</t>
  </si>
  <si>
    <t>Other</t>
  </si>
  <si>
    <t>WDV</t>
  </si>
  <si>
    <t>Avoided costs</t>
  </si>
  <si>
    <t>Meter investigation test</t>
  </si>
  <si>
    <t>Business hours</t>
  </si>
  <si>
    <t>After hours</t>
  </si>
  <si>
    <t>Meter accuracy test – Single phase</t>
  </si>
  <si>
    <t>Meter accuracy test – Single phase additional meter</t>
  </si>
  <si>
    <t>Meter accuracy test – Multi phase</t>
  </si>
  <si>
    <t>Meter accuracy test – Multi phase additional meter</t>
  </si>
  <si>
    <t>Meter accuracy test – CT</t>
  </si>
  <si>
    <t>Disconnection</t>
  </si>
  <si>
    <t>Disconnection for non‑payment</t>
  </si>
  <si>
    <t>Reconnections (incl. customer transfer)</t>
  </si>
  <si>
    <t>Reconnections (same day)</t>
  </si>
  <si>
    <t>Special reading</t>
  </si>
  <si>
    <t>Manual meter reading</t>
  </si>
  <si>
    <t>Access to meter data</t>
  </si>
  <si>
    <t>Service truck visit</t>
  </si>
  <si>
    <t>Wasted truck visit</t>
  </si>
  <si>
    <t>Remote meter reconfiguration</t>
  </si>
  <si>
    <t>Remote re‑energisation</t>
  </si>
  <si>
    <t>Remote de‑energisation</t>
  </si>
  <si>
    <t>New connections – CitiPower responsible for metering</t>
  </si>
  <si>
    <t>Multi‑phase DC</t>
  </si>
  <si>
    <t>Multi‑phase CT</t>
  </si>
  <si>
    <t>New connections – CitiPower  NOT responsible for metering</t>
  </si>
  <si>
    <t>Quoted Services</t>
  </si>
  <si>
    <t>Skilled electrical worker</t>
  </si>
  <si>
    <t>Support staff</t>
  </si>
  <si>
    <t>C1R</t>
  </si>
  <si>
    <t>Residential Single Rate</t>
  </si>
  <si>
    <t>C1RB</t>
  </si>
  <si>
    <t>Residential Single Rate - Bulk</t>
  </si>
  <si>
    <t>C13R</t>
  </si>
  <si>
    <t>Residential - flexible pricing</t>
  </si>
  <si>
    <t>C13RB</t>
  </si>
  <si>
    <t>Residential - flexible pricing bulk</t>
  </si>
  <si>
    <t>C2R</t>
  </si>
  <si>
    <t>Residential Two Rate 5d</t>
  </si>
  <si>
    <t>C2RB</t>
  </si>
  <si>
    <t>Residential Two Rate 5d - Bulk</t>
  </si>
  <si>
    <t>C3R</t>
  </si>
  <si>
    <t>Residential Interval</t>
  </si>
  <si>
    <t>C3RB</t>
  </si>
  <si>
    <t>Residential Interval - Bulk</t>
  </si>
  <si>
    <t>C2ROP</t>
  </si>
  <si>
    <t>Residential Two Rate 5d - Controlled Load</t>
  </si>
  <si>
    <t>C2RBOP</t>
  </si>
  <si>
    <t>Residential Two Rate 5d - Bulk - Controlled Load</t>
  </si>
  <si>
    <t>CDS</t>
  </si>
  <si>
    <t>Dedicated Circuit</t>
  </si>
  <si>
    <t>CDSB</t>
  </si>
  <si>
    <t>Dedicated Circuit - Bulk</t>
  </si>
  <si>
    <t>CR</t>
  </si>
  <si>
    <t>Residential Demand</t>
  </si>
  <si>
    <t>CRB</t>
  </si>
  <si>
    <t>Residential Bulk Demand</t>
  </si>
  <si>
    <t>C1G</t>
  </si>
  <si>
    <t>Non-Residential Single Rate</t>
  </si>
  <si>
    <t>C1GB</t>
  </si>
  <si>
    <t>Non-Residential Single Rate - Bulk</t>
  </si>
  <si>
    <t>C2G5</t>
  </si>
  <si>
    <t>Non-Residential Two Rate 5d</t>
  </si>
  <si>
    <t>C2G5B</t>
  </si>
  <si>
    <t>Non-Residential Two Rate 5d - Bulk</t>
  </si>
  <si>
    <t>C3G</t>
  </si>
  <si>
    <t>Non-Residential Interval</t>
  </si>
  <si>
    <t>C3GB</t>
  </si>
  <si>
    <t>Non-Residential Interval - Bulk</t>
  </si>
  <si>
    <t>C14G</t>
  </si>
  <si>
    <t>Non-Residential Flexible Pricing</t>
  </si>
  <si>
    <t>C14GB</t>
  </si>
  <si>
    <t>Non-Residential - Flexible Pricing Bulk</t>
  </si>
  <si>
    <t>C2G7</t>
  </si>
  <si>
    <t>Non-Residential Two Rate 7d</t>
  </si>
  <si>
    <t>C2G7B</t>
  </si>
  <si>
    <t>Non-Residential Two Rate 7d - Bulk</t>
  </si>
  <si>
    <t>C2L7</t>
  </si>
  <si>
    <t>Large Two Rate 7d</t>
  </si>
  <si>
    <t>CG</t>
  </si>
  <si>
    <t>Non-Residential Demand Tariff</t>
  </si>
  <si>
    <t>CGB</t>
  </si>
  <si>
    <t>Non-Residential Bulk Demand Tariff</t>
  </si>
  <si>
    <t>CMG</t>
  </si>
  <si>
    <t>Medium Business Demand</t>
  </si>
  <si>
    <t>CMGB</t>
  </si>
  <si>
    <t>Medium Business Bulk Demand</t>
  </si>
  <si>
    <t>CMGO</t>
  </si>
  <si>
    <t>Medium Business Opt-out</t>
  </si>
  <si>
    <t>CMGBO</t>
  </si>
  <si>
    <t>Medium Business Bulk Opt-out</t>
  </si>
  <si>
    <t>C2U</t>
  </si>
  <si>
    <t>Unmetered Supplies / Public Lighting</t>
  </si>
  <si>
    <t>CLLV</t>
  </si>
  <si>
    <t>Large low Voltage</t>
  </si>
  <si>
    <t>CLLVB</t>
  </si>
  <si>
    <t>Large low Voltage Bulk</t>
  </si>
  <si>
    <t>CHV</t>
  </si>
  <si>
    <t>High Voltage</t>
  </si>
  <si>
    <t>CST</t>
  </si>
  <si>
    <t>Subtransmission</t>
  </si>
  <si>
    <t>PropTar
Anytime</t>
  </si>
  <si>
    <t>PropTar
PkBlk</t>
  </si>
  <si>
    <t>PropTar
Dem kVA</t>
  </si>
  <si>
    <t>PropTar
Dem kW Sum</t>
  </si>
  <si>
    <t>PropTar
Dem kW Win</t>
  </si>
  <si>
    <t>PropTar
SumBlk1</t>
  </si>
  <si>
    <t>PropTar
SumBlk2</t>
  </si>
  <si>
    <t>PropTar
SumBlk3</t>
  </si>
  <si>
    <t>PropTar
WtrBlk1</t>
  </si>
  <si>
    <t>PropTar
WtrBlk2</t>
  </si>
  <si>
    <t>PropTar
WtrBlk3</t>
  </si>
  <si>
    <t>ExistTar
Anytime</t>
  </si>
  <si>
    <t>ExistTar
Pk</t>
  </si>
  <si>
    <t>ExistTar
OPkBlk</t>
  </si>
  <si>
    <t>ExistTar
Dem kVA</t>
  </si>
  <si>
    <t>ExistTar
Dem kW Sum</t>
  </si>
  <si>
    <t>ExistTar
Dem kW Win</t>
  </si>
  <si>
    <t>ExistTar
SumBlk1</t>
  </si>
  <si>
    <t>ExistTar
SumBlk2</t>
  </si>
  <si>
    <t>ExistTar
SumBlk3</t>
  </si>
  <si>
    <t>ExistTar
WtrBlk1</t>
  </si>
  <si>
    <t>ExistTar
WtrBlk2</t>
  </si>
  <si>
    <t>ExistTar
WtrBlk3</t>
  </si>
  <si>
    <t>FcastVol
Anytime</t>
  </si>
  <si>
    <t>FcastVol
Pk</t>
  </si>
  <si>
    <t>FcastVol
Opk</t>
  </si>
  <si>
    <t>FcastVol
Dem kVA</t>
  </si>
  <si>
    <t>FcastVol
Dem kW Sum</t>
  </si>
  <si>
    <t>FcastVol
Dem kW Win</t>
  </si>
  <si>
    <t>FcastVol
SumBlk1</t>
  </si>
  <si>
    <t>FcastVol
SumBlk2</t>
  </si>
  <si>
    <t>FcastVol
SumBlk3</t>
  </si>
  <si>
    <t>FcastVol
WtrBlk1</t>
  </si>
  <si>
    <t>FcastVol
WtrBlk2</t>
  </si>
  <si>
    <t>FcastVol
WtrBlk3</t>
  </si>
  <si>
    <t>PropRev
Anytime</t>
  </si>
  <si>
    <t>PropRev
Pk</t>
  </si>
  <si>
    <t>PropRev
Opk</t>
  </si>
  <si>
    <t>PropRev
Dem kVA</t>
  </si>
  <si>
    <t>PropRev
Dem kW Sum</t>
  </si>
  <si>
    <t>PropRev
Dem kW Win</t>
  </si>
  <si>
    <t>PropRev
SumBlk1</t>
  </si>
  <si>
    <t>PropRev
SumBlk2</t>
  </si>
  <si>
    <t>PropRev
SumBlk3</t>
  </si>
  <si>
    <t>PropRev
WtrBlk1</t>
  </si>
  <si>
    <t>PropRev
WtrBlk2</t>
  </si>
  <si>
    <t>PropRev
WtrBlk3</t>
  </si>
  <si>
    <t>ExistRev
Anytime</t>
  </si>
  <si>
    <t>ExistRev
Pk</t>
  </si>
  <si>
    <t>ExistRev
Opk</t>
  </si>
  <si>
    <t>ExistRev
Dem kVA</t>
  </si>
  <si>
    <t>ExistRev
Dem kW Sum</t>
  </si>
  <si>
    <t>ExistRev
Dem kW Win</t>
  </si>
  <si>
    <t>ExistRev
SumBlk1</t>
  </si>
  <si>
    <t>ExistRev
SumBlk2</t>
  </si>
  <si>
    <t>ExistRev
SumBlk3</t>
  </si>
  <si>
    <t>ExistRev
WtrBlk1</t>
  </si>
  <si>
    <t>ExistRev
WtrBlk2</t>
  </si>
  <si>
    <t>ExistRev
WtrBlk3</t>
  </si>
  <si>
    <t>Residential</t>
  </si>
  <si>
    <t>Small business</t>
  </si>
  <si>
    <t>LLV</t>
  </si>
  <si>
    <t>HV</t>
  </si>
  <si>
    <t>SubTrans</t>
  </si>
  <si>
    <t>CurrentTar
Fixed</t>
  </si>
  <si>
    <t>CurrentTar
Anytime</t>
  </si>
  <si>
    <t>CurrentTar
PkBlk</t>
  </si>
  <si>
    <t>CurrentTar
OPkBlk1</t>
  </si>
  <si>
    <t>CurrentTar
Dem kVA</t>
  </si>
  <si>
    <t>CurrentTar
Dem kW Sum</t>
  </si>
  <si>
    <t>CurrentTar
Dem kW Win</t>
  </si>
  <si>
    <t>CurrentTar
SumBlk1</t>
  </si>
  <si>
    <t>CurrentTar
SumBlk2</t>
  </si>
  <si>
    <t>CurrentTar
SumBlk3</t>
  </si>
  <si>
    <t>CurrentTar
WtrBlk1</t>
  </si>
  <si>
    <t>CurrentTar
WtrBlk2</t>
  </si>
  <si>
    <t>CurrentTar
WtrBlk3</t>
  </si>
  <si>
    <t>EstVol
Anytime</t>
  </si>
  <si>
    <t>EstVol
Pk</t>
  </si>
  <si>
    <t>EstVol
Opk</t>
  </si>
  <si>
    <t>EstVol
Dem kVA</t>
  </si>
  <si>
    <t>EstVol
Dem kW Sum</t>
  </si>
  <si>
    <t>EstVol
Dem kW Win</t>
  </si>
  <si>
    <t>EstVol
SumBlk1</t>
  </si>
  <si>
    <t>EstVol
SumBlk2</t>
  </si>
  <si>
    <t>EstVol
SumBlk3</t>
  </si>
  <si>
    <t>EstVol
WtrBlk1</t>
  </si>
  <si>
    <t>EstVol
WtrBlk2</t>
  </si>
  <si>
    <t>EstVol
WtrBlk3</t>
  </si>
  <si>
    <t>EstRev
Anytime</t>
  </si>
  <si>
    <t>EstRev
Pk</t>
  </si>
  <si>
    <t>EstRev
Opk</t>
  </si>
  <si>
    <t>EstRev
Dem kVA</t>
  </si>
  <si>
    <t>EstRev
Dem kW Sum</t>
  </si>
  <si>
    <t>EstRev
Dem kW Win</t>
  </si>
  <si>
    <t>EstRev
SumBlk1</t>
  </si>
  <si>
    <t>EstRev
SumBlk2</t>
  </si>
  <si>
    <t>EstRev
SumBlk3</t>
  </si>
  <si>
    <t>EstRev
WtrBlk1</t>
  </si>
  <si>
    <t>EstRev
WtrBlk2</t>
  </si>
  <si>
    <t>EstRev
WtrBlk3</t>
  </si>
  <si>
    <t>CitiPower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</si>
</sst>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quot;-&quot;??_);_(@_)"/>
    <numFmt numFmtId="165" formatCode="0.0"/>
    <numFmt numFmtId="166" formatCode="0.000000%"/>
    <numFmt numFmtId="167" formatCode="_-* #,##0_-;\-* #,##0_-;_-* &quot;-&quot;??_-;_-@_-"/>
    <numFmt numFmtId="168" formatCode="0.000"/>
    <numFmt numFmtId="169" formatCode="#,##0.000"/>
    <numFmt numFmtId="170" formatCode="#,##0.000000000000000"/>
    <numFmt numFmtId="171" formatCode="_-* #,##0.000_-;\-* #,##0.000_-;_-* &quot;-&quot;??_-;_-@_-"/>
    <numFmt numFmtId="172" formatCode="_-* #,##0.0000_-;\-* #,##0.0000_-;_-* &quot;-&quot;??_-;_-@_-"/>
    <numFmt numFmtId="173" formatCode="0.0%"/>
    <numFmt numFmtId="174" formatCode="0.000%"/>
    <numFmt numFmtId="175" formatCode="_(#,##0_);\(#,##0\);_(&quot;-&quot;_)"/>
  </numFmts>
  <fonts count="51" x14ac:knownFonts="1">
    <font>
      <sz val="10"/>
      <color theme="1"/>
      <name val="Arial"/>
      <family val="2"/>
    </font>
    <font>
      <sz val="11"/>
      <color theme="1"/>
      <name val="Calibri"/>
      <family val="2"/>
      <scheme val="minor"/>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b/>
      <sz val="10"/>
      <name val="Arial"/>
      <family val="2"/>
    </font>
    <font>
      <sz val="8"/>
      <name val="Arial"/>
      <family val="2"/>
    </font>
    <font>
      <b/>
      <u/>
      <sz val="12"/>
      <color rgb="FFFF0000"/>
      <name val="Arial"/>
      <family val="2"/>
    </font>
    <font>
      <sz val="10"/>
      <color rgb="FF0000FF"/>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sz val="7"/>
      <color theme="1"/>
      <name val="Arial"/>
      <family val="2"/>
    </font>
    <font>
      <sz val="11"/>
      <color rgb="FF0000FF"/>
      <name val="Arial"/>
      <family val="2"/>
    </font>
    <font>
      <b/>
      <sz val="10"/>
      <color theme="1"/>
      <name val="Arial"/>
      <family val="2"/>
    </font>
    <font>
      <b/>
      <u/>
      <sz val="11"/>
      <name val="Verdana"/>
      <family val="2"/>
    </font>
    <font>
      <b/>
      <sz val="10"/>
      <name val="Verdana"/>
      <family val="2"/>
    </font>
    <font>
      <sz val="10"/>
      <color indexed="12"/>
      <name val="Verdana"/>
      <family val="2"/>
    </font>
    <font>
      <b/>
      <sz val="10"/>
      <color indexed="10"/>
      <name val="Verdana"/>
      <family val="2"/>
    </font>
    <font>
      <sz val="10"/>
      <color indexed="10"/>
      <name val="Verdana"/>
      <family val="2"/>
    </font>
    <font>
      <b/>
      <vertAlign val="superscript"/>
      <sz val="10"/>
      <color theme="1"/>
      <name val="Arial"/>
      <family val="2"/>
    </font>
    <font>
      <vertAlign val="subscript"/>
      <sz val="10"/>
      <color theme="1"/>
      <name val="Arial"/>
      <family val="2"/>
    </font>
    <font>
      <sz val="10"/>
      <color rgb="FF0000FF"/>
      <name val="Verdana"/>
      <family val="2"/>
    </font>
    <font>
      <b/>
      <sz val="11"/>
      <color rgb="FFFF0000"/>
      <name val="Arial"/>
      <family val="2"/>
    </font>
    <font>
      <b/>
      <sz val="10"/>
      <color rgb="FF0000FF"/>
      <name val="Arial"/>
      <family val="2"/>
    </font>
    <font>
      <sz val="9"/>
      <name val="Verdana"/>
      <family val="2"/>
    </font>
  </fonts>
  <fills count="18">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lightDown">
        <fgColor theme="0" tint="-0.499984740745262"/>
        <bgColor indexed="65"/>
      </patternFill>
    </fill>
    <fill>
      <patternFill patternType="lightDown">
        <fgColor theme="0" tint="-0.499984740745262"/>
        <bgColor rgb="FF365F91"/>
      </patternFill>
    </fill>
    <fill>
      <patternFill patternType="lightDown">
        <fgColor theme="0" tint="-0.499984740745262"/>
        <bgColor rgb="FFDBE5F1"/>
      </patternFill>
    </fill>
  </fills>
  <borders count="58">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18"/>
      </left>
      <right style="medium">
        <color indexed="18"/>
      </right>
      <top style="medium">
        <color indexed="18"/>
      </top>
      <bottom style="medium">
        <color indexed="18"/>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s>
  <cellStyleXfs count="24">
    <xf numFmtId="0" fontId="0" fillId="0" borderId="0"/>
    <xf numFmtId="0" fontId="13" fillId="0" borderId="0"/>
    <xf numFmtId="0" fontId="14" fillId="0" borderId="0"/>
    <xf numFmtId="9" fontId="13" fillId="0" borderId="0" applyFont="0" applyFill="0" applyBorder="0" applyAlignment="0" applyProtection="0"/>
    <xf numFmtId="0" fontId="15" fillId="0" borderId="0"/>
    <xf numFmtId="164" fontId="2" fillId="0" borderId="0" applyFont="0" applyFill="0" applyBorder="0" applyAlignment="0" applyProtection="0"/>
    <xf numFmtId="9" fontId="2" fillId="0" borderId="0" applyFont="0" applyFill="0" applyBorder="0" applyAlignment="0" applyProtection="0"/>
    <xf numFmtId="0" fontId="14" fillId="0" borderId="0"/>
    <xf numFmtId="3" fontId="14" fillId="9" borderId="0" applyNumberFormat="0" applyFont="0" applyBorder="0" applyAlignment="0">
      <alignment horizontal="right"/>
      <protection locked="0"/>
    </xf>
    <xf numFmtId="0" fontId="14" fillId="0" borderId="0"/>
    <xf numFmtId="0" fontId="14" fillId="0" borderId="0"/>
    <xf numFmtId="0" fontId="14" fillId="0" borderId="0"/>
    <xf numFmtId="0" fontId="14" fillId="0" borderId="0"/>
    <xf numFmtId="0" fontId="14" fillId="0" borderId="0"/>
    <xf numFmtId="0" fontId="16" fillId="11" borderId="0" applyNumberFormat="0" applyBorder="0" applyAlignment="0" applyProtection="0"/>
    <xf numFmtId="164" fontId="13" fillId="0" borderId="0" applyFont="0" applyFill="0" applyBorder="0" applyAlignment="0" applyProtection="0"/>
    <xf numFmtId="0" fontId="13" fillId="0" borderId="0"/>
    <xf numFmtId="0" fontId="14" fillId="0" borderId="0"/>
    <xf numFmtId="0" fontId="15" fillId="0" borderId="0"/>
    <xf numFmtId="9" fontId="15" fillId="0" borderId="0" applyFont="0" applyFill="0" applyBorder="0" applyAlignment="0" applyProtection="0"/>
    <xf numFmtId="175" fontId="27" fillId="0" borderId="45">
      <alignment horizontal="right" vertical="center"/>
      <protection locked="0"/>
    </xf>
    <xf numFmtId="164" fontId="13" fillId="0" borderId="0" applyFont="0" applyFill="0" applyBorder="0" applyAlignment="0" applyProtection="0"/>
    <xf numFmtId="0" fontId="1" fillId="0" borderId="0"/>
    <xf numFmtId="0" fontId="26" fillId="14" borderId="11">
      <alignment horizontal="center" vertical="center" wrapText="1"/>
    </xf>
  </cellStyleXfs>
  <cellXfs count="472">
    <xf numFmtId="0" fontId="0" fillId="0" borderId="0" xfId="0"/>
    <xf numFmtId="0" fontId="5" fillId="0" borderId="0" xfId="0" applyFont="1" applyProtection="1">
      <protection locked="0"/>
    </xf>
    <xf numFmtId="0" fontId="4" fillId="0" borderId="0" xfId="0" applyFont="1" applyProtection="1"/>
    <xf numFmtId="168" fontId="4" fillId="0" borderId="0" xfId="0" applyNumberFormat="1" applyFont="1" applyAlignment="1" applyProtection="1">
      <alignment horizontal="center"/>
    </xf>
    <xf numFmtId="0" fontId="4" fillId="0" borderId="0" xfId="0" applyFont="1" applyProtection="1">
      <protection locked="0"/>
    </xf>
    <xf numFmtId="169" fontId="4" fillId="0" borderId="0" xfId="0" applyNumberFormat="1" applyFont="1" applyProtection="1">
      <protection locked="0"/>
    </xf>
    <xf numFmtId="2" fontId="20" fillId="0" borderId="0" xfId="5" applyNumberFormat="1" applyFont="1" applyAlignment="1" applyProtection="1">
      <alignment horizontal="left"/>
    </xf>
    <xf numFmtId="2" fontId="20" fillId="0" borderId="0" xfId="5" applyNumberFormat="1" applyFont="1" applyAlignment="1" applyProtection="1">
      <alignment horizontal="left"/>
      <protection locked="0"/>
    </xf>
    <xf numFmtId="2" fontId="19" fillId="0" borderId="0" xfId="5" applyNumberFormat="1" applyFont="1" applyFill="1" applyAlignment="1" applyProtection="1">
      <alignment horizontal="left"/>
      <protection locked="0"/>
    </xf>
    <xf numFmtId="0" fontId="5" fillId="0" borderId="0" xfId="0" applyFont="1" applyProtection="1"/>
    <xf numFmtId="168" fontId="5" fillId="0" borderId="0" xfId="0" applyNumberFormat="1" applyFont="1" applyAlignment="1" applyProtection="1">
      <alignment horizontal="center"/>
    </xf>
    <xf numFmtId="169" fontId="5" fillId="0" borderId="0" xfId="0" applyNumberFormat="1" applyFont="1" applyProtection="1">
      <protection locked="0"/>
    </xf>
    <xf numFmtId="0" fontId="5" fillId="0" borderId="0" xfId="0" applyFont="1" applyAlignment="1" applyProtection="1">
      <alignment vertical="center"/>
      <protection locked="0"/>
    </xf>
    <xf numFmtId="0" fontId="20" fillId="0" borderId="0" xfId="0" applyFont="1" applyBorder="1" applyAlignment="1" applyProtection="1">
      <alignment vertical="center"/>
    </xf>
    <xf numFmtId="0" fontId="4" fillId="0" borderId="0" xfId="0" applyFont="1" applyBorder="1" applyAlignment="1" applyProtection="1">
      <alignment vertical="center"/>
    </xf>
    <xf numFmtId="168" fontId="20" fillId="0" borderId="0" xfId="0" applyNumberFormat="1" applyFont="1" applyBorder="1" applyAlignment="1" applyProtection="1">
      <alignment horizontal="center" vertical="center"/>
    </xf>
    <xf numFmtId="0" fontId="4" fillId="0" borderId="0" xfId="0" applyFont="1" applyFill="1" applyBorder="1" applyProtection="1">
      <protection locked="0"/>
    </xf>
    <xf numFmtId="0" fontId="5" fillId="0" borderId="11" xfId="0" applyFont="1" applyFill="1" applyBorder="1" applyAlignment="1" applyProtection="1">
      <alignment vertical="center"/>
    </xf>
    <xf numFmtId="170" fontId="5" fillId="0" borderId="0" xfId="0" applyNumberFormat="1" applyFont="1" applyFill="1" applyBorder="1" applyProtection="1">
      <protection locked="0"/>
    </xf>
    <xf numFmtId="3" fontId="21" fillId="0" borderId="0" xfId="8" applyFont="1" applyFill="1" applyBorder="1" applyAlignment="1" applyProtection="1">
      <alignment horizontal="left"/>
      <protection locked="0"/>
    </xf>
    <xf numFmtId="0" fontId="23" fillId="0" borderId="0" xfId="0" applyFont="1" applyFill="1" applyProtection="1">
      <protection locked="0"/>
    </xf>
    <xf numFmtId="0" fontId="5" fillId="0" borderId="11" xfId="0" applyFont="1" applyBorder="1" applyAlignment="1" applyProtection="1">
      <alignment vertical="center"/>
    </xf>
    <xf numFmtId="0" fontId="5" fillId="2" borderId="11" xfId="0" applyFont="1" applyFill="1" applyBorder="1" applyAlignment="1" applyProtection="1">
      <alignment vertical="center"/>
    </xf>
    <xf numFmtId="0" fontId="20" fillId="0" borderId="7" xfId="0" applyFont="1" applyBorder="1" applyAlignment="1" applyProtection="1">
      <alignment vertical="center"/>
    </xf>
    <xf numFmtId="0" fontId="5" fillId="0" borderId="0" xfId="0" applyFont="1" applyBorder="1" applyAlignment="1" applyProtection="1">
      <alignment vertical="center"/>
    </xf>
    <xf numFmtId="2" fontId="25" fillId="9" borderId="0" xfId="5" applyNumberFormat="1" applyFont="1" applyFill="1" applyAlignment="1" applyProtection="1">
      <alignment horizontal="left"/>
      <protection locked="0"/>
    </xf>
    <xf numFmtId="3" fontId="20" fillId="10" borderId="11" xfId="6" applyNumberFormat="1" applyFont="1" applyFill="1" applyBorder="1" applyAlignment="1" applyProtection="1">
      <alignment horizontal="right" vertical="center"/>
      <protection hidden="1"/>
    </xf>
    <xf numFmtId="169" fontId="20" fillId="0" borderId="0" xfId="6" applyNumberFormat="1" applyFont="1" applyFill="1" applyBorder="1" applyAlignment="1" applyProtection="1">
      <alignment horizontal="right" vertical="center"/>
      <protection hidden="1"/>
    </xf>
    <xf numFmtId="3" fontId="20" fillId="0" borderId="11" xfId="0" applyNumberFormat="1" applyFont="1" applyFill="1" applyBorder="1" applyAlignment="1" applyProtection="1">
      <alignment horizontal="right" vertical="center"/>
    </xf>
    <xf numFmtId="0" fontId="20" fillId="9" borderId="0" xfId="5" applyNumberFormat="1" applyFont="1" applyFill="1" applyAlignment="1" applyProtection="1">
      <alignment horizontal="left"/>
      <protection locked="0"/>
    </xf>
    <xf numFmtId="169" fontId="5" fillId="0" borderId="0" xfId="8" applyNumberFormat="1" applyFont="1" applyFill="1" applyBorder="1" applyProtection="1">
      <alignment horizontal="right"/>
      <protection locked="0"/>
    </xf>
    <xf numFmtId="3" fontId="5" fillId="0" borderId="0" xfId="8" applyFont="1" applyFill="1" applyBorder="1" applyProtection="1">
      <alignment horizontal="right"/>
      <protection locked="0"/>
    </xf>
    <xf numFmtId="0" fontId="4" fillId="0" borderId="0" xfId="0" applyFont="1" applyFill="1" applyProtection="1">
      <protection locked="0"/>
    </xf>
    <xf numFmtId="0" fontId="5" fillId="0" borderId="0" xfId="0" applyFont="1" applyFill="1" applyProtection="1">
      <protection locked="0"/>
    </xf>
    <xf numFmtId="0" fontId="5" fillId="0" borderId="8" xfId="0" applyFont="1" applyFill="1" applyBorder="1" applyAlignment="1" applyProtection="1">
      <alignment vertical="center"/>
    </xf>
    <xf numFmtId="3" fontId="20" fillId="0" borderId="8" xfId="0" applyNumberFormat="1" applyFont="1" applyFill="1" applyBorder="1" applyAlignment="1" applyProtection="1">
      <alignment horizontal="right" vertical="center"/>
    </xf>
    <xf numFmtId="0" fontId="4" fillId="0" borderId="29" xfId="0" applyFont="1" applyBorder="1" applyProtection="1"/>
    <xf numFmtId="0" fontId="4" fillId="0" borderId="18" xfId="0" applyFont="1" applyFill="1" applyBorder="1" applyAlignment="1" applyProtection="1">
      <alignment vertical="center"/>
    </xf>
    <xf numFmtId="0" fontId="22" fillId="2" borderId="30" xfId="0" applyFont="1" applyFill="1" applyBorder="1" applyAlignment="1" applyProtection="1">
      <alignment horizontal="right" vertical="center"/>
    </xf>
    <xf numFmtId="10" fontId="24" fillId="0" borderId="7" xfId="5" applyNumberFormat="1" applyFont="1" applyFill="1" applyBorder="1" applyAlignment="1" applyProtection="1">
      <alignment horizontal="center" vertical="center"/>
    </xf>
    <xf numFmtId="0" fontId="20" fillId="9" borderId="0" xfId="5" applyNumberFormat="1" applyFont="1" applyFill="1" applyAlignment="1" applyProtection="1">
      <alignment horizontal="center"/>
      <protection locked="0"/>
    </xf>
    <xf numFmtId="0" fontId="4" fillId="0" borderId="0" xfId="0" applyFont="1" applyBorder="1" applyProtection="1"/>
    <xf numFmtId="2" fontId="25" fillId="0" borderId="0" xfId="5" applyNumberFormat="1" applyFont="1" applyFill="1" applyAlignment="1" applyProtection="1">
      <alignment horizontal="left"/>
      <protection locked="0"/>
    </xf>
    <xf numFmtId="2" fontId="30" fillId="4" borderId="0" xfId="5" applyNumberFormat="1" applyFont="1" applyFill="1" applyAlignment="1" applyProtection="1">
      <alignment horizontal="left"/>
      <protection locked="0"/>
    </xf>
    <xf numFmtId="168" fontId="4" fillId="4" borderId="0" xfId="0" applyNumberFormat="1" applyFont="1" applyFill="1" applyAlignment="1" applyProtection="1">
      <alignment horizontal="center"/>
    </xf>
    <xf numFmtId="3" fontId="4" fillId="0" borderId="0" xfId="0" applyNumberFormat="1" applyFont="1" applyProtection="1">
      <protection locked="0"/>
    </xf>
    <xf numFmtId="0" fontId="26" fillId="13" borderId="0" xfId="16" applyFont="1" applyFill="1"/>
    <xf numFmtId="10" fontId="14" fillId="2" borderId="17" xfId="3" applyNumberFormat="1" applyFont="1" applyFill="1" applyBorder="1"/>
    <xf numFmtId="10" fontId="14" fillId="2" borderId="12" xfId="3" applyNumberFormat="1" applyFont="1" applyFill="1" applyBorder="1"/>
    <xf numFmtId="10" fontId="14" fillId="2" borderId="0" xfId="3" applyNumberFormat="1" applyFont="1" applyFill="1" applyBorder="1"/>
    <xf numFmtId="0" fontId="31" fillId="13" borderId="0" xfId="1" applyFont="1" applyFill="1"/>
    <xf numFmtId="0" fontId="14" fillId="13" borderId="0" xfId="1" applyFont="1" applyFill="1" applyBorder="1"/>
    <xf numFmtId="0" fontId="4" fillId="0" borderId="30" xfId="0" applyFont="1" applyFill="1" applyBorder="1" applyAlignment="1" applyProtection="1">
      <alignment vertical="center"/>
    </xf>
    <xf numFmtId="0" fontId="4" fillId="0" borderId="21" xfId="0" applyFont="1" applyFill="1" applyBorder="1" applyAlignment="1" applyProtection="1">
      <alignment vertical="center"/>
    </xf>
    <xf numFmtId="0" fontId="5" fillId="0" borderId="29" xfId="0" applyFont="1" applyFill="1" applyBorder="1" applyAlignment="1" applyProtection="1">
      <alignment vertical="center"/>
    </xf>
    <xf numFmtId="0" fontId="5" fillId="0" borderId="6" xfId="0" applyFont="1" applyFill="1" applyBorder="1" applyAlignment="1" applyProtection="1">
      <alignment vertical="center"/>
    </xf>
    <xf numFmtId="0" fontId="31" fillId="13" borderId="0" xfId="0" applyFont="1" applyFill="1"/>
    <xf numFmtId="0" fontId="14" fillId="0" borderId="0" xfId="1" applyFont="1" applyFill="1"/>
    <xf numFmtId="0" fontId="26" fillId="13" borderId="0" xfId="0" applyFont="1" applyFill="1"/>
    <xf numFmtId="0" fontId="14" fillId="14" borderId="0" xfId="1" applyFont="1" applyFill="1"/>
    <xf numFmtId="0" fontId="26" fillId="4" borderId="26" xfId="1" applyFont="1" applyFill="1" applyBorder="1" applyAlignment="1">
      <alignment horizontal="center" wrapText="1"/>
    </xf>
    <xf numFmtId="0" fontId="14" fillId="14" borderId="0" xfId="1" applyFont="1" applyFill="1" applyBorder="1"/>
    <xf numFmtId="0" fontId="14" fillId="0" borderId="32" xfId="1" applyFont="1" applyFill="1" applyBorder="1"/>
    <xf numFmtId="0" fontId="14" fillId="0" borderId="33" xfId="1" applyFont="1" applyFill="1" applyBorder="1"/>
    <xf numFmtId="0" fontId="14" fillId="0" borderId="32" xfId="1" applyFont="1" applyFill="1" applyBorder="1" applyAlignment="1">
      <alignment horizontal="center" wrapText="1"/>
    </xf>
    <xf numFmtId="0" fontId="14" fillId="12" borderId="27" xfId="1" applyFont="1" applyFill="1" applyBorder="1"/>
    <xf numFmtId="0" fontId="14" fillId="12" borderId="2" xfId="1" applyFont="1" applyFill="1" applyBorder="1"/>
    <xf numFmtId="167" fontId="14" fillId="12" borderId="27" xfId="15" applyNumberFormat="1" applyFont="1" applyFill="1" applyBorder="1"/>
    <xf numFmtId="0" fontId="14" fillId="12" borderId="28" xfId="1" applyFont="1" applyFill="1" applyBorder="1"/>
    <xf numFmtId="0" fontId="14" fillId="12" borderId="14" xfId="1" applyFont="1" applyFill="1" applyBorder="1"/>
    <xf numFmtId="0" fontId="14" fillId="0" borderId="0" xfId="1" applyFont="1" applyFill="1" applyBorder="1"/>
    <xf numFmtId="0" fontId="14" fillId="2" borderId="0" xfId="16" applyFont="1" applyFill="1" applyBorder="1"/>
    <xf numFmtId="0" fontId="14" fillId="13" borderId="0" xfId="1" applyFont="1" applyFill="1"/>
    <xf numFmtId="0" fontId="4" fillId="0" borderId="10" xfId="0" applyFont="1" applyBorder="1" applyProtection="1">
      <protection locked="0"/>
    </xf>
    <xf numFmtId="0" fontId="4" fillId="0" borderId="0" xfId="0" applyFont="1" applyBorder="1" applyProtection="1">
      <protection locked="0"/>
    </xf>
    <xf numFmtId="3" fontId="5" fillId="0" borderId="13" xfId="8" applyFont="1" applyFill="1" applyBorder="1" applyProtection="1">
      <alignment horizontal="right"/>
      <protection locked="0"/>
    </xf>
    <xf numFmtId="3" fontId="5" fillId="0" borderId="20" xfId="8" applyFont="1" applyFill="1" applyBorder="1" applyProtection="1">
      <alignment horizontal="right"/>
      <protection locked="0"/>
    </xf>
    <xf numFmtId="0" fontId="5" fillId="0" borderId="0" xfId="0" applyFont="1" applyBorder="1" applyProtection="1">
      <protection locked="0"/>
    </xf>
    <xf numFmtId="169" fontId="5" fillId="0" borderId="0" xfId="0" applyNumberFormat="1" applyFont="1" applyBorder="1" applyProtection="1">
      <protection locked="0"/>
    </xf>
    <xf numFmtId="0" fontId="14" fillId="0" borderId="6" xfId="16" applyFont="1" applyFill="1" applyBorder="1" applyAlignment="1">
      <alignment horizontal="center"/>
    </xf>
    <xf numFmtId="0" fontId="14" fillId="0" borderId="10" xfId="16" applyFont="1" applyFill="1" applyBorder="1" applyAlignment="1">
      <alignment horizontal="center"/>
    </xf>
    <xf numFmtId="10" fontId="4" fillId="0" borderId="8" xfId="0" applyNumberFormat="1" applyFont="1" applyBorder="1" applyAlignment="1" applyProtection="1">
      <alignment horizontal="center"/>
      <protection locked="0"/>
    </xf>
    <xf numFmtId="10" fontId="5" fillId="0" borderId="17" xfId="6" applyNumberFormat="1" applyFont="1" applyFill="1" applyBorder="1" applyAlignment="1" applyProtection="1">
      <alignment horizontal="center"/>
      <protection locked="0"/>
    </xf>
    <xf numFmtId="0" fontId="4" fillId="0" borderId="19" xfId="0" applyFont="1" applyBorder="1" applyAlignment="1" applyProtection="1">
      <alignment horizontal="center"/>
      <protection locked="0"/>
    </xf>
    <xf numFmtId="10" fontId="5" fillId="0" borderId="11" xfId="6" applyNumberFormat="1" applyFont="1" applyFill="1" applyBorder="1" applyAlignment="1" applyProtection="1">
      <alignment horizontal="center"/>
      <protection locked="0"/>
    </xf>
    <xf numFmtId="0" fontId="26" fillId="2" borderId="3" xfId="2" applyFont="1" applyFill="1" applyBorder="1"/>
    <xf numFmtId="0" fontId="14" fillId="2" borderId="5" xfId="2" applyFont="1" applyFill="1" applyBorder="1"/>
    <xf numFmtId="0" fontId="14" fillId="2" borderId="2" xfId="2" applyFont="1" applyFill="1" applyBorder="1"/>
    <xf numFmtId="0" fontId="14" fillId="2" borderId="9" xfId="2" applyFont="1" applyFill="1" applyBorder="1"/>
    <xf numFmtId="0" fontId="14" fillId="2" borderId="14" xfId="2" applyFont="1" applyFill="1" applyBorder="1"/>
    <xf numFmtId="0" fontId="14" fillId="2" borderId="16" xfId="2" applyFont="1" applyFill="1" applyBorder="1"/>
    <xf numFmtId="0" fontId="14" fillId="2" borderId="4" xfId="2" applyFont="1" applyFill="1" applyBorder="1"/>
    <xf numFmtId="0" fontId="14" fillId="2" borderId="0" xfId="2" applyFont="1" applyFill="1" applyBorder="1"/>
    <xf numFmtId="0" fontId="14" fillId="2" borderId="15" xfId="2" applyFont="1" applyFill="1" applyBorder="1"/>
    <xf numFmtId="0" fontId="26" fillId="13" borderId="0" xfId="1" applyFont="1" applyFill="1"/>
    <xf numFmtId="0" fontId="26" fillId="5" borderId="0" xfId="1" applyFont="1" applyFill="1"/>
    <xf numFmtId="0" fontId="14" fillId="5" borderId="0" xfId="1" applyFont="1" applyFill="1"/>
    <xf numFmtId="0" fontId="26" fillId="4" borderId="0" xfId="1" applyFont="1" applyFill="1"/>
    <xf numFmtId="0" fontId="14" fillId="2" borderId="32" xfId="1" applyFont="1" applyFill="1" applyBorder="1"/>
    <xf numFmtId="0" fontId="14" fillId="2" borderId="34" xfId="1" applyFont="1" applyFill="1" applyBorder="1" applyAlignment="1">
      <alignment horizontal="center" wrapText="1"/>
    </xf>
    <xf numFmtId="0" fontId="2" fillId="13" borderId="0" xfId="0" applyFont="1" applyFill="1"/>
    <xf numFmtId="0" fontId="14" fillId="13" borderId="17" xfId="1" applyFont="1" applyFill="1" applyBorder="1"/>
    <xf numFmtId="167" fontId="14" fillId="2" borderId="40" xfId="1" applyNumberFormat="1" applyFont="1" applyFill="1" applyBorder="1"/>
    <xf numFmtId="167" fontId="14" fillId="13" borderId="0" xfId="1" applyNumberFormat="1" applyFont="1" applyFill="1"/>
    <xf numFmtId="0" fontId="31" fillId="13" borderId="0" xfId="16" applyFont="1" applyFill="1"/>
    <xf numFmtId="0" fontId="14" fillId="13" borderId="0" xfId="16" applyFont="1" applyFill="1"/>
    <xf numFmtId="0" fontId="14" fillId="2" borderId="3" xfId="16" applyFont="1" applyFill="1" applyBorder="1"/>
    <xf numFmtId="0" fontId="14" fillId="2" borderId="4" xfId="16" applyFont="1" applyFill="1" applyBorder="1"/>
    <xf numFmtId="0" fontId="14" fillId="2" borderId="5" xfId="16" applyFont="1" applyFill="1" applyBorder="1"/>
    <xf numFmtId="0" fontId="26" fillId="2" borderId="2" xfId="16" applyFont="1" applyFill="1" applyBorder="1"/>
    <xf numFmtId="0" fontId="14" fillId="2" borderId="9" xfId="16" applyFont="1" applyFill="1" applyBorder="1"/>
    <xf numFmtId="0" fontId="14" fillId="2" borderId="2" xfId="16" applyFont="1" applyFill="1" applyBorder="1"/>
    <xf numFmtId="10" fontId="14" fillId="2" borderId="8" xfId="3" applyNumberFormat="1" applyFont="1" applyFill="1" applyBorder="1"/>
    <xf numFmtId="0" fontId="36" fillId="2" borderId="2" xfId="16" applyFont="1" applyFill="1" applyBorder="1"/>
    <xf numFmtId="10" fontId="14" fillId="2" borderId="11" xfId="16" applyNumberFormat="1" applyFont="1" applyFill="1" applyBorder="1"/>
    <xf numFmtId="0" fontId="14" fillId="2" borderId="14" xfId="16" applyFont="1" applyFill="1" applyBorder="1"/>
    <xf numFmtId="0" fontId="14" fillId="2" borderId="15" xfId="16" applyFont="1" applyFill="1" applyBorder="1"/>
    <xf numFmtId="0" fontId="14" fillId="2" borderId="16" xfId="16" applyFont="1" applyFill="1" applyBorder="1"/>
    <xf numFmtId="0" fontId="14" fillId="13" borderId="0" xfId="16" applyFont="1" applyFill="1" applyBorder="1"/>
    <xf numFmtId="167" fontId="14" fillId="2" borderId="39" xfId="16" applyNumberFormat="1" applyFont="1" applyFill="1" applyBorder="1"/>
    <xf numFmtId="167" fontId="14" fillId="2" borderId="40" xfId="16" applyNumberFormat="1" applyFont="1" applyFill="1" applyBorder="1"/>
    <xf numFmtId="3" fontId="2" fillId="13" borderId="0" xfId="0" applyNumberFormat="1" applyFont="1" applyFill="1"/>
    <xf numFmtId="171" fontId="2" fillId="12" borderId="43" xfId="15" applyNumberFormat="1" applyFont="1" applyFill="1" applyBorder="1"/>
    <xf numFmtId="164" fontId="2" fillId="12" borderId="27" xfId="15" applyNumberFormat="1" applyFont="1" applyFill="1" applyBorder="1"/>
    <xf numFmtId="171" fontId="2" fillId="12" borderId="27" xfId="15" applyNumberFormat="1" applyFont="1" applyFill="1" applyBorder="1"/>
    <xf numFmtId="167" fontId="2" fillId="12" borderId="27" xfId="15" applyNumberFormat="1" applyFont="1" applyFill="1" applyBorder="1"/>
    <xf numFmtId="171" fontId="2" fillId="12" borderId="28" xfId="15" applyNumberFormat="1" applyFont="1" applyFill="1" applyBorder="1"/>
    <xf numFmtId="167" fontId="2" fillId="12" borderId="28" xfId="15" applyNumberFormat="1" applyFont="1" applyFill="1" applyBorder="1"/>
    <xf numFmtId="0" fontId="32" fillId="0" borderId="0" xfId="1" applyFont="1"/>
    <xf numFmtId="0" fontId="14" fillId="0" borderId="0" xfId="1" applyFont="1"/>
    <xf numFmtId="0" fontId="33" fillId="0" borderId="0" xfId="1" applyFont="1"/>
    <xf numFmtId="0" fontId="33" fillId="3" borderId="0" xfId="1" applyFont="1" applyFill="1" applyAlignment="1">
      <alignment horizontal="center"/>
    </xf>
    <xf numFmtId="0" fontId="26" fillId="3" borderId="0" xfId="1" applyFont="1" applyFill="1"/>
    <xf numFmtId="0" fontId="29" fillId="2" borderId="6" xfId="2" applyFont="1" applyFill="1" applyBorder="1"/>
    <xf numFmtId="0" fontId="14" fillId="2" borderId="7" xfId="2" applyFont="1" applyFill="1" applyBorder="1"/>
    <xf numFmtId="165" fontId="14" fillId="3" borderId="8" xfId="2" applyNumberFormat="1" applyFont="1" applyFill="1" applyBorder="1"/>
    <xf numFmtId="0" fontId="14" fillId="0" borderId="0" xfId="1" applyFont="1" applyBorder="1"/>
    <xf numFmtId="0" fontId="29" fillId="2" borderId="10" xfId="2" applyFont="1" applyFill="1" applyBorder="1"/>
    <xf numFmtId="165" fontId="14" fillId="3" borderId="11" xfId="2" applyNumberFormat="1" applyFont="1" applyFill="1" applyBorder="1"/>
    <xf numFmtId="0" fontId="14" fillId="0" borderId="6" xfId="1" applyFont="1" applyBorder="1" applyAlignment="1">
      <alignment horizontal="center"/>
    </xf>
    <xf numFmtId="10" fontId="14" fillId="0" borderId="21" xfId="6" applyNumberFormat="1" applyFont="1" applyBorder="1" applyAlignment="1">
      <alignment horizontal="center"/>
    </xf>
    <xf numFmtId="165" fontId="14" fillId="3" borderId="12" xfId="2" applyNumberFormat="1" applyFont="1" applyFill="1" applyBorder="1"/>
    <xf numFmtId="0" fontId="14" fillId="0" borderId="10" xfId="1" applyFont="1" applyBorder="1" applyAlignment="1">
      <alignment horizontal="center"/>
    </xf>
    <xf numFmtId="10" fontId="14" fillId="0" borderId="19" xfId="6" applyNumberFormat="1" applyFont="1" applyBorder="1" applyAlignment="1">
      <alignment horizontal="center"/>
    </xf>
    <xf numFmtId="0" fontId="14" fillId="2" borderId="19" xfId="2" applyFont="1" applyFill="1" applyBorder="1"/>
    <xf numFmtId="165" fontId="34" fillId="3" borderId="12" xfId="2" applyNumberFormat="1" applyFont="1" applyFill="1" applyBorder="1"/>
    <xf numFmtId="0" fontId="14" fillId="0" borderId="19" xfId="1" applyFont="1" applyBorder="1" applyAlignment="1">
      <alignment horizontal="center"/>
    </xf>
    <xf numFmtId="0" fontId="29" fillId="2" borderId="13" xfId="2" applyFont="1" applyFill="1" applyBorder="1"/>
    <xf numFmtId="0" fontId="14" fillId="0" borderId="13" xfId="1" applyFont="1" applyBorder="1" applyAlignment="1">
      <alignment horizontal="center"/>
    </xf>
    <xf numFmtId="10" fontId="14" fillId="0" borderId="20" xfId="6" applyNumberFormat="1" applyFont="1" applyBorder="1" applyAlignment="1">
      <alignment horizontal="center"/>
    </xf>
    <xf numFmtId="166" fontId="14" fillId="2" borderId="0" xfId="3" applyNumberFormat="1" applyFont="1" applyFill="1" applyBorder="1"/>
    <xf numFmtId="10" fontId="14" fillId="2" borderId="11" xfId="3" applyNumberFormat="1" applyFont="1" applyFill="1" applyBorder="1"/>
    <xf numFmtId="0" fontId="26" fillId="0" borderId="0" xfId="1" applyFont="1"/>
    <xf numFmtId="0" fontId="14" fillId="0" borderId="0" xfId="0" applyFont="1"/>
    <xf numFmtId="0" fontId="14" fillId="6" borderId="0" xfId="1" applyFont="1" applyFill="1"/>
    <xf numFmtId="2" fontId="20" fillId="10" borderId="0" xfId="5" applyNumberFormat="1" applyFont="1" applyFill="1" applyAlignment="1" applyProtection="1">
      <alignment horizontal="left"/>
    </xf>
    <xf numFmtId="0" fontId="26" fillId="0" borderId="0" xfId="1" applyFont="1" applyBorder="1"/>
    <xf numFmtId="167" fontId="2" fillId="6" borderId="27" xfId="15" applyNumberFormat="1" applyFont="1" applyFill="1" applyBorder="1"/>
    <xf numFmtId="167" fontId="2" fillId="6" borderId="43" xfId="15" applyNumberFormat="1" applyFont="1" applyFill="1" applyBorder="1"/>
    <xf numFmtId="167" fontId="2" fillId="6" borderId="28" xfId="15" applyNumberFormat="1" applyFont="1" applyFill="1" applyBorder="1"/>
    <xf numFmtId="167" fontId="14" fillId="6" borderId="40" xfId="1" applyNumberFormat="1" applyFont="1" applyFill="1" applyBorder="1"/>
    <xf numFmtId="0" fontId="26" fillId="6" borderId="26" xfId="1" applyFont="1" applyFill="1" applyBorder="1" applyAlignment="1">
      <alignment horizontal="center" wrapText="1"/>
    </xf>
    <xf numFmtId="0" fontId="35" fillId="6" borderId="26" xfId="1" applyFont="1" applyFill="1" applyBorder="1" applyAlignment="1">
      <alignment horizontal="center" wrapText="1"/>
    </xf>
    <xf numFmtId="0" fontId="14" fillId="6" borderId="44" xfId="1" applyFont="1" applyFill="1" applyBorder="1"/>
    <xf numFmtId="0" fontId="14" fillId="6" borderId="27" xfId="1" applyFont="1" applyFill="1" applyBorder="1" applyAlignment="1">
      <alignment horizontal="center"/>
    </xf>
    <xf numFmtId="0" fontId="14" fillId="6" borderId="27" xfId="1" applyFont="1" applyFill="1" applyBorder="1"/>
    <xf numFmtId="10" fontId="14" fillId="6" borderId="27" xfId="3" applyNumberFormat="1" applyFont="1" applyFill="1" applyBorder="1" applyAlignment="1">
      <alignment horizontal="center"/>
    </xf>
    <xf numFmtId="0" fontId="35" fillId="6" borderId="27" xfId="1" applyFont="1" applyFill="1" applyBorder="1"/>
    <xf numFmtId="0" fontId="35" fillId="6" borderId="28" xfId="1" applyFont="1" applyFill="1" applyBorder="1"/>
    <xf numFmtId="0" fontId="13" fillId="7" borderId="24" xfId="16" applyFont="1" applyFill="1" applyBorder="1"/>
    <xf numFmtId="0" fontId="0" fillId="13" borderId="0" xfId="0" applyFill="1"/>
    <xf numFmtId="0" fontId="0" fillId="2" borderId="32" xfId="0" applyFill="1" applyBorder="1"/>
    <xf numFmtId="0" fontId="0" fillId="2" borderId="34" xfId="0" applyFill="1" applyBorder="1" applyAlignment="1">
      <alignment horizontal="center" wrapText="1"/>
    </xf>
    <xf numFmtId="0" fontId="0" fillId="7" borderId="27" xfId="0" applyFill="1" applyBorder="1"/>
    <xf numFmtId="172" fontId="0" fillId="7" borderId="35" xfId="15" applyNumberFormat="1" applyFont="1" applyFill="1" applyBorder="1"/>
    <xf numFmtId="172" fontId="0" fillId="7" borderId="8" xfId="15" applyNumberFormat="1" applyFont="1" applyFill="1" applyBorder="1"/>
    <xf numFmtId="171" fontId="0" fillId="7" borderId="8" xfId="15" applyNumberFormat="1" applyFont="1" applyFill="1" applyBorder="1"/>
    <xf numFmtId="171" fontId="0" fillId="7" borderId="36" xfId="15" applyNumberFormat="1" applyFont="1" applyFill="1" applyBorder="1"/>
    <xf numFmtId="171" fontId="0" fillId="7" borderId="17" xfId="15" applyNumberFormat="1" applyFont="1" applyFill="1" applyBorder="1"/>
    <xf numFmtId="167" fontId="13" fillId="7" borderId="24" xfId="15" applyNumberFormat="1" applyFill="1" applyBorder="1"/>
    <xf numFmtId="167" fontId="0" fillId="2" borderId="24" xfId="15" applyNumberFormat="1" applyFont="1" applyFill="1" applyBorder="1"/>
    <xf numFmtId="167" fontId="0" fillId="2" borderId="17" xfId="15" applyNumberFormat="1" applyFont="1" applyFill="1" applyBorder="1"/>
    <xf numFmtId="167" fontId="0" fillId="2" borderId="37" xfId="0" applyNumberFormat="1" applyFill="1" applyBorder="1"/>
    <xf numFmtId="172" fontId="0" fillId="7" borderId="24" xfId="15" applyNumberFormat="1" applyFont="1" applyFill="1" applyBorder="1"/>
    <xf numFmtId="172" fontId="0" fillId="7" borderId="17" xfId="15" applyNumberFormat="1" applyFont="1" applyFill="1" applyBorder="1"/>
    <xf numFmtId="172" fontId="0" fillId="7" borderId="37" xfId="15" applyNumberFormat="1" applyFont="1" applyFill="1" applyBorder="1"/>
    <xf numFmtId="172" fontId="13" fillId="7" borderId="17" xfId="15" applyNumberFormat="1" applyFont="1" applyFill="1" applyBorder="1"/>
    <xf numFmtId="167" fontId="0" fillId="7" borderId="17" xfId="15" applyNumberFormat="1" applyFont="1" applyFill="1" applyBorder="1"/>
    <xf numFmtId="167" fontId="0" fillId="7" borderId="37" xfId="15" applyNumberFormat="1" applyFont="1" applyFill="1" applyBorder="1"/>
    <xf numFmtId="171" fontId="0" fillId="7" borderId="24" xfId="15" applyNumberFormat="1" applyFont="1" applyFill="1" applyBorder="1"/>
    <xf numFmtId="0" fontId="13" fillId="7" borderId="27" xfId="0" applyFont="1" applyFill="1" applyBorder="1"/>
    <xf numFmtId="172" fontId="13" fillId="7" borderId="24" xfId="15" applyNumberFormat="1" applyFont="1" applyFill="1" applyBorder="1"/>
    <xf numFmtId="0" fontId="0" fillId="7" borderId="2" xfId="0" applyFill="1" applyBorder="1"/>
    <xf numFmtId="171" fontId="0" fillId="7" borderId="37" xfId="15" applyNumberFormat="1" applyFont="1" applyFill="1" applyBorder="1"/>
    <xf numFmtId="164" fontId="13" fillId="7" borderId="24" xfId="15" applyFont="1" applyFill="1" applyBorder="1"/>
    <xf numFmtId="171" fontId="13" fillId="7" borderId="17" xfId="15" applyNumberFormat="1" applyFont="1" applyFill="1" applyBorder="1"/>
    <xf numFmtId="164" fontId="13" fillId="7" borderId="17" xfId="15" applyNumberFormat="1" applyFont="1" applyFill="1" applyBorder="1"/>
    <xf numFmtId="164" fontId="13" fillId="7" borderId="37" xfId="15" applyNumberFormat="1" applyFont="1" applyFill="1" applyBorder="1"/>
    <xf numFmtId="167" fontId="0" fillId="7" borderId="24" xfId="15" applyNumberFormat="1" applyFont="1" applyFill="1" applyBorder="1"/>
    <xf numFmtId="0" fontId="0" fillId="7" borderId="28" xfId="0" applyFill="1" applyBorder="1"/>
    <xf numFmtId="0" fontId="0" fillId="7" borderId="14" xfId="0" applyFill="1" applyBorder="1"/>
    <xf numFmtId="171" fontId="0" fillId="7" borderId="25" xfId="15" applyNumberFormat="1" applyFont="1" applyFill="1" applyBorder="1"/>
    <xf numFmtId="171" fontId="0" fillId="7" borderId="23" xfId="15" applyNumberFormat="1" applyFont="1" applyFill="1" applyBorder="1"/>
    <xf numFmtId="171" fontId="0" fillId="7" borderId="38" xfId="15" applyNumberFormat="1" applyFont="1" applyFill="1" applyBorder="1"/>
    <xf numFmtId="164" fontId="13" fillId="7" borderId="25" xfId="15" applyFont="1" applyFill="1" applyBorder="1"/>
    <xf numFmtId="171" fontId="13" fillId="7" borderId="23" xfId="15" applyNumberFormat="1" applyFont="1" applyFill="1" applyBorder="1"/>
    <xf numFmtId="164" fontId="13" fillId="7" borderId="23" xfId="15" applyNumberFormat="1" applyFont="1" applyFill="1" applyBorder="1"/>
    <xf numFmtId="164" fontId="13" fillId="7" borderId="38" xfId="15" applyNumberFormat="1" applyFont="1" applyFill="1" applyBorder="1"/>
    <xf numFmtId="167" fontId="0" fillId="7" borderId="25" xfId="15" applyNumberFormat="1" applyFont="1" applyFill="1" applyBorder="1"/>
    <xf numFmtId="167" fontId="0" fillId="7" borderId="23" xfId="15" applyNumberFormat="1" applyFont="1" applyFill="1" applyBorder="1"/>
    <xf numFmtId="167" fontId="0" fillId="7" borderId="38" xfId="15" applyNumberFormat="1" applyFont="1" applyFill="1" applyBorder="1"/>
    <xf numFmtId="167" fontId="0" fillId="2" borderId="25" xfId="15" applyNumberFormat="1" applyFont="1" applyFill="1" applyBorder="1"/>
    <xf numFmtId="167" fontId="0" fillId="2" borderId="23" xfId="15" applyNumberFormat="1" applyFont="1" applyFill="1" applyBorder="1"/>
    <xf numFmtId="167" fontId="0" fillId="2" borderId="38" xfId="0" applyNumberFormat="1" applyFill="1" applyBorder="1"/>
    <xf numFmtId="0" fontId="0" fillId="13" borderId="0" xfId="0" applyFill="1" applyBorder="1"/>
    <xf numFmtId="167" fontId="0" fillId="2" borderId="39" xfId="0" applyNumberFormat="1" applyFill="1" applyBorder="1"/>
    <xf numFmtId="167" fontId="0" fillId="2" borderId="39" xfId="15" applyNumberFormat="1" applyFont="1" applyFill="1" applyBorder="1"/>
    <xf numFmtId="167" fontId="0" fillId="2" borderId="40" xfId="0" applyNumberFormat="1" applyFill="1" applyBorder="1"/>
    <xf numFmtId="0" fontId="40" fillId="13" borderId="0" xfId="0" applyFont="1" applyFill="1"/>
    <xf numFmtId="0" fontId="41" fillId="13" borderId="0" xfId="0" applyFont="1" applyFill="1"/>
    <xf numFmtId="0" fontId="41" fillId="5" borderId="0" xfId="0" applyFont="1" applyFill="1"/>
    <xf numFmtId="0" fontId="13" fillId="5" borderId="0" xfId="0" applyFont="1" applyFill="1"/>
    <xf numFmtId="164" fontId="0" fillId="13" borderId="0" xfId="0" applyNumberFormat="1" applyFill="1"/>
    <xf numFmtId="0" fontId="39" fillId="4" borderId="0" xfId="0" applyFont="1" applyFill="1"/>
    <xf numFmtId="0" fontId="41" fillId="4" borderId="0" xfId="0" applyFont="1" applyFill="1"/>
    <xf numFmtId="0" fontId="13" fillId="4" borderId="0" xfId="0" applyFont="1" applyFill="1"/>
    <xf numFmtId="0" fontId="0" fillId="4" borderId="0" xfId="0" applyFill="1"/>
    <xf numFmtId="3" fontId="14" fillId="13" borderId="0" xfId="1" applyNumberFormat="1" applyFont="1" applyFill="1"/>
    <xf numFmtId="3" fontId="14" fillId="0" borderId="0" xfId="1" applyNumberFormat="1" applyFont="1"/>
    <xf numFmtId="0" fontId="42" fillId="7" borderId="2" xfId="16" applyFont="1" applyFill="1" applyBorder="1"/>
    <xf numFmtId="10" fontId="14" fillId="6" borderId="28" xfId="3" applyNumberFormat="1" applyFont="1" applyFill="1" applyBorder="1" applyAlignment="1">
      <alignment horizontal="center"/>
    </xf>
    <xf numFmtId="0" fontId="13" fillId="2" borderId="3" xfId="16" applyFill="1" applyBorder="1"/>
    <xf numFmtId="0" fontId="13" fillId="2" borderId="4" xfId="16" applyFill="1" applyBorder="1"/>
    <xf numFmtId="0" fontId="13" fillId="2" borderId="5" xfId="16" applyFill="1" applyBorder="1"/>
    <xf numFmtId="0" fontId="13" fillId="13" borderId="0" xfId="16" applyFill="1"/>
    <xf numFmtId="0" fontId="41" fillId="2" borderId="2" xfId="16" applyFont="1" applyFill="1" applyBorder="1"/>
    <xf numFmtId="0" fontId="41" fillId="0" borderId="0" xfId="16" applyFont="1" applyFill="1" applyBorder="1" applyAlignment="1">
      <alignment horizontal="center"/>
    </xf>
    <xf numFmtId="0" fontId="13" fillId="2" borderId="0" xfId="16" applyFill="1" applyBorder="1"/>
    <xf numFmtId="0" fontId="13" fillId="2" borderId="9" xfId="16" applyFill="1" applyBorder="1"/>
    <xf numFmtId="0" fontId="13" fillId="5" borderId="41" xfId="16" applyFont="1" applyFill="1" applyBorder="1"/>
    <xf numFmtId="0" fontId="13" fillId="2" borderId="8" xfId="16" applyFill="1" applyBorder="1" applyAlignment="1">
      <alignment horizontal="center"/>
    </xf>
    <xf numFmtId="0" fontId="43" fillId="2" borderId="9" xfId="16" applyFont="1" applyFill="1" applyBorder="1"/>
    <xf numFmtId="167" fontId="13" fillId="2" borderId="8" xfId="16" applyNumberFormat="1" applyFill="1" applyBorder="1"/>
    <xf numFmtId="10" fontId="13" fillId="2" borderId="8" xfId="3" applyNumberFormat="1" applyFill="1" applyBorder="1"/>
    <xf numFmtId="167" fontId="13" fillId="2" borderId="17" xfId="16" applyNumberFormat="1" applyFill="1" applyBorder="1"/>
    <xf numFmtId="10" fontId="13" fillId="2" borderId="17" xfId="3" applyNumberFormat="1" applyFill="1" applyBorder="1"/>
    <xf numFmtId="0" fontId="13" fillId="7" borderId="24" xfId="16" applyFill="1" applyBorder="1"/>
    <xf numFmtId="0" fontId="13" fillId="7" borderId="25" xfId="16" applyFill="1" applyBorder="1"/>
    <xf numFmtId="167" fontId="13" fillId="2" borderId="23" xfId="16" applyNumberFormat="1" applyFill="1" applyBorder="1"/>
    <xf numFmtId="10" fontId="13" fillId="2" borderId="23" xfId="3" applyNumberFormat="1" applyFill="1" applyBorder="1"/>
    <xf numFmtId="0" fontId="43" fillId="2" borderId="38" xfId="16" applyFont="1" applyFill="1" applyBorder="1"/>
    <xf numFmtId="0" fontId="44" fillId="2" borderId="22" xfId="16" applyFont="1" applyFill="1" applyBorder="1"/>
    <xf numFmtId="167" fontId="44" fillId="2" borderId="42" xfId="16" applyNumberFormat="1" applyFont="1" applyFill="1" applyBorder="1" applyAlignment="1">
      <alignment horizontal="right"/>
    </xf>
    <xf numFmtId="167" fontId="44" fillId="2" borderId="22" xfId="16" applyNumberFormat="1" applyFont="1" applyFill="1" applyBorder="1" applyAlignment="1">
      <alignment horizontal="right"/>
    </xf>
    <xf numFmtId="0" fontId="41" fillId="13" borderId="0" xfId="16" applyFont="1" applyFill="1"/>
    <xf numFmtId="0" fontId="41" fillId="2" borderId="12" xfId="16" applyFont="1" applyFill="1" applyBorder="1"/>
    <xf numFmtId="167" fontId="44" fillId="2" borderId="12" xfId="16" applyNumberFormat="1" applyFont="1" applyFill="1" applyBorder="1" applyAlignment="1">
      <alignment horizontal="right"/>
    </xf>
    <xf numFmtId="167" fontId="41" fillId="13" borderId="0" xfId="16" applyNumberFormat="1" applyFont="1" applyFill="1"/>
    <xf numFmtId="0" fontId="13" fillId="5" borderId="0" xfId="16" applyFont="1" applyFill="1"/>
    <xf numFmtId="164" fontId="13" fillId="13" borderId="0" xfId="16" applyNumberFormat="1" applyFill="1"/>
    <xf numFmtId="0" fontId="0" fillId="2" borderId="31" xfId="0" applyFill="1" applyBorder="1" applyAlignment="1">
      <alignment horizontal="center" wrapText="1"/>
    </xf>
    <xf numFmtId="0" fontId="13" fillId="2" borderId="32" xfId="16" applyFill="1" applyBorder="1"/>
    <xf numFmtId="0" fontId="13" fillId="2" borderId="33" xfId="16" applyFill="1" applyBorder="1"/>
    <xf numFmtId="0" fontId="0" fillId="2" borderId="0" xfId="0" applyFill="1"/>
    <xf numFmtId="0" fontId="13" fillId="2" borderId="27" xfId="16" applyFont="1" applyFill="1" applyBorder="1"/>
    <xf numFmtId="0" fontId="13" fillId="2" borderId="27" xfId="16" applyFill="1" applyBorder="1"/>
    <xf numFmtId="167" fontId="13" fillId="2" borderId="24" xfId="15" applyNumberFormat="1" applyFill="1" applyBorder="1"/>
    <xf numFmtId="167" fontId="13" fillId="2" borderId="17" xfId="15" applyNumberFormat="1" applyFill="1" applyBorder="1"/>
    <xf numFmtId="0" fontId="13" fillId="2" borderId="2" xfId="16" applyFill="1" applyBorder="1"/>
    <xf numFmtId="0" fontId="0" fillId="2" borderId="16" xfId="0" applyFill="1" applyBorder="1"/>
    <xf numFmtId="0" fontId="13" fillId="7" borderId="25" xfId="16" applyFont="1" applyFill="1" applyBorder="1"/>
    <xf numFmtId="0" fontId="13" fillId="7" borderId="28" xfId="16" applyFont="1" applyFill="1" applyBorder="1"/>
    <xf numFmtId="0" fontId="13" fillId="2" borderId="28" xfId="16" applyFill="1" applyBorder="1"/>
    <xf numFmtId="0" fontId="13" fillId="2" borderId="14" xfId="16" applyFill="1" applyBorder="1"/>
    <xf numFmtId="167" fontId="13" fillId="2" borderId="25" xfId="15" applyNumberFormat="1" applyFill="1" applyBorder="1"/>
    <xf numFmtId="167" fontId="13" fillId="2" borderId="23" xfId="15" applyNumberFormat="1" applyFill="1" applyBorder="1"/>
    <xf numFmtId="0" fontId="0" fillId="13" borderId="27" xfId="0" applyFill="1" applyBorder="1"/>
    <xf numFmtId="167" fontId="13" fillId="7" borderId="35" xfId="15" applyNumberFormat="1" applyFont="1" applyFill="1" applyBorder="1"/>
    <xf numFmtId="167" fontId="13" fillId="7" borderId="8" xfId="15" applyNumberFormat="1" applyFont="1" applyFill="1" applyBorder="1"/>
    <xf numFmtId="167" fontId="13" fillId="7" borderId="36" xfId="15" applyNumberFormat="1" applyFont="1" applyFill="1" applyBorder="1"/>
    <xf numFmtId="167" fontId="13" fillId="2" borderId="35" xfId="15" applyNumberFormat="1" applyFill="1" applyBorder="1"/>
    <xf numFmtId="167" fontId="13" fillId="2" borderId="8" xfId="15" applyNumberFormat="1" applyFill="1" applyBorder="1"/>
    <xf numFmtId="167" fontId="0" fillId="2" borderId="36" xfId="0" applyNumberFormat="1" applyFill="1" applyBorder="1"/>
    <xf numFmtId="0" fontId="0" fillId="13" borderId="2" xfId="0" applyFill="1" applyBorder="1"/>
    <xf numFmtId="167" fontId="13" fillId="7" borderId="24" xfId="15" applyNumberFormat="1" applyFont="1" applyFill="1" applyBorder="1"/>
    <xf numFmtId="167" fontId="13" fillId="7" borderId="17" xfId="15" applyNumberFormat="1" applyFont="1" applyFill="1" applyBorder="1"/>
    <xf numFmtId="167" fontId="13" fillId="7" borderId="37" xfId="15" applyNumberFormat="1" applyFont="1" applyFill="1" applyBorder="1"/>
    <xf numFmtId="171" fontId="13" fillId="7" borderId="24" xfId="15" applyNumberFormat="1" applyFill="1" applyBorder="1"/>
    <xf numFmtId="171" fontId="13" fillId="7" borderId="17" xfId="15" applyNumberFormat="1" applyFill="1" applyBorder="1"/>
    <xf numFmtId="171" fontId="13" fillId="7" borderId="37" xfId="15" applyNumberFormat="1" applyFill="1" applyBorder="1"/>
    <xf numFmtId="0" fontId="0" fillId="13" borderId="14" xfId="0" applyFill="1" applyBorder="1"/>
    <xf numFmtId="171" fontId="13" fillId="7" borderId="25" xfId="15" applyNumberFormat="1" applyFill="1" applyBorder="1"/>
    <xf numFmtId="171" fontId="13" fillId="7" borderId="23" xfId="15" applyNumberFormat="1" applyFill="1" applyBorder="1"/>
    <xf numFmtId="171" fontId="13" fillId="7" borderId="38" xfId="15" applyNumberFormat="1" applyFill="1" applyBorder="1"/>
    <xf numFmtId="167" fontId="13" fillId="7" borderId="25" xfId="15" applyNumberFormat="1" applyFont="1" applyFill="1" applyBorder="1"/>
    <xf numFmtId="167" fontId="13" fillId="7" borderId="23" xfId="15" applyNumberFormat="1" applyFont="1" applyFill="1" applyBorder="1"/>
    <xf numFmtId="167" fontId="13" fillId="7" borderId="38" xfId="15" applyNumberFormat="1" applyFont="1" applyFill="1" applyBorder="1"/>
    <xf numFmtId="167" fontId="13" fillId="14" borderId="8" xfId="15" applyNumberFormat="1" applyFont="1" applyFill="1" applyBorder="1"/>
    <xf numFmtId="167" fontId="13" fillId="14" borderId="17" xfId="15" applyNumberFormat="1" applyFont="1" applyFill="1" applyBorder="1"/>
    <xf numFmtId="167" fontId="13" fillId="14" borderId="23" xfId="15" applyNumberFormat="1" applyFont="1" applyFill="1" applyBorder="1"/>
    <xf numFmtId="0" fontId="13" fillId="14" borderId="0" xfId="16" applyFont="1" applyFill="1"/>
    <xf numFmtId="167" fontId="13" fillId="2" borderId="27" xfId="16" applyNumberFormat="1" applyFill="1" applyBorder="1"/>
    <xf numFmtId="167" fontId="13" fillId="2" borderId="28" xfId="16" applyNumberFormat="1" applyFill="1" applyBorder="1"/>
    <xf numFmtId="0" fontId="14" fillId="2" borderId="32" xfId="16" applyFont="1" applyFill="1" applyBorder="1" applyAlignment="1">
      <alignment horizontal="center" wrapText="1"/>
    </xf>
    <xf numFmtId="0" fontId="47" fillId="7" borderId="24" xfId="16" applyFont="1" applyFill="1" applyBorder="1"/>
    <xf numFmtId="0" fontId="26" fillId="5" borderId="0" xfId="16" applyFont="1" applyFill="1"/>
    <xf numFmtId="10" fontId="4" fillId="0" borderId="0" xfId="6" applyNumberFormat="1" applyFont="1" applyProtection="1">
      <protection locked="0"/>
    </xf>
    <xf numFmtId="3" fontId="0" fillId="13" borderId="0" xfId="0" applyNumberFormat="1" applyFill="1"/>
    <xf numFmtId="164" fontId="29" fillId="12" borderId="27" xfId="15" applyNumberFormat="1" applyFont="1" applyFill="1" applyBorder="1"/>
    <xf numFmtId="167" fontId="29" fillId="12" borderId="27" xfId="15" applyNumberFormat="1" applyFont="1" applyFill="1" applyBorder="1"/>
    <xf numFmtId="172" fontId="29" fillId="7" borderId="35" xfId="15" applyNumberFormat="1" applyFont="1" applyFill="1" applyBorder="1"/>
    <xf numFmtId="172" fontId="29" fillId="7" borderId="8" xfId="15" applyNumberFormat="1" applyFont="1" applyFill="1" applyBorder="1"/>
    <xf numFmtId="172" fontId="29" fillId="7" borderId="24" xfId="15" applyNumberFormat="1" applyFont="1" applyFill="1" applyBorder="1"/>
    <xf numFmtId="172" fontId="29" fillId="7" borderId="17" xfId="15" applyNumberFormat="1" applyFont="1" applyFill="1" applyBorder="1"/>
    <xf numFmtId="167" fontId="47" fillId="7" borderId="24" xfId="15" applyNumberFormat="1" applyFont="1" applyFill="1" applyBorder="1"/>
    <xf numFmtId="167" fontId="47" fillId="7" borderId="17" xfId="15" applyNumberFormat="1" applyFont="1" applyFill="1" applyBorder="1"/>
    <xf numFmtId="167" fontId="47" fillId="7" borderId="37" xfId="15" applyNumberFormat="1" applyFont="1" applyFill="1" applyBorder="1"/>
    <xf numFmtId="167" fontId="29" fillId="7" borderId="17" xfId="15" applyNumberFormat="1" applyFont="1" applyFill="1" applyBorder="1"/>
    <xf numFmtId="167" fontId="29" fillId="7" borderId="37" xfId="15" applyNumberFormat="1" applyFont="1" applyFill="1" applyBorder="1"/>
    <xf numFmtId="172" fontId="47" fillId="7" borderId="35" xfId="15" applyNumberFormat="1" applyFont="1" applyFill="1" applyBorder="1"/>
    <xf numFmtId="172" fontId="47" fillId="7" borderId="8" xfId="15" applyNumberFormat="1" applyFont="1" applyFill="1" applyBorder="1"/>
    <xf numFmtId="171" fontId="47" fillId="7" borderId="36" xfId="15" applyNumberFormat="1" applyFont="1" applyFill="1" applyBorder="1"/>
    <xf numFmtId="172" fontId="47" fillId="7" borderId="24" xfId="15" applyNumberFormat="1" applyFont="1" applyFill="1" applyBorder="1"/>
    <xf numFmtId="172" fontId="47" fillId="7" borderId="17" xfId="15" applyNumberFormat="1" applyFont="1" applyFill="1" applyBorder="1"/>
    <xf numFmtId="172" fontId="47" fillId="7" borderId="37" xfId="15" applyNumberFormat="1" applyFont="1" applyFill="1" applyBorder="1"/>
    <xf numFmtId="3" fontId="38" fillId="8" borderId="11" xfId="6" applyNumberFormat="1" applyFont="1" applyFill="1" applyBorder="1" applyAlignment="1" applyProtection="1">
      <alignment horizontal="right" vertical="center"/>
    </xf>
    <xf numFmtId="0" fontId="39" fillId="0" borderId="18" xfId="0" applyFont="1" applyBorder="1" applyAlignment="1">
      <alignment horizontal="center"/>
    </xf>
    <xf numFmtId="0" fontId="39" fillId="0" borderId="18" xfId="0" applyFont="1" applyBorder="1"/>
    <xf numFmtId="0" fontId="49" fillId="0" borderId="0" xfId="0" applyFont="1" applyAlignment="1">
      <alignment horizontal="center"/>
    </xf>
    <xf numFmtId="0" fontId="0" fillId="0" borderId="0" xfId="0" quotePrefix="1"/>
    <xf numFmtId="0" fontId="39" fillId="0" borderId="0" xfId="0" applyFont="1"/>
    <xf numFmtId="0" fontId="35" fillId="0" borderId="0" xfId="0" applyFont="1"/>
    <xf numFmtId="0" fontId="31" fillId="4" borderId="0" xfId="0" applyFont="1" applyFill="1" applyAlignment="1">
      <alignment vertical="center"/>
    </xf>
    <xf numFmtId="0" fontId="0" fillId="0" borderId="0" xfId="0" applyAlignment="1">
      <alignment horizontal="left"/>
    </xf>
    <xf numFmtId="0" fontId="0" fillId="0" borderId="0" xfId="0" quotePrefix="1" applyFill="1"/>
    <xf numFmtId="0" fontId="0" fillId="0" borderId="0" xfId="0" applyFill="1"/>
    <xf numFmtId="167" fontId="0" fillId="13" borderId="0" xfId="0" applyNumberFormat="1" applyFill="1" applyBorder="1"/>
    <xf numFmtId="10" fontId="48" fillId="0" borderId="17" xfId="6" applyNumberFormat="1" applyFont="1" applyFill="1" applyBorder="1" applyAlignment="1" applyProtection="1">
      <alignment horizontal="center"/>
      <protection locked="0"/>
    </xf>
    <xf numFmtId="0" fontId="20" fillId="10" borderId="0" xfId="5" applyNumberFormat="1" applyFont="1" applyFill="1" applyAlignment="1" applyProtection="1">
      <alignment horizontal="right"/>
      <protection locked="0"/>
    </xf>
    <xf numFmtId="10" fontId="48" fillId="0" borderId="0" xfId="6" applyNumberFormat="1" applyFont="1" applyAlignment="1" applyProtection="1">
      <alignment horizontal="center"/>
      <protection locked="0"/>
    </xf>
    <xf numFmtId="173" fontId="48" fillId="0" borderId="0" xfId="6" applyNumberFormat="1" applyFont="1" applyAlignment="1" applyProtection="1">
      <alignment horizontal="center"/>
      <protection locked="0"/>
    </xf>
    <xf numFmtId="0" fontId="39" fillId="0" borderId="0" xfId="0" applyFont="1" applyBorder="1" applyAlignment="1">
      <alignment horizontal="center"/>
    </xf>
    <xf numFmtId="0" fontId="39" fillId="0" borderId="0" xfId="0" applyFont="1" applyBorder="1"/>
    <xf numFmtId="0" fontId="13" fillId="14" borderId="0" xfId="0" applyFont="1" applyFill="1"/>
    <xf numFmtId="10" fontId="48" fillId="0" borderId="12" xfId="6" applyNumberFormat="1" applyFont="1" applyFill="1" applyBorder="1" applyAlignment="1" applyProtection="1">
      <alignment horizontal="center"/>
      <protection locked="0"/>
    </xf>
    <xf numFmtId="0" fontId="34" fillId="0" borderId="0" xfId="1" applyFont="1"/>
    <xf numFmtId="0" fontId="49" fillId="0" borderId="0" xfId="0" applyFont="1" applyBorder="1" applyAlignment="1">
      <alignment horizontal="center"/>
    </xf>
    <xf numFmtId="0" fontId="0" fillId="0" borderId="0" xfId="0" applyFont="1" applyBorder="1"/>
    <xf numFmtId="0" fontId="0" fillId="0" borderId="0" xfId="0" quotePrefix="1" applyFont="1" applyBorder="1"/>
    <xf numFmtId="10" fontId="0" fillId="0" borderId="0" xfId="0" quotePrefix="1" applyNumberFormat="1"/>
    <xf numFmtId="0" fontId="50" fillId="13" borderId="0" xfId="0" applyFont="1" applyFill="1"/>
    <xf numFmtId="3" fontId="0" fillId="0" borderId="0" xfId="0" quotePrefix="1" applyNumberFormat="1"/>
    <xf numFmtId="172" fontId="29" fillId="7" borderId="36" xfId="15" applyNumberFormat="1" applyFont="1" applyFill="1" applyBorder="1"/>
    <xf numFmtId="172" fontId="29" fillId="7" borderId="37" xfId="15" applyNumberFormat="1" applyFont="1" applyFill="1" applyBorder="1"/>
    <xf numFmtId="171" fontId="47" fillId="7" borderId="24" xfId="15" applyNumberFormat="1" applyFont="1" applyFill="1" applyBorder="1"/>
    <xf numFmtId="171" fontId="47" fillId="7" borderId="17" xfId="15" applyNumberFormat="1" applyFont="1" applyFill="1" applyBorder="1"/>
    <xf numFmtId="171" fontId="47" fillId="7" borderId="37" xfId="15" applyNumberFormat="1" applyFont="1" applyFill="1" applyBorder="1"/>
    <xf numFmtId="167" fontId="47" fillId="7" borderId="25" xfId="15" applyNumberFormat="1" applyFont="1" applyFill="1" applyBorder="1"/>
    <xf numFmtId="167" fontId="47" fillId="7" borderId="23" xfId="15" applyNumberFormat="1" applyFont="1" applyFill="1" applyBorder="1"/>
    <xf numFmtId="167" fontId="47" fillId="7" borderId="38" xfId="15" applyNumberFormat="1" applyFont="1" applyFill="1" applyBorder="1"/>
    <xf numFmtId="172" fontId="47" fillId="8" borderId="17" xfId="15" applyNumberFormat="1" applyFont="1" applyFill="1" applyBorder="1"/>
    <xf numFmtId="172" fontId="47" fillId="7" borderId="36" xfId="15" applyNumberFormat="1" applyFont="1" applyFill="1" applyBorder="1"/>
    <xf numFmtId="0" fontId="28" fillId="15" borderId="0" xfId="0" applyFont="1" applyFill="1" applyAlignment="1">
      <alignment vertical="center"/>
    </xf>
    <xf numFmtId="0" fontId="2" fillId="15" borderId="0" xfId="0" applyFont="1" applyFill="1"/>
    <xf numFmtId="3" fontId="2" fillId="15" borderId="0" xfId="0" applyNumberFormat="1" applyFont="1" applyFill="1"/>
    <xf numFmtId="0" fontId="3" fillId="15" borderId="0" xfId="0" applyFont="1" applyFill="1" applyAlignment="1">
      <alignment vertical="center"/>
    </xf>
    <xf numFmtId="0" fontId="2" fillId="15" borderId="0" xfId="0" applyFont="1" applyFill="1" applyAlignment="1">
      <alignment horizontal="left" vertical="center" indent="2"/>
    </xf>
    <xf numFmtId="0" fontId="4" fillId="15" borderId="0" xfId="0" applyFont="1" applyFill="1" applyAlignment="1">
      <alignment horizontal="left" vertical="center" indent="2"/>
    </xf>
    <xf numFmtId="0" fontId="4" fillId="15" borderId="0" xfId="0" applyFont="1" applyFill="1" applyAlignment="1">
      <alignment vertical="center"/>
    </xf>
    <xf numFmtId="0" fontId="0" fillId="15" borderId="0" xfId="0" applyFill="1"/>
    <xf numFmtId="0" fontId="4" fillId="15" borderId="0" xfId="0" applyFont="1" applyFill="1" applyAlignment="1">
      <alignment horizontal="left" vertical="center" indent="3"/>
    </xf>
    <xf numFmtId="0" fontId="4" fillId="15" borderId="0" xfId="0" applyFont="1" applyFill="1" applyAlignment="1">
      <alignment horizontal="left" vertical="center" indent="1"/>
    </xf>
    <xf numFmtId="0" fontId="0" fillId="15" borderId="0" xfId="0" applyFont="1" applyFill="1"/>
    <xf numFmtId="0" fontId="27" fillId="15" borderId="0" xfId="0" applyFont="1" applyFill="1" applyAlignment="1">
      <alignment vertical="center"/>
    </xf>
    <xf numFmtId="0" fontId="45" fillId="15" borderId="0" xfId="0" applyFont="1" applyFill="1" applyAlignment="1">
      <alignment horizontal="center" vertical="center"/>
    </xf>
    <xf numFmtId="0" fontId="0" fillId="15" borderId="0" xfId="0" applyFont="1" applyFill="1" applyAlignment="1">
      <alignment horizontal="left" vertical="center" indent="1"/>
    </xf>
    <xf numFmtId="0" fontId="45" fillId="15" borderId="0" xfId="0" applyFont="1" applyFill="1" applyAlignment="1">
      <alignment horizontal="center"/>
    </xf>
    <xf numFmtId="0" fontId="5" fillId="15" borderId="0" xfId="0" applyFont="1" applyFill="1" applyAlignment="1">
      <alignment vertical="center"/>
    </xf>
    <xf numFmtId="0" fontId="4" fillId="15" borderId="0" xfId="0" applyFont="1" applyFill="1"/>
    <xf numFmtId="0" fontId="45" fillId="15" borderId="0" xfId="0" applyFont="1" applyFill="1" applyAlignment="1">
      <alignment horizontal="left" vertical="center" indent="1"/>
    </xf>
    <xf numFmtId="0" fontId="7" fillId="15" borderId="0" xfId="0" applyFont="1" applyFill="1" applyAlignment="1">
      <alignment horizontal="left" vertical="center" indent="1"/>
    </xf>
    <xf numFmtId="0" fontId="9" fillId="16" borderId="0" xfId="0" applyFont="1" applyFill="1" applyAlignment="1">
      <alignment horizontal="right" vertical="center" wrapText="1"/>
    </xf>
    <xf numFmtId="0" fontId="10" fillId="15" borderId="0" xfId="0" applyFont="1" applyFill="1" applyAlignment="1">
      <alignment vertical="center" wrapText="1"/>
    </xf>
    <xf numFmtId="0" fontId="10" fillId="15" borderId="0" xfId="0" applyFont="1" applyFill="1" applyAlignment="1">
      <alignment horizontal="right" vertical="center" wrapText="1"/>
    </xf>
    <xf numFmtId="0" fontId="10" fillId="17" borderId="0" xfId="0" applyFont="1" applyFill="1" applyAlignment="1">
      <alignment vertical="center" wrapText="1"/>
    </xf>
    <xf numFmtId="0" fontId="10" fillId="17" borderId="0" xfId="0" applyFont="1" applyFill="1" applyAlignment="1">
      <alignment horizontal="right" vertical="center" wrapText="1"/>
    </xf>
    <xf numFmtId="0" fontId="6" fillId="15" borderId="0" xfId="0" applyFont="1" applyFill="1" applyAlignment="1">
      <alignment horizontal="left" vertical="center" wrapText="1" indent="1"/>
    </xf>
    <xf numFmtId="0" fontId="6" fillId="15" borderId="0" xfId="0" applyFont="1" applyFill="1" applyAlignment="1">
      <alignment horizontal="right" vertical="center" wrapText="1"/>
    </xf>
    <xf numFmtId="0" fontId="6" fillId="17" borderId="0" xfId="0" applyFont="1" applyFill="1" applyAlignment="1">
      <alignment horizontal="left" vertical="center" wrapText="1" indent="1"/>
    </xf>
    <xf numFmtId="0" fontId="6" fillId="17" borderId="0" xfId="0" applyFont="1" applyFill="1" applyAlignment="1">
      <alignment horizontal="right" vertical="center" wrapText="1"/>
    </xf>
    <xf numFmtId="0" fontId="11" fillId="15" borderId="0" xfId="0" applyFont="1" applyFill="1" applyAlignment="1">
      <alignment horizontal="left" vertical="center" wrapText="1" indent="3"/>
    </xf>
    <xf numFmtId="0" fontId="11" fillId="15" borderId="0" xfId="0" applyFont="1" applyFill="1" applyAlignment="1">
      <alignment horizontal="right" vertical="center" wrapText="1"/>
    </xf>
    <xf numFmtId="0" fontId="11" fillId="17" borderId="0" xfId="0" applyFont="1" applyFill="1" applyAlignment="1">
      <alignment horizontal="left" vertical="center" wrapText="1" indent="3"/>
    </xf>
    <xf numFmtId="0" fontId="11" fillId="17" borderId="0" xfId="0" applyFont="1" applyFill="1" applyAlignment="1">
      <alignment horizontal="right" vertical="center" wrapText="1"/>
    </xf>
    <xf numFmtId="0" fontId="6" fillId="15" borderId="0" xfId="0" applyFont="1" applyFill="1" applyAlignment="1">
      <alignment vertical="center" wrapText="1"/>
    </xf>
    <xf numFmtId="0" fontId="12" fillId="17" borderId="0" xfId="0" applyFont="1" applyFill="1" applyAlignment="1">
      <alignment vertical="center" wrapText="1"/>
    </xf>
    <xf numFmtId="0" fontId="12" fillId="17" borderId="0" xfId="0" applyFont="1" applyFill="1" applyAlignment="1">
      <alignment horizontal="right" vertical="center" wrapText="1"/>
    </xf>
    <xf numFmtId="10" fontId="6" fillId="15" borderId="0" xfId="0" applyNumberFormat="1" applyFont="1" applyFill="1" applyAlignment="1">
      <alignment horizontal="right" vertical="center" wrapText="1"/>
    </xf>
    <xf numFmtId="0" fontId="6" fillId="17" borderId="0" xfId="0" applyFont="1" applyFill="1" applyAlignment="1">
      <alignment vertical="center" wrapText="1"/>
    </xf>
    <xf numFmtId="0" fontId="10" fillId="17" borderId="1" xfId="0" applyFont="1" applyFill="1" applyBorder="1" applyAlignment="1">
      <alignment vertical="center" wrapText="1"/>
    </xf>
    <xf numFmtId="0" fontId="10" fillId="17" borderId="1" xfId="0" applyFont="1" applyFill="1" applyBorder="1" applyAlignment="1">
      <alignment horizontal="right" vertical="center" wrapText="1"/>
    </xf>
    <xf numFmtId="0" fontId="6" fillId="15" borderId="0" xfId="0" applyFont="1" applyFill="1" applyAlignment="1">
      <alignment horizontal="justify" vertical="center"/>
    </xf>
    <xf numFmtId="0" fontId="12" fillId="15" borderId="0" xfId="0" applyFont="1" applyFill="1" applyAlignment="1">
      <alignment vertical="center" wrapText="1"/>
    </xf>
    <xf numFmtId="0" fontId="12" fillId="15" borderId="0" xfId="0" applyFont="1" applyFill="1" applyAlignment="1">
      <alignment horizontal="right" vertical="center" wrapText="1"/>
    </xf>
    <xf numFmtId="10" fontId="6" fillId="17" borderId="0" xfId="0" applyNumberFormat="1" applyFont="1" applyFill="1" applyAlignment="1">
      <alignment horizontal="right" vertical="center" wrapText="1"/>
    </xf>
    <xf numFmtId="0" fontId="10" fillId="15" borderId="1" xfId="0" applyFont="1" applyFill="1" applyBorder="1" applyAlignment="1">
      <alignment vertical="center" wrapText="1"/>
    </xf>
    <xf numFmtId="0" fontId="10" fillId="15" borderId="1" xfId="0" applyFont="1" applyFill="1" applyBorder="1" applyAlignment="1">
      <alignment horizontal="right" vertical="center" wrapText="1"/>
    </xf>
    <xf numFmtId="0" fontId="45" fillId="15" borderId="0" xfId="0" applyFont="1" applyFill="1"/>
    <xf numFmtId="0" fontId="6" fillId="15" borderId="0" xfId="0" applyFont="1" applyFill="1" applyAlignment="1">
      <alignment horizontal="left" vertical="center" indent="1"/>
    </xf>
    <xf numFmtId="0" fontId="14" fillId="2" borderId="20" xfId="2" applyFont="1" applyFill="1" applyBorder="1"/>
    <xf numFmtId="0" fontId="5" fillId="14" borderId="0" xfId="0" applyFont="1" applyFill="1" applyAlignment="1" applyProtection="1">
      <alignment vertical="center"/>
      <protection locked="0"/>
    </xf>
    <xf numFmtId="3" fontId="5" fillId="14" borderId="0" xfId="8" applyFont="1" applyFill="1" applyBorder="1" applyProtection="1">
      <alignment horizontal="right"/>
      <protection locked="0"/>
    </xf>
    <xf numFmtId="0" fontId="4" fillId="14" borderId="0" xfId="0" applyFont="1" applyFill="1" applyProtection="1">
      <protection locked="0"/>
    </xf>
    <xf numFmtId="0" fontId="23" fillId="14" borderId="0" xfId="0" applyFont="1" applyFill="1" applyProtection="1">
      <protection locked="0"/>
    </xf>
    <xf numFmtId="0" fontId="5" fillId="14" borderId="0" xfId="0" applyFont="1" applyFill="1" applyProtection="1">
      <protection locked="0"/>
    </xf>
    <xf numFmtId="169" fontId="4" fillId="14" borderId="0" xfId="0" applyNumberFormat="1" applyFont="1" applyFill="1" applyProtection="1">
      <protection locked="0"/>
    </xf>
    <xf numFmtId="174" fontId="48" fillId="14" borderId="0" xfId="6" applyNumberFormat="1" applyFont="1" applyFill="1" applyAlignment="1" applyProtection="1">
      <alignment horizontal="center"/>
      <protection locked="0"/>
    </xf>
    <xf numFmtId="3" fontId="20" fillId="0" borderId="0" xfId="0" applyNumberFormat="1" applyFont="1" applyFill="1" applyBorder="1" applyAlignment="1" applyProtection="1">
      <alignment horizontal="right" vertical="center"/>
    </xf>
    <xf numFmtId="0" fontId="22" fillId="2" borderId="0" xfId="0" applyFont="1" applyFill="1" applyBorder="1" applyAlignment="1" applyProtection="1">
      <alignment horizontal="right" vertical="center"/>
    </xf>
    <xf numFmtId="3" fontId="20" fillId="12" borderId="8" xfId="0" applyNumberFormat="1" applyFont="1" applyFill="1" applyBorder="1" applyAlignment="1" applyProtection="1">
      <alignment horizontal="right" vertical="center"/>
    </xf>
    <xf numFmtId="0" fontId="31" fillId="14" borderId="0" xfId="0" applyFont="1" applyFill="1"/>
    <xf numFmtId="0" fontId="0" fillId="14" borderId="0" xfId="0" applyFill="1"/>
    <xf numFmtId="0" fontId="39" fillId="14" borderId="0" xfId="0" applyFont="1" applyFill="1"/>
    <xf numFmtId="0" fontId="0" fillId="6" borderId="2" xfId="0" applyFill="1" applyBorder="1"/>
    <xf numFmtId="0" fontId="0" fillId="6" borderId="0" xfId="0" applyFill="1" applyBorder="1"/>
    <xf numFmtId="0" fontId="0" fillId="6" borderId="14" xfId="0" applyFill="1" applyBorder="1"/>
    <xf numFmtId="0" fontId="0" fillId="6" borderId="15" xfId="0" applyFill="1" applyBorder="1"/>
    <xf numFmtId="0" fontId="0" fillId="6" borderId="6" xfId="0" applyFill="1" applyBorder="1"/>
    <xf numFmtId="0" fontId="0" fillId="6" borderId="10" xfId="0" applyFill="1" applyBorder="1"/>
    <xf numFmtId="0" fontId="0" fillId="6" borderId="50" xfId="0" applyFill="1" applyBorder="1"/>
    <xf numFmtId="0" fontId="0" fillId="6" borderId="7" xfId="0" applyFill="1" applyBorder="1"/>
    <xf numFmtId="0" fontId="0" fillId="12" borderId="49" xfId="0" applyFill="1" applyBorder="1"/>
    <xf numFmtId="0" fontId="0" fillId="12" borderId="9" xfId="0" applyFill="1" applyBorder="1"/>
    <xf numFmtId="0" fontId="0" fillId="12" borderId="16" xfId="0" applyFill="1" applyBorder="1"/>
    <xf numFmtId="0" fontId="35" fillId="6" borderId="2" xfId="1" applyFont="1" applyFill="1" applyBorder="1"/>
    <xf numFmtId="0" fontId="14" fillId="0" borderId="46" xfId="1" applyFont="1" applyBorder="1"/>
    <xf numFmtId="0" fontId="14" fillId="0" borderId="47" xfId="1" applyFont="1" applyBorder="1"/>
    <xf numFmtId="0" fontId="14" fillId="0" borderId="48" xfId="1" applyFont="1" applyBorder="1"/>
    <xf numFmtId="0" fontId="14" fillId="0" borderId="9" xfId="1" applyFont="1" applyBorder="1"/>
    <xf numFmtId="0" fontId="14" fillId="0" borderId="14" xfId="1" applyFont="1" applyBorder="1"/>
    <xf numFmtId="0" fontId="14" fillId="0" borderId="15" xfId="1" applyFont="1" applyBorder="1"/>
    <xf numFmtId="0" fontId="14" fillId="0" borderId="16" xfId="1" applyFont="1" applyBorder="1"/>
    <xf numFmtId="0" fontId="26" fillId="0" borderId="51" xfId="1" applyFont="1" applyBorder="1"/>
    <xf numFmtId="0" fontId="14" fillId="0" borderId="30" xfId="1" applyFont="1" applyBorder="1"/>
    <xf numFmtId="0" fontId="0" fillId="6" borderId="52" xfId="0" applyFill="1" applyBorder="1"/>
    <xf numFmtId="10" fontId="0" fillId="6" borderId="49" xfId="0" applyNumberFormat="1" applyFill="1" applyBorder="1"/>
    <xf numFmtId="10" fontId="14" fillId="12" borderId="11" xfId="6" applyNumberFormat="1" applyFont="1" applyFill="1" applyBorder="1"/>
    <xf numFmtId="10" fontId="0" fillId="6" borderId="16" xfId="6" applyNumberFormat="1" applyFont="1" applyFill="1" applyBorder="1"/>
    <xf numFmtId="0" fontId="39" fillId="6" borderId="53" xfId="0" applyFont="1" applyFill="1" applyBorder="1" applyAlignment="1">
      <alignment wrapText="1"/>
    </xf>
    <xf numFmtId="0" fontId="39" fillId="6" borderId="47" xfId="0" applyFont="1" applyFill="1" applyBorder="1" applyAlignment="1">
      <alignment wrapText="1"/>
    </xf>
    <xf numFmtId="0" fontId="39" fillId="6" borderId="48" xfId="0" applyFont="1" applyFill="1" applyBorder="1" applyAlignment="1">
      <alignment wrapText="1"/>
    </xf>
    <xf numFmtId="2" fontId="0" fillId="6" borderId="6" xfId="0" applyNumberFormat="1" applyFill="1" applyBorder="1"/>
    <xf numFmtId="2" fontId="0" fillId="6" borderId="7" xfId="0" applyNumberFormat="1" applyFill="1" applyBorder="1"/>
    <xf numFmtId="2" fontId="0" fillId="12" borderId="49" xfId="0" applyNumberFormat="1" applyFill="1" applyBorder="1"/>
    <xf numFmtId="2" fontId="0" fillId="6" borderId="10" xfId="0" applyNumberFormat="1" applyFill="1" applyBorder="1"/>
    <xf numFmtId="2" fontId="0" fillId="6" borderId="0" xfId="0" applyNumberFormat="1" applyFill="1" applyBorder="1"/>
    <xf numFmtId="2" fontId="0" fillId="12" borderId="9" xfId="0" applyNumberFormat="1" applyFill="1" applyBorder="1"/>
    <xf numFmtId="0" fontId="39" fillId="6" borderId="2" xfId="0" applyFont="1" applyFill="1" applyBorder="1"/>
    <xf numFmtId="0" fontId="39" fillId="6" borderId="54" xfId="0" applyFont="1" applyFill="1" applyBorder="1" applyAlignment="1">
      <alignment wrapText="1"/>
    </xf>
    <xf numFmtId="0" fontId="0" fillId="2" borderId="53" xfId="0" applyFill="1" applyBorder="1"/>
    <xf numFmtId="0" fontId="0" fillId="2" borderId="55" xfId="0" applyFill="1" applyBorder="1" applyAlignment="1">
      <alignment horizontal="center" wrapText="1"/>
    </xf>
    <xf numFmtId="0" fontId="0" fillId="2" borderId="56" xfId="0" applyFill="1" applyBorder="1" applyAlignment="1">
      <alignment horizontal="center" wrapText="1"/>
    </xf>
    <xf numFmtId="0" fontId="14" fillId="2" borderId="55" xfId="1" applyFont="1" applyFill="1" applyBorder="1" applyAlignment="1">
      <alignment horizontal="center" wrapText="1"/>
    </xf>
    <xf numFmtId="0" fontId="14" fillId="2" borderId="57" xfId="1" applyFont="1" applyFill="1" applyBorder="1" applyAlignment="1">
      <alignment horizontal="center" wrapText="1"/>
    </xf>
    <xf numFmtId="0" fontId="0" fillId="13" borderId="53" xfId="0" applyFill="1" applyBorder="1"/>
    <xf numFmtId="0" fontId="14" fillId="13" borderId="53" xfId="1" applyFont="1" applyFill="1" applyBorder="1"/>
    <xf numFmtId="2" fontId="14" fillId="12" borderId="9" xfId="0" applyNumberFormat="1" applyFont="1" applyFill="1" applyBorder="1"/>
    <xf numFmtId="0" fontId="9" fillId="16" borderId="0" xfId="0" applyFont="1" applyFill="1" applyAlignment="1">
      <alignment vertical="center" wrapText="1"/>
    </xf>
    <xf numFmtId="0" fontId="26" fillId="2" borderId="29" xfId="16" applyFont="1" applyFill="1" applyBorder="1" applyAlignment="1">
      <alignment horizontal="center"/>
    </xf>
    <xf numFmtId="0" fontId="2" fillId="0" borderId="30" xfId="0" applyFont="1" applyBorder="1" applyAlignment="1">
      <alignment horizontal="center"/>
    </xf>
    <xf numFmtId="0" fontId="39" fillId="6" borderId="46" xfId="0" applyFont="1" applyFill="1" applyBorder="1" applyAlignment="1">
      <alignment horizontal="center"/>
    </xf>
    <xf numFmtId="0" fontId="39" fillId="6" borderId="48" xfId="0" applyFont="1" applyFill="1" applyBorder="1" applyAlignment="1">
      <alignment horizontal="center"/>
    </xf>
  </cellXfs>
  <cellStyles count="24">
    <cellStyle name="20% - Accent5 2 2 2" xfId="14" xr:uid="{00000000-0005-0000-0000-000000000000}"/>
    <cellStyle name="Assumptions Right Number" xfId="20" xr:uid="{00000000-0005-0000-0000-000001000000}"/>
    <cellStyle name="Comma" xfId="5" builtinId="3"/>
    <cellStyle name="Comma 2" xfId="15" xr:uid="{00000000-0005-0000-0000-000003000000}"/>
    <cellStyle name="Comma 3" xfId="21" xr:uid="{00000000-0005-0000-0000-000004000000}"/>
    <cellStyle name="dms_ColumnHGrey" xfId="23" xr:uid="{00000000-0005-0000-0000-000005000000}"/>
    <cellStyle name="Input1" xfId="8" xr:uid="{00000000-0005-0000-0000-000006000000}"/>
    <cellStyle name="Normal" xfId="0" builtinId="0"/>
    <cellStyle name="Normal 2" xfId="1" xr:uid="{00000000-0005-0000-0000-000008000000}"/>
    <cellStyle name="Normal 3" xfId="4" xr:uid="{00000000-0005-0000-0000-000009000000}"/>
    <cellStyle name="Normal 4" xfId="18" xr:uid="{00000000-0005-0000-0000-00000A000000}"/>
    <cellStyle name="Normal 4 2" xfId="22" xr:uid="{00000000-0005-0000-0000-00000B000000}"/>
    <cellStyle name="Normal 70" xfId="7" xr:uid="{00000000-0005-0000-0000-00000C000000}"/>
    <cellStyle name="Normal 71" xfId="12" xr:uid="{00000000-0005-0000-0000-00000D000000}"/>
    <cellStyle name="Normal 72" xfId="9" xr:uid="{00000000-0005-0000-0000-00000E000000}"/>
    <cellStyle name="Normal 73" xfId="11" xr:uid="{00000000-0005-0000-0000-00000F000000}"/>
    <cellStyle name="Normal 74" xfId="13" xr:uid="{00000000-0005-0000-0000-000010000000}"/>
    <cellStyle name="Normal 75" xfId="17" xr:uid="{00000000-0005-0000-0000-000011000000}"/>
    <cellStyle name="Normal 80" xfId="10" xr:uid="{00000000-0005-0000-0000-000012000000}"/>
    <cellStyle name="Normal_051020 Meter tariff approval model" xfId="2" xr:uid="{00000000-0005-0000-0000-000013000000}"/>
    <cellStyle name="Normal_JEM 2011 Tariff Approval mr check v2.0 test code v1.2" xfId="16" xr:uid="{00000000-0005-0000-0000-000014000000}"/>
    <cellStyle name="Percent" xfId="6" builtinId="5"/>
    <cellStyle name="Percent 2" xfId="3" xr:uid="{00000000-0005-0000-0000-000016000000}"/>
    <cellStyle name="Percent 3" xfId="19" xr:uid="{00000000-0005-0000-0000-000017000000}"/>
  </cellStyles>
  <dxfs count="4">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2" defaultPivotStyle="PivotStyleLight16"/>
  <colors>
    <mruColors>
      <color rgb="FFFFFF99"/>
      <color rgb="FF00FFFF"/>
      <color rgb="FFFFFFCC"/>
      <color rgb="FF0000FF"/>
      <color rgb="FFFF00FF"/>
      <color rgb="FFCCFFFF"/>
      <color rgb="FF00FF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drawing2.xml.rels><?xml version="1.0" encoding="UTF-8" standalone="yes"?>
<Relationships xmlns="http://schemas.openxmlformats.org/package/2006/relationships"><Relationship Id="rId8" Type="http://schemas.openxmlformats.org/officeDocument/2006/relationships/image" Target="cid:image020.jpg@01D5A5CF.AF307720" TargetMode="External"/><Relationship Id="rId13" Type="http://schemas.openxmlformats.org/officeDocument/2006/relationships/image" Target="../media/image52.png"/><Relationship Id="rId3" Type="http://schemas.openxmlformats.org/officeDocument/2006/relationships/image" Target="../media/image46.jpeg"/><Relationship Id="rId7" Type="http://schemas.openxmlformats.org/officeDocument/2006/relationships/image" Target="../media/image48.jpeg"/><Relationship Id="rId12" Type="http://schemas.openxmlformats.org/officeDocument/2006/relationships/image" Target="../media/image51.png"/><Relationship Id="rId2" Type="http://schemas.openxmlformats.org/officeDocument/2006/relationships/image" Target="cid:image012.jpg@01D5A5CF.AF307720" TargetMode="External"/><Relationship Id="rId1" Type="http://schemas.openxmlformats.org/officeDocument/2006/relationships/image" Target="../media/image45.jpeg"/><Relationship Id="rId6" Type="http://schemas.openxmlformats.org/officeDocument/2006/relationships/image" Target="cid:image016.jpg@01D5A5CF.AF307720" TargetMode="External"/><Relationship Id="rId11" Type="http://schemas.openxmlformats.org/officeDocument/2006/relationships/image" Target="../media/image50.png"/><Relationship Id="rId5" Type="http://schemas.openxmlformats.org/officeDocument/2006/relationships/image" Target="../media/image47.jpeg"/><Relationship Id="rId10" Type="http://schemas.openxmlformats.org/officeDocument/2006/relationships/image" Target="cid:image025.jpg@01D5A5CF.AF307720" TargetMode="External"/><Relationship Id="rId4" Type="http://schemas.openxmlformats.org/officeDocument/2006/relationships/image" Target="cid:image014.jpg@01D5A5CF.AF307720" TargetMode="External"/><Relationship Id="rId9" Type="http://schemas.openxmlformats.org/officeDocument/2006/relationships/image" Target="../media/image49.jpeg"/><Relationship Id="rId14" Type="http://schemas.openxmlformats.org/officeDocument/2006/relationships/image" Target="../media/image53.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3" Type="http://schemas.openxmlformats.org/officeDocument/2006/relationships/image" Target="../media/image3.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a:extLst>
            <a:ext uri="{FF2B5EF4-FFF2-40B4-BE49-F238E27FC236}">
              <a16:creationId xmlns:a16="http://schemas.microsoft.com/office/drawing/2014/main" id="{00000000-0008-0000-0100-00006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426656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a:extLst>
            <a:ext uri="{FF2B5EF4-FFF2-40B4-BE49-F238E27FC236}">
              <a16:creationId xmlns:a16="http://schemas.microsoft.com/office/drawing/2014/main" id="{00000000-0008-0000-0100-000069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4264025"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3</xdr:col>
      <xdr:colOff>594360</xdr:colOff>
      <xdr:row>6</xdr:row>
      <xdr:rowOff>5080</xdr:rowOff>
    </xdr:to>
    <xdr:pic>
      <xdr:nvPicPr>
        <xdr:cNvPr id="2" name="Picture 1" descr="cid:image012.jpg@01D5A5CF.AF307720">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609600" y="323850"/>
          <a:ext cx="1813560" cy="652780"/>
        </a:xfrm>
        <a:prstGeom prst="rect">
          <a:avLst/>
        </a:prstGeom>
        <a:noFill/>
        <a:ln>
          <a:noFill/>
        </a:ln>
      </xdr:spPr>
    </xdr:pic>
    <xdr:clientData/>
  </xdr:twoCellAnchor>
  <xdr:twoCellAnchor editAs="oneCell">
    <xdr:from>
      <xdr:col>4</xdr:col>
      <xdr:colOff>285750</xdr:colOff>
      <xdr:row>3</xdr:row>
      <xdr:rowOff>142875</xdr:rowOff>
    </xdr:from>
    <xdr:to>
      <xdr:col>6</xdr:col>
      <xdr:colOff>73660</xdr:colOff>
      <xdr:row>5</xdr:row>
      <xdr:rowOff>92075</xdr:rowOff>
    </xdr:to>
    <xdr:pic>
      <xdr:nvPicPr>
        <xdr:cNvPr id="3" name="Picture 2" descr="cid:image014.jpg@01D5A5CF.AF307720">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3" r:link="rId4" cstate="print">
          <a:extLst>
            <a:ext uri="{28A0092B-C50C-407E-A947-70E740481C1C}">
              <a14:useLocalDpi xmlns:a14="http://schemas.microsoft.com/office/drawing/2010/main" val="0"/>
            </a:ext>
          </a:extLst>
        </a:blip>
        <a:srcRect/>
        <a:stretch>
          <a:fillRect/>
        </a:stretch>
      </xdr:blipFill>
      <xdr:spPr bwMode="auto">
        <a:xfrm>
          <a:off x="2724150" y="628650"/>
          <a:ext cx="1007110" cy="273050"/>
        </a:xfrm>
        <a:prstGeom prst="rect">
          <a:avLst/>
        </a:prstGeom>
        <a:noFill/>
        <a:ln>
          <a:noFill/>
        </a:ln>
      </xdr:spPr>
    </xdr:pic>
    <xdr:clientData/>
  </xdr:twoCellAnchor>
  <xdr:twoCellAnchor editAs="oneCell">
    <xdr:from>
      <xdr:col>1</xdr:col>
      <xdr:colOff>0</xdr:colOff>
      <xdr:row>8</xdr:row>
      <xdr:rowOff>0</xdr:rowOff>
    </xdr:from>
    <xdr:to>
      <xdr:col>3</xdr:col>
      <xdr:colOff>522605</xdr:colOff>
      <xdr:row>11</xdr:row>
      <xdr:rowOff>71755</xdr:rowOff>
    </xdr:to>
    <xdr:pic>
      <xdr:nvPicPr>
        <xdr:cNvPr id="4" name="Picture 3" descr="cid:image016.jpg@01D5A5CF.AF307720">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5" r:link="rId6" cstate="print">
          <a:extLst>
            <a:ext uri="{28A0092B-C50C-407E-A947-70E740481C1C}">
              <a14:useLocalDpi xmlns:a14="http://schemas.microsoft.com/office/drawing/2010/main" val="0"/>
            </a:ext>
          </a:extLst>
        </a:blip>
        <a:srcRect/>
        <a:stretch>
          <a:fillRect/>
        </a:stretch>
      </xdr:blipFill>
      <xdr:spPr bwMode="auto">
        <a:xfrm>
          <a:off x="609600" y="1619250"/>
          <a:ext cx="1741805" cy="557530"/>
        </a:xfrm>
        <a:prstGeom prst="rect">
          <a:avLst/>
        </a:prstGeom>
        <a:noFill/>
        <a:ln>
          <a:noFill/>
        </a:ln>
      </xdr:spPr>
    </xdr:pic>
    <xdr:clientData/>
  </xdr:twoCellAnchor>
  <xdr:twoCellAnchor editAs="oneCell">
    <xdr:from>
      <xdr:col>4</xdr:col>
      <xdr:colOff>266700</xdr:colOff>
      <xdr:row>9</xdr:row>
      <xdr:rowOff>142875</xdr:rowOff>
    </xdr:from>
    <xdr:to>
      <xdr:col>6</xdr:col>
      <xdr:colOff>92075</xdr:colOff>
      <xdr:row>11</xdr:row>
      <xdr:rowOff>97790</xdr:rowOff>
    </xdr:to>
    <xdr:pic>
      <xdr:nvPicPr>
        <xdr:cNvPr id="5" name="Picture 4" descr="cid:image020.jpg@01D5A5CF.AF307720">
          <a:extLst>
            <a:ext uri="{FF2B5EF4-FFF2-40B4-BE49-F238E27FC236}">
              <a16:creationId xmlns:a16="http://schemas.microsoft.com/office/drawing/2014/main" id="{00000000-0008-0000-0200-000005000000}"/>
            </a:ext>
          </a:extLst>
        </xdr:cNvPr>
        <xdr:cNvPicPr/>
      </xdr:nvPicPr>
      <xdr:blipFill>
        <a:blip xmlns:r="http://schemas.openxmlformats.org/officeDocument/2006/relationships" r:embed="rId7" r:link="rId8" cstate="print">
          <a:extLst>
            <a:ext uri="{28A0092B-C50C-407E-A947-70E740481C1C}">
              <a14:useLocalDpi xmlns:a14="http://schemas.microsoft.com/office/drawing/2010/main" val="0"/>
            </a:ext>
          </a:extLst>
        </a:blip>
        <a:srcRect/>
        <a:stretch>
          <a:fillRect/>
        </a:stretch>
      </xdr:blipFill>
      <xdr:spPr bwMode="auto">
        <a:xfrm>
          <a:off x="2705100" y="1600200"/>
          <a:ext cx="1044575" cy="278765"/>
        </a:xfrm>
        <a:prstGeom prst="rect">
          <a:avLst/>
        </a:prstGeom>
        <a:noFill/>
        <a:ln>
          <a:noFill/>
        </a:ln>
      </xdr:spPr>
    </xdr:pic>
    <xdr:clientData/>
  </xdr:twoCellAnchor>
  <xdr:twoCellAnchor editAs="oneCell">
    <xdr:from>
      <xdr:col>0</xdr:col>
      <xdr:colOff>600075</xdr:colOff>
      <xdr:row>13</xdr:row>
      <xdr:rowOff>95250</xdr:rowOff>
    </xdr:from>
    <xdr:to>
      <xdr:col>6</xdr:col>
      <xdr:colOff>53340</xdr:colOff>
      <xdr:row>20</xdr:row>
      <xdr:rowOff>140335</xdr:rowOff>
    </xdr:to>
    <xdr:pic>
      <xdr:nvPicPr>
        <xdr:cNvPr id="6" name="Picture 5" descr="cid:image025.jpg@01D5A5CF.AF307720">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9" r:link="rId10" cstate="print">
          <a:extLst>
            <a:ext uri="{28A0092B-C50C-407E-A947-70E740481C1C}">
              <a14:useLocalDpi xmlns:a14="http://schemas.microsoft.com/office/drawing/2010/main" val="0"/>
            </a:ext>
          </a:extLst>
        </a:blip>
        <a:srcRect/>
        <a:stretch>
          <a:fillRect/>
        </a:stretch>
      </xdr:blipFill>
      <xdr:spPr bwMode="auto">
        <a:xfrm>
          <a:off x="600075" y="2524125"/>
          <a:ext cx="3110865" cy="1178560"/>
        </a:xfrm>
        <a:prstGeom prst="rect">
          <a:avLst/>
        </a:prstGeom>
        <a:noFill/>
        <a:ln>
          <a:noFill/>
        </a:ln>
      </xdr:spPr>
    </xdr:pic>
    <xdr:clientData/>
  </xdr:twoCellAnchor>
  <xdr:twoCellAnchor editAs="oneCell">
    <xdr:from>
      <xdr:col>2</xdr:col>
      <xdr:colOff>485775</xdr:colOff>
      <xdr:row>23</xdr:row>
      <xdr:rowOff>95250</xdr:rowOff>
    </xdr:from>
    <xdr:to>
      <xdr:col>5</xdr:col>
      <xdr:colOff>378460</xdr:colOff>
      <xdr:row>25</xdr:row>
      <xdr:rowOff>73660</xdr:rowOff>
    </xdr:to>
    <xdr:pic>
      <xdr:nvPicPr>
        <xdr:cNvPr id="7" name="Picture 6">
          <a:extLst>
            <a:ext uri="{FF2B5EF4-FFF2-40B4-BE49-F238E27FC236}">
              <a16:creationId xmlns:a16="http://schemas.microsoft.com/office/drawing/2014/main" id="{00000000-0008-0000-0200-000007000000}"/>
            </a:ext>
          </a:extLst>
        </xdr:cNvPr>
        <xdr:cNvPicPr/>
      </xdr:nvPicPr>
      <xdr:blipFill>
        <a:blip xmlns:r="http://schemas.openxmlformats.org/officeDocument/2006/relationships" r:embed="rId11"/>
        <a:stretch>
          <a:fillRect/>
        </a:stretch>
      </xdr:blipFill>
      <xdr:spPr>
        <a:xfrm>
          <a:off x="1704975" y="3819525"/>
          <a:ext cx="1721485" cy="302260"/>
        </a:xfrm>
        <a:prstGeom prst="rect">
          <a:avLst/>
        </a:prstGeom>
      </xdr:spPr>
    </xdr:pic>
    <xdr:clientData/>
  </xdr:twoCellAnchor>
  <xdr:twoCellAnchor editAs="oneCell">
    <xdr:from>
      <xdr:col>2</xdr:col>
      <xdr:colOff>209550</xdr:colOff>
      <xdr:row>27</xdr:row>
      <xdr:rowOff>95250</xdr:rowOff>
    </xdr:from>
    <xdr:to>
      <xdr:col>6</xdr:col>
      <xdr:colOff>62865</xdr:colOff>
      <xdr:row>29</xdr:row>
      <xdr:rowOff>57785</xdr:rowOff>
    </xdr:to>
    <xdr:pic>
      <xdr:nvPicPr>
        <xdr:cNvPr id="8" name="Picture 7">
          <a:extLst>
            <a:ext uri="{FF2B5EF4-FFF2-40B4-BE49-F238E27FC236}">
              <a16:creationId xmlns:a16="http://schemas.microsoft.com/office/drawing/2014/main" id="{00000000-0008-0000-0200-000008000000}"/>
            </a:ext>
          </a:extLst>
        </xdr:cNvPr>
        <xdr:cNvPicPr/>
      </xdr:nvPicPr>
      <xdr:blipFill>
        <a:blip xmlns:r="http://schemas.openxmlformats.org/officeDocument/2006/relationships" r:embed="rId12"/>
        <a:stretch>
          <a:fillRect/>
        </a:stretch>
      </xdr:blipFill>
      <xdr:spPr>
        <a:xfrm>
          <a:off x="1428750" y="4467225"/>
          <a:ext cx="2291715" cy="286385"/>
        </a:xfrm>
        <a:prstGeom prst="rect">
          <a:avLst/>
        </a:prstGeom>
      </xdr:spPr>
    </xdr:pic>
    <xdr:clientData/>
  </xdr:twoCellAnchor>
  <xdr:twoCellAnchor editAs="oneCell">
    <xdr:from>
      <xdr:col>3</xdr:col>
      <xdr:colOff>381000</xdr:colOff>
      <xdr:row>31</xdr:row>
      <xdr:rowOff>104775</xdr:rowOff>
    </xdr:from>
    <xdr:to>
      <xdr:col>4</xdr:col>
      <xdr:colOff>554990</xdr:colOff>
      <xdr:row>33</xdr:row>
      <xdr:rowOff>39370</xdr:rowOff>
    </xdr:to>
    <xdr:pic>
      <xdr:nvPicPr>
        <xdr:cNvPr id="9" name="Picture 8">
          <a:extLst>
            <a:ext uri="{FF2B5EF4-FFF2-40B4-BE49-F238E27FC236}">
              <a16:creationId xmlns:a16="http://schemas.microsoft.com/office/drawing/2014/main" id="{00000000-0008-0000-0200-000009000000}"/>
            </a:ext>
          </a:extLst>
        </xdr:cNvPr>
        <xdr:cNvPicPr/>
      </xdr:nvPicPr>
      <xdr:blipFill>
        <a:blip xmlns:r="http://schemas.openxmlformats.org/officeDocument/2006/relationships" r:embed="rId13"/>
        <a:stretch>
          <a:fillRect/>
        </a:stretch>
      </xdr:blipFill>
      <xdr:spPr>
        <a:xfrm>
          <a:off x="2209800" y="5124450"/>
          <a:ext cx="783590" cy="258445"/>
        </a:xfrm>
        <a:prstGeom prst="rect">
          <a:avLst/>
        </a:prstGeom>
      </xdr:spPr>
    </xdr:pic>
    <xdr:clientData/>
  </xdr:twoCellAnchor>
  <xdr:twoCellAnchor editAs="oneCell">
    <xdr:from>
      <xdr:col>3</xdr:col>
      <xdr:colOff>0</xdr:colOff>
      <xdr:row>38</xdr:row>
      <xdr:rowOff>0</xdr:rowOff>
    </xdr:from>
    <xdr:to>
      <xdr:col>6</xdr:col>
      <xdr:colOff>56515</xdr:colOff>
      <xdr:row>41</xdr:row>
      <xdr:rowOff>72390</xdr:rowOff>
    </xdr:to>
    <xdr:pic>
      <xdr:nvPicPr>
        <xdr:cNvPr id="11" name="Picture 10">
          <a:extLst>
            <a:ext uri="{FF2B5EF4-FFF2-40B4-BE49-F238E27FC236}">
              <a16:creationId xmlns:a16="http://schemas.microsoft.com/office/drawing/2014/main" id="{00000000-0008-0000-0200-00000B000000}"/>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28800" y="6153150"/>
          <a:ext cx="1885315" cy="558165"/>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ER\Vic%20Tariffs%20-%20post%202009\Electricity\2020\CitiPower%20(Trackit%2064988)\Approved%20tariffs\AER%20-%20Approved%20CitiPower%20Attachment%20A%20-%202020%20Tariff%20Approval%20Model%20-%20November%20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Formulae"/>
      <sheetName val="Model update"/>
      <sheetName val="Metering"/>
      <sheetName val="Prop2020DistTar"/>
      <sheetName val="2020DistRevCapForm"/>
      <sheetName val="2020DistTarRebalCont"/>
      <sheetName val="Est2019DistRev"/>
      <sheetName val="Prop2020TransTar"/>
      <sheetName val="Est2019TransRev"/>
      <sheetName val="2020TransRevCont"/>
      <sheetName val="TUoS cost audit template"/>
      <sheetName val="Prop2020JSTar"/>
      <sheetName val="Est2019JSRev"/>
      <sheetName val="2020JSRevCont"/>
      <sheetName val="JS cost audit template"/>
      <sheetName val="Prop2020TSSComp"/>
      <sheetName val="Indicative prices for 2021"/>
    </sheetNames>
    <sheetDataSet>
      <sheetData sheetId="0"/>
      <sheetData sheetId="1"/>
      <sheetData sheetId="2">
        <row r="8">
          <cell r="C8">
            <v>2019</v>
          </cell>
        </row>
      </sheetData>
      <sheetData sheetId="3"/>
      <sheetData sheetId="4">
        <row r="5">
          <cell r="D5" t="str">
            <v>PropTar
Fixed</v>
          </cell>
          <cell r="E5" t="str">
            <v>PropTar
Anytime</v>
          </cell>
          <cell r="F5" t="str">
            <v>PropTar
PkBlk</v>
          </cell>
          <cell r="G5" t="str">
            <v>PropTar
OPkBlk1</v>
          </cell>
          <cell r="H5" t="str">
            <v>PropTar
Dem kVA</v>
          </cell>
          <cell r="I5" t="str">
            <v>PropTar
Dem kW Sum</v>
          </cell>
          <cell r="J5" t="str">
            <v>PropTar
Dem kW Win</v>
          </cell>
          <cell r="K5" t="str">
            <v>PropTar
SumBlk1</v>
          </cell>
          <cell r="L5" t="str">
            <v>PropTar
SumBlk2</v>
          </cell>
          <cell r="M5" t="str">
            <v>PropTar
SumBlk3</v>
          </cell>
          <cell r="N5" t="str">
            <v>PropTar
WtrBlk1</v>
          </cell>
          <cell r="O5" t="str">
            <v>PropTar
WtrBlk2</v>
          </cell>
          <cell r="P5" t="str">
            <v>PropTar
WtrBlk3</v>
          </cell>
          <cell r="AF5" t="str">
            <v>FcastVol
Fixed</v>
          </cell>
          <cell r="AG5" t="str">
            <v>FcastVol
Anytime</v>
          </cell>
          <cell r="AH5" t="str">
            <v>FcastVol
Pk</v>
          </cell>
          <cell r="AI5" t="str">
            <v>FcastVol
Opk</v>
          </cell>
          <cell r="AJ5" t="str">
            <v>FcastVol
Dem kVA</v>
          </cell>
          <cell r="AK5" t="str">
            <v>FcastVol
Dem kW Sum</v>
          </cell>
          <cell r="AL5" t="str">
            <v>FcastVol
Dem kW Win</v>
          </cell>
          <cell r="AM5" t="str">
            <v>FcastVol
SumBlk1</v>
          </cell>
          <cell r="AN5" t="str">
            <v>FcastVol
SumBlk2</v>
          </cell>
          <cell r="AO5" t="str">
            <v>FcastVol
SumBlk3</v>
          </cell>
          <cell r="AP5" t="str">
            <v>FcastVol
WtrBlk1</v>
          </cell>
          <cell r="AQ5" t="str">
            <v>FcastVol
WtrBlk2</v>
          </cell>
          <cell r="AR5" t="str">
            <v>FcastVol
WtrBlk3</v>
          </cell>
          <cell r="AT5" t="str">
            <v>PropRev
Fixed</v>
          </cell>
          <cell r="AU5" t="str">
            <v>PropRev
Anytime</v>
          </cell>
          <cell r="AV5" t="str">
            <v>PropRev
Pk</v>
          </cell>
          <cell r="AW5" t="str">
            <v>PropRev
Opk</v>
          </cell>
          <cell r="AX5" t="str">
            <v>PropRev
Dem kVA</v>
          </cell>
          <cell r="AY5" t="str">
            <v>PropRev
Dem kW Sum</v>
          </cell>
          <cell r="AZ5" t="str">
            <v>PropRev
Dem kW Win</v>
          </cell>
          <cell r="BA5" t="str">
            <v>PropRev
SumBlk1</v>
          </cell>
          <cell r="BB5" t="str">
            <v>PropRev
SumBlk2</v>
          </cell>
          <cell r="BC5" t="str">
            <v>PropRev
SumBlk3</v>
          </cell>
          <cell r="BD5" t="str">
            <v>PropRev
WtrBlk1</v>
          </cell>
          <cell r="BE5" t="str">
            <v>PropRev
WtrBlk2</v>
          </cell>
          <cell r="BF5" t="str">
            <v>PropRev
WtrBlk3</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image" Target="../media/image12.wmf"/><Relationship Id="rId21" Type="http://schemas.openxmlformats.org/officeDocument/2006/relationships/oleObject" Target="../embeddings/oleObject10.bin"/><Relationship Id="rId34" Type="http://schemas.openxmlformats.org/officeDocument/2006/relationships/image" Target="../media/image16.wmf"/><Relationship Id="rId42" Type="http://schemas.openxmlformats.org/officeDocument/2006/relationships/image" Target="../media/image20.wmf"/><Relationship Id="rId47" Type="http://schemas.openxmlformats.org/officeDocument/2006/relationships/oleObject" Target="../embeddings/oleObject23.bin"/><Relationship Id="rId50" Type="http://schemas.openxmlformats.org/officeDocument/2006/relationships/image" Target="../media/image24.wmf"/><Relationship Id="rId55" Type="http://schemas.openxmlformats.org/officeDocument/2006/relationships/image" Target="../media/image26.wmf"/><Relationship Id="rId63" Type="http://schemas.openxmlformats.org/officeDocument/2006/relationships/image" Target="../media/image30.wmf"/><Relationship Id="rId68" Type="http://schemas.openxmlformats.org/officeDocument/2006/relationships/oleObject" Target="../embeddings/oleObject35.bin"/><Relationship Id="rId76" Type="http://schemas.openxmlformats.org/officeDocument/2006/relationships/oleObject" Target="../embeddings/oleObject41.bin"/><Relationship Id="rId84" Type="http://schemas.openxmlformats.org/officeDocument/2006/relationships/oleObject" Target="../embeddings/oleObject46.bin"/><Relationship Id="rId89" Type="http://schemas.openxmlformats.org/officeDocument/2006/relationships/image" Target="../media/image39.wmf"/><Relationship Id="rId97" Type="http://schemas.openxmlformats.org/officeDocument/2006/relationships/image" Target="../media/image43.wmf"/><Relationship Id="rId7" Type="http://schemas.openxmlformats.org/officeDocument/2006/relationships/oleObject" Target="../embeddings/oleObject3.bin"/><Relationship Id="rId71" Type="http://schemas.openxmlformats.org/officeDocument/2006/relationships/oleObject" Target="../embeddings/oleObject37.bin"/><Relationship Id="rId92" Type="http://schemas.openxmlformats.org/officeDocument/2006/relationships/oleObject" Target="../embeddings/oleObject50.bin"/><Relationship Id="rId2" Type="http://schemas.openxmlformats.org/officeDocument/2006/relationships/vmlDrawing" Target="../drawings/vmlDrawing1.vml"/><Relationship Id="rId16" Type="http://schemas.openxmlformats.org/officeDocument/2006/relationships/image" Target="../media/image7.wmf"/><Relationship Id="rId29" Type="http://schemas.openxmlformats.org/officeDocument/2006/relationships/oleObject" Target="../embeddings/oleObject14.bin"/><Relationship Id="rId11" Type="http://schemas.openxmlformats.org/officeDocument/2006/relationships/oleObject" Target="../embeddings/oleObject5.bin"/><Relationship Id="rId24" Type="http://schemas.openxmlformats.org/officeDocument/2006/relationships/image" Target="../media/image11.wmf"/><Relationship Id="rId32" Type="http://schemas.openxmlformats.org/officeDocument/2006/relationships/image" Target="../media/image15.wmf"/><Relationship Id="rId37" Type="http://schemas.openxmlformats.org/officeDocument/2006/relationships/oleObject" Target="../embeddings/oleObject18.bin"/><Relationship Id="rId40" Type="http://schemas.openxmlformats.org/officeDocument/2006/relationships/image" Target="../media/image19.wmf"/><Relationship Id="rId45" Type="http://schemas.openxmlformats.org/officeDocument/2006/relationships/oleObject" Target="../embeddings/oleObject22.bin"/><Relationship Id="rId53" Type="http://schemas.openxmlformats.org/officeDocument/2006/relationships/image" Target="../media/image25.wmf"/><Relationship Id="rId58" Type="http://schemas.openxmlformats.org/officeDocument/2006/relationships/oleObject" Target="../embeddings/oleObject29.bin"/><Relationship Id="rId66" Type="http://schemas.openxmlformats.org/officeDocument/2006/relationships/oleObject" Target="../embeddings/oleObject34.bin"/><Relationship Id="rId74" Type="http://schemas.openxmlformats.org/officeDocument/2006/relationships/oleObject" Target="../embeddings/oleObject39.bin"/><Relationship Id="rId79" Type="http://schemas.openxmlformats.org/officeDocument/2006/relationships/image" Target="../media/image35.wmf"/><Relationship Id="rId87" Type="http://schemas.openxmlformats.org/officeDocument/2006/relationships/image" Target="../media/image38.wmf"/><Relationship Id="rId5" Type="http://schemas.openxmlformats.org/officeDocument/2006/relationships/oleObject" Target="../embeddings/oleObject2.bin"/><Relationship Id="rId61" Type="http://schemas.openxmlformats.org/officeDocument/2006/relationships/image" Target="../media/image29.wmf"/><Relationship Id="rId82" Type="http://schemas.openxmlformats.org/officeDocument/2006/relationships/oleObject" Target="../embeddings/oleObject44.bin"/><Relationship Id="rId90" Type="http://schemas.openxmlformats.org/officeDocument/2006/relationships/oleObject" Target="../embeddings/oleObject49.bin"/><Relationship Id="rId95" Type="http://schemas.openxmlformats.org/officeDocument/2006/relationships/image" Target="../media/image42.wmf"/><Relationship Id="rId19" Type="http://schemas.openxmlformats.org/officeDocument/2006/relationships/oleObject" Target="../embeddings/oleObject9.bin"/><Relationship Id="rId14" Type="http://schemas.openxmlformats.org/officeDocument/2006/relationships/image" Target="../media/image6.wmf"/><Relationship Id="rId22" Type="http://schemas.openxmlformats.org/officeDocument/2006/relationships/image" Target="../media/image10.wmf"/><Relationship Id="rId27" Type="http://schemas.openxmlformats.org/officeDocument/2006/relationships/oleObject" Target="../embeddings/oleObject13.bin"/><Relationship Id="rId30" Type="http://schemas.openxmlformats.org/officeDocument/2006/relationships/image" Target="../media/image14.wmf"/><Relationship Id="rId35" Type="http://schemas.openxmlformats.org/officeDocument/2006/relationships/oleObject" Target="../embeddings/oleObject17.bin"/><Relationship Id="rId43" Type="http://schemas.openxmlformats.org/officeDocument/2006/relationships/oleObject" Target="../embeddings/oleObject21.bin"/><Relationship Id="rId48" Type="http://schemas.openxmlformats.org/officeDocument/2006/relationships/image" Target="../media/image23.wmf"/><Relationship Id="rId56" Type="http://schemas.openxmlformats.org/officeDocument/2006/relationships/oleObject" Target="../embeddings/oleObject28.bin"/><Relationship Id="rId64" Type="http://schemas.openxmlformats.org/officeDocument/2006/relationships/oleObject" Target="../embeddings/oleObject32.bin"/><Relationship Id="rId69" Type="http://schemas.openxmlformats.org/officeDocument/2006/relationships/image" Target="../media/image32.wmf"/><Relationship Id="rId77" Type="http://schemas.openxmlformats.org/officeDocument/2006/relationships/image" Target="../media/image34.wmf"/><Relationship Id="rId8" Type="http://schemas.openxmlformats.org/officeDocument/2006/relationships/image" Target="../media/image3.wmf"/><Relationship Id="rId51" Type="http://schemas.openxmlformats.org/officeDocument/2006/relationships/oleObject" Target="../embeddings/oleObject25.bin"/><Relationship Id="rId72" Type="http://schemas.openxmlformats.org/officeDocument/2006/relationships/oleObject" Target="../embeddings/oleObject38.bin"/><Relationship Id="rId80" Type="http://schemas.openxmlformats.org/officeDocument/2006/relationships/oleObject" Target="../embeddings/oleObject43.bin"/><Relationship Id="rId85" Type="http://schemas.openxmlformats.org/officeDocument/2006/relationships/image" Target="../media/image37.wmf"/><Relationship Id="rId93" Type="http://schemas.openxmlformats.org/officeDocument/2006/relationships/image" Target="../media/image41.wmf"/><Relationship Id="rId3" Type="http://schemas.openxmlformats.org/officeDocument/2006/relationships/oleObject" Target="../embeddings/oleObject1.bin"/><Relationship Id="rId12" Type="http://schemas.openxmlformats.org/officeDocument/2006/relationships/image" Target="../media/image5.wmf"/><Relationship Id="rId17" Type="http://schemas.openxmlformats.org/officeDocument/2006/relationships/oleObject" Target="../embeddings/oleObject8.bin"/><Relationship Id="rId25" Type="http://schemas.openxmlformats.org/officeDocument/2006/relationships/oleObject" Target="../embeddings/oleObject12.bin"/><Relationship Id="rId33" Type="http://schemas.openxmlformats.org/officeDocument/2006/relationships/oleObject" Target="../embeddings/oleObject16.bin"/><Relationship Id="rId38" Type="http://schemas.openxmlformats.org/officeDocument/2006/relationships/image" Target="../media/image18.wmf"/><Relationship Id="rId46" Type="http://schemas.openxmlformats.org/officeDocument/2006/relationships/image" Target="../media/image22.wmf"/><Relationship Id="rId59" Type="http://schemas.openxmlformats.org/officeDocument/2006/relationships/image" Target="../media/image28.wmf"/><Relationship Id="rId67" Type="http://schemas.openxmlformats.org/officeDocument/2006/relationships/image" Target="../media/image31.wmf"/><Relationship Id="rId20" Type="http://schemas.openxmlformats.org/officeDocument/2006/relationships/image" Target="../media/image9.wmf"/><Relationship Id="rId41" Type="http://schemas.openxmlformats.org/officeDocument/2006/relationships/oleObject" Target="../embeddings/oleObject20.bin"/><Relationship Id="rId54" Type="http://schemas.openxmlformats.org/officeDocument/2006/relationships/oleObject" Target="../embeddings/oleObject27.bin"/><Relationship Id="rId62" Type="http://schemas.openxmlformats.org/officeDocument/2006/relationships/oleObject" Target="../embeddings/oleObject31.bin"/><Relationship Id="rId70" Type="http://schemas.openxmlformats.org/officeDocument/2006/relationships/oleObject" Target="../embeddings/oleObject36.bin"/><Relationship Id="rId75" Type="http://schemas.openxmlformats.org/officeDocument/2006/relationships/oleObject" Target="../embeddings/oleObject40.bin"/><Relationship Id="rId83" Type="http://schemas.openxmlformats.org/officeDocument/2006/relationships/oleObject" Target="../embeddings/oleObject45.bin"/><Relationship Id="rId88" Type="http://schemas.openxmlformats.org/officeDocument/2006/relationships/oleObject" Target="../embeddings/oleObject48.bin"/><Relationship Id="rId91" Type="http://schemas.openxmlformats.org/officeDocument/2006/relationships/image" Target="../media/image40.wmf"/><Relationship Id="rId96" Type="http://schemas.openxmlformats.org/officeDocument/2006/relationships/oleObject" Target="../embeddings/oleObject52.bin"/><Relationship Id="rId1" Type="http://schemas.openxmlformats.org/officeDocument/2006/relationships/drawing" Target="../drawings/drawing1.xml"/><Relationship Id="rId6" Type="http://schemas.openxmlformats.org/officeDocument/2006/relationships/image" Target="../media/image2.wmf"/><Relationship Id="rId15" Type="http://schemas.openxmlformats.org/officeDocument/2006/relationships/oleObject" Target="../embeddings/oleObject7.bin"/><Relationship Id="rId23" Type="http://schemas.openxmlformats.org/officeDocument/2006/relationships/oleObject" Target="../embeddings/oleObject11.bin"/><Relationship Id="rId28" Type="http://schemas.openxmlformats.org/officeDocument/2006/relationships/image" Target="../media/image13.wmf"/><Relationship Id="rId36" Type="http://schemas.openxmlformats.org/officeDocument/2006/relationships/image" Target="../media/image17.wmf"/><Relationship Id="rId49" Type="http://schemas.openxmlformats.org/officeDocument/2006/relationships/oleObject" Target="../embeddings/oleObject24.bin"/><Relationship Id="rId57" Type="http://schemas.openxmlformats.org/officeDocument/2006/relationships/image" Target="../media/image27.wmf"/><Relationship Id="rId10" Type="http://schemas.openxmlformats.org/officeDocument/2006/relationships/image" Target="../media/image4.wmf"/><Relationship Id="rId31" Type="http://schemas.openxmlformats.org/officeDocument/2006/relationships/oleObject" Target="../embeddings/oleObject15.bin"/><Relationship Id="rId44" Type="http://schemas.openxmlformats.org/officeDocument/2006/relationships/image" Target="../media/image21.wmf"/><Relationship Id="rId52" Type="http://schemas.openxmlformats.org/officeDocument/2006/relationships/oleObject" Target="../embeddings/oleObject26.bin"/><Relationship Id="rId60" Type="http://schemas.openxmlformats.org/officeDocument/2006/relationships/oleObject" Target="../embeddings/oleObject30.bin"/><Relationship Id="rId65" Type="http://schemas.openxmlformats.org/officeDocument/2006/relationships/oleObject" Target="../embeddings/oleObject33.bin"/><Relationship Id="rId73" Type="http://schemas.openxmlformats.org/officeDocument/2006/relationships/image" Target="../media/image33.wmf"/><Relationship Id="rId78" Type="http://schemas.openxmlformats.org/officeDocument/2006/relationships/oleObject" Target="../embeddings/oleObject42.bin"/><Relationship Id="rId81" Type="http://schemas.openxmlformats.org/officeDocument/2006/relationships/image" Target="../media/image36.wmf"/><Relationship Id="rId86" Type="http://schemas.openxmlformats.org/officeDocument/2006/relationships/oleObject" Target="../embeddings/oleObject47.bin"/><Relationship Id="rId94" Type="http://schemas.openxmlformats.org/officeDocument/2006/relationships/oleObject" Target="../embeddings/oleObject51.bin"/><Relationship Id="rId4" Type="http://schemas.openxmlformats.org/officeDocument/2006/relationships/image" Target="../media/image1.wmf"/><Relationship Id="rId9" Type="http://schemas.openxmlformats.org/officeDocument/2006/relationships/oleObject" Target="../embeddings/oleObject4.bin"/><Relationship Id="rId13" Type="http://schemas.openxmlformats.org/officeDocument/2006/relationships/oleObject" Target="../embeddings/oleObject6.bin"/><Relationship Id="rId18" Type="http://schemas.openxmlformats.org/officeDocument/2006/relationships/image" Target="../media/image8.wmf"/><Relationship Id="rId39" Type="http://schemas.openxmlformats.org/officeDocument/2006/relationships/oleObject" Target="../embeddings/oleObject19.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FF0000"/>
  </sheetPr>
  <dimension ref="A2:D110"/>
  <sheetViews>
    <sheetView zoomScale="85" zoomScaleNormal="85" workbookViewId="0">
      <pane ySplit="4" topLeftCell="A5" activePane="bottomLeft" state="frozen"/>
      <selection pane="bottomLeft" activeCell="F15" sqref="F15"/>
    </sheetView>
  </sheetViews>
  <sheetFormatPr defaultRowHeight="12.75" x14ac:dyDescent="0.2"/>
  <cols>
    <col min="2" max="2" width="33.140625" customWidth="1"/>
    <col min="3" max="3" width="46.140625" customWidth="1"/>
    <col min="4" max="4" width="57.140625" customWidth="1"/>
    <col min="5" max="5" width="25" customWidth="1"/>
    <col min="6" max="6" width="13.140625" customWidth="1"/>
    <col min="11" max="11" width="12.140625" customWidth="1"/>
  </cols>
  <sheetData>
    <row r="2" spans="1:4" ht="15" x14ac:dyDescent="0.2">
      <c r="A2" s="332" t="s">
        <v>302</v>
      </c>
      <c r="B2" s="226"/>
      <c r="C2" s="226"/>
      <c r="D2" s="226"/>
    </row>
    <row r="4" spans="1:4" x14ac:dyDescent="0.2">
      <c r="A4" s="326" t="s">
        <v>297</v>
      </c>
      <c r="B4" s="327" t="s">
        <v>298</v>
      </c>
      <c r="C4" s="327" t="s">
        <v>300</v>
      </c>
      <c r="D4" s="327" t="s">
        <v>299</v>
      </c>
    </row>
    <row r="5" spans="1:4" x14ac:dyDescent="0.2">
      <c r="A5" s="341"/>
      <c r="B5" s="342"/>
      <c r="C5" s="342"/>
      <c r="D5" s="342"/>
    </row>
    <row r="6" spans="1:4" x14ac:dyDescent="0.2">
      <c r="A6" s="346">
        <v>1</v>
      </c>
      <c r="B6" s="348" t="s">
        <v>311</v>
      </c>
      <c r="C6" s="347" t="s">
        <v>312</v>
      </c>
      <c r="D6" s="347" t="s">
        <v>313</v>
      </c>
    </row>
    <row r="7" spans="1:4" x14ac:dyDescent="0.2">
      <c r="A7" s="341"/>
      <c r="B7" s="342"/>
      <c r="C7" s="342"/>
      <c r="D7" s="342"/>
    </row>
    <row r="8" spans="1:4" x14ac:dyDescent="0.2">
      <c r="A8" s="328">
        <f>A6+1</f>
        <v>2</v>
      </c>
      <c r="B8" s="329" t="s">
        <v>314</v>
      </c>
      <c r="C8" s="333" t="s">
        <v>316</v>
      </c>
      <c r="D8" t="s">
        <v>317</v>
      </c>
    </row>
    <row r="9" spans="1:4" x14ac:dyDescent="0.2">
      <c r="A9" s="330"/>
      <c r="C9" s="333"/>
    </row>
    <row r="10" spans="1:4" x14ac:dyDescent="0.2">
      <c r="A10" s="328">
        <f>A8+1</f>
        <v>3</v>
      </c>
      <c r="B10" s="329" t="s">
        <v>315</v>
      </c>
      <c r="C10" s="333" t="s">
        <v>318</v>
      </c>
      <c r="D10" t="s">
        <v>319</v>
      </c>
    </row>
    <row r="11" spans="1:4" x14ac:dyDescent="0.2">
      <c r="A11" s="330"/>
      <c r="C11" s="333"/>
    </row>
    <row r="12" spans="1:4" x14ac:dyDescent="0.2">
      <c r="A12" s="328">
        <f>A10+1</f>
        <v>4</v>
      </c>
      <c r="B12" s="329" t="s">
        <v>320</v>
      </c>
      <c r="C12" s="333" t="s">
        <v>321</v>
      </c>
      <c r="D12" t="s">
        <v>322</v>
      </c>
    </row>
    <row r="13" spans="1:4" x14ac:dyDescent="0.2">
      <c r="A13" s="328"/>
      <c r="B13" s="349" t="s">
        <v>323</v>
      </c>
      <c r="C13" s="333" t="s">
        <v>324</v>
      </c>
      <c r="D13" t="s">
        <v>322</v>
      </c>
    </row>
    <row r="14" spans="1:4" x14ac:dyDescent="0.2">
      <c r="A14" s="330"/>
      <c r="C14" s="333"/>
    </row>
    <row r="15" spans="1:4" x14ac:dyDescent="0.2">
      <c r="A15" s="328">
        <f>A12+1</f>
        <v>5</v>
      </c>
      <c r="B15" s="329" t="s">
        <v>332</v>
      </c>
      <c r="C15" s="333" t="s">
        <v>336</v>
      </c>
      <c r="D15" t="s">
        <v>335</v>
      </c>
    </row>
    <row r="16" spans="1:4" x14ac:dyDescent="0.2">
      <c r="A16" s="330"/>
      <c r="B16" s="329" t="s">
        <v>333</v>
      </c>
      <c r="C16" s="333" t="s">
        <v>336</v>
      </c>
      <c r="D16" t="s">
        <v>335</v>
      </c>
    </row>
    <row r="17" spans="1:4" x14ac:dyDescent="0.2">
      <c r="A17" s="330"/>
      <c r="C17" s="333"/>
    </row>
    <row r="18" spans="1:4" x14ac:dyDescent="0.2">
      <c r="A18" s="328">
        <f>A15+1</f>
        <v>6</v>
      </c>
      <c r="B18" s="329" t="s">
        <v>325</v>
      </c>
      <c r="C18" s="333" t="s">
        <v>342</v>
      </c>
      <c r="D18" t="s">
        <v>337</v>
      </c>
    </row>
    <row r="19" spans="1:4" x14ac:dyDescent="0.2">
      <c r="A19" s="330"/>
      <c r="B19" s="329" t="s">
        <v>326</v>
      </c>
      <c r="C19" s="333" t="s">
        <v>343</v>
      </c>
      <c r="D19" t="s">
        <v>337</v>
      </c>
    </row>
    <row r="20" spans="1:4" x14ac:dyDescent="0.2">
      <c r="A20" s="330"/>
      <c r="B20" s="329" t="s">
        <v>327</v>
      </c>
      <c r="C20" s="333" t="s">
        <v>344</v>
      </c>
      <c r="D20" t="s">
        <v>337</v>
      </c>
    </row>
    <row r="21" spans="1:4" x14ac:dyDescent="0.2">
      <c r="A21" s="330"/>
      <c r="B21" s="329" t="s">
        <v>328</v>
      </c>
      <c r="C21" s="333" t="s">
        <v>345</v>
      </c>
      <c r="D21" t="s">
        <v>337</v>
      </c>
    </row>
    <row r="22" spans="1:4" x14ac:dyDescent="0.2">
      <c r="A22" s="330"/>
      <c r="B22" s="329" t="s">
        <v>329</v>
      </c>
      <c r="C22" s="333" t="s">
        <v>338</v>
      </c>
      <c r="D22" t="s">
        <v>337</v>
      </c>
    </row>
    <row r="23" spans="1:4" x14ac:dyDescent="0.2">
      <c r="A23" s="330"/>
      <c r="B23" s="329" t="s">
        <v>330</v>
      </c>
      <c r="C23" s="333" t="s">
        <v>339</v>
      </c>
      <c r="D23" t="s">
        <v>337</v>
      </c>
    </row>
    <row r="24" spans="1:4" x14ac:dyDescent="0.2">
      <c r="A24" s="330"/>
      <c r="B24" s="329" t="s">
        <v>331</v>
      </c>
      <c r="C24" s="333" t="s">
        <v>340</v>
      </c>
      <c r="D24" t="s">
        <v>337</v>
      </c>
    </row>
    <row r="25" spans="1:4" x14ac:dyDescent="0.2">
      <c r="A25" s="330"/>
      <c r="B25" s="329" t="s">
        <v>334</v>
      </c>
      <c r="C25" s="333" t="s">
        <v>341</v>
      </c>
      <c r="D25" t="s">
        <v>337</v>
      </c>
    </row>
    <row r="26" spans="1:4" x14ac:dyDescent="0.2">
      <c r="A26" s="330"/>
    </row>
    <row r="27" spans="1:4" x14ac:dyDescent="0.2">
      <c r="A27" s="328">
        <f>A18+1</f>
        <v>7</v>
      </c>
      <c r="B27" s="329" t="s">
        <v>346</v>
      </c>
      <c r="C27" s="333" t="s">
        <v>347</v>
      </c>
      <c r="D27" t="s">
        <v>348</v>
      </c>
    </row>
    <row r="28" spans="1:4" x14ac:dyDescent="0.2">
      <c r="A28" s="330"/>
    </row>
    <row r="29" spans="1:4" x14ac:dyDescent="0.2">
      <c r="A29" s="328">
        <f>A27+1</f>
        <v>8</v>
      </c>
      <c r="B29" s="329" t="s">
        <v>349</v>
      </c>
      <c r="C29" s="333" t="s">
        <v>350</v>
      </c>
      <c r="D29" t="s">
        <v>351</v>
      </c>
    </row>
    <row r="30" spans="1:4" x14ac:dyDescent="0.2">
      <c r="A30" s="330"/>
    </row>
    <row r="31" spans="1:4" x14ac:dyDescent="0.2">
      <c r="A31" s="328">
        <f>A29+1</f>
        <v>9</v>
      </c>
      <c r="B31" s="329" t="s">
        <v>354</v>
      </c>
      <c r="C31" t="s">
        <v>355</v>
      </c>
      <c r="D31" t="s">
        <v>356</v>
      </c>
    </row>
    <row r="32" spans="1:4" x14ac:dyDescent="0.2">
      <c r="A32" s="330"/>
    </row>
    <row r="33" spans="1:4" x14ac:dyDescent="0.2">
      <c r="A33" s="328">
        <f>A31+1</f>
        <v>10</v>
      </c>
      <c r="B33" s="329" t="s">
        <v>357</v>
      </c>
      <c r="C33" t="s">
        <v>358</v>
      </c>
      <c r="D33" t="s">
        <v>359</v>
      </c>
    </row>
    <row r="34" spans="1:4" x14ac:dyDescent="0.2">
      <c r="A34" s="330"/>
    </row>
    <row r="35" spans="1:4" x14ac:dyDescent="0.2">
      <c r="A35" s="328">
        <f>A33+1</f>
        <v>11</v>
      </c>
      <c r="B35" s="329" t="s">
        <v>421</v>
      </c>
      <c r="C35" t="s">
        <v>419</v>
      </c>
      <c r="D35" t="s">
        <v>422</v>
      </c>
    </row>
    <row r="36" spans="1:4" x14ac:dyDescent="0.2">
      <c r="A36" s="330"/>
    </row>
    <row r="37" spans="1:4" x14ac:dyDescent="0.2">
      <c r="A37" s="328">
        <f>A35+1</f>
        <v>12</v>
      </c>
      <c r="B37" t="s">
        <v>360</v>
      </c>
      <c r="C37" t="s">
        <v>361</v>
      </c>
      <c r="D37" t="s">
        <v>362</v>
      </c>
    </row>
    <row r="38" spans="1:4" x14ac:dyDescent="0.2">
      <c r="A38" s="328"/>
      <c r="B38" t="s">
        <v>367</v>
      </c>
      <c r="C38" t="s">
        <v>76</v>
      </c>
      <c r="D38" t="s">
        <v>368</v>
      </c>
    </row>
    <row r="39" spans="1:4" x14ac:dyDescent="0.2">
      <c r="A39" s="330"/>
    </row>
    <row r="40" spans="1:4" x14ac:dyDescent="0.2">
      <c r="A40" s="328">
        <f t="shared" ref="A40" si="0">A37+1</f>
        <v>13</v>
      </c>
      <c r="B40" t="s">
        <v>383</v>
      </c>
      <c r="C40" t="s">
        <v>363</v>
      </c>
      <c r="D40" t="s">
        <v>365</v>
      </c>
    </row>
    <row r="41" spans="1:4" x14ac:dyDescent="0.2">
      <c r="A41" s="330"/>
      <c r="C41" t="s">
        <v>364</v>
      </c>
      <c r="D41" t="s">
        <v>366</v>
      </c>
    </row>
    <row r="42" spans="1:4" x14ac:dyDescent="0.2">
      <c r="A42" s="330"/>
    </row>
    <row r="43" spans="1:4" x14ac:dyDescent="0.2">
      <c r="A43" s="328">
        <f t="shared" ref="A43" si="1">A40+1</f>
        <v>14</v>
      </c>
      <c r="B43" t="s">
        <v>382</v>
      </c>
      <c r="C43" t="s">
        <v>369</v>
      </c>
      <c r="D43" t="s">
        <v>372</v>
      </c>
    </row>
    <row r="44" spans="1:4" x14ac:dyDescent="0.2">
      <c r="A44" s="330"/>
      <c r="C44" t="s">
        <v>370</v>
      </c>
      <c r="D44" t="s">
        <v>372</v>
      </c>
    </row>
    <row r="45" spans="1:4" x14ac:dyDescent="0.2">
      <c r="A45" s="330"/>
      <c r="C45" t="s">
        <v>371</v>
      </c>
      <c r="D45" t="s">
        <v>372</v>
      </c>
    </row>
    <row r="46" spans="1:4" x14ac:dyDescent="0.2">
      <c r="A46" s="330"/>
    </row>
    <row r="47" spans="1:4" x14ac:dyDescent="0.2">
      <c r="A47" s="328">
        <f t="shared" ref="A47" si="2">A43+1</f>
        <v>15</v>
      </c>
      <c r="B47" t="s">
        <v>381</v>
      </c>
      <c r="C47" t="s">
        <v>374</v>
      </c>
      <c r="D47" t="s">
        <v>373</v>
      </c>
    </row>
    <row r="48" spans="1:4" x14ac:dyDescent="0.2">
      <c r="A48" s="330"/>
    </row>
    <row r="49" spans="1:4" x14ac:dyDescent="0.2">
      <c r="A49" s="328">
        <f t="shared" ref="A49" si="3">A47+1</f>
        <v>16</v>
      </c>
      <c r="B49" t="s">
        <v>375</v>
      </c>
      <c r="C49" t="s">
        <v>376</v>
      </c>
      <c r="D49" t="s">
        <v>377</v>
      </c>
    </row>
    <row r="50" spans="1:4" x14ac:dyDescent="0.2">
      <c r="A50" s="330"/>
    </row>
    <row r="51" spans="1:4" x14ac:dyDescent="0.2">
      <c r="A51" s="328">
        <f>A49+1</f>
        <v>17</v>
      </c>
      <c r="B51" s="329" t="s">
        <v>378</v>
      </c>
      <c r="C51" t="s">
        <v>363</v>
      </c>
      <c r="D51" t="s">
        <v>365</v>
      </c>
    </row>
    <row r="52" spans="1:4" x14ac:dyDescent="0.2">
      <c r="A52" s="328"/>
      <c r="B52" s="329"/>
      <c r="C52" t="s">
        <v>364</v>
      </c>
      <c r="D52" t="s">
        <v>366</v>
      </c>
    </row>
    <row r="53" spans="1:4" x14ac:dyDescent="0.2">
      <c r="A53" s="328"/>
      <c r="B53" s="329"/>
      <c r="C53" t="s">
        <v>379</v>
      </c>
      <c r="D53" t="s">
        <v>365</v>
      </c>
    </row>
    <row r="54" spans="1:4" x14ac:dyDescent="0.2">
      <c r="A54" s="328"/>
      <c r="B54" s="329"/>
      <c r="C54" t="s">
        <v>380</v>
      </c>
      <c r="D54" t="s">
        <v>365</v>
      </c>
    </row>
    <row r="55" spans="1:4" x14ac:dyDescent="0.2">
      <c r="A55" s="330"/>
    </row>
    <row r="56" spans="1:4" x14ac:dyDescent="0.2">
      <c r="A56" s="328">
        <f t="shared" ref="A56" si="4">A51+1</f>
        <v>18</v>
      </c>
      <c r="B56" s="329" t="s">
        <v>384</v>
      </c>
      <c r="C56" t="s">
        <v>386</v>
      </c>
      <c r="D56" t="s">
        <v>372</v>
      </c>
    </row>
    <row r="57" spans="1:4" x14ac:dyDescent="0.2">
      <c r="A57" s="328"/>
      <c r="B57" s="329"/>
      <c r="C57" t="s">
        <v>387</v>
      </c>
      <c r="D57" t="s">
        <v>372</v>
      </c>
    </row>
    <row r="58" spans="1:4" x14ac:dyDescent="0.2">
      <c r="A58" s="330"/>
    </row>
    <row r="59" spans="1:4" x14ac:dyDescent="0.2">
      <c r="A59" s="328">
        <f t="shared" ref="A59" si="5">A56+1</f>
        <v>19</v>
      </c>
      <c r="B59" s="329" t="s">
        <v>385</v>
      </c>
      <c r="C59" t="s">
        <v>374</v>
      </c>
      <c r="D59" t="s">
        <v>373</v>
      </c>
    </row>
    <row r="60" spans="1:4" x14ac:dyDescent="0.2">
      <c r="A60" s="330"/>
    </row>
    <row r="61" spans="1:4" x14ac:dyDescent="0.2">
      <c r="A61" s="328">
        <f t="shared" ref="A61" si="6">A59+1</f>
        <v>20</v>
      </c>
      <c r="B61" s="329" t="s">
        <v>388</v>
      </c>
      <c r="C61" t="s">
        <v>376</v>
      </c>
      <c r="D61" t="s">
        <v>377</v>
      </c>
    </row>
    <row r="62" spans="1:4" x14ac:dyDescent="0.2">
      <c r="A62" s="330"/>
    </row>
    <row r="63" spans="1:4" x14ac:dyDescent="0.2">
      <c r="A63" s="328">
        <f t="shared" ref="A63" si="7">A61+1</f>
        <v>21</v>
      </c>
      <c r="B63" s="329" t="s">
        <v>389</v>
      </c>
      <c r="C63" t="s">
        <v>361</v>
      </c>
      <c r="D63" t="s">
        <v>362</v>
      </c>
    </row>
    <row r="64" spans="1:4" x14ac:dyDescent="0.2">
      <c r="A64" s="328"/>
      <c r="B64" s="329" t="s">
        <v>390</v>
      </c>
      <c r="C64" t="s">
        <v>76</v>
      </c>
      <c r="D64" t="s">
        <v>368</v>
      </c>
    </row>
    <row r="65" spans="1:4" x14ac:dyDescent="0.2">
      <c r="A65" s="330"/>
    </row>
    <row r="66" spans="1:4" x14ac:dyDescent="0.2">
      <c r="A66" s="328">
        <f>A63+1</f>
        <v>22</v>
      </c>
      <c r="B66" t="s">
        <v>402</v>
      </c>
      <c r="C66" t="s">
        <v>403</v>
      </c>
      <c r="D66" t="s">
        <v>404</v>
      </c>
    </row>
    <row r="67" spans="1:4" x14ac:dyDescent="0.2">
      <c r="A67" s="330"/>
    </row>
    <row r="68" spans="1:4" x14ac:dyDescent="0.2">
      <c r="A68" s="328">
        <f>A66+1</f>
        <v>23</v>
      </c>
      <c r="B68" s="329" t="s">
        <v>392</v>
      </c>
      <c r="C68" t="s">
        <v>131</v>
      </c>
      <c r="D68" t="s">
        <v>365</v>
      </c>
    </row>
    <row r="69" spans="1:4" x14ac:dyDescent="0.2">
      <c r="A69" s="328"/>
      <c r="B69" s="351" t="s">
        <v>393</v>
      </c>
      <c r="C69" t="s">
        <v>376</v>
      </c>
      <c r="D69" t="s">
        <v>396</v>
      </c>
    </row>
    <row r="70" spans="1:4" x14ac:dyDescent="0.2">
      <c r="A70" s="330"/>
    </row>
    <row r="71" spans="1:4" x14ac:dyDescent="0.2">
      <c r="A71" s="328">
        <f t="shared" ref="A71" si="8">A68+1</f>
        <v>24</v>
      </c>
      <c r="B71" s="329" t="s">
        <v>391</v>
      </c>
      <c r="C71" t="s">
        <v>395</v>
      </c>
      <c r="D71" t="s">
        <v>372</v>
      </c>
    </row>
    <row r="72" spans="1:4" x14ac:dyDescent="0.2">
      <c r="A72" s="328"/>
      <c r="B72" s="329"/>
      <c r="C72" t="s">
        <v>394</v>
      </c>
      <c r="D72" t="s">
        <v>372</v>
      </c>
    </row>
    <row r="73" spans="1:4" x14ac:dyDescent="0.2">
      <c r="A73" s="330"/>
    </row>
    <row r="74" spans="1:4" x14ac:dyDescent="0.2">
      <c r="A74" s="328">
        <f t="shared" ref="A74" si="9">A71+1</f>
        <v>25</v>
      </c>
      <c r="B74" s="329" t="s">
        <v>397</v>
      </c>
      <c r="C74" t="s">
        <v>142</v>
      </c>
      <c r="D74" t="s">
        <v>365</v>
      </c>
    </row>
    <row r="75" spans="1:4" x14ac:dyDescent="0.2">
      <c r="A75" s="330"/>
      <c r="B75" s="329" t="s">
        <v>398</v>
      </c>
      <c r="C75" t="s">
        <v>376</v>
      </c>
      <c r="D75" t="s">
        <v>396</v>
      </c>
    </row>
    <row r="76" spans="1:4" x14ac:dyDescent="0.2">
      <c r="A76" s="330"/>
    </row>
    <row r="77" spans="1:4" x14ac:dyDescent="0.2">
      <c r="A77" s="328">
        <f>A74+1</f>
        <v>26</v>
      </c>
      <c r="B77" s="329" t="s">
        <v>399</v>
      </c>
      <c r="C77" t="s">
        <v>400</v>
      </c>
      <c r="D77" t="s">
        <v>372</v>
      </c>
    </row>
    <row r="78" spans="1:4" x14ac:dyDescent="0.2">
      <c r="A78" s="330"/>
      <c r="C78" t="s">
        <v>401</v>
      </c>
      <c r="D78" t="s">
        <v>372</v>
      </c>
    </row>
    <row r="79" spans="1:4" x14ac:dyDescent="0.2">
      <c r="A79" s="330"/>
    </row>
    <row r="80" spans="1:4" x14ac:dyDescent="0.2">
      <c r="A80" s="328">
        <f>A77+1</f>
        <v>27</v>
      </c>
      <c r="B80" s="329" t="s">
        <v>414</v>
      </c>
      <c r="C80" t="s">
        <v>417</v>
      </c>
      <c r="D80" t="s">
        <v>418</v>
      </c>
    </row>
    <row r="81" spans="1:4" x14ac:dyDescent="0.2">
      <c r="B81" s="329" t="s">
        <v>415</v>
      </c>
      <c r="C81" t="s">
        <v>417</v>
      </c>
      <c r="D81" t="s">
        <v>418</v>
      </c>
    </row>
    <row r="82" spans="1:4" x14ac:dyDescent="0.2">
      <c r="A82" s="329"/>
      <c r="B82" s="329" t="s">
        <v>416</v>
      </c>
      <c r="C82" t="s">
        <v>417</v>
      </c>
      <c r="D82" t="s">
        <v>418</v>
      </c>
    </row>
    <row r="83" spans="1:4" x14ac:dyDescent="0.2">
      <c r="A83" s="329"/>
      <c r="C83" s="331"/>
    </row>
    <row r="85" spans="1:4" x14ac:dyDescent="0.2">
      <c r="A85" s="329"/>
    </row>
    <row r="86" spans="1:4" x14ac:dyDescent="0.2">
      <c r="A86" s="329"/>
    </row>
    <row r="87" spans="1:4" x14ac:dyDescent="0.2">
      <c r="A87" s="351"/>
    </row>
    <row r="88" spans="1:4" x14ac:dyDescent="0.2">
      <c r="A88" s="335"/>
      <c r="B88" s="335"/>
    </row>
    <row r="89" spans="1:4" x14ac:dyDescent="0.2">
      <c r="A89" s="334"/>
      <c r="B89" s="335"/>
    </row>
    <row r="90" spans="1:4" x14ac:dyDescent="0.2">
      <c r="A90" s="351"/>
      <c r="B90" s="335"/>
    </row>
    <row r="91" spans="1:4" x14ac:dyDescent="0.2">
      <c r="A91" s="351"/>
      <c r="B91" s="335"/>
    </row>
    <row r="92" spans="1:4" x14ac:dyDescent="0.2">
      <c r="A92" s="335"/>
      <c r="B92" s="335"/>
    </row>
    <row r="93" spans="1:4" x14ac:dyDescent="0.2">
      <c r="A93" s="334"/>
      <c r="B93" s="335"/>
    </row>
    <row r="94" spans="1:4" x14ac:dyDescent="0.2">
      <c r="A94" s="351"/>
      <c r="B94" s="335"/>
    </row>
    <row r="95" spans="1:4" x14ac:dyDescent="0.2">
      <c r="A95" s="351"/>
      <c r="B95" s="335"/>
    </row>
    <row r="96" spans="1:4" x14ac:dyDescent="0.2">
      <c r="A96" s="335"/>
      <c r="B96" s="335"/>
    </row>
    <row r="97" spans="1:2" x14ac:dyDescent="0.2">
      <c r="A97" s="334"/>
      <c r="B97" s="335"/>
    </row>
    <row r="98" spans="1:2" x14ac:dyDescent="0.2">
      <c r="A98" s="334"/>
      <c r="B98" s="335"/>
    </row>
    <row r="103" spans="1:2" x14ac:dyDescent="0.2">
      <c r="A103" s="330"/>
    </row>
    <row r="104" spans="1:2" x14ac:dyDescent="0.2">
      <c r="A104" s="328"/>
    </row>
    <row r="105" spans="1:2" x14ac:dyDescent="0.2">
      <c r="A105" s="330"/>
    </row>
    <row r="106" spans="1:2" x14ac:dyDescent="0.2">
      <c r="A106" s="328"/>
    </row>
    <row r="107" spans="1:2" x14ac:dyDescent="0.2">
      <c r="A107" s="330"/>
    </row>
    <row r="108" spans="1:2" x14ac:dyDescent="0.2">
      <c r="A108" s="328"/>
    </row>
    <row r="109" spans="1:2" x14ac:dyDescent="0.2">
      <c r="A109" s="328"/>
    </row>
    <row r="110" spans="1:2" x14ac:dyDescent="0.2">
      <c r="A110" s="328"/>
    </row>
  </sheetData>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K239"/>
  <sheetViews>
    <sheetView topLeftCell="A70" zoomScaleNormal="100" workbookViewId="0">
      <selection activeCell="I12" sqref="I12"/>
    </sheetView>
  </sheetViews>
  <sheetFormatPr defaultRowHeight="12.75" x14ac:dyDescent="0.2"/>
  <cols>
    <col min="1" max="1" width="5.85546875" style="363" customWidth="1"/>
    <col min="2" max="2" width="9.140625" style="363" customWidth="1"/>
    <col min="3" max="7" width="9.140625" style="363"/>
    <col min="8" max="8" width="44.5703125" style="363" customWidth="1"/>
    <col min="9" max="16384" width="9.140625" style="363"/>
  </cols>
  <sheetData>
    <row r="2" spans="2:8" ht="15.75" x14ac:dyDescent="0.2">
      <c r="B2" s="362" t="s">
        <v>97</v>
      </c>
      <c r="G2" s="364"/>
    </row>
    <row r="3" spans="2:8" ht="15.75" x14ac:dyDescent="0.2">
      <c r="B3" s="365" t="s">
        <v>0</v>
      </c>
    </row>
    <row r="4" spans="2:8" ht="36" customHeight="1" x14ac:dyDescent="0.2">
      <c r="B4" s="366" t="s">
        <v>177</v>
      </c>
      <c r="H4" s="367" t="s">
        <v>1</v>
      </c>
    </row>
    <row r="5" spans="2:8" ht="30" customHeight="1" x14ac:dyDescent="0.2">
      <c r="B5" s="366" t="s">
        <v>178</v>
      </c>
      <c r="H5" s="367" t="s">
        <v>2</v>
      </c>
    </row>
    <row r="6" spans="2:8" ht="24" customHeight="1" x14ac:dyDescent="0.2">
      <c r="B6" s="366" t="s">
        <v>179</v>
      </c>
      <c r="H6" s="367" t="s">
        <v>3</v>
      </c>
    </row>
    <row r="7" spans="2:8" ht="27" customHeight="1" x14ac:dyDescent="0.2">
      <c r="B7" s="366" t="s">
        <v>180</v>
      </c>
      <c r="H7" s="367" t="s">
        <v>4</v>
      </c>
    </row>
    <row r="9" spans="2:8" ht="14.25" x14ac:dyDescent="0.2">
      <c r="B9" s="368" t="s">
        <v>5</v>
      </c>
    </row>
    <row r="10" spans="2:8" ht="14.25" x14ac:dyDescent="0.2">
      <c r="C10" s="368" t="s">
        <v>6</v>
      </c>
    </row>
    <row r="11" spans="2:8" ht="14.25" x14ac:dyDescent="0.2">
      <c r="D11" s="368" t="s">
        <v>7</v>
      </c>
    </row>
    <row r="12" spans="2:8" ht="14.25" x14ac:dyDescent="0.2">
      <c r="D12" s="368" t="s">
        <v>8</v>
      </c>
    </row>
    <row r="13" spans="2:8" ht="14.25" x14ac:dyDescent="0.2">
      <c r="B13" s="368" t="s">
        <v>9</v>
      </c>
      <c r="C13" s="368" t="s">
        <v>10</v>
      </c>
    </row>
    <row r="14" spans="2:8" ht="14.25" x14ac:dyDescent="0.2">
      <c r="B14" s="368" t="s">
        <v>9</v>
      </c>
      <c r="D14" s="368" t="s">
        <v>11</v>
      </c>
    </row>
    <row r="15" spans="2:8" ht="14.25" x14ac:dyDescent="0.2">
      <c r="D15" s="368" t="s">
        <v>12</v>
      </c>
    </row>
    <row r="16" spans="2:8" ht="14.25" x14ac:dyDescent="0.2">
      <c r="B16" s="367" t="s">
        <v>181</v>
      </c>
    </row>
    <row r="17" spans="2:4" ht="14.25" x14ac:dyDescent="0.2">
      <c r="D17" s="368" t="s">
        <v>12</v>
      </c>
    </row>
    <row r="18" spans="2:4" ht="14.25" x14ac:dyDescent="0.2">
      <c r="B18" s="367" t="s">
        <v>182</v>
      </c>
    </row>
    <row r="19" spans="2:4" x14ac:dyDescent="0.2">
      <c r="B19" s="369"/>
    </row>
    <row r="20" spans="2:4" ht="14.25" x14ac:dyDescent="0.2">
      <c r="B20" s="370" t="s">
        <v>13</v>
      </c>
    </row>
    <row r="21" spans="2:4" ht="14.25" x14ac:dyDescent="0.2">
      <c r="C21" s="370" t="s">
        <v>164</v>
      </c>
    </row>
    <row r="22" spans="2:4" ht="14.25" x14ac:dyDescent="0.2">
      <c r="C22" s="371" t="s">
        <v>186</v>
      </c>
    </row>
    <row r="23" spans="2:4" x14ac:dyDescent="0.2">
      <c r="C23" s="369"/>
    </row>
    <row r="24" spans="2:4" ht="14.25" x14ac:dyDescent="0.2">
      <c r="C24" s="370"/>
    </row>
    <row r="25" spans="2:4" ht="14.25" x14ac:dyDescent="0.2">
      <c r="B25" s="367" t="s">
        <v>183</v>
      </c>
    </row>
    <row r="26" spans="2:4" ht="14.25" x14ac:dyDescent="0.2">
      <c r="B26" s="367" t="s">
        <v>184</v>
      </c>
    </row>
    <row r="27" spans="2:4" x14ac:dyDescent="0.2">
      <c r="C27" s="372" t="s">
        <v>187</v>
      </c>
    </row>
    <row r="28" spans="2:4" ht="14.25" x14ac:dyDescent="0.2">
      <c r="B28" s="368" t="s">
        <v>9</v>
      </c>
      <c r="C28" s="372" t="s">
        <v>188</v>
      </c>
    </row>
    <row r="29" spans="2:4" x14ac:dyDescent="0.2">
      <c r="C29" s="372" t="s">
        <v>189</v>
      </c>
    </row>
    <row r="30" spans="2:4" ht="14.25" x14ac:dyDescent="0.2">
      <c r="B30" s="371" t="s">
        <v>14</v>
      </c>
    </row>
    <row r="31" spans="2:4" ht="14.25" x14ac:dyDescent="0.2">
      <c r="B31" s="371" t="s">
        <v>15</v>
      </c>
    </row>
    <row r="32" spans="2:4" ht="14.25" x14ac:dyDescent="0.2">
      <c r="B32" s="371" t="s">
        <v>16</v>
      </c>
    </row>
    <row r="33" spans="2:3" ht="14.25" x14ac:dyDescent="0.2">
      <c r="B33" s="371" t="s">
        <v>17</v>
      </c>
    </row>
    <row r="34" spans="2:3" ht="14.25" x14ac:dyDescent="0.2">
      <c r="B34" s="368" t="s">
        <v>18</v>
      </c>
    </row>
    <row r="35" spans="2:3" ht="14.25" x14ac:dyDescent="0.2">
      <c r="B35" s="373" t="s">
        <v>9</v>
      </c>
      <c r="C35" s="368" t="s">
        <v>19</v>
      </c>
    </row>
    <row r="36" spans="2:3" ht="14.25" x14ac:dyDescent="0.2">
      <c r="B36" s="368"/>
      <c r="C36" s="368"/>
    </row>
    <row r="37" spans="2:3" ht="14.25" x14ac:dyDescent="0.2">
      <c r="B37" s="368"/>
      <c r="C37" s="368"/>
    </row>
    <row r="38" spans="2:3" ht="14.25" x14ac:dyDescent="0.2">
      <c r="B38" s="374" t="s">
        <v>190</v>
      </c>
      <c r="C38" s="375" t="s">
        <v>31</v>
      </c>
    </row>
    <row r="39" spans="2:3" ht="15.75" x14ac:dyDescent="0.2">
      <c r="B39" s="374" t="s">
        <v>191</v>
      </c>
      <c r="C39" s="375" t="s">
        <v>192</v>
      </c>
    </row>
    <row r="40" spans="2:3" ht="14.25" x14ac:dyDescent="0.2">
      <c r="B40" s="376" t="s">
        <v>193</v>
      </c>
      <c r="C40" s="372" t="s">
        <v>194</v>
      </c>
    </row>
    <row r="41" spans="2:3" ht="14.25" x14ac:dyDescent="0.2">
      <c r="B41" s="368"/>
      <c r="C41" s="368"/>
    </row>
    <row r="42" spans="2:3" ht="14.25" x14ac:dyDescent="0.2">
      <c r="B42" s="368"/>
      <c r="C42" s="368"/>
    </row>
    <row r="43" spans="2:3" ht="14.25" x14ac:dyDescent="0.2">
      <c r="B43" s="368"/>
      <c r="C43" s="368"/>
    </row>
    <row r="44" spans="2:3" ht="15.75" x14ac:dyDescent="0.2">
      <c r="B44" s="365" t="s">
        <v>195</v>
      </c>
    </row>
    <row r="45" spans="2:3" ht="15.75" x14ac:dyDescent="0.2">
      <c r="B45" s="365"/>
    </row>
    <row r="46" spans="2:3" ht="15.75" x14ac:dyDescent="0.2">
      <c r="B46" s="365"/>
    </row>
    <row r="47" spans="2:3" ht="15.75" x14ac:dyDescent="0.2">
      <c r="B47" s="365"/>
    </row>
    <row r="48" spans="2:3" ht="15.75" x14ac:dyDescent="0.2">
      <c r="B48" s="365"/>
    </row>
    <row r="50" spans="2:4" ht="14.25" x14ac:dyDescent="0.2">
      <c r="C50" s="368" t="s">
        <v>20</v>
      </c>
    </row>
    <row r="51" spans="2:4" ht="14.25" x14ac:dyDescent="0.2">
      <c r="D51" s="377" t="s">
        <v>21</v>
      </c>
    </row>
    <row r="52" spans="2:4" ht="14.25" x14ac:dyDescent="0.2">
      <c r="C52" s="377" t="s">
        <v>22</v>
      </c>
    </row>
    <row r="53" spans="2:4" ht="14.25" x14ac:dyDescent="0.2">
      <c r="D53" s="377" t="s">
        <v>23</v>
      </c>
    </row>
    <row r="54" spans="2:4" x14ac:dyDescent="0.2">
      <c r="C54" s="363" t="s">
        <v>24</v>
      </c>
    </row>
    <row r="55" spans="2:4" ht="14.25" x14ac:dyDescent="0.2">
      <c r="C55" s="371" t="s">
        <v>196</v>
      </c>
    </row>
    <row r="56" spans="2:4" ht="14.25" x14ac:dyDescent="0.2">
      <c r="C56" s="371" t="s">
        <v>15</v>
      </c>
    </row>
    <row r="57" spans="2:4" ht="14.25" x14ac:dyDescent="0.2">
      <c r="C57" s="371" t="s">
        <v>16</v>
      </c>
    </row>
    <row r="58" spans="2:4" ht="14.25" x14ac:dyDescent="0.2">
      <c r="C58" s="371" t="s">
        <v>17</v>
      </c>
    </row>
    <row r="59" spans="2:4" ht="14.25" x14ac:dyDescent="0.2">
      <c r="B59" s="368" t="s">
        <v>18</v>
      </c>
    </row>
    <row r="60" spans="2:4" ht="14.25" x14ac:dyDescent="0.2">
      <c r="D60" s="377" t="s">
        <v>25</v>
      </c>
    </row>
    <row r="61" spans="2:4" ht="14.25" x14ac:dyDescent="0.2">
      <c r="B61" s="368" t="s">
        <v>9</v>
      </c>
      <c r="C61" s="363" t="s">
        <v>26</v>
      </c>
    </row>
    <row r="62" spans="2:4" ht="14.25" x14ac:dyDescent="0.2">
      <c r="D62" s="368" t="s">
        <v>27</v>
      </c>
    </row>
    <row r="63" spans="2:4" ht="14.25" x14ac:dyDescent="0.2">
      <c r="D63" s="368" t="s">
        <v>28</v>
      </c>
    </row>
    <row r="64" spans="2:4" ht="14.25" x14ac:dyDescent="0.2">
      <c r="D64" s="368" t="s">
        <v>29</v>
      </c>
    </row>
    <row r="65" spans="2:4" ht="14.25" x14ac:dyDescent="0.2">
      <c r="B65" s="367" t="s">
        <v>182</v>
      </c>
    </row>
    <row r="66" spans="2:4" x14ac:dyDescent="0.2">
      <c r="B66" s="369"/>
    </row>
    <row r="67" spans="2:4" ht="14.25" x14ac:dyDescent="0.2">
      <c r="B67" s="370" t="s">
        <v>13</v>
      </c>
    </row>
    <row r="68" spans="2:4" ht="14.25" x14ac:dyDescent="0.2">
      <c r="B68" s="370" t="s">
        <v>165</v>
      </c>
    </row>
    <row r="69" spans="2:4" ht="14.25" x14ac:dyDescent="0.2">
      <c r="B69" s="378" t="s">
        <v>9</v>
      </c>
      <c r="C69" s="371" t="s">
        <v>197</v>
      </c>
    </row>
    <row r="70" spans="2:4" ht="14.25" x14ac:dyDescent="0.2">
      <c r="C70" s="370"/>
    </row>
    <row r="71" spans="2:4" ht="14.25" x14ac:dyDescent="0.2">
      <c r="C71" s="370"/>
    </row>
    <row r="72" spans="2:4" ht="14.25" x14ac:dyDescent="0.2">
      <c r="B72" s="371" t="s">
        <v>198</v>
      </c>
      <c r="C72" s="370"/>
      <c r="D72" s="369"/>
    </row>
    <row r="73" spans="2:4" ht="14.25" x14ac:dyDescent="0.2">
      <c r="B73" s="371" t="s">
        <v>199</v>
      </c>
    </row>
    <row r="74" spans="2:4" ht="14.25" x14ac:dyDescent="0.2">
      <c r="B74" s="367" t="s">
        <v>184</v>
      </c>
    </row>
    <row r="75" spans="2:4" ht="14.25" x14ac:dyDescent="0.2">
      <c r="B75" s="368" t="s">
        <v>30</v>
      </c>
    </row>
    <row r="77" spans="2:4" ht="14.25" x14ac:dyDescent="0.2">
      <c r="B77" s="379" t="s">
        <v>200</v>
      </c>
      <c r="C77" s="375" t="s">
        <v>201</v>
      </c>
    </row>
    <row r="78" spans="2:4" ht="14.25" x14ac:dyDescent="0.2">
      <c r="B78" s="379" t="s">
        <v>202</v>
      </c>
      <c r="C78" s="375" t="s">
        <v>32</v>
      </c>
    </row>
    <row r="81" spans="2:11" x14ac:dyDescent="0.2">
      <c r="B81" s="380"/>
    </row>
    <row r="83" spans="2:11" ht="15.75" x14ac:dyDescent="0.2">
      <c r="H83" s="365" t="s">
        <v>203</v>
      </c>
      <c r="I83" s="365" t="s">
        <v>204</v>
      </c>
      <c r="J83" s="369"/>
      <c r="K83" s="369"/>
    </row>
    <row r="84" spans="2:11" x14ac:dyDescent="0.2">
      <c r="H84" s="467"/>
      <c r="I84" s="381" t="s">
        <v>33</v>
      </c>
      <c r="J84" s="381" t="s">
        <v>205</v>
      </c>
      <c r="K84" s="381" t="s">
        <v>35</v>
      </c>
    </row>
    <row r="85" spans="2:11" x14ac:dyDescent="0.2">
      <c r="H85" s="467"/>
      <c r="I85" s="381" t="s">
        <v>34</v>
      </c>
      <c r="J85" s="381" t="s">
        <v>206</v>
      </c>
      <c r="K85" s="381" t="s">
        <v>36</v>
      </c>
    </row>
    <row r="86" spans="2:11" x14ac:dyDescent="0.2">
      <c r="H86" s="382" t="s">
        <v>37</v>
      </c>
      <c r="I86" s="383" t="s">
        <v>38</v>
      </c>
      <c r="J86" s="383" t="s">
        <v>207</v>
      </c>
      <c r="K86" s="383" t="s">
        <v>208</v>
      </c>
    </row>
    <row r="87" spans="2:11" x14ac:dyDescent="0.2">
      <c r="H87" s="384" t="s">
        <v>39</v>
      </c>
      <c r="I87" s="385" t="s">
        <v>40</v>
      </c>
      <c r="J87" s="385" t="s">
        <v>209</v>
      </c>
      <c r="K87" s="385" t="s">
        <v>210</v>
      </c>
    </row>
    <row r="88" spans="2:11" x14ac:dyDescent="0.2">
      <c r="H88" s="386" t="s">
        <v>211</v>
      </c>
      <c r="I88" s="387" t="s">
        <v>212</v>
      </c>
      <c r="J88" s="387" t="s">
        <v>213</v>
      </c>
      <c r="K88" s="387" t="s">
        <v>41</v>
      </c>
    </row>
    <row r="89" spans="2:11" x14ac:dyDescent="0.2">
      <c r="H89" s="388" t="s">
        <v>214</v>
      </c>
      <c r="I89" s="389" t="s">
        <v>42</v>
      </c>
      <c r="J89" s="389">
        <v>10</v>
      </c>
      <c r="K89" s="389">
        <v>14</v>
      </c>
    </row>
    <row r="90" spans="2:11" x14ac:dyDescent="0.2">
      <c r="H90" s="386" t="s">
        <v>215</v>
      </c>
      <c r="I90" s="387">
        <v>1013</v>
      </c>
      <c r="J90" s="387">
        <v>0</v>
      </c>
      <c r="K90" s="387">
        <v>0</v>
      </c>
    </row>
    <row r="91" spans="2:11" x14ac:dyDescent="0.2">
      <c r="H91" s="388" t="s">
        <v>216</v>
      </c>
      <c r="I91" s="389" t="s">
        <v>217</v>
      </c>
      <c r="J91" s="389">
        <v>24</v>
      </c>
      <c r="K91" s="389">
        <v>22</v>
      </c>
    </row>
    <row r="92" spans="2:11" x14ac:dyDescent="0.2">
      <c r="H92" s="390" t="s">
        <v>43</v>
      </c>
      <c r="I92" s="391">
        <v>25</v>
      </c>
      <c r="J92" s="391">
        <v>24</v>
      </c>
      <c r="K92" s="391">
        <v>22</v>
      </c>
    </row>
    <row r="93" spans="2:11" x14ac:dyDescent="0.2">
      <c r="H93" s="392" t="s">
        <v>44</v>
      </c>
      <c r="I93" s="393">
        <v>1824</v>
      </c>
      <c r="J93" s="393">
        <v>0</v>
      </c>
      <c r="K93" s="393">
        <v>0</v>
      </c>
    </row>
    <row r="94" spans="2:11" x14ac:dyDescent="0.2">
      <c r="H94" s="394"/>
      <c r="I94" s="387"/>
      <c r="J94" s="387"/>
      <c r="K94" s="387"/>
    </row>
    <row r="95" spans="2:11" ht="22.5" x14ac:dyDescent="0.2">
      <c r="H95" s="384" t="s">
        <v>45</v>
      </c>
      <c r="I95" s="385">
        <v>3740</v>
      </c>
      <c r="J95" s="385" t="s">
        <v>218</v>
      </c>
      <c r="K95" s="385" t="s">
        <v>219</v>
      </c>
    </row>
    <row r="96" spans="2:11" x14ac:dyDescent="0.2">
      <c r="H96" s="394"/>
      <c r="I96" s="387"/>
      <c r="J96" s="387"/>
      <c r="K96" s="387"/>
    </row>
    <row r="97" spans="7:11" x14ac:dyDescent="0.2">
      <c r="H97" s="395" t="s">
        <v>46</v>
      </c>
      <c r="I97" s="396"/>
      <c r="J97" s="396"/>
      <c r="K97" s="396"/>
    </row>
    <row r="98" spans="7:11" x14ac:dyDescent="0.2">
      <c r="H98" s="394" t="s">
        <v>220</v>
      </c>
      <c r="I98" s="397">
        <v>0.05</v>
      </c>
      <c r="J98" s="397">
        <v>5.5E-2</v>
      </c>
      <c r="K98" s="397">
        <v>0.06</v>
      </c>
    </row>
    <row r="99" spans="7:11" x14ac:dyDescent="0.2">
      <c r="H99" s="398" t="s">
        <v>47</v>
      </c>
      <c r="I99" s="389">
        <v>1737</v>
      </c>
      <c r="J99" s="389" t="s">
        <v>221</v>
      </c>
      <c r="K99" s="389">
        <v>4778</v>
      </c>
    </row>
    <row r="100" spans="7:11" x14ac:dyDescent="0.2">
      <c r="H100" s="394" t="s">
        <v>222</v>
      </c>
      <c r="I100" s="387">
        <v>87</v>
      </c>
      <c r="J100" s="387">
        <v>311</v>
      </c>
      <c r="K100" s="387">
        <v>287</v>
      </c>
    </row>
    <row r="101" spans="7:11" x14ac:dyDescent="0.2">
      <c r="H101" s="398" t="s">
        <v>48</v>
      </c>
      <c r="I101" s="389">
        <v>3740</v>
      </c>
      <c r="J101" s="389" t="s">
        <v>218</v>
      </c>
      <c r="K101" s="389" t="s">
        <v>219</v>
      </c>
    </row>
    <row r="102" spans="7:11" x14ac:dyDescent="0.2">
      <c r="H102" s="394" t="s">
        <v>223</v>
      </c>
      <c r="I102" s="387">
        <v>92</v>
      </c>
      <c r="J102" s="387" t="s">
        <v>224</v>
      </c>
      <c r="K102" s="387" t="s">
        <v>225</v>
      </c>
    </row>
    <row r="103" spans="7:11" ht="13.5" thickBot="1" x14ac:dyDescent="0.25">
      <c r="H103" s="399" t="s">
        <v>49</v>
      </c>
      <c r="I103" s="400">
        <v>5656</v>
      </c>
      <c r="J103" s="400">
        <v>4778</v>
      </c>
      <c r="K103" s="400" t="s">
        <v>226</v>
      </c>
    </row>
    <row r="104" spans="7:11" x14ac:dyDescent="0.2">
      <c r="G104" s="401" t="s">
        <v>51</v>
      </c>
      <c r="H104" s="363" t="s">
        <v>227</v>
      </c>
      <c r="J104" s="369"/>
      <c r="K104" s="369"/>
    </row>
    <row r="105" spans="7:11" x14ac:dyDescent="0.2">
      <c r="G105" s="369"/>
      <c r="H105" s="363" t="s">
        <v>228</v>
      </c>
      <c r="J105" s="369"/>
      <c r="K105" s="369"/>
    </row>
    <row r="106" spans="7:11" x14ac:dyDescent="0.2">
      <c r="G106" s="369"/>
      <c r="H106" s="363" t="s">
        <v>229</v>
      </c>
      <c r="J106" s="369"/>
      <c r="K106" s="369"/>
    </row>
    <row r="107" spans="7:11" x14ac:dyDescent="0.2">
      <c r="G107" s="369"/>
      <c r="H107" s="372" t="s">
        <v>230</v>
      </c>
      <c r="J107" s="369"/>
      <c r="K107" s="369"/>
    </row>
    <row r="113" spans="8:11" ht="15.75" x14ac:dyDescent="0.2">
      <c r="H113" s="365" t="s">
        <v>231</v>
      </c>
      <c r="I113" s="365" t="s">
        <v>232</v>
      </c>
      <c r="J113" s="369"/>
      <c r="K113" s="369"/>
    </row>
    <row r="114" spans="8:11" x14ac:dyDescent="0.2">
      <c r="H114" s="467"/>
      <c r="I114" s="381" t="s">
        <v>33</v>
      </c>
      <c r="J114" s="381" t="s">
        <v>205</v>
      </c>
      <c r="K114" s="381" t="s">
        <v>35</v>
      </c>
    </row>
    <row r="115" spans="8:11" x14ac:dyDescent="0.2">
      <c r="H115" s="467"/>
      <c r="I115" s="381" t="s">
        <v>34</v>
      </c>
      <c r="J115" s="381" t="s">
        <v>206</v>
      </c>
      <c r="K115" s="381" t="s">
        <v>36</v>
      </c>
    </row>
    <row r="116" spans="8:11" ht="22.5" x14ac:dyDescent="0.2">
      <c r="H116" s="382" t="s">
        <v>52</v>
      </c>
      <c r="I116" s="383" t="s">
        <v>53</v>
      </c>
      <c r="J116" s="383" t="s">
        <v>233</v>
      </c>
      <c r="K116" s="383" t="s">
        <v>234</v>
      </c>
    </row>
    <row r="117" spans="8:11" x14ac:dyDescent="0.2">
      <c r="H117" s="384" t="s">
        <v>54</v>
      </c>
      <c r="I117" s="385" t="s">
        <v>235</v>
      </c>
      <c r="J117" s="385" t="s">
        <v>236</v>
      </c>
      <c r="K117" s="385" t="s">
        <v>237</v>
      </c>
    </row>
    <row r="118" spans="8:11" x14ac:dyDescent="0.2">
      <c r="H118" s="386" t="s">
        <v>55</v>
      </c>
      <c r="I118" s="387" t="s">
        <v>238</v>
      </c>
      <c r="J118" s="387" t="s">
        <v>239</v>
      </c>
      <c r="K118" s="387" t="s">
        <v>56</v>
      </c>
    </row>
    <row r="119" spans="8:11" x14ac:dyDescent="0.2">
      <c r="H119" s="388" t="s">
        <v>240</v>
      </c>
      <c r="I119" s="389">
        <v>572</v>
      </c>
      <c r="J119" s="389">
        <v>734</v>
      </c>
      <c r="K119" s="389">
        <v>800</v>
      </c>
    </row>
    <row r="120" spans="8:11" x14ac:dyDescent="0.2">
      <c r="H120" s="386" t="s">
        <v>57</v>
      </c>
      <c r="I120" s="387">
        <v>121</v>
      </c>
      <c r="J120" s="387">
        <v>67</v>
      </c>
      <c r="K120" s="387">
        <v>400</v>
      </c>
    </row>
    <row r="121" spans="8:11" x14ac:dyDescent="0.2">
      <c r="H121" s="398"/>
      <c r="I121" s="389"/>
      <c r="J121" s="389"/>
      <c r="K121" s="389"/>
    </row>
    <row r="122" spans="8:11" ht="22.5" x14ac:dyDescent="0.2">
      <c r="H122" s="382" t="s">
        <v>45</v>
      </c>
      <c r="I122" s="383">
        <v>5712</v>
      </c>
      <c r="J122" s="383" t="s">
        <v>241</v>
      </c>
      <c r="K122" s="383" t="s">
        <v>242</v>
      </c>
    </row>
    <row r="123" spans="8:11" x14ac:dyDescent="0.2">
      <c r="H123" s="398"/>
      <c r="I123" s="389"/>
      <c r="J123" s="389"/>
      <c r="K123" s="389"/>
    </row>
    <row r="124" spans="8:11" x14ac:dyDescent="0.2">
      <c r="H124" s="402" t="s">
        <v>58</v>
      </c>
      <c r="I124" s="403"/>
      <c r="J124" s="403"/>
      <c r="K124" s="403"/>
    </row>
    <row r="125" spans="8:11" x14ac:dyDescent="0.2">
      <c r="H125" s="398" t="s">
        <v>243</v>
      </c>
      <c r="I125" s="404">
        <v>0.05</v>
      </c>
      <c r="J125" s="404">
        <v>5.5E-2</v>
      </c>
      <c r="K125" s="404">
        <v>0.06</v>
      </c>
    </row>
    <row r="126" spans="8:11" x14ac:dyDescent="0.2">
      <c r="H126" s="394" t="s">
        <v>47</v>
      </c>
      <c r="I126" s="387">
        <v>167</v>
      </c>
      <c r="J126" s="387" t="s">
        <v>244</v>
      </c>
      <c r="K126" s="387">
        <v>2467</v>
      </c>
    </row>
    <row r="127" spans="8:11" x14ac:dyDescent="0.2">
      <c r="H127" s="398" t="s">
        <v>222</v>
      </c>
      <c r="I127" s="389">
        <v>8</v>
      </c>
      <c r="J127" s="389">
        <v>332</v>
      </c>
      <c r="K127" s="389">
        <v>148</v>
      </c>
    </row>
    <row r="128" spans="8:11" x14ac:dyDescent="0.2">
      <c r="H128" s="394" t="s">
        <v>48</v>
      </c>
      <c r="I128" s="387">
        <v>5712</v>
      </c>
      <c r="J128" s="387" t="s">
        <v>241</v>
      </c>
      <c r="K128" s="387" t="s">
        <v>242</v>
      </c>
    </row>
    <row r="129" spans="7:11" x14ac:dyDescent="0.2">
      <c r="H129" s="398" t="s">
        <v>223</v>
      </c>
      <c r="I129" s="389">
        <v>141</v>
      </c>
      <c r="J129" s="389" t="s">
        <v>245</v>
      </c>
      <c r="K129" s="389" t="s">
        <v>246</v>
      </c>
    </row>
    <row r="130" spans="7:11" ht="13.5" thickBot="1" x14ac:dyDescent="0.25">
      <c r="H130" s="405" t="s">
        <v>49</v>
      </c>
      <c r="I130" s="406">
        <v>6028</v>
      </c>
      <c r="J130" s="406">
        <v>2467</v>
      </c>
      <c r="K130" s="406" t="s">
        <v>50</v>
      </c>
    </row>
    <row r="131" spans="7:11" x14ac:dyDescent="0.2">
      <c r="G131" s="401" t="s">
        <v>51</v>
      </c>
      <c r="H131" s="363" t="s">
        <v>247</v>
      </c>
      <c r="J131" s="369"/>
      <c r="K131" s="369"/>
    </row>
    <row r="132" spans="7:11" x14ac:dyDescent="0.2">
      <c r="H132" s="363" t="s">
        <v>248</v>
      </c>
      <c r="J132" s="369"/>
      <c r="K132" s="369"/>
    </row>
    <row r="133" spans="7:11" x14ac:dyDescent="0.2">
      <c r="H133" s="372" t="s">
        <v>249</v>
      </c>
      <c r="J133" s="369"/>
      <c r="K133" s="369"/>
    </row>
    <row r="139" spans="7:11" ht="15.75" x14ac:dyDescent="0.2">
      <c r="H139" s="365" t="s">
        <v>250</v>
      </c>
      <c r="I139" s="369"/>
      <c r="J139" s="369"/>
      <c r="K139" s="369"/>
    </row>
    <row r="140" spans="7:11" x14ac:dyDescent="0.2">
      <c r="H140" s="467"/>
      <c r="I140" s="381" t="s">
        <v>33</v>
      </c>
      <c r="J140" s="381" t="s">
        <v>205</v>
      </c>
      <c r="K140" s="381" t="s">
        <v>35</v>
      </c>
    </row>
    <row r="141" spans="7:11" x14ac:dyDescent="0.2">
      <c r="H141" s="467"/>
      <c r="I141" s="381" t="s">
        <v>34</v>
      </c>
      <c r="J141" s="381" t="s">
        <v>206</v>
      </c>
      <c r="K141" s="381" t="s">
        <v>36</v>
      </c>
    </row>
    <row r="142" spans="7:11" x14ac:dyDescent="0.2">
      <c r="H142" s="382" t="s">
        <v>59</v>
      </c>
      <c r="I142" s="383" t="s">
        <v>60</v>
      </c>
      <c r="J142" s="383" t="s">
        <v>251</v>
      </c>
      <c r="K142" s="383" t="s">
        <v>252</v>
      </c>
    </row>
    <row r="143" spans="7:11" ht="22.5" x14ac:dyDescent="0.2">
      <c r="H143" s="384" t="s">
        <v>61</v>
      </c>
      <c r="I143" s="385" t="s">
        <v>253</v>
      </c>
      <c r="J143" s="385" t="s">
        <v>254</v>
      </c>
      <c r="K143" s="385" t="s">
        <v>255</v>
      </c>
    </row>
    <row r="144" spans="7:11" x14ac:dyDescent="0.2">
      <c r="H144" s="386" t="s">
        <v>62</v>
      </c>
      <c r="I144" s="387" t="s">
        <v>63</v>
      </c>
      <c r="J144" s="387" t="s">
        <v>64</v>
      </c>
      <c r="K144" s="387" t="s">
        <v>256</v>
      </c>
    </row>
    <row r="145" spans="7:11" x14ac:dyDescent="0.2">
      <c r="H145" s="388" t="s">
        <v>65</v>
      </c>
      <c r="I145" s="389" t="s">
        <v>66</v>
      </c>
      <c r="J145" s="389">
        <v>7005</v>
      </c>
      <c r="K145" s="389" t="s">
        <v>257</v>
      </c>
    </row>
    <row r="146" spans="7:11" x14ac:dyDescent="0.2">
      <c r="H146" s="394"/>
      <c r="I146" s="387"/>
      <c r="J146" s="387"/>
      <c r="K146" s="387"/>
    </row>
    <row r="147" spans="7:11" ht="22.5" x14ac:dyDescent="0.2">
      <c r="H147" s="384" t="s">
        <v>45</v>
      </c>
      <c r="I147" s="385" t="s">
        <v>258</v>
      </c>
      <c r="J147" s="385">
        <v>2162</v>
      </c>
      <c r="K147" s="385" t="s">
        <v>259</v>
      </c>
    </row>
    <row r="148" spans="7:11" x14ac:dyDescent="0.2">
      <c r="H148" s="394"/>
      <c r="I148" s="387"/>
      <c r="J148" s="387"/>
      <c r="K148" s="387"/>
    </row>
    <row r="149" spans="7:11" ht="21" x14ac:dyDescent="0.2">
      <c r="H149" s="395" t="s">
        <v>67</v>
      </c>
      <c r="I149" s="396"/>
      <c r="J149" s="396"/>
      <c r="K149" s="396"/>
    </row>
    <row r="150" spans="7:11" x14ac:dyDescent="0.2">
      <c r="H150" s="394" t="s">
        <v>243</v>
      </c>
      <c r="I150" s="397">
        <v>0.05</v>
      </c>
      <c r="J150" s="397">
        <v>5.5E-2</v>
      </c>
      <c r="K150" s="397">
        <v>0.06</v>
      </c>
    </row>
    <row r="151" spans="7:11" x14ac:dyDescent="0.2">
      <c r="H151" s="398" t="s">
        <v>47</v>
      </c>
      <c r="I151" s="389" t="s">
        <v>260</v>
      </c>
      <c r="J151" s="389" t="s">
        <v>261</v>
      </c>
      <c r="K151" s="389">
        <v>1628</v>
      </c>
    </row>
    <row r="152" spans="7:11" x14ac:dyDescent="0.2">
      <c r="H152" s="394" t="s">
        <v>222</v>
      </c>
      <c r="I152" s="387" t="s">
        <v>262</v>
      </c>
      <c r="J152" s="387" t="s">
        <v>224</v>
      </c>
      <c r="K152" s="387">
        <v>98</v>
      </c>
    </row>
    <row r="153" spans="7:11" x14ac:dyDescent="0.2">
      <c r="H153" s="398" t="s">
        <v>48</v>
      </c>
      <c r="I153" s="389" t="s">
        <v>258</v>
      </c>
      <c r="J153" s="389">
        <v>2162</v>
      </c>
      <c r="K153" s="389" t="s">
        <v>259</v>
      </c>
    </row>
    <row r="154" spans="7:11" x14ac:dyDescent="0.2">
      <c r="H154" s="394" t="s">
        <v>223</v>
      </c>
      <c r="I154" s="387" t="s">
        <v>42</v>
      </c>
      <c r="J154" s="387">
        <v>59</v>
      </c>
      <c r="K154" s="387" t="s">
        <v>263</v>
      </c>
    </row>
    <row r="155" spans="7:11" ht="13.5" thickBot="1" x14ac:dyDescent="0.25">
      <c r="H155" s="399" t="s">
        <v>49</v>
      </c>
      <c r="I155" s="400" t="s">
        <v>264</v>
      </c>
      <c r="J155" s="400">
        <v>1628</v>
      </c>
      <c r="K155" s="400" t="s">
        <v>50</v>
      </c>
    </row>
    <row r="156" spans="7:11" x14ac:dyDescent="0.2">
      <c r="G156" s="401" t="s">
        <v>51</v>
      </c>
      <c r="H156" s="363" t="s">
        <v>265</v>
      </c>
      <c r="J156" s="369"/>
      <c r="K156" s="369"/>
    </row>
    <row r="157" spans="7:11" x14ac:dyDescent="0.2">
      <c r="H157" s="363" t="s">
        <v>248</v>
      </c>
      <c r="J157" s="369"/>
      <c r="K157" s="369"/>
    </row>
    <row r="158" spans="7:11" x14ac:dyDescent="0.2">
      <c r="H158" s="372" t="s">
        <v>266</v>
      </c>
      <c r="J158" s="369"/>
      <c r="K158" s="369"/>
    </row>
    <row r="166" spans="1:8" ht="15.75" x14ac:dyDescent="0.2">
      <c r="B166" s="362" t="s">
        <v>148</v>
      </c>
    </row>
    <row r="167" spans="1:8" ht="15.75" x14ac:dyDescent="0.2">
      <c r="B167" s="365" t="s">
        <v>149</v>
      </c>
      <c r="C167" s="365" t="s">
        <v>150</v>
      </c>
    </row>
    <row r="168" spans="1:8" ht="41.25" customHeight="1" x14ac:dyDescent="0.2">
      <c r="A168" s="366" t="s">
        <v>177</v>
      </c>
      <c r="B168" s="365"/>
      <c r="C168" s="365"/>
      <c r="H168" s="367" t="s">
        <v>1</v>
      </c>
    </row>
    <row r="170" spans="1:8" ht="27.75" customHeight="1" x14ac:dyDescent="0.2">
      <c r="A170" s="366" t="s">
        <v>178</v>
      </c>
      <c r="H170" s="367" t="s">
        <v>2</v>
      </c>
    </row>
    <row r="172" spans="1:8" ht="27" customHeight="1" x14ac:dyDescent="0.2">
      <c r="A172" s="366" t="s">
        <v>179</v>
      </c>
      <c r="H172" s="367" t="s">
        <v>2</v>
      </c>
    </row>
    <row r="175" spans="1:8" ht="14.25" x14ac:dyDescent="0.2">
      <c r="B175" s="377" t="s">
        <v>5</v>
      </c>
    </row>
    <row r="176" spans="1:8" ht="14.25" x14ac:dyDescent="0.2">
      <c r="B176" s="368" t="s">
        <v>9</v>
      </c>
      <c r="C176" s="368" t="s">
        <v>151</v>
      </c>
    </row>
    <row r="177" spans="2:5" ht="25.5" customHeight="1" x14ac:dyDescent="0.2">
      <c r="E177" s="368" t="s">
        <v>152</v>
      </c>
    </row>
    <row r="178" spans="2:5" ht="24.75" customHeight="1" x14ac:dyDescent="0.2">
      <c r="E178" s="368" t="s">
        <v>153</v>
      </c>
    </row>
    <row r="179" spans="2:5" ht="18" customHeight="1" x14ac:dyDescent="0.2">
      <c r="D179" s="368" t="s">
        <v>154</v>
      </c>
    </row>
    <row r="180" spans="2:5" ht="21.75" customHeight="1" x14ac:dyDescent="0.2">
      <c r="D180" s="368" t="s">
        <v>155</v>
      </c>
    </row>
    <row r="181" spans="2:5" ht="18" customHeight="1" x14ac:dyDescent="0.2">
      <c r="E181" s="368" t="s">
        <v>156</v>
      </c>
    </row>
    <row r="182" spans="2:5" ht="16.5" customHeight="1" x14ac:dyDescent="0.2">
      <c r="E182" s="368" t="s">
        <v>267</v>
      </c>
    </row>
    <row r="184" spans="2:5" ht="22.5" customHeight="1" x14ac:dyDescent="0.2">
      <c r="D184" s="368" t="s">
        <v>157</v>
      </c>
    </row>
    <row r="185" spans="2:5" ht="19.5" customHeight="1" x14ac:dyDescent="0.2">
      <c r="B185" s="368" t="s">
        <v>9</v>
      </c>
      <c r="C185" s="372" t="s">
        <v>268</v>
      </c>
    </row>
    <row r="186" spans="2:5" ht="14.25" x14ac:dyDescent="0.2">
      <c r="B186" s="368" t="s">
        <v>14</v>
      </c>
    </row>
    <row r="187" spans="2:5" ht="14.25" x14ac:dyDescent="0.2">
      <c r="B187" s="368" t="s">
        <v>15</v>
      </c>
    </row>
    <row r="188" spans="2:5" ht="14.25" x14ac:dyDescent="0.2">
      <c r="B188" s="368" t="s">
        <v>16</v>
      </c>
    </row>
    <row r="189" spans="2:5" ht="14.25" x14ac:dyDescent="0.2">
      <c r="B189" s="368" t="s">
        <v>17</v>
      </c>
    </row>
    <row r="190" spans="2:5" ht="14.25" x14ac:dyDescent="0.2">
      <c r="B190" s="368" t="s">
        <v>18</v>
      </c>
    </row>
    <row r="191" spans="2:5" ht="14.25" x14ac:dyDescent="0.2">
      <c r="B191" s="368" t="s">
        <v>9</v>
      </c>
      <c r="D191" s="368" t="s">
        <v>158</v>
      </c>
    </row>
    <row r="193" spans="2:5" x14ac:dyDescent="0.2">
      <c r="B193" s="380"/>
    </row>
    <row r="194" spans="2:5" ht="14.25" x14ac:dyDescent="0.2">
      <c r="B194" s="407" t="s">
        <v>269</v>
      </c>
      <c r="C194" s="372" t="s">
        <v>194</v>
      </c>
    </row>
    <row r="199" spans="2:5" ht="15.75" x14ac:dyDescent="0.2">
      <c r="B199" s="365" t="s">
        <v>159</v>
      </c>
    </row>
    <row r="201" spans="2:5" ht="14.25" x14ac:dyDescent="0.2">
      <c r="B201" s="368" t="s">
        <v>13</v>
      </c>
    </row>
    <row r="202" spans="2:5" ht="14.25" x14ac:dyDescent="0.2">
      <c r="E202" s="368" t="s">
        <v>160</v>
      </c>
    </row>
    <row r="203" spans="2:5" ht="14.25" x14ac:dyDescent="0.2">
      <c r="D203" s="368" t="s">
        <v>161</v>
      </c>
    </row>
    <row r="204" spans="2:5" ht="14.25" x14ac:dyDescent="0.2">
      <c r="B204" s="368" t="s">
        <v>9</v>
      </c>
      <c r="C204" s="372" t="s">
        <v>270</v>
      </c>
    </row>
    <row r="205" spans="2:5" ht="14.25" x14ac:dyDescent="0.2">
      <c r="B205" s="368" t="s">
        <v>271</v>
      </c>
    </row>
    <row r="206" spans="2:5" ht="14.25" x14ac:dyDescent="0.2">
      <c r="B206" s="368" t="s">
        <v>15</v>
      </c>
    </row>
    <row r="207" spans="2:5" ht="14.25" x14ac:dyDescent="0.2">
      <c r="B207" s="368" t="s">
        <v>16</v>
      </c>
    </row>
    <row r="208" spans="2:5" ht="14.25" x14ac:dyDescent="0.2">
      <c r="B208" s="368" t="s">
        <v>17</v>
      </c>
    </row>
    <row r="209" spans="2:11" ht="14.25" x14ac:dyDescent="0.2">
      <c r="B209" s="368" t="s">
        <v>18</v>
      </c>
    </row>
    <row r="210" spans="2:11" ht="14.25" x14ac:dyDescent="0.2">
      <c r="B210" s="368" t="s">
        <v>9</v>
      </c>
      <c r="D210" s="368" t="s">
        <v>158</v>
      </c>
    </row>
    <row r="211" spans="2:11" ht="14.25" x14ac:dyDescent="0.2">
      <c r="E211" s="368" t="s">
        <v>162</v>
      </c>
    </row>
    <row r="212" spans="2:11" ht="14.25" x14ac:dyDescent="0.2">
      <c r="E212" s="368" t="s">
        <v>272</v>
      </c>
    </row>
    <row r="213" spans="2:11" ht="14.25" x14ac:dyDescent="0.2">
      <c r="B213" s="368" t="s">
        <v>163</v>
      </c>
    </row>
    <row r="215" spans="2:11" ht="14.25" x14ac:dyDescent="0.2">
      <c r="B215" s="379" t="s">
        <v>273</v>
      </c>
      <c r="C215" s="375" t="s">
        <v>32</v>
      </c>
    </row>
    <row r="216" spans="2:11" x14ac:dyDescent="0.2">
      <c r="C216" s="408"/>
    </row>
    <row r="220" spans="2:11" ht="15.75" x14ac:dyDescent="0.2">
      <c r="H220" s="365" t="s">
        <v>274</v>
      </c>
      <c r="I220" s="365" t="s">
        <v>275</v>
      </c>
      <c r="J220" s="369"/>
      <c r="K220" s="369"/>
    </row>
    <row r="221" spans="2:11" x14ac:dyDescent="0.2">
      <c r="H221" s="467"/>
      <c r="I221" s="381" t="s">
        <v>33</v>
      </c>
      <c r="J221" s="381" t="s">
        <v>205</v>
      </c>
      <c r="K221" s="381" t="s">
        <v>35</v>
      </c>
    </row>
    <row r="222" spans="2:11" x14ac:dyDescent="0.2">
      <c r="H222" s="467"/>
      <c r="I222" s="381" t="s">
        <v>34</v>
      </c>
      <c r="J222" s="381" t="s">
        <v>206</v>
      </c>
      <c r="K222" s="381" t="s">
        <v>36</v>
      </c>
    </row>
    <row r="223" spans="2:11" x14ac:dyDescent="0.2">
      <c r="H223" s="382" t="s">
        <v>166</v>
      </c>
      <c r="I223" s="383" t="s">
        <v>276</v>
      </c>
      <c r="J223" s="383" t="s">
        <v>277</v>
      </c>
      <c r="K223" s="383" t="s">
        <v>278</v>
      </c>
    </row>
    <row r="224" spans="2:11" x14ac:dyDescent="0.2">
      <c r="H224" s="384" t="s">
        <v>167</v>
      </c>
      <c r="I224" s="385" t="s">
        <v>279</v>
      </c>
      <c r="J224" s="385" t="s">
        <v>280</v>
      </c>
      <c r="K224" s="385" t="s">
        <v>281</v>
      </c>
    </row>
    <row r="225" spans="7:11" x14ac:dyDescent="0.2">
      <c r="H225" s="386" t="s">
        <v>282</v>
      </c>
      <c r="I225" s="387" t="s">
        <v>283</v>
      </c>
      <c r="J225" s="387" t="s">
        <v>284</v>
      </c>
      <c r="K225" s="387" t="s">
        <v>285</v>
      </c>
    </row>
    <row r="226" spans="7:11" ht="22.5" x14ac:dyDescent="0.2">
      <c r="H226" s="388" t="s">
        <v>286</v>
      </c>
      <c r="I226" s="389" t="s">
        <v>168</v>
      </c>
      <c r="J226" s="389">
        <v>10</v>
      </c>
      <c r="K226" s="389">
        <v>14</v>
      </c>
    </row>
    <row r="227" spans="7:11" x14ac:dyDescent="0.2">
      <c r="H227" s="394"/>
      <c r="I227" s="387"/>
      <c r="J227" s="387"/>
      <c r="K227" s="387"/>
    </row>
    <row r="228" spans="7:11" ht="22.5" x14ac:dyDescent="0.2">
      <c r="H228" s="384" t="s">
        <v>45</v>
      </c>
      <c r="I228" s="385" t="s">
        <v>287</v>
      </c>
      <c r="J228" s="385" t="s">
        <v>288</v>
      </c>
      <c r="K228" s="385" t="s">
        <v>289</v>
      </c>
    </row>
    <row r="229" spans="7:11" x14ac:dyDescent="0.2">
      <c r="H229" s="394"/>
      <c r="I229" s="387"/>
      <c r="J229" s="387"/>
      <c r="K229" s="387"/>
    </row>
    <row r="230" spans="7:11" x14ac:dyDescent="0.2">
      <c r="H230" s="395" t="s">
        <v>169</v>
      </c>
      <c r="I230" s="396"/>
      <c r="J230" s="396"/>
      <c r="K230" s="396"/>
    </row>
    <row r="231" spans="7:11" x14ac:dyDescent="0.2">
      <c r="H231" s="394" t="s">
        <v>220</v>
      </c>
      <c r="I231" s="397">
        <v>0.05</v>
      </c>
      <c r="J231" s="397">
        <v>5.5E-2</v>
      </c>
      <c r="K231" s="397">
        <v>0.06</v>
      </c>
    </row>
    <row r="232" spans="7:11" x14ac:dyDescent="0.2">
      <c r="H232" s="398" t="s">
        <v>47</v>
      </c>
      <c r="I232" s="389" t="s">
        <v>263</v>
      </c>
      <c r="J232" s="389" t="s">
        <v>290</v>
      </c>
      <c r="K232" s="389" t="s">
        <v>291</v>
      </c>
    </row>
    <row r="233" spans="7:11" x14ac:dyDescent="0.2">
      <c r="H233" s="394" t="s">
        <v>222</v>
      </c>
      <c r="I233" s="387" t="s">
        <v>262</v>
      </c>
      <c r="J233" s="387">
        <v>58</v>
      </c>
      <c r="K233" s="387">
        <v>65</v>
      </c>
    </row>
    <row r="234" spans="7:11" x14ac:dyDescent="0.2">
      <c r="H234" s="398" t="s">
        <v>48</v>
      </c>
      <c r="I234" s="389" t="s">
        <v>287</v>
      </c>
      <c r="J234" s="389" t="s">
        <v>288</v>
      </c>
      <c r="K234" s="389" t="s">
        <v>292</v>
      </c>
    </row>
    <row r="235" spans="7:11" x14ac:dyDescent="0.2">
      <c r="H235" s="394" t="s">
        <v>223</v>
      </c>
      <c r="I235" s="387">
        <v>27</v>
      </c>
      <c r="J235" s="387" t="s">
        <v>293</v>
      </c>
      <c r="K235" s="387" t="s">
        <v>288</v>
      </c>
    </row>
    <row r="236" spans="7:11" ht="13.5" thickBot="1" x14ac:dyDescent="0.25">
      <c r="H236" s="399" t="s">
        <v>49</v>
      </c>
      <c r="I236" s="400" t="s">
        <v>294</v>
      </c>
      <c r="J236" s="400" t="s">
        <v>291</v>
      </c>
      <c r="K236" s="400" t="s">
        <v>50</v>
      </c>
    </row>
    <row r="237" spans="7:11" x14ac:dyDescent="0.2">
      <c r="G237" s="401" t="s">
        <v>51</v>
      </c>
      <c r="H237" s="363" t="s">
        <v>295</v>
      </c>
      <c r="J237" s="369"/>
      <c r="K237" s="369"/>
    </row>
    <row r="238" spans="7:11" x14ac:dyDescent="0.2">
      <c r="H238" s="363" t="s">
        <v>248</v>
      </c>
      <c r="J238" s="369"/>
      <c r="K238" s="369"/>
    </row>
    <row r="239" spans="7:11" x14ac:dyDescent="0.2">
      <c r="H239" s="372" t="s">
        <v>296</v>
      </c>
      <c r="J239" s="369"/>
      <c r="K239" s="369"/>
    </row>
  </sheetData>
  <mergeCells count="4">
    <mergeCell ref="H84:H85"/>
    <mergeCell ref="H114:H115"/>
    <mergeCell ref="H140:H141"/>
    <mergeCell ref="H221:H222"/>
  </mergeCells>
  <pageMargins left="0.7" right="0.7" top="0.75" bottom="0.75" header="0.3" footer="0.3"/>
  <drawing r:id="rId1"/>
  <legacyDrawing r:id="rId2"/>
  <oleObjects>
    <mc:AlternateContent xmlns:mc="http://schemas.openxmlformats.org/markup-compatibility/2006">
      <mc:Choice Requires="x14">
        <oleObject progId="Equation.3" shapeId="1078" r:id="rId3">
          <objectPr defaultSize="0" autoPict="0" r:id="rId4">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3"/>
      </mc:Fallback>
    </mc:AlternateContent>
    <mc:AlternateContent xmlns:mc="http://schemas.openxmlformats.org/markup-compatibility/2006">
      <mc:Choice Requires="x14">
        <oleObject progId="Equation.3" shapeId="1079" r:id="rId5">
          <objectPr defaultSize="0" autoPict="0" r:id="rId6">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5"/>
      </mc:Fallback>
    </mc:AlternateContent>
    <mc:AlternateContent xmlns:mc="http://schemas.openxmlformats.org/markup-compatibility/2006">
      <mc:Choice Requires="x14">
        <oleObject progId="Equation.3" shapeId="1080" r:id="rId7">
          <objectPr defaultSize="0" autoPict="0" r:id="rId8">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7"/>
      </mc:Fallback>
    </mc:AlternateContent>
    <mc:AlternateContent xmlns:mc="http://schemas.openxmlformats.org/markup-compatibility/2006">
      <mc:Choice Requires="x14">
        <oleObject progId="Equation.3" shapeId="1081" r:id="rId9">
          <objectPr defaultSize="0" autoPict="0" r:id="rId10">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9"/>
      </mc:Fallback>
    </mc:AlternateContent>
    <mc:AlternateContent xmlns:mc="http://schemas.openxmlformats.org/markup-compatibility/2006">
      <mc:Choice Requires="x14">
        <oleObject progId="Equation.3" shapeId="1082" r:id="rId11">
          <objectPr defaultSize="0" autoPict="0" r:id="rId12">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1"/>
      </mc:Fallback>
    </mc:AlternateContent>
    <mc:AlternateContent xmlns:mc="http://schemas.openxmlformats.org/markup-compatibility/2006">
      <mc:Choice Requires="x14">
        <oleObject progId="Equation.3" shapeId="1083" r:id="rId13">
          <objectPr defaultSize="0" autoPict="0" r:id="rId14">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3"/>
      </mc:Fallback>
    </mc:AlternateContent>
    <mc:AlternateContent xmlns:mc="http://schemas.openxmlformats.org/markup-compatibility/2006">
      <mc:Choice Requires="x14">
        <oleObject progId="Equation.3" shapeId="1084" r:id="rId15">
          <objectPr defaultSize="0" autoPict="0" r:id="rId16">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5"/>
      </mc:Fallback>
    </mc:AlternateContent>
    <mc:AlternateContent xmlns:mc="http://schemas.openxmlformats.org/markup-compatibility/2006">
      <mc:Choice Requires="x14">
        <oleObject progId="Equation.3" shapeId="1085" r:id="rId17">
          <objectPr defaultSize="0" autoPict="0" r:id="rId18">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7"/>
      </mc:Fallback>
    </mc:AlternateContent>
    <mc:AlternateContent xmlns:mc="http://schemas.openxmlformats.org/markup-compatibility/2006">
      <mc:Choice Requires="x14">
        <oleObject progId="Equation.3" shapeId="1086" r:id="rId19">
          <objectPr defaultSize="0" autoPict="0" r:id="rId20">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19"/>
      </mc:Fallback>
    </mc:AlternateContent>
    <mc:AlternateContent xmlns:mc="http://schemas.openxmlformats.org/markup-compatibility/2006">
      <mc:Choice Requires="x14">
        <oleObject progId="Equation.3" shapeId="1087" r:id="rId21">
          <objectPr defaultSize="0" autoPict="0" r:id="rId22">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1"/>
      </mc:Fallback>
    </mc:AlternateContent>
    <mc:AlternateContent xmlns:mc="http://schemas.openxmlformats.org/markup-compatibility/2006">
      <mc:Choice Requires="x14">
        <oleObject progId="Equation.3" shapeId="1088" r:id="rId23">
          <objectPr defaultSize="0" autoPict="0" r:id="rId24">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3"/>
      </mc:Fallback>
    </mc:AlternateContent>
    <mc:AlternateContent xmlns:mc="http://schemas.openxmlformats.org/markup-compatibility/2006">
      <mc:Choice Requires="x14">
        <oleObject progId="Equation.3" shapeId="1089" r:id="rId25">
          <objectPr defaultSize="0" autoPict="0" r:id="rId26">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5"/>
      </mc:Fallback>
    </mc:AlternateContent>
    <mc:AlternateContent xmlns:mc="http://schemas.openxmlformats.org/markup-compatibility/2006">
      <mc:Choice Requires="x14">
        <oleObject progId="Equation.3" shapeId="1090" r:id="rId27">
          <objectPr defaultSize="0" autoPict="0" r:id="rId28">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7"/>
      </mc:Fallback>
    </mc:AlternateContent>
    <mc:AlternateContent xmlns:mc="http://schemas.openxmlformats.org/markup-compatibility/2006">
      <mc:Choice Requires="x14">
        <oleObject progId="Equation.3" shapeId="1091" r:id="rId29">
          <objectPr defaultSize="0" autoPict="0" r:id="rId30">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29"/>
      </mc:Fallback>
    </mc:AlternateContent>
    <mc:AlternateContent xmlns:mc="http://schemas.openxmlformats.org/markup-compatibility/2006">
      <mc:Choice Requires="x14">
        <oleObject progId="Equation.3" shapeId="1092" r:id="rId31">
          <objectPr defaultSize="0" autoPict="0" r:id="rId32">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1"/>
      </mc:Fallback>
    </mc:AlternateContent>
    <mc:AlternateContent xmlns:mc="http://schemas.openxmlformats.org/markup-compatibility/2006">
      <mc:Choice Requires="x14">
        <oleObject progId="Equation.3" shapeId="1093" r:id="rId33">
          <objectPr defaultSize="0" autoPict="0" r:id="rId34">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3"/>
      </mc:Fallback>
    </mc:AlternateContent>
    <mc:AlternateContent xmlns:mc="http://schemas.openxmlformats.org/markup-compatibility/2006">
      <mc:Choice Requires="x14">
        <oleObject progId="Equation.3" shapeId="1094" r:id="rId35">
          <objectPr defaultSize="0" autoPict="0" r:id="rId36">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5"/>
      </mc:Fallback>
    </mc:AlternateContent>
    <mc:AlternateContent xmlns:mc="http://schemas.openxmlformats.org/markup-compatibility/2006">
      <mc:Choice Requires="x14">
        <oleObject progId="Equation.3" shapeId="1095" r:id="rId37">
          <objectPr defaultSize="0" autoPict="0" r:id="rId38">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7"/>
      </mc:Fallback>
    </mc:AlternateContent>
    <mc:AlternateContent xmlns:mc="http://schemas.openxmlformats.org/markup-compatibility/2006">
      <mc:Choice Requires="x14">
        <oleObject progId="Equation.3" shapeId="1096" r:id="rId39">
          <objectPr defaultSize="0" autoPict="0" r:id="rId40">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39"/>
      </mc:Fallback>
    </mc:AlternateContent>
    <mc:AlternateContent xmlns:mc="http://schemas.openxmlformats.org/markup-compatibility/2006">
      <mc:Choice Requires="x14">
        <oleObject progId="Equation.3" shapeId="1097" r:id="rId41">
          <objectPr defaultSize="0" autoPict="0" r:id="rId42">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1"/>
      </mc:Fallback>
    </mc:AlternateContent>
    <mc:AlternateContent xmlns:mc="http://schemas.openxmlformats.org/markup-compatibility/2006">
      <mc:Choice Requires="x14">
        <oleObject progId="Equation.3" shapeId="1098" r:id="rId43">
          <objectPr defaultSize="0" autoPict="0" r:id="rId44">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3"/>
      </mc:Fallback>
    </mc:AlternateContent>
    <mc:AlternateContent xmlns:mc="http://schemas.openxmlformats.org/markup-compatibility/2006">
      <mc:Choice Requires="x14">
        <oleObject progId="Equation.3" shapeId="1099" r:id="rId45">
          <objectPr defaultSize="0" autoPict="0" r:id="rId46">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5"/>
      </mc:Fallback>
    </mc:AlternateContent>
    <mc:AlternateContent xmlns:mc="http://schemas.openxmlformats.org/markup-compatibility/2006">
      <mc:Choice Requires="x14">
        <oleObject progId="Equation.3" shapeId="1100" r:id="rId47">
          <objectPr defaultSize="0" autoPict="0" r:id="rId48">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7"/>
      </mc:Fallback>
    </mc:AlternateContent>
    <mc:AlternateContent xmlns:mc="http://schemas.openxmlformats.org/markup-compatibility/2006">
      <mc:Choice Requires="x14">
        <oleObject progId="Equation.3" shapeId="1101" r:id="rId49">
          <objectPr defaultSize="0" autoPict="0" r:id="rId50">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49"/>
      </mc:Fallback>
    </mc:AlternateContent>
    <mc:AlternateContent xmlns:mc="http://schemas.openxmlformats.org/markup-compatibility/2006">
      <mc:Choice Requires="x14">
        <oleObject progId="Equation.3" shapeId="1102" r:id="rId51">
          <objectPr defaultSize="0" autoPict="0" r:id="rId24">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1"/>
      </mc:Fallback>
    </mc:AlternateContent>
    <mc:AlternateContent xmlns:mc="http://schemas.openxmlformats.org/markup-compatibility/2006">
      <mc:Choice Requires="x14">
        <oleObject progId="Equation.3" shapeId="1103" r:id="rId52">
          <objectPr defaultSize="0" autoPict="0" r:id="rId53">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2"/>
      </mc:Fallback>
    </mc:AlternateContent>
    <mc:AlternateContent xmlns:mc="http://schemas.openxmlformats.org/markup-compatibility/2006">
      <mc:Choice Requires="x14">
        <oleObject progId="Equation.3" shapeId="1104" r:id="rId54">
          <objectPr defaultSize="0" autoPict="0" r:id="rId55">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4"/>
      </mc:Fallback>
    </mc:AlternateContent>
    <mc:AlternateContent xmlns:mc="http://schemas.openxmlformats.org/markup-compatibility/2006">
      <mc:Choice Requires="x14">
        <oleObject progId="Equation.3" shapeId="1105" r:id="rId56">
          <objectPr defaultSize="0" autoPict="0" r:id="rId57">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6"/>
      </mc:Fallback>
    </mc:AlternateContent>
    <mc:AlternateContent xmlns:mc="http://schemas.openxmlformats.org/markup-compatibility/2006">
      <mc:Choice Requires="x14">
        <oleObject progId="Equation.3" shapeId="1106" r:id="rId58">
          <objectPr defaultSize="0" autoPict="0" r:id="rId59">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8"/>
      </mc:Fallback>
    </mc:AlternateContent>
    <mc:AlternateContent xmlns:mc="http://schemas.openxmlformats.org/markup-compatibility/2006">
      <mc:Choice Requires="x14">
        <oleObject progId="Equation.3" shapeId="1107" r:id="rId60">
          <objectPr defaultSize="0" autoPict="0" r:id="rId61">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0"/>
      </mc:Fallback>
    </mc:AlternateContent>
    <mc:AlternateContent xmlns:mc="http://schemas.openxmlformats.org/markup-compatibility/2006">
      <mc:Choice Requires="x14">
        <oleObject progId="Equation.3" shapeId="1108" r:id="rId62">
          <objectPr defaultSize="0" autoPict="0" r:id="rId63">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2"/>
      </mc:Fallback>
    </mc:AlternateContent>
    <mc:AlternateContent xmlns:mc="http://schemas.openxmlformats.org/markup-compatibility/2006">
      <mc:Choice Requires="x14">
        <oleObject progId="Equation.3" shapeId="1109" r:id="rId64">
          <objectPr defaultSize="0" autoPict="0" r:id="rId12">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4"/>
      </mc:Fallback>
    </mc:AlternateContent>
    <mc:AlternateContent xmlns:mc="http://schemas.openxmlformats.org/markup-compatibility/2006">
      <mc:Choice Requires="x14">
        <oleObject progId="Equation.3" shapeId="1110" r:id="rId65">
          <objectPr defaultSize="0" autoPict="0" r:id="rId14">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5"/>
      </mc:Fallback>
    </mc:AlternateContent>
    <mc:AlternateContent xmlns:mc="http://schemas.openxmlformats.org/markup-compatibility/2006">
      <mc:Choice Requires="x14">
        <oleObject progId="Equation.3" shapeId="1111" r:id="rId66">
          <objectPr defaultSize="0" autoPict="0" r:id="rId67">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6"/>
      </mc:Fallback>
    </mc:AlternateContent>
    <mc:AlternateContent xmlns:mc="http://schemas.openxmlformats.org/markup-compatibility/2006">
      <mc:Choice Requires="x14">
        <oleObject progId="Equation.3" shapeId="1112" r:id="rId68">
          <objectPr defaultSize="0" autoPict="0" r:id="rId69">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8"/>
      </mc:Fallback>
    </mc:AlternateContent>
    <mc:AlternateContent xmlns:mc="http://schemas.openxmlformats.org/markup-compatibility/2006">
      <mc:Choice Requires="x14">
        <oleObject progId="Equation.3" shapeId="1113" r:id="rId70">
          <objectPr defaultSize="0" autoPict="0" r:id="rId20">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0"/>
      </mc:Fallback>
    </mc:AlternateContent>
    <mc:AlternateContent xmlns:mc="http://schemas.openxmlformats.org/markup-compatibility/2006">
      <mc:Choice Requires="x14">
        <oleObject progId="Equation.3" shapeId="1114" r:id="rId71">
          <objectPr defaultSize="0" autoPict="0" r:id="rId22">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1"/>
      </mc:Fallback>
    </mc:AlternateContent>
    <mc:AlternateContent xmlns:mc="http://schemas.openxmlformats.org/markup-compatibility/2006">
      <mc:Choice Requires="x14">
        <oleObject progId="Equation.3" shapeId="1115" r:id="rId72">
          <objectPr defaultSize="0" autoPict="0" r:id="rId73">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2"/>
      </mc:Fallback>
    </mc:AlternateContent>
    <mc:AlternateContent xmlns:mc="http://schemas.openxmlformats.org/markup-compatibility/2006">
      <mc:Choice Requires="x14">
        <oleObject progId="Equation.3" shapeId="1116" r:id="rId74">
          <objectPr defaultSize="0" autoPict="0" r:id="rId30">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4"/>
      </mc:Fallback>
    </mc:AlternateContent>
    <mc:AlternateContent xmlns:mc="http://schemas.openxmlformats.org/markup-compatibility/2006">
      <mc:Choice Requires="x14">
        <oleObject progId="Equation.3" shapeId="1117" r:id="rId75">
          <objectPr defaultSize="0" autoPict="0" r:id="rId55">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5"/>
      </mc:Fallback>
    </mc:AlternateContent>
    <mc:AlternateContent xmlns:mc="http://schemas.openxmlformats.org/markup-compatibility/2006">
      <mc:Choice Requires="x14">
        <oleObject progId="Equation.3" shapeId="1118" r:id="rId76">
          <objectPr defaultSize="0" autoPict="0" r:id="rId77">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6"/>
      </mc:Fallback>
    </mc:AlternateContent>
    <mc:AlternateContent xmlns:mc="http://schemas.openxmlformats.org/markup-compatibility/2006">
      <mc:Choice Requires="x14">
        <oleObject progId="Equation.3" shapeId="1119" r:id="rId78">
          <objectPr defaultSize="0" autoPict="0" r:id="rId79">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8"/>
      </mc:Fallback>
    </mc:AlternateContent>
    <mc:AlternateContent xmlns:mc="http://schemas.openxmlformats.org/markup-compatibility/2006">
      <mc:Choice Requires="x14">
        <oleObject progId="Equation.3" shapeId="1120" r:id="rId80">
          <objectPr defaultSize="0" autoPict="0" r:id="rId81">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0"/>
      </mc:Fallback>
    </mc:AlternateContent>
    <mc:AlternateContent xmlns:mc="http://schemas.openxmlformats.org/markup-compatibility/2006">
      <mc:Choice Requires="x14">
        <oleObject progId="Equation.3" shapeId="1121" r:id="rId82">
          <objectPr defaultSize="0" autoPict="0" r:id="rId30">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2"/>
      </mc:Fallback>
    </mc:AlternateContent>
    <mc:AlternateContent xmlns:mc="http://schemas.openxmlformats.org/markup-compatibility/2006">
      <mc:Choice Requires="x14">
        <oleObject progId="Equation.3" shapeId="1122" r:id="rId83">
          <objectPr defaultSize="0" autoPict="0" r:id="rId55">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3"/>
      </mc:Fallback>
    </mc:AlternateContent>
    <mc:AlternateContent xmlns:mc="http://schemas.openxmlformats.org/markup-compatibility/2006">
      <mc:Choice Requires="x14">
        <oleObject progId="Equation.3" shapeId="1123" r:id="rId84">
          <objectPr defaultSize="0" autoPict="0" r:id="rId85">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4"/>
      </mc:Fallback>
    </mc:AlternateContent>
    <mc:AlternateContent xmlns:mc="http://schemas.openxmlformats.org/markup-compatibility/2006">
      <mc:Choice Requires="x14">
        <oleObject progId="Equation.3" shapeId="1124" r:id="rId86">
          <objectPr defaultSize="0" autoPict="0" r:id="rId87">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6"/>
      </mc:Fallback>
    </mc:AlternateContent>
    <mc:AlternateContent xmlns:mc="http://schemas.openxmlformats.org/markup-compatibility/2006">
      <mc:Choice Requires="x14">
        <oleObject progId="Equation.3" shapeId="1125" r:id="rId88">
          <objectPr defaultSize="0" autoPict="0" r:id="rId89">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8"/>
      </mc:Fallback>
    </mc:AlternateContent>
    <mc:AlternateContent xmlns:mc="http://schemas.openxmlformats.org/markup-compatibility/2006">
      <mc:Choice Requires="x14">
        <oleObject progId="Equation.3" shapeId="1126" r:id="rId90">
          <objectPr defaultSize="0" autoPict="0" r:id="rId91">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0"/>
      </mc:Fallback>
    </mc:AlternateContent>
    <mc:AlternateContent xmlns:mc="http://schemas.openxmlformats.org/markup-compatibility/2006">
      <mc:Choice Requires="x14">
        <oleObject progId="Equation.3" shapeId="1127" r:id="rId92">
          <objectPr defaultSize="0" autoPict="0" r:id="rId93">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2"/>
      </mc:Fallback>
    </mc:AlternateContent>
    <mc:AlternateContent xmlns:mc="http://schemas.openxmlformats.org/markup-compatibility/2006">
      <mc:Choice Requires="x14">
        <oleObject progId="Equation.3" shapeId="1128" r:id="rId94">
          <objectPr defaultSize="0" autoPict="0" r:id="rId95">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4"/>
      </mc:Fallback>
    </mc:AlternateContent>
    <mc:AlternateContent xmlns:mc="http://schemas.openxmlformats.org/markup-compatibility/2006">
      <mc:Choice Requires="x14">
        <oleObject progId="Equation.3" shapeId="1129" r:id="rId96">
          <objectPr defaultSize="0" autoPict="0" r:id="rId97">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H4:H39"/>
  <sheetViews>
    <sheetView workbookViewId="0">
      <selection activeCell="I5" sqref="I5:I6"/>
    </sheetView>
  </sheetViews>
  <sheetFormatPr defaultRowHeight="12.75" x14ac:dyDescent="0.2"/>
  <sheetData>
    <row r="4" spans="8:8" x14ac:dyDescent="0.2">
      <c r="H4" t="s">
        <v>304</v>
      </c>
    </row>
    <row r="10" spans="8:8" x14ac:dyDescent="0.2">
      <c r="H10" t="s">
        <v>303</v>
      </c>
    </row>
    <row r="16" spans="8:8" x14ac:dyDescent="0.2">
      <c r="H16" t="s">
        <v>305</v>
      </c>
    </row>
    <row r="25" spans="8:8" x14ac:dyDescent="0.2">
      <c r="H25" t="s">
        <v>306</v>
      </c>
    </row>
    <row r="29" spans="8:8" x14ac:dyDescent="0.2">
      <c r="H29" t="s">
        <v>307</v>
      </c>
    </row>
    <row r="30" spans="8:8" x14ac:dyDescent="0.2">
      <c r="H30" t="s">
        <v>308</v>
      </c>
    </row>
    <row r="33" spans="8:8" x14ac:dyDescent="0.2">
      <c r="H33" t="s">
        <v>309</v>
      </c>
    </row>
    <row r="39" spans="8:8" x14ac:dyDescent="0.2">
      <c r="H39" t="s">
        <v>310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N274"/>
  <sheetViews>
    <sheetView showGridLines="0" zoomScale="85" zoomScaleNormal="85" workbookViewId="0">
      <selection activeCell="Q15" sqref="Q15"/>
    </sheetView>
  </sheetViews>
  <sheetFormatPr defaultRowHeight="12.75" x14ac:dyDescent="0.2"/>
  <cols>
    <col min="1" max="1" width="30.28515625" style="129" customWidth="1"/>
    <col min="2" max="2" width="14.28515625" style="129" customWidth="1"/>
    <col min="3" max="3" width="12.85546875" style="129" customWidth="1"/>
    <col min="4" max="8" width="13.5703125" style="129" customWidth="1"/>
    <col min="9" max="9" width="12" style="129" bestFit="1" customWidth="1"/>
    <col min="10" max="10" width="9.7109375" style="129" customWidth="1"/>
    <col min="11" max="11" width="9.140625" style="129"/>
    <col min="12" max="14" width="11.85546875" style="129" customWidth="1"/>
    <col min="15" max="16384" width="9.140625" style="129"/>
  </cols>
  <sheetData>
    <row r="1" spans="1:10" x14ac:dyDescent="0.2">
      <c r="A1" s="128"/>
    </row>
    <row r="2" spans="1:10" x14ac:dyDescent="0.2">
      <c r="A2" s="128"/>
      <c r="G2" s="228"/>
    </row>
    <row r="3" spans="1:10" x14ac:dyDescent="0.2">
      <c r="A3" s="130" t="s">
        <v>68</v>
      </c>
      <c r="C3" s="131" t="s">
        <v>662</v>
      </c>
    </row>
    <row r="5" spans="1:10" x14ac:dyDescent="0.2">
      <c r="A5" s="129" t="s">
        <v>69</v>
      </c>
      <c r="C5" s="132">
        <v>2021</v>
      </c>
    </row>
    <row r="7" spans="1:10" x14ac:dyDescent="0.2">
      <c r="A7" s="129" t="s">
        <v>70</v>
      </c>
      <c r="B7" s="129" t="s">
        <v>71</v>
      </c>
      <c r="C7" s="129">
        <f>C5</f>
        <v>2021</v>
      </c>
    </row>
    <row r="8" spans="1:10" x14ac:dyDescent="0.2">
      <c r="A8" s="129" t="s">
        <v>72</v>
      </c>
      <c r="B8" s="129" t="s">
        <v>71</v>
      </c>
      <c r="C8" s="129">
        <f t="shared" ref="C8:C11" si="0">C7-1</f>
        <v>2020</v>
      </c>
    </row>
    <row r="9" spans="1:10" x14ac:dyDescent="0.2">
      <c r="A9" s="129" t="s">
        <v>73</v>
      </c>
      <c r="B9" s="129" t="s">
        <v>71</v>
      </c>
      <c r="C9" s="129">
        <f t="shared" si="0"/>
        <v>2019</v>
      </c>
    </row>
    <row r="10" spans="1:10" x14ac:dyDescent="0.2">
      <c r="A10" s="129" t="s">
        <v>74</v>
      </c>
      <c r="B10" s="129" t="s">
        <v>71</v>
      </c>
      <c r="C10" s="129">
        <f t="shared" si="0"/>
        <v>2018</v>
      </c>
    </row>
    <row r="11" spans="1:10" x14ac:dyDescent="0.2">
      <c r="A11" s="129" t="s">
        <v>86</v>
      </c>
      <c r="B11" s="129" t="s">
        <v>71</v>
      </c>
      <c r="C11" s="129">
        <f t="shared" si="0"/>
        <v>2017</v>
      </c>
    </row>
    <row r="13" spans="1:10" x14ac:dyDescent="0.2">
      <c r="A13" s="129" t="s">
        <v>75</v>
      </c>
    </row>
    <row r="14" spans="1:10" ht="13.5" thickBot="1" x14ac:dyDescent="0.25"/>
    <row r="15" spans="1:10" ht="24" customHeight="1" x14ac:dyDescent="0.2">
      <c r="A15" s="85" t="s">
        <v>76</v>
      </c>
      <c r="B15" s="91" t="s">
        <v>77</v>
      </c>
      <c r="C15" s="91"/>
      <c r="D15" s="91"/>
      <c r="E15" s="91"/>
      <c r="F15" s="91"/>
      <c r="G15" s="86"/>
    </row>
    <row r="16" spans="1:10" x14ac:dyDescent="0.2">
      <c r="A16" s="133" t="s">
        <v>78</v>
      </c>
      <c r="B16" s="134"/>
      <c r="C16" s="135">
        <v>99.8</v>
      </c>
      <c r="D16" s="92"/>
      <c r="G16" s="88"/>
      <c r="J16" s="136"/>
    </row>
    <row r="17" spans="1:10" x14ac:dyDescent="0.2">
      <c r="A17" s="137" t="s">
        <v>79</v>
      </c>
      <c r="B17" s="92"/>
      <c r="C17" s="138">
        <v>101.8</v>
      </c>
      <c r="E17" s="139" t="s">
        <v>103</v>
      </c>
      <c r="F17" s="140">
        <f>C17/C16-1</f>
        <v>2.0040080160320661E-2</v>
      </c>
      <c r="G17" s="88"/>
      <c r="J17" s="49"/>
    </row>
    <row r="18" spans="1:10" x14ac:dyDescent="0.2">
      <c r="A18" s="137" t="s">
        <v>80</v>
      </c>
      <c r="B18" s="92"/>
      <c r="C18" s="141">
        <v>104</v>
      </c>
      <c r="E18" s="142" t="s">
        <v>104</v>
      </c>
      <c r="F18" s="143">
        <f>C18/C17-1</f>
        <v>2.16110019646365E-2</v>
      </c>
      <c r="G18" s="88"/>
      <c r="J18" s="136"/>
    </row>
    <row r="19" spans="1:10" x14ac:dyDescent="0.2">
      <c r="A19" s="137" t="s">
        <v>81</v>
      </c>
      <c r="B19" s="144"/>
      <c r="C19" s="141">
        <v>106.4</v>
      </c>
      <c r="E19" s="142" t="s">
        <v>105</v>
      </c>
      <c r="F19" s="143">
        <f>C19/C18-1</f>
        <v>2.3076923076923217E-2</v>
      </c>
      <c r="G19" s="88"/>
    </row>
    <row r="20" spans="1:10" x14ac:dyDescent="0.2">
      <c r="A20" s="137" t="s">
        <v>82</v>
      </c>
      <c r="B20" s="144"/>
      <c r="C20" s="141">
        <v>108</v>
      </c>
      <c r="E20" s="142" t="s">
        <v>106</v>
      </c>
      <c r="F20" s="143">
        <f>C20/C19-1</f>
        <v>1.5037593984962294E-2</v>
      </c>
      <c r="G20" s="88"/>
    </row>
    <row r="21" spans="1:10" x14ac:dyDescent="0.2">
      <c r="A21" s="137" t="s">
        <v>102</v>
      </c>
      <c r="B21" s="144"/>
      <c r="C21" s="145">
        <v>107.5</v>
      </c>
      <c r="E21" s="142"/>
      <c r="F21" s="146"/>
      <c r="G21" s="88"/>
    </row>
    <row r="22" spans="1:10" x14ac:dyDescent="0.2">
      <c r="A22" s="137" t="s">
        <v>101</v>
      </c>
      <c r="B22" s="144"/>
      <c r="C22" s="141">
        <v>108.6</v>
      </c>
      <c r="E22" s="142" t="s">
        <v>107</v>
      </c>
      <c r="F22" s="143">
        <f>IF(OR(C21="",C22=""),0,C22/C21-1)</f>
        <v>1.0232558139534831E-2</v>
      </c>
      <c r="G22" s="88"/>
    </row>
    <row r="23" spans="1:10" x14ac:dyDescent="0.2">
      <c r="A23" s="137" t="s">
        <v>100</v>
      </c>
      <c r="B23" s="144"/>
      <c r="C23" s="141">
        <v>110.7</v>
      </c>
      <c r="E23" s="142" t="s">
        <v>108</v>
      </c>
      <c r="F23" s="143">
        <f t="shared" ref="F23:F25" si="1">IF(OR(C22="",C23=""),0,C23/C22-1)</f>
        <v>1.9337016574585641E-2</v>
      </c>
      <c r="G23" s="88"/>
    </row>
    <row r="24" spans="1:10" x14ac:dyDescent="0.2">
      <c r="A24" s="137" t="s">
        <v>99</v>
      </c>
      <c r="B24" s="144"/>
      <c r="C24" s="141">
        <v>113</v>
      </c>
      <c r="E24" s="142" t="s">
        <v>109</v>
      </c>
      <c r="F24" s="143">
        <f t="shared" si="1"/>
        <v>2.0776874435411097E-2</v>
      </c>
      <c r="G24" s="88"/>
    </row>
    <row r="25" spans="1:10" x14ac:dyDescent="0.2">
      <c r="A25" s="137" t="s">
        <v>98</v>
      </c>
      <c r="B25" s="92"/>
      <c r="C25" s="141">
        <v>114.8</v>
      </c>
      <c r="E25" s="142" t="s">
        <v>110</v>
      </c>
      <c r="F25" s="143">
        <f t="shared" si="1"/>
        <v>1.5929203539823078E-2</v>
      </c>
      <c r="G25" s="88"/>
    </row>
    <row r="26" spans="1:10" x14ac:dyDescent="0.2">
      <c r="A26" s="147" t="s">
        <v>352</v>
      </c>
      <c r="B26" s="409"/>
      <c r="C26" s="141">
        <v>114.4</v>
      </c>
      <c r="E26" s="148" t="s">
        <v>353</v>
      </c>
      <c r="F26" s="149">
        <f t="shared" ref="F26" si="2">IF(OR(C25="",C26=""),0,C26/C25-1)</f>
        <v>-3.4843205574912606E-3</v>
      </c>
      <c r="G26" s="88"/>
    </row>
    <row r="27" spans="1:10" x14ac:dyDescent="0.2">
      <c r="A27" s="87"/>
      <c r="B27" s="92"/>
      <c r="C27" s="150"/>
      <c r="D27" s="92"/>
      <c r="G27" s="88"/>
    </row>
    <row r="28" spans="1:10" x14ac:dyDescent="0.2">
      <c r="A28" s="87" t="str">
        <f>"CPI " &amp;$C$9</f>
        <v>CPI 2019</v>
      </c>
      <c r="B28" s="92"/>
      <c r="C28" s="151">
        <f>VLOOKUP(A28,E$17:F$25,2,FALSE)</f>
        <v>2.0776874435411097E-2</v>
      </c>
      <c r="D28" s="152" t="s">
        <v>171</v>
      </c>
      <c r="G28" s="88"/>
    </row>
    <row r="29" spans="1:10" x14ac:dyDescent="0.2">
      <c r="A29" s="87" t="str">
        <f>"CPI " &amp;$C$8</f>
        <v>CPI 2020</v>
      </c>
      <c r="B29" s="92"/>
      <c r="C29" s="151">
        <f t="shared" ref="C29" si="3">VLOOKUP(A29,E$17:F$25,2,FALSE)</f>
        <v>1.5929203539823078E-2</v>
      </c>
      <c r="D29" s="152" t="s">
        <v>170</v>
      </c>
      <c r="G29" s="88"/>
    </row>
    <row r="30" spans="1:10" x14ac:dyDescent="0.2">
      <c r="A30" s="87" t="str">
        <f>"CPI " &amp;$C$5</f>
        <v>CPI 2021</v>
      </c>
      <c r="B30" s="92"/>
      <c r="C30" s="151">
        <f>VLOOKUP(A30,E$17:F$26,2,FALSE)</f>
        <v>-3.4843205574912606E-3</v>
      </c>
      <c r="D30" s="156" t="s">
        <v>185</v>
      </c>
      <c r="G30" s="88"/>
    </row>
    <row r="31" spans="1:10" ht="13.5" thickBot="1" x14ac:dyDescent="0.25">
      <c r="A31" s="89"/>
      <c r="B31" s="93"/>
      <c r="C31" s="93"/>
      <c r="D31" s="93"/>
      <c r="E31" s="93"/>
      <c r="F31" s="93"/>
      <c r="G31" s="90"/>
    </row>
    <row r="33" spans="1:4" ht="13.5" thickBot="1" x14ac:dyDescent="0.25"/>
    <row r="34" spans="1:4" x14ac:dyDescent="0.2">
      <c r="A34" s="435"/>
      <c r="B34" s="436"/>
      <c r="C34" s="436"/>
      <c r="D34" s="437"/>
    </row>
    <row r="35" spans="1:4" x14ac:dyDescent="0.2">
      <c r="A35" s="442" t="s">
        <v>420</v>
      </c>
      <c r="B35" s="443"/>
      <c r="C35" s="446">
        <v>-1.1926767169156999E-3</v>
      </c>
      <c r="D35" s="438"/>
    </row>
    <row r="36" spans="1:4" ht="13.5" thickBot="1" x14ac:dyDescent="0.25">
      <c r="A36" s="439"/>
      <c r="B36" s="440"/>
      <c r="C36" s="440"/>
      <c r="D36" s="441"/>
    </row>
    <row r="40" spans="1:4" x14ac:dyDescent="0.2">
      <c r="A40" s="345"/>
    </row>
    <row r="175" spans="1:14" s="153" customFormat="1" x14ac:dyDescent="0.2">
      <c r="A175" s="129"/>
      <c r="B175" s="129"/>
      <c r="C175" s="129"/>
      <c r="D175" s="129"/>
      <c r="E175" s="129"/>
      <c r="F175" s="129"/>
      <c r="G175" s="129"/>
      <c r="H175" s="129"/>
      <c r="I175" s="129"/>
      <c r="J175" s="129"/>
      <c r="K175" s="129"/>
      <c r="L175" s="129"/>
      <c r="M175" s="129"/>
      <c r="N175" s="129"/>
    </row>
    <row r="176" spans="1:14" s="153" customFormat="1" x14ac:dyDescent="0.2">
      <c r="A176" s="129"/>
      <c r="B176" s="129"/>
      <c r="C176" s="129"/>
      <c r="D176" s="129"/>
      <c r="E176" s="129"/>
      <c r="F176" s="129"/>
      <c r="G176" s="129"/>
      <c r="H176" s="129"/>
      <c r="I176" s="129"/>
      <c r="J176" s="129"/>
      <c r="K176" s="129"/>
      <c r="L176" s="129"/>
      <c r="M176" s="129"/>
      <c r="N176" s="129"/>
    </row>
    <row r="177" spans="1:14" s="153" customFormat="1" x14ac:dyDescent="0.2">
      <c r="A177" s="129"/>
      <c r="B177" s="129"/>
      <c r="C177" s="129"/>
      <c r="D177" s="129"/>
      <c r="E177" s="129"/>
      <c r="F177" s="129"/>
      <c r="G177" s="129"/>
      <c r="H177" s="129"/>
      <c r="I177" s="129"/>
      <c r="J177" s="129"/>
      <c r="K177" s="129"/>
      <c r="L177" s="129"/>
      <c r="M177" s="129"/>
      <c r="N177" s="129"/>
    </row>
    <row r="178" spans="1:14" s="153" customFormat="1" x14ac:dyDescent="0.2">
      <c r="A178" s="129"/>
      <c r="B178" s="129"/>
      <c r="C178" s="129"/>
      <c r="D178" s="129"/>
      <c r="E178" s="129"/>
      <c r="F178" s="129"/>
      <c r="G178" s="129"/>
      <c r="H178" s="129"/>
      <c r="I178" s="129"/>
      <c r="J178" s="129"/>
      <c r="K178" s="129"/>
      <c r="L178" s="129"/>
      <c r="M178" s="129"/>
      <c r="N178" s="129"/>
    </row>
    <row r="179" spans="1:14" s="153" customFormat="1" x14ac:dyDescent="0.2">
      <c r="A179" s="129"/>
      <c r="B179" s="129"/>
      <c r="C179" s="129"/>
      <c r="D179" s="129"/>
      <c r="E179" s="129"/>
      <c r="F179" s="129"/>
      <c r="G179" s="129"/>
      <c r="H179" s="129"/>
      <c r="I179" s="129"/>
      <c r="J179" s="129"/>
      <c r="K179" s="129"/>
      <c r="L179" s="129"/>
      <c r="M179" s="129"/>
      <c r="N179" s="129"/>
    </row>
    <row r="180" spans="1:14" s="153" customFormat="1" x14ac:dyDescent="0.2">
      <c r="A180" s="129"/>
      <c r="B180" s="129"/>
      <c r="C180" s="129"/>
      <c r="D180" s="129"/>
      <c r="E180" s="129"/>
      <c r="F180" s="129"/>
      <c r="G180" s="129"/>
      <c r="H180" s="129"/>
      <c r="I180" s="129"/>
      <c r="J180" s="129"/>
      <c r="K180" s="129"/>
      <c r="L180" s="129"/>
      <c r="M180" s="129"/>
      <c r="N180" s="129"/>
    </row>
    <row r="181" spans="1:14" s="153" customFormat="1" x14ac:dyDescent="0.2">
      <c r="A181" s="129"/>
      <c r="B181" s="129"/>
      <c r="C181" s="129"/>
      <c r="D181" s="129"/>
      <c r="E181" s="129"/>
      <c r="F181" s="129"/>
      <c r="G181" s="129"/>
      <c r="H181" s="129"/>
      <c r="I181" s="129"/>
      <c r="J181" s="129"/>
      <c r="K181" s="129"/>
      <c r="L181" s="129"/>
      <c r="M181" s="129"/>
      <c r="N181" s="129"/>
    </row>
    <row r="182" spans="1:14" s="153" customFormat="1" x14ac:dyDescent="0.2">
      <c r="A182" s="129"/>
      <c r="B182" s="129"/>
      <c r="C182" s="129"/>
      <c r="D182" s="129"/>
      <c r="E182" s="129"/>
      <c r="F182" s="129"/>
      <c r="G182" s="129"/>
      <c r="H182" s="129"/>
      <c r="I182" s="129"/>
      <c r="J182" s="129"/>
      <c r="K182" s="129"/>
      <c r="L182" s="129"/>
      <c r="M182" s="129"/>
      <c r="N182" s="129"/>
    </row>
    <row r="183" spans="1:14" s="153" customFormat="1" x14ac:dyDescent="0.2">
      <c r="A183" s="129"/>
      <c r="B183" s="129"/>
      <c r="C183" s="129"/>
      <c r="D183" s="129"/>
      <c r="E183" s="129"/>
      <c r="F183" s="129"/>
      <c r="G183" s="129"/>
      <c r="H183" s="129"/>
      <c r="I183" s="129"/>
      <c r="J183" s="129"/>
      <c r="K183" s="129"/>
      <c r="L183" s="129"/>
      <c r="M183" s="129"/>
      <c r="N183" s="129"/>
    </row>
    <row r="194" spans="1:14" s="154" customFormat="1" x14ac:dyDescent="0.2">
      <c r="A194" s="129"/>
      <c r="B194" s="129"/>
      <c r="C194" s="129"/>
      <c r="D194" s="129"/>
      <c r="E194" s="129"/>
      <c r="F194" s="129"/>
      <c r="G194" s="129"/>
      <c r="H194" s="129"/>
      <c r="I194" s="129"/>
      <c r="J194" s="129"/>
      <c r="K194" s="129"/>
      <c r="L194" s="129"/>
      <c r="M194" s="129"/>
      <c r="N194" s="129"/>
    </row>
    <row r="249" spans="1:14" s="153" customFormat="1" x14ac:dyDescent="0.2">
      <c r="A249" s="129"/>
      <c r="B249" s="129"/>
      <c r="C249" s="129"/>
      <c r="D249" s="129"/>
      <c r="E249" s="129"/>
      <c r="F249" s="129"/>
      <c r="G249" s="129"/>
      <c r="H249" s="129"/>
      <c r="I249" s="129"/>
      <c r="J249" s="129"/>
      <c r="K249" s="129"/>
      <c r="L249" s="129"/>
      <c r="M249" s="129"/>
      <c r="N249" s="129"/>
    </row>
    <row r="250" spans="1:14" s="153" customFormat="1" x14ac:dyDescent="0.2">
      <c r="A250" s="129"/>
      <c r="B250" s="129"/>
      <c r="C250" s="129"/>
      <c r="D250" s="129"/>
      <c r="E250" s="129"/>
      <c r="F250" s="129"/>
      <c r="G250" s="129"/>
      <c r="H250" s="129"/>
      <c r="I250" s="129"/>
      <c r="J250" s="129"/>
      <c r="K250" s="129"/>
      <c r="L250" s="129"/>
      <c r="M250" s="129"/>
      <c r="N250" s="129"/>
    </row>
    <row r="251" spans="1:14" s="153" customFormat="1" x14ac:dyDescent="0.2">
      <c r="A251" s="129"/>
      <c r="B251" s="129"/>
      <c r="C251" s="129"/>
      <c r="D251" s="129"/>
      <c r="E251" s="129"/>
      <c r="F251" s="129"/>
      <c r="G251" s="129"/>
      <c r="H251" s="129"/>
      <c r="I251" s="129"/>
      <c r="J251" s="129"/>
      <c r="K251" s="129"/>
      <c r="L251" s="129"/>
      <c r="M251" s="129"/>
      <c r="N251" s="129"/>
    </row>
    <row r="252" spans="1:14" s="153" customFormat="1" x14ac:dyDescent="0.2">
      <c r="A252" s="129"/>
      <c r="B252" s="129"/>
      <c r="C252" s="129"/>
      <c r="D252" s="129"/>
      <c r="E252" s="129"/>
      <c r="F252" s="129"/>
      <c r="G252" s="129"/>
      <c r="H252" s="129"/>
      <c r="I252" s="129"/>
      <c r="J252" s="129"/>
      <c r="K252" s="129"/>
      <c r="L252" s="129"/>
      <c r="M252" s="129"/>
      <c r="N252" s="129"/>
    </row>
    <row r="253" spans="1:14" s="153" customFormat="1" x14ac:dyDescent="0.2">
      <c r="A253" s="129"/>
      <c r="B253" s="129"/>
      <c r="C253" s="129"/>
      <c r="D253" s="129"/>
      <c r="E253" s="129"/>
      <c r="F253" s="129"/>
      <c r="G253" s="129"/>
      <c r="H253" s="129"/>
      <c r="I253" s="129"/>
      <c r="J253" s="129"/>
      <c r="K253" s="129"/>
      <c r="L253" s="129"/>
      <c r="M253" s="129"/>
      <c r="N253" s="129"/>
    </row>
    <row r="254" spans="1:14" s="153" customFormat="1" x14ac:dyDescent="0.2">
      <c r="A254" s="129"/>
      <c r="B254" s="129"/>
      <c r="C254" s="129"/>
      <c r="D254" s="129"/>
      <c r="E254" s="129"/>
      <c r="F254" s="129"/>
      <c r="G254" s="129"/>
      <c r="H254" s="129"/>
      <c r="I254" s="129"/>
      <c r="J254" s="129"/>
      <c r="K254" s="129"/>
      <c r="L254" s="129"/>
      <c r="M254" s="129"/>
      <c r="N254" s="129"/>
    </row>
    <row r="255" spans="1:14" s="153" customFormat="1" x14ac:dyDescent="0.2">
      <c r="A255" s="129"/>
      <c r="B255" s="129"/>
      <c r="C255" s="129"/>
      <c r="D255" s="129"/>
      <c r="E255" s="129"/>
      <c r="F255" s="129"/>
      <c r="G255" s="129"/>
      <c r="H255" s="129"/>
      <c r="I255" s="129"/>
      <c r="J255" s="129"/>
      <c r="K255" s="129"/>
      <c r="L255" s="129"/>
      <c r="M255" s="129"/>
      <c r="N255" s="129"/>
    </row>
    <row r="256" spans="1:14" s="153" customFormat="1" x14ac:dyDescent="0.2">
      <c r="A256" s="129"/>
      <c r="B256" s="129"/>
      <c r="C256" s="129"/>
      <c r="D256" s="129"/>
      <c r="E256" s="129"/>
      <c r="F256" s="129"/>
      <c r="G256" s="129"/>
      <c r="H256" s="129"/>
      <c r="I256" s="129"/>
      <c r="J256" s="129"/>
      <c r="K256" s="129"/>
      <c r="L256" s="129"/>
      <c r="M256" s="129"/>
      <c r="N256" s="129"/>
    </row>
    <row r="257" spans="1:14" s="153" customFormat="1" x14ac:dyDescent="0.2">
      <c r="A257" s="129"/>
      <c r="B257" s="129"/>
      <c r="C257" s="129"/>
      <c r="D257" s="129"/>
      <c r="E257" s="129"/>
      <c r="F257" s="129"/>
      <c r="G257" s="129"/>
      <c r="H257" s="129"/>
      <c r="I257" s="129"/>
      <c r="J257" s="129"/>
      <c r="K257" s="129"/>
      <c r="L257" s="129"/>
      <c r="M257" s="129"/>
      <c r="N257" s="129"/>
    </row>
    <row r="258" spans="1:14" s="153" customFormat="1" x14ac:dyDescent="0.2">
      <c r="A258" s="129"/>
      <c r="B258" s="129"/>
      <c r="C258" s="129"/>
      <c r="D258" s="129"/>
      <c r="E258" s="129"/>
      <c r="F258" s="129"/>
      <c r="G258" s="129"/>
      <c r="H258" s="129"/>
      <c r="I258" s="129"/>
      <c r="J258" s="129"/>
      <c r="K258" s="129"/>
      <c r="L258" s="129"/>
      <c r="M258" s="129"/>
      <c r="N258" s="129"/>
    </row>
    <row r="259" spans="1:14" s="153" customFormat="1" x14ac:dyDescent="0.2">
      <c r="A259" s="129"/>
      <c r="B259" s="129"/>
      <c r="C259" s="129"/>
      <c r="D259" s="129"/>
      <c r="E259" s="129"/>
      <c r="F259" s="129"/>
      <c r="G259" s="129"/>
      <c r="H259" s="129"/>
      <c r="I259" s="129"/>
      <c r="J259" s="129"/>
      <c r="K259" s="129"/>
      <c r="L259" s="129"/>
      <c r="M259" s="129"/>
      <c r="N259" s="129"/>
    </row>
    <row r="260" spans="1:14" s="153" customFormat="1" x14ac:dyDescent="0.2">
      <c r="A260" s="129"/>
      <c r="B260" s="129"/>
      <c r="C260" s="129"/>
      <c r="D260" s="129"/>
      <c r="E260" s="129"/>
      <c r="F260" s="129"/>
      <c r="G260" s="129"/>
      <c r="H260" s="129"/>
      <c r="I260" s="129"/>
      <c r="J260" s="129"/>
      <c r="K260" s="129"/>
      <c r="L260" s="129"/>
      <c r="M260" s="129"/>
      <c r="N260" s="129"/>
    </row>
    <row r="261" spans="1:14" s="153" customFormat="1" x14ac:dyDescent="0.2">
      <c r="A261" s="129"/>
      <c r="B261" s="129"/>
      <c r="C261" s="129"/>
      <c r="D261" s="129"/>
      <c r="E261" s="129"/>
      <c r="F261" s="129"/>
      <c r="G261" s="129"/>
      <c r="H261" s="129"/>
      <c r="I261" s="129"/>
      <c r="J261" s="129"/>
      <c r="K261" s="129"/>
      <c r="L261" s="129"/>
      <c r="M261" s="129"/>
      <c r="N261" s="129"/>
    </row>
    <row r="262" spans="1:14" s="153" customFormat="1" x14ac:dyDescent="0.2">
      <c r="A262" s="129"/>
      <c r="B262" s="129"/>
      <c r="C262" s="129"/>
      <c r="D262" s="129"/>
      <c r="E262" s="129"/>
      <c r="F262" s="129"/>
      <c r="G262" s="129"/>
      <c r="H262" s="129"/>
      <c r="I262" s="129"/>
      <c r="J262" s="129"/>
      <c r="K262" s="129"/>
      <c r="L262" s="129"/>
      <c r="M262" s="129"/>
      <c r="N262" s="129"/>
    </row>
    <row r="274" spans="1:14" s="57" customFormat="1" x14ac:dyDescent="0.2">
      <c r="A274" s="129"/>
      <c r="B274" s="129"/>
      <c r="C274" s="129"/>
      <c r="D274" s="129"/>
      <c r="E274" s="129"/>
      <c r="F274" s="129"/>
      <c r="G274" s="129"/>
      <c r="H274" s="129"/>
      <c r="I274" s="129"/>
      <c r="J274" s="129"/>
      <c r="K274" s="129"/>
      <c r="L274" s="129"/>
      <c r="M274" s="129"/>
      <c r="N274" s="129"/>
    </row>
  </sheetData>
  <pageMargins left="0.74803149606299213" right="0.74803149606299213" top="0.98425196850393704" bottom="0.98425196850393704" header="0.51181102362204722" footer="0.51181102362204722"/>
  <pageSetup paperSize="9" scale="48"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00FF"/>
  </sheetPr>
  <dimension ref="A1:V92"/>
  <sheetViews>
    <sheetView tabSelected="1" zoomScale="85" zoomScaleNormal="85" workbookViewId="0">
      <selection activeCell="M33" sqref="M33"/>
    </sheetView>
  </sheetViews>
  <sheetFormatPr defaultRowHeight="12.75" x14ac:dyDescent="0.2"/>
  <cols>
    <col min="1" max="1" width="1.85546875" style="72" customWidth="1"/>
    <col min="2" max="2" width="37.28515625" style="72" customWidth="1"/>
    <col min="3" max="3" width="33.42578125" style="72" customWidth="1"/>
    <col min="4" max="4" width="22" style="72" customWidth="1"/>
    <col min="5" max="6" width="20" style="72" customWidth="1"/>
    <col min="7" max="7" width="2.28515625" style="72" customWidth="1"/>
    <col min="8" max="8" width="19.42578125" style="72" customWidth="1"/>
    <col min="9" max="9" width="20.28515625" style="72" customWidth="1"/>
    <col min="10" max="10" width="2.28515625" style="72" customWidth="1"/>
    <col min="11" max="11" width="14.7109375" style="72" customWidth="1"/>
    <col min="12" max="12" width="16.140625" style="72" customWidth="1"/>
    <col min="13" max="16384" width="9.140625" style="72"/>
  </cols>
  <sheetData>
    <row r="1" spans="1:18" s="57" customFormat="1" ht="15" x14ac:dyDescent="0.25">
      <c r="A1" s="100"/>
      <c r="B1" s="56" t="str">
        <f>"Tariff Approval - "&amp;'Model update'!C3</f>
        <v>Tariff Approval - CitiPower</v>
      </c>
      <c r="C1" s="56"/>
      <c r="D1" s="100"/>
      <c r="E1" s="100"/>
      <c r="F1" s="100"/>
      <c r="G1" s="100"/>
      <c r="H1" s="100"/>
      <c r="I1" s="56"/>
      <c r="J1" s="100"/>
      <c r="K1" s="100"/>
      <c r="L1" s="100"/>
      <c r="M1" s="59"/>
      <c r="N1" s="59"/>
      <c r="O1" s="59"/>
      <c r="P1" s="59"/>
      <c r="Q1" s="59"/>
      <c r="R1" s="59"/>
    </row>
    <row r="2" spans="1:18" s="57" customFormat="1" x14ac:dyDescent="0.2">
      <c r="A2" s="100"/>
      <c r="B2" s="100"/>
      <c r="C2" s="100"/>
      <c r="D2" s="121"/>
      <c r="E2" s="100"/>
      <c r="F2" s="100"/>
      <c r="G2" s="100"/>
      <c r="H2" s="121"/>
      <c r="I2" s="100"/>
      <c r="J2" s="100"/>
      <c r="K2" s="100"/>
      <c r="L2" s="100"/>
      <c r="M2" s="59"/>
      <c r="N2" s="59"/>
      <c r="O2" s="59"/>
      <c r="P2" s="59"/>
      <c r="Q2" s="59"/>
      <c r="R2" s="59"/>
    </row>
    <row r="3" spans="1:18" s="57" customFormat="1" x14ac:dyDescent="0.2">
      <c r="A3" s="100"/>
      <c r="B3" s="58" t="str">
        <f>"PROPOSED "&amp;'Model update'!$C$5&amp;" METERING TARIFFS AND REVENUE"</f>
        <v>PROPOSED 2021 METERING TARIFFS AND REVENUE</v>
      </c>
      <c r="C3" s="58"/>
      <c r="D3" s="121"/>
      <c r="E3" s="100"/>
      <c r="F3" s="100"/>
      <c r="G3" s="100"/>
      <c r="H3" s="100"/>
      <c r="I3" s="58"/>
      <c r="J3" s="100"/>
      <c r="K3" s="100"/>
      <c r="L3" s="100"/>
      <c r="M3" s="59"/>
      <c r="N3" s="59"/>
      <c r="O3" s="59"/>
      <c r="P3" s="59"/>
      <c r="Q3" s="59"/>
      <c r="R3" s="59"/>
    </row>
    <row r="4" spans="1:18" s="57" customFormat="1" ht="15.75" thickBot="1" x14ac:dyDescent="0.3">
      <c r="A4" s="100"/>
      <c r="B4" s="56"/>
      <c r="C4" s="56"/>
      <c r="D4" s="100"/>
      <c r="E4" s="100"/>
      <c r="F4" s="100"/>
      <c r="G4" s="100"/>
      <c r="H4" s="100"/>
      <c r="I4" s="56"/>
      <c r="J4" s="100"/>
      <c r="K4" s="100"/>
      <c r="L4" s="100"/>
      <c r="M4" s="59"/>
      <c r="N4" s="59"/>
      <c r="O4" s="59"/>
      <c r="P4" s="59"/>
      <c r="Q4" s="59"/>
      <c r="R4" s="59"/>
    </row>
    <row r="5" spans="1:18" s="57" customFormat="1" ht="26.25" thickBot="1" x14ac:dyDescent="0.25">
      <c r="A5" s="59"/>
      <c r="B5" s="59"/>
      <c r="C5" s="59"/>
      <c r="D5" s="60" t="str">
        <f>"Proposed Metering Tariffs P(t) for " &amp;'Model update'!$C$5</f>
        <v>Proposed Metering Tariffs P(t) for 2021</v>
      </c>
      <c r="E5" s="60" t="str">
        <f>"Current Metering Tariffs P(t-1) for" &amp;'Model update'!$C$8</f>
        <v>Current Metering Tariffs P(t-1) for2020</v>
      </c>
      <c r="F5" s="60" t="str">
        <f>"Forecast Quantities   (Qt) for "&amp;'Model update'!$C$5</f>
        <v>Forecast Quantities   (Qt) for 2021</v>
      </c>
      <c r="G5" s="61"/>
      <c r="H5" s="60" t="str">
        <f>"Forecast Revenue (Pt "&amp;'Model update'!$C$5&amp;")*(Qt " &amp;'Model update'!$C$5&amp;")"</f>
        <v>Forecast Revenue (Pt 2021)*(Qt 2021)</v>
      </c>
      <c r="I5" s="60" t="str">
        <f>"Revenue                    (Pt-1 "&amp;'Model update'!$C$8&amp;")*(Qt " &amp;'Model update'!$C$5&amp;")"</f>
        <v>Revenue                    (Pt-1 2020)*(Qt 2021)</v>
      </c>
      <c r="J5" s="61"/>
      <c r="K5" s="161" t="s">
        <v>116</v>
      </c>
      <c r="L5" s="162" t="s">
        <v>176</v>
      </c>
      <c r="M5" s="59"/>
      <c r="N5" s="59"/>
      <c r="O5" s="59"/>
      <c r="P5" s="59"/>
      <c r="Q5" s="59"/>
      <c r="R5" s="59"/>
    </row>
    <row r="6" spans="1:18" s="57" customFormat="1" ht="25.5" x14ac:dyDescent="0.2">
      <c r="A6" s="59"/>
      <c r="B6" s="62" t="s">
        <v>87</v>
      </c>
      <c r="C6" s="63" t="s">
        <v>88</v>
      </c>
      <c r="D6" s="64" t="s">
        <v>145</v>
      </c>
      <c r="E6" s="64" t="s">
        <v>146</v>
      </c>
      <c r="F6" s="64" t="s">
        <v>147</v>
      </c>
      <c r="G6" s="61"/>
      <c r="H6" s="64" t="s">
        <v>92</v>
      </c>
      <c r="I6" s="64" t="s">
        <v>94</v>
      </c>
      <c r="J6" s="61"/>
      <c r="K6" s="163"/>
      <c r="L6" s="163"/>
      <c r="M6" s="59"/>
      <c r="N6" s="59"/>
      <c r="O6" s="59"/>
      <c r="P6" s="59"/>
      <c r="Q6" s="59"/>
      <c r="R6" s="59"/>
    </row>
    <row r="7" spans="1:18" s="57" customFormat="1" x14ac:dyDescent="0.2">
      <c r="A7" s="59"/>
      <c r="B7" s="65"/>
      <c r="C7" s="66"/>
      <c r="D7" s="122"/>
      <c r="E7" s="122"/>
      <c r="F7" s="67"/>
      <c r="G7" s="61"/>
      <c r="H7" s="157"/>
      <c r="I7" s="158"/>
      <c r="J7" s="61"/>
      <c r="K7" s="164"/>
      <c r="L7" s="165"/>
      <c r="M7" s="59"/>
      <c r="N7" s="59"/>
      <c r="O7" s="59"/>
      <c r="P7" s="59"/>
      <c r="Q7" s="59"/>
      <c r="R7" s="59"/>
    </row>
    <row r="8" spans="1:18" s="57" customFormat="1" x14ac:dyDescent="0.2">
      <c r="A8" s="59"/>
      <c r="B8" s="65" t="s">
        <v>425</v>
      </c>
      <c r="C8" s="66" t="s">
        <v>425</v>
      </c>
      <c r="D8" s="308">
        <v>32.9</v>
      </c>
      <c r="E8" s="123">
        <v>71.3</v>
      </c>
      <c r="F8" s="309">
        <v>257610.64458104502</v>
      </c>
      <c r="G8" s="61"/>
      <c r="H8" s="157">
        <f t="shared" ref="H8:H16" si="0">D8*F8</f>
        <v>8475390.206716381</v>
      </c>
      <c r="I8" s="157">
        <f t="shared" ref="I8:I16" si="1">E8*F8</f>
        <v>18367638.958628509</v>
      </c>
      <c r="J8" s="61"/>
      <c r="K8" s="166">
        <f>IFERROR(H8/I8,"")</f>
        <v>0.46143057503506313</v>
      </c>
      <c r="L8" s="167" t="str">
        <f t="shared" ref="L8:L16" si="2">IF(B8="","",IF(K8&lt;$I$30,"COMPLIANT","BREACHED"))</f>
        <v>COMPLIANT</v>
      </c>
      <c r="M8" s="59"/>
      <c r="N8" s="59"/>
      <c r="O8" s="59"/>
      <c r="P8" s="59"/>
      <c r="Q8" s="59"/>
      <c r="R8" s="59"/>
    </row>
    <row r="9" spans="1:18" s="57" customFormat="1" x14ac:dyDescent="0.2">
      <c r="A9" s="59"/>
      <c r="B9" s="65" t="s">
        <v>426</v>
      </c>
      <c r="C9" s="66" t="s">
        <v>426</v>
      </c>
      <c r="D9" s="308">
        <v>40.1</v>
      </c>
      <c r="E9" s="123">
        <v>88.1</v>
      </c>
      <c r="F9" s="309">
        <v>64253.335411455169</v>
      </c>
      <c r="G9" s="61"/>
      <c r="H9" s="157">
        <f t="shared" si="0"/>
        <v>2576558.7499993523</v>
      </c>
      <c r="I9" s="157">
        <f t="shared" si="1"/>
        <v>5660718.8497492</v>
      </c>
      <c r="J9" s="61"/>
      <c r="K9" s="166">
        <f t="shared" ref="K9:K16" si="3">IFERROR(H9/I9,"")</f>
        <v>0.45516458569807039</v>
      </c>
      <c r="L9" s="167" t="str">
        <f t="shared" si="2"/>
        <v>COMPLIANT</v>
      </c>
      <c r="M9" s="59"/>
      <c r="N9" s="59"/>
      <c r="O9" s="59"/>
      <c r="P9" s="59"/>
      <c r="Q9" s="59"/>
      <c r="R9" s="59"/>
    </row>
    <row r="10" spans="1:18" s="57" customFormat="1" x14ac:dyDescent="0.2">
      <c r="A10" s="59"/>
      <c r="B10" s="65" t="s">
        <v>427</v>
      </c>
      <c r="C10" s="66" t="s">
        <v>427</v>
      </c>
      <c r="D10" s="308">
        <v>51.8</v>
      </c>
      <c r="E10" s="123">
        <v>110.8</v>
      </c>
      <c r="F10" s="309">
        <v>3254.1026638934604</v>
      </c>
      <c r="G10" s="61"/>
      <c r="H10" s="157">
        <f t="shared" si="0"/>
        <v>168562.51798968125</v>
      </c>
      <c r="I10" s="157">
        <f t="shared" si="1"/>
        <v>360554.5751593954</v>
      </c>
      <c r="J10" s="61"/>
      <c r="K10" s="166">
        <f t="shared" si="3"/>
        <v>0.46750902527075811</v>
      </c>
      <c r="L10" s="167" t="str">
        <f t="shared" si="2"/>
        <v>COMPLIANT</v>
      </c>
      <c r="M10" s="59"/>
      <c r="N10" s="59"/>
      <c r="O10" s="59"/>
      <c r="P10" s="59"/>
      <c r="Q10" s="59"/>
      <c r="R10" s="59"/>
    </row>
    <row r="11" spans="1:18" s="57" customFormat="1" x14ac:dyDescent="0.2">
      <c r="A11" s="59"/>
      <c r="B11" s="65"/>
      <c r="C11" s="66"/>
      <c r="D11" s="308"/>
      <c r="E11" s="123"/>
      <c r="F11" s="309"/>
      <c r="G11" s="61"/>
      <c r="H11" s="157">
        <f t="shared" si="0"/>
        <v>0</v>
      </c>
      <c r="I11" s="157">
        <f t="shared" si="1"/>
        <v>0</v>
      </c>
      <c r="J11" s="61"/>
      <c r="K11" s="166" t="str">
        <f t="shared" si="3"/>
        <v/>
      </c>
      <c r="L11" s="167" t="str">
        <f t="shared" si="2"/>
        <v/>
      </c>
      <c r="M11" s="59"/>
      <c r="N11" s="59"/>
      <c r="O11" s="59"/>
      <c r="P11" s="59"/>
      <c r="Q11" s="59"/>
      <c r="R11" s="59"/>
    </row>
    <row r="12" spans="1:18" s="57" customFormat="1" x14ac:dyDescent="0.2">
      <c r="A12" s="59"/>
      <c r="B12" s="65"/>
      <c r="C12" s="66"/>
      <c r="D12" s="308"/>
      <c r="E12" s="124"/>
      <c r="F12" s="309"/>
      <c r="G12" s="61"/>
      <c r="H12" s="157">
        <f t="shared" si="0"/>
        <v>0</v>
      </c>
      <c r="I12" s="157">
        <f t="shared" si="1"/>
        <v>0</v>
      </c>
      <c r="J12" s="61"/>
      <c r="K12" s="166" t="str">
        <f t="shared" si="3"/>
        <v/>
      </c>
      <c r="L12" s="167" t="str">
        <f t="shared" si="2"/>
        <v/>
      </c>
      <c r="M12" s="59"/>
      <c r="N12" s="59"/>
      <c r="O12" s="59"/>
      <c r="P12" s="59"/>
      <c r="Q12" s="59"/>
      <c r="R12" s="59"/>
    </row>
    <row r="13" spans="1:18" s="57" customFormat="1" x14ac:dyDescent="0.2">
      <c r="A13" s="59"/>
      <c r="B13" s="65"/>
      <c r="C13" s="66"/>
      <c r="D13" s="124"/>
      <c r="E13" s="124"/>
      <c r="F13" s="125"/>
      <c r="G13" s="61"/>
      <c r="H13" s="157">
        <f t="shared" si="0"/>
        <v>0</v>
      </c>
      <c r="I13" s="157">
        <f t="shared" si="1"/>
        <v>0</v>
      </c>
      <c r="J13" s="61"/>
      <c r="K13" s="166" t="str">
        <f t="shared" si="3"/>
        <v/>
      </c>
      <c r="L13" s="167" t="str">
        <f t="shared" si="2"/>
        <v/>
      </c>
      <c r="M13" s="59"/>
      <c r="N13" s="59"/>
      <c r="O13" s="59"/>
      <c r="P13" s="59"/>
      <c r="Q13" s="59"/>
      <c r="R13" s="59"/>
    </row>
    <row r="14" spans="1:18" s="57" customFormat="1" x14ac:dyDescent="0.2">
      <c r="A14" s="59"/>
      <c r="B14" s="65"/>
      <c r="C14" s="66"/>
      <c r="D14" s="124"/>
      <c r="E14" s="124"/>
      <c r="F14" s="125"/>
      <c r="G14" s="61"/>
      <c r="H14" s="157">
        <f t="shared" si="0"/>
        <v>0</v>
      </c>
      <c r="I14" s="157">
        <f t="shared" si="1"/>
        <v>0</v>
      </c>
      <c r="J14" s="61"/>
      <c r="K14" s="166" t="str">
        <f t="shared" si="3"/>
        <v/>
      </c>
      <c r="L14" s="167" t="str">
        <f t="shared" si="2"/>
        <v/>
      </c>
      <c r="M14" s="59"/>
      <c r="N14" s="59"/>
      <c r="O14" s="59"/>
      <c r="P14" s="59"/>
      <c r="Q14" s="59"/>
      <c r="R14" s="59"/>
    </row>
    <row r="15" spans="1:18" s="57" customFormat="1" x14ac:dyDescent="0.2">
      <c r="A15" s="59"/>
      <c r="B15" s="65"/>
      <c r="C15" s="66"/>
      <c r="D15" s="124"/>
      <c r="E15" s="124"/>
      <c r="F15" s="125"/>
      <c r="G15" s="61"/>
      <c r="H15" s="157">
        <f t="shared" si="0"/>
        <v>0</v>
      </c>
      <c r="I15" s="157">
        <f t="shared" si="1"/>
        <v>0</v>
      </c>
      <c r="J15" s="61"/>
      <c r="K15" s="166" t="str">
        <f t="shared" si="3"/>
        <v/>
      </c>
      <c r="L15" s="167" t="str">
        <f t="shared" si="2"/>
        <v/>
      </c>
      <c r="M15" s="59"/>
      <c r="N15" s="59"/>
      <c r="O15" s="59"/>
      <c r="P15" s="59"/>
      <c r="Q15" s="59"/>
      <c r="R15" s="59"/>
    </row>
    <row r="16" spans="1:18" s="57" customFormat="1" ht="13.5" thickBot="1" x14ac:dyDescent="0.25">
      <c r="A16" s="59"/>
      <c r="B16" s="68"/>
      <c r="C16" s="69"/>
      <c r="D16" s="126"/>
      <c r="E16" s="126"/>
      <c r="F16" s="127"/>
      <c r="G16" s="61"/>
      <c r="H16" s="159">
        <f t="shared" si="0"/>
        <v>0</v>
      </c>
      <c r="I16" s="159">
        <f t="shared" si="1"/>
        <v>0</v>
      </c>
      <c r="J16" s="61"/>
      <c r="K16" s="230" t="str">
        <f t="shared" si="3"/>
        <v/>
      </c>
      <c r="L16" s="168" t="str">
        <f t="shared" si="2"/>
        <v/>
      </c>
      <c r="M16" s="59"/>
      <c r="N16" s="59"/>
      <c r="O16" s="59"/>
      <c r="P16" s="59"/>
      <c r="Q16" s="59"/>
      <c r="R16" s="59"/>
    </row>
    <row r="17" spans="1:22" s="70" customFormat="1" ht="13.5" thickBot="1" x14ac:dyDescent="0.25">
      <c r="A17" s="61"/>
      <c r="B17" s="61"/>
      <c r="C17" s="61"/>
      <c r="D17" s="61"/>
      <c r="E17" s="61"/>
      <c r="F17" s="61"/>
      <c r="G17" s="61"/>
      <c r="H17" s="160">
        <f>SUM(H7:H16)</f>
        <v>11220511.474705415</v>
      </c>
      <c r="I17" s="160">
        <f>SUM(I7:I16)</f>
        <v>24388912.383537106</v>
      </c>
      <c r="J17" s="61"/>
      <c r="K17" s="61"/>
      <c r="L17" s="61"/>
      <c r="M17" s="61"/>
      <c r="N17" s="61"/>
      <c r="O17" s="61"/>
      <c r="P17" s="61"/>
      <c r="Q17" s="61"/>
      <c r="R17" s="61"/>
    </row>
    <row r="18" spans="1:22" s="57" customFormat="1" ht="13.5" thickTop="1" x14ac:dyDescent="0.2">
      <c r="A18" s="59"/>
      <c r="B18" s="59"/>
      <c r="C18" s="59"/>
      <c r="D18" s="59"/>
      <c r="E18" s="59"/>
      <c r="F18" s="59"/>
      <c r="G18" s="59"/>
      <c r="H18" s="59"/>
      <c r="I18" s="59"/>
      <c r="J18" s="59"/>
      <c r="K18" s="59"/>
      <c r="L18" s="59"/>
      <c r="M18" s="59"/>
      <c r="N18" s="59"/>
      <c r="O18" s="59"/>
      <c r="P18" s="59"/>
      <c r="Q18" s="59"/>
      <c r="R18" s="59"/>
    </row>
    <row r="19" spans="1:22" s="57" customFormat="1" x14ac:dyDescent="0.2">
      <c r="A19" s="59"/>
      <c r="B19" s="59"/>
      <c r="C19" s="59"/>
      <c r="D19" s="59"/>
      <c r="E19" s="59"/>
      <c r="F19" s="59"/>
      <c r="G19" s="59"/>
      <c r="H19" s="59"/>
      <c r="I19" s="59"/>
      <c r="J19" s="59"/>
      <c r="K19" s="59"/>
      <c r="L19" s="59"/>
      <c r="M19" s="59"/>
      <c r="N19" s="59"/>
      <c r="O19" s="59"/>
      <c r="P19" s="59"/>
      <c r="Q19" s="59"/>
      <c r="R19" s="59"/>
    </row>
    <row r="20" spans="1:22" s="57" customFormat="1" x14ac:dyDescent="0.2">
      <c r="A20" s="59"/>
      <c r="B20" s="59"/>
      <c r="C20" s="59"/>
      <c r="D20" s="59"/>
      <c r="E20" s="59"/>
      <c r="F20" s="59"/>
      <c r="G20" s="59"/>
      <c r="H20" s="59"/>
      <c r="I20" s="59"/>
      <c r="J20" s="59"/>
      <c r="K20" s="59"/>
      <c r="L20" s="59"/>
      <c r="M20" s="59"/>
      <c r="N20" s="59"/>
      <c r="O20" s="59"/>
      <c r="P20" s="59"/>
      <c r="Q20" s="59"/>
      <c r="R20" s="59"/>
    </row>
    <row r="21" spans="1:22" s="57" customFormat="1" x14ac:dyDescent="0.2">
      <c r="A21" s="59"/>
      <c r="B21" s="59"/>
      <c r="C21" s="59"/>
      <c r="D21" s="59"/>
      <c r="E21" s="59"/>
      <c r="F21" s="59"/>
      <c r="G21" s="59"/>
      <c r="H21" s="59"/>
      <c r="I21" s="59"/>
      <c r="J21" s="59"/>
      <c r="K21" s="59"/>
      <c r="L21" s="59"/>
      <c r="M21" s="59"/>
      <c r="N21" s="59"/>
      <c r="O21" s="59"/>
      <c r="P21" s="59"/>
      <c r="Q21" s="59"/>
      <c r="R21" s="59"/>
    </row>
    <row r="22" spans="1:22" s="4" customFormat="1" ht="15" x14ac:dyDescent="0.25">
      <c r="A22" s="1"/>
      <c r="B22" s="29" t="s">
        <v>124</v>
      </c>
      <c r="C22" s="155"/>
      <c r="D22" s="338">
        <f>'Model update'!C5</f>
        <v>2021</v>
      </c>
      <c r="E22" s="338"/>
      <c r="M22" s="57"/>
      <c r="N22" s="32"/>
      <c r="O22" s="32"/>
      <c r="P22" s="32"/>
      <c r="Q22" s="32"/>
      <c r="R22" s="32"/>
    </row>
    <row r="23" spans="1:22" s="4" customFormat="1" ht="15" x14ac:dyDescent="0.25">
      <c r="A23" s="1"/>
      <c r="B23" s="6"/>
      <c r="C23" s="9"/>
      <c r="D23" s="10"/>
      <c r="E23" s="10"/>
      <c r="F23" s="1"/>
      <c r="G23" s="77"/>
      <c r="H23" s="78"/>
      <c r="I23" s="77"/>
      <c r="J23" s="77"/>
      <c r="K23" s="33"/>
      <c r="L23" s="33"/>
      <c r="M23" s="33"/>
      <c r="N23" s="33"/>
      <c r="O23" s="33"/>
      <c r="P23" s="33"/>
      <c r="Q23" s="1"/>
    </row>
    <row r="24" spans="1:22" s="4" customFormat="1" ht="18" customHeight="1" x14ac:dyDescent="0.2">
      <c r="A24" s="12"/>
      <c r="B24" s="13" t="s">
        <v>172</v>
      </c>
      <c r="C24" s="14"/>
      <c r="D24" s="15"/>
      <c r="E24" s="15"/>
      <c r="G24" s="74"/>
      <c r="H24" s="468" t="s">
        <v>175</v>
      </c>
      <c r="I24" s="469"/>
      <c r="J24" s="74"/>
      <c r="K24" s="33"/>
      <c r="L24" s="33"/>
      <c r="M24" s="33"/>
      <c r="N24" s="32"/>
      <c r="O24" s="32"/>
      <c r="P24" s="32"/>
    </row>
    <row r="25" spans="1:22" s="4" customFormat="1" ht="18" customHeight="1" x14ac:dyDescent="0.2">
      <c r="A25" s="12"/>
      <c r="B25" s="54" t="s">
        <v>173</v>
      </c>
      <c r="C25" s="52"/>
      <c r="D25" s="28">
        <f>H17</f>
        <v>11220511.474705415</v>
      </c>
      <c r="E25" s="417"/>
      <c r="G25" s="74"/>
      <c r="H25" s="79" t="str">
        <f>"CPI "&amp;'Model update'!$C$5</f>
        <v>CPI 2021</v>
      </c>
      <c r="I25" s="81">
        <f>'Model update'!C30</f>
        <v>-3.4843205574912606E-3</v>
      </c>
      <c r="J25" s="74"/>
      <c r="K25" s="33"/>
      <c r="L25" s="33"/>
      <c r="M25" s="33"/>
      <c r="N25" s="32"/>
      <c r="O25" s="32"/>
      <c r="P25" s="32"/>
    </row>
    <row r="26" spans="1:22" s="4" customFormat="1" ht="18" customHeight="1" x14ac:dyDescent="0.2">
      <c r="A26" s="12"/>
      <c r="B26" s="55" t="s">
        <v>174</v>
      </c>
      <c r="C26" s="53"/>
      <c r="D26" s="419">
        <v>11220665.697021</v>
      </c>
      <c r="E26" s="417"/>
      <c r="G26" s="31"/>
      <c r="H26" s="80"/>
      <c r="I26" s="82"/>
      <c r="J26" s="31"/>
      <c r="K26" s="33"/>
      <c r="L26" s="33"/>
      <c r="M26" s="33"/>
      <c r="N26" s="32"/>
      <c r="O26" s="32"/>
      <c r="P26" s="32"/>
    </row>
    <row r="27" spans="1:22" s="4" customFormat="1" ht="18" customHeight="1" x14ac:dyDescent="0.25">
      <c r="A27" s="12"/>
      <c r="B27" s="36"/>
      <c r="C27" s="37"/>
      <c r="D27" s="38" t="str">
        <f>IF(D25="","",IF(D26&gt;=D25,"METERING REVENUE CAP FORMULA COMPLIANT","METERING REVENUE CAP FORMULA BREACHED"))</f>
        <v>METERING REVENUE CAP FORMULA COMPLIANT</v>
      </c>
      <c r="E27" s="418"/>
      <c r="F27" s="31"/>
      <c r="G27" s="31"/>
      <c r="H27" s="80"/>
      <c r="I27" s="337"/>
      <c r="J27" s="31"/>
      <c r="K27" s="33"/>
      <c r="L27" s="33"/>
      <c r="M27" s="33"/>
      <c r="N27" s="32"/>
      <c r="O27" s="32"/>
      <c r="P27" s="32"/>
      <c r="T27" s="20"/>
      <c r="U27" s="20"/>
      <c r="V27" s="20"/>
    </row>
    <row r="28" spans="1:22" s="4" customFormat="1" ht="18" customHeight="1" x14ac:dyDescent="0.25">
      <c r="A28" s="12"/>
      <c r="B28" s="19"/>
      <c r="C28" s="19"/>
      <c r="D28" s="19"/>
      <c r="E28" s="19"/>
      <c r="F28" s="31"/>
      <c r="G28" s="31"/>
      <c r="H28" s="80"/>
      <c r="I28" s="344"/>
      <c r="J28" s="31"/>
      <c r="K28" s="16"/>
      <c r="M28" s="32"/>
      <c r="N28" s="32"/>
      <c r="O28" s="32"/>
      <c r="P28" s="32"/>
      <c r="T28" s="20"/>
      <c r="U28" s="20"/>
      <c r="V28" s="20"/>
    </row>
    <row r="29" spans="1:22" s="4" customFormat="1" ht="18" customHeight="1" x14ac:dyDescent="0.25">
      <c r="A29" s="12"/>
      <c r="B29" s="41"/>
      <c r="C29" s="2"/>
      <c r="D29" s="3"/>
      <c r="E29" s="3"/>
      <c r="G29" s="31"/>
      <c r="H29" s="73"/>
      <c r="I29" s="83"/>
      <c r="J29" s="31"/>
      <c r="K29" s="16"/>
      <c r="M29" s="32"/>
      <c r="N29" s="32"/>
      <c r="O29" s="32"/>
      <c r="P29" s="32"/>
      <c r="T29" s="20"/>
      <c r="U29" s="20"/>
      <c r="V29" s="20"/>
    </row>
    <row r="30" spans="1:22" s="4" customFormat="1" ht="18" customHeight="1" x14ac:dyDescent="0.25">
      <c r="A30" s="12"/>
      <c r="B30" s="57"/>
      <c r="C30" s="57"/>
      <c r="D30" s="57"/>
      <c r="E30" s="57"/>
      <c r="F30" s="57"/>
      <c r="G30" s="31"/>
      <c r="H30" s="73"/>
      <c r="I30" s="84">
        <f>(1+I25)*(1-I26)*(1+0.02)+SUM(I27:I28)</f>
        <v>1.016445993031359</v>
      </c>
      <c r="J30" s="31"/>
      <c r="K30" s="16"/>
      <c r="L30" s="32"/>
      <c r="M30" s="32"/>
      <c r="N30" s="32"/>
      <c r="O30" s="32"/>
      <c r="P30" s="32"/>
      <c r="T30" s="20"/>
      <c r="U30" s="20"/>
      <c r="V30" s="20"/>
    </row>
    <row r="31" spans="1:22" s="4" customFormat="1" ht="18" customHeight="1" x14ac:dyDescent="0.25">
      <c r="A31" s="12"/>
      <c r="B31" s="57"/>
      <c r="C31" s="57"/>
      <c r="D31" s="57"/>
      <c r="E31" s="57"/>
      <c r="F31" s="57"/>
      <c r="G31" s="31"/>
      <c r="H31" s="75"/>
      <c r="I31" s="76"/>
      <c r="J31" s="31"/>
      <c r="K31" s="16"/>
      <c r="L31" s="32"/>
      <c r="M31" s="32"/>
      <c r="N31" s="32"/>
      <c r="O31" s="32"/>
      <c r="P31" s="32"/>
      <c r="T31" s="20"/>
      <c r="U31" s="20"/>
      <c r="V31" s="20"/>
    </row>
    <row r="32" spans="1:22" s="4" customFormat="1" ht="18" customHeight="1" x14ac:dyDescent="0.25">
      <c r="A32" s="12"/>
      <c r="B32" s="57"/>
      <c r="C32" s="57"/>
      <c r="D32" s="57"/>
      <c r="E32" s="57"/>
      <c r="F32" s="57"/>
      <c r="G32" s="74"/>
      <c r="K32" s="32"/>
      <c r="L32" s="32"/>
      <c r="M32" s="32"/>
      <c r="N32" s="32"/>
      <c r="O32" s="32"/>
      <c r="P32" s="32"/>
      <c r="T32" s="20"/>
      <c r="U32" s="20"/>
      <c r="V32" s="20"/>
    </row>
    <row r="33" spans="1:22" s="412" customFormat="1" ht="18" customHeight="1" x14ac:dyDescent="0.25">
      <c r="A33" s="410"/>
      <c r="B33" s="59"/>
      <c r="C33" s="59"/>
      <c r="D33" s="59"/>
      <c r="E33" s="59"/>
      <c r="F33" s="59"/>
      <c r="G33" s="411"/>
      <c r="H33" s="411"/>
      <c r="I33" s="411"/>
      <c r="J33" s="411"/>
      <c r="T33" s="413"/>
      <c r="U33" s="413"/>
      <c r="V33" s="413"/>
    </row>
    <row r="34" spans="1:22" s="412" customFormat="1" ht="18" customHeight="1" x14ac:dyDescent="0.25">
      <c r="A34" s="410"/>
      <c r="B34" s="59"/>
      <c r="C34" s="59"/>
      <c r="D34" s="59"/>
      <c r="E34" s="59"/>
      <c r="F34" s="59"/>
      <c r="G34" s="411"/>
      <c r="H34" s="411"/>
      <c r="I34" s="411"/>
      <c r="J34" s="411"/>
      <c r="T34" s="413"/>
      <c r="U34" s="413"/>
      <c r="V34" s="413"/>
    </row>
    <row r="35" spans="1:22" s="412" customFormat="1" ht="18" customHeight="1" x14ac:dyDescent="0.25">
      <c r="A35" s="410"/>
      <c r="B35" s="59"/>
      <c r="C35" s="59"/>
      <c r="D35" s="59"/>
      <c r="E35" s="59"/>
      <c r="F35" s="59"/>
      <c r="G35" s="411"/>
      <c r="H35" s="411"/>
      <c r="I35" s="411"/>
      <c r="J35" s="411"/>
      <c r="T35" s="413"/>
      <c r="U35" s="413"/>
      <c r="V35" s="413"/>
    </row>
    <row r="36" spans="1:22" s="412" customFormat="1" ht="18" customHeight="1" x14ac:dyDescent="0.25">
      <c r="A36" s="410"/>
      <c r="B36" s="59"/>
      <c r="C36" s="59"/>
      <c r="D36" s="59"/>
      <c r="E36" s="59"/>
      <c r="F36" s="59"/>
      <c r="G36" s="411"/>
      <c r="H36" s="411"/>
      <c r="I36" s="411"/>
      <c r="J36" s="411"/>
      <c r="T36" s="413"/>
      <c r="U36" s="413"/>
      <c r="V36" s="413"/>
    </row>
    <row r="37" spans="1:22" s="412" customFormat="1" ht="18" customHeight="1" x14ac:dyDescent="0.25">
      <c r="A37" s="410"/>
      <c r="B37" s="59"/>
      <c r="C37" s="59"/>
      <c r="D37" s="59"/>
      <c r="E37" s="59"/>
      <c r="F37" s="59"/>
      <c r="G37" s="411"/>
      <c r="H37" s="411"/>
      <c r="I37" s="411"/>
      <c r="J37" s="411"/>
      <c r="T37" s="413"/>
      <c r="U37" s="413"/>
      <c r="V37" s="413"/>
    </row>
    <row r="38" spans="1:22" s="412" customFormat="1" ht="18" customHeight="1" x14ac:dyDescent="0.25">
      <c r="A38" s="410"/>
      <c r="B38" s="59"/>
      <c r="C38" s="59"/>
      <c r="D38" s="59"/>
      <c r="E38" s="59"/>
      <c r="F38" s="59"/>
      <c r="G38" s="411"/>
      <c r="H38" s="411"/>
      <c r="I38" s="411"/>
      <c r="J38" s="411"/>
      <c r="T38" s="413"/>
      <c r="U38" s="413"/>
      <c r="V38" s="413"/>
    </row>
    <row r="39" spans="1:22" s="412" customFormat="1" ht="18" customHeight="1" x14ac:dyDescent="0.25">
      <c r="A39" s="410"/>
      <c r="B39" s="59"/>
      <c r="C39" s="59"/>
      <c r="D39" s="59"/>
      <c r="E39" s="59"/>
      <c r="F39" s="59"/>
      <c r="G39" s="411"/>
      <c r="H39" s="411"/>
      <c r="I39" s="411"/>
      <c r="J39" s="411"/>
      <c r="T39" s="413"/>
      <c r="U39" s="413"/>
      <c r="V39" s="413"/>
    </row>
    <row r="40" spans="1:22" s="412" customFormat="1" ht="18" customHeight="1" x14ac:dyDescent="0.25">
      <c r="A40" s="410"/>
      <c r="B40" s="59"/>
      <c r="C40" s="59"/>
      <c r="D40" s="59"/>
      <c r="E40" s="59"/>
      <c r="F40" s="59"/>
      <c r="G40" s="411"/>
      <c r="H40" s="411"/>
      <c r="I40" s="411"/>
      <c r="J40" s="411"/>
      <c r="T40" s="413"/>
      <c r="U40" s="413"/>
      <c r="V40" s="413"/>
    </row>
    <row r="41" spans="1:22" s="412" customFormat="1" ht="14.25" x14ac:dyDescent="0.2">
      <c r="A41" s="414"/>
      <c r="B41" s="59"/>
      <c r="C41" s="59"/>
      <c r="D41" s="59"/>
      <c r="E41" s="59"/>
      <c r="F41" s="59"/>
      <c r="H41" s="415"/>
    </row>
    <row r="42" spans="1:22" s="412" customFormat="1" ht="14.25" x14ac:dyDescent="0.2">
      <c r="A42" s="414"/>
      <c r="B42" s="59"/>
      <c r="C42" s="59"/>
      <c r="D42" s="59"/>
      <c r="E42" s="59"/>
      <c r="F42" s="59"/>
      <c r="H42" s="415"/>
    </row>
    <row r="43" spans="1:22" s="412" customFormat="1" ht="14.25" x14ac:dyDescent="0.2">
      <c r="A43" s="414"/>
      <c r="B43" s="59"/>
      <c r="C43" s="59"/>
      <c r="D43" s="59"/>
      <c r="E43" s="59"/>
      <c r="F43" s="59"/>
      <c r="H43" s="415"/>
    </row>
    <row r="44" spans="1:22" s="412" customFormat="1" ht="14.25" x14ac:dyDescent="0.2">
      <c r="A44" s="414"/>
      <c r="B44" s="59"/>
      <c r="C44" s="59"/>
      <c r="D44" s="59"/>
      <c r="E44" s="59"/>
      <c r="F44" s="59"/>
      <c r="H44" s="415"/>
    </row>
    <row r="45" spans="1:22" s="412" customFormat="1" ht="14.25" x14ac:dyDescent="0.2">
      <c r="A45" s="414"/>
      <c r="B45" s="59"/>
      <c r="C45" s="59"/>
      <c r="D45" s="59"/>
      <c r="E45" s="59"/>
      <c r="F45" s="59"/>
      <c r="H45" s="415"/>
    </row>
    <row r="46" spans="1:22" s="412" customFormat="1" ht="14.25" x14ac:dyDescent="0.2">
      <c r="A46" s="414"/>
      <c r="B46" s="59"/>
      <c r="C46" s="59"/>
      <c r="D46" s="59"/>
      <c r="E46" s="59"/>
      <c r="F46" s="59"/>
      <c r="H46" s="415"/>
    </row>
    <row r="47" spans="1:22" s="412" customFormat="1" ht="14.25" x14ac:dyDescent="0.2">
      <c r="A47" s="414"/>
      <c r="B47" s="59"/>
      <c r="C47" s="59"/>
      <c r="D47" s="59"/>
      <c r="E47" s="59"/>
      <c r="F47" s="59"/>
      <c r="H47" s="415"/>
    </row>
    <row r="48" spans="1:22" s="412" customFormat="1" ht="14.25" x14ac:dyDescent="0.2">
      <c r="A48" s="414"/>
      <c r="B48" s="59"/>
      <c r="C48" s="59"/>
      <c r="D48" s="59"/>
      <c r="E48" s="59"/>
      <c r="F48" s="59"/>
      <c r="H48" s="415"/>
    </row>
    <row r="49" spans="1:8" s="412" customFormat="1" ht="14.25" x14ac:dyDescent="0.2">
      <c r="A49" s="414"/>
      <c r="B49" s="59"/>
      <c r="C49" s="59"/>
      <c r="D49" s="59"/>
      <c r="E49" s="59"/>
      <c r="F49" s="59"/>
      <c r="H49" s="415"/>
    </row>
    <row r="50" spans="1:8" s="412" customFormat="1" ht="14.25" x14ac:dyDescent="0.2">
      <c r="A50" s="414"/>
      <c r="B50" s="59"/>
      <c r="C50" s="59"/>
      <c r="D50" s="59"/>
      <c r="E50" s="59"/>
      <c r="F50" s="59"/>
      <c r="H50" s="415"/>
    </row>
    <row r="51" spans="1:8" s="412" customFormat="1" ht="14.25" x14ac:dyDescent="0.2">
      <c r="A51" s="414"/>
      <c r="B51" s="59"/>
      <c r="C51" s="59"/>
      <c r="D51" s="59"/>
      <c r="E51" s="59"/>
      <c r="F51" s="59"/>
      <c r="H51" s="415"/>
    </row>
    <row r="52" spans="1:8" s="412" customFormat="1" ht="14.25" x14ac:dyDescent="0.2">
      <c r="A52" s="414"/>
      <c r="B52" s="59"/>
      <c r="C52" s="59"/>
      <c r="D52" s="59"/>
      <c r="E52" s="59"/>
      <c r="F52" s="59"/>
      <c r="H52" s="415"/>
    </row>
    <row r="53" spans="1:8" s="412" customFormat="1" ht="14.25" x14ac:dyDescent="0.2">
      <c r="A53" s="414"/>
      <c r="B53" s="59"/>
      <c r="C53" s="59"/>
      <c r="D53" s="59"/>
      <c r="E53" s="59"/>
      <c r="F53" s="59"/>
      <c r="H53" s="415"/>
    </row>
    <row r="54" spans="1:8" s="412" customFormat="1" ht="14.25" x14ac:dyDescent="0.2">
      <c r="A54" s="414"/>
      <c r="B54" s="59"/>
      <c r="C54" s="59"/>
      <c r="D54" s="59"/>
      <c r="E54" s="59"/>
      <c r="F54" s="59"/>
      <c r="H54" s="415"/>
    </row>
    <row r="55" spans="1:8" s="412" customFormat="1" ht="14.25" x14ac:dyDescent="0.2">
      <c r="A55" s="414"/>
      <c r="B55" s="59"/>
      <c r="C55" s="59"/>
      <c r="D55" s="59"/>
      <c r="E55" s="59"/>
      <c r="F55" s="59"/>
      <c r="H55" s="415"/>
    </row>
    <row r="56" spans="1:8" s="412" customFormat="1" ht="14.25" x14ac:dyDescent="0.2">
      <c r="A56" s="414"/>
      <c r="B56" s="59"/>
      <c r="C56" s="59"/>
      <c r="D56" s="59"/>
      <c r="E56" s="59"/>
      <c r="F56" s="59"/>
      <c r="H56" s="415"/>
    </row>
    <row r="57" spans="1:8" s="412" customFormat="1" ht="14.25" x14ac:dyDescent="0.2">
      <c r="A57" s="414"/>
      <c r="B57" s="59"/>
      <c r="C57" s="59"/>
      <c r="D57" s="59"/>
      <c r="E57" s="59"/>
      <c r="F57" s="59"/>
      <c r="H57" s="415"/>
    </row>
    <row r="58" spans="1:8" s="412" customFormat="1" ht="14.25" x14ac:dyDescent="0.2">
      <c r="A58" s="414"/>
      <c r="B58" s="59"/>
      <c r="C58" s="59"/>
      <c r="D58" s="59"/>
      <c r="E58" s="59"/>
      <c r="F58" s="59"/>
      <c r="H58" s="415"/>
    </row>
    <row r="59" spans="1:8" s="412" customFormat="1" ht="14.25" x14ac:dyDescent="0.2">
      <c r="A59" s="414"/>
      <c r="B59" s="59"/>
      <c r="C59" s="59"/>
      <c r="D59" s="59"/>
      <c r="E59" s="59"/>
      <c r="F59" s="59"/>
      <c r="H59" s="415"/>
    </row>
    <row r="60" spans="1:8" s="412" customFormat="1" ht="14.25" x14ac:dyDescent="0.2">
      <c r="A60" s="414"/>
      <c r="B60" s="59"/>
      <c r="C60" s="59"/>
      <c r="D60" s="59"/>
      <c r="E60" s="59"/>
      <c r="F60" s="59"/>
      <c r="H60" s="415"/>
    </row>
    <row r="61" spans="1:8" s="412" customFormat="1" ht="14.25" x14ac:dyDescent="0.2">
      <c r="A61" s="414"/>
      <c r="B61" s="59"/>
      <c r="C61" s="59"/>
      <c r="D61" s="59"/>
      <c r="E61" s="59"/>
      <c r="F61" s="59"/>
      <c r="H61" s="415"/>
    </row>
    <row r="62" spans="1:8" s="412" customFormat="1" ht="14.25" x14ac:dyDescent="0.2">
      <c r="A62" s="414"/>
      <c r="B62" s="59"/>
      <c r="C62" s="59"/>
      <c r="D62" s="59"/>
      <c r="E62" s="59"/>
      <c r="F62" s="59"/>
      <c r="H62" s="415"/>
    </row>
    <row r="63" spans="1:8" s="412" customFormat="1" ht="14.25" x14ac:dyDescent="0.2">
      <c r="A63" s="414"/>
      <c r="B63" s="59"/>
      <c r="C63" s="59"/>
      <c r="D63" s="59"/>
      <c r="E63" s="59"/>
      <c r="F63" s="59"/>
      <c r="H63" s="415"/>
    </row>
    <row r="64" spans="1:8" s="412" customFormat="1" ht="14.25" x14ac:dyDescent="0.2">
      <c r="A64" s="414"/>
      <c r="B64" s="59"/>
      <c r="C64" s="59"/>
      <c r="D64" s="59"/>
      <c r="E64" s="59"/>
      <c r="F64" s="59"/>
      <c r="H64" s="415"/>
    </row>
    <row r="65" spans="1:12" s="412" customFormat="1" ht="14.25" x14ac:dyDescent="0.2">
      <c r="A65" s="414"/>
      <c r="B65" s="59"/>
      <c r="C65" s="59"/>
      <c r="D65" s="59"/>
      <c r="E65" s="59"/>
      <c r="F65" s="59"/>
      <c r="H65" s="415"/>
    </row>
    <row r="66" spans="1:12" s="412" customFormat="1" ht="14.25" x14ac:dyDescent="0.2">
      <c r="A66" s="414"/>
      <c r="B66" s="59"/>
      <c r="C66" s="59"/>
      <c r="D66" s="59"/>
      <c r="E66" s="59"/>
      <c r="F66" s="59"/>
      <c r="H66" s="415"/>
    </row>
    <row r="67" spans="1:12" s="412" customFormat="1" ht="14.25" x14ac:dyDescent="0.2">
      <c r="A67" s="414"/>
      <c r="B67" s="59"/>
      <c r="C67" s="59"/>
      <c r="D67" s="59"/>
      <c r="E67" s="59"/>
      <c r="F67" s="59"/>
      <c r="H67" s="415"/>
    </row>
    <row r="68" spans="1:12" s="412" customFormat="1" ht="14.25" x14ac:dyDescent="0.2">
      <c r="A68" s="414"/>
      <c r="B68" s="59"/>
      <c r="C68" s="59"/>
      <c r="D68" s="59"/>
      <c r="E68" s="59"/>
      <c r="F68" s="59"/>
      <c r="H68" s="415"/>
    </row>
    <row r="69" spans="1:12" s="412" customFormat="1" ht="14.25" x14ac:dyDescent="0.2">
      <c r="A69" s="414"/>
      <c r="B69" s="59"/>
      <c r="C69" s="59"/>
      <c r="D69" s="59"/>
      <c r="E69" s="59"/>
      <c r="F69" s="59"/>
      <c r="H69" s="415"/>
    </row>
    <row r="70" spans="1:12" s="412" customFormat="1" ht="14.25" x14ac:dyDescent="0.2">
      <c r="A70" s="414"/>
      <c r="B70" s="59"/>
      <c r="C70" s="59"/>
      <c r="D70" s="59"/>
      <c r="E70" s="59"/>
      <c r="F70" s="59"/>
      <c r="H70" s="415"/>
    </row>
    <row r="71" spans="1:12" s="412" customFormat="1" ht="14.25" x14ac:dyDescent="0.2">
      <c r="A71" s="414"/>
      <c r="B71" s="59"/>
      <c r="C71" s="59"/>
      <c r="D71" s="59"/>
      <c r="E71" s="59"/>
      <c r="F71" s="59"/>
      <c r="H71" s="415"/>
    </row>
    <row r="72" spans="1:12" s="412" customFormat="1" ht="15" x14ac:dyDescent="0.25">
      <c r="A72" s="414"/>
      <c r="B72" s="59"/>
      <c r="C72" s="59"/>
      <c r="D72" s="59"/>
      <c r="E72" s="59"/>
      <c r="F72" s="59"/>
      <c r="H72" s="416"/>
    </row>
    <row r="73" spans="1:12" s="412" customFormat="1" ht="14.25" x14ac:dyDescent="0.2">
      <c r="A73" s="414"/>
      <c r="B73" s="59"/>
      <c r="C73" s="59"/>
      <c r="D73" s="59"/>
      <c r="E73" s="59"/>
      <c r="F73" s="59"/>
      <c r="H73" s="415"/>
    </row>
    <row r="74" spans="1:12" s="412" customFormat="1" ht="14.25" x14ac:dyDescent="0.2">
      <c r="A74" s="414"/>
      <c r="B74" s="59"/>
      <c r="C74" s="59"/>
      <c r="D74" s="59"/>
      <c r="E74" s="59"/>
      <c r="F74" s="59"/>
      <c r="H74" s="415"/>
    </row>
    <row r="75" spans="1:12" s="412" customFormat="1" ht="14.25" x14ac:dyDescent="0.2">
      <c r="A75" s="414"/>
      <c r="B75" s="59"/>
      <c r="C75" s="59"/>
      <c r="D75" s="59"/>
      <c r="E75" s="59"/>
      <c r="F75" s="59"/>
      <c r="H75" s="415"/>
    </row>
    <row r="76" spans="1:12" s="412" customFormat="1" ht="14.25" x14ac:dyDescent="0.2">
      <c r="A76" s="414"/>
      <c r="B76" s="59"/>
      <c r="C76" s="59"/>
      <c r="D76" s="59"/>
      <c r="E76" s="59"/>
      <c r="F76" s="59"/>
      <c r="H76" s="415"/>
    </row>
    <row r="77" spans="1:12" s="59" customFormat="1" ht="14.25" x14ac:dyDescent="0.2">
      <c r="G77" s="61"/>
      <c r="H77" s="412"/>
      <c r="J77" s="61"/>
      <c r="K77" s="412"/>
      <c r="L77" s="412"/>
    </row>
    <row r="78" spans="1:12" s="59" customFormat="1" ht="14.25" x14ac:dyDescent="0.2">
      <c r="G78" s="61"/>
      <c r="H78" s="412"/>
      <c r="J78" s="61"/>
      <c r="K78" s="412"/>
      <c r="L78" s="412"/>
    </row>
    <row r="79" spans="1:12" s="59" customFormat="1" ht="14.25" x14ac:dyDescent="0.2">
      <c r="G79" s="61"/>
      <c r="H79" s="412"/>
      <c r="J79" s="61"/>
      <c r="K79" s="412"/>
      <c r="L79" s="412"/>
    </row>
    <row r="80" spans="1:12" s="59" customFormat="1" ht="14.25" x14ac:dyDescent="0.2">
      <c r="G80" s="61"/>
      <c r="H80" s="412"/>
      <c r="J80" s="61"/>
      <c r="K80" s="412"/>
      <c r="L80" s="412"/>
    </row>
    <row r="81" spans="2:12" s="59" customFormat="1" ht="14.25" x14ac:dyDescent="0.2">
      <c r="G81" s="61"/>
      <c r="H81" s="412"/>
      <c r="J81" s="61"/>
      <c r="K81" s="412"/>
      <c r="L81" s="412"/>
    </row>
    <row r="82" spans="2:12" s="59" customFormat="1" ht="14.25" x14ac:dyDescent="0.2">
      <c r="G82" s="61"/>
      <c r="H82" s="412"/>
      <c r="J82" s="61"/>
      <c r="K82" s="412"/>
      <c r="L82" s="412"/>
    </row>
    <row r="83" spans="2:12" s="59" customFormat="1" ht="14.25" x14ac:dyDescent="0.2">
      <c r="G83" s="61"/>
      <c r="H83" s="412"/>
      <c r="J83" s="61"/>
      <c r="K83" s="412"/>
      <c r="L83" s="412"/>
    </row>
    <row r="84" spans="2:12" s="59" customFormat="1" ht="14.25" x14ac:dyDescent="0.2">
      <c r="G84" s="61"/>
      <c r="H84" s="412"/>
      <c r="J84" s="61"/>
      <c r="K84" s="412"/>
      <c r="L84" s="412"/>
    </row>
    <row r="85" spans="2:12" s="59" customFormat="1" ht="14.25" x14ac:dyDescent="0.2">
      <c r="G85" s="61"/>
      <c r="H85" s="412"/>
      <c r="J85" s="61"/>
      <c r="K85" s="412"/>
      <c r="L85" s="412"/>
    </row>
    <row r="86" spans="2:12" s="59" customFormat="1" ht="14.25" x14ac:dyDescent="0.2">
      <c r="G86" s="61"/>
      <c r="H86" s="412"/>
      <c r="J86" s="61"/>
      <c r="K86" s="412"/>
      <c r="L86" s="412"/>
    </row>
    <row r="87" spans="2:12" s="59" customFormat="1" ht="14.25" x14ac:dyDescent="0.2">
      <c r="G87" s="61"/>
      <c r="H87" s="412"/>
      <c r="J87" s="61"/>
      <c r="K87" s="412"/>
      <c r="L87" s="412"/>
    </row>
    <row r="88" spans="2:12" s="59" customFormat="1" ht="14.25" x14ac:dyDescent="0.2">
      <c r="G88" s="61"/>
      <c r="H88" s="412"/>
      <c r="J88" s="61"/>
      <c r="K88" s="412"/>
      <c r="L88" s="412"/>
    </row>
    <row r="89" spans="2:12" s="61" customFormat="1" ht="14.25" x14ac:dyDescent="0.2">
      <c r="B89" s="59"/>
      <c r="C89" s="59"/>
      <c r="D89" s="59"/>
      <c r="E89" s="59"/>
      <c r="F89" s="59"/>
      <c r="H89" s="412"/>
    </row>
    <row r="90" spans="2:12" s="59" customFormat="1" x14ac:dyDescent="0.2"/>
    <row r="91" spans="2:12" s="59" customFormat="1" x14ac:dyDescent="0.2"/>
    <row r="92" spans="2:12" s="59" customFormat="1" x14ac:dyDescent="0.2"/>
  </sheetData>
  <mergeCells count="1">
    <mergeCell ref="H24:I24"/>
  </mergeCells>
  <pageMargins left="0.7" right="0.7" top="0.75" bottom="0.75" header="0.3" footer="0.3"/>
  <pageSetup scale="5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8" tint="0.59999389629810485"/>
  </sheetPr>
  <dimension ref="B1:F10"/>
  <sheetViews>
    <sheetView zoomScale="85" zoomScaleNormal="85" workbookViewId="0">
      <selection activeCell="F18" sqref="F18"/>
    </sheetView>
  </sheetViews>
  <sheetFormatPr defaultRowHeight="12.75" x14ac:dyDescent="0.2"/>
  <cols>
    <col min="1" max="1" width="9.140625" style="421"/>
    <col min="2" max="2" width="31.140625" style="421" customWidth="1"/>
    <col min="3" max="4" width="9.28515625" style="421" customWidth="1"/>
    <col min="5" max="5" width="10.85546875" style="421" customWidth="1"/>
    <col min="6" max="6" width="19.5703125" style="421" customWidth="1"/>
    <col min="7" max="16384" width="9.140625" style="421"/>
  </cols>
  <sheetData>
    <row r="1" spans="2:6" ht="15" x14ac:dyDescent="0.25">
      <c r="B1" s="420" t="str">
        <f>"Tariff Approval - "&amp;'Model update'!C3</f>
        <v>Tariff Approval - CitiPower</v>
      </c>
    </row>
    <row r="2" spans="2:6" ht="15" x14ac:dyDescent="0.25">
      <c r="B2" s="420"/>
    </row>
    <row r="3" spans="2:6" x14ac:dyDescent="0.2">
      <c r="B3" s="422" t="s">
        <v>410</v>
      </c>
    </row>
    <row r="4" spans="2:6" ht="13.5" thickBot="1" x14ac:dyDescent="0.25"/>
    <row r="5" spans="2:6" ht="26.25" customHeight="1" x14ac:dyDescent="0.2">
      <c r="B5" s="448" t="s">
        <v>405</v>
      </c>
      <c r="C5" s="449" t="s">
        <v>408</v>
      </c>
      <c r="D5" s="449" t="s">
        <v>406</v>
      </c>
      <c r="E5" s="450" t="s">
        <v>407</v>
      </c>
    </row>
    <row r="6" spans="2:6" x14ac:dyDescent="0.2">
      <c r="B6" s="423" t="s">
        <v>425</v>
      </c>
      <c r="C6" s="451">
        <v>284.5</v>
      </c>
      <c r="D6" s="452">
        <f>IF(C6="","",C6)</f>
        <v>284.5</v>
      </c>
      <c r="E6" s="453">
        <f>D6</f>
        <v>284.5</v>
      </c>
      <c r="F6" s="434" t="str">
        <f>IF(E6="","",IF(E6&lt;=D6,"COMPLIANT","BREACHED"))</f>
        <v>COMPLIANT</v>
      </c>
    </row>
    <row r="7" spans="2:6" x14ac:dyDescent="0.2">
      <c r="B7" s="423" t="s">
        <v>426</v>
      </c>
      <c r="C7" s="454">
        <v>357.46</v>
      </c>
      <c r="D7" s="455">
        <f t="shared" ref="D7:D10" si="0">IF(C7="","",C7)</f>
        <v>357.46</v>
      </c>
      <c r="E7" s="456">
        <f t="shared" ref="E7:E10" si="1">D7</f>
        <v>357.46</v>
      </c>
      <c r="F7" s="434" t="str">
        <f t="shared" ref="F7:F10" si="2">IF(E7="","",IF(E7&lt;=D7,"COMPLIANT","BREACHED"))</f>
        <v>COMPLIANT</v>
      </c>
    </row>
    <row r="8" spans="2:6" x14ac:dyDescent="0.2">
      <c r="B8" s="423" t="s">
        <v>427</v>
      </c>
      <c r="C8" s="454">
        <v>1156.3800000000001</v>
      </c>
      <c r="D8" s="455">
        <f t="shared" si="0"/>
        <v>1156.3800000000001</v>
      </c>
      <c r="E8" s="456">
        <f t="shared" si="1"/>
        <v>1156.3800000000001</v>
      </c>
      <c r="F8" s="434" t="str">
        <f t="shared" si="2"/>
        <v>COMPLIANT</v>
      </c>
    </row>
    <row r="9" spans="2:6" x14ac:dyDescent="0.2">
      <c r="B9" s="423" t="s">
        <v>428</v>
      </c>
      <c r="C9" s="454">
        <v>44.62</v>
      </c>
      <c r="D9" s="455">
        <f t="shared" si="0"/>
        <v>44.62</v>
      </c>
      <c r="E9" s="456">
        <f t="shared" si="1"/>
        <v>44.62</v>
      </c>
      <c r="F9" s="434" t="str">
        <f t="shared" si="2"/>
        <v>COMPLIANT</v>
      </c>
    </row>
    <row r="10" spans="2:6" ht="13.5" thickBot="1" x14ac:dyDescent="0.25">
      <c r="B10" s="425"/>
      <c r="C10" s="429"/>
      <c r="D10" s="426" t="str">
        <f t="shared" si="0"/>
        <v/>
      </c>
      <c r="E10" s="433" t="str">
        <f t="shared" si="1"/>
        <v/>
      </c>
      <c r="F10" s="434" t="str">
        <f t="shared" si="2"/>
        <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8" tint="0.59999389629810485"/>
  </sheetPr>
  <dimension ref="B1:F50"/>
  <sheetViews>
    <sheetView zoomScale="85" zoomScaleNormal="85" workbookViewId="0">
      <selection activeCell="K36" sqref="K36"/>
    </sheetView>
  </sheetViews>
  <sheetFormatPr defaultRowHeight="12.75" x14ac:dyDescent="0.2"/>
  <cols>
    <col min="1" max="1" width="9.140625" style="421"/>
    <col min="2" max="2" width="44.85546875" style="421" customWidth="1"/>
    <col min="3" max="4" width="10" style="421" customWidth="1"/>
    <col min="5" max="5" width="11.140625" style="421" customWidth="1"/>
    <col min="6" max="6" width="25.42578125" style="421" customWidth="1"/>
    <col min="7" max="16384" width="9.140625" style="421"/>
  </cols>
  <sheetData>
    <row r="1" spans="2:6" ht="15" x14ac:dyDescent="0.25">
      <c r="B1" s="420" t="str">
        <f>"Tariff Approval - "&amp;'Model update'!C3</f>
        <v>Tariff Approval - CitiPower</v>
      </c>
    </row>
    <row r="3" spans="2:6" x14ac:dyDescent="0.2">
      <c r="B3" s="422" t="s">
        <v>409</v>
      </c>
    </row>
    <row r="4" spans="2:6" ht="13.5" thickBot="1" x14ac:dyDescent="0.25"/>
    <row r="5" spans="2:6" ht="25.5" x14ac:dyDescent="0.2">
      <c r="B5" s="448" t="s">
        <v>411</v>
      </c>
      <c r="C5" s="449" t="s">
        <v>408</v>
      </c>
      <c r="D5" s="449" t="s">
        <v>406</v>
      </c>
      <c r="E5" s="450" t="s">
        <v>407</v>
      </c>
    </row>
    <row r="6" spans="2:6" x14ac:dyDescent="0.2">
      <c r="B6" s="457" t="s">
        <v>429</v>
      </c>
      <c r="C6" s="427"/>
      <c r="D6" s="430" t="str">
        <f>IF(C6="","",C6/2)</f>
        <v/>
      </c>
      <c r="E6" s="431" t="str">
        <f>D6</f>
        <v/>
      </c>
      <c r="F6" s="434" t="str">
        <f>IF(E6="","",IF(E6&lt;=D6,"COMPLIANT","BREACHED"))</f>
        <v/>
      </c>
    </row>
    <row r="7" spans="2:6" x14ac:dyDescent="0.2">
      <c r="B7" s="423" t="s">
        <v>430</v>
      </c>
      <c r="C7" s="454">
        <v>65.292514410451716</v>
      </c>
      <c r="D7" s="455">
        <f t="shared" ref="D7:D50" si="0">IF(C7="","",C7/2)</f>
        <v>32.646257205225858</v>
      </c>
      <c r="E7" s="456">
        <f t="shared" ref="E7:E50" si="1">D7</f>
        <v>32.646257205225858</v>
      </c>
      <c r="F7" s="434" t="str">
        <f t="shared" ref="F7:F50" si="2">IF(E7="","",IF(E7&lt;=D7,"COMPLIANT","BREACHED"))</f>
        <v>COMPLIANT</v>
      </c>
    </row>
    <row r="8" spans="2:6" x14ac:dyDescent="0.2">
      <c r="B8" s="423" t="s">
        <v>431</v>
      </c>
      <c r="C8" s="454">
        <v>111.62150512919555</v>
      </c>
      <c r="D8" s="455">
        <f t="shared" si="0"/>
        <v>55.810752564597777</v>
      </c>
      <c r="E8" s="456">
        <f t="shared" si="1"/>
        <v>55.810752564597777</v>
      </c>
      <c r="F8" s="434" t="str">
        <f t="shared" si="2"/>
        <v>COMPLIANT</v>
      </c>
    </row>
    <row r="9" spans="2:6" x14ac:dyDescent="0.2">
      <c r="B9" s="423" t="s">
        <v>432</v>
      </c>
      <c r="C9" s="454">
        <v>113.23963020667816</v>
      </c>
      <c r="D9" s="455">
        <f t="shared" si="0"/>
        <v>56.619815103339079</v>
      </c>
      <c r="E9" s="456">
        <f t="shared" si="1"/>
        <v>56.619815103339079</v>
      </c>
      <c r="F9" s="434" t="str">
        <f t="shared" si="2"/>
        <v>COMPLIANT</v>
      </c>
    </row>
    <row r="10" spans="2:6" x14ac:dyDescent="0.2">
      <c r="B10" s="423" t="s">
        <v>433</v>
      </c>
      <c r="C10" s="454">
        <v>129.9321036767989</v>
      </c>
      <c r="D10" s="455">
        <f t="shared" si="0"/>
        <v>64.966051838399451</v>
      </c>
      <c r="E10" s="456">
        <f t="shared" si="1"/>
        <v>64.966051838399451</v>
      </c>
      <c r="F10" s="434" t="str">
        <f t="shared" si="2"/>
        <v>COMPLIANT</v>
      </c>
    </row>
    <row r="11" spans="2:6" x14ac:dyDescent="0.2">
      <c r="B11" s="423" t="s">
        <v>434</v>
      </c>
      <c r="C11" s="454">
        <v>130.58502882090343</v>
      </c>
      <c r="D11" s="455">
        <f t="shared" si="0"/>
        <v>65.292514410451716</v>
      </c>
      <c r="E11" s="456">
        <f t="shared" si="1"/>
        <v>65.292514410451716</v>
      </c>
      <c r="F11" s="434" t="str">
        <f t="shared" si="2"/>
        <v>COMPLIANT</v>
      </c>
    </row>
    <row r="12" spans="2:6" x14ac:dyDescent="0.2">
      <c r="B12" s="423" t="s">
        <v>435</v>
      </c>
      <c r="C12" s="454">
        <v>92.715370462841435</v>
      </c>
      <c r="D12" s="455">
        <f t="shared" si="0"/>
        <v>46.357685231420717</v>
      </c>
      <c r="E12" s="456">
        <f t="shared" si="1"/>
        <v>46.357685231420717</v>
      </c>
      <c r="F12" s="434" t="str">
        <f t="shared" si="2"/>
        <v>COMPLIANT</v>
      </c>
    </row>
    <row r="13" spans="2:6" x14ac:dyDescent="0.2">
      <c r="B13" s="423" t="s">
        <v>436</v>
      </c>
      <c r="C13" s="454">
        <v>103.16217276851371</v>
      </c>
      <c r="D13" s="455">
        <f t="shared" si="0"/>
        <v>51.581086384256857</v>
      </c>
      <c r="E13" s="456">
        <f t="shared" si="1"/>
        <v>51.581086384256857</v>
      </c>
      <c r="F13" s="434" t="str">
        <f t="shared" si="2"/>
        <v>COMPLIANT</v>
      </c>
    </row>
    <row r="14" spans="2:6" x14ac:dyDescent="0.2">
      <c r="B14" s="423" t="s">
        <v>437</v>
      </c>
      <c r="C14" s="454">
        <v>95.121289373609642</v>
      </c>
      <c r="D14" s="455">
        <f t="shared" si="0"/>
        <v>47.560644686804821</v>
      </c>
      <c r="E14" s="456">
        <f t="shared" si="1"/>
        <v>47.560644686804821</v>
      </c>
      <c r="F14" s="434" t="str">
        <f t="shared" si="2"/>
        <v>COMPLIANT</v>
      </c>
    </row>
    <row r="15" spans="2:6" x14ac:dyDescent="0.2">
      <c r="B15" s="423" t="s">
        <v>438</v>
      </c>
      <c r="C15" s="454">
        <v>96.253685675676437</v>
      </c>
      <c r="D15" s="455">
        <f t="shared" si="0"/>
        <v>48.126842837838218</v>
      </c>
      <c r="E15" s="456">
        <f t="shared" si="1"/>
        <v>48.126842837838218</v>
      </c>
      <c r="F15" s="434" t="str">
        <f t="shared" si="2"/>
        <v>COMPLIANT</v>
      </c>
    </row>
    <row r="16" spans="2:6" x14ac:dyDescent="0.2">
      <c r="B16" s="423" t="s">
        <v>439</v>
      </c>
      <c r="C16" s="454">
        <v>141.5495377583477</v>
      </c>
      <c r="D16" s="455">
        <f t="shared" si="0"/>
        <v>70.774768879173848</v>
      </c>
      <c r="E16" s="466">
        <f t="shared" si="1"/>
        <v>70.774768879173848</v>
      </c>
      <c r="F16" s="434" t="str">
        <f t="shared" si="2"/>
        <v>COMPLIANT</v>
      </c>
    </row>
    <row r="17" spans="2:6" x14ac:dyDescent="0.2">
      <c r="B17" s="423" t="s">
        <v>440</v>
      </c>
      <c r="C17" s="454">
        <v>138.42013055015764</v>
      </c>
      <c r="D17" s="455">
        <f t="shared" si="0"/>
        <v>69.210065275078819</v>
      </c>
      <c r="E17" s="456">
        <f t="shared" si="1"/>
        <v>69.210065275078819</v>
      </c>
      <c r="F17" s="434" t="str">
        <f t="shared" si="2"/>
        <v>COMPLIANT</v>
      </c>
    </row>
    <row r="18" spans="2:6" x14ac:dyDescent="0.2">
      <c r="B18" s="423" t="s">
        <v>441</v>
      </c>
      <c r="C18" s="454">
        <v>113.85393523177947</v>
      </c>
      <c r="D18" s="455">
        <f t="shared" si="0"/>
        <v>56.926967615889737</v>
      </c>
      <c r="E18" s="456">
        <f t="shared" si="1"/>
        <v>56.926967615889737</v>
      </c>
      <c r="F18" s="434" t="str">
        <f t="shared" si="2"/>
        <v>COMPLIANT</v>
      </c>
    </row>
    <row r="19" spans="2:6" x14ac:dyDescent="0.2">
      <c r="B19" s="423" t="s">
        <v>442</v>
      </c>
      <c r="C19" s="454">
        <v>113.46610946709151</v>
      </c>
      <c r="D19" s="455">
        <f t="shared" si="0"/>
        <v>56.733054733545757</v>
      </c>
      <c r="E19" s="456">
        <f t="shared" si="1"/>
        <v>56.733054733545757</v>
      </c>
      <c r="F19" s="434" t="str">
        <f t="shared" si="2"/>
        <v>COMPLIANT</v>
      </c>
    </row>
    <row r="20" spans="2:6" x14ac:dyDescent="0.2">
      <c r="B20" s="423" t="s">
        <v>443</v>
      </c>
      <c r="C20" s="454">
        <v>115.50442281081172</v>
      </c>
      <c r="D20" s="455">
        <f t="shared" si="0"/>
        <v>57.752211405405859</v>
      </c>
      <c r="E20" s="456">
        <f t="shared" si="1"/>
        <v>57.752211405405859</v>
      </c>
      <c r="F20" s="434" t="str">
        <f t="shared" si="2"/>
        <v>COMPLIANT</v>
      </c>
    </row>
    <row r="21" spans="2:6" x14ac:dyDescent="0.2">
      <c r="B21" s="423" t="s">
        <v>444</v>
      </c>
      <c r="C21" s="454">
        <v>124.56359322734599</v>
      </c>
      <c r="D21" s="455">
        <f t="shared" si="0"/>
        <v>62.281796613672995</v>
      </c>
      <c r="E21" s="456">
        <f t="shared" si="1"/>
        <v>62.281796613672995</v>
      </c>
      <c r="F21" s="434" t="str">
        <f t="shared" si="2"/>
        <v>COMPLIANT</v>
      </c>
    </row>
    <row r="22" spans="2:6" x14ac:dyDescent="0.2">
      <c r="B22" s="423" t="s">
        <v>445</v>
      </c>
      <c r="C22" s="454">
        <v>224.21446780922275</v>
      </c>
      <c r="D22" s="455">
        <f t="shared" si="0"/>
        <v>112.10723390461138</v>
      </c>
      <c r="E22" s="466">
        <f t="shared" si="1"/>
        <v>112.10723390461138</v>
      </c>
      <c r="F22" s="434" t="str">
        <f t="shared" si="2"/>
        <v>COMPLIANT</v>
      </c>
    </row>
    <row r="23" spans="2:6" x14ac:dyDescent="0.2">
      <c r="B23" s="423" t="s">
        <v>446</v>
      </c>
      <c r="C23" s="454">
        <v>138.42013055015764</v>
      </c>
      <c r="D23" s="455">
        <f t="shared" si="0"/>
        <v>69.210065275078819</v>
      </c>
      <c r="E23" s="456">
        <f t="shared" si="1"/>
        <v>69.210065275078819</v>
      </c>
      <c r="F23" s="434" t="str">
        <f t="shared" si="2"/>
        <v>COMPLIANT</v>
      </c>
    </row>
    <row r="24" spans="2:6" x14ac:dyDescent="0.2">
      <c r="B24" s="423" t="s">
        <v>447</v>
      </c>
      <c r="C24" s="454">
        <v>175.24576305283702</v>
      </c>
      <c r="D24" s="455">
        <f t="shared" si="0"/>
        <v>87.62288152641851</v>
      </c>
      <c r="E24" s="456">
        <f t="shared" si="1"/>
        <v>87.62288152641851</v>
      </c>
      <c r="F24" s="434" t="str">
        <f t="shared" si="2"/>
        <v>COMPLIANT</v>
      </c>
    </row>
    <row r="25" spans="2:6" x14ac:dyDescent="0.2">
      <c r="B25" s="423" t="s">
        <v>448</v>
      </c>
      <c r="C25" s="454">
        <v>176.36197810412898</v>
      </c>
      <c r="D25" s="455">
        <f t="shared" si="0"/>
        <v>88.18098905206449</v>
      </c>
      <c r="E25" s="456">
        <f t="shared" si="1"/>
        <v>88.18098905206449</v>
      </c>
      <c r="F25" s="434" t="str">
        <f t="shared" si="2"/>
        <v>COMPLIANT</v>
      </c>
    </row>
    <row r="26" spans="2:6" x14ac:dyDescent="0.2">
      <c r="B26" s="423" t="s">
        <v>449</v>
      </c>
      <c r="C26" s="454">
        <v>135.88755624801379</v>
      </c>
      <c r="D26" s="455">
        <f t="shared" si="0"/>
        <v>67.943778124006897</v>
      </c>
      <c r="E26" s="456">
        <f t="shared" si="1"/>
        <v>67.943778124006897</v>
      </c>
      <c r="F26" s="434" t="str">
        <f t="shared" si="2"/>
        <v>COMPLIANT</v>
      </c>
    </row>
    <row r="27" spans="2:6" x14ac:dyDescent="0.2">
      <c r="B27" s="423" t="s">
        <v>450</v>
      </c>
      <c r="C27" s="454">
        <v>135.88755624801379</v>
      </c>
      <c r="D27" s="455">
        <f t="shared" si="0"/>
        <v>67.943778124006897</v>
      </c>
      <c r="E27" s="456">
        <f t="shared" si="1"/>
        <v>67.943778124006897</v>
      </c>
      <c r="F27" s="434" t="str">
        <f t="shared" si="2"/>
        <v>COMPLIANT</v>
      </c>
    </row>
    <row r="28" spans="2:6" x14ac:dyDescent="0.2">
      <c r="B28" s="423" t="s">
        <v>451</v>
      </c>
      <c r="C28" s="454">
        <v>202.6989380699539</v>
      </c>
      <c r="D28" s="455">
        <f t="shared" si="0"/>
        <v>101.34946903497695</v>
      </c>
      <c r="E28" s="456">
        <f t="shared" si="1"/>
        <v>101.34946903497695</v>
      </c>
      <c r="F28" s="434" t="str">
        <f t="shared" si="2"/>
        <v>COMPLIANT</v>
      </c>
    </row>
    <row r="29" spans="2:6" x14ac:dyDescent="0.2">
      <c r="B29" s="423"/>
      <c r="C29" s="454"/>
      <c r="D29" s="455" t="str">
        <f t="shared" si="0"/>
        <v/>
      </c>
      <c r="E29" s="456" t="str">
        <f t="shared" si="1"/>
        <v/>
      </c>
      <c r="F29" s="434" t="str">
        <f t="shared" si="2"/>
        <v/>
      </c>
    </row>
    <row r="30" spans="2:6" x14ac:dyDescent="0.2">
      <c r="B30" s="457" t="s">
        <v>452</v>
      </c>
      <c r="C30" s="454"/>
      <c r="D30" s="455" t="str">
        <f t="shared" si="0"/>
        <v/>
      </c>
      <c r="E30" s="456" t="str">
        <f t="shared" si="1"/>
        <v/>
      </c>
      <c r="F30" s="434" t="str">
        <f t="shared" si="2"/>
        <v/>
      </c>
    </row>
    <row r="31" spans="2:6" x14ac:dyDescent="0.2">
      <c r="B31" s="423" t="s">
        <v>453</v>
      </c>
      <c r="C31" s="454">
        <v>43.36947105566432</v>
      </c>
      <c r="D31" s="455">
        <f t="shared" si="0"/>
        <v>21.68473552783216</v>
      </c>
      <c r="E31" s="456">
        <f t="shared" si="1"/>
        <v>21.68473552783216</v>
      </c>
      <c r="F31" s="434" t="str">
        <f t="shared" si="2"/>
        <v>COMPLIANT</v>
      </c>
    </row>
    <row r="32" spans="2:6" x14ac:dyDescent="0.2">
      <c r="B32" s="423" t="s">
        <v>454</v>
      </c>
      <c r="C32" s="454">
        <v>42.767831488112371</v>
      </c>
      <c r="D32" s="455">
        <f t="shared" si="0"/>
        <v>21.383915744056186</v>
      </c>
      <c r="E32" s="456">
        <f t="shared" si="1"/>
        <v>21.383915744056186</v>
      </c>
      <c r="F32" s="434" t="str">
        <f t="shared" si="2"/>
        <v>COMPLIANT</v>
      </c>
    </row>
    <row r="33" spans="2:6" x14ac:dyDescent="0.2">
      <c r="B33" s="423" t="s">
        <v>455</v>
      </c>
      <c r="C33" s="454">
        <v>42.014263235285924</v>
      </c>
      <c r="D33" s="455">
        <f t="shared" si="0"/>
        <v>21.007131617642962</v>
      </c>
      <c r="E33" s="456">
        <f t="shared" si="1"/>
        <v>21.007131617642962</v>
      </c>
      <c r="F33" s="434" t="str">
        <f t="shared" si="2"/>
        <v>COMPLIANT</v>
      </c>
    </row>
    <row r="34" spans="2:6" x14ac:dyDescent="0.2">
      <c r="B34" s="423" t="s">
        <v>456</v>
      </c>
      <c r="C34" s="454">
        <v>42.014263235285924</v>
      </c>
      <c r="D34" s="455">
        <f t="shared" si="0"/>
        <v>21.007131617642962</v>
      </c>
      <c r="E34" s="456">
        <f t="shared" si="1"/>
        <v>21.007131617642962</v>
      </c>
      <c r="F34" s="434" t="str">
        <f t="shared" si="2"/>
        <v>COMPLIANT</v>
      </c>
    </row>
    <row r="35" spans="2:6" x14ac:dyDescent="0.2">
      <c r="B35" s="423" t="s">
        <v>457</v>
      </c>
      <c r="C35" s="454">
        <v>29.602144906246565</v>
      </c>
      <c r="D35" s="455">
        <f t="shared" si="0"/>
        <v>14.801072453123282</v>
      </c>
      <c r="E35" s="456">
        <f t="shared" si="1"/>
        <v>14.801072453123282</v>
      </c>
      <c r="F35" s="434" t="str">
        <f t="shared" si="2"/>
        <v>COMPLIANT</v>
      </c>
    </row>
    <row r="36" spans="2:6" x14ac:dyDescent="0.2">
      <c r="B36" s="423" t="s">
        <v>458</v>
      </c>
      <c r="C36" s="454">
        <v>29.602144906246565</v>
      </c>
      <c r="D36" s="455">
        <f t="shared" si="0"/>
        <v>14.801072453123282</v>
      </c>
      <c r="E36" s="456">
        <f t="shared" si="1"/>
        <v>14.801072453123282</v>
      </c>
      <c r="F36" s="434" t="str">
        <f t="shared" si="2"/>
        <v>COMPLIANT</v>
      </c>
    </row>
    <row r="37" spans="2:6" x14ac:dyDescent="0.2">
      <c r="B37" s="423"/>
      <c r="C37" s="454"/>
      <c r="D37" s="455" t="str">
        <f t="shared" si="0"/>
        <v/>
      </c>
      <c r="E37" s="456" t="str">
        <f t="shared" si="1"/>
        <v/>
      </c>
      <c r="F37" s="434" t="str">
        <f t="shared" si="2"/>
        <v/>
      </c>
    </row>
    <row r="38" spans="2:6" x14ac:dyDescent="0.2">
      <c r="B38" s="457" t="s">
        <v>459</v>
      </c>
      <c r="C38" s="454"/>
      <c r="D38" s="455" t="str">
        <f t="shared" si="0"/>
        <v/>
      </c>
      <c r="E38" s="456" t="str">
        <f t="shared" si="1"/>
        <v/>
      </c>
      <c r="F38" s="434" t="str">
        <f t="shared" si="2"/>
        <v/>
      </c>
    </row>
    <row r="39" spans="2:6" x14ac:dyDescent="0.2">
      <c r="B39" s="423" t="s">
        <v>460</v>
      </c>
      <c r="C39" s="454">
        <v>138.8229943477053</v>
      </c>
      <c r="D39" s="455">
        <f>IF(C39="","",C39)</f>
        <v>138.8229943477053</v>
      </c>
      <c r="E39" s="456">
        <f t="shared" si="1"/>
        <v>138.8229943477053</v>
      </c>
      <c r="F39" s="434" t="str">
        <f t="shared" si="2"/>
        <v>COMPLIANT</v>
      </c>
    </row>
    <row r="40" spans="2:6" x14ac:dyDescent="0.2">
      <c r="B40" s="423" t="s">
        <v>461</v>
      </c>
      <c r="C40" s="454">
        <v>-29.270537467035069</v>
      </c>
      <c r="D40" s="455">
        <f>IF(C40="","",C40)</f>
        <v>-29.270537467035069</v>
      </c>
      <c r="E40" s="456">
        <f t="shared" si="1"/>
        <v>-29.270537467035069</v>
      </c>
      <c r="F40" s="434" t="str">
        <f t="shared" si="2"/>
        <v>COMPLIANT</v>
      </c>
    </row>
    <row r="41" spans="2:6" x14ac:dyDescent="0.2">
      <c r="B41" s="423"/>
      <c r="C41" s="428"/>
      <c r="D41" s="424" t="str">
        <f t="shared" si="0"/>
        <v/>
      </c>
      <c r="E41" s="432" t="str">
        <f t="shared" si="1"/>
        <v/>
      </c>
      <c r="F41" s="434" t="str">
        <f t="shared" si="2"/>
        <v/>
      </c>
    </row>
    <row r="42" spans="2:6" x14ac:dyDescent="0.2">
      <c r="B42" s="423"/>
      <c r="C42" s="428"/>
      <c r="D42" s="424" t="str">
        <f t="shared" si="0"/>
        <v/>
      </c>
      <c r="E42" s="432" t="str">
        <f t="shared" si="1"/>
        <v/>
      </c>
      <c r="F42" s="434" t="str">
        <f t="shared" si="2"/>
        <v/>
      </c>
    </row>
    <row r="43" spans="2:6" x14ac:dyDescent="0.2">
      <c r="B43" s="423"/>
      <c r="C43" s="428"/>
      <c r="D43" s="424" t="str">
        <f t="shared" si="0"/>
        <v/>
      </c>
      <c r="E43" s="432" t="str">
        <f t="shared" si="1"/>
        <v/>
      </c>
      <c r="F43" s="434" t="str">
        <f t="shared" si="2"/>
        <v/>
      </c>
    </row>
    <row r="44" spans="2:6" x14ac:dyDescent="0.2">
      <c r="B44" s="423"/>
      <c r="C44" s="428"/>
      <c r="D44" s="424" t="str">
        <f t="shared" si="0"/>
        <v/>
      </c>
      <c r="E44" s="432" t="str">
        <f t="shared" si="1"/>
        <v/>
      </c>
      <c r="F44" s="434" t="str">
        <f t="shared" si="2"/>
        <v/>
      </c>
    </row>
    <row r="45" spans="2:6" x14ac:dyDescent="0.2">
      <c r="B45" s="423"/>
      <c r="C45" s="428"/>
      <c r="D45" s="424" t="str">
        <f t="shared" si="0"/>
        <v/>
      </c>
      <c r="E45" s="432" t="str">
        <f t="shared" si="1"/>
        <v/>
      </c>
      <c r="F45" s="434" t="str">
        <f t="shared" si="2"/>
        <v/>
      </c>
    </row>
    <row r="46" spans="2:6" x14ac:dyDescent="0.2">
      <c r="B46" s="423"/>
      <c r="C46" s="428"/>
      <c r="D46" s="424" t="str">
        <f t="shared" si="0"/>
        <v/>
      </c>
      <c r="E46" s="432" t="str">
        <f t="shared" si="1"/>
        <v/>
      </c>
      <c r="F46" s="434" t="str">
        <f t="shared" si="2"/>
        <v/>
      </c>
    </row>
    <row r="47" spans="2:6" x14ac:dyDescent="0.2">
      <c r="B47" s="423"/>
      <c r="C47" s="428"/>
      <c r="D47" s="424" t="str">
        <f t="shared" si="0"/>
        <v/>
      </c>
      <c r="E47" s="432" t="str">
        <f t="shared" si="1"/>
        <v/>
      </c>
      <c r="F47" s="434" t="str">
        <f t="shared" si="2"/>
        <v/>
      </c>
    </row>
    <row r="48" spans="2:6" x14ac:dyDescent="0.2">
      <c r="B48" s="423"/>
      <c r="C48" s="428"/>
      <c r="D48" s="424" t="str">
        <f t="shared" si="0"/>
        <v/>
      </c>
      <c r="E48" s="432" t="str">
        <f t="shared" si="1"/>
        <v/>
      </c>
      <c r="F48" s="434" t="str">
        <f t="shared" si="2"/>
        <v/>
      </c>
    </row>
    <row r="49" spans="2:6" x14ac:dyDescent="0.2">
      <c r="B49" s="423"/>
      <c r="C49" s="428"/>
      <c r="D49" s="424" t="str">
        <f t="shared" si="0"/>
        <v/>
      </c>
      <c r="E49" s="432" t="str">
        <f t="shared" si="1"/>
        <v/>
      </c>
      <c r="F49" s="434" t="str">
        <f t="shared" si="2"/>
        <v/>
      </c>
    </row>
    <row r="50" spans="2:6" ht="13.5" thickBot="1" x14ac:dyDescent="0.25">
      <c r="B50" s="425"/>
      <c r="C50" s="429"/>
      <c r="D50" s="426" t="str">
        <f t="shared" si="0"/>
        <v/>
      </c>
      <c r="E50" s="433" t="str">
        <f t="shared" si="1"/>
        <v/>
      </c>
      <c r="F50" s="434" t="str">
        <f t="shared" si="2"/>
        <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8" tint="0.59999389629810485"/>
  </sheetPr>
  <dimension ref="B1:K67"/>
  <sheetViews>
    <sheetView zoomScale="85" zoomScaleNormal="85" workbookViewId="0">
      <selection activeCell="D22" sqref="D22"/>
    </sheetView>
  </sheetViews>
  <sheetFormatPr defaultRowHeight="12.75" x14ac:dyDescent="0.2"/>
  <cols>
    <col min="1" max="1" width="9.140625" style="421"/>
    <col min="2" max="2" width="51.28515625" style="421" customWidth="1"/>
    <col min="3" max="3" width="16.7109375" style="421" customWidth="1"/>
    <col min="4" max="5" width="9.140625" style="421"/>
    <col min="6" max="6" width="11.140625" style="421" customWidth="1"/>
    <col min="7" max="7" width="25.42578125" style="421" customWidth="1"/>
    <col min="8" max="16384" width="9.140625" style="421"/>
  </cols>
  <sheetData>
    <row r="1" spans="2:11" ht="15" x14ac:dyDescent="0.25">
      <c r="B1" s="420" t="str">
        <f>"Tariff Approval - "&amp;'Model update'!C3</f>
        <v>Tariff Approval - CitiPower</v>
      </c>
      <c r="C1" s="420"/>
    </row>
    <row r="3" spans="2:11" x14ac:dyDescent="0.2">
      <c r="B3" s="422" t="s">
        <v>412</v>
      </c>
      <c r="C3" s="422"/>
    </row>
    <row r="4" spans="2:11" ht="13.5" thickBot="1" x14ac:dyDescent="0.25"/>
    <row r="5" spans="2:11" ht="38.25" x14ac:dyDescent="0.2">
      <c r="B5" s="448" t="s">
        <v>413</v>
      </c>
      <c r="C5" s="458"/>
      <c r="D5" s="449" t="s">
        <v>408</v>
      </c>
      <c r="E5" s="449" t="s">
        <v>406</v>
      </c>
      <c r="F5" s="450" t="s">
        <v>407</v>
      </c>
      <c r="J5" s="470" t="s">
        <v>424</v>
      </c>
      <c r="K5" s="471"/>
    </row>
    <row r="6" spans="2:11" x14ac:dyDescent="0.2">
      <c r="B6" s="423" t="s">
        <v>462</v>
      </c>
      <c r="C6" s="424" t="s">
        <v>463</v>
      </c>
      <c r="D6" s="451">
        <v>378.87728699903442</v>
      </c>
      <c r="E6" s="452">
        <f>IF(D6="","",D6*(1+$K$6)*(1-$K$7))</f>
        <v>378.00746070973037</v>
      </c>
      <c r="F6" s="453">
        <f>E6</f>
        <v>378.00746070973037</v>
      </c>
      <c r="G6" s="434" t="str">
        <f>IF(F6="","",IF(F6&lt;=E6,"COMPLIANT","BREACHED"))</f>
        <v>COMPLIANT</v>
      </c>
      <c r="J6" s="444" t="s">
        <v>76</v>
      </c>
      <c r="K6" s="445">
        <f>'Model update'!C30</f>
        <v>-3.4843205574912606E-3</v>
      </c>
    </row>
    <row r="7" spans="2:11" ht="13.5" thickBot="1" x14ac:dyDescent="0.25">
      <c r="B7" s="423"/>
      <c r="C7" s="424" t="s">
        <v>464</v>
      </c>
      <c r="D7" s="454">
        <v>432.79491254504921</v>
      </c>
      <c r="E7" s="455">
        <f t="shared" ref="E7:E67" si="0">IF(D7="","",D7*(1+$K$6)*(1-$K$7))</f>
        <v>431.80130219751288</v>
      </c>
      <c r="F7" s="456">
        <f t="shared" ref="F7:F67" si="1">E7</f>
        <v>431.80130219751288</v>
      </c>
      <c r="G7" s="434" t="str">
        <f t="shared" ref="G7:G67" si="2">IF(F7="","",IF(F7&lt;=E7,"COMPLIANT","BREACHED"))</f>
        <v>COMPLIANT</v>
      </c>
      <c r="J7" s="425" t="s">
        <v>423</v>
      </c>
      <c r="K7" s="447">
        <f>'Model update'!C35</f>
        <v>-1.1926767169156999E-3</v>
      </c>
    </row>
    <row r="8" spans="2:11" x14ac:dyDescent="0.2">
      <c r="B8" s="423" t="s">
        <v>465</v>
      </c>
      <c r="C8" s="424" t="s">
        <v>463</v>
      </c>
      <c r="D8" s="454">
        <v>422.87478521476197</v>
      </c>
      <c r="E8" s="455">
        <f t="shared" si="0"/>
        <v>421.90394949067553</v>
      </c>
      <c r="F8" s="456">
        <f t="shared" si="1"/>
        <v>421.90394949067553</v>
      </c>
      <c r="G8" s="434" t="str">
        <f t="shared" si="2"/>
        <v>COMPLIANT</v>
      </c>
    </row>
    <row r="9" spans="2:11" x14ac:dyDescent="0.2">
      <c r="B9" s="423"/>
      <c r="C9" s="424" t="s">
        <v>464</v>
      </c>
      <c r="D9" s="454">
        <v>484.46457237134859</v>
      </c>
      <c r="E9" s="455">
        <f t="shared" si="0"/>
        <v>483.35233884417465</v>
      </c>
      <c r="F9" s="456">
        <f t="shared" si="1"/>
        <v>483.35233884417465</v>
      </c>
      <c r="G9" s="434" t="str">
        <f t="shared" si="2"/>
        <v>COMPLIANT</v>
      </c>
    </row>
    <row r="10" spans="2:11" x14ac:dyDescent="0.2">
      <c r="B10" s="423" t="s">
        <v>466</v>
      </c>
      <c r="C10" s="424" t="s">
        <v>463</v>
      </c>
      <c r="D10" s="454">
        <v>195.91971879591131</v>
      </c>
      <c r="E10" s="455">
        <f t="shared" si="0"/>
        <v>195.46992640177876</v>
      </c>
      <c r="F10" s="456">
        <f t="shared" si="1"/>
        <v>195.46992640177876</v>
      </c>
      <c r="G10" s="434" t="str">
        <f t="shared" si="2"/>
        <v>COMPLIANT</v>
      </c>
    </row>
    <row r="11" spans="2:11" x14ac:dyDescent="0.2">
      <c r="B11" s="423" t="s">
        <v>467</v>
      </c>
      <c r="C11" s="424" t="s">
        <v>463</v>
      </c>
      <c r="D11" s="454">
        <v>473.91814613407576</v>
      </c>
      <c r="E11" s="455">
        <f t="shared" si="0"/>
        <v>472.83012508707463</v>
      </c>
      <c r="F11" s="456">
        <f t="shared" si="1"/>
        <v>472.83012508707463</v>
      </c>
      <c r="G11" s="434" t="str">
        <f t="shared" si="2"/>
        <v>COMPLIANT</v>
      </c>
    </row>
    <row r="12" spans="2:11" x14ac:dyDescent="0.2">
      <c r="B12" s="423"/>
      <c r="C12" s="424" t="s">
        <v>464</v>
      </c>
      <c r="D12" s="454">
        <v>544.41032489709823</v>
      </c>
      <c r="E12" s="455">
        <f t="shared" si="0"/>
        <v>543.16046794073418</v>
      </c>
      <c r="F12" s="456">
        <f t="shared" si="1"/>
        <v>543.16046794073418</v>
      </c>
      <c r="G12" s="434" t="str">
        <f t="shared" si="2"/>
        <v>COMPLIANT</v>
      </c>
    </row>
    <row r="13" spans="2:11" x14ac:dyDescent="0.2">
      <c r="B13" s="423" t="s">
        <v>468</v>
      </c>
      <c r="C13" s="424" t="s">
        <v>463</v>
      </c>
      <c r="D13" s="454">
        <v>363.76782586801068</v>
      </c>
      <c r="E13" s="455">
        <f t="shared" si="0"/>
        <v>362.93268787214612</v>
      </c>
      <c r="F13" s="456">
        <f t="shared" ref="F13:F60" si="3">E13</f>
        <v>362.93268787214612</v>
      </c>
      <c r="G13" s="434" t="str">
        <f t="shared" ref="G13:G60" si="4">IF(F13="","",IF(F13&lt;=E13,"COMPLIANT","BREACHED"))</f>
        <v>COMPLIANT</v>
      </c>
    </row>
    <row r="14" spans="2:11" x14ac:dyDescent="0.2">
      <c r="B14" s="423" t="s">
        <v>469</v>
      </c>
      <c r="C14" s="424" t="s">
        <v>463</v>
      </c>
      <c r="D14" s="454">
        <v>614.73474502432123</v>
      </c>
      <c r="E14" s="455">
        <f t="shared" si="0"/>
        <v>613.32343729878812</v>
      </c>
      <c r="F14" s="456">
        <f t="shared" si="3"/>
        <v>613.32343729878812</v>
      </c>
      <c r="G14" s="434" t="str">
        <f t="shared" si="4"/>
        <v>COMPLIANT</v>
      </c>
    </row>
    <row r="15" spans="2:11" x14ac:dyDescent="0.2">
      <c r="B15" s="423"/>
      <c r="C15" s="424" t="s">
        <v>464</v>
      </c>
      <c r="D15" s="454">
        <v>709.7756041593625</v>
      </c>
      <c r="E15" s="455">
        <f t="shared" si="0"/>
        <v>708.14610167613216</v>
      </c>
      <c r="F15" s="456">
        <f t="shared" si="3"/>
        <v>708.14610167613216</v>
      </c>
      <c r="G15" s="434" t="str">
        <f t="shared" si="4"/>
        <v>COMPLIANT</v>
      </c>
    </row>
    <row r="16" spans="2:11" x14ac:dyDescent="0.2">
      <c r="B16" s="423" t="s">
        <v>470</v>
      </c>
      <c r="C16" s="424" t="s">
        <v>463</v>
      </c>
      <c r="D16" s="454">
        <v>38.562118415818119</v>
      </c>
      <c r="E16" s="455">
        <f t="shared" si="0"/>
        <v>38.473587523309334</v>
      </c>
      <c r="F16" s="456">
        <f t="shared" si="3"/>
        <v>38.473587523309334</v>
      </c>
      <c r="G16" s="434" t="str">
        <f t="shared" si="4"/>
        <v>COMPLIANT</v>
      </c>
    </row>
    <row r="17" spans="2:7" x14ac:dyDescent="0.2">
      <c r="B17" s="423" t="s">
        <v>471</v>
      </c>
      <c r="C17" s="424" t="s">
        <v>463</v>
      </c>
      <c r="D17" s="454">
        <v>38.562118415818119</v>
      </c>
      <c r="E17" s="455">
        <f t="shared" si="0"/>
        <v>38.473587523309334</v>
      </c>
      <c r="F17" s="456">
        <f t="shared" si="3"/>
        <v>38.473587523309334</v>
      </c>
      <c r="G17" s="434" t="str">
        <f t="shared" si="4"/>
        <v>COMPLIANT</v>
      </c>
    </row>
    <row r="18" spans="2:7" x14ac:dyDescent="0.2">
      <c r="B18" s="423" t="s">
        <v>472</v>
      </c>
      <c r="C18" s="424" t="s">
        <v>463</v>
      </c>
      <c r="D18" s="454">
        <v>37.991739054099234</v>
      </c>
      <c r="E18" s="455">
        <f t="shared" si="0"/>
        <v>37.904517638248784</v>
      </c>
      <c r="F18" s="456">
        <f t="shared" si="3"/>
        <v>37.904517638248784</v>
      </c>
      <c r="G18" s="434" t="str">
        <f t="shared" si="4"/>
        <v>COMPLIANT</v>
      </c>
    </row>
    <row r="19" spans="2:7" x14ac:dyDescent="0.2">
      <c r="B19" s="423" t="s">
        <v>473</v>
      </c>
      <c r="C19" s="424" t="s">
        <v>463</v>
      </c>
      <c r="D19" s="454">
        <v>48.78421129054486</v>
      </c>
      <c r="E19" s="455">
        <f t="shared" si="0"/>
        <v>48.672212522237622</v>
      </c>
      <c r="F19" s="456">
        <f t="shared" si="3"/>
        <v>48.672212522237622</v>
      </c>
      <c r="G19" s="434" t="str">
        <f t="shared" si="4"/>
        <v>COMPLIANT</v>
      </c>
    </row>
    <row r="20" spans="2:7" x14ac:dyDescent="0.2">
      <c r="B20" s="423" t="s">
        <v>472</v>
      </c>
      <c r="C20" s="424" t="s">
        <v>464</v>
      </c>
      <c r="D20" s="454">
        <v>177.15311940445451</v>
      </c>
      <c r="E20" s="455">
        <f t="shared" si="0"/>
        <v>176.74641135998257</v>
      </c>
      <c r="F20" s="456">
        <f t="shared" si="3"/>
        <v>176.74641135998257</v>
      </c>
      <c r="G20" s="434" t="str">
        <f t="shared" si="4"/>
        <v>COMPLIANT</v>
      </c>
    </row>
    <row r="21" spans="2:7" x14ac:dyDescent="0.2">
      <c r="B21" s="423" t="s">
        <v>474</v>
      </c>
      <c r="C21" s="424" t="s">
        <v>463</v>
      </c>
      <c r="D21" s="454">
        <v>31.247841894952401</v>
      </c>
      <c r="E21" s="455">
        <f t="shared" si="0"/>
        <v>31.176103114885823</v>
      </c>
      <c r="F21" s="456">
        <f t="shared" si="3"/>
        <v>31.176103114885823</v>
      </c>
      <c r="G21" s="434" t="str">
        <f t="shared" si="4"/>
        <v>COMPLIANT</v>
      </c>
    </row>
    <row r="22" spans="2:7" x14ac:dyDescent="0.2">
      <c r="B22" s="423" t="s">
        <v>475</v>
      </c>
      <c r="C22" s="424"/>
      <c r="D22" s="454">
        <v>31.247841894952401</v>
      </c>
      <c r="E22" s="455">
        <f t="shared" si="0"/>
        <v>31.176103114885823</v>
      </c>
      <c r="F22" s="456">
        <f t="shared" si="3"/>
        <v>31.176103114885823</v>
      </c>
      <c r="G22" s="434" t="str">
        <f t="shared" si="4"/>
        <v>COMPLIANT</v>
      </c>
    </row>
    <row r="23" spans="2:7" x14ac:dyDescent="0.2">
      <c r="B23" s="423" t="s">
        <v>476</v>
      </c>
      <c r="C23" s="424"/>
      <c r="D23" s="454">
        <v>49.768395287236281</v>
      </c>
      <c r="E23" s="455">
        <f t="shared" si="0"/>
        <v>49.654137029793084</v>
      </c>
      <c r="F23" s="456">
        <f t="shared" si="3"/>
        <v>49.654137029793084</v>
      </c>
      <c r="G23" s="434" t="str">
        <f t="shared" si="4"/>
        <v>COMPLIANT</v>
      </c>
    </row>
    <row r="24" spans="2:7" x14ac:dyDescent="0.2">
      <c r="B24" s="423" t="s">
        <v>477</v>
      </c>
      <c r="C24" s="424" t="s">
        <v>463</v>
      </c>
      <c r="D24" s="454">
        <v>578.34230496484543</v>
      </c>
      <c r="E24" s="455">
        <f t="shared" si="0"/>
        <v>577.01454698531688</v>
      </c>
      <c r="F24" s="456">
        <f t="shared" si="3"/>
        <v>577.01454698531688</v>
      </c>
      <c r="G24" s="434" t="str">
        <f t="shared" si="4"/>
        <v>COMPLIANT</v>
      </c>
    </row>
    <row r="25" spans="2:7" x14ac:dyDescent="0.2">
      <c r="B25" s="423"/>
      <c r="C25" s="424" t="s">
        <v>464</v>
      </c>
      <c r="D25" s="454">
        <v>697.45093638261312</v>
      </c>
      <c r="E25" s="455">
        <f t="shared" si="0"/>
        <v>695.84972886560809</v>
      </c>
      <c r="F25" s="456">
        <f t="shared" si="3"/>
        <v>695.84972886560809</v>
      </c>
      <c r="G25" s="434" t="str">
        <f t="shared" si="4"/>
        <v>COMPLIANT</v>
      </c>
    </row>
    <row r="26" spans="2:7" x14ac:dyDescent="0.2">
      <c r="B26" s="423" t="s">
        <v>478</v>
      </c>
      <c r="C26" s="424" t="s">
        <v>463</v>
      </c>
      <c r="D26" s="454">
        <v>362.50404414498638</v>
      </c>
      <c r="E26" s="455">
        <f t="shared" si="0"/>
        <v>361.67180753858054</v>
      </c>
      <c r="F26" s="456">
        <f t="shared" si="3"/>
        <v>361.67180753858054</v>
      </c>
      <c r="G26" s="434" t="str">
        <f t="shared" si="4"/>
        <v>COMPLIANT</v>
      </c>
    </row>
    <row r="27" spans="2:7" x14ac:dyDescent="0.2">
      <c r="B27" s="423"/>
      <c r="C27" s="424" t="s">
        <v>464</v>
      </c>
      <c r="D27" s="454">
        <v>418.78147450124993</v>
      </c>
      <c r="E27" s="455">
        <f t="shared" si="0"/>
        <v>417.82003619788804</v>
      </c>
      <c r="F27" s="456">
        <f t="shared" si="3"/>
        <v>417.82003619788804</v>
      </c>
      <c r="G27" s="434" t="str">
        <f t="shared" si="4"/>
        <v>COMPLIANT</v>
      </c>
    </row>
    <row r="28" spans="2:7" x14ac:dyDescent="0.2">
      <c r="B28" s="423" t="s">
        <v>479</v>
      </c>
      <c r="C28" s="424"/>
      <c r="D28" s="454">
        <v>58.066855804793427</v>
      </c>
      <c r="E28" s="455">
        <f t="shared" si="0"/>
        <v>57.933545945772067</v>
      </c>
      <c r="F28" s="456">
        <f t="shared" si="3"/>
        <v>57.933545945772067</v>
      </c>
      <c r="G28" s="434" t="str">
        <f t="shared" si="4"/>
        <v>COMPLIANT</v>
      </c>
    </row>
    <row r="29" spans="2:7" x14ac:dyDescent="0.2">
      <c r="B29" s="423" t="s">
        <v>480</v>
      </c>
      <c r="C29" s="424"/>
      <c r="D29" s="454">
        <v>10.949046963191979</v>
      </c>
      <c r="E29" s="455">
        <f t="shared" si="0"/>
        <v>10.923910146554476</v>
      </c>
      <c r="F29" s="456">
        <f t="shared" si="3"/>
        <v>10.923910146554476</v>
      </c>
      <c r="G29" s="434" t="str">
        <f t="shared" si="4"/>
        <v>COMPLIANT</v>
      </c>
    </row>
    <row r="30" spans="2:7" x14ac:dyDescent="0.2">
      <c r="B30" s="423" t="s">
        <v>481</v>
      </c>
      <c r="C30" s="424"/>
      <c r="D30" s="454">
        <v>10.949046963191979</v>
      </c>
      <c r="E30" s="455">
        <f t="shared" si="0"/>
        <v>10.923910146554476</v>
      </c>
      <c r="F30" s="456">
        <f t="shared" si="3"/>
        <v>10.923910146554476</v>
      </c>
      <c r="G30" s="434" t="str">
        <f t="shared" si="4"/>
        <v>COMPLIANT</v>
      </c>
    </row>
    <row r="31" spans="2:7" x14ac:dyDescent="0.2">
      <c r="B31" s="423"/>
      <c r="C31" s="424"/>
      <c r="D31" s="454"/>
      <c r="E31" s="455" t="str">
        <f t="shared" si="0"/>
        <v/>
      </c>
      <c r="F31" s="456" t="str">
        <f t="shared" si="3"/>
        <v/>
      </c>
      <c r="G31" s="434" t="str">
        <f t="shared" si="4"/>
        <v/>
      </c>
    </row>
    <row r="32" spans="2:7" x14ac:dyDescent="0.2">
      <c r="B32" s="457" t="s">
        <v>482</v>
      </c>
      <c r="C32" s="424"/>
      <c r="D32" s="454"/>
      <c r="E32" s="455" t="str">
        <f t="shared" si="0"/>
        <v/>
      </c>
      <c r="F32" s="456" t="str">
        <f t="shared" si="3"/>
        <v/>
      </c>
      <c r="G32" s="434" t="str">
        <f t="shared" si="4"/>
        <v/>
      </c>
    </row>
    <row r="33" spans="2:7" x14ac:dyDescent="0.2">
      <c r="B33" s="423" t="s">
        <v>425</v>
      </c>
      <c r="C33" s="424" t="s">
        <v>463</v>
      </c>
      <c r="D33" s="454">
        <v>535.01584129231674</v>
      </c>
      <c r="E33" s="455">
        <f t="shared" si="0"/>
        <v>533.78755218679601</v>
      </c>
      <c r="F33" s="456">
        <f t="shared" si="3"/>
        <v>533.78755218679601</v>
      </c>
      <c r="G33" s="434" t="str">
        <f t="shared" si="4"/>
        <v>COMPLIANT</v>
      </c>
    </row>
    <row r="34" spans="2:7" x14ac:dyDescent="0.2">
      <c r="B34" s="423"/>
      <c r="C34" s="424" t="s">
        <v>464</v>
      </c>
      <c r="D34" s="454">
        <v>592.50113382633799</v>
      </c>
      <c r="E34" s="455">
        <f t="shared" si="0"/>
        <v>591.14087001446717</v>
      </c>
      <c r="F34" s="456">
        <f t="shared" si="3"/>
        <v>591.14087001446717</v>
      </c>
      <c r="G34" s="434" t="str">
        <f t="shared" si="4"/>
        <v>COMPLIANT</v>
      </c>
    </row>
    <row r="35" spans="2:7" x14ac:dyDescent="0.2">
      <c r="B35" s="423" t="s">
        <v>483</v>
      </c>
      <c r="C35" s="424" t="s">
        <v>463</v>
      </c>
      <c r="D35" s="454">
        <v>639.45118403213962</v>
      </c>
      <c r="E35" s="455">
        <f t="shared" si="0"/>
        <v>637.98313231807856</v>
      </c>
      <c r="F35" s="456">
        <f t="shared" si="3"/>
        <v>637.98313231807856</v>
      </c>
      <c r="G35" s="434" t="str">
        <f t="shared" si="4"/>
        <v>COMPLIANT</v>
      </c>
    </row>
    <row r="36" spans="2:7" x14ac:dyDescent="0.2">
      <c r="B36" s="423"/>
      <c r="C36" s="424" t="s">
        <v>464</v>
      </c>
      <c r="D36" s="454">
        <v>696.94766047521398</v>
      </c>
      <c r="E36" s="455">
        <f t="shared" si="0"/>
        <v>695.34760837878991</v>
      </c>
      <c r="F36" s="456">
        <f t="shared" si="3"/>
        <v>695.34760837878991</v>
      </c>
      <c r="G36" s="434" t="str">
        <f t="shared" si="4"/>
        <v>COMPLIANT</v>
      </c>
    </row>
    <row r="37" spans="2:7" x14ac:dyDescent="0.2">
      <c r="B37" s="423" t="s">
        <v>484</v>
      </c>
      <c r="C37" s="424" t="s">
        <v>463</v>
      </c>
      <c r="D37" s="454">
        <v>2674.1956776463721</v>
      </c>
      <c r="E37" s="455">
        <f t="shared" si="0"/>
        <v>2668.0562605237878</v>
      </c>
      <c r="F37" s="456">
        <f t="shared" si="3"/>
        <v>2668.0562605237878</v>
      </c>
      <c r="G37" s="434" t="str">
        <f t="shared" si="4"/>
        <v>COMPLIANT</v>
      </c>
    </row>
    <row r="38" spans="2:7" x14ac:dyDescent="0.2">
      <c r="B38" s="423"/>
      <c r="C38" s="424" t="s">
        <v>464</v>
      </c>
      <c r="D38" s="454">
        <v>3291.9612620241401</v>
      </c>
      <c r="E38" s="455">
        <f t="shared" si="0"/>
        <v>3284.4035789765248</v>
      </c>
      <c r="F38" s="456">
        <f t="shared" si="3"/>
        <v>3284.4035789765248</v>
      </c>
      <c r="G38" s="434" t="str">
        <f t="shared" si="4"/>
        <v>COMPLIANT</v>
      </c>
    </row>
    <row r="39" spans="2:7" x14ac:dyDescent="0.2">
      <c r="B39" s="423"/>
      <c r="C39" s="424"/>
      <c r="D39" s="454"/>
      <c r="E39" s="455" t="str">
        <f t="shared" si="0"/>
        <v/>
      </c>
      <c r="F39" s="456" t="str">
        <f t="shared" si="3"/>
        <v/>
      </c>
      <c r="G39" s="434" t="str">
        <f t="shared" si="4"/>
        <v/>
      </c>
    </row>
    <row r="40" spans="2:7" x14ac:dyDescent="0.2">
      <c r="B40" s="457" t="s">
        <v>485</v>
      </c>
      <c r="C40" s="424"/>
      <c r="D40" s="454"/>
      <c r="E40" s="455" t="str">
        <f t="shared" si="0"/>
        <v/>
      </c>
      <c r="F40" s="456" t="str">
        <f t="shared" si="3"/>
        <v/>
      </c>
      <c r="G40" s="434" t="str">
        <f t="shared" si="4"/>
        <v/>
      </c>
    </row>
    <row r="41" spans="2:7" x14ac:dyDescent="0.2">
      <c r="B41" s="423" t="s">
        <v>425</v>
      </c>
      <c r="C41" s="424" t="s">
        <v>463</v>
      </c>
      <c r="D41" s="454">
        <v>514.58283945191658</v>
      </c>
      <c r="E41" s="455">
        <f t="shared" si="0"/>
        <v>513.40146042197978</v>
      </c>
      <c r="F41" s="456">
        <f t="shared" si="3"/>
        <v>513.40146042197978</v>
      </c>
      <c r="G41" s="434" t="str">
        <f t="shared" si="4"/>
        <v>COMPLIANT</v>
      </c>
    </row>
    <row r="42" spans="2:7" x14ac:dyDescent="0.2">
      <c r="B42" s="423"/>
      <c r="C42" s="424" t="s">
        <v>464</v>
      </c>
      <c r="D42" s="454">
        <v>568.51164890698453</v>
      </c>
      <c r="E42" s="455">
        <f t="shared" si="0"/>
        <v>567.2064601428026</v>
      </c>
      <c r="F42" s="456">
        <f t="shared" si="3"/>
        <v>567.2064601428026</v>
      </c>
      <c r="G42" s="434" t="str">
        <f t="shared" si="4"/>
        <v>COMPLIANT</v>
      </c>
    </row>
    <row r="43" spans="2:7" x14ac:dyDescent="0.2">
      <c r="B43" s="423" t="s">
        <v>483</v>
      </c>
      <c r="C43" s="424" t="s">
        <v>463</v>
      </c>
      <c r="D43" s="454">
        <v>619.01818219173936</v>
      </c>
      <c r="E43" s="455">
        <f t="shared" si="0"/>
        <v>617.59704055326222</v>
      </c>
      <c r="F43" s="456">
        <f t="shared" si="3"/>
        <v>617.59704055326222</v>
      </c>
      <c r="G43" s="434" t="str">
        <f t="shared" si="4"/>
        <v>COMPLIANT</v>
      </c>
    </row>
    <row r="44" spans="2:7" x14ac:dyDescent="0.2">
      <c r="B44" s="423"/>
      <c r="C44" s="424" t="s">
        <v>464</v>
      </c>
      <c r="D44" s="454">
        <v>672.94699164680776</v>
      </c>
      <c r="E44" s="455">
        <f t="shared" si="0"/>
        <v>671.40204027408549</v>
      </c>
      <c r="F44" s="456">
        <f t="shared" si="3"/>
        <v>671.40204027408549</v>
      </c>
      <c r="G44" s="434" t="str">
        <f t="shared" si="4"/>
        <v>COMPLIANT</v>
      </c>
    </row>
    <row r="45" spans="2:7" x14ac:dyDescent="0.2">
      <c r="B45" s="423" t="s">
        <v>484</v>
      </c>
      <c r="C45" s="424" t="s">
        <v>463</v>
      </c>
      <c r="D45" s="454">
        <v>2282.9378033253201</v>
      </c>
      <c r="E45" s="455">
        <f t="shared" si="0"/>
        <v>2277.6966358383302</v>
      </c>
      <c r="F45" s="456">
        <f t="shared" si="3"/>
        <v>2277.6966358383302</v>
      </c>
      <c r="G45" s="434" t="str">
        <f t="shared" si="4"/>
        <v>COMPLIANT</v>
      </c>
    </row>
    <row r="46" spans="2:7" x14ac:dyDescent="0.2">
      <c r="B46" s="423"/>
      <c r="C46" s="424" t="s">
        <v>464</v>
      </c>
      <c r="D46" s="454">
        <v>2592.4189346485568</v>
      </c>
      <c r="E46" s="455">
        <f t="shared" si="0"/>
        <v>2586.4672605323603</v>
      </c>
      <c r="F46" s="456">
        <f t="shared" si="3"/>
        <v>2586.4672605323603</v>
      </c>
      <c r="G46" s="434" t="str">
        <f t="shared" si="4"/>
        <v>COMPLIANT</v>
      </c>
    </row>
    <row r="47" spans="2:7" x14ac:dyDescent="0.2">
      <c r="B47" s="423"/>
      <c r="C47" s="424"/>
      <c r="D47" s="428"/>
      <c r="E47" s="424" t="str">
        <f t="shared" si="0"/>
        <v/>
      </c>
      <c r="F47" s="432" t="str">
        <f t="shared" si="3"/>
        <v/>
      </c>
      <c r="G47" s="434" t="str">
        <f t="shared" si="4"/>
        <v/>
      </c>
    </row>
    <row r="48" spans="2:7" x14ac:dyDescent="0.2">
      <c r="B48" s="423"/>
      <c r="C48" s="424"/>
      <c r="D48" s="428"/>
      <c r="E48" s="424" t="str">
        <f t="shared" si="0"/>
        <v/>
      </c>
      <c r="F48" s="432" t="str">
        <f t="shared" si="3"/>
        <v/>
      </c>
      <c r="G48" s="434" t="str">
        <f t="shared" si="4"/>
        <v/>
      </c>
    </row>
    <row r="49" spans="2:7" x14ac:dyDescent="0.2">
      <c r="B49" s="457" t="s">
        <v>486</v>
      </c>
      <c r="C49" s="424"/>
      <c r="D49" s="428"/>
      <c r="E49" s="424" t="str">
        <f t="shared" si="0"/>
        <v/>
      </c>
      <c r="F49" s="432" t="str">
        <f t="shared" si="3"/>
        <v/>
      </c>
      <c r="G49" s="434" t="str">
        <f t="shared" si="4"/>
        <v/>
      </c>
    </row>
    <row r="50" spans="2:7" x14ac:dyDescent="0.2">
      <c r="B50" s="423" t="s">
        <v>487</v>
      </c>
      <c r="C50" s="424" t="s">
        <v>463</v>
      </c>
      <c r="D50" s="454">
        <v>134.62516914769748</v>
      </c>
      <c r="E50" s="455">
        <f t="shared" si="0"/>
        <v>134.31609675052584</v>
      </c>
      <c r="F50" s="456">
        <f t="shared" si="3"/>
        <v>134.31609675052584</v>
      </c>
      <c r="G50" s="434" t="str">
        <f t="shared" si="4"/>
        <v>COMPLIANT</v>
      </c>
    </row>
    <row r="51" spans="2:7" x14ac:dyDescent="0.2">
      <c r="B51" s="423"/>
      <c r="C51" s="424" t="s">
        <v>464</v>
      </c>
      <c r="D51" s="454">
        <v>158.10063782909651</v>
      </c>
      <c r="E51" s="455">
        <f t="shared" si="0"/>
        <v>157.73767046246249</v>
      </c>
      <c r="F51" s="456">
        <f t="shared" si="3"/>
        <v>157.73767046246249</v>
      </c>
      <c r="G51" s="434" t="str">
        <f t="shared" si="4"/>
        <v>COMPLIANT</v>
      </c>
    </row>
    <row r="52" spans="2:7" x14ac:dyDescent="0.2">
      <c r="B52" s="423" t="s">
        <v>488</v>
      </c>
      <c r="C52" s="424" t="s">
        <v>463</v>
      </c>
      <c r="D52" s="454">
        <v>76.138657128079259</v>
      </c>
      <c r="E52" s="455">
        <f t="shared" si="0"/>
        <v>75.963858036460763</v>
      </c>
      <c r="F52" s="456">
        <f t="shared" si="3"/>
        <v>75.963858036460763</v>
      </c>
      <c r="G52" s="434" t="str">
        <f t="shared" si="4"/>
        <v>COMPLIANT</v>
      </c>
    </row>
    <row r="53" spans="2:7" x14ac:dyDescent="0.2">
      <c r="B53" s="423"/>
      <c r="C53" s="424"/>
      <c r="D53" s="428"/>
      <c r="E53" s="424" t="str">
        <f t="shared" si="0"/>
        <v/>
      </c>
      <c r="F53" s="432" t="str">
        <f t="shared" si="3"/>
        <v/>
      </c>
      <c r="G53" s="434" t="str">
        <f t="shared" si="4"/>
        <v/>
      </c>
    </row>
    <row r="54" spans="2:7" x14ac:dyDescent="0.2">
      <c r="B54" s="423"/>
      <c r="C54" s="424"/>
      <c r="D54" s="428"/>
      <c r="E54" s="424" t="str">
        <f t="shared" si="0"/>
        <v/>
      </c>
      <c r="F54" s="432" t="str">
        <f t="shared" si="3"/>
        <v/>
      </c>
      <c r="G54" s="434" t="str">
        <f t="shared" si="4"/>
        <v/>
      </c>
    </row>
    <row r="55" spans="2:7" x14ac:dyDescent="0.2">
      <c r="B55" s="423"/>
      <c r="C55" s="424"/>
      <c r="D55" s="428"/>
      <c r="E55" s="424" t="str">
        <f t="shared" si="0"/>
        <v/>
      </c>
      <c r="F55" s="432" t="str">
        <f t="shared" si="3"/>
        <v/>
      </c>
      <c r="G55" s="434" t="str">
        <f t="shared" si="4"/>
        <v/>
      </c>
    </row>
    <row r="56" spans="2:7" x14ac:dyDescent="0.2">
      <c r="B56" s="423"/>
      <c r="C56" s="424"/>
      <c r="D56" s="428"/>
      <c r="E56" s="424" t="str">
        <f t="shared" si="0"/>
        <v/>
      </c>
      <c r="F56" s="432" t="str">
        <f t="shared" si="3"/>
        <v/>
      </c>
      <c r="G56" s="434" t="str">
        <f t="shared" si="4"/>
        <v/>
      </c>
    </row>
    <row r="57" spans="2:7" x14ac:dyDescent="0.2">
      <c r="B57" s="423"/>
      <c r="C57" s="424"/>
      <c r="D57" s="428"/>
      <c r="E57" s="424" t="str">
        <f t="shared" si="0"/>
        <v/>
      </c>
      <c r="F57" s="432" t="str">
        <f t="shared" si="3"/>
        <v/>
      </c>
      <c r="G57" s="434" t="str">
        <f t="shared" si="4"/>
        <v/>
      </c>
    </row>
    <row r="58" spans="2:7" x14ac:dyDescent="0.2">
      <c r="B58" s="423"/>
      <c r="C58" s="424"/>
      <c r="D58" s="428"/>
      <c r="E58" s="424" t="str">
        <f t="shared" si="0"/>
        <v/>
      </c>
      <c r="F58" s="432" t="str">
        <f t="shared" si="3"/>
        <v/>
      </c>
      <c r="G58" s="434" t="str">
        <f t="shared" si="4"/>
        <v/>
      </c>
    </row>
    <row r="59" spans="2:7" x14ac:dyDescent="0.2">
      <c r="B59" s="423"/>
      <c r="C59" s="424"/>
      <c r="D59" s="428"/>
      <c r="E59" s="424" t="str">
        <f t="shared" si="0"/>
        <v/>
      </c>
      <c r="F59" s="432" t="str">
        <f t="shared" si="3"/>
        <v/>
      </c>
      <c r="G59" s="434" t="str">
        <f t="shared" si="4"/>
        <v/>
      </c>
    </row>
    <row r="60" spans="2:7" x14ac:dyDescent="0.2">
      <c r="B60" s="423"/>
      <c r="C60" s="424"/>
      <c r="D60" s="428"/>
      <c r="E60" s="424" t="str">
        <f t="shared" si="0"/>
        <v/>
      </c>
      <c r="F60" s="432" t="str">
        <f t="shared" si="3"/>
        <v/>
      </c>
      <c r="G60" s="434" t="str">
        <f t="shared" si="4"/>
        <v/>
      </c>
    </row>
    <row r="61" spans="2:7" x14ac:dyDescent="0.2">
      <c r="B61" s="423"/>
      <c r="C61" s="424"/>
      <c r="D61" s="428"/>
      <c r="E61" s="424" t="str">
        <f t="shared" si="0"/>
        <v/>
      </c>
      <c r="F61" s="432" t="str">
        <f t="shared" si="1"/>
        <v/>
      </c>
      <c r="G61" s="434" t="str">
        <f t="shared" si="2"/>
        <v/>
      </c>
    </row>
    <row r="62" spans="2:7" x14ac:dyDescent="0.2">
      <c r="B62" s="423"/>
      <c r="C62" s="424"/>
      <c r="D62" s="428"/>
      <c r="E62" s="424" t="str">
        <f t="shared" si="0"/>
        <v/>
      </c>
      <c r="F62" s="432" t="str">
        <f t="shared" si="1"/>
        <v/>
      </c>
      <c r="G62" s="434" t="str">
        <f t="shared" si="2"/>
        <v/>
      </c>
    </row>
    <row r="63" spans="2:7" x14ac:dyDescent="0.2">
      <c r="B63" s="423"/>
      <c r="C63" s="424"/>
      <c r="D63" s="428"/>
      <c r="E63" s="424" t="str">
        <f t="shared" si="0"/>
        <v/>
      </c>
      <c r="F63" s="432" t="str">
        <f t="shared" si="1"/>
        <v/>
      </c>
      <c r="G63" s="434" t="str">
        <f t="shared" si="2"/>
        <v/>
      </c>
    </row>
    <row r="64" spans="2:7" x14ac:dyDescent="0.2">
      <c r="B64" s="423"/>
      <c r="C64" s="424"/>
      <c r="D64" s="428"/>
      <c r="E64" s="424" t="str">
        <f t="shared" si="0"/>
        <v/>
      </c>
      <c r="F64" s="432" t="str">
        <f t="shared" si="1"/>
        <v/>
      </c>
      <c r="G64" s="434" t="str">
        <f t="shared" si="2"/>
        <v/>
      </c>
    </row>
    <row r="65" spans="2:7" x14ac:dyDescent="0.2">
      <c r="B65" s="423"/>
      <c r="C65" s="424"/>
      <c r="D65" s="428"/>
      <c r="E65" s="424" t="str">
        <f t="shared" si="0"/>
        <v/>
      </c>
      <c r="F65" s="432" t="str">
        <f t="shared" si="1"/>
        <v/>
      </c>
      <c r="G65" s="434" t="str">
        <f t="shared" si="2"/>
        <v/>
      </c>
    </row>
    <row r="66" spans="2:7" x14ac:dyDescent="0.2">
      <c r="B66" s="423"/>
      <c r="C66" s="424"/>
      <c r="D66" s="428"/>
      <c r="E66" s="424" t="str">
        <f t="shared" si="0"/>
        <v/>
      </c>
      <c r="F66" s="432" t="str">
        <f t="shared" si="1"/>
        <v/>
      </c>
      <c r="G66" s="434" t="str">
        <f t="shared" si="2"/>
        <v/>
      </c>
    </row>
    <row r="67" spans="2:7" ht="13.5" thickBot="1" x14ac:dyDescent="0.25">
      <c r="B67" s="425"/>
      <c r="C67" s="426"/>
      <c r="D67" s="429"/>
      <c r="E67" s="426" t="str">
        <f t="shared" si="0"/>
        <v/>
      </c>
      <c r="F67" s="433" t="str">
        <f t="shared" si="1"/>
        <v/>
      </c>
      <c r="G67" s="434" t="str">
        <f t="shared" si="2"/>
        <v/>
      </c>
    </row>
  </sheetData>
  <mergeCells count="1">
    <mergeCell ref="J5:K5"/>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13"/>
    <pageSetUpPr autoPageBreaks="0"/>
  </sheetPr>
  <dimension ref="A1:BV105"/>
  <sheetViews>
    <sheetView zoomScale="80" zoomScaleNormal="80" zoomScaleSheetLayoutView="85" workbookViewId="0">
      <pane xSplit="3" ySplit="5" topLeftCell="D6" activePane="bottomRight" state="frozen"/>
      <selection activeCell="B1" sqref="B1"/>
      <selection pane="topRight" activeCell="B1" sqref="B1"/>
      <selection pane="bottomLeft" activeCell="B1" sqref="B1"/>
      <selection pane="bottomRight" activeCell="C2" sqref="C2"/>
    </sheetView>
  </sheetViews>
  <sheetFormatPr defaultRowHeight="12.75" x14ac:dyDescent="0.2"/>
  <cols>
    <col min="1" max="1" width="7.5703125" style="170" customWidth="1"/>
    <col min="2" max="2" width="51.28515625" style="170" customWidth="1"/>
    <col min="3" max="3" width="52.140625" style="170" customWidth="1"/>
    <col min="4" max="4" width="16" style="170" customWidth="1"/>
    <col min="5" max="5" width="11.28515625" style="170" bestFit="1" customWidth="1"/>
    <col min="6" max="6" width="15.42578125" style="170" customWidth="1"/>
    <col min="7" max="7" width="15.85546875" style="170" customWidth="1"/>
    <col min="8" max="8" width="15.28515625" style="170" customWidth="1"/>
    <col min="9" max="9" width="11.28515625" style="170" bestFit="1" customWidth="1"/>
    <col min="10" max="10" width="14.85546875" style="170" customWidth="1"/>
    <col min="11" max="11" width="9.140625" style="170"/>
    <col min="12" max="12" width="9.7109375" style="170" customWidth="1"/>
    <col min="13" max="13" width="13.28515625" style="170" customWidth="1"/>
    <col min="14" max="14" width="10.5703125" style="170" customWidth="1"/>
    <col min="15" max="16" width="11" style="170" bestFit="1" customWidth="1"/>
    <col min="17" max="17" width="1.85546875" style="170" customWidth="1"/>
    <col min="18" max="18" width="16" style="170" customWidth="1"/>
    <col min="19" max="20" width="11.28515625" style="170" bestFit="1" customWidth="1"/>
    <col min="21" max="21" width="14.85546875" style="170" customWidth="1"/>
    <col min="22" max="22" width="17" style="170" customWidth="1"/>
    <col min="23" max="23" width="10" style="170" bestFit="1" customWidth="1"/>
    <col min="24" max="24" width="17.7109375" style="170" customWidth="1"/>
    <col min="25" max="26" width="9.85546875" style="170" bestFit="1" customWidth="1"/>
    <col min="27" max="27" width="14.140625" style="170" customWidth="1"/>
    <col min="28" max="30" width="10.5703125" style="170" customWidth="1"/>
    <col min="31" max="31" width="1.85546875" style="170" customWidth="1"/>
    <col min="32" max="32" width="15.7109375" style="170" bestFit="1" customWidth="1"/>
    <col min="33" max="33" width="19.140625" style="170" bestFit="1" customWidth="1"/>
    <col min="34" max="34" width="17.85546875" style="170" bestFit="1" customWidth="1"/>
    <col min="35" max="35" width="15.7109375" style="170" customWidth="1"/>
    <col min="36" max="36" width="17.85546875" style="170" bestFit="1" customWidth="1"/>
    <col min="37" max="37" width="19.140625" style="170" bestFit="1" customWidth="1"/>
    <col min="38" max="39" width="17.85546875" style="170" bestFit="1" customWidth="1"/>
    <col min="40" max="40" width="10" style="170" bestFit="1" customWidth="1"/>
    <col min="41" max="41" width="13.140625" style="170" bestFit="1" customWidth="1"/>
    <col min="42" max="42" width="10.5703125" style="170" bestFit="1" customWidth="1"/>
    <col min="43" max="43" width="14.140625" style="170" customWidth="1"/>
    <col min="44" max="44" width="10.5703125" style="170" bestFit="1" customWidth="1"/>
    <col min="45" max="45" width="1.85546875" style="170" customWidth="1"/>
    <col min="46" max="46" width="14.42578125" style="170" bestFit="1" customWidth="1"/>
    <col min="47" max="47" width="15.7109375" style="170" bestFit="1" customWidth="1"/>
    <col min="48" max="48" width="15.5703125" style="170" customWidth="1"/>
    <col min="49" max="49" width="15.85546875" style="170" customWidth="1"/>
    <col min="50" max="50" width="17" style="170" customWidth="1"/>
    <col min="51" max="51" width="14.42578125" style="170" bestFit="1" customWidth="1"/>
    <col min="52" max="52" width="16.7109375" style="170" customWidth="1"/>
    <col min="53" max="54" width="9.85546875" style="170" bestFit="1" customWidth="1"/>
    <col min="55" max="55" width="14.42578125" style="170" bestFit="1" customWidth="1"/>
    <col min="56" max="58" width="10.5703125" style="170" bestFit="1" customWidth="1"/>
    <col min="59" max="59" width="17.85546875" style="170" customWidth="1"/>
    <col min="60" max="60" width="1.85546875" style="170" customWidth="1"/>
    <col min="61" max="61" width="14.5703125" style="170" customWidth="1"/>
    <col min="62" max="62" width="15.7109375" style="170" bestFit="1" customWidth="1"/>
    <col min="63" max="63" width="14.42578125" style="170" bestFit="1" customWidth="1"/>
    <col min="64" max="64" width="18.42578125" style="170" customWidth="1"/>
    <col min="65" max="65" width="17.85546875" style="170" customWidth="1"/>
    <col min="66" max="66" width="14.42578125" style="170" bestFit="1" customWidth="1"/>
    <col min="67" max="67" width="16.42578125" style="170" customWidth="1"/>
    <col min="68" max="69" width="10" style="170" bestFit="1" customWidth="1"/>
    <col min="70" max="70" width="14.42578125" style="170" bestFit="1" customWidth="1"/>
    <col min="71" max="73" width="10.5703125" style="170" bestFit="1" customWidth="1"/>
    <col min="74" max="74" width="17.85546875" style="170" bestFit="1" customWidth="1"/>
    <col min="75" max="16384" width="9.140625" style="170"/>
  </cols>
  <sheetData>
    <row r="1" spans="1:74" ht="14.25" x14ac:dyDescent="0.2">
      <c r="B1" s="218" t="str">
        <f>"Tariff Approval - "&amp;'Model update'!$C$3</f>
        <v>Tariff Approval - CitiPower</v>
      </c>
      <c r="C1" s="350" t="str">
        <f>"Prop"&amp;'Model update'!$C$5&amp;"DistTar"</f>
        <v>Prop2021DistTar</v>
      </c>
      <c r="F1" s="307"/>
    </row>
    <row r="2" spans="1:74" x14ac:dyDescent="0.2">
      <c r="D2" s="307"/>
      <c r="E2" s="307"/>
      <c r="F2" s="307"/>
    </row>
    <row r="3" spans="1:74" x14ac:dyDescent="0.2">
      <c r="B3" s="219" t="str">
        <f>"PROPOSED "&amp;'Model update'!$C$5&amp;" DISTRIBUTION TARIFFS"</f>
        <v>PROPOSED 2021 DISTRIBUTION TARIFFS</v>
      </c>
      <c r="C3" s="219"/>
    </row>
    <row r="4" spans="1:74" ht="13.5" thickBot="1" x14ac:dyDescent="0.25">
      <c r="D4" s="220" t="str">
        <f>"Proposed Distribution Tariffs (Pt) for "&amp;'Model update'!$C$5</f>
        <v>Proposed Distribution Tariffs (Pt) for 2021</v>
      </c>
      <c r="E4" s="221"/>
      <c r="F4" s="221"/>
      <c r="G4" s="221"/>
      <c r="H4" s="343"/>
      <c r="M4" s="222"/>
      <c r="R4" s="223" t="str">
        <f>"Current Distribution Tariffs (Pt-1) for "&amp;'Model update'!$C$8</f>
        <v>Current Distribution Tariffs (Pt-1) for 2020</v>
      </c>
      <c r="S4" s="224"/>
      <c r="T4" s="224"/>
      <c r="U4" s="225"/>
      <c r="V4" s="343"/>
      <c r="AF4" s="220" t="str">
        <f>"Forecast Quantities (Qt) for "&amp;'Model update'!$C$5</f>
        <v>Forecast Quantities (Qt) for 2021</v>
      </c>
      <c r="AG4" s="221"/>
      <c r="AH4" s="221"/>
      <c r="AI4" s="343"/>
      <c r="AJ4" s="343"/>
      <c r="AT4" s="223" t="str">
        <f>"Forecast Revenue (Pt "&amp;'Model update'!$C$5&amp;")*(Qt " &amp;'Model update'!$C$5&amp;")"</f>
        <v>Forecast Revenue (Pt 2021)*(Qt 2021)</v>
      </c>
      <c r="AU4" s="225"/>
      <c r="AV4" s="226"/>
      <c r="AW4" s="343"/>
      <c r="AX4" s="343"/>
      <c r="BI4" s="223" t="str">
        <f>"Revenue (Pt-1 "&amp;'Model update'!$C$8&amp;")*(Qt " &amp;'Model update'!$C$5&amp;")"</f>
        <v>Revenue (Pt-1 2020)*(Qt 2021)</v>
      </c>
      <c r="BJ4" s="221"/>
      <c r="BK4" s="343"/>
      <c r="BL4" s="343"/>
      <c r="BM4" s="343"/>
    </row>
    <row r="5" spans="1:74" ht="38.25" x14ac:dyDescent="0.2">
      <c r="B5" s="171" t="s">
        <v>87</v>
      </c>
      <c r="C5" s="459" t="s">
        <v>88</v>
      </c>
      <c r="D5" s="172" t="s">
        <v>89</v>
      </c>
      <c r="E5" s="460" t="s">
        <v>561</v>
      </c>
      <c r="F5" s="460" t="s">
        <v>562</v>
      </c>
      <c r="G5" s="460" t="s">
        <v>90</v>
      </c>
      <c r="H5" s="460" t="s">
        <v>563</v>
      </c>
      <c r="I5" s="460" t="s">
        <v>564</v>
      </c>
      <c r="J5" s="460" t="s">
        <v>565</v>
      </c>
      <c r="K5" s="460" t="s">
        <v>566</v>
      </c>
      <c r="L5" s="460" t="s">
        <v>567</v>
      </c>
      <c r="M5" s="460" t="s">
        <v>568</v>
      </c>
      <c r="N5" s="460" t="s">
        <v>569</v>
      </c>
      <c r="O5" s="460" t="s">
        <v>570</v>
      </c>
      <c r="P5" s="461" t="s">
        <v>571</v>
      </c>
      <c r="R5" s="172" t="s">
        <v>91</v>
      </c>
      <c r="S5" s="460" t="s">
        <v>572</v>
      </c>
      <c r="T5" s="460" t="s">
        <v>573</v>
      </c>
      <c r="U5" s="460" t="s">
        <v>574</v>
      </c>
      <c r="V5" s="460" t="s">
        <v>575</v>
      </c>
      <c r="W5" s="460" t="s">
        <v>576</v>
      </c>
      <c r="X5" s="460" t="s">
        <v>577</v>
      </c>
      <c r="Y5" s="460" t="s">
        <v>578</v>
      </c>
      <c r="Z5" s="460" t="s">
        <v>579</v>
      </c>
      <c r="AA5" s="460" t="s">
        <v>580</v>
      </c>
      <c r="AB5" s="460" t="s">
        <v>581</v>
      </c>
      <c r="AC5" s="460" t="s">
        <v>582</v>
      </c>
      <c r="AD5" s="461" t="s">
        <v>583</v>
      </c>
      <c r="AF5" s="172" t="s">
        <v>96</v>
      </c>
      <c r="AG5" s="460" t="s">
        <v>584</v>
      </c>
      <c r="AH5" s="460" t="s">
        <v>585</v>
      </c>
      <c r="AI5" s="460" t="s">
        <v>586</v>
      </c>
      <c r="AJ5" s="460" t="s">
        <v>587</v>
      </c>
      <c r="AK5" s="460" t="s">
        <v>588</v>
      </c>
      <c r="AL5" s="460" t="s">
        <v>589</v>
      </c>
      <c r="AM5" s="460" t="s">
        <v>590</v>
      </c>
      <c r="AN5" s="460" t="s">
        <v>591</v>
      </c>
      <c r="AO5" s="460" t="s">
        <v>592</v>
      </c>
      <c r="AP5" s="460" t="s">
        <v>593</v>
      </c>
      <c r="AQ5" s="460" t="s">
        <v>594</v>
      </c>
      <c r="AR5" s="461" t="s">
        <v>595</v>
      </c>
      <c r="AT5" s="99" t="s">
        <v>92</v>
      </c>
      <c r="AU5" s="462" t="s">
        <v>596</v>
      </c>
      <c r="AV5" s="462" t="s">
        <v>597</v>
      </c>
      <c r="AW5" s="462" t="s">
        <v>598</v>
      </c>
      <c r="AX5" s="462" t="s">
        <v>599</v>
      </c>
      <c r="AY5" s="462" t="s">
        <v>600</v>
      </c>
      <c r="AZ5" s="462" t="s">
        <v>601</v>
      </c>
      <c r="BA5" s="463" t="s">
        <v>602</v>
      </c>
      <c r="BB5" s="463" t="s">
        <v>603</v>
      </c>
      <c r="BC5" s="463" t="s">
        <v>604</v>
      </c>
      <c r="BD5" s="463" t="s">
        <v>605</v>
      </c>
      <c r="BE5" s="463" t="s">
        <v>606</v>
      </c>
      <c r="BF5" s="463" t="s">
        <v>607</v>
      </c>
      <c r="BG5" s="461" t="s">
        <v>93</v>
      </c>
      <c r="BI5" s="99" t="s">
        <v>94</v>
      </c>
      <c r="BJ5" s="462" t="s">
        <v>608</v>
      </c>
      <c r="BK5" s="462" t="s">
        <v>609</v>
      </c>
      <c r="BL5" s="462" t="s">
        <v>610</v>
      </c>
      <c r="BM5" s="462" t="s">
        <v>611</v>
      </c>
      <c r="BN5" s="462" t="s">
        <v>612</v>
      </c>
      <c r="BO5" s="462" t="s">
        <v>613</v>
      </c>
      <c r="BP5" s="463" t="s">
        <v>614</v>
      </c>
      <c r="BQ5" s="463" t="s">
        <v>615</v>
      </c>
      <c r="BR5" s="463" t="s">
        <v>616</v>
      </c>
      <c r="BS5" s="463" t="s">
        <v>617</v>
      </c>
      <c r="BT5" s="463" t="s">
        <v>618</v>
      </c>
      <c r="BU5" s="463" t="s">
        <v>619</v>
      </c>
      <c r="BV5" s="461" t="s">
        <v>95</v>
      </c>
    </row>
    <row r="6" spans="1:74" x14ac:dyDescent="0.2">
      <c r="A6" s="170" t="s">
        <v>489</v>
      </c>
      <c r="B6" s="173" t="s">
        <v>490</v>
      </c>
      <c r="C6" s="173" t="s">
        <v>490</v>
      </c>
      <c r="D6" s="310">
        <v>90</v>
      </c>
      <c r="E6" s="311">
        <v>4.2</v>
      </c>
      <c r="F6" s="311">
        <v>0</v>
      </c>
      <c r="G6" s="311">
        <v>0</v>
      </c>
      <c r="H6" s="311">
        <v>0</v>
      </c>
      <c r="I6" s="311">
        <v>0</v>
      </c>
      <c r="J6" s="311">
        <v>0</v>
      </c>
      <c r="K6" s="311">
        <v>0</v>
      </c>
      <c r="L6" s="311">
        <v>0</v>
      </c>
      <c r="M6" s="311">
        <v>0</v>
      </c>
      <c r="N6" s="311">
        <v>0</v>
      </c>
      <c r="O6" s="311">
        <v>0</v>
      </c>
      <c r="P6" s="352">
        <v>0</v>
      </c>
      <c r="R6" s="174">
        <f>Est2020DistRev!D6</f>
        <v>95</v>
      </c>
      <c r="S6" s="175">
        <f>Est2020DistRev!E6</f>
        <v>4.9000000000000004</v>
      </c>
      <c r="T6" s="176">
        <f>Est2020DistRev!F6</f>
        <v>0</v>
      </c>
      <c r="U6" s="176">
        <f>Est2020DistRev!G6</f>
        <v>0</v>
      </c>
      <c r="V6" s="176">
        <f>Est2020DistRev!H6</f>
        <v>0</v>
      </c>
      <c r="W6" s="176">
        <f>Est2020DistRev!I6</f>
        <v>0</v>
      </c>
      <c r="X6" s="176">
        <f>Est2020DistRev!J6</f>
        <v>0</v>
      </c>
      <c r="Y6" s="176">
        <f>Est2020DistRev!K6</f>
        <v>0</v>
      </c>
      <c r="Z6" s="176">
        <f>Est2020DistRev!L6</f>
        <v>0</v>
      </c>
      <c r="AA6" s="176">
        <f>Est2020DistRev!M6</f>
        <v>0</v>
      </c>
      <c r="AB6" s="176">
        <f>Est2020DistRev!N6</f>
        <v>0</v>
      </c>
      <c r="AC6" s="176">
        <f>Est2020DistRev!O6</f>
        <v>0</v>
      </c>
      <c r="AD6" s="177">
        <f>Est2020DistRev!P6</f>
        <v>0</v>
      </c>
      <c r="AF6" s="314">
        <v>103689.16722222226</v>
      </c>
      <c r="AG6" s="315">
        <v>405167262.35580963</v>
      </c>
      <c r="AH6" s="315"/>
      <c r="AI6" s="315">
        <v>0</v>
      </c>
      <c r="AJ6" s="315"/>
      <c r="AK6" s="315"/>
      <c r="AL6" s="315"/>
      <c r="AM6" s="315"/>
      <c r="AN6" s="315"/>
      <c r="AO6" s="315"/>
      <c r="AP6" s="315"/>
      <c r="AQ6" s="315"/>
      <c r="AR6" s="316"/>
      <c r="AT6" s="180">
        <f>D6*AF6</f>
        <v>9332025.0500000026</v>
      </c>
      <c r="AU6" s="181">
        <f t="shared" ref="AU6:AW6" si="0">E6/100*AG6</f>
        <v>17017025.018944006</v>
      </c>
      <c r="AV6" s="181">
        <f t="shared" si="0"/>
        <v>0</v>
      </c>
      <c r="AW6" s="181">
        <f t="shared" si="0"/>
        <v>0</v>
      </c>
      <c r="AX6" s="181">
        <f t="shared" ref="AX6" si="1">H6*AJ6</f>
        <v>0</v>
      </c>
      <c r="AY6" s="181">
        <f t="shared" ref="AY6" si="2">I6*AK6</f>
        <v>0</v>
      </c>
      <c r="AZ6" s="181">
        <f t="shared" ref="AZ6" si="3">J6*AL6</f>
        <v>0</v>
      </c>
      <c r="BA6" s="181">
        <f t="shared" ref="AU6:BA38" si="4">K6/100*AM6</f>
        <v>0</v>
      </c>
      <c r="BB6" s="181">
        <f t="shared" ref="BB6" si="5">L6/100*AN6</f>
        <v>0</v>
      </c>
      <c r="BC6" s="181">
        <f t="shared" ref="BC6" si="6">M6/100*AO6</f>
        <v>0</v>
      </c>
      <c r="BD6" s="181">
        <f t="shared" ref="BD6" si="7">N6/100*AP6</f>
        <v>0</v>
      </c>
      <c r="BE6" s="181">
        <f t="shared" ref="BE6" si="8">O6/100*AQ6</f>
        <v>0</v>
      </c>
      <c r="BF6" s="181">
        <f t="shared" ref="BF6" si="9">P6/100*AR6</f>
        <v>0</v>
      </c>
      <c r="BG6" s="182">
        <f t="shared" ref="BG6" si="10">SUM(AT6:BF6)</f>
        <v>26349050.068944007</v>
      </c>
      <c r="BI6" s="180">
        <f t="shared" ref="BI6" si="11">R6*AF6</f>
        <v>9850470.8861111142</v>
      </c>
      <c r="BJ6" s="181">
        <f t="shared" ref="BJ6:BL6" si="12">S6/100*AG6</f>
        <v>19853195.855434671</v>
      </c>
      <c r="BK6" s="181">
        <f t="shared" si="12"/>
        <v>0</v>
      </c>
      <c r="BL6" s="181">
        <f t="shared" si="12"/>
        <v>0</v>
      </c>
      <c r="BM6" s="181">
        <f t="shared" ref="BM6" si="13">V6*AJ6</f>
        <v>0</v>
      </c>
      <c r="BN6" s="181">
        <f t="shared" ref="BN6" si="14">W6*AK6</f>
        <v>0</v>
      </c>
      <c r="BO6" s="181">
        <f t="shared" ref="BO6" si="15">X6*AL6</f>
        <v>0</v>
      </c>
      <c r="BP6" s="181">
        <f t="shared" ref="BP6" si="16">Y6/100*AM6</f>
        <v>0</v>
      </c>
      <c r="BQ6" s="181">
        <f t="shared" ref="BQ6" si="17">Z6/100*AN6</f>
        <v>0</v>
      </c>
      <c r="BR6" s="181">
        <f t="shared" ref="BR6" si="18">AA6/100*AO6</f>
        <v>0</v>
      </c>
      <c r="BS6" s="181">
        <f t="shared" ref="BS6" si="19">AB6/100*AP6</f>
        <v>0</v>
      </c>
      <c r="BT6" s="181">
        <f t="shared" ref="BT6" si="20">AC6/100*AQ6</f>
        <v>0</v>
      </c>
      <c r="BU6" s="181">
        <f t="shared" ref="BU6" si="21">AD6/100*AR6</f>
        <v>0</v>
      </c>
      <c r="BV6" s="182">
        <f t="shared" ref="BV6" si="22">SUM(BI6:BU6)</f>
        <v>29703666.741545785</v>
      </c>
    </row>
    <row r="7" spans="1:74" x14ac:dyDescent="0.2">
      <c r="A7" s="170" t="s">
        <v>491</v>
      </c>
      <c r="B7" s="173" t="s">
        <v>492</v>
      </c>
      <c r="C7" s="173" t="s">
        <v>492</v>
      </c>
      <c r="D7" s="312">
        <v>90</v>
      </c>
      <c r="E7" s="313">
        <v>4.2</v>
      </c>
      <c r="F7" s="313">
        <v>0</v>
      </c>
      <c r="G7" s="313">
        <v>0</v>
      </c>
      <c r="H7" s="313">
        <v>0</v>
      </c>
      <c r="I7" s="313">
        <v>0</v>
      </c>
      <c r="J7" s="313">
        <v>0</v>
      </c>
      <c r="K7" s="313">
        <v>0</v>
      </c>
      <c r="L7" s="313">
        <v>0</v>
      </c>
      <c r="M7" s="313">
        <v>0</v>
      </c>
      <c r="N7" s="313">
        <v>0</v>
      </c>
      <c r="O7" s="313">
        <v>0</v>
      </c>
      <c r="P7" s="353">
        <v>0</v>
      </c>
      <c r="R7" s="183">
        <f>Est2020DistRev!D7</f>
        <v>95</v>
      </c>
      <c r="S7" s="184">
        <f>Est2020DistRev!E7</f>
        <v>4.2</v>
      </c>
      <c r="T7" s="184">
        <f>Est2020DistRev!F7</f>
        <v>0</v>
      </c>
      <c r="U7" s="184">
        <f>Est2020DistRev!G7</f>
        <v>0</v>
      </c>
      <c r="V7" s="184">
        <f>Est2020DistRev!H7</f>
        <v>0</v>
      </c>
      <c r="W7" s="184">
        <f>Est2020DistRev!I7</f>
        <v>0</v>
      </c>
      <c r="X7" s="184">
        <f>Est2020DistRev!J7</f>
        <v>0</v>
      </c>
      <c r="Y7" s="184">
        <f>Est2020DistRev!K7</f>
        <v>0</v>
      </c>
      <c r="Z7" s="184">
        <f>Est2020DistRev!L7</f>
        <v>0</v>
      </c>
      <c r="AA7" s="184">
        <f>Est2020DistRev!M7</f>
        <v>0</v>
      </c>
      <c r="AB7" s="184">
        <f>Est2020DistRev!N7</f>
        <v>0</v>
      </c>
      <c r="AC7" s="184">
        <f>Est2020DistRev!O7</f>
        <v>0</v>
      </c>
      <c r="AD7" s="185">
        <f>Est2020DistRev!P7</f>
        <v>0</v>
      </c>
      <c r="AF7" s="314">
        <v>15542.053003687797</v>
      </c>
      <c r="AG7" s="317">
        <v>50996355.10262797</v>
      </c>
      <c r="AH7" s="317"/>
      <c r="AI7" s="317">
        <v>0</v>
      </c>
      <c r="AJ7" s="317"/>
      <c r="AK7" s="317"/>
      <c r="AL7" s="317"/>
      <c r="AM7" s="317"/>
      <c r="AN7" s="317"/>
      <c r="AO7" s="317"/>
      <c r="AP7" s="317"/>
      <c r="AQ7" s="317"/>
      <c r="AR7" s="318"/>
      <c r="AT7" s="180">
        <f t="shared" ref="AT7:AT65" si="23">D7*AF7</f>
        <v>1398784.7703319017</v>
      </c>
      <c r="AU7" s="181">
        <f t="shared" si="4"/>
        <v>2141846.9143103748</v>
      </c>
      <c r="AV7" s="181">
        <f t="shared" si="4"/>
        <v>0</v>
      </c>
      <c r="AW7" s="181">
        <f t="shared" si="4"/>
        <v>0</v>
      </c>
      <c r="AX7" s="181">
        <f t="shared" ref="AX7:AX65" si="24">H7*AJ7</f>
        <v>0</v>
      </c>
      <c r="AY7" s="181">
        <f t="shared" ref="AY7:AY65" si="25">I7*AK7</f>
        <v>0</v>
      </c>
      <c r="AZ7" s="181">
        <f t="shared" ref="AZ7:AZ65" si="26">J7*AL7</f>
        <v>0</v>
      </c>
      <c r="BA7" s="181">
        <f t="shared" ref="BA7:BA65" si="27">K7/100*AM7</f>
        <v>0</v>
      </c>
      <c r="BB7" s="181">
        <f t="shared" ref="BB7:BB65" si="28">L7/100*AN7</f>
        <v>0</v>
      </c>
      <c r="BC7" s="181">
        <f t="shared" ref="BC7:BC65" si="29">M7/100*AO7</f>
        <v>0</v>
      </c>
      <c r="BD7" s="181">
        <f t="shared" ref="BD7:BD65" si="30">N7/100*AP7</f>
        <v>0</v>
      </c>
      <c r="BE7" s="181">
        <f t="shared" ref="BE7:BE65" si="31">O7/100*AQ7</f>
        <v>0</v>
      </c>
      <c r="BF7" s="181">
        <f t="shared" ref="BF7:BF65" si="32">P7/100*AR7</f>
        <v>0</v>
      </c>
      <c r="BG7" s="182">
        <f t="shared" ref="BG7:BG65" si="33">SUM(AT7:BF7)</f>
        <v>3540631.6846422767</v>
      </c>
      <c r="BI7" s="180">
        <f t="shared" ref="BI7:BI65" si="34">R7*AF7</f>
        <v>1476495.0353503407</v>
      </c>
      <c r="BJ7" s="181">
        <f t="shared" ref="BJ7:BJ65" si="35">S7/100*AG7</f>
        <v>2141846.9143103748</v>
      </c>
      <c r="BK7" s="181">
        <f t="shared" ref="BK7:BK65" si="36">T7/100*AH7</f>
        <v>0</v>
      </c>
      <c r="BL7" s="181">
        <f t="shared" ref="BL7:BL65" si="37">U7/100*AI7</f>
        <v>0</v>
      </c>
      <c r="BM7" s="181">
        <f t="shared" ref="BM7:BM65" si="38">V7*AJ7</f>
        <v>0</v>
      </c>
      <c r="BN7" s="181">
        <f t="shared" ref="BN7:BN65" si="39">W7*AK7</f>
        <v>0</v>
      </c>
      <c r="BO7" s="181">
        <f t="shared" ref="BO7:BO65" si="40">X7*AL7</f>
        <v>0</v>
      </c>
      <c r="BP7" s="181">
        <f t="shared" ref="BP7:BP65" si="41">Y7/100*AM7</f>
        <v>0</v>
      </c>
      <c r="BQ7" s="181">
        <f t="shared" ref="BQ7:BQ65" si="42">Z7/100*AN7</f>
        <v>0</v>
      </c>
      <c r="BR7" s="181">
        <f t="shared" ref="BR7:BR65" si="43">AA7/100*AO7</f>
        <v>0</v>
      </c>
      <c r="BS7" s="181">
        <f t="shared" ref="BS7:BS65" si="44">AB7/100*AP7</f>
        <v>0</v>
      </c>
      <c r="BT7" s="181">
        <f t="shared" ref="BT7:BT65" si="45">AC7/100*AQ7</f>
        <v>0</v>
      </c>
      <c r="BU7" s="181">
        <f t="shared" ref="BU7:BU65" si="46">AD7/100*AR7</f>
        <v>0</v>
      </c>
      <c r="BV7" s="182">
        <f t="shared" ref="BV7:BV65" si="47">SUM(BI7:BU7)</f>
        <v>3618341.9496607156</v>
      </c>
    </row>
    <row r="8" spans="1:74" x14ac:dyDescent="0.2">
      <c r="A8" s="170" t="s">
        <v>493</v>
      </c>
      <c r="B8" s="173" t="s">
        <v>494</v>
      </c>
      <c r="C8" s="173" t="s">
        <v>494</v>
      </c>
      <c r="D8" s="312">
        <v>90</v>
      </c>
      <c r="E8" s="313">
        <v>0</v>
      </c>
      <c r="F8" s="313">
        <v>0</v>
      </c>
      <c r="G8" s="313">
        <v>0</v>
      </c>
      <c r="H8" s="313">
        <v>0</v>
      </c>
      <c r="I8" s="313">
        <v>0</v>
      </c>
      <c r="J8" s="313">
        <v>0</v>
      </c>
      <c r="K8" s="313">
        <v>8.7899999999999991</v>
      </c>
      <c r="L8" s="313">
        <v>5.0999999999999996</v>
      </c>
      <c r="M8" s="313">
        <v>2.33</v>
      </c>
      <c r="N8" s="313">
        <v>8.7899999999999991</v>
      </c>
      <c r="O8" s="313">
        <v>5.0999999999999996</v>
      </c>
      <c r="P8" s="353">
        <v>2.33</v>
      </c>
      <c r="R8" s="183">
        <f>Est2020DistRev!D8</f>
        <v>95</v>
      </c>
      <c r="S8" s="184">
        <f>Est2020DistRev!E8</f>
        <v>0</v>
      </c>
      <c r="T8" s="184">
        <f>Est2020DistRev!F8</f>
        <v>0</v>
      </c>
      <c r="U8" s="184">
        <f>Est2020DistRev!G8</f>
        <v>0</v>
      </c>
      <c r="V8" s="184">
        <f>Est2020DistRev!H8</f>
        <v>0</v>
      </c>
      <c r="W8" s="184">
        <f>Est2020DistRev!I8</f>
        <v>0</v>
      </c>
      <c r="X8" s="184">
        <f>Est2020DistRev!J8</f>
        <v>0</v>
      </c>
      <c r="Y8" s="184">
        <f>Est2020DistRev!K8</f>
        <v>10.42</v>
      </c>
      <c r="Z8" s="184">
        <f>Est2020DistRev!L8</f>
        <v>7.02</v>
      </c>
      <c r="AA8" s="184">
        <f>Est2020DistRev!M8</f>
        <v>2.75</v>
      </c>
      <c r="AB8" s="184">
        <f>Est2020DistRev!N8</f>
        <v>10.42</v>
      </c>
      <c r="AC8" s="184">
        <f>Est2020DistRev!O8</f>
        <v>7.02</v>
      </c>
      <c r="AD8" s="185">
        <f>Est2020DistRev!P8</f>
        <v>2.75</v>
      </c>
      <c r="AF8" s="314">
        <v>370.9023721939256</v>
      </c>
      <c r="AG8" s="317"/>
      <c r="AH8" s="317"/>
      <c r="AI8" s="317"/>
      <c r="AJ8" s="317"/>
      <c r="AK8" s="317"/>
      <c r="AL8" s="317"/>
      <c r="AM8" s="317">
        <v>130417.58267973799</v>
      </c>
      <c r="AN8" s="317">
        <v>277275.3367141108</v>
      </c>
      <c r="AO8" s="317">
        <v>206472.57278502121</v>
      </c>
      <c r="AP8" s="317">
        <v>321016.92777312908</v>
      </c>
      <c r="AQ8" s="317">
        <v>682500.5870397304</v>
      </c>
      <c r="AR8" s="318">
        <v>508222.81492232345</v>
      </c>
      <c r="AT8" s="180">
        <f t="shared" si="23"/>
        <v>33381.213497453304</v>
      </c>
      <c r="AU8" s="181">
        <f t="shared" si="4"/>
        <v>0</v>
      </c>
      <c r="AV8" s="181">
        <f t="shared" si="4"/>
        <v>0</v>
      </c>
      <c r="AW8" s="181">
        <f t="shared" si="4"/>
        <v>0</v>
      </c>
      <c r="AX8" s="181">
        <f t="shared" si="24"/>
        <v>0</v>
      </c>
      <c r="AY8" s="181">
        <f t="shared" si="25"/>
        <v>0</v>
      </c>
      <c r="AZ8" s="181">
        <f t="shared" si="26"/>
        <v>0</v>
      </c>
      <c r="BA8" s="181">
        <f t="shared" si="27"/>
        <v>11463.705517548968</v>
      </c>
      <c r="BB8" s="181">
        <f t="shared" si="28"/>
        <v>14141.042172419649</v>
      </c>
      <c r="BC8" s="181">
        <f t="shared" si="29"/>
        <v>4810.8109458909948</v>
      </c>
      <c r="BD8" s="181">
        <f t="shared" si="30"/>
        <v>28217.387951258042</v>
      </c>
      <c r="BE8" s="181">
        <f t="shared" si="31"/>
        <v>34807.529939026244</v>
      </c>
      <c r="BF8" s="181">
        <f t="shared" si="32"/>
        <v>11841.591587690136</v>
      </c>
      <c r="BG8" s="182">
        <f t="shared" si="33"/>
        <v>138663.28161128736</v>
      </c>
      <c r="BI8" s="180">
        <f t="shared" si="34"/>
        <v>35235.725358422933</v>
      </c>
      <c r="BJ8" s="181">
        <f t="shared" si="35"/>
        <v>0</v>
      </c>
      <c r="BK8" s="181">
        <f t="shared" si="36"/>
        <v>0</v>
      </c>
      <c r="BL8" s="181">
        <f t="shared" si="37"/>
        <v>0</v>
      </c>
      <c r="BM8" s="181">
        <f t="shared" si="38"/>
        <v>0</v>
      </c>
      <c r="BN8" s="181">
        <f t="shared" si="39"/>
        <v>0</v>
      </c>
      <c r="BO8" s="181">
        <f t="shared" si="40"/>
        <v>0</v>
      </c>
      <c r="BP8" s="181">
        <f t="shared" si="41"/>
        <v>13589.512115228697</v>
      </c>
      <c r="BQ8" s="181">
        <f t="shared" si="42"/>
        <v>19464.72863733058</v>
      </c>
      <c r="BR8" s="181">
        <f t="shared" si="43"/>
        <v>5677.9957515880833</v>
      </c>
      <c r="BS8" s="181">
        <f t="shared" si="44"/>
        <v>33449.963873960049</v>
      </c>
      <c r="BT8" s="181">
        <f t="shared" si="45"/>
        <v>47911.541210189076</v>
      </c>
      <c r="BU8" s="181">
        <f t="shared" si="46"/>
        <v>13976.127410363895</v>
      </c>
      <c r="BV8" s="182">
        <f t="shared" si="47"/>
        <v>169305.59435708332</v>
      </c>
    </row>
    <row r="9" spans="1:74" x14ac:dyDescent="0.2">
      <c r="A9" s="170" t="s">
        <v>495</v>
      </c>
      <c r="B9" s="173" t="s">
        <v>496</v>
      </c>
      <c r="C9" s="173" t="s">
        <v>496</v>
      </c>
      <c r="D9" s="312">
        <v>90</v>
      </c>
      <c r="E9" s="313">
        <v>0</v>
      </c>
      <c r="F9" s="313">
        <v>0</v>
      </c>
      <c r="G9" s="313">
        <v>0</v>
      </c>
      <c r="H9" s="313">
        <v>0</v>
      </c>
      <c r="I9" s="313">
        <v>0</v>
      </c>
      <c r="J9" s="313">
        <v>0</v>
      </c>
      <c r="K9" s="313">
        <v>8.7899999999999991</v>
      </c>
      <c r="L9" s="313">
        <v>5.0999999999999996</v>
      </c>
      <c r="M9" s="313">
        <v>2.33</v>
      </c>
      <c r="N9" s="313">
        <v>8.7899999999999991</v>
      </c>
      <c r="O9" s="313">
        <v>5.0999999999999996</v>
      </c>
      <c r="P9" s="353">
        <v>2.33</v>
      </c>
      <c r="R9" s="183">
        <f>Est2020DistRev!D9</f>
        <v>95</v>
      </c>
      <c r="S9" s="184">
        <f>Est2020DistRev!E9</f>
        <v>0</v>
      </c>
      <c r="T9" s="184">
        <f>Est2020DistRev!F9</f>
        <v>0</v>
      </c>
      <c r="U9" s="184">
        <f>Est2020DistRev!G9</f>
        <v>0</v>
      </c>
      <c r="V9" s="184">
        <f>Est2020DistRev!H9</f>
        <v>0</v>
      </c>
      <c r="W9" s="184">
        <f>Est2020DistRev!I9</f>
        <v>0</v>
      </c>
      <c r="X9" s="184">
        <f>Est2020DistRev!J9</f>
        <v>0</v>
      </c>
      <c r="Y9" s="184">
        <f>Est2020DistRev!K9</f>
        <v>9.69</v>
      </c>
      <c r="Z9" s="184">
        <f>Est2020DistRev!L9</f>
        <v>6.52</v>
      </c>
      <c r="AA9" s="184">
        <f>Est2020DistRev!M9</f>
        <v>2.56</v>
      </c>
      <c r="AB9" s="184">
        <f>Est2020DistRev!N9</f>
        <v>9.69</v>
      </c>
      <c r="AC9" s="184">
        <f>Est2020DistRev!O9</f>
        <v>6.52</v>
      </c>
      <c r="AD9" s="185">
        <f>Est2020DistRev!P9</f>
        <v>2.56</v>
      </c>
      <c r="AF9" s="314">
        <v>47.380345156235144</v>
      </c>
      <c r="AG9" s="317"/>
      <c r="AH9" s="317"/>
      <c r="AI9" s="317"/>
      <c r="AJ9" s="317"/>
      <c r="AK9" s="317"/>
      <c r="AL9" s="317"/>
      <c r="AM9" s="317">
        <v>10549.805608848863</v>
      </c>
      <c r="AN9" s="317">
        <v>22947.480949329336</v>
      </c>
      <c r="AO9" s="317">
        <v>16383.399694154077</v>
      </c>
      <c r="AP9" s="317">
        <v>24830.056108525299</v>
      </c>
      <c r="AQ9" s="317">
        <v>54009.264307509337</v>
      </c>
      <c r="AR9" s="318">
        <v>38560.02174229917</v>
      </c>
      <c r="AT9" s="180">
        <f t="shared" si="23"/>
        <v>4264.2310640611631</v>
      </c>
      <c r="AU9" s="181">
        <f t="shared" si="4"/>
        <v>0</v>
      </c>
      <c r="AV9" s="181">
        <f t="shared" si="4"/>
        <v>0</v>
      </c>
      <c r="AW9" s="181">
        <f t="shared" si="4"/>
        <v>0</v>
      </c>
      <c r="AX9" s="181">
        <f t="shared" si="24"/>
        <v>0</v>
      </c>
      <c r="AY9" s="181">
        <f t="shared" si="25"/>
        <v>0</v>
      </c>
      <c r="AZ9" s="181">
        <f t="shared" si="26"/>
        <v>0</v>
      </c>
      <c r="BA9" s="181">
        <f t="shared" si="27"/>
        <v>927.32791301781492</v>
      </c>
      <c r="BB9" s="181">
        <f t="shared" si="28"/>
        <v>1170.3215284157961</v>
      </c>
      <c r="BC9" s="181">
        <f t="shared" si="29"/>
        <v>381.73321287379002</v>
      </c>
      <c r="BD9" s="181">
        <f t="shared" si="30"/>
        <v>2182.5619319393736</v>
      </c>
      <c r="BE9" s="181">
        <f t="shared" si="31"/>
        <v>2754.472479682976</v>
      </c>
      <c r="BF9" s="181">
        <f t="shared" si="32"/>
        <v>898.44850659557073</v>
      </c>
      <c r="BG9" s="182">
        <f t="shared" si="33"/>
        <v>12579.096636586484</v>
      </c>
      <c r="BI9" s="180">
        <f t="shared" si="34"/>
        <v>4501.1327898423388</v>
      </c>
      <c r="BJ9" s="181">
        <f t="shared" si="35"/>
        <v>0</v>
      </c>
      <c r="BK9" s="181">
        <f t="shared" si="36"/>
        <v>0</v>
      </c>
      <c r="BL9" s="181">
        <f t="shared" si="37"/>
        <v>0</v>
      </c>
      <c r="BM9" s="181">
        <f t="shared" si="38"/>
        <v>0</v>
      </c>
      <c r="BN9" s="181">
        <f t="shared" si="39"/>
        <v>0</v>
      </c>
      <c r="BO9" s="181">
        <f t="shared" si="40"/>
        <v>0</v>
      </c>
      <c r="BP9" s="181">
        <f t="shared" si="41"/>
        <v>1022.2761634974548</v>
      </c>
      <c r="BQ9" s="181">
        <f t="shared" si="42"/>
        <v>1496.1757578962727</v>
      </c>
      <c r="BR9" s="181">
        <f t="shared" si="43"/>
        <v>419.41503217034438</v>
      </c>
      <c r="BS9" s="181">
        <f t="shared" si="44"/>
        <v>2406.0324369161017</v>
      </c>
      <c r="BT9" s="181">
        <f t="shared" si="45"/>
        <v>3521.4040328496085</v>
      </c>
      <c r="BU9" s="181">
        <f t="shared" si="46"/>
        <v>987.13655660285883</v>
      </c>
      <c r="BV9" s="182">
        <f t="shared" si="47"/>
        <v>14353.572769774979</v>
      </c>
    </row>
    <row r="10" spans="1:74" x14ac:dyDescent="0.2">
      <c r="A10" s="170" t="s">
        <v>497</v>
      </c>
      <c r="B10" s="173" t="s">
        <v>498</v>
      </c>
      <c r="C10" s="173" t="s">
        <v>498</v>
      </c>
      <c r="D10" s="312">
        <v>90</v>
      </c>
      <c r="E10" s="313">
        <v>0</v>
      </c>
      <c r="F10" s="313">
        <v>6.35</v>
      </c>
      <c r="G10" s="313">
        <v>2.09</v>
      </c>
      <c r="H10" s="313">
        <v>0</v>
      </c>
      <c r="I10" s="313">
        <v>0</v>
      </c>
      <c r="J10" s="313">
        <v>0</v>
      </c>
      <c r="K10" s="313">
        <v>0</v>
      </c>
      <c r="L10" s="313">
        <v>0</v>
      </c>
      <c r="M10" s="313">
        <v>0</v>
      </c>
      <c r="N10" s="313">
        <v>0</v>
      </c>
      <c r="O10" s="313">
        <v>0</v>
      </c>
      <c r="P10" s="353">
        <v>0</v>
      </c>
      <c r="R10" s="183">
        <f>Est2020DistRev!D10</f>
        <v>95</v>
      </c>
      <c r="S10" s="184">
        <f>Est2020DistRev!E10</f>
        <v>0</v>
      </c>
      <c r="T10" s="184">
        <f>Est2020DistRev!F10</f>
        <v>9.39</v>
      </c>
      <c r="U10" s="184">
        <f>Est2020DistRev!G10</f>
        <v>2.4700000000000002</v>
      </c>
      <c r="V10" s="184">
        <f>Est2020DistRev!H10</f>
        <v>0</v>
      </c>
      <c r="W10" s="184">
        <f>Est2020DistRev!I10</f>
        <v>0</v>
      </c>
      <c r="X10" s="184">
        <f>Est2020DistRev!J10</f>
        <v>0</v>
      </c>
      <c r="Y10" s="184">
        <f>Est2020DistRev!K10</f>
        <v>0</v>
      </c>
      <c r="Z10" s="184">
        <f>Est2020DistRev!L10</f>
        <v>0</v>
      </c>
      <c r="AA10" s="184">
        <f>Est2020DistRev!M10</f>
        <v>0</v>
      </c>
      <c r="AB10" s="184">
        <f>Est2020DistRev!N10</f>
        <v>0</v>
      </c>
      <c r="AC10" s="184">
        <f>Est2020DistRev!O10</f>
        <v>0</v>
      </c>
      <c r="AD10" s="185">
        <f>Est2020DistRev!P10</f>
        <v>0</v>
      </c>
      <c r="AF10" s="314">
        <v>5485.5875681059069</v>
      </c>
      <c r="AG10" s="317"/>
      <c r="AH10" s="317">
        <v>16388649.324740026</v>
      </c>
      <c r="AI10" s="317">
        <v>14340776.76527174</v>
      </c>
      <c r="AJ10" s="317"/>
      <c r="AK10" s="317"/>
      <c r="AL10" s="317"/>
      <c r="AM10" s="317"/>
      <c r="AN10" s="317"/>
      <c r="AO10" s="317"/>
      <c r="AP10" s="317"/>
      <c r="AQ10" s="317"/>
      <c r="AR10" s="318"/>
      <c r="AT10" s="180">
        <f t="shared" si="23"/>
        <v>493702.8811295316</v>
      </c>
      <c r="AU10" s="181">
        <f t="shared" si="4"/>
        <v>0</v>
      </c>
      <c r="AV10" s="181">
        <f t="shared" si="4"/>
        <v>1040679.2321209917</v>
      </c>
      <c r="AW10" s="181">
        <f t="shared" si="4"/>
        <v>299722.23439417937</v>
      </c>
      <c r="AX10" s="181">
        <f t="shared" si="24"/>
        <v>0</v>
      </c>
      <c r="AY10" s="181">
        <f t="shared" si="25"/>
        <v>0</v>
      </c>
      <c r="AZ10" s="181">
        <f t="shared" si="26"/>
        <v>0</v>
      </c>
      <c r="BA10" s="181">
        <f t="shared" si="27"/>
        <v>0</v>
      </c>
      <c r="BB10" s="181">
        <f t="shared" si="28"/>
        <v>0</v>
      </c>
      <c r="BC10" s="181">
        <f t="shared" si="29"/>
        <v>0</v>
      </c>
      <c r="BD10" s="181">
        <f t="shared" si="30"/>
        <v>0</v>
      </c>
      <c r="BE10" s="181">
        <f t="shared" si="31"/>
        <v>0</v>
      </c>
      <c r="BF10" s="181">
        <f t="shared" si="32"/>
        <v>0</v>
      </c>
      <c r="BG10" s="182">
        <f t="shared" si="33"/>
        <v>1834104.3476447028</v>
      </c>
      <c r="BI10" s="180">
        <f t="shared" si="34"/>
        <v>521130.81897006114</v>
      </c>
      <c r="BJ10" s="181">
        <f t="shared" si="35"/>
        <v>0</v>
      </c>
      <c r="BK10" s="181">
        <f t="shared" si="36"/>
        <v>1538894.1715930887</v>
      </c>
      <c r="BL10" s="181">
        <f t="shared" si="37"/>
        <v>354217.186102212</v>
      </c>
      <c r="BM10" s="181">
        <f t="shared" si="38"/>
        <v>0</v>
      </c>
      <c r="BN10" s="181">
        <f t="shared" si="39"/>
        <v>0</v>
      </c>
      <c r="BO10" s="181">
        <f t="shared" si="40"/>
        <v>0</v>
      </c>
      <c r="BP10" s="181">
        <f t="shared" si="41"/>
        <v>0</v>
      </c>
      <c r="BQ10" s="181">
        <f t="shared" si="42"/>
        <v>0</v>
      </c>
      <c r="BR10" s="181">
        <f t="shared" si="43"/>
        <v>0</v>
      </c>
      <c r="BS10" s="181">
        <f t="shared" si="44"/>
        <v>0</v>
      </c>
      <c r="BT10" s="181">
        <f t="shared" si="45"/>
        <v>0</v>
      </c>
      <c r="BU10" s="181">
        <f t="shared" si="46"/>
        <v>0</v>
      </c>
      <c r="BV10" s="182">
        <f t="shared" si="47"/>
        <v>2414242.176665362</v>
      </c>
    </row>
    <row r="11" spans="1:74" x14ac:dyDescent="0.2">
      <c r="A11" s="170" t="s">
        <v>499</v>
      </c>
      <c r="B11" s="173" t="s">
        <v>500</v>
      </c>
      <c r="C11" s="173" t="s">
        <v>500</v>
      </c>
      <c r="D11" s="312">
        <v>90</v>
      </c>
      <c r="E11" s="313">
        <v>0</v>
      </c>
      <c r="F11" s="313">
        <v>6.35</v>
      </c>
      <c r="G11" s="313">
        <v>2.09</v>
      </c>
      <c r="H11" s="313">
        <v>0</v>
      </c>
      <c r="I11" s="313">
        <v>0</v>
      </c>
      <c r="J11" s="313">
        <v>0</v>
      </c>
      <c r="K11" s="313">
        <v>0</v>
      </c>
      <c r="L11" s="313">
        <v>0</v>
      </c>
      <c r="M11" s="313">
        <v>0</v>
      </c>
      <c r="N11" s="313">
        <v>0</v>
      </c>
      <c r="O11" s="313">
        <v>0</v>
      </c>
      <c r="P11" s="353">
        <v>0</v>
      </c>
      <c r="R11" s="183">
        <f>Est2020DistRev!D11</f>
        <v>95</v>
      </c>
      <c r="S11" s="184">
        <f>Est2020DistRev!E11</f>
        <v>0</v>
      </c>
      <c r="T11" s="184">
        <f>Est2020DistRev!F11</f>
        <v>8.4499999999999993</v>
      </c>
      <c r="U11" s="184">
        <f>Est2020DistRev!G11</f>
        <v>2.34</v>
      </c>
      <c r="V11" s="184">
        <f>Est2020DistRev!H11</f>
        <v>0</v>
      </c>
      <c r="W11" s="184">
        <f>Est2020DistRev!I11</f>
        <v>0</v>
      </c>
      <c r="X11" s="184">
        <f>Est2020DistRev!J11</f>
        <v>0</v>
      </c>
      <c r="Y11" s="184">
        <f>Est2020DistRev!K11</f>
        <v>0</v>
      </c>
      <c r="Z11" s="184">
        <f>Est2020DistRev!L11</f>
        <v>0</v>
      </c>
      <c r="AA11" s="184">
        <f>Est2020DistRev!M11</f>
        <v>0</v>
      </c>
      <c r="AB11" s="184">
        <f>Est2020DistRev!N11</f>
        <v>0</v>
      </c>
      <c r="AC11" s="184">
        <f>Est2020DistRev!O11</f>
        <v>0</v>
      </c>
      <c r="AD11" s="185">
        <f>Est2020DistRev!P11</f>
        <v>0</v>
      </c>
      <c r="AF11" s="314">
        <v>2157.8174474664402</v>
      </c>
      <c r="AG11" s="317"/>
      <c r="AH11" s="317">
        <v>5674235.5694546988</v>
      </c>
      <c r="AI11" s="317">
        <v>4958506.5011222707</v>
      </c>
      <c r="AJ11" s="317"/>
      <c r="AK11" s="317"/>
      <c r="AL11" s="317"/>
      <c r="AM11" s="317"/>
      <c r="AN11" s="317"/>
      <c r="AO11" s="317"/>
      <c r="AP11" s="317"/>
      <c r="AQ11" s="317"/>
      <c r="AR11" s="318"/>
      <c r="AT11" s="180">
        <f t="shared" si="23"/>
        <v>194203.57027197961</v>
      </c>
      <c r="AU11" s="181">
        <f t="shared" si="4"/>
        <v>0</v>
      </c>
      <c r="AV11" s="181">
        <f t="shared" si="4"/>
        <v>360313.95866037341</v>
      </c>
      <c r="AW11" s="181">
        <f t="shared" si="4"/>
        <v>103632.78587345545</v>
      </c>
      <c r="AX11" s="181">
        <f t="shared" si="24"/>
        <v>0</v>
      </c>
      <c r="AY11" s="181">
        <f t="shared" si="25"/>
        <v>0</v>
      </c>
      <c r="AZ11" s="181">
        <f t="shared" si="26"/>
        <v>0</v>
      </c>
      <c r="BA11" s="181">
        <f t="shared" si="27"/>
        <v>0</v>
      </c>
      <c r="BB11" s="181">
        <f t="shared" si="28"/>
        <v>0</v>
      </c>
      <c r="BC11" s="181">
        <f t="shared" si="29"/>
        <v>0</v>
      </c>
      <c r="BD11" s="181">
        <f t="shared" si="30"/>
        <v>0</v>
      </c>
      <c r="BE11" s="181">
        <f t="shared" si="31"/>
        <v>0</v>
      </c>
      <c r="BF11" s="181">
        <f t="shared" si="32"/>
        <v>0</v>
      </c>
      <c r="BG11" s="182">
        <f t="shared" si="33"/>
        <v>658150.31480580848</v>
      </c>
      <c r="BI11" s="180">
        <f t="shared" si="34"/>
        <v>204992.65750931183</v>
      </c>
      <c r="BJ11" s="181">
        <f t="shared" si="35"/>
        <v>0</v>
      </c>
      <c r="BK11" s="181">
        <f t="shared" si="36"/>
        <v>479472.90561892203</v>
      </c>
      <c r="BL11" s="181">
        <f t="shared" si="37"/>
        <v>116029.05212626111</v>
      </c>
      <c r="BM11" s="181">
        <f t="shared" si="38"/>
        <v>0</v>
      </c>
      <c r="BN11" s="181">
        <f t="shared" si="39"/>
        <v>0</v>
      </c>
      <c r="BO11" s="181">
        <f t="shared" si="40"/>
        <v>0</v>
      </c>
      <c r="BP11" s="181">
        <f t="shared" si="41"/>
        <v>0</v>
      </c>
      <c r="BQ11" s="181">
        <f t="shared" si="42"/>
        <v>0</v>
      </c>
      <c r="BR11" s="181">
        <f t="shared" si="43"/>
        <v>0</v>
      </c>
      <c r="BS11" s="181">
        <f t="shared" si="44"/>
        <v>0</v>
      </c>
      <c r="BT11" s="181">
        <f t="shared" si="45"/>
        <v>0</v>
      </c>
      <c r="BU11" s="181">
        <f t="shared" si="46"/>
        <v>0</v>
      </c>
      <c r="BV11" s="182">
        <f t="shared" si="47"/>
        <v>800494.61525449506</v>
      </c>
    </row>
    <row r="12" spans="1:74" x14ac:dyDescent="0.2">
      <c r="A12" s="170" t="s">
        <v>501</v>
      </c>
      <c r="B12" s="173" t="s">
        <v>502</v>
      </c>
      <c r="C12" s="173" t="s">
        <v>502</v>
      </c>
      <c r="D12" s="312">
        <v>90</v>
      </c>
      <c r="E12" s="313">
        <v>0</v>
      </c>
      <c r="F12" s="313">
        <v>6.35</v>
      </c>
      <c r="G12" s="313">
        <v>2.09</v>
      </c>
      <c r="H12" s="313">
        <v>0</v>
      </c>
      <c r="I12" s="313">
        <v>0</v>
      </c>
      <c r="J12" s="313">
        <v>0</v>
      </c>
      <c r="K12" s="313">
        <v>0</v>
      </c>
      <c r="L12" s="313">
        <v>0</v>
      </c>
      <c r="M12" s="313">
        <v>0</v>
      </c>
      <c r="N12" s="313">
        <v>0</v>
      </c>
      <c r="O12" s="313">
        <v>0</v>
      </c>
      <c r="P12" s="353">
        <v>0</v>
      </c>
      <c r="R12" s="183">
        <f>Est2020DistRev!D12</f>
        <v>95</v>
      </c>
      <c r="S12" s="184">
        <f>Est2020DistRev!E12</f>
        <v>0</v>
      </c>
      <c r="T12" s="184">
        <f>Est2020DistRev!F12</f>
        <v>9.39</v>
      </c>
      <c r="U12" s="184">
        <f>Est2020DistRev!G12</f>
        <v>2.4700000000000002</v>
      </c>
      <c r="V12" s="184">
        <f>Est2020DistRev!H12</f>
        <v>0</v>
      </c>
      <c r="W12" s="184">
        <f>Est2020DistRev!I12</f>
        <v>0</v>
      </c>
      <c r="X12" s="184">
        <f>Est2020DistRev!J12</f>
        <v>0</v>
      </c>
      <c r="Y12" s="184">
        <f>Est2020DistRev!K12</f>
        <v>0</v>
      </c>
      <c r="Z12" s="184">
        <f>Est2020DistRev!L12</f>
        <v>0</v>
      </c>
      <c r="AA12" s="184">
        <f>Est2020DistRev!M12</f>
        <v>0</v>
      </c>
      <c r="AB12" s="184">
        <f>Est2020DistRev!N12</f>
        <v>0</v>
      </c>
      <c r="AC12" s="184">
        <f>Est2020DistRev!O12</f>
        <v>0</v>
      </c>
      <c r="AD12" s="185">
        <f>Est2020DistRev!P12</f>
        <v>0</v>
      </c>
      <c r="AF12" s="314">
        <v>8452.1227174118158</v>
      </c>
      <c r="AG12" s="317"/>
      <c r="AH12" s="317">
        <v>25049656.982189029</v>
      </c>
      <c r="AI12" s="317">
        <v>22067669.109436158</v>
      </c>
      <c r="AJ12" s="317"/>
      <c r="AK12" s="317"/>
      <c r="AL12" s="317"/>
      <c r="AM12" s="317"/>
      <c r="AN12" s="317"/>
      <c r="AO12" s="317"/>
      <c r="AP12" s="317"/>
      <c r="AQ12" s="317"/>
      <c r="AR12" s="318"/>
      <c r="AT12" s="180">
        <f t="shared" si="23"/>
        <v>760691.04456706345</v>
      </c>
      <c r="AU12" s="181">
        <f t="shared" si="4"/>
        <v>0</v>
      </c>
      <c r="AV12" s="181">
        <f t="shared" si="4"/>
        <v>1590653.2183690034</v>
      </c>
      <c r="AW12" s="181">
        <f t="shared" si="4"/>
        <v>461214.28438721568</v>
      </c>
      <c r="AX12" s="181">
        <f t="shared" si="24"/>
        <v>0</v>
      </c>
      <c r="AY12" s="181">
        <f t="shared" si="25"/>
        <v>0</v>
      </c>
      <c r="AZ12" s="181">
        <f t="shared" si="26"/>
        <v>0</v>
      </c>
      <c r="BA12" s="181">
        <f t="shared" si="27"/>
        <v>0</v>
      </c>
      <c r="BB12" s="181">
        <f t="shared" si="28"/>
        <v>0</v>
      </c>
      <c r="BC12" s="181">
        <f t="shared" si="29"/>
        <v>0</v>
      </c>
      <c r="BD12" s="181">
        <f t="shared" si="30"/>
        <v>0</v>
      </c>
      <c r="BE12" s="181">
        <f t="shared" si="31"/>
        <v>0</v>
      </c>
      <c r="BF12" s="181">
        <f t="shared" si="32"/>
        <v>0</v>
      </c>
      <c r="BG12" s="182">
        <f t="shared" si="33"/>
        <v>2812558.5473232823</v>
      </c>
      <c r="BI12" s="180">
        <f t="shared" si="34"/>
        <v>802951.65815412253</v>
      </c>
      <c r="BJ12" s="181">
        <f t="shared" si="35"/>
        <v>0</v>
      </c>
      <c r="BK12" s="181">
        <f t="shared" si="36"/>
        <v>2352162.7906275503</v>
      </c>
      <c r="BL12" s="181">
        <f t="shared" si="37"/>
        <v>545071.42700307316</v>
      </c>
      <c r="BM12" s="181">
        <f t="shared" si="38"/>
        <v>0</v>
      </c>
      <c r="BN12" s="181">
        <f t="shared" si="39"/>
        <v>0</v>
      </c>
      <c r="BO12" s="181">
        <f t="shared" si="40"/>
        <v>0</v>
      </c>
      <c r="BP12" s="181">
        <f t="shared" si="41"/>
        <v>0</v>
      </c>
      <c r="BQ12" s="181">
        <f t="shared" si="42"/>
        <v>0</v>
      </c>
      <c r="BR12" s="181">
        <f t="shared" si="43"/>
        <v>0</v>
      </c>
      <c r="BS12" s="181">
        <f t="shared" si="44"/>
        <v>0</v>
      </c>
      <c r="BT12" s="181">
        <f t="shared" si="45"/>
        <v>0</v>
      </c>
      <c r="BU12" s="181">
        <f t="shared" si="46"/>
        <v>0</v>
      </c>
      <c r="BV12" s="182">
        <f t="shared" si="47"/>
        <v>3700185.8757847459</v>
      </c>
    </row>
    <row r="13" spans="1:74" x14ac:dyDescent="0.2">
      <c r="A13" s="170" t="s">
        <v>503</v>
      </c>
      <c r="B13" s="173" t="s">
        <v>504</v>
      </c>
      <c r="C13" s="173" t="s">
        <v>504</v>
      </c>
      <c r="D13" s="312">
        <v>90</v>
      </c>
      <c r="E13" s="313">
        <v>0</v>
      </c>
      <c r="F13" s="313">
        <v>6.35</v>
      </c>
      <c r="G13" s="313">
        <v>2.09</v>
      </c>
      <c r="H13" s="313">
        <v>0</v>
      </c>
      <c r="I13" s="313">
        <v>0</v>
      </c>
      <c r="J13" s="313">
        <v>0</v>
      </c>
      <c r="K13" s="313">
        <v>0</v>
      </c>
      <c r="L13" s="313">
        <v>0</v>
      </c>
      <c r="M13" s="313">
        <v>0</v>
      </c>
      <c r="N13" s="313">
        <v>0</v>
      </c>
      <c r="O13" s="313">
        <v>0</v>
      </c>
      <c r="P13" s="353">
        <v>0</v>
      </c>
      <c r="R13" s="183">
        <f>Est2020DistRev!D13</f>
        <v>95</v>
      </c>
      <c r="S13" s="184">
        <f>Est2020DistRev!E13</f>
        <v>0</v>
      </c>
      <c r="T13" s="184">
        <f>Est2020DistRev!F13</f>
        <v>8.4499999999999993</v>
      </c>
      <c r="U13" s="184">
        <f>Est2020DistRev!G13</f>
        <v>2.34</v>
      </c>
      <c r="V13" s="184">
        <f>Est2020DistRev!H13</f>
        <v>0</v>
      </c>
      <c r="W13" s="184">
        <f>Est2020DistRev!I13</f>
        <v>0</v>
      </c>
      <c r="X13" s="184">
        <f>Est2020DistRev!J13</f>
        <v>0</v>
      </c>
      <c r="Y13" s="184">
        <f>Est2020DistRev!K13</f>
        <v>0</v>
      </c>
      <c r="Z13" s="184">
        <f>Est2020DistRev!L13</f>
        <v>0</v>
      </c>
      <c r="AA13" s="184">
        <f>Est2020DistRev!M13</f>
        <v>0</v>
      </c>
      <c r="AB13" s="184">
        <f>Est2020DistRev!N13</f>
        <v>0</v>
      </c>
      <c r="AC13" s="184">
        <f>Est2020DistRev!O13</f>
        <v>0</v>
      </c>
      <c r="AD13" s="185">
        <f>Est2020DistRev!P13</f>
        <v>0</v>
      </c>
      <c r="AF13" s="314">
        <v>4268.0601626219241</v>
      </c>
      <c r="AG13" s="317"/>
      <c r="AH13" s="317">
        <v>6998105.2163059637</v>
      </c>
      <c r="AI13" s="317">
        <v>6632283.431711155</v>
      </c>
      <c r="AJ13" s="317"/>
      <c r="AK13" s="317"/>
      <c r="AL13" s="317"/>
      <c r="AM13" s="317"/>
      <c r="AN13" s="317"/>
      <c r="AO13" s="317"/>
      <c r="AP13" s="317"/>
      <c r="AQ13" s="317"/>
      <c r="AR13" s="318"/>
      <c r="AT13" s="180">
        <f t="shared" si="23"/>
        <v>384125.41463597317</v>
      </c>
      <c r="AU13" s="181">
        <f t="shared" si="4"/>
        <v>0</v>
      </c>
      <c r="AV13" s="181">
        <f t="shared" si="4"/>
        <v>444379.68123542872</v>
      </c>
      <c r="AW13" s="181">
        <f t="shared" si="4"/>
        <v>138614.72372276313</v>
      </c>
      <c r="AX13" s="181">
        <f t="shared" si="24"/>
        <v>0</v>
      </c>
      <c r="AY13" s="181">
        <f t="shared" si="25"/>
        <v>0</v>
      </c>
      <c r="AZ13" s="181">
        <f t="shared" si="26"/>
        <v>0</v>
      </c>
      <c r="BA13" s="181">
        <f t="shared" si="27"/>
        <v>0</v>
      </c>
      <c r="BB13" s="181">
        <f t="shared" si="28"/>
        <v>0</v>
      </c>
      <c r="BC13" s="181">
        <f t="shared" si="29"/>
        <v>0</v>
      </c>
      <c r="BD13" s="181">
        <f t="shared" si="30"/>
        <v>0</v>
      </c>
      <c r="BE13" s="181">
        <f t="shared" si="31"/>
        <v>0</v>
      </c>
      <c r="BF13" s="181">
        <f t="shared" si="32"/>
        <v>0</v>
      </c>
      <c r="BG13" s="182">
        <f t="shared" si="33"/>
        <v>967119.81959416508</v>
      </c>
      <c r="BI13" s="180">
        <f t="shared" si="34"/>
        <v>405465.71544908278</v>
      </c>
      <c r="BJ13" s="181">
        <f t="shared" si="35"/>
        <v>0</v>
      </c>
      <c r="BK13" s="181">
        <f t="shared" si="36"/>
        <v>591339.8907778539</v>
      </c>
      <c r="BL13" s="181">
        <f t="shared" si="37"/>
        <v>155195.43230204101</v>
      </c>
      <c r="BM13" s="181">
        <f t="shared" si="38"/>
        <v>0</v>
      </c>
      <c r="BN13" s="181">
        <f t="shared" si="39"/>
        <v>0</v>
      </c>
      <c r="BO13" s="181">
        <f t="shared" si="40"/>
        <v>0</v>
      </c>
      <c r="BP13" s="181">
        <f t="shared" si="41"/>
        <v>0</v>
      </c>
      <c r="BQ13" s="181">
        <f t="shared" si="42"/>
        <v>0</v>
      </c>
      <c r="BR13" s="181">
        <f t="shared" si="43"/>
        <v>0</v>
      </c>
      <c r="BS13" s="181">
        <f t="shared" si="44"/>
        <v>0</v>
      </c>
      <c r="BT13" s="181">
        <f t="shared" si="45"/>
        <v>0</v>
      </c>
      <c r="BU13" s="181">
        <f t="shared" si="46"/>
        <v>0</v>
      </c>
      <c r="BV13" s="182">
        <f t="shared" si="47"/>
        <v>1152001.0385289777</v>
      </c>
    </row>
    <row r="14" spans="1:74" x14ac:dyDescent="0.2">
      <c r="A14" s="170" t="s">
        <v>505</v>
      </c>
      <c r="B14" s="173" t="s">
        <v>506</v>
      </c>
      <c r="C14" s="173" t="s">
        <v>506</v>
      </c>
      <c r="D14" s="312">
        <v>0</v>
      </c>
      <c r="E14" s="313">
        <v>0</v>
      </c>
      <c r="F14" s="313">
        <v>0</v>
      </c>
      <c r="G14" s="313">
        <v>0</v>
      </c>
      <c r="H14" s="313">
        <v>0</v>
      </c>
      <c r="I14" s="313">
        <v>0</v>
      </c>
      <c r="J14" s="313">
        <v>0</v>
      </c>
      <c r="K14" s="313">
        <v>0</v>
      </c>
      <c r="L14" s="313">
        <v>0</v>
      </c>
      <c r="M14" s="313">
        <v>0</v>
      </c>
      <c r="N14" s="313">
        <v>0</v>
      </c>
      <c r="O14" s="313">
        <v>0</v>
      </c>
      <c r="P14" s="353">
        <v>0</v>
      </c>
      <c r="R14" s="183">
        <f>Est2020DistRev!D14</f>
        <v>0</v>
      </c>
      <c r="S14" s="184">
        <f>Est2020DistRev!E14</f>
        <v>0</v>
      </c>
      <c r="T14" s="184">
        <f>Est2020DistRev!F14</f>
        <v>0</v>
      </c>
      <c r="U14" s="184">
        <f>Est2020DistRev!G14</f>
        <v>0</v>
      </c>
      <c r="V14" s="184">
        <f>Est2020DistRev!H14</f>
        <v>0</v>
      </c>
      <c r="W14" s="184">
        <f>Est2020DistRev!I14</f>
        <v>0</v>
      </c>
      <c r="X14" s="184">
        <f>Est2020DistRev!J14</f>
        <v>0</v>
      </c>
      <c r="Y14" s="184">
        <f>Est2020DistRev!K14</f>
        <v>0</v>
      </c>
      <c r="Z14" s="184">
        <f>Est2020DistRev!L14</f>
        <v>0</v>
      </c>
      <c r="AA14" s="184">
        <f>Est2020DistRev!M14</f>
        <v>0</v>
      </c>
      <c r="AB14" s="184">
        <f>Est2020DistRev!N14</f>
        <v>0</v>
      </c>
      <c r="AC14" s="184">
        <f>Est2020DistRev!O14</f>
        <v>0</v>
      </c>
      <c r="AD14" s="185">
        <f>Est2020DistRev!P14</f>
        <v>0</v>
      </c>
      <c r="AF14" s="314">
        <v>0</v>
      </c>
      <c r="AG14" s="317"/>
      <c r="AH14" s="317">
        <v>0</v>
      </c>
      <c r="AI14" s="317">
        <v>0</v>
      </c>
      <c r="AJ14" s="317"/>
      <c r="AK14" s="317"/>
      <c r="AL14" s="317"/>
      <c r="AM14" s="317"/>
      <c r="AN14" s="317"/>
      <c r="AO14" s="317"/>
      <c r="AP14" s="317"/>
      <c r="AQ14" s="317"/>
      <c r="AR14" s="318"/>
      <c r="AT14" s="180">
        <f t="shared" si="23"/>
        <v>0</v>
      </c>
      <c r="AU14" s="181">
        <f t="shared" si="4"/>
        <v>0</v>
      </c>
      <c r="AV14" s="181">
        <f t="shared" si="4"/>
        <v>0</v>
      </c>
      <c r="AW14" s="181">
        <f t="shared" si="4"/>
        <v>0</v>
      </c>
      <c r="AX14" s="181">
        <f t="shared" si="24"/>
        <v>0</v>
      </c>
      <c r="AY14" s="181">
        <f t="shared" si="25"/>
        <v>0</v>
      </c>
      <c r="AZ14" s="181">
        <f t="shared" si="26"/>
        <v>0</v>
      </c>
      <c r="BA14" s="181">
        <f t="shared" si="27"/>
        <v>0</v>
      </c>
      <c r="BB14" s="181">
        <f t="shared" si="28"/>
        <v>0</v>
      </c>
      <c r="BC14" s="181">
        <f t="shared" si="29"/>
        <v>0</v>
      </c>
      <c r="BD14" s="181">
        <f t="shared" si="30"/>
        <v>0</v>
      </c>
      <c r="BE14" s="181">
        <f t="shared" si="31"/>
        <v>0</v>
      </c>
      <c r="BF14" s="181">
        <f t="shared" si="32"/>
        <v>0</v>
      </c>
      <c r="BG14" s="182">
        <f t="shared" si="33"/>
        <v>0</v>
      </c>
      <c r="BI14" s="180">
        <f t="shared" si="34"/>
        <v>0</v>
      </c>
      <c r="BJ14" s="181">
        <f t="shared" si="35"/>
        <v>0</v>
      </c>
      <c r="BK14" s="181">
        <f t="shared" si="36"/>
        <v>0</v>
      </c>
      <c r="BL14" s="181">
        <f t="shared" si="37"/>
        <v>0</v>
      </c>
      <c r="BM14" s="181">
        <f t="shared" si="38"/>
        <v>0</v>
      </c>
      <c r="BN14" s="181">
        <f t="shared" si="39"/>
        <v>0</v>
      </c>
      <c r="BO14" s="181">
        <f t="shared" si="40"/>
        <v>0</v>
      </c>
      <c r="BP14" s="181">
        <f t="shared" si="41"/>
        <v>0</v>
      </c>
      <c r="BQ14" s="181">
        <f t="shared" si="42"/>
        <v>0</v>
      </c>
      <c r="BR14" s="181">
        <f t="shared" si="43"/>
        <v>0</v>
      </c>
      <c r="BS14" s="181">
        <f t="shared" si="44"/>
        <v>0</v>
      </c>
      <c r="BT14" s="181">
        <f t="shared" si="45"/>
        <v>0</v>
      </c>
      <c r="BU14" s="181">
        <f t="shared" si="46"/>
        <v>0</v>
      </c>
      <c r="BV14" s="182">
        <f t="shared" si="47"/>
        <v>0</v>
      </c>
    </row>
    <row r="15" spans="1:74" x14ac:dyDescent="0.2">
      <c r="A15" s="170" t="s">
        <v>507</v>
      </c>
      <c r="B15" s="173" t="s">
        <v>508</v>
      </c>
      <c r="C15" s="173" t="s">
        <v>508</v>
      </c>
      <c r="D15" s="312">
        <v>0</v>
      </c>
      <c r="E15" s="313">
        <v>0</v>
      </c>
      <c r="F15" s="313">
        <v>0</v>
      </c>
      <c r="G15" s="313">
        <v>0</v>
      </c>
      <c r="H15" s="313">
        <v>0</v>
      </c>
      <c r="I15" s="313">
        <v>0</v>
      </c>
      <c r="J15" s="313">
        <v>0</v>
      </c>
      <c r="K15" s="313">
        <v>0</v>
      </c>
      <c r="L15" s="313">
        <v>0</v>
      </c>
      <c r="M15" s="313">
        <v>0</v>
      </c>
      <c r="N15" s="313">
        <v>0</v>
      </c>
      <c r="O15" s="313">
        <v>0</v>
      </c>
      <c r="P15" s="353">
        <v>0</v>
      </c>
      <c r="R15" s="183">
        <f>Est2020DistRev!D15</f>
        <v>0</v>
      </c>
      <c r="S15" s="184">
        <f>Est2020DistRev!E15</f>
        <v>0</v>
      </c>
      <c r="T15" s="184">
        <f>Est2020DistRev!F15</f>
        <v>0</v>
      </c>
      <c r="U15" s="184">
        <f>Est2020DistRev!G15</f>
        <v>0</v>
      </c>
      <c r="V15" s="184">
        <f>Est2020DistRev!H15</f>
        <v>0</v>
      </c>
      <c r="W15" s="184">
        <f>Est2020DistRev!I15</f>
        <v>0</v>
      </c>
      <c r="X15" s="184">
        <f>Est2020DistRev!J15</f>
        <v>0</v>
      </c>
      <c r="Y15" s="184">
        <f>Est2020DistRev!K15</f>
        <v>0</v>
      </c>
      <c r="Z15" s="184">
        <f>Est2020DistRev!L15</f>
        <v>0</v>
      </c>
      <c r="AA15" s="184">
        <f>Est2020DistRev!M15</f>
        <v>0</v>
      </c>
      <c r="AB15" s="184">
        <f>Est2020DistRev!N15</f>
        <v>0</v>
      </c>
      <c r="AC15" s="184">
        <f>Est2020DistRev!O15</f>
        <v>0</v>
      </c>
      <c r="AD15" s="185">
        <f>Est2020DistRev!P15</f>
        <v>0</v>
      </c>
      <c r="AF15" s="314">
        <v>0</v>
      </c>
      <c r="AG15" s="317"/>
      <c r="AH15" s="317">
        <v>0</v>
      </c>
      <c r="AI15" s="317">
        <v>0</v>
      </c>
      <c r="AJ15" s="317"/>
      <c r="AK15" s="317"/>
      <c r="AL15" s="317"/>
      <c r="AM15" s="317"/>
      <c r="AN15" s="317"/>
      <c r="AO15" s="317"/>
      <c r="AP15" s="317"/>
      <c r="AQ15" s="317"/>
      <c r="AR15" s="318"/>
      <c r="AT15" s="180">
        <f t="shared" si="23"/>
        <v>0</v>
      </c>
      <c r="AU15" s="181">
        <f t="shared" si="4"/>
        <v>0</v>
      </c>
      <c r="AV15" s="181">
        <f t="shared" si="4"/>
        <v>0</v>
      </c>
      <c r="AW15" s="181">
        <f t="shared" si="4"/>
        <v>0</v>
      </c>
      <c r="AX15" s="181">
        <f t="shared" si="24"/>
        <v>0</v>
      </c>
      <c r="AY15" s="181">
        <f t="shared" si="25"/>
        <v>0</v>
      </c>
      <c r="AZ15" s="181">
        <f t="shared" si="26"/>
        <v>0</v>
      </c>
      <c r="BA15" s="181">
        <f t="shared" si="27"/>
        <v>0</v>
      </c>
      <c r="BB15" s="181">
        <f t="shared" si="28"/>
        <v>0</v>
      </c>
      <c r="BC15" s="181">
        <f t="shared" si="29"/>
        <v>0</v>
      </c>
      <c r="BD15" s="181">
        <f t="shared" si="30"/>
        <v>0</v>
      </c>
      <c r="BE15" s="181">
        <f t="shared" si="31"/>
        <v>0</v>
      </c>
      <c r="BF15" s="181">
        <f t="shared" si="32"/>
        <v>0</v>
      </c>
      <c r="BG15" s="182">
        <f t="shared" si="33"/>
        <v>0</v>
      </c>
      <c r="BI15" s="180">
        <f t="shared" si="34"/>
        <v>0</v>
      </c>
      <c r="BJ15" s="181">
        <f t="shared" si="35"/>
        <v>0</v>
      </c>
      <c r="BK15" s="181">
        <f t="shared" si="36"/>
        <v>0</v>
      </c>
      <c r="BL15" s="181">
        <f t="shared" si="37"/>
        <v>0</v>
      </c>
      <c r="BM15" s="181">
        <f t="shared" si="38"/>
        <v>0</v>
      </c>
      <c r="BN15" s="181">
        <f t="shared" si="39"/>
        <v>0</v>
      </c>
      <c r="BO15" s="181">
        <f t="shared" si="40"/>
        <v>0</v>
      </c>
      <c r="BP15" s="181">
        <f t="shared" si="41"/>
        <v>0</v>
      </c>
      <c r="BQ15" s="181">
        <f t="shared" si="42"/>
        <v>0</v>
      </c>
      <c r="BR15" s="181">
        <f t="shared" si="43"/>
        <v>0</v>
      </c>
      <c r="BS15" s="181">
        <f t="shared" si="44"/>
        <v>0</v>
      </c>
      <c r="BT15" s="181">
        <f t="shared" si="45"/>
        <v>0</v>
      </c>
      <c r="BU15" s="181">
        <f t="shared" si="46"/>
        <v>0</v>
      </c>
      <c r="BV15" s="182">
        <f t="shared" si="47"/>
        <v>0</v>
      </c>
    </row>
    <row r="16" spans="1:74" x14ac:dyDescent="0.2">
      <c r="A16" s="170" t="s">
        <v>509</v>
      </c>
      <c r="B16" s="173" t="s">
        <v>510</v>
      </c>
      <c r="C16" s="173" t="s">
        <v>510</v>
      </c>
      <c r="D16" s="312">
        <v>0</v>
      </c>
      <c r="E16" s="313">
        <v>0</v>
      </c>
      <c r="F16" s="313">
        <v>0</v>
      </c>
      <c r="G16" s="313">
        <v>1.44</v>
      </c>
      <c r="H16" s="313">
        <v>0</v>
      </c>
      <c r="I16" s="313">
        <v>0</v>
      </c>
      <c r="J16" s="313">
        <v>0</v>
      </c>
      <c r="K16" s="313">
        <v>0</v>
      </c>
      <c r="L16" s="313">
        <v>0</v>
      </c>
      <c r="M16" s="313">
        <v>0</v>
      </c>
      <c r="N16" s="313">
        <v>0</v>
      </c>
      <c r="O16" s="313">
        <v>0</v>
      </c>
      <c r="P16" s="353">
        <v>0</v>
      </c>
      <c r="R16" s="183">
        <f>Est2020DistRev!D16</f>
        <v>0</v>
      </c>
      <c r="S16" s="184">
        <f>Est2020DistRev!E16</f>
        <v>0</v>
      </c>
      <c r="T16" s="184">
        <f>Est2020DistRev!F16</f>
        <v>0</v>
      </c>
      <c r="U16" s="184">
        <f>Est2020DistRev!G16</f>
        <v>1.7</v>
      </c>
      <c r="V16" s="184">
        <f>Est2020DistRev!H16</f>
        <v>0</v>
      </c>
      <c r="W16" s="184">
        <f>Est2020DistRev!I16</f>
        <v>0</v>
      </c>
      <c r="X16" s="184">
        <f>Est2020DistRev!J16</f>
        <v>0</v>
      </c>
      <c r="Y16" s="184">
        <f>Est2020DistRev!K16</f>
        <v>0</v>
      </c>
      <c r="Z16" s="184">
        <f>Est2020DistRev!L16</f>
        <v>0</v>
      </c>
      <c r="AA16" s="184">
        <f>Est2020DistRev!M16</f>
        <v>0</v>
      </c>
      <c r="AB16" s="184">
        <f>Est2020DistRev!N16</f>
        <v>0</v>
      </c>
      <c r="AC16" s="184">
        <f>Est2020DistRev!O16</f>
        <v>0</v>
      </c>
      <c r="AD16" s="185">
        <f>Est2020DistRev!P16</f>
        <v>0</v>
      </c>
      <c r="AF16" s="314">
        <v>16356.898883815329</v>
      </c>
      <c r="AG16" s="317"/>
      <c r="AH16" s="317">
        <v>0</v>
      </c>
      <c r="AI16" s="317">
        <v>20889037.592547044</v>
      </c>
      <c r="AJ16" s="317"/>
      <c r="AK16" s="317"/>
      <c r="AL16" s="317"/>
      <c r="AM16" s="317"/>
      <c r="AN16" s="317"/>
      <c r="AO16" s="317"/>
      <c r="AP16" s="317"/>
      <c r="AQ16" s="317"/>
      <c r="AR16" s="318"/>
      <c r="AT16" s="180">
        <f t="shared" si="23"/>
        <v>0</v>
      </c>
      <c r="AU16" s="181">
        <f t="shared" si="4"/>
        <v>0</v>
      </c>
      <c r="AV16" s="181">
        <f t="shared" si="4"/>
        <v>0</v>
      </c>
      <c r="AW16" s="181">
        <f t="shared" si="4"/>
        <v>300802.14133267745</v>
      </c>
      <c r="AX16" s="181">
        <f t="shared" si="24"/>
        <v>0</v>
      </c>
      <c r="AY16" s="181">
        <f t="shared" si="25"/>
        <v>0</v>
      </c>
      <c r="AZ16" s="181">
        <f t="shared" si="26"/>
        <v>0</v>
      </c>
      <c r="BA16" s="181">
        <f t="shared" si="27"/>
        <v>0</v>
      </c>
      <c r="BB16" s="181">
        <f t="shared" si="28"/>
        <v>0</v>
      </c>
      <c r="BC16" s="181">
        <f t="shared" si="29"/>
        <v>0</v>
      </c>
      <c r="BD16" s="181">
        <f t="shared" si="30"/>
        <v>0</v>
      </c>
      <c r="BE16" s="181">
        <f t="shared" si="31"/>
        <v>0</v>
      </c>
      <c r="BF16" s="181">
        <f t="shared" si="32"/>
        <v>0</v>
      </c>
      <c r="BG16" s="182">
        <f t="shared" si="33"/>
        <v>300802.14133267745</v>
      </c>
      <c r="BI16" s="180">
        <f t="shared" si="34"/>
        <v>0</v>
      </c>
      <c r="BJ16" s="181">
        <f t="shared" si="35"/>
        <v>0</v>
      </c>
      <c r="BK16" s="181">
        <f t="shared" si="36"/>
        <v>0</v>
      </c>
      <c r="BL16" s="181">
        <f t="shared" si="37"/>
        <v>355113.63907329977</v>
      </c>
      <c r="BM16" s="181">
        <f t="shared" si="38"/>
        <v>0</v>
      </c>
      <c r="BN16" s="181">
        <f t="shared" si="39"/>
        <v>0</v>
      </c>
      <c r="BO16" s="181">
        <f t="shared" si="40"/>
        <v>0</v>
      </c>
      <c r="BP16" s="181">
        <f t="shared" si="41"/>
        <v>0</v>
      </c>
      <c r="BQ16" s="181">
        <f t="shared" si="42"/>
        <v>0</v>
      </c>
      <c r="BR16" s="181">
        <f t="shared" si="43"/>
        <v>0</v>
      </c>
      <c r="BS16" s="181">
        <f t="shared" si="44"/>
        <v>0</v>
      </c>
      <c r="BT16" s="181">
        <f t="shared" si="45"/>
        <v>0</v>
      </c>
      <c r="BU16" s="181">
        <f t="shared" si="46"/>
        <v>0</v>
      </c>
      <c r="BV16" s="182">
        <f t="shared" si="47"/>
        <v>355113.63907329977</v>
      </c>
    </row>
    <row r="17" spans="1:74" x14ac:dyDescent="0.2">
      <c r="A17" s="170" t="s">
        <v>511</v>
      </c>
      <c r="B17" s="173" t="s">
        <v>512</v>
      </c>
      <c r="C17" s="173" t="s">
        <v>512</v>
      </c>
      <c r="D17" s="312">
        <v>0</v>
      </c>
      <c r="E17" s="313">
        <v>0</v>
      </c>
      <c r="F17" s="313">
        <v>0</v>
      </c>
      <c r="G17" s="313">
        <v>1.44</v>
      </c>
      <c r="H17" s="313">
        <v>0</v>
      </c>
      <c r="I17" s="313">
        <v>0</v>
      </c>
      <c r="J17" s="313">
        <v>0</v>
      </c>
      <c r="K17" s="313">
        <v>0</v>
      </c>
      <c r="L17" s="313">
        <v>0</v>
      </c>
      <c r="M17" s="313">
        <v>0</v>
      </c>
      <c r="N17" s="313">
        <v>0</v>
      </c>
      <c r="O17" s="313">
        <v>0</v>
      </c>
      <c r="P17" s="353">
        <v>0</v>
      </c>
      <c r="R17" s="183">
        <f>Est2020DistRev!D17</f>
        <v>0</v>
      </c>
      <c r="S17" s="184">
        <f>Est2020DistRev!E17</f>
        <v>0</v>
      </c>
      <c r="T17" s="184">
        <f>Est2020DistRev!F17</f>
        <v>0</v>
      </c>
      <c r="U17" s="184">
        <f>Est2020DistRev!G17</f>
        <v>1.38</v>
      </c>
      <c r="V17" s="184">
        <f>Est2020DistRev!H17</f>
        <v>0</v>
      </c>
      <c r="W17" s="184">
        <f>Est2020DistRev!I17</f>
        <v>0</v>
      </c>
      <c r="X17" s="184">
        <f>Est2020DistRev!J17</f>
        <v>0</v>
      </c>
      <c r="Y17" s="184">
        <f>Est2020DistRev!K17</f>
        <v>0</v>
      </c>
      <c r="Z17" s="184">
        <f>Est2020DistRev!L17</f>
        <v>0</v>
      </c>
      <c r="AA17" s="184">
        <f>Est2020DistRev!M17</f>
        <v>0</v>
      </c>
      <c r="AB17" s="184">
        <f>Est2020DistRev!N17</f>
        <v>0</v>
      </c>
      <c r="AC17" s="184">
        <f>Est2020DistRev!O17</f>
        <v>0</v>
      </c>
      <c r="AD17" s="185">
        <f>Est2020DistRev!P17</f>
        <v>0</v>
      </c>
      <c r="AF17" s="314">
        <v>2820.1769660071022</v>
      </c>
      <c r="AG17" s="317"/>
      <c r="AH17" s="317">
        <v>0</v>
      </c>
      <c r="AI17" s="317">
        <v>3940671.1045874362</v>
      </c>
      <c r="AJ17" s="317"/>
      <c r="AK17" s="317"/>
      <c r="AL17" s="317"/>
      <c r="AM17" s="317"/>
      <c r="AN17" s="317"/>
      <c r="AO17" s="317"/>
      <c r="AP17" s="317"/>
      <c r="AQ17" s="317"/>
      <c r="AR17" s="318"/>
      <c r="AT17" s="180">
        <f t="shared" si="23"/>
        <v>0</v>
      </c>
      <c r="AU17" s="181">
        <f t="shared" si="4"/>
        <v>0</v>
      </c>
      <c r="AV17" s="181">
        <f t="shared" si="4"/>
        <v>0</v>
      </c>
      <c r="AW17" s="181">
        <f t="shared" si="4"/>
        <v>56745.663906059082</v>
      </c>
      <c r="AX17" s="181">
        <f t="shared" si="24"/>
        <v>0</v>
      </c>
      <c r="AY17" s="181">
        <f t="shared" si="25"/>
        <v>0</v>
      </c>
      <c r="AZ17" s="181">
        <f t="shared" si="26"/>
        <v>0</v>
      </c>
      <c r="BA17" s="181">
        <f t="shared" si="27"/>
        <v>0</v>
      </c>
      <c r="BB17" s="181">
        <f t="shared" si="28"/>
        <v>0</v>
      </c>
      <c r="BC17" s="181">
        <f t="shared" si="29"/>
        <v>0</v>
      </c>
      <c r="BD17" s="181">
        <f t="shared" si="30"/>
        <v>0</v>
      </c>
      <c r="BE17" s="181">
        <f t="shared" si="31"/>
        <v>0</v>
      </c>
      <c r="BF17" s="181">
        <f t="shared" si="32"/>
        <v>0</v>
      </c>
      <c r="BG17" s="182">
        <f t="shared" si="33"/>
        <v>56745.663906059082</v>
      </c>
      <c r="BI17" s="180">
        <f t="shared" si="34"/>
        <v>0</v>
      </c>
      <c r="BJ17" s="181">
        <f t="shared" si="35"/>
        <v>0</v>
      </c>
      <c r="BK17" s="181">
        <f t="shared" si="36"/>
        <v>0</v>
      </c>
      <c r="BL17" s="181">
        <f t="shared" si="37"/>
        <v>54381.261243306617</v>
      </c>
      <c r="BM17" s="181">
        <f t="shared" si="38"/>
        <v>0</v>
      </c>
      <c r="BN17" s="181">
        <f t="shared" si="39"/>
        <v>0</v>
      </c>
      <c r="BO17" s="181">
        <f t="shared" si="40"/>
        <v>0</v>
      </c>
      <c r="BP17" s="181">
        <f t="shared" si="41"/>
        <v>0</v>
      </c>
      <c r="BQ17" s="181">
        <f t="shared" si="42"/>
        <v>0</v>
      </c>
      <c r="BR17" s="181">
        <f t="shared" si="43"/>
        <v>0</v>
      </c>
      <c r="BS17" s="181">
        <f t="shared" si="44"/>
        <v>0</v>
      </c>
      <c r="BT17" s="181">
        <f t="shared" si="45"/>
        <v>0</v>
      </c>
      <c r="BU17" s="181">
        <f t="shared" si="46"/>
        <v>0</v>
      </c>
      <c r="BV17" s="182">
        <f t="shared" si="47"/>
        <v>54381.261243306617</v>
      </c>
    </row>
    <row r="18" spans="1:74" x14ac:dyDescent="0.2">
      <c r="A18" s="170" t="s">
        <v>513</v>
      </c>
      <c r="B18" s="173" t="s">
        <v>514</v>
      </c>
      <c r="C18" s="173" t="s">
        <v>514</v>
      </c>
      <c r="D18" s="312">
        <v>90</v>
      </c>
      <c r="E18" s="313">
        <v>2.35</v>
      </c>
      <c r="F18" s="313">
        <v>0</v>
      </c>
      <c r="G18" s="313">
        <v>0</v>
      </c>
      <c r="H18" s="313">
        <v>0</v>
      </c>
      <c r="I18" s="313">
        <v>5.73</v>
      </c>
      <c r="J18" s="313">
        <v>1.97</v>
      </c>
      <c r="K18" s="313">
        <v>0</v>
      </c>
      <c r="L18" s="313">
        <v>0</v>
      </c>
      <c r="M18" s="313">
        <v>0</v>
      </c>
      <c r="N18" s="313">
        <v>0</v>
      </c>
      <c r="O18" s="313">
        <v>0</v>
      </c>
      <c r="P18" s="353">
        <v>0</v>
      </c>
      <c r="R18" s="183">
        <f>Est2020DistRev!D18</f>
        <v>95</v>
      </c>
      <c r="S18" s="184">
        <f>Est2020DistRev!E18</f>
        <v>2.79</v>
      </c>
      <c r="T18" s="184">
        <f>Est2020DistRev!F18</f>
        <v>0</v>
      </c>
      <c r="U18" s="184">
        <f>Est2020DistRev!G18</f>
        <v>0</v>
      </c>
      <c r="V18" s="184">
        <f>Est2020DistRev!H18</f>
        <v>0</v>
      </c>
      <c r="W18" s="184">
        <f>Est2020DistRev!I18</f>
        <v>6.81</v>
      </c>
      <c r="X18" s="184">
        <f>Est2020DistRev!J18</f>
        <v>2.34</v>
      </c>
      <c r="Y18" s="184">
        <f>Est2020DistRev!K18</f>
        <v>0</v>
      </c>
      <c r="Z18" s="184">
        <f>Est2020DistRev!L18</f>
        <v>0</v>
      </c>
      <c r="AA18" s="184">
        <f>Est2020DistRev!M18</f>
        <v>0</v>
      </c>
      <c r="AB18" s="184">
        <f>Est2020DistRev!N18</f>
        <v>0</v>
      </c>
      <c r="AC18" s="184">
        <f>Est2020DistRev!O18</f>
        <v>0</v>
      </c>
      <c r="AD18" s="185">
        <f>Est2020DistRev!P18</f>
        <v>0</v>
      </c>
      <c r="AF18" s="314">
        <v>5.5811473890526671</v>
      </c>
      <c r="AG18" s="317">
        <v>28084.127784552711</v>
      </c>
      <c r="AH18" s="317"/>
      <c r="AI18" s="317">
        <v>0</v>
      </c>
      <c r="AJ18" s="317"/>
      <c r="AK18" s="317">
        <v>95.352223627802374</v>
      </c>
      <c r="AL18" s="317">
        <v>109.86148665068743</v>
      </c>
      <c r="AM18" s="317"/>
      <c r="AN18" s="317"/>
      <c r="AO18" s="317"/>
      <c r="AP18" s="317"/>
      <c r="AQ18" s="317"/>
      <c r="AR18" s="318"/>
      <c r="AT18" s="180">
        <f t="shared" si="23"/>
        <v>502.30326501474002</v>
      </c>
      <c r="AU18" s="181">
        <f t="shared" si="4"/>
        <v>659.9770029369887</v>
      </c>
      <c r="AV18" s="181">
        <f t="shared" si="4"/>
        <v>0</v>
      </c>
      <c r="AW18" s="181">
        <f t="shared" si="4"/>
        <v>0</v>
      </c>
      <c r="AX18" s="181">
        <f t="shared" si="24"/>
        <v>0</v>
      </c>
      <c r="AY18" s="181">
        <f t="shared" si="25"/>
        <v>546.36824138730765</v>
      </c>
      <c r="AZ18" s="181">
        <f t="shared" si="26"/>
        <v>216.42712870185423</v>
      </c>
      <c r="BA18" s="181">
        <f t="shared" si="27"/>
        <v>0</v>
      </c>
      <c r="BB18" s="181">
        <f t="shared" si="28"/>
        <v>0</v>
      </c>
      <c r="BC18" s="181">
        <f t="shared" si="29"/>
        <v>0</v>
      </c>
      <c r="BD18" s="181">
        <f t="shared" si="30"/>
        <v>0</v>
      </c>
      <c r="BE18" s="181">
        <f t="shared" si="31"/>
        <v>0</v>
      </c>
      <c r="BF18" s="181">
        <f t="shared" si="32"/>
        <v>0</v>
      </c>
      <c r="BG18" s="182">
        <f t="shared" si="33"/>
        <v>1925.0756380408907</v>
      </c>
      <c r="BI18" s="180">
        <f t="shared" si="34"/>
        <v>530.20900196000332</v>
      </c>
      <c r="BJ18" s="181">
        <f t="shared" si="35"/>
        <v>783.54716518902069</v>
      </c>
      <c r="BK18" s="181">
        <f t="shared" si="36"/>
        <v>0</v>
      </c>
      <c r="BL18" s="181">
        <f t="shared" si="37"/>
        <v>0</v>
      </c>
      <c r="BM18" s="181">
        <f t="shared" si="38"/>
        <v>0</v>
      </c>
      <c r="BN18" s="181">
        <f t="shared" si="39"/>
        <v>649.34864290533415</v>
      </c>
      <c r="BO18" s="181">
        <f t="shared" si="40"/>
        <v>257.07587876260857</v>
      </c>
      <c r="BP18" s="181">
        <f t="shared" si="41"/>
        <v>0</v>
      </c>
      <c r="BQ18" s="181">
        <f t="shared" si="42"/>
        <v>0</v>
      </c>
      <c r="BR18" s="181">
        <f t="shared" si="43"/>
        <v>0</v>
      </c>
      <c r="BS18" s="181">
        <f t="shared" si="44"/>
        <v>0</v>
      </c>
      <c r="BT18" s="181">
        <f t="shared" si="45"/>
        <v>0</v>
      </c>
      <c r="BU18" s="181">
        <f t="shared" si="46"/>
        <v>0</v>
      </c>
      <c r="BV18" s="182">
        <f t="shared" si="47"/>
        <v>2220.1806888169667</v>
      </c>
    </row>
    <row r="19" spans="1:74" x14ac:dyDescent="0.2">
      <c r="A19" s="170" t="s">
        <v>515</v>
      </c>
      <c r="B19" s="173" t="s">
        <v>516</v>
      </c>
      <c r="C19" s="173" t="s">
        <v>516</v>
      </c>
      <c r="D19" s="312">
        <v>90</v>
      </c>
      <c r="E19" s="313">
        <v>2.35</v>
      </c>
      <c r="F19" s="313">
        <v>0</v>
      </c>
      <c r="G19" s="313">
        <v>0</v>
      </c>
      <c r="H19" s="313">
        <v>0</v>
      </c>
      <c r="I19" s="313">
        <v>5.73</v>
      </c>
      <c r="J19" s="313">
        <v>1.97</v>
      </c>
      <c r="K19" s="313">
        <v>0</v>
      </c>
      <c r="L19" s="313">
        <v>0</v>
      </c>
      <c r="M19" s="313">
        <v>0</v>
      </c>
      <c r="N19" s="313">
        <v>0</v>
      </c>
      <c r="O19" s="313">
        <v>0</v>
      </c>
      <c r="P19" s="353">
        <v>0</v>
      </c>
      <c r="R19" s="183">
        <f>Est2020DistRev!D19</f>
        <v>95</v>
      </c>
      <c r="S19" s="184">
        <f>Est2020DistRev!E19</f>
        <v>2.2200000000000002</v>
      </c>
      <c r="T19" s="184">
        <f>Est2020DistRev!F19</f>
        <v>0</v>
      </c>
      <c r="U19" s="184">
        <f>Est2020DistRev!G19</f>
        <v>0</v>
      </c>
      <c r="V19" s="184">
        <f>Est2020DistRev!H19</f>
        <v>0</v>
      </c>
      <c r="W19" s="184">
        <f>Est2020DistRev!I19</f>
        <v>5.54</v>
      </c>
      <c r="X19" s="184">
        <f>Est2020DistRev!J19</f>
        <v>1.87</v>
      </c>
      <c r="Y19" s="184">
        <f>Est2020DistRev!K19</f>
        <v>0</v>
      </c>
      <c r="Z19" s="184">
        <f>Est2020DistRev!L19</f>
        <v>0</v>
      </c>
      <c r="AA19" s="184">
        <f>Est2020DistRev!M19</f>
        <v>0</v>
      </c>
      <c r="AB19" s="184">
        <f>Est2020DistRev!N19</f>
        <v>0</v>
      </c>
      <c r="AC19" s="184">
        <f>Est2020DistRev!O19</f>
        <v>0</v>
      </c>
      <c r="AD19" s="185">
        <f>Est2020DistRev!P19</f>
        <v>0</v>
      </c>
      <c r="AF19" s="314">
        <v>0.82328491479595112</v>
      </c>
      <c r="AG19" s="317">
        <v>4301.9832508745367</v>
      </c>
      <c r="AH19" s="317"/>
      <c r="AI19" s="317">
        <v>0</v>
      </c>
      <c r="AJ19" s="317"/>
      <c r="AK19" s="317">
        <v>12.711256932654223</v>
      </c>
      <c r="AL19" s="317">
        <v>14.970733490906277</v>
      </c>
      <c r="AM19" s="317"/>
      <c r="AN19" s="317"/>
      <c r="AO19" s="317"/>
      <c r="AP19" s="317"/>
      <c r="AQ19" s="317"/>
      <c r="AR19" s="318"/>
      <c r="AT19" s="180">
        <f t="shared" si="23"/>
        <v>74.095642331635602</v>
      </c>
      <c r="AU19" s="181">
        <f t="shared" si="4"/>
        <v>101.09660639555162</v>
      </c>
      <c r="AV19" s="181">
        <f t="shared" si="4"/>
        <v>0</v>
      </c>
      <c r="AW19" s="181">
        <f t="shared" si="4"/>
        <v>0</v>
      </c>
      <c r="AX19" s="181">
        <f t="shared" si="24"/>
        <v>0</v>
      </c>
      <c r="AY19" s="181">
        <f t="shared" si="25"/>
        <v>72.835502224108708</v>
      </c>
      <c r="AZ19" s="181">
        <f t="shared" si="26"/>
        <v>29.492344977085363</v>
      </c>
      <c r="BA19" s="181">
        <f t="shared" si="27"/>
        <v>0</v>
      </c>
      <c r="BB19" s="181">
        <f t="shared" si="28"/>
        <v>0</v>
      </c>
      <c r="BC19" s="181">
        <f t="shared" si="29"/>
        <v>0</v>
      </c>
      <c r="BD19" s="181">
        <f t="shared" si="30"/>
        <v>0</v>
      </c>
      <c r="BE19" s="181">
        <f t="shared" si="31"/>
        <v>0</v>
      </c>
      <c r="BF19" s="181">
        <f t="shared" si="32"/>
        <v>0</v>
      </c>
      <c r="BG19" s="182">
        <f t="shared" si="33"/>
        <v>277.52009592838129</v>
      </c>
      <c r="BI19" s="180">
        <f t="shared" si="34"/>
        <v>78.212066905615359</v>
      </c>
      <c r="BJ19" s="181">
        <f t="shared" si="35"/>
        <v>95.504028169414724</v>
      </c>
      <c r="BK19" s="181">
        <f t="shared" si="36"/>
        <v>0</v>
      </c>
      <c r="BL19" s="181">
        <f t="shared" si="37"/>
        <v>0</v>
      </c>
      <c r="BM19" s="181">
        <f t="shared" si="38"/>
        <v>0</v>
      </c>
      <c r="BN19" s="181">
        <f t="shared" si="39"/>
        <v>70.4203634069044</v>
      </c>
      <c r="BO19" s="181">
        <f t="shared" si="40"/>
        <v>27.99527162799474</v>
      </c>
      <c r="BP19" s="181">
        <f t="shared" si="41"/>
        <v>0</v>
      </c>
      <c r="BQ19" s="181">
        <f t="shared" si="42"/>
        <v>0</v>
      </c>
      <c r="BR19" s="181">
        <f t="shared" si="43"/>
        <v>0</v>
      </c>
      <c r="BS19" s="181">
        <f t="shared" si="44"/>
        <v>0</v>
      </c>
      <c r="BT19" s="181">
        <f t="shared" si="45"/>
        <v>0</v>
      </c>
      <c r="BU19" s="181">
        <f t="shared" si="46"/>
        <v>0</v>
      </c>
      <c r="BV19" s="182">
        <f t="shared" si="47"/>
        <v>272.13173010992921</v>
      </c>
    </row>
    <row r="20" spans="1:74" x14ac:dyDescent="0.2">
      <c r="A20" s="170" t="s">
        <v>517</v>
      </c>
      <c r="B20" s="173" t="s">
        <v>518</v>
      </c>
      <c r="C20" s="173" t="s">
        <v>518</v>
      </c>
      <c r="D20" s="312">
        <v>160</v>
      </c>
      <c r="E20" s="313">
        <v>4.6900000000000004</v>
      </c>
      <c r="F20" s="313">
        <v>0</v>
      </c>
      <c r="G20" s="313">
        <v>0</v>
      </c>
      <c r="H20" s="313">
        <v>0</v>
      </c>
      <c r="I20" s="313">
        <v>0</v>
      </c>
      <c r="J20" s="313">
        <v>0</v>
      </c>
      <c r="K20" s="313">
        <v>0</v>
      </c>
      <c r="L20" s="313">
        <v>0</v>
      </c>
      <c r="M20" s="313">
        <v>0</v>
      </c>
      <c r="N20" s="313">
        <v>0</v>
      </c>
      <c r="O20" s="313">
        <v>0</v>
      </c>
      <c r="P20" s="353">
        <v>0</v>
      </c>
      <c r="R20" s="183">
        <f>Est2020DistRev!D20</f>
        <v>160</v>
      </c>
      <c r="S20" s="184">
        <f>Est2020DistRev!E20</f>
        <v>6.36</v>
      </c>
      <c r="T20" s="184">
        <f>Est2020DistRev!F20</f>
        <v>0</v>
      </c>
      <c r="U20" s="184">
        <f>Est2020DistRev!G20</f>
        <v>0</v>
      </c>
      <c r="V20" s="184">
        <f>Est2020DistRev!H20</f>
        <v>0</v>
      </c>
      <c r="W20" s="184">
        <f>Est2020DistRev!I20</f>
        <v>0</v>
      </c>
      <c r="X20" s="184">
        <f>Est2020DistRev!J20</f>
        <v>0</v>
      </c>
      <c r="Y20" s="184">
        <f>Est2020DistRev!K20</f>
        <v>0</v>
      </c>
      <c r="Z20" s="184">
        <f>Est2020DistRev!L20</f>
        <v>0</v>
      </c>
      <c r="AA20" s="184">
        <f>Est2020DistRev!M20</f>
        <v>0</v>
      </c>
      <c r="AB20" s="184">
        <f>Est2020DistRev!N20</f>
        <v>0</v>
      </c>
      <c r="AC20" s="184">
        <f>Est2020DistRev!O20</f>
        <v>0</v>
      </c>
      <c r="AD20" s="185">
        <f>Est2020DistRev!P20</f>
        <v>0</v>
      </c>
      <c r="AF20" s="314">
        <v>9615.4022222222247</v>
      </c>
      <c r="AG20" s="317">
        <v>101768262.25238639</v>
      </c>
      <c r="AH20" s="317"/>
      <c r="AI20" s="317">
        <v>0</v>
      </c>
      <c r="AJ20" s="317"/>
      <c r="AK20" s="317"/>
      <c r="AL20" s="317"/>
      <c r="AM20" s="317"/>
      <c r="AN20" s="317"/>
      <c r="AO20" s="317"/>
      <c r="AP20" s="317"/>
      <c r="AQ20" s="317"/>
      <c r="AR20" s="318"/>
      <c r="AT20" s="180">
        <f t="shared" si="23"/>
        <v>1538464.355555556</v>
      </c>
      <c r="AU20" s="181">
        <f t="shared" si="4"/>
        <v>4772931.499636922</v>
      </c>
      <c r="AV20" s="181">
        <f t="shared" si="4"/>
        <v>0</v>
      </c>
      <c r="AW20" s="181">
        <f t="shared" si="4"/>
        <v>0</v>
      </c>
      <c r="AX20" s="181">
        <f t="shared" si="24"/>
        <v>0</v>
      </c>
      <c r="AY20" s="181">
        <f t="shared" si="25"/>
        <v>0</v>
      </c>
      <c r="AZ20" s="181">
        <f t="shared" si="26"/>
        <v>0</v>
      </c>
      <c r="BA20" s="181">
        <f t="shared" si="27"/>
        <v>0</v>
      </c>
      <c r="BB20" s="181">
        <f t="shared" si="28"/>
        <v>0</v>
      </c>
      <c r="BC20" s="181">
        <f t="shared" si="29"/>
        <v>0</v>
      </c>
      <c r="BD20" s="181">
        <f t="shared" si="30"/>
        <v>0</v>
      </c>
      <c r="BE20" s="181">
        <f t="shared" si="31"/>
        <v>0</v>
      </c>
      <c r="BF20" s="181">
        <f t="shared" si="32"/>
        <v>0</v>
      </c>
      <c r="BG20" s="182">
        <f t="shared" si="33"/>
        <v>6311395.8551924778</v>
      </c>
      <c r="BI20" s="180">
        <f t="shared" si="34"/>
        <v>1538464.355555556</v>
      </c>
      <c r="BJ20" s="181">
        <f t="shared" si="35"/>
        <v>6472461.479251775</v>
      </c>
      <c r="BK20" s="181">
        <f t="shared" si="36"/>
        <v>0</v>
      </c>
      <c r="BL20" s="181">
        <f t="shared" si="37"/>
        <v>0</v>
      </c>
      <c r="BM20" s="181">
        <f t="shared" si="38"/>
        <v>0</v>
      </c>
      <c r="BN20" s="181">
        <f t="shared" si="39"/>
        <v>0</v>
      </c>
      <c r="BO20" s="181">
        <f t="shared" si="40"/>
        <v>0</v>
      </c>
      <c r="BP20" s="181">
        <f t="shared" si="41"/>
        <v>0</v>
      </c>
      <c r="BQ20" s="181">
        <f t="shared" si="42"/>
        <v>0</v>
      </c>
      <c r="BR20" s="181">
        <f t="shared" si="43"/>
        <v>0</v>
      </c>
      <c r="BS20" s="181">
        <f t="shared" si="44"/>
        <v>0</v>
      </c>
      <c r="BT20" s="181">
        <f t="shared" si="45"/>
        <v>0</v>
      </c>
      <c r="BU20" s="181">
        <f t="shared" si="46"/>
        <v>0</v>
      </c>
      <c r="BV20" s="182">
        <f t="shared" si="47"/>
        <v>8010925.8348073307</v>
      </c>
    </row>
    <row r="21" spans="1:74" x14ac:dyDescent="0.2">
      <c r="A21" s="170" t="s">
        <v>519</v>
      </c>
      <c r="B21" s="173" t="s">
        <v>520</v>
      </c>
      <c r="C21" s="173" t="s">
        <v>520</v>
      </c>
      <c r="D21" s="312">
        <v>160</v>
      </c>
      <c r="E21" s="313">
        <v>4.6900000000000004</v>
      </c>
      <c r="F21" s="313">
        <v>0</v>
      </c>
      <c r="G21" s="313">
        <v>0</v>
      </c>
      <c r="H21" s="313">
        <v>0</v>
      </c>
      <c r="I21" s="313">
        <v>0</v>
      </c>
      <c r="J21" s="313">
        <v>0</v>
      </c>
      <c r="K21" s="313">
        <v>0</v>
      </c>
      <c r="L21" s="313">
        <v>0</v>
      </c>
      <c r="M21" s="313">
        <v>0</v>
      </c>
      <c r="N21" s="313">
        <v>0</v>
      </c>
      <c r="O21" s="313">
        <v>0</v>
      </c>
      <c r="P21" s="353">
        <v>0</v>
      </c>
      <c r="R21" s="183">
        <f>Est2020DistRev!D21</f>
        <v>160</v>
      </c>
      <c r="S21" s="184">
        <f>Est2020DistRev!E21</f>
        <v>5.78</v>
      </c>
      <c r="T21" s="184">
        <f>Est2020DistRev!F21</f>
        <v>0</v>
      </c>
      <c r="U21" s="184">
        <f>Est2020DistRev!G21</f>
        <v>0</v>
      </c>
      <c r="V21" s="184">
        <f>Est2020DistRev!H21</f>
        <v>0</v>
      </c>
      <c r="W21" s="184">
        <f>Est2020DistRev!I21</f>
        <v>0</v>
      </c>
      <c r="X21" s="184">
        <f>Est2020DistRev!J21</f>
        <v>0</v>
      </c>
      <c r="Y21" s="184">
        <f>Est2020DistRev!K21</f>
        <v>0</v>
      </c>
      <c r="Z21" s="184">
        <f>Est2020DistRev!L21</f>
        <v>0</v>
      </c>
      <c r="AA21" s="184">
        <f>Est2020DistRev!M21</f>
        <v>0</v>
      </c>
      <c r="AB21" s="184">
        <f>Est2020DistRev!N21</f>
        <v>0</v>
      </c>
      <c r="AC21" s="184">
        <f>Est2020DistRev!O21</f>
        <v>0</v>
      </c>
      <c r="AD21" s="185">
        <f>Est2020DistRev!P21</f>
        <v>0</v>
      </c>
      <c r="AF21" s="314">
        <v>3064.9233333333336</v>
      </c>
      <c r="AG21" s="317">
        <v>38230383.354700655</v>
      </c>
      <c r="AH21" s="317"/>
      <c r="AI21" s="317">
        <v>0</v>
      </c>
      <c r="AJ21" s="317"/>
      <c r="AK21" s="317"/>
      <c r="AL21" s="317"/>
      <c r="AM21" s="317"/>
      <c r="AN21" s="317"/>
      <c r="AO21" s="317"/>
      <c r="AP21" s="317"/>
      <c r="AQ21" s="317"/>
      <c r="AR21" s="318"/>
      <c r="AT21" s="180">
        <f t="shared" si="23"/>
        <v>490387.7333333334</v>
      </c>
      <c r="AU21" s="181">
        <f t="shared" si="4"/>
        <v>1793004.9793354608</v>
      </c>
      <c r="AV21" s="181">
        <f t="shared" si="4"/>
        <v>0</v>
      </c>
      <c r="AW21" s="181">
        <f t="shared" si="4"/>
        <v>0</v>
      </c>
      <c r="AX21" s="181">
        <f t="shared" si="24"/>
        <v>0</v>
      </c>
      <c r="AY21" s="181">
        <f t="shared" si="25"/>
        <v>0</v>
      </c>
      <c r="AZ21" s="181">
        <f t="shared" si="26"/>
        <v>0</v>
      </c>
      <c r="BA21" s="181">
        <f t="shared" si="27"/>
        <v>0</v>
      </c>
      <c r="BB21" s="181">
        <f t="shared" si="28"/>
        <v>0</v>
      </c>
      <c r="BC21" s="181">
        <f t="shared" si="29"/>
        <v>0</v>
      </c>
      <c r="BD21" s="181">
        <f t="shared" si="30"/>
        <v>0</v>
      </c>
      <c r="BE21" s="181">
        <f t="shared" si="31"/>
        <v>0</v>
      </c>
      <c r="BF21" s="181">
        <f t="shared" si="32"/>
        <v>0</v>
      </c>
      <c r="BG21" s="182">
        <f t="shared" si="33"/>
        <v>2283392.7126687942</v>
      </c>
      <c r="BI21" s="180">
        <f t="shared" si="34"/>
        <v>490387.7333333334</v>
      </c>
      <c r="BJ21" s="181">
        <f t="shared" si="35"/>
        <v>2209716.1579016978</v>
      </c>
      <c r="BK21" s="181">
        <f t="shared" si="36"/>
        <v>0</v>
      </c>
      <c r="BL21" s="181">
        <f t="shared" si="37"/>
        <v>0</v>
      </c>
      <c r="BM21" s="181">
        <f t="shared" si="38"/>
        <v>0</v>
      </c>
      <c r="BN21" s="181">
        <f t="shared" si="39"/>
        <v>0</v>
      </c>
      <c r="BO21" s="181">
        <f t="shared" si="40"/>
        <v>0</v>
      </c>
      <c r="BP21" s="181">
        <f t="shared" si="41"/>
        <v>0</v>
      </c>
      <c r="BQ21" s="181">
        <f t="shared" si="42"/>
        <v>0</v>
      </c>
      <c r="BR21" s="181">
        <f t="shared" si="43"/>
        <v>0</v>
      </c>
      <c r="BS21" s="181">
        <f t="shared" si="44"/>
        <v>0</v>
      </c>
      <c r="BT21" s="181">
        <f t="shared" si="45"/>
        <v>0</v>
      </c>
      <c r="BU21" s="181">
        <f t="shared" si="46"/>
        <v>0</v>
      </c>
      <c r="BV21" s="182">
        <f t="shared" si="47"/>
        <v>2700103.8912350312</v>
      </c>
    </row>
    <row r="22" spans="1:74" x14ac:dyDescent="0.2">
      <c r="A22" s="170" t="s">
        <v>521</v>
      </c>
      <c r="B22" s="190" t="s">
        <v>522</v>
      </c>
      <c r="C22" s="173" t="s">
        <v>522</v>
      </c>
      <c r="D22" s="312">
        <v>160</v>
      </c>
      <c r="E22" s="313">
        <v>0</v>
      </c>
      <c r="F22" s="313">
        <v>6.72</v>
      </c>
      <c r="G22" s="313">
        <v>2.11</v>
      </c>
      <c r="H22" s="313">
        <v>0</v>
      </c>
      <c r="I22" s="313">
        <v>0</v>
      </c>
      <c r="J22" s="313">
        <v>0</v>
      </c>
      <c r="K22" s="313">
        <v>0</v>
      </c>
      <c r="L22" s="313">
        <v>0</v>
      </c>
      <c r="M22" s="313">
        <v>0</v>
      </c>
      <c r="N22" s="313">
        <v>0</v>
      </c>
      <c r="O22" s="313">
        <v>0</v>
      </c>
      <c r="P22" s="353">
        <v>0</v>
      </c>
      <c r="R22" s="183">
        <f>Est2020DistRev!D22</f>
        <v>160</v>
      </c>
      <c r="S22" s="184">
        <f>Est2020DistRev!E22</f>
        <v>0</v>
      </c>
      <c r="T22" s="184">
        <f>Est2020DistRev!F22</f>
        <v>9.8800000000000008</v>
      </c>
      <c r="U22" s="184">
        <f>Est2020DistRev!G22</f>
        <v>3.09</v>
      </c>
      <c r="V22" s="184">
        <f>Est2020DistRev!H22</f>
        <v>0</v>
      </c>
      <c r="W22" s="184">
        <f>Est2020DistRev!I22</f>
        <v>0</v>
      </c>
      <c r="X22" s="184">
        <f>Est2020DistRev!J22</f>
        <v>0</v>
      </c>
      <c r="Y22" s="184">
        <f>Est2020DistRev!K22</f>
        <v>0</v>
      </c>
      <c r="Z22" s="184">
        <f>Est2020DistRev!L22</f>
        <v>0</v>
      </c>
      <c r="AA22" s="184">
        <f>Est2020DistRev!M22</f>
        <v>0</v>
      </c>
      <c r="AB22" s="184">
        <f>Est2020DistRev!N22</f>
        <v>0</v>
      </c>
      <c r="AC22" s="184">
        <f>Est2020DistRev!O22</f>
        <v>0</v>
      </c>
      <c r="AD22" s="185">
        <f>Est2020DistRev!P22</f>
        <v>0</v>
      </c>
      <c r="AF22" s="314">
        <v>2404.997614247312</v>
      </c>
      <c r="AG22" s="317"/>
      <c r="AH22" s="317">
        <v>24207963.141548548</v>
      </c>
      <c r="AI22" s="317">
        <v>15407185.573076922</v>
      </c>
      <c r="AJ22" s="317"/>
      <c r="AK22" s="317"/>
      <c r="AL22" s="317"/>
      <c r="AM22" s="317"/>
      <c r="AN22" s="317"/>
      <c r="AO22" s="317"/>
      <c r="AP22" s="317"/>
      <c r="AQ22" s="317"/>
      <c r="AR22" s="318"/>
      <c r="AT22" s="180">
        <f t="shared" si="23"/>
        <v>384799.6182795699</v>
      </c>
      <c r="AU22" s="181">
        <f t="shared" si="4"/>
        <v>0</v>
      </c>
      <c r="AV22" s="181">
        <f t="shared" si="4"/>
        <v>1626775.1231120622</v>
      </c>
      <c r="AW22" s="181">
        <f t="shared" si="4"/>
        <v>325091.61559192301</v>
      </c>
      <c r="AX22" s="181">
        <f t="shared" si="24"/>
        <v>0</v>
      </c>
      <c r="AY22" s="181">
        <f t="shared" si="25"/>
        <v>0</v>
      </c>
      <c r="AZ22" s="181">
        <f t="shared" si="26"/>
        <v>0</v>
      </c>
      <c r="BA22" s="181">
        <f t="shared" si="27"/>
        <v>0</v>
      </c>
      <c r="BB22" s="181">
        <f t="shared" si="28"/>
        <v>0</v>
      </c>
      <c r="BC22" s="181">
        <f t="shared" si="29"/>
        <v>0</v>
      </c>
      <c r="BD22" s="181">
        <f t="shared" si="30"/>
        <v>0</v>
      </c>
      <c r="BE22" s="181">
        <f t="shared" si="31"/>
        <v>0</v>
      </c>
      <c r="BF22" s="181">
        <f t="shared" si="32"/>
        <v>0</v>
      </c>
      <c r="BG22" s="182">
        <f t="shared" si="33"/>
        <v>2336666.3569835555</v>
      </c>
      <c r="BI22" s="180">
        <f t="shared" si="34"/>
        <v>384799.6182795699</v>
      </c>
      <c r="BJ22" s="181">
        <f t="shared" si="35"/>
        <v>0</v>
      </c>
      <c r="BK22" s="181">
        <f t="shared" si="36"/>
        <v>2391746.758384997</v>
      </c>
      <c r="BL22" s="181">
        <f t="shared" si="37"/>
        <v>476082.03420807683</v>
      </c>
      <c r="BM22" s="181">
        <f t="shared" si="38"/>
        <v>0</v>
      </c>
      <c r="BN22" s="181">
        <f t="shared" si="39"/>
        <v>0</v>
      </c>
      <c r="BO22" s="181">
        <f t="shared" si="40"/>
        <v>0</v>
      </c>
      <c r="BP22" s="181">
        <f t="shared" si="41"/>
        <v>0</v>
      </c>
      <c r="BQ22" s="181">
        <f t="shared" si="42"/>
        <v>0</v>
      </c>
      <c r="BR22" s="181">
        <f t="shared" si="43"/>
        <v>0</v>
      </c>
      <c r="BS22" s="181">
        <f t="shared" si="44"/>
        <v>0</v>
      </c>
      <c r="BT22" s="181">
        <f t="shared" si="45"/>
        <v>0</v>
      </c>
      <c r="BU22" s="181">
        <f t="shared" si="46"/>
        <v>0</v>
      </c>
      <c r="BV22" s="182">
        <f t="shared" si="47"/>
        <v>3252628.4108726438</v>
      </c>
    </row>
    <row r="23" spans="1:74" x14ac:dyDescent="0.2">
      <c r="A23" s="170" t="s">
        <v>523</v>
      </c>
      <c r="B23" s="173" t="s">
        <v>524</v>
      </c>
      <c r="C23" s="173" t="s">
        <v>524</v>
      </c>
      <c r="D23" s="312">
        <v>160</v>
      </c>
      <c r="E23" s="313">
        <v>0</v>
      </c>
      <c r="F23" s="313">
        <v>6.72</v>
      </c>
      <c r="G23" s="313">
        <v>2.11</v>
      </c>
      <c r="H23" s="313">
        <v>0</v>
      </c>
      <c r="I23" s="313">
        <v>0</v>
      </c>
      <c r="J23" s="313">
        <v>0</v>
      </c>
      <c r="K23" s="313">
        <v>0</v>
      </c>
      <c r="L23" s="313">
        <v>0</v>
      </c>
      <c r="M23" s="313">
        <v>0</v>
      </c>
      <c r="N23" s="313">
        <v>0</v>
      </c>
      <c r="O23" s="313">
        <v>0</v>
      </c>
      <c r="P23" s="353">
        <v>0</v>
      </c>
      <c r="R23" s="183">
        <f>Est2020DistRev!D23</f>
        <v>160</v>
      </c>
      <c r="S23" s="184">
        <f>Est2020DistRev!E23</f>
        <v>0</v>
      </c>
      <c r="T23" s="184">
        <f>Est2020DistRev!F23</f>
        <v>8.19</v>
      </c>
      <c r="U23" s="184">
        <f>Est2020DistRev!G23</f>
        <v>2.65</v>
      </c>
      <c r="V23" s="184">
        <f>Est2020DistRev!H23</f>
        <v>0</v>
      </c>
      <c r="W23" s="184">
        <f>Est2020DistRev!I23</f>
        <v>0</v>
      </c>
      <c r="X23" s="184">
        <f>Est2020DistRev!J23</f>
        <v>0</v>
      </c>
      <c r="Y23" s="184">
        <f>Est2020DistRev!K23</f>
        <v>0</v>
      </c>
      <c r="Z23" s="184">
        <f>Est2020DistRev!L23</f>
        <v>0</v>
      </c>
      <c r="AA23" s="184">
        <f>Est2020DistRev!M23</f>
        <v>0</v>
      </c>
      <c r="AB23" s="184">
        <f>Est2020DistRev!N23</f>
        <v>0</v>
      </c>
      <c r="AC23" s="184">
        <f>Est2020DistRev!O23</f>
        <v>0</v>
      </c>
      <c r="AD23" s="185">
        <f>Est2020DistRev!P23</f>
        <v>0</v>
      </c>
      <c r="AF23" s="314">
        <v>498.43003312211971</v>
      </c>
      <c r="AG23" s="317"/>
      <c r="AH23" s="317">
        <v>6458610.6276198849</v>
      </c>
      <c r="AI23" s="317">
        <v>3935479.6441410244</v>
      </c>
      <c r="AJ23" s="317"/>
      <c r="AK23" s="317"/>
      <c r="AL23" s="317"/>
      <c r="AM23" s="317"/>
      <c r="AN23" s="317"/>
      <c r="AO23" s="317"/>
      <c r="AP23" s="317"/>
      <c r="AQ23" s="317"/>
      <c r="AR23" s="318"/>
      <c r="AT23" s="180">
        <f t="shared" si="23"/>
        <v>79748.805299539148</v>
      </c>
      <c r="AU23" s="181">
        <f t="shared" si="4"/>
        <v>0</v>
      </c>
      <c r="AV23" s="181">
        <f t="shared" si="4"/>
        <v>434018.63417605625</v>
      </c>
      <c r="AW23" s="181">
        <f t="shared" si="4"/>
        <v>83038.620491375608</v>
      </c>
      <c r="AX23" s="181">
        <f t="shared" si="24"/>
        <v>0</v>
      </c>
      <c r="AY23" s="181">
        <f t="shared" si="25"/>
        <v>0</v>
      </c>
      <c r="AZ23" s="181">
        <f t="shared" si="26"/>
        <v>0</v>
      </c>
      <c r="BA23" s="181">
        <f t="shared" si="27"/>
        <v>0</v>
      </c>
      <c r="BB23" s="181">
        <f t="shared" si="28"/>
        <v>0</v>
      </c>
      <c r="BC23" s="181">
        <f t="shared" si="29"/>
        <v>0</v>
      </c>
      <c r="BD23" s="181">
        <f t="shared" si="30"/>
        <v>0</v>
      </c>
      <c r="BE23" s="181">
        <f t="shared" si="31"/>
        <v>0</v>
      </c>
      <c r="BF23" s="181">
        <f t="shared" si="32"/>
        <v>0</v>
      </c>
      <c r="BG23" s="182">
        <f t="shared" si="33"/>
        <v>596806.05996697093</v>
      </c>
      <c r="BI23" s="180">
        <f t="shared" si="34"/>
        <v>79748.805299539148</v>
      </c>
      <c r="BJ23" s="181">
        <f t="shared" si="35"/>
        <v>0</v>
      </c>
      <c r="BK23" s="181">
        <f t="shared" si="36"/>
        <v>528960.21040206857</v>
      </c>
      <c r="BL23" s="181">
        <f t="shared" si="37"/>
        <v>104290.21056973714</v>
      </c>
      <c r="BM23" s="181">
        <f t="shared" si="38"/>
        <v>0</v>
      </c>
      <c r="BN23" s="181">
        <f t="shared" si="39"/>
        <v>0</v>
      </c>
      <c r="BO23" s="181">
        <f t="shared" si="40"/>
        <v>0</v>
      </c>
      <c r="BP23" s="181">
        <f t="shared" si="41"/>
        <v>0</v>
      </c>
      <c r="BQ23" s="181">
        <f t="shared" si="42"/>
        <v>0</v>
      </c>
      <c r="BR23" s="181">
        <f t="shared" si="43"/>
        <v>0</v>
      </c>
      <c r="BS23" s="181">
        <f t="shared" si="44"/>
        <v>0</v>
      </c>
      <c r="BT23" s="181">
        <f t="shared" si="45"/>
        <v>0</v>
      </c>
      <c r="BU23" s="181">
        <f t="shared" si="46"/>
        <v>0</v>
      </c>
      <c r="BV23" s="182">
        <f t="shared" si="47"/>
        <v>712999.22627134481</v>
      </c>
    </row>
    <row r="24" spans="1:74" x14ac:dyDescent="0.2">
      <c r="A24" s="170" t="s">
        <v>525</v>
      </c>
      <c r="B24" s="173" t="s">
        <v>526</v>
      </c>
      <c r="C24" s="173" t="s">
        <v>526</v>
      </c>
      <c r="D24" s="312">
        <v>160</v>
      </c>
      <c r="E24" s="313">
        <v>0</v>
      </c>
      <c r="F24" s="313">
        <v>6.72</v>
      </c>
      <c r="G24" s="313">
        <v>2.11</v>
      </c>
      <c r="H24" s="313">
        <v>0</v>
      </c>
      <c r="I24" s="313">
        <v>0</v>
      </c>
      <c r="J24" s="313">
        <v>0</v>
      </c>
      <c r="K24" s="313">
        <v>0</v>
      </c>
      <c r="L24" s="313">
        <v>0</v>
      </c>
      <c r="M24" s="313">
        <v>0</v>
      </c>
      <c r="N24" s="313">
        <v>0</v>
      </c>
      <c r="O24" s="313">
        <v>0</v>
      </c>
      <c r="P24" s="353">
        <v>0</v>
      </c>
      <c r="R24" s="183">
        <f>Est2020DistRev!D24</f>
        <v>160</v>
      </c>
      <c r="S24" s="184">
        <f>Est2020DistRev!E24</f>
        <v>0</v>
      </c>
      <c r="T24" s="184">
        <f>Est2020DistRev!F24</f>
        <v>9.8800000000000008</v>
      </c>
      <c r="U24" s="184">
        <f>Est2020DistRev!G24</f>
        <v>2.86</v>
      </c>
      <c r="V24" s="184">
        <f>Est2020DistRev!H24</f>
        <v>0</v>
      </c>
      <c r="W24" s="184">
        <f>Est2020DistRev!I24</f>
        <v>0</v>
      </c>
      <c r="X24" s="184">
        <f>Est2020DistRev!J24</f>
        <v>0</v>
      </c>
      <c r="Y24" s="184">
        <f>Est2020DistRev!K24</f>
        <v>0</v>
      </c>
      <c r="Z24" s="184">
        <f>Est2020DistRev!L24</f>
        <v>0</v>
      </c>
      <c r="AA24" s="184">
        <f>Est2020DistRev!M24</f>
        <v>0</v>
      </c>
      <c r="AB24" s="184">
        <f>Est2020DistRev!N24</f>
        <v>0</v>
      </c>
      <c r="AC24" s="184">
        <f>Est2020DistRev!O24</f>
        <v>0</v>
      </c>
      <c r="AD24" s="185">
        <f>Est2020DistRev!P24</f>
        <v>0</v>
      </c>
      <c r="AF24" s="314">
        <v>1896.5956418010758</v>
      </c>
      <c r="AG24" s="317"/>
      <c r="AH24" s="317">
        <v>18861774.575420383</v>
      </c>
      <c r="AI24" s="317">
        <v>10882443.506134985</v>
      </c>
      <c r="AJ24" s="317"/>
      <c r="AK24" s="317"/>
      <c r="AL24" s="317"/>
      <c r="AM24" s="317"/>
      <c r="AN24" s="317"/>
      <c r="AO24" s="317"/>
      <c r="AP24" s="317"/>
      <c r="AQ24" s="317"/>
      <c r="AR24" s="318"/>
      <c r="AT24" s="180">
        <f t="shared" si="23"/>
        <v>303455.30268817215</v>
      </c>
      <c r="AU24" s="181">
        <f t="shared" si="4"/>
        <v>0</v>
      </c>
      <c r="AV24" s="181">
        <f t="shared" si="4"/>
        <v>1267511.2514682496</v>
      </c>
      <c r="AW24" s="181">
        <f t="shared" si="4"/>
        <v>229619.55797944815</v>
      </c>
      <c r="AX24" s="181">
        <f t="shared" si="24"/>
        <v>0</v>
      </c>
      <c r="AY24" s="181">
        <f t="shared" si="25"/>
        <v>0</v>
      </c>
      <c r="AZ24" s="181">
        <f t="shared" si="26"/>
        <v>0</v>
      </c>
      <c r="BA24" s="181">
        <f t="shared" si="27"/>
        <v>0</v>
      </c>
      <c r="BB24" s="181">
        <f t="shared" si="28"/>
        <v>0</v>
      </c>
      <c r="BC24" s="181">
        <f t="shared" si="29"/>
        <v>0</v>
      </c>
      <c r="BD24" s="181">
        <f t="shared" si="30"/>
        <v>0</v>
      </c>
      <c r="BE24" s="181">
        <f t="shared" si="31"/>
        <v>0</v>
      </c>
      <c r="BF24" s="181">
        <f t="shared" si="32"/>
        <v>0</v>
      </c>
      <c r="BG24" s="182">
        <f t="shared" si="33"/>
        <v>1800586.1121358699</v>
      </c>
      <c r="BI24" s="180">
        <f t="shared" si="34"/>
        <v>303455.30268817215</v>
      </c>
      <c r="BJ24" s="181">
        <f t="shared" si="35"/>
        <v>0</v>
      </c>
      <c r="BK24" s="181">
        <f t="shared" si="36"/>
        <v>1863543.328051534</v>
      </c>
      <c r="BL24" s="181">
        <f t="shared" si="37"/>
        <v>311237.88427546056</v>
      </c>
      <c r="BM24" s="181">
        <f t="shared" si="38"/>
        <v>0</v>
      </c>
      <c r="BN24" s="181">
        <f t="shared" si="39"/>
        <v>0</v>
      </c>
      <c r="BO24" s="181">
        <f t="shared" si="40"/>
        <v>0</v>
      </c>
      <c r="BP24" s="181">
        <f t="shared" si="41"/>
        <v>0</v>
      </c>
      <c r="BQ24" s="181">
        <f t="shared" si="42"/>
        <v>0</v>
      </c>
      <c r="BR24" s="181">
        <f t="shared" si="43"/>
        <v>0</v>
      </c>
      <c r="BS24" s="181">
        <f t="shared" si="44"/>
        <v>0</v>
      </c>
      <c r="BT24" s="181">
        <f t="shared" si="45"/>
        <v>0</v>
      </c>
      <c r="BU24" s="181">
        <f t="shared" si="46"/>
        <v>0</v>
      </c>
      <c r="BV24" s="182">
        <f t="shared" si="47"/>
        <v>2478236.5150151667</v>
      </c>
    </row>
    <row r="25" spans="1:74" x14ac:dyDescent="0.2">
      <c r="A25" s="170" t="s">
        <v>527</v>
      </c>
      <c r="B25" s="173" t="s">
        <v>528</v>
      </c>
      <c r="C25" s="173" t="s">
        <v>528</v>
      </c>
      <c r="D25" s="312">
        <v>160</v>
      </c>
      <c r="E25" s="313">
        <v>0</v>
      </c>
      <c r="F25" s="313">
        <v>6.72</v>
      </c>
      <c r="G25" s="313">
        <v>2.11</v>
      </c>
      <c r="H25" s="313">
        <v>0</v>
      </c>
      <c r="I25" s="313">
        <v>0</v>
      </c>
      <c r="J25" s="313">
        <v>0</v>
      </c>
      <c r="K25" s="313">
        <v>0</v>
      </c>
      <c r="L25" s="313">
        <v>0</v>
      </c>
      <c r="M25" s="313">
        <v>0</v>
      </c>
      <c r="N25" s="313">
        <v>0</v>
      </c>
      <c r="O25" s="313">
        <v>0</v>
      </c>
      <c r="P25" s="353">
        <v>0</v>
      </c>
      <c r="R25" s="183">
        <f>Est2020DistRev!D25</f>
        <v>160</v>
      </c>
      <c r="S25" s="184">
        <f>Est2020DistRev!E25</f>
        <v>0</v>
      </c>
      <c r="T25" s="184">
        <f>Est2020DistRev!F25</f>
        <v>8.19</v>
      </c>
      <c r="U25" s="184">
        <f>Est2020DistRev!G25</f>
        <v>2.65</v>
      </c>
      <c r="V25" s="184">
        <f>Est2020DistRev!H25</f>
        <v>0</v>
      </c>
      <c r="W25" s="184">
        <f>Est2020DistRev!I25</f>
        <v>0</v>
      </c>
      <c r="X25" s="184">
        <f>Est2020DistRev!J25</f>
        <v>0</v>
      </c>
      <c r="Y25" s="184">
        <f>Est2020DistRev!K25</f>
        <v>0</v>
      </c>
      <c r="Z25" s="184">
        <f>Est2020DistRev!L25</f>
        <v>0</v>
      </c>
      <c r="AA25" s="184">
        <f>Est2020DistRev!M25</f>
        <v>0</v>
      </c>
      <c r="AB25" s="184">
        <f>Est2020DistRev!N25</f>
        <v>0</v>
      </c>
      <c r="AC25" s="184">
        <f>Est2020DistRev!O25</f>
        <v>0</v>
      </c>
      <c r="AD25" s="185">
        <f>Est2020DistRev!P25</f>
        <v>0</v>
      </c>
      <c r="AF25" s="314">
        <v>879.66478974654399</v>
      </c>
      <c r="AG25" s="317"/>
      <c r="AH25" s="317">
        <v>11015899.562370686</v>
      </c>
      <c r="AI25" s="317">
        <v>5761774.6322561689</v>
      </c>
      <c r="AJ25" s="317"/>
      <c r="AK25" s="317"/>
      <c r="AL25" s="317"/>
      <c r="AM25" s="317"/>
      <c r="AN25" s="317"/>
      <c r="AO25" s="317"/>
      <c r="AP25" s="317"/>
      <c r="AQ25" s="317"/>
      <c r="AR25" s="318"/>
      <c r="AT25" s="180">
        <f t="shared" si="23"/>
        <v>140746.36635944704</v>
      </c>
      <c r="AU25" s="181">
        <f t="shared" si="4"/>
        <v>0</v>
      </c>
      <c r="AV25" s="181">
        <f t="shared" si="4"/>
        <v>740268.45059131004</v>
      </c>
      <c r="AW25" s="181">
        <f t="shared" si="4"/>
        <v>121573.44474060515</v>
      </c>
      <c r="AX25" s="181">
        <f t="shared" si="24"/>
        <v>0</v>
      </c>
      <c r="AY25" s="181">
        <f t="shared" si="25"/>
        <v>0</v>
      </c>
      <c r="AZ25" s="181">
        <f t="shared" si="26"/>
        <v>0</v>
      </c>
      <c r="BA25" s="181">
        <f t="shared" si="27"/>
        <v>0</v>
      </c>
      <c r="BB25" s="181">
        <f t="shared" si="28"/>
        <v>0</v>
      </c>
      <c r="BC25" s="181">
        <f t="shared" si="29"/>
        <v>0</v>
      </c>
      <c r="BD25" s="181">
        <f t="shared" si="30"/>
        <v>0</v>
      </c>
      <c r="BE25" s="181">
        <f t="shared" si="31"/>
        <v>0</v>
      </c>
      <c r="BF25" s="181">
        <f t="shared" si="32"/>
        <v>0</v>
      </c>
      <c r="BG25" s="182">
        <f t="shared" si="33"/>
        <v>1002588.2616913622</v>
      </c>
      <c r="BI25" s="180">
        <f t="shared" si="34"/>
        <v>140746.36635944704</v>
      </c>
      <c r="BJ25" s="181">
        <f t="shared" si="35"/>
        <v>0</v>
      </c>
      <c r="BK25" s="181">
        <f t="shared" si="36"/>
        <v>902202.17415815918</v>
      </c>
      <c r="BL25" s="181">
        <f t="shared" si="37"/>
        <v>152687.02775478846</v>
      </c>
      <c r="BM25" s="181">
        <f t="shared" si="38"/>
        <v>0</v>
      </c>
      <c r="BN25" s="181">
        <f t="shared" si="39"/>
        <v>0</v>
      </c>
      <c r="BO25" s="181">
        <f t="shared" si="40"/>
        <v>0</v>
      </c>
      <c r="BP25" s="181">
        <f t="shared" si="41"/>
        <v>0</v>
      </c>
      <c r="BQ25" s="181">
        <f t="shared" si="42"/>
        <v>0</v>
      </c>
      <c r="BR25" s="181">
        <f t="shared" si="43"/>
        <v>0</v>
      </c>
      <c r="BS25" s="181">
        <f t="shared" si="44"/>
        <v>0</v>
      </c>
      <c r="BT25" s="181">
        <f t="shared" si="45"/>
        <v>0</v>
      </c>
      <c r="BU25" s="181">
        <f t="shared" si="46"/>
        <v>0</v>
      </c>
      <c r="BV25" s="182">
        <f t="shared" si="47"/>
        <v>1195635.5682723946</v>
      </c>
    </row>
    <row r="26" spans="1:74" x14ac:dyDescent="0.2">
      <c r="A26" s="170" t="s">
        <v>529</v>
      </c>
      <c r="B26" s="173" t="s">
        <v>530</v>
      </c>
      <c r="C26" s="173" t="s">
        <v>530</v>
      </c>
      <c r="D26" s="312">
        <v>160</v>
      </c>
      <c r="E26" s="313">
        <v>0</v>
      </c>
      <c r="F26" s="313">
        <v>0</v>
      </c>
      <c r="G26" s="313">
        <v>0</v>
      </c>
      <c r="H26" s="313">
        <v>0</v>
      </c>
      <c r="I26" s="313">
        <v>0</v>
      </c>
      <c r="J26" s="313">
        <v>0</v>
      </c>
      <c r="K26" s="313">
        <v>9.09</v>
      </c>
      <c r="L26" s="313">
        <v>6.34</v>
      </c>
      <c r="M26" s="313">
        <v>2.5</v>
      </c>
      <c r="N26" s="313">
        <v>9.09</v>
      </c>
      <c r="O26" s="313">
        <v>6.34</v>
      </c>
      <c r="P26" s="353">
        <v>2.5</v>
      </c>
      <c r="R26" s="183">
        <f>Est2020DistRev!D26</f>
        <v>160</v>
      </c>
      <c r="S26" s="184">
        <f>Est2020DistRev!E26</f>
        <v>0</v>
      </c>
      <c r="T26" s="184">
        <f>Est2020DistRev!F26</f>
        <v>0</v>
      </c>
      <c r="U26" s="184">
        <f>Est2020DistRev!G26</f>
        <v>0</v>
      </c>
      <c r="V26" s="184">
        <f>Est2020DistRev!H26</f>
        <v>0</v>
      </c>
      <c r="W26" s="184">
        <f>Est2020DistRev!I26</f>
        <v>0</v>
      </c>
      <c r="X26" s="184">
        <f>Est2020DistRev!J26</f>
        <v>0</v>
      </c>
      <c r="Y26" s="184">
        <f>Est2020DistRev!K26</f>
        <v>12.04</v>
      </c>
      <c r="Z26" s="184">
        <f>Est2020DistRev!L26</f>
        <v>8.41</v>
      </c>
      <c r="AA26" s="184">
        <f>Est2020DistRev!M26</f>
        <v>3.31</v>
      </c>
      <c r="AB26" s="184">
        <f>Est2020DistRev!N26</f>
        <v>12.04</v>
      </c>
      <c r="AC26" s="184">
        <f>Est2020DistRev!O26</f>
        <v>8.41</v>
      </c>
      <c r="AD26" s="185">
        <f>Est2020DistRev!P26</f>
        <v>3.31</v>
      </c>
      <c r="AF26" s="314">
        <v>11.643154799914861</v>
      </c>
      <c r="AG26" s="317"/>
      <c r="AH26" s="317"/>
      <c r="AI26" s="317"/>
      <c r="AJ26" s="317"/>
      <c r="AK26" s="317"/>
      <c r="AL26" s="317"/>
      <c r="AM26" s="317">
        <v>29593.782604069216</v>
      </c>
      <c r="AN26" s="317">
        <v>7908.0640875583613</v>
      </c>
      <c r="AO26" s="317">
        <v>22801.159045133496</v>
      </c>
      <c r="AP26" s="317">
        <v>62653.68538860172</v>
      </c>
      <c r="AQ26" s="317">
        <v>16742.346390915671</v>
      </c>
      <c r="AR26" s="318">
        <v>48272.864081688276</v>
      </c>
      <c r="AT26" s="180">
        <f t="shared" si="23"/>
        <v>1862.9047679863777</v>
      </c>
      <c r="AU26" s="181">
        <f t="shared" si="4"/>
        <v>0</v>
      </c>
      <c r="AV26" s="181">
        <f t="shared" si="4"/>
        <v>0</v>
      </c>
      <c r="AW26" s="181">
        <f t="shared" si="4"/>
        <v>0</v>
      </c>
      <c r="AX26" s="181">
        <f t="shared" si="24"/>
        <v>0</v>
      </c>
      <c r="AY26" s="181">
        <f t="shared" si="25"/>
        <v>0</v>
      </c>
      <c r="AZ26" s="181">
        <f t="shared" si="26"/>
        <v>0</v>
      </c>
      <c r="BA26" s="181">
        <f t="shared" si="27"/>
        <v>2690.0748387098915</v>
      </c>
      <c r="BB26" s="181">
        <f t="shared" si="28"/>
        <v>501.37126315120008</v>
      </c>
      <c r="BC26" s="181">
        <f t="shared" si="29"/>
        <v>570.02897612833738</v>
      </c>
      <c r="BD26" s="181">
        <f t="shared" si="30"/>
        <v>5695.2200018238964</v>
      </c>
      <c r="BE26" s="181">
        <f t="shared" si="31"/>
        <v>1061.4647611840535</v>
      </c>
      <c r="BF26" s="181">
        <f t="shared" si="32"/>
        <v>1206.8216020422069</v>
      </c>
      <c r="BG26" s="182">
        <f t="shared" si="33"/>
        <v>13587.886211025962</v>
      </c>
      <c r="BI26" s="180">
        <f t="shared" si="34"/>
        <v>1862.9047679863777</v>
      </c>
      <c r="BJ26" s="181">
        <f t="shared" si="35"/>
        <v>0</v>
      </c>
      <c r="BK26" s="181">
        <f t="shared" si="36"/>
        <v>0</v>
      </c>
      <c r="BL26" s="181">
        <f t="shared" si="37"/>
        <v>0</v>
      </c>
      <c r="BM26" s="181">
        <f t="shared" si="38"/>
        <v>0</v>
      </c>
      <c r="BN26" s="181">
        <f t="shared" si="39"/>
        <v>0</v>
      </c>
      <c r="BO26" s="181">
        <f t="shared" si="40"/>
        <v>0</v>
      </c>
      <c r="BP26" s="181">
        <f t="shared" si="41"/>
        <v>3563.0914255299335</v>
      </c>
      <c r="BQ26" s="181">
        <f t="shared" si="42"/>
        <v>665.06818976365821</v>
      </c>
      <c r="BR26" s="181">
        <f t="shared" si="43"/>
        <v>754.7183643939187</v>
      </c>
      <c r="BS26" s="181">
        <f t="shared" si="44"/>
        <v>7543.5037207876467</v>
      </c>
      <c r="BT26" s="181">
        <f t="shared" si="45"/>
        <v>1408.0313314760081</v>
      </c>
      <c r="BU26" s="181">
        <f t="shared" si="46"/>
        <v>1597.8318011038818</v>
      </c>
      <c r="BV26" s="182">
        <f t="shared" si="47"/>
        <v>17395.149601041423</v>
      </c>
    </row>
    <row r="27" spans="1:74" x14ac:dyDescent="0.2">
      <c r="A27" s="170" t="s">
        <v>531</v>
      </c>
      <c r="B27" s="190" t="s">
        <v>532</v>
      </c>
      <c r="C27" s="173" t="s">
        <v>532</v>
      </c>
      <c r="D27" s="312">
        <v>160</v>
      </c>
      <c r="E27" s="313">
        <v>0</v>
      </c>
      <c r="F27" s="313">
        <v>0</v>
      </c>
      <c r="G27" s="313">
        <v>0</v>
      </c>
      <c r="H27" s="313">
        <v>0</v>
      </c>
      <c r="I27" s="313">
        <v>0</v>
      </c>
      <c r="J27" s="313">
        <v>0</v>
      </c>
      <c r="K27" s="313">
        <v>9.09</v>
      </c>
      <c r="L27" s="313">
        <v>6.34</v>
      </c>
      <c r="M27" s="313">
        <v>2.5</v>
      </c>
      <c r="N27" s="313">
        <v>9.09</v>
      </c>
      <c r="O27" s="313">
        <v>6.34</v>
      </c>
      <c r="P27" s="353">
        <v>2.5</v>
      </c>
      <c r="R27" s="183">
        <f>Est2020DistRev!D27</f>
        <v>160</v>
      </c>
      <c r="S27" s="184">
        <f>Est2020DistRev!E27</f>
        <v>0</v>
      </c>
      <c r="T27" s="184">
        <f>Est2020DistRev!F27</f>
        <v>0</v>
      </c>
      <c r="U27" s="184">
        <f>Est2020DistRev!G27</f>
        <v>0</v>
      </c>
      <c r="V27" s="184">
        <f>Est2020DistRev!H27</f>
        <v>0</v>
      </c>
      <c r="W27" s="184">
        <f>Est2020DistRev!I27</f>
        <v>0</v>
      </c>
      <c r="X27" s="184">
        <f>Est2020DistRev!J27</f>
        <v>0</v>
      </c>
      <c r="Y27" s="184">
        <f>Est2020DistRev!K27</f>
        <v>10.83</v>
      </c>
      <c r="Z27" s="184">
        <f>Est2020DistRev!L27</f>
        <v>7.57</v>
      </c>
      <c r="AA27" s="184">
        <f>Est2020DistRev!M27</f>
        <v>2.97</v>
      </c>
      <c r="AB27" s="184">
        <f>Est2020DistRev!N27</f>
        <v>10.83</v>
      </c>
      <c r="AC27" s="184">
        <f>Est2020DistRev!O27</f>
        <v>7.57</v>
      </c>
      <c r="AD27" s="185">
        <f>Est2020DistRev!P27</f>
        <v>2.97</v>
      </c>
      <c r="AF27" s="314">
        <v>2</v>
      </c>
      <c r="AG27" s="317"/>
      <c r="AH27" s="317"/>
      <c r="AI27" s="317"/>
      <c r="AJ27" s="317"/>
      <c r="AK27" s="317"/>
      <c r="AL27" s="317"/>
      <c r="AM27" s="317">
        <v>4740.9745224191065</v>
      </c>
      <c r="AN27" s="317">
        <v>1173.7949288024301</v>
      </c>
      <c r="AO27" s="317">
        <v>4184.9783852982573</v>
      </c>
      <c r="AP27" s="317">
        <v>9779.6688792558016</v>
      </c>
      <c r="AQ27" s="317">
        <v>2421.3008700118507</v>
      </c>
      <c r="AR27" s="318">
        <v>8632.761615047868</v>
      </c>
      <c r="AT27" s="180">
        <f t="shared" si="23"/>
        <v>320</v>
      </c>
      <c r="AU27" s="181">
        <f t="shared" si="4"/>
        <v>0</v>
      </c>
      <c r="AV27" s="181">
        <f t="shared" si="4"/>
        <v>0</v>
      </c>
      <c r="AW27" s="181">
        <f t="shared" si="4"/>
        <v>0</v>
      </c>
      <c r="AX27" s="181">
        <f t="shared" si="24"/>
        <v>0</v>
      </c>
      <c r="AY27" s="181">
        <f t="shared" si="25"/>
        <v>0</v>
      </c>
      <c r="AZ27" s="181">
        <f t="shared" si="26"/>
        <v>0</v>
      </c>
      <c r="BA27" s="181">
        <f t="shared" si="27"/>
        <v>430.95458408789676</v>
      </c>
      <c r="BB27" s="181">
        <f t="shared" si="28"/>
        <v>74.418598486074075</v>
      </c>
      <c r="BC27" s="181">
        <f t="shared" si="29"/>
        <v>104.62445963245644</v>
      </c>
      <c r="BD27" s="181">
        <f t="shared" si="30"/>
        <v>888.97190112435226</v>
      </c>
      <c r="BE27" s="181">
        <f t="shared" si="31"/>
        <v>153.51047515875132</v>
      </c>
      <c r="BF27" s="181">
        <f t="shared" si="32"/>
        <v>215.81904037619671</v>
      </c>
      <c r="BG27" s="182">
        <f t="shared" si="33"/>
        <v>2188.2990588657281</v>
      </c>
      <c r="BI27" s="180">
        <f t="shared" si="34"/>
        <v>320</v>
      </c>
      <c r="BJ27" s="181">
        <f t="shared" si="35"/>
        <v>0</v>
      </c>
      <c r="BK27" s="181">
        <f t="shared" si="36"/>
        <v>0</v>
      </c>
      <c r="BL27" s="181">
        <f t="shared" si="37"/>
        <v>0</v>
      </c>
      <c r="BM27" s="181">
        <f t="shared" si="38"/>
        <v>0</v>
      </c>
      <c r="BN27" s="181">
        <f t="shared" si="39"/>
        <v>0</v>
      </c>
      <c r="BO27" s="181">
        <f t="shared" si="40"/>
        <v>0</v>
      </c>
      <c r="BP27" s="181">
        <f t="shared" si="41"/>
        <v>513.44754077798927</v>
      </c>
      <c r="BQ27" s="181">
        <f t="shared" si="42"/>
        <v>88.85627611034397</v>
      </c>
      <c r="BR27" s="181">
        <f t="shared" si="43"/>
        <v>124.29385804335824</v>
      </c>
      <c r="BS27" s="181">
        <f t="shared" si="44"/>
        <v>1059.1381396234033</v>
      </c>
      <c r="BT27" s="181">
        <f t="shared" si="45"/>
        <v>183.29247585989711</v>
      </c>
      <c r="BU27" s="181">
        <f t="shared" si="46"/>
        <v>256.39301996692166</v>
      </c>
      <c r="BV27" s="182">
        <f t="shared" si="47"/>
        <v>2545.4213103819134</v>
      </c>
    </row>
    <row r="28" spans="1:74" x14ac:dyDescent="0.2">
      <c r="A28" s="170" t="s">
        <v>533</v>
      </c>
      <c r="B28" s="173" t="s">
        <v>534</v>
      </c>
      <c r="C28" s="173" t="s">
        <v>534</v>
      </c>
      <c r="D28" s="312">
        <v>160</v>
      </c>
      <c r="E28" s="313">
        <v>0</v>
      </c>
      <c r="F28" s="313">
        <v>5.87</v>
      </c>
      <c r="G28" s="313">
        <v>2.16</v>
      </c>
      <c r="H28" s="313">
        <v>0</v>
      </c>
      <c r="I28" s="313">
        <v>0</v>
      </c>
      <c r="J28" s="313">
        <v>0</v>
      </c>
      <c r="K28" s="313">
        <v>0</v>
      </c>
      <c r="L28" s="313">
        <v>0</v>
      </c>
      <c r="M28" s="313">
        <v>0</v>
      </c>
      <c r="N28" s="313">
        <v>0</v>
      </c>
      <c r="O28" s="313">
        <v>0</v>
      </c>
      <c r="P28" s="353">
        <v>0</v>
      </c>
      <c r="R28" s="183">
        <f>Est2020DistRev!D28</f>
        <v>160</v>
      </c>
      <c r="S28" s="184">
        <f>Est2020DistRev!E28</f>
        <v>0</v>
      </c>
      <c r="T28" s="184">
        <f>Est2020DistRev!F28</f>
        <v>7.77</v>
      </c>
      <c r="U28" s="184">
        <f>Est2020DistRev!G28</f>
        <v>2.86</v>
      </c>
      <c r="V28" s="184">
        <f>Est2020DistRev!H28</f>
        <v>0</v>
      </c>
      <c r="W28" s="184">
        <f>Est2020DistRev!I28</f>
        <v>0</v>
      </c>
      <c r="X28" s="184">
        <f>Est2020DistRev!J28</f>
        <v>0</v>
      </c>
      <c r="Y28" s="184">
        <f>Est2020DistRev!K28</f>
        <v>0</v>
      </c>
      <c r="Z28" s="184">
        <f>Est2020DistRev!L28</f>
        <v>0</v>
      </c>
      <c r="AA28" s="184">
        <f>Est2020DistRev!M28</f>
        <v>0</v>
      </c>
      <c r="AB28" s="184">
        <f>Est2020DistRev!N28</f>
        <v>0</v>
      </c>
      <c r="AC28" s="184">
        <f>Est2020DistRev!O28</f>
        <v>0</v>
      </c>
      <c r="AD28" s="185">
        <f>Est2020DistRev!P28</f>
        <v>0</v>
      </c>
      <c r="AF28" s="314">
        <v>1166.2158602150537</v>
      </c>
      <c r="AG28" s="317"/>
      <c r="AH28" s="317">
        <v>14668895.13001664</v>
      </c>
      <c r="AI28" s="317">
        <v>3551793.959507918</v>
      </c>
      <c r="AJ28" s="317"/>
      <c r="AK28" s="317"/>
      <c r="AL28" s="317"/>
      <c r="AM28" s="317">
        <f>Est2020DistRev!Y28/2</f>
        <v>0</v>
      </c>
      <c r="AN28" s="317">
        <f>Est2020DistRev!Z28/2</f>
        <v>0</v>
      </c>
      <c r="AO28" s="317">
        <f>Est2020DistRev!AA28/2</f>
        <v>0</v>
      </c>
      <c r="AP28" s="317">
        <f>Est2020DistRev!AB28/2</f>
        <v>0</v>
      </c>
      <c r="AQ28" s="317">
        <f>Est2020DistRev!AC28/2</f>
        <v>0</v>
      </c>
      <c r="AR28" s="318">
        <f>Est2020DistRev!AD28/2</f>
        <v>0</v>
      </c>
      <c r="AT28" s="180">
        <f t="shared" si="23"/>
        <v>186594.5376344086</v>
      </c>
      <c r="AU28" s="181">
        <f t="shared" si="4"/>
        <v>0</v>
      </c>
      <c r="AV28" s="181">
        <f t="shared" si="4"/>
        <v>861064.14413197676</v>
      </c>
      <c r="AW28" s="181">
        <f t="shared" si="4"/>
        <v>76718.749525371037</v>
      </c>
      <c r="AX28" s="181">
        <f t="shared" si="24"/>
        <v>0</v>
      </c>
      <c r="AY28" s="181">
        <f t="shared" si="25"/>
        <v>0</v>
      </c>
      <c r="AZ28" s="181">
        <f t="shared" si="26"/>
        <v>0</v>
      </c>
      <c r="BA28" s="181">
        <f t="shared" si="27"/>
        <v>0</v>
      </c>
      <c r="BB28" s="181">
        <f t="shared" si="28"/>
        <v>0</v>
      </c>
      <c r="BC28" s="181">
        <f t="shared" si="29"/>
        <v>0</v>
      </c>
      <c r="BD28" s="181">
        <f t="shared" si="30"/>
        <v>0</v>
      </c>
      <c r="BE28" s="181">
        <f t="shared" si="31"/>
        <v>0</v>
      </c>
      <c r="BF28" s="181">
        <f t="shared" si="32"/>
        <v>0</v>
      </c>
      <c r="BG28" s="182">
        <f t="shared" si="33"/>
        <v>1124377.4312917565</v>
      </c>
      <c r="BI28" s="180">
        <f t="shared" si="34"/>
        <v>186594.5376344086</v>
      </c>
      <c r="BJ28" s="181">
        <f t="shared" si="35"/>
        <v>0</v>
      </c>
      <c r="BK28" s="181">
        <f t="shared" si="36"/>
        <v>1139773.1516022929</v>
      </c>
      <c r="BL28" s="181">
        <f t="shared" si="37"/>
        <v>101581.30724192645</v>
      </c>
      <c r="BM28" s="181">
        <f t="shared" si="38"/>
        <v>0</v>
      </c>
      <c r="BN28" s="181">
        <f t="shared" si="39"/>
        <v>0</v>
      </c>
      <c r="BO28" s="181">
        <f t="shared" si="40"/>
        <v>0</v>
      </c>
      <c r="BP28" s="181">
        <f t="shared" si="41"/>
        <v>0</v>
      </c>
      <c r="BQ28" s="181">
        <f t="shared" si="42"/>
        <v>0</v>
      </c>
      <c r="BR28" s="181">
        <f t="shared" si="43"/>
        <v>0</v>
      </c>
      <c r="BS28" s="181">
        <f t="shared" si="44"/>
        <v>0</v>
      </c>
      <c r="BT28" s="181">
        <f t="shared" si="45"/>
        <v>0</v>
      </c>
      <c r="BU28" s="181">
        <f t="shared" si="46"/>
        <v>0</v>
      </c>
      <c r="BV28" s="182">
        <f t="shared" si="47"/>
        <v>1427948.9964786279</v>
      </c>
    </row>
    <row r="29" spans="1:74" x14ac:dyDescent="0.2">
      <c r="A29" s="170" t="s">
        <v>535</v>
      </c>
      <c r="B29" s="173" t="s">
        <v>536</v>
      </c>
      <c r="C29" s="173" t="s">
        <v>536</v>
      </c>
      <c r="D29" s="312">
        <v>160</v>
      </c>
      <c r="E29" s="313">
        <v>0</v>
      </c>
      <c r="F29" s="313">
        <v>5.87</v>
      </c>
      <c r="G29" s="313">
        <v>2.16</v>
      </c>
      <c r="H29" s="313">
        <v>0</v>
      </c>
      <c r="I29" s="313">
        <v>0</v>
      </c>
      <c r="J29" s="313">
        <v>0</v>
      </c>
      <c r="K29" s="313">
        <v>0</v>
      </c>
      <c r="L29" s="313">
        <v>0</v>
      </c>
      <c r="M29" s="313">
        <v>0</v>
      </c>
      <c r="N29" s="313">
        <v>0</v>
      </c>
      <c r="O29" s="313">
        <v>0</v>
      </c>
      <c r="P29" s="353">
        <v>0</v>
      </c>
      <c r="R29" s="183">
        <f>Est2020DistRev!D29</f>
        <v>160</v>
      </c>
      <c r="S29" s="184">
        <f>Est2020DistRev!E29</f>
        <v>0</v>
      </c>
      <c r="T29" s="184">
        <f>Est2020DistRev!F29</f>
        <v>7.14</v>
      </c>
      <c r="U29" s="184">
        <f>Est2020DistRev!G29</f>
        <v>2.65</v>
      </c>
      <c r="V29" s="184">
        <f>Est2020DistRev!H29</f>
        <v>0</v>
      </c>
      <c r="W29" s="184">
        <f>Est2020DistRev!I29</f>
        <v>0</v>
      </c>
      <c r="X29" s="184">
        <f>Est2020DistRev!J29</f>
        <v>0</v>
      </c>
      <c r="Y29" s="184">
        <f>Est2020DistRev!K29</f>
        <v>0</v>
      </c>
      <c r="Z29" s="184">
        <f>Est2020DistRev!L29</f>
        <v>0</v>
      </c>
      <c r="AA29" s="184">
        <f>Est2020DistRev!M29</f>
        <v>0</v>
      </c>
      <c r="AB29" s="184">
        <f>Est2020DistRev!N29</f>
        <v>0</v>
      </c>
      <c r="AC29" s="184">
        <f>Est2020DistRev!O29</f>
        <v>0</v>
      </c>
      <c r="AD29" s="185">
        <f>Est2020DistRev!P29</f>
        <v>0</v>
      </c>
      <c r="AF29" s="314">
        <v>118.44097949735452</v>
      </c>
      <c r="AG29" s="317"/>
      <c r="AH29" s="317">
        <v>1921340.716041815</v>
      </c>
      <c r="AI29" s="317">
        <v>477760.02450356731</v>
      </c>
      <c r="AJ29" s="317"/>
      <c r="AK29" s="317"/>
      <c r="AL29" s="317"/>
      <c r="AM29" s="317">
        <f>Est2020DistRev!Y29/2</f>
        <v>0</v>
      </c>
      <c r="AN29" s="317">
        <f>Est2020DistRev!Z29/2</f>
        <v>0</v>
      </c>
      <c r="AO29" s="317">
        <f>Est2020DistRev!AA29/2</f>
        <v>0</v>
      </c>
      <c r="AP29" s="317">
        <f>Est2020DistRev!AB29/2</f>
        <v>0</v>
      </c>
      <c r="AQ29" s="317">
        <f>Est2020DistRev!AC29/2</f>
        <v>0</v>
      </c>
      <c r="AR29" s="318">
        <f>Est2020DistRev!AD29/2</f>
        <v>0</v>
      </c>
      <c r="AT29" s="180">
        <f t="shared" si="23"/>
        <v>18950.556719576722</v>
      </c>
      <c r="AU29" s="181">
        <f t="shared" si="4"/>
        <v>0</v>
      </c>
      <c r="AV29" s="181">
        <f t="shared" si="4"/>
        <v>112782.70003165455</v>
      </c>
      <c r="AW29" s="181">
        <f t="shared" si="4"/>
        <v>10319.616529277055</v>
      </c>
      <c r="AX29" s="181">
        <f t="shared" si="24"/>
        <v>0</v>
      </c>
      <c r="AY29" s="181">
        <f t="shared" si="25"/>
        <v>0</v>
      </c>
      <c r="AZ29" s="181">
        <f t="shared" si="26"/>
        <v>0</v>
      </c>
      <c r="BA29" s="181">
        <f t="shared" si="27"/>
        <v>0</v>
      </c>
      <c r="BB29" s="181">
        <f t="shared" si="28"/>
        <v>0</v>
      </c>
      <c r="BC29" s="181">
        <f t="shared" si="29"/>
        <v>0</v>
      </c>
      <c r="BD29" s="181">
        <f t="shared" si="30"/>
        <v>0</v>
      </c>
      <c r="BE29" s="181">
        <f t="shared" si="31"/>
        <v>0</v>
      </c>
      <c r="BF29" s="181">
        <f t="shared" si="32"/>
        <v>0</v>
      </c>
      <c r="BG29" s="182">
        <f t="shared" si="33"/>
        <v>142052.87328050833</v>
      </c>
      <c r="BI29" s="180">
        <f t="shared" si="34"/>
        <v>18950.556719576722</v>
      </c>
      <c r="BJ29" s="181">
        <f t="shared" si="35"/>
        <v>0</v>
      </c>
      <c r="BK29" s="181">
        <f t="shared" si="36"/>
        <v>137183.72712538557</v>
      </c>
      <c r="BL29" s="181">
        <f t="shared" si="37"/>
        <v>12660.640649344534</v>
      </c>
      <c r="BM29" s="181">
        <f t="shared" si="38"/>
        <v>0</v>
      </c>
      <c r="BN29" s="181">
        <f t="shared" si="39"/>
        <v>0</v>
      </c>
      <c r="BO29" s="181">
        <f t="shared" si="40"/>
        <v>0</v>
      </c>
      <c r="BP29" s="181">
        <f t="shared" si="41"/>
        <v>0</v>
      </c>
      <c r="BQ29" s="181">
        <f t="shared" si="42"/>
        <v>0</v>
      </c>
      <c r="BR29" s="181">
        <f t="shared" si="43"/>
        <v>0</v>
      </c>
      <c r="BS29" s="181">
        <f t="shared" si="44"/>
        <v>0</v>
      </c>
      <c r="BT29" s="181">
        <f t="shared" si="45"/>
        <v>0</v>
      </c>
      <c r="BU29" s="181">
        <f t="shared" si="46"/>
        <v>0</v>
      </c>
      <c r="BV29" s="182">
        <f t="shared" si="47"/>
        <v>168794.92449430685</v>
      </c>
    </row>
    <row r="30" spans="1:74" x14ac:dyDescent="0.2">
      <c r="A30" s="170" t="s">
        <v>537</v>
      </c>
      <c r="B30" s="173" t="s">
        <v>538</v>
      </c>
      <c r="C30" s="173" t="s">
        <v>538</v>
      </c>
      <c r="D30" s="312">
        <v>160</v>
      </c>
      <c r="E30" s="313">
        <v>0</v>
      </c>
      <c r="F30" s="313">
        <v>5.51</v>
      </c>
      <c r="G30" s="313">
        <v>2.0499999999999998</v>
      </c>
      <c r="H30" s="313">
        <v>0</v>
      </c>
      <c r="I30" s="313">
        <v>0</v>
      </c>
      <c r="J30" s="313">
        <v>0</v>
      </c>
      <c r="K30" s="313">
        <v>0</v>
      </c>
      <c r="L30" s="313">
        <v>0</v>
      </c>
      <c r="M30" s="313">
        <v>0</v>
      </c>
      <c r="N30" s="313">
        <v>0</v>
      </c>
      <c r="O30" s="313">
        <v>0</v>
      </c>
      <c r="P30" s="353">
        <v>0</v>
      </c>
      <c r="R30" s="183">
        <f>Est2020DistRev!D30</f>
        <v>160</v>
      </c>
      <c r="S30" s="184">
        <f>Est2020DistRev!E30</f>
        <v>0</v>
      </c>
      <c r="T30" s="184">
        <f>Est2020DistRev!F30</f>
        <v>9.8800000000000008</v>
      </c>
      <c r="U30" s="184">
        <f>Est2020DistRev!G30</f>
        <v>3.09</v>
      </c>
      <c r="V30" s="184">
        <f>Est2020DistRev!H30</f>
        <v>0</v>
      </c>
      <c r="W30" s="184">
        <f>Est2020DistRev!I30</f>
        <v>0</v>
      </c>
      <c r="X30" s="184">
        <f>Est2020DistRev!J30</f>
        <v>0</v>
      </c>
      <c r="Y30" s="184">
        <f>Est2020DistRev!K30</f>
        <v>0</v>
      </c>
      <c r="Z30" s="184">
        <f>Est2020DistRev!L30</f>
        <v>0</v>
      </c>
      <c r="AA30" s="184">
        <f>Est2020DistRev!M30</f>
        <v>0</v>
      </c>
      <c r="AB30" s="184">
        <f>Est2020DistRev!N30</f>
        <v>0</v>
      </c>
      <c r="AC30" s="184">
        <f>Est2020DistRev!O30</f>
        <v>0</v>
      </c>
      <c r="AD30" s="185">
        <f>Est2020DistRev!P30</f>
        <v>0</v>
      </c>
      <c r="AF30" s="314">
        <v>0.53775608872684355</v>
      </c>
      <c r="AG30" s="317"/>
      <c r="AH30" s="317">
        <v>15479.71640742166</v>
      </c>
      <c r="AI30" s="317">
        <v>6323.7509155303342</v>
      </c>
      <c r="AJ30" s="317"/>
      <c r="AK30" s="317"/>
      <c r="AL30" s="317"/>
      <c r="AM30" s="317">
        <f>Est2020DistRev!Y30/2</f>
        <v>0</v>
      </c>
      <c r="AN30" s="317">
        <f>Est2020DistRev!Z30/2</f>
        <v>0</v>
      </c>
      <c r="AO30" s="317">
        <f>Est2020DistRev!AA30/2</f>
        <v>0</v>
      </c>
      <c r="AP30" s="317">
        <f>Est2020DistRev!AB30/2</f>
        <v>0</v>
      </c>
      <c r="AQ30" s="317">
        <f>Est2020DistRev!AC30/2</f>
        <v>0</v>
      </c>
      <c r="AR30" s="318">
        <f>Est2020DistRev!AD30/2</f>
        <v>0</v>
      </c>
      <c r="AT30" s="180">
        <f t="shared" si="23"/>
        <v>86.040974196294968</v>
      </c>
      <c r="AU30" s="181">
        <f t="shared" si="4"/>
        <v>0</v>
      </c>
      <c r="AV30" s="181">
        <f t="shared" si="4"/>
        <v>852.93237404893341</v>
      </c>
      <c r="AW30" s="181">
        <f t="shared" si="4"/>
        <v>129.63689376837183</v>
      </c>
      <c r="AX30" s="181">
        <f t="shared" si="24"/>
        <v>0</v>
      </c>
      <c r="AY30" s="181">
        <f t="shared" si="25"/>
        <v>0</v>
      </c>
      <c r="AZ30" s="181">
        <f t="shared" si="26"/>
        <v>0</v>
      </c>
      <c r="BA30" s="181">
        <f t="shared" si="27"/>
        <v>0</v>
      </c>
      <c r="BB30" s="181">
        <f t="shared" si="28"/>
        <v>0</v>
      </c>
      <c r="BC30" s="181">
        <f t="shared" si="29"/>
        <v>0</v>
      </c>
      <c r="BD30" s="181">
        <f t="shared" si="30"/>
        <v>0</v>
      </c>
      <c r="BE30" s="181">
        <f t="shared" si="31"/>
        <v>0</v>
      </c>
      <c r="BF30" s="181">
        <f t="shared" si="32"/>
        <v>0</v>
      </c>
      <c r="BG30" s="182">
        <f t="shared" si="33"/>
        <v>1068.6102420136003</v>
      </c>
      <c r="BI30" s="180">
        <f t="shared" si="34"/>
        <v>86.040974196294968</v>
      </c>
      <c r="BJ30" s="181">
        <f t="shared" si="35"/>
        <v>0</v>
      </c>
      <c r="BK30" s="181">
        <f t="shared" si="36"/>
        <v>1529.3959810532601</v>
      </c>
      <c r="BL30" s="181">
        <f t="shared" si="37"/>
        <v>195.4039032898873</v>
      </c>
      <c r="BM30" s="181">
        <f t="shared" si="38"/>
        <v>0</v>
      </c>
      <c r="BN30" s="181">
        <f t="shared" si="39"/>
        <v>0</v>
      </c>
      <c r="BO30" s="181">
        <f t="shared" si="40"/>
        <v>0</v>
      </c>
      <c r="BP30" s="181">
        <f t="shared" si="41"/>
        <v>0</v>
      </c>
      <c r="BQ30" s="181">
        <f t="shared" si="42"/>
        <v>0</v>
      </c>
      <c r="BR30" s="181">
        <f t="shared" si="43"/>
        <v>0</v>
      </c>
      <c r="BS30" s="181">
        <f t="shared" si="44"/>
        <v>0</v>
      </c>
      <c r="BT30" s="181">
        <f t="shared" si="45"/>
        <v>0</v>
      </c>
      <c r="BU30" s="181">
        <f t="shared" si="46"/>
        <v>0</v>
      </c>
      <c r="BV30" s="182">
        <f t="shared" si="47"/>
        <v>1810.8408585394423</v>
      </c>
    </row>
    <row r="31" spans="1:74" x14ac:dyDescent="0.2">
      <c r="A31" s="170" t="s">
        <v>539</v>
      </c>
      <c r="B31" s="173" t="s">
        <v>540</v>
      </c>
      <c r="C31" s="173" t="s">
        <v>540</v>
      </c>
      <c r="D31" s="312">
        <v>160</v>
      </c>
      <c r="E31" s="313">
        <v>2.72</v>
      </c>
      <c r="F31" s="313">
        <v>0</v>
      </c>
      <c r="G31" s="313">
        <v>0</v>
      </c>
      <c r="H31" s="313">
        <v>0</v>
      </c>
      <c r="I31" s="313">
        <v>8.68</v>
      </c>
      <c r="J31" s="313">
        <v>2.9</v>
      </c>
      <c r="K31" s="313">
        <v>0</v>
      </c>
      <c r="L31" s="313">
        <v>0</v>
      </c>
      <c r="M31" s="313">
        <v>0</v>
      </c>
      <c r="N31" s="313">
        <v>0</v>
      </c>
      <c r="O31" s="313">
        <v>0</v>
      </c>
      <c r="P31" s="353">
        <v>0</v>
      </c>
      <c r="R31" s="183">
        <f>Est2020DistRev!D31</f>
        <v>160</v>
      </c>
      <c r="S31" s="184">
        <f>Est2020DistRev!E31</f>
        <v>3.61</v>
      </c>
      <c r="T31" s="184">
        <f>Est2020DistRev!F31</f>
        <v>0</v>
      </c>
      <c r="U31" s="184">
        <f>Est2020DistRev!G31</f>
        <v>0</v>
      </c>
      <c r="V31" s="184">
        <f>Est2020DistRev!H31</f>
        <v>0</v>
      </c>
      <c r="W31" s="184">
        <f>Est2020DistRev!I31</f>
        <v>11.51</v>
      </c>
      <c r="X31" s="184">
        <f>Est2020DistRev!J31</f>
        <v>3.84</v>
      </c>
      <c r="Y31" s="184">
        <f>Est2020DistRev!K31</f>
        <v>0</v>
      </c>
      <c r="Z31" s="184">
        <f>Est2020DistRev!L31</f>
        <v>0</v>
      </c>
      <c r="AA31" s="184">
        <f>Est2020DistRev!M31</f>
        <v>0</v>
      </c>
      <c r="AB31" s="184">
        <f>Est2020DistRev!N31</f>
        <v>0</v>
      </c>
      <c r="AC31" s="184">
        <f>Est2020DistRev!O31</f>
        <v>0</v>
      </c>
      <c r="AD31" s="185">
        <f>Est2020DistRev!P31</f>
        <v>0</v>
      </c>
      <c r="AF31" s="314">
        <v>28.048409317966456</v>
      </c>
      <c r="AG31" s="317">
        <v>1266843.3629458535</v>
      </c>
      <c r="AH31" s="317"/>
      <c r="AI31" s="317"/>
      <c r="AJ31" s="317"/>
      <c r="AK31" s="317">
        <v>872.54112576782813</v>
      </c>
      <c r="AL31" s="317">
        <v>944.50894899193509</v>
      </c>
      <c r="AM31" s="317">
        <f>Est2020DistRev!Y31/2</f>
        <v>0</v>
      </c>
      <c r="AN31" s="317">
        <f>Est2020DistRev!Z31/2</f>
        <v>0</v>
      </c>
      <c r="AO31" s="317">
        <f>Est2020DistRev!AA31/2</f>
        <v>0</v>
      </c>
      <c r="AP31" s="317">
        <f>Est2020DistRev!AB31/2</f>
        <v>0</v>
      </c>
      <c r="AQ31" s="317">
        <f>Est2020DistRev!AC31/2</f>
        <v>0</v>
      </c>
      <c r="AR31" s="318">
        <f>Est2020DistRev!AD31/2</f>
        <v>0</v>
      </c>
      <c r="AT31" s="180">
        <f t="shared" si="23"/>
        <v>4487.7454908746331</v>
      </c>
      <c r="AU31" s="181">
        <f t="shared" si="4"/>
        <v>34458.139472127215</v>
      </c>
      <c r="AV31" s="181">
        <f t="shared" si="4"/>
        <v>0</v>
      </c>
      <c r="AW31" s="181">
        <f t="shared" si="4"/>
        <v>0</v>
      </c>
      <c r="AX31" s="181">
        <f t="shared" si="24"/>
        <v>0</v>
      </c>
      <c r="AY31" s="181">
        <f t="shared" si="25"/>
        <v>7573.6569716647482</v>
      </c>
      <c r="AZ31" s="181">
        <f t="shared" si="26"/>
        <v>2739.0759520766119</v>
      </c>
      <c r="BA31" s="181">
        <f t="shared" si="27"/>
        <v>0</v>
      </c>
      <c r="BB31" s="181">
        <f t="shared" si="28"/>
        <v>0</v>
      </c>
      <c r="BC31" s="181">
        <f t="shared" si="29"/>
        <v>0</v>
      </c>
      <c r="BD31" s="181">
        <f t="shared" si="30"/>
        <v>0</v>
      </c>
      <c r="BE31" s="181">
        <f t="shared" si="31"/>
        <v>0</v>
      </c>
      <c r="BF31" s="181">
        <f t="shared" si="32"/>
        <v>0</v>
      </c>
      <c r="BG31" s="182">
        <f t="shared" si="33"/>
        <v>49258.617886743217</v>
      </c>
      <c r="BI31" s="180">
        <f t="shared" si="34"/>
        <v>4487.7454908746331</v>
      </c>
      <c r="BJ31" s="181">
        <f t="shared" si="35"/>
        <v>45733.045402345313</v>
      </c>
      <c r="BK31" s="181">
        <f t="shared" si="36"/>
        <v>0</v>
      </c>
      <c r="BL31" s="181">
        <f t="shared" si="37"/>
        <v>0</v>
      </c>
      <c r="BM31" s="181">
        <f t="shared" si="38"/>
        <v>0</v>
      </c>
      <c r="BN31" s="181">
        <f t="shared" si="39"/>
        <v>10042.948357587702</v>
      </c>
      <c r="BO31" s="181">
        <f t="shared" si="40"/>
        <v>3626.9143641290307</v>
      </c>
      <c r="BP31" s="181">
        <f t="shared" si="41"/>
        <v>0</v>
      </c>
      <c r="BQ31" s="181">
        <f t="shared" si="42"/>
        <v>0</v>
      </c>
      <c r="BR31" s="181">
        <f t="shared" si="43"/>
        <v>0</v>
      </c>
      <c r="BS31" s="181">
        <f t="shared" si="44"/>
        <v>0</v>
      </c>
      <c r="BT31" s="181">
        <f t="shared" si="45"/>
        <v>0</v>
      </c>
      <c r="BU31" s="181">
        <f t="shared" si="46"/>
        <v>0</v>
      </c>
      <c r="BV31" s="182">
        <f t="shared" si="47"/>
        <v>63890.65361493668</v>
      </c>
    </row>
    <row r="32" spans="1:74" x14ac:dyDescent="0.2">
      <c r="A32" s="170" t="s">
        <v>541</v>
      </c>
      <c r="B32" s="173" t="s">
        <v>542</v>
      </c>
      <c r="C32" s="173" t="s">
        <v>542</v>
      </c>
      <c r="D32" s="312">
        <v>160</v>
      </c>
      <c r="E32" s="313">
        <v>2.72</v>
      </c>
      <c r="F32" s="313">
        <v>0</v>
      </c>
      <c r="G32" s="313">
        <v>0</v>
      </c>
      <c r="H32" s="313">
        <v>0</v>
      </c>
      <c r="I32" s="313">
        <v>8.68</v>
      </c>
      <c r="J32" s="313">
        <v>2.9</v>
      </c>
      <c r="K32" s="313">
        <v>0</v>
      </c>
      <c r="L32" s="313">
        <v>0</v>
      </c>
      <c r="M32" s="313">
        <v>0</v>
      </c>
      <c r="N32" s="313">
        <v>0</v>
      </c>
      <c r="O32" s="313">
        <v>0</v>
      </c>
      <c r="P32" s="353">
        <v>0</v>
      </c>
      <c r="R32" s="183">
        <f>Est2020DistRev!D32</f>
        <v>160</v>
      </c>
      <c r="S32" s="184">
        <f>Est2020DistRev!E32</f>
        <v>3.35</v>
      </c>
      <c r="T32" s="184">
        <f>Est2020DistRev!F32</f>
        <v>0</v>
      </c>
      <c r="U32" s="184">
        <f>Est2020DistRev!G32</f>
        <v>0</v>
      </c>
      <c r="V32" s="184">
        <f>Est2020DistRev!H32</f>
        <v>0</v>
      </c>
      <c r="W32" s="184">
        <f>Est2020DistRev!I32</f>
        <v>9.7799999999999994</v>
      </c>
      <c r="X32" s="184">
        <f>Est2020DistRev!J32</f>
        <v>3.26</v>
      </c>
      <c r="Y32" s="184">
        <f>Est2020DistRev!K32</f>
        <v>0</v>
      </c>
      <c r="Z32" s="184">
        <f>Est2020DistRev!L32</f>
        <v>0</v>
      </c>
      <c r="AA32" s="184">
        <f>Est2020DistRev!M32</f>
        <v>0</v>
      </c>
      <c r="AB32" s="184">
        <f>Est2020DistRev!N32</f>
        <v>0</v>
      </c>
      <c r="AC32" s="184">
        <f>Est2020DistRev!O32</f>
        <v>0</v>
      </c>
      <c r="AD32" s="185">
        <f>Est2020DistRev!P32</f>
        <v>0</v>
      </c>
      <c r="AF32" s="314">
        <v>47.072057411674336</v>
      </c>
      <c r="AG32" s="317">
        <v>2099978.6861341759</v>
      </c>
      <c r="AH32" s="317"/>
      <c r="AI32" s="317"/>
      <c r="AJ32" s="317"/>
      <c r="AK32" s="317">
        <v>1639.2637149884786</v>
      </c>
      <c r="AL32" s="317">
        <v>1755.4840432232454</v>
      </c>
      <c r="AM32" s="317">
        <f>Est2020DistRev!Y32/2</f>
        <v>0</v>
      </c>
      <c r="AN32" s="317">
        <f>Est2020DistRev!Z32/2</f>
        <v>0</v>
      </c>
      <c r="AO32" s="317">
        <f>Est2020DistRev!AA32/2</f>
        <v>0</v>
      </c>
      <c r="AP32" s="317">
        <f>Est2020DistRev!AB32/2</f>
        <v>0</v>
      </c>
      <c r="AQ32" s="317">
        <f>Est2020DistRev!AC32/2</f>
        <v>0</v>
      </c>
      <c r="AR32" s="318">
        <f>Est2020DistRev!AD32/2</f>
        <v>0</v>
      </c>
      <c r="AT32" s="180">
        <f t="shared" si="23"/>
        <v>7531.5291858678938</v>
      </c>
      <c r="AU32" s="181">
        <f t="shared" si="4"/>
        <v>57119.420262849584</v>
      </c>
      <c r="AV32" s="181">
        <f t="shared" si="4"/>
        <v>0</v>
      </c>
      <c r="AW32" s="181">
        <f t="shared" si="4"/>
        <v>0</v>
      </c>
      <c r="AX32" s="181">
        <f t="shared" si="24"/>
        <v>0</v>
      </c>
      <c r="AY32" s="181">
        <f t="shared" si="25"/>
        <v>14228.809046099994</v>
      </c>
      <c r="AZ32" s="181">
        <f t="shared" si="26"/>
        <v>5090.9037253474116</v>
      </c>
      <c r="BA32" s="181">
        <f t="shared" si="27"/>
        <v>0</v>
      </c>
      <c r="BB32" s="181">
        <f t="shared" si="28"/>
        <v>0</v>
      </c>
      <c r="BC32" s="181">
        <f t="shared" si="29"/>
        <v>0</v>
      </c>
      <c r="BD32" s="181">
        <f t="shared" si="30"/>
        <v>0</v>
      </c>
      <c r="BE32" s="181">
        <f t="shared" si="31"/>
        <v>0</v>
      </c>
      <c r="BF32" s="181">
        <f t="shared" si="32"/>
        <v>0</v>
      </c>
      <c r="BG32" s="182">
        <f t="shared" si="33"/>
        <v>83970.662220164886</v>
      </c>
      <c r="BI32" s="180">
        <f t="shared" si="34"/>
        <v>7531.5291858678938</v>
      </c>
      <c r="BJ32" s="181">
        <f t="shared" si="35"/>
        <v>70349.285985494891</v>
      </c>
      <c r="BK32" s="181">
        <f t="shared" si="36"/>
        <v>0</v>
      </c>
      <c r="BL32" s="181">
        <f t="shared" si="37"/>
        <v>0</v>
      </c>
      <c r="BM32" s="181">
        <f t="shared" si="38"/>
        <v>0</v>
      </c>
      <c r="BN32" s="181">
        <f t="shared" si="39"/>
        <v>16031.99913258732</v>
      </c>
      <c r="BO32" s="181">
        <f t="shared" si="40"/>
        <v>5722.8779809077796</v>
      </c>
      <c r="BP32" s="181">
        <f t="shared" si="41"/>
        <v>0</v>
      </c>
      <c r="BQ32" s="181">
        <f t="shared" si="42"/>
        <v>0</v>
      </c>
      <c r="BR32" s="181">
        <f t="shared" si="43"/>
        <v>0</v>
      </c>
      <c r="BS32" s="181">
        <f t="shared" si="44"/>
        <v>0</v>
      </c>
      <c r="BT32" s="181">
        <f t="shared" si="45"/>
        <v>0</v>
      </c>
      <c r="BU32" s="181">
        <f t="shared" si="46"/>
        <v>0</v>
      </c>
      <c r="BV32" s="182">
        <f t="shared" si="47"/>
        <v>99635.692284857898</v>
      </c>
    </row>
    <row r="33" spans="1:74" x14ac:dyDescent="0.2">
      <c r="A33" s="170" t="s">
        <v>543</v>
      </c>
      <c r="B33" s="173" t="s">
        <v>544</v>
      </c>
      <c r="C33" s="173" t="s">
        <v>544</v>
      </c>
      <c r="D33" s="312">
        <v>1200</v>
      </c>
      <c r="E33" s="313">
        <v>0</v>
      </c>
      <c r="F33" s="313">
        <v>2.2799999999999998</v>
      </c>
      <c r="G33" s="313">
        <v>2.2799999999999998</v>
      </c>
      <c r="H33" s="313">
        <v>0</v>
      </c>
      <c r="I33" s="313">
        <v>7.31</v>
      </c>
      <c r="J33" s="313">
        <v>2.44</v>
      </c>
      <c r="K33" s="313">
        <v>0</v>
      </c>
      <c r="L33" s="313">
        <v>0</v>
      </c>
      <c r="M33" s="313">
        <v>0</v>
      </c>
      <c r="N33" s="313">
        <v>0</v>
      </c>
      <c r="O33" s="313">
        <v>0</v>
      </c>
      <c r="P33" s="353">
        <v>0</v>
      </c>
      <c r="R33" s="183">
        <f>Est2020DistRev!D33</f>
        <v>1200</v>
      </c>
      <c r="S33" s="184">
        <f>Est2020DistRev!E33</f>
        <v>0</v>
      </c>
      <c r="T33" s="184">
        <f>Est2020DistRev!F33</f>
        <v>3.03</v>
      </c>
      <c r="U33" s="184">
        <f>Est2020DistRev!G33</f>
        <v>3.03</v>
      </c>
      <c r="V33" s="184">
        <f>Est2020DistRev!H33</f>
        <v>0</v>
      </c>
      <c r="W33" s="184">
        <f>Est2020DistRev!I33</f>
        <v>9.7200000000000006</v>
      </c>
      <c r="X33" s="184">
        <f>Est2020DistRev!J33</f>
        <v>3.24</v>
      </c>
      <c r="Y33" s="184">
        <f>Est2020DistRev!K33</f>
        <v>0</v>
      </c>
      <c r="Z33" s="184">
        <f>Est2020DistRev!L33</f>
        <v>0</v>
      </c>
      <c r="AA33" s="184">
        <f>Est2020DistRev!M33</f>
        <v>0</v>
      </c>
      <c r="AB33" s="184">
        <f>Est2020DistRev!N33</f>
        <v>0</v>
      </c>
      <c r="AC33" s="184">
        <f>Est2020DistRev!O33</f>
        <v>0</v>
      </c>
      <c r="AD33" s="185">
        <f>Est2020DistRev!P33</f>
        <v>0</v>
      </c>
      <c r="AE33" s="170">
        <f>Est2020DistRev!Q33</f>
        <v>0</v>
      </c>
      <c r="AF33" s="314">
        <v>2082.4436021505371</v>
      </c>
      <c r="AG33" s="317"/>
      <c r="AH33" s="317">
        <v>151592487.29663926</v>
      </c>
      <c r="AI33" s="317">
        <v>111797029.72782438</v>
      </c>
      <c r="AJ33" s="317"/>
      <c r="AK33" s="317">
        <v>512294.80274802417</v>
      </c>
      <c r="AL33" s="317">
        <v>439355.79901202157</v>
      </c>
      <c r="AM33" s="317">
        <f>Est2020DistRev!Y33/2</f>
        <v>0</v>
      </c>
      <c r="AN33" s="317">
        <f>Est2020DistRev!Z33/2</f>
        <v>0</v>
      </c>
      <c r="AO33" s="317">
        <f>Est2020DistRev!AA33/2</f>
        <v>0</v>
      </c>
      <c r="AP33" s="317">
        <f>Est2020DistRev!AB33/2</f>
        <v>0</v>
      </c>
      <c r="AQ33" s="317">
        <f>Est2020DistRev!AC33/2</f>
        <v>0</v>
      </c>
      <c r="AR33" s="318">
        <f>Est2020DistRev!AD33/2</f>
        <v>0</v>
      </c>
      <c r="AT33" s="180">
        <f t="shared" si="23"/>
        <v>2498932.3225806444</v>
      </c>
      <c r="AU33" s="181">
        <f t="shared" si="4"/>
        <v>0</v>
      </c>
      <c r="AV33" s="181">
        <f t="shared" si="4"/>
        <v>3456308.710363375</v>
      </c>
      <c r="AW33" s="181">
        <f t="shared" si="4"/>
        <v>2548972.2777943956</v>
      </c>
      <c r="AX33" s="181">
        <f t="shared" si="24"/>
        <v>0</v>
      </c>
      <c r="AY33" s="181">
        <f t="shared" si="25"/>
        <v>3744875.0080880565</v>
      </c>
      <c r="AZ33" s="181">
        <f t="shared" si="26"/>
        <v>1072028.1495893325</v>
      </c>
      <c r="BA33" s="181">
        <f t="shared" si="27"/>
        <v>0</v>
      </c>
      <c r="BB33" s="181">
        <f t="shared" si="28"/>
        <v>0</v>
      </c>
      <c r="BC33" s="181">
        <f t="shared" si="29"/>
        <v>0</v>
      </c>
      <c r="BD33" s="181">
        <f t="shared" si="30"/>
        <v>0</v>
      </c>
      <c r="BE33" s="181">
        <f t="shared" si="31"/>
        <v>0</v>
      </c>
      <c r="BF33" s="181">
        <f t="shared" si="32"/>
        <v>0</v>
      </c>
      <c r="BG33" s="182">
        <f t="shared" si="33"/>
        <v>13321116.468415802</v>
      </c>
      <c r="BI33" s="180">
        <f t="shared" si="34"/>
        <v>2498932.3225806444</v>
      </c>
      <c r="BJ33" s="181">
        <f t="shared" si="35"/>
        <v>0</v>
      </c>
      <c r="BK33" s="181">
        <f t="shared" si="36"/>
        <v>4593252.3650881695</v>
      </c>
      <c r="BL33" s="181">
        <f t="shared" si="37"/>
        <v>3387450.0007530781</v>
      </c>
      <c r="BM33" s="181">
        <f t="shared" si="38"/>
        <v>0</v>
      </c>
      <c r="BN33" s="181">
        <f t="shared" si="39"/>
        <v>4979505.4827107955</v>
      </c>
      <c r="BO33" s="181">
        <f t="shared" si="40"/>
        <v>1423512.7887989499</v>
      </c>
      <c r="BP33" s="181">
        <f t="shared" si="41"/>
        <v>0</v>
      </c>
      <c r="BQ33" s="181">
        <f t="shared" si="42"/>
        <v>0</v>
      </c>
      <c r="BR33" s="181">
        <f t="shared" si="43"/>
        <v>0</v>
      </c>
      <c r="BS33" s="181">
        <f t="shared" si="44"/>
        <v>0</v>
      </c>
      <c r="BT33" s="181">
        <f t="shared" si="45"/>
        <v>0</v>
      </c>
      <c r="BU33" s="181">
        <f t="shared" si="46"/>
        <v>0</v>
      </c>
      <c r="BV33" s="182">
        <f t="shared" si="47"/>
        <v>16882652.959931638</v>
      </c>
    </row>
    <row r="34" spans="1:74" x14ac:dyDescent="0.2">
      <c r="A34" s="170" t="s">
        <v>545</v>
      </c>
      <c r="B34" s="173" t="s">
        <v>546</v>
      </c>
      <c r="C34" s="173" t="s">
        <v>546</v>
      </c>
      <c r="D34" s="312">
        <v>1200</v>
      </c>
      <c r="E34" s="313">
        <v>0</v>
      </c>
      <c r="F34" s="313">
        <v>2.2799999999999998</v>
      </c>
      <c r="G34" s="313">
        <v>2.2799999999999998</v>
      </c>
      <c r="H34" s="313">
        <v>0</v>
      </c>
      <c r="I34" s="313">
        <v>7.31</v>
      </c>
      <c r="J34" s="313">
        <v>2.44</v>
      </c>
      <c r="K34" s="313">
        <v>0</v>
      </c>
      <c r="L34" s="313">
        <v>0</v>
      </c>
      <c r="M34" s="313">
        <v>0</v>
      </c>
      <c r="N34" s="313">
        <v>0</v>
      </c>
      <c r="O34" s="313">
        <v>0</v>
      </c>
      <c r="P34" s="353">
        <v>0</v>
      </c>
      <c r="R34" s="183">
        <f>Est2020DistRev!D34</f>
        <v>1200</v>
      </c>
      <c r="S34" s="184">
        <f>Est2020DistRev!E34</f>
        <v>0</v>
      </c>
      <c r="T34" s="184">
        <f>Est2020DistRev!F34</f>
        <v>2.57</v>
      </c>
      <c r="U34" s="184">
        <f>Est2020DistRev!G34</f>
        <v>2.57</v>
      </c>
      <c r="V34" s="184">
        <f>Est2020DistRev!H34</f>
        <v>0</v>
      </c>
      <c r="W34" s="184">
        <f>Est2020DistRev!I34</f>
        <v>8.0299999999999994</v>
      </c>
      <c r="X34" s="184">
        <f>Est2020DistRev!J34</f>
        <v>2.92</v>
      </c>
      <c r="Y34" s="184">
        <f>Est2020DistRev!K34</f>
        <v>0</v>
      </c>
      <c r="Z34" s="184">
        <f>Est2020DistRev!L34</f>
        <v>0</v>
      </c>
      <c r="AA34" s="184">
        <f>Est2020DistRev!M34</f>
        <v>0</v>
      </c>
      <c r="AB34" s="184">
        <f>Est2020DistRev!N34</f>
        <v>0</v>
      </c>
      <c r="AC34" s="184">
        <f>Est2020DistRev!O34</f>
        <v>0</v>
      </c>
      <c r="AD34" s="185">
        <f>Est2020DistRev!P34</f>
        <v>0</v>
      </c>
      <c r="AE34" s="170">
        <f>Est2020DistRev!Q34</f>
        <v>0</v>
      </c>
      <c r="AF34" s="314">
        <v>1017.8014682033667</v>
      </c>
      <c r="AG34" s="317"/>
      <c r="AH34" s="317">
        <v>99242619.306177661</v>
      </c>
      <c r="AI34" s="317">
        <v>66564614.539026245</v>
      </c>
      <c r="AJ34" s="317"/>
      <c r="AK34" s="317">
        <v>358195.8147581977</v>
      </c>
      <c r="AL34" s="317">
        <v>286076.70838304039</v>
      </c>
      <c r="AM34" s="317">
        <f>Est2020DistRev!Y34/2</f>
        <v>0</v>
      </c>
      <c r="AN34" s="317">
        <f>Est2020DistRev!Z34/2</f>
        <v>0</v>
      </c>
      <c r="AO34" s="317">
        <f>Est2020DistRev!AA34/2</f>
        <v>0</v>
      </c>
      <c r="AP34" s="317">
        <f>Est2020DistRev!AB34/2</f>
        <v>0</v>
      </c>
      <c r="AQ34" s="317">
        <f>Est2020DistRev!AC34/2</f>
        <v>0</v>
      </c>
      <c r="AR34" s="318">
        <f>Est2020DistRev!AD34/2</f>
        <v>0</v>
      </c>
      <c r="AT34" s="180">
        <f t="shared" si="23"/>
        <v>1221361.7618440399</v>
      </c>
      <c r="AU34" s="181">
        <f t="shared" si="4"/>
        <v>0</v>
      </c>
      <c r="AV34" s="181">
        <f t="shared" si="4"/>
        <v>2262731.7201808505</v>
      </c>
      <c r="AW34" s="181">
        <f t="shared" si="4"/>
        <v>1517673.2114897983</v>
      </c>
      <c r="AX34" s="181">
        <f t="shared" si="24"/>
        <v>0</v>
      </c>
      <c r="AY34" s="181">
        <f t="shared" si="25"/>
        <v>2618411.4058824251</v>
      </c>
      <c r="AZ34" s="181">
        <f t="shared" si="26"/>
        <v>698027.16845461854</v>
      </c>
      <c r="BA34" s="181">
        <f t="shared" si="27"/>
        <v>0</v>
      </c>
      <c r="BB34" s="181">
        <f t="shared" si="28"/>
        <v>0</v>
      </c>
      <c r="BC34" s="181">
        <f t="shared" si="29"/>
        <v>0</v>
      </c>
      <c r="BD34" s="181">
        <f t="shared" si="30"/>
        <v>0</v>
      </c>
      <c r="BE34" s="181">
        <f t="shared" si="31"/>
        <v>0</v>
      </c>
      <c r="BF34" s="181">
        <f t="shared" si="32"/>
        <v>0</v>
      </c>
      <c r="BG34" s="182">
        <f t="shared" si="33"/>
        <v>8318205.2678517317</v>
      </c>
      <c r="BI34" s="180">
        <f t="shared" si="34"/>
        <v>1221361.7618440399</v>
      </c>
      <c r="BJ34" s="181">
        <f t="shared" si="35"/>
        <v>0</v>
      </c>
      <c r="BK34" s="181">
        <f t="shared" si="36"/>
        <v>2550535.3161687655</v>
      </c>
      <c r="BL34" s="181">
        <f t="shared" si="37"/>
        <v>1710710.5936529743</v>
      </c>
      <c r="BM34" s="181">
        <f t="shared" si="38"/>
        <v>0</v>
      </c>
      <c r="BN34" s="181">
        <f t="shared" si="39"/>
        <v>2876312.3925083275</v>
      </c>
      <c r="BO34" s="181">
        <f t="shared" si="40"/>
        <v>835343.98847847793</v>
      </c>
      <c r="BP34" s="181">
        <f t="shared" si="41"/>
        <v>0</v>
      </c>
      <c r="BQ34" s="181">
        <f t="shared" si="42"/>
        <v>0</v>
      </c>
      <c r="BR34" s="181">
        <f t="shared" si="43"/>
        <v>0</v>
      </c>
      <c r="BS34" s="181">
        <f t="shared" si="44"/>
        <v>0</v>
      </c>
      <c r="BT34" s="181">
        <f t="shared" si="45"/>
        <v>0</v>
      </c>
      <c r="BU34" s="181">
        <f t="shared" si="46"/>
        <v>0</v>
      </c>
      <c r="BV34" s="182">
        <f t="shared" si="47"/>
        <v>9194264.0526525863</v>
      </c>
    </row>
    <row r="35" spans="1:74" x14ac:dyDescent="0.2">
      <c r="A35" s="170" t="s">
        <v>547</v>
      </c>
      <c r="B35" s="173" t="s">
        <v>548</v>
      </c>
      <c r="C35" s="173" t="s">
        <v>548</v>
      </c>
      <c r="D35" s="312">
        <v>1200</v>
      </c>
      <c r="E35" s="313">
        <v>0</v>
      </c>
      <c r="F35" s="313">
        <v>5.98</v>
      </c>
      <c r="G35" s="313">
        <v>2.4</v>
      </c>
      <c r="H35" s="313">
        <v>0</v>
      </c>
      <c r="I35" s="313">
        <v>0</v>
      </c>
      <c r="J35" s="313">
        <v>0</v>
      </c>
      <c r="K35" s="313">
        <v>0</v>
      </c>
      <c r="L35" s="313">
        <v>0</v>
      </c>
      <c r="M35" s="313">
        <v>0</v>
      </c>
      <c r="N35" s="313">
        <v>0</v>
      </c>
      <c r="O35" s="313">
        <v>0</v>
      </c>
      <c r="P35" s="353">
        <v>0</v>
      </c>
      <c r="R35" s="183">
        <f>Est2020DistRev!D35</f>
        <v>1200</v>
      </c>
      <c r="S35" s="184">
        <f>Est2020DistRev!E35</f>
        <v>0</v>
      </c>
      <c r="T35" s="184">
        <f>Est2020DistRev!F35</f>
        <v>7.95</v>
      </c>
      <c r="U35" s="184">
        <f>Est2020DistRev!G35</f>
        <v>3.18</v>
      </c>
      <c r="V35" s="184">
        <f>Est2020DistRev!H35</f>
        <v>0</v>
      </c>
      <c r="W35" s="184">
        <f>Est2020DistRev!I35</f>
        <v>0</v>
      </c>
      <c r="X35" s="184">
        <f>Est2020DistRev!J35</f>
        <v>0</v>
      </c>
      <c r="Y35" s="184">
        <f>Est2020DistRev!K35</f>
        <v>0</v>
      </c>
      <c r="Z35" s="184">
        <f>Est2020DistRev!L35</f>
        <v>0</v>
      </c>
      <c r="AA35" s="184">
        <f>Est2020DistRev!M35</f>
        <v>0</v>
      </c>
      <c r="AB35" s="184">
        <f>Est2020DistRev!N35</f>
        <v>0</v>
      </c>
      <c r="AC35" s="184">
        <f>Est2020DistRev!O35</f>
        <v>0</v>
      </c>
      <c r="AD35" s="185">
        <f>Est2020DistRev!P35</f>
        <v>0</v>
      </c>
      <c r="AE35" s="170">
        <f>Est2020DistRev!Q35</f>
        <v>0</v>
      </c>
      <c r="AF35" s="314">
        <v>13.951895335523702</v>
      </c>
      <c r="AG35" s="317"/>
      <c r="AH35" s="317">
        <v>751872.7534410262</v>
      </c>
      <c r="AI35" s="317">
        <v>658346.80274918769</v>
      </c>
      <c r="AJ35" s="317"/>
      <c r="AK35" s="317"/>
      <c r="AL35" s="317"/>
      <c r="AM35" s="317">
        <f>Est2020DistRev!Y35/2</f>
        <v>0</v>
      </c>
      <c r="AN35" s="317">
        <f>Est2020DistRev!Z35/2</f>
        <v>0</v>
      </c>
      <c r="AO35" s="317">
        <f>Est2020DistRev!AA35/2</f>
        <v>0</v>
      </c>
      <c r="AP35" s="317">
        <f>Est2020DistRev!AB35/2</f>
        <v>0</v>
      </c>
      <c r="AQ35" s="317">
        <f>Est2020DistRev!AC35/2</f>
        <v>0</v>
      </c>
      <c r="AR35" s="318">
        <f>Est2020DistRev!AD35/2</f>
        <v>0</v>
      </c>
      <c r="AT35" s="180">
        <f t="shared" si="23"/>
        <v>16742.274402628442</v>
      </c>
      <c r="AU35" s="181">
        <f t="shared" ref="AU35:AW35" si="48">E35/100*AG35</f>
        <v>0</v>
      </c>
      <c r="AV35" s="181">
        <f t="shared" si="48"/>
        <v>44961.99065577337</v>
      </c>
      <c r="AW35" s="181">
        <f t="shared" si="48"/>
        <v>15800.323265980505</v>
      </c>
      <c r="AX35" s="181">
        <f t="shared" si="24"/>
        <v>0</v>
      </c>
      <c r="AY35" s="181">
        <f t="shared" si="25"/>
        <v>0</v>
      </c>
      <c r="AZ35" s="181">
        <f t="shared" si="26"/>
        <v>0</v>
      </c>
      <c r="BA35" s="181">
        <f t="shared" si="27"/>
        <v>0</v>
      </c>
      <c r="BB35" s="181">
        <f t="shared" si="28"/>
        <v>0</v>
      </c>
      <c r="BC35" s="181">
        <f t="shared" si="29"/>
        <v>0</v>
      </c>
      <c r="BD35" s="181">
        <f t="shared" si="30"/>
        <v>0</v>
      </c>
      <c r="BE35" s="181">
        <f t="shared" si="31"/>
        <v>0</v>
      </c>
      <c r="BF35" s="181">
        <f t="shared" si="32"/>
        <v>0</v>
      </c>
      <c r="BG35" s="182">
        <f t="shared" ref="BG35" si="49">SUM(AT35:BF35)</f>
        <v>77504.588324382319</v>
      </c>
      <c r="BI35" s="180">
        <f t="shared" ref="BI35" si="50">R35*AF35</f>
        <v>16742.274402628442</v>
      </c>
      <c r="BJ35" s="181">
        <f t="shared" ref="BJ35" si="51">S35/100*AG35</f>
        <v>0</v>
      </c>
      <c r="BK35" s="181">
        <f t="shared" ref="BK35" si="52">T35/100*AH35</f>
        <v>59773.883898561588</v>
      </c>
      <c r="BL35" s="181">
        <f t="shared" ref="BL35" si="53">U35/100*AI35</f>
        <v>20935.428327424168</v>
      </c>
      <c r="BM35" s="181">
        <f t="shared" si="38"/>
        <v>0</v>
      </c>
      <c r="BN35" s="181">
        <f t="shared" si="39"/>
        <v>0</v>
      </c>
      <c r="BO35" s="181">
        <f t="shared" si="40"/>
        <v>0</v>
      </c>
      <c r="BP35" s="181">
        <f t="shared" si="41"/>
        <v>0</v>
      </c>
      <c r="BQ35" s="181">
        <f t="shared" si="42"/>
        <v>0</v>
      </c>
      <c r="BR35" s="181">
        <f t="shared" si="43"/>
        <v>0</v>
      </c>
      <c r="BS35" s="181">
        <f t="shared" si="44"/>
        <v>0</v>
      </c>
      <c r="BT35" s="181">
        <f t="shared" si="45"/>
        <v>0</v>
      </c>
      <c r="BU35" s="181">
        <f t="shared" si="46"/>
        <v>0</v>
      </c>
      <c r="BV35" s="182">
        <f t="shared" ref="BV35" si="54">SUM(BI35:BU35)</f>
        <v>97451.586628614197</v>
      </c>
    </row>
    <row r="36" spans="1:74" x14ac:dyDescent="0.2">
      <c r="A36" s="170" t="s">
        <v>549</v>
      </c>
      <c r="B36" s="173" t="s">
        <v>550</v>
      </c>
      <c r="C36" s="173" t="s">
        <v>550</v>
      </c>
      <c r="D36" s="312">
        <v>1200</v>
      </c>
      <c r="E36" s="313">
        <v>0</v>
      </c>
      <c r="F36" s="313">
        <v>5.98</v>
      </c>
      <c r="G36" s="313">
        <v>2.4</v>
      </c>
      <c r="H36" s="313">
        <v>0</v>
      </c>
      <c r="I36" s="313">
        <v>0</v>
      </c>
      <c r="J36" s="313">
        <v>0</v>
      </c>
      <c r="K36" s="313">
        <v>0</v>
      </c>
      <c r="L36" s="313">
        <v>0</v>
      </c>
      <c r="M36" s="313">
        <v>0</v>
      </c>
      <c r="N36" s="313">
        <v>0</v>
      </c>
      <c r="O36" s="313">
        <v>0</v>
      </c>
      <c r="P36" s="353">
        <v>0</v>
      </c>
      <c r="R36" s="183">
        <f>Est2020DistRev!D36</f>
        <v>1200</v>
      </c>
      <c r="S36" s="184">
        <f>Est2020DistRev!E36</f>
        <v>0</v>
      </c>
      <c r="T36" s="184">
        <f>Est2020DistRev!F36</f>
        <v>6.35</v>
      </c>
      <c r="U36" s="184">
        <f>Est2020DistRev!G36</f>
        <v>2.54</v>
      </c>
      <c r="V36" s="184">
        <f>Est2020DistRev!H36</f>
        <v>0</v>
      </c>
      <c r="W36" s="184">
        <f>Est2020DistRev!I36</f>
        <v>0</v>
      </c>
      <c r="X36" s="184">
        <f>Est2020DistRev!J36</f>
        <v>0</v>
      </c>
      <c r="Y36" s="184">
        <f>Est2020DistRev!K36</f>
        <v>0</v>
      </c>
      <c r="Z36" s="184">
        <f>Est2020DistRev!L36</f>
        <v>0</v>
      </c>
      <c r="AA36" s="184">
        <f>Est2020DistRev!M36</f>
        <v>0</v>
      </c>
      <c r="AB36" s="184">
        <f>Est2020DistRev!N36</f>
        <v>0</v>
      </c>
      <c r="AC36" s="184">
        <f>Est2020DistRev!O36</f>
        <v>0</v>
      </c>
      <c r="AD36" s="185">
        <f>Est2020DistRev!P36</f>
        <v>0</v>
      </c>
      <c r="AF36" s="314">
        <v>41.069363473792237</v>
      </c>
      <c r="AG36" s="317"/>
      <c r="AH36" s="317">
        <v>2409416.7551067746</v>
      </c>
      <c r="AI36" s="317">
        <v>2113940.7735448894</v>
      </c>
      <c r="AJ36" s="317"/>
      <c r="AK36" s="317"/>
      <c r="AL36" s="317"/>
      <c r="AM36" s="317">
        <f>Est2020DistRev!Y36/2</f>
        <v>0</v>
      </c>
      <c r="AN36" s="317">
        <f>Est2020DistRev!Z36/2</f>
        <v>0</v>
      </c>
      <c r="AO36" s="317">
        <f>Est2020DistRev!AA36/2</f>
        <v>0</v>
      </c>
      <c r="AP36" s="317">
        <f>Est2020DistRev!AB36/2</f>
        <v>0</v>
      </c>
      <c r="AQ36" s="317">
        <f>Est2020DistRev!AC36/2</f>
        <v>0</v>
      </c>
      <c r="AR36" s="318">
        <f>Est2020DistRev!AD36/2</f>
        <v>0</v>
      </c>
      <c r="AT36" s="180">
        <f t="shared" si="23"/>
        <v>49283.236168550684</v>
      </c>
      <c r="AU36" s="181">
        <f t="shared" si="4"/>
        <v>0</v>
      </c>
      <c r="AV36" s="181">
        <f t="shared" si="4"/>
        <v>144083.12195538514</v>
      </c>
      <c r="AW36" s="181">
        <f t="shared" si="4"/>
        <v>50734.578565077347</v>
      </c>
      <c r="AX36" s="181">
        <f t="shared" si="24"/>
        <v>0</v>
      </c>
      <c r="AY36" s="181">
        <f t="shared" si="25"/>
        <v>0</v>
      </c>
      <c r="AZ36" s="181">
        <f t="shared" si="26"/>
        <v>0</v>
      </c>
      <c r="BA36" s="181">
        <f t="shared" si="27"/>
        <v>0</v>
      </c>
      <c r="BB36" s="181">
        <f t="shared" si="28"/>
        <v>0</v>
      </c>
      <c r="BC36" s="181">
        <f t="shared" si="29"/>
        <v>0</v>
      </c>
      <c r="BD36" s="181">
        <f t="shared" si="30"/>
        <v>0</v>
      </c>
      <c r="BE36" s="181">
        <f t="shared" si="31"/>
        <v>0</v>
      </c>
      <c r="BF36" s="181">
        <f t="shared" si="32"/>
        <v>0</v>
      </c>
      <c r="BG36" s="182">
        <f t="shared" si="33"/>
        <v>244100.93668901315</v>
      </c>
      <c r="BI36" s="180">
        <f t="shared" si="34"/>
        <v>49283.236168550684</v>
      </c>
      <c r="BJ36" s="181">
        <f t="shared" si="35"/>
        <v>0</v>
      </c>
      <c r="BK36" s="181">
        <f t="shared" si="36"/>
        <v>152997.96394928018</v>
      </c>
      <c r="BL36" s="181">
        <f t="shared" si="37"/>
        <v>53694.095648040187</v>
      </c>
      <c r="BM36" s="181">
        <f t="shared" si="38"/>
        <v>0</v>
      </c>
      <c r="BN36" s="181">
        <f t="shared" si="39"/>
        <v>0</v>
      </c>
      <c r="BO36" s="181">
        <f t="shared" si="40"/>
        <v>0</v>
      </c>
      <c r="BP36" s="181">
        <f t="shared" si="41"/>
        <v>0</v>
      </c>
      <c r="BQ36" s="181">
        <f t="shared" si="42"/>
        <v>0</v>
      </c>
      <c r="BR36" s="181">
        <f t="shared" si="43"/>
        <v>0</v>
      </c>
      <c r="BS36" s="181">
        <f t="shared" si="44"/>
        <v>0</v>
      </c>
      <c r="BT36" s="181">
        <f t="shared" si="45"/>
        <v>0</v>
      </c>
      <c r="BU36" s="181">
        <f t="shared" si="46"/>
        <v>0</v>
      </c>
      <c r="BV36" s="182">
        <f t="shared" si="47"/>
        <v>255975.29576587104</v>
      </c>
    </row>
    <row r="37" spans="1:74" x14ac:dyDescent="0.2">
      <c r="A37" s="170" t="s">
        <v>551</v>
      </c>
      <c r="B37" s="173" t="s">
        <v>552</v>
      </c>
      <c r="C37" s="173" t="s">
        <v>552</v>
      </c>
      <c r="D37" s="312">
        <v>0</v>
      </c>
      <c r="E37" s="313">
        <v>0</v>
      </c>
      <c r="F37" s="313">
        <v>10.27</v>
      </c>
      <c r="G37" s="313">
        <v>2.88</v>
      </c>
      <c r="H37" s="313">
        <v>0</v>
      </c>
      <c r="I37" s="313">
        <v>0</v>
      </c>
      <c r="J37" s="313">
        <v>0</v>
      </c>
      <c r="K37" s="313">
        <v>0</v>
      </c>
      <c r="L37" s="313">
        <v>0</v>
      </c>
      <c r="M37" s="313">
        <v>0</v>
      </c>
      <c r="N37" s="313">
        <v>0</v>
      </c>
      <c r="O37" s="313">
        <v>0</v>
      </c>
      <c r="P37" s="353">
        <v>0</v>
      </c>
      <c r="R37" s="183">
        <f>Est2020DistRev!D37</f>
        <v>0</v>
      </c>
      <c r="S37" s="184">
        <f>Est2020DistRev!E37</f>
        <v>0</v>
      </c>
      <c r="T37" s="184">
        <f>Est2020DistRev!F37</f>
        <v>11.72</v>
      </c>
      <c r="U37" s="184">
        <f>Est2020DistRev!G37</f>
        <v>3.29</v>
      </c>
      <c r="V37" s="184">
        <f>Est2020DistRev!H37</f>
        <v>0</v>
      </c>
      <c r="W37" s="184">
        <f>Est2020DistRev!I37</f>
        <v>0</v>
      </c>
      <c r="X37" s="184">
        <f>Est2020DistRev!J37</f>
        <v>0</v>
      </c>
      <c r="Y37" s="184">
        <f>Est2020DistRev!K37</f>
        <v>0</v>
      </c>
      <c r="Z37" s="184">
        <f>Est2020DistRev!L37</f>
        <v>0</v>
      </c>
      <c r="AA37" s="184">
        <f>Est2020DistRev!M37</f>
        <v>0</v>
      </c>
      <c r="AB37" s="184">
        <f>Est2020DistRev!N37</f>
        <v>0</v>
      </c>
      <c r="AC37" s="184">
        <f>Est2020DistRev!O37</f>
        <v>0</v>
      </c>
      <c r="AD37" s="185">
        <f>Est2020DistRev!P37</f>
        <v>0</v>
      </c>
      <c r="AF37" s="314">
        <v>2266.4726534753922</v>
      </c>
      <c r="AG37" s="317"/>
      <c r="AH37" s="317">
        <v>5170857.9296809472</v>
      </c>
      <c r="AI37" s="317">
        <v>13096316.869287936</v>
      </c>
      <c r="AJ37" s="317"/>
      <c r="AK37" s="317"/>
      <c r="AL37" s="317"/>
      <c r="AM37" s="317">
        <f>Est2020DistRev!Y37/2</f>
        <v>0</v>
      </c>
      <c r="AN37" s="317">
        <f>Est2020DistRev!Z37/2</f>
        <v>0</v>
      </c>
      <c r="AO37" s="317">
        <f>Est2020DistRev!AA37/2</f>
        <v>0</v>
      </c>
      <c r="AP37" s="317">
        <f>Est2020DistRev!AB37/2</f>
        <v>0</v>
      </c>
      <c r="AQ37" s="317">
        <f>Est2020DistRev!AC37/2</f>
        <v>0</v>
      </c>
      <c r="AR37" s="318">
        <f>Est2020DistRev!AD37/2</f>
        <v>0</v>
      </c>
      <c r="AT37" s="180">
        <f t="shared" si="23"/>
        <v>0</v>
      </c>
      <c r="AU37" s="181">
        <f t="shared" si="4"/>
        <v>0</v>
      </c>
      <c r="AV37" s="181">
        <f t="shared" si="4"/>
        <v>531047.10937823332</v>
      </c>
      <c r="AW37" s="181">
        <f t="shared" si="4"/>
        <v>377173.92583549256</v>
      </c>
      <c r="AX37" s="181">
        <f t="shared" si="24"/>
        <v>0</v>
      </c>
      <c r="AY37" s="181">
        <f t="shared" si="25"/>
        <v>0</v>
      </c>
      <c r="AZ37" s="181">
        <f t="shared" si="26"/>
        <v>0</v>
      </c>
      <c r="BA37" s="181">
        <f t="shared" si="27"/>
        <v>0</v>
      </c>
      <c r="BB37" s="181">
        <f t="shared" si="28"/>
        <v>0</v>
      </c>
      <c r="BC37" s="181">
        <f t="shared" si="29"/>
        <v>0</v>
      </c>
      <c r="BD37" s="181">
        <f t="shared" si="30"/>
        <v>0</v>
      </c>
      <c r="BE37" s="181">
        <f t="shared" si="31"/>
        <v>0</v>
      </c>
      <c r="BF37" s="181">
        <f t="shared" si="32"/>
        <v>0</v>
      </c>
      <c r="BG37" s="182">
        <f t="shared" si="33"/>
        <v>908221.03521372587</v>
      </c>
      <c r="BI37" s="180">
        <f t="shared" si="34"/>
        <v>0</v>
      </c>
      <c r="BJ37" s="181">
        <f t="shared" si="35"/>
        <v>0</v>
      </c>
      <c r="BK37" s="181">
        <f t="shared" si="36"/>
        <v>606024.54935860704</v>
      </c>
      <c r="BL37" s="181">
        <f t="shared" si="37"/>
        <v>430868.82499957306</v>
      </c>
      <c r="BM37" s="181">
        <f t="shared" si="38"/>
        <v>0</v>
      </c>
      <c r="BN37" s="181">
        <f t="shared" si="39"/>
        <v>0</v>
      </c>
      <c r="BO37" s="181">
        <f t="shared" si="40"/>
        <v>0</v>
      </c>
      <c r="BP37" s="181">
        <f t="shared" si="41"/>
        <v>0</v>
      </c>
      <c r="BQ37" s="181">
        <f t="shared" si="42"/>
        <v>0</v>
      </c>
      <c r="BR37" s="181">
        <f t="shared" si="43"/>
        <v>0</v>
      </c>
      <c r="BS37" s="181">
        <f t="shared" si="44"/>
        <v>0</v>
      </c>
      <c r="BT37" s="181">
        <f t="shared" si="45"/>
        <v>0</v>
      </c>
      <c r="BU37" s="181">
        <f t="shared" si="46"/>
        <v>0</v>
      </c>
      <c r="BV37" s="182">
        <f t="shared" si="47"/>
        <v>1036893.3743581801</v>
      </c>
    </row>
    <row r="38" spans="1:74" x14ac:dyDescent="0.2">
      <c r="A38" s="170" t="s">
        <v>553</v>
      </c>
      <c r="B38" s="173" t="s">
        <v>554</v>
      </c>
      <c r="C38" s="173" t="s">
        <v>554</v>
      </c>
      <c r="D38" s="312">
        <v>6350</v>
      </c>
      <c r="E38" s="313">
        <v>0</v>
      </c>
      <c r="F38" s="313">
        <v>1.21</v>
      </c>
      <c r="G38" s="313">
        <v>0.71</v>
      </c>
      <c r="H38" s="313">
        <v>79.679999999999993</v>
      </c>
      <c r="I38" s="313">
        <v>0</v>
      </c>
      <c r="J38" s="313">
        <v>0</v>
      </c>
      <c r="K38" s="313">
        <v>0</v>
      </c>
      <c r="L38" s="313">
        <v>0</v>
      </c>
      <c r="M38" s="313">
        <v>0</v>
      </c>
      <c r="N38" s="313">
        <v>0</v>
      </c>
      <c r="O38" s="313">
        <v>0</v>
      </c>
      <c r="P38" s="353">
        <v>0</v>
      </c>
      <c r="R38" s="183">
        <f>Est2020DistRev!D38</f>
        <v>6550</v>
      </c>
      <c r="S38" s="184">
        <f>Est2020DistRev!E38</f>
        <v>0</v>
      </c>
      <c r="T38" s="184">
        <f>Est2020DistRev!F38</f>
        <v>2.3199999999999998</v>
      </c>
      <c r="U38" s="184">
        <f>Est2020DistRev!G38</f>
        <v>1.42</v>
      </c>
      <c r="V38" s="184">
        <f>Est2020DistRev!H38</f>
        <v>71.75</v>
      </c>
      <c r="W38" s="184">
        <f>Est2020DistRev!I38</f>
        <v>0</v>
      </c>
      <c r="X38" s="184">
        <f>Est2020DistRev!J38</f>
        <v>0</v>
      </c>
      <c r="Y38" s="184">
        <f>Est2020DistRev!K38</f>
        <v>0</v>
      </c>
      <c r="Z38" s="184">
        <f>Est2020DistRev!L38</f>
        <v>0</v>
      </c>
      <c r="AA38" s="184">
        <f>Est2020DistRev!M38</f>
        <v>0</v>
      </c>
      <c r="AB38" s="184">
        <f>Est2020DistRev!N38</f>
        <v>0</v>
      </c>
      <c r="AC38" s="184">
        <f>Est2020DistRev!O38</f>
        <v>0</v>
      </c>
      <c r="AD38" s="185">
        <f>Est2020DistRev!P38</f>
        <v>0</v>
      </c>
      <c r="AF38" s="314">
        <v>192.55266666666668</v>
      </c>
      <c r="AG38" s="317"/>
      <c r="AH38" s="317">
        <v>62875413.786838844</v>
      </c>
      <c r="AI38" s="317">
        <v>48397395.025305197</v>
      </c>
      <c r="AJ38" s="317">
        <v>37974.372380639827</v>
      </c>
      <c r="AK38" s="317"/>
      <c r="AL38" s="317"/>
      <c r="AM38" s="317">
        <f>Est2020DistRev!Y38/2</f>
        <v>0</v>
      </c>
      <c r="AN38" s="317">
        <f>Est2020DistRev!Z38/2</f>
        <v>0</v>
      </c>
      <c r="AO38" s="317">
        <f>Est2020DistRev!AA38/2</f>
        <v>0</v>
      </c>
      <c r="AP38" s="317">
        <f>Est2020DistRev!AB38/2</f>
        <v>0</v>
      </c>
      <c r="AQ38" s="317">
        <f>Est2020DistRev!AC38/2</f>
        <v>0</v>
      </c>
      <c r="AR38" s="318">
        <f>Est2020DistRev!AD38/2</f>
        <v>0</v>
      </c>
      <c r="AT38" s="180">
        <f t="shared" si="23"/>
        <v>1222709.4333333333</v>
      </c>
      <c r="AU38" s="181">
        <f t="shared" si="4"/>
        <v>0</v>
      </c>
      <c r="AV38" s="181">
        <f t="shared" si="4"/>
        <v>760792.50682074996</v>
      </c>
      <c r="AW38" s="181">
        <f t="shared" si="4"/>
        <v>343621.50467966689</v>
      </c>
      <c r="AX38" s="181">
        <f t="shared" si="24"/>
        <v>3025797.9912893809</v>
      </c>
      <c r="AY38" s="181">
        <f t="shared" si="25"/>
        <v>0</v>
      </c>
      <c r="AZ38" s="181">
        <f t="shared" si="26"/>
        <v>0</v>
      </c>
      <c r="BA38" s="181">
        <f t="shared" si="27"/>
        <v>0</v>
      </c>
      <c r="BB38" s="181">
        <f t="shared" si="28"/>
        <v>0</v>
      </c>
      <c r="BC38" s="181">
        <f t="shared" si="29"/>
        <v>0</v>
      </c>
      <c r="BD38" s="181">
        <f t="shared" si="30"/>
        <v>0</v>
      </c>
      <c r="BE38" s="181">
        <f t="shared" si="31"/>
        <v>0</v>
      </c>
      <c r="BF38" s="181">
        <f t="shared" si="32"/>
        <v>0</v>
      </c>
      <c r="BG38" s="182">
        <f t="shared" si="33"/>
        <v>5352921.4361231308</v>
      </c>
      <c r="BI38" s="180">
        <f t="shared" si="34"/>
        <v>1261219.9666666668</v>
      </c>
      <c r="BJ38" s="181">
        <f t="shared" si="35"/>
        <v>0</v>
      </c>
      <c r="BK38" s="181">
        <f t="shared" si="36"/>
        <v>1458709.5998546612</v>
      </c>
      <c r="BL38" s="181">
        <f t="shared" si="37"/>
        <v>687243.00935933378</v>
      </c>
      <c r="BM38" s="181">
        <f t="shared" si="38"/>
        <v>2724661.2183109075</v>
      </c>
      <c r="BN38" s="181">
        <f t="shared" si="39"/>
        <v>0</v>
      </c>
      <c r="BO38" s="181">
        <f t="shared" si="40"/>
        <v>0</v>
      </c>
      <c r="BP38" s="181">
        <f t="shared" si="41"/>
        <v>0</v>
      </c>
      <c r="BQ38" s="181">
        <f t="shared" si="42"/>
        <v>0</v>
      </c>
      <c r="BR38" s="181">
        <f t="shared" si="43"/>
        <v>0</v>
      </c>
      <c r="BS38" s="181">
        <f t="shared" si="44"/>
        <v>0</v>
      </c>
      <c r="BT38" s="181">
        <f t="shared" si="45"/>
        <v>0</v>
      </c>
      <c r="BU38" s="181">
        <f t="shared" si="46"/>
        <v>0</v>
      </c>
      <c r="BV38" s="182">
        <f t="shared" si="47"/>
        <v>6131833.7941915691</v>
      </c>
    </row>
    <row r="39" spans="1:74" x14ac:dyDescent="0.2">
      <c r="A39" s="170" t="s">
        <v>555</v>
      </c>
      <c r="B39" s="173" t="s">
        <v>556</v>
      </c>
      <c r="C39" s="173" t="s">
        <v>556</v>
      </c>
      <c r="D39" s="312">
        <v>6350</v>
      </c>
      <c r="E39" s="313">
        <v>0</v>
      </c>
      <c r="F39" s="313">
        <v>1.21</v>
      </c>
      <c r="G39" s="313">
        <v>0.71</v>
      </c>
      <c r="H39" s="313">
        <v>79.679999999999993</v>
      </c>
      <c r="I39" s="313">
        <v>0</v>
      </c>
      <c r="J39" s="313">
        <v>0</v>
      </c>
      <c r="K39" s="313">
        <v>0</v>
      </c>
      <c r="L39" s="313">
        <v>0</v>
      </c>
      <c r="M39" s="313">
        <v>0</v>
      </c>
      <c r="N39" s="313">
        <v>0</v>
      </c>
      <c r="O39" s="313">
        <v>0</v>
      </c>
      <c r="P39" s="353">
        <v>0</v>
      </c>
      <c r="R39" s="183">
        <f>Est2020DistRev!D39</f>
        <v>6550</v>
      </c>
      <c r="S39" s="184">
        <f>Est2020DistRev!E39</f>
        <v>0</v>
      </c>
      <c r="T39" s="184">
        <f>Est2020DistRev!F39</f>
        <v>2.2000000000000002</v>
      </c>
      <c r="U39" s="184">
        <f>Est2020DistRev!G39</f>
        <v>1.35</v>
      </c>
      <c r="V39" s="184">
        <f>Est2020DistRev!H39</f>
        <v>66.75</v>
      </c>
      <c r="W39" s="184">
        <f>Est2020DistRev!I39</f>
        <v>0</v>
      </c>
      <c r="X39" s="184">
        <f>Est2020DistRev!J39</f>
        <v>0</v>
      </c>
      <c r="Y39" s="184">
        <f>Est2020DistRev!K39</f>
        <v>0</v>
      </c>
      <c r="Z39" s="184">
        <f>Est2020DistRev!L39</f>
        <v>0</v>
      </c>
      <c r="AA39" s="184">
        <f>Est2020DistRev!M39</f>
        <v>0</v>
      </c>
      <c r="AB39" s="184">
        <f>Est2020DistRev!N39</f>
        <v>0</v>
      </c>
      <c r="AC39" s="184">
        <f>Est2020DistRev!O39</f>
        <v>0</v>
      </c>
      <c r="AD39" s="185">
        <f>Est2020DistRev!P39</f>
        <v>0</v>
      </c>
      <c r="AF39" s="314">
        <v>898.58119172207159</v>
      </c>
      <c r="AG39" s="317"/>
      <c r="AH39" s="317">
        <v>549663039.14554298</v>
      </c>
      <c r="AI39" s="317">
        <v>422246368.31217599</v>
      </c>
      <c r="AJ39" s="317">
        <v>332385.51095547102</v>
      </c>
      <c r="AK39" s="317"/>
      <c r="AL39" s="317"/>
      <c r="AM39" s="317">
        <f>Est2020DistRev!Y39/2</f>
        <v>0</v>
      </c>
      <c r="AN39" s="317">
        <f>Est2020DistRev!Z39/2</f>
        <v>0</v>
      </c>
      <c r="AO39" s="317">
        <f>Est2020DistRev!AA39/2</f>
        <v>0</v>
      </c>
      <c r="AP39" s="317">
        <f>Est2020DistRev!AB39/2</f>
        <v>0</v>
      </c>
      <c r="AQ39" s="317">
        <f>Est2020DistRev!AC39/2</f>
        <v>0</v>
      </c>
      <c r="AR39" s="318">
        <f>Est2020DistRev!AD39/2</f>
        <v>0</v>
      </c>
      <c r="AT39" s="180">
        <f t="shared" si="23"/>
        <v>5705990.5674351547</v>
      </c>
      <c r="AU39" s="181">
        <f t="shared" ref="AU39:AW65" si="55">E39/100*AG39</f>
        <v>0</v>
      </c>
      <c r="AV39" s="181">
        <f t="shared" si="55"/>
        <v>6650922.7736610696</v>
      </c>
      <c r="AW39" s="181">
        <f t="shared" si="55"/>
        <v>2997949.2150164493</v>
      </c>
      <c r="AX39" s="181">
        <f t="shared" si="24"/>
        <v>26484477.512931928</v>
      </c>
      <c r="AY39" s="181">
        <f t="shared" si="25"/>
        <v>0</v>
      </c>
      <c r="AZ39" s="181">
        <f t="shared" si="26"/>
        <v>0</v>
      </c>
      <c r="BA39" s="181">
        <f t="shared" si="27"/>
        <v>0</v>
      </c>
      <c r="BB39" s="181">
        <f t="shared" si="28"/>
        <v>0</v>
      </c>
      <c r="BC39" s="181">
        <f t="shared" si="29"/>
        <v>0</v>
      </c>
      <c r="BD39" s="181">
        <f t="shared" si="30"/>
        <v>0</v>
      </c>
      <c r="BE39" s="181">
        <f t="shared" si="31"/>
        <v>0</v>
      </c>
      <c r="BF39" s="181">
        <f t="shared" si="32"/>
        <v>0</v>
      </c>
      <c r="BG39" s="182">
        <f t="shared" si="33"/>
        <v>41839340.069044605</v>
      </c>
      <c r="BI39" s="180">
        <f t="shared" si="34"/>
        <v>5885706.8057795689</v>
      </c>
      <c r="BJ39" s="181">
        <f t="shared" si="35"/>
        <v>0</v>
      </c>
      <c r="BK39" s="181">
        <f t="shared" si="36"/>
        <v>12092586.861201948</v>
      </c>
      <c r="BL39" s="181">
        <f t="shared" si="37"/>
        <v>5700325.9722143766</v>
      </c>
      <c r="BM39" s="181">
        <f t="shared" si="38"/>
        <v>22186732.856277689</v>
      </c>
      <c r="BN39" s="181">
        <f t="shared" si="39"/>
        <v>0</v>
      </c>
      <c r="BO39" s="181">
        <f t="shared" si="40"/>
        <v>0</v>
      </c>
      <c r="BP39" s="181">
        <f t="shared" si="41"/>
        <v>0</v>
      </c>
      <c r="BQ39" s="181">
        <f t="shared" si="42"/>
        <v>0</v>
      </c>
      <c r="BR39" s="181">
        <f t="shared" si="43"/>
        <v>0</v>
      </c>
      <c r="BS39" s="181">
        <f t="shared" si="44"/>
        <v>0</v>
      </c>
      <c r="BT39" s="181">
        <f t="shared" si="45"/>
        <v>0</v>
      </c>
      <c r="BU39" s="181">
        <f t="shared" si="46"/>
        <v>0</v>
      </c>
      <c r="BV39" s="182">
        <f t="shared" si="47"/>
        <v>45865352.495473586</v>
      </c>
    </row>
    <row r="40" spans="1:74" x14ac:dyDescent="0.2">
      <c r="A40" s="170" t="s">
        <v>557</v>
      </c>
      <c r="B40" s="173" t="s">
        <v>558</v>
      </c>
      <c r="C40" s="173" t="s">
        <v>558</v>
      </c>
      <c r="D40" s="312">
        <v>31500</v>
      </c>
      <c r="E40" s="313">
        <v>0</v>
      </c>
      <c r="F40" s="313">
        <v>0.8</v>
      </c>
      <c r="G40" s="313">
        <v>0.4</v>
      </c>
      <c r="H40" s="313">
        <v>45.14</v>
      </c>
      <c r="I40" s="313">
        <v>0</v>
      </c>
      <c r="J40" s="313">
        <v>0</v>
      </c>
      <c r="K40" s="313">
        <v>0</v>
      </c>
      <c r="L40" s="313">
        <v>0</v>
      </c>
      <c r="M40" s="313">
        <v>0</v>
      </c>
      <c r="N40" s="313">
        <v>0</v>
      </c>
      <c r="O40" s="313">
        <v>0</v>
      </c>
      <c r="P40" s="353">
        <v>0</v>
      </c>
      <c r="R40" s="183">
        <f>Est2020DistRev!D40</f>
        <v>33700</v>
      </c>
      <c r="S40" s="184">
        <f>Est2020DistRev!E40</f>
        <v>0</v>
      </c>
      <c r="T40" s="184">
        <f>Est2020DistRev!F40</f>
        <v>1.24</v>
      </c>
      <c r="U40" s="184">
        <f>Est2020DistRev!G40</f>
        <v>0.64</v>
      </c>
      <c r="V40" s="184">
        <f>Est2020DistRev!H40</f>
        <v>35.119999999999997</v>
      </c>
      <c r="W40" s="184">
        <f>Est2020DistRev!I40</f>
        <v>0</v>
      </c>
      <c r="X40" s="184">
        <f>Est2020DistRev!J40</f>
        <v>0</v>
      </c>
      <c r="Y40" s="184">
        <f>Est2020DistRev!K40</f>
        <v>0</v>
      </c>
      <c r="Z40" s="184">
        <f>Est2020DistRev!L40</f>
        <v>0</v>
      </c>
      <c r="AA40" s="184">
        <f>Est2020DistRev!M40</f>
        <v>0</v>
      </c>
      <c r="AB40" s="184">
        <f>Est2020DistRev!N40</f>
        <v>0</v>
      </c>
      <c r="AC40" s="184">
        <f>Est2020DistRev!O40</f>
        <v>0</v>
      </c>
      <c r="AD40" s="185">
        <f>Est2020DistRev!P40</f>
        <v>0</v>
      </c>
      <c r="AF40" s="314">
        <v>47.588151317100483</v>
      </c>
      <c r="AG40" s="317"/>
      <c r="AH40" s="317">
        <v>174204228.29817671</v>
      </c>
      <c r="AI40" s="317">
        <v>163031402.4510684</v>
      </c>
      <c r="AJ40" s="317">
        <v>107521.34956600291</v>
      </c>
      <c r="AK40" s="317"/>
      <c r="AL40" s="317"/>
      <c r="AM40" s="317">
        <f>Est2020DistRev!Y40/2</f>
        <v>0</v>
      </c>
      <c r="AN40" s="317">
        <f>Est2020DistRev!Z40/2</f>
        <v>0</v>
      </c>
      <c r="AO40" s="317">
        <f>Est2020DistRev!AA40/2</f>
        <v>0</v>
      </c>
      <c r="AP40" s="317">
        <f>Est2020DistRev!AB40/2</f>
        <v>0</v>
      </c>
      <c r="AQ40" s="317">
        <f>Est2020DistRev!AC40/2</f>
        <v>0</v>
      </c>
      <c r="AR40" s="318">
        <f>Est2020DistRev!AD40/2</f>
        <v>0</v>
      </c>
      <c r="AT40" s="180">
        <f t="shared" si="23"/>
        <v>1499026.7664886652</v>
      </c>
      <c r="AU40" s="181">
        <f t="shared" si="55"/>
        <v>0</v>
      </c>
      <c r="AV40" s="181">
        <f t="shared" si="55"/>
        <v>1393633.8263854138</v>
      </c>
      <c r="AW40" s="181">
        <f t="shared" si="55"/>
        <v>652125.60980427358</v>
      </c>
      <c r="AX40" s="181">
        <f t="shared" si="24"/>
        <v>4853513.7194093717</v>
      </c>
      <c r="AY40" s="181">
        <f t="shared" si="25"/>
        <v>0</v>
      </c>
      <c r="AZ40" s="181">
        <f t="shared" si="26"/>
        <v>0</v>
      </c>
      <c r="BA40" s="181">
        <f t="shared" si="27"/>
        <v>0</v>
      </c>
      <c r="BB40" s="181">
        <f t="shared" si="28"/>
        <v>0</v>
      </c>
      <c r="BC40" s="181">
        <f t="shared" si="29"/>
        <v>0</v>
      </c>
      <c r="BD40" s="181">
        <f t="shared" si="30"/>
        <v>0</v>
      </c>
      <c r="BE40" s="181">
        <f t="shared" si="31"/>
        <v>0</v>
      </c>
      <c r="BF40" s="181">
        <f t="shared" si="32"/>
        <v>0</v>
      </c>
      <c r="BG40" s="182">
        <f t="shared" si="33"/>
        <v>8398299.9220877253</v>
      </c>
      <c r="BI40" s="180">
        <f t="shared" si="34"/>
        <v>1603720.6993862863</v>
      </c>
      <c r="BJ40" s="181">
        <f t="shared" si="35"/>
        <v>0</v>
      </c>
      <c r="BK40" s="181">
        <f t="shared" si="36"/>
        <v>2160132.4308973909</v>
      </c>
      <c r="BL40" s="181">
        <f t="shared" si="37"/>
        <v>1043400.9756868378</v>
      </c>
      <c r="BM40" s="181">
        <f t="shared" si="38"/>
        <v>3776149.7967580222</v>
      </c>
      <c r="BN40" s="181">
        <f t="shared" si="39"/>
        <v>0</v>
      </c>
      <c r="BO40" s="181">
        <f t="shared" si="40"/>
        <v>0</v>
      </c>
      <c r="BP40" s="181">
        <f t="shared" si="41"/>
        <v>0</v>
      </c>
      <c r="BQ40" s="181">
        <f t="shared" si="42"/>
        <v>0</v>
      </c>
      <c r="BR40" s="181">
        <f t="shared" si="43"/>
        <v>0</v>
      </c>
      <c r="BS40" s="181">
        <f t="shared" si="44"/>
        <v>0</v>
      </c>
      <c r="BT40" s="181">
        <f t="shared" si="45"/>
        <v>0</v>
      </c>
      <c r="BU40" s="181">
        <f t="shared" si="46"/>
        <v>0</v>
      </c>
      <c r="BV40" s="182">
        <f t="shared" si="47"/>
        <v>8583403.9027285371</v>
      </c>
    </row>
    <row r="41" spans="1:74" x14ac:dyDescent="0.2">
      <c r="A41" s="170" t="s">
        <v>559</v>
      </c>
      <c r="B41" s="173" t="s">
        <v>560</v>
      </c>
      <c r="C41" s="173" t="s">
        <v>560</v>
      </c>
      <c r="D41" s="312">
        <v>130000</v>
      </c>
      <c r="E41" s="313">
        <v>0</v>
      </c>
      <c r="F41" s="313">
        <v>0</v>
      </c>
      <c r="G41" s="313">
        <v>0</v>
      </c>
      <c r="H41" s="313">
        <v>3.3</v>
      </c>
      <c r="I41" s="313">
        <v>0</v>
      </c>
      <c r="J41" s="313">
        <v>0</v>
      </c>
      <c r="K41" s="313">
        <v>0</v>
      </c>
      <c r="L41" s="313">
        <v>0</v>
      </c>
      <c r="M41" s="313">
        <v>0</v>
      </c>
      <c r="N41" s="313">
        <v>0</v>
      </c>
      <c r="O41" s="313">
        <v>0</v>
      </c>
      <c r="P41" s="353">
        <v>0</v>
      </c>
      <c r="R41" s="183">
        <f>Est2020DistRev!D41</f>
        <v>148700</v>
      </c>
      <c r="S41" s="184">
        <f>Est2020DistRev!E41</f>
        <v>0</v>
      </c>
      <c r="T41" s="184">
        <f>Est2020DistRev!F41</f>
        <v>0.12</v>
      </c>
      <c r="U41" s="184">
        <f>Est2020DistRev!G41</f>
        <v>0.05</v>
      </c>
      <c r="V41" s="184">
        <f>Est2020DistRev!H41</f>
        <v>0.97</v>
      </c>
      <c r="W41" s="184">
        <f>Est2020DistRev!I41</f>
        <v>0</v>
      </c>
      <c r="X41" s="184">
        <f>Est2020DistRev!J41</f>
        <v>0</v>
      </c>
      <c r="Y41" s="184">
        <f>Est2020DistRev!K41</f>
        <v>0</v>
      </c>
      <c r="Z41" s="184">
        <f>Est2020DistRev!L41</f>
        <v>0</v>
      </c>
      <c r="AA41" s="184">
        <f>Est2020DistRev!M41</f>
        <v>0</v>
      </c>
      <c r="AB41" s="184">
        <f>Est2020DistRev!N41</f>
        <v>0</v>
      </c>
      <c r="AC41" s="184">
        <f>Est2020DistRev!O41</f>
        <v>0</v>
      </c>
      <c r="AD41" s="185">
        <f>Est2020DistRev!P41</f>
        <v>0</v>
      </c>
      <c r="AF41" s="314">
        <v>2.9958713055632185</v>
      </c>
      <c r="AG41" s="317"/>
      <c r="AH41" s="317">
        <v>30663553.76391124</v>
      </c>
      <c r="AI41" s="317">
        <v>18200261.692845277</v>
      </c>
      <c r="AJ41" s="317">
        <v>18743.849130325598</v>
      </c>
      <c r="AK41" s="317"/>
      <c r="AL41" s="317"/>
      <c r="AM41" s="317">
        <f>Est2020DistRev!Y41/2</f>
        <v>0</v>
      </c>
      <c r="AN41" s="317">
        <f>Est2020DistRev!Z41/2</f>
        <v>0</v>
      </c>
      <c r="AO41" s="317">
        <f>Est2020DistRev!AA41/2</f>
        <v>0</v>
      </c>
      <c r="AP41" s="317">
        <f>Est2020DistRev!AB41/2</f>
        <v>0</v>
      </c>
      <c r="AQ41" s="317">
        <f>Est2020DistRev!AC41/2</f>
        <v>0</v>
      </c>
      <c r="AR41" s="318">
        <f>Est2020DistRev!AD41/2</f>
        <v>0</v>
      </c>
      <c r="AT41" s="180">
        <f t="shared" si="23"/>
        <v>389463.2697232184</v>
      </c>
      <c r="AU41" s="181">
        <f t="shared" si="55"/>
        <v>0</v>
      </c>
      <c r="AV41" s="181">
        <f t="shared" si="55"/>
        <v>0</v>
      </c>
      <c r="AW41" s="181">
        <f t="shared" si="55"/>
        <v>0</v>
      </c>
      <c r="AX41" s="181">
        <f t="shared" si="24"/>
        <v>61854.702130074467</v>
      </c>
      <c r="AY41" s="181">
        <f t="shared" si="25"/>
        <v>0</v>
      </c>
      <c r="AZ41" s="181">
        <f t="shared" si="26"/>
        <v>0</v>
      </c>
      <c r="BA41" s="181">
        <f t="shared" si="27"/>
        <v>0</v>
      </c>
      <c r="BB41" s="181">
        <f t="shared" si="28"/>
        <v>0</v>
      </c>
      <c r="BC41" s="181">
        <f t="shared" si="29"/>
        <v>0</v>
      </c>
      <c r="BD41" s="181">
        <f t="shared" si="30"/>
        <v>0</v>
      </c>
      <c r="BE41" s="181">
        <f t="shared" si="31"/>
        <v>0</v>
      </c>
      <c r="BF41" s="181">
        <f t="shared" si="32"/>
        <v>0</v>
      </c>
      <c r="BG41" s="182">
        <f t="shared" si="33"/>
        <v>451317.9718532929</v>
      </c>
      <c r="BI41" s="180">
        <f t="shared" si="34"/>
        <v>445486.0631372506</v>
      </c>
      <c r="BJ41" s="181">
        <f t="shared" si="35"/>
        <v>0</v>
      </c>
      <c r="BK41" s="181">
        <f t="shared" si="36"/>
        <v>36796.264516693482</v>
      </c>
      <c r="BL41" s="181">
        <f t="shared" si="37"/>
        <v>9100.1308464226386</v>
      </c>
      <c r="BM41" s="181">
        <f t="shared" si="38"/>
        <v>18181.533656415828</v>
      </c>
      <c r="BN41" s="181">
        <f t="shared" si="39"/>
        <v>0</v>
      </c>
      <c r="BO41" s="181">
        <f t="shared" si="40"/>
        <v>0</v>
      </c>
      <c r="BP41" s="181">
        <f t="shared" si="41"/>
        <v>0</v>
      </c>
      <c r="BQ41" s="181">
        <f t="shared" si="42"/>
        <v>0</v>
      </c>
      <c r="BR41" s="181">
        <f t="shared" si="43"/>
        <v>0</v>
      </c>
      <c r="BS41" s="181">
        <f t="shared" si="44"/>
        <v>0</v>
      </c>
      <c r="BT41" s="181">
        <f t="shared" si="45"/>
        <v>0</v>
      </c>
      <c r="BU41" s="181">
        <f t="shared" si="46"/>
        <v>0</v>
      </c>
      <c r="BV41" s="182">
        <f t="shared" si="47"/>
        <v>509563.99215678254</v>
      </c>
    </row>
    <row r="42" spans="1:74" x14ac:dyDescent="0.2">
      <c r="B42" s="173"/>
      <c r="C42" s="173"/>
      <c r="D42" s="312"/>
      <c r="E42" s="313"/>
      <c r="F42" s="313"/>
      <c r="G42" s="313"/>
      <c r="H42" s="313"/>
      <c r="I42" s="313"/>
      <c r="J42" s="313"/>
      <c r="K42" s="313"/>
      <c r="L42" s="313"/>
      <c r="M42" s="313"/>
      <c r="N42" s="313"/>
      <c r="O42" s="313"/>
      <c r="P42" s="353"/>
      <c r="R42" s="183">
        <f>Est2020DistRev!D42</f>
        <v>0</v>
      </c>
      <c r="S42" s="184">
        <f>Est2020DistRev!E42</f>
        <v>0</v>
      </c>
      <c r="T42" s="184">
        <f>Est2020DistRev!F42</f>
        <v>0</v>
      </c>
      <c r="U42" s="184">
        <f>Est2020DistRev!G42</f>
        <v>0</v>
      </c>
      <c r="V42" s="184">
        <f>Est2020DistRev!H42</f>
        <v>0</v>
      </c>
      <c r="W42" s="184">
        <f>Est2020DistRev!I42</f>
        <v>0</v>
      </c>
      <c r="X42" s="184">
        <f>Est2020DistRev!J42</f>
        <v>0</v>
      </c>
      <c r="Y42" s="184">
        <f>Est2020DistRev!K42</f>
        <v>0</v>
      </c>
      <c r="Z42" s="184">
        <f>Est2020DistRev!L42</f>
        <v>0</v>
      </c>
      <c r="AA42" s="184">
        <f>Est2020DistRev!M42</f>
        <v>0</v>
      </c>
      <c r="AB42" s="184">
        <f>Est2020DistRev!N42</f>
        <v>0</v>
      </c>
      <c r="AC42" s="184">
        <f>Est2020DistRev!O42</f>
        <v>0</v>
      </c>
      <c r="AD42" s="185">
        <f>Est2020DistRev!P42</f>
        <v>0</v>
      </c>
      <c r="AF42" s="314">
        <f>Est2020DistRev!R42/2</f>
        <v>0</v>
      </c>
      <c r="AG42" s="317">
        <f>Est2020DistRev!S42/2</f>
        <v>0</v>
      </c>
      <c r="AH42" s="317">
        <f>Est2020DistRev!T42/2</f>
        <v>0</v>
      </c>
      <c r="AI42" s="317">
        <f>Est2020DistRev!U42/2</f>
        <v>0</v>
      </c>
      <c r="AJ42" s="317">
        <f>Est2020DistRev!V42/2</f>
        <v>0</v>
      </c>
      <c r="AK42" s="317">
        <f>Est2020DistRev!W42/2</f>
        <v>0</v>
      </c>
      <c r="AL42" s="317">
        <f>Est2020DistRev!X42/2</f>
        <v>0</v>
      </c>
      <c r="AM42" s="317">
        <f>Est2020DistRev!Y42/2</f>
        <v>0</v>
      </c>
      <c r="AN42" s="317">
        <f>Est2020DistRev!Z42/2</f>
        <v>0</v>
      </c>
      <c r="AO42" s="317">
        <f>Est2020DistRev!AA42/2</f>
        <v>0</v>
      </c>
      <c r="AP42" s="317">
        <f>Est2020DistRev!AB42/2</f>
        <v>0</v>
      </c>
      <c r="AQ42" s="317">
        <f>Est2020DistRev!AC42/2</f>
        <v>0</v>
      </c>
      <c r="AR42" s="318">
        <f>Est2020DistRev!AD42/2</f>
        <v>0</v>
      </c>
      <c r="AT42" s="180">
        <f t="shared" si="23"/>
        <v>0</v>
      </c>
      <c r="AU42" s="181">
        <f t="shared" si="55"/>
        <v>0</v>
      </c>
      <c r="AV42" s="181">
        <f t="shared" si="55"/>
        <v>0</v>
      </c>
      <c r="AW42" s="181">
        <f t="shared" si="55"/>
        <v>0</v>
      </c>
      <c r="AX42" s="181">
        <f t="shared" si="24"/>
        <v>0</v>
      </c>
      <c r="AY42" s="181">
        <f t="shared" si="25"/>
        <v>0</v>
      </c>
      <c r="AZ42" s="181">
        <f t="shared" si="26"/>
        <v>0</v>
      </c>
      <c r="BA42" s="181">
        <f t="shared" si="27"/>
        <v>0</v>
      </c>
      <c r="BB42" s="181">
        <f t="shared" si="28"/>
        <v>0</v>
      </c>
      <c r="BC42" s="181">
        <f t="shared" si="29"/>
        <v>0</v>
      </c>
      <c r="BD42" s="181">
        <f t="shared" si="30"/>
        <v>0</v>
      </c>
      <c r="BE42" s="181">
        <f t="shared" si="31"/>
        <v>0</v>
      </c>
      <c r="BF42" s="181">
        <f t="shared" si="32"/>
        <v>0</v>
      </c>
      <c r="BG42" s="182">
        <f t="shared" si="33"/>
        <v>0</v>
      </c>
      <c r="BI42" s="180">
        <f t="shared" si="34"/>
        <v>0</v>
      </c>
      <c r="BJ42" s="181">
        <f t="shared" si="35"/>
        <v>0</v>
      </c>
      <c r="BK42" s="181">
        <f t="shared" si="36"/>
        <v>0</v>
      </c>
      <c r="BL42" s="181">
        <f t="shared" si="37"/>
        <v>0</v>
      </c>
      <c r="BM42" s="181">
        <f t="shared" si="38"/>
        <v>0</v>
      </c>
      <c r="BN42" s="181">
        <f t="shared" si="39"/>
        <v>0</v>
      </c>
      <c r="BO42" s="181">
        <f t="shared" si="40"/>
        <v>0</v>
      </c>
      <c r="BP42" s="181">
        <f t="shared" si="41"/>
        <v>0</v>
      </c>
      <c r="BQ42" s="181">
        <f t="shared" si="42"/>
        <v>0</v>
      </c>
      <c r="BR42" s="181">
        <f t="shared" si="43"/>
        <v>0</v>
      </c>
      <c r="BS42" s="181">
        <f t="shared" si="44"/>
        <v>0</v>
      </c>
      <c r="BT42" s="181">
        <f t="shared" si="45"/>
        <v>0</v>
      </c>
      <c r="BU42" s="181">
        <f t="shared" si="46"/>
        <v>0</v>
      </c>
      <c r="BV42" s="182">
        <f t="shared" si="47"/>
        <v>0</v>
      </c>
    </row>
    <row r="43" spans="1:74" x14ac:dyDescent="0.2">
      <c r="B43" s="173"/>
      <c r="C43" s="173"/>
      <c r="D43" s="312"/>
      <c r="E43" s="313"/>
      <c r="F43" s="313"/>
      <c r="G43" s="313"/>
      <c r="H43" s="313"/>
      <c r="I43" s="313"/>
      <c r="J43" s="313"/>
      <c r="K43" s="313"/>
      <c r="L43" s="313"/>
      <c r="M43" s="313"/>
      <c r="N43" s="313"/>
      <c r="O43" s="313"/>
      <c r="P43" s="353"/>
      <c r="R43" s="183">
        <f>Est2020DistRev!D43</f>
        <v>0</v>
      </c>
      <c r="S43" s="184">
        <f>Est2020DistRev!E43</f>
        <v>0</v>
      </c>
      <c r="T43" s="184">
        <f>Est2020DistRev!F43</f>
        <v>0</v>
      </c>
      <c r="U43" s="184">
        <f>Est2020DistRev!G43</f>
        <v>0</v>
      </c>
      <c r="V43" s="184">
        <f>Est2020DistRev!H43</f>
        <v>0</v>
      </c>
      <c r="W43" s="184">
        <f>Est2020DistRev!I43</f>
        <v>0</v>
      </c>
      <c r="X43" s="184">
        <f>Est2020DistRev!J43</f>
        <v>0</v>
      </c>
      <c r="Y43" s="184">
        <f>Est2020DistRev!K43</f>
        <v>0</v>
      </c>
      <c r="Z43" s="184">
        <f>Est2020DistRev!L43</f>
        <v>0</v>
      </c>
      <c r="AA43" s="184">
        <f>Est2020DistRev!M43</f>
        <v>0</v>
      </c>
      <c r="AB43" s="184">
        <f>Est2020DistRev!N43</f>
        <v>0</v>
      </c>
      <c r="AC43" s="184">
        <f>Est2020DistRev!O43</f>
        <v>0</v>
      </c>
      <c r="AD43" s="185">
        <f>Est2020DistRev!P43</f>
        <v>0</v>
      </c>
      <c r="AF43" s="314">
        <f>Est2020DistRev!R43/2</f>
        <v>0</v>
      </c>
      <c r="AG43" s="317">
        <f>Est2020DistRev!S43/2</f>
        <v>0</v>
      </c>
      <c r="AH43" s="317">
        <f>Est2020DistRev!T43/2</f>
        <v>0</v>
      </c>
      <c r="AI43" s="317">
        <f>Est2020DistRev!U43/2</f>
        <v>0</v>
      </c>
      <c r="AJ43" s="317">
        <f>Est2020DistRev!V43/2</f>
        <v>0</v>
      </c>
      <c r="AK43" s="317">
        <f>Est2020DistRev!W43/2</f>
        <v>0</v>
      </c>
      <c r="AL43" s="317">
        <f>Est2020DistRev!X43/2</f>
        <v>0</v>
      </c>
      <c r="AM43" s="317">
        <f>Est2020DistRev!Y43/2</f>
        <v>0</v>
      </c>
      <c r="AN43" s="317">
        <f>Est2020DistRev!Z43/2</f>
        <v>0</v>
      </c>
      <c r="AO43" s="317">
        <f>Est2020DistRev!AA43/2</f>
        <v>0</v>
      </c>
      <c r="AP43" s="317">
        <f>Est2020DistRev!AB43/2</f>
        <v>0</v>
      </c>
      <c r="AQ43" s="317">
        <f>Est2020DistRev!AC43/2</f>
        <v>0</v>
      </c>
      <c r="AR43" s="318">
        <f>Est2020DistRev!AD43/2</f>
        <v>0</v>
      </c>
      <c r="AT43" s="180">
        <f t="shared" si="23"/>
        <v>0</v>
      </c>
      <c r="AU43" s="181">
        <f t="shared" si="55"/>
        <v>0</v>
      </c>
      <c r="AV43" s="181">
        <f t="shared" si="55"/>
        <v>0</v>
      </c>
      <c r="AW43" s="181">
        <f t="shared" si="55"/>
        <v>0</v>
      </c>
      <c r="AX43" s="181">
        <f t="shared" si="24"/>
        <v>0</v>
      </c>
      <c r="AY43" s="181">
        <f t="shared" si="25"/>
        <v>0</v>
      </c>
      <c r="AZ43" s="181">
        <f t="shared" si="26"/>
        <v>0</v>
      </c>
      <c r="BA43" s="181">
        <f t="shared" si="27"/>
        <v>0</v>
      </c>
      <c r="BB43" s="181">
        <f t="shared" si="28"/>
        <v>0</v>
      </c>
      <c r="BC43" s="181">
        <f t="shared" si="29"/>
        <v>0</v>
      </c>
      <c r="BD43" s="181">
        <f t="shared" si="30"/>
        <v>0</v>
      </c>
      <c r="BE43" s="181">
        <f t="shared" si="31"/>
        <v>0</v>
      </c>
      <c r="BF43" s="181">
        <f t="shared" si="32"/>
        <v>0</v>
      </c>
      <c r="BG43" s="182">
        <f t="shared" si="33"/>
        <v>0</v>
      </c>
      <c r="BI43" s="180">
        <f t="shared" si="34"/>
        <v>0</v>
      </c>
      <c r="BJ43" s="181">
        <f t="shared" si="35"/>
        <v>0</v>
      </c>
      <c r="BK43" s="181">
        <f t="shared" si="36"/>
        <v>0</v>
      </c>
      <c r="BL43" s="181">
        <f t="shared" si="37"/>
        <v>0</v>
      </c>
      <c r="BM43" s="181">
        <f t="shared" si="38"/>
        <v>0</v>
      </c>
      <c r="BN43" s="181">
        <f t="shared" si="39"/>
        <v>0</v>
      </c>
      <c r="BO43" s="181">
        <f t="shared" si="40"/>
        <v>0</v>
      </c>
      <c r="BP43" s="181">
        <f t="shared" si="41"/>
        <v>0</v>
      </c>
      <c r="BQ43" s="181">
        <f t="shared" si="42"/>
        <v>0</v>
      </c>
      <c r="BR43" s="181">
        <f t="shared" si="43"/>
        <v>0</v>
      </c>
      <c r="BS43" s="181">
        <f t="shared" si="44"/>
        <v>0</v>
      </c>
      <c r="BT43" s="181">
        <f t="shared" si="45"/>
        <v>0</v>
      </c>
      <c r="BU43" s="181">
        <f t="shared" si="46"/>
        <v>0</v>
      </c>
      <c r="BV43" s="182">
        <f t="shared" si="47"/>
        <v>0</v>
      </c>
    </row>
    <row r="44" spans="1:74" x14ac:dyDescent="0.2">
      <c r="B44" s="173"/>
      <c r="C44" s="173"/>
      <c r="D44" s="312"/>
      <c r="E44" s="313"/>
      <c r="F44" s="313"/>
      <c r="G44" s="313"/>
      <c r="H44" s="313"/>
      <c r="I44" s="313"/>
      <c r="J44" s="313"/>
      <c r="K44" s="313"/>
      <c r="L44" s="313"/>
      <c r="M44" s="313"/>
      <c r="N44" s="313"/>
      <c r="O44" s="313"/>
      <c r="P44" s="353"/>
      <c r="R44" s="183">
        <f>Est2020DistRev!D44</f>
        <v>0</v>
      </c>
      <c r="S44" s="184">
        <f>Est2020DistRev!E44</f>
        <v>0</v>
      </c>
      <c r="T44" s="184">
        <f>Est2020DistRev!F44</f>
        <v>0</v>
      </c>
      <c r="U44" s="184">
        <f>Est2020DistRev!G44</f>
        <v>0</v>
      </c>
      <c r="V44" s="184">
        <f>Est2020DistRev!H44</f>
        <v>0</v>
      </c>
      <c r="W44" s="184">
        <f>Est2020DistRev!I44</f>
        <v>0</v>
      </c>
      <c r="X44" s="184">
        <f>Est2020DistRev!J44</f>
        <v>0</v>
      </c>
      <c r="Y44" s="184">
        <f>Est2020DistRev!K44</f>
        <v>0</v>
      </c>
      <c r="Z44" s="184">
        <f>Est2020DistRev!L44</f>
        <v>0</v>
      </c>
      <c r="AA44" s="184">
        <f>Est2020DistRev!M44</f>
        <v>0</v>
      </c>
      <c r="AB44" s="184">
        <f>Est2020DistRev!N44</f>
        <v>0</v>
      </c>
      <c r="AC44" s="184">
        <f>Est2020DistRev!O44</f>
        <v>0</v>
      </c>
      <c r="AD44" s="185">
        <f>Est2020DistRev!P44</f>
        <v>0</v>
      </c>
      <c r="AF44" s="314">
        <f>Est2020DistRev!R44/2</f>
        <v>0</v>
      </c>
      <c r="AG44" s="317">
        <f>Est2020DistRev!S44/2</f>
        <v>0</v>
      </c>
      <c r="AH44" s="317">
        <f>Est2020DistRev!T44/2</f>
        <v>0</v>
      </c>
      <c r="AI44" s="317">
        <f>Est2020DistRev!U44/2</f>
        <v>0</v>
      </c>
      <c r="AJ44" s="317">
        <f>Est2020DistRev!V44/2</f>
        <v>0</v>
      </c>
      <c r="AK44" s="317">
        <f>Est2020DistRev!W44/2</f>
        <v>0</v>
      </c>
      <c r="AL44" s="317">
        <f>Est2020DistRev!X44/2</f>
        <v>0</v>
      </c>
      <c r="AM44" s="317">
        <f>Est2020DistRev!Y44/2</f>
        <v>0</v>
      </c>
      <c r="AN44" s="317">
        <f>Est2020DistRev!Z44/2</f>
        <v>0</v>
      </c>
      <c r="AO44" s="317">
        <f>Est2020DistRev!AA44/2</f>
        <v>0</v>
      </c>
      <c r="AP44" s="317">
        <f>Est2020DistRev!AB44/2</f>
        <v>0</v>
      </c>
      <c r="AQ44" s="317">
        <f>Est2020DistRev!AC44/2</f>
        <v>0</v>
      </c>
      <c r="AR44" s="318">
        <f>Est2020DistRev!AD44/2</f>
        <v>0</v>
      </c>
      <c r="AT44" s="180">
        <f t="shared" si="23"/>
        <v>0</v>
      </c>
      <c r="AU44" s="181">
        <f t="shared" si="55"/>
        <v>0</v>
      </c>
      <c r="AV44" s="181">
        <f t="shared" si="55"/>
        <v>0</v>
      </c>
      <c r="AW44" s="181">
        <f t="shared" si="55"/>
        <v>0</v>
      </c>
      <c r="AX44" s="181">
        <f t="shared" si="24"/>
        <v>0</v>
      </c>
      <c r="AY44" s="181">
        <f t="shared" si="25"/>
        <v>0</v>
      </c>
      <c r="AZ44" s="181">
        <f t="shared" si="26"/>
        <v>0</v>
      </c>
      <c r="BA44" s="181">
        <f t="shared" si="27"/>
        <v>0</v>
      </c>
      <c r="BB44" s="181">
        <f t="shared" si="28"/>
        <v>0</v>
      </c>
      <c r="BC44" s="181">
        <f t="shared" si="29"/>
        <v>0</v>
      </c>
      <c r="BD44" s="181">
        <f t="shared" si="30"/>
        <v>0</v>
      </c>
      <c r="BE44" s="181">
        <f t="shared" si="31"/>
        <v>0</v>
      </c>
      <c r="BF44" s="181">
        <f t="shared" si="32"/>
        <v>0</v>
      </c>
      <c r="BG44" s="182">
        <f t="shared" si="33"/>
        <v>0</v>
      </c>
      <c r="BI44" s="180">
        <f t="shared" si="34"/>
        <v>0</v>
      </c>
      <c r="BJ44" s="181">
        <f t="shared" si="35"/>
        <v>0</v>
      </c>
      <c r="BK44" s="181">
        <f t="shared" si="36"/>
        <v>0</v>
      </c>
      <c r="BL44" s="181">
        <f t="shared" si="37"/>
        <v>0</v>
      </c>
      <c r="BM44" s="181">
        <f t="shared" si="38"/>
        <v>0</v>
      </c>
      <c r="BN44" s="181">
        <f t="shared" si="39"/>
        <v>0</v>
      </c>
      <c r="BO44" s="181">
        <f t="shared" si="40"/>
        <v>0</v>
      </c>
      <c r="BP44" s="181">
        <f t="shared" si="41"/>
        <v>0</v>
      </c>
      <c r="BQ44" s="181">
        <f t="shared" si="42"/>
        <v>0</v>
      </c>
      <c r="BR44" s="181">
        <f t="shared" si="43"/>
        <v>0</v>
      </c>
      <c r="BS44" s="181">
        <f t="shared" si="44"/>
        <v>0</v>
      </c>
      <c r="BT44" s="181">
        <f t="shared" si="45"/>
        <v>0</v>
      </c>
      <c r="BU44" s="181">
        <f t="shared" si="46"/>
        <v>0</v>
      </c>
      <c r="BV44" s="182">
        <f t="shared" si="47"/>
        <v>0</v>
      </c>
    </row>
    <row r="45" spans="1:74" x14ac:dyDescent="0.2">
      <c r="B45" s="173"/>
      <c r="C45" s="173"/>
      <c r="D45" s="312"/>
      <c r="E45" s="313"/>
      <c r="F45" s="313"/>
      <c r="G45" s="313"/>
      <c r="H45" s="313"/>
      <c r="I45" s="313"/>
      <c r="J45" s="313"/>
      <c r="K45" s="313"/>
      <c r="L45" s="313"/>
      <c r="M45" s="313"/>
      <c r="N45" s="313"/>
      <c r="O45" s="313"/>
      <c r="P45" s="353"/>
      <c r="R45" s="183">
        <f>Est2020DistRev!D45</f>
        <v>0</v>
      </c>
      <c r="S45" s="184">
        <f>Est2020DistRev!E45</f>
        <v>0</v>
      </c>
      <c r="T45" s="184">
        <f>Est2020DistRev!F45</f>
        <v>0</v>
      </c>
      <c r="U45" s="184">
        <f>Est2020DistRev!G45</f>
        <v>0</v>
      </c>
      <c r="V45" s="184">
        <f>Est2020DistRev!H45</f>
        <v>0</v>
      </c>
      <c r="W45" s="184">
        <f>Est2020DistRev!I45</f>
        <v>0</v>
      </c>
      <c r="X45" s="184">
        <f>Est2020DistRev!J45</f>
        <v>0</v>
      </c>
      <c r="Y45" s="184">
        <f>Est2020DistRev!K45</f>
        <v>0</v>
      </c>
      <c r="Z45" s="184">
        <f>Est2020DistRev!L45</f>
        <v>0</v>
      </c>
      <c r="AA45" s="184">
        <f>Est2020DistRev!M45</f>
        <v>0</v>
      </c>
      <c r="AB45" s="184">
        <f>Est2020DistRev!N45</f>
        <v>0</v>
      </c>
      <c r="AC45" s="184">
        <f>Est2020DistRev!O45</f>
        <v>0</v>
      </c>
      <c r="AD45" s="185">
        <f>Est2020DistRev!P45</f>
        <v>0</v>
      </c>
      <c r="AF45" s="314">
        <f>Est2020DistRev!R45/2</f>
        <v>0</v>
      </c>
      <c r="AG45" s="317">
        <f>Est2020DistRev!S45/2</f>
        <v>0</v>
      </c>
      <c r="AH45" s="317">
        <f>Est2020DistRev!T45/2</f>
        <v>0</v>
      </c>
      <c r="AI45" s="317">
        <f>Est2020DistRev!U45/2</f>
        <v>0</v>
      </c>
      <c r="AJ45" s="317">
        <f>Est2020DistRev!V45/2</f>
        <v>0</v>
      </c>
      <c r="AK45" s="317">
        <f>Est2020DistRev!W45/2</f>
        <v>0</v>
      </c>
      <c r="AL45" s="317">
        <f>Est2020DistRev!X45/2</f>
        <v>0</v>
      </c>
      <c r="AM45" s="317">
        <f>Est2020DistRev!Y45/2</f>
        <v>0</v>
      </c>
      <c r="AN45" s="317">
        <f>Est2020DistRev!Z45/2</f>
        <v>0</v>
      </c>
      <c r="AO45" s="317">
        <f>Est2020DistRev!AA45/2</f>
        <v>0</v>
      </c>
      <c r="AP45" s="317">
        <f>Est2020DistRev!AB45/2</f>
        <v>0</v>
      </c>
      <c r="AQ45" s="317">
        <f>Est2020DistRev!AC45/2</f>
        <v>0</v>
      </c>
      <c r="AR45" s="318">
        <f>Est2020DistRev!AD45/2</f>
        <v>0</v>
      </c>
      <c r="AT45" s="180">
        <f t="shared" si="23"/>
        <v>0</v>
      </c>
      <c r="AU45" s="181">
        <f t="shared" si="55"/>
        <v>0</v>
      </c>
      <c r="AV45" s="181">
        <f t="shared" si="55"/>
        <v>0</v>
      </c>
      <c r="AW45" s="181">
        <f t="shared" si="55"/>
        <v>0</v>
      </c>
      <c r="AX45" s="181">
        <f t="shared" si="24"/>
        <v>0</v>
      </c>
      <c r="AY45" s="181">
        <f t="shared" si="25"/>
        <v>0</v>
      </c>
      <c r="AZ45" s="181">
        <f t="shared" si="26"/>
        <v>0</v>
      </c>
      <c r="BA45" s="181">
        <f t="shared" si="27"/>
        <v>0</v>
      </c>
      <c r="BB45" s="181">
        <f t="shared" si="28"/>
        <v>0</v>
      </c>
      <c r="BC45" s="181">
        <f t="shared" si="29"/>
        <v>0</v>
      </c>
      <c r="BD45" s="181">
        <f t="shared" si="30"/>
        <v>0</v>
      </c>
      <c r="BE45" s="181">
        <f t="shared" si="31"/>
        <v>0</v>
      </c>
      <c r="BF45" s="181">
        <f t="shared" si="32"/>
        <v>0</v>
      </c>
      <c r="BG45" s="182">
        <f t="shared" si="33"/>
        <v>0</v>
      </c>
      <c r="BI45" s="180">
        <f t="shared" si="34"/>
        <v>0</v>
      </c>
      <c r="BJ45" s="181">
        <f t="shared" si="35"/>
        <v>0</v>
      </c>
      <c r="BK45" s="181">
        <f t="shared" si="36"/>
        <v>0</v>
      </c>
      <c r="BL45" s="181">
        <f t="shared" si="37"/>
        <v>0</v>
      </c>
      <c r="BM45" s="181">
        <f t="shared" si="38"/>
        <v>0</v>
      </c>
      <c r="BN45" s="181">
        <f t="shared" si="39"/>
        <v>0</v>
      </c>
      <c r="BO45" s="181">
        <f t="shared" si="40"/>
        <v>0</v>
      </c>
      <c r="BP45" s="181">
        <f t="shared" si="41"/>
        <v>0</v>
      </c>
      <c r="BQ45" s="181">
        <f t="shared" si="42"/>
        <v>0</v>
      </c>
      <c r="BR45" s="181">
        <f t="shared" si="43"/>
        <v>0</v>
      </c>
      <c r="BS45" s="181">
        <f t="shared" si="44"/>
        <v>0</v>
      </c>
      <c r="BT45" s="181">
        <f t="shared" si="45"/>
        <v>0</v>
      </c>
      <c r="BU45" s="181">
        <f t="shared" si="46"/>
        <v>0</v>
      </c>
      <c r="BV45" s="182">
        <f t="shared" si="47"/>
        <v>0</v>
      </c>
    </row>
    <row r="46" spans="1:74" x14ac:dyDescent="0.2">
      <c r="B46" s="173"/>
      <c r="C46" s="173"/>
      <c r="D46" s="312"/>
      <c r="E46" s="313"/>
      <c r="F46" s="313"/>
      <c r="G46" s="313"/>
      <c r="H46" s="313"/>
      <c r="I46" s="313"/>
      <c r="J46" s="313"/>
      <c r="K46" s="313"/>
      <c r="L46" s="313"/>
      <c r="M46" s="313"/>
      <c r="N46" s="313"/>
      <c r="O46" s="313"/>
      <c r="P46" s="353"/>
      <c r="R46" s="183">
        <f>Est2020DistRev!D46</f>
        <v>0</v>
      </c>
      <c r="S46" s="184">
        <f>Est2020DistRev!E46</f>
        <v>0</v>
      </c>
      <c r="T46" s="184">
        <f>Est2020DistRev!F46</f>
        <v>0</v>
      </c>
      <c r="U46" s="184">
        <f>Est2020DistRev!G46</f>
        <v>0</v>
      </c>
      <c r="V46" s="184">
        <f>Est2020DistRev!H46</f>
        <v>0</v>
      </c>
      <c r="W46" s="184">
        <f>Est2020DistRev!I46</f>
        <v>0</v>
      </c>
      <c r="X46" s="184">
        <f>Est2020DistRev!J46</f>
        <v>0</v>
      </c>
      <c r="Y46" s="184">
        <f>Est2020DistRev!K46</f>
        <v>0</v>
      </c>
      <c r="Z46" s="184">
        <f>Est2020DistRev!L46</f>
        <v>0</v>
      </c>
      <c r="AA46" s="184">
        <f>Est2020DistRev!M46</f>
        <v>0</v>
      </c>
      <c r="AB46" s="184">
        <f>Est2020DistRev!N46</f>
        <v>0</v>
      </c>
      <c r="AC46" s="184">
        <f>Est2020DistRev!O46</f>
        <v>0</v>
      </c>
      <c r="AD46" s="185">
        <f>Est2020DistRev!P46</f>
        <v>0</v>
      </c>
      <c r="AF46" s="314">
        <f>Est2020DistRev!R46/2</f>
        <v>0</v>
      </c>
      <c r="AG46" s="317">
        <f>Est2020DistRev!S46/2</f>
        <v>0</v>
      </c>
      <c r="AH46" s="317">
        <f>Est2020DistRev!T46/2</f>
        <v>0</v>
      </c>
      <c r="AI46" s="317">
        <f>Est2020DistRev!U46/2</f>
        <v>0</v>
      </c>
      <c r="AJ46" s="317">
        <f>Est2020DistRev!V46/2</f>
        <v>0</v>
      </c>
      <c r="AK46" s="317">
        <f>Est2020DistRev!W46/2</f>
        <v>0</v>
      </c>
      <c r="AL46" s="317">
        <f>Est2020DistRev!X46/2</f>
        <v>0</v>
      </c>
      <c r="AM46" s="317">
        <f>Est2020DistRev!Y46/2</f>
        <v>0</v>
      </c>
      <c r="AN46" s="317">
        <f>Est2020DistRev!Z46/2</f>
        <v>0</v>
      </c>
      <c r="AO46" s="317">
        <f>Est2020DistRev!AA46/2</f>
        <v>0</v>
      </c>
      <c r="AP46" s="317">
        <f>Est2020DistRev!AB46/2</f>
        <v>0</v>
      </c>
      <c r="AQ46" s="317">
        <f>Est2020DistRev!AC46/2</f>
        <v>0</v>
      </c>
      <c r="AR46" s="318">
        <f>Est2020DistRev!AD46/2</f>
        <v>0</v>
      </c>
      <c r="AT46" s="180">
        <f t="shared" si="23"/>
        <v>0</v>
      </c>
      <c r="AU46" s="181">
        <f t="shared" si="55"/>
        <v>0</v>
      </c>
      <c r="AV46" s="181">
        <f t="shared" si="55"/>
        <v>0</v>
      </c>
      <c r="AW46" s="181">
        <f t="shared" si="55"/>
        <v>0</v>
      </c>
      <c r="AX46" s="181">
        <f t="shared" si="24"/>
        <v>0</v>
      </c>
      <c r="AY46" s="181">
        <f t="shared" si="25"/>
        <v>0</v>
      </c>
      <c r="AZ46" s="181">
        <f t="shared" si="26"/>
        <v>0</v>
      </c>
      <c r="BA46" s="181">
        <f t="shared" si="27"/>
        <v>0</v>
      </c>
      <c r="BB46" s="181">
        <f t="shared" si="28"/>
        <v>0</v>
      </c>
      <c r="BC46" s="181">
        <f t="shared" si="29"/>
        <v>0</v>
      </c>
      <c r="BD46" s="181">
        <f t="shared" si="30"/>
        <v>0</v>
      </c>
      <c r="BE46" s="181">
        <f t="shared" si="31"/>
        <v>0</v>
      </c>
      <c r="BF46" s="181">
        <f t="shared" si="32"/>
        <v>0</v>
      </c>
      <c r="BG46" s="182">
        <f t="shared" si="33"/>
        <v>0</v>
      </c>
      <c r="BI46" s="180">
        <f t="shared" si="34"/>
        <v>0</v>
      </c>
      <c r="BJ46" s="181">
        <f t="shared" si="35"/>
        <v>0</v>
      </c>
      <c r="BK46" s="181">
        <f t="shared" si="36"/>
        <v>0</v>
      </c>
      <c r="BL46" s="181">
        <f t="shared" si="37"/>
        <v>0</v>
      </c>
      <c r="BM46" s="181">
        <f t="shared" si="38"/>
        <v>0</v>
      </c>
      <c r="BN46" s="181">
        <f t="shared" si="39"/>
        <v>0</v>
      </c>
      <c r="BO46" s="181">
        <f t="shared" si="40"/>
        <v>0</v>
      </c>
      <c r="BP46" s="181">
        <f t="shared" si="41"/>
        <v>0</v>
      </c>
      <c r="BQ46" s="181">
        <f t="shared" si="42"/>
        <v>0</v>
      </c>
      <c r="BR46" s="181">
        <f t="shared" si="43"/>
        <v>0</v>
      </c>
      <c r="BS46" s="181">
        <f t="shared" si="44"/>
        <v>0</v>
      </c>
      <c r="BT46" s="181">
        <f t="shared" si="45"/>
        <v>0</v>
      </c>
      <c r="BU46" s="181">
        <f t="shared" si="46"/>
        <v>0</v>
      </c>
      <c r="BV46" s="182">
        <f t="shared" si="47"/>
        <v>0</v>
      </c>
    </row>
    <row r="47" spans="1:74" x14ac:dyDescent="0.2">
      <c r="B47" s="173"/>
      <c r="C47" s="173"/>
      <c r="D47" s="312"/>
      <c r="E47" s="313"/>
      <c r="F47" s="313"/>
      <c r="G47" s="313"/>
      <c r="H47" s="313"/>
      <c r="I47" s="313"/>
      <c r="J47" s="313"/>
      <c r="K47" s="313"/>
      <c r="L47" s="313"/>
      <c r="M47" s="313"/>
      <c r="N47" s="313"/>
      <c r="O47" s="313"/>
      <c r="P47" s="353"/>
      <c r="R47" s="183">
        <f>Est2020DistRev!D47</f>
        <v>0</v>
      </c>
      <c r="S47" s="184">
        <f>Est2020DistRev!E47</f>
        <v>0</v>
      </c>
      <c r="T47" s="184">
        <f>Est2020DistRev!F47</f>
        <v>0</v>
      </c>
      <c r="U47" s="184">
        <f>Est2020DistRev!G47</f>
        <v>0</v>
      </c>
      <c r="V47" s="184">
        <f>Est2020DistRev!H47</f>
        <v>0</v>
      </c>
      <c r="W47" s="184">
        <f>Est2020DistRev!I47</f>
        <v>0</v>
      </c>
      <c r="X47" s="184">
        <f>Est2020DistRev!J47</f>
        <v>0</v>
      </c>
      <c r="Y47" s="184">
        <f>Est2020DistRev!K47</f>
        <v>0</v>
      </c>
      <c r="Z47" s="184">
        <f>Est2020DistRev!L47</f>
        <v>0</v>
      </c>
      <c r="AA47" s="184">
        <f>Est2020DistRev!M47</f>
        <v>0</v>
      </c>
      <c r="AB47" s="184">
        <f>Est2020DistRev!N47</f>
        <v>0</v>
      </c>
      <c r="AC47" s="184">
        <f>Est2020DistRev!O47</f>
        <v>0</v>
      </c>
      <c r="AD47" s="185">
        <f>Est2020DistRev!P47</f>
        <v>0</v>
      </c>
      <c r="AF47" s="314">
        <f>Est2020DistRev!R47/2</f>
        <v>0</v>
      </c>
      <c r="AG47" s="317">
        <f>Est2020DistRev!S47/2</f>
        <v>0</v>
      </c>
      <c r="AH47" s="317">
        <f>Est2020DistRev!T47/2</f>
        <v>0</v>
      </c>
      <c r="AI47" s="317">
        <f>Est2020DistRev!U47/2</f>
        <v>0</v>
      </c>
      <c r="AJ47" s="317">
        <f>Est2020DistRev!V47/2</f>
        <v>0</v>
      </c>
      <c r="AK47" s="317">
        <f>Est2020DistRev!W47/2</f>
        <v>0</v>
      </c>
      <c r="AL47" s="317">
        <f>Est2020DistRev!X47/2</f>
        <v>0</v>
      </c>
      <c r="AM47" s="317">
        <f>Est2020DistRev!Y47/2</f>
        <v>0</v>
      </c>
      <c r="AN47" s="317">
        <f>Est2020DistRev!Z47/2</f>
        <v>0</v>
      </c>
      <c r="AO47" s="317">
        <f>Est2020DistRev!AA47/2</f>
        <v>0</v>
      </c>
      <c r="AP47" s="317">
        <f>Est2020DistRev!AB47/2</f>
        <v>0</v>
      </c>
      <c r="AQ47" s="317">
        <f>Est2020DistRev!AC47/2</f>
        <v>0</v>
      </c>
      <c r="AR47" s="318">
        <f>Est2020DistRev!AD47/2</f>
        <v>0</v>
      </c>
      <c r="AT47" s="180">
        <f t="shared" si="23"/>
        <v>0</v>
      </c>
      <c r="AU47" s="181">
        <f t="shared" si="55"/>
        <v>0</v>
      </c>
      <c r="AV47" s="181">
        <f t="shared" si="55"/>
        <v>0</v>
      </c>
      <c r="AW47" s="181">
        <f t="shared" si="55"/>
        <v>0</v>
      </c>
      <c r="AX47" s="181">
        <f t="shared" si="24"/>
        <v>0</v>
      </c>
      <c r="AY47" s="181">
        <f t="shared" si="25"/>
        <v>0</v>
      </c>
      <c r="AZ47" s="181">
        <f t="shared" si="26"/>
        <v>0</v>
      </c>
      <c r="BA47" s="181">
        <f t="shared" si="27"/>
        <v>0</v>
      </c>
      <c r="BB47" s="181">
        <f t="shared" si="28"/>
        <v>0</v>
      </c>
      <c r="BC47" s="181">
        <f t="shared" si="29"/>
        <v>0</v>
      </c>
      <c r="BD47" s="181">
        <f t="shared" si="30"/>
        <v>0</v>
      </c>
      <c r="BE47" s="181">
        <f t="shared" si="31"/>
        <v>0</v>
      </c>
      <c r="BF47" s="181">
        <f t="shared" si="32"/>
        <v>0</v>
      </c>
      <c r="BG47" s="182">
        <f t="shared" si="33"/>
        <v>0</v>
      </c>
      <c r="BI47" s="180">
        <f t="shared" si="34"/>
        <v>0</v>
      </c>
      <c r="BJ47" s="181">
        <f t="shared" si="35"/>
        <v>0</v>
      </c>
      <c r="BK47" s="181">
        <f t="shared" si="36"/>
        <v>0</v>
      </c>
      <c r="BL47" s="181">
        <f t="shared" si="37"/>
        <v>0</v>
      </c>
      <c r="BM47" s="181">
        <f t="shared" si="38"/>
        <v>0</v>
      </c>
      <c r="BN47" s="181">
        <f t="shared" si="39"/>
        <v>0</v>
      </c>
      <c r="BO47" s="181">
        <f t="shared" si="40"/>
        <v>0</v>
      </c>
      <c r="BP47" s="181">
        <f t="shared" si="41"/>
        <v>0</v>
      </c>
      <c r="BQ47" s="181">
        <f t="shared" si="42"/>
        <v>0</v>
      </c>
      <c r="BR47" s="181">
        <f t="shared" si="43"/>
        <v>0</v>
      </c>
      <c r="BS47" s="181">
        <f t="shared" si="44"/>
        <v>0</v>
      </c>
      <c r="BT47" s="181">
        <f t="shared" si="45"/>
        <v>0</v>
      </c>
      <c r="BU47" s="181">
        <f t="shared" si="46"/>
        <v>0</v>
      </c>
      <c r="BV47" s="182">
        <f t="shared" si="47"/>
        <v>0</v>
      </c>
    </row>
    <row r="48" spans="1:74" x14ac:dyDescent="0.2">
      <c r="B48" s="173"/>
      <c r="C48" s="173"/>
      <c r="D48" s="312"/>
      <c r="E48" s="313"/>
      <c r="F48" s="313"/>
      <c r="G48" s="313"/>
      <c r="H48" s="313"/>
      <c r="I48" s="313"/>
      <c r="J48" s="313"/>
      <c r="K48" s="313"/>
      <c r="L48" s="313"/>
      <c r="M48" s="313"/>
      <c r="N48" s="313"/>
      <c r="O48" s="313"/>
      <c r="P48" s="353"/>
      <c r="R48" s="183">
        <f>Est2020DistRev!D48</f>
        <v>0</v>
      </c>
      <c r="S48" s="184">
        <f>Est2020DistRev!E48</f>
        <v>0</v>
      </c>
      <c r="T48" s="184">
        <f>Est2020DistRev!F48</f>
        <v>0</v>
      </c>
      <c r="U48" s="184">
        <f>Est2020DistRev!G48</f>
        <v>0</v>
      </c>
      <c r="V48" s="184">
        <f>Est2020DistRev!H48</f>
        <v>0</v>
      </c>
      <c r="W48" s="184">
        <f>Est2020DistRev!I48</f>
        <v>0</v>
      </c>
      <c r="X48" s="184">
        <f>Est2020DistRev!J48</f>
        <v>0</v>
      </c>
      <c r="Y48" s="184">
        <f>Est2020DistRev!K48</f>
        <v>0</v>
      </c>
      <c r="Z48" s="184">
        <f>Est2020DistRev!L48</f>
        <v>0</v>
      </c>
      <c r="AA48" s="184">
        <f>Est2020DistRev!M48</f>
        <v>0</v>
      </c>
      <c r="AB48" s="184">
        <f>Est2020DistRev!N48</f>
        <v>0</v>
      </c>
      <c r="AC48" s="184">
        <f>Est2020DistRev!O48</f>
        <v>0</v>
      </c>
      <c r="AD48" s="185">
        <f>Est2020DistRev!P48</f>
        <v>0</v>
      </c>
      <c r="AF48" s="314">
        <f>Est2020DistRev!R48/2</f>
        <v>0</v>
      </c>
      <c r="AG48" s="317">
        <f>Est2020DistRev!S48/2</f>
        <v>0</v>
      </c>
      <c r="AH48" s="317">
        <f>Est2020DistRev!T48/2</f>
        <v>0</v>
      </c>
      <c r="AI48" s="317">
        <f>Est2020DistRev!U48/2</f>
        <v>0</v>
      </c>
      <c r="AJ48" s="317">
        <f>Est2020DistRev!V48/2</f>
        <v>0</v>
      </c>
      <c r="AK48" s="317">
        <f>Est2020DistRev!W48/2</f>
        <v>0</v>
      </c>
      <c r="AL48" s="317">
        <f>Est2020DistRev!X48/2</f>
        <v>0</v>
      </c>
      <c r="AM48" s="317">
        <f>Est2020DistRev!Y48/2</f>
        <v>0</v>
      </c>
      <c r="AN48" s="317">
        <f>Est2020DistRev!Z48/2</f>
        <v>0</v>
      </c>
      <c r="AO48" s="317">
        <f>Est2020DistRev!AA48/2</f>
        <v>0</v>
      </c>
      <c r="AP48" s="317">
        <f>Est2020DistRev!AB48/2</f>
        <v>0</v>
      </c>
      <c r="AQ48" s="317">
        <f>Est2020DistRev!AC48/2</f>
        <v>0</v>
      </c>
      <c r="AR48" s="318">
        <f>Est2020DistRev!AD48/2</f>
        <v>0</v>
      </c>
      <c r="AT48" s="180">
        <f t="shared" si="23"/>
        <v>0</v>
      </c>
      <c r="AU48" s="181">
        <f t="shared" si="55"/>
        <v>0</v>
      </c>
      <c r="AV48" s="181">
        <f t="shared" si="55"/>
        <v>0</v>
      </c>
      <c r="AW48" s="181">
        <f t="shared" si="55"/>
        <v>0</v>
      </c>
      <c r="AX48" s="181">
        <f t="shared" si="24"/>
        <v>0</v>
      </c>
      <c r="AY48" s="181">
        <f t="shared" si="25"/>
        <v>0</v>
      </c>
      <c r="AZ48" s="181">
        <f t="shared" si="26"/>
        <v>0</v>
      </c>
      <c r="BA48" s="181">
        <f t="shared" si="27"/>
        <v>0</v>
      </c>
      <c r="BB48" s="181">
        <f t="shared" si="28"/>
        <v>0</v>
      </c>
      <c r="BC48" s="181">
        <f t="shared" si="29"/>
        <v>0</v>
      </c>
      <c r="BD48" s="181">
        <f t="shared" si="30"/>
        <v>0</v>
      </c>
      <c r="BE48" s="181">
        <f t="shared" si="31"/>
        <v>0</v>
      </c>
      <c r="BF48" s="181">
        <f t="shared" si="32"/>
        <v>0</v>
      </c>
      <c r="BG48" s="182">
        <f t="shared" si="33"/>
        <v>0</v>
      </c>
      <c r="BI48" s="180">
        <f t="shared" si="34"/>
        <v>0</v>
      </c>
      <c r="BJ48" s="181">
        <f t="shared" si="35"/>
        <v>0</v>
      </c>
      <c r="BK48" s="181">
        <f t="shared" si="36"/>
        <v>0</v>
      </c>
      <c r="BL48" s="181">
        <f t="shared" si="37"/>
        <v>0</v>
      </c>
      <c r="BM48" s="181">
        <f t="shared" si="38"/>
        <v>0</v>
      </c>
      <c r="BN48" s="181">
        <f t="shared" si="39"/>
        <v>0</v>
      </c>
      <c r="BO48" s="181">
        <f t="shared" si="40"/>
        <v>0</v>
      </c>
      <c r="BP48" s="181">
        <f t="shared" si="41"/>
        <v>0</v>
      </c>
      <c r="BQ48" s="181">
        <f t="shared" si="42"/>
        <v>0</v>
      </c>
      <c r="BR48" s="181">
        <f t="shared" si="43"/>
        <v>0</v>
      </c>
      <c r="BS48" s="181">
        <f t="shared" si="44"/>
        <v>0</v>
      </c>
      <c r="BT48" s="181">
        <f t="shared" si="45"/>
        <v>0</v>
      </c>
      <c r="BU48" s="181">
        <f t="shared" si="46"/>
        <v>0</v>
      </c>
      <c r="BV48" s="182">
        <f t="shared" si="47"/>
        <v>0</v>
      </c>
    </row>
    <row r="49" spans="2:74" x14ac:dyDescent="0.2">
      <c r="B49" s="173"/>
      <c r="C49" s="173"/>
      <c r="D49" s="312"/>
      <c r="E49" s="313"/>
      <c r="F49" s="313"/>
      <c r="G49" s="313"/>
      <c r="H49" s="313"/>
      <c r="I49" s="313"/>
      <c r="J49" s="313"/>
      <c r="K49" s="313"/>
      <c r="L49" s="313"/>
      <c r="M49" s="313"/>
      <c r="N49" s="313"/>
      <c r="O49" s="313"/>
      <c r="P49" s="353"/>
      <c r="R49" s="183">
        <f>Est2020DistRev!D49</f>
        <v>0</v>
      </c>
      <c r="S49" s="184">
        <f>Est2020DistRev!E49</f>
        <v>0</v>
      </c>
      <c r="T49" s="184">
        <f>Est2020DistRev!F49</f>
        <v>0</v>
      </c>
      <c r="U49" s="184">
        <f>Est2020DistRev!G49</f>
        <v>0</v>
      </c>
      <c r="V49" s="184">
        <f>Est2020DistRev!H49</f>
        <v>0</v>
      </c>
      <c r="W49" s="184">
        <f>Est2020DistRev!I49</f>
        <v>0</v>
      </c>
      <c r="X49" s="184">
        <f>Est2020DistRev!J49</f>
        <v>0</v>
      </c>
      <c r="Y49" s="184">
        <f>Est2020DistRev!K49</f>
        <v>0</v>
      </c>
      <c r="Z49" s="184">
        <f>Est2020DistRev!L49</f>
        <v>0</v>
      </c>
      <c r="AA49" s="184">
        <f>Est2020DistRev!M49</f>
        <v>0</v>
      </c>
      <c r="AB49" s="184">
        <f>Est2020DistRev!N49</f>
        <v>0</v>
      </c>
      <c r="AC49" s="184">
        <f>Est2020DistRev!O49</f>
        <v>0</v>
      </c>
      <c r="AD49" s="185">
        <f>Est2020DistRev!P49</f>
        <v>0</v>
      </c>
      <c r="AF49" s="314">
        <f>Est2020DistRev!R49/2</f>
        <v>0</v>
      </c>
      <c r="AG49" s="317">
        <f>Est2020DistRev!S49/2</f>
        <v>0</v>
      </c>
      <c r="AH49" s="317">
        <f>Est2020DistRev!T49/2</f>
        <v>0</v>
      </c>
      <c r="AI49" s="317">
        <f>Est2020DistRev!U49/2</f>
        <v>0</v>
      </c>
      <c r="AJ49" s="317">
        <f>Est2020DistRev!V49/2</f>
        <v>0</v>
      </c>
      <c r="AK49" s="317">
        <f>Est2020DistRev!W49/2</f>
        <v>0</v>
      </c>
      <c r="AL49" s="317">
        <f>Est2020DistRev!X49/2</f>
        <v>0</v>
      </c>
      <c r="AM49" s="317">
        <f>Est2020DistRev!Y49/2</f>
        <v>0</v>
      </c>
      <c r="AN49" s="317">
        <f>Est2020DistRev!Z49/2</f>
        <v>0</v>
      </c>
      <c r="AO49" s="317">
        <f>Est2020DistRev!AA49/2</f>
        <v>0</v>
      </c>
      <c r="AP49" s="317">
        <f>Est2020DistRev!AB49/2</f>
        <v>0</v>
      </c>
      <c r="AQ49" s="317">
        <f>Est2020DistRev!AC49/2</f>
        <v>0</v>
      </c>
      <c r="AR49" s="318">
        <f>Est2020DistRev!AD49/2</f>
        <v>0</v>
      </c>
      <c r="AT49" s="180">
        <f t="shared" si="23"/>
        <v>0</v>
      </c>
      <c r="AU49" s="181">
        <f t="shared" si="55"/>
        <v>0</v>
      </c>
      <c r="AV49" s="181">
        <f t="shared" si="55"/>
        <v>0</v>
      </c>
      <c r="AW49" s="181">
        <f t="shared" si="55"/>
        <v>0</v>
      </c>
      <c r="AX49" s="181">
        <f t="shared" si="24"/>
        <v>0</v>
      </c>
      <c r="AY49" s="181">
        <f t="shared" si="25"/>
        <v>0</v>
      </c>
      <c r="AZ49" s="181">
        <f t="shared" si="26"/>
        <v>0</v>
      </c>
      <c r="BA49" s="181">
        <f t="shared" si="27"/>
        <v>0</v>
      </c>
      <c r="BB49" s="181">
        <f t="shared" si="28"/>
        <v>0</v>
      </c>
      <c r="BC49" s="181">
        <f t="shared" si="29"/>
        <v>0</v>
      </c>
      <c r="BD49" s="181">
        <f t="shared" si="30"/>
        <v>0</v>
      </c>
      <c r="BE49" s="181">
        <f t="shared" si="31"/>
        <v>0</v>
      </c>
      <c r="BF49" s="181">
        <f t="shared" si="32"/>
        <v>0</v>
      </c>
      <c r="BG49" s="182">
        <f t="shared" si="33"/>
        <v>0</v>
      </c>
      <c r="BI49" s="180">
        <f t="shared" si="34"/>
        <v>0</v>
      </c>
      <c r="BJ49" s="181">
        <f t="shared" si="35"/>
        <v>0</v>
      </c>
      <c r="BK49" s="181">
        <f t="shared" si="36"/>
        <v>0</v>
      </c>
      <c r="BL49" s="181">
        <f t="shared" si="37"/>
        <v>0</v>
      </c>
      <c r="BM49" s="181">
        <f t="shared" si="38"/>
        <v>0</v>
      </c>
      <c r="BN49" s="181">
        <f t="shared" si="39"/>
        <v>0</v>
      </c>
      <c r="BO49" s="181">
        <f t="shared" si="40"/>
        <v>0</v>
      </c>
      <c r="BP49" s="181">
        <f t="shared" si="41"/>
        <v>0</v>
      </c>
      <c r="BQ49" s="181">
        <f t="shared" si="42"/>
        <v>0</v>
      </c>
      <c r="BR49" s="181">
        <f t="shared" si="43"/>
        <v>0</v>
      </c>
      <c r="BS49" s="181">
        <f t="shared" si="44"/>
        <v>0</v>
      </c>
      <c r="BT49" s="181">
        <f t="shared" si="45"/>
        <v>0</v>
      </c>
      <c r="BU49" s="181">
        <f t="shared" si="46"/>
        <v>0</v>
      </c>
      <c r="BV49" s="182">
        <f t="shared" si="47"/>
        <v>0</v>
      </c>
    </row>
    <row r="50" spans="2:74" x14ac:dyDescent="0.2">
      <c r="B50" s="173"/>
      <c r="C50" s="173"/>
      <c r="D50" s="312"/>
      <c r="E50" s="313"/>
      <c r="F50" s="313"/>
      <c r="G50" s="313"/>
      <c r="H50" s="313"/>
      <c r="I50" s="313"/>
      <c r="J50" s="313"/>
      <c r="K50" s="313"/>
      <c r="L50" s="313"/>
      <c r="M50" s="313"/>
      <c r="N50" s="313"/>
      <c r="O50" s="313"/>
      <c r="P50" s="353"/>
      <c r="R50" s="183">
        <f>Est2020DistRev!D50</f>
        <v>0</v>
      </c>
      <c r="S50" s="184">
        <f>Est2020DistRev!E50</f>
        <v>0</v>
      </c>
      <c r="T50" s="184">
        <f>Est2020DistRev!F50</f>
        <v>0</v>
      </c>
      <c r="U50" s="184">
        <f>Est2020DistRev!G50</f>
        <v>0</v>
      </c>
      <c r="V50" s="184">
        <f>Est2020DistRev!H50</f>
        <v>0</v>
      </c>
      <c r="W50" s="184">
        <f>Est2020DistRev!I50</f>
        <v>0</v>
      </c>
      <c r="X50" s="184">
        <f>Est2020DistRev!J50</f>
        <v>0</v>
      </c>
      <c r="Y50" s="184">
        <f>Est2020DistRev!K50</f>
        <v>0</v>
      </c>
      <c r="Z50" s="184">
        <f>Est2020DistRev!L50</f>
        <v>0</v>
      </c>
      <c r="AA50" s="184">
        <f>Est2020DistRev!M50</f>
        <v>0</v>
      </c>
      <c r="AB50" s="184">
        <f>Est2020DistRev!N50</f>
        <v>0</v>
      </c>
      <c r="AC50" s="184">
        <f>Est2020DistRev!O50</f>
        <v>0</v>
      </c>
      <c r="AD50" s="185">
        <f>Est2020DistRev!P50</f>
        <v>0</v>
      </c>
      <c r="AF50" s="314">
        <f>Est2020DistRev!R50/2</f>
        <v>0</v>
      </c>
      <c r="AG50" s="317">
        <f>Est2020DistRev!S50/2</f>
        <v>0</v>
      </c>
      <c r="AH50" s="317">
        <f>Est2020DistRev!T50/2</f>
        <v>0</v>
      </c>
      <c r="AI50" s="317">
        <f>Est2020DistRev!U50/2</f>
        <v>0</v>
      </c>
      <c r="AJ50" s="317">
        <f>Est2020DistRev!V50/2</f>
        <v>0</v>
      </c>
      <c r="AK50" s="317">
        <f>Est2020DistRev!W50/2</f>
        <v>0</v>
      </c>
      <c r="AL50" s="317">
        <f>Est2020DistRev!X50/2</f>
        <v>0</v>
      </c>
      <c r="AM50" s="317">
        <f>Est2020DistRev!Y50/2</f>
        <v>0</v>
      </c>
      <c r="AN50" s="317">
        <f>Est2020DistRev!Z50/2</f>
        <v>0</v>
      </c>
      <c r="AO50" s="317">
        <f>Est2020DistRev!AA50/2</f>
        <v>0</v>
      </c>
      <c r="AP50" s="317">
        <f>Est2020DistRev!AB50/2</f>
        <v>0</v>
      </c>
      <c r="AQ50" s="317">
        <f>Est2020DistRev!AC50/2</f>
        <v>0</v>
      </c>
      <c r="AR50" s="318">
        <f>Est2020DistRev!AD50/2</f>
        <v>0</v>
      </c>
      <c r="AT50" s="180">
        <f t="shared" si="23"/>
        <v>0</v>
      </c>
      <c r="AU50" s="181">
        <f t="shared" si="55"/>
        <v>0</v>
      </c>
      <c r="AV50" s="181">
        <f t="shared" si="55"/>
        <v>0</v>
      </c>
      <c r="AW50" s="181">
        <f t="shared" si="55"/>
        <v>0</v>
      </c>
      <c r="AX50" s="181">
        <f t="shared" si="24"/>
        <v>0</v>
      </c>
      <c r="AY50" s="181">
        <f t="shared" si="25"/>
        <v>0</v>
      </c>
      <c r="AZ50" s="181">
        <f t="shared" si="26"/>
        <v>0</v>
      </c>
      <c r="BA50" s="181">
        <f t="shared" si="27"/>
        <v>0</v>
      </c>
      <c r="BB50" s="181">
        <f t="shared" si="28"/>
        <v>0</v>
      </c>
      <c r="BC50" s="181">
        <f t="shared" si="29"/>
        <v>0</v>
      </c>
      <c r="BD50" s="181">
        <f t="shared" si="30"/>
        <v>0</v>
      </c>
      <c r="BE50" s="181">
        <f t="shared" si="31"/>
        <v>0</v>
      </c>
      <c r="BF50" s="181">
        <f t="shared" si="32"/>
        <v>0</v>
      </c>
      <c r="BG50" s="182">
        <f t="shared" si="33"/>
        <v>0</v>
      </c>
      <c r="BI50" s="180">
        <f t="shared" si="34"/>
        <v>0</v>
      </c>
      <c r="BJ50" s="181">
        <f t="shared" si="35"/>
        <v>0</v>
      </c>
      <c r="BK50" s="181">
        <f t="shared" si="36"/>
        <v>0</v>
      </c>
      <c r="BL50" s="181">
        <f t="shared" si="37"/>
        <v>0</v>
      </c>
      <c r="BM50" s="181">
        <f t="shared" si="38"/>
        <v>0</v>
      </c>
      <c r="BN50" s="181">
        <f t="shared" si="39"/>
        <v>0</v>
      </c>
      <c r="BO50" s="181">
        <f t="shared" si="40"/>
        <v>0</v>
      </c>
      <c r="BP50" s="181">
        <f t="shared" si="41"/>
        <v>0</v>
      </c>
      <c r="BQ50" s="181">
        <f t="shared" si="42"/>
        <v>0</v>
      </c>
      <c r="BR50" s="181">
        <f t="shared" si="43"/>
        <v>0</v>
      </c>
      <c r="BS50" s="181">
        <f t="shared" si="44"/>
        <v>0</v>
      </c>
      <c r="BT50" s="181">
        <f t="shared" si="45"/>
        <v>0</v>
      </c>
      <c r="BU50" s="181">
        <f t="shared" si="46"/>
        <v>0</v>
      </c>
      <c r="BV50" s="182">
        <f t="shared" si="47"/>
        <v>0</v>
      </c>
    </row>
    <row r="51" spans="2:74" x14ac:dyDescent="0.2">
      <c r="B51" s="173"/>
      <c r="C51" s="173"/>
      <c r="D51" s="312"/>
      <c r="E51" s="313"/>
      <c r="F51" s="313"/>
      <c r="G51" s="313"/>
      <c r="H51" s="313"/>
      <c r="I51" s="313"/>
      <c r="J51" s="313"/>
      <c r="K51" s="313"/>
      <c r="L51" s="313"/>
      <c r="M51" s="313"/>
      <c r="N51" s="313"/>
      <c r="O51" s="313"/>
      <c r="P51" s="353"/>
      <c r="R51" s="183">
        <f>Est2020DistRev!D51</f>
        <v>0</v>
      </c>
      <c r="S51" s="184">
        <f>Est2020DistRev!E51</f>
        <v>0</v>
      </c>
      <c r="T51" s="184">
        <f>Est2020DistRev!F51</f>
        <v>0</v>
      </c>
      <c r="U51" s="184">
        <f>Est2020DistRev!G51</f>
        <v>0</v>
      </c>
      <c r="V51" s="184">
        <f>Est2020DistRev!H51</f>
        <v>0</v>
      </c>
      <c r="W51" s="184">
        <f>Est2020DistRev!I51</f>
        <v>0</v>
      </c>
      <c r="X51" s="184">
        <f>Est2020DistRev!J51</f>
        <v>0</v>
      </c>
      <c r="Y51" s="184">
        <f>Est2020DistRev!K51</f>
        <v>0</v>
      </c>
      <c r="Z51" s="184">
        <f>Est2020DistRev!L51</f>
        <v>0</v>
      </c>
      <c r="AA51" s="184">
        <f>Est2020DistRev!M51</f>
        <v>0</v>
      </c>
      <c r="AB51" s="184">
        <f>Est2020DistRev!N51</f>
        <v>0</v>
      </c>
      <c r="AC51" s="184">
        <f>Est2020DistRev!O51</f>
        <v>0</v>
      </c>
      <c r="AD51" s="185">
        <f>Est2020DistRev!P51</f>
        <v>0</v>
      </c>
      <c r="AF51" s="314">
        <f>Est2020DistRev!R51/2</f>
        <v>0</v>
      </c>
      <c r="AG51" s="317">
        <f>Est2020DistRev!S51/2</f>
        <v>0</v>
      </c>
      <c r="AH51" s="317">
        <f>Est2020DistRev!T51/2</f>
        <v>0</v>
      </c>
      <c r="AI51" s="317">
        <f>Est2020DistRev!U51/2</f>
        <v>0</v>
      </c>
      <c r="AJ51" s="317">
        <f>Est2020DistRev!V51/2</f>
        <v>0</v>
      </c>
      <c r="AK51" s="317">
        <f>Est2020DistRev!W51/2</f>
        <v>0</v>
      </c>
      <c r="AL51" s="317">
        <f>Est2020DistRev!X51/2</f>
        <v>0</v>
      </c>
      <c r="AM51" s="317">
        <f>Est2020DistRev!Y51/2</f>
        <v>0</v>
      </c>
      <c r="AN51" s="317">
        <f>Est2020DistRev!Z51/2</f>
        <v>0</v>
      </c>
      <c r="AO51" s="317">
        <f>Est2020DistRev!AA51/2</f>
        <v>0</v>
      </c>
      <c r="AP51" s="317">
        <f>Est2020DistRev!AB51/2</f>
        <v>0</v>
      </c>
      <c r="AQ51" s="317">
        <f>Est2020DistRev!AC51/2</f>
        <v>0</v>
      </c>
      <c r="AR51" s="318">
        <f>Est2020DistRev!AD51/2</f>
        <v>0</v>
      </c>
      <c r="AT51" s="180">
        <f t="shared" si="23"/>
        <v>0</v>
      </c>
      <c r="AU51" s="181">
        <f t="shared" si="55"/>
        <v>0</v>
      </c>
      <c r="AV51" s="181">
        <f t="shared" si="55"/>
        <v>0</v>
      </c>
      <c r="AW51" s="181">
        <f t="shared" si="55"/>
        <v>0</v>
      </c>
      <c r="AX51" s="181">
        <f t="shared" si="24"/>
        <v>0</v>
      </c>
      <c r="AY51" s="181">
        <f t="shared" si="25"/>
        <v>0</v>
      </c>
      <c r="AZ51" s="181">
        <f t="shared" si="26"/>
        <v>0</v>
      </c>
      <c r="BA51" s="181">
        <f t="shared" si="27"/>
        <v>0</v>
      </c>
      <c r="BB51" s="181">
        <f t="shared" si="28"/>
        <v>0</v>
      </c>
      <c r="BC51" s="181">
        <f t="shared" si="29"/>
        <v>0</v>
      </c>
      <c r="BD51" s="181">
        <f t="shared" si="30"/>
        <v>0</v>
      </c>
      <c r="BE51" s="181">
        <f t="shared" si="31"/>
        <v>0</v>
      </c>
      <c r="BF51" s="181">
        <f t="shared" si="32"/>
        <v>0</v>
      </c>
      <c r="BG51" s="182">
        <f t="shared" si="33"/>
        <v>0</v>
      </c>
      <c r="BI51" s="180">
        <f t="shared" si="34"/>
        <v>0</v>
      </c>
      <c r="BJ51" s="181">
        <f t="shared" si="35"/>
        <v>0</v>
      </c>
      <c r="BK51" s="181">
        <f t="shared" si="36"/>
        <v>0</v>
      </c>
      <c r="BL51" s="181">
        <f t="shared" si="37"/>
        <v>0</v>
      </c>
      <c r="BM51" s="181">
        <f t="shared" si="38"/>
        <v>0</v>
      </c>
      <c r="BN51" s="181">
        <f t="shared" si="39"/>
        <v>0</v>
      </c>
      <c r="BO51" s="181">
        <f t="shared" si="40"/>
        <v>0</v>
      </c>
      <c r="BP51" s="181">
        <f t="shared" si="41"/>
        <v>0</v>
      </c>
      <c r="BQ51" s="181">
        <f t="shared" si="42"/>
        <v>0</v>
      </c>
      <c r="BR51" s="181">
        <f t="shared" si="43"/>
        <v>0</v>
      </c>
      <c r="BS51" s="181">
        <f t="shared" si="44"/>
        <v>0</v>
      </c>
      <c r="BT51" s="181">
        <f t="shared" si="45"/>
        <v>0</v>
      </c>
      <c r="BU51" s="181">
        <f t="shared" si="46"/>
        <v>0</v>
      </c>
      <c r="BV51" s="182">
        <f t="shared" si="47"/>
        <v>0</v>
      </c>
    </row>
    <row r="52" spans="2:74" x14ac:dyDescent="0.2">
      <c r="B52" s="173"/>
      <c r="C52" s="173"/>
      <c r="D52" s="312"/>
      <c r="E52" s="313"/>
      <c r="F52" s="313"/>
      <c r="G52" s="313"/>
      <c r="H52" s="313"/>
      <c r="I52" s="313"/>
      <c r="J52" s="313"/>
      <c r="K52" s="313"/>
      <c r="L52" s="313"/>
      <c r="M52" s="313"/>
      <c r="N52" s="313"/>
      <c r="O52" s="313"/>
      <c r="P52" s="353"/>
      <c r="R52" s="183">
        <f>Est2020DistRev!D52</f>
        <v>0</v>
      </c>
      <c r="S52" s="184">
        <f>Est2020DistRev!E52</f>
        <v>0</v>
      </c>
      <c r="T52" s="184">
        <f>Est2020DistRev!F52</f>
        <v>0</v>
      </c>
      <c r="U52" s="184">
        <f>Est2020DistRev!G52</f>
        <v>0</v>
      </c>
      <c r="V52" s="184">
        <f>Est2020DistRev!H52</f>
        <v>0</v>
      </c>
      <c r="W52" s="184">
        <f>Est2020DistRev!I52</f>
        <v>0</v>
      </c>
      <c r="X52" s="184">
        <f>Est2020DistRev!J52</f>
        <v>0</v>
      </c>
      <c r="Y52" s="184">
        <f>Est2020DistRev!K52</f>
        <v>0</v>
      </c>
      <c r="Z52" s="184">
        <f>Est2020DistRev!L52</f>
        <v>0</v>
      </c>
      <c r="AA52" s="184">
        <f>Est2020DistRev!M52</f>
        <v>0</v>
      </c>
      <c r="AB52" s="184">
        <f>Est2020DistRev!N52</f>
        <v>0</v>
      </c>
      <c r="AC52" s="184">
        <f>Est2020DistRev!O52</f>
        <v>0</v>
      </c>
      <c r="AD52" s="185">
        <f>Est2020DistRev!P52</f>
        <v>0</v>
      </c>
      <c r="AF52" s="314">
        <f>Est2020DistRev!R52/2</f>
        <v>0</v>
      </c>
      <c r="AG52" s="317">
        <f>Est2020DistRev!S52/2</f>
        <v>0</v>
      </c>
      <c r="AH52" s="317">
        <f>Est2020DistRev!T52/2</f>
        <v>0</v>
      </c>
      <c r="AI52" s="317">
        <f>Est2020DistRev!U52/2</f>
        <v>0</v>
      </c>
      <c r="AJ52" s="317">
        <f>Est2020DistRev!V52/2</f>
        <v>0</v>
      </c>
      <c r="AK52" s="317">
        <f>Est2020DistRev!W52/2</f>
        <v>0</v>
      </c>
      <c r="AL52" s="317">
        <f>Est2020DistRev!X52/2</f>
        <v>0</v>
      </c>
      <c r="AM52" s="317">
        <f>Est2020DistRev!Y52/2</f>
        <v>0</v>
      </c>
      <c r="AN52" s="317">
        <f>Est2020DistRev!Z52/2</f>
        <v>0</v>
      </c>
      <c r="AO52" s="317">
        <f>Est2020DistRev!AA52/2</f>
        <v>0</v>
      </c>
      <c r="AP52" s="317">
        <f>Est2020DistRev!AB52/2</f>
        <v>0</v>
      </c>
      <c r="AQ52" s="317">
        <f>Est2020DistRev!AC52/2</f>
        <v>0</v>
      </c>
      <c r="AR52" s="318">
        <f>Est2020DistRev!AD52/2</f>
        <v>0</v>
      </c>
      <c r="AT52" s="180">
        <f t="shared" si="23"/>
        <v>0</v>
      </c>
      <c r="AU52" s="181">
        <f t="shared" si="55"/>
        <v>0</v>
      </c>
      <c r="AV52" s="181">
        <f t="shared" si="55"/>
        <v>0</v>
      </c>
      <c r="AW52" s="181">
        <f t="shared" si="55"/>
        <v>0</v>
      </c>
      <c r="AX52" s="181">
        <f t="shared" si="24"/>
        <v>0</v>
      </c>
      <c r="AY52" s="181">
        <f t="shared" si="25"/>
        <v>0</v>
      </c>
      <c r="AZ52" s="181">
        <f t="shared" si="26"/>
        <v>0</v>
      </c>
      <c r="BA52" s="181">
        <f t="shared" si="27"/>
        <v>0</v>
      </c>
      <c r="BB52" s="181">
        <f t="shared" si="28"/>
        <v>0</v>
      </c>
      <c r="BC52" s="181">
        <f t="shared" si="29"/>
        <v>0</v>
      </c>
      <c r="BD52" s="181">
        <f t="shared" si="30"/>
        <v>0</v>
      </c>
      <c r="BE52" s="181">
        <f t="shared" si="31"/>
        <v>0</v>
      </c>
      <c r="BF52" s="181">
        <f t="shared" si="32"/>
        <v>0</v>
      </c>
      <c r="BG52" s="182">
        <f t="shared" si="33"/>
        <v>0</v>
      </c>
      <c r="BI52" s="180">
        <f t="shared" si="34"/>
        <v>0</v>
      </c>
      <c r="BJ52" s="181">
        <f t="shared" si="35"/>
        <v>0</v>
      </c>
      <c r="BK52" s="181">
        <f t="shared" si="36"/>
        <v>0</v>
      </c>
      <c r="BL52" s="181">
        <f t="shared" si="37"/>
        <v>0</v>
      </c>
      <c r="BM52" s="181">
        <f t="shared" si="38"/>
        <v>0</v>
      </c>
      <c r="BN52" s="181">
        <f t="shared" si="39"/>
        <v>0</v>
      </c>
      <c r="BO52" s="181">
        <f t="shared" si="40"/>
        <v>0</v>
      </c>
      <c r="BP52" s="181">
        <f t="shared" si="41"/>
        <v>0</v>
      </c>
      <c r="BQ52" s="181">
        <f t="shared" si="42"/>
        <v>0</v>
      </c>
      <c r="BR52" s="181">
        <f t="shared" si="43"/>
        <v>0</v>
      </c>
      <c r="BS52" s="181">
        <f t="shared" si="44"/>
        <v>0</v>
      </c>
      <c r="BT52" s="181">
        <f t="shared" si="45"/>
        <v>0</v>
      </c>
      <c r="BU52" s="181">
        <f t="shared" si="46"/>
        <v>0</v>
      </c>
      <c r="BV52" s="182">
        <f t="shared" si="47"/>
        <v>0</v>
      </c>
    </row>
    <row r="53" spans="2:74" x14ac:dyDescent="0.2">
      <c r="B53" s="173"/>
      <c r="C53" s="173"/>
      <c r="D53" s="312"/>
      <c r="E53" s="313"/>
      <c r="F53" s="313"/>
      <c r="G53" s="313"/>
      <c r="H53" s="313"/>
      <c r="I53" s="313"/>
      <c r="J53" s="184"/>
      <c r="K53" s="313"/>
      <c r="L53" s="184"/>
      <c r="M53" s="313"/>
      <c r="N53" s="313"/>
      <c r="O53" s="184"/>
      <c r="P53" s="185"/>
      <c r="R53" s="183">
        <f>Est2020DistRev!D53</f>
        <v>0</v>
      </c>
      <c r="S53" s="184">
        <f>Est2020DistRev!E53</f>
        <v>0</v>
      </c>
      <c r="T53" s="184">
        <f>Est2020DistRev!F53</f>
        <v>0</v>
      </c>
      <c r="U53" s="184">
        <f>Est2020DistRev!G53</f>
        <v>0</v>
      </c>
      <c r="V53" s="184">
        <f>Est2020DistRev!H53</f>
        <v>0</v>
      </c>
      <c r="W53" s="184">
        <f>Est2020DistRev!I53</f>
        <v>0</v>
      </c>
      <c r="X53" s="184">
        <f>Est2020DistRev!J53</f>
        <v>0</v>
      </c>
      <c r="Y53" s="184">
        <f>Est2020DistRev!K53</f>
        <v>0</v>
      </c>
      <c r="Z53" s="184">
        <f>Est2020DistRev!L53</f>
        <v>0</v>
      </c>
      <c r="AA53" s="184">
        <f>Est2020DistRev!M53</f>
        <v>0</v>
      </c>
      <c r="AB53" s="184">
        <f>Est2020DistRev!N53</f>
        <v>0</v>
      </c>
      <c r="AC53" s="184">
        <f>Est2020DistRev!O53</f>
        <v>0</v>
      </c>
      <c r="AD53" s="185">
        <f>Est2020DistRev!P53</f>
        <v>0</v>
      </c>
      <c r="AF53" s="314">
        <f>Est2020DistRev!R53/2</f>
        <v>0</v>
      </c>
      <c r="AG53" s="317">
        <f>Est2020DistRev!S53/2</f>
        <v>0</v>
      </c>
      <c r="AH53" s="317">
        <f>Est2020DistRev!T53/2</f>
        <v>0</v>
      </c>
      <c r="AI53" s="317">
        <f>Est2020DistRev!U53/2</f>
        <v>0</v>
      </c>
      <c r="AJ53" s="317">
        <f>Est2020DistRev!V53/2</f>
        <v>0</v>
      </c>
      <c r="AK53" s="317">
        <f>Est2020DistRev!W53/2</f>
        <v>0</v>
      </c>
      <c r="AL53" s="317">
        <f>Est2020DistRev!X53/2</f>
        <v>0</v>
      </c>
      <c r="AM53" s="317">
        <f>Est2020DistRev!Y53/2</f>
        <v>0</v>
      </c>
      <c r="AN53" s="317">
        <f>Est2020DistRev!Z53/2</f>
        <v>0</v>
      </c>
      <c r="AO53" s="317">
        <f>Est2020DistRev!AA53/2</f>
        <v>0</v>
      </c>
      <c r="AP53" s="317">
        <f>Est2020DistRev!AB53/2</f>
        <v>0</v>
      </c>
      <c r="AQ53" s="317">
        <f>Est2020DistRev!AC53/2</f>
        <v>0</v>
      </c>
      <c r="AR53" s="318">
        <f>Est2020DistRev!AD53/2</f>
        <v>0</v>
      </c>
      <c r="AT53" s="180">
        <f t="shared" si="23"/>
        <v>0</v>
      </c>
      <c r="AU53" s="181">
        <f t="shared" si="55"/>
        <v>0</v>
      </c>
      <c r="AV53" s="181">
        <f t="shared" si="55"/>
        <v>0</v>
      </c>
      <c r="AW53" s="181">
        <f t="shared" si="55"/>
        <v>0</v>
      </c>
      <c r="AX53" s="181">
        <f t="shared" si="24"/>
        <v>0</v>
      </c>
      <c r="AY53" s="181">
        <f t="shared" si="25"/>
        <v>0</v>
      </c>
      <c r="AZ53" s="181">
        <f t="shared" si="26"/>
        <v>0</v>
      </c>
      <c r="BA53" s="181">
        <f t="shared" si="27"/>
        <v>0</v>
      </c>
      <c r="BB53" s="181">
        <f t="shared" si="28"/>
        <v>0</v>
      </c>
      <c r="BC53" s="181">
        <f t="shared" si="29"/>
        <v>0</v>
      </c>
      <c r="BD53" s="181">
        <f t="shared" si="30"/>
        <v>0</v>
      </c>
      <c r="BE53" s="181">
        <f t="shared" si="31"/>
        <v>0</v>
      </c>
      <c r="BF53" s="181">
        <f t="shared" si="32"/>
        <v>0</v>
      </c>
      <c r="BG53" s="182">
        <f t="shared" si="33"/>
        <v>0</v>
      </c>
      <c r="BI53" s="180">
        <f t="shared" si="34"/>
        <v>0</v>
      </c>
      <c r="BJ53" s="181">
        <f t="shared" si="35"/>
        <v>0</v>
      </c>
      <c r="BK53" s="181">
        <f t="shared" si="36"/>
        <v>0</v>
      </c>
      <c r="BL53" s="181">
        <f t="shared" si="37"/>
        <v>0</v>
      </c>
      <c r="BM53" s="181">
        <f t="shared" si="38"/>
        <v>0</v>
      </c>
      <c r="BN53" s="181">
        <f t="shared" si="39"/>
        <v>0</v>
      </c>
      <c r="BO53" s="181">
        <f t="shared" si="40"/>
        <v>0</v>
      </c>
      <c r="BP53" s="181">
        <f t="shared" si="41"/>
        <v>0</v>
      </c>
      <c r="BQ53" s="181">
        <f t="shared" si="42"/>
        <v>0</v>
      </c>
      <c r="BR53" s="181">
        <f t="shared" si="43"/>
        <v>0</v>
      </c>
      <c r="BS53" s="181">
        <f t="shared" si="44"/>
        <v>0</v>
      </c>
      <c r="BT53" s="181">
        <f t="shared" si="45"/>
        <v>0</v>
      </c>
      <c r="BU53" s="181">
        <f t="shared" si="46"/>
        <v>0</v>
      </c>
      <c r="BV53" s="182">
        <f t="shared" si="47"/>
        <v>0</v>
      </c>
    </row>
    <row r="54" spans="2:74" x14ac:dyDescent="0.2">
      <c r="B54" s="173"/>
      <c r="C54" s="173"/>
      <c r="D54" s="312"/>
      <c r="E54" s="313"/>
      <c r="F54" s="313"/>
      <c r="G54" s="313"/>
      <c r="H54" s="313"/>
      <c r="I54" s="313"/>
      <c r="J54" s="184"/>
      <c r="K54" s="313"/>
      <c r="L54" s="184"/>
      <c r="M54" s="313"/>
      <c r="N54" s="313"/>
      <c r="O54" s="184"/>
      <c r="P54" s="185"/>
      <c r="R54" s="183">
        <f>Est2020DistRev!D54</f>
        <v>0</v>
      </c>
      <c r="S54" s="184">
        <f>Est2020DistRev!E54</f>
        <v>0</v>
      </c>
      <c r="T54" s="184">
        <f>Est2020DistRev!F54</f>
        <v>0</v>
      </c>
      <c r="U54" s="184">
        <f>Est2020DistRev!G54</f>
        <v>0</v>
      </c>
      <c r="V54" s="184">
        <f>Est2020DistRev!H54</f>
        <v>0</v>
      </c>
      <c r="W54" s="184">
        <f>Est2020DistRev!I54</f>
        <v>0</v>
      </c>
      <c r="X54" s="184">
        <f>Est2020DistRev!J54</f>
        <v>0</v>
      </c>
      <c r="Y54" s="184">
        <f>Est2020DistRev!K54</f>
        <v>0</v>
      </c>
      <c r="Z54" s="184">
        <f>Est2020DistRev!L54</f>
        <v>0</v>
      </c>
      <c r="AA54" s="184">
        <f>Est2020DistRev!M54</f>
        <v>0</v>
      </c>
      <c r="AB54" s="184">
        <f>Est2020DistRev!N54</f>
        <v>0</v>
      </c>
      <c r="AC54" s="184">
        <f>Est2020DistRev!O54</f>
        <v>0</v>
      </c>
      <c r="AD54" s="185">
        <f>Est2020DistRev!P54</f>
        <v>0</v>
      </c>
      <c r="AF54" s="314">
        <f>Est2020DistRev!R54/2</f>
        <v>0</v>
      </c>
      <c r="AG54" s="317">
        <f>Est2020DistRev!S54/2</f>
        <v>0</v>
      </c>
      <c r="AH54" s="317">
        <f>Est2020DistRev!T54/2</f>
        <v>0</v>
      </c>
      <c r="AI54" s="317">
        <f>Est2020DistRev!U54/2</f>
        <v>0</v>
      </c>
      <c r="AJ54" s="317">
        <f>Est2020DistRev!V54/2</f>
        <v>0</v>
      </c>
      <c r="AK54" s="317">
        <f>Est2020DistRev!W54/2</f>
        <v>0</v>
      </c>
      <c r="AL54" s="317">
        <f>Est2020DistRev!X54/2</f>
        <v>0</v>
      </c>
      <c r="AM54" s="317">
        <f>Est2020DistRev!Y54/2</f>
        <v>0</v>
      </c>
      <c r="AN54" s="317">
        <f>Est2020DistRev!Z54/2</f>
        <v>0</v>
      </c>
      <c r="AO54" s="317">
        <f>Est2020DistRev!AA54/2</f>
        <v>0</v>
      </c>
      <c r="AP54" s="317">
        <f>Est2020DistRev!AB54/2</f>
        <v>0</v>
      </c>
      <c r="AQ54" s="317">
        <f>Est2020DistRev!AC54/2</f>
        <v>0</v>
      </c>
      <c r="AR54" s="318">
        <f>Est2020DistRev!AD54/2</f>
        <v>0</v>
      </c>
      <c r="AT54" s="180">
        <f t="shared" si="23"/>
        <v>0</v>
      </c>
      <c r="AU54" s="181">
        <f t="shared" si="55"/>
        <v>0</v>
      </c>
      <c r="AV54" s="181">
        <f t="shared" si="55"/>
        <v>0</v>
      </c>
      <c r="AW54" s="181">
        <f t="shared" si="55"/>
        <v>0</v>
      </c>
      <c r="AX54" s="181">
        <f t="shared" si="24"/>
        <v>0</v>
      </c>
      <c r="AY54" s="181">
        <f t="shared" si="25"/>
        <v>0</v>
      </c>
      <c r="AZ54" s="181">
        <f t="shared" si="26"/>
        <v>0</v>
      </c>
      <c r="BA54" s="181">
        <f t="shared" si="27"/>
        <v>0</v>
      </c>
      <c r="BB54" s="181">
        <f t="shared" si="28"/>
        <v>0</v>
      </c>
      <c r="BC54" s="181">
        <f t="shared" si="29"/>
        <v>0</v>
      </c>
      <c r="BD54" s="181">
        <f t="shared" si="30"/>
        <v>0</v>
      </c>
      <c r="BE54" s="181">
        <f t="shared" si="31"/>
        <v>0</v>
      </c>
      <c r="BF54" s="181">
        <f t="shared" si="32"/>
        <v>0</v>
      </c>
      <c r="BG54" s="182">
        <f t="shared" si="33"/>
        <v>0</v>
      </c>
      <c r="BI54" s="180">
        <f t="shared" si="34"/>
        <v>0</v>
      </c>
      <c r="BJ54" s="181">
        <f t="shared" si="35"/>
        <v>0</v>
      </c>
      <c r="BK54" s="181">
        <f t="shared" si="36"/>
        <v>0</v>
      </c>
      <c r="BL54" s="181">
        <f t="shared" si="37"/>
        <v>0</v>
      </c>
      <c r="BM54" s="181">
        <f t="shared" si="38"/>
        <v>0</v>
      </c>
      <c r="BN54" s="181">
        <f t="shared" si="39"/>
        <v>0</v>
      </c>
      <c r="BO54" s="181">
        <f t="shared" si="40"/>
        <v>0</v>
      </c>
      <c r="BP54" s="181">
        <f t="shared" si="41"/>
        <v>0</v>
      </c>
      <c r="BQ54" s="181">
        <f t="shared" si="42"/>
        <v>0</v>
      </c>
      <c r="BR54" s="181">
        <f t="shared" si="43"/>
        <v>0</v>
      </c>
      <c r="BS54" s="181">
        <f t="shared" si="44"/>
        <v>0</v>
      </c>
      <c r="BT54" s="181">
        <f t="shared" si="45"/>
        <v>0</v>
      </c>
      <c r="BU54" s="181">
        <f t="shared" si="46"/>
        <v>0</v>
      </c>
      <c r="BV54" s="182">
        <f t="shared" si="47"/>
        <v>0</v>
      </c>
    </row>
    <row r="55" spans="2:74" x14ac:dyDescent="0.2">
      <c r="B55" s="173"/>
      <c r="C55" s="173"/>
      <c r="D55" s="183"/>
      <c r="E55" s="184"/>
      <c r="F55" s="184"/>
      <c r="G55" s="184"/>
      <c r="H55" s="184"/>
      <c r="I55" s="184"/>
      <c r="J55" s="184"/>
      <c r="K55" s="184"/>
      <c r="L55" s="184"/>
      <c r="M55" s="184"/>
      <c r="N55" s="184"/>
      <c r="O55" s="184"/>
      <c r="P55" s="185"/>
      <c r="R55" s="191"/>
      <c r="S55" s="186"/>
      <c r="T55" s="186"/>
      <c r="U55" s="186"/>
      <c r="V55" s="186"/>
      <c r="W55" s="186"/>
      <c r="X55" s="186"/>
      <c r="Y55" s="186"/>
      <c r="Z55" s="186"/>
      <c r="AA55" s="186"/>
      <c r="AB55" s="186"/>
      <c r="AC55" s="186"/>
      <c r="AD55" s="185"/>
      <c r="AF55" s="314"/>
      <c r="AG55" s="317"/>
      <c r="AH55" s="317"/>
      <c r="AI55" s="317"/>
      <c r="AJ55" s="317"/>
      <c r="AK55" s="317"/>
      <c r="AL55" s="317"/>
      <c r="AM55" s="317"/>
      <c r="AN55" s="317"/>
      <c r="AO55" s="317"/>
      <c r="AP55" s="317"/>
      <c r="AQ55" s="317"/>
      <c r="AR55" s="318"/>
      <c r="AT55" s="180">
        <f t="shared" si="23"/>
        <v>0</v>
      </c>
      <c r="AU55" s="181">
        <f t="shared" si="55"/>
        <v>0</v>
      </c>
      <c r="AV55" s="181">
        <f t="shared" si="55"/>
        <v>0</v>
      </c>
      <c r="AW55" s="181">
        <f t="shared" si="55"/>
        <v>0</v>
      </c>
      <c r="AX55" s="181">
        <f t="shared" si="24"/>
        <v>0</v>
      </c>
      <c r="AY55" s="181">
        <f t="shared" si="25"/>
        <v>0</v>
      </c>
      <c r="AZ55" s="181">
        <f t="shared" si="26"/>
        <v>0</v>
      </c>
      <c r="BA55" s="181">
        <f t="shared" si="27"/>
        <v>0</v>
      </c>
      <c r="BB55" s="181">
        <f t="shared" si="28"/>
        <v>0</v>
      </c>
      <c r="BC55" s="181">
        <f t="shared" si="29"/>
        <v>0</v>
      </c>
      <c r="BD55" s="181">
        <f t="shared" si="30"/>
        <v>0</v>
      </c>
      <c r="BE55" s="181">
        <f t="shared" si="31"/>
        <v>0</v>
      </c>
      <c r="BF55" s="181">
        <f t="shared" si="32"/>
        <v>0</v>
      </c>
      <c r="BG55" s="182">
        <f t="shared" si="33"/>
        <v>0</v>
      </c>
      <c r="BI55" s="180">
        <f t="shared" si="34"/>
        <v>0</v>
      </c>
      <c r="BJ55" s="181">
        <f t="shared" si="35"/>
        <v>0</v>
      </c>
      <c r="BK55" s="181">
        <f t="shared" si="36"/>
        <v>0</v>
      </c>
      <c r="BL55" s="181">
        <f t="shared" si="37"/>
        <v>0</v>
      </c>
      <c r="BM55" s="181">
        <f t="shared" si="38"/>
        <v>0</v>
      </c>
      <c r="BN55" s="181">
        <f t="shared" si="39"/>
        <v>0</v>
      </c>
      <c r="BO55" s="181">
        <f t="shared" si="40"/>
        <v>0</v>
      </c>
      <c r="BP55" s="181">
        <f t="shared" si="41"/>
        <v>0</v>
      </c>
      <c r="BQ55" s="181">
        <f t="shared" si="42"/>
        <v>0</v>
      </c>
      <c r="BR55" s="181">
        <f t="shared" si="43"/>
        <v>0</v>
      </c>
      <c r="BS55" s="181">
        <f t="shared" si="44"/>
        <v>0</v>
      </c>
      <c r="BT55" s="181">
        <f t="shared" si="45"/>
        <v>0</v>
      </c>
      <c r="BU55" s="181">
        <f t="shared" si="46"/>
        <v>0</v>
      </c>
      <c r="BV55" s="182">
        <f t="shared" si="47"/>
        <v>0</v>
      </c>
    </row>
    <row r="56" spans="2:74" x14ac:dyDescent="0.2">
      <c r="B56" s="173"/>
      <c r="C56" s="173"/>
      <c r="D56" s="183"/>
      <c r="E56" s="184"/>
      <c r="F56" s="184"/>
      <c r="G56" s="184"/>
      <c r="H56" s="184"/>
      <c r="I56" s="184"/>
      <c r="J56" s="184"/>
      <c r="K56" s="184"/>
      <c r="L56" s="184"/>
      <c r="M56" s="184"/>
      <c r="N56" s="184"/>
      <c r="O56" s="184"/>
      <c r="P56" s="185"/>
      <c r="R56" s="191"/>
      <c r="S56" s="186"/>
      <c r="T56" s="186"/>
      <c r="U56" s="186"/>
      <c r="V56" s="186"/>
      <c r="W56" s="186"/>
      <c r="X56" s="186"/>
      <c r="Y56" s="186"/>
      <c r="Z56" s="186"/>
      <c r="AA56" s="186"/>
      <c r="AB56" s="186"/>
      <c r="AC56" s="186"/>
      <c r="AD56" s="185"/>
      <c r="AF56" s="314"/>
      <c r="AG56" s="317"/>
      <c r="AH56" s="317"/>
      <c r="AI56" s="317"/>
      <c r="AJ56" s="317"/>
      <c r="AK56" s="317"/>
      <c r="AL56" s="317"/>
      <c r="AM56" s="317"/>
      <c r="AN56" s="317"/>
      <c r="AO56" s="317"/>
      <c r="AP56" s="317"/>
      <c r="AQ56" s="317"/>
      <c r="AR56" s="318"/>
      <c r="AT56" s="180">
        <f t="shared" si="23"/>
        <v>0</v>
      </c>
      <c r="AU56" s="181">
        <f t="shared" si="55"/>
        <v>0</v>
      </c>
      <c r="AV56" s="181">
        <f t="shared" si="55"/>
        <v>0</v>
      </c>
      <c r="AW56" s="181">
        <f t="shared" si="55"/>
        <v>0</v>
      </c>
      <c r="AX56" s="181">
        <f t="shared" si="24"/>
        <v>0</v>
      </c>
      <c r="AY56" s="181">
        <f t="shared" si="25"/>
        <v>0</v>
      </c>
      <c r="AZ56" s="181">
        <f t="shared" si="26"/>
        <v>0</v>
      </c>
      <c r="BA56" s="181">
        <f t="shared" si="27"/>
        <v>0</v>
      </c>
      <c r="BB56" s="181">
        <f t="shared" si="28"/>
        <v>0</v>
      </c>
      <c r="BC56" s="181">
        <f t="shared" si="29"/>
        <v>0</v>
      </c>
      <c r="BD56" s="181">
        <f t="shared" si="30"/>
        <v>0</v>
      </c>
      <c r="BE56" s="181">
        <f t="shared" si="31"/>
        <v>0</v>
      </c>
      <c r="BF56" s="181">
        <f t="shared" si="32"/>
        <v>0</v>
      </c>
      <c r="BG56" s="182">
        <f t="shared" si="33"/>
        <v>0</v>
      </c>
      <c r="BI56" s="180">
        <f t="shared" si="34"/>
        <v>0</v>
      </c>
      <c r="BJ56" s="181">
        <f t="shared" si="35"/>
        <v>0</v>
      </c>
      <c r="BK56" s="181">
        <f t="shared" si="36"/>
        <v>0</v>
      </c>
      <c r="BL56" s="181">
        <f t="shared" si="37"/>
        <v>0</v>
      </c>
      <c r="BM56" s="181">
        <f t="shared" si="38"/>
        <v>0</v>
      </c>
      <c r="BN56" s="181">
        <f t="shared" si="39"/>
        <v>0</v>
      </c>
      <c r="BO56" s="181">
        <f t="shared" si="40"/>
        <v>0</v>
      </c>
      <c r="BP56" s="181">
        <f t="shared" si="41"/>
        <v>0</v>
      </c>
      <c r="BQ56" s="181">
        <f t="shared" si="42"/>
        <v>0</v>
      </c>
      <c r="BR56" s="181">
        <f t="shared" si="43"/>
        <v>0</v>
      </c>
      <c r="BS56" s="181">
        <f t="shared" si="44"/>
        <v>0</v>
      </c>
      <c r="BT56" s="181">
        <f t="shared" si="45"/>
        <v>0</v>
      </c>
      <c r="BU56" s="181">
        <f t="shared" si="46"/>
        <v>0</v>
      </c>
      <c r="BV56" s="182">
        <f t="shared" si="47"/>
        <v>0</v>
      </c>
    </row>
    <row r="57" spans="2:74" x14ac:dyDescent="0.2">
      <c r="B57" s="173"/>
      <c r="C57" s="173"/>
      <c r="D57" s="183"/>
      <c r="E57" s="184"/>
      <c r="F57" s="184"/>
      <c r="G57" s="184"/>
      <c r="H57" s="184"/>
      <c r="I57" s="184"/>
      <c r="J57" s="184"/>
      <c r="K57" s="184"/>
      <c r="L57" s="184"/>
      <c r="M57" s="184"/>
      <c r="N57" s="184"/>
      <c r="O57" s="184"/>
      <c r="P57" s="185"/>
      <c r="R57" s="191"/>
      <c r="S57" s="186"/>
      <c r="T57" s="186"/>
      <c r="U57" s="186"/>
      <c r="V57" s="186"/>
      <c r="W57" s="186"/>
      <c r="X57" s="186"/>
      <c r="Y57" s="186"/>
      <c r="Z57" s="186"/>
      <c r="AA57" s="186"/>
      <c r="AB57" s="186"/>
      <c r="AC57" s="186"/>
      <c r="AD57" s="185"/>
      <c r="AF57" s="179"/>
      <c r="AG57" s="187"/>
      <c r="AH57" s="187"/>
      <c r="AI57" s="187"/>
      <c r="AJ57" s="187"/>
      <c r="AK57" s="187"/>
      <c r="AL57" s="187"/>
      <c r="AM57" s="187"/>
      <c r="AN57" s="187"/>
      <c r="AO57" s="187"/>
      <c r="AP57" s="187"/>
      <c r="AQ57" s="187"/>
      <c r="AR57" s="188"/>
      <c r="AT57" s="180">
        <f t="shared" si="23"/>
        <v>0</v>
      </c>
      <c r="AU57" s="181">
        <f t="shared" si="55"/>
        <v>0</v>
      </c>
      <c r="AV57" s="181">
        <f t="shared" si="55"/>
        <v>0</v>
      </c>
      <c r="AW57" s="181">
        <f t="shared" si="55"/>
        <v>0</v>
      </c>
      <c r="AX57" s="181">
        <f t="shared" si="24"/>
        <v>0</v>
      </c>
      <c r="AY57" s="181">
        <f t="shared" si="25"/>
        <v>0</v>
      </c>
      <c r="AZ57" s="181">
        <f t="shared" si="26"/>
        <v>0</v>
      </c>
      <c r="BA57" s="181">
        <f t="shared" si="27"/>
        <v>0</v>
      </c>
      <c r="BB57" s="181">
        <f t="shared" si="28"/>
        <v>0</v>
      </c>
      <c r="BC57" s="181">
        <f t="shared" si="29"/>
        <v>0</v>
      </c>
      <c r="BD57" s="181">
        <f t="shared" si="30"/>
        <v>0</v>
      </c>
      <c r="BE57" s="181">
        <f t="shared" si="31"/>
        <v>0</v>
      </c>
      <c r="BF57" s="181">
        <f t="shared" si="32"/>
        <v>0</v>
      </c>
      <c r="BG57" s="182">
        <f t="shared" si="33"/>
        <v>0</v>
      </c>
      <c r="BI57" s="180">
        <f t="shared" si="34"/>
        <v>0</v>
      </c>
      <c r="BJ57" s="181">
        <f t="shared" si="35"/>
        <v>0</v>
      </c>
      <c r="BK57" s="181">
        <f t="shared" si="36"/>
        <v>0</v>
      </c>
      <c r="BL57" s="181">
        <f t="shared" si="37"/>
        <v>0</v>
      </c>
      <c r="BM57" s="181">
        <f t="shared" si="38"/>
        <v>0</v>
      </c>
      <c r="BN57" s="181">
        <f t="shared" si="39"/>
        <v>0</v>
      </c>
      <c r="BO57" s="181">
        <f t="shared" si="40"/>
        <v>0</v>
      </c>
      <c r="BP57" s="181">
        <f t="shared" si="41"/>
        <v>0</v>
      </c>
      <c r="BQ57" s="181">
        <f t="shared" si="42"/>
        <v>0</v>
      </c>
      <c r="BR57" s="181">
        <f t="shared" si="43"/>
        <v>0</v>
      </c>
      <c r="BS57" s="181">
        <f t="shared" si="44"/>
        <v>0</v>
      </c>
      <c r="BT57" s="181">
        <f t="shared" si="45"/>
        <v>0</v>
      </c>
      <c r="BU57" s="181">
        <f t="shared" si="46"/>
        <v>0</v>
      </c>
      <c r="BV57" s="182">
        <f t="shared" si="47"/>
        <v>0</v>
      </c>
    </row>
    <row r="58" spans="2:74" x14ac:dyDescent="0.2">
      <c r="B58" s="173"/>
      <c r="C58" s="173"/>
      <c r="D58" s="183"/>
      <c r="E58" s="184"/>
      <c r="F58" s="184"/>
      <c r="G58" s="184"/>
      <c r="H58" s="184"/>
      <c r="I58" s="184"/>
      <c r="J58" s="184"/>
      <c r="K58" s="184"/>
      <c r="L58" s="184"/>
      <c r="M58" s="184"/>
      <c r="N58" s="184"/>
      <c r="O58" s="184"/>
      <c r="P58" s="185"/>
      <c r="R58" s="191"/>
      <c r="S58" s="186"/>
      <c r="T58" s="186"/>
      <c r="U58" s="186"/>
      <c r="V58" s="186"/>
      <c r="W58" s="186"/>
      <c r="X58" s="186"/>
      <c r="Y58" s="186"/>
      <c r="Z58" s="186"/>
      <c r="AA58" s="186"/>
      <c r="AB58" s="186"/>
      <c r="AC58" s="186"/>
      <c r="AD58" s="185"/>
      <c r="AF58" s="179"/>
      <c r="AG58" s="187"/>
      <c r="AH58" s="187"/>
      <c r="AI58" s="187"/>
      <c r="AJ58" s="187"/>
      <c r="AK58" s="187"/>
      <c r="AL58" s="187"/>
      <c r="AM58" s="187"/>
      <c r="AN58" s="187"/>
      <c r="AO58" s="187"/>
      <c r="AP58" s="187"/>
      <c r="AQ58" s="187"/>
      <c r="AR58" s="188"/>
      <c r="AT58" s="180">
        <f t="shared" si="23"/>
        <v>0</v>
      </c>
      <c r="AU58" s="181">
        <f t="shared" si="55"/>
        <v>0</v>
      </c>
      <c r="AV58" s="181">
        <f t="shared" si="55"/>
        <v>0</v>
      </c>
      <c r="AW58" s="181">
        <f t="shared" si="55"/>
        <v>0</v>
      </c>
      <c r="AX58" s="181">
        <f t="shared" si="24"/>
        <v>0</v>
      </c>
      <c r="AY58" s="181">
        <f t="shared" si="25"/>
        <v>0</v>
      </c>
      <c r="AZ58" s="181">
        <f t="shared" si="26"/>
        <v>0</v>
      </c>
      <c r="BA58" s="181">
        <f t="shared" si="27"/>
        <v>0</v>
      </c>
      <c r="BB58" s="181">
        <f t="shared" si="28"/>
        <v>0</v>
      </c>
      <c r="BC58" s="181">
        <f t="shared" si="29"/>
        <v>0</v>
      </c>
      <c r="BD58" s="181">
        <f t="shared" si="30"/>
        <v>0</v>
      </c>
      <c r="BE58" s="181">
        <f t="shared" si="31"/>
        <v>0</v>
      </c>
      <c r="BF58" s="181">
        <f t="shared" si="32"/>
        <v>0</v>
      </c>
      <c r="BG58" s="182">
        <f t="shared" si="33"/>
        <v>0</v>
      </c>
      <c r="BI58" s="180">
        <f t="shared" si="34"/>
        <v>0</v>
      </c>
      <c r="BJ58" s="181">
        <f t="shared" si="35"/>
        <v>0</v>
      </c>
      <c r="BK58" s="181">
        <f t="shared" si="36"/>
        <v>0</v>
      </c>
      <c r="BL58" s="181">
        <f t="shared" si="37"/>
        <v>0</v>
      </c>
      <c r="BM58" s="181">
        <f t="shared" si="38"/>
        <v>0</v>
      </c>
      <c r="BN58" s="181">
        <f t="shared" si="39"/>
        <v>0</v>
      </c>
      <c r="BO58" s="181">
        <f t="shared" si="40"/>
        <v>0</v>
      </c>
      <c r="BP58" s="181">
        <f t="shared" si="41"/>
        <v>0</v>
      </c>
      <c r="BQ58" s="181">
        <f t="shared" si="42"/>
        <v>0</v>
      </c>
      <c r="BR58" s="181">
        <f t="shared" si="43"/>
        <v>0</v>
      </c>
      <c r="BS58" s="181">
        <f t="shared" si="44"/>
        <v>0</v>
      </c>
      <c r="BT58" s="181">
        <f t="shared" si="45"/>
        <v>0</v>
      </c>
      <c r="BU58" s="181">
        <f t="shared" si="46"/>
        <v>0</v>
      </c>
      <c r="BV58" s="182">
        <f t="shared" si="47"/>
        <v>0</v>
      </c>
    </row>
    <row r="59" spans="2:74" x14ac:dyDescent="0.2">
      <c r="B59" s="173"/>
      <c r="C59" s="192"/>
      <c r="D59" s="189"/>
      <c r="E59" s="178"/>
      <c r="F59" s="178"/>
      <c r="G59" s="178"/>
      <c r="H59" s="178"/>
      <c r="I59" s="178"/>
      <c r="J59" s="178"/>
      <c r="K59" s="178"/>
      <c r="L59" s="178"/>
      <c r="M59" s="178"/>
      <c r="N59" s="178"/>
      <c r="O59" s="178"/>
      <c r="P59" s="193"/>
      <c r="R59" s="194"/>
      <c r="S59" s="195"/>
      <c r="T59" s="195"/>
      <c r="U59" s="195"/>
      <c r="V59" s="195"/>
      <c r="W59" s="195"/>
      <c r="X59" s="195"/>
      <c r="Y59" s="195"/>
      <c r="Z59" s="195"/>
      <c r="AA59" s="196"/>
      <c r="AB59" s="196"/>
      <c r="AC59" s="196"/>
      <c r="AD59" s="197"/>
      <c r="AF59" s="198"/>
      <c r="AG59" s="187"/>
      <c r="AH59" s="187"/>
      <c r="AI59" s="187"/>
      <c r="AJ59" s="187"/>
      <c r="AK59" s="187"/>
      <c r="AL59" s="187"/>
      <c r="AM59" s="187"/>
      <c r="AN59" s="187"/>
      <c r="AO59" s="187"/>
      <c r="AP59" s="187"/>
      <c r="AQ59" s="187"/>
      <c r="AR59" s="188"/>
      <c r="AT59" s="180">
        <f t="shared" si="23"/>
        <v>0</v>
      </c>
      <c r="AU59" s="181">
        <f t="shared" si="55"/>
        <v>0</v>
      </c>
      <c r="AV59" s="181">
        <f t="shared" si="55"/>
        <v>0</v>
      </c>
      <c r="AW59" s="181">
        <f t="shared" si="55"/>
        <v>0</v>
      </c>
      <c r="AX59" s="181">
        <f t="shared" si="24"/>
        <v>0</v>
      </c>
      <c r="AY59" s="181">
        <f t="shared" si="25"/>
        <v>0</v>
      </c>
      <c r="AZ59" s="181">
        <f t="shared" si="26"/>
        <v>0</v>
      </c>
      <c r="BA59" s="181">
        <f t="shared" si="27"/>
        <v>0</v>
      </c>
      <c r="BB59" s="181">
        <f t="shared" si="28"/>
        <v>0</v>
      </c>
      <c r="BC59" s="181">
        <f t="shared" si="29"/>
        <v>0</v>
      </c>
      <c r="BD59" s="181">
        <f t="shared" si="30"/>
        <v>0</v>
      </c>
      <c r="BE59" s="181">
        <f t="shared" si="31"/>
        <v>0</v>
      </c>
      <c r="BF59" s="181">
        <f t="shared" si="32"/>
        <v>0</v>
      </c>
      <c r="BG59" s="182">
        <f t="shared" si="33"/>
        <v>0</v>
      </c>
      <c r="BI59" s="180">
        <f t="shared" si="34"/>
        <v>0</v>
      </c>
      <c r="BJ59" s="181">
        <f t="shared" si="35"/>
        <v>0</v>
      </c>
      <c r="BK59" s="181">
        <f t="shared" si="36"/>
        <v>0</v>
      </c>
      <c r="BL59" s="181">
        <f t="shared" si="37"/>
        <v>0</v>
      </c>
      <c r="BM59" s="181">
        <f t="shared" si="38"/>
        <v>0</v>
      </c>
      <c r="BN59" s="181">
        <f t="shared" si="39"/>
        <v>0</v>
      </c>
      <c r="BO59" s="181">
        <f t="shared" si="40"/>
        <v>0</v>
      </c>
      <c r="BP59" s="181">
        <f t="shared" si="41"/>
        <v>0</v>
      </c>
      <c r="BQ59" s="181">
        <f t="shared" si="42"/>
        <v>0</v>
      </c>
      <c r="BR59" s="181">
        <f t="shared" si="43"/>
        <v>0</v>
      </c>
      <c r="BS59" s="181">
        <f t="shared" si="44"/>
        <v>0</v>
      </c>
      <c r="BT59" s="181">
        <f t="shared" si="45"/>
        <v>0</v>
      </c>
      <c r="BU59" s="181">
        <f t="shared" si="46"/>
        <v>0</v>
      </c>
      <c r="BV59" s="182">
        <f t="shared" si="47"/>
        <v>0</v>
      </c>
    </row>
    <row r="60" spans="2:74" x14ac:dyDescent="0.2">
      <c r="B60" s="173"/>
      <c r="C60" s="192"/>
      <c r="D60" s="189"/>
      <c r="E60" s="178"/>
      <c r="F60" s="178"/>
      <c r="G60" s="178"/>
      <c r="H60" s="178"/>
      <c r="I60" s="178"/>
      <c r="J60" s="178"/>
      <c r="K60" s="178"/>
      <c r="L60" s="178"/>
      <c r="M60" s="178"/>
      <c r="N60" s="178"/>
      <c r="O60" s="178"/>
      <c r="P60" s="193"/>
      <c r="R60" s="194"/>
      <c r="S60" s="195"/>
      <c r="T60" s="195"/>
      <c r="U60" s="195"/>
      <c r="V60" s="195"/>
      <c r="W60" s="195"/>
      <c r="X60" s="195"/>
      <c r="Y60" s="195"/>
      <c r="Z60" s="195"/>
      <c r="AA60" s="196"/>
      <c r="AB60" s="196"/>
      <c r="AC60" s="196"/>
      <c r="AD60" s="197"/>
      <c r="AF60" s="198"/>
      <c r="AG60" s="187"/>
      <c r="AH60" s="187"/>
      <c r="AI60" s="187"/>
      <c r="AJ60" s="187"/>
      <c r="AK60" s="187"/>
      <c r="AL60" s="187"/>
      <c r="AM60" s="187"/>
      <c r="AN60" s="187"/>
      <c r="AO60" s="187"/>
      <c r="AP60" s="187"/>
      <c r="AQ60" s="187"/>
      <c r="AR60" s="188"/>
      <c r="AT60" s="180">
        <f t="shared" si="23"/>
        <v>0</v>
      </c>
      <c r="AU60" s="181">
        <f t="shared" si="55"/>
        <v>0</v>
      </c>
      <c r="AV60" s="181">
        <f t="shared" si="55"/>
        <v>0</v>
      </c>
      <c r="AW60" s="181">
        <f t="shared" si="55"/>
        <v>0</v>
      </c>
      <c r="AX60" s="181">
        <f t="shared" si="24"/>
        <v>0</v>
      </c>
      <c r="AY60" s="181">
        <f t="shared" si="25"/>
        <v>0</v>
      </c>
      <c r="AZ60" s="181">
        <f t="shared" si="26"/>
        <v>0</v>
      </c>
      <c r="BA60" s="181">
        <f t="shared" si="27"/>
        <v>0</v>
      </c>
      <c r="BB60" s="181">
        <f t="shared" si="28"/>
        <v>0</v>
      </c>
      <c r="BC60" s="181">
        <f t="shared" si="29"/>
        <v>0</v>
      </c>
      <c r="BD60" s="181">
        <f t="shared" si="30"/>
        <v>0</v>
      </c>
      <c r="BE60" s="181">
        <f t="shared" si="31"/>
        <v>0</v>
      </c>
      <c r="BF60" s="181">
        <f t="shared" si="32"/>
        <v>0</v>
      </c>
      <c r="BG60" s="182">
        <f t="shared" si="33"/>
        <v>0</v>
      </c>
      <c r="BI60" s="180">
        <f t="shared" si="34"/>
        <v>0</v>
      </c>
      <c r="BJ60" s="181">
        <f t="shared" si="35"/>
        <v>0</v>
      </c>
      <c r="BK60" s="181">
        <f t="shared" si="36"/>
        <v>0</v>
      </c>
      <c r="BL60" s="181">
        <f t="shared" si="37"/>
        <v>0</v>
      </c>
      <c r="BM60" s="181">
        <f t="shared" si="38"/>
        <v>0</v>
      </c>
      <c r="BN60" s="181">
        <f t="shared" si="39"/>
        <v>0</v>
      </c>
      <c r="BO60" s="181">
        <f t="shared" si="40"/>
        <v>0</v>
      </c>
      <c r="BP60" s="181">
        <f t="shared" si="41"/>
        <v>0</v>
      </c>
      <c r="BQ60" s="181">
        <f t="shared" si="42"/>
        <v>0</v>
      </c>
      <c r="BR60" s="181">
        <f t="shared" si="43"/>
        <v>0</v>
      </c>
      <c r="BS60" s="181">
        <f t="shared" si="44"/>
        <v>0</v>
      </c>
      <c r="BT60" s="181">
        <f t="shared" si="45"/>
        <v>0</v>
      </c>
      <c r="BU60" s="181">
        <f t="shared" si="46"/>
        <v>0</v>
      </c>
      <c r="BV60" s="182">
        <f t="shared" si="47"/>
        <v>0</v>
      </c>
    </row>
    <row r="61" spans="2:74" x14ac:dyDescent="0.2">
      <c r="B61" s="173"/>
      <c r="C61" s="192"/>
      <c r="D61" s="189"/>
      <c r="E61" s="178"/>
      <c r="F61" s="178"/>
      <c r="G61" s="178"/>
      <c r="H61" s="178"/>
      <c r="I61" s="178"/>
      <c r="J61" s="178"/>
      <c r="K61" s="178"/>
      <c r="L61" s="178"/>
      <c r="M61" s="178"/>
      <c r="N61" s="178"/>
      <c r="O61" s="178"/>
      <c r="P61" s="193"/>
      <c r="R61" s="194"/>
      <c r="S61" s="195"/>
      <c r="T61" s="195"/>
      <c r="U61" s="195"/>
      <c r="V61" s="195"/>
      <c r="W61" s="195"/>
      <c r="X61" s="195"/>
      <c r="Y61" s="195"/>
      <c r="Z61" s="195"/>
      <c r="AA61" s="196"/>
      <c r="AB61" s="196"/>
      <c r="AC61" s="196"/>
      <c r="AD61" s="197"/>
      <c r="AF61" s="198"/>
      <c r="AG61" s="187"/>
      <c r="AH61" s="187"/>
      <c r="AI61" s="187"/>
      <c r="AJ61" s="187"/>
      <c r="AK61" s="187"/>
      <c r="AL61" s="187"/>
      <c r="AM61" s="187"/>
      <c r="AN61" s="187"/>
      <c r="AO61" s="187"/>
      <c r="AP61" s="187"/>
      <c r="AQ61" s="187"/>
      <c r="AR61" s="188"/>
      <c r="AT61" s="180">
        <f t="shared" si="23"/>
        <v>0</v>
      </c>
      <c r="AU61" s="181">
        <f t="shared" si="55"/>
        <v>0</v>
      </c>
      <c r="AV61" s="181">
        <f t="shared" si="55"/>
        <v>0</v>
      </c>
      <c r="AW61" s="181">
        <f t="shared" si="55"/>
        <v>0</v>
      </c>
      <c r="AX61" s="181">
        <f t="shared" si="24"/>
        <v>0</v>
      </c>
      <c r="AY61" s="181">
        <f t="shared" si="25"/>
        <v>0</v>
      </c>
      <c r="AZ61" s="181">
        <f t="shared" si="26"/>
        <v>0</v>
      </c>
      <c r="BA61" s="181">
        <f t="shared" si="27"/>
        <v>0</v>
      </c>
      <c r="BB61" s="181">
        <f t="shared" si="28"/>
        <v>0</v>
      </c>
      <c r="BC61" s="181">
        <f t="shared" si="29"/>
        <v>0</v>
      </c>
      <c r="BD61" s="181">
        <f t="shared" si="30"/>
        <v>0</v>
      </c>
      <c r="BE61" s="181">
        <f t="shared" si="31"/>
        <v>0</v>
      </c>
      <c r="BF61" s="181">
        <f t="shared" si="32"/>
        <v>0</v>
      </c>
      <c r="BG61" s="182">
        <f t="shared" si="33"/>
        <v>0</v>
      </c>
      <c r="BI61" s="180">
        <f t="shared" si="34"/>
        <v>0</v>
      </c>
      <c r="BJ61" s="181">
        <f t="shared" si="35"/>
        <v>0</v>
      </c>
      <c r="BK61" s="181">
        <f t="shared" si="36"/>
        <v>0</v>
      </c>
      <c r="BL61" s="181">
        <f t="shared" si="37"/>
        <v>0</v>
      </c>
      <c r="BM61" s="181">
        <f t="shared" si="38"/>
        <v>0</v>
      </c>
      <c r="BN61" s="181">
        <f t="shared" si="39"/>
        <v>0</v>
      </c>
      <c r="BO61" s="181">
        <f t="shared" si="40"/>
        <v>0</v>
      </c>
      <c r="BP61" s="181">
        <f t="shared" si="41"/>
        <v>0</v>
      </c>
      <c r="BQ61" s="181">
        <f t="shared" si="42"/>
        <v>0</v>
      </c>
      <c r="BR61" s="181">
        <f t="shared" si="43"/>
        <v>0</v>
      </c>
      <c r="BS61" s="181">
        <f t="shared" si="44"/>
        <v>0</v>
      </c>
      <c r="BT61" s="181">
        <f t="shared" si="45"/>
        <v>0</v>
      </c>
      <c r="BU61" s="181">
        <f t="shared" si="46"/>
        <v>0</v>
      </c>
      <c r="BV61" s="182">
        <f t="shared" si="47"/>
        <v>0</v>
      </c>
    </row>
    <row r="62" spans="2:74" x14ac:dyDescent="0.2">
      <c r="B62" s="173"/>
      <c r="C62" s="192"/>
      <c r="D62" s="189"/>
      <c r="E62" s="178"/>
      <c r="F62" s="178"/>
      <c r="G62" s="178"/>
      <c r="H62" s="178"/>
      <c r="I62" s="178"/>
      <c r="J62" s="178"/>
      <c r="K62" s="178"/>
      <c r="L62" s="178"/>
      <c r="M62" s="178"/>
      <c r="N62" s="178"/>
      <c r="O62" s="178"/>
      <c r="P62" s="193"/>
      <c r="R62" s="194"/>
      <c r="S62" s="195"/>
      <c r="T62" s="195"/>
      <c r="U62" s="195"/>
      <c r="V62" s="195"/>
      <c r="W62" s="195"/>
      <c r="X62" s="195"/>
      <c r="Y62" s="195"/>
      <c r="Z62" s="195"/>
      <c r="AA62" s="196"/>
      <c r="AB62" s="196"/>
      <c r="AC62" s="196"/>
      <c r="AD62" s="197"/>
      <c r="AF62" s="198"/>
      <c r="AG62" s="187"/>
      <c r="AH62" s="187"/>
      <c r="AI62" s="187"/>
      <c r="AJ62" s="187"/>
      <c r="AK62" s="187"/>
      <c r="AL62" s="187"/>
      <c r="AM62" s="187"/>
      <c r="AN62" s="187"/>
      <c r="AO62" s="187"/>
      <c r="AP62" s="187"/>
      <c r="AQ62" s="187"/>
      <c r="AR62" s="188"/>
      <c r="AT62" s="180">
        <f t="shared" si="23"/>
        <v>0</v>
      </c>
      <c r="AU62" s="181">
        <f t="shared" si="55"/>
        <v>0</v>
      </c>
      <c r="AV62" s="181">
        <f t="shared" si="55"/>
        <v>0</v>
      </c>
      <c r="AW62" s="181">
        <f t="shared" si="55"/>
        <v>0</v>
      </c>
      <c r="AX62" s="181">
        <f t="shared" si="24"/>
        <v>0</v>
      </c>
      <c r="AY62" s="181">
        <f t="shared" si="25"/>
        <v>0</v>
      </c>
      <c r="AZ62" s="181">
        <f t="shared" si="26"/>
        <v>0</v>
      </c>
      <c r="BA62" s="181">
        <f t="shared" si="27"/>
        <v>0</v>
      </c>
      <c r="BB62" s="181">
        <f t="shared" si="28"/>
        <v>0</v>
      </c>
      <c r="BC62" s="181">
        <f t="shared" si="29"/>
        <v>0</v>
      </c>
      <c r="BD62" s="181">
        <f t="shared" si="30"/>
        <v>0</v>
      </c>
      <c r="BE62" s="181">
        <f t="shared" si="31"/>
        <v>0</v>
      </c>
      <c r="BF62" s="181">
        <f t="shared" si="32"/>
        <v>0</v>
      </c>
      <c r="BG62" s="182">
        <f t="shared" si="33"/>
        <v>0</v>
      </c>
      <c r="BI62" s="180">
        <f t="shared" si="34"/>
        <v>0</v>
      </c>
      <c r="BJ62" s="181">
        <f t="shared" si="35"/>
        <v>0</v>
      </c>
      <c r="BK62" s="181">
        <f t="shared" si="36"/>
        <v>0</v>
      </c>
      <c r="BL62" s="181">
        <f t="shared" si="37"/>
        <v>0</v>
      </c>
      <c r="BM62" s="181">
        <f t="shared" si="38"/>
        <v>0</v>
      </c>
      <c r="BN62" s="181">
        <f t="shared" si="39"/>
        <v>0</v>
      </c>
      <c r="BO62" s="181">
        <f t="shared" si="40"/>
        <v>0</v>
      </c>
      <c r="BP62" s="181">
        <f t="shared" si="41"/>
        <v>0</v>
      </c>
      <c r="BQ62" s="181">
        <f t="shared" si="42"/>
        <v>0</v>
      </c>
      <c r="BR62" s="181">
        <f t="shared" si="43"/>
        <v>0</v>
      </c>
      <c r="BS62" s="181">
        <f t="shared" si="44"/>
        <v>0</v>
      </c>
      <c r="BT62" s="181">
        <f t="shared" si="45"/>
        <v>0</v>
      </c>
      <c r="BU62" s="181">
        <f t="shared" si="46"/>
        <v>0</v>
      </c>
      <c r="BV62" s="182">
        <f t="shared" si="47"/>
        <v>0</v>
      </c>
    </row>
    <row r="63" spans="2:74" x14ac:dyDescent="0.2">
      <c r="B63" s="173"/>
      <c r="C63" s="192"/>
      <c r="D63" s="189"/>
      <c r="E63" s="178"/>
      <c r="F63" s="178"/>
      <c r="G63" s="178"/>
      <c r="H63" s="178"/>
      <c r="I63" s="178"/>
      <c r="J63" s="178"/>
      <c r="K63" s="178"/>
      <c r="L63" s="178"/>
      <c r="M63" s="178"/>
      <c r="N63" s="178"/>
      <c r="O63" s="178"/>
      <c r="P63" s="193"/>
      <c r="R63" s="194"/>
      <c r="S63" s="195"/>
      <c r="T63" s="195"/>
      <c r="U63" s="195"/>
      <c r="V63" s="195"/>
      <c r="W63" s="195"/>
      <c r="X63" s="195"/>
      <c r="Y63" s="195"/>
      <c r="Z63" s="195"/>
      <c r="AA63" s="196"/>
      <c r="AB63" s="196"/>
      <c r="AC63" s="196"/>
      <c r="AD63" s="197"/>
      <c r="AF63" s="198"/>
      <c r="AG63" s="187"/>
      <c r="AH63" s="187"/>
      <c r="AI63" s="187"/>
      <c r="AJ63" s="187"/>
      <c r="AK63" s="187"/>
      <c r="AL63" s="187"/>
      <c r="AM63" s="187"/>
      <c r="AN63" s="187"/>
      <c r="AO63" s="187"/>
      <c r="AP63" s="187"/>
      <c r="AQ63" s="187"/>
      <c r="AR63" s="188"/>
      <c r="AT63" s="180">
        <f t="shared" si="23"/>
        <v>0</v>
      </c>
      <c r="AU63" s="181">
        <f t="shared" si="55"/>
        <v>0</v>
      </c>
      <c r="AV63" s="181">
        <f t="shared" si="55"/>
        <v>0</v>
      </c>
      <c r="AW63" s="181">
        <f t="shared" si="55"/>
        <v>0</v>
      </c>
      <c r="AX63" s="181">
        <f t="shared" si="24"/>
        <v>0</v>
      </c>
      <c r="AY63" s="181">
        <f t="shared" si="25"/>
        <v>0</v>
      </c>
      <c r="AZ63" s="181">
        <f t="shared" si="26"/>
        <v>0</v>
      </c>
      <c r="BA63" s="181">
        <f t="shared" si="27"/>
        <v>0</v>
      </c>
      <c r="BB63" s="181">
        <f t="shared" si="28"/>
        <v>0</v>
      </c>
      <c r="BC63" s="181">
        <f t="shared" si="29"/>
        <v>0</v>
      </c>
      <c r="BD63" s="181">
        <f t="shared" si="30"/>
        <v>0</v>
      </c>
      <c r="BE63" s="181">
        <f t="shared" si="31"/>
        <v>0</v>
      </c>
      <c r="BF63" s="181">
        <f t="shared" si="32"/>
        <v>0</v>
      </c>
      <c r="BG63" s="182">
        <f t="shared" si="33"/>
        <v>0</v>
      </c>
      <c r="BI63" s="180">
        <f t="shared" si="34"/>
        <v>0</v>
      </c>
      <c r="BJ63" s="181">
        <f t="shared" si="35"/>
        <v>0</v>
      </c>
      <c r="BK63" s="181">
        <f t="shared" si="36"/>
        <v>0</v>
      </c>
      <c r="BL63" s="181">
        <f t="shared" si="37"/>
        <v>0</v>
      </c>
      <c r="BM63" s="181">
        <f t="shared" si="38"/>
        <v>0</v>
      </c>
      <c r="BN63" s="181">
        <f t="shared" si="39"/>
        <v>0</v>
      </c>
      <c r="BO63" s="181">
        <f t="shared" si="40"/>
        <v>0</v>
      </c>
      <c r="BP63" s="181">
        <f t="shared" si="41"/>
        <v>0</v>
      </c>
      <c r="BQ63" s="181">
        <f t="shared" si="42"/>
        <v>0</v>
      </c>
      <c r="BR63" s="181">
        <f t="shared" si="43"/>
        <v>0</v>
      </c>
      <c r="BS63" s="181">
        <f t="shared" si="44"/>
        <v>0</v>
      </c>
      <c r="BT63" s="181">
        <f t="shared" si="45"/>
        <v>0</v>
      </c>
      <c r="BU63" s="181">
        <f t="shared" si="46"/>
        <v>0</v>
      </c>
      <c r="BV63" s="182">
        <f t="shared" si="47"/>
        <v>0</v>
      </c>
    </row>
    <row r="64" spans="2:74" x14ac:dyDescent="0.2">
      <c r="B64" s="173"/>
      <c r="C64" s="192"/>
      <c r="D64" s="189"/>
      <c r="E64" s="178"/>
      <c r="F64" s="178"/>
      <c r="G64" s="178"/>
      <c r="H64" s="178"/>
      <c r="I64" s="178"/>
      <c r="J64" s="178"/>
      <c r="K64" s="178"/>
      <c r="L64" s="178"/>
      <c r="M64" s="178"/>
      <c r="N64" s="178"/>
      <c r="O64" s="178"/>
      <c r="P64" s="193"/>
      <c r="R64" s="194"/>
      <c r="S64" s="195"/>
      <c r="T64" s="195"/>
      <c r="U64" s="195"/>
      <c r="V64" s="195"/>
      <c r="W64" s="195"/>
      <c r="X64" s="195"/>
      <c r="Y64" s="195"/>
      <c r="Z64" s="195"/>
      <c r="AA64" s="196"/>
      <c r="AB64" s="196"/>
      <c r="AC64" s="196"/>
      <c r="AD64" s="197"/>
      <c r="AF64" s="198"/>
      <c r="AG64" s="187"/>
      <c r="AH64" s="187"/>
      <c r="AI64" s="187"/>
      <c r="AJ64" s="187"/>
      <c r="AK64" s="187"/>
      <c r="AL64" s="187"/>
      <c r="AM64" s="187"/>
      <c r="AN64" s="187"/>
      <c r="AO64" s="187"/>
      <c r="AP64" s="187"/>
      <c r="AQ64" s="187"/>
      <c r="AR64" s="188"/>
      <c r="AT64" s="180">
        <f t="shared" si="23"/>
        <v>0</v>
      </c>
      <c r="AU64" s="181">
        <f t="shared" si="55"/>
        <v>0</v>
      </c>
      <c r="AV64" s="181">
        <f t="shared" si="55"/>
        <v>0</v>
      </c>
      <c r="AW64" s="181">
        <f t="shared" si="55"/>
        <v>0</v>
      </c>
      <c r="AX64" s="181">
        <f t="shared" si="24"/>
        <v>0</v>
      </c>
      <c r="AY64" s="181">
        <f t="shared" si="25"/>
        <v>0</v>
      </c>
      <c r="AZ64" s="181">
        <f t="shared" si="26"/>
        <v>0</v>
      </c>
      <c r="BA64" s="181">
        <f t="shared" si="27"/>
        <v>0</v>
      </c>
      <c r="BB64" s="181">
        <f t="shared" si="28"/>
        <v>0</v>
      </c>
      <c r="BC64" s="181">
        <f t="shared" si="29"/>
        <v>0</v>
      </c>
      <c r="BD64" s="181">
        <f t="shared" si="30"/>
        <v>0</v>
      </c>
      <c r="BE64" s="181">
        <f t="shared" si="31"/>
        <v>0</v>
      </c>
      <c r="BF64" s="181">
        <f t="shared" si="32"/>
        <v>0</v>
      </c>
      <c r="BG64" s="182">
        <f t="shared" si="33"/>
        <v>0</v>
      </c>
      <c r="BI64" s="180">
        <f t="shared" si="34"/>
        <v>0</v>
      </c>
      <c r="BJ64" s="181">
        <f t="shared" si="35"/>
        <v>0</v>
      </c>
      <c r="BK64" s="181">
        <f t="shared" si="36"/>
        <v>0</v>
      </c>
      <c r="BL64" s="181">
        <f t="shared" si="37"/>
        <v>0</v>
      </c>
      <c r="BM64" s="181">
        <f t="shared" si="38"/>
        <v>0</v>
      </c>
      <c r="BN64" s="181">
        <f t="shared" si="39"/>
        <v>0</v>
      </c>
      <c r="BO64" s="181">
        <f t="shared" si="40"/>
        <v>0</v>
      </c>
      <c r="BP64" s="181">
        <f t="shared" si="41"/>
        <v>0</v>
      </c>
      <c r="BQ64" s="181">
        <f t="shared" si="42"/>
        <v>0</v>
      </c>
      <c r="BR64" s="181">
        <f t="shared" si="43"/>
        <v>0</v>
      </c>
      <c r="BS64" s="181">
        <f t="shared" si="44"/>
        <v>0</v>
      </c>
      <c r="BT64" s="181">
        <f t="shared" si="45"/>
        <v>0</v>
      </c>
      <c r="BU64" s="181">
        <f t="shared" si="46"/>
        <v>0</v>
      </c>
      <c r="BV64" s="182">
        <f t="shared" si="47"/>
        <v>0</v>
      </c>
    </row>
    <row r="65" spans="2:74" ht="13.5" thickBot="1" x14ac:dyDescent="0.25">
      <c r="B65" s="199"/>
      <c r="C65" s="200"/>
      <c r="D65" s="201"/>
      <c r="E65" s="202"/>
      <c r="F65" s="202"/>
      <c r="G65" s="202"/>
      <c r="H65" s="202"/>
      <c r="I65" s="202"/>
      <c r="J65" s="202"/>
      <c r="K65" s="202"/>
      <c r="L65" s="202"/>
      <c r="M65" s="202"/>
      <c r="N65" s="202"/>
      <c r="O65" s="202"/>
      <c r="P65" s="203"/>
      <c r="R65" s="204"/>
      <c r="S65" s="205"/>
      <c r="T65" s="205"/>
      <c r="U65" s="205"/>
      <c r="V65" s="205"/>
      <c r="W65" s="205"/>
      <c r="X65" s="205"/>
      <c r="Y65" s="205"/>
      <c r="Z65" s="205"/>
      <c r="AA65" s="206"/>
      <c r="AB65" s="206"/>
      <c r="AC65" s="206"/>
      <c r="AD65" s="207"/>
      <c r="AF65" s="208"/>
      <c r="AG65" s="209"/>
      <c r="AH65" s="209"/>
      <c r="AI65" s="209"/>
      <c r="AJ65" s="209"/>
      <c r="AK65" s="209"/>
      <c r="AL65" s="209"/>
      <c r="AM65" s="209"/>
      <c r="AN65" s="209"/>
      <c r="AO65" s="209"/>
      <c r="AP65" s="209"/>
      <c r="AQ65" s="209"/>
      <c r="AR65" s="210"/>
      <c r="AT65" s="211">
        <f t="shared" si="23"/>
        <v>0</v>
      </c>
      <c r="AU65" s="212">
        <f t="shared" si="55"/>
        <v>0</v>
      </c>
      <c r="AV65" s="212">
        <f t="shared" si="55"/>
        <v>0</v>
      </c>
      <c r="AW65" s="212">
        <f t="shared" si="55"/>
        <v>0</v>
      </c>
      <c r="AX65" s="181">
        <f t="shared" si="24"/>
        <v>0</v>
      </c>
      <c r="AY65" s="181">
        <f t="shared" si="25"/>
        <v>0</v>
      </c>
      <c r="AZ65" s="181">
        <f t="shared" si="26"/>
        <v>0</v>
      </c>
      <c r="BA65" s="181">
        <f t="shared" si="27"/>
        <v>0</v>
      </c>
      <c r="BB65" s="181">
        <f t="shared" si="28"/>
        <v>0</v>
      </c>
      <c r="BC65" s="181">
        <f t="shared" si="29"/>
        <v>0</v>
      </c>
      <c r="BD65" s="181">
        <f t="shared" si="30"/>
        <v>0</v>
      </c>
      <c r="BE65" s="181">
        <f t="shared" si="31"/>
        <v>0</v>
      </c>
      <c r="BF65" s="181">
        <f t="shared" si="32"/>
        <v>0</v>
      </c>
      <c r="BG65" s="213">
        <f t="shared" si="33"/>
        <v>0</v>
      </c>
      <c r="BI65" s="211">
        <f t="shared" si="34"/>
        <v>0</v>
      </c>
      <c r="BJ65" s="212">
        <f t="shared" si="35"/>
        <v>0</v>
      </c>
      <c r="BK65" s="212">
        <f t="shared" si="36"/>
        <v>0</v>
      </c>
      <c r="BL65" s="212">
        <f t="shared" si="37"/>
        <v>0</v>
      </c>
      <c r="BM65" s="181">
        <f t="shared" si="38"/>
        <v>0</v>
      </c>
      <c r="BN65" s="181">
        <f t="shared" si="39"/>
        <v>0</v>
      </c>
      <c r="BO65" s="181">
        <f t="shared" si="40"/>
        <v>0</v>
      </c>
      <c r="BP65" s="181">
        <f t="shared" si="41"/>
        <v>0</v>
      </c>
      <c r="BQ65" s="181">
        <f t="shared" si="42"/>
        <v>0</v>
      </c>
      <c r="BR65" s="181">
        <f t="shared" si="43"/>
        <v>0</v>
      </c>
      <c r="BS65" s="181">
        <f t="shared" si="44"/>
        <v>0</v>
      </c>
      <c r="BT65" s="181">
        <f t="shared" si="45"/>
        <v>0</v>
      </c>
      <c r="BU65" s="181">
        <f t="shared" si="46"/>
        <v>0</v>
      </c>
      <c r="BV65" s="213">
        <f t="shared" si="47"/>
        <v>0</v>
      </c>
    </row>
    <row r="66" spans="2:74" s="214" customFormat="1" ht="13.5" thickBot="1" x14ac:dyDescent="0.25">
      <c r="AF66" s="215">
        <f t="shared" ref="AF66:AR66" si="56">SUM(AF6:AF65)</f>
        <v>185493.99983644587</v>
      </c>
      <c r="AG66" s="215">
        <f t="shared" si="56"/>
        <v>599561471.22564006</v>
      </c>
      <c r="AH66" s="215">
        <f t="shared" si="56"/>
        <v>1207834099.5976305</v>
      </c>
      <c r="AI66" s="216">
        <f t="shared" si="56"/>
        <v>958957381.78903937</v>
      </c>
      <c r="AJ66" s="216">
        <f t="shared" si="56"/>
        <v>496625.08203243936</v>
      </c>
      <c r="AK66" s="215">
        <f t="shared" si="56"/>
        <v>873110.48582753865</v>
      </c>
      <c r="AL66" s="215">
        <f t="shared" si="56"/>
        <v>728257.33260741876</v>
      </c>
      <c r="AM66" s="215">
        <f t="shared" si="56"/>
        <v>175302.14541507515</v>
      </c>
      <c r="AN66" s="215">
        <f t="shared" si="56"/>
        <v>309304.6766798009</v>
      </c>
      <c r="AO66" s="215">
        <f t="shared" si="56"/>
        <v>249842.10990960704</v>
      </c>
      <c r="AP66" s="215">
        <f t="shared" si="56"/>
        <v>418280.33814951195</v>
      </c>
      <c r="AQ66" s="215">
        <f t="shared" si="56"/>
        <v>755673.49860816717</v>
      </c>
      <c r="AR66" s="215">
        <f t="shared" si="56"/>
        <v>603688.46236135869</v>
      </c>
      <c r="AT66" s="217">
        <f t="shared" ref="AT66:BG66" si="57">SUM(AT6:AT65)</f>
        <v>28362699.702670079</v>
      </c>
      <c r="AU66" s="217">
        <f t="shared" si="57"/>
        <v>25817147.045571074</v>
      </c>
      <c r="AV66" s="217">
        <f t="shared" si="57"/>
        <v>23723781.085672006</v>
      </c>
      <c r="AW66" s="217">
        <f t="shared" si="57"/>
        <v>10711273.721819252</v>
      </c>
      <c r="AX66" s="217">
        <f t="shared" si="57"/>
        <v>34425643.925760753</v>
      </c>
      <c r="AY66" s="217">
        <f t="shared" si="57"/>
        <v>6385708.0837318581</v>
      </c>
      <c r="AZ66" s="217">
        <f t="shared" si="57"/>
        <v>1778131.2171950541</v>
      </c>
      <c r="BA66" s="217">
        <f t="shared" si="57"/>
        <v>15512.06285336457</v>
      </c>
      <c r="BB66" s="217">
        <f t="shared" si="57"/>
        <v>15887.15356247272</v>
      </c>
      <c r="BC66" s="217">
        <f t="shared" si="57"/>
        <v>5867.197594525579</v>
      </c>
      <c r="BD66" s="217">
        <f t="shared" si="57"/>
        <v>36984.141786145665</v>
      </c>
      <c r="BE66" s="217">
        <f t="shared" si="57"/>
        <v>38776.977655052026</v>
      </c>
      <c r="BF66" s="217">
        <f t="shared" si="57"/>
        <v>14162.680736704109</v>
      </c>
      <c r="BG66" s="217">
        <f t="shared" si="57"/>
        <v>131331574.99660835</v>
      </c>
      <c r="BI66" s="217">
        <f t="shared" ref="BI66:BV66" si="58">SUM(BI6:BI65)</f>
        <v>29441740.677015334</v>
      </c>
      <c r="BJ66" s="217">
        <f t="shared" si="58"/>
        <v>30794181.789479714</v>
      </c>
      <c r="BK66" s="217">
        <f t="shared" si="58"/>
        <v>35637617.739256985</v>
      </c>
      <c r="BL66" s="217">
        <f t="shared" si="58"/>
        <v>15782471.537940877</v>
      </c>
      <c r="BM66" s="217">
        <f t="shared" si="58"/>
        <v>28705725.405003034</v>
      </c>
      <c r="BN66" s="217">
        <f t="shared" si="58"/>
        <v>7882612.5917156097</v>
      </c>
      <c r="BO66" s="217">
        <f t="shared" si="58"/>
        <v>2268491.6407728554</v>
      </c>
      <c r="BP66" s="217">
        <f t="shared" si="58"/>
        <v>18688.327245034074</v>
      </c>
      <c r="BQ66" s="217">
        <f t="shared" si="58"/>
        <v>21714.828861100854</v>
      </c>
      <c r="BR66" s="217">
        <f t="shared" si="58"/>
        <v>6976.4230061957051</v>
      </c>
      <c r="BS66" s="217">
        <f t="shared" si="58"/>
        <v>44458.638171287203</v>
      </c>
      <c r="BT66" s="217">
        <f t="shared" si="58"/>
        <v>53024.269050374591</v>
      </c>
      <c r="BU66" s="217">
        <f t="shared" si="58"/>
        <v>16817.488788037557</v>
      </c>
      <c r="BV66" s="217">
        <f t="shared" si="58"/>
        <v>150674521.35630643</v>
      </c>
    </row>
    <row r="67" spans="2:74" s="214" customFormat="1" ht="13.5" thickTop="1" x14ac:dyDescent="0.2"/>
    <row r="68" spans="2:74" s="214" customFormat="1" x14ac:dyDescent="0.2">
      <c r="BG68" s="336"/>
      <c r="BV68" s="336"/>
    </row>
    <row r="69" spans="2:74" s="214" customFormat="1" x14ac:dyDescent="0.2">
      <c r="BV69" s="336"/>
    </row>
    <row r="70" spans="2:74" s="214" customFormat="1" x14ac:dyDescent="0.2">
      <c r="BV70" s="336"/>
    </row>
    <row r="71" spans="2:74" s="214" customFormat="1" x14ac:dyDescent="0.2"/>
    <row r="72" spans="2:74" s="214" customFormat="1" x14ac:dyDescent="0.2"/>
    <row r="73" spans="2:74" s="214" customFormat="1" x14ac:dyDescent="0.2"/>
    <row r="74" spans="2:74" s="214" customFormat="1" x14ac:dyDescent="0.2"/>
    <row r="75" spans="2:74" s="214" customFormat="1" x14ac:dyDescent="0.2"/>
    <row r="76" spans="2:74" s="214" customFormat="1" x14ac:dyDescent="0.2"/>
    <row r="77" spans="2:74" s="214" customFormat="1" x14ac:dyDescent="0.2"/>
    <row r="78" spans="2:74" s="214" customFormat="1" x14ac:dyDescent="0.2"/>
    <row r="79" spans="2:74" s="214" customFormat="1" x14ac:dyDescent="0.2"/>
    <row r="80" spans="2:74" s="214" customFormat="1" x14ac:dyDescent="0.2"/>
    <row r="81" s="214" customFormat="1" x14ac:dyDescent="0.2"/>
    <row r="82" s="214" customFormat="1" x14ac:dyDescent="0.2"/>
    <row r="83" s="214" customFormat="1" x14ac:dyDescent="0.2"/>
    <row r="84" s="214" customFormat="1" x14ac:dyDescent="0.2"/>
    <row r="85" s="214" customFormat="1" x14ac:dyDescent="0.2"/>
    <row r="86" s="214" customFormat="1" x14ac:dyDescent="0.2"/>
    <row r="87" s="214" customFormat="1" x14ac:dyDescent="0.2"/>
    <row r="88" s="214" customFormat="1" x14ac:dyDescent="0.2"/>
    <row r="89" s="214" customFormat="1" x14ac:dyDescent="0.2"/>
    <row r="90" s="214" customFormat="1" x14ac:dyDescent="0.2"/>
    <row r="91" s="214" customFormat="1" x14ac:dyDescent="0.2"/>
    <row r="92" s="214" customFormat="1" x14ac:dyDescent="0.2"/>
    <row r="93" s="214" customFormat="1" x14ac:dyDescent="0.2"/>
    <row r="94" s="214" customFormat="1" x14ac:dyDescent="0.2"/>
    <row r="95" s="214" customFormat="1" x14ac:dyDescent="0.2"/>
    <row r="96" s="214" customFormat="1" x14ac:dyDescent="0.2"/>
    <row r="97" s="214" customFormat="1" x14ac:dyDescent="0.2"/>
    <row r="98" s="214" customFormat="1" x14ac:dyDescent="0.2"/>
    <row r="99" s="214" customFormat="1" x14ac:dyDescent="0.2"/>
    <row r="100" s="214" customFormat="1" x14ac:dyDescent="0.2"/>
    <row r="101" s="214" customFormat="1" x14ac:dyDescent="0.2"/>
    <row r="102" s="214" customFormat="1" x14ac:dyDescent="0.2"/>
    <row r="103" s="214" customFormat="1" x14ac:dyDescent="0.2"/>
    <row r="104" s="214" customFormat="1" x14ac:dyDescent="0.2"/>
    <row r="105" s="214" customFormat="1" x14ac:dyDescent="0.2"/>
  </sheetData>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FFFF00"/>
  </sheetPr>
  <dimension ref="A2:X13"/>
  <sheetViews>
    <sheetView zoomScale="80" zoomScaleNormal="80" workbookViewId="0">
      <selection activeCell="E26" sqref="E26"/>
    </sheetView>
  </sheetViews>
  <sheetFormatPr defaultRowHeight="14.25" x14ac:dyDescent="0.2"/>
  <cols>
    <col min="1" max="1" width="5.42578125" style="1" customWidth="1"/>
    <col min="2" max="2" width="78.42578125" style="2" customWidth="1"/>
    <col min="3" max="3" width="18.5703125" style="3" customWidth="1"/>
    <col min="4" max="5" width="18.5703125" style="4" customWidth="1"/>
    <col min="6" max="6" width="9.140625" style="4" customWidth="1"/>
    <col min="7" max="8" width="18.5703125" style="4" customWidth="1"/>
    <col min="9" max="10" width="9.140625" style="5" customWidth="1"/>
    <col min="11" max="16" width="9.140625" style="4" customWidth="1"/>
    <col min="17" max="20" width="9.140625" style="4"/>
    <col min="21" max="21" width="9.14062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CitiPower</v>
      </c>
      <c r="C2" s="350" t="str">
        <f>'Model update'!$C$5&amp;"DistRevCapForm"</f>
        <v>2021DistRevCapForm</v>
      </c>
      <c r="D2" s="7"/>
      <c r="G2" s="45"/>
      <c r="M2" s="32"/>
      <c r="N2" s="32"/>
      <c r="O2" s="32"/>
      <c r="P2" s="32"/>
      <c r="Q2" s="32"/>
      <c r="R2" s="32"/>
    </row>
    <row r="3" spans="1:24" ht="15" x14ac:dyDescent="0.25">
      <c r="B3" s="42"/>
      <c r="D3" s="7"/>
      <c r="M3" s="32"/>
      <c r="N3" s="32"/>
      <c r="O3" s="32"/>
      <c r="P3" s="32"/>
      <c r="Q3" s="32"/>
      <c r="R3" s="32"/>
    </row>
    <row r="4" spans="1:24" ht="18.75" x14ac:dyDescent="0.3">
      <c r="B4" s="43" t="s">
        <v>126</v>
      </c>
      <c r="C4" s="44"/>
      <c r="D4" s="7"/>
      <c r="M4" s="32"/>
      <c r="N4" s="32"/>
      <c r="O4" s="32"/>
      <c r="P4" s="32"/>
      <c r="Q4" s="32"/>
      <c r="R4" s="32"/>
    </row>
    <row r="5" spans="1:24" ht="15" x14ac:dyDescent="0.25">
      <c r="B5" s="8"/>
      <c r="D5" s="7"/>
      <c r="M5" s="32"/>
      <c r="N5" s="32"/>
      <c r="O5" s="32"/>
      <c r="P5" s="32"/>
      <c r="Q5" s="32"/>
      <c r="R5" s="32"/>
    </row>
    <row r="6" spans="1:24" ht="15" x14ac:dyDescent="0.25">
      <c r="B6" s="29" t="s">
        <v>124</v>
      </c>
      <c r="C6" s="40">
        <f>'Model update'!C5</f>
        <v>2021</v>
      </c>
      <c r="D6" s="7"/>
      <c r="H6" s="5"/>
      <c r="J6" s="4"/>
      <c r="L6" s="32"/>
      <c r="M6" s="32"/>
      <c r="N6" s="32"/>
      <c r="O6" s="32"/>
      <c r="P6" s="32"/>
      <c r="Q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83</v>
      </c>
      <c r="C8" s="15"/>
      <c r="D8" s="16"/>
      <c r="E8" s="16"/>
      <c r="M8" s="32"/>
      <c r="N8" s="32"/>
      <c r="O8" s="32"/>
      <c r="P8" s="32"/>
      <c r="Q8" s="32"/>
      <c r="R8" s="32"/>
    </row>
    <row r="9" spans="1:24" ht="18" customHeight="1" x14ac:dyDescent="0.2">
      <c r="A9" s="12"/>
      <c r="B9" s="17" t="s">
        <v>84</v>
      </c>
      <c r="C9" s="28">
        <f>Prop2021DistTar!BG66</f>
        <v>131331574.99660835</v>
      </c>
      <c r="D9" s="16"/>
      <c r="E9" s="16"/>
      <c r="H9" s="5"/>
      <c r="I9" s="4"/>
      <c r="J9" s="4"/>
      <c r="M9" s="32"/>
      <c r="N9" s="32"/>
      <c r="O9" s="32"/>
      <c r="P9" s="32"/>
      <c r="Q9" s="32"/>
      <c r="R9" s="32"/>
    </row>
    <row r="10" spans="1:24" ht="18" customHeight="1" x14ac:dyDescent="0.2">
      <c r="A10" s="12"/>
      <c r="B10" s="34" t="s">
        <v>85</v>
      </c>
      <c r="C10" s="419">
        <v>131344767.78462578</v>
      </c>
      <c r="D10" s="16"/>
      <c r="E10" s="16"/>
      <c r="H10" s="5"/>
      <c r="I10" s="4"/>
      <c r="J10" s="4"/>
      <c r="M10" s="32"/>
      <c r="N10" s="32"/>
      <c r="O10" s="32"/>
      <c r="P10" s="32"/>
      <c r="Q10" s="32"/>
      <c r="R10" s="32"/>
    </row>
    <row r="11" spans="1:24" ht="18" customHeight="1" x14ac:dyDescent="0.25">
      <c r="A11" s="12"/>
      <c r="B11" s="36"/>
      <c r="C11" s="38" t="str">
        <f>IF(C9="","",IF(C10&gt;=C9,"DUoS REVENUE CAP FORMULA COMPLIANT","DUoS REVENUE CAP FORMULA BREACHED"))</f>
        <v>DUoS REVENUE CAP FORMULA COMPLIANT</v>
      </c>
      <c r="D11" s="16"/>
      <c r="E11" s="16"/>
      <c r="F11" s="31"/>
      <c r="G11" s="31"/>
      <c r="H11" s="5"/>
      <c r="I11" s="31"/>
      <c r="J11" s="31"/>
      <c r="K11" s="31"/>
      <c r="L11" s="31"/>
      <c r="M11" s="32"/>
      <c r="N11" s="32"/>
      <c r="O11" s="32"/>
      <c r="P11" s="32"/>
      <c r="Q11" s="32"/>
      <c r="R11" s="32"/>
      <c r="V11" s="20"/>
      <c r="W11" s="20"/>
      <c r="X11" s="20"/>
    </row>
    <row r="12" spans="1:24" ht="18" customHeight="1" x14ac:dyDescent="0.25">
      <c r="A12" s="12"/>
      <c r="B12" s="19"/>
      <c r="C12" s="19"/>
      <c r="D12" s="16"/>
      <c r="E12" s="16"/>
      <c r="F12" s="31"/>
      <c r="G12" s="31"/>
      <c r="H12" s="19"/>
      <c r="I12" s="31"/>
      <c r="J12" s="31"/>
      <c r="K12" s="31"/>
      <c r="L12" s="31"/>
      <c r="M12" s="32"/>
      <c r="N12" s="32"/>
      <c r="O12" s="32"/>
      <c r="P12" s="32"/>
      <c r="Q12" s="32"/>
      <c r="R12" s="32"/>
      <c r="V12" s="20"/>
      <c r="W12" s="20"/>
      <c r="X12" s="20"/>
    </row>
    <row r="13" spans="1:24" x14ac:dyDescent="0.2">
      <c r="D13" s="16"/>
      <c r="E13" s="16"/>
    </row>
  </sheetData>
  <pageMargins left="0.7" right="0.7" top="0.75" bottom="0.75" header="0.3" footer="0.3"/>
  <pageSetup orientation="portrait" horizontalDpi="90" verticalDpi="9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13"/>
    <pageSetUpPr autoPageBreaks="0"/>
  </sheetPr>
  <dimension ref="A1:DN143"/>
  <sheetViews>
    <sheetView zoomScale="84" zoomScaleNormal="84" zoomScaleSheetLayoutView="85" workbookViewId="0">
      <selection activeCell="J32" sqref="J32"/>
    </sheetView>
  </sheetViews>
  <sheetFormatPr defaultRowHeight="12.75" x14ac:dyDescent="0.2"/>
  <cols>
    <col min="1" max="1" width="11.5703125" style="72" customWidth="1"/>
    <col min="2" max="2" width="35.85546875" style="105" customWidth="1"/>
    <col min="3" max="3" width="25" style="105" customWidth="1"/>
    <col min="4" max="5" width="37.140625" style="105" customWidth="1"/>
    <col min="6" max="6" width="18.42578125" style="105" customWidth="1"/>
    <col min="7" max="7" width="12.28515625" style="105" customWidth="1"/>
    <col min="8" max="8" width="5.85546875" style="105" customWidth="1"/>
    <col min="9" max="9" width="19.7109375" style="105" customWidth="1"/>
    <col min="10" max="10" width="12.42578125" style="105" customWidth="1"/>
    <col min="11" max="11" width="12.5703125" style="105" customWidth="1"/>
    <col min="12" max="13" width="10" style="105" bestFit="1" customWidth="1"/>
    <col min="14" max="14" width="9.7109375" style="105" customWidth="1"/>
    <col min="15" max="15" width="10.85546875" style="105" customWidth="1"/>
    <col min="16" max="16" width="11" style="105" customWidth="1"/>
    <col min="17" max="18" width="10.7109375" style="105" bestFit="1" customWidth="1"/>
    <col min="19" max="19" width="11.28515625" style="105" customWidth="1"/>
    <col min="20" max="22" width="10.5703125" style="105" customWidth="1"/>
    <col min="23" max="23" width="11.140625" style="105" customWidth="1"/>
    <col min="24" max="26" width="10.5703125" style="105" customWidth="1"/>
    <col min="27" max="27" width="1.85546875" style="105" customWidth="1"/>
    <col min="28" max="28" width="14.42578125" style="105" customWidth="1"/>
    <col min="29" max="32" width="12" style="105" customWidth="1"/>
    <col min="33" max="36" width="10.5703125" style="105" customWidth="1"/>
    <col min="37" max="37" width="11.85546875" style="105" customWidth="1"/>
    <col min="38" max="40" width="10.5703125" style="105" customWidth="1"/>
    <col min="41" max="41" width="11.28515625" style="105" bestFit="1" customWidth="1"/>
    <col min="42" max="44" width="10.5703125" style="105" customWidth="1"/>
    <col min="45" max="45" width="11.28515625" style="105" bestFit="1" customWidth="1"/>
    <col min="46" max="48" width="10.5703125" style="105" customWidth="1"/>
    <col min="49" max="49" width="1.85546875" style="105" customWidth="1"/>
    <col min="50" max="50" width="15.7109375" style="105" bestFit="1" customWidth="1"/>
    <col min="51" max="51" width="19.140625" style="105" bestFit="1" customWidth="1"/>
    <col min="52" max="52" width="17.85546875" style="105" bestFit="1" customWidth="1"/>
    <col min="53" max="53" width="15.7109375" style="105" customWidth="1"/>
    <col min="54" max="54" width="17.85546875" style="105" bestFit="1" customWidth="1"/>
    <col min="55" max="55" width="19.140625" style="105" bestFit="1" customWidth="1"/>
    <col min="56" max="57" width="17.85546875" style="105" bestFit="1" customWidth="1"/>
    <col min="58" max="58" width="10" style="105" bestFit="1" customWidth="1"/>
    <col min="59" max="60" width="15.7109375" style="105" bestFit="1" customWidth="1"/>
    <col min="61" max="61" width="16.28515625" style="105" customWidth="1"/>
    <col min="62" max="62" width="10.7109375" style="105" bestFit="1" customWidth="1"/>
    <col min="63" max="65" width="15.7109375" style="105" bestFit="1" customWidth="1"/>
    <col min="66" max="66" width="9.140625" style="105"/>
    <col min="67" max="67" width="14.5703125" style="105" customWidth="1"/>
    <col min="68" max="69" width="14.85546875" style="105" bestFit="1" customWidth="1"/>
    <col min="70" max="70" width="10.7109375" style="105" customWidth="1"/>
    <col min="71" max="71" width="1.85546875" style="105" customWidth="1"/>
    <col min="72" max="72" width="14.42578125" style="105" bestFit="1" customWidth="1"/>
    <col min="73" max="74" width="15.7109375" style="105" bestFit="1" customWidth="1"/>
    <col min="75" max="79" width="14.42578125" style="105" bestFit="1" customWidth="1"/>
    <col min="80" max="80" width="9.85546875" style="105" bestFit="1" customWidth="1"/>
    <col min="81" max="82" width="14.42578125" style="105" bestFit="1" customWidth="1"/>
    <col min="83" max="84" width="10.5703125" style="105" bestFit="1" customWidth="1"/>
    <col min="85" max="86" width="14.42578125" style="105" bestFit="1" customWidth="1"/>
    <col min="87" max="87" width="13.140625" style="105" bestFit="1" customWidth="1"/>
    <col min="88" max="88" width="9.140625" style="105"/>
    <col min="89" max="89" width="13.5703125" style="105" customWidth="1"/>
    <col min="90" max="90" width="13.85546875" style="105" customWidth="1"/>
    <col min="91" max="91" width="12.7109375" style="105" customWidth="1"/>
    <col min="92" max="92" width="10.5703125" style="105" customWidth="1"/>
    <col min="93" max="93" width="15.7109375" style="105" bestFit="1" customWidth="1"/>
    <col min="94" max="94" width="1.85546875" style="105" customWidth="1"/>
    <col min="95" max="95" width="14.42578125" style="105" customWidth="1"/>
    <col min="96" max="96" width="15.7109375" style="105" bestFit="1" customWidth="1"/>
    <col min="97" max="102" width="14.42578125" style="105" bestFit="1" customWidth="1"/>
    <col min="103" max="103" width="10" style="105" bestFit="1" customWidth="1"/>
    <col min="104" max="105" width="14.42578125" style="105" bestFit="1" customWidth="1"/>
    <col min="106" max="107" width="10.5703125" style="105" bestFit="1" customWidth="1"/>
    <col min="108" max="110" width="14.42578125" style="105" bestFit="1" customWidth="1"/>
    <col min="111" max="111" width="9.140625" style="105"/>
    <col min="112" max="114" width="13.5703125" style="105" customWidth="1"/>
    <col min="115" max="115" width="10.5703125" style="105" customWidth="1"/>
    <col min="116" max="116" width="15.7109375" style="105" bestFit="1" customWidth="1"/>
    <col min="117" max="16384" width="9.140625" style="105"/>
  </cols>
  <sheetData>
    <row r="1" spans="2:4" ht="15" x14ac:dyDescent="0.25">
      <c r="B1" s="104" t="str">
        <f>"Tariff Approval - "&amp;'Model update'!C3</f>
        <v>Tariff Approval - CitiPower</v>
      </c>
      <c r="C1" s="350" t="str">
        <f>'Model update'!$C$5&amp;"DistTarRebalCont"</f>
        <v>2021DistTarRebalCont</v>
      </c>
    </row>
    <row r="3" spans="2:4" x14ac:dyDescent="0.2">
      <c r="B3" s="46" t="str">
        <f>'Model update'!C5&amp;" DISTRIBUTION TARIFF REBALANCING CONTROL"</f>
        <v>2021 DISTRIBUTION TARIFF REBALANCING CONTROL</v>
      </c>
    </row>
    <row r="4" spans="2:4" ht="6" customHeight="1" thickBot="1" x14ac:dyDescent="0.25">
      <c r="B4" s="46"/>
    </row>
    <row r="5" spans="2:4" ht="6" customHeight="1" x14ac:dyDescent="0.2">
      <c r="B5" s="106"/>
      <c r="C5" s="107"/>
      <c r="D5" s="108"/>
    </row>
    <row r="6" spans="2:4" x14ac:dyDescent="0.2">
      <c r="B6" s="109" t="s">
        <v>111</v>
      </c>
      <c r="C6" s="71"/>
      <c r="D6" s="110"/>
    </row>
    <row r="7" spans="2:4" ht="6" customHeight="1" x14ac:dyDescent="0.2">
      <c r="B7" s="111"/>
      <c r="C7" s="71"/>
      <c r="D7" s="110"/>
    </row>
    <row r="8" spans="2:4" x14ac:dyDescent="0.2">
      <c r="B8" s="111" t="str">
        <f>"CPI "&amp;'Model update'!$C$5</f>
        <v>CPI 2021</v>
      </c>
      <c r="C8" s="112">
        <f>'Model update'!C30</f>
        <v>-3.4843205574912606E-3</v>
      </c>
      <c r="D8" s="110"/>
    </row>
    <row r="9" spans="2:4" x14ac:dyDescent="0.2">
      <c r="B9" s="111"/>
      <c r="C9" s="47"/>
      <c r="D9" s="110"/>
    </row>
    <row r="10" spans="2:4" x14ac:dyDescent="0.2">
      <c r="B10" s="111"/>
      <c r="C10" s="47"/>
      <c r="D10" s="110"/>
    </row>
    <row r="11" spans="2:4" x14ac:dyDescent="0.2">
      <c r="B11" s="111"/>
      <c r="C11" s="47"/>
      <c r="D11" s="110"/>
    </row>
    <row r="12" spans="2:4" x14ac:dyDescent="0.2">
      <c r="B12" s="111"/>
      <c r="C12" s="47"/>
      <c r="D12" s="110"/>
    </row>
    <row r="13" spans="2:4" x14ac:dyDescent="0.2">
      <c r="B13" s="111"/>
      <c r="C13" s="48"/>
      <c r="D13" s="110"/>
    </row>
    <row r="14" spans="2:4" ht="6" customHeight="1" x14ac:dyDescent="0.2">
      <c r="B14" s="111"/>
      <c r="C14" s="71"/>
      <c r="D14" s="110"/>
    </row>
    <row r="15" spans="2:4" ht="6" customHeight="1" x14ac:dyDescent="0.2">
      <c r="B15" s="111"/>
      <c r="C15" s="71"/>
      <c r="D15" s="110"/>
    </row>
    <row r="16" spans="2:4" x14ac:dyDescent="0.2">
      <c r="B16" s="113"/>
      <c r="C16" s="114">
        <f>(1+C8)*(1-C9)*(1+0.02)*(1+C10)+SUM(C11:C13)</f>
        <v>1.016445993031359</v>
      </c>
      <c r="D16" s="110"/>
    </row>
    <row r="17" spans="1:6" ht="6" customHeight="1" thickBot="1" x14ac:dyDescent="0.25">
      <c r="B17" s="115"/>
      <c r="C17" s="116"/>
      <c r="D17" s="117"/>
    </row>
    <row r="18" spans="1:6" ht="6" customHeight="1" thickBot="1" x14ac:dyDescent="0.25">
      <c r="B18" s="118"/>
      <c r="C18" s="118"/>
      <c r="D18" s="118"/>
    </row>
    <row r="19" spans="1:6" s="234" customFormat="1" x14ac:dyDescent="0.2">
      <c r="A19" s="170"/>
      <c r="B19" s="231"/>
      <c r="C19" s="232"/>
      <c r="D19" s="232"/>
      <c r="E19" s="232"/>
      <c r="F19" s="233"/>
    </row>
    <row r="20" spans="1:6" s="234" customFormat="1" x14ac:dyDescent="0.2">
      <c r="A20" s="170"/>
      <c r="B20" s="235" t="s">
        <v>112</v>
      </c>
      <c r="C20" s="236" t="str">
        <f>"Pt-1*(Qt " &amp;'Model update'!$C$5&amp;")"</f>
        <v>Pt-1*(Qt 2021)</v>
      </c>
      <c r="D20" s="236" t="str">
        <f>"Pt*(Qt " &amp;'Model update'!$C$5&amp;")"</f>
        <v>Pt*(Qt 2021)</v>
      </c>
      <c r="E20" s="237"/>
      <c r="F20" s="238"/>
    </row>
    <row r="21" spans="1:6" s="234" customFormat="1" x14ac:dyDescent="0.2">
      <c r="A21" s="170"/>
      <c r="B21" s="239" t="s">
        <v>113</v>
      </c>
      <c r="C21" s="240" t="s">
        <v>114</v>
      </c>
      <c r="D21" s="240" t="s">
        <v>115</v>
      </c>
      <c r="E21" s="240" t="s">
        <v>116</v>
      </c>
      <c r="F21" s="241"/>
    </row>
    <row r="22" spans="1:6" s="234" customFormat="1" ht="12.75" customHeight="1" x14ac:dyDescent="0.2">
      <c r="A22" s="170"/>
      <c r="B22" s="229" t="s">
        <v>620</v>
      </c>
      <c r="C22" s="242">
        <f>IF(B22="","",SUMIF($B$44:$B$103,$B22,$I$44:$I$103))</f>
        <v>41984578.777302466</v>
      </c>
      <c r="D22" s="242">
        <f>IF(B22="","",SUMIF($B$44:$B$103,$B22,$F$44:$F$103))</f>
        <v>36672607.562174827</v>
      </c>
      <c r="E22" s="243">
        <f t="shared" ref="E22:E38" si="0">IF(B22="","",D22/C22)</f>
        <v>0.87347803956057846</v>
      </c>
      <c r="F22" s="241" t="str">
        <f t="shared" ref="F22:F38" si="1">IF(B22="","",IF(E22&lt;$C$16,"COMPLIANT","BREACHED"))</f>
        <v>COMPLIANT</v>
      </c>
    </row>
    <row r="23" spans="1:6" s="234" customFormat="1" ht="12.75" customHeight="1" x14ac:dyDescent="0.2">
      <c r="A23" s="170"/>
      <c r="B23" s="304" t="s">
        <v>621</v>
      </c>
      <c r="C23" s="244">
        <f>IF(B23="","",SUMIF($B$44:$B$103,$B23,$I$44:$I$103))</f>
        <v>47599788.394453488</v>
      </c>
      <c r="D23" s="244">
        <f>IF(B23="","",SUMIF($B$44:$B$103,$B23,$F$44:$F$103))</f>
        <v>38617088.03532476</v>
      </c>
      <c r="E23" s="245">
        <f t="shared" si="0"/>
        <v>0.81128696865855332</v>
      </c>
      <c r="F23" s="241" t="str">
        <f t="shared" si="1"/>
        <v>COMPLIANT</v>
      </c>
    </row>
    <row r="24" spans="1:6" s="234" customFormat="1" x14ac:dyDescent="0.2">
      <c r="A24" s="170"/>
      <c r="B24" s="304" t="s">
        <v>622</v>
      </c>
      <c r="C24" s="244">
        <f>IF(B24="","",SUMIF($B$44:$B$103,$B24,$I$44:$I$103))</f>
        <v>51997186.289665155</v>
      </c>
      <c r="D24" s="244">
        <f>IF(B24="","",SUMIF($B$44:$B$103,$B24,$F$44:$F$103))</f>
        <v>47192261.505167738</v>
      </c>
      <c r="E24" s="245">
        <f t="shared" si="0"/>
        <v>0.90759260015089638</v>
      </c>
      <c r="F24" s="241" t="str">
        <f t="shared" si="1"/>
        <v>COMPLIANT</v>
      </c>
    </row>
    <row r="25" spans="1:6" s="234" customFormat="1" x14ac:dyDescent="0.2">
      <c r="A25" s="170"/>
      <c r="B25" s="304" t="s">
        <v>623</v>
      </c>
      <c r="C25" s="244">
        <f>IF(B25="","",SUMIF($B$44:$B$103,$B25,$I$44:$I$103))</f>
        <v>8583403.9027285371</v>
      </c>
      <c r="D25" s="244">
        <f>IF(B25="","",SUMIF($B$44:$B$103,$B25,$F$44:$F$103))</f>
        <v>8398299.9220877253</v>
      </c>
      <c r="E25" s="245">
        <f t="shared" si="0"/>
        <v>0.97843466499555376</v>
      </c>
      <c r="F25" s="241" t="str">
        <f t="shared" si="1"/>
        <v>COMPLIANT</v>
      </c>
    </row>
    <row r="26" spans="1:6" s="234" customFormat="1" x14ac:dyDescent="0.2">
      <c r="A26" s="170"/>
      <c r="B26" s="304" t="s">
        <v>624</v>
      </c>
      <c r="C26" s="244">
        <f>IF(B26="","",SUMIF($B$44:$B$103,$B26,$I$44:$I$103))</f>
        <v>509563.99215678254</v>
      </c>
      <c r="D26" s="244">
        <f>IF(B26="","",SUMIF($B$44:$B$103,$B26,$F$44:$F$103))</f>
        <v>451317.9718532929</v>
      </c>
      <c r="E26" s="245">
        <f t="shared" si="0"/>
        <v>0.88569439520842652</v>
      </c>
      <c r="F26" s="241" t="str">
        <f t="shared" si="1"/>
        <v>COMPLIANT</v>
      </c>
    </row>
    <row r="27" spans="1:6" s="234" customFormat="1" x14ac:dyDescent="0.2">
      <c r="A27" s="170"/>
      <c r="B27" s="304"/>
      <c r="C27" s="244" t="str">
        <f t="shared" ref="C27:C31" si="2">IF(B27="","",SUMIF($B$44:$B$103,$B27,$I$44:$I$103))</f>
        <v/>
      </c>
      <c r="D27" s="244" t="str">
        <f t="shared" ref="D27:D31" si="3">IF(B27="","",SUMIF($B$44:$B$103,$B27,$F$44:$F$103))</f>
        <v/>
      </c>
      <c r="E27" s="245" t="str">
        <f t="shared" ref="E27:E32" si="4">IF(B27="","",D27/C27)</f>
        <v/>
      </c>
      <c r="F27" s="241" t="str">
        <f t="shared" ref="F27:F32" si="5">IF(B27="","",IF(E27&lt;$C$16,"COMPLIANT","BREACHED"))</f>
        <v/>
      </c>
    </row>
    <row r="28" spans="1:6" s="234" customFormat="1" x14ac:dyDescent="0.2">
      <c r="A28" s="170"/>
      <c r="B28" s="304"/>
      <c r="C28" s="244" t="str">
        <f t="shared" si="2"/>
        <v/>
      </c>
      <c r="D28" s="244" t="str">
        <f t="shared" si="3"/>
        <v/>
      </c>
      <c r="E28" s="245" t="str">
        <f t="shared" si="4"/>
        <v/>
      </c>
      <c r="F28" s="241" t="str">
        <f t="shared" si="5"/>
        <v/>
      </c>
    </row>
    <row r="29" spans="1:6" s="234" customFormat="1" x14ac:dyDescent="0.2">
      <c r="A29" s="170"/>
      <c r="B29" s="304"/>
      <c r="C29" s="244" t="str">
        <f t="shared" si="2"/>
        <v/>
      </c>
      <c r="D29" s="244" t="str">
        <f t="shared" si="3"/>
        <v/>
      </c>
      <c r="E29" s="245" t="str">
        <f t="shared" si="4"/>
        <v/>
      </c>
      <c r="F29" s="241" t="str">
        <f t="shared" si="5"/>
        <v/>
      </c>
    </row>
    <row r="30" spans="1:6" s="234" customFormat="1" x14ac:dyDescent="0.2">
      <c r="A30" s="170"/>
      <c r="B30" s="304"/>
      <c r="C30" s="244" t="str">
        <f t="shared" si="2"/>
        <v/>
      </c>
      <c r="D30" s="244" t="str">
        <f t="shared" si="3"/>
        <v/>
      </c>
      <c r="E30" s="245" t="str">
        <f t="shared" si="4"/>
        <v/>
      </c>
      <c r="F30" s="241" t="str">
        <f t="shared" si="5"/>
        <v/>
      </c>
    </row>
    <row r="31" spans="1:6" s="234" customFormat="1" x14ac:dyDescent="0.2">
      <c r="A31" s="170"/>
      <c r="B31" s="304"/>
      <c r="C31" s="244" t="str">
        <f t="shared" si="2"/>
        <v/>
      </c>
      <c r="D31" s="244" t="str">
        <f t="shared" si="3"/>
        <v/>
      </c>
      <c r="E31" s="245" t="str">
        <f t="shared" si="4"/>
        <v/>
      </c>
      <c r="F31" s="241" t="str">
        <f t="shared" si="5"/>
        <v/>
      </c>
    </row>
    <row r="32" spans="1:6" s="234" customFormat="1" x14ac:dyDescent="0.2">
      <c r="A32" s="170"/>
      <c r="B32" s="304"/>
      <c r="C32" s="244" t="str">
        <f t="shared" ref="C32:C38" si="6">IF(B32="","",SUMIF($B$44:$B$103,$B32,$I$44:$I$103))</f>
        <v/>
      </c>
      <c r="D32" s="244" t="str">
        <f t="shared" ref="D32:D38" si="7">IF(B32="","",SUMIF($B$44:$B$103,$B32,$F$44:$F$103))</f>
        <v/>
      </c>
      <c r="E32" s="245" t="str">
        <f t="shared" si="4"/>
        <v/>
      </c>
      <c r="F32" s="241" t="str">
        <f t="shared" si="5"/>
        <v/>
      </c>
    </row>
    <row r="33" spans="1:15" s="234" customFormat="1" x14ac:dyDescent="0.2">
      <c r="A33" s="170"/>
      <c r="B33" s="304"/>
      <c r="C33" s="244" t="str">
        <f t="shared" si="6"/>
        <v/>
      </c>
      <c r="D33" s="244" t="str">
        <f t="shared" si="7"/>
        <v/>
      </c>
      <c r="E33" s="245" t="str">
        <f t="shared" si="0"/>
        <v/>
      </c>
      <c r="F33" s="241" t="str">
        <f t="shared" si="1"/>
        <v/>
      </c>
    </row>
    <row r="34" spans="1:15" s="234" customFormat="1" x14ac:dyDescent="0.2">
      <c r="A34" s="170"/>
      <c r="B34" s="304"/>
      <c r="C34" s="244" t="str">
        <f t="shared" si="6"/>
        <v/>
      </c>
      <c r="D34" s="244" t="str">
        <f t="shared" si="7"/>
        <v/>
      </c>
      <c r="E34" s="245" t="str">
        <f t="shared" si="0"/>
        <v/>
      </c>
      <c r="F34" s="241" t="str">
        <f t="shared" si="1"/>
        <v/>
      </c>
    </row>
    <row r="35" spans="1:15" s="234" customFormat="1" x14ac:dyDescent="0.2">
      <c r="A35" s="170"/>
      <c r="B35" s="304"/>
      <c r="C35" s="244" t="str">
        <f t="shared" si="6"/>
        <v/>
      </c>
      <c r="D35" s="244" t="str">
        <f t="shared" si="7"/>
        <v/>
      </c>
      <c r="E35" s="245" t="str">
        <f t="shared" si="0"/>
        <v/>
      </c>
      <c r="F35" s="241" t="str">
        <f t="shared" si="1"/>
        <v/>
      </c>
    </row>
    <row r="36" spans="1:15" s="234" customFormat="1" x14ac:dyDescent="0.2">
      <c r="A36" s="170"/>
      <c r="B36" s="246"/>
      <c r="C36" s="244" t="str">
        <f t="shared" si="6"/>
        <v/>
      </c>
      <c r="D36" s="244" t="str">
        <f t="shared" si="7"/>
        <v/>
      </c>
      <c r="E36" s="245" t="str">
        <f t="shared" si="0"/>
        <v/>
      </c>
      <c r="F36" s="241" t="str">
        <f t="shared" si="1"/>
        <v/>
      </c>
    </row>
    <row r="37" spans="1:15" s="234" customFormat="1" x14ac:dyDescent="0.2">
      <c r="A37" s="170"/>
      <c r="B37" s="246"/>
      <c r="C37" s="244" t="str">
        <f t="shared" si="6"/>
        <v/>
      </c>
      <c r="D37" s="244" t="str">
        <f t="shared" si="7"/>
        <v/>
      </c>
      <c r="E37" s="245" t="str">
        <f t="shared" si="0"/>
        <v/>
      </c>
      <c r="F37" s="241" t="str">
        <f t="shared" si="1"/>
        <v/>
      </c>
    </row>
    <row r="38" spans="1:15" s="234" customFormat="1" ht="13.5" thickBot="1" x14ac:dyDescent="0.25">
      <c r="A38" s="170"/>
      <c r="B38" s="247"/>
      <c r="C38" s="248" t="str">
        <f t="shared" si="6"/>
        <v/>
      </c>
      <c r="D38" s="248" t="str">
        <f t="shared" si="7"/>
        <v/>
      </c>
      <c r="E38" s="249" t="str">
        <f t="shared" si="0"/>
        <v/>
      </c>
      <c r="F38" s="250" t="str">
        <f t="shared" si="1"/>
        <v/>
      </c>
    </row>
    <row r="39" spans="1:15" s="234" customFormat="1" x14ac:dyDescent="0.2">
      <c r="A39" s="170"/>
      <c r="B39" s="251" t="s">
        <v>117</v>
      </c>
      <c r="C39" s="252" t="str">
        <f>IF(ABS(SUM(C22:C38)-I104)&lt;0.01,"Ok","Error")</f>
        <v>Ok</v>
      </c>
      <c r="D39" s="253" t="str">
        <f>IF(ABS(SUM(D22:D38)-F104)&lt;0.01,"Ok","Error")</f>
        <v>Ok</v>
      </c>
      <c r="E39" s="254"/>
    </row>
    <row r="40" spans="1:15" s="234" customFormat="1" x14ac:dyDescent="0.2">
      <c r="A40" s="170"/>
      <c r="B40" s="255"/>
      <c r="C40" s="256" t="str">
        <f>IF(ABS(SUM(C22:C38)-Prop2021DistTar!BV66)&lt;0.01,"Ok","Error")</f>
        <v>Ok</v>
      </c>
      <c r="D40" s="256" t="str">
        <f>IF(ABS(SUM(D22:D38)-Prop2021DistTar!BG66)&lt;0.01,"Ok","Error")</f>
        <v>Ok</v>
      </c>
      <c r="E40" s="254"/>
    </row>
    <row r="41" spans="1:15" s="234" customFormat="1" x14ac:dyDescent="0.2">
      <c r="A41" s="170"/>
      <c r="B41" s="257"/>
      <c r="C41" s="257"/>
      <c r="D41" s="257"/>
      <c r="E41" s="257"/>
    </row>
    <row r="42" spans="1:15" s="234" customFormat="1" ht="13.5" thickBot="1" x14ac:dyDescent="0.25">
      <c r="A42" s="170"/>
      <c r="F42" s="305" t="str">
        <f>"Revenue (Pt "&amp;'Model update'!$C$5&amp;")*(Qt " &amp;'Model update'!$C$5&amp;")"</f>
        <v>Revenue (Pt 2021)*(Qt 2021)</v>
      </c>
      <c r="G42" s="258"/>
      <c r="H42" s="300"/>
      <c r="I42" s="305" t="str">
        <f>"Revenue (Pt-1 "&amp;'Model update'!$C$8&amp;")*(Qt " &amp;'Model update'!$C$5&amp;")"</f>
        <v>Revenue (Pt-1 2020)*(Qt 2021)</v>
      </c>
      <c r="J42" s="258"/>
      <c r="O42" s="259"/>
    </row>
    <row r="43" spans="1:15" s="234" customFormat="1" ht="47.25" customHeight="1" thickBot="1" x14ac:dyDescent="0.25">
      <c r="A43" s="260" t="s">
        <v>118</v>
      </c>
      <c r="B43" s="261" t="s">
        <v>119</v>
      </c>
      <c r="C43" s="261" t="s">
        <v>120</v>
      </c>
      <c r="D43" s="261" t="s">
        <v>87</v>
      </c>
      <c r="E43" s="262" t="s">
        <v>88</v>
      </c>
      <c r="F43" s="303" t="s">
        <v>93</v>
      </c>
      <c r="I43" s="303" t="s">
        <v>95</v>
      </c>
    </row>
    <row r="44" spans="1:15" s="234" customFormat="1" x14ac:dyDescent="0.2">
      <c r="A44" s="263" t="b">
        <f t="array" ref="A44">OR(EXACT(D44,Prop2021DistTar!C$6:C$65))</f>
        <v>1</v>
      </c>
      <c r="B44" s="229" t="s">
        <v>620</v>
      </c>
      <c r="C44" s="229" t="s">
        <v>620</v>
      </c>
      <c r="D44" s="264" t="str">
        <f>IF(Prop2021DistTar!B6="","",Prop2021DistTar!B6)</f>
        <v>Residential Single Rate</v>
      </c>
      <c r="E44" s="268" t="str">
        <f>IF(Prop2021DistTar!C6="","",Prop2021DistTar!C6)</f>
        <v>Residential Single Rate</v>
      </c>
      <c r="F44" s="301">
        <f>Prop2021DistTar!BG6</f>
        <v>26349050.068944007</v>
      </c>
      <c r="I44" s="301">
        <f>Prop2021DistTar!BV6</f>
        <v>29703666.741545785</v>
      </c>
    </row>
    <row r="45" spans="1:15" s="234" customFormat="1" x14ac:dyDescent="0.2">
      <c r="A45" s="263" t="b">
        <f t="array" ref="A45">OR(EXACT(D45,Prop2021DistTar!C$6:C$65))</f>
        <v>1</v>
      </c>
      <c r="B45" s="229" t="s">
        <v>620</v>
      </c>
      <c r="C45" s="229" t="s">
        <v>620</v>
      </c>
      <c r="D45" s="264" t="str">
        <f>IF(Prop2021DistTar!B7="","",Prop2021DistTar!B7)</f>
        <v>Residential Single Rate - Bulk</v>
      </c>
      <c r="E45" s="268" t="str">
        <f>IF(Prop2021DistTar!C7="","",Prop2021DistTar!C7)</f>
        <v>Residential Single Rate - Bulk</v>
      </c>
      <c r="F45" s="301">
        <f>Prop2021DistTar!BG7</f>
        <v>3540631.6846422767</v>
      </c>
      <c r="I45" s="301">
        <f>Prop2021DistTar!BV7</f>
        <v>3618341.9496607156</v>
      </c>
    </row>
    <row r="46" spans="1:15" s="234" customFormat="1" x14ac:dyDescent="0.2">
      <c r="A46" s="263" t="b">
        <f t="array" ref="A46">OR(EXACT(D46,Prop2021DistTar!C$6:C$65))</f>
        <v>1</v>
      </c>
      <c r="B46" s="229" t="s">
        <v>620</v>
      </c>
      <c r="C46" s="229" t="s">
        <v>620</v>
      </c>
      <c r="D46" s="264" t="str">
        <f>IF(Prop2021DistTar!B8="","",Prop2021DistTar!B8)</f>
        <v>Residential - flexible pricing</v>
      </c>
      <c r="E46" s="268" t="str">
        <f>IF(Prop2021DistTar!C8="","",Prop2021DistTar!C8)</f>
        <v>Residential - flexible pricing</v>
      </c>
      <c r="F46" s="301">
        <f>Prop2021DistTar!BG8</f>
        <v>138663.28161128736</v>
      </c>
      <c r="I46" s="301">
        <f>Prop2021DistTar!BV8</f>
        <v>169305.59435708332</v>
      </c>
    </row>
    <row r="47" spans="1:15" s="234" customFormat="1" x14ac:dyDescent="0.2">
      <c r="A47" s="263" t="b">
        <f t="array" ref="A47">OR(EXACT(D47,Prop2021DistTar!C$6:C$65))</f>
        <v>1</v>
      </c>
      <c r="B47" s="229" t="s">
        <v>620</v>
      </c>
      <c r="C47" s="229" t="s">
        <v>620</v>
      </c>
      <c r="D47" s="264" t="str">
        <f>IF(Prop2021DistTar!B9="","",Prop2021DistTar!B9)</f>
        <v>Residential - flexible pricing bulk</v>
      </c>
      <c r="E47" s="268" t="str">
        <f>IF(Prop2021DistTar!C9="","",Prop2021DistTar!C9)</f>
        <v>Residential - flexible pricing bulk</v>
      </c>
      <c r="F47" s="301">
        <f>Prop2021DistTar!BG9</f>
        <v>12579.096636586484</v>
      </c>
      <c r="I47" s="301">
        <f>Prop2021DistTar!BV9</f>
        <v>14353.572769774979</v>
      </c>
    </row>
    <row r="48" spans="1:15" s="234" customFormat="1" x14ac:dyDescent="0.2">
      <c r="A48" s="263" t="b">
        <f t="array" ref="A48">OR(EXACT(D48,Prop2021DistTar!C$6:C$65))</f>
        <v>1</v>
      </c>
      <c r="B48" s="304" t="s">
        <v>620</v>
      </c>
      <c r="C48" s="304" t="s">
        <v>620</v>
      </c>
      <c r="D48" s="264" t="str">
        <f>IF(Prop2021DistTar!B10="","",Prop2021DistTar!B10)</f>
        <v>Residential Two Rate 5d</v>
      </c>
      <c r="E48" s="268" t="str">
        <f>IF(Prop2021DistTar!C10="","",Prop2021DistTar!C10)</f>
        <v>Residential Two Rate 5d</v>
      </c>
      <c r="F48" s="301">
        <f>Prop2021DistTar!BG10</f>
        <v>1834104.3476447028</v>
      </c>
      <c r="I48" s="301">
        <f>Prop2021DistTar!BV10</f>
        <v>2414242.176665362</v>
      </c>
    </row>
    <row r="49" spans="1:9" s="234" customFormat="1" x14ac:dyDescent="0.2">
      <c r="A49" s="263" t="b">
        <f t="array" ref="A49">OR(EXACT(D49,Prop2021DistTar!C$6:C$65))</f>
        <v>1</v>
      </c>
      <c r="B49" s="304" t="s">
        <v>620</v>
      </c>
      <c r="C49" s="304" t="s">
        <v>620</v>
      </c>
      <c r="D49" s="264" t="str">
        <f>IF(Prop2021DistTar!B11="","",Prop2021DistTar!B11)</f>
        <v>Residential Two Rate 5d - Bulk</v>
      </c>
      <c r="E49" s="268" t="str">
        <f>IF(Prop2021DistTar!C11="","",Prop2021DistTar!C11)</f>
        <v>Residential Two Rate 5d - Bulk</v>
      </c>
      <c r="F49" s="301">
        <f>Prop2021DistTar!BG11</f>
        <v>658150.31480580848</v>
      </c>
      <c r="I49" s="301">
        <f>Prop2021DistTar!BV11</f>
        <v>800494.61525449506</v>
      </c>
    </row>
    <row r="50" spans="1:9" s="234" customFormat="1" x14ac:dyDescent="0.2">
      <c r="A50" s="263" t="b">
        <f t="array" ref="A50">OR(EXACT(D50,Prop2021DistTar!C$6:C$65))</f>
        <v>1</v>
      </c>
      <c r="B50" s="304" t="s">
        <v>620</v>
      </c>
      <c r="C50" s="304" t="s">
        <v>620</v>
      </c>
      <c r="D50" s="264" t="str">
        <f>IF(Prop2021DistTar!B12="","",Prop2021DistTar!B12)</f>
        <v>Residential Interval</v>
      </c>
      <c r="E50" s="268" t="str">
        <f>IF(Prop2021DistTar!C12="","",Prop2021DistTar!C12)</f>
        <v>Residential Interval</v>
      </c>
      <c r="F50" s="301">
        <f>Prop2021DistTar!BG12</f>
        <v>2812558.5473232823</v>
      </c>
      <c r="I50" s="301">
        <f>Prop2021DistTar!BV12</f>
        <v>3700185.8757847459</v>
      </c>
    </row>
    <row r="51" spans="1:9" s="234" customFormat="1" x14ac:dyDescent="0.2">
      <c r="A51" s="263" t="b">
        <f t="array" ref="A51">OR(EXACT(D51,Prop2021DistTar!C$6:C$65))</f>
        <v>1</v>
      </c>
      <c r="B51" s="229" t="s">
        <v>620</v>
      </c>
      <c r="C51" s="229" t="s">
        <v>620</v>
      </c>
      <c r="D51" s="264" t="str">
        <f>IF(Prop2021DistTar!B13="","",Prop2021DistTar!B13)</f>
        <v>Residential Interval - Bulk</v>
      </c>
      <c r="E51" s="268" t="str">
        <f>IF(Prop2021DistTar!C13="","",Prop2021DistTar!C13)</f>
        <v>Residential Interval - Bulk</v>
      </c>
      <c r="F51" s="301">
        <f>Prop2021DistTar!BG13</f>
        <v>967119.81959416508</v>
      </c>
      <c r="I51" s="301">
        <f>Prop2021DistTar!BV13</f>
        <v>1152001.0385289777</v>
      </c>
    </row>
    <row r="52" spans="1:9" s="234" customFormat="1" x14ac:dyDescent="0.2">
      <c r="A52" s="263" t="b">
        <f t="array" ref="A52">OR(EXACT(D52,Prop2021DistTar!C$6:C$65))</f>
        <v>1</v>
      </c>
      <c r="B52" s="229" t="s">
        <v>620</v>
      </c>
      <c r="C52" s="229" t="s">
        <v>620</v>
      </c>
      <c r="D52" s="264" t="str">
        <f>IF(Prop2021DistTar!B14="","",Prop2021DistTar!B14)</f>
        <v>Residential Two Rate 5d - Controlled Load</v>
      </c>
      <c r="E52" s="268" t="str">
        <f>IF(Prop2021DistTar!C14="","",Prop2021DistTar!C14)</f>
        <v>Residential Two Rate 5d - Controlled Load</v>
      </c>
      <c r="F52" s="301">
        <f>Prop2021DistTar!BG14</f>
        <v>0</v>
      </c>
      <c r="I52" s="301">
        <f>Prop2021DistTar!BV14</f>
        <v>0</v>
      </c>
    </row>
    <row r="53" spans="1:9" s="234" customFormat="1" x14ac:dyDescent="0.2">
      <c r="A53" s="263" t="b">
        <f t="array" ref="A53">OR(EXACT(D53,Prop2021DistTar!C$6:C$65))</f>
        <v>1</v>
      </c>
      <c r="B53" s="229" t="s">
        <v>620</v>
      </c>
      <c r="C53" s="229" t="s">
        <v>620</v>
      </c>
      <c r="D53" s="264" t="str">
        <f>IF(Prop2021DistTar!B15="","",Prop2021DistTar!B15)</f>
        <v>Residential Two Rate 5d - Bulk - Controlled Load</v>
      </c>
      <c r="E53" s="268" t="str">
        <f>IF(Prop2021DistTar!C15="","",Prop2021DistTar!C15)</f>
        <v>Residential Two Rate 5d - Bulk - Controlled Load</v>
      </c>
      <c r="F53" s="301">
        <f>Prop2021DistTar!BG15</f>
        <v>0</v>
      </c>
      <c r="I53" s="301">
        <f>Prop2021DistTar!BV15</f>
        <v>0</v>
      </c>
    </row>
    <row r="54" spans="1:9" s="234" customFormat="1" x14ac:dyDescent="0.2">
      <c r="A54" s="263" t="b">
        <f t="array" ref="A54">OR(EXACT(D54,Prop2021DistTar!C$6:C$65))</f>
        <v>1</v>
      </c>
      <c r="B54" s="229" t="s">
        <v>620</v>
      </c>
      <c r="C54" s="229" t="s">
        <v>620</v>
      </c>
      <c r="D54" s="264" t="str">
        <f>IF(Prop2021DistTar!B16="","",Prop2021DistTar!B16)</f>
        <v>Dedicated Circuit</v>
      </c>
      <c r="E54" s="268" t="str">
        <f>IF(Prop2021DistTar!C16="","",Prop2021DistTar!C16)</f>
        <v>Dedicated Circuit</v>
      </c>
      <c r="F54" s="301">
        <f>Prop2021DistTar!BG16</f>
        <v>300802.14133267745</v>
      </c>
      <c r="I54" s="301">
        <f>Prop2021DistTar!BV16</f>
        <v>355113.63907329977</v>
      </c>
    </row>
    <row r="55" spans="1:9" s="234" customFormat="1" x14ac:dyDescent="0.2">
      <c r="A55" s="263" t="b">
        <f t="array" ref="A55">OR(EXACT(D55,Prop2021DistTar!C$6:C$65))</f>
        <v>1</v>
      </c>
      <c r="B55" s="304" t="s">
        <v>620</v>
      </c>
      <c r="C55" s="304" t="s">
        <v>620</v>
      </c>
      <c r="D55" s="264" t="str">
        <f>IF(Prop2021DistTar!B17="","",Prop2021DistTar!B17)</f>
        <v>Dedicated Circuit - Bulk</v>
      </c>
      <c r="E55" s="268" t="str">
        <f>IF(Prop2021DistTar!C17="","",Prop2021DistTar!C17)</f>
        <v>Dedicated Circuit - Bulk</v>
      </c>
      <c r="F55" s="301">
        <f>Prop2021DistTar!BG17</f>
        <v>56745.663906059082</v>
      </c>
      <c r="I55" s="301">
        <f>Prop2021DistTar!BV17</f>
        <v>54381.261243306617</v>
      </c>
    </row>
    <row r="56" spans="1:9" s="234" customFormat="1" x14ac:dyDescent="0.2">
      <c r="A56" s="263" t="b">
        <f t="array" ref="A56">OR(EXACT(D56,Prop2021DistTar!C$6:C$65))</f>
        <v>1</v>
      </c>
      <c r="B56" s="304" t="s">
        <v>620</v>
      </c>
      <c r="C56" s="304" t="s">
        <v>620</v>
      </c>
      <c r="D56" s="264" t="str">
        <f>IF(Prop2021DistTar!B18="","",Prop2021DistTar!B18)</f>
        <v>Residential Demand</v>
      </c>
      <c r="E56" s="268" t="str">
        <f>IF(Prop2021DistTar!C18="","",Prop2021DistTar!C18)</f>
        <v>Residential Demand</v>
      </c>
      <c r="F56" s="301">
        <f>Prop2021DistTar!BG18</f>
        <v>1925.0756380408907</v>
      </c>
      <c r="I56" s="301">
        <f>Prop2021DistTar!BV18</f>
        <v>2220.1806888169667</v>
      </c>
    </row>
    <row r="57" spans="1:9" s="234" customFormat="1" x14ac:dyDescent="0.2">
      <c r="A57" s="263" t="b">
        <f t="array" ref="A57">OR(EXACT(D57,Prop2021DistTar!C$6:C$65))</f>
        <v>1</v>
      </c>
      <c r="B57" s="304" t="s">
        <v>620</v>
      </c>
      <c r="C57" s="304" t="s">
        <v>620</v>
      </c>
      <c r="D57" s="264" t="str">
        <f>IF(Prop2021DistTar!B19="","",Prop2021DistTar!B19)</f>
        <v>Residential Bulk Demand</v>
      </c>
      <c r="E57" s="268" t="str">
        <f>IF(Prop2021DistTar!C19="","",Prop2021DistTar!C19)</f>
        <v>Residential Bulk Demand</v>
      </c>
      <c r="F57" s="301">
        <f>Prop2021DistTar!BG19</f>
        <v>277.52009592838129</v>
      </c>
      <c r="I57" s="301">
        <f>Prop2021DistTar!BV19</f>
        <v>272.13173010992921</v>
      </c>
    </row>
    <row r="58" spans="1:9" s="234" customFormat="1" x14ac:dyDescent="0.2">
      <c r="A58" s="263" t="b">
        <f t="array" ref="A58">OR(EXACT(D58,Prop2021DistTar!C$6:C$65))</f>
        <v>1</v>
      </c>
      <c r="B58" s="304" t="s">
        <v>621</v>
      </c>
      <c r="C58" s="304" t="s">
        <v>621</v>
      </c>
      <c r="D58" s="264" t="str">
        <f>IF(Prop2021DistTar!B20="","",Prop2021DistTar!B20)</f>
        <v>Non-Residential Single Rate</v>
      </c>
      <c r="E58" s="268" t="str">
        <f>IF(Prop2021DistTar!C20="","",Prop2021DistTar!C20)</f>
        <v>Non-Residential Single Rate</v>
      </c>
      <c r="F58" s="301">
        <f>Prop2021DistTar!BG20</f>
        <v>6311395.8551924778</v>
      </c>
      <c r="I58" s="301">
        <f>Prop2021DistTar!BV20</f>
        <v>8010925.8348073307</v>
      </c>
    </row>
    <row r="59" spans="1:9" s="234" customFormat="1" x14ac:dyDescent="0.2">
      <c r="A59" s="263" t="b">
        <f t="array" ref="A59">OR(EXACT(D59,Prop2021DistTar!C$6:C$65))</f>
        <v>1</v>
      </c>
      <c r="B59" s="229" t="s">
        <v>621</v>
      </c>
      <c r="C59" s="229" t="s">
        <v>621</v>
      </c>
      <c r="D59" s="264" t="str">
        <f>IF(Prop2021DistTar!B21="","",Prop2021DistTar!B21)</f>
        <v>Non-Residential Single Rate - Bulk</v>
      </c>
      <c r="E59" s="268" t="str">
        <f>IF(Prop2021DistTar!C21="","",Prop2021DistTar!C21)</f>
        <v>Non-Residential Single Rate - Bulk</v>
      </c>
      <c r="F59" s="301">
        <f>Prop2021DistTar!BG21</f>
        <v>2283392.7126687942</v>
      </c>
      <c r="I59" s="301">
        <f>Prop2021DistTar!BV21</f>
        <v>2700103.8912350312</v>
      </c>
    </row>
    <row r="60" spans="1:9" s="234" customFormat="1" x14ac:dyDescent="0.2">
      <c r="A60" s="263" t="b">
        <f t="array" ref="A60">OR(EXACT(D60,Prop2021DistTar!C$6:C$65))</f>
        <v>1</v>
      </c>
      <c r="B60" s="229" t="s">
        <v>621</v>
      </c>
      <c r="C60" s="229" t="s">
        <v>621</v>
      </c>
      <c r="D60" s="264" t="str">
        <f>IF(Prop2021DistTar!B22="","",Prop2021DistTar!B22)</f>
        <v>Non-Residential Two Rate 5d</v>
      </c>
      <c r="E60" s="268" t="str">
        <f>IF(Prop2021DistTar!C22="","",Prop2021DistTar!C22)</f>
        <v>Non-Residential Two Rate 5d</v>
      </c>
      <c r="F60" s="301">
        <f>Prop2021DistTar!BG22</f>
        <v>2336666.3569835555</v>
      </c>
      <c r="I60" s="301">
        <f>Prop2021DistTar!BV22</f>
        <v>3252628.4108726438</v>
      </c>
    </row>
    <row r="61" spans="1:9" s="234" customFormat="1" x14ac:dyDescent="0.2">
      <c r="A61" s="263" t="b">
        <f t="array" ref="A61">OR(EXACT(D61,Prop2021DistTar!C$6:C$65))</f>
        <v>1</v>
      </c>
      <c r="B61" s="229" t="s">
        <v>621</v>
      </c>
      <c r="C61" s="229" t="s">
        <v>621</v>
      </c>
      <c r="D61" s="264" t="str">
        <f>IF(Prop2021DistTar!B23="","",Prop2021DistTar!B23)</f>
        <v>Non-Residential Two Rate 5d - Bulk</v>
      </c>
      <c r="E61" s="268" t="str">
        <f>IF(Prop2021DistTar!C23="","",Prop2021DistTar!C23)</f>
        <v>Non-Residential Two Rate 5d - Bulk</v>
      </c>
      <c r="F61" s="301">
        <f>Prop2021DistTar!BG23</f>
        <v>596806.05996697093</v>
      </c>
      <c r="I61" s="301">
        <f>Prop2021DistTar!BV23</f>
        <v>712999.22627134481</v>
      </c>
    </row>
    <row r="62" spans="1:9" s="234" customFormat="1" x14ac:dyDescent="0.2">
      <c r="A62" s="263" t="b">
        <f t="array" ref="A62">OR(EXACT(D62,Prop2021DistTar!C$6:C$65))</f>
        <v>1</v>
      </c>
      <c r="B62" s="304" t="s">
        <v>621</v>
      </c>
      <c r="C62" s="304" t="s">
        <v>621</v>
      </c>
      <c r="D62" s="264" t="str">
        <f>IF(Prop2021DistTar!B24="","",Prop2021DistTar!B24)</f>
        <v>Non-Residential Interval</v>
      </c>
      <c r="E62" s="268" t="str">
        <f>IF(Prop2021DistTar!C24="","",Prop2021DistTar!C24)</f>
        <v>Non-Residential Interval</v>
      </c>
      <c r="F62" s="301">
        <f>Prop2021DistTar!BG24</f>
        <v>1800586.1121358699</v>
      </c>
      <c r="I62" s="301">
        <f>Prop2021DistTar!BV24</f>
        <v>2478236.5150151667</v>
      </c>
    </row>
    <row r="63" spans="1:9" s="234" customFormat="1" x14ac:dyDescent="0.2">
      <c r="A63" s="263" t="b">
        <f t="array" ref="A63">OR(EXACT(D63,Prop2021DistTar!C$6:C$65))</f>
        <v>1</v>
      </c>
      <c r="B63" s="229" t="s">
        <v>621</v>
      </c>
      <c r="C63" s="229" t="s">
        <v>621</v>
      </c>
      <c r="D63" s="264" t="str">
        <f>IF(Prop2021DistTar!B25="","",Prop2021DistTar!B25)</f>
        <v>Non-Residential Interval - Bulk</v>
      </c>
      <c r="E63" s="268" t="str">
        <f>IF(Prop2021DistTar!C25="","",Prop2021DistTar!C25)</f>
        <v>Non-Residential Interval - Bulk</v>
      </c>
      <c r="F63" s="301">
        <f>Prop2021DistTar!BG25</f>
        <v>1002588.2616913622</v>
      </c>
      <c r="I63" s="301">
        <f>Prop2021DistTar!BV25</f>
        <v>1195635.5682723946</v>
      </c>
    </row>
    <row r="64" spans="1:9" s="234" customFormat="1" x14ac:dyDescent="0.2">
      <c r="A64" s="263" t="b">
        <f t="array" ref="A64">OR(EXACT(D64,Prop2021DistTar!C$6:C$65))</f>
        <v>1</v>
      </c>
      <c r="B64" s="229" t="s">
        <v>621</v>
      </c>
      <c r="C64" s="229" t="s">
        <v>621</v>
      </c>
      <c r="D64" s="264" t="str">
        <f>IF(Prop2021DistTar!B26="","",Prop2021DistTar!B26)</f>
        <v>Non-Residential Flexible Pricing</v>
      </c>
      <c r="E64" s="268" t="str">
        <f>IF(Prop2021DistTar!C26="","",Prop2021DistTar!C26)</f>
        <v>Non-Residential Flexible Pricing</v>
      </c>
      <c r="F64" s="301">
        <f>Prop2021DistTar!BG26</f>
        <v>13587.886211025962</v>
      </c>
      <c r="I64" s="301">
        <f>Prop2021DistTar!BV26</f>
        <v>17395.149601041423</v>
      </c>
    </row>
    <row r="65" spans="1:9" s="234" customFormat="1" x14ac:dyDescent="0.2">
      <c r="A65" s="263" t="b">
        <f t="array" ref="A65">OR(EXACT(D65,Prop2021DistTar!C$6:C$65))</f>
        <v>1</v>
      </c>
      <c r="B65" s="229" t="s">
        <v>621</v>
      </c>
      <c r="C65" s="229" t="s">
        <v>621</v>
      </c>
      <c r="D65" s="264" t="str">
        <f>IF(Prop2021DistTar!B27="","",Prop2021DistTar!B27)</f>
        <v>Non-Residential - Flexible Pricing Bulk</v>
      </c>
      <c r="E65" s="268" t="str">
        <f>IF(Prop2021DistTar!C27="","",Prop2021DistTar!C27)</f>
        <v>Non-Residential - Flexible Pricing Bulk</v>
      </c>
      <c r="F65" s="301">
        <f>Prop2021DistTar!BG27</f>
        <v>2188.2990588657281</v>
      </c>
      <c r="I65" s="301">
        <f>Prop2021DistTar!BV27</f>
        <v>2545.4213103819134</v>
      </c>
    </row>
    <row r="66" spans="1:9" s="234" customFormat="1" x14ac:dyDescent="0.2">
      <c r="A66" s="263" t="b">
        <f t="array" ref="A66">OR(EXACT(D66,Prop2021DistTar!C$6:C$65))</f>
        <v>1</v>
      </c>
      <c r="B66" s="229" t="s">
        <v>621</v>
      </c>
      <c r="C66" s="229" t="s">
        <v>621</v>
      </c>
      <c r="D66" s="264" t="str">
        <f>IF(Prop2021DistTar!B28="","",Prop2021DistTar!B28)</f>
        <v>Non-Residential Two Rate 7d</v>
      </c>
      <c r="E66" s="268" t="str">
        <f>IF(Prop2021DistTar!C28="","",Prop2021DistTar!C28)</f>
        <v>Non-Residential Two Rate 7d</v>
      </c>
      <c r="F66" s="301">
        <f>Prop2021DistTar!BG28</f>
        <v>1124377.4312917565</v>
      </c>
      <c r="I66" s="301">
        <f>Prop2021DistTar!BV28</f>
        <v>1427948.9964786279</v>
      </c>
    </row>
    <row r="67" spans="1:9" s="234" customFormat="1" x14ac:dyDescent="0.2">
      <c r="A67" s="263" t="b">
        <f t="array" ref="A67">OR(EXACT(D67,Prop2021DistTar!C$6:C$65))</f>
        <v>1</v>
      </c>
      <c r="B67" s="229" t="s">
        <v>621</v>
      </c>
      <c r="C67" s="229" t="s">
        <v>621</v>
      </c>
      <c r="D67" s="264" t="str">
        <f>IF(Prop2021DistTar!B29="","",Prop2021DistTar!B29)</f>
        <v>Non-Residential Two Rate 7d - Bulk</v>
      </c>
      <c r="E67" s="268" t="str">
        <f>IF(Prop2021DistTar!C29="","",Prop2021DistTar!C29)</f>
        <v>Non-Residential Two Rate 7d - Bulk</v>
      </c>
      <c r="F67" s="301">
        <f>Prop2021DistTar!BG29</f>
        <v>142052.87328050833</v>
      </c>
      <c r="I67" s="301">
        <f>Prop2021DistTar!BV29</f>
        <v>168794.92449430685</v>
      </c>
    </row>
    <row r="68" spans="1:9" s="234" customFormat="1" x14ac:dyDescent="0.2">
      <c r="A68" s="263" t="b">
        <f t="array" ref="A68">OR(EXACT(D68,Prop2021DistTar!C$6:C$65))</f>
        <v>1</v>
      </c>
      <c r="B68" s="229" t="s">
        <v>621</v>
      </c>
      <c r="C68" s="229" t="s">
        <v>621</v>
      </c>
      <c r="D68" s="264" t="str">
        <f>IF(Prop2021DistTar!B30="","",Prop2021DistTar!B30)</f>
        <v>Large Two Rate 7d</v>
      </c>
      <c r="E68" s="268" t="str">
        <f>IF(Prop2021DistTar!C30="","",Prop2021DistTar!C30)</f>
        <v>Large Two Rate 7d</v>
      </c>
      <c r="F68" s="301">
        <f>Prop2021DistTar!BG30</f>
        <v>1068.6102420136003</v>
      </c>
      <c r="I68" s="301">
        <f>Prop2021DistTar!BV30</f>
        <v>1810.8408585394423</v>
      </c>
    </row>
    <row r="69" spans="1:9" s="234" customFormat="1" x14ac:dyDescent="0.2">
      <c r="A69" s="263" t="b">
        <f t="array" ref="A69">OR(EXACT(D69,Prop2021DistTar!C$6:C$65))</f>
        <v>1</v>
      </c>
      <c r="B69" s="304" t="s">
        <v>621</v>
      </c>
      <c r="C69" s="304" t="s">
        <v>621</v>
      </c>
      <c r="D69" s="264" t="str">
        <f>IF(Prop2021DistTar!B31="","",Prop2021DistTar!B31)</f>
        <v>Non-Residential Demand Tariff</v>
      </c>
      <c r="E69" s="268" t="str">
        <f>IF(Prop2021DistTar!C31="","",Prop2021DistTar!C31)</f>
        <v>Non-Residential Demand Tariff</v>
      </c>
      <c r="F69" s="301">
        <f>Prop2021DistTar!BG31</f>
        <v>49258.617886743217</v>
      </c>
      <c r="I69" s="301">
        <f>Prop2021DistTar!BV31</f>
        <v>63890.65361493668</v>
      </c>
    </row>
    <row r="70" spans="1:9" s="234" customFormat="1" x14ac:dyDescent="0.2">
      <c r="A70" s="263" t="b">
        <f t="array" ref="A70">OR(EXACT(D70,Prop2021DistTar!C$6:C$65))</f>
        <v>1</v>
      </c>
      <c r="B70" s="304" t="s">
        <v>621</v>
      </c>
      <c r="C70" s="304" t="s">
        <v>621</v>
      </c>
      <c r="D70" s="264" t="str">
        <f>IF(Prop2021DistTar!B32="","",Prop2021DistTar!B32)</f>
        <v>Non-Residential Bulk Demand Tariff</v>
      </c>
      <c r="E70" s="268" t="str">
        <f>IF(Prop2021DistTar!C32="","",Prop2021DistTar!C32)</f>
        <v>Non-Residential Bulk Demand Tariff</v>
      </c>
      <c r="F70" s="301">
        <f>Prop2021DistTar!BG32</f>
        <v>83970.662220164886</v>
      </c>
      <c r="I70" s="301">
        <f>Prop2021DistTar!BV32</f>
        <v>99635.692284857898</v>
      </c>
    </row>
    <row r="71" spans="1:9" s="234" customFormat="1" x14ac:dyDescent="0.2">
      <c r="A71" s="263" t="b">
        <f t="array" ref="A71">OR(EXACT(D71,Prop2021DistTar!C$6:C$65))</f>
        <v>1</v>
      </c>
      <c r="B71" s="304" t="s">
        <v>621</v>
      </c>
      <c r="C71" s="304" t="s">
        <v>621</v>
      </c>
      <c r="D71" s="264" t="str">
        <f>IF(Prop2021DistTar!B33="","",Prop2021DistTar!B33)</f>
        <v>Medium Business Demand</v>
      </c>
      <c r="E71" s="268" t="str">
        <f>IF(Prop2021DistTar!C33="","",Prop2021DistTar!C33)</f>
        <v>Medium Business Demand</v>
      </c>
      <c r="F71" s="301">
        <f>Prop2021DistTar!BG33</f>
        <v>13321116.468415802</v>
      </c>
      <c r="I71" s="301">
        <f>Prop2021DistTar!BV33</f>
        <v>16882652.959931638</v>
      </c>
    </row>
    <row r="72" spans="1:9" s="234" customFormat="1" x14ac:dyDescent="0.2">
      <c r="A72" s="263" t="b">
        <f t="array" ref="A72">OR(EXACT(D72,Prop2021DistTar!C$6:C$65))</f>
        <v>1</v>
      </c>
      <c r="B72" s="304" t="s">
        <v>621</v>
      </c>
      <c r="C72" s="304" t="s">
        <v>621</v>
      </c>
      <c r="D72" s="264" t="str">
        <f>IF(Prop2021DistTar!B34="","",Prop2021DistTar!B34)</f>
        <v>Medium Business Bulk Demand</v>
      </c>
      <c r="E72" s="268" t="str">
        <f>IF(Prop2021DistTar!C34="","",Prop2021DistTar!C34)</f>
        <v>Medium Business Bulk Demand</v>
      </c>
      <c r="F72" s="301">
        <f>Prop2021DistTar!BG34</f>
        <v>8318205.2678517317</v>
      </c>
      <c r="I72" s="301">
        <f>Prop2021DistTar!BV34</f>
        <v>9194264.0526525863</v>
      </c>
    </row>
    <row r="73" spans="1:9" s="234" customFormat="1" x14ac:dyDescent="0.2">
      <c r="A73" s="263" t="b">
        <f t="array" ref="A73">OR(EXACT(D73,Prop2021DistTar!C$6:C$65))</f>
        <v>1</v>
      </c>
      <c r="B73" s="304" t="s">
        <v>621</v>
      </c>
      <c r="C73" s="304" t="s">
        <v>621</v>
      </c>
      <c r="D73" s="264" t="str">
        <f>IF(Prop2021DistTar!B35="","",Prop2021DistTar!B35)</f>
        <v>Medium Business Opt-out</v>
      </c>
      <c r="E73" s="268" t="str">
        <f>IF(Prop2021DistTar!C35="","",Prop2021DistTar!C35)</f>
        <v>Medium Business Opt-out</v>
      </c>
      <c r="F73" s="301">
        <f>Prop2021DistTar!BG35</f>
        <v>77504.588324382319</v>
      </c>
      <c r="I73" s="301">
        <f>Prop2021DistTar!BV35</f>
        <v>97451.586628614197</v>
      </c>
    </row>
    <row r="74" spans="1:9" s="234" customFormat="1" x14ac:dyDescent="0.2">
      <c r="A74" s="263" t="b">
        <f t="array" ref="A74">OR(EXACT(D74,Prop2021DistTar!C$6:C$65))</f>
        <v>1</v>
      </c>
      <c r="B74" s="304" t="s">
        <v>621</v>
      </c>
      <c r="C74" s="304" t="s">
        <v>621</v>
      </c>
      <c r="D74" s="264" t="str">
        <f>IF(Prop2021DistTar!B36="","",Prop2021DistTar!B36)</f>
        <v>Medium Business Bulk Opt-out</v>
      </c>
      <c r="E74" s="268" t="str">
        <f>IF(Prop2021DistTar!C36="","",Prop2021DistTar!C36)</f>
        <v>Medium Business Bulk Opt-out</v>
      </c>
      <c r="F74" s="301">
        <f>Prop2021DistTar!BG36</f>
        <v>244100.93668901315</v>
      </c>
      <c r="I74" s="301">
        <f>Prop2021DistTar!BV36</f>
        <v>255975.29576587104</v>
      </c>
    </row>
    <row r="75" spans="1:9" s="234" customFormat="1" x14ac:dyDescent="0.2">
      <c r="A75" s="263" t="b">
        <f t="array" ref="A75">OR(EXACT(D75,Prop2021DistTar!C$6:C$65))</f>
        <v>1</v>
      </c>
      <c r="B75" s="304" t="s">
        <v>621</v>
      </c>
      <c r="C75" s="304" t="s">
        <v>621</v>
      </c>
      <c r="D75" s="264" t="str">
        <f>IF(Prop2021DistTar!B37="","",Prop2021DistTar!B37)</f>
        <v>Unmetered Supplies / Public Lighting</v>
      </c>
      <c r="E75" s="268" t="str">
        <f>IF(Prop2021DistTar!C37="","",Prop2021DistTar!C37)</f>
        <v>Unmetered Supplies / Public Lighting</v>
      </c>
      <c r="F75" s="301">
        <f>Prop2021DistTar!BG37</f>
        <v>908221.03521372587</v>
      </c>
      <c r="I75" s="301">
        <f>Prop2021DistTar!BV37</f>
        <v>1036893.3743581801</v>
      </c>
    </row>
    <row r="76" spans="1:9" s="234" customFormat="1" x14ac:dyDescent="0.2">
      <c r="A76" s="263" t="b">
        <f t="array" ref="A76">OR(EXACT(D76,Prop2021DistTar!C$6:C$65))</f>
        <v>1</v>
      </c>
      <c r="B76" s="304" t="s">
        <v>622</v>
      </c>
      <c r="C76" s="304" t="s">
        <v>622</v>
      </c>
      <c r="D76" s="264" t="str">
        <f>IF(Prop2021DistTar!B38="","",Prop2021DistTar!B38)</f>
        <v>Large low Voltage</v>
      </c>
      <c r="E76" s="268" t="str">
        <f>IF(Prop2021DistTar!C38="","",Prop2021DistTar!C38)</f>
        <v>Large low Voltage</v>
      </c>
      <c r="F76" s="301">
        <f>Prop2021DistTar!BG38</f>
        <v>5352921.4361231308</v>
      </c>
      <c r="I76" s="301">
        <f>Prop2021DistTar!BV38</f>
        <v>6131833.7941915691</v>
      </c>
    </row>
    <row r="77" spans="1:9" s="234" customFormat="1" x14ac:dyDescent="0.2">
      <c r="A77" s="263" t="b">
        <f t="array" ref="A77">OR(EXACT(D77,Prop2021DistTar!C$6:C$65))</f>
        <v>1</v>
      </c>
      <c r="B77" s="304" t="s">
        <v>622</v>
      </c>
      <c r="C77" s="304" t="s">
        <v>622</v>
      </c>
      <c r="D77" s="264" t="str">
        <f>IF(Prop2021DistTar!B39="","",Prop2021DistTar!B39)</f>
        <v>Large low Voltage Bulk</v>
      </c>
      <c r="E77" s="268" t="str">
        <f>IF(Prop2021DistTar!C39="","",Prop2021DistTar!C39)</f>
        <v>Large low Voltage Bulk</v>
      </c>
      <c r="F77" s="301">
        <f>Prop2021DistTar!BG39</f>
        <v>41839340.069044605</v>
      </c>
      <c r="I77" s="301">
        <f>Prop2021DistTar!BV39</f>
        <v>45865352.495473586</v>
      </c>
    </row>
    <row r="78" spans="1:9" s="234" customFormat="1" x14ac:dyDescent="0.2">
      <c r="A78" s="263" t="b">
        <f t="array" ref="A78">OR(EXACT(D78,Prop2021DistTar!C$6:C$65))</f>
        <v>1</v>
      </c>
      <c r="B78" s="304" t="s">
        <v>623</v>
      </c>
      <c r="C78" s="304" t="s">
        <v>623</v>
      </c>
      <c r="D78" s="264" t="str">
        <f>IF(Prop2021DistTar!B40="","",Prop2021DistTar!B40)</f>
        <v>High Voltage</v>
      </c>
      <c r="E78" s="268" t="str">
        <f>IF(Prop2021DistTar!C40="","",Prop2021DistTar!C40)</f>
        <v>High Voltage</v>
      </c>
      <c r="F78" s="301">
        <f>Prop2021DistTar!BG40</f>
        <v>8398299.9220877253</v>
      </c>
      <c r="I78" s="301">
        <f>Prop2021DistTar!BV40</f>
        <v>8583403.9027285371</v>
      </c>
    </row>
    <row r="79" spans="1:9" s="234" customFormat="1" x14ac:dyDescent="0.2">
      <c r="A79" s="263" t="b">
        <f t="array" ref="A79">OR(EXACT(D79,Prop2021DistTar!C$6:C$65))</f>
        <v>1</v>
      </c>
      <c r="B79" s="304" t="s">
        <v>624</v>
      </c>
      <c r="C79" s="304" t="s">
        <v>624</v>
      </c>
      <c r="D79" s="264" t="str">
        <f>IF(Prop2021DistTar!B41="","",Prop2021DistTar!B41)</f>
        <v>Subtransmission</v>
      </c>
      <c r="E79" s="268" t="str">
        <f>IF(Prop2021DistTar!C41="","",Prop2021DistTar!C41)</f>
        <v>Subtransmission</v>
      </c>
      <c r="F79" s="301">
        <f>Prop2021DistTar!BG41</f>
        <v>451317.9718532929</v>
      </c>
      <c r="I79" s="301">
        <f>Prop2021DistTar!BV41</f>
        <v>509563.99215678254</v>
      </c>
    </row>
    <row r="80" spans="1:9" s="234" customFormat="1" x14ac:dyDescent="0.2">
      <c r="A80" s="263" t="b">
        <f t="array" ref="A80">OR(EXACT(D80,Prop2021DistTar!C$6:C$65))</f>
        <v>1</v>
      </c>
      <c r="B80" s="304"/>
      <c r="C80" s="304"/>
      <c r="D80" s="264" t="str">
        <f>IF(Prop2021DistTar!B42="","",Prop2021DistTar!B42)</f>
        <v/>
      </c>
      <c r="E80" s="268" t="str">
        <f>IF(Prop2021DistTar!C42="","",Prop2021DistTar!C42)</f>
        <v/>
      </c>
      <c r="F80" s="301">
        <f>Prop2021DistTar!BG42</f>
        <v>0</v>
      </c>
      <c r="I80" s="301">
        <f>Prop2021DistTar!BV42</f>
        <v>0</v>
      </c>
    </row>
    <row r="81" spans="1:9" s="234" customFormat="1" x14ac:dyDescent="0.2">
      <c r="A81" s="263" t="b">
        <f t="array" ref="A81">OR(EXACT(D81,Prop2021DistTar!C$6:C$65))</f>
        <v>1</v>
      </c>
      <c r="B81" s="304"/>
      <c r="C81" s="304"/>
      <c r="D81" s="265" t="str">
        <f>IF(Prop2021DistTar!B43="","",Prop2021DistTar!B43)</f>
        <v/>
      </c>
      <c r="E81" s="268" t="str">
        <f>IF(Prop2021DistTar!C43="","",Prop2021DistTar!C43)</f>
        <v/>
      </c>
      <c r="F81" s="301">
        <f>Prop2021DistTar!BG43</f>
        <v>0</v>
      </c>
      <c r="I81" s="301">
        <f>Prop2021DistTar!BV43</f>
        <v>0</v>
      </c>
    </row>
    <row r="82" spans="1:9" s="234" customFormat="1" x14ac:dyDescent="0.2">
      <c r="A82" s="263" t="b">
        <f t="array" ref="A82">OR(EXACT(D82,Prop2021DistTar!C$6:C$65))</f>
        <v>1</v>
      </c>
      <c r="B82" s="304"/>
      <c r="C82" s="304"/>
      <c r="D82" s="265" t="str">
        <f>IF(Prop2021DistTar!B44="","",Prop2021DistTar!B44)</f>
        <v/>
      </c>
      <c r="E82" s="268" t="str">
        <f>IF(Prop2021DistTar!C44="","",Prop2021DistTar!C44)</f>
        <v/>
      </c>
      <c r="F82" s="301">
        <f>Prop2021DistTar!BG44</f>
        <v>0</v>
      </c>
      <c r="I82" s="301">
        <f>Prop2021DistTar!BV44</f>
        <v>0</v>
      </c>
    </row>
    <row r="83" spans="1:9" s="234" customFormat="1" x14ac:dyDescent="0.2">
      <c r="A83" s="263" t="b">
        <f t="array" ref="A83">OR(EXACT(D83,Prop2021DistTar!C$6:C$65))</f>
        <v>1</v>
      </c>
      <c r="B83" s="304"/>
      <c r="C83" s="304"/>
      <c r="D83" s="265" t="str">
        <f>IF(Prop2021DistTar!B45="","",Prop2021DistTar!B45)</f>
        <v/>
      </c>
      <c r="E83" s="268" t="str">
        <f>IF(Prop2021DistTar!C45="","",Prop2021DistTar!C45)</f>
        <v/>
      </c>
      <c r="F83" s="301">
        <f>Prop2021DistTar!BG45</f>
        <v>0</v>
      </c>
      <c r="I83" s="301">
        <f>Prop2021DistTar!BV45</f>
        <v>0</v>
      </c>
    </row>
    <row r="84" spans="1:9" s="234" customFormat="1" x14ac:dyDescent="0.2">
      <c r="A84" s="263" t="b">
        <f t="array" ref="A84">OR(EXACT(D84,Prop2021DistTar!C$6:C$65))</f>
        <v>1</v>
      </c>
      <c r="B84" s="304"/>
      <c r="C84" s="304"/>
      <c r="D84" s="265" t="str">
        <f>IF(Prop2021DistTar!B46="","",Prop2021DistTar!B46)</f>
        <v/>
      </c>
      <c r="E84" s="268" t="str">
        <f>IF(Prop2021DistTar!C46="","",Prop2021DistTar!C46)</f>
        <v/>
      </c>
      <c r="F84" s="301">
        <f>Prop2021DistTar!BG46</f>
        <v>0</v>
      </c>
      <c r="I84" s="301">
        <f>Prop2021DistTar!BV46</f>
        <v>0</v>
      </c>
    </row>
    <row r="85" spans="1:9" s="234" customFormat="1" x14ac:dyDescent="0.2">
      <c r="A85" s="263" t="b">
        <f t="array" ref="A85">OR(EXACT(D85,Prop2021DistTar!C$6:C$65))</f>
        <v>1</v>
      </c>
      <c r="B85" s="304"/>
      <c r="C85" s="304"/>
      <c r="D85" s="265" t="str">
        <f>IF(Prop2021DistTar!B47="","",Prop2021DistTar!B47)</f>
        <v/>
      </c>
      <c r="E85" s="268" t="str">
        <f>IF(Prop2021DistTar!C47="","",Prop2021DistTar!C47)</f>
        <v/>
      </c>
      <c r="F85" s="301">
        <f>Prop2021DistTar!BG47</f>
        <v>0</v>
      </c>
      <c r="I85" s="301">
        <f>Prop2021DistTar!BV47</f>
        <v>0</v>
      </c>
    </row>
    <row r="86" spans="1:9" s="234" customFormat="1" x14ac:dyDescent="0.2">
      <c r="A86" s="263" t="b">
        <f t="array" ref="A86">OR(EXACT(D86,Prop2021DistTar!C$6:C$65))</f>
        <v>1</v>
      </c>
      <c r="B86" s="304"/>
      <c r="C86" s="304"/>
      <c r="D86" s="265" t="str">
        <f>IF(Prop2021DistTar!B48="","",Prop2021DistTar!B48)</f>
        <v/>
      </c>
      <c r="E86" s="268" t="str">
        <f>IF(Prop2021DistTar!C48="","",Prop2021DistTar!C48)</f>
        <v/>
      </c>
      <c r="F86" s="301">
        <f>Prop2021DistTar!BG48</f>
        <v>0</v>
      </c>
      <c r="I86" s="301">
        <f>Prop2021DistTar!BV48</f>
        <v>0</v>
      </c>
    </row>
    <row r="87" spans="1:9" s="234" customFormat="1" x14ac:dyDescent="0.2">
      <c r="A87" s="263" t="b">
        <f t="array" ref="A87">OR(EXACT(D87,Prop2021DistTar!C$6:C$65))</f>
        <v>1</v>
      </c>
      <c r="B87" s="304"/>
      <c r="C87" s="304"/>
      <c r="D87" s="265" t="str">
        <f>IF(Prop2021DistTar!B49="","",Prop2021DistTar!B49)</f>
        <v/>
      </c>
      <c r="E87" s="268" t="str">
        <f>IF(Prop2021DistTar!C49="","",Prop2021DistTar!C49)</f>
        <v/>
      </c>
      <c r="F87" s="301">
        <f>Prop2021DistTar!BG49</f>
        <v>0</v>
      </c>
      <c r="I87" s="301">
        <f>Prop2021DistTar!BV49</f>
        <v>0</v>
      </c>
    </row>
    <row r="88" spans="1:9" s="234" customFormat="1" x14ac:dyDescent="0.2">
      <c r="A88" s="263" t="b">
        <f t="array" ref="A88">OR(EXACT(D88,Prop2021DistTar!C$6:C$65))</f>
        <v>1</v>
      </c>
      <c r="B88" s="304"/>
      <c r="C88" s="304"/>
      <c r="D88" s="265" t="str">
        <f>IF(Prop2021DistTar!B50="","",Prop2021DistTar!B50)</f>
        <v/>
      </c>
      <c r="E88" s="268" t="str">
        <f>IF(Prop2021DistTar!C50="","",Prop2021DistTar!C50)</f>
        <v/>
      </c>
      <c r="F88" s="301">
        <f>Prop2021DistTar!BG50</f>
        <v>0</v>
      </c>
      <c r="I88" s="301">
        <f>Prop2021DistTar!BV50</f>
        <v>0</v>
      </c>
    </row>
    <row r="89" spans="1:9" s="234" customFormat="1" x14ac:dyDescent="0.2">
      <c r="A89" s="263" t="b">
        <f t="array" ref="A89">OR(EXACT(D89,Prop2021DistTar!C$6:C$65))</f>
        <v>1</v>
      </c>
      <c r="B89" s="304"/>
      <c r="C89" s="304"/>
      <c r="D89" s="265" t="str">
        <f>IF(Prop2021DistTar!B51="","",Prop2021DistTar!B51)</f>
        <v/>
      </c>
      <c r="E89" s="268" t="str">
        <f>IF(Prop2021DistTar!C51="","",Prop2021DistTar!C51)</f>
        <v/>
      </c>
      <c r="F89" s="301">
        <f>Prop2021DistTar!BG51</f>
        <v>0</v>
      </c>
      <c r="I89" s="301">
        <f>Prop2021DistTar!BV51</f>
        <v>0</v>
      </c>
    </row>
    <row r="90" spans="1:9" s="234" customFormat="1" x14ac:dyDescent="0.2">
      <c r="A90" s="263" t="b">
        <f t="array" ref="A90">OR(EXACT(D90,Prop2021DistTar!C$6:C$65))</f>
        <v>1</v>
      </c>
      <c r="B90" s="304"/>
      <c r="C90" s="304"/>
      <c r="D90" s="265" t="str">
        <f>IF(Prop2021DistTar!B52="","",Prop2021DistTar!B52)</f>
        <v/>
      </c>
      <c r="E90" s="268" t="str">
        <f>IF(Prop2021DistTar!C52="","",Prop2021DistTar!C52)</f>
        <v/>
      </c>
      <c r="F90" s="301">
        <f>Prop2021DistTar!BG52</f>
        <v>0</v>
      </c>
      <c r="I90" s="301">
        <f>Prop2021DistTar!BV52</f>
        <v>0</v>
      </c>
    </row>
    <row r="91" spans="1:9" s="234" customFormat="1" x14ac:dyDescent="0.2">
      <c r="A91" s="263" t="b">
        <f t="array" ref="A91">OR(EXACT(D91,Prop2021DistTar!C$6:C$65))</f>
        <v>1</v>
      </c>
      <c r="B91" s="304"/>
      <c r="C91" s="304"/>
      <c r="D91" s="265" t="str">
        <f>IF(Prop2021DistTar!B53="","",Prop2021DistTar!B53)</f>
        <v/>
      </c>
      <c r="E91" s="268" t="str">
        <f>IF(Prop2021DistTar!C53="","",Prop2021DistTar!C53)</f>
        <v/>
      </c>
      <c r="F91" s="301">
        <f>Prop2021DistTar!BG53</f>
        <v>0</v>
      </c>
      <c r="I91" s="301">
        <f>Prop2021DistTar!BV53</f>
        <v>0</v>
      </c>
    </row>
    <row r="92" spans="1:9" s="234" customFormat="1" x14ac:dyDescent="0.2">
      <c r="A92" s="263" t="b">
        <f t="array" ref="A92">OR(EXACT(D92,Prop2021DistTar!C$6:C$65))</f>
        <v>1</v>
      </c>
      <c r="B92" s="304"/>
      <c r="C92" s="304"/>
      <c r="D92" s="265" t="str">
        <f>IF(Prop2021DistTar!B54="","",Prop2021DistTar!B54)</f>
        <v/>
      </c>
      <c r="E92" s="268" t="str">
        <f>IF(Prop2021DistTar!C54="","",Prop2021DistTar!C54)</f>
        <v/>
      </c>
      <c r="F92" s="301">
        <f>Prop2021DistTar!BG54</f>
        <v>0</v>
      </c>
      <c r="I92" s="301">
        <f>Prop2021DistTar!BV54</f>
        <v>0</v>
      </c>
    </row>
    <row r="93" spans="1:9" s="234" customFormat="1" x14ac:dyDescent="0.2">
      <c r="A93" s="263" t="b">
        <f t="array" ref="A93">OR(EXACT(D93,Prop2021DistTar!C$6:C$65))</f>
        <v>1</v>
      </c>
      <c r="B93" s="169"/>
      <c r="C93" s="169"/>
      <c r="D93" s="265" t="str">
        <f>IF(Prop2021DistTar!B55="","",Prop2021DistTar!B55)</f>
        <v/>
      </c>
      <c r="E93" s="268" t="str">
        <f>IF(Prop2021DistTar!C55="","",Prop2021DistTar!C55)</f>
        <v/>
      </c>
      <c r="F93" s="301">
        <f>Prop2021DistTar!BG55</f>
        <v>0</v>
      </c>
      <c r="I93" s="301">
        <f>Prop2021DistTar!BV55</f>
        <v>0</v>
      </c>
    </row>
    <row r="94" spans="1:9" s="234" customFormat="1" x14ac:dyDescent="0.2">
      <c r="A94" s="263" t="b">
        <f t="array" ref="A94">OR(EXACT(D94,Prop2021DistTar!C$6:C$65))</f>
        <v>1</v>
      </c>
      <c r="B94" s="169"/>
      <c r="C94" s="169"/>
      <c r="D94" s="265" t="str">
        <f>IF(Prop2021DistTar!B56="","",Prop2021DistTar!B56)</f>
        <v/>
      </c>
      <c r="E94" s="268" t="str">
        <f>IF(Prop2021DistTar!C56="","",Prop2021DistTar!C56)</f>
        <v/>
      </c>
      <c r="F94" s="301">
        <f>Prop2021DistTar!BG56</f>
        <v>0</v>
      </c>
      <c r="I94" s="301">
        <f>Prop2021DistTar!BV56</f>
        <v>0</v>
      </c>
    </row>
    <row r="95" spans="1:9" s="234" customFormat="1" x14ac:dyDescent="0.2">
      <c r="A95" s="263" t="b">
        <f t="array" ref="A95">OR(EXACT(D95,Prop2021DistTar!C$6:C$65))</f>
        <v>1</v>
      </c>
      <c r="B95" s="169"/>
      <c r="C95" s="169"/>
      <c r="D95" s="265" t="str">
        <f>IF(Prop2021DistTar!B57="","",Prop2021DistTar!B57)</f>
        <v/>
      </c>
      <c r="E95" s="268" t="str">
        <f>IF(Prop2021DistTar!C57="","",Prop2021DistTar!C57)</f>
        <v/>
      </c>
      <c r="F95" s="301">
        <f>Prop2021DistTar!BG57</f>
        <v>0</v>
      </c>
      <c r="I95" s="301">
        <f>Prop2021DistTar!BV57</f>
        <v>0</v>
      </c>
    </row>
    <row r="96" spans="1:9" s="234" customFormat="1" x14ac:dyDescent="0.2">
      <c r="A96" s="263" t="b">
        <f t="array" ref="A96">OR(EXACT(D96,Prop2021DistTar!C$6:C$65))</f>
        <v>1</v>
      </c>
      <c r="B96" s="169"/>
      <c r="C96" s="169"/>
      <c r="D96" s="265" t="str">
        <f>IF(Prop2021DistTar!B58="","",Prop2021DistTar!B58)</f>
        <v/>
      </c>
      <c r="E96" s="268" t="str">
        <f>IF(Prop2021DistTar!C58="","",Prop2021DistTar!C58)</f>
        <v/>
      </c>
      <c r="F96" s="301">
        <f>Prop2021DistTar!BG58</f>
        <v>0</v>
      </c>
      <c r="I96" s="301">
        <f>Prop2021DistTar!BV58</f>
        <v>0</v>
      </c>
    </row>
    <row r="97" spans="1:118" s="234" customFormat="1" x14ac:dyDescent="0.2">
      <c r="A97" s="263" t="b">
        <f t="array" ref="A97">OR(EXACT(D97,Prop2021DistTar!C$6:C$65))</f>
        <v>1</v>
      </c>
      <c r="B97" s="169"/>
      <c r="C97" s="169"/>
      <c r="D97" s="265" t="str">
        <f>IF(Prop2021DistTar!B59="","",Prop2021DistTar!B59)</f>
        <v/>
      </c>
      <c r="E97" s="268" t="str">
        <f>IF(Prop2021DistTar!C59="","",Prop2021DistTar!C59)</f>
        <v/>
      </c>
      <c r="F97" s="301">
        <f>Prop2021DistTar!BG59</f>
        <v>0</v>
      </c>
      <c r="I97" s="301">
        <f>Prop2021DistTar!BV59</f>
        <v>0</v>
      </c>
    </row>
    <row r="98" spans="1:118" s="234" customFormat="1" x14ac:dyDescent="0.2">
      <c r="A98" s="263" t="b">
        <f t="array" ref="A98">OR(EXACT(D98,Prop2021DistTar!C$6:C$65))</f>
        <v>1</v>
      </c>
      <c r="B98" s="169"/>
      <c r="C98" s="169"/>
      <c r="D98" s="265" t="str">
        <f>IF(Prop2021DistTar!B60="","",Prop2021DistTar!B60)</f>
        <v/>
      </c>
      <c r="E98" s="268" t="str">
        <f>IF(Prop2021DistTar!C60="","",Prop2021DistTar!C60)</f>
        <v/>
      </c>
      <c r="F98" s="301">
        <f>Prop2021DistTar!BG60</f>
        <v>0</v>
      </c>
      <c r="I98" s="301">
        <f>Prop2021DistTar!BV60</f>
        <v>0</v>
      </c>
    </row>
    <row r="99" spans="1:118" s="234" customFormat="1" x14ac:dyDescent="0.2">
      <c r="A99" s="263" t="b">
        <f t="array" ref="A99">OR(EXACT(D99,Prop2021DistTar!C$6:C$65))</f>
        <v>1</v>
      </c>
      <c r="B99" s="169"/>
      <c r="C99" s="169"/>
      <c r="D99" s="265" t="str">
        <f>IF(Prop2021DistTar!B61="","",Prop2021DistTar!B61)</f>
        <v/>
      </c>
      <c r="E99" s="268" t="str">
        <f>IF(Prop2021DistTar!C61="","",Prop2021DistTar!C61)</f>
        <v/>
      </c>
      <c r="F99" s="301">
        <f>Prop2021DistTar!BG61</f>
        <v>0</v>
      </c>
      <c r="I99" s="301">
        <f>Prop2021DistTar!BV61</f>
        <v>0</v>
      </c>
    </row>
    <row r="100" spans="1:118" s="234" customFormat="1" x14ac:dyDescent="0.2">
      <c r="A100" s="263" t="b">
        <f t="array" ref="A100">OR(EXACT(D100,Prop2021DistTar!C$6:C$65))</f>
        <v>1</v>
      </c>
      <c r="B100" s="169"/>
      <c r="C100" s="169"/>
      <c r="D100" s="265" t="str">
        <f>IF(Prop2021DistTar!B62="","",Prop2021DistTar!B62)</f>
        <v/>
      </c>
      <c r="E100" s="268" t="str">
        <f>IF(Prop2021DistTar!C62="","",Prop2021DistTar!C62)</f>
        <v/>
      </c>
      <c r="F100" s="301">
        <f>Prop2021DistTar!BG62</f>
        <v>0</v>
      </c>
      <c r="I100" s="301">
        <f>Prop2021DistTar!BV62</f>
        <v>0</v>
      </c>
    </row>
    <row r="101" spans="1:118" s="234" customFormat="1" x14ac:dyDescent="0.2">
      <c r="A101" s="263" t="b">
        <f t="array" ref="A101">OR(EXACT(D101,Prop2021DistTar!C$6:C$65))</f>
        <v>1</v>
      </c>
      <c r="B101" s="169"/>
      <c r="C101" s="169"/>
      <c r="D101" s="265" t="str">
        <f>IF(Prop2021DistTar!B63="","",Prop2021DistTar!B63)</f>
        <v/>
      </c>
      <c r="E101" s="268" t="str">
        <f>IF(Prop2021DistTar!C63="","",Prop2021DistTar!C63)</f>
        <v/>
      </c>
      <c r="F101" s="301">
        <f>Prop2021DistTar!BG63</f>
        <v>0</v>
      </c>
      <c r="I101" s="301">
        <f>Prop2021DistTar!BV63</f>
        <v>0</v>
      </c>
    </row>
    <row r="102" spans="1:118" s="234" customFormat="1" x14ac:dyDescent="0.2">
      <c r="A102" s="263" t="b">
        <f t="array" ref="A102">OR(EXACT(D102,Prop2021DistTar!C$6:C$65))</f>
        <v>1</v>
      </c>
      <c r="B102" s="169"/>
      <c r="C102" s="169"/>
      <c r="D102" s="265" t="str">
        <f>IF(Prop2021DistTar!B64="","",Prop2021DistTar!B64)</f>
        <v/>
      </c>
      <c r="E102" s="268" t="str">
        <f>IF(Prop2021DistTar!C64="","",Prop2021DistTar!C64)</f>
        <v/>
      </c>
      <c r="F102" s="301">
        <f>Prop2021DistTar!BG64</f>
        <v>0</v>
      </c>
      <c r="I102" s="301">
        <f>Prop2021DistTar!BV64</f>
        <v>0</v>
      </c>
    </row>
    <row r="103" spans="1:118" s="234" customFormat="1" ht="13.5" thickBot="1" x14ac:dyDescent="0.25">
      <c r="A103" s="269" t="b">
        <f t="array" ref="A103">OR(EXACT(D103,Prop2021DistTar!C$6:C$65))</f>
        <v>1</v>
      </c>
      <c r="B103" s="270"/>
      <c r="C103" s="271"/>
      <c r="D103" s="272" t="str">
        <f>IF(Prop2021DistTar!B65="","",Prop2021DistTar!B65)</f>
        <v/>
      </c>
      <c r="E103" s="273" t="str">
        <f>IF(Prop2021DistTar!C65="","",Prop2021DistTar!C65)</f>
        <v/>
      </c>
      <c r="F103" s="302">
        <f>Prop2021DistTar!BG65</f>
        <v>0</v>
      </c>
      <c r="I103" s="302">
        <f>Prop2021DistTar!BV65</f>
        <v>0</v>
      </c>
    </row>
    <row r="104" spans="1:118" s="118" customFormat="1" ht="13.5" thickBot="1" x14ac:dyDescent="0.25">
      <c r="A104" s="51"/>
      <c r="F104" s="119">
        <f>SUM(F44:F103)</f>
        <v>131331574.99660835</v>
      </c>
      <c r="G104" s="234"/>
      <c r="H104" s="234"/>
      <c r="I104" s="120">
        <f>SUM(I44:I103)</f>
        <v>150674521.35630643</v>
      </c>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c r="AO104" s="234"/>
      <c r="AP104" s="234"/>
      <c r="AQ104" s="234"/>
      <c r="AR104" s="234"/>
      <c r="AS104" s="234"/>
      <c r="AT104" s="234"/>
      <c r="AU104" s="234"/>
      <c r="AV104" s="234"/>
      <c r="AW104" s="234"/>
      <c r="AX104" s="234"/>
      <c r="AY104" s="234"/>
      <c r="AZ104" s="234"/>
      <c r="BA104" s="234"/>
      <c r="BB104" s="234"/>
      <c r="BC104" s="234"/>
      <c r="BD104" s="234"/>
      <c r="BE104" s="234"/>
      <c r="BF104" s="234"/>
      <c r="BG104" s="234"/>
      <c r="BH104" s="234"/>
      <c r="BJ104" s="119">
        <f t="shared" ref="BJ104" si="8">SUM(BJ44:BJ103)</f>
        <v>0</v>
      </c>
      <c r="BK104" s="234"/>
      <c r="BL104" s="234"/>
      <c r="BM104" s="234"/>
      <c r="BN104" s="234"/>
      <c r="BO104" s="234"/>
      <c r="BP104" s="234"/>
      <c r="BQ104" s="234"/>
      <c r="BR104" s="234"/>
      <c r="BS104" s="234"/>
      <c r="BT104" s="234"/>
      <c r="BU104" s="234"/>
      <c r="BV104" s="234"/>
      <c r="BW104" s="234"/>
      <c r="BX104" s="234"/>
      <c r="BY104" s="234"/>
      <c r="BZ104" s="234"/>
      <c r="CA104" s="234"/>
      <c r="CB104" s="234"/>
      <c r="CC104" s="234"/>
      <c r="CD104" s="234"/>
      <c r="CE104" s="234"/>
      <c r="CF104" s="234"/>
      <c r="CG104" s="234"/>
      <c r="CH104" s="234"/>
      <c r="CI104" s="234"/>
      <c r="CJ104" s="234"/>
      <c r="CK104" s="234"/>
      <c r="CL104" s="234"/>
      <c r="CM104" s="234"/>
      <c r="CN104" s="234"/>
      <c r="CO104" s="234"/>
      <c r="CP104" s="234"/>
      <c r="CQ104" s="234"/>
      <c r="CR104" s="234"/>
      <c r="CS104" s="234"/>
      <c r="CT104" s="234"/>
      <c r="CU104" s="234"/>
      <c r="CV104" s="234"/>
      <c r="CW104" s="234"/>
      <c r="CX104" s="234"/>
      <c r="CY104" s="234"/>
      <c r="CZ104" s="234"/>
      <c r="DA104" s="234"/>
      <c r="DB104" s="234"/>
      <c r="DC104" s="234"/>
      <c r="DD104" s="234"/>
      <c r="DE104" s="234"/>
      <c r="DF104" s="234"/>
      <c r="DG104" s="234"/>
      <c r="DH104" s="234"/>
      <c r="DI104" s="234"/>
      <c r="DJ104" s="234"/>
      <c r="DK104" s="234"/>
      <c r="DL104" s="234"/>
      <c r="DM104" s="234"/>
      <c r="DN104" s="234"/>
    </row>
    <row r="105" spans="1:118" s="118" customFormat="1" ht="13.5" thickTop="1" x14ac:dyDescent="0.2">
      <c r="A105" s="51"/>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c r="AO105" s="234"/>
      <c r="AP105" s="234"/>
      <c r="AQ105" s="234"/>
      <c r="AR105" s="234"/>
      <c r="AS105" s="234"/>
      <c r="AT105" s="234"/>
      <c r="AU105" s="234"/>
      <c r="AV105" s="234"/>
      <c r="AW105" s="234"/>
      <c r="AX105" s="234"/>
      <c r="AY105" s="234"/>
      <c r="AZ105" s="234"/>
      <c r="BA105" s="234"/>
      <c r="BB105" s="234"/>
      <c r="BC105" s="234"/>
      <c r="BD105" s="234"/>
      <c r="BE105" s="234"/>
      <c r="BF105" s="234"/>
      <c r="BG105" s="234"/>
      <c r="BH105" s="234"/>
      <c r="BK105" s="234"/>
      <c r="BL105" s="234"/>
      <c r="BM105" s="234"/>
      <c r="BN105" s="234"/>
      <c r="BO105" s="234"/>
      <c r="BP105" s="234"/>
      <c r="BQ105" s="234"/>
      <c r="BR105" s="234"/>
      <c r="BS105" s="234"/>
      <c r="BT105" s="234"/>
      <c r="BU105" s="234"/>
      <c r="BV105" s="234"/>
      <c r="BW105" s="234"/>
      <c r="BX105" s="234"/>
      <c r="BY105" s="234"/>
      <c r="BZ105" s="234"/>
      <c r="CA105" s="234"/>
      <c r="CB105" s="234"/>
      <c r="CC105" s="234"/>
      <c r="CD105" s="234"/>
      <c r="CE105" s="234"/>
      <c r="CF105" s="234"/>
      <c r="CG105" s="234"/>
      <c r="CH105" s="234"/>
      <c r="CI105" s="234"/>
      <c r="CJ105" s="234"/>
      <c r="CK105" s="234"/>
      <c r="CL105" s="234"/>
      <c r="CM105" s="234"/>
      <c r="CN105" s="234"/>
      <c r="CO105" s="234"/>
      <c r="CP105" s="234"/>
      <c r="CQ105" s="234"/>
      <c r="CR105" s="234"/>
      <c r="CS105" s="234"/>
      <c r="CT105" s="234"/>
      <c r="CU105" s="234"/>
      <c r="CV105" s="234"/>
      <c r="CW105" s="234"/>
      <c r="CX105" s="234"/>
      <c r="CY105" s="234"/>
      <c r="CZ105" s="234"/>
      <c r="DA105" s="234"/>
      <c r="DB105" s="234"/>
      <c r="DC105" s="234"/>
      <c r="DD105" s="234"/>
      <c r="DE105" s="234"/>
      <c r="DF105" s="234"/>
      <c r="DG105" s="234"/>
      <c r="DH105" s="234"/>
      <c r="DI105" s="234"/>
      <c r="DJ105" s="234"/>
      <c r="DK105" s="234"/>
      <c r="DL105" s="234"/>
      <c r="DM105" s="234"/>
      <c r="DN105" s="234"/>
    </row>
    <row r="106" spans="1:118" s="118" customFormat="1" x14ac:dyDescent="0.2">
      <c r="A106" s="51"/>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c r="AO106" s="234"/>
      <c r="AP106" s="234"/>
      <c r="AQ106" s="234"/>
      <c r="AR106" s="234"/>
      <c r="AS106" s="234"/>
      <c r="AT106" s="234"/>
      <c r="AU106" s="234"/>
      <c r="AV106" s="234"/>
      <c r="AW106" s="234"/>
      <c r="AX106" s="234"/>
      <c r="AY106" s="234"/>
      <c r="AZ106" s="234"/>
      <c r="BA106" s="234"/>
      <c r="BB106" s="234"/>
      <c r="BC106" s="234"/>
      <c r="BD106" s="234"/>
      <c r="BE106" s="234"/>
      <c r="BF106" s="234"/>
      <c r="BG106" s="234"/>
      <c r="BH106" s="234"/>
      <c r="BK106" s="234"/>
      <c r="BL106" s="234"/>
      <c r="BM106" s="234"/>
      <c r="BN106" s="234"/>
      <c r="BO106" s="234"/>
      <c r="BP106" s="234"/>
      <c r="BQ106" s="234"/>
      <c r="BR106" s="234"/>
      <c r="BS106" s="234"/>
      <c r="BT106" s="234"/>
      <c r="BU106" s="234"/>
      <c r="BV106" s="234"/>
      <c r="BW106" s="234"/>
      <c r="BX106" s="234"/>
      <c r="BY106" s="234"/>
      <c r="BZ106" s="234"/>
      <c r="CA106" s="234"/>
      <c r="CB106" s="234"/>
      <c r="CC106" s="234"/>
      <c r="CD106" s="234"/>
      <c r="CE106" s="234"/>
      <c r="CF106" s="234"/>
      <c r="CG106" s="234"/>
      <c r="CH106" s="234"/>
      <c r="CI106" s="234"/>
      <c r="CJ106" s="234"/>
      <c r="CK106" s="234"/>
      <c r="CL106" s="234"/>
      <c r="CM106" s="234"/>
      <c r="CN106" s="234"/>
      <c r="CO106" s="234"/>
      <c r="CP106" s="234"/>
      <c r="CQ106" s="234"/>
      <c r="CR106" s="234"/>
      <c r="CS106" s="234"/>
      <c r="CT106" s="234"/>
      <c r="CU106" s="234"/>
      <c r="CV106" s="234"/>
      <c r="CW106" s="234"/>
      <c r="CX106" s="234"/>
      <c r="CY106" s="234"/>
      <c r="CZ106" s="234"/>
      <c r="DA106" s="234"/>
      <c r="DB106" s="234"/>
      <c r="DC106" s="234"/>
      <c r="DD106" s="234"/>
      <c r="DE106" s="234"/>
      <c r="DF106" s="234"/>
      <c r="DG106" s="234"/>
      <c r="DH106" s="234"/>
      <c r="DI106" s="234"/>
      <c r="DJ106" s="234"/>
      <c r="DK106" s="234"/>
      <c r="DL106" s="234"/>
      <c r="DM106" s="234"/>
      <c r="DN106" s="234"/>
    </row>
    <row r="107" spans="1:118" s="118" customFormat="1" x14ac:dyDescent="0.2">
      <c r="A107" s="51"/>
      <c r="BK107" s="234"/>
      <c r="BL107" s="234"/>
      <c r="BM107" s="234"/>
      <c r="BN107" s="234"/>
      <c r="BO107" s="234"/>
      <c r="BP107" s="234"/>
      <c r="BQ107" s="234"/>
      <c r="BR107" s="234"/>
      <c r="BS107" s="234"/>
      <c r="BT107" s="234"/>
      <c r="BU107" s="234"/>
      <c r="BV107" s="234"/>
      <c r="BW107" s="234"/>
      <c r="BX107" s="234"/>
      <c r="BY107" s="234"/>
      <c r="BZ107" s="234"/>
      <c r="CA107" s="234"/>
      <c r="CB107" s="234"/>
      <c r="CC107" s="234"/>
      <c r="CD107" s="234"/>
      <c r="CE107" s="234"/>
      <c r="CF107" s="234"/>
      <c r="CG107" s="234"/>
      <c r="CH107" s="234"/>
      <c r="CI107" s="234"/>
      <c r="CJ107" s="234"/>
      <c r="CK107" s="234"/>
      <c r="CL107" s="234"/>
      <c r="CM107" s="234"/>
      <c r="CN107" s="234"/>
      <c r="CO107" s="234"/>
      <c r="CP107" s="234"/>
      <c r="CQ107" s="234"/>
      <c r="CR107" s="234"/>
      <c r="CS107" s="234"/>
      <c r="CT107" s="234"/>
      <c r="CU107" s="234"/>
      <c r="CV107" s="234"/>
      <c r="CW107" s="234"/>
      <c r="CX107" s="234"/>
      <c r="CY107" s="234"/>
      <c r="CZ107" s="234"/>
      <c r="DA107" s="234"/>
      <c r="DB107" s="234"/>
      <c r="DC107" s="234"/>
      <c r="DD107" s="234"/>
      <c r="DE107" s="234"/>
      <c r="DF107" s="234"/>
      <c r="DG107" s="234"/>
      <c r="DH107" s="234"/>
      <c r="DI107" s="234"/>
      <c r="DJ107" s="234"/>
      <c r="DK107" s="234"/>
      <c r="DL107" s="234"/>
      <c r="DM107" s="234"/>
      <c r="DN107" s="234"/>
    </row>
    <row r="108" spans="1:118" s="118" customFormat="1" x14ac:dyDescent="0.2">
      <c r="A108" s="51"/>
      <c r="BK108" s="234"/>
      <c r="BL108" s="234"/>
      <c r="BM108" s="234"/>
      <c r="BN108" s="234"/>
      <c r="BO108" s="234"/>
      <c r="BP108" s="234"/>
      <c r="BQ108" s="234"/>
      <c r="BR108" s="234"/>
      <c r="BS108" s="234"/>
      <c r="BT108" s="234"/>
      <c r="BU108" s="234"/>
      <c r="BV108" s="234"/>
      <c r="BW108" s="234"/>
      <c r="BX108" s="234"/>
      <c r="BY108" s="234"/>
      <c r="BZ108" s="234"/>
      <c r="CA108" s="234"/>
      <c r="CB108" s="234"/>
      <c r="CC108" s="234"/>
      <c r="CD108" s="234"/>
      <c r="CE108" s="234"/>
      <c r="CF108" s="234"/>
      <c r="CG108" s="234"/>
      <c r="CH108" s="234"/>
      <c r="CI108" s="234"/>
      <c r="CJ108" s="234"/>
      <c r="CK108" s="234"/>
      <c r="CL108" s="234"/>
      <c r="CM108" s="234"/>
      <c r="CN108" s="234"/>
      <c r="CO108" s="234"/>
      <c r="CP108" s="234"/>
      <c r="CQ108" s="234"/>
      <c r="CR108" s="234"/>
      <c r="CS108" s="234"/>
      <c r="CT108" s="234"/>
      <c r="CU108" s="234"/>
      <c r="CV108" s="234"/>
      <c r="CW108" s="234"/>
      <c r="CX108" s="234"/>
      <c r="CY108" s="234"/>
      <c r="CZ108" s="234"/>
      <c r="DA108" s="234"/>
      <c r="DB108" s="234"/>
      <c r="DC108" s="234"/>
      <c r="DD108" s="234"/>
      <c r="DE108" s="234"/>
      <c r="DF108" s="234"/>
      <c r="DG108" s="234"/>
      <c r="DH108" s="234"/>
      <c r="DI108" s="234"/>
      <c r="DJ108" s="234"/>
      <c r="DK108" s="234"/>
      <c r="DL108" s="234"/>
      <c r="DM108" s="234"/>
      <c r="DN108" s="234"/>
    </row>
    <row r="109" spans="1:118" s="118" customFormat="1" x14ac:dyDescent="0.2">
      <c r="A109" s="51"/>
      <c r="BK109" s="234"/>
      <c r="BL109" s="234"/>
      <c r="BM109" s="234"/>
      <c r="BN109" s="234"/>
      <c r="BO109" s="234"/>
      <c r="BP109" s="234"/>
      <c r="BQ109" s="234"/>
      <c r="BR109" s="234"/>
      <c r="BS109" s="234"/>
      <c r="BT109" s="234"/>
      <c r="BU109" s="234"/>
      <c r="BV109" s="234"/>
      <c r="BW109" s="234"/>
      <c r="BX109" s="234"/>
      <c r="BY109" s="234"/>
      <c r="BZ109" s="234"/>
      <c r="CA109" s="234"/>
      <c r="CB109" s="234"/>
      <c r="CC109" s="234"/>
      <c r="CD109" s="234"/>
      <c r="CE109" s="234"/>
      <c r="CF109" s="234"/>
      <c r="CG109" s="234"/>
      <c r="CH109" s="234"/>
      <c r="CI109" s="234"/>
      <c r="CJ109" s="234"/>
      <c r="CK109" s="234"/>
      <c r="CL109" s="234"/>
      <c r="CM109" s="234"/>
      <c r="CN109" s="234"/>
      <c r="CO109" s="234"/>
      <c r="CP109" s="234"/>
      <c r="CQ109" s="234"/>
      <c r="CR109" s="234"/>
      <c r="CS109" s="234"/>
      <c r="CT109" s="234"/>
      <c r="CU109" s="234"/>
      <c r="CV109" s="234"/>
      <c r="CW109" s="234"/>
      <c r="CX109" s="234"/>
      <c r="CY109" s="234"/>
      <c r="CZ109" s="234"/>
      <c r="DA109" s="234"/>
      <c r="DB109" s="234"/>
      <c r="DC109" s="234"/>
      <c r="DD109" s="234"/>
      <c r="DE109" s="234"/>
      <c r="DF109" s="234"/>
      <c r="DG109" s="234"/>
      <c r="DH109" s="234"/>
      <c r="DI109" s="234"/>
      <c r="DJ109" s="234"/>
      <c r="DK109" s="234"/>
      <c r="DL109" s="234"/>
      <c r="DM109" s="234"/>
      <c r="DN109" s="234"/>
    </row>
    <row r="110" spans="1:118" s="118" customFormat="1" x14ac:dyDescent="0.2">
      <c r="A110" s="51"/>
      <c r="BK110" s="234"/>
      <c r="BL110" s="234"/>
      <c r="BM110" s="234"/>
      <c r="BN110" s="234"/>
      <c r="BO110" s="234"/>
      <c r="BP110" s="234"/>
      <c r="BQ110" s="234"/>
      <c r="BR110" s="234"/>
      <c r="BS110" s="234"/>
      <c r="BT110" s="234"/>
      <c r="BU110" s="234"/>
      <c r="BV110" s="234"/>
      <c r="BW110" s="234"/>
      <c r="BX110" s="234"/>
      <c r="BY110" s="234"/>
      <c r="BZ110" s="234"/>
      <c r="CA110" s="234"/>
      <c r="CB110" s="234"/>
      <c r="CC110" s="234"/>
      <c r="CD110" s="234"/>
      <c r="CE110" s="234"/>
      <c r="CF110" s="234"/>
      <c r="CG110" s="234"/>
      <c r="CH110" s="234"/>
      <c r="CI110" s="234"/>
      <c r="CJ110" s="234"/>
      <c r="CK110" s="234"/>
      <c r="CL110" s="234"/>
      <c r="CM110" s="234"/>
      <c r="CN110" s="234"/>
      <c r="CO110" s="234"/>
      <c r="CP110" s="234"/>
      <c r="CQ110" s="234"/>
      <c r="CR110" s="234"/>
      <c r="CS110" s="234"/>
      <c r="CT110" s="234"/>
      <c r="CU110" s="234"/>
      <c r="CV110" s="234"/>
      <c r="CW110" s="234"/>
      <c r="CX110" s="234"/>
      <c r="CY110" s="234"/>
      <c r="CZ110" s="234"/>
      <c r="DA110" s="234"/>
      <c r="DB110" s="234"/>
      <c r="DC110" s="234"/>
      <c r="DD110" s="234"/>
      <c r="DE110" s="234"/>
      <c r="DF110" s="234"/>
      <c r="DG110" s="234"/>
      <c r="DH110" s="234"/>
      <c r="DI110" s="234"/>
      <c r="DJ110" s="234"/>
      <c r="DK110" s="234"/>
      <c r="DL110" s="234"/>
      <c r="DM110" s="234"/>
      <c r="DN110" s="234"/>
    </row>
    <row r="111" spans="1:118" s="118" customFormat="1" x14ac:dyDescent="0.2">
      <c r="A111" s="51"/>
      <c r="BK111" s="234"/>
      <c r="BL111" s="234"/>
      <c r="BM111" s="234"/>
      <c r="BN111" s="234"/>
      <c r="BO111" s="234"/>
      <c r="BP111" s="234"/>
      <c r="BQ111" s="234"/>
      <c r="BR111" s="234"/>
      <c r="BS111" s="234"/>
      <c r="BT111" s="234"/>
      <c r="BU111" s="234"/>
      <c r="BV111" s="234"/>
      <c r="BW111" s="234"/>
      <c r="BX111" s="234"/>
      <c r="BY111" s="234"/>
      <c r="BZ111" s="234"/>
      <c r="CA111" s="234"/>
      <c r="CB111" s="234"/>
      <c r="CC111" s="234"/>
      <c r="CD111" s="234"/>
      <c r="CE111" s="234"/>
      <c r="CF111" s="234"/>
      <c r="CG111" s="234"/>
      <c r="CH111" s="234"/>
      <c r="CI111" s="234"/>
      <c r="CJ111" s="234"/>
      <c r="CK111" s="234"/>
      <c r="CL111" s="234"/>
      <c r="CM111" s="234"/>
      <c r="CN111" s="234"/>
      <c r="CO111" s="234"/>
      <c r="CP111" s="234"/>
      <c r="CQ111" s="234"/>
      <c r="CR111" s="234"/>
      <c r="CS111" s="234"/>
      <c r="CT111" s="234"/>
      <c r="CU111" s="234"/>
      <c r="CV111" s="234"/>
      <c r="CW111" s="234"/>
      <c r="CX111" s="234"/>
      <c r="CY111" s="234"/>
      <c r="CZ111" s="234"/>
      <c r="DA111" s="234"/>
      <c r="DB111" s="234"/>
      <c r="DC111" s="234"/>
      <c r="DD111" s="234"/>
      <c r="DE111" s="234"/>
      <c r="DF111" s="234"/>
      <c r="DG111" s="234"/>
      <c r="DH111" s="234"/>
      <c r="DI111" s="234"/>
      <c r="DJ111" s="234"/>
      <c r="DK111" s="234"/>
      <c r="DL111" s="234"/>
      <c r="DM111" s="234"/>
      <c r="DN111" s="234"/>
    </row>
    <row r="112" spans="1:118" s="118" customFormat="1" x14ac:dyDescent="0.2">
      <c r="A112" s="51"/>
      <c r="BK112" s="234"/>
      <c r="BL112" s="234"/>
      <c r="BM112" s="234"/>
      <c r="BN112" s="234"/>
      <c r="BO112" s="234"/>
      <c r="BP112" s="234"/>
      <c r="BQ112" s="234"/>
      <c r="BR112" s="234"/>
      <c r="BS112" s="234"/>
      <c r="BT112" s="234"/>
      <c r="BU112" s="234"/>
      <c r="BV112" s="234"/>
      <c r="BW112" s="234"/>
      <c r="BX112" s="234"/>
      <c r="BY112" s="234"/>
      <c r="BZ112" s="234"/>
      <c r="CA112" s="234"/>
      <c r="CB112" s="234"/>
      <c r="CC112" s="234"/>
      <c r="CD112" s="234"/>
      <c r="CE112" s="234"/>
      <c r="CF112" s="234"/>
      <c r="CG112" s="234"/>
      <c r="CH112" s="234"/>
      <c r="CI112" s="234"/>
      <c r="CJ112" s="234"/>
      <c r="CK112" s="234"/>
      <c r="CL112" s="234"/>
      <c r="CM112" s="234"/>
      <c r="CN112" s="234"/>
      <c r="CO112" s="234"/>
      <c r="CP112" s="234"/>
      <c r="CQ112" s="234"/>
      <c r="CR112" s="234"/>
      <c r="CS112" s="234"/>
      <c r="CT112" s="234"/>
      <c r="CU112" s="234"/>
      <c r="CV112" s="234"/>
      <c r="CW112" s="234"/>
      <c r="CX112" s="234"/>
      <c r="CY112" s="234"/>
      <c r="CZ112" s="234"/>
      <c r="DA112" s="234"/>
      <c r="DB112" s="234"/>
      <c r="DC112" s="234"/>
      <c r="DD112" s="234"/>
      <c r="DE112" s="234"/>
      <c r="DF112" s="234"/>
      <c r="DG112" s="234"/>
      <c r="DH112" s="234"/>
      <c r="DI112" s="234"/>
      <c r="DJ112" s="234"/>
      <c r="DK112" s="234"/>
      <c r="DL112" s="234"/>
      <c r="DM112" s="234"/>
      <c r="DN112" s="234"/>
    </row>
    <row r="113" spans="1:118" s="118" customFormat="1" x14ac:dyDescent="0.2">
      <c r="A113" s="51"/>
      <c r="BK113" s="234"/>
      <c r="BL113" s="234"/>
      <c r="BM113" s="234"/>
      <c r="BN113" s="234"/>
      <c r="BO113" s="234"/>
      <c r="BP113" s="234"/>
      <c r="BQ113" s="234"/>
      <c r="BR113" s="234"/>
      <c r="BS113" s="234"/>
      <c r="BT113" s="234"/>
      <c r="BU113" s="234"/>
      <c r="BV113" s="234"/>
      <c r="BW113" s="234"/>
      <c r="BX113" s="234"/>
      <c r="BY113" s="234"/>
      <c r="BZ113" s="234"/>
      <c r="CA113" s="234"/>
      <c r="CB113" s="234"/>
      <c r="CC113" s="234"/>
      <c r="CD113" s="234"/>
      <c r="CE113" s="234"/>
      <c r="CF113" s="234"/>
      <c r="CG113" s="234"/>
      <c r="CH113" s="234"/>
      <c r="CI113" s="234"/>
      <c r="CJ113" s="234"/>
      <c r="CK113" s="234"/>
      <c r="CL113" s="234"/>
      <c r="CM113" s="234"/>
      <c r="CN113" s="234"/>
      <c r="CO113" s="234"/>
      <c r="CP113" s="234"/>
      <c r="CQ113" s="234"/>
      <c r="CR113" s="234"/>
      <c r="CS113" s="234"/>
      <c r="CT113" s="234"/>
      <c r="CU113" s="234"/>
      <c r="CV113" s="234"/>
      <c r="CW113" s="234"/>
      <c r="CX113" s="234"/>
      <c r="CY113" s="234"/>
      <c r="CZ113" s="234"/>
      <c r="DA113" s="234"/>
      <c r="DB113" s="234"/>
      <c r="DC113" s="234"/>
      <c r="DD113" s="234"/>
      <c r="DE113" s="234"/>
      <c r="DF113" s="234"/>
      <c r="DG113" s="234"/>
      <c r="DH113" s="234"/>
      <c r="DI113" s="234"/>
      <c r="DJ113" s="234"/>
      <c r="DK113" s="234"/>
      <c r="DL113" s="234"/>
      <c r="DM113" s="234"/>
      <c r="DN113" s="234"/>
    </row>
    <row r="114" spans="1:118" s="118" customFormat="1" x14ac:dyDescent="0.2">
      <c r="A114" s="51"/>
      <c r="BK114" s="234"/>
      <c r="BL114" s="234"/>
      <c r="BM114" s="234"/>
      <c r="BN114" s="234"/>
      <c r="BO114" s="234"/>
      <c r="BP114" s="234"/>
      <c r="BQ114" s="234"/>
      <c r="BR114" s="234"/>
      <c r="BS114" s="234"/>
      <c r="BT114" s="234"/>
      <c r="BU114" s="234"/>
      <c r="BV114" s="234"/>
      <c r="BW114" s="234"/>
      <c r="BX114" s="234"/>
      <c r="BY114" s="234"/>
      <c r="BZ114" s="234"/>
      <c r="CA114" s="234"/>
      <c r="CB114" s="234"/>
      <c r="CC114" s="234"/>
      <c r="CD114" s="234"/>
      <c r="CE114" s="234"/>
      <c r="CF114" s="234"/>
      <c r="CG114" s="234"/>
      <c r="CH114" s="234"/>
      <c r="CI114" s="234"/>
      <c r="CJ114" s="234"/>
      <c r="CK114" s="234"/>
      <c r="CL114" s="234"/>
      <c r="CM114" s="234"/>
      <c r="CN114" s="234"/>
      <c r="CO114" s="234"/>
      <c r="CP114" s="234"/>
      <c r="CQ114" s="234"/>
      <c r="CR114" s="234"/>
      <c r="CS114" s="234"/>
      <c r="CT114" s="234"/>
      <c r="CU114" s="234"/>
      <c r="CV114" s="234"/>
      <c r="CW114" s="234"/>
      <c r="CX114" s="234"/>
      <c r="CY114" s="234"/>
      <c r="CZ114" s="234"/>
      <c r="DA114" s="234"/>
      <c r="DB114" s="234"/>
      <c r="DC114" s="234"/>
      <c r="DD114" s="234"/>
      <c r="DE114" s="234"/>
      <c r="DF114" s="234"/>
      <c r="DG114" s="234"/>
      <c r="DH114" s="234"/>
      <c r="DI114" s="234"/>
      <c r="DJ114" s="234"/>
      <c r="DK114" s="234"/>
      <c r="DL114" s="234"/>
      <c r="DM114" s="234"/>
      <c r="DN114" s="234"/>
    </row>
    <row r="115" spans="1:118" s="118" customFormat="1" x14ac:dyDescent="0.2">
      <c r="A115" s="51"/>
      <c r="BK115" s="234"/>
      <c r="BL115" s="234"/>
      <c r="BM115" s="234"/>
      <c r="BN115" s="234"/>
      <c r="BO115" s="234"/>
      <c r="BP115" s="234"/>
      <c r="BQ115" s="234"/>
      <c r="BR115" s="234"/>
      <c r="BS115" s="234"/>
      <c r="BT115" s="234"/>
      <c r="BU115" s="234"/>
      <c r="BV115" s="234"/>
      <c r="BW115" s="234"/>
      <c r="BX115" s="234"/>
      <c r="BY115" s="234"/>
      <c r="BZ115" s="234"/>
      <c r="CA115" s="234"/>
      <c r="CB115" s="234"/>
      <c r="CC115" s="234"/>
      <c r="CD115" s="234"/>
      <c r="CE115" s="234"/>
      <c r="CF115" s="234"/>
      <c r="CG115" s="234"/>
      <c r="CH115" s="234"/>
      <c r="CI115" s="234"/>
      <c r="CJ115" s="234"/>
      <c r="CK115" s="234"/>
      <c r="CL115" s="234"/>
      <c r="CM115" s="234"/>
      <c r="CN115" s="234"/>
      <c r="CO115" s="234"/>
      <c r="CP115" s="234"/>
      <c r="CQ115" s="234"/>
      <c r="CR115" s="234"/>
      <c r="CS115" s="234"/>
      <c r="CT115" s="234"/>
      <c r="CU115" s="234"/>
      <c r="CV115" s="234"/>
      <c r="CW115" s="234"/>
      <c r="CX115" s="234"/>
      <c r="CY115" s="234"/>
      <c r="CZ115" s="234"/>
      <c r="DA115" s="234"/>
      <c r="DB115" s="234"/>
      <c r="DC115" s="234"/>
      <c r="DD115" s="234"/>
      <c r="DE115" s="234"/>
      <c r="DF115" s="234"/>
      <c r="DG115" s="234"/>
      <c r="DH115" s="234"/>
      <c r="DI115" s="234"/>
      <c r="DJ115" s="234"/>
      <c r="DK115" s="234"/>
      <c r="DL115" s="234"/>
      <c r="DM115" s="234"/>
      <c r="DN115" s="234"/>
    </row>
    <row r="116" spans="1:118" s="118" customFormat="1" x14ac:dyDescent="0.2">
      <c r="A116" s="51"/>
      <c r="BK116" s="234"/>
      <c r="BL116" s="234"/>
      <c r="BM116" s="234"/>
      <c r="BN116" s="234"/>
      <c r="BO116" s="234"/>
      <c r="BP116" s="234"/>
      <c r="BQ116" s="234"/>
      <c r="BR116" s="234"/>
      <c r="BS116" s="234"/>
      <c r="BT116" s="234"/>
      <c r="BU116" s="234"/>
      <c r="BV116" s="234"/>
      <c r="BW116" s="234"/>
      <c r="BX116" s="234"/>
      <c r="BY116" s="234"/>
      <c r="BZ116" s="234"/>
      <c r="CA116" s="234"/>
      <c r="CB116" s="234"/>
      <c r="CC116" s="234"/>
      <c r="CD116" s="234"/>
      <c r="CE116" s="234"/>
      <c r="CF116" s="234"/>
      <c r="CG116" s="234"/>
      <c r="CH116" s="234"/>
      <c r="CI116" s="234"/>
      <c r="CJ116" s="234"/>
      <c r="CK116" s="234"/>
      <c r="CL116" s="234"/>
      <c r="CM116" s="234"/>
      <c r="CN116" s="234"/>
      <c r="CO116" s="234"/>
      <c r="CP116" s="234"/>
      <c r="CQ116" s="234"/>
      <c r="CR116" s="234"/>
      <c r="CS116" s="234"/>
      <c r="CT116" s="234"/>
      <c r="CU116" s="234"/>
      <c r="CV116" s="234"/>
      <c r="CW116" s="234"/>
      <c r="CX116" s="234"/>
      <c r="CY116" s="234"/>
      <c r="CZ116" s="234"/>
      <c r="DA116" s="234"/>
      <c r="DB116" s="234"/>
      <c r="DC116" s="234"/>
      <c r="DD116" s="234"/>
      <c r="DE116" s="234"/>
      <c r="DF116" s="234"/>
      <c r="DG116" s="234"/>
      <c r="DH116" s="234"/>
      <c r="DI116" s="234"/>
      <c r="DJ116" s="234"/>
      <c r="DK116" s="234"/>
      <c r="DL116" s="234"/>
      <c r="DM116" s="234"/>
      <c r="DN116" s="234"/>
    </row>
    <row r="117" spans="1:118" s="118" customFormat="1" x14ac:dyDescent="0.2">
      <c r="A117" s="51"/>
      <c r="BK117" s="234"/>
      <c r="BL117" s="234"/>
      <c r="BM117" s="234"/>
      <c r="BN117" s="234"/>
      <c r="BO117" s="234"/>
      <c r="BP117" s="234"/>
      <c r="BQ117" s="234"/>
      <c r="BR117" s="234"/>
      <c r="BS117" s="234"/>
      <c r="BT117" s="234"/>
      <c r="BU117" s="234"/>
      <c r="BV117" s="234"/>
      <c r="BW117" s="234"/>
      <c r="BX117" s="234"/>
      <c r="BY117" s="234"/>
      <c r="BZ117" s="234"/>
      <c r="CA117" s="234"/>
      <c r="CB117" s="234"/>
      <c r="CC117" s="234"/>
      <c r="CD117" s="234"/>
      <c r="CE117" s="234"/>
      <c r="CF117" s="234"/>
      <c r="CG117" s="234"/>
      <c r="CH117" s="234"/>
      <c r="CI117" s="234"/>
      <c r="CJ117" s="234"/>
      <c r="CK117" s="234"/>
      <c r="CL117" s="234"/>
      <c r="CM117" s="234"/>
      <c r="CN117" s="234"/>
      <c r="CO117" s="234"/>
      <c r="CP117" s="234"/>
      <c r="CQ117" s="234"/>
      <c r="CR117" s="234"/>
      <c r="CS117" s="234"/>
      <c r="CT117" s="234"/>
      <c r="CU117" s="234"/>
      <c r="CV117" s="234"/>
      <c r="CW117" s="234"/>
      <c r="CX117" s="234"/>
      <c r="CY117" s="234"/>
      <c r="CZ117" s="234"/>
      <c r="DA117" s="234"/>
      <c r="DB117" s="234"/>
      <c r="DC117" s="234"/>
      <c r="DD117" s="234"/>
      <c r="DE117" s="234"/>
      <c r="DF117" s="234"/>
      <c r="DG117" s="234"/>
      <c r="DH117" s="234"/>
      <c r="DI117" s="234"/>
      <c r="DJ117" s="234"/>
      <c r="DK117" s="234"/>
      <c r="DL117" s="234"/>
      <c r="DM117" s="234"/>
      <c r="DN117" s="234"/>
    </row>
    <row r="118" spans="1:118" s="118" customFormat="1" x14ac:dyDescent="0.2">
      <c r="A118" s="51"/>
      <c r="BK118" s="234"/>
      <c r="BL118" s="234"/>
      <c r="BM118" s="234"/>
      <c r="BN118" s="234"/>
      <c r="BO118" s="234"/>
      <c r="BP118" s="234"/>
      <c r="BQ118" s="234"/>
      <c r="BR118" s="234"/>
      <c r="BS118" s="234"/>
      <c r="BT118" s="234"/>
      <c r="BU118" s="234"/>
      <c r="BV118" s="234"/>
      <c r="BW118" s="234"/>
      <c r="BX118" s="234"/>
      <c r="BY118" s="234"/>
      <c r="BZ118" s="234"/>
      <c r="CA118" s="234"/>
      <c r="CB118" s="234"/>
      <c r="CC118" s="234"/>
      <c r="CD118" s="234"/>
      <c r="CE118" s="234"/>
      <c r="CF118" s="234"/>
      <c r="CG118" s="234"/>
      <c r="CH118" s="234"/>
      <c r="CI118" s="234"/>
      <c r="CJ118" s="234"/>
      <c r="CK118" s="234"/>
      <c r="CL118" s="234"/>
      <c r="CM118" s="234"/>
      <c r="CN118" s="234"/>
      <c r="CO118" s="234"/>
      <c r="CP118" s="234"/>
      <c r="CQ118" s="234"/>
      <c r="CR118" s="234"/>
      <c r="CS118" s="234"/>
      <c r="CT118" s="234"/>
      <c r="CU118" s="234"/>
      <c r="CV118" s="234"/>
      <c r="CW118" s="234"/>
      <c r="CX118" s="234"/>
      <c r="CY118" s="234"/>
      <c r="CZ118" s="234"/>
      <c r="DA118" s="234"/>
      <c r="DB118" s="234"/>
      <c r="DC118" s="234"/>
      <c r="DD118" s="234"/>
      <c r="DE118" s="234"/>
      <c r="DF118" s="234"/>
      <c r="DG118" s="234"/>
      <c r="DH118" s="234"/>
      <c r="DI118" s="234"/>
      <c r="DJ118" s="234"/>
      <c r="DK118" s="234"/>
      <c r="DL118" s="234"/>
      <c r="DM118" s="234"/>
      <c r="DN118" s="234"/>
    </row>
    <row r="119" spans="1:118" s="118" customFormat="1" x14ac:dyDescent="0.2">
      <c r="A119" s="51"/>
      <c r="BK119" s="234"/>
      <c r="BL119" s="234"/>
      <c r="BM119" s="234"/>
      <c r="BN119" s="234"/>
      <c r="BO119" s="234"/>
      <c r="BP119" s="234"/>
      <c r="BQ119" s="234"/>
      <c r="BR119" s="234"/>
      <c r="BS119" s="234"/>
      <c r="BT119" s="234"/>
      <c r="BU119" s="234"/>
      <c r="BV119" s="234"/>
      <c r="BW119" s="234"/>
      <c r="BX119" s="234"/>
      <c r="BY119" s="234"/>
      <c r="BZ119" s="234"/>
      <c r="CA119" s="234"/>
      <c r="CB119" s="234"/>
      <c r="CC119" s="234"/>
      <c r="CD119" s="234"/>
      <c r="CE119" s="234"/>
      <c r="CF119" s="234"/>
      <c r="CG119" s="234"/>
      <c r="CH119" s="234"/>
      <c r="CI119" s="234"/>
      <c r="CJ119" s="234"/>
      <c r="CK119" s="234"/>
      <c r="CL119" s="234"/>
      <c r="CM119" s="234"/>
      <c r="CN119" s="234"/>
      <c r="CO119" s="234"/>
      <c r="CP119" s="234"/>
      <c r="CQ119" s="234"/>
      <c r="CR119" s="234"/>
      <c r="CS119" s="234"/>
      <c r="CT119" s="234"/>
      <c r="CU119" s="234"/>
      <c r="CV119" s="234"/>
      <c r="CW119" s="234"/>
      <c r="CX119" s="234"/>
      <c r="CY119" s="234"/>
      <c r="CZ119" s="234"/>
      <c r="DA119" s="234"/>
      <c r="DB119" s="234"/>
      <c r="DC119" s="234"/>
      <c r="DD119" s="234"/>
      <c r="DE119" s="234"/>
      <c r="DF119" s="234"/>
      <c r="DG119" s="234"/>
      <c r="DH119" s="234"/>
      <c r="DI119" s="234"/>
      <c r="DJ119" s="234"/>
      <c r="DK119" s="234"/>
      <c r="DL119" s="234"/>
      <c r="DM119" s="234"/>
      <c r="DN119" s="234"/>
    </row>
    <row r="120" spans="1:118" s="118" customFormat="1" x14ac:dyDescent="0.2">
      <c r="A120" s="51"/>
      <c r="BK120" s="234"/>
      <c r="BL120" s="234"/>
      <c r="BM120" s="234"/>
      <c r="BN120" s="234"/>
      <c r="BO120" s="234"/>
      <c r="BP120" s="234"/>
      <c r="BQ120" s="234"/>
      <c r="BR120" s="234"/>
      <c r="BS120" s="234"/>
      <c r="BT120" s="234"/>
      <c r="BU120" s="234"/>
      <c r="BV120" s="234"/>
      <c r="BW120" s="234"/>
      <c r="BX120" s="234"/>
      <c r="BY120" s="234"/>
      <c r="BZ120" s="234"/>
      <c r="CA120" s="234"/>
      <c r="CB120" s="234"/>
      <c r="CC120" s="234"/>
      <c r="CD120" s="234"/>
      <c r="CE120" s="234"/>
      <c r="CF120" s="234"/>
      <c r="CG120" s="234"/>
      <c r="CH120" s="234"/>
      <c r="CI120" s="234"/>
      <c r="CJ120" s="234"/>
      <c r="CK120" s="234"/>
      <c r="CL120" s="234"/>
      <c r="CM120" s="234"/>
      <c r="CN120" s="234"/>
      <c r="CO120" s="234"/>
      <c r="CP120" s="234"/>
      <c r="CQ120" s="234"/>
      <c r="CR120" s="234"/>
      <c r="CS120" s="234"/>
      <c r="CT120" s="234"/>
      <c r="CU120" s="234"/>
      <c r="CV120" s="234"/>
      <c r="CW120" s="234"/>
      <c r="CX120" s="234"/>
      <c r="CY120" s="234"/>
      <c r="CZ120" s="234"/>
      <c r="DA120" s="234"/>
      <c r="DB120" s="234"/>
      <c r="DC120" s="234"/>
      <c r="DD120" s="234"/>
      <c r="DE120" s="234"/>
      <c r="DF120" s="234"/>
      <c r="DG120" s="234"/>
      <c r="DH120" s="234"/>
      <c r="DI120" s="234"/>
      <c r="DJ120" s="234"/>
      <c r="DK120" s="234"/>
      <c r="DL120" s="234"/>
      <c r="DM120" s="234"/>
      <c r="DN120" s="234"/>
    </row>
    <row r="121" spans="1:118" s="118" customFormat="1" x14ac:dyDescent="0.2">
      <c r="A121" s="51"/>
      <c r="BK121" s="234"/>
      <c r="BL121" s="234"/>
      <c r="BM121" s="234"/>
      <c r="BN121" s="234"/>
      <c r="BO121" s="234"/>
      <c r="BP121" s="234"/>
      <c r="BQ121" s="234"/>
      <c r="BR121" s="234"/>
      <c r="BS121" s="234"/>
      <c r="BT121" s="234"/>
      <c r="BU121" s="234"/>
      <c r="BV121" s="234"/>
      <c r="BW121" s="234"/>
      <c r="BX121" s="234"/>
      <c r="BY121" s="234"/>
      <c r="BZ121" s="234"/>
      <c r="CA121" s="234"/>
      <c r="CB121" s="234"/>
      <c r="CC121" s="234"/>
      <c r="CD121" s="234"/>
      <c r="CE121" s="234"/>
      <c r="CF121" s="234"/>
      <c r="CG121" s="234"/>
      <c r="CH121" s="234"/>
      <c r="CI121" s="234"/>
      <c r="CJ121" s="234"/>
      <c r="CK121" s="234"/>
      <c r="CL121" s="234"/>
      <c r="CM121" s="234"/>
      <c r="CN121" s="234"/>
      <c r="CO121" s="234"/>
      <c r="CP121" s="234"/>
      <c r="CQ121" s="234"/>
      <c r="CR121" s="234"/>
      <c r="CS121" s="234"/>
      <c r="CT121" s="234"/>
      <c r="CU121" s="234"/>
      <c r="CV121" s="234"/>
      <c r="CW121" s="234"/>
      <c r="CX121" s="234"/>
      <c r="CY121" s="234"/>
      <c r="CZ121" s="234"/>
      <c r="DA121" s="234"/>
      <c r="DB121" s="234"/>
      <c r="DC121" s="234"/>
      <c r="DD121" s="234"/>
      <c r="DE121" s="234"/>
      <c r="DF121" s="234"/>
      <c r="DG121" s="234"/>
      <c r="DH121" s="234"/>
      <c r="DI121" s="234"/>
      <c r="DJ121" s="234"/>
      <c r="DK121" s="234"/>
      <c r="DL121" s="234"/>
      <c r="DM121" s="234"/>
      <c r="DN121" s="234"/>
    </row>
    <row r="122" spans="1:118" s="118" customFormat="1" x14ac:dyDescent="0.2">
      <c r="A122" s="51"/>
      <c r="BK122" s="234"/>
      <c r="BL122" s="234"/>
      <c r="BM122" s="234"/>
      <c r="BN122" s="234"/>
      <c r="BO122" s="234"/>
      <c r="BP122" s="234"/>
      <c r="BQ122" s="234"/>
      <c r="BR122" s="234"/>
      <c r="BS122" s="234"/>
      <c r="BT122" s="234"/>
      <c r="BU122" s="234"/>
      <c r="BV122" s="234"/>
      <c r="BW122" s="234"/>
      <c r="BX122" s="234"/>
      <c r="BY122" s="234"/>
      <c r="BZ122" s="234"/>
      <c r="CA122" s="234"/>
      <c r="CB122" s="234"/>
      <c r="CC122" s="234"/>
      <c r="CD122" s="234"/>
      <c r="CE122" s="234"/>
      <c r="CF122" s="234"/>
      <c r="CG122" s="234"/>
      <c r="CH122" s="234"/>
      <c r="CI122" s="234"/>
      <c r="CJ122" s="234"/>
      <c r="CK122" s="234"/>
      <c r="CL122" s="234"/>
      <c r="CM122" s="234"/>
      <c r="CN122" s="234"/>
      <c r="CO122" s="234"/>
      <c r="CP122" s="234"/>
      <c r="CQ122" s="234"/>
      <c r="CR122" s="234"/>
      <c r="CS122" s="234"/>
      <c r="CT122" s="234"/>
      <c r="CU122" s="234"/>
      <c r="CV122" s="234"/>
      <c r="CW122" s="234"/>
      <c r="CX122" s="234"/>
      <c r="CY122" s="234"/>
      <c r="CZ122" s="234"/>
      <c r="DA122" s="234"/>
      <c r="DB122" s="234"/>
      <c r="DC122" s="234"/>
      <c r="DD122" s="234"/>
      <c r="DE122" s="234"/>
      <c r="DF122" s="234"/>
      <c r="DG122" s="234"/>
      <c r="DH122" s="234"/>
      <c r="DI122" s="234"/>
      <c r="DJ122" s="234"/>
      <c r="DK122" s="234"/>
      <c r="DL122" s="234"/>
      <c r="DM122" s="234"/>
      <c r="DN122" s="234"/>
    </row>
    <row r="123" spans="1:118" s="118" customFormat="1" x14ac:dyDescent="0.2">
      <c r="A123" s="51"/>
      <c r="BK123" s="234"/>
      <c r="BL123" s="234"/>
      <c r="BM123" s="234"/>
      <c r="BN123" s="234"/>
      <c r="BO123" s="234"/>
      <c r="BP123" s="234"/>
      <c r="BQ123" s="234"/>
      <c r="BR123" s="234"/>
      <c r="BS123" s="234"/>
      <c r="BT123" s="234"/>
      <c r="BU123" s="234"/>
      <c r="BV123" s="234"/>
      <c r="BW123" s="234"/>
      <c r="BX123" s="234"/>
      <c r="BY123" s="234"/>
      <c r="BZ123" s="234"/>
      <c r="CA123" s="234"/>
      <c r="CB123" s="234"/>
      <c r="CC123" s="234"/>
      <c r="CD123" s="234"/>
      <c r="CE123" s="234"/>
      <c r="CF123" s="234"/>
      <c r="CG123" s="234"/>
      <c r="CH123" s="234"/>
      <c r="CI123" s="234"/>
      <c r="CJ123" s="234"/>
      <c r="CK123" s="234"/>
      <c r="CL123" s="234"/>
      <c r="CM123" s="234"/>
      <c r="CN123" s="234"/>
      <c r="CO123" s="234"/>
      <c r="CP123" s="234"/>
      <c r="CQ123" s="234"/>
      <c r="CR123" s="234"/>
      <c r="CS123" s="234"/>
      <c r="CT123" s="234"/>
      <c r="CU123" s="234"/>
      <c r="CV123" s="234"/>
      <c r="CW123" s="234"/>
      <c r="CX123" s="234"/>
      <c r="CY123" s="234"/>
      <c r="CZ123" s="234"/>
      <c r="DA123" s="234"/>
      <c r="DB123" s="234"/>
      <c r="DC123" s="234"/>
      <c r="DD123" s="234"/>
      <c r="DE123" s="234"/>
      <c r="DF123" s="234"/>
      <c r="DG123" s="234"/>
      <c r="DH123" s="234"/>
      <c r="DI123" s="234"/>
      <c r="DJ123" s="234"/>
      <c r="DK123" s="234"/>
      <c r="DL123" s="234"/>
      <c r="DM123" s="234"/>
      <c r="DN123" s="234"/>
    </row>
    <row r="124" spans="1:118" s="118" customFormat="1" x14ac:dyDescent="0.2">
      <c r="A124" s="51"/>
      <c r="BK124" s="234"/>
      <c r="BL124" s="234"/>
      <c r="BM124" s="234"/>
      <c r="BN124" s="234"/>
      <c r="BO124" s="234"/>
      <c r="BP124" s="234"/>
      <c r="BQ124" s="234"/>
      <c r="BR124" s="234"/>
      <c r="BS124" s="234"/>
      <c r="BT124" s="234"/>
      <c r="BU124" s="234"/>
      <c r="BV124" s="234"/>
      <c r="BW124" s="234"/>
      <c r="BX124" s="234"/>
      <c r="BY124" s="234"/>
      <c r="BZ124" s="234"/>
      <c r="CA124" s="234"/>
      <c r="CB124" s="234"/>
      <c r="CC124" s="234"/>
      <c r="CD124" s="234"/>
      <c r="CE124" s="234"/>
      <c r="CF124" s="234"/>
      <c r="CG124" s="234"/>
      <c r="CH124" s="234"/>
      <c r="CI124" s="234"/>
      <c r="CJ124" s="234"/>
      <c r="CK124" s="234"/>
      <c r="CL124" s="234"/>
      <c r="CM124" s="234"/>
      <c r="CN124" s="234"/>
      <c r="CO124" s="234"/>
      <c r="CP124" s="234"/>
      <c r="CQ124" s="234"/>
      <c r="CR124" s="234"/>
      <c r="CS124" s="234"/>
      <c r="CT124" s="234"/>
      <c r="CU124" s="234"/>
      <c r="CV124" s="234"/>
      <c r="CW124" s="234"/>
      <c r="CX124" s="234"/>
      <c r="CY124" s="234"/>
      <c r="CZ124" s="234"/>
      <c r="DA124" s="234"/>
      <c r="DB124" s="234"/>
      <c r="DC124" s="234"/>
      <c r="DD124" s="234"/>
      <c r="DE124" s="234"/>
      <c r="DF124" s="234"/>
      <c r="DG124" s="234"/>
      <c r="DH124" s="234"/>
      <c r="DI124" s="234"/>
      <c r="DJ124" s="234"/>
      <c r="DK124" s="234"/>
      <c r="DL124" s="234"/>
      <c r="DM124" s="234"/>
      <c r="DN124" s="234"/>
    </row>
    <row r="125" spans="1:118" s="118" customFormat="1" x14ac:dyDescent="0.2">
      <c r="A125" s="51"/>
      <c r="BK125" s="234"/>
      <c r="BL125" s="234"/>
      <c r="BM125" s="234"/>
      <c r="BN125" s="234"/>
      <c r="BO125" s="234"/>
      <c r="BP125" s="234"/>
      <c r="BQ125" s="234"/>
      <c r="BR125" s="234"/>
      <c r="BS125" s="234"/>
      <c r="BT125" s="234"/>
      <c r="BU125" s="234"/>
      <c r="BV125" s="234"/>
      <c r="BW125" s="234"/>
      <c r="BX125" s="234"/>
      <c r="BY125" s="234"/>
      <c r="BZ125" s="234"/>
      <c r="CA125" s="234"/>
      <c r="CB125" s="234"/>
      <c r="CC125" s="234"/>
      <c r="CD125" s="234"/>
      <c r="CE125" s="234"/>
      <c r="CF125" s="234"/>
      <c r="CG125" s="234"/>
      <c r="CH125" s="234"/>
      <c r="CI125" s="234"/>
      <c r="CJ125" s="234"/>
      <c r="CK125" s="234"/>
      <c r="CL125" s="234"/>
      <c r="CM125" s="234"/>
      <c r="CN125" s="234"/>
      <c r="CO125" s="234"/>
      <c r="CP125" s="234"/>
      <c r="CQ125" s="234"/>
      <c r="CR125" s="234"/>
      <c r="CS125" s="234"/>
      <c r="CT125" s="234"/>
      <c r="CU125" s="234"/>
      <c r="CV125" s="234"/>
      <c r="CW125" s="234"/>
      <c r="CX125" s="234"/>
      <c r="CY125" s="234"/>
      <c r="CZ125" s="234"/>
      <c r="DA125" s="234"/>
      <c r="DB125" s="234"/>
      <c r="DC125" s="234"/>
      <c r="DD125" s="234"/>
      <c r="DE125" s="234"/>
      <c r="DF125" s="234"/>
      <c r="DG125" s="234"/>
      <c r="DH125" s="234"/>
      <c r="DI125" s="234"/>
      <c r="DJ125" s="234"/>
      <c r="DK125" s="234"/>
      <c r="DL125" s="234"/>
      <c r="DM125" s="234"/>
      <c r="DN125" s="234"/>
    </row>
    <row r="126" spans="1:118" s="118" customFormat="1" x14ac:dyDescent="0.2">
      <c r="A126" s="51"/>
      <c r="BK126" s="234"/>
      <c r="BL126" s="234"/>
      <c r="BM126" s="234"/>
      <c r="BN126" s="234"/>
      <c r="BO126" s="234"/>
      <c r="BP126" s="234"/>
      <c r="BQ126" s="234"/>
      <c r="BR126" s="234"/>
      <c r="BS126" s="234"/>
      <c r="BT126" s="234"/>
      <c r="BU126" s="234"/>
      <c r="BV126" s="234"/>
      <c r="BW126" s="234"/>
      <c r="BX126" s="234"/>
      <c r="BY126" s="234"/>
      <c r="BZ126" s="234"/>
      <c r="CA126" s="234"/>
      <c r="CB126" s="234"/>
      <c r="CC126" s="234"/>
      <c r="CD126" s="234"/>
      <c r="CE126" s="234"/>
      <c r="CF126" s="234"/>
      <c r="CG126" s="234"/>
      <c r="CH126" s="234"/>
      <c r="CI126" s="234"/>
      <c r="CJ126" s="234"/>
      <c r="CK126" s="234"/>
      <c r="CL126" s="234"/>
      <c r="CM126" s="234"/>
      <c r="CN126" s="234"/>
      <c r="CO126" s="234"/>
      <c r="CP126" s="234"/>
      <c r="CQ126" s="234"/>
      <c r="CR126" s="234"/>
      <c r="CS126" s="234"/>
      <c r="CT126" s="234"/>
      <c r="CU126" s="234"/>
      <c r="CV126" s="234"/>
      <c r="CW126" s="234"/>
      <c r="CX126" s="234"/>
      <c r="CY126" s="234"/>
      <c r="CZ126" s="234"/>
      <c r="DA126" s="234"/>
      <c r="DB126" s="234"/>
      <c r="DC126" s="234"/>
      <c r="DD126" s="234"/>
      <c r="DE126" s="234"/>
      <c r="DF126" s="234"/>
      <c r="DG126" s="234"/>
      <c r="DH126" s="234"/>
      <c r="DI126" s="234"/>
      <c r="DJ126" s="234"/>
      <c r="DK126" s="234"/>
      <c r="DL126" s="234"/>
      <c r="DM126" s="234"/>
      <c r="DN126" s="234"/>
    </row>
    <row r="127" spans="1:118" s="118" customFormat="1" x14ac:dyDescent="0.2">
      <c r="A127" s="51"/>
      <c r="BK127" s="234"/>
      <c r="BL127" s="234"/>
      <c r="BM127" s="234"/>
      <c r="BN127" s="234"/>
      <c r="BO127" s="234"/>
      <c r="BP127" s="234"/>
      <c r="BQ127" s="234"/>
      <c r="BR127" s="234"/>
      <c r="BS127" s="234"/>
      <c r="BT127" s="234"/>
      <c r="BU127" s="234"/>
      <c r="BV127" s="234"/>
      <c r="BW127" s="234"/>
      <c r="BX127" s="234"/>
      <c r="BY127" s="234"/>
      <c r="BZ127" s="234"/>
      <c r="CA127" s="234"/>
      <c r="CB127" s="234"/>
      <c r="CC127" s="234"/>
      <c r="CD127" s="234"/>
      <c r="CE127" s="234"/>
      <c r="CF127" s="234"/>
      <c r="CG127" s="234"/>
      <c r="CH127" s="234"/>
      <c r="CI127" s="234"/>
      <c r="CJ127" s="234"/>
      <c r="CK127" s="234"/>
      <c r="CL127" s="234"/>
      <c r="CM127" s="234"/>
      <c r="CN127" s="234"/>
      <c r="CO127" s="234"/>
      <c r="CP127" s="234"/>
      <c r="CQ127" s="234"/>
      <c r="CR127" s="234"/>
      <c r="CS127" s="234"/>
      <c r="CT127" s="234"/>
      <c r="CU127" s="234"/>
      <c r="CV127" s="234"/>
      <c r="CW127" s="234"/>
      <c r="CX127" s="234"/>
      <c r="CY127" s="234"/>
      <c r="CZ127" s="234"/>
      <c r="DA127" s="234"/>
      <c r="DB127" s="234"/>
      <c r="DC127" s="234"/>
      <c r="DD127" s="234"/>
      <c r="DE127" s="234"/>
      <c r="DF127" s="234"/>
      <c r="DG127" s="234"/>
      <c r="DH127" s="234"/>
      <c r="DI127" s="234"/>
      <c r="DJ127" s="234"/>
      <c r="DK127" s="234"/>
      <c r="DL127" s="234"/>
      <c r="DM127" s="234"/>
      <c r="DN127" s="234"/>
    </row>
    <row r="128" spans="1:118" s="118" customFormat="1" x14ac:dyDescent="0.2">
      <c r="A128" s="51"/>
      <c r="BK128" s="234"/>
      <c r="BL128" s="234"/>
      <c r="BM128" s="234"/>
      <c r="BN128" s="234"/>
      <c r="BO128" s="234"/>
      <c r="BP128" s="234"/>
      <c r="BQ128" s="234"/>
      <c r="BR128" s="234"/>
      <c r="BS128" s="234"/>
      <c r="BT128" s="234"/>
      <c r="BU128" s="234"/>
      <c r="BV128" s="234"/>
      <c r="BW128" s="234"/>
      <c r="BX128" s="234"/>
      <c r="BY128" s="234"/>
      <c r="BZ128" s="234"/>
      <c r="CA128" s="234"/>
      <c r="CB128" s="234"/>
      <c r="CC128" s="234"/>
      <c r="CD128" s="234"/>
      <c r="CE128" s="234"/>
      <c r="CF128" s="234"/>
      <c r="CG128" s="234"/>
      <c r="CH128" s="234"/>
      <c r="CI128" s="234"/>
      <c r="CJ128" s="234"/>
      <c r="CK128" s="234"/>
      <c r="CL128" s="234"/>
      <c r="CM128" s="234"/>
      <c r="CN128" s="234"/>
      <c r="CO128" s="234"/>
      <c r="CP128" s="234"/>
      <c r="CQ128" s="234"/>
      <c r="CR128" s="234"/>
      <c r="CS128" s="234"/>
      <c r="CT128" s="234"/>
      <c r="CU128" s="234"/>
      <c r="CV128" s="234"/>
      <c r="CW128" s="234"/>
      <c r="CX128" s="234"/>
      <c r="CY128" s="234"/>
      <c r="CZ128" s="234"/>
      <c r="DA128" s="234"/>
      <c r="DB128" s="234"/>
      <c r="DC128" s="234"/>
      <c r="DD128" s="234"/>
      <c r="DE128" s="234"/>
      <c r="DF128" s="234"/>
      <c r="DG128" s="234"/>
      <c r="DH128" s="234"/>
      <c r="DI128" s="234"/>
      <c r="DJ128" s="234"/>
      <c r="DK128" s="234"/>
      <c r="DL128" s="234"/>
      <c r="DM128" s="234"/>
      <c r="DN128" s="234"/>
    </row>
    <row r="129" spans="1:118" s="118" customFormat="1" x14ac:dyDescent="0.2">
      <c r="A129" s="51"/>
      <c r="BK129" s="234"/>
      <c r="BL129" s="234"/>
      <c r="BM129" s="234"/>
      <c r="BN129" s="234"/>
      <c r="BO129" s="234"/>
      <c r="BP129" s="234"/>
      <c r="BQ129" s="234"/>
      <c r="BR129" s="234"/>
      <c r="BS129" s="234"/>
      <c r="BT129" s="234"/>
      <c r="BU129" s="234"/>
      <c r="BV129" s="234"/>
      <c r="BW129" s="234"/>
      <c r="BX129" s="234"/>
      <c r="BY129" s="234"/>
      <c r="BZ129" s="234"/>
      <c r="CA129" s="234"/>
      <c r="CB129" s="234"/>
      <c r="CC129" s="234"/>
      <c r="CD129" s="234"/>
      <c r="CE129" s="234"/>
      <c r="CF129" s="234"/>
      <c r="CG129" s="234"/>
      <c r="CH129" s="234"/>
      <c r="CI129" s="234"/>
      <c r="CJ129" s="234"/>
      <c r="CK129" s="234"/>
      <c r="CL129" s="234"/>
      <c r="CM129" s="234"/>
      <c r="CN129" s="234"/>
      <c r="CO129" s="234"/>
      <c r="CP129" s="234"/>
      <c r="CQ129" s="234"/>
      <c r="CR129" s="234"/>
      <c r="CS129" s="234"/>
      <c r="CT129" s="234"/>
      <c r="CU129" s="234"/>
      <c r="CV129" s="234"/>
      <c r="CW129" s="234"/>
      <c r="CX129" s="234"/>
      <c r="CY129" s="234"/>
      <c r="CZ129" s="234"/>
      <c r="DA129" s="234"/>
      <c r="DB129" s="234"/>
      <c r="DC129" s="234"/>
      <c r="DD129" s="234"/>
      <c r="DE129" s="234"/>
      <c r="DF129" s="234"/>
      <c r="DG129" s="234"/>
      <c r="DH129" s="234"/>
      <c r="DI129" s="234"/>
      <c r="DJ129" s="234"/>
      <c r="DK129" s="234"/>
      <c r="DL129" s="234"/>
      <c r="DM129" s="234"/>
      <c r="DN129" s="234"/>
    </row>
    <row r="130" spans="1:118" s="118" customFormat="1" x14ac:dyDescent="0.2">
      <c r="A130" s="51"/>
      <c r="BK130" s="234"/>
      <c r="BL130" s="234"/>
      <c r="BM130" s="234"/>
      <c r="BN130" s="234"/>
      <c r="BO130" s="234"/>
      <c r="BP130" s="234"/>
      <c r="BQ130" s="234"/>
      <c r="BR130" s="234"/>
      <c r="BS130" s="234"/>
      <c r="BT130" s="234"/>
      <c r="BU130" s="234"/>
      <c r="BV130" s="234"/>
      <c r="BW130" s="234"/>
      <c r="BX130" s="234"/>
      <c r="BY130" s="234"/>
      <c r="BZ130" s="234"/>
      <c r="CA130" s="234"/>
      <c r="CB130" s="234"/>
      <c r="CC130" s="234"/>
      <c r="CD130" s="234"/>
      <c r="CE130" s="234"/>
      <c r="CF130" s="234"/>
      <c r="CG130" s="234"/>
      <c r="CH130" s="234"/>
      <c r="CI130" s="234"/>
      <c r="CJ130" s="234"/>
      <c r="CK130" s="234"/>
      <c r="CL130" s="234"/>
      <c r="CM130" s="234"/>
      <c r="CN130" s="234"/>
      <c r="CO130" s="234"/>
      <c r="CP130" s="234"/>
      <c r="CQ130" s="234"/>
      <c r="CR130" s="234"/>
      <c r="CS130" s="234"/>
      <c r="CT130" s="234"/>
      <c r="CU130" s="234"/>
      <c r="CV130" s="234"/>
      <c r="CW130" s="234"/>
      <c r="CX130" s="234"/>
      <c r="CY130" s="234"/>
      <c r="CZ130" s="234"/>
      <c r="DA130" s="234"/>
      <c r="DB130" s="234"/>
      <c r="DC130" s="234"/>
      <c r="DD130" s="234"/>
      <c r="DE130" s="234"/>
      <c r="DF130" s="234"/>
      <c r="DG130" s="234"/>
      <c r="DH130" s="234"/>
      <c r="DI130" s="234"/>
      <c r="DJ130" s="234"/>
      <c r="DK130" s="234"/>
      <c r="DL130" s="234"/>
      <c r="DM130" s="234"/>
      <c r="DN130" s="234"/>
    </row>
    <row r="131" spans="1:118" s="118" customFormat="1" x14ac:dyDescent="0.2">
      <c r="A131" s="51"/>
      <c r="BK131" s="234"/>
      <c r="BL131" s="234"/>
      <c r="BM131" s="234"/>
      <c r="BN131" s="234"/>
      <c r="BO131" s="234"/>
      <c r="BP131" s="234"/>
      <c r="BQ131" s="234"/>
      <c r="BR131" s="234"/>
      <c r="BS131" s="234"/>
      <c r="BT131" s="234"/>
      <c r="BU131" s="234"/>
      <c r="BV131" s="234"/>
      <c r="BW131" s="234"/>
      <c r="BX131" s="234"/>
      <c r="BY131" s="234"/>
      <c r="BZ131" s="234"/>
      <c r="CA131" s="234"/>
      <c r="CB131" s="234"/>
      <c r="CC131" s="234"/>
      <c r="CD131" s="234"/>
      <c r="CE131" s="234"/>
      <c r="CF131" s="234"/>
      <c r="CG131" s="234"/>
      <c r="CH131" s="234"/>
      <c r="CI131" s="234"/>
      <c r="CJ131" s="234"/>
      <c r="CK131" s="234"/>
      <c r="CL131" s="234"/>
      <c r="CM131" s="234"/>
      <c r="CN131" s="234"/>
      <c r="CO131" s="234"/>
      <c r="CP131" s="234"/>
      <c r="CQ131" s="234"/>
      <c r="CR131" s="234"/>
      <c r="CS131" s="234"/>
      <c r="CT131" s="234"/>
      <c r="CU131" s="234"/>
      <c r="CV131" s="234"/>
      <c r="CW131" s="234"/>
      <c r="CX131" s="234"/>
      <c r="CY131" s="234"/>
      <c r="CZ131" s="234"/>
      <c r="DA131" s="234"/>
      <c r="DB131" s="234"/>
      <c r="DC131" s="234"/>
      <c r="DD131" s="234"/>
      <c r="DE131" s="234"/>
      <c r="DF131" s="234"/>
      <c r="DG131" s="234"/>
      <c r="DH131" s="234"/>
      <c r="DI131" s="234"/>
      <c r="DJ131" s="234"/>
      <c r="DK131" s="234"/>
      <c r="DL131" s="234"/>
      <c r="DM131" s="234"/>
      <c r="DN131" s="234"/>
    </row>
    <row r="132" spans="1:118" s="118" customFormat="1" x14ac:dyDescent="0.2">
      <c r="A132" s="51"/>
      <c r="BK132" s="234"/>
      <c r="BL132" s="234"/>
      <c r="BM132" s="234"/>
      <c r="BN132" s="234"/>
      <c r="BO132" s="234"/>
      <c r="BP132" s="234"/>
      <c r="BQ132" s="234"/>
      <c r="BR132" s="234"/>
      <c r="BS132" s="234"/>
      <c r="BT132" s="234"/>
      <c r="BU132" s="234"/>
      <c r="BV132" s="234"/>
      <c r="BW132" s="234"/>
      <c r="BX132" s="234"/>
      <c r="BY132" s="234"/>
      <c r="BZ132" s="234"/>
      <c r="CA132" s="234"/>
      <c r="CB132" s="234"/>
      <c r="CC132" s="234"/>
      <c r="CD132" s="234"/>
      <c r="CE132" s="234"/>
      <c r="CF132" s="234"/>
      <c r="CG132" s="234"/>
      <c r="CH132" s="234"/>
      <c r="CI132" s="234"/>
      <c r="CJ132" s="234"/>
      <c r="CK132" s="234"/>
      <c r="CL132" s="234"/>
      <c r="CM132" s="234"/>
      <c r="CN132" s="234"/>
      <c r="CO132" s="234"/>
      <c r="CP132" s="234"/>
      <c r="CQ132" s="234"/>
      <c r="CR132" s="234"/>
      <c r="CS132" s="234"/>
      <c r="CT132" s="234"/>
      <c r="CU132" s="234"/>
      <c r="CV132" s="234"/>
      <c r="CW132" s="234"/>
      <c r="CX132" s="234"/>
      <c r="CY132" s="234"/>
      <c r="CZ132" s="234"/>
      <c r="DA132" s="234"/>
      <c r="DB132" s="234"/>
      <c r="DC132" s="234"/>
      <c r="DD132" s="234"/>
      <c r="DE132" s="234"/>
      <c r="DF132" s="234"/>
      <c r="DG132" s="234"/>
      <c r="DH132" s="234"/>
      <c r="DI132" s="234"/>
      <c r="DJ132" s="234"/>
      <c r="DK132" s="234"/>
      <c r="DL132" s="234"/>
      <c r="DM132" s="234"/>
      <c r="DN132" s="234"/>
    </row>
    <row r="133" spans="1:118" s="118" customFormat="1" x14ac:dyDescent="0.2">
      <c r="A133" s="51"/>
    </row>
    <row r="134" spans="1:118" s="118" customFormat="1" x14ac:dyDescent="0.2">
      <c r="A134" s="51"/>
    </row>
    <row r="135" spans="1:118" s="118" customFormat="1" x14ac:dyDescent="0.2">
      <c r="A135" s="51"/>
    </row>
    <row r="136" spans="1:118" s="118" customFormat="1" x14ac:dyDescent="0.2">
      <c r="A136" s="51"/>
    </row>
    <row r="137" spans="1:118" s="118" customFormat="1" x14ac:dyDescent="0.2">
      <c r="A137" s="51"/>
    </row>
    <row r="138" spans="1:118" s="118" customFormat="1" x14ac:dyDescent="0.2">
      <c r="A138" s="51"/>
    </row>
    <row r="139" spans="1:118" s="118" customFormat="1" x14ac:dyDescent="0.2">
      <c r="A139" s="51"/>
    </row>
    <row r="140" spans="1:118" s="118" customFormat="1" x14ac:dyDescent="0.2">
      <c r="A140" s="51"/>
    </row>
    <row r="141" spans="1:118" s="118" customFormat="1" x14ac:dyDescent="0.2">
      <c r="A141" s="51"/>
    </row>
    <row r="142" spans="1:118" s="118" customFormat="1" x14ac:dyDescent="0.2">
      <c r="A142" s="51"/>
    </row>
    <row r="143" spans="1:118" s="118" customFormat="1" x14ac:dyDescent="0.2">
      <c r="A143" s="51"/>
    </row>
  </sheetData>
  <conditionalFormatting sqref="F22:F38">
    <cfRule type="cellIs" dxfId="3" priority="2" stopIfTrue="1" operator="equal">
      <formula>"BREACHED"</formula>
    </cfRule>
  </conditionalFormatting>
  <conditionalFormatting sqref="A44:A103">
    <cfRule type="cellIs" dxfId="2" priority="3" stopIfTrue="1" operator="equal">
      <formula>FALSE</formula>
    </cfRule>
  </conditionalFormatting>
  <conditionalFormatting sqref="C39:D39 D40">
    <cfRule type="cellIs" dxfId="1" priority="4" stopIfTrue="1" operator="equal">
      <formula>"Error"</formula>
    </cfRule>
  </conditionalFormatting>
  <conditionalFormatting sqref="C40">
    <cfRule type="cellIs" dxfId="0"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104" max="16383" man="1"/>
  </rowBreaks>
  <colBreaks count="4" manualBreakCount="4">
    <brk id="27" max="96" man="1"/>
    <brk id="49" max="1048575" man="1"/>
    <brk id="71" max="1048575" man="1"/>
    <brk id="94" max="1048575" man="1"/>
  </col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rgb="FFFFFF00"/>
    <pageSetUpPr autoPageBreaks="0"/>
  </sheetPr>
  <dimension ref="A1:AS102"/>
  <sheetViews>
    <sheetView zoomScale="70" zoomScaleNormal="70" workbookViewId="0">
      <pane xSplit="3" ySplit="5" topLeftCell="D6" activePane="bottomRight" state="frozen"/>
      <selection activeCell="B1" sqref="B1"/>
      <selection pane="topRight" activeCell="B1" sqref="B1"/>
      <selection pane="bottomLeft" activeCell="B1" sqref="B1"/>
      <selection pane="bottomRight" activeCell="AJ6" sqref="AJ6:AR65"/>
    </sheetView>
  </sheetViews>
  <sheetFormatPr defaultRowHeight="12.75" x14ac:dyDescent="0.2"/>
  <cols>
    <col min="1" max="1" width="10.85546875" style="72" customWidth="1"/>
    <col min="2" max="2" width="45" style="72" customWidth="1"/>
    <col min="3" max="3" width="2.85546875" style="72" customWidth="1"/>
    <col min="4" max="4" width="15.28515625" style="72" customWidth="1"/>
    <col min="5" max="6" width="11.5703125" style="72" customWidth="1"/>
    <col min="7" max="7" width="15" style="72" customWidth="1"/>
    <col min="8" max="8" width="14.140625" style="72" customWidth="1"/>
    <col min="9" max="9" width="11.5703125" style="72" customWidth="1"/>
    <col min="10" max="10" width="13.85546875" style="72" customWidth="1"/>
    <col min="11" max="16" width="12.28515625" style="72" customWidth="1"/>
    <col min="17" max="17" width="4.28515625" style="72" customWidth="1"/>
    <col min="18" max="18" width="12.28515625" style="72" customWidth="1"/>
    <col min="19" max="19" width="19.140625" style="72" customWidth="1"/>
    <col min="20" max="20" width="14.28515625" style="72" customWidth="1"/>
    <col min="21" max="22" width="12.28515625" style="72" customWidth="1"/>
    <col min="23" max="23" width="17.140625" style="72" customWidth="1"/>
    <col min="24" max="24" width="12.28515625" style="72" customWidth="1"/>
    <col min="25" max="25" width="14.42578125" style="72" customWidth="1"/>
    <col min="26" max="26" width="17.5703125" style="72" customWidth="1"/>
    <col min="27" max="27" width="18.7109375" style="72" bestFit="1" customWidth="1"/>
    <col min="28" max="28" width="18" style="72" customWidth="1"/>
    <col min="29" max="30" width="16.7109375" style="72" bestFit="1" customWidth="1"/>
    <col min="31" max="31" width="7.7109375" style="72" customWidth="1"/>
    <col min="32" max="33" width="16.7109375" style="72" bestFit="1" customWidth="1"/>
    <col min="34" max="34" width="11" style="72" customWidth="1"/>
    <col min="35" max="36" width="14.85546875" style="72" bestFit="1" customWidth="1"/>
    <col min="37" max="37" width="12.7109375" style="72" customWidth="1"/>
    <col min="38" max="38" width="12.28515625" style="72" customWidth="1"/>
    <col min="39" max="41" width="14.85546875" style="72" bestFit="1" customWidth="1"/>
    <col min="42" max="42" width="11.28515625" style="72" customWidth="1"/>
    <col min="43" max="43" width="15.85546875" style="72" customWidth="1"/>
    <col min="44" max="45" width="14.85546875" style="72" customWidth="1"/>
    <col min="46" max="16384" width="9.140625" style="72"/>
  </cols>
  <sheetData>
    <row r="1" spans="1:45" ht="15" x14ac:dyDescent="0.25">
      <c r="B1" s="50" t="str">
        <f>"Tariff Approval - "&amp;'Model update'!C3</f>
        <v>Tariff Approval - CitiPower</v>
      </c>
      <c r="C1" s="50"/>
      <c r="D1" s="350" t="str">
        <f>"Est"&amp;'Model update'!$C$5-1&amp;"DistRev"</f>
        <v>Est2020DistRev</v>
      </c>
    </row>
    <row r="2" spans="1:45" x14ac:dyDescent="0.2">
      <c r="G2" s="227"/>
    </row>
    <row r="3" spans="1:45" x14ac:dyDescent="0.2">
      <c r="B3" s="94" t="str">
        <f>"ESTIMATED "&amp;'Model update'!$C$8&amp;" Distribution Revenue"</f>
        <v>ESTIMATED 2020 Distribution Revenue</v>
      </c>
      <c r="C3" s="94"/>
    </row>
    <row r="4" spans="1:45" ht="13.5" thickBot="1" x14ac:dyDescent="0.25">
      <c r="D4" s="95" t="str">
        <f>"Current Distribution Tariffs (Pt-1) for "&amp;'Model update'!$C$8</f>
        <v>Current Distribution Tariffs (Pt-1) for 2020</v>
      </c>
      <c r="E4" s="96"/>
      <c r="F4" s="96"/>
      <c r="G4" s="96"/>
      <c r="H4" s="59"/>
      <c r="I4" s="59"/>
      <c r="J4" s="59"/>
      <c r="R4" s="95" t="str">
        <f>" Estimated Distribution Quantities for "&amp;'Model update'!$C$8&amp;" (Qt-1)"</f>
        <v xml:space="preserve"> Estimated Distribution Quantities for 2020 (Qt-1)</v>
      </c>
      <c r="S4" s="96"/>
      <c r="T4" s="96"/>
      <c r="U4" s="96"/>
      <c r="V4" s="59"/>
      <c r="AF4" s="95" t="str">
        <f>"Estimated Revenue (Pt-1 "&amp;'Model update'!$C$8&amp;")*(Qt-1 " &amp;'Model update'!$C$8&amp;")"</f>
        <v>Estimated Revenue (Pt-1 2020)*(Qt-1 2020)</v>
      </c>
      <c r="AG4" s="96"/>
      <c r="AH4" s="96"/>
      <c r="AI4" s="59"/>
    </row>
    <row r="5" spans="1:45" s="170" customFormat="1" ht="38.25" x14ac:dyDescent="0.2">
      <c r="B5" s="98" t="str">
        <f>"Tariffs "&amp;'[1]Model update'!C8</f>
        <v>Tariffs 2019</v>
      </c>
      <c r="C5" s="464"/>
      <c r="D5" s="172" t="s">
        <v>625</v>
      </c>
      <c r="E5" s="460" t="s">
        <v>626</v>
      </c>
      <c r="F5" s="460" t="s">
        <v>627</v>
      </c>
      <c r="G5" s="460" t="s">
        <v>628</v>
      </c>
      <c r="H5" s="460" t="s">
        <v>629</v>
      </c>
      <c r="I5" s="460" t="s">
        <v>630</v>
      </c>
      <c r="J5" s="460" t="s">
        <v>631</v>
      </c>
      <c r="K5" s="460" t="s">
        <v>632</v>
      </c>
      <c r="L5" s="460" t="s">
        <v>633</v>
      </c>
      <c r="M5" s="460" t="s">
        <v>634</v>
      </c>
      <c r="N5" s="460" t="s">
        <v>635</v>
      </c>
      <c r="O5" s="460" t="s">
        <v>636</v>
      </c>
      <c r="P5" s="461" t="s">
        <v>637</v>
      </c>
      <c r="Q5" s="72"/>
      <c r="R5" s="99" t="s">
        <v>123</v>
      </c>
      <c r="S5" s="462" t="s">
        <v>638</v>
      </c>
      <c r="T5" s="462" t="s">
        <v>639</v>
      </c>
      <c r="U5" s="462" t="s">
        <v>640</v>
      </c>
      <c r="V5" s="462" t="s">
        <v>641</v>
      </c>
      <c r="W5" s="460" t="s">
        <v>642</v>
      </c>
      <c r="X5" s="460" t="s">
        <v>643</v>
      </c>
      <c r="Y5" s="460" t="s">
        <v>644</v>
      </c>
      <c r="Z5" s="460" t="s">
        <v>645</v>
      </c>
      <c r="AA5" s="460" t="s">
        <v>646</v>
      </c>
      <c r="AB5" s="460" t="s">
        <v>647</v>
      </c>
      <c r="AC5" s="460" t="s">
        <v>648</v>
      </c>
      <c r="AD5" s="461" t="s">
        <v>649</v>
      </c>
      <c r="AF5" s="172" t="s">
        <v>121</v>
      </c>
      <c r="AG5" s="460" t="s">
        <v>650</v>
      </c>
      <c r="AH5" s="460" t="s">
        <v>651</v>
      </c>
      <c r="AI5" s="460" t="s">
        <v>652</v>
      </c>
      <c r="AJ5" s="460" t="s">
        <v>653</v>
      </c>
      <c r="AK5" s="460" t="s">
        <v>654</v>
      </c>
      <c r="AL5" s="460" t="s">
        <v>655</v>
      </c>
      <c r="AM5" s="460" t="s">
        <v>656</v>
      </c>
      <c r="AN5" s="460" t="s">
        <v>657</v>
      </c>
      <c r="AO5" s="460" t="s">
        <v>658</v>
      </c>
      <c r="AP5" s="460" t="s">
        <v>659</v>
      </c>
      <c r="AQ5" s="460" t="s">
        <v>660</v>
      </c>
      <c r="AR5" s="460" t="s">
        <v>661</v>
      </c>
      <c r="AS5" s="461" t="s">
        <v>122</v>
      </c>
    </row>
    <row r="6" spans="1:45" s="170" customFormat="1" x14ac:dyDescent="0.2">
      <c r="A6" s="170" t="s">
        <v>489</v>
      </c>
      <c r="B6" s="173" t="str">
        <f>Prop2021DistTar!C6</f>
        <v>Residential Single Rate</v>
      </c>
      <c r="C6" s="276"/>
      <c r="D6" s="310">
        <v>95</v>
      </c>
      <c r="E6" s="311">
        <v>4.9000000000000004</v>
      </c>
      <c r="F6" s="311">
        <v>0</v>
      </c>
      <c r="G6" s="311">
        <v>0</v>
      </c>
      <c r="H6" s="311">
        <v>0</v>
      </c>
      <c r="I6" s="311">
        <v>0</v>
      </c>
      <c r="J6" s="311">
        <v>0</v>
      </c>
      <c r="K6" s="311">
        <v>0</v>
      </c>
      <c r="L6" s="311">
        <v>0</v>
      </c>
      <c r="M6" s="311">
        <v>0</v>
      </c>
      <c r="N6" s="311">
        <v>0</v>
      </c>
      <c r="O6" s="311">
        <v>0</v>
      </c>
      <c r="P6" s="352">
        <v>0</v>
      </c>
      <c r="R6" s="314">
        <v>206178.44076359438</v>
      </c>
      <c r="S6" s="315">
        <v>848271452.54835963</v>
      </c>
      <c r="T6" s="315">
        <v>0</v>
      </c>
      <c r="U6" s="315">
        <v>0</v>
      </c>
      <c r="V6" s="315">
        <v>0</v>
      </c>
      <c r="W6" s="315">
        <v>0</v>
      </c>
      <c r="X6" s="315">
        <v>0</v>
      </c>
      <c r="Y6" s="315">
        <v>0</v>
      </c>
      <c r="Z6" s="315">
        <v>0</v>
      </c>
      <c r="AA6" s="315">
        <v>0</v>
      </c>
      <c r="AB6" s="315">
        <v>0</v>
      </c>
      <c r="AC6" s="315">
        <v>0</v>
      </c>
      <c r="AD6" s="316">
        <v>0</v>
      </c>
      <c r="AF6" s="280">
        <f t="shared" ref="AF6" si="0">D6*R6</f>
        <v>19586951.872541465</v>
      </c>
      <c r="AG6" s="281">
        <f t="shared" ref="AG6:AI6" si="1">E6/100*S6</f>
        <v>41565301.174869627</v>
      </c>
      <c r="AH6" s="281">
        <f t="shared" si="1"/>
        <v>0</v>
      </c>
      <c r="AI6" s="281">
        <f t="shared" si="1"/>
        <v>0</v>
      </c>
      <c r="AJ6" s="281">
        <f t="shared" ref="AJ6" si="2">H6*V6</f>
        <v>0</v>
      </c>
      <c r="AK6" s="281">
        <f t="shared" ref="AK6" si="3">I6*W6</f>
        <v>0</v>
      </c>
      <c r="AL6" s="281">
        <f t="shared" ref="AL6" si="4">J6*X6</f>
        <v>0</v>
      </c>
      <c r="AM6" s="267">
        <f t="shared" ref="AM6" si="5">K6/100*Y6</f>
        <v>0</v>
      </c>
      <c r="AN6" s="267">
        <f t="shared" ref="AN6" si="6">L6/100*Z6</f>
        <v>0</v>
      </c>
      <c r="AO6" s="267">
        <f t="shared" ref="AO6" si="7">M6/100*AA6</f>
        <v>0</v>
      </c>
      <c r="AP6" s="267">
        <f t="shared" ref="AP6" si="8">N6/100*AB6</f>
        <v>0</v>
      </c>
      <c r="AQ6" s="267">
        <f t="shared" ref="AQ6" si="9">O6/100*AC6</f>
        <v>0</v>
      </c>
      <c r="AR6" s="267">
        <f t="shared" ref="AR6" si="10">P6/100*AD6</f>
        <v>0</v>
      </c>
      <c r="AS6" s="282">
        <f t="shared" ref="AS6" si="11">SUM(AF6:AR6)</f>
        <v>61152253.047411092</v>
      </c>
    </row>
    <row r="7" spans="1:45" s="170" customFormat="1" x14ac:dyDescent="0.2">
      <c r="A7" s="170" t="s">
        <v>491</v>
      </c>
      <c r="B7" s="173" t="str">
        <f>Prop2021DistTar!C7</f>
        <v>Residential Single Rate - Bulk</v>
      </c>
      <c r="C7" s="283"/>
      <c r="D7" s="312">
        <v>95</v>
      </c>
      <c r="E7" s="313">
        <v>4.2</v>
      </c>
      <c r="F7" s="313">
        <v>0</v>
      </c>
      <c r="G7" s="313">
        <v>0</v>
      </c>
      <c r="H7" s="313">
        <v>0</v>
      </c>
      <c r="I7" s="313">
        <v>0</v>
      </c>
      <c r="J7" s="313">
        <v>0</v>
      </c>
      <c r="K7" s="313">
        <v>0</v>
      </c>
      <c r="L7" s="313">
        <v>0</v>
      </c>
      <c r="M7" s="313">
        <v>0</v>
      </c>
      <c r="N7" s="313">
        <v>0</v>
      </c>
      <c r="O7" s="313">
        <v>0</v>
      </c>
      <c r="P7" s="353">
        <v>0</v>
      </c>
      <c r="R7" s="314">
        <v>31089.947611169671</v>
      </c>
      <c r="S7" s="317">
        <v>107478291.59874508</v>
      </c>
      <c r="T7" s="317">
        <v>0</v>
      </c>
      <c r="U7" s="317">
        <v>0</v>
      </c>
      <c r="V7" s="317">
        <v>0</v>
      </c>
      <c r="W7" s="317">
        <v>0</v>
      </c>
      <c r="X7" s="317">
        <v>0</v>
      </c>
      <c r="Y7" s="317">
        <v>0</v>
      </c>
      <c r="Z7" s="317">
        <v>0</v>
      </c>
      <c r="AA7" s="317">
        <v>0</v>
      </c>
      <c r="AB7" s="317">
        <v>0</v>
      </c>
      <c r="AC7" s="317">
        <v>0</v>
      </c>
      <c r="AD7" s="318">
        <v>0</v>
      </c>
      <c r="AF7" s="266">
        <f t="shared" ref="AF7:AF65" si="12">D7*R7</f>
        <v>2953545.0230611186</v>
      </c>
      <c r="AG7" s="267">
        <f t="shared" ref="AG7:AI38" si="13">E7/100*S7</f>
        <v>4514088.2471472938</v>
      </c>
      <c r="AH7" s="267">
        <f t="shared" si="13"/>
        <v>0</v>
      </c>
      <c r="AI7" s="267">
        <f t="shared" si="13"/>
        <v>0</v>
      </c>
      <c r="AJ7" s="267">
        <f t="shared" ref="AJ7:AJ65" si="14">H7*V7</f>
        <v>0</v>
      </c>
      <c r="AK7" s="267">
        <f t="shared" ref="AK7:AK65" si="15">I7*W7</f>
        <v>0</v>
      </c>
      <c r="AL7" s="267">
        <f t="shared" ref="AL7:AL65" si="16">J7*X7</f>
        <v>0</v>
      </c>
      <c r="AM7" s="267">
        <f t="shared" ref="AM7:AM65" si="17">K7/100*Y7</f>
        <v>0</v>
      </c>
      <c r="AN7" s="267">
        <f t="shared" ref="AN7:AN65" si="18">L7/100*Z7</f>
        <v>0</v>
      </c>
      <c r="AO7" s="267">
        <f t="shared" ref="AO7:AO65" si="19">M7/100*AA7</f>
        <v>0</v>
      </c>
      <c r="AP7" s="267">
        <f t="shared" ref="AP7:AP65" si="20">N7/100*AB7</f>
        <v>0</v>
      </c>
      <c r="AQ7" s="267">
        <f t="shared" ref="AQ7:AQ65" si="21">O7/100*AC7</f>
        <v>0</v>
      </c>
      <c r="AR7" s="267">
        <f t="shared" ref="AR7:AR65" si="22">P7/100*AD7</f>
        <v>0</v>
      </c>
      <c r="AS7" s="182">
        <f t="shared" ref="AS7:AS65" si="23">SUM(AF7:AR7)</f>
        <v>7467633.2702084128</v>
      </c>
    </row>
    <row r="8" spans="1:45" s="170" customFormat="1" x14ac:dyDescent="0.2">
      <c r="A8" s="170" t="s">
        <v>493</v>
      </c>
      <c r="B8" s="173" t="str">
        <f>Prop2021DistTar!C8</f>
        <v>Residential - flexible pricing</v>
      </c>
      <c r="C8" s="283"/>
      <c r="D8" s="312">
        <v>95</v>
      </c>
      <c r="E8" s="313">
        <v>0</v>
      </c>
      <c r="F8" s="313">
        <v>0</v>
      </c>
      <c r="G8" s="313">
        <v>0</v>
      </c>
      <c r="H8" s="313">
        <v>0</v>
      </c>
      <c r="I8" s="313">
        <v>0</v>
      </c>
      <c r="J8" s="313">
        <v>0</v>
      </c>
      <c r="K8" s="313">
        <v>10.42</v>
      </c>
      <c r="L8" s="313">
        <v>7.02</v>
      </c>
      <c r="M8" s="313">
        <v>2.75</v>
      </c>
      <c r="N8" s="313">
        <v>10.42</v>
      </c>
      <c r="O8" s="313">
        <v>7.02</v>
      </c>
      <c r="P8" s="353">
        <v>2.75</v>
      </c>
      <c r="R8" s="314">
        <v>697.78377437315021</v>
      </c>
      <c r="S8" s="317">
        <v>0</v>
      </c>
      <c r="T8" s="317">
        <v>0</v>
      </c>
      <c r="U8" s="317">
        <v>0</v>
      </c>
      <c r="V8" s="317">
        <v>0</v>
      </c>
      <c r="W8" s="317">
        <v>0</v>
      </c>
      <c r="X8" s="317">
        <v>0</v>
      </c>
      <c r="Y8" s="317">
        <v>182885.28410131854</v>
      </c>
      <c r="Z8" s="317">
        <v>388824.70973085507</v>
      </c>
      <c r="AA8" s="317">
        <v>289537.60955412494</v>
      </c>
      <c r="AB8" s="317">
        <v>700283.25333285017</v>
      </c>
      <c r="AC8" s="317">
        <v>1488842.7685394138</v>
      </c>
      <c r="AD8" s="318">
        <v>1108664.046848356</v>
      </c>
      <c r="AF8" s="266">
        <f t="shared" si="12"/>
        <v>66289.458565449269</v>
      </c>
      <c r="AG8" s="267">
        <f t="shared" si="13"/>
        <v>0</v>
      </c>
      <c r="AH8" s="267">
        <f t="shared" si="13"/>
        <v>0</v>
      </c>
      <c r="AI8" s="267">
        <f t="shared" si="13"/>
        <v>0</v>
      </c>
      <c r="AJ8" s="267">
        <f t="shared" si="14"/>
        <v>0</v>
      </c>
      <c r="AK8" s="267">
        <f t="shared" si="15"/>
        <v>0</v>
      </c>
      <c r="AL8" s="267">
        <f t="shared" si="16"/>
        <v>0</v>
      </c>
      <c r="AM8" s="267">
        <f t="shared" si="17"/>
        <v>19056.646603357392</v>
      </c>
      <c r="AN8" s="267">
        <f t="shared" si="18"/>
        <v>27295.494623106024</v>
      </c>
      <c r="AO8" s="267">
        <f t="shared" si="19"/>
        <v>7962.2842627384362</v>
      </c>
      <c r="AP8" s="267">
        <f t="shared" si="20"/>
        <v>72969.514997282982</v>
      </c>
      <c r="AQ8" s="267">
        <f t="shared" si="21"/>
        <v>104516.76235146685</v>
      </c>
      <c r="AR8" s="267">
        <f t="shared" si="22"/>
        <v>30488.261288329792</v>
      </c>
      <c r="AS8" s="182">
        <f t="shared" si="23"/>
        <v>328578.42269173072</v>
      </c>
    </row>
    <row r="9" spans="1:45" s="170" customFormat="1" x14ac:dyDescent="0.2">
      <c r="A9" s="170" t="s">
        <v>495</v>
      </c>
      <c r="B9" s="173" t="str">
        <f>Prop2021DistTar!C9</f>
        <v>Residential - flexible pricing bulk</v>
      </c>
      <c r="C9" s="283"/>
      <c r="D9" s="312">
        <v>95</v>
      </c>
      <c r="E9" s="313">
        <v>0</v>
      </c>
      <c r="F9" s="313">
        <v>0</v>
      </c>
      <c r="G9" s="313">
        <v>0</v>
      </c>
      <c r="H9" s="313">
        <v>0</v>
      </c>
      <c r="I9" s="313">
        <v>0</v>
      </c>
      <c r="J9" s="313">
        <v>0</v>
      </c>
      <c r="K9" s="313">
        <v>9.69</v>
      </c>
      <c r="L9" s="313">
        <v>6.52</v>
      </c>
      <c r="M9" s="313">
        <v>2.56</v>
      </c>
      <c r="N9" s="313">
        <v>9.69</v>
      </c>
      <c r="O9" s="313">
        <v>6.52</v>
      </c>
      <c r="P9" s="353">
        <v>2.56</v>
      </c>
      <c r="R9" s="314">
        <v>92.829526834867764</v>
      </c>
      <c r="S9" s="317">
        <v>0</v>
      </c>
      <c r="T9" s="317">
        <v>0</v>
      </c>
      <c r="U9" s="317">
        <v>0</v>
      </c>
      <c r="V9" s="317">
        <v>0</v>
      </c>
      <c r="W9" s="317">
        <v>0</v>
      </c>
      <c r="X9" s="317">
        <v>0</v>
      </c>
      <c r="Y9" s="317">
        <v>15622.006825940556</v>
      </c>
      <c r="Z9" s="317">
        <v>33980.313696763908</v>
      </c>
      <c r="AA9" s="317">
        <v>24260.31259187479</v>
      </c>
      <c r="AB9" s="317">
        <v>58675.496976719034</v>
      </c>
      <c r="AC9" s="317">
        <v>127628.40368701438</v>
      </c>
      <c r="AD9" s="318">
        <v>91120.552820082667</v>
      </c>
      <c r="AF9" s="266">
        <f t="shared" si="12"/>
        <v>8818.8050493124374</v>
      </c>
      <c r="AG9" s="267">
        <f t="shared" si="13"/>
        <v>0</v>
      </c>
      <c r="AH9" s="267">
        <f t="shared" si="13"/>
        <v>0</v>
      </c>
      <c r="AI9" s="267">
        <f t="shared" si="13"/>
        <v>0</v>
      </c>
      <c r="AJ9" s="267">
        <f t="shared" si="14"/>
        <v>0</v>
      </c>
      <c r="AK9" s="267">
        <f t="shared" si="15"/>
        <v>0</v>
      </c>
      <c r="AL9" s="267">
        <f t="shared" si="16"/>
        <v>0</v>
      </c>
      <c r="AM9" s="267">
        <f t="shared" si="17"/>
        <v>1513.7724614336398</v>
      </c>
      <c r="AN9" s="267">
        <f t="shared" si="18"/>
        <v>2215.5164530290067</v>
      </c>
      <c r="AO9" s="267">
        <f t="shared" si="19"/>
        <v>621.06400235199465</v>
      </c>
      <c r="AP9" s="267">
        <f t="shared" si="20"/>
        <v>5685.6556570440744</v>
      </c>
      <c r="AQ9" s="267">
        <f t="shared" si="21"/>
        <v>8321.371920393336</v>
      </c>
      <c r="AR9" s="267">
        <f t="shared" si="22"/>
        <v>2332.6861521941164</v>
      </c>
      <c r="AS9" s="182">
        <f t="shared" si="23"/>
        <v>29508.871695758608</v>
      </c>
    </row>
    <row r="10" spans="1:45" s="170" customFormat="1" x14ac:dyDescent="0.2">
      <c r="A10" s="170" t="s">
        <v>497</v>
      </c>
      <c r="B10" s="173" t="str">
        <f>Prop2021DistTar!C10</f>
        <v>Residential Two Rate 5d</v>
      </c>
      <c r="C10" s="283"/>
      <c r="D10" s="312">
        <v>95</v>
      </c>
      <c r="E10" s="313">
        <v>0</v>
      </c>
      <c r="F10" s="313">
        <v>9.39</v>
      </c>
      <c r="G10" s="313">
        <v>2.4700000000000002</v>
      </c>
      <c r="H10" s="313">
        <v>0</v>
      </c>
      <c r="I10" s="313">
        <v>0</v>
      </c>
      <c r="J10" s="313">
        <v>0</v>
      </c>
      <c r="K10" s="313">
        <v>0</v>
      </c>
      <c r="L10" s="313">
        <v>0</v>
      </c>
      <c r="M10" s="313">
        <v>0</v>
      </c>
      <c r="N10" s="313">
        <v>0</v>
      </c>
      <c r="O10" s="313">
        <v>0</v>
      </c>
      <c r="P10" s="353">
        <v>0</v>
      </c>
      <c r="R10" s="314">
        <v>10806.12165035933</v>
      </c>
      <c r="S10" s="317">
        <v>0</v>
      </c>
      <c r="T10" s="317">
        <v>33449615.665798429</v>
      </c>
      <c r="U10" s="317">
        <v>29269859.989206955</v>
      </c>
      <c r="V10" s="317">
        <v>0</v>
      </c>
      <c r="W10" s="317">
        <v>0</v>
      </c>
      <c r="X10" s="317">
        <v>0</v>
      </c>
      <c r="Y10" s="317">
        <v>0</v>
      </c>
      <c r="Z10" s="317">
        <v>0</v>
      </c>
      <c r="AA10" s="317">
        <v>0</v>
      </c>
      <c r="AB10" s="317">
        <v>0</v>
      </c>
      <c r="AC10" s="317">
        <v>0</v>
      </c>
      <c r="AD10" s="318">
        <v>0</v>
      </c>
      <c r="AF10" s="266">
        <f t="shared" si="12"/>
        <v>1026581.5567841363</v>
      </c>
      <c r="AG10" s="267">
        <f t="shared" si="13"/>
        <v>0</v>
      </c>
      <c r="AH10" s="267">
        <f t="shared" si="13"/>
        <v>3140918.9110184731</v>
      </c>
      <c r="AI10" s="267">
        <f t="shared" si="13"/>
        <v>722965.54173341184</v>
      </c>
      <c r="AJ10" s="267">
        <f t="shared" si="14"/>
        <v>0</v>
      </c>
      <c r="AK10" s="267">
        <f t="shared" si="15"/>
        <v>0</v>
      </c>
      <c r="AL10" s="267">
        <f t="shared" si="16"/>
        <v>0</v>
      </c>
      <c r="AM10" s="267">
        <f t="shared" si="17"/>
        <v>0</v>
      </c>
      <c r="AN10" s="267">
        <f t="shared" si="18"/>
        <v>0</v>
      </c>
      <c r="AO10" s="267">
        <f t="shared" si="19"/>
        <v>0</v>
      </c>
      <c r="AP10" s="267">
        <f t="shared" si="20"/>
        <v>0</v>
      </c>
      <c r="AQ10" s="267">
        <f t="shared" si="21"/>
        <v>0</v>
      </c>
      <c r="AR10" s="267">
        <f t="shared" si="22"/>
        <v>0</v>
      </c>
      <c r="AS10" s="182">
        <f t="shared" si="23"/>
        <v>4890466.0095360214</v>
      </c>
    </row>
    <row r="11" spans="1:45" s="170" customFormat="1" x14ac:dyDescent="0.2">
      <c r="A11" s="170" t="s">
        <v>499</v>
      </c>
      <c r="B11" s="173" t="str">
        <f>Prop2021DistTar!C11</f>
        <v>Residential Two Rate 5d - Bulk</v>
      </c>
      <c r="C11" s="283"/>
      <c r="D11" s="312">
        <v>95</v>
      </c>
      <c r="E11" s="313">
        <v>0</v>
      </c>
      <c r="F11" s="313">
        <v>8.4499999999999993</v>
      </c>
      <c r="G11" s="313">
        <v>2.34</v>
      </c>
      <c r="H11" s="313">
        <v>0</v>
      </c>
      <c r="I11" s="313">
        <v>0</v>
      </c>
      <c r="J11" s="313">
        <v>0</v>
      </c>
      <c r="K11" s="313">
        <v>0</v>
      </c>
      <c r="L11" s="313">
        <v>0</v>
      </c>
      <c r="M11" s="313">
        <v>0</v>
      </c>
      <c r="N11" s="313">
        <v>0</v>
      </c>
      <c r="O11" s="313">
        <v>0</v>
      </c>
      <c r="P11" s="353">
        <v>0</v>
      </c>
      <c r="R11" s="314">
        <v>4316.8242068076952</v>
      </c>
      <c r="S11" s="317">
        <v>0</v>
      </c>
      <c r="T11" s="317">
        <v>12001250.20375419</v>
      </c>
      <c r="U11" s="317">
        <v>10487452.702396166</v>
      </c>
      <c r="V11" s="317">
        <v>0</v>
      </c>
      <c r="W11" s="317">
        <v>0</v>
      </c>
      <c r="X11" s="317">
        <v>0</v>
      </c>
      <c r="Y11" s="317">
        <v>0</v>
      </c>
      <c r="Z11" s="317">
        <v>0</v>
      </c>
      <c r="AA11" s="317">
        <v>0</v>
      </c>
      <c r="AB11" s="317">
        <v>0</v>
      </c>
      <c r="AC11" s="317">
        <v>0</v>
      </c>
      <c r="AD11" s="318">
        <v>0</v>
      </c>
      <c r="AF11" s="266">
        <f t="shared" si="12"/>
        <v>410098.29964673106</v>
      </c>
      <c r="AG11" s="267">
        <f t="shared" si="13"/>
        <v>0</v>
      </c>
      <c r="AH11" s="267">
        <f t="shared" si="13"/>
        <v>1014105.642217229</v>
      </c>
      <c r="AI11" s="267">
        <f t="shared" si="13"/>
        <v>245406.39323607023</v>
      </c>
      <c r="AJ11" s="267">
        <f t="shared" si="14"/>
        <v>0</v>
      </c>
      <c r="AK11" s="267">
        <f t="shared" si="15"/>
        <v>0</v>
      </c>
      <c r="AL11" s="267">
        <f t="shared" si="16"/>
        <v>0</v>
      </c>
      <c r="AM11" s="267">
        <f t="shared" si="17"/>
        <v>0</v>
      </c>
      <c r="AN11" s="267">
        <f t="shared" si="18"/>
        <v>0</v>
      </c>
      <c r="AO11" s="267">
        <f t="shared" si="19"/>
        <v>0</v>
      </c>
      <c r="AP11" s="267">
        <f t="shared" si="20"/>
        <v>0</v>
      </c>
      <c r="AQ11" s="267">
        <f t="shared" si="21"/>
        <v>0</v>
      </c>
      <c r="AR11" s="267">
        <f t="shared" si="22"/>
        <v>0</v>
      </c>
      <c r="AS11" s="182">
        <f t="shared" si="23"/>
        <v>1669610.3351000303</v>
      </c>
    </row>
    <row r="12" spans="1:45" s="170" customFormat="1" x14ac:dyDescent="0.2">
      <c r="A12" s="170" t="s">
        <v>501</v>
      </c>
      <c r="B12" s="173" t="str">
        <f>Prop2021DistTar!C12</f>
        <v>Residential Interval</v>
      </c>
      <c r="C12" s="283"/>
      <c r="D12" s="312">
        <v>95</v>
      </c>
      <c r="E12" s="313">
        <v>0</v>
      </c>
      <c r="F12" s="313">
        <v>9.39</v>
      </c>
      <c r="G12" s="313">
        <v>2.4700000000000002</v>
      </c>
      <c r="H12" s="313">
        <v>0</v>
      </c>
      <c r="I12" s="313">
        <v>0</v>
      </c>
      <c r="J12" s="313">
        <v>0</v>
      </c>
      <c r="K12" s="313">
        <v>0</v>
      </c>
      <c r="L12" s="313">
        <v>0</v>
      </c>
      <c r="M12" s="313">
        <v>0</v>
      </c>
      <c r="N12" s="313">
        <v>0</v>
      </c>
      <c r="O12" s="313">
        <v>0</v>
      </c>
      <c r="P12" s="353">
        <v>0</v>
      </c>
      <c r="R12" s="314">
        <v>17021.34204511912</v>
      </c>
      <c r="S12" s="317">
        <v>0</v>
      </c>
      <c r="T12" s="317">
        <v>51729844.462038442</v>
      </c>
      <c r="U12" s="317">
        <v>45571765.373176172</v>
      </c>
      <c r="V12" s="317">
        <v>0</v>
      </c>
      <c r="W12" s="317">
        <v>0</v>
      </c>
      <c r="X12" s="317">
        <v>0</v>
      </c>
      <c r="Y12" s="317">
        <v>0</v>
      </c>
      <c r="Z12" s="317">
        <v>0</v>
      </c>
      <c r="AA12" s="317">
        <v>0</v>
      </c>
      <c r="AB12" s="317">
        <v>0</v>
      </c>
      <c r="AC12" s="317">
        <v>0</v>
      </c>
      <c r="AD12" s="318">
        <v>0</v>
      </c>
      <c r="AF12" s="266">
        <f t="shared" si="12"/>
        <v>1617027.4942863164</v>
      </c>
      <c r="AG12" s="267">
        <f t="shared" si="13"/>
        <v>0</v>
      </c>
      <c r="AH12" s="267">
        <f t="shared" si="13"/>
        <v>4857432.3949854104</v>
      </c>
      <c r="AI12" s="267">
        <f t="shared" si="13"/>
        <v>1125622.6047174516</v>
      </c>
      <c r="AJ12" s="267">
        <f t="shared" si="14"/>
        <v>0</v>
      </c>
      <c r="AK12" s="267">
        <f t="shared" si="15"/>
        <v>0</v>
      </c>
      <c r="AL12" s="267">
        <f t="shared" si="16"/>
        <v>0</v>
      </c>
      <c r="AM12" s="267">
        <f t="shared" si="17"/>
        <v>0</v>
      </c>
      <c r="AN12" s="267">
        <f t="shared" si="18"/>
        <v>0</v>
      </c>
      <c r="AO12" s="267">
        <f t="shared" si="19"/>
        <v>0</v>
      </c>
      <c r="AP12" s="267">
        <f t="shared" si="20"/>
        <v>0</v>
      </c>
      <c r="AQ12" s="267">
        <f t="shared" si="21"/>
        <v>0</v>
      </c>
      <c r="AR12" s="267">
        <f t="shared" si="22"/>
        <v>0</v>
      </c>
      <c r="AS12" s="182">
        <f t="shared" si="23"/>
        <v>7600082.4939891789</v>
      </c>
    </row>
    <row r="13" spans="1:45" s="170" customFormat="1" x14ac:dyDescent="0.2">
      <c r="A13" s="170" t="s">
        <v>503</v>
      </c>
      <c r="B13" s="173" t="str">
        <f>Prop2021DistTar!C13</f>
        <v>Residential Interval - Bulk</v>
      </c>
      <c r="C13" s="283"/>
      <c r="D13" s="312">
        <v>95</v>
      </c>
      <c r="E13" s="313">
        <v>0</v>
      </c>
      <c r="F13" s="313">
        <v>8.4499999999999993</v>
      </c>
      <c r="G13" s="313">
        <v>2.34</v>
      </c>
      <c r="H13" s="313">
        <v>0</v>
      </c>
      <c r="I13" s="313">
        <v>0</v>
      </c>
      <c r="J13" s="313">
        <v>0</v>
      </c>
      <c r="K13" s="313">
        <v>0</v>
      </c>
      <c r="L13" s="313">
        <v>0</v>
      </c>
      <c r="M13" s="313">
        <v>0</v>
      </c>
      <c r="N13" s="313">
        <v>0</v>
      </c>
      <c r="O13" s="313">
        <v>0</v>
      </c>
      <c r="P13" s="353">
        <v>0</v>
      </c>
      <c r="R13" s="314">
        <v>8705.3498093096259</v>
      </c>
      <c r="S13" s="317">
        <v>0</v>
      </c>
      <c r="T13" s="317">
        <v>15093462.866443299</v>
      </c>
      <c r="U13" s="317">
        <v>14304461.07940924</v>
      </c>
      <c r="V13" s="317">
        <v>0</v>
      </c>
      <c r="W13" s="317">
        <v>0</v>
      </c>
      <c r="X13" s="317">
        <v>0</v>
      </c>
      <c r="Y13" s="317">
        <v>0</v>
      </c>
      <c r="Z13" s="317">
        <v>0</v>
      </c>
      <c r="AA13" s="317">
        <v>0</v>
      </c>
      <c r="AB13" s="317">
        <v>0</v>
      </c>
      <c r="AC13" s="317">
        <v>0</v>
      </c>
      <c r="AD13" s="318">
        <v>0</v>
      </c>
      <c r="AF13" s="266">
        <f t="shared" si="12"/>
        <v>827008.23188441445</v>
      </c>
      <c r="AG13" s="267">
        <f t="shared" si="13"/>
        <v>0</v>
      </c>
      <c r="AH13" s="267">
        <f t="shared" si="13"/>
        <v>1275397.6122144586</v>
      </c>
      <c r="AI13" s="267">
        <f t="shared" si="13"/>
        <v>334724.38925817615</v>
      </c>
      <c r="AJ13" s="267">
        <f t="shared" si="14"/>
        <v>0</v>
      </c>
      <c r="AK13" s="267">
        <f t="shared" si="15"/>
        <v>0</v>
      </c>
      <c r="AL13" s="267">
        <f t="shared" si="16"/>
        <v>0</v>
      </c>
      <c r="AM13" s="267">
        <f t="shared" si="17"/>
        <v>0</v>
      </c>
      <c r="AN13" s="267">
        <f t="shared" si="18"/>
        <v>0</v>
      </c>
      <c r="AO13" s="267">
        <f t="shared" si="19"/>
        <v>0</v>
      </c>
      <c r="AP13" s="267">
        <f t="shared" si="20"/>
        <v>0</v>
      </c>
      <c r="AQ13" s="267">
        <f t="shared" si="21"/>
        <v>0</v>
      </c>
      <c r="AR13" s="267">
        <f t="shared" si="22"/>
        <v>0</v>
      </c>
      <c r="AS13" s="182">
        <f t="shared" si="23"/>
        <v>2437130.2333570491</v>
      </c>
    </row>
    <row r="14" spans="1:45" s="170" customFormat="1" x14ac:dyDescent="0.2">
      <c r="A14" s="170" t="s">
        <v>505</v>
      </c>
      <c r="B14" s="173" t="str">
        <f>Prop2021DistTar!C14</f>
        <v>Residential Two Rate 5d - Controlled Load</v>
      </c>
      <c r="C14" s="283"/>
      <c r="D14" s="312">
        <v>0</v>
      </c>
      <c r="E14" s="313">
        <v>0</v>
      </c>
      <c r="F14" s="313">
        <v>0</v>
      </c>
      <c r="G14" s="313">
        <v>0</v>
      </c>
      <c r="H14" s="313">
        <v>0</v>
      </c>
      <c r="I14" s="313">
        <v>0</v>
      </c>
      <c r="J14" s="313">
        <v>0</v>
      </c>
      <c r="K14" s="313">
        <v>0</v>
      </c>
      <c r="L14" s="313">
        <v>0</v>
      </c>
      <c r="M14" s="313">
        <v>0</v>
      </c>
      <c r="N14" s="313">
        <v>0</v>
      </c>
      <c r="O14" s="313">
        <v>0</v>
      </c>
      <c r="P14" s="353">
        <v>0</v>
      </c>
      <c r="R14" s="314">
        <v>0</v>
      </c>
      <c r="S14" s="317">
        <v>0</v>
      </c>
      <c r="T14" s="317">
        <v>0</v>
      </c>
      <c r="U14" s="317">
        <v>0</v>
      </c>
      <c r="V14" s="317">
        <v>0</v>
      </c>
      <c r="W14" s="317">
        <v>0</v>
      </c>
      <c r="X14" s="317">
        <v>0</v>
      </c>
      <c r="Y14" s="317">
        <v>0</v>
      </c>
      <c r="Z14" s="317">
        <v>0</v>
      </c>
      <c r="AA14" s="317">
        <v>0</v>
      </c>
      <c r="AB14" s="317">
        <v>0</v>
      </c>
      <c r="AC14" s="317">
        <v>0</v>
      </c>
      <c r="AD14" s="318">
        <v>0</v>
      </c>
      <c r="AF14" s="266">
        <f t="shared" si="12"/>
        <v>0</v>
      </c>
      <c r="AG14" s="267">
        <f t="shared" si="13"/>
        <v>0</v>
      </c>
      <c r="AH14" s="267">
        <f t="shared" si="13"/>
        <v>0</v>
      </c>
      <c r="AI14" s="267">
        <f t="shared" si="13"/>
        <v>0</v>
      </c>
      <c r="AJ14" s="267">
        <f t="shared" si="14"/>
        <v>0</v>
      </c>
      <c r="AK14" s="267">
        <f t="shared" si="15"/>
        <v>0</v>
      </c>
      <c r="AL14" s="267">
        <f t="shared" si="16"/>
        <v>0</v>
      </c>
      <c r="AM14" s="267">
        <f t="shared" si="17"/>
        <v>0</v>
      </c>
      <c r="AN14" s="267">
        <f t="shared" si="18"/>
        <v>0</v>
      </c>
      <c r="AO14" s="267">
        <f t="shared" si="19"/>
        <v>0</v>
      </c>
      <c r="AP14" s="267">
        <f t="shared" si="20"/>
        <v>0</v>
      </c>
      <c r="AQ14" s="267">
        <f t="shared" si="21"/>
        <v>0</v>
      </c>
      <c r="AR14" s="267">
        <f t="shared" si="22"/>
        <v>0</v>
      </c>
      <c r="AS14" s="182">
        <f t="shared" si="23"/>
        <v>0</v>
      </c>
    </row>
    <row r="15" spans="1:45" s="170" customFormat="1" x14ac:dyDescent="0.2">
      <c r="A15" s="170" t="s">
        <v>507</v>
      </c>
      <c r="B15" s="173" t="str">
        <f>Prop2021DistTar!C15</f>
        <v>Residential Two Rate 5d - Bulk - Controlled Load</v>
      </c>
      <c r="C15" s="283"/>
      <c r="D15" s="312">
        <v>0</v>
      </c>
      <c r="E15" s="313">
        <v>0</v>
      </c>
      <c r="F15" s="313">
        <v>0</v>
      </c>
      <c r="G15" s="313">
        <v>0</v>
      </c>
      <c r="H15" s="313">
        <v>0</v>
      </c>
      <c r="I15" s="313">
        <v>0</v>
      </c>
      <c r="J15" s="313">
        <v>0</v>
      </c>
      <c r="K15" s="313">
        <v>0</v>
      </c>
      <c r="L15" s="313">
        <v>0</v>
      </c>
      <c r="M15" s="313">
        <v>0</v>
      </c>
      <c r="N15" s="313">
        <v>0</v>
      </c>
      <c r="O15" s="313">
        <v>0</v>
      </c>
      <c r="P15" s="353">
        <v>0</v>
      </c>
      <c r="R15" s="314">
        <v>0</v>
      </c>
      <c r="S15" s="317">
        <v>0</v>
      </c>
      <c r="T15" s="317">
        <v>0</v>
      </c>
      <c r="U15" s="317">
        <v>0</v>
      </c>
      <c r="V15" s="317">
        <v>0</v>
      </c>
      <c r="W15" s="317">
        <v>0</v>
      </c>
      <c r="X15" s="317">
        <v>0</v>
      </c>
      <c r="Y15" s="317">
        <v>0</v>
      </c>
      <c r="Z15" s="317">
        <v>0</v>
      </c>
      <c r="AA15" s="317">
        <v>0</v>
      </c>
      <c r="AB15" s="317">
        <v>0</v>
      </c>
      <c r="AC15" s="317">
        <v>0</v>
      </c>
      <c r="AD15" s="318">
        <v>0</v>
      </c>
      <c r="AF15" s="266">
        <f t="shared" si="12"/>
        <v>0</v>
      </c>
      <c r="AG15" s="267">
        <f t="shared" si="13"/>
        <v>0</v>
      </c>
      <c r="AH15" s="267">
        <f t="shared" si="13"/>
        <v>0</v>
      </c>
      <c r="AI15" s="267">
        <f t="shared" si="13"/>
        <v>0</v>
      </c>
      <c r="AJ15" s="267">
        <f t="shared" si="14"/>
        <v>0</v>
      </c>
      <c r="AK15" s="267">
        <f t="shared" si="15"/>
        <v>0</v>
      </c>
      <c r="AL15" s="267">
        <f t="shared" si="16"/>
        <v>0</v>
      </c>
      <c r="AM15" s="267">
        <f t="shared" si="17"/>
        <v>0</v>
      </c>
      <c r="AN15" s="267">
        <f t="shared" si="18"/>
        <v>0</v>
      </c>
      <c r="AO15" s="267">
        <f t="shared" si="19"/>
        <v>0</v>
      </c>
      <c r="AP15" s="267">
        <f t="shared" si="20"/>
        <v>0</v>
      </c>
      <c r="AQ15" s="267">
        <f t="shared" si="21"/>
        <v>0</v>
      </c>
      <c r="AR15" s="267">
        <f t="shared" si="22"/>
        <v>0</v>
      </c>
      <c r="AS15" s="182">
        <f t="shared" si="23"/>
        <v>0</v>
      </c>
    </row>
    <row r="16" spans="1:45" s="170" customFormat="1" x14ac:dyDescent="0.2">
      <c r="A16" s="170" t="s">
        <v>509</v>
      </c>
      <c r="B16" s="173" t="str">
        <f>Prop2021DistTar!C16</f>
        <v>Dedicated Circuit</v>
      </c>
      <c r="C16" s="283"/>
      <c r="D16" s="312">
        <v>0</v>
      </c>
      <c r="E16" s="313">
        <v>0</v>
      </c>
      <c r="F16" s="313">
        <v>0</v>
      </c>
      <c r="G16" s="313">
        <v>1.7</v>
      </c>
      <c r="H16" s="313">
        <v>0</v>
      </c>
      <c r="I16" s="313">
        <v>0</v>
      </c>
      <c r="J16" s="313">
        <v>0</v>
      </c>
      <c r="K16" s="313">
        <v>0</v>
      </c>
      <c r="L16" s="313">
        <v>0</v>
      </c>
      <c r="M16" s="313">
        <v>0</v>
      </c>
      <c r="N16" s="313">
        <v>0</v>
      </c>
      <c r="O16" s="313">
        <v>0</v>
      </c>
      <c r="P16" s="353">
        <v>0</v>
      </c>
      <c r="R16" s="314">
        <v>32498.745053272465</v>
      </c>
      <c r="S16" s="317">
        <v>0</v>
      </c>
      <c r="T16" s="317">
        <v>0</v>
      </c>
      <c r="U16" s="317">
        <v>50045800.11975988</v>
      </c>
      <c r="V16" s="317">
        <v>0</v>
      </c>
      <c r="W16" s="317">
        <v>0</v>
      </c>
      <c r="X16" s="317">
        <v>0</v>
      </c>
      <c r="Y16" s="317">
        <v>0</v>
      </c>
      <c r="Z16" s="317">
        <v>0</v>
      </c>
      <c r="AA16" s="317">
        <v>0</v>
      </c>
      <c r="AB16" s="317">
        <v>0</v>
      </c>
      <c r="AC16" s="317">
        <v>0</v>
      </c>
      <c r="AD16" s="318">
        <v>0</v>
      </c>
      <c r="AF16" s="266">
        <f t="shared" si="12"/>
        <v>0</v>
      </c>
      <c r="AG16" s="267">
        <f t="shared" si="13"/>
        <v>0</v>
      </c>
      <c r="AH16" s="267">
        <f t="shared" si="13"/>
        <v>0</v>
      </c>
      <c r="AI16" s="267">
        <f t="shared" si="13"/>
        <v>850778.60203591804</v>
      </c>
      <c r="AJ16" s="267">
        <f t="shared" si="14"/>
        <v>0</v>
      </c>
      <c r="AK16" s="267">
        <f t="shared" si="15"/>
        <v>0</v>
      </c>
      <c r="AL16" s="267">
        <f t="shared" si="16"/>
        <v>0</v>
      </c>
      <c r="AM16" s="267">
        <f t="shared" si="17"/>
        <v>0</v>
      </c>
      <c r="AN16" s="267">
        <f t="shared" si="18"/>
        <v>0</v>
      </c>
      <c r="AO16" s="267">
        <f t="shared" si="19"/>
        <v>0</v>
      </c>
      <c r="AP16" s="267">
        <f t="shared" si="20"/>
        <v>0</v>
      </c>
      <c r="AQ16" s="267">
        <f t="shared" si="21"/>
        <v>0</v>
      </c>
      <c r="AR16" s="267">
        <f t="shared" si="22"/>
        <v>0</v>
      </c>
      <c r="AS16" s="182">
        <f t="shared" si="23"/>
        <v>850778.60203591804</v>
      </c>
    </row>
    <row r="17" spans="1:45" s="170" customFormat="1" x14ac:dyDescent="0.2">
      <c r="A17" s="170" t="s">
        <v>511</v>
      </c>
      <c r="B17" s="173" t="str">
        <f>Prop2021DistTar!C17</f>
        <v>Dedicated Circuit - Bulk</v>
      </c>
      <c r="C17" s="283"/>
      <c r="D17" s="312">
        <v>0</v>
      </c>
      <c r="E17" s="313">
        <v>0</v>
      </c>
      <c r="F17" s="313">
        <v>0</v>
      </c>
      <c r="G17" s="313">
        <v>1.38</v>
      </c>
      <c r="H17" s="313">
        <v>0</v>
      </c>
      <c r="I17" s="313">
        <v>0</v>
      </c>
      <c r="J17" s="313">
        <v>0</v>
      </c>
      <c r="K17" s="313">
        <v>0</v>
      </c>
      <c r="L17" s="313">
        <v>0</v>
      </c>
      <c r="M17" s="313">
        <v>0</v>
      </c>
      <c r="N17" s="313">
        <v>0</v>
      </c>
      <c r="O17" s="313">
        <v>0</v>
      </c>
      <c r="P17" s="353">
        <v>0</v>
      </c>
      <c r="R17" s="314">
        <v>5581.4193302891908</v>
      </c>
      <c r="S17" s="317">
        <v>0</v>
      </c>
      <c r="T17" s="317">
        <v>0</v>
      </c>
      <c r="U17" s="317">
        <v>9263135.8289495241</v>
      </c>
      <c r="V17" s="317">
        <v>0</v>
      </c>
      <c r="W17" s="317">
        <v>0</v>
      </c>
      <c r="X17" s="317">
        <v>0</v>
      </c>
      <c r="Y17" s="317">
        <v>0</v>
      </c>
      <c r="Z17" s="317">
        <v>0</v>
      </c>
      <c r="AA17" s="317">
        <v>0</v>
      </c>
      <c r="AB17" s="317">
        <v>0</v>
      </c>
      <c r="AC17" s="317">
        <v>0</v>
      </c>
      <c r="AD17" s="318">
        <v>0</v>
      </c>
      <c r="AF17" s="266">
        <f t="shared" si="12"/>
        <v>0</v>
      </c>
      <c r="AG17" s="267">
        <f t="shared" si="13"/>
        <v>0</v>
      </c>
      <c r="AH17" s="267">
        <f t="shared" si="13"/>
        <v>0</v>
      </c>
      <c r="AI17" s="267">
        <f t="shared" si="13"/>
        <v>127831.27443950342</v>
      </c>
      <c r="AJ17" s="267">
        <f t="shared" si="14"/>
        <v>0</v>
      </c>
      <c r="AK17" s="267">
        <f t="shared" si="15"/>
        <v>0</v>
      </c>
      <c r="AL17" s="267">
        <f t="shared" si="16"/>
        <v>0</v>
      </c>
      <c r="AM17" s="267">
        <f t="shared" si="17"/>
        <v>0</v>
      </c>
      <c r="AN17" s="267">
        <f t="shared" si="18"/>
        <v>0</v>
      </c>
      <c r="AO17" s="267">
        <f t="shared" si="19"/>
        <v>0</v>
      </c>
      <c r="AP17" s="267">
        <f t="shared" si="20"/>
        <v>0</v>
      </c>
      <c r="AQ17" s="267">
        <f t="shared" si="21"/>
        <v>0</v>
      </c>
      <c r="AR17" s="267">
        <f t="shared" si="22"/>
        <v>0</v>
      </c>
      <c r="AS17" s="182">
        <f t="shared" si="23"/>
        <v>127831.27443950342</v>
      </c>
    </row>
    <row r="18" spans="1:45" s="170" customFormat="1" x14ac:dyDescent="0.2">
      <c r="A18" s="170" t="s">
        <v>513</v>
      </c>
      <c r="B18" s="173" t="str">
        <f>Prop2021DistTar!C18</f>
        <v>Residential Demand</v>
      </c>
      <c r="C18" s="283"/>
      <c r="D18" s="312">
        <v>95</v>
      </c>
      <c r="E18" s="313">
        <v>2.79</v>
      </c>
      <c r="F18" s="313">
        <v>0</v>
      </c>
      <c r="G18" s="313">
        <v>0</v>
      </c>
      <c r="H18" s="313">
        <v>0</v>
      </c>
      <c r="I18" s="313">
        <v>6.81</v>
      </c>
      <c r="J18" s="313">
        <v>2.34</v>
      </c>
      <c r="K18" s="313">
        <v>0</v>
      </c>
      <c r="L18" s="313">
        <v>0</v>
      </c>
      <c r="M18" s="313">
        <v>0</v>
      </c>
      <c r="N18" s="313">
        <v>0</v>
      </c>
      <c r="O18" s="313">
        <v>0</v>
      </c>
      <c r="P18" s="353">
        <v>0</v>
      </c>
      <c r="R18" s="314">
        <v>8.4225614876243853</v>
      </c>
      <c r="S18" s="317">
        <v>49160.9218844563</v>
      </c>
      <c r="T18" s="317">
        <v>0</v>
      </c>
      <c r="U18" s="317">
        <v>0</v>
      </c>
      <c r="V18" s="317">
        <v>0</v>
      </c>
      <c r="W18" s="317">
        <v>91.993203745090227</v>
      </c>
      <c r="X18" s="317">
        <v>214.72009856865083</v>
      </c>
      <c r="Y18" s="317">
        <v>0</v>
      </c>
      <c r="Z18" s="317">
        <v>0</v>
      </c>
      <c r="AA18" s="317">
        <v>0</v>
      </c>
      <c r="AB18" s="317">
        <v>0</v>
      </c>
      <c r="AC18" s="317">
        <v>0</v>
      </c>
      <c r="AD18" s="318">
        <v>0</v>
      </c>
      <c r="AF18" s="266">
        <f t="shared" si="12"/>
        <v>800.14334132431657</v>
      </c>
      <c r="AG18" s="267">
        <f t="shared" si="13"/>
        <v>1371.5897205763308</v>
      </c>
      <c r="AH18" s="267">
        <f t="shared" si="13"/>
        <v>0</v>
      </c>
      <c r="AI18" s="267">
        <f t="shared" si="13"/>
        <v>0</v>
      </c>
      <c r="AJ18" s="267">
        <f t="shared" si="14"/>
        <v>0</v>
      </c>
      <c r="AK18" s="267">
        <f t="shared" si="15"/>
        <v>626.47371750406444</v>
      </c>
      <c r="AL18" s="267">
        <f t="shared" si="16"/>
        <v>502.44503065064288</v>
      </c>
      <c r="AM18" s="267">
        <f t="shared" si="17"/>
        <v>0</v>
      </c>
      <c r="AN18" s="267">
        <f t="shared" si="18"/>
        <v>0</v>
      </c>
      <c r="AO18" s="267">
        <f t="shared" si="19"/>
        <v>0</v>
      </c>
      <c r="AP18" s="267">
        <f t="shared" si="20"/>
        <v>0</v>
      </c>
      <c r="AQ18" s="267">
        <f t="shared" si="21"/>
        <v>0</v>
      </c>
      <c r="AR18" s="267">
        <f t="shared" si="22"/>
        <v>0</v>
      </c>
      <c r="AS18" s="182">
        <f t="shared" si="23"/>
        <v>3300.6518100553549</v>
      </c>
    </row>
    <row r="19" spans="1:45" s="170" customFormat="1" x14ac:dyDescent="0.2">
      <c r="A19" s="170" t="s">
        <v>515</v>
      </c>
      <c r="B19" s="173" t="str">
        <f>Prop2021DistTar!C19</f>
        <v>Residential Bulk Demand</v>
      </c>
      <c r="C19" s="283"/>
      <c r="D19" s="312">
        <v>95</v>
      </c>
      <c r="E19" s="313">
        <v>2.2200000000000002</v>
      </c>
      <c r="F19" s="313">
        <v>0</v>
      </c>
      <c r="G19" s="313">
        <v>0</v>
      </c>
      <c r="H19" s="313">
        <v>0</v>
      </c>
      <c r="I19" s="313">
        <v>5.54</v>
      </c>
      <c r="J19" s="313">
        <v>1.87</v>
      </c>
      <c r="K19" s="313">
        <v>0</v>
      </c>
      <c r="L19" s="313">
        <v>0</v>
      </c>
      <c r="M19" s="313">
        <v>0</v>
      </c>
      <c r="N19" s="313">
        <v>0</v>
      </c>
      <c r="O19" s="313">
        <v>0</v>
      </c>
      <c r="P19" s="353">
        <v>0</v>
      </c>
      <c r="R19" s="314">
        <v>1.9569063180827886</v>
      </c>
      <c r="S19" s="317">
        <v>11446.587208253419</v>
      </c>
      <c r="T19" s="317">
        <v>0</v>
      </c>
      <c r="U19" s="317">
        <v>0</v>
      </c>
      <c r="V19" s="317">
        <v>0</v>
      </c>
      <c r="W19" s="317">
        <v>18.995011764705886</v>
      </c>
      <c r="X19" s="317">
        <v>47.503513725490194</v>
      </c>
      <c r="Y19" s="317">
        <v>0</v>
      </c>
      <c r="Z19" s="317">
        <v>0</v>
      </c>
      <c r="AA19" s="317">
        <v>0</v>
      </c>
      <c r="AB19" s="317">
        <v>0</v>
      </c>
      <c r="AC19" s="317">
        <v>0</v>
      </c>
      <c r="AD19" s="318">
        <v>0</v>
      </c>
      <c r="AF19" s="266">
        <f t="shared" si="12"/>
        <v>185.90610021786492</v>
      </c>
      <c r="AG19" s="267">
        <f t="shared" si="13"/>
        <v>254.11423602322591</v>
      </c>
      <c r="AH19" s="267">
        <f t="shared" si="13"/>
        <v>0</v>
      </c>
      <c r="AI19" s="267">
        <f t="shared" si="13"/>
        <v>0</v>
      </c>
      <c r="AJ19" s="267">
        <f t="shared" si="14"/>
        <v>0</v>
      </c>
      <c r="AK19" s="267">
        <f t="shared" si="15"/>
        <v>105.23236517647061</v>
      </c>
      <c r="AL19" s="267">
        <f t="shared" si="16"/>
        <v>88.831570666666664</v>
      </c>
      <c r="AM19" s="267">
        <f t="shared" si="17"/>
        <v>0</v>
      </c>
      <c r="AN19" s="267">
        <f t="shared" si="18"/>
        <v>0</v>
      </c>
      <c r="AO19" s="267">
        <f t="shared" si="19"/>
        <v>0</v>
      </c>
      <c r="AP19" s="267">
        <f t="shared" si="20"/>
        <v>0</v>
      </c>
      <c r="AQ19" s="267">
        <f t="shared" si="21"/>
        <v>0</v>
      </c>
      <c r="AR19" s="267">
        <f t="shared" si="22"/>
        <v>0</v>
      </c>
      <c r="AS19" s="182">
        <f t="shared" si="23"/>
        <v>634.08427208422813</v>
      </c>
    </row>
    <row r="20" spans="1:45" s="170" customFormat="1" x14ac:dyDescent="0.2">
      <c r="A20" s="170" t="s">
        <v>517</v>
      </c>
      <c r="B20" s="173" t="str">
        <f>Prop2021DistTar!C20</f>
        <v>Non-Residential Single Rate</v>
      </c>
      <c r="C20" s="283"/>
      <c r="D20" s="312">
        <v>160</v>
      </c>
      <c r="E20" s="313">
        <v>6.36</v>
      </c>
      <c r="F20" s="313">
        <v>0</v>
      </c>
      <c r="G20" s="313">
        <v>0</v>
      </c>
      <c r="H20" s="313">
        <v>0</v>
      </c>
      <c r="I20" s="313">
        <v>0</v>
      </c>
      <c r="J20" s="313">
        <v>0</v>
      </c>
      <c r="K20" s="313">
        <v>0</v>
      </c>
      <c r="L20" s="313">
        <v>0</v>
      </c>
      <c r="M20" s="313">
        <v>0</v>
      </c>
      <c r="N20" s="313">
        <v>0</v>
      </c>
      <c r="O20" s="313">
        <v>0</v>
      </c>
      <c r="P20" s="353">
        <v>0</v>
      </c>
      <c r="R20" s="314">
        <v>19278.928459938834</v>
      </c>
      <c r="S20" s="317">
        <v>234414508.13361585</v>
      </c>
      <c r="T20" s="317">
        <v>0</v>
      </c>
      <c r="U20" s="317">
        <v>0</v>
      </c>
      <c r="V20" s="317">
        <v>0</v>
      </c>
      <c r="W20" s="317">
        <v>0</v>
      </c>
      <c r="X20" s="317">
        <v>0</v>
      </c>
      <c r="Y20" s="317">
        <v>0</v>
      </c>
      <c r="Z20" s="317">
        <v>0</v>
      </c>
      <c r="AA20" s="317">
        <v>0</v>
      </c>
      <c r="AB20" s="317">
        <v>0</v>
      </c>
      <c r="AC20" s="317">
        <v>0</v>
      </c>
      <c r="AD20" s="318">
        <v>0</v>
      </c>
      <c r="AF20" s="266">
        <f t="shared" si="12"/>
        <v>3084628.5535902134</v>
      </c>
      <c r="AG20" s="267">
        <f t="shared" si="13"/>
        <v>14908762.717297969</v>
      </c>
      <c r="AH20" s="267">
        <f t="shared" si="13"/>
        <v>0</v>
      </c>
      <c r="AI20" s="267">
        <f t="shared" si="13"/>
        <v>0</v>
      </c>
      <c r="AJ20" s="267">
        <f t="shared" si="14"/>
        <v>0</v>
      </c>
      <c r="AK20" s="267">
        <f t="shared" si="15"/>
        <v>0</v>
      </c>
      <c r="AL20" s="267">
        <f t="shared" si="16"/>
        <v>0</v>
      </c>
      <c r="AM20" s="267">
        <f t="shared" si="17"/>
        <v>0</v>
      </c>
      <c r="AN20" s="267">
        <f t="shared" si="18"/>
        <v>0</v>
      </c>
      <c r="AO20" s="267">
        <f t="shared" si="19"/>
        <v>0</v>
      </c>
      <c r="AP20" s="267">
        <f t="shared" si="20"/>
        <v>0</v>
      </c>
      <c r="AQ20" s="267">
        <f t="shared" si="21"/>
        <v>0</v>
      </c>
      <c r="AR20" s="267">
        <f t="shared" si="22"/>
        <v>0</v>
      </c>
      <c r="AS20" s="182">
        <f t="shared" si="23"/>
        <v>17993391.270888183</v>
      </c>
    </row>
    <row r="21" spans="1:45" s="170" customFormat="1" x14ac:dyDescent="0.2">
      <c r="A21" s="170" t="s">
        <v>519</v>
      </c>
      <c r="B21" s="173" t="str">
        <f>Prop2021DistTar!C21</f>
        <v>Non-Residential Single Rate - Bulk</v>
      </c>
      <c r="C21" s="283"/>
      <c r="D21" s="312">
        <v>160</v>
      </c>
      <c r="E21" s="313">
        <v>5.78</v>
      </c>
      <c r="F21" s="313">
        <v>0</v>
      </c>
      <c r="G21" s="313">
        <v>0</v>
      </c>
      <c r="H21" s="313">
        <v>0</v>
      </c>
      <c r="I21" s="313">
        <v>0</v>
      </c>
      <c r="J21" s="313">
        <v>0</v>
      </c>
      <c r="K21" s="313">
        <v>0</v>
      </c>
      <c r="L21" s="313">
        <v>0</v>
      </c>
      <c r="M21" s="313">
        <v>0</v>
      </c>
      <c r="N21" s="313">
        <v>0</v>
      </c>
      <c r="O21" s="313">
        <v>0</v>
      </c>
      <c r="P21" s="353">
        <v>0</v>
      </c>
      <c r="R21" s="314">
        <v>5769.6090324287434</v>
      </c>
      <c r="S21" s="317">
        <v>81668548.051084116</v>
      </c>
      <c r="T21" s="317">
        <v>0</v>
      </c>
      <c r="U21" s="317">
        <v>0</v>
      </c>
      <c r="V21" s="317">
        <v>0</v>
      </c>
      <c r="W21" s="317">
        <v>0</v>
      </c>
      <c r="X21" s="317">
        <v>0</v>
      </c>
      <c r="Y21" s="317">
        <v>0</v>
      </c>
      <c r="Z21" s="317">
        <v>0</v>
      </c>
      <c r="AA21" s="317">
        <v>0</v>
      </c>
      <c r="AB21" s="317">
        <v>0</v>
      </c>
      <c r="AC21" s="317">
        <v>0</v>
      </c>
      <c r="AD21" s="318">
        <v>0</v>
      </c>
      <c r="AF21" s="266">
        <f t="shared" si="12"/>
        <v>923137.44518859894</v>
      </c>
      <c r="AG21" s="267">
        <f t="shared" si="13"/>
        <v>4720442.0773526626</v>
      </c>
      <c r="AH21" s="267">
        <f t="shared" si="13"/>
        <v>0</v>
      </c>
      <c r="AI21" s="267">
        <f t="shared" si="13"/>
        <v>0</v>
      </c>
      <c r="AJ21" s="267">
        <f t="shared" si="14"/>
        <v>0</v>
      </c>
      <c r="AK21" s="267">
        <f t="shared" si="15"/>
        <v>0</v>
      </c>
      <c r="AL21" s="267">
        <f t="shared" si="16"/>
        <v>0</v>
      </c>
      <c r="AM21" s="267">
        <f t="shared" si="17"/>
        <v>0</v>
      </c>
      <c r="AN21" s="267">
        <f t="shared" si="18"/>
        <v>0</v>
      </c>
      <c r="AO21" s="267">
        <f t="shared" si="19"/>
        <v>0</v>
      </c>
      <c r="AP21" s="267">
        <f t="shared" si="20"/>
        <v>0</v>
      </c>
      <c r="AQ21" s="267">
        <f t="shared" si="21"/>
        <v>0</v>
      </c>
      <c r="AR21" s="267">
        <f t="shared" si="22"/>
        <v>0</v>
      </c>
      <c r="AS21" s="182">
        <f t="shared" si="23"/>
        <v>5643579.5225412613</v>
      </c>
    </row>
    <row r="22" spans="1:45" s="170" customFormat="1" x14ac:dyDescent="0.2">
      <c r="A22" s="170" t="s">
        <v>521</v>
      </c>
      <c r="B22" s="173" t="str">
        <f>Prop2021DistTar!C22</f>
        <v>Non-Residential Two Rate 5d</v>
      </c>
      <c r="C22" s="283"/>
      <c r="D22" s="312">
        <v>160</v>
      </c>
      <c r="E22" s="313">
        <v>0</v>
      </c>
      <c r="F22" s="313">
        <v>9.8800000000000008</v>
      </c>
      <c r="G22" s="313">
        <v>3.09</v>
      </c>
      <c r="H22" s="313">
        <v>0</v>
      </c>
      <c r="I22" s="313">
        <v>0</v>
      </c>
      <c r="J22" s="313">
        <v>0</v>
      </c>
      <c r="K22" s="313">
        <v>0</v>
      </c>
      <c r="L22" s="313">
        <v>0</v>
      </c>
      <c r="M22" s="313">
        <v>0</v>
      </c>
      <c r="N22" s="313">
        <v>0</v>
      </c>
      <c r="O22" s="313">
        <v>0</v>
      </c>
      <c r="P22" s="353">
        <v>0</v>
      </c>
      <c r="R22" s="314">
        <v>6175.6551246567678</v>
      </c>
      <c r="S22" s="317">
        <v>0</v>
      </c>
      <c r="T22" s="317">
        <v>70438600.5182468</v>
      </c>
      <c r="U22" s="317">
        <v>44830727.118458346</v>
      </c>
      <c r="V22" s="317">
        <v>0</v>
      </c>
      <c r="W22" s="317">
        <v>0</v>
      </c>
      <c r="X22" s="317">
        <v>0</v>
      </c>
      <c r="Y22" s="317">
        <v>0</v>
      </c>
      <c r="Z22" s="317">
        <v>0</v>
      </c>
      <c r="AA22" s="317">
        <v>0</v>
      </c>
      <c r="AB22" s="317">
        <v>0</v>
      </c>
      <c r="AC22" s="317">
        <v>0</v>
      </c>
      <c r="AD22" s="318">
        <v>0</v>
      </c>
      <c r="AF22" s="266">
        <f t="shared" si="12"/>
        <v>988104.81994508288</v>
      </c>
      <c r="AG22" s="267">
        <f t="shared" si="13"/>
        <v>0</v>
      </c>
      <c r="AH22" s="267">
        <f t="shared" si="13"/>
        <v>6959333.7312027849</v>
      </c>
      <c r="AI22" s="267">
        <f t="shared" si="13"/>
        <v>1385269.4679603628</v>
      </c>
      <c r="AJ22" s="267">
        <f t="shared" si="14"/>
        <v>0</v>
      </c>
      <c r="AK22" s="267">
        <f t="shared" si="15"/>
        <v>0</v>
      </c>
      <c r="AL22" s="267">
        <f t="shared" si="16"/>
        <v>0</v>
      </c>
      <c r="AM22" s="267">
        <f t="shared" si="17"/>
        <v>0</v>
      </c>
      <c r="AN22" s="267">
        <f t="shared" si="18"/>
        <v>0</v>
      </c>
      <c r="AO22" s="267">
        <f t="shared" si="19"/>
        <v>0</v>
      </c>
      <c r="AP22" s="267">
        <f t="shared" si="20"/>
        <v>0</v>
      </c>
      <c r="AQ22" s="267">
        <f t="shared" si="21"/>
        <v>0</v>
      </c>
      <c r="AR22" s="267">
        <f t="shared" si="22"/>
        <v>0</v>
      </c>
      <c r="AS22" s="182">
        <f t="shared" si="23"/>
        <v>9332708.0191082302</v>
      </c>
    </row>
    <row r="23" spans="1:45" s="170" customFormat="1" x14ac:dyDescent="0.2">
      <c r="A23" s="170" t="s">
        <v>523</v>
      </c>
      <c r="B23" s="173" t="str">
        <f>Prop2021DistTar!C23</f>
        <v>Non-Residential Two Rate 5d - Bulk</v>
      </c>
      <c r="C23" s="283"/>
      <c r="D23" s="312">
        <v>160</v>
      </c>
      <c r="E23" s="313">
        <v>0</v>
      </c>
      <c r="F23" s="313">
        <v>8.19</v>
      </c>
      <c r="G23" s="313">
        <v>2.65</v>
      </c>
      <c r="H23" s="313">
        <v>0</v>
      </c>
      <c r="I23" s="313">
        <v>0</v>
      </c>
      <c r="J23" s="313">
        <v>0</v>
      </c>
      <c r="K23" s="313">
        <v>0</v>
      </c>
      <c r="L23" s="313">
        <v>0</v>
      </c>
      <c r="M23" s="313">
        <v>0</v>
      </c>
      <c r="N23" s="313">
        <v>0</v>
      </c>
      <c r="O23" s="313">
        <v>0</v>
      </c>
      <c r="P23" s="353">
        <v>0</v>
      </c>
      <c r="R23" s="314">
        <v>999.43191263014216</v>
      </c>
      <c r="S23" s="317">
        <v>0</v>
      </c>
      <c r="T23" s="317">
        <v>16508026.378642861</v>
      </c>
      <c r="U23" s="317">
        <v>10058974.835898034</v>
      </c>
      <c r="V23" s="317">
        <v>0</v>
      </c>
      <c r="W23" s="317">
        <v>0</v>
      </c>
      <c r="X23" s="317">
        <v>0</v>
      </c>
      <c r="Y23" s="317">
        <v>0</v>
      </c>
      <c r="Z23" s="317">
        <v>0</v>
      </c>
      <c r="AA23" s="317">
        <v>0</v>
      </c>
      <c r="AB23" s="317">
        <v>0</v>
      </c>
      <c r="AC23" s="317">
        <v>0</v>
      </c>
      <c r="AD23" s="318">
        <v>0</v>
      </c>
      <c r="AF23" s="266">
        <f t="shared" si="12"/>
        <v>159909.10602082274</v>
      </c>
      <c r="AG23" s="267">
        <f t="shared" si="13"/>
        <v>0</v>
      </c>
      <c r="AH23" s="267">
        <f t="shared" si="13"/>
        <v>1352007.3604108503</v>
      </c>
      <c r="AI23" s="267">
        <f t="shared" si="13"/>
        <v>266562.83315129788</v>
      </c>
      <c r="AJ23" s="267">
        <f t="shared" si="14"/>
        <v>0</v>
      </c>
      <c r="AK23" s="267">
        <f t="shared" si="15"/>
        <v>0</v>
      </c>
      <c r="AL23" s="267">
        <f t="shared" si="16"/>
        <v>0</v>
      </c>
      <c r="AM23" s="267">
        <f t="shared" si="17"/>
        <v>0</v>
      </c>
      <c r="AN23" s="267">
        <f t="shared" si="18"/>
        <v>0</v>
      </c>
      <c r="AO23" s="267">
        <f t="shared" si="19"/>
        <v>0</v>
      </c>
      <c r="AP23" s="267">
        <f t="shared" si="20"/>
        <v>0</v>
      </c>
      <c r="AQ23" s="267">
        <f t="shared" si="21"/>
        <v>0</v>
      </c>
      <c r="AR23" s="267">
        <f t="shared" si="22"/>
        <v>0</v>
      </c>
      <c r="AS23" s="182">
        <f t="shared" si="23"/>
        <v>1778479.2995829708</v>
      </c>
    </row>
    <row r="24" spans="1:45" s="170" customFormat="1" x14ac:dyDescent="0.2">
      <c r="A24" s="170" t="s">
        <v>525</v>
      </c>
      <c r="B24" s="173" t="str">
        <f>Prop2021DistTar!C24</f>
        <v>Non-Residential Interval</v>
      </c>
      <c r="C24" s="283"/>
      <c r="D24" s="312">
        <v>160</v>
      </c>
      <c r="E24" s="313">
        <v>0</v>
      </c>
      <c r="F24" s="313">
        <v>9.8800000000000008</v>
      </c>
      <c r="G24" s="313">
        <v>2.86</v>
      </c>
      <c r="H24" s="313">
        <v>0</v>
      </c>
      <c r="I24" s="313">
        <v>0</v>
      </c>
      <c r="J24" s="313">
        <v>0</v>
      </c>
      <c r="K24" s="313">
        <v>0</v>
      </c>
      <c r="L24" s="313">
        <v>0</v>
      </c>
      <c r="M24" s="313">
        <v>0</v>
      </c>
      <c r="N24" s="313">
        <v>0</v>
      </c>
      <c r="O24" s="313">
        <v>0</v>
      </c>
      <c r="P24" s="353">
        <v>0</v>
      </c>
      <c r="R24" s="314">
        <v>3789.6292029166912</v>
      </c>
      <c r="S24" s="317">
        <v>0</v>
      </c>
      <c r="T24" s="317">
        <v>44801539.356732354</v>
      </c>
      <c r="U24" s="317">
        <v>25848586.997369338</v>
      </c>
      <c r="V24" s="317">
        <v>0</v>
      </c>
      <c r="W24" s="317">
        <v>0</v>
      </c>
      <c r="X24" s="317">
        <v>0</v>
      </c>
      <c r="Y24" s="317">
        <v>0</v>
      </c>
      <c r="Z24" s="317">
        <v>0</v>
      </c>
      <c r="AA24" s="317">
        <v>0</v>
      </c>
      <c r="AB24" s="317">
        <v>0</v>
      </c>
      <c r="AC24" s="317">
        <v>0</v>
      </c>
      <c r="AD24" s="318">
        <v>0</v>
      </c>
      <c r="AF24" s="266">
        <f t="shared" si="12"/>
        <v>606340.67246667063</v>
      </c>
      <c r="AG24" s="267">
        <f t="shared" si="13"/>
        <v>0</v>
      </c>
      <c r="AH24" s="267">
        <f t="shared" si="13"/>
        <v>4426392.0884451568</v>
      </c>
      <c r="AI24" s="267">
        <f t="shared" si="13"/>
        <v>739269.5881247631</v>
      </c>
      <c r="AJ24" s="267">
        <f t="shared" si="14"/>
        <v>0</v>
      </c>
      <c r="AK24" s="267">
        <f t="shared" si="15"/>
        <v>0</v>
      </c>
      <c r="AL24" s="267">
        <f t="shared" si="16"/>
        <v>0</v>
      </c>
      <c r="AM24" s="267">
        <f t="shared" si="17"/>
        <v>0</v>
      </c>
      <c r="AN24" s="267">
        <f t="shared" si="18"/>
        <v>0</v>
      </c>
      <c r="AO24" s="267">
        <f t="shared" si="19"/>
        <v>0</v>
      </c>
      <c r="AP24" s="267">
        <f t="shared" si="20"/>
        <v>0</v>
      </c>
      <c r="AQ24" s="267">
        <f t="shared" si="21"/>
        <v>0</v>
      </c>
      <c r="AR24" s="267">
        <f t="shared" si="22"/>
        <v>0</v>
      </c>
      <c r="AS24" s="182">
        <f t="shared" si="23"/>
        <v>5772002.3490365911</v>
      </c>
    </row>
    <row r="25" spans="1:45" s="170" customFormat="1" x14ac:dyDescent="0.2">
      <c r="A25" s="170" t="s">
        <v>527</v>
      </c>
      <c r="B25" s="173" t="str">
        <f>Prop2021DistTar!C25</f>
        <v>Non-Residential Interval - Bulk</v>
      </c>
      <c r="C25" s="283"/>
      <c r="D25" s="312">
        <v>160</v>
      </c>
      <c r="E25" s="313">
        <v>0</v>
      </c>
      <c r="F25" s="313">
        <v>8.19</v>
      </c>
      <c r="G25" s="313">
        <v>2.65</v>
      </c>
      <c r="H25" s="313">
        <v>0</v>
      </c>
      <c r="I25" s="313">
        <v>0</v>
      </c>
      <c r="J25" s="313">
        <v>0</v>
      </c>
      <c r="K25" s="313">
        <v>0</v>
      </c>
      <c r="L25" s="313">
        <v>0</v>
      </c>
      <c r="M25" s="313">
        <v>0</v>
      </c>
      <c r="N25" s="313">
        <v>0</v>
      </c>
      <c r="O25" s="313">
        <v>0</v>
      </c>
      <c r="P25" s="353">
        <v>0</v>
      </c>
      <c r="R25" s="314">
        <v>1768.9772717301021</v>
      </c>
      <c r="S25" s="317">
        <v>0</v>
      </c>
      <c r="T25" s="317">
        <v>27824537.942965478</v>
      </c>
      <c r="U25" s="317">
        <v>14553393.117495544</v>
      </c>
      <c r="V25" s="317">
        <v>0</v>
      </c>
      <c r="W25" s="317">
        <v>0</v>
      </c>
      <c r="X25" s="317">
        <v>0</v>
      </c>
      <c r="Y25" s="317">
        <v>0</v>
      </c>
      <c r="Z25" s="317">
        <v>0</v>
      </c>
      <c r="AA25" s="317">
        <v>0</v>
      </c>
      <c r="AB25" s="317">
        <v>0</v>
      </c>
      <c r="AC25" s="317">
        <v>0</v>
      </c>
      <c r="AD25" s="318">
        <v>0</v>
      </c>
      <c r="AF25" s="266">
        <f t="shared" si="12"/>
        <v>283036.36347681633</v>
      </c>
      <c r="AG25" s="267">
        <f t="shared" si="13"/>
        <v>0</v>
      </c>
      <c r="AH25" s="267">
        <f t="shared" si="13"/>
        <v>2278829.6575288726</v>
      </c>
      <c r="AI25" s="267">
        <f t="shared" si="13"/>
        <v>385664.91761363193</v>
      </c>
      <c r="AJ25" s="267">
        <f t="shared" si="14"/>
        <v>0</v>
      </c>
      <c r="AK25" s="267">
        <f t="shared" si="15"/>
        <v>0</v>
      </c>
      <c r="AL25" s="267">
        <f t="shared" si="16"/>
        <v>0</v>
      </c>
      <c r="AM25" s="267">
        <f t="shared" si="17"/>
        <v>0</v>
      </c>
      <c r="AN25" s="267">
        <f t="shared" si="18"/>
        <v>0</v>
      </c>
      <c r="AO25" s="267">
        <f t="shared" si="19"/>
        <v>0</v>
      </c>
      <c r="AP25" s="267">
        <f t="shared" si="20"/>
        <v>0</v>
      </c>
      <c r="AQ25" s="267">
        <f t="shared" si="21"/>
        <v>0</v>
      </c>
      <c r="AR25" s="267">
        <f t="shared" si="22"/>
        <v>0</v>
      </c>
      <c r="AS25" s="182">
        <f t="shared" si="23"/>
        <v>2947530.9386193212</v>
      </c>
    </row>
    <row r="26" spans="1:45" s="170" customFormat="1" x14ac:dyDescent="0.2">
      <c r="A26" s="170" t="s">
        <v>529</v>
      </c>
      <c r="B26" s="173" t="str">
        <f>Prop2021DistTar!C26</f>
        <v>Non-Residential Flexible Pricing</v>
      </c>
      <c r="C26" s="283"/>
      <c r="D26" s="312">
        <v>160</v>
      </c>
      <c r="E26" s="313">
        <v>0</v>
      </c>
      <c r="F26" s="313">
        <v>0</v>
      </c>
      <c r="G26" s="313">
        <v>0</v>
      </c>
      <c r="H26" s="313">
        <v>0</v>
      </c>
      <c r="I26" s="313">
        <v>0</v>
      </c>
      <c r="J26" s="313">
        <v>0</v>
      </c>
      <c r="K26" s="313">
        <v>12.04</v>
      </c>
      <c r="L26" s="313">
        <v>8.41</v>
      </c>
      <c r="M26" s="313">
        <v>3.31</v>
      </c>
      <c r="N26" s="313">
        <v>12.04</v>
      </c>
      <c r="O26" s="313">
        <v>8.41</v>
      </c>
      <c r="P26" s="353">
        <v>3.31</v>
      </c>
      <c r="R26" s="314">
        <v>20.735050198175649</v>
      </c>
      <c r="S26" s="317">
        <v>0</v>
      </c>
      <c r="T26" s="317">
        <v>0</v>
      </c>
      <c r="U26" s="317">
        <v>0</v>
      </c>
      <c r="V26" s="317">
        <v>0</v>
      </c>
      <c r="W26" s="317">
        <v>0</v>
      </c>
      <c r="X26" s="317">
        <v>0</v>
      </c>
      <c r="Y26" s="317">
        <v>54335.809564896466</v>
      </c>
      <c r="Z26" s="317">
        <v>14519.639818854528</v>
      </c>
      <c r="AA26" s="317">
        <v>41864.179794472628</v>
      </c>
      <c r="AB26" s="317">
        <v>174859.38124809813</v>
      </c>
      <c r="AC26" s="317">
        <v>46726.003624512079</v>
      </c>
      <c r="AD26" s="318">
        <v>134724.12823034308</v>
      </c>
      <c r="AF26" s="266">
        <f t="shared" si="12"/>
        <v>3317.6080317081041</v>
      </c>
      <c r="AG26" s="267">
        <f t="shared" si="13"/>
        <v>0</v>
      </c>
      <c r="AH26" s="267">
        <f t="shared" si="13"/>
        <v>0</v>
      </c>
      <c r="AI26" s="267">
        <f t="shared" si="13"/>
        <v>0</v>
      </c>
      <c r="AJ26" s="267">
        <f t="shared" si="14"/>
        <v>0</v>
      </c>
      <c r="AK26" s="267">
        <f t="shared" si="15"/>
        <v>0</v>
      </c>
      <c r="AL26" s="267">
        <f t="shared" si="16"/>
        <v>0</v>
      </c>
      <c r="AM26" s="267">
        <f t="shared" si="17"/>
        <v>6542.0314716135344</v>
      </c>
      <c r="AN26" s="267">
        <f t="shared" si="18"/>
        <v>1221.101708765666</v>
      </c>
      <c r="AO26" s="267">
        <f t="shared" si="19"/>
        <v>1385.7043511970439</v>
      </c>
      <c r="AP26" s="267">
        <f t="shared" si="20"/>
        <v>21053.069502271013</v>
      </c>
      <c r="AQ26" s="267">
        <f t="shared" si="21"/>
        <v>3929.656904821466</v>
      </c>
      <c r="AR26" s="267">
        <f t="shared" si="22"/>
        <v>4459.3686444243558</v>
      </c>
      <c r="AS26" s="182">
        <f t="shared" si="23"/>
        <v>41908.540614801183</v>
      </c>
    </row>
    <row r="27" spans="1:45" s="170" customFormat="1" x14ac:dyDescent="0.2">
      <c r="A27" s="170" t="s">
        <v>531</v>
      </c>
      <c r="B27" s="173" t="str">
        <f>Prop2021DistTar!C27</f>
        <v>Non-Residential - Flexible Pricing Bulk</v>
      </c>
      <c r="C27" s="283"/>
      <c r="D27" s="312">
        <v>160</v>
      </c>
      <c r="E27" s="313">
        <v>0</v>
      </c>
      <c r="F27" s="313">
        <v>0</v>
      </c>
      <c r="G27" s="313">
        <v>0</v>
      </c>
      <c r="H27" s="313">
        <v>0</v>
      </c>
      <c r="I27" s="313">
        <v>0</v>
      </c>
      <c r="J27" s="313">
        <v>0</v>
      </c>
      <c r="K27" s="313">
        <v>10.83</v>
      </c>
      <c r="L27" s="313">
        <v>7.57</v>
      </c>
      <c r="M27" s="313">
        <v>2.97</v>
      </c>
      <c r="N27" s="313">
        <v>10.83</v>
      </c>
      <c r="O27" s="313">
        <v>7.57</v>
      </c>
      <c r="P27" s="353">
        <v>2.97</v>
      </c>
      <c r="R27" s="314">
        <v>0.91833100642885634</v>
      </c>
      <c r="S27" s="317">
        <v>0</v>
      </c>
      <c r="T27" s="317">
        <v>0</v>
      </c>
      <c r="U27" s="317">
        <v>0</v>
      </c>
      <c r="V27" s="317">
        <v>0</v>
      </c>
      <c r="W27" s="317">
        <v>0</v>
      </c>
      <c r="X27" s="317">
        <v>0</v>
      </c>
      <c r="Y27" s="317">
        <v>22949.497197675988</v>
      </c>
      <c r="Z27" s="317">
        <v>5681.9549022702613</v>
      </c>
      <c r="AA27" s="317">
        <v>20258.102900905364</v>
      </c>
      <c r="AB27" s="317">
        <v>41846.928543241178</v>
      </c>
      <c r="AC27" s="317">
        <v>10360.678438101071</v>
      </c>
      <c r="AD27" s="318">
        <v>36939.344562270453</v>
      </c>
      <c r="AF27" s="266">
        <f t="shared" si="12"/>
        <v>146.932961028617</v>
      </c>
      <c r="AG27" s="267">
        <f t="shared" si="13"/>
        <v>0</v>
      </c>
      <c r="AH27" s="267">
        <f t="shared" si="13"/>
        <v>0</v>
      </c>
      <c r="AI27" s="267">
        <f t="shared" si="13"/>
        <v>0</v>
      </c>
      <c r="AJ27" s="267">
        <f t="shared" si="14"/>
        <v>0</v>
      </c>
      <c r="AK27" s="267">
        <f t="shared" si="15"/>
        <v>0</v>
      </c>
      <c r="AL27" s="267">
        <f t="shared" si="16"/>
        <v>0</v>
      </c>
      <c r="AM27" s="267">
        <f t="shared" si="17"/>
        <v>2485.4305465083098</v>
      </c>
      <c r="AN27" s="267">
        <f t="shared" si="18"/>
        <v>430.1239861018588</v>
      </c>
      <c r="AO27" s="267">
        <f t="shared" si="19"/>
        <v>601.66565615688933</v>
      </c>
      <c r="AP27" s="267">
        <f t="shared" si="20"/>
        <v>4532.0223612330201</v>
      </c>
      <c r="AQ27" s="267">
        <f t="shared" si="21"/>
        <v>784.30335776425113</v>
      </c>
      <c r="AR27" s="267">
        <f t="shared" si="22"/>
        <v>1097.0985334994325</v>
      </c>
      <c r="AS27" s="182">
        <f t="shared" si="23"/>
        <v>10077.577402292378</v>
      </c>
    </row>
    <row r="28" spans="1:45" s="170" customFormat="1" x14ac:dyDescent="0.2">
      <c r="A28" s="170" t="s">
        <v>533</v>
      </c>
      <c r="B28" s="173" t="str">
        <f>Prop2021DistTar!C28</f>
        <v>Non-Residential Two Rate 7d</v>
      </c>
      <c r="C28" s="283"/>
      <c r="D28" s="312">
        <v>160</v>
      </c>
      <c r="E28" s="313">
        <v>0</v>
      </c>
      <c r="F28" s="313">
        <v>7.77</v>
      </c>
      <c r="G28" s="313">
        <v>2.86</v>
      </c>
      <c r="H28" s="313">
        <v>0</v>
      </c>
      <c r="I28" s="313">
        <v>0</v>
      </c>
      <c r="J28" s="313">
        <v>0</v>
      </c>
      <c r="K28" s="313">
        <v>0</v>
      </c>
      <c r="L28" s="313">
        <v>0</v>
      </c>
      <c r="M28" s="313">
        <v>0</v>
      </c>
      <c r="N28" s="313">
        <v>0</v>
      </c>
      <c r="O28" s="313">
        <v>0</v>
      </c>
      <c r="P28" s="353">
        <v>0</v>
      </c>
      <c r="R28" s="314">
        <v>2306.9483847452143</v>
      </c>
      <c r="S28" s="317">
        <v>0</v>
      </c>
      <c r="T28" s="317">
        <v>38369324.717720643</v>
      </c>
      <c r="U28" s="317">
        <v>9290402.2119519673</v>
      </c>
      <c r="V28" s="317">
        <v>0</v>
      </c>
      <c r="W28" s="317">
        <v>0</v>
      </c>
      <c r="X28" s="317">
        <v>0</v>
      </c>
      <c r="Y28" s="317">
        <v>0</v>
      </c>
      <c r="Z28" s="317">
        <v>0</v>
      </c>
      <c r="AA28" s="317">
        <v>0</v>
      </c>
      <c r="AB28" s="317">
        <v>0</v>
      </c>
      <c r="AC28" s="317">
        <v>0</v>
      </c>
      <c r="AD28" s="318">
        <v>0</v>
      </c>
      <c r="AF28" s="266">
        <f t="shared" si="12"/>
        <v>369111.74155923427</v>
      </c>
      <c r="AG28" s="267">
        <f t="shared" si="13"/>
        <v>0</v>
      </c>
      <c r="AH28" s="267">
        <f t="shared" si="13"/>
        <v>2981296.5305668935</v>
      </c>
      <c r="AI28" s="267">
        <f t="shared" si="13"/>
        <v>265705.50326182629</v>
      </c>
      <c r="AJ28" s="267">
        <f t="shared" si="14"/>
        <v>0</v>
      </c>
      <c r="AK28" s="267">
        <f t="shared" si="15"/>
        <v>0</v>
      </c>
      <c r="AL28" s="267">
        <f t="shared" si="16"/>
        <v>0</v>
      </c>
      <c r="AM28" s="267">
        <f t="shared" si="17"/>
        <v>0</v>
      </c>
      <c r="AN28" s="267">
        <f t="shared" si="18"/>
        <v>0</v>
      </c>
      <c r="AO28" s="267">
        <f t="shared" si="19"/>
        <v>0</v>
      </c>
      <c r="AP28" s="267">
        <f t="shared" si="20"/>
        <v>0</v>
      </c>
      <c r="AQ28" s="267">
        <f t="shared" si="21"/>
        <v>0</v>
      </c>
      <c r="AR28" s="267">
        <f t="shared" si="22"/>
        <v>0</v>
      </c>
      <c r="AS28" s="182">
        <f t="shared" si="23"/>
        <v>3616113.7753879544</v>
      </c>
    </row>
    <row r="29" spans="1:45" s="170" customFormat="1" x14ac:dyDescent="0.2">
      <c r="A29" s="170" t="s">
        <v>535</v>
      </c>
      <c r="B29" s="173" t="str">
        <f>Prop2021DistTar!C29</f>
        <v>Non-Residential Two Rate 7d - Bulk</v>
      </c>
      <c r="C29" s="283"/>
      <c r="D29" s="312">
        <v>160</v>
      </c>
      <c r="E29" s="313">
        <v>0</v>
      </c>
      <c r="F29" s="313">
        <v>7.14</v>
      </c>
      <c r="G29" s="313">
        <v>2.65</v>
      </c>
      <c r="H29" s="313">
        <v>0</v>
      </c>
      <c r="I29" s="313">
        <v>0</v>
      </c>
      <c r="J29" s="313">
        <v>0</v>
      </c>
      <c r="K29" s="313">
        <v>0</v>
      </c>
      <c r="L29" s="313">
        <v>0</v>
      </c>
      <c r="M29" s="313">
        <v>0</v>
      </c>
      <c r="N29" s="313">
        <v>0</v>
      </c>
      <c r="O29" s="313">
        <v>0</v>
      </c>
      <c r="P29" s="353">
        <v>0</v>
      </c>
      <c r="R29" s="314">
        <v>223.54159787790852</v>
      </c>
      <c r="S29" s="317">
        <v>0</v>
      </c>
      <c r="T29" s="317">
        <v>4879506.8354705516</v>
      </c>
      <c r="U29" s="317">
        <v>1213336.752724601</v>
      </c>
      <c r="V29" s="317">
        <v>0</v>
      </c>
      <c r="W29" s="317">
        <v>0</v>
      </c>
      <c r="X29" s="317">
        <v>0</v>
      </c>
      <c r="Y29" s="317">
        <v>0</v>
      </c>
      <c r="Z29" s="317">
        <v>0</v>
      </c>
      <c r="AA29" s="317">
        <v>0</v>
      </c>
      <c r="AB29" s="317">
        <v>0</v>
      </c>
      <c r="AC29" s="317">
        <v>0</v>
      </c>
      <c r="AD29" s="318">
        <v>0</v>
      </c>
      <c r="AF29" s="266">
        <f t="shared" si="12"/>
        <v>35766.65566046536</v>
      </c>
      <c r="AG29" s="267">
        <f t="shared" si="13"/>
        <v>0</v>
      </c>
      <c r="AH29" s="267">
        <f t="shared" si="13"/>
        <v>348396.78805259732</v>
      </c>
      <c r="AI29" s="267">
        <f t="shared" si="13"/>
        <v>32153.423947201925</v>
      </c>
      <c r="AJ29" s="267">
        <f t="shared" si="14"/>
        <v>0</v>
      </c>
      <c r="AK29" s="267">
        <f t="shared" si="15"/>
        <v>0</v>
      </c>
      <c r="AL29" s="267">
        <f t="shared" si="16"/>
        <v>0</v>
      </c>
      <c r="AM29" s="267">
        <f t="shared" si="17"/>
        <v>0</v>
      </c>
      <c r="AN29" s="267">
        <f t="shared" si="18"/>
        <v>0</v>
      </c>
      <c r="AO29" s="267">
        <f t="shared" si="19"/>
        <v>0</v>
      </c>
      <c r="AP29" s="267">
        <f t="shared" si="20"/>
        <v>0</v>
      </c>
      <c r="AQ29" s="267">
        <f t="shared" si="21"/>
        <v>0</v>
      </c>
      <c r="AR29" s="267">
        <f t="shared" si="22"/>
        <v>0</v>
      </c>
      <c r="AS29" s="182">
        <f t="shared" si="23"/>
        <v>416316.8676602646</v>
      </c>
    </row>
    <row r="30" spans="1:45" s="170" customFormat="1" x14ac:dyDescent="0.2">
      <c r="A30" s="170" t="s">
        <v>537</v>
      </c>
      <c r="B30" s="173" t="str">
        <f>Prop2021DistTar!C30</f>
        <v>Large Two Rate 7d</v>
      </c>
      <c r="C30" s="283"/>
      <c r="D30" s="312">
        <v>160</v>
      </c>
      <c r="E30" s="313">
        <v>0</v>
      </c>
      <c r="F30" s="313">
        <v>9.8800000000000008</v>
      </c>
      <c r="G30" s="313">
        <v>3.09</v>
      </c>
      <c r="H30" s="313">
        <v>0</v>
      </c>
      <c r="I30" s="313">
        <v>0</v>
      </c>
      <c r="J30" s="313">
        <v>0</v>
      </c>
      <c r="K30" s="313">
        <v>0</v>
      </c>
      <c r="L30" s="313">
        <v>0</v>
      </c>
      <c r="M30" s="313">
        <v>0</v>
      </c>
      <c r="N30" s="313">
        <v>0</v>
      </c>
      <c r="O30" s="313">
        <v>0</v>
      </c>
      <c r="P30" s="353">
        <v>0</v>
      </c>
      <c r="R30" s="314">
        <v>1</v>
      </c>
      <c r="S30" s="317">
        <v>0</v>
      </c>
      <c r="T30" s="317">
        <v>43593.813751616013</v>
      </c>
      <c r="U30" s="317">
        <v>17808.880496742764</v>
      </c>
      <c r="V30" s="317">
        <v>0</v>
      </c>
      <c r="W30" s="317">
        <v>0</v>
      </c>
      <c r="X30" s="317">
        <v>0</v>
      </c>
      <c r="Y30" s="317">
        <v>0</v>
      </c>
      <c r="Z30" s="317">
        <v>0</v>
      </c>
      <c r="AA30" s="317">
        <v>0</v>
      </c>
      <c r="AB30" s="317">
        <v>0</v>
      </c>
      <c r="AC30" s="317">
        <v>0</v>
      </c>
      <c r="AD30" s="318">
        <v>0</v>
      </c>
      <c r="AF30" s="266">
        <f t="shared" si="12"/>
        <v>160</v>
      </c>
      <c r="AG30" s="267">
        <f t="shared" si="13"/>
        <v>0</v>
      </c>
      <c r="AH30" s="267">
        <f t="shared" si="13"/>
        <v>4307.0687986596622</v>
      </c>
      <c r="AI30" s="267">
        <f t="shared" si="13"/>
        <v>550.29440734935133</v>
      </c>
      <c r="AJ30" s="267">
        <f t="shared" si="14"/>
        <v>0</v>
      </c>
      <c r="AK30" s="267">
        <f t="shared" si="15"/>
        <v>0</v>
      </c>
      <c r="AL30" s="267">
        <f t="shared" si="16"/>
        <v>0</v>
      </c>
      <c r="AM30" s="267">
        <f t="shared" si="17"/>
        <v>0</v>
      </c>
      <c r="AN30" s="267">
        <f t="shared" si="18"/>
        <v>0</v>
      </c>
      <c r="AO30" s="267">
        <f t="shared" si="19"/>
        <v>0</v>
      </c>
      <c r="AP30" s="267">
        <f t="shared" si="20"/>
        <v>0</v>
      </c>
      <c r="AQ30" s="267">
        <f t="shared" si="21"/>
        <v>0</v>
      </c>
      <c r="AR30" s="267">
        <f t="shared" si="22"/>
        <v>0</v>
      </c>
      <c r="AS30" s="182">
        <f t="shared" si="23"/>
        <v>5017.3632060090131</v>
      </c>
    </row>
    <row r="31" spans="1:45" s="170" customFormat="1" x14ac:dyDescent="0.2">
      <c r="A31" s="170" t="s">
        <v>539</v>
      </c>
      <c r="B31" s="173" t="str">
        <f>Prop2021DistTar!C31</f>
        <v>Non-Residential Demand Tariff</v>
      </c>
      <c r="C31" s="283"/>
      <c r="D31" s="312">
        <v>160</v>
      </c>
      <c r="E31" s="313">
        <v>3.61</v>
      </c>
      <c r="F31" s="313">
        <v>0</v>
      </c>
      <c r="G31" s="313">
        <v>0</v>
      </c>
      <c r="H31" s="313">
        <v>0</v>
      </c>
      <c r="I31" s="313">
        <v>11.51</v>
      </c>
      <c r="J31" s="313">
        <v>3.84</v>
      </c>
      <c r="K31" s="313">
        <v>0</v>
      </c>
      <c r="L31" s="313">
        <v>0</v>
      </c>
      <c r="M31" s="313">
        <v>0</v>
      </c>
      <c r="N31" s="313">
        <v>0</v>
      </c>
      <c r="O31" s="313">
        <v>0</v>
      </c>
      <c r="P31" s="353">
        <v>0</v>
      </c>
      <c r="R31" s="314">
        <v>66.714761999582805</v>
      </c>
      <c r="S31" s="317">
        <v>5507232.35853214</v>
      </c>
      <c r="T31" s="317">
        <v>0</v>
      </c>
      <c r="U31" s="317">
        <v>0</v>
      </c>
      <c r="V31" s="317">
        <v>0</v>
      </c>
      <c r="W31" s="317">
        <v>1303.8375558307982</v>
      </c>
      <c r="X31" s="317">
        <v>2992.2591172023403</v>
      </c>
      <c r="Y31" s="317">
        <v>0</v>
      </c>
      <c r="Z31" s="317">
        <v>0</v>
      </c>
      <c r="AA31" s="317">
        <v>0</v>
      </c>
      <c r="AB31" s="317">
        <v>0</v>
      </c>
      <c r="AC31" s="317">
        <v>0</v>
      </c>
      <c r="AD31" s="318">
        <v>0</v>
      </c>
      <c r="AF31" s="266">
        <f t="shared" si="12"/>
        <v>10674.36191993325</v>
      </c>
      <c r="AG31" s="267">
        <f t="shared" si="13"/>
        <v>198811.08814301025</v>
      </c>
      <c r="AH31" s="267">
        <f t="shared" si="13"/>
        <v>0</v>
      </c>
      <c r="AI31" s="267">
        <f t="shared" si="13"/>
        <v>0</v>
      </c>
      <c r="AJ31" s="267">
        <f t="shared" si="14"/>
        <v>0</v>
      </c>
      <c r="AK31" s="267">
        <f t="shared" si="15"/>
        <v>15007.170267612488</v>
      </c>
      <c r="AL31" s="267">
        <f t="shared" si="16"/>
        <v>11490.275010056987</v>
      </c>
      <c r="AM31" s="267">
        <f t="shared" si="17"/>
        <v>0</v>
      </c>
      <c r="AN31" s="267">
        <f t="shared" si="18"/>
        <v>0</v>
      </c>
      <c r="AO31" s="267">
        <f t="shared" si="19"/>
        <v>0</v>
      </c>
      <c r="AP31" s="267">
        <f t="shared" si="20"/>
        <v>0</v>
      </c>
      <c r="AQ31" s="267">
        <f t="shared" si="21"/>
        <v>0</v>
      </c>
      <c r="AR31" s="267">
        <f t="shared" si="22"/>
        <v>0</v>
      </c>
      <c r="AS31" s="182">
        <f t="shared" si="23"/>
        <v>235982.895340613</v>
      </c>
    </row>
    <row r="32" spans="1:45" s="170" customFormat="1" x14ac:dyDescent="0.2">
      <c r="A32" s="170" t="s">
        <v>541</v>
      </c>
      <c r="B32" s="173" t="str">
        <f>Prop2021DistTar!C32</f>
        <v>Non-Residential Bulk Demand Tariff</v>
      </c>
      <c r="C32" s="283"/>
      <c r="D32" s="312">
        <v>160</v>
      </c>
      <c r="E32" s="313">
        <v>3.35</v>
      </c>
      <c r="F32" s="313">
        <v>0</v>
      </c>
      <c r="G32" s="313">
        <v>0</v>
      </c>
      <c r="H32" s="313">
        <v>0</v>
      </c>
      <c r="I32" s="313">
        <v>9.7799999999999994</v>
      </c>
      <c r="J32" s="313">
        <v>3.26</v>
      </c>
      <c r="K32" s="313">
        <v>0</v>
      </c>
      <c r="L32" s="313">
        <v>0</v>
      </c>
      <c r="M32" s="313">
        <v>0</v>
      </c>
      <c r="N32" s="313">
        <v>0</v>
      </c>
      <c r="O32" s="313">
        <v>0</v>
      </c>
      <c r="P32" s="353">
        <v>0</v>
      </c>
      <c r="R32" s="314">
        <v>148.11154188428057</v>
      </c>
      <c r="S32" s="317">
        <v>12837801.451158172</v>
      </c>
      <c r="T32" s="317">
        <v>0</v>
      </c>
      <c r="U32" s="317">
        <v>0</v>
      </c>
      <c r="V32" s="317">
        <v>0</v>
      </c>
      <c r="W32" s="317">
        <v>2650.3625109708137</v>
      </c>
      <c r="X32" s="317">
        <v>6065.86859366513</v>
      </c>
      <c r="Y32" s="317">
        <v>0</v>
      </c>
      <c r="Z32" s="317">
        <v>0</v>
      </c>
      <c r="AA32" s="317">
        <v>0</v>
      </c>
      <c r="AB32" s="317">
        <v>0</v>
      </c>
      <c r="AC32" s="317">
        <v>0</v>
      </c>
      <c r="AD32" s="318">
        <v>0</v>
      </c>
      <c r="AF32" s="266">
        <f t="shared" si="12"/>
        <v>23697.84670148489</v>
      </c>
      <c r="AG32" s="267">
        <f t="shared" si="13"/>
        <v>430066.34861379879</v>
      </c>
      <c r="AH32" s="267">
        <f t="shared" si="13"/>
        <v>0</v>
      </c>
      <c r="AI32" s="267">
        <f t="shared" si="13"/>
        <v>0</v>
      </c>
      <c r="AJ32" s="267">
        <f t="shared" si="14"/>
        <v>0</v>
      </c>
      <c r="AK32" s="267">
        <f t="shared" si="15"/>
        <v>25920.545357294555</v>
      </c>
      <c r="AL32" s="267">
        <f t="shared" si="16"/>
        <v>19774.731615348323</v>
      </c>
      <c r="AM32" s="267">
        <f t="shared" si="17"/>
        <v>0</v>
      </c>
      <c r="AN32" s="267">
        <f t="shared" si="18"/>
        <v>0</v>
      </c>
      <c r="AO32" s="267">
        <f t="shared" si="19"/>
        <v>0</v>
      </c>
      <c r="AP32" s="267">
        <f t="shared" si="20"/>
        <v>0</v>
      </c>
      <c r="AQ32" s="267">
        <f t="shared" si="21"/>
        <v>0</v>
      </c>
      <c r="AR32" s="267">
        <f t="shared" si="22"/>
        <v>0</v>
      </c>
      <c r="AS32" s="182">
        <f t="shared" si="23"/>
        <v>499459.47228792653</v>
      </c>
    </row>
    <row r="33" spans="1:45" s="170" customFormat="1" x14ac:dyDescent="0.2">
      <c r="A33" s="170" t="s">
        <v>543</v>
      </c>
      <c r="B33" s="173" t="str">
        <f>Prop2021DistTar!C33</f>
        <v>Medium Business Demand</v>
      </c>
      <c r="C33" s="283"/>
      <c r="D33" s="312">
        <v>1200</v>
      </c>
      <c r="E33" s="313">
        <v>0</v>
      </c>
      <c r="F33" s="313">
        <v>3.03</v>
      </c>
      <c r="G33" s="313">
        <v>3.03</v>
      </c>
      <c r="H33" s="313">
        <v>0</v>
      </c>
      <c r="I33" s="313">
        <v>9.7200000000000006</v>
      </c>
      <c r="J33" s="313">
        <v>3.24</v>
      </c>
      <c r="K33" s="313">
        <v>0</v>
      </c>
      <c r="L33" s="313">
        <v>0</v>
      </c>
      <c r="M33" s="313">
        <v>0</v>
      </c>
      <c r="N33" s="313">
        <v>0</v>
      </c>
      <c r="O33" s="313">
        <v>0</v>
      </c>
      <c r="P33" s="353">
        <v>0</v>
      </c>
      <c r="R33" s="314">
        <v>4403.4018551523304</v>
      </c>
      <c r="S33" s="317">
        <v>0</v>
      </c>
      <c r="T33" s="317">
        <v>339952679.85718626</v>
      </c>
      <c r="U33" s="317">
        <v>250709652.79220656</v>
      </c>
      <c r="V33" s="317">
        <v>0</v>
      </c>
      <c r="W33" s="317">
        <v>724859.65449187229</v>
      </c>
      <c r="X33" s="317">
        <v>1273831.0316474377</v>
      </c>
      <c r="Y33" s="317">
        <v>0</v>
      </c>
      <c r="Z33" s="317">
        <v>0</v>
      </c>
      <c r="AA33" s="317">
        <v>0</v>
      </c>
      <c r="AB33" s="317">
        <v>0</v>
      </c>
      <c r="AC33" s="317">
        <v>0</v>
      </c>
      <c r="AD33" s="318">
        <v>0</v>
      </c>
      <c r="AF33" s="266">
        <f t="shared" si="12"/>
        <v>5284082.2261827961</v>
      </c>
      <c r="AG33" s="267">
        <f t="shared" si="13"/>
        <v>0</v>
      </c>
      <c r="AH33" s="267">
        <f t="shared" si="13"/>
        <v>10300566.199672742</v>
      </c>
      <c r="AI33" s="267">
        <f t="shared" si="13"/>
        <v>7596502.4796038577</v>
      </c>
      <c r="AJ33" s="267">
        <f t="shared" si="14"/>
        <v>0</v>
      </c>
      <c r="AK33" s="267">
        <f t="shared" si="15"/>
        <v>7045635.8416609988</v>
      </c>
      <c r="AL33" s="267">
        <f t="shared" si="16"/>
        <v>4127212.5425376985</v>
      </c>
      <c r="AM33" s="267">
        <f t="shared" si="17"/>
        <v>0</v>
      </c>
      <c r="AN33" s="267">
        <f t="shared" si="18"/>
        <v>0</v>
      </c>
      <c r="AO33" s="267">
        <f t="shared" si="19"/>
        <v>0</v>
      </c>
      <c r="AP33" s="267">
        <f t="shared" si="20"/>
        <v>0</v>
      </c>
      <c r="AQ33" s="267">
        <f t="shared" si="21"/>
        <v>0</v>
      </c>
      <c r="AR33" s="267">
        <f t="shared" si="22"/>
        <v>0</v>
      </c>
      <c r="AS33" s="182">
        <f t="shared" si="23"/>
        <v>34353999.289658092</v>
      </c>
    </row>
    <row r="34" spans="1:45" s="170" customFormat="1" x14ac:dyDescent="0.2">
      <c r="A34" s="170" t="s">
        <v>545</v>
      </c>
      <c r="B34" s="173" t="str">
        <f>Prop2021DistTar!C34</f>
        <v>Medium Business Bulk Demand</v>
      </c>
      <c r="C34" s="283"/>
      <c r="D34" s="312">
        <v>1200</v>
      </c>
      <c r="E34" s="313">
        <v>0</v>
      </c>
      <c r="F34" s="313">
        <v>2.57</v>
      </c>
      <c r="G34" s="313">
        <v>2.57</v>
      </c>
      <c r="H34" s="313">
        <v>0</v>
      </c>
      <c r="I34" s="313">
        <v>8.0299999999999994</v>
      </c>
      <c r="J34" s="313">
        <v>2.92</v>
      </c>
      <c r="K34" s="313">
        <v>0</v>
      </c>
      <c r="L34" s="313">
        <v>0</v>
      </c>
      <c r="M34" s="313">
        <v>0</v>
      </c>
      <c r="N34" s="313">
        <v>0</v>
      </c>
      <c r="O34" s="313">
        <v>0</v>
      </c>
      <c r="P34" s="353">
        <v>0</v>
      </c>
      <c r="R34" s="314">
        <v>2080.7408836331665</v>
      </c>
      <c r="S34" s="317">
        <v>0</v>
      </c>
      <c r="T34" s="317">
        <v>235523158.73965827</v>
      </c>
      <c r="U34" s="317">
        <v>157971528.62473217</v>
      </c>
      <c r="V34" s="317">
        <v>0</v>
      </c>
      <c r="W34" s="317">
        <v>491954.4922444757</v>
      </c>
      <c r="X34" s="317">
        <v>811784.27501472388</v>
      </c>
      <c r="Y34" s="317">
        <v>0</v>
      </c>
      <c r="Z34" s="317">
        <v>0</v>
      </c>
      <c r="AA34" s="317">
        <v>0</v>
      </c>
      <c r="AB34" s="317">
        <v>0</v>
      </c>
      <c r="AC34" s="317">
        <v>0</v>
      </c>
      <c r="AD34" s="318">
        <v>0</v>
      </c>
      <c r="AF34" s="266">
        <f t="shared" si="12"/>
        <v>2496889.0603597998</v>
      </c>
      <c r="AG34" s="267">
        <f t="shared" si="13"/>
        <v>0</v>
      </c>
      <c r="AH34" s="267">
        <f t="shared" si="13"/>
        <v>6052945.1796092167</v>
      </c>
      <c r="AI34" s="267">
        <f t="shared" si="13"/>
        <v>4059868.2856556163</v>
      </c>
      <c r="AJ34" s="267">
        <f t="shared" si="14"/>
        <v>0</v>
      </c>
      <c r="AK34" s="267">
        <f t="shared" si="15"/>
        <v>3950394.5727231395</v>
      </c>
      <c r="AL34" s="267">
        <f t="shared" si="16"/>
        <v>2370410.0830429937</v>
      </c>
      <c r="AM34" s="267">
        <f t="shared" si="17"/>
        <v>0</v>
      </c>
      <c r="AN34" s="267">
        <f t="shared" si="18"/>
        <v>0</v>
      </c>
      <c r="AO34" s="267">
        <f t="shared" si="19"/>
        <v>0</v>
      </c>
      <c r="AP34" s="267">
        <f t="shared" si="20"/>
        <v>0</v>
      </c>
      <c r="AQ34" s="267">
        <f t="shared" si="21"/>
        <v>0</v>
      </c>
      <c r="AR34" s="267">
        <f t="shared" si="22"/>
        <v>0</v>
      </c>
      <c r="AS34" s="182">
        <f t="shared" si="23"/>
        <v>18930507.181390766</v>
      </c>
    </row>
    <row r="35" spans="1:45" s="170" customFormat="1" x14ac:dyDescent="0.2">
      <c r="A35" s="170" t="s">
        <v>547</v>
      </c>
      <c r="B35" s="173" t="str">
        <f>Prop2021DistTar!C35</f>
        <v>Medium Business Opt-out</v>
      </c>
      <c r="C35" s="283"/>
      <c r="D35" s="312">
        <v>1200</v>
      </c>
      <c r="E35" s="313">
        <v>0</v>
      </c>
      <c r="F35" s="313">
        <v>7.95</v>
      </c>
      <c r="G35" s="313">
        <v>3.18</v>
      </c>
      <c r="H35" s="313">
        <v>0</v>
      </c>
      <c r="I35" s="313">
        <v>0</v>
      </c>
      <c r="J35" s="313">
        <v>0</v>
      </c>
      <c r="K35" s="313">
        <v>0</v>
      </c>
      <c r="L35" s="313">
        <v>0</v>
      </c>
      <c r="M35" s="313">
        <v>0</v>
      </c>
      <c r="N35" s="313">
        <v>0</v>
      </c>
      <c r="O35" s="313">
        <v>0</v>
      </c>
      <c r="P35" s="353">
        <v>0</v>
      </c>
      <c r="R35" s="314">
        <v>41.341540163281572</v>
      </c>
      <c r="S35" s="317">
        <v>0</v>
      </c>
      <c r="T35" s="317">
        <v>2405969.966489397</v>
      </c>
      <c r="U35" s="317">
        <v>2106689.7659207499</v>
      </c>
      <c r="V35" s="317">
        <v>0</v>
      </c>
      <c r="W35" s="317">
        <v>0</v>
      </c>
      <c r="X35" s="317">
        <v>0</v>
      </c>
      <c r="Y35" s="317">
        <v>0</v>
      </c>
      <c r="Z35" s="317">
        <v>0</v>
      </c>
      <c r="AA35" s="317">
        <v>0</v>
      </c>
      <c r="AB35" s="317">
        <v>0</v>
      </c>
      <c r="AC35" s="317">
        <v>0</v>
      </c>
      <c r="AD35" s="318">
        <v>0</v>
      </c>
      <c r="AF35" s="266">
        <f t="shared" si="12"/>
        <v>49609.848195937884</v>
      </c>
      <c r="AG35" s="267">
        <f t="shared" si="13"/>
        <v>0</v>
      </c>
      <c r="AH35" s="267">
        <f t="shared" si="13"/>
        <v>191274.61233590706</v>
      </c>
      <c r="AI35" s="267">
        <f t="shared" si="13"/>
        <v>66992.734556279844</v>
      </c>
      <c r="AJ35" s="267">
        <f t="shared" si="14"/>
        <v>0</v>
      </c>
      <c r="AK35" s="267">
        <f t="shared" si="15"/>
        <v>0</v>
      </c>
      <c r="AL35" s="267">
        <f t="shared" si="16"/>
        <v>0</v>
      </c>
      <c r="AM35" s="267">
        <f t="shared" si="17"/>
        <v>0</v>
      </c>
      <c r="AN35" s="267">
        <f t="shared" si="18"/>
        <v>0</v>
      </c>
      <c r="AO35" s="267">
        <f t="shared" si="19"/>
        <v>0</v>
      </c>
      <c r="AP35" s="267">
        <f t="shared" si="20"/>
        <v>0</v>
      </c>
      <c r="AQ35" s="267">
        <f t="shared" si="21"/>
        <v>0</v>
      </c>
      <c r="AR35" s="267">
        <f t="shared" si="22"/>
        <v>0</v>
      </c>
      <c r="AS35" s="182">
        <f t="shared" si="23"/>
        <v>307877.19508812478</v>
      </c>
    </row>
    <row r="36" spans="1:45" s="170" customFormat="1" x14ac:dyDescent="0.2">
      <c r="A36" s="170" t="s">
        <v>549</v>
      </c>
      <c r="B36" s="173" t="str">
        <f>Prop2021DistTar!C36</f>
        <v>Medium Business Bulk Opt-out</v>
      </c>
      <c r="C36" s="283"/>
      <c r="D36" s="312">
        <v>1200</v>
      </c>
      <c r="E36" s="313">
        <v>0</v>
      </c>
      <c r="F36" s="313">
        <v>6.35</v>
      </c>
      <c r="G36" s="313">
        <v>2.54</v>
      </c>
      <c r="H36" s="313">
        <v>0</v>
      </c>
      <c r="I36" s="313">
        <v>0</v>
      </c>
      <c r="J36" s="313">
        <v>0</v>
      </c>
      <c r="K36" s="313">
        <v>0</v>
      </c>
      <c r="L36" s="313">
        <v>0</v>
      </c>
      <c r="M36" s="313">
        <v>0</v>
      </c>
      <c r="N36" s="313">
        <v>0</v>
      </c>
      <c r="O36" s="313">
        <v>0</v>
      </c>
      <c r="P36" s="353">
        <v>0</v>
      </c>
      <c r="R36" s="314">
        <v>81.750047252346079</v>
      </c>
      <c r="S36" s="315">
        <v>0</v>
      </c>
      <c r="T36" s="315">
        <v>5074192.3018221091</v>
      </c>
      <c r="U36" s="315">
        <v>4451924.7145162309</v>
      </c>
      <c r="V36" s="315">
        <v>0</v>
      </c>
      <c r="W36" s="315">
        <v>0</v>
      </c>
      <c r="X36" s="315">
        <v>0</v>
      </c>
      <c r="Y36" s="315">
        <v>0</v>
      </c>
      <c r="Z36" s="315">
        <v>0</v>
      </c>
      <c r="AA36" s="315">
        <v>0</v>
      </c>
      <c r="AB36" s="315">
        <v>0</v>
      </c>
      <c r="AC36" s="315">
        <v>0</v>
      </c>
      <c r="AD36" s="316">
        <v>0</v>
      </c>
      <c r="AF36" s="266">
        <f t="shared" si="12"/>
        <v>98100.056702815287</v>
      </c>
      <c r="AG36" s="267">
        <f t="shared" si="13"/>
        <v>0</v>
      </c>
      <c r="AH36" s="267">
        <f t="shared" si="13"/>
        <v>322211.21116570395</v>
      </c>
      <c r="AI36" s="267">
        <f t="shared" si="13"/>
        <v>113078.88774871227</v>
      </c>
      <c r="AJ36" s="267">
        <f t="shared" si="14"/>
        <v>0</v>
      </c>
      <c r="AK36" s="267">
        <f t="shared" si="15"/>
        <v>0</v>
      </c>
      <c r="AL36" s="267">
        <f t="shared" si="16"/>
        <v>0</v>
      </c>
      <c r="AM36" s="267">
        <f t="shared" si="17"/>
        <v>0</v>
      </c>
      <c r="AN36" s="267">
        <f t="shared" si="18"/>
        <v>0</v>
      </c>
      <c r="AO36" s="267">
        <f t="shared" si="19"/>
        <v>0</v>
      </c>
      <c r="AP36" s="267">
        <f t="shared" si="20"/>
        <v>0</v>
      </c>
      <c r="AQ36" s="267">
        <f t="shared" si="21"/>
        <v>0</v>
      </c>
      <c r="AR36" s="267">
        <f t="shared" si="22"/>
        <v>0</v>
      </c>
      <c r="AS36" s="182">
        <f t="shared" si="23"/>
        <v>533390.1556172315</v>
      </c>
    </row>
    <row r="37" spans="1:45" s="170" customFormat="1" x14ac:dyDescent="0.2">
      <c r="A37" s="170" t="s">
        <v>551</v>
      </c>
      <c r="B37" s="173" t="str">
        <f>Prop2021DistTar!C37</f>
        <v>Unmetered Supplies / Public Lighting</v>
      </c>
      <c r="C37" s="283"/>
      <c r="D37" s="312">
        <v>0</v>
      </c>
      <c r="E37" s="313">
        <v>0</v>
      </c>
      <c r="F37" s="313">
        <v>11.72</v>
      </c>
      <c r="G37" s="313">
        <v>3.29</v>
      </c>
      <c r="H37" s="313">
        <v>0</v>
      </c>
      <c r="I37" s="313">
        <v>0</v>
      </c>
      <c r="J37" s="313">
        <v>0</v>
      </c>
      <c r="K37" s="313">
        <v>0</v>
      </c>
      <c r="L37" s="313">
        <v>0</v>
      </c>
      <c r="M37" s="313">
        <v>0</v>
      </c>
      <c r="N37" s="313">
        <v>0</v>
      </c>
      <c r="O37" s="313">
        <v>0</v>
      </c>
      <c r="P37" s="353">
        <v>0</v>
      </c>
      <c r="R37" s="314">
        <v>4483.011669203448</v>
      </c>
      <c r="S37" s="315">
        <v>0</v>
      </c>
      <c r="T37" s="315">
        <v>7396578.4907364566</v>
      </c>
      <c r="U37" s="315">
        <v>10316991.681946272</v>
      </c>
      <c r="V37" s="315">
        <v>0</v>
      </c>
      <c r="W37" s="315">
        <v>0</v>
      </c>
      <c r="X37" s="315">
        <v>0</v>
      </c>
      <c r="Y37" s="315">
        <v>0</v>
      </c>
      <c r="Z37" s="315">
        <v>0</v>
      </c>
      <c r="AA37" s="315">
        <v>0</v>
      </c>
      <c r="AB37" s="315">
        <v>0</v>
      </c>
      <c r="AC37" s="315">
        <v>0</v>
      </c>
      <c r="AD37" s="316">
        <v>0</v>
      </c>
      <c r="AF37" s="266">
        <f t="shared" si="12"/>
        <v>0</v>
      </c>
      <c r="AG37" s="267">
        <f t="shared" si="13"/>
        <v>0</v>
      </c>
      <c r="AH37" s="267">
        <f t="shared" si="13"/>
        <v>866878.99911431281</v>
      </c>
      <c r="AI37" s="267">
        <f t="shared" si="13"/>
        <v>339429.02633603232</v>
      </c>
      <c r="AJ37" s="267">
        <f t="shared" si="14"/>
        <v>0</v>
      </c>
      <c r="AK37" s="267">
        <f t="shared" si="15"/>
        <v>0</v>
      </c>
      <c r="AL37" s="267">
        <f t="shared" si="16"/>
        <v>0</v>
      </c>
      <c r="AM37" s="267">
        <f t="shared" si="17"/>
        <v>0</v>
      </c>
      <c r="AN37" s="267">
        <f t="shared" si="18"/>
        <v>0</v>
      </c>
      <c r="AO37" s="267">
        <f t="shared" si="19"/>
        <v>0</v>
      </c>
      <c r="AP37" s="267">
        <f t="shared" si="20"/>
        <v>0</v>
      </c>
      <c r="AQ37" s="267">
        <f t="shared" si="21"/>
        <v>0</v>
      </c>
      <c r="AR37" s="267">
        <f t="shared" si="22"/>
        <v>0</v>
      </c>
      <c r="AS37" s="182">
        <f t="shared" si="23"/>
        <v>1206308.0254503451</v>
      </c>
    </row>
    <row r="38" spans="1:45" s="170" customFormat="1" x14ac:dyDescent="0.2">
      <c r="A38" s="170" t="s">
        <v>553</v>
      </c>
      <c r="B38" s="173" t="str">
        <f>Prop2021DistTar!C38</f>
        <v>Large low Voltage</v>
      </c>
      <c r="C38" s="283"/>
      <c r="D38" s="312">
        <v>6550</v>
      </c>
      <c r="E38" s="313">
        <v>0</v>
      </c>
      <c r="F38" s="313">
        <v>2.3199999999999998</v>
      </c>
      <c r="G38" s="313">
        <v>1.42</v>
      </c>
      <c r="H38" s="313">
        <v>71.75</v>
      </c>
      <c r="I38" s="313">
        <v>0</v>
      </c>
      <c r="J38" s="313">
        <v>0</v>
      </c>
      <c r="K38" s="313">
        <v>0</v>
      </c>
      <c r="L38" s="313">
        <v>0</v>
      </c>
      <c r="M38" s="313">
        <v>0</v>
      </c>
      <c r="N38" s="313">
        <v>0</v>
      </c>
      <c r="O38" s="313">
        <v>0</v>
      </c>
      <c r="P38" s="353">
        <v>0</v>
      </c>
      <c r="R38" s="314">
        <v>400.17646833010758</v>
      </c>
      <c r="S38" s="315">
        <v>0</v>
      </c>
      <c r="T38" s="315">
        <v>126570892.63338222</v>
      </c>
      <c r="U38" s="315">
        <v>97426022.677969709</v>
      </c>
      <c r="V38" s="315">
        <v>78034.411324370973</v>
      </c>
      <c r="W38" s="315">
        <v>0</v>
      </c>
      <c r="X38" s="315">
        <v>0</v>
      </c>
      <c r="Y38" s="315">
        <v>0</v>
      </c>
      <c r="Z38" s="315">
        <v>0</v>
      </c>
      <c r="AA38" s="315">
        <v>0</v>
      </c>
      <c r="AB38" s="315">
        <v>0</v>
      </c>
      <c r="AC38" s="315">
        <v>0</v>
      </c>
      <c r="AD38" s="316">
        <v>0</v>
      </c>
      <c r="AF38" s="266">
        <f t="shared" si="12"/>
        <v>2621155.8675622046</v>
      </c>
      <c r="AG38" s="267">
        <f t="shared" si="13"/>
        <v>0</v>
      </c>
      <c r="AH38" s="267">
        <f t="shared" si="13"/>
        <v>2936444.7090944671</v>
      </c>
      <c r="AI38" s="267">
        <f t="shared" si="13"/>
        <v>1383449.5220271698</v>
      </c>
      <c r="AJ38" s="267">
        <f t="shared" si="14"/>
        <v>5598969.0125236176</v>
      </c>
      <c r="AK38" s="267">
        <f t="shared" si="15"/>
        <v>0</v>
      </c>
      <c r="AL38" s="267">
        <f t="shared" si="16"/>
        <v>0</v>
      </c>
      <c r="AM38" s="267">
        <f t="shared" si="17"/>
        <v>0</v>
      </c>
      <c r="AN38" s="267">
        <f t="shared" si="18"/>
        <v>0</v>
      </c>
      <c r="AO38" s="267">
        <f t="shared" si="19"/>
        <v>0</v>
      </c>
      <c r="AP38" s="267">
        <f t="shared" si="20"/>
        <v>0</v>
      </c>
      <c r="AQ38" s="267">
        <f t="shared" si="21"/>
        <v>0</v>
      </c>
      <c r="AR38" s="267">
        <f t="shared" si="22"/>
        <v>0</v>
      </c>
      <c r="AS38" s="182">
        <f t="shared" si="23"/>
        <v>12540019.111207459</v>
      </c>
    </row>
    <row r="39" spans="1:45" s="170" customFormat="1" x14ac:dyDescent="0.2">
      <c r="A39" s="170" t="s">
        <v>555</v>
      </c>
      <c r="B39" s="173" t="str">
        <f>Prop2021DistTar!C39</f>
        <v>Large low Voltage Bulk</v>
      </c>
      <c r="C39" s="283"/>
      <c r="D39" s="312">
        <v>6550</v>
      </c>
      <c r="E39" s="313">
        <v>0</v>
      </c>
      <c r="F39" s="313">
        <v>2.2000000000000002</v>
      </c>
      <c r="G39" s="313">
        <v>1.35</v>
      </c>
      <c r="H39" s="313">
        <v>66.75</v>
      </c>
      <c r="I39" s="313">
        <v>0</v>
      </c>
      <c r="J39" s="313">
        <v>0</v>
      </c>
      <c r="K39" s="313">
        <v>0</v>
      </c>
      <c r="L39" s="313">
        <v>0</v>
      </c>
      <c r="M39" s="313">
        <v>0</v>
      </c>
      <c r="N39" s="313">
        <v>0</v>
      </c>
      <c r="O39" s="313">
        <v>0</v>
      </c>
      <c r="P39" s="353">
        <v>0</v>
      </c>
      <c r="R39" s="314">
        <v>1842.9367112714808</v>
      </c>
      <c r="S39" s="315">
        <v>0</v>
      </c>
      <c r="T39" s="315">
        <v>1137722434.8069408</v>
      </c>
      <c r="U39" s="315">
        <v>873988483.91062069</v>
      </c>
      <c r="V39" s="315">
        <v>686083.36790021718</v>
      </c>
      <c r="W39" s="315">
        <v>0</v>
      </c>
      <c r="X39" s="315">
        <v>0</v>
      </c>
      <c r="Y39" s="315">
        <v>0</v>
      </c>
      <c r="Z39" s="315">
        <v>0</v>
      </c>
      <c r="AA39" s="315">
        <v>0</v>
      </c>
      <c r="AB39" s="315">
        <v>0</v>
      </c>
      <c r="AC39" s="315">
        <v>0</v>
      </c>
      <c r="AD39" s="316">
        <v>0</v>
      </c>
      <c r="AF39" s="266">
        <f t="shared" si="12"/>
        <v>12071235.4588282</v>
      </c>
      <c r="AG39" s="267">
        <f t="shared" ref="AG39:AI65" si="24">E39/100*S39</f>
        <v>0</v>
      </c>
      <c r="AH39" s="267">
        <f t="shared" si="24"/>
        <v>25029893.5657527</v>
      </c>
      <c r="AI39" s="267">
        <f t="shared" si="24"/>
        <v>11798844.53279338</v>
      </c>
      <c r="AJ39" s="267">
        <f t="shared" si="14"/>
        <v>45796064.807339497</v>
      </c>
      <c r="AK39" s="267">
        <f t="shared" si="15"/>
        <v>0</v>
      </c>
      <c r="AL39" s="267">
        <f t="shared" si="16"/>
        <v>0</v>
      </c>
      <c r="AM39" s="267">
        <f t="shared" si="17"/>
        <v>0</v>
      </c>
      <c r="AN39" s="267">
        <f t="shared" si="18"/>
        <v>0</v>
      </c>
      <c r="AO39" s="267">
        <f t="shared" si="19"/>
        <v>0</v>
      </c>
      <c r="AP39" s="267">
        <f t="shared" si="20"/>
        <v>0</v>
      </c>
      <c r="AQ39" s="267">
        <f t="shared" si="21"/>
        <v>0</v>
      </c>
      <c r="AR39" s="267">
        <f t="shared" si="22"/>
        <v>0</v>
      </c>
      <c r="AS39" s="182">
        <f t="shared" si="23"/>
        <v>94696038.364713773</v>
      </c>
    </row>
    <row r="40" spans="1:45" s="170" customFormat="1" x14ac:dyDescent="0.2">
      <c r="A40" s="170" t="s">
        <v>557</v>
      </c>
      <c r="B40" s="173" t="str">
        <f>Prop2021DistTar!C40</f>
        <v>High Voltage</v>
      </c>
      <c r="C40" s="283"/>
      <c r="D40" s="312">
        <v>33700</v>
      </c>
      <c r="E40" s="313">
        <v>0</v>
      </c>
      <c r="F40" s="313">
        <v>1.24</v>
      </c>
      <c r="G40" s="313">
        <v>0.64</v>
      </c>
      <c r="H40" s="313">
        <v>35.119999999999997</v>
      </c>
      <c r="I40" s="313">
        <v>0</v>
      </c>
      <c r="J40" s="313">
        <v>0</v>
      </c>
      <c r="K40" s="313">
        <v>0</v>
      </c>
      <c r="L40" s="313">
        <v>0</v>
      </c>
      <c r="M40" s="313">
        <v>0</v>
      </c>
      <c r="N40" s="313">
        <v>0</v>
      </c>
      <c r="O40" s="313">
        <v>0</v>
      </c>
      <c r="P40" s="353">
        <v>0</v>
      </c>
      <c r="R40" s="314">
        <v>93.927461142717462</v>
      </c>
      <c r="S40" s="315">
        <v>0</v>
      </c>
      <c r="T40" s="315">
        <v>365684368.45994318</v>
      </c>
      <c r="U40" s="315">
        <v>176784509.13387427</v>
      </c>
      <c r="V40" s="315">
        <v>202579.31528420353</v>
      </c>
      <c r="W40" s="315">
        <v>0</v>
      </c>
      <c r="X40" s="315">
        <v>0</v>
      </c>
      <c r="Y40" s="315">
        <v>0</v>
      </c>
      <c r="Z40" s="315">
        <v>0</v>
      </c>
      <c r="AA40" s="315">
        <v>0</v>
      </c>
      <c r="AB40" s="315">
        <v>0</v>
      </c>
      <c r="AC40" s="315">
        <v>0</v>
      </c>
      <c r="AD40" s="316">
        <v>0</v>
      </c>
      <c r="AF40" s="266">
        <f t="shared" si="12"/>
        <v>3165355.4405095787</v>
      </c>
      <c r="AG40" s="267">
        <f t="shared" si="24"/>
        <v>0</v>
      </c>
      <c r="AH40" s="267">
        <f t="shared" si="24"/>
        <v>4534486.168903295</v>
      </c>
      <c r="AI40" s="267">
        <f t="shared" si="24"/>
        <v>1131420.8584567953</v>
      </c>
      <c r="AJ40" s="267">
        <f t="shared" si="14"/>
        <v>7114585.552781228</v>
      </c>
      <c r="AK40" s="267">
        <f t="shared" si="15"/>
        <v>0</v>
      </c>
      <c r="AL40" s="267">
        <f t="shared" si="16"/>
        <v>0</v>
      </c>
      <c r="AM40" s="267">
        <f t="shared" si="17"/>
        <v>0</v>
      </c>
      <c r="AN40" s="267">
        <f t="shared" si="18"/>
        <v>0</v>
      </c>
      <c r="AO40" s="267">
        <f t="shared" si="19"/>
        <v>0</v>
      </c>
      <c r="AP40" s="267">
        <f t="shared" si="20"/>
        <v>0</v>
      </c>
      <c r="AQ40" s="267">
        <f t="shared" si="21"/>
        <v>0</v>
      </c>
      <c r="AR40" s="267">
        <f t="shared" si="22"/>
        <v>0</v>
      </c>
      <c r="AS40" s="182">
        <f t="shared" si="23"/>
        <v>15945848.020650897</v>
      </c>
    </row>
    <row r="41" spans="1:45" s="170" customFormat="1" x14ac:dyDescent="0.2">
      <c r="A41" s="170" t="s">
        <v>559</v>
      </c>
      <c r="B41" s="173" t="str">
        <f>Prop2021DistTar!C41</f>
        <v>Subtransmission</v>
      </c>
      <c r="C41" s="283"/>
      <c r="D41" s="312">
        <v>148700</v>
      </c>
      <c r="E41" s="313">
        <v>0</v>
      </c>
      <c r="F41" s="313">
        <v>0.12</v>
      </c>
      <c r="G41" s="313">
        <v>0.05</v>
      </c>
      <c r="H41" s="313">
        <v>0.97</v>
      </c>
      <c r="I41" s="313">
        <v>0</v>
      </c>
      <c r="J41" s="313">
        <v>0</v>
      </c>
      <c r="K41" s="313">
        <v>0</v>
      </c>
      <c r="L41" s="313">
        <v>0</v>
      </c>
      <c r="M41" s="313">
        <v>0</v>
      </c>
      <c r="N41" s="313">
        <v>0</v>
      </c>
      <c r="O41" s="313">
        <v>0</v>
      </c>
      <c r="P41" s="353">
        <v>0</v>
      </c>
      <c r="R41" s="314">
        <v>5.9999568574023607</v>
      </c>
      <c r="S41" s="315">
        <v>0</v>
      </c>
      <c r="T41" s="315">
        <v>65603250.462830529</v>
      </c>
      <c r="U41" s="315">
        <v>24435184.096122243</v>
      </c>
      <c r="V41" s="315">
        <v>37985.587976324139</v>
      </c>
      <c r="W41" s="315">
        <v>0</v>
      </c>
      <c r="X41" s="315">
        <v>0</v>
      </c>
      <c r="Y41" s="315">
        <v>0</v>
      </c>
      <c r="Z41" s="315">
        <v>0</v>
      </c>
      <c r="AA41" s="315">
        <v>0</v>
      </c>
      <c r="AB41" s="315">
        <v>0</v>
      </c>
      <c r="AC41" s="315">
        <v>0</v>
      </c>
      <c r="AD41" s="316">
        <v>0</v>
      </c>
      <c r="AF41" s="266">
        <f t="shared" si="12"/>
        <v>892193.58469573106</v>
      </c>
      <c r="AG41" s="267">
        <f t="shared" si="24"/>
        <v>0</v>
      </c>
      <c r="AH41" s="267">
        <f t="shared" si="24"/>
        <v>78723.900555396627</v>
      </c>
      <c r="AI41" s="267">
        <f t="shared" si="24"/>
        <v>12217.592048061122</v>
      </c>
      <c r="AJ41" s="267">
        <f t="shared" si="14"/>
        <v>36846.020337034417</v>
      </c>
      <c r="AK41" s="267">
        <f t="shared" si="15"/>
        <v>0</v>
      </c>
      <c r="AL41" s="267">
        <f t="shared" si="16"/>
        <v>0</v>
      </c>
      <c r="AM41" s="267">
        <f t="shared" si="17"/>
        <v>0</v>
      </c>
      <c r="AN41" s="267">
        <f t="shared" si="18"/>
        <v>0</v>
      </c>
      <c r="AO41" s="267">
        <f t="shared" si="19"/>
        <v>0</v>
      </c>
      <c r="AP41" s="267">
        <f t="shared" si="20"/>
        <v>0</v>
      </c>
      <c r="AQ41" s="267">
        <f t="shared" si="21"/>
        <v>0</v>
      </c>
      <c r="AR41" s="267">
        <f t="shared" si="22"/>
        <v>0</v>
      </c>
      <c r="AS41" s="182">
        <f t="shared" si="23"/>
        <v>1019981.0976362232</v>
      </c>
    </row>
    <row r="42" spans="1:45" s="170" customFormat="1" x14ac:dyDescent="0.2">
      <c r="B42" s="173"/>
      <c r="C42" s="283"/>
      <c r="D42" s="312"/>
      <c r="E42" s="313"/>
      <c r="F42" s="313"/>
      <c r="G42" s="313"/>
      <c r="H42" s="313"/>
      <c r="I42" s="313"/>
      <c r="J42" s="313"/>
      <c r="K42" s="313"/>
      <c r="L42" s="313"/>
      <c r="M42" s="313"/>
      <c r="N42" s="313"/>
      <c r="O42" s="313"/>
      <c r="P42" s="353"/>
      <c r="R42" s="314"/>
      <c r="S42" s="315"/>
      <c r="T42" s="315"/>
      <c r="U42" s="315"/>
      <c r="V42" s="315"/>
      <c r="W42" s="315"/>
      <c r="X42" s="315"/>
      <c r="Y42" s="315"/>
      <c r="Z42" s="315"/>
      <c r="AA42" s="315"/>
      <c r="AB42" s="315"/>
      <c r="AC42" s="315"/>
      <c r="AD42" s="316"/>
      <c r="AF42" s="266">
        <f t="shared" si="12"/>
        <v>0</v>
      </c>
      <c r="AG42" s="267">
        <f t="shared" si="24"/>
        <v>0</v>
      </c>
      <c r="AH42" s="267">
        <f t="shared" si="24"/>
        <v>0</v>
      </c>
      <c r="AI42" s="267">
        <f t="shared" si="24"/>
        <v>0</v>
      </c>
      <c r="AJ42" s="267">
        <f t="shared" si="14"/>
        <v>0</v>
      </c>
      <c r="AK42" s="267">
        <f t="shared" si="15"/>
        <v>0</v>
      </c>
      <c r="AL42" s="267">
        <f t="shared" si="16"/>
        <v>0</v>
      </c>
      <c r="AM42" s="267">
        <f t="shared" si="17"/>
        <v>0</v>
      </c>
      <c r="AN42" s="267">
        <f t="shared" si="18"/>
        <v>0</v>
      </c>
      <c r="AO42" s="267">
        <f t="shared" si="19"/>
        <v>0</v>
      </c>
      <c r="AP42" s="267">
        <f t="shared" si="20"/>
        <v>0</v>
      </c>
      <c r="AQ42" s="267">
        <f t="shared" si="21"/>
        <v>0</v>
      </c>
      <c r="AR42" s="267">
        <f t="shared" si="22"/>
        <v>0</v>
      </c>
      <c r="AS42" s="182">
        <f t="shared" si="23"/>
        <v>0</v>
      </c>
    </row>
    <row r="43" spans="1:45" s="170" customFormat="1" x14ac:dyDescent="0.2">
      <c r="B43" s="173"/>
      <c r="C43" s="283"/>
      <c r="D43" s="312"/>
      <c r="E43" s="313"/>
      <c r="F43" s="313"/>
      <c r="G43" s="313"/>
      <c r="H43" s="313"/>
      <c r="I43" s="313"/>
      <c r="J43" s="313"/>
      <c r="K43" s="313"/>
      <c r="L43" s="313"/>
      <c r="M43" s="313"/>
      <c r="N43" s="313"/>
      <c r="O43" s="313"/>
      <c r="P43" s="353"/>
      <c r="R43" s="314"/>
      <c r="S43" s="315"/>
      <c r="T43" s="315"/>
      <c r="U43" s="315"/>
      <c r="V43" s="315"/>
      <c r="W43" s="315"/>
      <c r="X43" s="315"/>
      <c r="Y43" s="315"/>
      <c r="Z43" s="315"/>
      <c r="AA43" s="315"/>
      <c r="AB43" s="315"/>
      <c r="AC43" s="315"/>
      <c r="AD43" s="316"/>
      <c r="AF43" s="266">
        <f t="shared" si="12"/>
        <v>0</v>
      </c>
      <c r="AG43" s="267">
        <f t="shared" si="24"/>
        <v>0</v>
      </c>
      <c r="AH43" s="267">
        <f t="shared" si="24"/>
        <v>0</v>
      </c>
      <c r="AI43" s="267">
        <f t="shared" si="24"/>
        <v>0</v>
      </c>
      <c r="AJ43" s="267">
        <f t="shared" si="14"/>
        <v>0</v>
      </c>
      <c r="AK43" s="267">
        <f t="shared" si="15"/>
        <v>0</v>
      </c>
      <c r="AL43" s="267">
        <f t="shared" si="16"/>
        <v>0</v>
      </c>
      <c r="AM43" s="267">
        <f t="shared" si="17"/>
        <v>0</v>
      </c>
      <c r="AN43" s="267">
        <f t="shared" si="18"/>
        <v>0</v>
      </c>
      <c r="AO43" s="267">
        <f t="shared" si="19"/>
        <v>0</v>
      </c>
      <c r="AP43" s="267">
        <f t="shared" si="20"/>
        <v>0</v>
      </c>
      <c r="AQ43" s="267">
        <f t="shared" si="21"/>
        <v>0</v>
      </c>
      <c r="AR43" s="267">
        <f t="shared" si="22"/>
        <v>0</v>
      </c>
      <c r="AS43" s="182">
        <f t="shared" si="23"/>
        <v>0</v>
      </c>
    </row>
    <row r="44" spans="1:45" s="170" customFormat="1" x14ac:dyDescent="0.2">
      <c r="B44" s="173"/>
      <c r="C44" s="283"/>
      <c r="D44" s="312"/>
      <c r="E44" s="313"/>
      <c r="F44" s="313"/>
      <c r="G44" s="313"/>
      <c r="H44" s="313"/>
      <c r="I44" s="313"/>
      <c r="J44" s="313"/>
      <c r="K44" s="313"/>
      <c r="L44" s="313"/>
      <c r="M44" s="313"/>
      <c r="N44" s="313"/>
      <c r="O44" s="313"/>
      <c r="P44" s="353"/>
      <c r="R44" s="314"/>
      <c r="S44" s="315"/>
      <c r="T44" s="315"/>
      <c r="U44" s="315"/>
      <c r="V44" s="315"/>
      <c r="W44" s="315"/>
      <c r="X44" s="315"/>
      <c r="Y44" s="315"/>
      <c r="Z44" s="315"/>
      <c r="AA44" s="315"/>
      <c r="AB44" s="315"/>
      <c r="AC44" s="315"/>
      <c r="AD44" s="316"/>
      <c r="AF44" s="266">
        <f t="shared" si="12"/>
        <v>0</v>
      </c>
      <c r="AG44" s="267">
        <f t="shared" si="24"/>
        <v>0</v>
      </c>
      <c r="AH44" s="267">
        <f t="shared" si="24"/>
        <v>0</v>
      </c>
      <c r="AI44" s="267">
        <f t="shared" si="24"/>
        <v>0</v>
      </c>
      <c r="AJ44" s="267">
        <f t="shared" si="14"/>
        <v>0</v>
      </c>
      <c r="AK44" s="267">
        <f t="shared" si="15"/>
        <v>0</v>
      </c>
      <c r="AL44" s="267">
        <f t="shared" si="16"/>
        <v>0</v>
      </c>
      <c r="AM44" s="267">
        <f t="shared" si="17"/>
        <v>0</v>
      </c>
      <c r="AN44" s="267">
        <f t="shared" si="18"/>
        <v>0</v>
      </c>
      <c r="AO44" s="267">
        <f t="shared" si="19"/>
        <v>0</v>
      </c>
      <c r="AP44" s="267">
        <f t="shared" si="20"/>
        <v>0</v>
      </c>
      <c r="AQ44" s="267">
        <f t="shared" si="21"/>
        <v>0</v>
      </c>
      <c r="AR44" s="267">
        <f t="shared" si="22"/>
        <v>0</v>
      </c>
      <c r="AS44" s="182">
        <f t="shared" si="23"/>
        <v>0</v>
      </c>
    </row>
    <row r="45" spans="1:45" s="170" customFormat="1" x14ac:dyDescent="0.2">
      <c r="B45" s="173"/>
      <c r="C45" s="283"/>
      <c r="D45" s="312"/>
      <c r="E45" s="313"/>
      <c r="F45" s="313"/>
      <c r="G45" s="313"/>
      <c r="H45" s="313"/>
      <c r="I45" s="313"/>
      <c r="J45" s="313"/>
      <c r="K45" s="313"/>
      <c r="L45" s="313"/>
      <c r="M45" s="313"/>
      <c r="N45" s="313"/>
      <c r="O45" s="313"/>
      <c r="P45" s="353"/>
      <c r="R45" s="314"/>
      <c r="S45" s="315"/>
      <c r="T45" s="315"/>
      <c r="U45" s="315"/>
      <c r="V45" s="315"/>
      <c r="W45" s="315"/>
      <c r="X45" s="315"/>
      <c r="Y45" s="315"/>
      <c r="Z45" s="315"/>
      <c r="AA45" s="315"/>
      <c r="AB45" s="315"/>
      <c r="AC45" s="315"/>
      <c r="AD45" s="316"/>
      <c r="AF45" s="266">
        <f t="shared" si="12"/>
        <v>0</v>
      </c>
      <c r="AG45" s="267">
        <f t="shared" si="24"/>
        <v>0</v>
      </c>
      <c r="AH45" s="267">
        <f t="shared" si="24"/>
        <v>0</v>
      </c>
      <c r="AI45" s="267">
        <f t="shared" si="24"/>
        <v>0</v>
      </c>
      <c r="AJ45" s="267">
        <f t="shared" si="14"/>
        <v>0</v>
      </c>
      <c r="AK45" s="267">
        <f t="shared" si="15"/>
        <v>0</v>
      </c>
      <c r="AL45" s="267">
        <f t="shared" si="16"/>
        <v>0</v>
      </c>
      <c r="AM45" s="267">
        <f t="shared" si="17"/>
        <v>0</v>
      </c>
      <c r="AN45" s="267">
        <f t="shared" si="18"/>
        <v>0</v>
      </c>
      <c r="AO45" s="267">
        <f t="shared" si="19"/>
        <v>0</v>
      </c>
      <c r="AP45" s="267">
        <f t="shared" si="20"/>
        <v>0</v>
      </c>
      <c r="AQ45" s="267">
        <f t="shared" si="21"/>
        <v>0</v>
      </c>
      <c r="AR45" s="267">
        <f t="shared" si="22"/>
        <v>0</v>
      </c>
      <c r="AS45" s="182">
        <f t="shared" si="23"/>
        <v>0</v>
      </c>
    </row>
    <row r="46" spans="1:45" s="170" customFormat="1" x14ac:dyDescent="0.2">
      <c r="B46" s="173"/>
      <c r="C46" s="283"/>
      <c r="D46" s="312"/>
      <c r="E46" s="313"/>
      <c r="F46" s="313"/>
      <c r="G46" s="313"/>
      <c r="H46" s="313"/>
      <c r="I46" s="313"/>
      <c r="J46" s="313"/>
      <c r="K46" s="313"/>
      <c r="L46" s="313"/>
      <c r="M46" s="313"/>
      <c r="N46" s="313"/>
      <c r="O46" s="313"/>
      <c r="P46" s="353"/>
      <c r="R46" s="314"/>
      <c r="S46" s="315"/>
      <c r="T46" s="315"/>
      <c r="U46" s="315"/>
      <c r="V46" s="315"/>
      <c r="W46" s="315"/>
      <c r="X46" s="315"/>
      <c r="Y46" s="315"/>
      <c r="Z46" s="315"/>
      <c r="AA46" s="315"/>
      <c r="AB46" s="315"/>
      <c r="AC46" s="315"/>
      <c r="AD46" s="316"/>
      <c r="AF46" s="266">
        <f t="shared" si="12"/>
        <v>0</v>
      </c>
      <c r="AG46" s="267">
        <f t="shared" si="24"/>
        <v>0</v>
      </c>
      <c r="AH46" s="267">
        <f t="shared" si="24"/>
        <v>0</v>
      </c>
      <c r="AI46" s="267">
        <f t="shared" si="24"/>
        <v>0</v>
      </c>
      <c r="AJ46" s="267">
        <f t="shared" si="14"/>
        <v>0</v>
      </c>
      <c r="AK46" s="267">
        <f t="shared" si="15"/>
        <v>0</v>
      </c>
      <c r="AL46" s="267">
        <f t="shared" si="16"/>
        <v>0</v>
      </c>
      <c r="AM46" s="267">
        <f t="shared" si="17"/>
        <v>0</v>
      </c>
      <c r="AN46" s="267">
        <f t="shared" si="18"/>
        <v>0</v>
      </c>
      <c r="AO46" s="267">
        <f t="shared" si="19"/>
        <v>0</v>
      </c>
      <c r="AP46" s="267">
        <f t="shared" si="20"/>
        <v>0</v>
      </c>
      <c r="AQ46" s="267">
        <f t="shared" si="21"/>
        <v>0</v>
      </c>
      <c r="AR46" s="267">
        <f t="shared" si="22"/>
        <v>0</v>
      </c>
      <c r="AS46" s="182">
        <f t="shared" si="23"/>
        <v>0</v>
      </c>
    </row>
    <row r="47" spans="1:45" s="170" customFormat="1" x14ac:dyDescent="0.2">
      <c r="B47" s="173"/>
      <c r="C47" s="283"/>
      <c r="D47" s="312"/>
      <c r="E47" s="313"/>
      <c r="F47" s="313"/>
      <c r="G47" s="313"/>
      <c r="H47" s="313"/>
      <c r="I47" s="313"/>
      <c r="J47" s="313"/>
      <c r="K47" s="313"/>
      <c r="L47" s="313"/>
      <c r="M47" s="313"/>
      <c r="N47" s="313"/>
      <c r="O47" s="313"/>
      <c r="P47" s="353"/>
      <c r="R47" s="314"/>
      <c r="S47" s="315"/>
      <c r="T47" s="315"/>
      <c r="U47" s="315"/>
      <c r="V47" s="315"/>
      <c r="W47" s="315"/>
      <c r="X47" s="315"/>
      <c r="Y47" s="315"/>
      <c r="Z47" s="315"/>
      <c r="AA47" s="315"/>
      <c r="AB47" s="315"/>
      <c r="AC47" s="315"/>
      <c r="AD47" s="316"/>
      <c r="AF47" s="266">
        <f t="shared" si="12"/>
        <v>0</v>
      </c>
      <c r="AG47" s="267">
        <f t="shared" si="24"/>
        <v>0</v>
      </c>
      <c r="AH47" s="267">
        <f t="shared" si="24"/>
        <v>0</v>
      </c>
      <c r="AI47" s="267">
        <f t="shared" si="24"/>
        <v>0</v>
      </c>
      <c r="AJ47" s="267">
        <f t="shared" si="14"/>
        <v>0</v>
      </c>
      <c r="AK47" s="267">
        <f t="shared" si="15"/>
        <v>0</v>
      </c>
      <c r="AL47" s="267">
        <f t="shared" si="16"/>
        <v>0</v>
      </c>
      <c r="AM47" s="267">
        <f t="shared" si="17"/>
        <v>0</v>
      </c>
      <c r="AN47" s="267">
        <f t="shared" si="18"/>
        <v>0</v>
      </c>
      <c r="AO47" s="267">
        <f t="shared" si="19"/>
        <v>0</v>
      </c>
      <c r="AP47" s="267">
        <f t="shared" si="20"/>
        <v>0</v>
      </c>
      <c r="AQ47" s="267">
        <f t="shared" si="21"/>
        <v>0</v>
      </c>
      <c r="AR47" s="267">
        <f t="shared" si="22"/>
        <v>0</v>
      </c>
      <c r="AS47" s="182">
        <f t="shared" si="23"/>
        <v>0</v>
      </c>
    </row>
    <row r="48" spans="1:45" s="170" customFormat="1" x14ac:dyDescent="0.2">
      <c r="B48" s="173"/>
      <c r="C48" s="283"/>
      <c r="D48" s="312"/>
      <c r="E48" s="313"/>
      <c r="F48" s="313"/>
      <c r="G48" s="313"/>
      <c r="H48" s="313"/>
      <c r="I48" s="313"/>
      <c r="J48" s="313"/>
      <c r="K48" s="313"/>
      <c r="L48" s="313"/>
      <c r="M48" s="313"/>
      <c r="N48" s="313"/>
      <c r="O48" s="313"/>
      <c r="P48" s="353"/>
      <c r="R48" s="314"/>
      <c r="S48" s="315"/>
      <c r="T48" s="315"/>
      <c r="U48" s="315"/>
      <c r="V48" s="315"/>
      <c r="W48" s="315"/>
      <c r="X48" s="315"/>
      <c r="Y48" s="315"/>
      <c r="Z48" s="315"/>
      <c r="AA48" s="315"/>
      <c r="AB48" s="315"/>
      <c r="AC48" s="315"/>
      <c r="AD48" s="316"/>
      <c r="AF48" s="266">
        <f t="shared" si="12"/>
        <v>0</v>
      </c>
      <c r="AG48" s="267">
        <f t="shared" si="24"/>
        <v>0</v>
      </c>
      <c r="AH48" s="267">
        <f t="shared" si="24"/>
        <v>0</v>
      </c>
      <c r="AI48" s="267">
        <f t="shared" si="24"/>
        <v>0</v>
      </c>
      <c r="AJ48" s="267">
        <f t="shared" si="14"/>
        <v>0</v>
      </c>
      <c r="AK48" s="267">
        <f t="shared" si="15"/>
        <v>0</v>
      </c>
      <c r="AL48" s="267">
        <f t="shared" si="16"/>
        <v>0</v>
      </c>
      <c r="AM48" s="267">
        <f t="shared" si="17"/>
        <v>0</v>
      </c>
      <c r="AN48" s="267">
        <f t="shared" si="18"/>
        <v>0</v>
      </c>
      <c r="AO48" s="267">
        <f t="shared" si="19"/>
        <v>0</v>
      </c>
      <c r="AP48" s="267">
        <f t="shared" si="20"/>
        <v>0</v>
      </c>
      <c r="AQ48" s="267">
        <f t="shared" si="21"/>
        <v>0</v>
      </c>
      <c r="AR48" s="267">
        <f t="shared" si="22"/>
        <v>0</v>
      </c>
      <c r="AS48" s="182">
        <f t="shared" si="23"/>
        <v>0</v>
      </c>
    </row>
    <row r="49" spans="2:45" s="170" customFormat="1" x14ac:dyDescent="0.2">
      <c r="B49" s="173"/>
      <c r="C49" s="283"/>
      <c r="D49" s="312"/>
      <c r="E49" s="313"/>
      <c r="F49" s="313"/>
      <c r="G49" s="313"/>
      <c r="H49" s="313"/>
      <c r="I49" s="313"/>
      <c r="J49" s="313"/>
      <c r="K49" s="313"/>
      <c r="L49" s="313"/>
      <c r="M49" s="313"/>
      <c r="N49" s="313"/>
      <c r="O49" s="313"/>
      <c r="P49" s="353"/>
      <c r="R49" s="314"/>
      <c r="S49" s="315"/>
      <c r="T49" s="315"/>
      <c r="U49" s="315"/>
      <c r="V49" s="315"/>
      <c r="W49" s="315"/>
      <c r="X49" s="315"/>
      <c r="Y49" s="315"/>
      <c r="Z49" s="315"/>
      <c r="AA49" s="315"/>
      <c r="AB49" s="315"/>
      <c r="AC49" s="315"/>
      <c r="AD49" s="316"/>
      <c r="AF49" s="266">
        <f t="shared" si="12"/>
        <v>0</v>
      </c>
      <c r="AG49" s="267">
        <f t="shared" si="24"/>
        <v>0</v>
      </c>
      <c r="AH49" s="267">
        <f t="shared" si="24"/>
        <v>0</v>
      </c>
      <c r="AI49" s="267">
        <f t="shared" si="24"/>
        <v>0</v>
      </c>
      <c r="AJ49" s="267">
        <f t="shared" si="14"/>
        <v>0</v>
      </c>
      <c r="AK49" s="267">
        <f t="shared" si="15"/>
        <v>0</v>
      </c>
      <c r="AL49" s="267">
        <f t="shared" si="16"/>
        <v>0</v>
      </c>
      <c r="AM49" s="267">
        <f t="shared" si="17"/>
        <v>0</v>
      </c>
      <c r="AN49" s="267">
        <f t="shared" si="18"/>
        <v>0</v>
      </c>
      <c r="AO49" s="267">
        <f t="shared" si="19"/>
        <v>0</v>
      </c>
      <c r="AP49" s="267">
        <f t="shared" si="20"/>
        <v>0</v>
      </c>
      <c r="AQ49" s="267">
        <f t="shared" si="21"/>
        <v>0</v>
      </c>
      <c r="AR49" s="267">
        <f t="shared" si="22"/>
        <v>0</v>
      </c>
      <c r="AS49" s="182">
        <f t="shared" si="23"/>
        <v>0</v>
      </c>
    </row>
    <row r="50" spans="2:45" s="170" customFormat="1" x14ac:dyDescent="0.2">
      <c r="B50" s="173"/>
      <c r="C50" s="283"/>
      <c r="D50" s="312"/>
      <c r="E50" s="313"/>
      <c r="F50" s="313"/>
      <c r="G50" s="313"/>
      <c r="H50" s="313"/>
      <c r="I50" s="313"/>
      <c r="J50" s="313"/>
      <c r="K50" s="313"/>
      <c r="L50" s="313"/>
      <c r="M50" s="313"/>
      <c r="N50" s="313"/>
      <c r="O50" s="313"/>
      <c r="P50" s="353"/>
      <c r="R50" s="314"/>
      <c r="S50" s="315"/>
      <c r="T50" s="315"/>
      <c r="U50" s="315"/>
      <c r="V50" s="315"/>
      <c r="W50" s="315"/>
      <c r="X50" s="315"/>
      <c r="Y50" s="315"/>
      <c r="Z50" s="315"/>
      <c r="AA50" s="315"/>
      <c r="AB50" s="315"/>
      <c r="AC50" s="315"/>
      <c r="AD50" s="316"/>
      <c r="AF50" s="266">
        <f t="shared" si="12"/>
        <v>0</v>
      </c>
      <c r="AG50" s="267">
        <f t="shared" si="24"/>
        <v>0</v>
      </c>
      <c r="AH50" s="267">
        <f t="shared" si="24"/>
        <v>0</v>
      </c>
      <c r="AI50" s="267">
        <f t="shared" si="24"/>
        <v>0</v>
      </c>
      <c r="AJ50" s="267">
        <f t="shared" si="14"/>
        <v>0</v>
      </c>
      <c r="AK50" s="267">
        <f t="shared" si="15"/>
        <v>0</v>
      </c>
      <c r="AL50" s="267">
        <f t="shared" si="16"/>
        <v>0</v>
      </c>
      <c r="AM50" s="267">
        <f t="shared" si="17"/>
        <v>0</v>
      </c>
      <c r="AN50" s="267">
        <f t="shared" si="18"/>
        <v>0</v>
      </c>
      <c r="AO50" s="267">
        <f t="shared" si="19"/>
        <v>0</v>
      </c>
      <c r="AP50" s="267">
        <f t="shared" si="20"/>
        <v>0</v>
      </c>
      <c r="AQ50" s="267">
        <f t="shared" si="21"/>
        <v>0</v>
      </c>
      <c r="AR50" s="267">
        <f t="shared" si="22"/>
        <v>0</v>
      </c>
      <c r="AS50" s="182">
        <f t="shared" si="23"/>
        <v>0</v>
      </c>
    </row>
    <row r="51" spans="2:45" s="170" customFormat="1" x14ac:dyDescent="0.2">
      <c r="B51" s="173"/>
      <c r="C51" s="283"/>
      <c r="D51" s="312"/>
      <c r="E51" s="313"/>
      <c r="F51" s="313"/>
      <c r="G51" s="313"/>
      <c r="H51" s="313"/>
      <c r="I51" s="313"/>
      <c r="J51" s="313"/>
      <c r="K51" s="313"/>
      <c r="L51" s="313"/>
      <c r="M51" s="313"/>
      <c r="N51" s="313"/>
      <c r="O51" s="313"/>
      <c r="P51" s="353"/>
      <c r="R51" s="314"/>
      <c r="S51" s="315"/>
      <c r="T51" s="315"/>
      <c r="U51" s="315"/>
      <c r="V51" s="315"/>
      <c r="W51" s="315"/>
      <c r="X51" s="315"/>
      <c r="Y51" s="315"/>
      <c r="Z51" s="315"/>
      <c r="AA51" s="315"/>
      <c r="AB51" s="315"/>
      <c r="AC51" s="315"/>
      <c r="AD51" s="316"/>
      <c r="AF51" s="266">
        <f t="shared" si="12"/>
        <v>0</v>
      </c>
      <c r="AG51" s="267">
        <f t="shared" si="24"/>
        <v>0</v>
      </c>
      <c r="AH51" s="267">
        <f t="shared" si="24"/>
        <v>0</v>
      </c>
      <c r="AI51" s="267">
        <f t="shared" si="24"/>
        <v>0</v>
      </c>
      <c r="AJ51" s="267">
        <f t="shared" si="14"/>
        <v>0</v>
      </c>
      <c r="AK51" s="267">
        <f t="shared" si="15"/>
        <v>0</v>
      </c>
      <c r="AL51" s="267">
        <f t="shared" si="16"/>
        <v>0</v>
      </c>
      <c r="AM51" s="267">
        <f t="shared" si="17"/>
        <v>0</v>
      </c>
      <c r="AN51" s="267">
        <f t="shared" si="18"/>
        <v>0</v>
      </c>
      <c r="AO51" s="267">
        <f t="shared" si="19"/>
        <v>0</v>
      </c>
      <c r="AP51" s="267">
        <f t="shared" si="20"/>
        <v>0</v>
      </c>
      <c r="AQ51" s="267">
        <f t="shared" si="21"/>
        <v>0</v>
      </c>
      <c r="AR51" s="267">
        <f t="shared" si="22"/>
        <v>0</v>
      </c>
      <c r="AS51" s="182">
        <f t="shared" si="23"/>
        <v>0</v>
      </c>
    </row>
    <row r="52" spans="2:45" s="170" customFormat="1" x14ac:dyDescent="0.2">
      <c r="B52" s="173"/>
      <c r="C52" s="283"/>
      <c r="D52" s="312"/>
      <c r="E52" s="313"/>
      <c r="F52" s="313"/>
      <c r="G52" s="313"/>
      <c r="H52" s="313"/>
      <c r="I52" s="313"/>
      <c r="J52" s="313"/>
      <c r="K52" s="313"/>
      <c r="L52" s="313"/>
      <c r="M52" s="313"/>
      <c r="N52" s="313"/>
      <c r="O52" s="313"/>
      <c r="P52" s="353"/>
      <c r="R52" s="314"/>
      <c r="S52" s="315"/>
      <c r="T52" s="315"/>
      <c r="U52" s="315"/>
      <c r="V52" s="315"/>
      <c r="W52" s="315"/>
      <c r="X52" s="315"/>
      <c r="Y52" s="315"/>
      <c r="Z52" s="315"/>
      <c r="AA52" s="315"/>
      <c r="AB52" s="315"/>
      <c r="AC52" s="315"/>
      <c r="AD52" s="316"/>
      <c r="AF52" s="266">
        <f t="shared" si="12"/>
        <v>0</v>
      </c>
      <c r="AG52" s="267">
        <f t="shared" si="24"/>
        <v>0</v>
      </c>
      <c r="AH52" s="267">
        <f t="shared" si="24"/>
        <v>0</v>
      </c>
      <c r="AI52" s="267">
        <f t="shared" si="24"/>
        <v>0</v>
      </c>
      <c r="AJ52" s="267">
        <f t="shared" si="14"/>
        <v>0</v>
      </c>
      <c r="AK52" s="267">
        <f t="shared" si="15"/>
        <v>0</v>
      </c>
      <c r="AL52" s="267">
        <f t="shared" si="16"/>
        <v>0</v>
      </c>
      <c r="AM52" s="267">
        <f t="shared" si="17"/>
        <v>0</v>
      </c>
      <c r="AN52" s="267">
        <f t="shared" si="18"/>
        <v>0</v>
      </c>
      <c r="AO52" s="267">
        <f t="shared" si="19"/>
        <v>0</v>
      </c>
      <c r="AP52" s="267">
        <f t="shared" si="20"/>
        <v>0</v>
      </c>
      <c r="AQ52" s="267">
        <f t="shared" si="21"/>
        <v>0</v>
      </c>
      <c r="AR52" s="267">
        <f t="shared" si="22"/>
        <v>0</v>
      </c>
      <c r="AS52" s="182">
        <f t="shared" si="23"/>
        <v>0</v>
      </c>
    </row>
    <row r="53" spans="2:45" s="170" customFormat="1" x14ac:dyDescent="0.2">
      <c r="B53" s="173"/>
      <c r="C53" s="283"/>
      <c r="D53" s="312"/>
      <c r="E53" s="313"/>
      <c r="F53" s="313"/>
      <c r="G53" s="313"/>
      <c r="H53" s="313"/>
      <c r="I53" s="313"/>
      <c r="J53" s="184"/>
      <c r="K53" s="313"/>
      <c r="L53" s="184"/>
      <c r="M53" s="313"/>
      <c r="N53" s="313"/>
      <c r="O53" s="184"/>
      <c r="P53" s="185"/>
      <c r="R53" s="314"/>
      <c r="S53" s="315"/>
      <c r="T53" s="315"/>
      <c r="U53" s="315"/>
      <c r="V53" s="315"/>
      <c r="W53" s="315"/>
      <c r="X53" s="315"/>
      <c r="Y53" s="315"/>
      <c r="Z53" s="315"/>
      <c r="AA53" s="315"/>
      <c r="AB53" s="315"/>
      <c r="AC53" s="315"/>
      <c r="AD53" s="316"/>
      <c r="AF53" s="266">
        <f t="shared" si="12"/>
        <v>0</v>
      </c>
      <c r="AG53" s="267">
        <f t="shared" si="24"/>
        <v>0</v>
      </c>
      <c r="AH53" s="267">
        <f t="shared" si="24"/>
        <v>0</v>
      </c>
      <c r="AI53" s="267">
        <f t="shared" si="24"/>
        <v>0</v>
      </c>
      <c r="AJ53" s="267">
        <f t="shared" si="14"/>
        <v>0</v>
      </c>
      <c r="AK53" s="267">
        <f t="shared" si="15"/>
        <v>0</v>
      </c>
      <c r="AL53" s="267">
        <f t="shared" si="16"/>
        <v>0</v>
      </c>
      <c r="AM53" s="267">
        <f t="shared" si="17"/>
        <v>0</v>
      </c>
      <c r="AN53" s="267">
        <f t="shared" si="18"/>
        <v>0</v>
      </c>
      <c r="AO53" s="267">
        <f t="shared" si="19"/>
        <v>0</v>
      </c>
      <c r="AP53" s="267">
        <f t="shared" si="20"/>
        <v>0</v>
      </c>
      <c r="AQ53" s="267">
        <f t="shared" si="21"/>
        <v>0</v>
      </c>
      <c r="AR53" s="267">
        <f t="shared" si="22"/>
        <v>0</v>
      </c>
      <c r="AS53" s="182">
        <f t="shared" si="23"/>
        <v>0</v>
      </c>
    </row>
    <row r="54" spans="2:45" s="170" customFormat="1" x14ac:dyDescent="0.2">
      <c r="B54" s="173"/>
      <c r="C54" s="283"/>
      <c r="D54" s="312"/>
      <c r="E54" s="313"/>
      <c r="F54" s="313"/>
      <c r="G54" s="313"/>
      <c r="H54" s="313"/>
      <c r="I54" s="313"/>
      <c r="J54" s="184"/>
      <c r="K54" s="313"/>
      <c r="L54" s="184"/>
      <c r="M54" s="313"/>
      <c r="N54" s="313"/>
      <c r="O54" s="184"/>
      <c r="P54" s="185"/>
      <c r="R54" s="314"/>
      <c r="S54" s="315"/>
      <c r="T54" s="315"/>
      <c r="U54" s="315"/>
      <c r="V54" s="315"/>
      <c r="W54" s="315"/>
      <c r="X54" s="315"/>
      <c r="Y54" s="315"/>
      <c r="Z54" s="315"/>
      <c r="AA54" s="315"/>
      <c r="AB54" s="315"/>
      <c r="AC54" s="315"/>
      <c r="AD54" s="316"/>
      <c r="AF54" s="266">
        <f t="shared" si="12"/>
        <v>0</v>
      </c>
      <c r="AG54" s="267">
        <f t="shared" si="24"/>
        <v>0</v>
      </c>
      <c r="AH54" s="267">
        <f t="shared" si="24"/>
        <v>0</v>
      </c>
      <c r="AI54" s="267">
        <f t="shared" si="24"/>
        <v>0</v>
      </c>
      <c r="AJ54" s="267">
        <f t="shared" si="14"/>
        <v>0</v>
      </c>
      <c r="AK54" s="267">
        <f t="shared" si="15"/>
        <v>0</v>
      </c>
      <c r="AL54" s="267">
        <f t="shared" si="16"/>
        <v>0</v>
      </c>
      <c r="AM54" s="267">
        <f t="shared" si="17"/>
        <v>0</v>
      </c>
      <c r="AN54" s="267">
        <f t="shared" si="18"/>
        <v>0</v>
      </c>
      <c r="AO54" s="267">
        <f t="shared" si="19"/>
        <v>0</v>
      </c>
      <c r="AP54" s="267">
        <f t="shared" si="20"/>
        <v>0</v>
      </c>
      <c r="AQ54" s="267">
        <f t="shared" si="21"/>
        <v>0</v>
      </c>
      <c r="AR54" s="267">
        <f t="shared" si="22"/>
        <v>0</v>
      </c>
      <c r="AS54" s="182">
        <f t="shared" si="23"/>
        <v>0</v>
      </c>
    </row>
    <row r="55" spans="2:45" s="170" customFormat="1" x14ac:dyDescent="0.2">
      <c r="B55" s="173"/>
      <c r="C55" s="283"/>
      <c r="D55" s="287"/>
      <c r="E55" s="288"/>
      <c r="F55" s="288"/>
      <c r="G55" s="288"/>
      <c r="H55" s="288"/>
      <c r="I55" s="288"/>
      <c r="J55" s="288"/>
      <c r="K55" s="288"/>
      <c r="L55" s="288"/>
      <c r="M55" s="288"/>
      <c r="N55" s="288"/>
      <c r="O55" s="288"/>
      <c r="P55" s="289"/>
      <c r="R55" s="314"/>
      <c r="S55" s="315"/>
      <c r="T55" s="315"/>
      <c r="U55" s="315"/>
      <c r="V55" s="315"/>
      <c r="W55" s="315"/>
      <c r="X55" s="315"/>
      <c r="Y55" s="315"/>
      <c r="Z55" s="315"/>
      <c r="AA55" s="315"/>
      <c r="AB55" s="315"/>
      <c r="AC55" s="315"/>
      <c r="AD55" s="316"/>
      <c r="AF55" s="266">
        <f t="shared" si="12"/>
        <v>0</v>
      </c>
      <c r="AG55" s="267">
        <f t="shared" si="24"/>
        <v>0</v>
      </c>
      <c r="AH55" s="267">
        <f t="shared" si="24"/>
        <v>0</v>
      </c>
      <c r="AI55" s="267">
        <f t="shared" si="24"/>
        <v>0</v>
      </c>
      <c r="AJ55" s="267">
        <f t="shared" si="14"/>
        <v>0</v>
      </c>
      <c r="AK55" s="267">
        <f t="shared" si="15"/>
        <v>0</v>
      </c>
      <c r="AL55" s="267">
        <f t="shared" si="16"/>
        <v>0</v>
      </c>
      <c r="AM55" s="267">
        <f t="shared" si="17"/>
        <v>0</v>
      </c>
      <c r="AN55" s="267">
        <f t="shared" si="18"/>
        <v>0</v>
      </c>
      <c r="AO55" s="267">
        <f t="shared" si="19"/>
        <v>0</v>
      </c>
      <c r="AP55" s="267">
        <f t="shared" si="20"/>
        <v>0</v>
      </c>
      <c r="AQ55" s="267">
        <f t="shared" si="21"/>
        <v>0</v>
      </c>
      <c r="AR55" s="267">
        <f t="shared" si="22"/>
        <v>0</v>
      </c>
      <c r="AS55" s="182">
        <f t="shared" si="23"/>
        <v>0</v>
      </c>
    </row>
    <row r="56" spans="2:45" s="170" customFormat="1" x14ac:dyDescent="0.2">
      <c r="B56" s="173"/>
      <c r="C56" s="283"/>
      <c r="D56" s="287"/>
      <c r="E56" s="288"/>
      <c r="F56" s="288"/>
      <c r="G56" s="288"/>
      <c r="H56" s="288"/>
      <c r="I56" s="288"/>
      <c r="J56" s="288"/>
      <c r="K56" s="288"/>
      <c r="L56" s="288"/>
      <c r="M56" s="288"/>
      <c r="N56" s="288"/>
      <c r="O56" s="288"/>
      <c r="P56" s="289"/>
      <c r="R56" s="314"/>
      <c r="S56" s="315"/>
      <c r="T56" s="315"/>
      <c r="U56" s="315"/>
      <c r="V56" s="315"/>
      <c r="W56" s="315"/>
      <c r="X56" s="315"/>
      <c r="Y56" s="315"/>
      <c r="Z56" s="315"/>
      <c r="AA56" s="315"/>
      <c r="AB56" s="315"/>
      <c r="AC56" s="315"/>
      <c r="AD56" s="316"/>
      <c r="AF56" s="266">
        <f t="shared" si="12"/>
        <v>0</v>
      </c>
      <c r="AG56" s="267">
        <f t="shared" si="24"/>
        <v>0</v>
      </c>
      <c r="AH56" s="267">
        <f t="shared" si="24"/>
        <v>0</v>
      </c>
      <c r="AI56" s="267">
        <f t="shared" si="24"/>
        <v>0</v>
      </c>
      <c r="AJ56" s="267">
        <f t="shared" si="14"/>
        <v>0</v>
      </c>
      <c r="AK56" s="267">
        <f t="shared" si="15"/>
        <v>0</v>
      </c>
      <c r="AL56" s="267">
        <f t="shared" si="16"/>
        <v>0</v>
      </c>
      <c r="AM56" s="267">
        <f t="shared" si="17"/>
        <v>0</v>
      </c>
      <c r="AN56" s="267">
        <f t="shared" si="18"/>
        <v>0</v>
      </c>
      <c r="AO56" s="267">
        <f t="shared" si="19"/>
        <v>0</v>
      </c>
      <c r="AP56" s="267">
        <f t="shared" si="20"/>
        <v>0</v>
      </c>
      <c r="AQ56" s="267">
        <f t="shared" si="21"/>
        <v>0</v>
      </c>
      <c r="AR56" s="267">
        <f t="shared" si="22"/>
        <v>0</v>
      </c>
      <c r="AS56" s="182">
        <f t="shared" si="23"/>
        <v>0</v>
      </c>
    </row>
    <row r="57" spans="2:45" s="170" customFormat="1" x14ac:dyDescent="0.2">
      <c r="B57" s="173"/>
      <c r="C57" s="283"/>
      <c r="D57" s="287"/>
      <c r="E57" s="288"/>
      <c r="F57" s="288"/>
      <c r="G57" s="288"/>
      <c r="H57" s="288"/>
      <c r="I57" s="288"/>
      <c r="J57" s="288"/>
      <c r="K57" s="288"/>
      <c r="L57" s="288"/>
      <c r="M57" s="288"/>
      <c r="N57" s="288"/>
      <c r="O57" s="288"/>
      <c r="P57" s="289"/>
      <c r="R57" s="314"/>
      <c r="S57" s="315"/>
      <c r="T57" s="315"/>
      <c r="U57" s="315"/>
      <c r="V57" s="315"/>
      <c r="W57" s="315"/>
      <c r="X57" s="315"/>
      <c r="Y57" s="315"/>
      <c r="Z57" s="315"/>
      <c r="AA57" s="315"/>
      <c r="AB57" s="315"/>
      <c r="AC57" s="315"/>
      <c r="AD57" s="316"/>
      <c r="AF57" s="266">
        <f t="shared" si="12"/>
        <v>0</v>
      </c>
      <c r="AG57" s="267">
        <f t="shared" si="24"/>
        <v>0</v>
      </c>
      <c r="AH57" s="267">
        <f t="shared" si="24"/>
        <v>0</v>
      </c>
      <c r="AI57" s="267">
        <f t="shared" si="24"/>
        <v>0</v>
      </c>
      <c r="AJ57" s="267">
        <f t="shared" si="14"/>
        <v>0</v>
      </c>
      <c r="AK57" s="267">
        <f t="shared" si="15"/>
        <v>0</v>
      </c>
      <c r="AL57" s="267">
        <f t="shared" si="16"/>
        <v>0</v>
      </c>
      <c r="AM57" s="267">
        <f t="shared" si="17"/>
        <v>0</v>
      </c>
      <c r="AN57" s="267">
        <f t="shared" si="18"/>
        <v>0</v>
      </c>
      <c r="AO57" s="267">
        <f t="shared" si="19"/>
        <v>0</v>
      </c>
      <c r="AP57" s="267">
        <f t="shared" si="20"/>
        <v>0</v>
      </c>
      <c r="AQ57" s="267">
        <f t="shared" si="21"/>
        <v>0</v>
      </c>
      <c r="AR57" s="267">
        <f t="shared" si="22"/>
        <v>0</v>
      </c>
      <c r="AS57" s="182">
        <f t="shared" si="23"/>
        <v>0</v>
      </c>
    </row>
    <row r="58" spans="2:45" s="170" customFormat="1" x14ac:dyDescent="0.2">
      <c r="B58" s="173"/>
      <c r="C58" s="283"/>
      <c r="D58" s="287"/>
      <c r="E58" s="288"/>
      <c r="F58" s="288"/>
      <c r="G58" s="288"/>
      <c r="H58" s="288"/>
      <c r="I58" s="288"/>
      <c r="J58" s="288"/>
      <c r="K58" s="288"/>
      <c r="L58" s="288"/>
      <c r="M58" s="288"/>
      <c r="N58" s="288"/>
      <c r="O58" s="288"/>
      <c r="P58" s="289"/>
      <c r="R58" s="314"/>
      <c r="S58" s="315"/>
      <c r="T58" s="315"/>
      <c r="U58" s="315"/>
      <c r="V58" s="315"/>
      <c r="W58" s="315"/>
      <c r="X58" s="315"/>
      <c r="Y58" s="315"/>
      <c r="Z58" s="315"/>
      <c r="AA58" s="315"/>
      <c r="AB58" s="315"/>
      <c r="AC58" s="315"/>
      <c r="AD58" s="316"/>
      <c r="AF58" s="266">
        <f t="shared" si="12"/>
        <v>0</v>
      </c>
      <c r="AG58" s="267">
        <f t="shared" si="24"/>
        <v>0</v>
      </c>
      <c r="AH58" s="267">
        <f t="shared" si="24"/>
        <v>0</v>
      </c>
      <c r="AI58" s="267">
        <f t="shared" si="24"/>
        <v>0</v>
      </c>
      <c r="AJ58" s="267">
        <f t="shared" si="14"/>
        <v>0</v>
      </c>
      <c r="AK58" s="267">
        <f t="shared" si="15"/>
        <v>0</v>
      </c>
      <c r="AL58" s="267">
        <f t="shared" si="16"/>
        <v>0</v>
      </c>
      <c r="AM58" s="267">
        <f t="shared" si="17"/>
        <v>0</v>
      </c>
      <c r="AN58" s="267">
        <f t="shared" si="18"/>
        <v>0</v>
      </c>
      <c r="AO58" s="267">
        <f t="shared" si="19"/>
        <v>0</v>
      </c>
      <c r="AP58" s="267">
        <f t="shared" si="20"/>
        <v>0</v>
      </c>
      <c r="AQ58" s="267">
        <f t="shared" si="21"/>
        <v>0</v>
      </c>
      <c r="AR58" s="267">
        <f t="shared" si="22"/>
        <v>0</v>
      </c>
      <c r="AS58" s="182">
        <f t="shared" si="23"/>
        <v>0</v>
      </c>
    </row>
    <row r="59" spans="2:45" s="170" customFormat="1" x14ac:dyDescent="0.2">
      <c r="B59" s="173"/>
      <c r="C59" s="283"/>
      <c r="D59" s="287"/>
      <c r="E59" s="288"/>
      <c r="F59" s="288"/>
      <c r="G59" s="288"/>
      <c r="H59" s="288"/>
      <c r="I59" s="288"/>
      <c r="J59" s="288"/>
      <c r="K59" s="288"/>
      <c r="L59" s="288"/>
      <c r="M59" s="288"/>
      <c r="N59" s="288"/>
      <c r="O59" s="288"/>
      <c r="P59" s="289"/>
      <c r="R59" s="314"/>
      <c r="S59" s="315"/>
      <c r="T59" s="315"/>
      <c r="U59" s="315"/>
      <c r="V59" s="315"/>
      <c r="W59" s="315"/>
      <c r="X59" s="315"/>
      <c r="Y59" s="315"/>
      <c r="Z59" s="315"/>
      <c r="AA59" s="315"/>
      <c r="AB59" s="315"/>
      <c r="AC59" s="315"/>
      <c r="AD59" s="316"/>
      <c r="AF59" s="266">
        <f t="shared" si="12"/>
        <v>0</v>
      </c>
      <c r="AG59" s="267">
        <f t="shared" si="24"/>
        <v>0</v>
      </c>
      <c r="AH59" s="267">
        <f t="shared" si="24"/>
        <v>0</v>
      </c>
      <c r="AI59" s="267">
        <f t="shared" si="24"/>
        <v>0</v>
      </c>
      <c r="AJ59" s="267">
        <f t="shared" si="14"/>
        <v>0</v>
      </c>
      <c r="AK59" s="267">
        <f t="shared" si="15"/>
        <v>0</v>
      </c>
      <c r="AL59" s="267">
        <f t="shared" si="16"/>
        <v>0</v>
      </c>
      <c r="AM59" s="267">
        <f t="shared" si="17"/>
        <v>0</v>
      </c>
      <c r="AN59" s="267">
        <f t="shared" si="18"/>
        <v>0</v>
      </c>
      <c r="AO59" s="267">
        <f t="shared" si="19"/>
        <v>0</v>
      </c>
      <c r="AP59" s="267">
        <f t="shared" si="20"/>
        <v>0</v>
      </c>
      <c r="AQ59" s="267">
        <f t="shared" si="21"/>
        <v>0</v>
      </c>
      <c r="AR59" s="267">
        <f t="shared" si="22"/>
        <v>0</v>
      </c>
      <c r="AS59" s="182">
        <f t="shared" si="23"/>
        <v>0</v>
      </c>
    </row>
    <row r="60" spans="2:45" s="170" customFormat="1" x14ac:dyDescent="0.2">
      <c r="B60" s="173"/>
      <c r="C60" s="283"/>
      <c r="D60" s="287"/>
      <c r="E60" s="288"/>
      <c r="F60" s="288"/>
      <c r="G60" s="288"/>
      <c r="H60" s="288"/>
      <c r="I60" s="288"/>
      <c r="J60" s="288"/>
      <c r="K60" s="288"/>
      <c r="L60" s="288"/>
      <c r="M60" s="288"/>
      <c r="N60" s="288"/>
      <c r="O60" s="288"/>
      <c r="P60" s="289"/>
      <c r="R60" s="314"/>
      <c r="S60" s="315"/>
      <c r="T60" s="315"/>
      <c r="U60" s="315"/>
      <c r="V60" s="315"/>
      <c r="W60" s="315"/>
      <c r="X60" s="315"/>
      <c r="Y60" s="315"/>
      <c r="Z60" s="315"/>
      <c r="AA60" s="315"/>
      <c r="AB60" s="315"/>
      <c r="AC60" s="315"/>
      <c r="AD60" s="316"/>
      <c r="AF60" s="266">
        <f t="shared" si="12"/>
        <v>0</v>
      </c>
      <c r="AG60" s="267">
        <f t="shared" si="24"/>
        <v>0</v>
      </c>
      <c r="AH60" s="267">
        <f t="shared" si="24"/>
        <v>0</v>
      </c>
      <c r="AI60" s="267">
        <f t="shared" si="24"/>
        <v>0</v>
      </c>
      <c r="AJ60" s="267">
        <f t="shared" si="14"/>
        <v>0</v>
      </c>
      <c r="AK60" s="267">
        <f t="shared" si="15"/>
        <v>0</v>
      </c>
      <c r="AL60" s="267">
        <f t="shared" si="16"/>
        <v>0</v>
      </c>
      <c r="AM60" s="267">
        <f t="shared" si="17"/>
        <v>0</v>
      </c>
      <c r="AN60" s="267">
        <f t="shared" si="18"/>
        <v>0</v>
      </c>
      <c r="AO60" s="267">
        <f t="shared" si="19"/>
        <v>0</v>
      </c>
      <c r="AP60" s="267">
        <f t="shared" si="20"/>
        <v>0</v>
      </c>
      <c r="AQ60" s="267">
        <f t="shared" si="21"/>
        <v>0</v>
      </c>
      <c r="AR60" s="267">
        <f t="shared" si="22"/>
        <v>0</v>
      </c>
      <c r="AS60" s="182">
        <f t="shared" si="23"/>
        <v>0</v>
      </c>
    </row>
    <row r="61" spans="2:45" s="170" customFormat="1" x14ac:dyDescent="0.2">
      <c r="B61" s="173"/>
      <c r="C61" s="283"/>
      <c r="D61" s="287"/>
      <c r="E61" s="288"/>
      <c r="F61" s="288"/>
      <c r="G61" s="288"/>
      <c r="H61" s="288"/>
      <c r="I61" s="288"/>
      <c r="J61" s="288"/>
      <c r="K61" s="288"/>
      <c r="L61" s="288"/>
      <c r="M61" s="288"/>
      <c r="N61" s="288"/>
      <c r="O61" s="288"/>
      <c r="P61" s="289"/>
      <c r="R61" s="314"/>
      <c r="S61" s="315"/>
      <c r="T61" s="315"/>
      <c r="U61" s="315"/>
      <c r="V61" s="315"/>
      <c r="W61" s="315"/>
      <c r="X61" s="315"/>
      <c r="Y61" s="315"/>
      <c r="Z61" s="315"/>
      <c r="AA61" s="315"/>
      <c r="AB61" s="315"/>
      <c r="AC61" s="315"/>
      <c r="AD61" s="316"/>
      <c r="AF61" s="266">
        <f t="shared" si="12"/>
        <v>0</v>
      </c>
      <c r="AG61" s="267">
        <f t="shared" si="24"/>
        <v>0</v>
      </c>
      <c r="AH61" s="267">
        <f t="shared" si="24"/>
        <v>0</v>
      </c>
      <c r="AI61" s="267">
        <f t="shared" si="24"/>
        <v>0</v>
      </c>
      <c r="AJ61" s="267">
        <f t="shared" si="14"/>
        <v>0</v>
      </c>
      <c r="AK61" s="267">
        <f t="shared" si="15"/>
        <v>0</v>
      </c>
      <c r="AL61" s="267">
        <f t="shared" si="16"/>
        <v>0</v>
      </c>
      <c r="AM61" s="267">
        <f t="shared" si="17"/>
        <v>0</v>
      </c>
      <c r="AN61" s="267">
        <f t="shared" si="18"/>
        <v>0</v>
      </c>
      <c r="AO61" s="267">
        <f t="shared" si="19"/>
        <v>0</v>
      </c>
      <c r="AP61" s="267">
        <f t="shared" si="20"/>
        <v>0</v>
      </c>
      <c r="AQ61" s="267">
        <f t="shared" si="21"/>
        <v>0</v>
      </c>
      <c r="AR61" s="267">
        <f t="shared" si="22"/>
        <v>0</v>
      </c>
      <c r="AS61" s="182">
        <f t="shared" si="23"/>
        <v>0</v>
      </c>
    </row>
    <row r="62" spans="2:45" s="170" customFormat="1" x14ac:dyDescent="0.2">
      <c r="B62" s="173"/>
      <c r="C62" s="283"/>
      <c r="D62" s="287"/>
      <c r="E62" s="288"/>
      <c r="F62" s="288"/>
      <c r="G62" s="288"/>
      <c r="H62" s="288"/>
      <c r="I62" s="288"/>
      <c r="J62" s="288"/>
      <c r="K62" s="288"/>
      <c r="L62" s="288"/>
      <c r="M62" s="288"/>
      <c r="N62" s="288"/>
      <c r="O62" s="288"/>
      <c r="P62" s="289"/>
      <c r="R62" s="314"/>
      <c r="S62" s="315"/>
      <c r="T62" s="315"/>
      <c r="U62" s="315"/>
      <c r="V62" s="315"/>
      <c r="W62" s="315"/>
      <c r="X62" s="315"/>
      <c r="Y62" s="315"/>
      <c r="Z62" s="315"/>
      <c r="AA62" s="315"/>
      <c r="AB62" s="315"/>
      <c r="AC62" s="315"/>
      <c r="AD62" s="316"/>
      <c r="AF62" s="266">
        <f t="shared" si="12"/>
        <v>0</v>
      </c>
      <c r="AG62" s="267">
        <f t="shared" si="24"/>
        <v>0</v>
      </c>
      <c r="AH62" s="267">
        <f t="shared" si="24"/>
        <v>0</v>
      </c>
      <c r="AI62" s="267">
        <f t="shared" si="24"/>
        <v>0</v>
      </c>
      <c r="AJ62" s="267">
        <f t="shared" si="14"/>
        <v>0</v>
      </c>
      <c r="AK62" s="267">
        <f t="shared" si="15"/>
        <v>0</v>
      </c>
      <c r="AL62" s="267">
        <f t="shared" si="16"/>
        <v>0</v>
      </c>
      <c r="AM62" s="267">
        <f t="shared" si="17"/>
        <v>0</v>
      </c>
      <c r="AN62" s="267">
        <f t="shared" si="18"/>
        <v>0</v>
      </c>
      <c r="AO62" s="267">
        <f t="shared" si="19"/>
        <v>0</v>
      </c>
      <c r="AP62" s="267">
        <f t="shared" si="20"/>
        <v>0</v>
      </c>
      <c r="AQ62" s="267">
        <f t="shared" si="21"/>
        <v>0</v>
      </c>
      <c r="AR62" s="267">
        <f t="shared" si="22"/>
        <v>0</v>
      </c>
      <c r="AS62" s="182">
        <f t="shared" si="23"/>
        <v>0</v>
      </c>
    </row>
    <row r="63" spans="2:45" s="170" customFormat="1" x14ac:dyDescent="0.2">
      <c r="B63" s="173"/>
      <c r="C63" s="283"/>
      <c r="D63" s="287"/>
      <c r="E63" s="288"/>
      <c r="F63" s="288"/>
      <c r="G63" s="288"/>
      <c r="H63" s="288"/>
      <c r="I63" s="288"/>
      <c r="J63" s="288"/>
      <c r="K63" s="288"/>
      <c r="L63" s="288"/>
      <c r="M63" s="288"/>
      <c r="N63" s="288"/>
      <c r="O63" s="288"/>
      <c r="P63" s="289"/>
      <c r="R63" s="314"/>
      <c r="S63" s="315"/>
      <c r="T63" s="315"/>
      <c r="U63" s="315"/>
      <c r="V63" s="315"/>
      <c r="W63" s="315"/>
      <c r="X63" s="315"/>
      <c r="Y63" s="315"/>
      <c r="Z63" s="315"/>
      <c r="AA63" s="315"/>
      <c r="AB63" s="315"/>
      <c r="AC63" s="315"/>
      <c r="AD63" s="316"/>
      <c r="AF63" s="266">
        <f t="shared" si="12"/>
        <v>0</v>
      </c>
      <c r="AG63" s="267">
        <f t="shared" si="24"/>
        <v>0</v>
      </c>
      <c r="AH63" s="267">
        <f t="shared" si="24"/>
        <v>0</v>
      </c>
      <c r="AI63" s="267">
        <f t="shared" si="24"/>
        <v>0</v>
      </c>
      <c r="AJ63" s="267">
        <f t="shared" si="14"/>
        <v>0</v>
      </c>
      <c r="AK63" s="267">
        <f t="shared" si="15"/>
        <v>0</v>
      </c>
      <c r="AL63" s="267">
        <f t="shared" si="16"/>
        <v>0</v>
      </c>
      <c r="AM63" s="267">
        <f t="shared" si="17"/>
        <v>0</v>
      </c>
      <c r="AN63" s="267">
        <f t="shared" si="18"/>
        <v>0</v>
      </c>
      <c r="AO63" s="267">
        <f t="shared" si="19"/>
        <v>0</v>
      </c>
      <c r="AP63" s="267">
        <f t="shared" si="20"/>
        <v>0</v>
      </c>
      <c r="AQ63" s="267">
        <f t="shared" si="21"/>
        <v>0</v>
      </c>
      <c r="AR63" s="267">
        <f t="shared" si="22"/>
        <v>0</v>
      </c>
      <c r="AS63" s="182">
        <f t="shared" si="23"/>
        <v>0</v>
      </c>
    </row>
    <row r="64" spans="2:45" s="170" customFormat="1" x14ac:dyDescent="0.2">
      <c r="B64" s="173"/>
      <c r="C64" s="283"/>
      <c r="D64" s="287"/>
      <c r="E64" s="288"/>
      <c r="F64" s="288"/>
      <c r="G64" s="288"/>
      <c r="H64" s="288"/>
      <c r="I64" s="288"/>
      <c r="J64" s="288"/>
      <c r="K64" s="288"/>
      <c r="L64" s="288"/>
      <c r="M64" s="288"/>
      <c r="N64" s="288"/>
      <c r="O64" s="288"/>
      <c r="P64" s="289"/>
      <c r="R64" s="314"/>
      <c r="S64" s="315"/>
      <c r="T64" s="315"/>
      <c r="U64" s="315"/>
      <c r="V64" s="315"/>
      <c r="W64" s="315"/>
      <c r="X64" s="315"/>
      <c r="Y64" s="315"/>
      <c r="Z64" s="315"/>
      <c r="AA64" s="315"/>
      <c r="AB64" s="315"/>
      <c r="AC64" s="315"/>
      <c r="AD64" s="316"/>
      <c r="AF64" s="266">
        <f t="shared" si="12"/>
        <v>0</v>
      </c>
      <c r="AG64" s="267">
        <f t="shared" si="24"/>
        <v>0</v>
      </c>
      <c r="AH64" s="267">
        <f t="shared" si="24"/>
        <v>0</v>
      </c>
      <c r="AI64" s="267">
        <f t="shared" si="24"/>
        <v>0</v>
      </c>
      <c r="AJ64" s="267">
        <f t="shared" si="14"/>
        <v>0</v>
      </c>
      <c r="AK64" s="267">
        <f t="shared" si="15"/>
        <v>0</v>
      </c>
      <c r="AL64" s="267">
        <f t="shared" si="16"/>
        <v>0</v>
      </c>
      <c r="AM64" s="267">
        <f t="shared" si="17"/>
        <v>0</v>
      </c>
      <c r="AN64" s="267">
        <f t="shared" si="18"/>
        <v>0</v>
      </c>
      <c r="AO64" s="267">
        <f t="shared" si="19"/>
        <v>0</v>
      </c>
      <c r="AP64" s="267">
        <f t="shared" si="20"/>
        <v>0</v>
      </c>
      <c r="AQ64" s="267">
        <f t="shared" si="21"/>
        <v>0</v>
      </c>
      <c r="AR64" s="267">
        <f t="shared" si="22"/>
        <v>0</v>
      </c>
      <c r="AS64" s="182">
        <f t="shared" si="23"/>
        <v>0</v>
      </c>
    </row>
    <row r="65" spans="2:45" s="170" customFormat="1" ht="13.5" thickBot="1" x14ac:dyDescent="0.25">
      <c r="B65" s="199"/>
      <c r="C65" s="290"/>
      <c r="D65" s="291"/>
      <c r="E65" s="292"/>
      <c r="F65" s="292"/>
      <c r="G65" s="292"/>
      <c r="H65" s="292"/>
      <c r="I65" s="292"/>
      <c r="J65" s="292"/>
      <c r="K65" s="292"/>
      <c r="L65" s="292"/>
      <c r="M65" s="292"/>
      <c r="N65" s="292"/>
      <c r="O65" s="292"/>
      <c r="P65" s="293"/>
      <c r="R65" s="357"/>
      <c r="S65" s="358"/>
      <c r="T65" s="358"/>
      <c r="U65" s="358"/>
      <c r="V65" s="358"/>
      <c r="W65" s="358"/>
      <c r="X65" s="358"/>
      <c r="Y65" s="358"/>
      <c r="Z65" s="358"/>
      <c r="AA65" s="358"/>
      <c r="AB65" s="358"/>
      <c r="AC65" s="358"/>
      <c r="AD65" s="359"/>
      <c r="AF65" s="274">
        <f t="shared" si="12"/>
        <v>0</v>
      </c>
      <c r="AG65" s="275">
        <f t="shared" si="24"/>
        <v>0</v>
      </c>
      <c r="AH65" s="275">
        <f t="shared" si="24"/>
        <v>0</v>
      </c>
      <c r="AI65" s="275">
        <f t="shared" si="24"/>
        <v>0</v>
      </c>
      <c r="AJ65" s="275">
        <f t="shared" si="14"/>
        <v>0</v>
      </c>
      <c r="AK65" s="275">
        <f t="shared" si="15"/>
        <v>0</v>
      </c>
      <c r="AL65" s="275">
        <f t="shared" si="16"/>
        <v>0</v>
      </c>
      <c r="AM65" s="275">
        <f t="shared" si="17"/>
        <v>0</v>
      </c>
      <c r="AN65" s="275">
        <f t="shared" si="18"/>
        <v>0</v>
      </c>
      <c r="AO65" s="275">
        <f t="shared" si="19"/>
        <v>0</v>
      </c>
      <c r="AP65" s="275">
        <f t="shared" si="20"/>
        <v>0</v>
      </c>
      <c r="AQ65" s="275">
        <f t="shared" si="21"/>
        <v>0</v>
      </c>
      <c r="AR65" s="275">
        <f t="shared" si="22"/>
        <v>0</v>
      </c>
      <c r="AS65" s="213">
        <f t="shared" si="23"/>
        <v>0</v>
      </c>
    </row>
    <row r="66" spans="2:45" ht="13.5" thickBot="1" x14ac:dyDescent="0.25">
      <c r="B66" s="101"/>
      <c r="C66" s="51"/>
      <c r="R66" s="102">
        <f t="shared" ref="R66:Z66" si="25">SUM(R6:R65)</f>
        <v>370982.67050395434</v>
      </c>
      <c r="S66" s="102">
        <f t="shared" si="25"/>
        <v>1290238441.6505878</v>
      </c>
      <c r="T66" s="102">
        <f t="shared" si="25"/>
        <v>2601072828.4805541</v>
      </c>
      <c r="U66" s="102">
        <f t="shared" si="25"/>
        <v>1862946692.4052012</v>
      </c>
      <c r="V66" s="102">
        <f t="shared" si="25"/>
        <v>1004682.6824851158</v>
      </c>
      <c r="W66" s="102">
        <f t="shared" si="25"/>
        <v>1220879.3350186595</v>
      </c>
      <c r="X66" s="102">
        <f t="shared" si="25"/>
        <v>2094935.6579853231</v>
      </c>
      <c r="Y66" s="102">
        <f t="shared" si="25"/>
        <v>275792.59768983157</v>
      </c>
      <c r="Z66" s="102">
        <f t="shared" si="25"/>
        <v>443006.61814874376</v>
      </c>
      <c r="AA66" s="102">
        <f t="shared" ref="AA66:AL66" si="26">SUM(AA6:AA65)</f>
        <v>375920.20484137774</v>
      </c>
      <c r="AB66" s="102">
        <f t="shared" si="26"/>
        <v>975665.06010090851</v>
      </c>
      <c r="AC66" s="102">
        <f t="shared" si="26"/>
        <v>1673557.8542890414</v>
      </c>
      <c r="AD66" s="102">
        <f t="shared" si="26"/>
        <v>1371448.0724610523</v>
      </c>
      <c r="AF66" s="102">
        <f t="shared" si="26"/>
        <v>59663960.441819608</v>
      </c>
      <c r="AG66" s="102">
        <f t="shared" si="26"/>
        <v>66339097.357380964</v>
      </c>
      <c r="AH66" s="102">
        <f t="shared" si="26"/>
        <v>78951842.331645131</v>
      </c>
      <c r="AI66" s="102">
        <f t="shared" si="26"/>
        <v>32984308.753112867</v>
      </c>
      <c r="AJ66" s="102">
        <f t="shared" si="26"/>
        <v>58546465.392981373</v>
      </c>
      <c r="AK66" s="102">
        <f t="shared" si="26"/>
        <v>11037689.836091725</v>
      </c>
      <c r="AL66" s="102">
        <f t="shared" si="26"/>
        <v>6529478.9088074155</v>
      </c>
      <c r="AM66" s="102">
        <f t="shared" ref="AM66:AS66" si="27">SUM(AM6:AM65)</f>
        <v>29597.881082912878</v>
      </c>
      <c r="AN66" s="102">
        <f t="shared" si="27"/>
        <v>31162.236771002554</v>
      </c>
      <c r="AO66" s="102">
        <f t="shared" si="27"/>
        <v>10570.718272444365</v>
      </c>
      <c r="AP66" s="102">
        <f t="shared" si="27"/>
        <v>104240.26251783108</v>
      </c>
      <c r="AQ66" s="102">
        <f t="shared" si="27"/>
        <v>117552.09453444589</v>
      </c>
      <c r="AR66" s="102">
        <f t="shared" si="27"/>
        <v>38377.414618447699</v>
      </c>
      <c r="AS66" s="102">
        <f t="shared" si="27"/>
        <v>314384343.62963617</v>
      </c>
    </row>
    <row r="67" spans="2:45" ht="13.5" thickTop="1" x14ac:dyDescent="0.2">
      <c r="B67" s="101"/>
      <c r="C67" s="51"/>
    </row>
    <row r="68" spans="2:45" x14ac:dyDescent="0.2">
      <c r="B68" s="101"/>
      <c r="C68" s="51"/>
      <c r="Z68" s="103"/>
      <c r="AS68" s="103"/>
    </row>
    <row r="69" spans="2:45" x14ac:dyDescent="0.2">
      <c r="B69" s="101"/>
      <c r="C69" s="51"/>
    </row>
    <row r="70" spans="2:45" x14ac:dyDescent="0.2">
      <c r="B70" s="101"/>
      <c r="C70" s="51"/>
    </row>
    <row r="71" spans="2:45" x14ac:dyDescent="0.2">
      <c r="B71" s="101"/>
      <c r="C71" s="51"/>
    </row>
    <row r="72" spans="2:45" x14ac:dyDescent="0.2">
      <c r="B72" s="101"/>
      <c r="C72" s="51"/>
    </row>
    <row r="73" spans="2:45" x14ac:dyDescent="0.2">
      <c r="B73" s="101"/>
      <c r="C73" s="51"/>
    </row>
    <row r="74" spans="2:45" x14ac:dyDescent="0.2">
      <c r="B74" s="101"/>
      <c r="C74" s="51"/>
    </row>
    <row r="75" spans="2:45" x14ac:dyDescent="0.2">
      <c r="B75" s="101"/>
      <c r="C75" s="51"/>
    </row>
    <row r="76" spans="2:45" x14ac:dyDescent="0.2">
      <c r="B76" s="101"/>
      <c r="C76" s="51"/>
    </row>
    <row r="77" spans="2:45" x14ac:dyDescent="0.2">
      <c r="B77" s="101"/>
      <c r="C77" s="51"/>
    </row>
    <row r="78" spans="2:45" x14ac:dyDescent="0.2">
      <c r="B78" s="101"/>
      <c r="C78" s="51"/>
    </row>
    <row r="79" spans="2:45" x14ac:dyDescent="0.2">
      <c r="B79" s="101"/>
      <c r="C79" s="51"/>
    </row>
    <row r="80" spans="2:45" x14ac:dyDescent="0.2">
      <c r="B80" s="101"/>
      <c r="C80" s="51"/>
    </row>
    <row r="81" spans="2:3" x14ac:dyDescent="0.2">
      <c r="B81" s="101"/>
      <c r="C81" s="51"/>
    </row>
    <row r="82" spans="2:3" x14ac:dyDescent="0.2">
      <c r="B82" s="101"/>
      <c r="C82" s="51"/>
    </row>
    <row r="83" spans="2:3" x14ac:dyDescent="0.2">
      <c r="B83" s="101"/>
      <c r="C83" s="51"/>
    </row>
    <row r="84" spans="2:3" x14ac:dyDescent="0.2">
      <c r="B84" s="101"/>
      <c r="C84" s="51"/>
    </row>
    <row r="85" spans="2:3" x14ac:dyDescent="0.2">
      <c r="B85" s="101"/>
      <c r="C85" s="51"/>
    </row>
    <row r="86" spans="2:3" x14ac:dyDescent="0.2">
      <c r="B86" s="101"/>
      <c r="C86" s="51"/>
    </row>
    <row r="87" spans="2:3" x14ac:dyDescent="0.2">
      <c r="B87" s="101"/>
      <c r="C87" s="51"/>
    </row>
    <row r="88" spans="2:3" x14ac:dyDescent="0.2">
      <c r="B88" s="101"/>
      <c r="C88" s="51"/>
    </row>
    <row r="89" spans="2:3" x14ac:dyDescent="0.2">
      <c r="B89" s="101"/>
      <c r="C89" s="51"/>
    </row>
    <row r="90" spans="2:3" x14ac:dyDescent="0.2">
      <c r="B90" s="101"/>
      <c r="C90" s="51"/>
    </row>
    <row r="91" spans="2:3" x14ac:dyDescent="0.2">
      <c r="B91" s="101"/>
      <c r="C91" s="51"/>
    </row>
    <row r="92" spans="2:3" x14ac:dyDescent="0.2">
      <c r="B92" s="101"/>
      <c r="C92" s="51"/>
    </row>
    <row r="93" spans="2:3" x14ac:dyDescent="0.2">
      <c r="B93" s="101"/>
      <c r="C93" s="51"/>
    </row>
    <row r="94" spans="2:3" x14ac:dyDescent="0.2">
      <c r="B94" s="101"/>
      <c r="C94" s="51"/>
    </row>
    <row r="95" spans="2:3" x14ac:dyDescent="0.2">
      <c r="B95" s="101"/>
      <c r="C95" s="51"/>
    </row>
    <row r="96" spans="2:3" x14ac:dyDescent="0.2">
      <c r="B96" s="101"/>
      <c r="C96" s="51"/>
    </row>
    <row r="97" spans="2:3" x14ac:dyDescent="0.2">
      <c r="B97" s="101"/>
      <c r="C97" s="51"/>
    </row>
    <row r="98" spans="2:3" x14ac:dyDescent="0.2">
      <c r="B98" s="101"/>
      <c r="C98" s="51"/>
    </row>
    <row r="99" spans="2:3" x14ac:dyDescent="0.2">
      <c r="B99" s="101"/>
      <c r="C99" s="51"/>
    </row>
    <row r="100" spans="2:3" x14ac:dyDescent="0.2">
      <c r="B100" s="101"/>
      <c r="C100" s="51"/>
    </row>
    <row r="101" spans="2:3" x14ac:dyDescent="0.2">
      <c r="B101" s="101"/>
      <c r="C101" s="51"/>
    </row>
    <row r="102" spans="2:3" x14ac:dyDescent="0.2">
      <c r="B102" s="101"/>
      <c r="C102" s="51"/>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5"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indexed="11"/>
    <pageSetUpPr autoPageBreaks="0"/>
  </sheetPr>
  <dimension ref="B1:AS105"/>
  <sheetViews>
    <sheetView zoomScale="80" zoomScaleNormal="80" workbookViewId="0">
      <pane xSplit="3" ySplit="5" topLeftCell="D6" activePane="bottomRight" state="frozen"/>
      <selection activeCell="B1" sqref="B1"/>
      <selection pane="topRight" activeCell="B1" sqref="B1"/>
      <selection pane="bottomLeft" activeCell="B1" sqref="B1"/>
      <selection pane="bottomRight" activeCell="L39" sqref="L39"/>
    </sheetView>
  </sheetViews>
  <sheetFormatPr defaultRowHeight="12.75" x14ac:dyDescent="0.2"/>
  <cols>
    <col min="1" max="1" width="1.85546875" style="72" customWidth="1"/>
    <col min="2" max="2" width="45" style="72" customWidth="1"/>
    <col min="3" max="3" width="2.85546875" style="72" customWidth="1"/>
    <col min="4" max="4" width="15.28515625" style="72" customWidth="1"/>
    <col min="5" max="6" width="10.5703125" style="72" bestFit="1" customWidth="1"/>
    <col min="7" max="7" width="18" style="72" customWidth="1"/>
    <col min="8" max="8" width="13.140625" style="72" customWidth="1"/>
    <col min="9" max="9" width="10.5703125" style="72" bestFit="1" customWidth="1"/>
    <col min="10" max="12" width="9.5703125" style="72" bestFit="1" customWidth="1"/>
    <col min="13" max="13" width="11.7109375" style="72" bestFit="1" customWidth="1"/>
    <col min="14" max="14" width="11.28515625" style="72" bestFit="1" customWidth="1"/>
    <col min="15" max="16" width="10.140625" style="72" bestFit="1" customWidth="1"/>
    <col min="17" max="17" width="1.85546875" style="72" customWidth="1"/>
    <col min="18" max="18" width="16.7109375" style="72" bestFit="1" customWidth="1"/>
    <col min="19" max="19" width="19.28515625" style="72" customWidth="1"/>
    <col min="20" max="20" width="13.140625" style="72" customWidth="1"/>
    <col min="21" max="22" width="14.85546875" style="72" bestFit="1" customWidth="1"/>
    <col min="23" max="23" width="16.140625" style="72" customWidth="1"/>
    <col min="24" max="24" width="14.7109375" style="72" customWidth="1"/>
    <col min="25" max="27" width="14.85546875" style="72" bestFit="1" customWidth="1"/>
    <col min="28" max="28" width="10" style="72" customWidth="1"/>
    <col min="29" max="29" width="14.85546875" style="72" bestFit="1" customWidth="1"/>
    <col min="30" max="30" width="14.85546875" style="72" customWidth="1"/>
    <col min="31" max="31" width="1.85546875" style="72" customWidth="1"/>
    <col min="32" max="32" width="14.28515625" style="72" customWidth="1"/>
    <col min="33" max="33" width="16.42578125" style="72" customWidth="1"/>
    <col min="34" max="34" width="16.28515625" style="72" customWidth="1"/>
    <col min="35" max="35" width="14.7109375" style="72" customWidth="1"/>
    <col min="36" max="36" width="13.5703125" style="72" bestFit="1" customWidth="1"/>
    <col min="37" max="37" width="14.28515625" style="72" customWidth="1"/>
    <col min="38" max="38" width="12.42578125" style="72" bestFit="1" customWidth="1"/>
    <col min="39" max="39" width="10.5703125" style="72" customWidth="1"/>
    <col min="40" max="40" width="10.85546875" style="72" customWidth="1"/>
    <col min="41" max="41" width="15.42578125" style="72" customWidth="1"/>
    <col min="42" max="42" width="12.42578125" style="72" bestFit="1" customWidth="1"/>
    <col min="43" max="44" width="9.85546875" style="72" bestFit="1" customWidth="1"/>
    <col min="45" max="45" width="12.42578125" style="72" bestFit="1" customWidth="1"/>
    <col min="46" max="16384" width="9.140625" style="72"/>
  </cols>
  <sheetData>
    <row r="1" spans="2:45" ht="15" x14ac:dyDescent="0.25">
      <c r="B1" s="50" t="str">
        <f>"Tariff Approval - "&amp;'Model update'!C3</f>
        <v>Tariff Approval - CitiPower</v>
      </c>
      <c r="C1" s="50"/>
      <c r="D1" s="350" t="str">
        <f>"Prop"&amp;'Model update'!$C$5&amp;"TransTar"</f>
        <v>Prop2021TransTar</v>
      </c>
      <c r="F1" s="227"/>
    </row>
    <row r="2" spans="2:45" x14ac:dyDescent="0.2">
      <c r="D2" s="227"/>
      <c r="F2" s="227"/>
    </row>
    <row r="3" spans="2:45" x14ac:dyDescent="0.2">
      <c r="B3" s="94" t="str">
        <f>"PROPOSED "&amp;'Model update'!$C$5&amp;" TRANSMISSION TARIFFS"</f>
        <v>PROPOSED 2021 TRANSMISSION TARIFFS</v>
      </c>
      <c r="C3" s="94"/>
    </row>
    <row r="4" spans="2:45" ht="13.5" thickBot="1" x14ac:dyDescent="0.25">
      <c r="D4" s="95" t="str">
        <f>"Proposed Transmission Tariffs (Pt) for "&amp;'Model update'!$C$5</f>
        <v>Proposed Transmission Tariffs (Pt) for 2021</v>
      </c>
      <c r="E4" s="96"/>
      <c r="F4" s="96"/>
      <c r="G4" s="96"/>
      <c r="H4" s="59"/>
      <c r="I4" s="59"/>
      <c r="R4" s="97" t="str">
        <f>"Forecast Quantities (Qt) for "&amp;'Model update'!$C$5</f>
        <v>Forecast Quantities (Qt) for 2021</v>
      </c>
      <c r="S4" s="97"/>
      <c r="T4" s="59"/>
      <c r="U4" s="59"/>
      <c r="AF4" s="95" t="str">
        <f>"Forecast Revenue (Pt "&amp;'Model update'!$C$5&amp;")*(Qt " &amp;'Model update'!$C$5&amp;")"</f>
        <v>Forecast Revenue (Pt 2021)*(Qt 2021)</v>
      </c>
      <c r="AG4" s="96"/>
      <c r="AH4" s="96"/>
      <c r="AI4" s="59"/>
    </row>
    <row r="5" spans="2:45" ht="38.25" x14ac:dyDescent="0.2">
      <c r="B5" s="98" t="s">
        <v>87</v>
      </c>
      <c r="C5" s="465"/>
      <c r="D5" s="99" t="str">
        <f>[1]Prop2020DistTar!D5</f>
        <v>PropTar
Fixed</v>
      </c>
      <c r="E5" s="462" t="str">
        <f>[1]Prop2020DistTar!E5</f>
        <v>PropTar
Anytime</v>
      </c>
      <c r="F5" s="462" t="str">
        <f>[1]Prop2020DistTar!F5</f>
        <v>PropTar
PkBlk</v>
      </c>
      <c r="G5" s="462" t="str">
        <f>[1]Prop2020DistTar!G5</f>
        <v>PropTar
OPkBlk1</v>
      </c>
      <c r="H5" s="462" t="str">
        <f>[1]Prop2020DistTar!H5</f>
        <v>PropTar
Dem kVA</v>
      </c>
      <c r="I5" s="462" t="str">
        <f>[1]Prop2020DistTar!I5</f>
        <v>PropTar
Dem kW Sum</v>
      </c>
      <c r="J5" s="462" t="str">
        <f>[1]Prop2020DistTar!J5</f>
        <v>PropTar
Dem kW Win</v>
      </c>
      <c r="K5" s="462" t="str">
        <f>[1]Prop2020DistTar!K5</f>
        <v>PropTar
SumBlk1</v>
      </c>
      <c r="L5" s="462" t="str">
        <f>[1]Prop2020DistTar!L5</f>
        <v>PropTar
SumBlk2</v>
      </c>
      <c r="M5" s="462" t="str">
        <f>[1]Prop2020DistTar!M5</f>
        <v>PropTar
SumBlk3</v>
      </c>
      <c r="N5" s="462" t="str">
        <f>[1]Prop2020DistTar!N5</f>
        <v>PropTar
WtrBlk1</v>
      </c>
      <c r="O5" s="462" t="str">
        <f>[1]Prop2020DistTar!O5</f>
        <v>PropTar
WtrBlk2</v>
      </c>
      <c r="P5" s="462" t="str">
        <f>[1]Prop2020DistTar!P5</f>
        <v>PropTar
WtrBlk3</v>
      </c>
      <c r="R5" s="462" t="str">
        <f>[1]Prop2020DistTar!AF5</f>
        <v>FcastVol
Fixed</v>
      </c>
      <c r="S5" s="462" t="str">
        <f>[1]Prop2020DistTar!AG5</f>
        <v>FcastVol
Anytime</v>
      </c>
      <c r="T5" s="462" t="str">
        <f>[1]Prop2020DistTar!AH5</f>
        <v>FcastVol
Pk</v>
      </c>
      <c r="U5" s="462" t="str">
        <f>[1]Prop2020DistTar!AI5</f>
        <v>FcastVol
Opk</v>
      </c>
      <c r="V5" s="462" t="str">
        <f>[1]Prop2020DistTar!AJ5</f>
        <v>FcastVol
Dem kVA</v>
      </c>
      <c r="W5" s="462" t="str">
        <f>[1]Prop2020DistTar!AK5</f>
        <v>FcastVol
Dem kW Sum</v>
      </c>
      <c r="X5" s="462" t="str">
        <f>[1]Prop2020DistTar!AL5</f>
        <v>FcastVol
Dem kW Win</v>
      </c>
      <c r="Y5" s="462" t="str">
        <f>[1]Prop2020DistTar!AM5</f>
        <v>FcastVol
SumBlk1</v>
      </c>
      <c r="Z5" s="462" t="str">
        <f>[1]Prop2020DistTar!AN5</f>
        <v>FcastVol
SumBlk2</v>
      </c>
      <c r="AA5" s="462" t="str">
        <f>[1]Prop2020DistTar!AO5</f>
        <v>FcastVol
SumBlk3</v>
      </c>
      <c r="AB5" s="462" t="str">
        <f>[1]Prop2020DistTar!AP5</f>
        <v>FcastVol
WtrBlk1</v>
      </c>
      <c r="AC5" s="462" t="str">
        <f>[1]Prop2020DistTar!AQ5</f>
        <v>FcastVol
WtrBlk2</v>
      </c>
      <c r="AD5" s="462" t="str">
        <f>[1]Prop2020DistTar!AR5</f>
        <v>FcastVol
WtrBlk3</v>
      </c>
      <c r="AF5" s="99" t="str">
        <f>[1]Prop2020DistTar!AT5</f>
        <v>PropRev
Fixed</v>
      </c>
      <c r="AG5" s="462" t="str">
        <f>[1]Prop2020DistTar!AU5</f>
        <v>PropRev
Anytime</v>
      </c>
      <c r="AH5" s="462" t="str">
        <f>[1]Prop2020DistTar!AV5</f>
        <v>PropRev
Pk</v>
      </c>
      <c r="AI5" s="462" t="str">
        <f>[1]Prop2020DistTar!AW5</f>
        <v>PropRev
Opk</v>
      </c>
      <c r="AJ5" s="462" t="str">
        <f>[1]Prop2020DistTar!AX5</f>
        <v>PropRev
Dem kVA</v>
      </c>
      <c r="AK5" s="462" t="str">
        <f>[1]Prop2020DistTar!AY5</f>
        <v>PropRev
Dem kW Sum</v>
      </c>
      <c r="AL5" s="462" t="str">
        <f>[1]Prop2020DistTar!AZ5</f>
        <v>PropRev
Dem kW Win</v>
      </c>
      <c r="AM5" s="462" t="str">
        <f>[1]Prop2020DistTar!BA5</f>
        <v>PropRev
SumBlk1</v>
      </c>
      <c r="AN5" s="462" t="str">
        <f>[1]Prop2020DistTar!BB5</f>
        <v>PropRev
SumBlk2</v>
      </c>
      <c r="AO5" s="462" t="str">
        <f>[1]Prop2020DistTar!BC5</f>
        <v>PropRev
SumBlk3</v>
      </c>
      <c r="AP5" s="462" t="str">
        <f>[1]Prop2020DistTar!BD5</f>
        <v>PropRev
WtrBlk1</v>
      </c>
      <c r="AQ5" s="462" t="str">
        <f>[1]Prop2020DistTar!BE5</f>
        <v>PropRev
WtrBlk2</v>
      </c>
      <c r="AR5" s="462" t="str">
        <f>[1]Prop2020DistTar!BF5</f>
        <v>PropRev
WtrBlk3</v>
      </c>
      <c r="AS5" s="462" t="s">
        <v>93</v>
      </c>
    </row>
    <row r="6" spans="2:45" s="170" customFormat="1" x14ac:dyDescent="0.2">
      <c r="B6" s="173" t="str">
        <f>Prop2021DistTar!B6</f>
        <v>Residential Single Rate</v>
      </c>
      <c r="C6" s="276"/>
      <c r="D6" s="319">
        <v>0</v>
      </c>
      <c r="E6" s="320">
        <v>2.21</v>
      </c>
      <c r="F6" s="320">
        <v>0</v>
      </c>
      <c r="G6" s="320">
        <v>0</v>
      </c>
      <c r="H6" s="320">
        <v>0</v>
      </c>
      <c r="I6" s="320">
        <v>0</v>
      </c>
      <c r="J6" s="320">
        <v>0</v>
      </c>
      <c r="K6" s="320">
        <v>0</v>
      </c>
      <c r="L6" s="320">
        <v>0</v>
      </c>
      <c r="M6" s="320">
        <v>0</v>
      </c>
      <c r="N6" s="320">
        <v>0</v>
      </c>
      <c r="O6" s="320">
        <v>0</v>
      </c>
      <c r="P6" s="321">
        <v>0</v>
      </c>
      <c r="Q6" s="297"/>
      <c r="R6" s="277">
        <f>Prop2021DistTar!AF6</f>
        <v>103689.16722222226</v>
      </c>
      <c r="S6" s="278">
        <f>Prop2021DistTar!AG6</f>
        <v>405167262.35580963</v>
      </c>
      <c r="T6" s="278">
        <f>Prop2021DistTar!AH6</f>
        <v>0</v>
      </c>
      <c r="U6" s="278">
        <f>Prop2021DistTar!AI6</f>
        <v>0</v>
      </c>
      <c r="V6" s="278">
        <f>Prop2021DistTar!AJ6</f>
        <v>0</v>
      </c>
      <c r="W6" s="278">
        <f>Prop2021DistTar!AK6</f>
        <v>0</v>
      </c>
      <c r="X6" s="278">
        <f>Prop2021DistTar!AL6</f>
        <v>0</v>
      </c>
      <c r="Y6" s="278">
        <f>Prop2021DistTar!AM6</f>
        <v>0</v>
      </c>
      <c r="Z6" s="278">
        <f>Prop2021DistTar!AN6</f>
        <v>0</v>
      </c>
      <c r="AA6" s="278">
        <f>Prop2021DistTar!AO6</f>
        <v>0</v>
      </c>
      <c r="AB6" s="278">
        <f>Prop2021DistTar!AP6</f>
        <v>0</v>
      </c>
      <c r="AC6" s="278">
        <f>Prop2021DistTar!AQ6</f>
        <v>0</v>
      </c>
      <c r="AD6" s="279">
        <f>Prop2021DistTar!AR6</f>
        <v>0</v>
      </c>
      <c r="AF6" s="280">
        <f t="shared" ref="AF6" si="0">D6*R6</f>
        <v>0</v>
      </c>
      <c r="AG6" s="281">
        <f t="shared" ref="AG6:AI6" si="1">E6/100*S6</f>
        <v>8954196.4980633929</v>
      </c>
      <c r="AH6" s="281">
        <f t="shared" si="1"/>
        <v>0</v>
      </c>
      <c r="AI6" s="281">
        <f t="shared" si="1"/>
        <v>0</v>
      </c>
      <c r="AJ6" s="281">
        <f t="shared" ref="AJ6:AL21" si="2">H6*V6</f>
        <v>0</v>
      </c>
      <c r="AK6" s="281">
        <f t="shared" si="2"/>
        <v>0</v>
      </c>
      <c r="AL6" s="281">
        <f t="shared" si="2"/>
        <v>0</v>
      </c>
      <c r="AM6" s="267">
        <f t="shared" ref="AM6:AR21" si="3">K6/100*Y6</f>
        <v>0</v>
      </c>
      <c r="AN6" s="267">
        <f t="shared" si="3"/>
        <v>0</v>
      </c>
      <c r="AO6" s="267">
        <f t="shared" si="3"/>
        <v>0</v>
      </c>
      <c r="AP6" s="267">
        <f t="shared" si="3"/>
        <v>0</v>
      </c>
      <c r="AQ6" s="267">
        <f t="shared" si="3"/>
        <v>0</v>
      </c>
      <c r="AR6" s="267">
        <f t="shared" si="3"/>
        <v>0</v>
      </c>
      <c r="AS6" s="282">
        <f t="shared" ref="AS6" si="4">SUM(AF6:AR6)</f>
        <v>8954196.4980633929</v>
      </c>
    </row>
    <row r="7" spans="2:45" s="170" customFormat="1" x14ac:dyDescent="0.2">
      <c r="B7" s="173" t="str">
        <f>Prop2021DistTar!B7</f>
        <v>Residential Single Rate - Bulk</v>
      </c>
      <c r="C7" s="283"/>
      <c r="D7" s="322">
        <v>0</v>
      </c>
      <c r="E7" s="323">
        <v>2.21</v>
      </c>
      <c r="F7" s="323">
        <v>0</v>
      </c>
      <c r="G7" s="323">
        <v>0</v>
      </c>
      <c r="H7" s="323">
        <v>0</v>
      </c>
      <c r="I7" s="323">
        <v>0</v>
      </c>
      <c r="J7" s="323">
        <v>0</v>
      </c>
      <c r="K7" s="323">
        <v>0</v>
      </c>
      <c r="L7" s="323">
        <v>0</v>
      </c>
      <c r="M7" s="323">
        <v>0</v>
      </c>
      <c r="N7" s="323">
        <v>0</v>
      </c>
      <c r="O7" s="323">
        <v>0</v>
      </c>
      <c r="P7" s="324">
        <v>0</v>
      </c>
      <c r="Q7" s="298"/>
      <c r="R7" s="284">
        <f>Prop2021DistTar!AF7</f>
        <v>15542.053003687797</v>
      </c>
      <c r="S7" s="285">
        <f>Prop2021DistTar!AG7</f>
        <v>50996355.10262797</v>
      </c>
      <c r="T7" s="285">
        <f>Prop2021DistTar!AH7</f>
        <v>0</v>
      </c>
      <c r="U7" s="285">
        <f>Prop2021DistTar!AI7</f>
        <v>0</v>
      </c>
      <c r="V7" s="285">
        <f>Prop2021DistTar!AJ7</f>
        <v>0</v>
      </c>
      <c r="W7" s="285">
        <f>Prop2021DistTar!AK7</f>
        <v>0</v>
      </c>
      <c r="X7" s="285">
        <f>Prop2021DistTar!AL7</f>
        <v>0</v>
      </c>
      <c r="Y7" s="285">
        <f>Prop2021DistTar!AM7</f>
        <v>0</v>
      </c>
      <c r="Z7" s="285">
        <f>Prop2021DistTar!AN7</f>
        <v>0</v>
      </c>
      <c r="AA7" s="285">
        <f>Prop2021DistTar!AO7</f>
        <v>0</v>
      </c>
      <c r="AB7" s="285">
        <f>Prop2021DistTar!AP7</f>
        <v>0</v>
      </c>
      <c r="AC7" s="285">
        <f>Prop2021DistTar!AQ7</f>
        <v>0</v>
      </c>
      <c r="AD7" s="286">
        <f>Prop2021DistTar!AR7</f>
        <v>0</v>
      </c>
      <c r="AF7" s="266">
        <f t="shared" ref="AF7:AF65" si="5">D7*R7</f>
        <v>0</v>
      </c>
      <c r="AG7" s="267">
        <f t="shared" ref="AG7:AI34" si="6">E7/100*S7</f>
        <v>1127019.447768078</v>
      </c>
      <c r="AH7" s="267">
        <f t="shared" si="6"/>
        <v>0</v>
      </c>
      <c r="AI7" s="267">
        <f t="shared" si="6"/>
        <v>0</v>
      </c>
      <c r="AJ7" s="267">
        <f t="shared" si="2"/>
        <v>0</v>
      </c>
      <c r="AK7" s="267">
        <f t="shared" si="2"/>
        <v>0</v>
      </c>
      <c r="AL7" s="267">
        <f t="shared" si="2"/>
        <v>0</v>
      </c>
      <c r="AM7" s="267">
        <f t="shared" si="3"/>
        <v>0</v>
      </c>
      <c r="AN7" s="267">
        <f t="shared" si="3"/>
        <v>0</v>
      </c>
      <c r="AO7" s="267">
        <f t="shared" si="3"/>
        <v>0</v>
      </c>
      <c r="AP7" s="267">
        <f t="shared" si="3"/>
        <v>0</v>
      </c>
      <c r="AQ7" s="267">
        <f t="shared" si="3"/>
        <v>0</v>
      </c>
      <c r="AR7" s="267">
        <f t="shared" si="3"/>
        <v>0</v>
      </c>
      <c r="AS7" s="182">
        <f t="shared" ref="AS7:AS65" si="7">SUM(AF7:AR7)</f>
        <v>1127019.447768078</v>
      </c>
    </row>
    <row r="8" spans="2:45" s="170" customFormat="1" x14ac:dyDescent="0.2">
      <c r="B8" s="173" t="str">
        <f>Prop2021DistTar!B8</f>
        <v>Residential - flexible pricing</v>
      </c>
      <c r="C8" s="283"/>
      <c r="D8" s="322">
        <v>0</v>
      </c>
      <c r="E8" s="323">
        <v>0</v>
      </c>
      <c r="F8" s="323">
        <v>0</v>
      </c>
      <c r="G8" s="323">
        <v>0</v>
      </c>
      <c r="H8" s="323">
        <v>0</v>
      </c>
      <c r="I8" s="323">
        <v>0</v>
      </c>
      <c r="J8" s="323">
        <v>0</v>
      </c>
      <c r="K8" s="323">
        <v>3.64</v>
      </c>
      <c r="L8" s="323">
        <v>2.46</v>
      </c>
      <c r="M8" s="323">
        <v>0.96</v>
      </c>
      <c r="N8" s="323">
        <v>3.64</v>
      </c>
      <c r="O8" s="323">
        <v>2.46</v>
      </c>
      <c r="P8" s="324">
        <v>0.96</v>
      </c>
      <c r="Q8" s="298"/>
      <c r="R8" s="284">
        <f>Prop2021DistTar!AF8</f>
        <v>370.9023721939256</v>
      </c>
      <c r="S8" s="285">
        <f>Prop2021DistTar!AG8</f>
        <v>0</v>
      </c>
      <c r="T8" s="285">
        <f>Prop2021DistTar!AH8</f>
        <v>0</v>
      </c>
      <c r="U8" s="285">
        <f>Prop2021DistTar!AI8</f>
        <v>0</v>
      </c>
      <c r="V8" s="285">
        <f>Prop2021DistTar!AJ8</f>
        <v>0</v>
      </c>
      <c r="W8" s="285">
        <f>Prop2021DistTar!AK8</f>
        <v>0</v>
      </c>
      <c r="X8" s="285">
        <f>Prop2021DistTar!AL8</f>
        <v>0</v>
      </c>
      <c r="Y8" s="285">
        <f>Prop2021DistTar!AM8</f>
        <v>130417.58267973799</v>
      </c>
      <c r="Z8" s="285">
        <f>Prop2021DistTar!AN8</f>
        <v>277275.3367141108</v>
      </c>
      <c r="AA8" s="285">
        <f>Prop2021DistTar!AO8</f>
        <v>206472.57278502121</v>
      </c>
      <c r="AB8" s="285">
        <f>Prop2021DistTar!AP8</f>
        <v>321016.92777312908</v>
      </c>
      <c r="AC8" s="285">
        <f>Prop2021DistTar!AQ8</f>
        <v>682500.5870397304</v>
      </c>
      <c r="AD8" s="286">
        <f>Prop2021DistTar!AR8</f>
        <v>508222.81492232345</v>
      </c>
      <c r="AF8" s="266">
        <f t="shared" si="5"/>
        <v>0</v>
      </c>
      <c r="AG8" s="267">
        <f t="shared" si="6"/>
        <v>0</v>
      </c>
      <c r="AH8" s="267">
        <f t="shared" si="6"/>
        <v>0</v>
      </c>
      <c r="AI8" s="267">
        <f t="shared" si="6"/>
        <v>0</v>
      </c>
      <c r="AJ8" s="267">
        <f t="shared" si="2"/>
        <v>0</v>
      </c>
      <c r="AK8" s="267">
        <f t="shared" si="2"/>
        <v>0</v>
      </c>
      <c r="AL8" s="267">
        <f t="shared" si="2"/>
        <v>0</v>
      </c>
      <c r="AM8" s="267">
        <f t="shared" si="3"/>
        <v>4747.2000095424628</v>
      </c>
      <c r="AN8" s="267">
        <f t="shared" si="3"/>
        <v>6820.9732831671263</v>
      </c>
      <c r="AO8" s="267">
        <f t="shared" si="3"/>
        <v>1982.1366987362035</v>
      </c>
      <c r="AP8" s="267">
        <f t="shared" si="3"/>
        <v>11685.016170941899</v>
      </c>
      <c r="AQ8" s="267">
        <f t="shared" si="3"/>
        <v>16789.514441177369</v>
      </c>
      <c r="AR8" s="267">
        <f t="shared" si="3"/>
        <v>4878.9390232543046</v>
      </c>
      <c r="AS8" s="182">
        <f t="shared" si="7"/>
        <v>46903.779626819363</v>
      </c>
    </row>
    <row r="9" spans="2:45" s="170" customFormat="1" x14ac:dyDescent="0.2">
      <c r="B9" s="173" t="str">
        <f>Prop2021DistTar!B9</f>
        <v>Residential - flexible pricing bulk</v>
      </c>
      <c r="C9" s="283"/>
      <c r="D9" s="322">
        <v>0</v>
      </c>
      <c r="E9" s="323">
        <v>0</v>
      </c>
      <c r="F9" s="323">
        <v>0</v>
      </c>
      <c r="G9" s="323">
        <v>0</v>
      </c>
      <c r="H9" s="323">
        <v>0</v>
      </c>
      <c r="I9" s="323">
        <v>0</v>
      </c>
      <c r="J9" s="323">
        <v>0</v>
      </c>
      <c r="K9" s="323">
        <v>3.64</v>
      </c>
      <c r="L9" s="323">
        <v>2.46</v>
      </c>
      <c r="M9" s="323">
        <v>0.96</v>
      </c>
      <c r="N9" s="323">
        <v>3.64</v>
      </c>
      <c r="O9" s="323">
        <v>2.46</v>
      </c>
      <c r="P9" s="324">
        <v>0.96</v>
      </c>
      <c r="Q9" s="298"/>
      <c r="R9" s="284">
        <f>Prop2021DistTar!AF9</f>
        <v>47.380345156235144</v>
      </c>
      <c r="S9" s="285">
        <f>Prop2021DistTar!AG9</f>
        <v>0</v>
      </c>
      <c r="T9" s="285">
        <f>Prop2021DistTar!AH9</f>
        <v>0</v>
      </c>
      <c r="U9" s="285">
        <f>Prop2021DistTar!AI9</f>
        <v>0</v>
      </c>
      <c r="V9" s="285">
        <f>Prop2021DistTar!AJ9</f>
        <v>0</v>
      </c>
      <c r="W9" s="285">
        <f>Prop2021DistTar!AK9</f>
        <v>0</v>
      </c>
      <c r="X9" s="285">
        <f>Prop2021DistTar!AL9</f>
        <v>0</v>
      </c>
      <c r="Y9" s="285">
        <f>Prop2021DistTar!AM9</f>
        <v>10549.805608848863</v>
      </c>
      <c r="Z9" s="285">
        <f>Prop2021DistTar!AN9</f>
        <v>22947.480949329336</v>
      </c>
      <c r="AA9" s="285">
        <f>Prop2021DistTar!AO9</f>
        <v>16383.399694154077</v>
      </c>
      <c r="AB9" s="285">
        <f>Prop2021DistTar!AP9</f>
        <v>24830.056108525299</v>
      </c>
      <c r="AC9" s="285">
        <f>Prop2021DistTar!AQ9</f>
        <v>54009.264307509337</v>
      </c>
      <c r="AD9" s="286">
        <f>Prop2021DistTar!AR9</f>
        <v>38560.02174229917</v>
      </c>
      <c r="AF9" s="266">
        <f t="shared" si="5"/>
        <v>0</v>
      </c>
      <c r="AG9" s="267">
        <f t="shared" si="6"/>
        <v>0</v>
      </c>
      <c r="AH9" s="267">
        <f t="shared" si="6"/>
        <v>0</v>
      </c>
      <c r="AI9" s="267">
        <f t="shared" si="6"/>
        <v>0</v>
      </c>
      <c r="AJ9" s="267">
        <f t="shared" si="2"/>
        <v>0</v>
      </c>
      <c r="AK9" s="267">
        <f t="shared" si="2"/>
        <v>0</v>
      </c>
      <c r="AL9" s="267">
        <f t="shared" si="2"/>
        <v>0</v>
      </c>
      <c r="AM9" s="267">
        <f t="shared" si="3"/>
        <v>384.01292416209861</v>
      </c>
      <c r="AN9" s="267">
        <f t="shared" si="3"/>
        <v>564.50803135350168</v>
      </c>
      <c r="AO9" s="267">
        <f t="shared" si="3"/>
        <v>157.28063706387914</v>
      </c>
      <c r="AP9" s="267">
        <f t="shared" si="3"/>
        <v>903.81404235032096</v>
      </c>
      <c r="AQ9" s="267">
        <f t="shared" si="3"/>
        <v>1328.6279019647297</v>
      </c>
      <c r="AR9" s="267">
        <f t="shared" si="3"/>
        <v>370.17620872607199</v>
      </c>
      <c r="AS9" s="182">
        <f t="shared" si="7"/>
        <v>3708.419745620602</v>
      </c>
    </row>
    <row r="10" spans="2:45" s="170" customFormat="1" x14ac:dyDescent="0.2">
      <c r="B10" s="173" t="str">
        <f>Prop2021DistTar!B10</f>
        <v>Residential Two Rate 5d</v>
      </c>
      <c r="C10" s="283"/>
      <c r="D10" s="322">
        <v>0</v>
      </c>
      <c r="E10" s="323">
        <v>0</v>
      </c>
      <c r="F10" s="323">
        <v>3.03</v>
      </c>
      <c r="G10" s="323">
        <v>1.26</v>
      </c>
      <c r="H10" s="323">
        <v>0</v>
      </c>
      <c r="I10" s="323">
        <v>0</v>
      </c>
      <c r="J10" s="323">
        <v>0</v>
      </c>
      <c r="K10" s="323">
        <v>0</v>
      </c>
      <c r="L10" s="323">
        <v>0</v>
      </c>
      <c r="M10" s="323">
        <v>0</v>
      </c>
      <c r="N10" s="323">
        <v>0</v>
      </c>
      <c r="O10" s="323">
        <v>0</v>
      </c>
      <c r="P10" s="324">
        <v>0</v>
      </c>
      <c r="Q10" s="298"/>
      <c r="R10" s="284">
        <f>Prop2021DistTar!AF10</f>
        <v>5485.5875681059069</v>
      </c>
      <c r="S10" s="285">
        <f>Prop2021DistTar!AG10</f>
        <v>0</v>
      </c>
      <c r="T10" s="285">
        <f>Prop2021DistTar!AH10</f>
        <v>16388649.324740026</v>
      </c>
      <c r="U10" s="285">
        <f>Prop2021DistTar!AI10</f>
        <v>14340776.76527174</v>
      </c>
      <c r="V10" s="285">
        <f>Prop2021DistTar!AJ10</f>
        <v>0</v>
      </c>
      <c r="W10" s="285">
        <f>Prop2021DistTar!AK10</f>
        <v>0</v>
      </c>
      <c r="X10" s="285">
        <f>Prop2021DistTar!AL10</f>
        <v>0</v>
      </c>
      <c r="Y10" s="285">
        <f>Prop2021DistTar!AM10</f>
        <v>0</v>
      </c>
      <c r="Z10" s="285">
        <f>Prop2021DistTar!AN10</f>
        <v>0</v>
      </c>
      <c r="AA10" s="285">
        <f>Prop2021DistTar!AO10</f>
        <v>0</v>
      </c>
      <c r="AB10" s="285">
        <f>Prop2021DistTar!AP10</f>
        <v>0</v>
      </c>
      <c r="AC10" s="285">
        <f>Prop2021DistTar!AQ10</f>
        <v>0</v>
      </c>
      <c r="AD10" s="286">
        <f>Prop2021DistTar!AR10</f>
        <v>0</v>
      </c>
      <c r="AF10" s="266">
        <f t="shared" si="5"/>
        <v>0</v>
      </c>
      <c r="AG10" s="267">
        <f t="shared" si="6"/>
        <v>0</v>
      </c>
      <c r="AH10" s="267">
        <f t="shared" si="6"/>
        <v>496576.07453962276</v>
      </c>
      <c r="AI10" s="267">
        <f t="shared" si="6"/>
        <v>180693.78724242392</v>
      </c>
      <c r="AJ10" s="267">
        <f t="shared" si="2"/>
        <v>0</v>
      </c>
      <c r="AK10" s="267">
        <f t="shared" si="2"/>
        <v>0</v>
      </c>
      <c r="AL10" s="267">
        <f t="shared" si="2"/>
        <v>0</v>
      </c>
      <c r="AM10" s="267">
        <f t="shared" si="3"/>
        <v>0</v>
      </c>
      <c r="AN10" s="267">
        <f t="shared" si="3"/>
        <v>0</v>
      </c>
      <c r="AO10" s="267">
        <f t="shared" si="3"/>
        <v>0</v>
      </c>
      <c r="AP10" s="267">
        <f t="shared" si="3"/>
        <v>0</v>
      </c>
      <c r="AQ10" s="267">
        <f t="shared" si="3"/>
        <v>0</v>
      </c>
      <c r="AR10" s="267">
        <f t="shared" si="3"/>
        <v>0</v>
      </c>
      <c r="AS10" s="182">
        <f t="shared" si="7"/>
        <v>677269.86178204673</v>
      </c>
    </row>
    <row r="11" spans="2:45" s="170" customFormat="1" x14ac:dyDescent="0.2">
      <c r="B11" s="173" t="str">
        <f>Prop2021DistTar!B11</f>
        <v>Residential Two Rate 5d - Bulk</v>
      </c>
      <c r="C11" s="283"/>
      <c r="D11" s="322">
        <v>0</v>
      </c>
      <c r="E11" s="323">
        <v>0</v>
      </c>
      <c r="F11" s="323">
        <v>3.03</v>
      </c>
      <c r="G11" s="323">
        <v>1.26</v>
      </c>
      <c r="H11" s="323">
        <v>0</v>
      </c>
      <c r="I11" s="323">
        <v>0</v>
      </c>
      <c r="J11" s="323">
        <v>0</v>
      </c>
      <c r="K11" s="323">
        <v>0</v>
      </c>
      <c r="L11" s="323">
        <v>0</v>
      </c>
      <c r="M11" s="323">
        <v>0</v>
      </c>
      <c r="N11" s="323">
        <v>0</v>
      </c>
      <c r="O11" s="323">
        <v>0</v>
      </c>
      <c r="P11" s="324">
        <v>0</v>
      </c>
      <c r="Q11" s="298"/>
      <c r="R11" s="284">
        <f>Prop2021DistTar!AF11</f>
        <v>2157.8174474664402</v>
      </c>
      <c r="S11" s="285">
        <f>Prop2021DistTar!AG11</f>
        <v>0</v>
      </c>
      <c r="T11" s="285">
        <f>Prop2021DistTar!AH11</f>
        <v>5674235.5694546988</v>
      </c>
      <c r="U11" s="285">
        <f>Prop2021DistTar!AI11</f>
        <v>4958506.5011222707</v>
      </c>
      <c r="V11" s="285">
        <f>Prop2021DistTar!AJ11</f>
        <v>0</v>
      </c>
      <c r="W11" s="285">
        <f>Prop2021DistTar!AK11</f>
        <v>0</v>
      </c>
      <c r="X11" s="285">
        <f>Prop2021DistTar!AL11</f>
        <v>0</v>
      </c>
      <c r="Y11" s="285">
        <f>Prop2021DistTar!AM11</f>
        <v>0</v>
      </c>
      <c r="Z11" s="285">
        <f>Prop2021DistTar!AN11</f>
        <v>0</v>
      </c>
      <c r="AA11" s="285">
        <f>Prop2021DistTar!AO11</f>
        <v>0</v>
      </c>
      <c r="AB11" s="285">
        <f>Prop2021DistTar!AP11</f>
        <v>0</v>
      </c>
      <c r="AC11" s="285">
        <f>Prop2021DistTar!AQ11</f>
        <v>0</v>
      </c>
      <c r="AD11" s="286">
        <f>Prop2021DistTar!AR11</f>
        <v>0</v>
      </c>
      <c r="AF11" s="266">
        <f t="shared" si="5"/>
        <v>0</v>
      </c>
      <c r="AG11" s="267">
        <f t="shared" si="6"/>
        <v>0</v>
      </c>
      <c r="AH11" s="267">
        <f t="shared" si="6"/>
        <v>171929.33775447737</v>
      </c>
      <c r="AI11" s="267">
        <f t="shared" si="6"/>
        <v>62477.181914140609</v>
      </c>
      <c r="AJ11" s="267">
        <f t="shared" si="2"/>
        <v>0</v>
      </c>
      <c r="AK11" s="267">
        <f t="shared" si="2"/>
        <v>0</v>
      </c>
      <c r="AL11" s="267">
        <f t="shared" si="2"/>
        <v>0</v>
      </c>
      <c r="AM11" s="267">
        <f t="shared" si="3"/>
        <v>0</v>
      </c>
      <c r="AN11" s="267">
        <f t="shared" si="3"/>
        <v>0</v>
      </c>
      <c r="AO11" s="267">
        <f t="shared" si="3"/>
        <v>0</v>
      </c>
      <c r="AP11" s="267">
        <f t="shared" si="3"/>
        <v>0</v>
      </c>
      <c r="AQ11" s="267">
        <f t="shared" si="3"/>
        <v>0</v>
      </c>
      <c r="AR11" s="267">
        <f t="shared" si="3"/>
        <v>0</v>
      </c>
      <c r="AS11" s="182">
        <f t="shared" si="7"/>
        <v>234406.51966861798</v>
      </c>
    </row>
    <row r="12" spans="2:45" s="170" customFormat="1" x14ac:dyDescent="0.2">
      <c r="B12" s="173" t="str">
        <f>Prop2021DistTar!B12</f>
        <v>Residential Interval</v>
      </c>
      <c r="C12" s="283"/>
      <c r="D12" s="322">
        <v>0</v>
      </c>
      <c r="E12" s="323">
        <v>0</v>
      </c>
      <c r="F12" s="323">
        <v>3.03</v>
      </c>
      <c r="G12" s="323">
        <v>1.26</v>
      </c>
      <c r="H12" s="323">
        <v>0</v>
      </c>
      <c r="I12" s="323">
        <v>0</v>
      </c>
      <c r="J12" s="323">
        <v>0</v>
      </c>
      <c r="K12" s="323">
        <v>0</v>
      </c>
      <c r="L12" s="323">
        <v>0</v>
      </c>
      <c r="M12" s="323">
        <v>0</v>
      </c>
      <c r="N12" s="323">
        <v>0</v>
      </c>
      <c r="O12" s="323">
        <v>0</v>
      </c>
      <c r="P12" s="324">
        <v>0</v>
      </c>
      <c r="Q12" s="298"/>
      <c r="R12" s="284">
        <f>Prop2021DistTar!AF12</f>
        <v>8452.1227174118158</v>
      </c>
      <c r="S12" s="285">
        <f>Prop2021DistTar!AG12</f>
        <v>0</v>
      </c>
      <c r="T12" s="285">
        <f>Prop2021DistTar!AH12</f>
        <v>25049656.982189029</v>
      </c>
      <c r="U12" s="285">
        <f>Prop2021DistTar!AI12</f>
        <v>22067669.109436158</v>
      </c>
      <c r="V12" s="285">
        <f>Prop2021DistTar!AJ12</f>
        <v>0</v>
      </c>
      <c r="W12" s="285">
        <f>Prop2021DistTar!AK12</f>
        <v>0</v>
      </c>
      <c r="X12" s="285">
        <f>Prop2021DistTar!AL12</f>
        <v>0</v>
      </c>
      <c r="Y12" s="285">
        <f>Prop2021DistTar!AM12</f>
        <v>0</v>
      </c>
      <c r="Z12" s="285">
        <f>Prop2021DistTar!AN12</f>
        <v>0</v>
      </c>
      <c r="AA12" s="285">
        <f>Prop2021DistTar!AO12</f>
        <v>0</v>
      </c>
      <c r="AB12" s="285">
        <f>Prop2021DistTar!AP12</f>
        <v>0</v>
      </c>
      <c r="AC12" s="285">
        <f>Prop2021DistTar!AQ12</f>
        <v>0</v>
      </c>
      <c r="AD12" s="286">
        <f>Prop2021DistTar!AR12</f>
        <v>0</v>
      </c>
      <c r="AF12" s="266">
        <f t="shared" si="5"/>
        <v>0</v>
      </c>
      <c r="AG12" s="267">
        <f t="shared" si="6"/>
        <v>0</v>
      </c>
      <c r="AH12" s="267">
        <f t="shared" si="6"/>
        <v>759004.60656032746</v>
      </c>
      <c r="AI12" s="267">
        <f t="shared" si="6"/>
        <v>278052.63077889557</v>
      </c>
      <c r="AJ12" s="267">
        <f t="shared" si="2"/>
        <v>0</v>
      </c>
      <c r="AK12" s="267">
        <f t="shared" si="2"/>
        <v>0</v>
      </c>
      <c r="AL12" s="267">
        <f t="shared" si="2"/>
        <v>0</v>
      </c>
      <c r="AM12" s="267">
        <f t="shared" si="3"/>
        <v>0</v>
      </c>
      <c r="AN12" s="267">
        <f t="shared" si="3"/>
        <v>0</v>
      </c>
      <c r="AO12" s="267">
        <f t="shared" si="3"/>
        <v>0</v>
      </c>
      <c r="AP12" s="267">
        <f t="shared" si="3"/>
        <v>0</v>
      </c>
      <c r="AQ12" s="267">
        <f t="shared" si="3"/>
        <v>0</v>
      </c>
      <c r="AR12" s="267">
        <f t="shared" si="3"/>
        <v>0</v>
      </c>
      <c r="AS12" s="182">
        <f t="shared" si="7"/>
        <v>1037057.237339223</v>
      </c>
    </row>
    <row r="13" spans="2:45" s="170" customFormat="1" x14ac:dyDescent="0.2">
      <c r="B13" s="173" t="str">
        <f>Prop2021DistTar!B13</f>
        <v>Residential Interval - Bulk</v>
      </c>
      <c r="C13" s="283"/>
      <c r="D13" s="322">
        <v>0</v>
      </c>
      <c r="E13" s="323">
        <v>0</v>
      </c>
      <c r="F13" s="323">
        <v>3.03</v>
      </c>
      <c r="G13" s="323">
        <v>1.26</v>
      </c>
      <c r="H13" s="323">
        <v>0</v>
      </c>
      <c r="I13" s="323">
        <v>0</v>
      </c>
      <c r="J13" s="323">
        <v>0</v>
      </c>
      <c r="K13" s="323">
        <v>0</v>
      </c>
      <c r="L13" s="323">
        <v>0</v>
      </c>
      <c r="M13" s="323">
        <v>0</v>
      </c>
      <c r="N13" s="323">
        <v>0</v>
      </c>
      <c r="O13" s="323">
        <v>0</v>
      </c>
      <c r="P13" s="324">
        <v>0</v>
      </c>
      <c r="Q13" s="298"/>
      <c r="R13" s="284">
        <f>Prop2021DistTar!AF13</f>
        <v>4268.0601626219241</v>
      </c>
      <c r="S13" s="285">
        <f>Prop2021DistTar!AG13</f>
        <v>0</v>
      </c>
      <c r="T13" s="285">
        <f>Prop2021DistTar!AH13</f>
        <v>6998105.2163059637</v>
      </c>
      <c r="U13" s="285">
        <f>Prop2021DistTar!AI13</f>
        <v>6632283.431711155</v>
      </c>
      <c r="V13" s="285">
        <f>Prop2021DistTar!AJ13</f>
        <v>0</v>
      </c>
      <c r="W13" s="285">
        <f>Prop2021DistTar!AK13</f>
        <v>0</v>
      </c>
      <c r="X13" s="285">
        <f>Prop2021DistTar!AL13</f>
        <v>0</v>
      </c>
      <c r="Y13" s="285">
        <f>Prop2021DistTar!AM13</f>
        <v>0</v>
      </c>
      <c r="Z13" s="285">
        <f>Prop2021DistTar!AN13</f>
        <v>0</v>
      </c>
      <c r="AA13" s="285">
        <f>Prop2021DistTar!AO13</f>
        <v>0</v>
      </c>
      <c r="AB13" s="285">
        <f>Prop2021DistTar!AP13</f>
        <v>0</v>
      </c>
      <c r="AC13" s="285">
        <f>Prop2021DistTar!AQ13</f>
        <v>0</v>
      </c>
      <c r="AD13" s="286">
        <f>Prop2021DistTar!AR13</f>
        <v>0</v>
      </c>
      <c r="AF13" s="266">
        <f t="shared" si="5"/>
        <v>0</v>
      </c>
      <c r="AG13" s="267">
        <f t="shared" si="6"/>
        <v>0</v>
      </c>
      <c r="AH13" s="267">
        <f t="shared" si="6"/>
        <v>212042.58805407069</v>
      </c>
      <c r="AI13" s="267">
        <f t="shared" si="6"/>
        <v>83566.771239560549</v>
      </c>
      <c r="AJ13" s="267">
        <f t="shared" si="2"/>
        <v>0</v>
      </c>
      <c r="AK13" s="267">
        <f t="shared" si="2"/>
        <v>0</v>
      </c>
      <c r="AL13" s="267">
        <f t="shared" si="2"/>
        <v>0</v>
      </c>
      <c r="AM13" s="267">
        <f t="shared" si="3"/>
        <v>0</v>
      </c>
      <c r="AN13" s="267">
        <f t="shared" si="3"/>
        <v>0</v>
      </c>
      <c r="AO13" s="267">
        <f t="shared" si="3"/>
        <v>0</v>
      </c>
      <c r="AP13" s="267">
        <f t="shared" si="3"/>
        <v>0</v>
      </c>
      <c r="AQ13" s="267">
        <f t="shared" si="3"/>
        <v>0</v>
      </c>
      <c r="AR13" s="267">
        <f t="shared" si="3"/>
        <v>0</v>
      </c>
      <c r="AS13" s="182">
        <f t="shared" si="7"/>
        <v>295609.35929363122</v>
      </c>
    </row>
    <row r="14" spans="2:45" s="170" customFormat="1" x14ac:dyDescent="0.2">
      <c r="B14" s="173" t="str">
        <f>Prop2021DistTar!B14</f>
        <v>Residential Two Rate 5d - Controlled Load</v>
      </c>
      <c r="C14" s="283"/>
      <c r="D14" s="322">
        <v>0</v>
      </c>
      <c r="E14" s="323">
        <v>0</v>
      </c>
      <c r="F14" s="323">
        <v>0</v>
      </c>
      <c r="G14" s="323">
        <v>0</v>
      </c>
      <c r="H14" s="323">
        <v>0</v>
      </c>
      <c r="I14" s="323">
        <v>0</v>
      </c>
      <c r="J14" s="323">
        <v>0</v>
      </c>
      <c r="K14" s="323">
        <v>0</v>
      </c>
      <c r="L14" s="323">
        <v>0</v>
      </c>
      <c r="M14" s="323">
        <v>0</v>
      </c>
      <c r="N14" s="323">
        <v>0</v>
      </c>
      <c r="O14" s="323">
        <v>0</v>
      </c>
      <c r="P14" s="324">
        <v>0</v>
      </c>
      <c r="Q14" s="298"/>
      <c r="R14" s="284">
        <f>Prop2021DistTar!AF14</f>
        <v>0</v>
      </c>
      <c r="S14" s="285">
        <f>Prop2021DistTar!AG14</f>
        <v>0</v>
      </c>
      <c r="T14" s="285">
        <f>Prop2021DistTar!AH14</f>
        <v>0</v>
      </c>
      <c r="U14" s="285">
        <f>Prop2021DistTar!AI14</f>
        <v>0</v>
      </c>
      <c r="V14" s="285">
        <f>Prop2021DistTar!AJ14</f>
        <v>0</v>
      </c>
      <c r="W14" s="285">
        <f>Prop2021DistTar!AK14</f>
        <v>0</v>
      </c>
      <c r="X14" s="285">
        <f>Prop2021DistTar!AL14</f>
        <v>0</v>
      </c>
      <c r="Y14" s="285">
        <f>Prop2021DistTar!AM14</f>
        <v>0</v>
      </c>
      <c r="Z14" s="285">
        <f>Prop2021DistTar!AN14</f>
        <v>0</v>
      </c>
      <c r="AA14" s="285">
        <f>Prop2021DistTar!AO14</f>
        <v>0</v>
      </c>
      <c r="AB14" s="285">
        <f>Prop2021DistTar!AP14</f>
        <v>0</v>
      </c>
      <c r="AC14" s="285">
        <f>Prop2021DistTar!AQ14</f>
        <v>0</v>
      </c>
      <c r="AD14" s="286">
        <f>Prop2021DistTar!AR14</f>
        <v>0</v>
      </c>
      <c r="AF14" s="266">
        <f t="shared" si="5"/>
        <v>0</v>
      </c>
      <c r="AG14" s="267">
        <f t="shared" si="6"/>
        <v>0</v>
      </c>
      <c r="AH14" s="267">
        <f t="shared" si="6"/>
        <v>0</v>
      </c>
      <c r="AI14" s="267">
        <f t="shared" si="6"/>
        <v>0</v>
      </c>
      <c r="AJ14" s="267">
        <f t="shared" si="2"/>
        <v>0</v>
      </c>
      <c r="AK14" s="267">
        <f t="shared" si="2"/>
        <v>0</v>
      </c>
      <c r="AL14" s="267">
        <f t="shared" si="2"/>
        <v>0</v>
      </c>
      <c r="AM14" s="267">
        <f t="shared" si="3"/>
        <v>0</v>
      </c>
      <c r="AN14" s="267">
        <f t="shared" si="3"/>
        <v>0</v>
      </c>
      <c r="AO14" s="267">
        <f t="shared" si="3"/>
        <v>0</v>
      </c>
      <c r="AP14" s="267">
        <f t="shared" si="3"/>
        <v>0</v>
      </c>
      <c r="AQ14" s="267">
        <f t="shared" si="3"/>
        <v>0</v>
      </c>
      <c r="AR14" s="267">
        <f t="shared" si="3"/>
        <v>0</v>
      </c>
      <c r="AS14" s="182">
        <f t="shared" si="7"/>
        <v>0</v>
      </c>
    </row>
    <row r="15" spans="2:45" s="170" customFormat="1" x14ac:dyDescent="0.2">
      <c r="B15" s="173" t="str">
        <f>Prop2021DistTar!B15</f>
        <v>Residential Two Rate 5d - Bulk - Controlled Load</v>
      </c>
      <c r="C15" s="283"/>
      <c r="D15" s="322">
        <v>0</v>
      </c>
      <c r="E15" s="323">
        <v>0</v>
      </c>
      <c r="F15" s="323">
        <v>0</v>
      </c>
      <c r="G15" s="323">
        <v>0</v>
      </c>
      <c r="H15" s="323">
        <v>0</v>
      </c>
      <c r="I15" s="323">
        <v>0</v>
      </c>
      <c r="J15" s="323">
        <v>0</v>
      </c>
      <c r="K15" s="323">
        <v>0</v>
      </c>
      <c r="L15" s="323">
        <v>0</v>
      </c>
      <c r="M15" s="323">
        <v>0</v>
      </c>
      <c r="N15" s="323">
        <v>0</v>
      </c>
      <c r="O15" s="323">
        <v>0</v>
      </c>
      <c r="P15" s="324">
        <v>0</v>
      </c>
      <c r="Q15" s="298"/>
      <c r="R15" s="284">
        <f>Prop2021DistTar!AF15</f>
        <v>0</v>
      </c>
      <c r="S15" s="285">
        <f>Prop2021DistTar!AG15</f>
        <v>0</v>
      </c>
      <c r="T15" s="285">
        <f>Prop2021DistTar!AH15</f>
        <v>0</v>
      </c>
      <c r="U15" s="285">
        <f>Prop2021DistTar!AI15</f>
        <v>0</v>
      </c>
      <c r="V15" s="285">
        <f>Prop2021DistTar!AJ15</f>
        <v>0</v>
      </c>
      <c r="W15" s="285">
        <f>Prop2021DistTar!AK15</f>
        <v>0</v>
      </c>
      <c r="X15" s="285">
        <f>Prop2021DistTar!AL15</f>
        <v>0</v>
      </c>
      <c r="Y15" s="285">
        <f>Prop2021DistTar!AM15</f>
        <v>0</v>
      </c>
      <c r="Z15" s="285">
        <f>Prop2021DistTar!AN15</f>
        <v>0</v>
      </c>
      <c r="AA15" s="285">
        <f>Prop2021DistTar!AO15</f>
        <v>0</v>
      </c>
      <c r="AB15" s="285">
        <f>Prop2021DistTar!AP15</f>
        <v>0</v>
      </c>
      <c r="AC15" s="285">
        <f>Prop2021DistTar!AQ15</f>
        <v>0</v>
      </c>
      <c r="AD15" s="286">
        <f>Prop2021DistTar!AR15</f>
        <v>0</v>
      </c>
      <c r="AF15" s="266">
        <f t="shared" si="5"/>
        <v>0</v>
      </c>
      <c r="AG15" s="267">
        <f t="shared" si="6"/>
        <v>0</v>
      </c>
      <c r="AH15" s="267">
        <f t="shared" si="6"/>
        <v>0</v>
      </c>
      <c r="AI15" s="267">
        <f t="shared" si="6"/>
        <v>0</v>
      </c>
      <c r="AJ15" s="267">
        <f t="shared" si="2"/>
        <v>0</v>
      </c>
      <c r="AK15" s="267">
        <f t="shared" si="2"/>
        <v>0</v>
      </c>
      <c r="AL15" s="267">
        <f t="shared" si="2"/>
        <v>0</v>
      </c>
      <c r="AM15" s="267">
        <f t="shared" si="3"/>
        <v>0</v>
      </c>
      <c r="AN15" s="267">
        <f t="shared" si="3"/>
        <v>0</v>
      </c>
      <c r="AO15" s="267">
        <f t="shared" si="3"/>
        <v>0</v>
      </c>
      <c r="AP15" s="267">
        <f t="shared" si="3"/>
        <v>0</v>
      </c>
      <c r="AQ15" s="267">
        <f t="shared" si="3"/>
        <v>0</v>
      </c>
      <c r="AR15" s="267">
        <f t="shared" si="3"/>
        <v>0</v>
      </c>
      <c r="AS15" s="182">
        <f t="shared" si="7"/>
        <v>0</v>
      </c>
    </row>
    <row r="16" spans="2:45" s="170" customFormat="1" x14ac:dyDescent="0.2">
      <c r="B16" s="173" t="str">
        <f>Prop2021DistTar!B16</f>
        <v>Dedicated Circuit</v>
      </c>
      <c r="C16" s="283"/>
      <c r="D16" s="322">
        <v>0</v>
      </c>
      <c r="E16" s="323">
        <v>0</v>
      </c>
      <c r="F16" s="323">
        <v>0</v>
      </c>
      <c r="G16" s="323">
        <v>0.59</v>
      </c>
      <c r="H16" s="323">
        <v>0</v>
      </c>
      <c r="I16" s="323">
        <v>0</v>
      </c>
      <c r="J16" s="323">
        <v>0</v>
      </c>
      <c r="K16" s="323">
        <v>0</v>
      </c>
      <c r="L16" s="323">
        <v>0</v>
      </c>
      <c r="M16" s="323">
        <v>0</v>
      </c>
      <c r="N16" s="323">
        <v>0</v>
      </c>
      <c r="O16" s="323">
        <v>0</v>
      </c>
      <c r="P16" s="324">
        <v>0</v>
      </c>
      <c r="Q16" s="298"/>
      <c r="R16" s="284">
        <f>Prop2021DistTar!AF16</f>
        <v>16356.898883815329</v>
      </c>
      <c r="S16" s="285">
        <f>Prop2021DistTar!AG16</f>
        <v>0</v>
      </c>
      <c r="T16" s="285">
        <f>Prop2021DistTar!AH16</f>
        <v>0</v>
      </c>
      <c r="U16" s="285">
        <f>Prop2021DistTar!AI16</f>
        <v>20889037.592547044</v>
      </c>
      <c r="V16" s="285">
        <f>Prop2021DistTar!AJ16</f>
        <v>0</v>
      </c>
      <c r="W16" s="285">
        <f>Prop2021DistTar!AK16</f>
        <v>0</v>
      </c>
      <c r="X16" s="285">
        <f>Prop2021DistTar!AL16</f>
        <v>0</v>
      </c>
      <c r="Y16" s="285">
        <f>Prop2021DistTar!AM16</f>
        <v>0</v>
      </c>
      <c r="Z16" s="285">
        <f>Prop2021DistTar!AN16</f>
        <v>0</v>
      </c>
      <c r="AA16" s="285">
        <f>Prop2021DistTar!AO16</f>
        <v>0</v>
      </c>
      <c r="AB16" s="285">
        <f>Prop2021DistTar!AP16</f>
        <v>0</v>
      </c>
      <c r="AC16" s="285">
        <f>Prop2021DistTar!AQ16</f>
        <v>0</v>
      </c>
      <c r="AD16" s="286">
        <f>Prop2021DistTar!AR16</f>
        <v>0</v>
      </c>
      <c r="AF16" s="266">
        <f t="shared" si="5"/>
        <v>0</v>
      </c>
      <c r="AG16" s="267">
        <f t="shared" si="6"/>
        <v>0</v>
      </c>
      <c r="AH16" s="267">
        <f t="shared" si="6"/>
        <v>0</v>
      </c>
      <c r="AI16" s="267">
        <f t="shared" si="6"/>
        <v>123245.32179602755</v>
      </c>
      <c r="AJ16" s="267">
        <f t="shared" si="2"/>
        <v>0</v>
      </c>
      <c r="AK16" s="267">
        <f t="shared" si="2"/>
        <v>0</v>
      </c>
      <c r="AL16" s="267">
        <f t="shared" si="2"/>
        <v>0</v>
      </c>
      <c r="AM16" s="267">
        <f t="shared" si="3"/>
        <v>0</v>
      </c>
      <c r="AN16" s="267">
        <f t="shared" si="3"/>
        <v>0</v>
      </c>
      <c r="AO16" s="267">
        <f t="shared" si="3"/>
        <v>0</v>
      </c>
      <c r="AP16" s="267">
        <f t="shared" si="3"/>
        <v>0</v>
      </c>
      <c r="AQ16" s="267">
        <f t="shared" si="3"/>
        <v>0</v>
      </c>
      <c r="AR16" s="267">
        <f t="shared" si="3"/>
        <v>0</v>
      </c>
      <c r="AS16" s="182">
        <f t="shared" si="7"/>
        <v>123245.32179602755</v>
      </c>
    </row>
    <row r="17" spans="2:45" s="170" customFormat="1" x14ac:dyDescent="0.2">
      <c r="B17" s="173" t="str">
        <f>Prop2021DistTar!B17</f>
        <v>Dedicated Circuit - Bulk</v>
      </c>
      <c r="C17" s="283"/>
      <c r="D17" s="322">
        <v>0</v>
      </c>
      <c r="E17" s="323">
        <v>0</v>
      </c>
      <c r="F17" s="323">
        <v>0</v>
      </c>
      <c r="G17" s="323">
        <v>0.59</v>
      </c>
      <c r="H17" s="323">
        <v>0</v>
      </c>
      <c r="I17" s="323">
        <v>0</v>
      </c>
      <c r="J17" s="323">
        <v>0</v>
      </c>
      <c r="K17" s="323">
        <v>0</v>
      </c>
      <c r="L17" s="323">
        <v>0</v>
      </c>
      <c r="M17" s="323">
        <v>0</v>
      </c>
      <c r="N17" s="323">
        <v>0</v>
      </c>
      <c r="O17" s="323">
        <v>0</v>
      </c>
      <c r="P17" s="324">
        <v>0</v>
      </c>
      <c r="Q17" s="298"/>
      <c r="R17" s="284">
        <f>Prop2021DistTar!AF17</f>
        <v>2820.1769660071022</v>
      </c>
      <c r="S17" s="285">
        <f>Prop2021DistTar!AG17</f>
        <v>0</v>
      </c>
      <c r="T17" s="285">
        <f>Prop2021DistTar!AH17</f>
        <v>0</v>
      </c>
      <c r="U17" s="285">
        <f>Prop2021DistTar!AI17</f>
        <v>3940671.1045874362</v>
      </c>
      <c r="V17" s="285">
        <f>Prop2021DistTar!AJ17</f>
        <v>0</v>
      </c>
      <c r="W17" s="285">
        <f>Prop2021DistTar!AK17</f>
        <v>0</v>
      </c>
      <c r="X17" s="285">
        <f>Prop2021DistTar!AL17</f>
        <v>0</v>
      </c>
      <c r="Y17" s="285">
        <f>Prop2021DistTar!AM17</f>
        <v>0</v>
      </c>
      <c r="Z17" s="285">
        <f>Prop2021DistTar!AN17</f>
        <v>0</v>
      </c>
      <c r="AA17" s="285">
        <f>Prop2021DistTar!AO17</f>
        <v>0</v>
      </c>
      <c r="AB17" s="285">
        <f>Prop2021DistTar!AP17</f>
        <v>0</v>
      </c>
      <c r="AC17" s="285">
        <f>Prop2021DistTar!AQ17</f>
        <v>0</v>
      </c>
      <c r="AD17" s="286">
        <f>Prop2021DistTar!AR17</f>
        <v>0</v>
      </c>
      <c r="AF17" s="266">
        <f t="shared" si="5"/>
        <v>0</v>
      </c>
      <c r="AG17" s="267">
        <f t="shared" si="6"/>
        <v>0</v>
      </c>
      <c r="AH17" s="267">
        <f t="shared" si="6"/>
        <v>0</v>
      </c>
      <c r="AI17" s="267">
        <f t="shared" si="6"/>
        <v>23249.959517065872</v>
      </c>
      <c r="AJ17" s="267">
        <f t="shared" si="2"/>
        <v>0</v>
      </c>
      <c r="AK17" s="267">
        <f t="shared" si="2"/>
        <v>0</v>
      </c>
      <c r="AL17" s="267">
        <f t="shared" si="2"/>
        <v>0</v>
      </c>
      <c r="AM17" s="267">
        <f t="shared" si="3"/>
        <v>0</v>
      </c>
      <c r="AN17" s="267">
        <f t="shared" si="3"/>
        <v>0</v>
      </c>
      <c r="AO17" s="267">
        <f t="shared" si="3"/>
        <v>0</v>
      </c>
      <c r="AP17" s="267">
        <f t="shared" si="3"/>
        <v>0</v>
      </c>
      <c r="AQ17" s="267">
        <f t="shared" si="3"/>
        <v>0</v>
      </c>
      <c r="AR17" s="267">
        <f t="shared" si="3"/>
        <v>0</v>
      </c>
      <c r="AS17" s="182">
        <f t="shared" si="7"/>
        <v>23249.959517065872</v>
      </c>
    </row>
    <row r="18" spans="2:45" s="170" customFormat="1" x14ac:dyDescent="0.2">
      <c r="B18" s="173" t="str">
        <f>Prop2021DistTar!B18</f>
        <v>Residential Demand</v>
      </c>
      <c r="C18" s="283"/>
      <c r="D18" s="322">
        <v>0</v>
      </c>
      <c r="E18" s="323">
        <v>0.98</v>
      </c>
      <c r="F18" s="323">
        <v>0</v>
      </c>
      <c r="G18" s="323">
        <v>0</v>
      </c>
      <c r="H18" s="323">
        <v>0</v>
      </c>
      <c r="I18" s="323">
        <v>2.38</v>
      </c>
      <c r="J18" s="323">
        <v>0.81</v>
      </c>
      <c r="K18" s="323">
        <v>0</v>
      </c>
      <c r="L18" s="323">
        <v>0</v>
      </c>
      <c r="M18" s="323">
        <v>0</v>
      </c>
      <c r="N18" s="323">
        <v>0</v>
      </c>
      <c r="O18" s="323">
        <v>0</v>
      </c>
      <c r="P18" s="324">
        <v>0</v>
      </c>
      <c r="Q18" s="298"/>
      <c r="R18" s="284">
        <f>Prop2021DistTar!AF18</f>
        <v>5.5811473890526671</v>
      </c>
      <c r="S18" s="285">
        <f>Prop2021DistTar!AG18</f>
        <v>28084.127784552711</v>
      </c>
      <c r="T18" s="285">
        <f>Prop2021DistTar!AH18</f>
        <v>0</v>
      </c>
      <c r="U18" s="285">
        <f>Prop2021DistTar!AI18</f>
        <v>0</v>
      </c>
      <c r="V18" s="285">
        <f>Prop2021DistTar!AJ18</f>
        <v>0</v>
      </c>
      <c r="W18" s="285">
        <f>Prop2021DistTar!AK18</f>
        <v>95.352223627802374</v>
      </c>
      <c r="X18" s="285">
        <f>Prop2021DistTar!AL18</f>
        <v>109.86148665068743</v>
      </c>
      <c r="Y18" s="285">
        <f>Prop2021DistTar!AM18</f>
        <v>0</v>
      </c>
      <c r="Z18" s="285">
        <f>Prop2021DistTar!AN18</f>
        <v>0</v>
      </c>
      <c r="AA18" s="285">
        <f>Prop2021DistTar!AO18</f>
        <v>0</v>
      </c>
      <c r="AB18" s="285">
        <f>Prop2021DistTar!AP18</f>
        <v>0</v>
      </c>
      <c r="AC18" s="285">
        <f>Prop2021DistTar!AQ18</f>
        <v>0</v>
      </c>
      <c r="AD18" s="286">
        <f>Prop2021DistTar!AR18</f>
        <v>0</v>
      </c>
      <c r="AF18" s="266">
        <f t="shared" si="5"/>
        <v>0</v>
      </c>
      <c r="AG18" s="267">
        <f t="shared" si="6"/>
        <v>275.22445228861653</v>
      </c>
      <c r="AH18" s="267">
        <f t="shared" si="6"/>
        <v>0</v>
      </c>
      <c r="AI18" s="267">
        <f t="shared" si="6"/>
        <v>0</v>
      </c>
      <c r="AJ18" s="267">
        <f t="shared" si="2"/>
        <v>0</v>
      </c>
      <c r="AK18" s="267">
        <f t="shared" si="2"/>
        <v>226.93829223416964</v>
      </c>
      <c r="AL18" s="267">
        <f t="shared" si="2"/>
        <v>88.987804187056824</v>
      </c>
      <c r="AM18" s="267">
        <f t="shared" si="3"/>
        <v>0</v>
      </c>
      <c r="AN18" s="267">
        <f t="shared" si="3"/>
        <v>0</v>
      </c>
      <c r="AO18" s="267">
        <f t="shared" si="3"/>
        <v>0</v>
      </c>
      <c r="AP18" s="267">
        <f t="shared" si="3"/>
        <v>0</v>
      </c>
      <c r="AQ18" s="267">
        <f t="shared" si="3"/>
        <v>0</v>
      </c>
      <c r="AR18" s="267">
        <f t="shared" si="3"/>
        <v>0</v>
      </c>
      <c r="AS18" s="182">
        <f t="shared" si="7"/>
        <v>591.15054870984295</v>
      </c>
    </row>
    <row r="19" spans="2:45" s="170" customFormat="1" x14ac:dyDescent="0.2">
      <c r="B19" s="173" t="str">
        <f>Prop2021DistTar!B19</f>
        <v>Residential Bulk Demand</v>
      </c>
      <c r="C19" s="283"/>
      <c r="D19" s="322">
        <v>0</v>
      </c>
      <c r="E19" s="323">
        <v>0.98</v>
      </c>
      <c r="F19" s="323">
        <v>0</v>
      </c>
      <c r="G19" s="323">
        <v>0</v>
      </c>
      <c r="H19" s="323">
        <v>0</v>
      </c>
      <c r="I19" s="323">
        <v>2.38</v>
      </c>
      <c r="J19" s="323">
        <v>0.81</v>
      </c>
      <c r="K19" s="323">
        <v>0</v>
      </c>
      <c r="L19" s="323">
        <v>0</v>
      </c>
      <c r="M19" s="323">
        <v>0</v>
      </c>
      <c r="N19" s="323">
        <v>0</v>
      </c>
      <c r="O19" s="323">
        <v>0</v>
      </c>
      <c r="P19" s="324">
        <v>0</v>
      </c>
      <c r="Q19" s="298"/>
      <c r="R19" s="284">
        <f>Prop2021DistTar!AF19</f>
        <v>0.82328491479595112</v>
      </c>
      <c r="S19" s="285">
        <f>Prop2021DistTar!AG19</f>
        <v>4301.9832508745367</v>
      </c>
      <c r="T19" s="285">
        <f>Prop2021DistTar!AH19</f>
        <v>0</v>
      </c>
      <c r="U19" s="285">
        <f>Prop2021DistTar!AI19</f>
        <v>0</v>
      </c>
      <c r="V19" s="285">
        <f>Prop2021DistTar!AJ19</f>
        <v>0</v>
      </c>
      <c r="W19" s="285">
        <f>Prop2021DistTar!AK19</f>
        <v>12.711256932654223</v>
      </c>
      <c r="X19" s="285">
        <f>Prop2021DistTar!AL19</f>
        <v>14.970733490906277</v>
      </c>
      <c r="Y19" s="285">
        <f>Prop2021DistTar!AM19</f>
        <v>0</v>
      </c>
      <c r="Z19" s="285">
        <f>Prop2021DistTar!AN19</f>
        <v>0</v>
      </c>
      <c r="AA19" s="285">
        <f>Prop2021DistTar!AO19</f>
        <v>0</v>
      </c>
      <c r="AB19" s="285">
        <f>Prop2021DistTar!AP19</f>
        <v>0</v>
      </c>
      <c r="AC19" s="285">
        <f>Prop2021DistTar!AQ19</f>
        <v>0</v>
      </c>
      <c r="AD19" s="286">
        <f>Prop2021DistTar!AR19</f>
        <v>0</v>
      </c>
      <c r="AF19" s="266">
        <f t="shared" si="5"/>
        <v>0</v>
      </c>
      <c r="AG19" s="267">
        <f t="shared" si="6"/>
        <v>42.159435858570461</v>
      </c>
      <c r="AH19" s="267">
        <f t="shared" si="6"/>
        <v>0</v>
      </c>
      <c r="AI19" s="267">
        <f t="shared" si="6"/>
        <v>0</v>
      </c>
      <c r="AJ19" s="267">
        <f t="shared" si="2"/>
        <v>0</v>
      </c>
      <c r="AK19" s="267">
        <f t="shared" si="2"/>
        <v>30.252791499717048</v>
      </c>
      <c r="AL19" s="267">
        <f t="shared" si="2"/>
        <v>12.126294127634084</v>
      </c>
      <c r="AM19" s="267">
        <f t="shared" si="3"/>
        <v>0</v>
      </c>
      <c r="AN19" s="267">
        <f t="shared" si="3"/>
        <v>0</v>
      </c>
      <c r="AO19" s="267">
        <f t="shared" si="3"/>
        <v>0</v>
      </c>
      <c r="AP19" s="267">
        <f t="shared" si="3"/>
        <v>0</v>
      </c>
      <c r="AQ19" s="267">
        <f t="shared" si="3"/>
        <v>0</v>
      </c>
      <c r="AR19" s="267">
        <f t="shared" si="3"/>
        <v>0</v>
      </c>
      <c r="AS19" s="182">
        <f t="shared" si="7"/>
        <v>84.538521485921592</v>
      </c>
    </row>
    <row r="20" spans="2:45" s="170" customFormat="1" x14ac:dyDescent="0.2">
      <c r="B20" s="173" t="str">
        <f>Prop2021DistTar!B20</f>
        <v>Non-Residential Single Rate</v>
      </c>
      <c r="C20" s="283"/>
      <c r="D20" s="322">
        <v>0</v>
      </c>
      <c r="E20" s="323">
        <v>2.8</v>
      </c>
      <c r="F20" s="323">
        <v>0</v>
      </c>
      <c r="G20" s="323">
        <v>0</v>
      </c>
      <c r="H20" s="323">
        <v>0</v>
      </c>
      <c r="I20" s="323">
        <v>0</v>
      </c>
      <c r="J20" s="323">
        <v>0</v>
      </c>
      <c r="K20" s="323">
        <v>0</v>
      </c>
      <c r="L20" s="323">
        <v>0</v>
      </c>
      <c r="M20" s="323">
        <v>0</v>
      </c>
      <c r="N20" s="323">
        <v>0</v>
      </c>
      <c r="O20" s="323">
        <v>0</v>
      </c>
      <c r="P20" s="324">
        <v>0</v>
      </c>
      <c r="Q20" s="298"/>
      <c r="R20" s="284">
        <f>Prop2021DistTar!AF20</f>
        <v>9615.4022222222247</v>
      </c>
      <c r="S20" s="285">
        <f>Prop2021DistTar!AG20</f>
        <v>101768262.25238639</v>
      </c>
      <c r="T20" s="285">
        <f>Prop2021DistTar!AH20</f>
        <v>0</v>
      </c>
      <c r="U20" s="285">
        <f>Prop2021DistTar!AI20</f>
        <v>0</v>
      </c>
      <c r="V20" s="285">
        <f>Prop2021DistTar!AJ20</f>
        <v>0</v>
      </c>
      <c r="W20" s="285">
        <f>Prop2021DistTar!AK20</f>
        <v>0</v>
      </c>
      <c r="X20" s="285">
        <f>Prop2021DistTar!AL20</f>
        <v>0</v>
      </c>
      <c r="Y20" s="285">
        <f>Prop2021DistTar!AM20</f>
        <v>0</v>
      </c>
      <c r="Z20" s="285">
        <f>Prop2021DistTar!AN20</f>
        <v>0</v>
      </c>
      <c r="AA20" s="285">
        <f>Prop2021DistTar!AO20</f>
        <v>0</v>
      </c>
      <c r="AB20" s="285">
        <f>Prop2021DistTar!AP20</f>
        <v>0</v>
      </c>
      <c r="AC20" s="285">
        <f>Prop2021DistTar!AQ20</f>
        <v>0</v>
      </c>
      <c r="AD20" s="286">
        <f>Prop2021DistTar!AR20</f>
        <v>0</v>
      </c>
      <c r="AF20" s="266">
        <f t="shared" si="5"/>
        <v>0</v>
      </c>
      <c r="AG20" s="267">
        <f t="shared" si="6"/>
        <v>2849511.3430668185</v>
      </c>
      <c r="AH20" s="267">
        <f t="shared" si="6"/>
        <v>0</v>
      </c>
      <c r="AI20" s="267">
        <f t="shared" si="6"/>
        <v>0</v>
      </c>
      <c r="AJ20" s="267">
        <f t="shared" si="2"/>
        <v>0</v>
      </c>
      <c r="AK20" s="267">
        <f t="shared" si="2"/>
        <v>0</v>
      </c>
      <c r="AL20" s="267">
        <f t="shared" si="2"/>
        <v>0</v>
      </c>
      <c r="AM20" s="267">
        <f t="shared" si="3"/>
        <v>0</v>
      </c>
      <c r="AN20" s="267">
        <f t="shared" si="3"/>
        <v>0</v>
      </c>
      <c r="AO20" s="267">
        <f t="shared" si="3"/>
        <v>0</v>
      </c>
      <c r="AP20" s="267">
        <f t="shared" si="3"/>
        <v>0</v>
      </c>
      <c r="AQ20" s="267">
        <f t="shared" si="3"/>
        <v>0</v>
      </c>
      <c r="AR20" s="267">
        <f t="shared" si="3"/>
        <v>0</v>
      </c>
      <c r="AS20" s="182">
        <f t="shared" si="7"/>
        <v>2849511.3430668185</v>
      </c>
    </row>
    <row r="21" spans="2:45" s="170" customFormat="1" x14ac:dyDescent="0.2">
      <c r="B21" s="173" t="str">
        <f>Prop2021DistTar!B21</f>
        <v>Non-Residential Single Rate - Bulk</v>
      </c>
      <c r="C21" s="283"/>
      <c r="D21" s="322">
        <v>0</v>
      </c>
      <c r="E21" s="323">
        <v>2.8</v>
      </c>
      <c r="F21" s="323">
        <v>0</v>
      </c>
      <c r="G21" s="323">
        <v>0</v>
      </c>
      <c r="H21" s="323">
        <v>0</v>
      </c>
      <c r="I21" s="323">
        <v>0</v>
      </c>
      <c r="J21" s="323">
        <v>0</v>
      </c>
      <c r="K21" s="323">
        <v>0</v>
      </c>
      <c r="L21" s="323">
        <v>0</v>
      </c>
      <c r="M21" s="323">
        <v>0</v>
      </c>
      <c r="N21" s="323">
        <v>0</v>
      </c>
      <c r="O21" s="323">
        <v>0</v>
      </c>
      <c r="P21" s="324">
        <v>0</v>
      </c>
      <c r="Q21" s="298"/>
      <c r="R21" s="284">
        <f>Prop2021DistTar!AF21</f>
        <v>3064.9233333333336</v>
      </c>
      <c r="S21" s="285">
        <f>Prop2021DistTar!AG21</f>
        <v>38230383.354700655</v>
      </c>
      <c r="T21" s="285">
        <f>Prop2021DistTar!AH21</f>
        <v>0</v>
      </c>
      <c r="U21" s="285">
        <f>Prop2021DistTar!AI21</f>
        <v>0</v>
      </c>
      <c r="V21" s="285">
        <f>Prop2021DistTar!AJ21</f>
        <v>0</v>
      </c>
      <c r="W21" s="285">
        <f>Prop2021DistTar!AK21</f>
        <v>0</v>
      </c>
      <c r="X21" s="285">
        <f>Prop2021DistTar!AL21</f>
        <v>0</v>
      </c>
      <c r="Y21" s="285">
        <f>Prop2021DistTar!AM21</f>
        <v>0</v>
      </c>
      <c r="Z21" s="285">
        <f>Prop2021DistTar!AN21</f>
        <v>0</v>
      </c>
      <c r="AA21" s="285">
        <f>Prop2021DistTar!AO21</f>
        <v>0</v>
      </c>
      <c r="AB21" s="285">
        <f>Prop2021DistTar!AP21</f>
        <v>0</v>
      </c>
      <c r="AC21" s="285">
        <f>Prop2021DistTar!AQ21</f>
        <v>0</v>
      </c>
      <c r="AD21" s="286">
        <f>Prop2021DistTar!AR21</f>
        <v>0</v>
      </c>
      <c r="AF21" s="266">
        <f t="shared" si="5"/>
        <v>0</v>
      </c>
      <c r="AG21" s="267">
        <f t="shared" si="6"/>
        <v>1070450.7339316183</v>
      </c>
      <c r="AH21" s="267">
        <f t="shared" si="6"/>
        <v>0</v>
      </c>
      <c r="AI21" s="267">
        <f t="shared" si="6"/>
        <v>0</v>
      </c>
      <c r="AJ21" s="267">
        <f t="shared" si="2"/>
        <v>0</v>
      </c>
      <c r="AK21" s="267">
        <f t="shared" si="2"/>
        <v>0</v>
      </c>
      <c r="AL21" s="267">
        <f t="shared" si="2"/>
        <v>0</v>
      </c>
      <c r="AM21" s="267">
        <f t="shared" si="3"/>
        <v>0</v>
      </c>
      <c r="AN21" s="267">
        <f t="shared" si="3"/>
        <v>0</v>
      </c>
      <c r="AO21" s="267">
        <f t="shared" si="3"/>
        <v>0</v>
      </c>
      <c r="AP21" s="267">
        <f t="shared" si="3"/>
        <v>0</v>
      </c>
      <c r="AQ21" s="267">
        <f t="shared" si="3"/>
        <v>0</v>
      </c>
      <c r="AR21" s="267">
        <f t="shared" si="3"/>
        <v>0</v>
      </c>
      <c r="AS21" s="182">
        <f t="shared" si="7"/>
        <v>1070450.7339316183</v>
      </c>
    </row>
    <row r="22" spans="2:45" s="170" customFormat="1" x14ac:dyDescent="0.2">
      <c r="B22" s="190" t="str">
        <f>Prop2021DistTar!B22</f>
        <v>Non-Residential Two Rate 5d</v>
      </c>
      <c r="C22" s="283"/>
      <c r="D22" s="322">
        <v>0</v>
      </c>
      <c r="E22" s="323">
        <v>0</v>
      </c>
      <c r="F22" s="323">
        <v>3.8199999999999994</v>
      </c>
      <c r="G22" s="323">
        <v>1.25</v>
      </c>
      <c r="H22" s="323">
        <v>0</v>
      </c>
      <c r="I22" s="323">
        <v>0</v>
      </c>
      <c r="J22" s="323">
        <v>0</v>
      </c>
      <c r="K22" s="323">
        <v>0</v>
      </c>
      <c r="L22" s="323">
        <v>0</v>
      </c>
      <c r="M22" s="323">
        <v>0</v>
      </c>
      <c r="N22" s="323">
        <v>0</v>
      </c>
      <c r="O22" s="323">
        <v>0</v>
      </c>
      <c r="P22" s="324">
        <v>0</v>
      </c>
      <c r="Q22" s="298"/>
      <c r="R22" s="284">
        <f>Prop2021DistTar!AF22</f>
        <v>2404.997614247312</v>
      </c>
      <c r="S22" s="285">
        <f>Prop2021DistTar!AG22</f>
        <v>0</v>
      </c>
      <c r="T22" s="285">
        <f>Prop2021DistTar!AH22</f>
        <v>24207963.141548548</v>
      </c>
      <c r="U22" s="285">
        <f>Prop2021DistTar!AI22</f>
        <v>15407185.573076922</v>
      </c>
      <c r="V22" s="285">
        <f>Prop2021DistTar!AJ22</f>
        <v>0</v>
      </c>
      <c r="W22" s="285">
        <f>Prop2021DistTar!AK22</f>
        <v>0</v>
      </c>
      <c r="X22" s="285">
        <f>Prop2021DistTar!AL22</f>
        <v>0</v>
      </c>
      <c r="Y22" s="285">
        <f>Prop2021DistTar!AM22</f>
        <v>0</v>
      </c>
      <c r="Z22" s="285">
        <f>Prop2021DistTar!AN22</f>
        <v>0</v>
      </c>
      <c r="AA22" s="285">
        <f>Prop2021DistTar!AO22</f>
        <v>0</v>
      </c>
      <c r="AB22" s="285">
        <f>Prop2021DistTar!AP22</f>
        <v>0</v>
      </c>
      <c r="AC22" s="285">
        <f>Prop2021DistTar!AQ22</f>
        <v>0</v>
      </c>
      <c r="AD22" s="286">
        <f>Prop2021DistTar!AR22</f>
        <v>0</v>
      </c>
      <c r="AF22" s="266">
        <f t="shared" si="5"/>
        <v>0</v>
      </c>
      <c r="AG22" s="267">
        <f t="shared" si="6"/>
        <v>0</v>
      </c>
      <c r="AH22" s="267">
        <f t="shared" si="6"/>
        <v>924744.19200715434</v>
      </c>
      <c r="AI22" s="267">
        <f t="shared" si="6"/>
        <v>192589.81966346153</v>
      </c>
      <c r="AJ22" s="267">
        <f t="shared" ref="AJ22:AL65" si="8">H22*V22</f>
        <v>0</v>
      </c>
      <c r="AK22" s="267">
        <f t="shared" si="8"/>
        <v>0</v>
      </c>
      <c r="AL22" s="267">
        <f t="shared" si="8"/>
        <v>0</v>
      </c>
      <c r="AM22" s="267">
        <f t="shared" ref="AM22:AR64" si="9">K22/100*Y22</f>
        <v>0</v>
      </c>
      <c r="AN22" s="267">
        <f t="shared" si="9"/>
        <v>0</v>
      </c>
      <c r="AO22" s="267">
        <f t="shared" si="9"/>
        <v>0</v>
      </c>
      <c r="AP22" s="267">
        <f t="shared" si="9"/>
        <v>0</v>
      </c>
      <c r="AQ22" s="267">
        <f t="shared" si="9"/>
        <v>0</v>
      </c>
      <c r="AR22" s="267">
        <f t="shared" si="9"/>
        <v>0</v>
      </c>
      <c r="AS22" s="182">
        <f t="shared" si="7"/>
        <v>1117334.011670616</v>
      </c>
    </row>
    <row r="23" spans="2:45" s="170" customFormat="1" x14ac:dyDescent="0.2">
      <c r="B23" s="173" t="str">
        <f>Prop2021DistTar!B23</f>
        <v>Non-Residential Two Rate 5d - Bulk</v>
      </c>
      <c r="C23" s="283"/>
      <c r="D23" s="322">
        <v>0</v>
      </c>
      <c r="E23" s="323">
        <v>0</v>
      </c>
      <c r="F23" s="323">
        <v>3.8199999999999994</v>
      </c>
      <c r="G23" s="323">
        <v>1.25</v>
      </c>
      <c r="H23" s="323">
        <v>0</v>
      </c>
      <c r="I23" s="323">
        <v>0</v>
      </c>
      <c r="J23" s="323">
        <v>0</v>
      </c>
      <c r="K23" s="323">
        <v>0</v>
      </c>
      <c r="L23" s="323">
        <v>0</v>
      </c>
      <c r="M23" s="323">
        <v>0</v>
      </c>
      <c r="N23" s="323">
        <v>0</v>
      </c>
      <c r="O23" s="323">
        <v>0</v>
      </c>
      <c r="P23" s="324">
        <v>0</v>
      </c>
      <c r="Q23" s="298"/>
      <c r="R23" s="284">
        <f>Prop2021DistTar!AF23</f>
        <v>498.43003312211971</v>
      </c>
      <c r="S23" s="285">
        <f>Prop2021DistTar!AG23</f>
        <v>0</v>
      </c>
      <c r="T23" s="285">
        <f>Prop2021DistTar!AH23</f>
        <v>6458610.6276198849</v>
      </c>
      <c r="U23" s="285">
        <f>Prop2021DistTar!AI23</f>
        <v>3935479.6441410244</v>
      </c>
      <c r="V23" s="285">
        <f>Prop2021DistTar!AJ23</f>
        <v>0</v>
      </c>
      <c r="W23" s="285">
        <f>Prop2021DistTar!AK23</f>
        <v>0</v>
      </c>
      <c r="X23" s="285">
        <f>Prop2021DistTar!AL23</f>
        <v>0</v>
      </c>
      <c r="Y23" s="285">
        <f>Prop2021DistTar!AM23</f>
        <v>0</v>
      </c>
      <c r="Z23" s="285">
        <f>Prop2021DistTar!AN23</f>
        <v>0</v>
      </c>
      <c r="AA23" s="285">
        <f>Prop2021DistTar!AO23</f>
        <v>0</v>
      </c>
      <c r="AB23" s="285">
        <f>Prop2021DistTar!AP23</f>
        <v>0</v>
      </c>
      <c r="AC23" s="285">
        <f>Prop2021DistTar!AQ23</f>
        <v>0</v>
      </c>
      <c r="AD23" s="286">
        <f>Prop2021DistTar!AR23</f>
        <v>0</v>
      </c>
      <c r="AF23" s="266">
        <f t="shared" si="5"/>
        <v>0</v>
      </c>
      <c r="AG23" s="267">
        <f t="shared" si="6"/>
        <v>0</v>
      </c>
      <c r="AH23" s="267">
        <f t="shared" si="6"/>
        <v>246718.92597507953</v>
      </c>
      <c r="AI23" s="267">
        <f t="shared" si="6"/>
        <v>49193.495551762811</v>
      </c>
      <c r="AJ23" s="267">
        <f t="shared" si="8"/>
        <v>0</v>
      </c>
      <c r="AK23" s="267">
        <f t="shared" si="8"/>
        <v>0</v>
      </c>
      <c r="AL23" s="267">
        <f t="shared" si="8"/>
        <v>0</v>
      </c>
      <c r="AM23" s="267">
        <f t="shared" si="9"/>
        <v>0</v>
      </c>
      <c r="AN23" s="267">
        <f t="shared" si="9"/>
        <v>0</v>
      </c>
      <c r="AO23" s="267">
        <f t="shared" si="9"/>
        <v>0</v>
      </c>
      <c r="AP23" s="267">
        <f t="shared" si="9"/>
        <v>0</v>
      </c>
      <c r="AQ23" s="267">
        <f t="shared" si="9"/>
        <v>0</v>
      </c>
      <c r="AR23" s="267">
        <f t="shared" si="9"/>
        <v>0</v>
      </c>
      <c r="AS23" s="182">
        <f t="shared" si="7"/>
        <v>295912.42152684234</v>
      </c>
    </row>
    <row r="24" spans="2:45" s="170" customFormat="1" x14ac:dyDescent="0.2">
      <c r="B24" s="173" t="str">
        <f>Prop2021DistTar!B24</f>
        <v>Non-Residential Interval</v>
      </c>
      <c r="C24" s="283"/>
      <c r="D24" s="322">
        <v>0</v>
      </c>
      <c r="E24" s="323">
        <v>0</v>
      </c>
      <c r="F24" s="323">
        <v>3.8199999999999994</v>
      </c>
      <c r="G24" s="323">
        <v>1.25</v>
      </c>
      <c r="H24" s="323">
        <v>0</v>
      </c>
      <c r="I24" s="323">
        <v>0</v>
      </c>
      <c r="J24" s="323">
        <v>0</v>
      </c>
      <c r="K24" s="323">
        <v>0</v>
      </c>
      <c r="L24" s="323">
        <v>0</v>
      </c>
      <c r="M24" s="323">
        <v>0</v>
      </c>
      <c r="N24" s="323">
        <v>0</v>
      </c>
      <c r="O24" s="323">
        <v>0</v>
      </c>
      <c r="P24" s="324">
        <v>0</v>
      </c>
      <c r="Q24" s="298"/>
      <c r="R24" s="284">
        <f>Prop2021DistTar!AF24</f>
        <v>1896.5956418010758</v>
      </c>
      <c r="S24" s="285">
        <f>Prop2021DistTar!AG24</f>
        <v>0</v>
      </c>
      <c r="T24" s="285">
        <f>Prop2021DistTar!AH24</f>
        <v>18861774.575420383</v>
      </c>
      <c r="U24" s="285">
        <f>Prop2021DistTar!AI24</f>
        <v>10882443.506134985</v>
      </c>
      <c r="V24" s="285">
        <f>Prop2021DistTar!AJ24</f>
        <v>0</v>
      </c>
      <c r="W24" s="285">
        <f>Prop2021DistTar!AK24</f>
        <v>0</v>
      </c>
      <c r="X24" s="285">
        <f>Prop2021DistTar!AL24</f>
        <v>0</v>
      </c>
      <c r="Y24" s="285">
        <f>Prop2021DistTar!AM24</f>
        <v>0</v>
      </c>
      <c r="Z24" s="285">
        <f>Prop2021DistTar!AN24</f>
        <v>0</v>
      </c>
      <c r="AA24" s="285">
        <f>Prop2021DistTar!AO24</f>
        <v>0</v>
      </c>
      <c r="AB24" s="285">
        <f>Prop2021DistTar!AP24</f>
        <v>0</v>
      </c>
      <c r="AC24" s="285">
        <f>Prop2021DistTar!AQ24</f>
        <v>0</v>
      </c>
      <c r="AD24" s="286">
        <f>Prop2021DistTar!AR24</f>
        <v>0</v>
      </c>
      <c r="AF24" s="266">
        <f t="shared" si="5"/>
        <v>0</v>
      </c>
      <c r="AG24" s="267">
        <f t="shared" si="6"/>
        <v>0</v>
      </c>
      <c r="AH24" s="267">
        <f t="shared" si="6"/>
        <v>720519.78878105851</v>
      </c>
      <c r="AI24" s="267">
        <f t="shared" si="6"/>
        <v>136030.54382668732</v>
      </c>
      <c r="AJ24" s="267">
        <f t="shared" si="8"/>
        <v>0</v>
      </c>
      <c r="AK24" s="267">
        <f t="shared" si="8"/>
        <v>0</v>
      </c>
      <c r="AL24" s="267">
        <f t="shared" si="8"/>
        <v>0</v>
      </c>
      <c r="AM24" s="267">
        <f t="shared" si="9"/>
        <v>0</v>
      </c>
      <c r="AN24" s="267">
        <f t="shared" si="9"/>
        <v>0</v>
      </c>
      <c r="AO24" s="267">
        <f t="shared" si="9"/>
        <v>0</v>
      </c>
      <c r="AP24" s="267">
        <f t="shared" si="9"/>
        <v>0</v>
      </c>
      <c r="AQ24" s="267">
        <f t="shared" si="9"/>
        <v>0</v>
      </c>
      <c r="AR24" s="267">
        <f t="shared" si="9"/>
        <v>0</v>
      </c>
      <c r="AS24" s="182">
        <f t="shared" si="7"/>
        <v>856550.33260774589</v>
      </c>
    </row>
    <row r="25" spans="2:45" s="170" customFormat="1" x14ac:dyDescent="0.2">
      <c r="B25" s="173" t="str">
        <f>Prop2021DistTar!B25</f>
        <v>Non-Residential Interval - Bulk</v>
      </c>
      <c r="C25" s="283"/>
      <c r="D25" s="322">
        <v>0</v>
      </c>
      <c r="E25" s="323">
        <v>0</v>
      </c>
      <c r="F25" s="323">
        <v>3.8199999999999994</v>
      </c>
      <c r="G25" s="323">
        <v>1.25</v>
      </c>
      <c r="H25" s="323">
        <v>0</v>
      </c>
      <c r="I25" s="323">
        <v>0</v>
      </c>
      <c r="J25" s="323">
        <v>0</v>
      </c>
      <c r="K25" s="323">
        <v>0</v>
      </c>
      <c r="L25" s="323">
        <v>0</v>
      </c>
      <c r="M25" s="323">
        <v>0</v>
      </c>
      <c r="N25" s="323">
        <v>0</v>
      </c>
      <c r="O25" s="323">
        <v>0</v>
      </c>
      <c r="P25" s="324">
        <v>0</v>
      </c>
      <c r="Q25" s="298"/>
      <c r="R25" s="284">
        <f>Prop2021DistTar!AF25</f>
        <v>879.66478974654399</v>
      </c>
      <c r="S25" s="285">
        <f>Prop2021DistTar!AG25</f>
        <v>0</v>
      </c>
      <c r="T25" s="285">
        <f>Prop2021DistTar!AH25</f>
        <v>11015899.562370686</v>
      </c>
      <c r="U25" s="285">
        <f>Prop2021DistTar!AI25</f>
        <v>5761774.6322561689</v>
      </c>
      <c r="V25" s="285">
        <f>Prop2021DistTar!AJ25</f>
        <v>0</v>
      </c>
      <c r="W25" s="285">
        <f>Prop2021DistTar!AK25</f>
        <v>0</v>
      </c>
      <c r="X25" s="285">
        <f>Prop2021DistTar!AL25</f>
        <v>0</v>
      </c>
      <c r="Y25" s="285">
        <f>Prop2021DistTar!AM25</f>
        <v>0</v>
      </c>
      <c r="Z25" s="285">
        <f>Prop2021DistTar!AN25</f>
        <v>0</v>
      </c>
      <c r="AA25" s="285">
        <f>Prop2021DistTar!AO25</f>
        <v>0</v>
      </c>
      <c r="AB25" s="285">
        <f>Prop2021DistTar!AP25</f>
        <v>0</v>
      </c>
      <c r="AC25" s="285">
        <f>Prop2021DistTar!AQ25</f>
        <v>0</v>
      </c>
      <c r="AD25" s="286">
        <f>Prop2021DistTar!AR25</f>
        <v>0</v>
      </c>
      <c r="AF25" s="266">
        <f t="shared" si="5"/>
        <v>0</v>
      </c>
      <c r="AG25" s="267">
        <f t="shared" si="6"/>
        <v>0</v>
      </c>
      <c r="AH25" s="267">
        <f t="shared" si="6"/>
        <v>420807.36328256008</v>
      </c>
      <c r="AI25" s="267">
        <f t="shared" si="6"/>
        <v>72022.18290320212</v>
      </c>
      <c r="AJ25" s="267">
        <f t="shared" si="8"/>
        <v>0</v>
      </c>
      <c r="AK25" s="267">
        <f t="shared" si="8"/>
        <v>0</v>
      </c>
      <c r="AL25" s="267">
        <f t="shared" si="8"/>
        <v>0</v>
      </c>
      <c r="AM25" s="267">
        <f t="shared" si="9"/>
        <v>0</v>
      </c>
      <c r="AN25" s="267">
        <f t="shared" si="9"/>
        <v>0</v>
      </c>
      <c r="AO25" s="267">
        <f t="shared" si="9"/>
        <v>0</v>
      </c>
      <c r="AP25" s="267">
        <f t="shared" si="9"/>
        <v>0</v>
      </c>
      <c r="AQ25" s="267">
        <f t="shared" si="9"/>
        <v>0</v>
      </c>
      <c r="AR25" s="267">
        <f t="shared" si="9"/>
        <v>0</v>
      </c>
      <c r="AS25" s="182">
        <f t="shared" si="7"/>
        <v>492829.54618576221</v>
      </c>
    </row>
    <row r="26" spans="2:45" s="170" customFormat="1" x14ac:dyDescent="0.2">
      <c r="B26" s="173" t="str">
        <f>Prop2021DistTar!B26</f>
        <v>Non-Residential Flexible Pricing</v>
      </c>
      <c r="C26" s="283"/>
      <c r="D26" s="322">
        <v>0</v>
      </c>
      <c r="E26" s="323">
        <v>0</v>
      </c>
      <c r="F26" s="323">
        <v>0</v>
      </c>
      <c r="G26" s="323">
        <v>0</v>
      </c>
      <c r="H26" s="323">
        <v>0</v>
      </c>
      <c r="I26" s="323">
        <v>0</v>
      </c>
      <c r="J26" s="323">
        <v>0</v>
      </c>
      <c r="K26" s="323">
        <v>4.1899999999999995</v>
      </c>
      <c r="L26" s="323">
        <v>2.52</v>
      </c>
      <c r="M26" s="323">
        <v>1.34</v>
      </c>
      <c r="N26" s="323">
        <v>4.1899999999999995</v>
      </c>
      <c r="O26" s="323">
        <v>2.52</v>
      </c>
      <c r="P26" s="324">
        <v>1.34</v>
      </c>
      <c r="Q26" s="298"/>
      <c r="R26" s="284">
        <f>Prop2021DistTar!AF26</f>
        <v>11.643154799914861</v>
      </c>
      <c r="S26" s="285">
        <f>Prop2021DistTar!AG26</f>
        <v>0</v>
      </c>
      <c r="T26" s="285">
        <f>Prop2021DistTar!AH26</f>
        <v>0</v>
      </c>
      <c r="U26" s="285">
        <f>Prop2021DistTar!AI26</f>
        <v>0</v>
      </c>
      <c r="V26" s="285">
        <f>Prop2021DistTar!AJ26</f>
        <v>0</v>
      </c>
      <c r="W26" s="285">
        <f>Prop2021DistTar!AK26</f>
        <v>0</v>
      </c>
      <c r="X26" s="285">
        <f>Prop2021DistTar!AL26</f>
        <v>0</v>
      </c>
      <c r="Y26" s="285">
        <f>Prop2021DistTar!AM26</f>
        <v>29593.782604069216</v>
      </c>
      <c r="Z26" s="285">
        <f>Prop2021DistTar!AN26</f>
        <v>7908.0640875583613</v>
      </c>
      <c r="AA26" s="285">
        <f>Prop2021DistTar!AO26</f>
        <v>22801.159045133496</v>
      </c>
      <c r="AB26" s="285">
        <f>Prop2021DistTar!AP26</f>
        <v>62653.68538860172</v>
      </c>
      <c r="AC26" s="285">
        <f>Prop2021DistTar!AQ26</f>
        <v>16742.346390915671</v>
      </c>
      <c r="AD26" s="286">
        <f>Prop2021DistTar!AR26</f>
        <v>48272.864081688276</v>
      </c>
      <c r="AF26" s="266">
        <f t="shared" si="5"/>
        <v>0</v>
      </c>
      <c r="AG26" s="267">
        <f t="shared" si="6"/>
        <v>0</v>
      </c>
      <c r="AH26" s="267">
        <f t="shared" si="6"/>
        <v>0</v>
      </c>
      <c r="AI26" s="267">
        <f t="shared" si="6"/>
        <v>0</v>
      </c>
      <c r="AJ26" s="267">
        <f t="shared" si="8"/>
        <v>0</v>
      </c>
      <c r="AK26" s="267">
        <f t="shared" si="8"/>
        <v>0</v>
      </c>
      <c r="AL26" s="267">
        <f t="shared" si="8"/>
        <v>0</v>
      </c>
      <c r="AM26" s="267">
        <f t="shared" si="9"/>
        <v>1239.9794911105</v>
      </c>
      <c r="AN26" s="267">
        <f t="shared" si="9"/>
        <v>199.2832150064707</v>
      </c>
      <c r="AO26" s="267">
        <f t="shared" si="9"/>
        <v>305.53553120478887</v>
      </c>
      <c r="AP26" s="267">
        <f t="shared" si="9"/>
        <v>2625.1894177824115</v>
      </c>
      <c r="AQ26" s="267">
        <f t="shared" si="9"/>
        <v>421.90712905107489</v>
      </c>
      <c r="AR26" s="267">
        <f t="shared" si="9"/>
        <v>646.85637869462289</v>
      </c>
      <c r="AS26" s="182">
        <f t="shared" si="7"/>
        <v>5438.7511628498687</v>
      </c>
    </row>
    <row r="27" spans="2:45" s="170" customFormat="1" x14ac:dyDescent="0.2">
      <c r="B27" s="190" t="str">
        <f>Prop2021DistTar!B27</f>
        <v>Non-Residential - Flexible Pricing Bulk</v>
      </c>
      <c r="C27" s="283"/>
      <c r="D27" s="322">
        <v>0</v>
      </c>
      <c r="E27" s="323">
        <v>0</v>
      </c>
      <c r="F27" s="323">
        <v>0</v>
      </c>
      <c r="G27" s="323">
        <v>0</v>
      </c>
      <c r="H27" s="323">
        <v>0</v>
      </c>
      <c r="I27" s="323">
        <v>0</v>
      </c>
      <c r="J27" s="323">
        <v>0</v>
      </c>
      <c r="K27" s="323">
        <v>4.1899999999999995</v>
      </c>
      <c r="L27" s="323">
        <v>2.52</v>
      </c>
      <c r="M27" s="323">
        <v>1.34</v>
      </c>
      <c r="N27" s="323">
        <v>4.1899999999999995</v>
      </c>
      <c r="O27" s="323">
        <v>2.52</v>
      </c>
      <c r="P27" s="324">
        <v>1.34</v>
      </c>
      <c r="Q27" s="298"/>
      <c r="R27" s="284">
        <f>Prop2021DistTar!AF27</f>
        <v>2</v>
      </c>
      <c r="S27" s="285">
        <f>Prop2021DistTar!AG27</f>
        <v>0</v>
      </c>
      <c r="T27" s="285">
        <f>Prop2021DistTar!AH27</f>
        <v>0</v>
      </c>
      <c r="U27" s="285">
        <f>Prop2021DistTar!AI27</f>
        <v>0</v>
      </c>
      <c r="V27" s="285">
        <f>Prop2021DistTar!AJ27</f>
        <v>0</v>
      </c>
      <c r="W27" s="285">
        <f>Prop2021DistTar!AK27</f>
        <v>0</v>
      </c>
      <c r="X27" s="285">
        <f>Prop2021DistTar!AL27</f>
        <v>0</v>
      </c>
      <c r="Y27" s="285">
        <f>Prop2021DistTar!AM27</f>
        <v>4740.9745224191065</v>
      </c>
      <c r="Z27" s="285">
        <f>Prop2021DistTar!AN27</f>
        <v>1173.7949288024301</v>
      </c>
      <c r="AA27" s="285">
        <f>Prop2021DistTar!AO27</f>
        <v>4184.9783852982573</v>
      </c>
      <c r="AB27" s="285">
        <f>Prop2021DistTar!AP27</f>
        <v>9779.6688792558016</v>
      </c>
      <c r="AC27" s="285">
        <f>Prop2021DistTar!AQ27</f>
        <v>2421.3008700118507</v>
      </c>
      <c r="AD27" s="286">
        <f>Prop2021DistTar!AR27</f>
        <v>8632.761615047868</v>
      </c>
      <c r="AF27" s="266">
        <f t="shared" si="5"/>
        <v>0</v>
      </c>
      <c r="AG27" s="267">
        <f t="shared" si="6"/>
        <v>0</v>
      </c>
      <c r="AH27" s="267">
        <f t="shared" si="6"/>
        <v>0</v>
      </c>
      <c r="AI27" s="267">
        <f t="shared" si="6"/>
        <v>0</v>
      </c>
      <c r="AJ27" s="267">
        <f t="shared" si="8"/>
        <v>0</v>
      </c>
      <c r="AK27" s="267">
        <f t="shared" si="8"/>
        <v>0</v>
      </c>
      <c r="AL27" s="267">
        <f t="shared" si="8"/>
        <v>0</v>
      </c>
      <c r="AM27" s="267">
        <f t="shared" si="9"/>
        <v>198.64683248936052</v>
      </c>
      <c r="AN27" s="267">
        <f t="shared" si="9"/>
        <v>29.579632205821241</v>
      </c>
      <c r="AO27" s="267">
        <f t="shared" si="9"/>
        <v>56.078710362996652</v>
      </c>
      <c r="AP27" s="267">
        <f t="shared" si="9"/>
        <v>409.768126040818</v>
      </c>
      <c r="AQ27" s="267">
        <f t="shared" si="9"/>
        <v>61.016781924298641</v>
      </c>
      <c r="AR27" s="267">
        <f t="shared" si="9"/>
        <v>115.67900564164144</v>
      </c>
      <c r="AS27" s="182">
        <f t="shared" si="7"/>
        <v>870.76908866493636</v>
      </c>
    </row>
    <row r="28" spans="2:45" s="170" customFormat="1" x14ac:dyDescent="0.2">
      <c r="B28" s="173" t="str">
        <f>Prop2021DistTar!B28</f>
        <v>Non-Residential Two Rate 7d</v>
      </c>
      <c r="C28" s="283"/>
      <c r="D28" s="322">
        <v>0</v>
      </c>
      <c r="E28" s="323">
        <v>0</v>
      </c>
      <c r="F28" s="323">
        <v>3.8199999999999994</v>
      </c>
      <c r="G28" s="323">
        <v>1.25</v>
      </c>
      <c r="H28" s="323">
        <v>0</v>
      </c>
      <c r="I28" s="323">
        <v>0</v>
      </c>
      <c r="J28" s="323">
        <v>0</v>
      </c>
      <c r="K28" s="323">
        <v>0</v>
      </c>
      <c r="L28" s="323">
        <v>0</v>
      </c>
      <c r="M28" s="323">
        <v>0</v>
      </c>
      <c r="N28" s="323">
        <v>0</v>
      </c>
      <c r="O28" s="323">
        <v>0</v>
      </c>
      <c r="P28" s="324">
        <v>0</v>
      </c>
      <c r="Q28" s="298"/>
      <c r="R28" s="284">
        <f>Prop2021DistTar!AF28</f>
        <v>1166.2158602150537</v>
      </c>
      <c r="S28" s="285">
        <f>Prop2021DistTar!AG28</f>
        <v>0</v>
      </c>
      <c r="T28" s="285">
        <f>Prop2021DistTar!AH28</f>
        <v>14668895.13001664</v>
      </c>
      <c r="U28" s="285">
        <f>Prop2021DistTar!AI28</f>
        <v>3551793.959507918</v>
      </c>
      <c r="V28" s="285">
        <f>Prop2021DistTar!AJ28</f>
        <v>0</v>
      </c>
      <c r="W28" s="285">
        <f>Prop2021DistTar!AK28</f>
        <v>0</v>
      </c>
      <c r="X28" s="285">
        <f>Prop2021DistTar!AL28</f>
        <v>0</v>
      </c>
      <c r="Y28" s="285">
        <f>Prop2021DistTar!AM28</f>
        <v>0</v>
      </c>
      <c r="Z28" s="285">
        <f>Prop2021DistTar!AN28</f>
        <v>0</v>
      </c>
      <c r="AA28" s="285">
        <f>Prop2021DistTar!AO28</f>
        <v>0</v>
      </c>
      <c r="AB28" s="285">
        <f>Prop2021DistTar!AP28</f>
        <v>0</v>
      </c>
      <c r="AC28" s="285">
        <f>Prop2021DistTar!AQ28</f>
        <v>0</v>
      </c>
      <c r="AD28" s="286">
        <f>Prop2021DistTar!AR28</f>
        <v>0</v>
      </c>
      <c r="AF28" s="266">
        <f t="shared" si="5"/>
        <v>0</v>
      </c>
      <c r="AG28" s="267">
        <f t="shared" si="6"/>
        <v>0</v>
      </c>
      <c r="AH28" s="267">
        <f t="shared" si="6"/>
        <v>560351.79396663548</v>
      </c>
      <c r="AI28" s="267">
        <f t="shared" si="6"/>
        <v>44397.424493848979</v>
      </c>
      <c r="AJ28" s="267">
        <f t="shared" si="8"/>
        <v>0</v>
      </c>
      <c r="AK28" s="267">
        <f t="shared" si="8"/>
        <v>0</v>
      </c>
      <c r="AL28" s="267">
        <f t="shared" si="8"/>
        <v>0</v>
      </c>
      <c r="AM28" s="267">
        <f t="shared" si="9"/>
        <v>0</v>
      </c>
      <c r="AN28" s="267">
        <f t="shared" si="9"/>
        <v>0</v>
      </c>
      <c r="AO28" s="267">
        <f t="shared" si="9"/>
        <v>0</v>
      </c>
      <c r="AP28" s="267">
        <f t="shared" si="9"/>
        <v>0</v>
      </c>
      <c r="AQ28" s="267">
        <f t="shared" si="9"/>
        <v>0</v>
      </c>
      <c r="AR28" s="267">
        <f t="shared" si="9"/>
        <v>0</v>
      </c>
      <c r="AS28" s="182">
        <f t="shared" si="7"/>
        <v>604749.21846048441</v>
      </c>
    </row>
    <row r="29" spans="2:45" s="170" customFormat="1" x14ac:dyDescent="0.2">
      <c r="B29" s="173" t="str">
        <f>Prop2021DistTar!B29</f>
        <v>Non-Residential Two Rate 7d - Bulk</v>
      </c>
      <c r="C29" s="283"/>
      <c r="D29" s="322">
        <v>0</v>
      </c>
      <c r="E29" s="323">
        <v>0</v>
      </c>
      <c r="F29" s="323">
        <v>3.8199999999999994</v>
      </c>
      <c r="G29" s="323">
        <v>1.25</v>
      </c>
      <c r="H29" s="323">
        <v>0</v>
      </c>
      <c r="I29" s="323">
        <v>0</v>
      </c>
      <c r="J29" s="323">
        <v>0</v>
      </c>
      <c r="K29" s="323">
        <v>0</v>
      </c>
      <c r="L29" s="323">
        <v>0</v>
      </c>
      <c r="M29" s="323">
        <v>0</v>
      </c>
      <c r="N29" s="323">
        <v>0</v>
      </c>
      <c r="O29" s="323">
        <v>0</v>
      </c>
      <c r="P29" s="324">
        <v>0</v>
      </c>
      <c r="Q29" s="298"/>
      <c r="R29" s="284">
        <f>Prop2021DistTar!AF29</f>
        <v>118.44097949735452</v>
      </c>
      <c r="S29" s="285">
        <f>Prop2021DistTar!AG29</f>
        <v>0</v>
      </c>
      <c r="T29" s="285">
        <f>Prop2021DistTar!AH29</f>
        <v>1921340.716041815</v>
      </c>
      <c r="U29" s="285">
        <f>Prop2021DistTar!AI29</f>
        <v>477760.02450356731</v>
      </c>
      <c r="V29" s="285">
        <f>Prop2021DistTar!AJ29</f>
        <v>0</v>
      </c>
      <c r="W29" s="285">
        <f>Prop2021DistTar!AK29</f>
        <v>0</v>
      </c>
      <c r="X29" s="285">
        <f>Prop2021DistTar!AL29</f>
        <v>0</v>
      </c>
      <c r="Y29" s="285">
        <f>Prop2021DistTar!AM29</f>
        <v>0</v>
      </c>
      <c r="Z29" s="285">
        <f>Prop2021DistTar!AN29</f>
        <v>0</v>
      </c>
      <c r="AA29" s="285">
        <f>Prop2021DistTar!AO29</f>
        <v>0</v>
      </c>
      <c r="AB29" s="285">
        <f>Prop2021DistTar!AP29</f>
        <v>0</v>
      </c>
      <c r="AC29" s="285">
        <f>Prop2021DistTar!AQ29</f>
        <v>0</v>
      </c>
      <c r="AD29" s="286">
        <f>Prop2021DistTar!AR29</f>
        <v>0</v>
      </c>
      <c r="AF29" s="266">
        <f t="shared" si="5"/>
        <v>0</v>
      </c>
      <c r="AG29" s="267">
        <f t="shared" si="6"/>
        <v>0</v>
      </c>
      <c r="AH29" s="267">
        <f t="shared" si="6"/>
        <v>73395.215352797313</v>
      </c>
      <c r="AI29" s="267">
        <f t="shared" si="6"/>
        <v>5972.0003062945916</v>
      </c>
      <c r="AJ29" s="267">
        <f t="shared" si="8"/>
        <v>0</v>
      </c>
      <c r="AK29" s="267">
        <f t="shared" si="8"/>
        <v>0</v>
      </c>
      <c r="AL29" s="267">
        <f t="shared" si="8"/>
        <v>0</v>
      </c>
      <c r="AM29" s="267">
        <f t="shared" si="9"/>
        <v>0</v>
      </c>
      <c r="AN29" s="267">
        <f t="shared" si="9"/>
        <v>0</v>
      </c>
      <c r="AO29" s="267">
        <f t="shared" si="9"/>
        <v>0</v>
      </c>
      <c r="AP29" s="267">
        <f t="shared" si="9"/>
        <v>0</v>
      </c>
      <c r="AQ29" s="267">
        <f t="shared" si="9"/>
        <v>0</v>
      </c>
      <c r="AR29" s="267">
        <f t="shared" si="9"/>
        <v>0</v>
      </c>
      <c r="AS29" s="182">
        <f t="shared" si="7"/>
        <v>79367.215659091904</v>
      </c>
    </row>
    <row r="30" spans="2:45" s="170" customFormat="1" x14ac:dyDescent="0.2">
      <c r="B30" s="173" t="str">
        <f>Prop2021DistTar!B30</f>
        <v>Large Two Rate 7d</v>
      </c>
      <c r="C30" s="283"/>
      <c r="D30" s="322">
        <v>0</v>
      </c>
      <c r="E30" s="323">
        <v>0</v>
      </c>
      <c r="F30" s="323">
        <v>3.8199999999999994</v>
      </c>
      <c r="G30" s="323">
        <v>1.25</v>
      </c>
      <c r="H30" s="323">
        <v>0</v>
      </c>
      <c r="I30" s="323">
        <v>0</v>
      </c>
      <c r="J30" s="323">
        <v>0</v>
      </c>
      <c r="K30" s="323">
        <v>0</v>
      </c>
      <c r="L30" s="323">
        <v>0</v>
      </c>
      <c r="M30" s="323">
        <v>0</v>
      </c>
      <c r="N30" s="323">
        <v>0</v>
      </c>
      <c r="O30" s="323">
        <v>0</v>
      </c>
      <c r="P30" s="324">
        <v>0</v>
      </c>
      <c r="Q30" s="298"/>
      <c r="R30" s="284">
        <f>Prop2021DistTar!AF30</f>
        <v>0.53775608872684355</v>
      </c>
      <c r="S30" s="285">
        <f>Prop2021DistTar!AG30</f>
        <v>0</v>
      </c>
      <c r="T30" s="285">
        <f>Prop2021DistTar!AH30</f>
        <v>15479.71640742166</v>
      </c>
      <c r="U30" s="285">
        <f>Prop2021DistTar!AI30</f>
        <v>6323.7509155303342</v>
      </c>
      <c r="V30" s="285">
        <f>Prop2021DistTar!AJ30</f>
        <v>0</v>
      </c>
      <c r="W30" s="285">
        <f>Prop2021DistTar!AK30</f>
        <v>0</v>
      </c>
      <c r="X30" s="285">
        <f>Prop2021DistTar!AL30</f>
        <v>0</v>
      </c>
      <c r="Y30" s="285">
        <f>Prop2021DistTar!AM30</f>
        <v>0</v>
      </c>
      <c r="Z30" s="285">
        <f>Prop2021DistTar!AN30</f>
        <v>0</v>
      </c>
      <c r="AA30" s="285">
        <f>Prop2021DistTar!AO30</f>
        <v>0</v>
      </c>
      <c r="AB30" s="285">
        <f>Prop2021DistTar!AP30</f>
        <v>0</v>
      </c>
      <c r="AC30" s="285">
        <f>Prop2021DistTar!AQ30</f>
        <v>0</v>
      </c>
      <c r="AD30" s="286">
        <f>Prop2021DistTar!AR30</f>
        <v>0</v>
      </c>
      <c r="AF30" s="266">
        <f t="shared" si="5"/>
        <v>0</v>
      </c>
      <c r="AG30" s="267">
        <f t="shared" si="6"/>
        <v>0</v>
      </c>
      <c r="AH30" s="267">
        <f t="shared" si="6"/>
        <v>591.32516676350724</v>
      </c>
      <c r="AI30" s="267">
        <f t="shared" si="6"/>
        <v>79.046886444129186</v>
      </c>
      <c r="AJ30" s="267">
        <f t="shared" si="8"/>
        <v>0</v>
      </c>
      <c r="AK30" s="267">
        <f t="shared" si="8"/>
        <v>0</v>
      </c>
      <c r="AL30" s="267">
        <f t="shared" si="8"/>
        <v>0</v>
      </c>
      <c r="AM30" s="267">
        <f t="shared" si="9"/>
        <v>0</v>
      </c>
      <c r="AN30" s="267">
        <f t="shared" si="9"/>
        <v>0</v>
      </c>
      <c r="AO30" s="267">
        <f t="shared" si="9"/>
        <v>0</v>
      </c>
      <c r="AP30" s="267">
        <f t="shared" si="9"/>
        <v>0</v>
      </c>
      <c r="AQ30" s="267">
        <f t="shared" si="9"/>
        <v>0</v>
      </c>
      <c r="AR30" s="267">
        <f t="shared" si="9"/>
        <v>0</v>
      </c>
      <c r="AS30" s="182">
        <f t="shared" si="7"/>
        <v>670.37205320763644</v>
      </c>
    </row>
    <row r="31" spans="2:45" s="170" customFormat="1" x14ac:dyDescent="0.2">
      <c r="B31" s="173" t="str">
        <f>Prop2021DistTar!B31</f>
        <v>Non-Residential Demand Tariff</v>
      </c>
      <c r="C31" s="283"/>
      <c r="D31" s="322">
        <v>0</v>
      </c>
      <c r="E31" s="323">
        <v>1.47</v>
      </c>
      <c r="F31" s="323">
        <v>0</v>
      </c>
      <c r="G31" s="323">
        <v>0</v>
      </c>
      <c r="H31" s="323">
        <v>0</v>
      </c>
      <c r="I31" s="323">
        <v>4.68</v>
      </c>
      <c r="J31" s="323">
        <v>1.56</v>
      </c>
      <c r="K31" s="323">
        <v>0</v>
      </c>
      <c r="L31" s="323">
        <v>0</v>
      </c>
      <c r="M31" s="323">
        <v>0</v>
      </c>
      <c r="N31" s="323">
        <v>0</v>
      </c>
      <c r="O31" s="323">
        <v>0</v>
      </c>
      <c r="P31" s="324">
        <v>0</v>
      </c>
      <c r="Q31" s="298"/>
      <c r="R31" s="284">
        <f>Prop2021DistTar!AF31</f>
        <v>28.048409317966456</v>
      </c>
      <c r="S31" s="285">
        <f>Prop2021DistTar!AG31</f>
        <v>1266843.3629458535</v>
      </c>
      <c r="T31" s="285">
        <f>Prop2021DistTar!AH31</f>
        <v>0</v>
      </c>
      <c r="U31" s="285">
        <f>Prop2021DistTar!AI31</f>
        <v>0</v>
      </c>
      <c r="V31" s="285">
        <f>Prop2021DistTar!AJ31</f>
        <v>0</v>
      </c>
      <c r="W31" s="285">
        <f>Prop2021DistTar!AK31</f>
        <v>872.54112576782813</v>
      </c>
      <c r="X31" s="285">
        <f>Prop2021DistTar!AL31</f>
        <v>944.50894899193509</v>
      </c>
      <c r="Y31" s="285">
        <f>Prop2021DistTar!AM31</f>
        <v>0</v>
      </c>
      <c r="Z31" s="285">
        <f>Prop2021DistTar!AN31</f>
        <v>0</v>
      </c>
      <c r="AA31" s="285">
        <f>Prop2021DistTar!AO31</f>
        <v>0</v>
      </c>
      <c r="AB31" s="285">
        <f>Prop2021DistTar!AP31</f>
        <v>0</v>
      </c>
      <c r="AC31" s="285">
        <f>Prop2021DistTar!AQ31</f>
        <v>0</v>
      </c>
      <c r="AD31" s="286">
        <f>Prop2021DistTar!AR31</f>
        <v>0</v>
      </c>
      <c r="AF31" s="266">
        <f t="shared" si="5"/>
        <v>0</v>
      </c>
      <c r="AG31" s="267">
        <f t="shared" si="6"/>
        <v>18622.597435304047</v>
      </c>
      <c r="AH31" s="267">
        <f t="shared" si="6"/>
        <v>0</v>
      </c>
      <c r="AI31" s="267">
        <f t="shared" si="6"/>
        <v>0</v>
      </c>
      <c r="AJ31" s="267">
        <f t="shared" si="8"/>
        <v>0</v>
      </c>
      <c r="AK31" s="267">
        <f t="shared" si="8"/>
        <v>4083.4924685934352</v>
      </c>
      <c r="AL31" s="267">
        <f t="shared" si="8"/>
        <v>1473.4339604274187</v>
      </c>
      <c r="AM31" s="267">
        <f t="shared" si="9"/>
        <v>0</v>
      </c>
      <c r="AN31" s="267">
        <f t="shared" si="9"/>
        <v>0</v>
      </c>
      <c r="AO31" s="267">
        <f t="shared" si="9"/>
        <v>0</v>
      </c>
      <c r="AP31" s="267">
        <f t="shared" si="9"/>
        <v>0</v>
      </c>
      <c r="AQ31" s="267">
        <f t="shared" si="9"/>
        <v>0</v>
      </c>
      <c r="AR31" s="267">
        <f t="shared" si="9"/>
        <v>0</v>
      </c>
      <c r="AS31" s="182">
        <f t="shared" si="7"/>
        <v>24179.523864324899</v>
      </c>
    </row>
    <row r="32" spans="2:45" s="170" customFormat="1" x14ac:dyDescent="0.2">
      <c r="B32" s="173" t="str">
        <f>Prop2021DistTar!B32</f>
        <v>Non-Residential Bulk Demand Tariff</v>
      </c>
      <c r="C32" s="283"/>
      <c r="D32" s="322">
        <v>0</v>
      </c>
      <c r="E32" s="323">
        <v>1.47</v>
      </c>
      <c r="F32" s="323">
        <v>0</v>
      </c>
      <c r="G32" s="323">
        <v>0</v>
      </c>
      <c r="H32" s="323">
        <v>0</v>
      </c>
      <c r="I32" s="323">
        <v>4.68</v>
      </c>
      <c r="J32" s="323">
        <v>1.56</v>
      </c>
      <c r="K32" s="323">
        <v>0</v>
      </c>
      <c r="L32" s="323">
        <v>0</v>
      </c>
      <c r="M32" s="323">
        <v>0</v>
      </c>
      <c r="N32" s="323">
        <v>0</v>
      </c>
      <c r="O32" s="323">
        <v>0</v>
      </c>
      <c r="P32" s="324">
        <v>0</v>
      </c>
      <c r="Q32" s="298"/>
      <c r="R32" s="284">
        <f>Prop2021DistTar!AF32</f>
        <v>47.072057411674336</v>
      </c>
      <c r="S32" s="285">
        <f>Prop2021DistTar!AG32</f>
        <v>2099978.6861341759</v>
      </c>
      <c r="T32" s="285">
        <f>Prop2021DistTar!AH32</f>
        <v>0</v>
      </c>
      <c r="U32" s="285">
        <f>Prop2021DistTar!AI32</f>
        <v>0</v>
      </c>
      <c r="V32" s="285">
        <f>Prop2021DistTar!AJ32</f>
        <v>0</v>
      </c>
      <c r="W32" s="285">
        <f>Prop2021DistTar!AK32</f>
        <v>1639.2637149884786</v>
      </c>
      <c r="X32" s="285">
        <f>Prop2021DistTar!AL32</f>
        <v>1755.4840432232454</v>
      </c>
      <c r="Y32" s="285">
        <f>Prop2021DistTar!AM32</f>
        <v>0</v>
      </c>
      <c r="Z32" s="285">
        <f>Prop2021DistTar!AN32</f>
        <v>0</v>
      </c>
      <c r="AA32" s="285">
        <f>Prop2021DistTar!AO32</f>
        <v>0</v>
      </c>
      <c r="AB32" s="285">
        <f>Prop2021DistTar!AP32</f>
        <v>0</v>
      </c>
      <c r="AC32" s="285">
        <f>Prop2021DistTar!AQ32</f>
        <v>0</v>
      </c>
      <c r="AD32" s="286">
        <f>Prop2021DistTar!AR32</f>
        <v>0</v>
      </c>
      <c r="AF32" s="266">
        <f t="shared" si="5"/>
        <v>0</v>
      </c>
      <c r="AG32" s="267">
        <f t="shared" si="6"/>
        <v>30869.686686172383</v>
      </c>
      <c r="AH32" s="267">
        <f t="shared" si="6"/>
        <v>0</v>
      </c>
      <c r="AI32" s="267">
        <f t="shared" si="6"/>
        <v>0</v>
      </c>
      <c r="AJ32" s="267">
        <f t="shared" si="8"/>
        <v>0</v>
      </c>
      <c r="AK32" s="267">
        <f t="shared" si="8"/>
        <v>7671.7541861460795</v>
      </c>
      <c r="AL32" s="267">
        <f t="shared" si="8"/>
        <v>2738.555107428263</v>
      </c>
      <c r="AM32" s="267">
        <f t="shared" si="9"/>
        <v>0</v>
      </c>
      <c r="AN32" s="267">
        <f t="shared" si="9"/>
        <v>0</v>
      </c>
      <c r="AO32" s="267">
        <f t="shared" si="9"/>
        <v>0</v>
      </c>
      <c r="AP32" s="267">
        <f t="shared" si="9"/>
        <v>0</v>
      </c>
      <c r="AQ32" s="267">
        <f t="shared" si="9"/>
        <v>0</v>
      </c>
      <c r="AR32" s="267">
        <f t="shared" si="9"/>
        <v>0</v>
      </c>
      <c r="AS32" s="182">
        <f t="shared" si="7"/>
        <v>41279.995979746724</v>
      </c>
    </row>
    <row r="33" spans="2:45" s="170" customFormat="1" x14ac:dyDescent="0.2">
      <c r="B33" s="173" t="str">
        <f>Prop2021DistTar!B33</f>
        <v>Medium Business Demand</v>
      </c>
      <c r="C33" s="283"/>
      <c r="D33" s="322">
        <v>0</v>
      </c>
      <c r="E33" s="323">
        <v>0</v>
      </c>
      <c r="F33" s="323">
        <v>1.58</v>
      </c>
      <c r="G33" s="323">
        <v>1.58</v>
      </c>
      <c r="H33" s="323">
        <v>0</v>
      </c>
      <c r="I33" s="323">
        <v>5.68</v>
      </c>
      <c r="J33" s="323">
        <v>1.89</v>
      </c>
      <c r="K33" s="323">
        <v>0</v>
      </c>
      <c r="L33" s="323">
        <v>0</v>
      </c>
      <c r="M33" s="323">
        <v>0</v>
      </c>
      <c r="N33" s="323">
        <v>0</v>
      </c>
      <c r="O33" s="323">
        <v>0</v>
      </c>
      <c r="P33" s="324">
        <v>0</v>
      </c>
      <c r="Q33" s="298"/>
      <c r="R33" s="284">
        <f>Prop2021DistTar!AF33</f>
        <v>2082.4436021505371</v>
      </c>
      <c r="S33" s="285">
        <f>Prop2021DistTar!AG33</f>
        <v>0</v>
      </c>
      <c r="T33" s="285">
        <f>Prop2021DistTar!AH33</f>
        <v>151592487.29663926</v>
      </c>
      <c r="U33" s="285">
        <f>Prop2021DistTar!AI33</f>
        <v>111797029.72782438</v>
      </c>
      <c r="V33" s="285">
        <f>Prop2021DistTar!AJ33</f>
        <v>0</v>
      </c>
      <c r="W33" s="285">
        <f>Prop2021DistTar!AK33</f>
        <v>512294.80274802417</v>
      </c>
      <c r="X33" s="285">
        <f>Prop2021DistTar!AL33</f>
        <v>439355.79901202157</v>
      </c>
      <c r="Y33" s="285">
        <f>Prop2021DistTar!AM33</f>
        <v>0</v>
      </c>
      <c r="Z33" s="285">
        <f>Prop2021DistTar!AN33</f>
        <v>0</v>
      </c>
      <c r="AA33" s="285">
        <f>Prop2021DistTar!AO33</f>
        <v>0</v>
      </c>
      <c r="AB33" s="285">
        <f>Prop2021DistTar!AP33</f>
        <v>0</v>
      </c>
      <c r="AC33" s="285">
        <f>Prop2021DistTar!AQ33</f>
        <v>0</v>
      </c>
      <c r="AD33" s="286">
        <f>Prop2021DistTar!AR33</f>
        <v>0</v>
      </c>
      <c r="AF33" s="266">
        <f t="shared" si="5"/>
        <v>0</v>
      </c>
      <c r="AG33" s="267">
        <f t="shared" si="6"/>
        <v>0</v>
      </c>
      <c r="AH33" s="267">
        <f t="shared" si="6"/>
        <v>2395161.2992869006</v>
      </c>
      <c r="AI33" s="267">
        <f t="shared" si="6"/>
        <v>1766393.0696996253</v>
      </c>
      <c r="AJ33" s="267">
        <f t="shared" si="8"/>
        <v>0</v>
      </c>
      <c r="AK33" s="267">
        <f t="shared" si="8"/>
        <v>2909834.479608777</v>
      </c>
      <c r="AL33" s="267">
        <f t="shared" si="8"/>
        <v>830382.46013272076</v>
      </c>
      <c r="AM33" s="267">
        <f t="shared" si="9"/>
        <v>0</v>
      </c>
      <c r="AN33" s="267">
        <f t="shared" si="9"/>
        <v>0</v>
      </c>
      <c r="AO33" s="267">
        <f t="shared" si="9"/>
        <v>0</v>
      </c>
      <c r="AP33" s="267">
        <f t="shared" si="9"/>
        <v>0</v>
      </c>
      <c r="AQ33" s="267">
        <f t="shared" si="9"/>
        <v>0</v>
      </c>
      <c r="AR33" s="267">
        <f t="shared" si="9"/>
        <v>0</v>
      </c>
      <c r="AS33" s="182">
        <f t="shared" si="7"/>
        <v>7901771.3087280234</v>
      </c>
    </row>
    <row r="34" spans="2:45" s="170" customFormat="1" x14ac:dyDescent="0.2">
      <c r="B34" s="173" t="str">
        <f>Prop2021DistTar!B34</f>
        <v>Medium Business Bulk Demand</v>
      </c>
      <c r="C34" s="283"/>
      <c r="D34" s="322">
        <v>0</v>
      </c>
      <c r="E34" s="323">
        <v>0</v>
      </c>
      <c r="F34" s="323">
        <v>1.58</v>
      </c>
      <c r="G34" s="323">
        <v>1.58</v>
      </c>
      <c r="H34" s="323">
        <v>0</v>
      </c>
      <c r="I34" s="323">
        <v>5.68</v>
      </c>
      <c r="J34" s="323">
        <v>1.89</v>
      </c>
      <c r="K34" s="323">
        <v>0</v>
      </c>
      <c r="L34" s="323">
        <v>0</v>
      </c>
      <c r="M34" s="323">
        <v>0</v>
      </c>
      <c r="N34" s="323">
        <v>0</v>
      </c>
      <c r="O34" s="323">
        <v>0</v>
      </c>
      <c r="P34" s="324">
        <v>0</v>
      </c>
      <c r="Q34" s="298"/>
      <c r="R34" s="284">
        <f>Prop2021DistTar!AF34</f>
        <v>1017.8014682033667</v>
      </c>
      <c r="S34" s="285">
        <f>Prop2021DistTar!AG34</f>
        <v>0</v>
      </c>
      <c r="T34" s="285">
        <f>Prop2021DistTar!AH34</f>
        <v>99242619.306177661</v>
      </c>
      <c r="U34" s="285">
        <f>Prop2021DistTar!AI34</f>
        <v>66564614.539026245</v>
      </c>
      <c r="V34" s="285">
        <f>Prop2021DistTar!AJ34</f>
        <v>0</v>
      </c>
      <c r="W34" s="285">
        <f>Prop2021DistTar!AK34</f>
        <v>358195.8147581977</v>
      </c>
      <c r="X34" s="285">
        <f>Prop2021DistTar!AL34</f>
        <v>286076.70838304039</v>
      </c>
      <c r="Y34" s="285">
        <f>Prop2021DistTar!AM34</f>
        <v>0</v>
      </c>
      <c r="Z34" s="285">
        <f>Prop2021DistTar!AN34</f>
        <v>0</v>
      </c>
      <c r="AA34" s="285">
        <f>Prop2021DistTar!AO34</f>
        <v>0</v>
      </c>
      <c r="AB34" s="285">
        <f>Prop2021DistTar!AP34</f>
        <v>0</v>
      </c>
      <c r="AC34" s="285">
        <f>Prop2021DistTar!AQ34</f>
        <v>0</v>
      </c>
      <c r="AD34" s="286">
        <f>Prop2021DistTar!AR34</f>
        <v>0</v>
      </c>
      <c r="AF34" s="266">
        <f t="shared" si="5"/>
        <v>0</v>
      </c>
      <c r="AG34" s="267">
        <f t="shared" si="6"/>
        <v>0</v>
      </c>
      <c r="AH34" s="267">
        <f t="shared" si="6"/>
        <v>1568033.3850376073</v>
      </c>
      <c r="AI34" s="267">
        <f t="shared" si="6"/>
        <v>1051720.9097166148</v>
      </c>
      <c r="AJ34" s="267">
        <f t="shared" si="8"/>
        <v>0</v>
      </c>
      <c r="AK34" s="267">
        <f t="shared" si="8"/>
        <v>2034552.2278265627</v>
      </c>
      <c r="AL34" s="267">
        <f t="shared" si="8"/>
        <v>540684.97884394636</v>
      </c>
      <c r="AM34" s="267">
        <f t="shared" si="9"/>
        <v>0</v>
      </c>
      <c r="AN34" s="267">
        <f t="shared" si="9"/>
        <v>0</v>
      </c>
      <c r="AO34" s="267">
        <f t="shared" si="9"/>
        <v>0</v>
      </c>
      <c r="AP34" s="267">
        <f t="shared" si="9"/>
        <v>0</v>
      </c>
      <c r="AQ34" s="267">
        <f t="shared" si="9"/>
        <v>0</v>
      </c>
      <c r="AR34" s="267">
        <f t="shared" si="9"/>
        <v>0</v>
      </c>
      <c r="AS34" s="182">
        <f t="shared" si="7"/>
        <v>5194991.5014247308</v>
      </c>
    </row>
    <row r="35" spans="2:45" s="170" customFormat="1" x14ac:dyDescent="0.2">
      <c r="B35" s="173" t="str">
        <f>Prop2021DistTar!B35</f>
        <v>Medium Business Opt-out</v>
      </c>
      <c r="C35" s="283"/>
      <c r="D35" s="322">
        <v>0</v>
      </c>
      <c r="E35" s="323">
        <v>0</v>
      </c>
      <c r="F35" s="323">
        <v>3.45</v>
      </c>
      <c r="G35" s="323">
        <v>1.86</v>
      </c>
      <c r="H35" s="323">
        <v>0</v>
      </c>
      <c r="I35" s="323">
        <v>0</v>
      </c>
      <c r="J35" s="323">
        <v>0</v>
      </c>
      <c r="K35" s="323">
        <v>0</v>
      </c>
      <c r="L35" s="323">
        <v>0</v>
      </c>
      <c r="M35" s="323">
        <v>0</v>
      </c>
      <c r="N35" s="323">
        <v>0</v>
      </c>
      <c r="O35" s="323">
        <v>0</v>
      </c>
      <c r="P35" s="324">
        <v>0</v>
      </c>
      <c r="Q35" s="298"/>
      <c r="R35" s="284">
        <f>Prop2021DistTar!AF35</f>
        <v>13.951895335523702</v>
      </c>
      <c r="S35" s="285">
        <f>Prop2021DistTar!AG35</f>
        <v>0</v>
      </c>
      <c r="T35" s="285">
        <f>Prop2021DistTar!AH35</f>
        <v>751872.7534410262</v>
      </c>
      <c r="U35" s="285">
        <f>Prop2021DistTar!AI35</f>
        <v>658346.80274918769</v>
      </c>
      <c r="V35" s="285">
        <f>Prop2021DistTar!AJ35</f>
        <v>0</v>
      </c>
      <c r="W35" s="285">
        <f>Prop2021DistTar!AK35</f>
        <v>0</v>
      </c>
      <c r="X35" s="285">
        <f>Prop2021DistTar!AL35</f>
        <v>0</v>
      </c>
      <c r="Y35" s="285">
        <f>Prop2021DistTar!AM35</f>
        <v>0</v>
      </c>
      <c r="Z35" s="285">
        <f>Prop2021DistTar!AN35</f>
        <v>0</v>
      </c>
      <c r="AA35" s="285">
        <f>Prop2021DistTar!AO35</f>
        <v>0</v>
      </c>
      <c r="AB35" s="285">
        <f>Prop2021DistTar!AP35</f>
        <v>0</v>
      </c>
      <c r="AC35" s="285">
        <f>Prop2021DistTar!AQ35</f>
        <v>0</v>
      </c>
      <c r="AD35" s="286">
        <f>Prop2021DistTar!AR35</f>
        <v>0</v>
      </c>
      <c r="AF35" s="266">
        <f t="shared" ref="AF35:AF54" si="10">D35*R35</f>
        <v>0</v>
      </c>
      <c r="AG35" s="267">
        <f t="shared" ref="AG35:AI54" si="11">E35/100*S35</f>
        <v>0</v>
      </c>
      <c r="AH35" s="267">
        <f t="shared" si="11"/>
        <v>25939.609993715407</v>
      </c>
      <c r="AI35" s="267">
        <f t="shared" si="11"/>
        <v>12245.250531134892</v>
      </c>
      <c r="AJ35" s="267">
        <f t="shared" si="8"/>
        <v>0</v>
      </c>
      <c r="AK35" s="267">
        <f t="shared" si="8"/>
        <v>0</v>
      </c>
      <c r="AL35" s="267">
        <f t="shared" si="8"/>
        <v>0</v>
      </c>
      <c r="AM35" s="267">
        <f t="shared" si="9"/>
        <v>0</v>
      </c>
      <c r="AN35" s="267">
        <f t="shared" si="9"/>
        <v>0</v>
      </c>
      <c r="AO35" s="267">
        <f t="shared" si="9"/>
        <v>0</v>
      </c>
      <c r="AP35" s="267">
        <f t="shared" si="9"/>
        <v>0</v>
      </c>
      <c r="AQ35" s="267">
        <f t="shared" si="9"/>
        <v>0</v>
      </c>
      <c r="AR35" s="267">
        <f t="shared" si="9"/>
        <v>0</v>
      </c>
      <c r="AS35" s="182">
        <f t="shared" ref="AS35:AS54" si="12">SUM(AF35:AR35)</f>
        <v>38184.860524850301</v>
      </c>
    </row>
    <row r="36" spans="2:45" s="170" customFormat="1" x14ac:dyDescent="0.2">
      <c r="B36" s="173" t="str">
        <f>Prop2021DistTar!B36</f>
        <v>Medium Business Bulk Opt-out</v>
      </c>
      <c r="C36" s="283"/>
      <c r="D36" s="322">
        <v>0</v>
      </c>
      <c r="E36" s="323">
        <v>0</v>
      </c>
      <c r="F36" s="323">
        <v>3.45</v>
      </c>
      <c r="G36" s="323">
        <v>1.86</v>
      </c>
      <c r="H36" s="323">
        <v>0</v>
      </c>
      <c r="I36" s="323">
        <v>0</v>
      </c>
      <c r="J36" s="323">
        <v>0</v>
      </c>
      <c r="K36" s="323">
        <v>0</v>
      </c>
      <c r="L36" s="323">
        <v>0</v>
      </c>
      <c r="M36" s="323">
        <v>0</v>
      </c>
      <c r="N36" s="323">
        <v>0</v>
      </c>
      <c r="O36" s="323">
        <v>0</v>
      </c>
      <c r="P36" s="324">
        <v>0</v>
      </c>
      <c r="Q36" s="298"/>
      <c r="R36" s="284">
        <f>Prop2021DistTar!AF36</f>
        <v>41.069363473792237</v>
      </c>
      <c r="S36" s="285">
        <f>Prop2021DistTar!AG36</f>
        <v>0</v>
      </c>
      <c r="T36" s="285">
        <f>Prop2021DistTar!AH36</f>
        <v>2409416.7551067746</v>
      </c>
      <c r="U36" s="285">
        <f>Prop2021DistTar!AI36</f>
        <v>2113940.7735448894</v>
      </c>
      <c r="V36" s="285">
        <f>Prop2021DistTar!AJ36</f>
        <v>0</v>
      </c>
      <c r="W36" s="285">
        <f>Prop2021DistTar!AK36</f>
        <v>0</v>
      </c>
      <c r="X36" s="285">
        <f>Prop2021DistTar!AL36</f>
        <v>0</v>
      </c>
      <c r="Y36" s="285">
        <f>Prop2021DistTar!AM36</f>
        <v>0</v>
      </c>
      <c r="Z36" s="285">
        <f>Prop2021DistTar!AN36</f>
        <v>0</v>
      </c>
      <c r="AA36" s="285">
        <f>Prop2021DistTar!AO36</f>
        <v>0</v>
      </c>
      <c r="AB36" s="285">
        <f>Prop2021DistTar!AP36</f>
        <v>0</v>
      </c>
      <c r="AC36" s="285">
        <f>Prop2021DistTar!AQ36</f>
        <v>0</v>
      </c>
      <c r="AD36" s="286">
        <f>Prop2021DistTar!AR36</f>
        <v>0</v>
      </c>
      <c r="AF36" s="266">
        <f t="shared" si="10"/>
        <v>0</v>
      </c>
      <c r="AG36" s="267">
        <f t="shared" si="11"/>
        <v>0</v>
      </c>
      <c r="AH36" s="267">
        <f t="shared" si="11"/>
        <v>83124.878051183725</v>
      </c>
      <c r="AI36" s="267">
        <f t="shared" si="11"/>
        <v>39319.298387934949</v>
      </c>
      <c r="AJ36" s="267">
        <f t="shared" si="8"/>
        <v>0</v>
      </c>
      <c r="AK36" s="267">
        <f t="shared" si="8"/>
        <v>0</v>
      </c>
      <c r="AL36" s="267">
        <f t="shared" si="8"/>
        <v>0</v>
      </c>
      <c r="AM36" s="267">
        <f t="shared" si="9"/>
        <v>0</v>
      </c>
      <c r="AN36" s="267">
        <f t="shared" si="9"/>
        <v>0</v>
      </c>
      <c r="AO36" s="267">
        <f t="shared" si="9"/>
        <v>0</v>
      </c>
      <c r="AP36" s="267">
        <f t="shared" si="9"/>
        <v>0</v>
      </c>
      <c r="AQ36" s="267">
        <f t="shared" si="9"/>
        <v>0</v>
      </c>
      <c r="AR36" s="267">
        <f t="shared" si="9"/>
        <v>0</v>
      </c>
      <c r="AS36" s="182">
        <f t="shared" si="12"/>
        <v>122444.17643911867</v>
      </c>
    </row>
    <row r="37" spans="2:45" s="170" customFormat="1" x14ac:dyDescent="0.2">
      <c r="B37" s="173" t="str">
        <f>Prop2021DistTar!B37</f>
        <v>Unmetered Supplies / Public Lighting</v>
      </c>
      <c r="C37" s="283"/>
      <c r="D37" s="322">
        <v>0</v>
      </c>
      <c r="E37" s="323">
        <v>0</v>
      </c>
      <c r="F37" s="323">
        <v>0</v>
      </c>
      <c r="G37" s="323">
        <v>0</v>
      </c>
      <c r="H37" s="323">
        <v>0</v>
      </c>
      <c r="I37" s="323">
        <v>0</v>
      </c>
      <c r="J37" s="323">
        <v>0</v>
      </c>
      <c r="K37" s="323">
        <v>0</v>
      </c>
      <c r="L37" s="323">
        <v>0</v>
      </c>
      <c r="M37" s="323">
        <v>0</v>
      </c>
      <c r="N37" s="323">
        <v>0</v>
      </c>
      <c r="O37" s="323">
        <v>0</v>
      </c>
      <c r="P37" s="324">
        <v>0</v>
      </c>
      <c r="Q37" s="298"/>
      <c r="R37" s="284">
        <f>Prop2021DistTar!AF37</f>
        <v>2266.4726534753922</v>
      </c>
      <c r="S37" s="285">
        <f>Prop2021DistTar!AG37</f>
        <v>0</v>
      </c>
      <c r="T37" s="285">
        <f>Prop2021DistTar!AH37</f>
        <v>5170857.9296809472</v>
      </c>
      <c r="U37" s="285">
        <f>Prop2021DistTar!AI37</f>
        <v>13096316.869287936</v>
      </c>
      <c r="V37" s="285">
        <f>Prop2021DistTar!AJ37</f>
        <v>0</v>
      </c>
      <c r="W37" s="285">
        <f>Prop2021DistTar!AK37</f>
        <v>0</v>
      </c>
      <c r="X37" s="285">
        <f>Prop2021DistTar!AL37</f>
        <v>0</v>
      </c>
      <c r="Y37" s="285">
        <f>Prop2021DistTar!AM37</f>
        <v>0</v>
      </c>
      <c r="Z37" s="285">
        <f>Prop2021DistTar!AN37</f>
        <v>0</v>
      </c>
      <c r="AA37" s="285">
        <f>Prop2021DistTar!AO37</f>
        <v>0</v>
      </c>
      <c r="AB37" s="285">
        <f>Prop2021DistTar!AP37</f>
        <v>0</v>
      </c>
      <c r="AC37" s="285">
        <f>Prop2021DistTar!AQ37</f>
        <v>0</v>
      </c>
      <c r="AD37" s="286">
        <f>Prop2021DistTar!AR37</f>
        <v>0</v>
      </c>
      <c r="AF37" s="266">
        <f t="shared" si="10"/>
        <v>0</v>
      </c>
      <c r="AG37" s="267">
        <f t="shared" si="11"/>
        <v>0</v>
      </c>
      <c r="AH37" s="267">
        <f t="shared" si="11"/>
        <v>0</v>
      </c>
      <c r="AI37" s="267">
        <f t="shared" si="11"/>
        <v>0</v>
      </c>
      <c r="AJ37" s="267">
        <f t="shared" si="8"/>
        <v>0</v>
      </c>
      <c r="AK37" s="267">
        <f t="shared" si="8"/>
        <v>0</v>
      </c>
      <c r="AL37" s="267">
        <f t="shared" si="8"/>
        <v>0</v>
      </c>
      <c r="AM37" s="267">
        <f t="shared" si="9"/>
        <v>0</v>
      </c>
      <c r="AN37" s="267">
        <f t="shared" si="9"/>
        <v>0</v>
      </c>
      <c r="AO37" s="267">
        <f t="shared" si="9"/>
        <v>0</v>
      </c>
      <c r="AP37" s="267">
        <f t="shared" si="9"/>
        <v>0</v>
      </c>
      <c r="AQ37" s="267">
        <f t="shared" si="9"/>
        <v>0</v>
      </c>
      <c r="AR37" s="267">
        <f t="shared" si="9"/>
        <v>0</v>
      </c>
      <c r="AS37" s="182">
        <f t="shared" si="12"/>
        <v>0</v>
      </c>
    </row>
    <row r="38" spans="2:45" s="170" customFormat="1" x14ac:dyDescent="0.2">
      <c r="B38" s="173" t="str">
        <f>Prop2021DistTar!B38</f>
        <v>Large low Voltage</v>
      </c>
      <c r="C38" s="283"/>
      <c r="D38" s="322">
        <v>0</v>
      </c>
      <c r="E38" s="323">
        <v>0</v>
      </c>
      <c r="F38" s="323">
        <v>1.76</v>
      </c>
      <c r="G38" s="323">
        <v>0.96000000000000008</v>
      </c>
      <c r="H38" s="323">
        <v>13.41</v>
      </c>
      <c r="I38" s="323">
        <v>0</v>
      </c>
      <c r="J38" s="323">
        <v>0</v>
      </c>
      <c r="K38" s="323">
        <v>0</v>
      </c>
      <c r="L38" s="323">
        <v>0</v>
      </c>
      <c r="M38" s="323">
        <v>0</v>
      </c>
      <c r="N38" s="323">
        <v>0</v>
      </c>
      <c r="O38" s="323">
        <v>0</v>
      </c>
      <c r="P38" s="324">
        <v>0</v>
      </c>
      <c r="Q38" s="298"/>
      <c r="R38" s="284">
        <f>Prop2021DistTar!AF38</f>
        <v>192.55266666666668</v>
      </c>
      <c r="S38" s="285">
        <f>Prop2021DistTar!AG38</f>
        <v>0</v>
      </c>
      <c r="T38" s="285">
        <f>Prop2021DistTar!AH38</f>
        <v>62875413.786838844</v>
      </c>
      <c r="U38" s="285">
        <f>Prop2021DistTar!AI38</f>
        <v>48397395.025305197</v>
      </c>
      <c r="V38" s="285">
        <f>Prop2021DistTar!AJ38</f>
        <v>37974.372380639827</v>
      </c>
      <c r="W38" s="285">
        <f>Prop2021DistTar!AK38</f>
        <v>0</v>
      </c>
      <c r="X38" s="285">
        <f>Prop2021DistTar!AL38</f>
        <v>0</v>
      </c>
      <c r="Y38" s="285">
        <f>Prop2021DistTar!AM38</f>
        <v>0</v>
      </c>
      <c r="Z38" s="285">
        <f>Prop2021DistTar!AN38</f>
        <v>0</v>
      </c>
      <c r="AA38" s="285">
        <f>Prop2021DistTar!AO38</f>
        <v>0</v>
      </c>
      <c r="AB38" s="285">
        <f>Prop2021DistTar!AP38</f>
        <v>0</v>
      </c>
      <c r="AC38" s="285">
        <f>Prop2021DistTar!AQ38</f>
        <v>0</v>
      </c>
      <c r="AD38" s="286">
        <f>Prop2021DistTar!AR38</f>
        <v>0</v>
      </c>
      <c r="AF38" s="266">
        <f t="shared" si="10"/>
        <v>0</v>
      </c>
      <c r="AG38" s="267">
        <f t="shared" si="11"/>
        <v>0</v>
      </c>
      <c r="AH38" s="267">
        <f t="shared" si="11"/>
        <v>1106607.2826483636</v>
      </c>
      <c r="AI38" s="267">
        <f t="shared" si="11"/>
        <v>464614.99224292993</v>
      </c>
      <c r="AJ38" s="267">
        <f t="shared" si="8"/>
        <v>509236.33362438006</v>
      </c>
      <c r="AK38" s="267">
        <f t="shared" si="8"/>
        <v>0</v>
      </c>
      <c r="AL38" s="267">
        <f t="shared" si="8"/>
        <v>0</v>
      </c>
      <c r="AM38" s="267">
        <f t="shared" si="9"/>
        <v>0</v>
      </c>
      <c r="AN38" s="267">
        <f t="shared" si="9"/>
        <v>0</v>
      </c>
      <c r="AO38" s="267">
        <f t="shared" si="9"/>
        <v>0</v>
      </c>
      <c r="AP38" s="267">
        <f t="shared" si="9"/>
        <v>0</v>
      </c>
      <c r="AQ38" s="267">
        <f t="shared" si="9"/>
        <v>0</v>
      </c>
      <c r="AR38" s="267">
        <f t="shared" si="9"/>
        <v>0</v>
      </c>
      <c r="AS38" s="182">
        <f t="shared" si="12"/>
        <v>2080458.6085156738</v>
      </c>
    </row>
    <row r="39" spans="2:45" s="170" customFormat="1" x14ac:dyDescent="0.2">
      <c r="B39" s="173" t="str">
        <f>Prop2021DistTar!B39</f>
        <v>Large low Voltage Bulk</v>
      </c>
      <c r="C39" s="283"/>
      <c r="D39" s="322">
        <v>0</v>
      </c>
      <c r="E39" s="323">
        <v>0</v>
      </c>
      <c r="F39" s="323">
        <v>1.76</v>
      </c>
      <c r="G39" s="323">
        <v>0.96000000000000008</v>
      </c>
      <c r="H39" s="323">
        <v>13.41</v>
      </c>
      <c r="I39" s="323">
        <v>0</v>
      </c>
      <c r="J39" s="323">
        <v>0</v>
      </c>
      <c r="K39" s="323">
        <v>0</v>
      </c>
      <c r="L39" s="323">
        <v>0</v>
      </c>
      <c r="M39" s="323">
        <v>0</v>
      </c>
      <c r="N39" s="323">
        <v>0</v>
      </c>
      <c r="O39" s="323">
        <v>0</v>
      </c>
      <c r="P39" s="324">
        <v>0</v>
      </c>
      <c r="Q39" s="298"/>
      <c r="R39" s="284">
        <f>Prop2021DistTar!AF39</f>
        <v>898.58119172207159</v>
      </c>
      <c r="S39" s="285">
        <f>Prop2021DistTar!AG39</f>
        <v>0</v>
      </c>
      <c r="T39" s="285">
        <f>Prop2021DistTar!AH39</f>
        <v>549663039.14554298</v>
      </c>
      <c r="U39" s="285">
        <f>Prop2021DistTar!AI39</f>
        <v>422246368.31217599</v>
      </c>
      <c r="V39" s="285">
        <f>Prop2021DistTar!AJ39</f>
        <v>332385.51095547102</v>
      </c>
      <c r="W39" s="285">
        <f>Prop2021DistTar!AK39</f>
        <v>0</v>
      </c>
      <c r="X39" s="285">
        <f>Prop2021DistTar!AL39</f>
        <v>0</v>
      </c>
      <c r="Y39" s="285">
        <f>Prop2021DistTar!AM39</f>
        <v>0</v>
      </c>
      <c r="Z39" s="285">
        <f>Prop2021DistTar!AN39</f>
        <v>0</v>
      </c>
      <c r="AA39" s="285">
        <f>Prop2021DistTar!AO39</f>
        <v>0</v>
      </c>
      <c r="AB39" s="285">
        <f>Prop2021DistTar!AP39</f>
        <v>0</v>
      </c>
      <c r="AC39" s="285">
        <f>Prop2021DistTar!AQ39</f>
        <v>0</v>
      </c>
      <c r="AD39" s="286">
        <f>Prop2021DistTar!AR39</f>
        <v>0</v>
      </c>
      <c r="AF39" s="266">
        <f t="shared" si="10"/>
        <v>0</v>
      </c>
      <c r="AG39" s="267">
        <f t="shared" si="11"/>
        <v>0</v>
      </c>
      <c r="AH39" s="267">
        <f t="shared" si="11"/>
        <v>9674069.4889615569</v>
      </c>
      <c r="AI39" s="267">
        <f t="shared" si="11"/>
        <v>4053565.1357968897</v>
      </c>
      <c r="AJ39" s="267">
        <f t="shared" si="8"/>
        <v>4457289.7019128669</v>
      </c>
      <c r="AK39" s="267">
        <f t="shared" si="8"/>
        <v>0</v>
      </c>
      <c r="AL39" s="267">
        <f t="shared" si="8"/>
        <v>0</v>
      </c>
      <c r="AM39" s="267">
        <f t="shared" si="9"/>
        <v>0</v>
      </c>
      <c r="AN39" s="267">
        <f t="shared" si="9"/>
        <v>0</v>
      </c>
      <c r="AO39" s="267">
        <f t="shared" si="9"/>
        <v>0</v>
      </c>
      <c r="AP39" s="267">
        <f t="shared" si="9"/>
        <v>0</v>
      </c>
      <c r="AQ39" s="267">
        <f t="shared" si="9"/>
        <v>0</v>
      </c>
      <c r="AR39" s="267">
        <f t="shared" si="9"/>
        <v>0</v>
      </c>
      <c r="AS39" s="182">
        <f t="shared" si="12"/>
        <v>18184924.326671313</v>
      </c>
    </row>
    <row r="40" spans="2:45" s="170" customFormat="1" x14ac:dyDescent="0.2">
      <c r="B40" s="173" t="str">
        <f>Prop2021DistTar!B40</f>
        <v>High Voltage</v>
      </c>
      <c r="C40" s="283"/>
      <c r="D40" s="322">
        <v>0</v>
      </c>
      <c r="E40" s="323">
        <v>0</v>
      </c>
      <c r="F40" s="323">
        <v>1.76</v>
      </c>
      <c r="G40" s="323">
        <v>0.96000000000000008</v>
      </c>
      <c r="H40" s="323">
        <v>13.41</v>
      </c>
      <c r="I40" s="323">
        <v>0</v>
      </c>
      <c r="J40" s="323">
        <v>0</v>
      </c>
      <c r="K40" s="323">
        <v>0</v>
      </c>
      <c r="L40" s="323">
        <v>0</v>
      </c>
      <c r="M40" s="323">
        <v>0</v>
      </c>
      <c r="N40" s="323">
        <v>0</v>
      </c>
      <c r="O40" s="323">
        <v>0</v>
      </c>
      <c r="P40" s="324">
        <v>0</v>
      </c>
      <c r="Q40" s="298"/>
      <c r="R40" s="284">
        <f>Prop2021DistTar!AF40</f>
        <v>47.588151317100483</v>
      </c>
      <c r="S40" s="285">
        <f>Prop2021DistTar!AG40</f>
        <v>0</v>
      </c>
      <c r="T40" s="285">
        <f>Prop2021DistTar!AH40</f>
        <v>174204228.29817671</v>
      </c>
      <c r="U40" s="285">
        <f>Prop2021DistTar!AI40</f>
        <v>163031402.4510684</v>
      </c>
      <c r="V40" s="285">
        <f>Prop2021DistTar!AJ40</f>
        <v>107521.34956600291</v>
      </c>
      <c r="W40" s="285">
        <f>Prop2021DistTar!AK40</f>
        <v>0</v>
      </c>
      <c r="X40" s="285">
        <f>Prop2021DistTar!AL40</f>
        <v>0</v>
      </c>
      <c r="Y40" s="285">
        <f>Prop2021DistTar!AM40</f>
        <v>0</v>
      </c>
      <c r="Z40" s="285">
        <f>Prop2021DistTar!AN40</f>
        <v>0</v>
      </c>
      <c r="AA40" s="285">
        <f>Prop2021DistTar!AO40</f>
        <v>0</v>
      </c>
      <c r="AB40" s="285">
        <f>Prop2021DistTar!AP40</f>
        <v>0</v>
      </c>
      <c r="AC40" s="285">
        <f>Prop2021DistTar!AQ40</f>
        <v>0</v>
      </c>
      <c r="AD40" s="286">
        <f>Prop2021DistTar!AR40</f>
        <v>0</v>
      </c>
      <c r="AF40" s="266">
        <f t="shared" si="10"/>
        <v>0</v>
      </c>
      <c r="AG40" s="267">
        <f t="shared" si="11"/>
        <v>0</v>
      </c>
      <c r="AH40" s="267">
        <f t="shared" si="11"/>
        <v>3065994.4180479101</v>
      </c>
      <c r="AI40" s="267">
        <f t="shared" si="11"/>
        <v>1565101.4635302569</v>
      </c>
      <c r="AJ40" s="267">
        <f t="shared" si="8"/>
        <v>1441861.297680099</v>
      </c>
      <c r="AK40" s="267">
        <f t="shared" si="8"/>
        <v>0</v>
      </c>
      <c r="AL40" s="267">
        <f t="shared" si="8"/>
        <v>0</v>
      </c>
      <c r="AM40" s="267">
        <f t="shared" si="9"/>
        <v>0</v>
      </c>
      <c r="AN40" s="267">
        <f t="shared" si="9"/>
        <v>0</v>
      </c>
      <c r="AO40" s="267">
        <f t="shared" si="9"/>
        <v>0</v>
      </c>
      <c r="AP40" s="267">
        <f t="shared" si="9"/>
        <v>0</v>
      </c>
      <c r="AQ40" s="267">
        <f t="shared" si="9"/>
        <v>0</v>
      </c>
      <c r="AR40" s="267">
        <f t="shared" si="9"/>
        <v>0</v>
      </c>
      <c r="AS40" s="182">
        <f t="shared" si="12"/>
        <v>6072957.1792582665</v>
      </c>
    </row>
    <row r="41" spans="2:45" s="170" customFormat="1" x14ac:dyDescent="0.2">
      <c r="B41" s="173" t="str">
        <f>Prop2021DistTar!B41</f>
        <v>Subtransmission</v>
      </c>
      <c r="C41" s="283"/>
      <c r="D41" s="322">
        <v>0</v>
      </c>
      <c r="E41" s="323">
        <v>0</v>
      </c>
      <c r="F41" s="323">
        <v>1.76</v>
      </c>
      <c r="G41" s="323">
        <v>0.96000000000000008</v>
      </c>
      <c r="H41" s="323">
        <v>9.9</v>
      </c>
      <c r="I41" s="323">
        <v>0</v>
      </c>
      <c r="J41" s="323">
        <v>0</v>
      </c>
      <c r="K41" s="323">
        <v>0</v>
      </c>
      <c r="L41" s="323">
        <v>0</v>
      </c>
      <c r="M41" s="323">
        <v>0</v>
      </c>
      <c r="N41" s="323">
        <v>0</v>
      </c>
      <c r="O41" s="323">
        <v>0</v>
      </c>
      <c r="P41" s="324">
        <v>0</v>
      </c>
      <c r="Q41" s="298"/>
      <c r="R41" s="284">
        <f>Prop2021DistTar!AF41</f>
        <v>2.9958713055632185</v>
      </c>
      <c r="S41" s="285">
        <f>Prop2021DistTar!AG41</f>
        <v>0</v>
      </c>
      <c r="T41" s="285">
        <f>Prop2021DistTar!AH41</f>
        <v>30663553.76391124</v>
      </c>
      <c r="U41" s="285">
        <f>Prop2021DistTar!AI41</f>
        <v>18200261.692845277</v>
      </c>
      <c r="V41" s="285">
        <f>Prop2021DistTar!AJ41</f>
        <v>18743.849130325598</v>
      </c>
      <c r="W41" s="285">
        <f>Prop2021DistTar!AK41</f>
        <v>0</v>
      </c>
      <c r="X41" s="285">
        <f>Prop2021DistTar!AL41</f>
        <v>0</v>
      </c>
      <c r="Y41" s="285">
        <f>Prop2021DistTar!AM41</f>
        <v>0</v>
      </c>
      <c r="Z41" s="285">
        <f>Prop2021DistTar!AN41</f>
        <v>0</v>
      </c>
      <c r="AA41" s="285">
        <f>Prop2021DistTar!AO41</f>
        <v>0</v>
      </c>
      <c r="AB41" s="285">
        <f>Prop2021DistTar!AP41</f>
        <v>0</v>
      </c>
      <c r="AC41" s="285">
        <f>Prop2021DistTar!AQ41</f>
        <v>0</v>
      </c>
      <c r="AD41" s="286">
        <f>Prop2021DistTar!AR41</f>
        <v>0</v>
      </c>
      <c r="AF41" s="266">
        <f t="shared" si="10"/>
        <v>0</v>
      </c>
      <c r="AG41" s="267">
        <f t="shared" si="11"/>
        <v>0</v>
      </c>
      <c r="AH41" s="267">
        <f t="shared" si="11"/>
        <v>539678.54624483781</v>
      </c>
      <c r="AI41" s="267">
        <f t="shared" si="11"/>
        <v>174722.51225131468</v>
      </c>
      <c r="AJ41" s="267">
        <f t="shared" si="8"/>
        <v>185564.10639022343</v>
      </c>
      <c r="AK41" s="267">
        <f t="shared" si="8"/>
        <v>0</v>
      </c>
      <c r="AL41" s="267">
        <f t="shared" si="8"/>
        <v>0</v>
      </c>
      <c r="AM41" s="267">
        <f t="shared" si="9"/>
        <v>0</v>
      </c>
      <c r="AN41" s="267">
        <f t="shared" si="9"/>
        <v>0</v>
      </c>
      <c r="AO41" s="267">
        <f t="shared" si="9"/>
        <v>0</v>
      </c>
      <c r="AP41" s="267">
        <f t="shared" si="9"/>
        <v>0</v>
      </c>
      <c r="AQ41" s="267">
        <f t="shared" si="9"/>
        <v>0</v>
      </c>
      <c r="AR41" s="267">
        <f t="shared" si="9"/>
        <v>0</v>
      </c>
      <c r="AS41" s="182">
        <f t="shared" si="12"/>
        <v>899965.16488637589</v>
      </c>
    </row>
    <row r="42" spans="2:45" s="170" customFormat="1" x14ac:dyDescent="0.2">
      <c r="B42" s="173"/>
      <c r="C42" s="283"/>
      <c r="D42" s="322"/>
      <c r="E42" s="323"/>
      <c r="F42" s="323"/>
      <c r="G42" s="323"/>
      <c r="H42" s="323"/>
      <c r="I42" s="323"/>
      <c r="J42" s="323"/>
      <c r="K42" s="323"/>
      <c r="L42" s="323"/>
      <c r="M42" s="323"/>
      <c r="N42" s="323"/>
      <c r="O42" s="323"/>
      <c r="P42" s="324"/>
      <c r="Q42" s="298"/>
      <c r="R42" s="284">
        <f>Prop2021DistTar!AF42</f>
        <v>0</v>
      </c>
      <c r="S42" s="285">
        <f>Prop2021DistTar!AG42</f>
        <v>0</v>
      </c>
      <c r="T42" s="285">
        <f>Prop2021DistTar!AH42</f>
        <v>0</v>
      </c>
      <c r="U42" s="285">
        <f>Prop2021DistTar!AI42</f>
        <v>0</v>
      </c>
      <c r="V42" s="285">
        <f>Prop2021DistTar!AJ42</f>
        <v>0</v>
      </c>
      <c r="W42" s="285">
        <f>Prop2021DistTar!AK42</f>
        <v>0</v>
      </c>
      <c r="X42" s="285">
        <f>Prop2021DistTar!AL42</f>
        <v>0</v>
      </c>
      <c r="Y42" s="285">
        <f>Prop2021DistTar!AM42</f>
        <v>0</v>
      </c>
      <c r="Z42" s="285">
        <f>Prop2021DistTar!AN42</f>
        <v>0</v>
      </c>
      <c r="AA42" s="285">
        <f>Prop2021DistTar!AO42</f>
        <v>0</v>
      </c>
      <c r="AB42" s="285">
        <f>Prop2021DistTar!AP42</f>
        <v>0</v>
      </c>
      <c r="AC42" s="285">
        <f>Prop2021DistTar!AQ42</f>
        <v>0</v>
      </c>
      <c r="AD42" s="286">
        <f>Prop2021DistTar!AR42</f>
        <v>0</v>
      </c>
      <c r="AF42" s="266">
        <f t="shared" si="10"/>
        <v>0</v>
      </c>
      <c r="AG42" s="267">
        <f t="shared" si="11"/>
        <v>0</v>
      </c>
      <c r="AH42" s="267">
        <f t="shared" si="11"/>
        <v>0</v>
      </c>
      <c r="AI42" s="267">
        <f t="shared" si="11"/>
        <v>0</v>
      </c>
      <c r="AJ42" s="267">
        <f t="shared" si="8"/>
        <v>0</v>
      </c>
      <c r="AK42" s="267">
        <f t="shared" si="8"/>
        <v>0</v>
      </c>
      <c r="AL42" s="267">
        <f t="shared" si="8"/>
        <v>0</v>
      </c>
      <c r="AM42" s="267">
        <f t="shared" si="9"/>
        <v>0</v>
      </c>
      <c r="AN42" s="267">
        <f t="shared" si="9"/>
        <v>0</v>
      </c>
      <c r="AO42" s="267">
        <f t="shared" si="9"/>
        <v>0</v>
      </c>
      <c r="AP42" s="267">
        <f t="shared" si="9"/>
        <v>0</v>
      </c>
      <c r="AQ42" s="267">
        <f t="shared" si="9"/>
        <v>0</v>
      </c>
      <c r="AR42" s="267">
        <f t="shared" si="9"/>
        <v>0</v>
      </c>
      <c r="AS42" s="182">
        <f t="shared" si="12"/>
        <v>0</v>
      </c>
    </row>
    <row r="43" spans="2:45" s="170" customFormat="1" x14ac:dyDescent="0.2">
      <c r="B43" s="173"/>
      <c r="C43" s="283"/>
      <c r="D43" s="322"/>
      <c r="E43" s="323"/>
      <c r="F43" s="323"/>
      <c r="G43" s="323"/>
      <c r="H43" s="323"/>
      <c r="I43" s="323"/>
      <c r="J43" s="323"/>
      <c r="K43" s="323"/>
      <c r="L43" s="323"/>
      <c r="M43" s="323"/>
      <c r="N43" s="323"/>
      <c r="O43" s="323"/>
      <c r="P43" s="324"/>
      <c r="Q43" s="298"/>
      <c r="R43" s="284">
        <f>Prop2021DistTar!AF43</f>
        <v>0</v>
      </c>
      <c r="S43" s="285">
        <f>Prop2021DistTar!AG43</f>
        <v>0</v>
      </c>
      <c r="T43" s="285">
        <f>Prop2021DistTar!AH43</f>
        <v>0</v>
      </c>
      <c r="U43" s="285">
        <f>Prop2021DistTar!AI43</f>
        <v>0</v>
      </c>
      <c r="V43" s="285">
        <f>Prop2021DistTar!AJ43</f>
        <v>0</v>
      </c>
      <c r="W43" s="285">
        <f>Prop2021DistTar!AK43</f>
        <v>0</v>
      </c>
      <c r="X43" s="285">
        <f>Prop2021DistTar!AL43</f>
        <v>0</v>
      </c>
      <c r="Y43" s="285">
        <f>Prop2021DistTar!AM43</f>
        <v>0</v>
      </c>
      <c r="Z43" s="285">
        <f>Prop2021DistTar!AN43</f>
        <v>0</v>
      </c>
      <c r="AA43" s="285">
        <f>Prop2021DistTar!AO43</f>
        <v>0</v>
      </c>
      <c r="AB43" s="285">
        <f>Prop2021DistTar!AP43</f>
        <v>0</v>
      </c>
      <c r="AC43" s="285">
        <f>Prop2021DistTar!AQ43</f>
        <v>0</v>
      </c>
      <c r="AD43" s="286">
        <f>Prop2021DistTar!AR43</f>
        <v>0</v>
      </c>
      <c r="AF43" s="266">
        <f t="shared" si="10"/>
        <v>0</v>
      </c>
      <c r="AG43" s="267">
        <f t="shared" si="11"/>
        <v>0</v>
      </c>
      <c r="AH43" s="267">
        <f t="shared" si="11"/>
        <v>0</v>
      </c>
      <c r="AI43" s="267">
        <f t="shared" si="11"/>
        <v>0</v>
      </c>
      <c r="AJ43" s="267">
        <f t="shared" si="8"/>
        <v>0</v>
      </c>
      <c r="AK43" s="267">
        <f t="shared" si="8"/>
        <v>0</v>
      </c>
      <c r="AL43" s="267">
        <f t="shared" si="8"/>
        <v>0</v>
      </c>
      <c r="AM43" s="267">
        <f t="shared" si="9"/>
        <v>0</v>
      </c>
      <c r="AN43" s="267">
        <f t="shared" si="9"/>
        <v>0</v>
      </c>
      <c r="AO43" s="267">
        <f t="shared" si="9"/>
        <v>0</v>
      </c>
      <c r="AP43" s="267">
        <f t="shared" si="9"/>
        <v>0</v>
      </c>
      <c r="AQ43" s="267">
        <f t="shared" si="9"/>
        <v>0</v>
      </c>
      <c r="AR43" s="267">
        <f t="shared" si="9"/>
        <v>0</v>
      </c>
      <c r="AS43" s="182">
        <f t="shared" si="12"/>
        <v>0</v>
      </c>
    </row>
    <row r="44" spans="2:45" s="170" customFormat="1" x14ac:dyDescent="0.2">
      <c r="B44" s="173"/>
      <c r="C44" s="283"/>
      <c r="D44" s="322"/>
      <c r="E44" s="323"/>
      <c r="F44" s="323"/>
      <c r="G44" s="323"/>
      <c r="H44" s="323"/>
      <c r="I44" s="323"/>
      <c r="J44" s="323"/>
      <c r="K44" s="323"/>
      <c r="L44" s="323"/>
      <c r="M44" s="323"/>
      <c r="N44" s="323"/>
      <c r="O44" s="323"/>
      <c r="P44" s="324"/>
      <c r="Q44" s="298"/>
      <c r="R44" s="284">
        <f>Prop2021DistTar!AF44</f>
        <v>0</v>
      </c>
      <c r="S44" s="285">
        <f>Prop2021DistTar!AG44</f>
        <v>0</v>
      </c>
      <c r="T44" s="285">
        <f>Prop2021DistTar!AH44</f>
        <v>0</v>
      </c>
      <c r="U44" s="285">
        <f>Prop2021DistTar!AI44</f>
        <v>0</v>
      </c>
      <c r="V44" s="285">
        <f>Prop2021DistTar!AJ44</f>
        <v>0</v>
      </c>
      <c r="W44" s="285">
        <f>Prop2021DistTar!AK44</f>
        <v>0</v>
      </c>
      <c r="X44" s="285">
        <f>Prop2021DistTar!AL44</f>
        <v>0</v>
      </c>
      <c r="Y44" s="285">
        <f>Prop2021DistTar!AM44</f>
        <v>0</v>
      </c>
      <c r="Z44" s="285">
        <f>Prop2021DistTar!AN44</f>
        <v>0</v>
      </c>
      <c r="AA44" s="285">
        <f>Prop2021DistTar!AO44</f>
        <v>0</v>
      </c>
      <c r="AB44" s="285">
        <f>Prop2021DistTar!AP44</f>
        <v>0</v>
      </c>
      <c r="AC44" s="285">
        <f>Prop2021DistTar!AQ44</f>
        <v>0</v>
      </c>
      <c r="AD44" s="286">
        <f>Prop2021DistTar!AR44</f>
        <v>0</v>
      </c>
      <c r="AF44" s="266">
        <f t="shared" si="10"/>
        <v>0</v>
      </c>
      <c r="AG44" s="267">
        <f t="shared" si="11"/>
        <v>0</v>
      </c>
      <c r="AH44" s="267">
        <f t="shared" si="11"/>
        <v>0</v>
      </c>
      <c r="AI44" s="267">
        <f t="shared" si="11"/>
        <v>0</v>
      </c>
      <c r="AJ44" s="267">
        <f t="shared" si="8"/>
        <v>0</v>
      </c>
      <c r="AK44" s="267">
        <f t="shared" si="8"/>
        <v>0</v>
      </c>
      <c r="AL44" s="267">
        <f t="shared" si="8"/>
        <v>0</v>
      </c>
      <c r="AM44" s="267">
        <f t="shared" si="9"/>
        <v>0</v>
      </c>
      <c r="AN44" s="267">
        <f t="shared" si="9"/>
        <v>0</v>
      </c>
      <c r="AO44" s="267">
        <f t="shared" si="9"/>
        <v>0</v>
      </c>
      <c r="AP44" s="267">
        <f t="shared" si="9"/>
        <v>0</v>
      </c>
      <c r="AQ44" s="267">
        <f t="shared" si="9"/>
        <v>0</v>
      </c>
      <c r="AR44" s="267">
        <f t="shared" si="9"/>
        <v>0</v>
      </c>
      <c r="AS44" s="182">
        <f t="shared" si="12"/>
        <v>0</v>
      </c>
    </row>
    <row r="45" spans="2:45" s="170" customFormat="1" x14ac:dyDescent="0.2">
      <c r="B45" s="173"/>
      <c r="C45" s="283"/>
      <c r="D45" s="322"/>
      <c r="E45" s="323"/>
      <c r="F45" s="323"/>
      <c r="G45" s="323"/>
      <c r="H45" s="323"/>
      <c r="I45" s="323"/>
      <c r="J45" s="323"/>
      <c r="K45" s="323"/>
      <c r="L45" s="323"/>
      <c r="M45" s="323"/>
      <c r="N45" s="323"/>
      <c r="O45" s="323"/>
      <c r="P45" s="324"/>
      <c r="Q45" s="298"/>
      <c r="R45" s="284">
        <f>Prop2021DistTar!AF45</f>
        <v>0</v>
      </c>
      <c r="S45" s="285">
        <f>Prop2021DistTar!AG45</f>
        <v>0</v>
      </c>
      <c r="T45" s="285">
        <f>Prop2021DistTar!AH45</f>
        <v>0</v>
      </c>
      <c r="U45" s="285">
        <f>Prop2021DistTar!AI45</f>
        <v>0</v>
      </c>
      <c r="V45" s="285">
        <f>Prop2021DistTar!AJ45</f>
        <v>0</v>
      </c>
      <c r="W45" s="285">
        <f>Prop2021DistTar!AK45</f>
        <v>0</v>
      </c>
      <c r="X45" s="285">
        <f>Prop2021DistTar!AL45</f>
        <v>0</v>
      </c>
      <c r="Y45" s="285">
        <f>Prop2021DistTar!AM45</f>
        <v>0</v>
      </c>
      <c r="Z45" s="285">
        <f>Prop2021DistTar!AN45</f>
        <v>0</v>
      </c>
      <c r="AA45" s="285">
        <f>Prop2021DistTar!AO45</f>
        <v>0</v>
      </c>
      <c r="AB45" s="285">
        <f>Prop2021DistTar!AP45</f>
        <v>0</v>
      </c>
      <c r="AC45" s="285">
        <f>Prop2021DistTar!AQ45</f>
        <v>0</v>
      </c>
      <c r="AD45" s="286">
        <f>Prop2021DistTar!AR45</f>
        <v>0</v>
      </c>
      <c r="AF45" s="266">
        <f t="shared" si="10"/>
        <v>0</v>
      </c>
      <c r="AG45" s="267">
        <f t="shared" si="11"/>
        <v>0</v>
      </c>
      <c r="AH45" s="267">
        <f t="shared" si="11"/>
        <v>0</v>
      </c>
      <c r="AI45" s="267">
        <f t="shared" si="11"/>
        <v>0</v>
      </c>
      <c r="AJ45" s="267">
        <f t="shared" si="8"/>
        <v>0</v>
      </c>
      <c r="AK45" s="267">
        <f t="shared" si="8"/>
        <v>0</v>
      </c>
      <c r="AL45" s="267">
        <f t="shared" si="8"/>
        <v>0</v>
      </c>
      <c r="AM45" s="267">
        <f t="shared" si="9"/>
        <v>0</v>
      </c>
      <c r="AN45" s="267">
        <f t="shared" si="9"/>
        <v>0</v>
      </c>
      <c r="AO45" s="267">
        <f t="shared" si="9"/>
        <v>0</v>
      </c>
      <c r="AP45" s="267">
        <f t="shared" si="9"/>
        <v>0</v>
      </c>
      <c r="AQ45" s="267">
        <f t="shared" si="9"/>
        <v>0</v>
      </c>
      <c r="AR45" s="267">
        <f t="shared" si="9"/>
        <v>0</v>
      </c>
      <c r="AS45" s="182">
        <f t="shared" si="12"/>
        <v>0</v>
      </c>
    </row>
    <row r="46" spans="2:45" s="170" customFormat="1" x14ac:dyDescent="0.2">
      <c r="B46" s="173"/>
      <c r="C46" s="283"/>
      <c r="D46" s="322"/>
      <c r="E46" s="323"/>
      <c r="F46" s="323"/>
      <c r="G46" s="323"/>
      <c r="H46" s="323"/>
      <c r="I46" s="323"/>
      <c r="J46" s="323"/>
      <c r="K46" s="323"/>
      <c r="L46" s="323"/>
      <c r="M46" s="323"/>
      <c r="N46" s="323"/>
      <c r="O46" s="323"/>
      <c r="P46" s="324"/>
      <c r="Q46" s="298"/>
      <c r="R46" s="284">
        <f>Prop2021DistTar!AF46</f>
        <v>0</v>
      </c>
      <c r="S46" s="285">
        <f>Prop2021DistTar!AG46</f>
        <v>0</v>
      </c>
      <c r="T46" s="285">
        <f>Prop2021DistTar!AH46</f>
        <v>0</v>
      </c>
      <c r="U46" s="285">
        <f>Prop2021DistTar!AI46</f>
        <v>0</v>
      </c>
      <c r="V46" s="285">
        <f>Prop2021DistTar!AJ46</f>
        <v>0</v>
      </c>
      <c r="W46" s="285">
        <f>Prop2021DistTar!AK46</f>
        <v>0</v>
      </c>
      <c r="X46" s="285">
        <f>Prop2021DistTar!AL46</f>
        <v>0</v>
      </c>
      <c r="Y46" s="285">
        <f>Prop2021DistTar!AM46</f>
        <v>0</v>
      </c>
      <c r="Z46" s="285">
        <f>Prop2021DistTar!AN46</f>
        <v>0</v>
      </c>
      <c r="AA46" s="285">
        <f>Prop2021DistTar!AO46</f>
        <v>0</v>
      </c>
      <c r="AB46" s="285">
        <f>Prop2021DistTar!AP46</f>
        <v>0</v>
      </c>
      <c r="AC46" s="285">
        <f>Prop2021DistTar!AQ46</f>
        <v>0</v>
      </c>
      <c r="AD46" s="286">
        <f>Prop2021DistTar!AR46</f>
        <v>0</v>
      </c>
      <c r="AF46" s="266">
        <f t="shared" si="10"/>
        <v>0</v>
      </c>
      <c r="AG46" s="267">
        <f t="shared" si="11"/>
        <v>0</v>
      </c>
      <c r="AH46" s="267">
        <f t="shared" si="11"/>
        <v>0</v>
      </c>
      <c r="AI46" s="267">
        <f t="shared" si="11"/>
        <v>0</v>
      </c>
      <c r="AJ46" s="267">
        <f t="shared" si="8"/>
        <v>0</v>
      </c>
      <c r="AK46" s="267">
        <f t="shared" si="8"/>
        <v>0</v>
      </c>
      <c r="AL46" s="267">
        <f t="shared" si="8"/>
        <v>0</v>
      </c>
      <c r="AM46" s="267">
        <f t="shared" si="9"/>
        <v>0</v>
      </c>
      <c r="AN46" s="267">
        <f t="shared" si="9"/>
        <v>0</v>
      </c>
      <c r="AO46" s="267">
        <f t="shared" si="9"/>
        <v>0</v>
      </c>
      <c r="AP46" s="267">
        <f t="shared" si="9"/>
        <v>0</v>
      </c>
      <c r="AQ46" s="267">
        <f t="shared" si="9"/>
        <v>0</v>
      </c>
      <c r="AR46" s="267">
        <f t="shared" si="9"/>
        <v>0</v>
      </c>
      <c r="AS46" s="182">
        <f t="shared" si="12"/>
        <v>0</v>
      </c>
    </row>
    <row r="47" spans="2:45" s="170" customFormat="1" x14ac:dyDescent="0.2">
      <c r="B47" s="173"/>
      <c r="C47" s="283"/>
      <c r="D47" s="322"/>
      <c r="E47" s="323"/>
      <c r="F47" s="323"/>
      <c r="G47" s="323"/>
      <c r="H47" s="323"/>
      <c r="I47" s="323"/>
      <c r="J47" s="323"/>
      <c r="K47" s="323"/>
      <c r="L47" s="323"/>
      <c r="M47" s="323"/>
      <c r="N47" s="323"/>
      <c r="O47" s="323"/>
      <c r="P47" s="324"/>
      <c r="Q47" s="298"/>
      <c r="R47" s="284">
        <f>Prop2021DistTar!AF47</f>
        <v>0</v>
      </c>
      <c r="S47" s="285">
        <f>Prop2021DistTar!AG47</f>
        <v>0</v>
      </c>
      <c r="T47" s="285">
        <f>Prop2021DistTar!AH47</f>
        <v>0</v>
      </c>
      <c r="U47" s="285">
        <f>Prop2021DistTar!AI47</f>
        <v>0</v>
      </c>
      <c r="V47" s="285">
        <f>Prop2021DistTar!AJ47</f>
        <v>0</v>
      </c>
      <c r="W47" s="285">
        <f>Prop2021DistTar!AK47</f>
        <v>0</v>
      </c>
      <c r="X47" s="285">
        <f>Prop2021DistTar!AL47</f>
        <v>0</v>
      </c>
      <c r="Y47" s="285">
        <f>Prop2021DistTar!AM47</f>
        <v>0</v>
      </c>
      <c r="Z47" s="285">
        <f>Prop2021DistTar!AN47</f>
        <v>0</v>
      </c>
      <c r="AA47" s="285">
        <f>Prop2021DistTar!AO47</f>
        <v>0</v>
      </c>
      <c r="AB47" s="285">
        <f>Prop2021DistTar!AP47</f>
        <v>0</v>
      </c>
      <c r="AC47" s="285">
        <f>Prop2021DistTar!AQ47</f>
        <v>0</v>
      </c>
      <c r="AD47" s="286">
        <f>Prop2021DistTar!AR47</f>
        <v>0</v>
      </c>
      <c r="AF47" s="266">
        <f t="shared" si="10"/>
        <v>0</v>
      </c>
      <c r="AG47" s="267">
        <f t="shared" si="11"/>
        <v>0</v>
      </c>
      <c r="AH47" s="267">
        <f t="shared" si="11"/>
        <v>0</v>
      </c>
      <c r="AI47" s="267">
        <f t="shared" si="11"/>
        <v>0</v>
      </c>
      <c r="AJ47" s="267">
        <f t="shared" si="8"/>
        <v>0</v>
      </c>
      <c r="AK47" s="267">
        <f t="shared" si="8"/>
        <v>0</v>
      </c>
      <c r="AL47" s="267">
        <f t="shared" si="8"/>
        <v>0</v>
      </c>
      <c r="AM47" s="267">
        <f t="shared" si="9"/>
        <v>0</v>
      </c>
      <c r="AN47" s="267">
        <f t="shared" si="9"/>
        <v>0</v>
      </c>
      <c r="AO47" s="267">
        <f t="shared" si="9"/>
        <v>0</v>
      </c>
      <c r="AP47" s="267">
        <f t="shared" si="9"/>
        <v>0</v>
      </c>
      <c r="AQ47" s="267">
        <f t="shared" si="9"/>
        <v>0</v>
      </c>
      <c r="AR47" s="267">
        <f t="shared" si="9"/>
        <v>0</v>
      </c>
      <c r="AS47" s="182">
        <f t="shared" si="12"/>
        <v>0</v>
      </c>
    </row>
    <row r="48" spans="2:45" s="170" customFormat="1" x14ac:dyDescent="0.2">
      <c r="B48" s="173"/>
      <c r="C48" s="283"/>
      <c r="D48" s="322"/>
      <c r="E48" s="323"/>
      <c r="F48" s="323"/>
      <c r="G48" s="323"/>
      <c r="H48" s="323"/>
      <c r="I48" s="360"/>
      <c r="J48" s="323"/>
      <c r="K48" s="323"/>
      <c r="L48" s="323"/>
      <c r="M48" s="323"/>
      <c r="N48" s="323"/>
      <c r="O48" s="323"/>
      <c r="P48" s="324"/>
      <c r="Q48" s="298"/>
      <c r="R48" s="284">
        <f>Prop2021DistTar!AF48</f>
        <v>0</v>
      </c>
      <c r="S48" s="285">
        <f>Prop2021DistTar!AG48</f>
        <v>0</v>
      </c>
      <c r="T48" s="285">
        <f>Prop2021DistTar!AH48</f>
        <v>0</v>
      </c>
      <c r="U48" s="285">
        <f>Prop2021DistTar!AI48</f>
        <v>0</v>
      </c>
      <c r="V48" s="285">
        <f>Prop2021DistTar!AJ48</f>
        <v>0</v>
      </c>
      <c r="W48" s="285">
        <f>Prop2021DistTar!AK48</f>
        <v>0</v>
      </c>
      <c r="X48" s="285">
        <f>Prop2021DistTar!AL48</f>
        <v>0</v>
      </c>
      <c r="Y48" s="285">
        <f>Prop2021DistTar!AM48</f>
        <v>0</v>
      </c>
      <c r="Z48" s="285">
        <f>Prop2021DistTar!AN48</f>
        <v>0</v>
      </c>
      <c r="AA48" s="285">
        <f>Prop2021DistTar!AO48</f>
        <v>0</v>
      </c>
      <c r="AB48" s="285">
        <f>Prop2021DistTar!AP48</f>
        <v>0</v>
      </c>
      <c r="AC48" s="285">
        <f>Prop2021DistTar!AQ48</f>
        <v>0</v>
      </c>
      <c r="AD48" s="286">
        <f>Prop2021DistTar!AR48</f>
        <v>0</v>
      </c>
      <c r="AF48" s="266">
        <f t="shared" si="10"/>
        <v>0</v>
      </c>
      <c r="AG48" s="267">
        <f t="shared" si="11"/>
        <v>0</v>
      </c>
      <c r="AH48" s="267">
        <f t="shared" si="11"/>
        <v>0</v>
      </c>
      <c r="AI48" s="267">
        <f t="shared" si="11"/>
        <v>0</v>
      </c>
      <c r="AJ48" s="267">
        <f t="shared" si="8"/>
        <v>0</v>
      </c>
      <c r="AK48" s="267">
        <f t="shared" si="8"/>
        <v>0</v>
      </c>
      <c r="AL48" s="267">
        <f t="shared" si="8"/>
        <v>0</v>
      </c>
      <c r="AM48" s="267">
        <f t="shared" si="9"/>
        <v>0</v>
      </c>
      <c r="AN48" s="267">
        <f t="shared" si="9"/>
        <v>0</v>
      </c>
      <c r="AO48" s="267">
        <f t="shared" si="9"/>
        <v>0</v>
      </c>
      <c r="AP48" s="267">
        <f t="shared" si="9"/>
        <v>0</v>
      </c>
      <c r="AQ48" s="267">
        <f t="shared" si="9"/>
        <v>0</v>
      </c>
      <c r="AR48" s="267">
        <f t="shared" si="9"/>
        <v>0</v>
      </c>
      <c r="AS48" s="182">
        <f t="shared" si="12"/>
        <v>0</v>
      </c>
    </row>
    <row r="49" spans="2:45" s="170" customFormat="1" x14ac:dyDescent="0.2">
      <c r="B49" s="173"/>
      <c r="C49" s="283"/>
      <c r="D49" s="322"/>
      <c r="E49" s="323"/>
      <c r="F49" s="323"/>
      <c r="G49" s="323"/>
      <c r="H49" s="323"/>
      <c r="I49" s="323"/>
      <c r="J49" s="323"/>
      <c r="K49" s="323"/>
      <c r="L49" s="323"/>
      <c r="M49" s="323"/>
      <c r="N49" s="323"/>
      <c r="O49" s="323"/>
      <c r="P49" s="324"/>
      <c r="Q49" s="298"/>
      <c r="R49" s="284">
        <f>Prop2021DistTar!AF49</f>
        <v>0</v>
      </c>
      <c r="S49" s="285">
        <f>Prop2021DistTar!AG49</f>
        <v>0</v>
      </c>
      <c r="T49" s="285">
        <f>Prop2021DistTar!AH49</f>
        <v>0</v>
      </c>
      <c r="U49" s="285">
        <f>Prop2021DistTar!AI49</f>
        <v>0</v>
      </c>
      <c r="V49" s="285">
        <f>Prop2021DistTar!AJ49</f>
        <v>0</v>
      </c>
      <c r="W49" s="285">
        <f>Prop2021DistTar!AK49</f>
        <v>0</v>
      </c>
      <c r="X49" s="285">
        <f>Prop2021DistTar!AL49</f>
        <v>0</v>
      </c>
      <c r="Y49" s="285">
        <f>Prop2021DistTar!AM49</f>
        <v>0</v>
      </c>
      <c r="Z49" s="285">
        <f>Prop2021DistTar!AN49</f>
        <v>0</v>
      </c>
      <c r="AA49" s="285">
        <f>Prop2021DistTar!AO49</f>
        <v>0</v>
      </c>
      <c r="AB49" s="285">
        <f>Prop2021DistTar!AP49</f>
        <v>0</v>
      </c>
      <c r="AC49" s="285">
        <f>Prop2021DistTar!AQ49</f>
        <v>0</v>
      </c>
      <c r="AD49" s="286">
        <f>Prop2021DistTar!AR49</f>
        <v>0</v>
      </c>
      <c r="AF49" s="266">
        <f t="shared" si="10"/>
        <v>0</v>
      </c>
      <c r="AG49" s="267">
        <f t="shared" si="11"/>
        <v>0</v>
      </c>
      <c r="AH49" s="267">
        <f t="shared" si="11"/>
        <v>0</v>
      </c>
      <c r="AI49" s="267">
        <f t="shared" si="11"/>
        <v>0</v>
      </c>
      <c r="AJ49" s="267">
        <f t="shared" si="8"/>
        <v>0</v>
      </c>
      <c r="AK49" s="267">
        <f t="shared" si="8"/>
        <v>0</v>
      </c>
      <c r="AL49" s="267">
        <f t="shared" si="8"/>
        <v>0</v>
      </c>
      <c r="AM49" s="267">
        <f t="shared" si="9"/>
        <v>0</v>
      </c>
      <c r="AN49" s="267">
        <f t="shared" si="9"/>
        <v>0</v>
      </c>
      <c r="AO49" s="267">
        <f t="shared" si="9"/>
        <v>0</v>
      </c>
      <c r="AP49" s="267">
        <f t="shared" si="9"/>
        <v>0</v>
      </c>
      <c r="AQ49" s="267">
        <f t="shared" si="9"/>
        <v>0</v>
      </c>
      <c r="AR49" s="267">
        <f t="shared" si="9"/>
        <v>0</v>
      </c>
      <c r="AS49" s="182">
        <f t="shared" si="12"/>
        <v>0</v>
      </c>
    </row>
    <row r="50" spans="2:45" s="170" customFormat="1" x14ac:dyDescent="0.2">
      <c r="B50" s="173"/>
      <c r="C50" s="283"/>
      <c r="D50" s="322"/>
      <c r="E50" s="323"/>
      <c r="F50" s="323"/>
      <c r="G50" s="323"/>
      <c r="H50" s="323"/>
      <c r="I50" s="323"/>
      <c r="J50" s="323"/>
      <c r="K50" s="323"/>
      <c r="L50" s="323"/>
      <c r="M50" s="323"/>
      <c r="N50" s="323"/>
      <c r="O50" s="323"/>
      <c r="P50" s="324"/>
      <c r="Q50" s="298"/>
      <c r="R50" s="284">
        <f>Prop2021DistTar!AF50</f>
        <v>0</v>
      </c>
      <c r="S50" s="285">
        <f>Prop2021DistTar!AG50</f>
        <v>0</v>
      </c>
      <c r="T50" s="285">
        <f>Prop2021DistTar!AH50</f>
        <v>0</v>
      </c>
      <c r="U50" s="285">
        <f>Prop2021DistTar!AI50</f>
        <v>0</v>
      </c>
      <c r="V50" s="285">
        <f>Prop2021DistTar!AJ50</f>
        <v>0</v>
      </c>
      <c r="W50" s="285">
        <f>Prop2021DistTar!AK50</f>
        <v>0</v>
      </c>
      <c r="X50" s="285">
        <f>Prop2021DistTar!AL50</f>
        <v>0</v>
      </c>
      <c r="Y50" s="285">
        <f>Prop2021DistTar!AM50</f>
        <v>0</v>
      </c>
      <c r="Z50" s="285">
        <f>Prop2021DistTar!AN50</f>
        <v>0</v>
      </c>
      <c r="AA50" s="285">
        <f>Prop2021DistTar!AO50</f>
        <v>0</v>
      </c>
      <c r="AB50" s="285">
        <f>Prop2021DistTar!AP50</f>
        <v>0</v>
      </c>
      <c r="AC50" s="285">
        <f>Prop2021DistTar!AQ50</f>
        <v>0</v>
      </c>
      <c r="AD50" s="286">
        <f>Prop2021DistTar!AR50</f>
        <v>0</v>
      </c>
      <c r="AF50" s="266">
        <f t="shared" si="10"/>
        <v>0</v>
      </c>
      <c r="AG50" s="267">
        <f t="shared" si="11"/>
        <v>0</v>
      </c>
      <c r="AH50" s="267">
        <f t="shared" si="11"/>
        <v>0</v>
      </c>
      <c r="AI50" s="267">
        <f t="shared" si="11"/>
        <v>0</v>
      </c>
      <c r="AJ50" s="267">
        <f t="shared" si="8"/>
        <v>0</v>
      </c>
      <c r="AK50" s="267">
        <f t="shared" si="8"/>
        <v>0</v>
      </c>
      <c r="AL50" s="267">
        <f t="shared" si="8"/>
        <v>0</v>
      </c>
      <c r="AM50" s="267">
        <f t="shared" si="9"/>
        <v>0</v>
      </c>
      <c r="AN50" s="267">
        <f t="shared" si="9"/>
        <v>0</v>
      </c>
      <c r="AO50" s="267">
        <f t="shared" si="9"/>
        <v>0</v>
      </c>
      <c r="AP50" s="267">
        <f t="shared" si="9"/>
        <v>0</v>
      </c>
      <c r="AQ50" s="267">
        <f t="shared" si="9"/>
        <v>0</v>
      </c>
      <c r="AR50" s="267">
        <f t="shared" si="9"/>
        <v>0</v>
      </c>
      <c r="AS50" s="182">
        <f t="shared" si="12"/>
        <v>0</v>
      </c>
    </row>
    <row r="51" spans="2:45" s="170" customFormat="1" x14ac:dyDescent="0.2">
      <c r="B51" s="173"/>
      <c r="C51" s="283"/>
      <c r="D51" s="354"/>
      <c r="E51" s="323"/>
      <c r="F51" s="323"/>
      <c r="G51" s="323"/>
      <c r="H51" s="323"/>
      <c r="I51" s="355"/>
      <c r="J51" s="355"/>
      <c r="K51" s="355"/>
      <c r="L51" s="355"/>
      <c r="M51" s="355"/>
      <c r="N51" s="355"/>
      <c r="O51" s="355"/>
      <c r="P51" s="356"/>
      <c r="Q51" s="298"/>
      <c r="R51" s="284">
        <f>Prop2021DistTar!AF51</f>
        <v>0</v>
      </c>
      <c r="S51" s="285">
        <f>Prop2021DistTar!AG51</f>
        <v>0</v>
      </c>
      <c r="T51" s="285">
        <f>Prop2021DistTar!AH51</f>
        <v>0</v>
      </c>
      <c r="U51" s="285">
        <f>Prop2021DistTar!AI51</f>
        <v>0</v>
      </c>
      <c r="V51" s="285">
        <f>Prop2021DistTar!AJ51</f>
        <v>0</v>
      </c>
      <c r="W51" s="285">
        <f>Prop2021DistTar!AK51</f>
        <v>0</v>
      </c>
      <c r="X51" s="285">
        <f>Prop2021DistTar!AL51</f>
        <v>0</v>
      </c>
      <c r="Y51" s="285">
        <f>Prop2021DistTar!AM51</f>
        <v>0</v>
      </c>
      <c r="Z51" s="285">
        <f>Prop2021DistTar!AN51</f>
        <v>0</v>
      </c>
      <c r="AA51" s="285">
        <f>Prop2021DistTar!AO51</f>
        <v>0</v>
      </c>
      <c r="AB51" s="285">
        <f>Prop2021DistTar!AP51</f>
        <v>0</v>
      </c>
      <c r="AC51" s="285">
        <f>Prop2021DistTar!AQ51</f>
        <v>0</v>
      </c>
      <c r="AD51" s="286">
        <f>Prop2021DistTar!AR51</f>
        <v>0</v>
      </c>
      <c r="AF51" s="266">
        <f t="shared" si="10"/>
        <v>0</v>
      </c>
      <c r="AG51" s="267">
        <f t="shared" si="11"/>
        <v>0</v>
      </c>
      <c r="AH51" s="267">
        <f t="shared" si="11"/>
        <v>0</v>
      </c>
      <c r="AI51" s="267">
        <f t="shared" si="11"/>
        <v>0</v>
      </c>
      <c r="AJ51" s="267">
        <f t="shared" si="8"/>
        <v>0</v>
      </c>
      <c r="AK51" s="267">
        <f t="shared" si="8"/>
        <v>0</v>
      </c>
      <c r="AL51" s="267">
        <f t="shared" si="8"/>
        <v>0</v>
      </c>
      <c r="AM51" s="267">
        <f t="shared" si="9"/>
        <v>0</v>
      </c>
      <c r="AN51" s="267">
        <f t="shared" si="9"/>
        <v>0</v>
      </c>
      <c r="AO51" s="267">
        <f t="shared" si="9"/>
        <v>0</v>
      </c>
      <c r="AP51" s="267">
        <f t="shared" si="9"/>
        <v>0</v>
      </c>
      <c r="AQ51" s="267">
        <f t="shared" si="9"/>
        <v>0</v>
      </c>
      <c r="AR51" s="267">
        <f t="shared" si="9"/>
        <v>0</v>
      </c>
      <c r="AS51" s="182">
        <f t="shared" si="12"/>
        <v>0</v>
      </c>
    </row>
    <row r="52" spans="2:45" s="170" customFormat="1" x14ac:dyDescent="0.2">
      <c r="B52" s="173"/>
      <c r="C52" s="283"/>
      <c r="D52" s="354"/>
      <c r="E52" s="323"/>
      <c r="F52" s="323"/>
      <c r="G52" s="323"/>
      <c r="H52" s="323"/>
      <c r="I52" s="323"/>
      <c r="J52" s="355"/>
      <c r="K52" s="355"/>
      <c r="L52" s="355"/>
      <c r="M52" s="355"/>
      <c r="N52" s="355"/>
      <c r="O52" s="355"/>
      <c r="P52" s="356"/>
      <c r="Q52" s="298"/>
      <c r="R52" s="284">
        <f>Prop2021DistTar!AF52</f>
        <v>0</v>
      </c>
      <c r="S52" s="285">
        <f>Prop2021DistTar!AG52</f>
        <v>0</v>
      </c>
      <c r="T52" s="285">
        <f>Prop2021DistTar!AH52</f>
        <v>0</v>
      </c>
      <c r="U52" s="285">
        <f>Prop2021DistTar!AI52</f>
        <v>0</v>
      </c>
      <c r="V52" s="285">
        <f>Prop2021DistTar!AJ52</f>
        <v>0</v>
      </c>
      <c r="W52" s="285">
        <f>Prop2021DistTar!AK52</f>
        <v>0</v>
      </c>
      <c r="X52" s="285">
        <f>Prop2021DistTar!AL52</f>
        <v>0</v>
      </c>
      <c r="Y52" s="285">
        <f>Prop2021DistTar!AM52</f>
        <v>0</v>
      </c>
      <c r="Z52" s="285">
        <f>Prop2021DistTar!AN52</f>
        <v>0</v>
      </c>
      <c r="AA52" s="285">
        <f>Prop2021DistTar!AO52</f>
        <v>0</v>
      </c>
      <c r="AB52" s="285">
        <f>Prop2021DistTar!AP52</f>
        <v>0</v>
      </c>
      <c r="AC52" s="285">
        <f>Prop2021DistTar!AQ52</f>
        <v>0</v>
      </c>
      <c r="AD52" s="286">
        <f>Prop2021DistTar!AR52</f>
        <v>0</v>
      </c>
      <c r="AF52" s="266">
        <f t="shared" si="10"/>
        <v>0</v>
      </c>
      <c r="AG52" s="267">
        <f t="shared" si="11"/>
        <v>0</v>
      </c>
      <c r="AH52" s="267">
        <f t="shared" si="11"/>
        <v>0</v>
      </c>
      <c r="AI52" s="267">
        <f t="shared" si="11"/>
        <v>0</v>
      </c>
      <c r="AJ52" s="267">
        <f t="shared" si="8"/>
        <v>0</v>
      </c>
      <c r="AK52" s="267">
        <f t="shared" si="8"/>
        <v>0</v>
      </c>
      <c r="AL52" s="267">
        <f t="shared" si="8"/>
        <v>0</v>
      </c>
      <c r="AM52" s="267">
        <f t="shared" si="9"/>
        <v>0</v>
      </c>
      <c r="AN52" s="267">
        <f t="shared" si="9"/>
        <v>0</v>
      </c>
      <c r="AO52" s="267">
        <f t="shared" si="9"/>
        <v>0</v>
      </c>
      <c r="AP52" s="267">
        <f t="shared" si="9"/>
        <v>0</v>
      </c>
      <c r="AQ52" s="267">
        <f t="shared" si="9"/>
        <v>0</v>
      </c>
      <c r="AR52" s="267">
        <f t="shared" si="9"/>
        <v>0</v>
      </c>
      <c r="AS52" s="182">
        <f t="shared" si="12"/>
        <v>0</v>
      </c>
    </row>
    <row r="53" spans="2:45" s="170" customFormat="1" x14ac:dyDescent="0.2">
      <c r="B53" s="173"/>
      <c r="C53" s="283"/>
      <c r="D53" s="354"/>
      <c r="E53" s="323"/>
      <c r="F53" s="323"/>
      <c r="G53" s="323"/>
      <c r="H53" s="323"/>
      <c r="I53" s="355"/>
      <c r="J53" s="355"/>
      <c r="K53" s="355"/>
      <c r="L53" s="355"/>
      <c r="M53" s="355"/>
      <c r="N53" s="355"/>
      <c r="O53" s="355"/>
      <c r="P53" s="356"/>
      <c r="Q53" s="298"/>
      <c r="R53" s="284">
        <f>Prop2021DistTar!AF53</f>
        <v>0</v>
      </c>
      <c r="S53" s="285">
        <f>Prop2021DistTar!AG53</f>
        <v>0</v>
      </c>
      <c r="T53" s="285">
        <f>Prop2021DistTar!AH53</f>
        <v>0</v>
      </c>
      <c r="U53" s="285">
        <f>Prop2021DistTar!AI53</f>
        <v>0</v>
      </c>
      <c r="V53" s="285">
        <f>Prop2021DistTar!AJ53</f>
        <v>0</v>
      </c>
      <c r="W53" s="285">
        <f>Prop2021DistTar!AK53</f>
        <v>0</v>
      </c>
      <c r="X53" s="285">
        <f>Prop2021DistTar!AL53</f>
        <v>0</v>
      </c>
      <c r="Y53" s="285">
        <f>Prop2021DistTar!AM53</f>
        <v>0</v>
      </c>
      <c r="Z53" s="285">
        <f>Prop2021DistTar!AN53</f>
        <v>0</v>
      </c>
      <c r="AA53" s="285">
        <f>Prop2021DistTar!AO53</f>
        <v>0</v>
      </c>
      <c r="AB53" s="285">
        <f>Prop2021DistTar!AP53</f>
        <v>0</v>
      </c>
      <c r="AC53" s="285">
        <f>Prop2021DistTar!AQ53</f>
        <v>0</v>
      </c>
      <c r="AD53" s="286">
        <f>Prop2021DistTar!AR53</f>
        <v>0</v>
      </c>
      <c r="AF53" s="266">
        <f t="shared" si="10"/>
        <v>0</v>
      </c>
      <c r="AG53" s="267">
        <f t="shared" si="11"/>
        <v>0</v>
      </c>
      <c r="AH53" s="267">
        <f t="shared" si="11"/>
        <v>0</v>
      </c>
      <c r="AI53" s="267">
        <f t="shared" si="11"/>
        <v>0</v>
      </c>
      <c r="AJ53" s="267">
        <f t="shared" si="8"/>
        <v>0</v>
      </c>
      <c r="AK53" s="267">
        <f t="shared" si="8"/>
        <v>0</v>
      </c>
      <c r="AL53" s="267">
        <f t="shared" si="8"/>
        <v>0</v>
      </c>
      <c r="AM53" s="267">
        <f t="shared" si="9"/>
        <v>0</v>
      </c>
      <c r="AN53" s="267">
        <f t="shared" si="9"/>
        <v>0</v>
      </c>
      <c r="AO53" s="267">
        <f t="shared" si="9"/>
        <v>0</v>
      </c>
      <c r="AP53" s="267">
        <f t="shared" si="9"/>
        <v>0</v>
      </c>
      <c r="AQ53" s="267">
        <f t="shared" si="9"/>
        <v>0</v>
      </c>
      <c r="AR53" s="267">
        <f t="shared" si="9"/>
        <v>0</v>
      </c>
      <c r="AS53" s="182">
        <f t="shared" si="12"/>
        <v>0</v>
      </c>
    </row>
    <row r="54" spans="2:45" s="170" customFormat="1" x14ac:dyDescent="0.2">
      <c r="B54" s="173"/>
      <c r="C54" s="283"/>
      <c r="D54" s="354"/>
      <c r="E54" s="323"/>
      <c r="F54" s="323"/>
      <c r="G54" s="323"/>
      <c r="H54" s="323"/>
      <c r="I54" s="355"/>
      <c r="J54" s="355"/>
      <c r="K54" s="355"/>
      <c r="L54" s="355"/>
      <c r="M54" s="355"/>
      <c r="N54" s="355"/>
      <c r="O54" s="355"/>
      <c r="P54" s="356"/>
      <c r="Q54" s="298"/>
      <c r="R54" s="284">
        <f>Prop2021DistTar!AF54</f>
        <v>0</v>
      </c>
      <c r="S54" s="285">
        <f>Prop2021DistTar!AG54</f>
        <v>0</v>
      </c>
      <c r="T54" s="285">
        <f>Prop2021DistTar!AH54</f>
        <v>0</v>
      </c>
      <c r="U54" s="285">
        <f>Prop2021DistTar!AI54</f>
        <v>0</v>
      </c>
      <c r="V54" s="285">
        <f>Prop2021DistTar!AJ54</f>
        <v>0</v>
      </c>
      <c r="W54" s="285">
        <f>Prop2021DistTar!AK54</f>
        <v>0</v>
      </c>
      <c r="X54" s="285">
        <f>Prop2021DistTar!AL54</f>
        <v>0</v>
      </c>
      <c r="Y54" s="285">
        <f>Prop2021DistTar!AM54</f>
        <v>0</v>
      </c>
      <c r="Z54" s="285">
        <f>Prop2021DistTar!AN54</f>
        <v>0</v>
      </c>
      <c r="AA54" s="285">
        <f>Prop2021DistTar!AO54</f>
        <v>0</v>
      </c>
      <c r="AB54" s="285">
        <f>Prop2021DistTar!AP54</f>
        <v>0</v>
      </c>
      <c r="AC54" s="285">
        <f>Prop2021DistTar!AQ54</f>
        <v>0</v>
      </c>
      <c r="AD54" s="286">
        <f>Prop2021DistTar!AR54</f>
        <v>0</v>
      </c>
      <c r="AF54" s="266">
        <f t="shared" si="10"/>
        <v>0</v>
      </c>
      <c r="AG54" s="267">
        <f t="shared" si="11"/>
        <v>0</v>
      </c>
      <c r="AH54" s="267">
        <f t="shared" si="11"/>
        <v>0</v>
      </c>
      <c r="AI54" s="267">
        <f t="shared" si="11"/>
        <v>0</v>
      </c>
      <c r="AJ54" s="267">
        <f t="shared" si="8"/>
        <v>0</v>
      </c>
      <c r="AK54" s="267">
        <f t="shared" si="8"/>
        <v>0</v>
      </c>
      <c r="AL54" s="267">
        <f t="shared" si="8"/>
        <v>0</v>
      </c>
      <c r="AM54" s="267">
        <f t="shared" si="9"/>
        <v>0</v>
      </c>
      <c r="AN54" s="267">
        <f t="shared" si="9"/>
        <v>0</v>
      </c>
      <c r="AO54" s="267">
        <f t="shared" si="9"/>
        <v>0</v>
      </c>
      <c r="AP54" s="267">
        <f t="shared" si="9"/>
        <v>0</v>
      </c>
      <c r="AQ54" s="267">
        <f t="shared" si="9"/>
        <v>0</v>
      </c>
      <c r="AR54" s="267">
        <f t="shared" si="9"/>
        <v>0</v>
      </c>
      <c r="AS54" s="182">
        <f t="shared" si="12"/>
        <v>0</v>
      </c>
    </row>
    <row r="55" spans="2:45" s="170" customFormat="1" x14ac:dyDescent="0.2">
      <c r="B55" s="173"/>
      <c r="C55" s="283"/>
      <c r="D55" s="287"/>
      <c r="E55" s="288"/>
      <c r="F55" s="288"/>
      <c r="G55" s="288"/>
      <c r="H55" s="288"/>
      <c r="I55" s="288"/>
      <c r="J55" s="288"/>
      <c r="K55" s="288"/>
      <c r="L55" s="288"/>
      <c r="M55" s="288"/>
      <c r="N55" s="288"/>
      <c r="O55" s="288"/>
      <c r="P55" s="289"/>
      <c r="Q55" s="298"/>
      <c r="R55" s="284"/>
      <c r="S55" s="285"/>
      <c r="T55" s="285"/>
      <c r="U55" s="285"/>
      <c r="V55" s="285"/>
      <c r="W55" s="285"/>
      <c r="X55" s="285"/>
      <c r="Y55" s="285"/>
      <c r="Z55" s="285"/>
      <c r="AA55" s="285"/>
      <c r="AB55" s="285"/>
      <c r="AC55" s="285"/>
      <c r="AD55" s="286"/>
      <c r="AF55" s="266">
        <f t="shared" si="5"/>
        <v>0</v>
      </c>
      <c r="AG55" s="267">
        <f t="shared" ref="AG55:AI65" si="13">E55/100*S55</f>
        <v>0</v>
      </c>
      <c r="AH55" s="267">
        <f t="shared" si="13"/>
        <v>0</v>
      </c>
      <c r="AI55" s="267">
        <f t="shared" si="13"/>
        <v>0</v>
      </c>
      <c r="AJ55" s="267">
        <f t="shared" si="8"/>
        <v>0</v>
      </c>
      <c r="AK55" s="267">
        <f t="shared" si="8"/>
        <v>0</v>
      </c>
      <c r="AL55" s="267">
        <f t="shared" si="8"/>
        <v>0</v>
      </c>
      <c r="AM55" s="267">
        <f t="shared" si="9"/>
        <v>0</v>
      </c>
      <c r="AN55" s="267">
        <f t="shared" si="9"/>
        <v>0</v>
      </c>
      <c r="AO55" s="267">
        <f t="shared" si="9"/>
        <v>0</v>
      </c>
      <c r="AP55" s="267">
        <f t="shared" si="9"/>
        <v>0</v>
      </c>
      <c r="AQ55" s="267">
        <f t="shared" si="9"/>
        <v>0</v>
      </c>
      <c r="AR55" s="267">
        <f t="shared" si="9"/>
        <v>0</v>
      </c>
      <c r="AS55" s="182">
        <f t="shared" si="7"/>
        <v>0</v>
      </c>
    </row>
    <row r="56" spans="2:45" s="170" customFormat="1" x14ac:dyDescent="0.2">
      <c r="B56" s="173"/>
      <c r="C56" s="283"/>
      <c r="D56" s="287"/>
      <c r="E56" s="288"/>
      <c r="F56" s="288"/>
      <c r="G56" s="288"/>
      <c r="H56" s="288"/>
      <c r="I56" s="288"/>
      <c r="J56" s="288"/>
      <c r="K56" s="288"/>
      <c r="L56" s="288"/>
      <c r="M56" s="288"/>
      <c r="N56" s="288"/>
      <c r="O56" s="288"/>
      <c r="P56" s="289"/>
      <c r="Q56" s="298"/>
      <c r="R56" s="284"/>
      <c r="S56" s="285"/>
      <c r="T56" s="285"/>
      <c r="U56" s="285"/>
      <c r="V56" s="285"/>
      <c r="W56" s="285"/>
      <c r="X56" s="285"/>
      <c r="Y56" s="285"/>
      <c r="Z56" s="285"/>
      <c r="AA56" s="285"/>
      <c r="AB56" s="285"/>
      <c r="AC56" s="285"/>
      <c r="AD56" s="286"/>
      <c r="AF56" s="266">
        <f t="shared" si="5"/>
        <v>0</v>
      </c>
      <c r="AG56" s="267">
        <f t="shared" si="13"/>
        <v>0</v>
      </c>
      <c r="AH56" s="267">
        <f t="shared" si="13"/>
        <v>0</v>
      </c>
      <c r="AI56" s="267">
        <f t="shared" si="13"/>
        <v>0</v>
      </c>
      <c r="AJ56" s="267">
        <f t="shared" si="8"/>
        <v>0</v>
      </c>
      <c r="AK56" s="267">
        <f t="shared" si="8"/>
        <v>0</v>
      </c>
      <c r="AL56" s="267">
        <f t="shared" si="8"/>
        <v>0</v>
      </c>
      <c r="AM56" s="267">
        <f t="shared" si="9"/>
        <v>0</v>
      </c>
      <c r="AN56" s="267">
        <f t="shared" si="9"/>
        <v>0</v>
      </c>
      <c r="AO56" s="267">
        <f t="shared" si="9"/>
        <v>0</v>
      </c>
      <c r="AP56" s="267">
        <f t="shared" si="9"/>
        <v>0</v>
      </c>
      <c r="AQ56" s="267">
        <f t="shared" si="9"/>
        <v>0</v>
      </c>
      <c r="AR56" s="267">
        <f t="shared" si="9"/>
        <v>0</v>
      </c>
      <c r="AS56" s="182">
        <f t="shared" si="7"/>
        <v>0</v>
      </c>
    </row>
    <row r="57" spans="2:45" s="170" customFormat="1" x14ac:dyDescent="0.2">
      <c r="B57" s="173"/>
      <c r="C57" s="283"/>
      <c r="D57" s="287"/>
      <c r="E57" s="288"/>
      <c r="F57" s="288"/>
      <c r="G57" s="288"/>
      <c r="H57" s="288"/>
      <c r="I57" s="288"/>
      <c r="J57" s="288"/>
      <c r="K57" s="288"/>
      <c r="L57" s="288"/>
      <c r="M57" s="288"/>
      <c r="N57" s="288"/>
      <c r="O57" s="288"/>
      <c r="P57" s="289"/>
      <c r="Q57" s="298"/>
      <c r="R57" s="284"/>
      <c r="S57" s="285"/>
      <c r="T57" s="285"/>
      <c r="U57" s="285"/>
      <c r="V57" s="285"/>
      <c r="W57" s="285"/>
      <c r="X57" s="285"/>
      <c r="Y57" s="285"/>
      <c r="Z57" s="285"/>
      <c r="AA57" s="285"/>
      <c r="AB57" s="285"/>
      <c r="AC57" s="285"/>
      <c r="AD57" s="286"/>
      <c r="AF57" s="266">
        <f t="shared" si="5"/>
        <v>0</v>
      </c>
      <c r="AG57" s="267">
        <f t="shared" si="13"/>
        <v>0</v>
      </c>
      <c r="AH57" s="267">
        <f t="shared" si="13"/>
        <v>0</v>
      </c>
      <c r="AI57" s="267">
        <f t="shared" si="13"/>
        <v>0</v>
      </c>
      <c r="AJ57" s="267">
        <f t="shared" si="8"/>
        <v>0</v>
      </c>
      <c r="AK57" s="267">
        <f t="shared" si="8"/>
        <v>0</v>
      </c>
      <c r="AL57" s="267">
        <f t="shared" si="8"/>
        <v>0</v>
      </c>
      <c r="AM57" s="267">
        <f t="shared" si="9"/>
        <v>0</v>
      </c>
      <c r="AN57" s="267">
        <f t="shared" si="9"/>
        <v>0</v>
      </c>
      <c r="AO57" s="267">
        <f t="shared" si="9"/>
        <v>0</v>
      </c>
      <c r="AP57" s="267">
        <f t="shared" si="9"/>
        <v>0</v>
      </c>
      <c r="AQ57" s="267">
        <f t="shared" si="9"/>
        <v>0</v>
      </c>
      <c r="AR57" s="267">
        <f t="shared" si="9"/>
        <v>0</v>
      </c>
      <c r="AS57" s="182">
        <f t="shared" si="7"/>
        <v>0</v>
      </c>
    </row>
    <row r="58" spans="2:45" s="170" customFormat="1" x14ac:dyDescent="0.2">
      <c r="B58" s="173"/>
      <c r="C58" s="283"/>
      <c r="D58" s="287"/>
      <c r="E58" s="288"/>
      <c r="F58" s="288"/>
      <c r="G58" s="288"/>
      <c r="H58" s="288"/>
      <c r="I58" s="288"/>
      <c r="J58" s="288"/>
      <c r="K58" s="288"/>
      <c r="L58" s="288"/>
      <c r="M58" s="288"/>
      <c r="N58" s="288"/>
      <c r="O58" s="288"/>
      <c r="P58" s="289"/>
      <c r="Q58" s="298"/>
      <c r="R58" s="284"/>
      <c r="S58" s="285"/>
      <c r="T58" s="285"/>
      <c r="U58" s="285"/>
      <c r="V58" s="285"/>
      <c r="W58" s="285"/>
      <c r="X58" s="285"/>
      <c r="Y58" s="285"/>
      <c r="Z58" s="285"/>
      <c r="AA58" s="285"/>
      <c r="AB58" s="285"/>
      <c r="AC58" s="285"/>
      <c r="AD58" s="286"/>
      <c r="AF58" s="266">
        <f t="shared" si="5"/>
        <v>0</v>
      </c>
      <c r="AG58" s="267">
        <f t="shared" si="13"/>
        <v>0</v>
      </c>
      <c r="AH58" s="267">
        <f t="shared" si="13"/>
        <v>0</v>
      </c>
      <c r="AI58" s="267">
        <f t="shared" si="13"/>
        <v>0</v>
      </c>
      <c r="AJ58" s="267">
        <f t="shared" si="8"/>
        <v>0</v>
      </c>
      <c r="AK58" s="267">
        <f t="shared" si="8"/>
        <v>0</v>
      </c>
      <c r="AL58" s="267">
        <f t="shared" si="8"/>
        <v>0</v>
      </c>
      <c r="AM58" s="267">
        <f t="shared" si="9"/>
        <v>0</v>
      </c>
      <c r="AN58" s="267">
        <f t="shared" si="9"/>
        <v>0</v>
      </c>
      <c r="AO58" s="267">
        <f t="shared" si="9"/>
        <v>0</v>
      </c>
      <c r="AP58" s="267">
        <f t="shared" si="9"/>
        <v>0</v>
      </c>
      <c r="AQ58" s="267">
        <f t="shared" si="9"/>
        <v>0</v>
      </c>
      <c r="AR58" s="267">
        <f t="shared" si="9"/>
        <v>0</v>
      </c>
      <c r="AS58" s="182">
        <f t="shared" si="7"/>
        <v>0</v>
      </c>
    </row>
    <row r="59" spans="2:45" s="170" customFormat="1" x14ac:dyDescent="0.2">
      <c r="B59" s="173"/>
      <c r="C59" s="283"/>
      <c r="D59" s="287"/>
      <c r="E59" s="288"/>
      <c r="F59" s="288"/>
      <c r="G59" s="288"/>
      <c r="H59" s="288"/>
      <c r="I59" s="288"/>
      <c r="J59" s="288"/>
      <c r="K59" s="288"/>
      <c r="L59" s="288"/>
      <c r="M59" s="288"/>
      <c r="N59" s="288"/>
      <c r="O59" s="288"/>
      <c r="P59" s="289"/>
      <c r="Q59" s="298"/>
      <c r="R59" s="284"/>
      <c r="S59" s="285"/>
      <c r="T59" s="285"/>
      <c r="U59" s="285"/>
      <c r="V59" s="285"/>
      <c r="W59" s="285"/>
      <c r="X59" s="285"/>
      <c r="Y59" s="285"/>
      <c r="Z59" s="285"/>
      <c r="AA59" s="285"/>
      <c r="AB59" s="285"/>
      <c r="AC59" s="285"/>
      <c r="AD59" s="286"/>
      <c r="AF59" s="266">
        <f t="shared" si="5"/>
        <v>0</v>
      </c>
      <c r="AG59" s="267">
        <f t="shared" si="13"/>
        <v>0</v>
      </c>
      <c r="AH59" s="267">
        <f t="shared" si="13"/>
        <v>0</v>
      </c>
      <c r="AI59" s="267">
        <f t="shared" si="13"/>
        <v>0</v>
      </c>
      <c r="AJ59" s="267">
        <f t="shared" si="8"/>
        <v>0</v>
      </c>
      <c r="AK59" s="267">
        <f t="shared" si="8"/>
        <v>0</v>
      </c>
      <c r="AL59" s="267">
        <f t="shared" si="8"/>
        <v>0</v>
      </c>
      <c r="AM59" s="267">
        <f t="shared" si="9"/>
        <v>0</v>
      </c>
      <c r="AN59" s="267">
        <f t="shared" si="9"/>
        <v>0</v>
      </c>
      <c r="AO59" s="267">
        <f t="shared" si="9"/>
        <v>0</v>
      </c>
      <c r="AP59" s="267">
        <f t="shared" si="9"/>
        <v>0</v>
      </c>
      <c r="AQ59" s="267">
        <f t="shared" si="9"/>
        <v>0</v>
      </c>
      <c r="AR59" s="267">
        <f t="shared" si="9"/>
        <v>0</v>
      </c>
      <c r="AS59" s="182">
        <f t="shared" si="7"/>
        <v>0</v>
      </c>
    </row>
    <row r="60" spans="2:45" s="170" customFormat="1" x14ac:dyDescent="0.2">
      <c r="B60" s="173"/>
      <c r="C60" s="283"/>
      <c r="D60" s="287"/>
      <c r="E60" s="288"/>
      <c r="F60" s="288"/>
      <c r="G60" s="288"/>
      <c r="H60" s="288"/>
      <c r="I60" s="288"/>
      <c r="J60" s="288"/>
      <c r="K60" s="288"/>
      <c r="L60" s="288"/>
      <c r="M60" s="288"/>
      <c r="N60" s="288"/>
      <c r="O60" s="288"/>
      <c r="P60" s="289"/>
      <c r="Q60" s="298"/>
      <c r="R60" s="284"/>
      <c r="S60" s="285"/>
      <c r="T60" s="285"/>
      <c r="U60" s="285"/>
      <c r="V60" s="285"/>
      <c r="W60" s="285"/>
      <c r="X60" s="285"/>
      <c r="Y60" s="285"/>
      <c r="Z60" s="285"/>
      <c r="AA60" s="285"/>
      <c r="AB60" s="285"/>
      <c r="AC60" s="285"/>
      <c r="AD60" s="286"/>
      <c r="AF60" s="266">
        <f t="shared" si="5"/>
        <v>0</v>
      </c>
      <c r="AG60" s="267">
        <f t="shared" si="13"/>
        <v>0</v>
      </c>
      <c r="AH60" s="267">
        <f t="shared" si="13"/>
        <v>0</v>
      </c>
      <c r="AI60" s="267">
        <f t="shared" si="13"/>
        <v>0</v>
      </c>
      <c r="AJ60" s="267">
        <f t="shared" si="8"/>
        <v>0</v>
      </c>
      <c r="AK60" s="267">
        <f t="shared" si="8"/>
        <v>0</v>
      </c>
      <c r="AL60" s="267">
        <f t="shared" si="8"/>
        <v>0</v>
      </c>
      <c r="AM60" s="267">
        <f t="shared" si="9"/>
        <v>0</v>
      </c>
      <c r="AN60" s="267">
        <f t="shared" si="9"/>
        <v>0</v>
      </c>
      <c r="AO60" s="267">
        <f t="shared" si="9"/>
        <v>0</v>
      </c>
      <c r="AP60" s="267">
        <f t="shared" si="9"/>
        <v>0</v>
      </c>
      <c r="AQ60" s="267">
        <f t="shared" si="9"/>
        <v>0</v>
      </c>
      <c r="AR60" s="267">
        <f t="shared" si="9"/>
        <v>0</v>
      </c>
      <c r="AS60" s="182">
        <f t="shared" si="7"/>
        <v>0</v>
      </c>
    </row>
    <row r="61" spans="2:45" s="170" customFormat="1" x14ac:dyDescent="0.2">
      <c r="B61" s="173"/>
      <c r="C61" s="283"/>
      <c r="D61" s="287"/>
      <c r="E61" s="288"/>
      <c r="F61" s="288"/>
      <c r="G61" s="288"/>
      <c r="H61" s="288"/>
      <c r="I61" s="288"/>
      <c r="J61" s="288"/>
      <c r="K61" s="288"/>
      <c r="L61" s="288"/>
      <c r="M61" s="288"/>
      <c r="N61" s="288"/>
      <c r="O61" s="288"/>
      <c r="P61" s="289"/>
      <c r="Q61" s="298"/>
      <c r="R61" s="284"/>
      <c r="S61" s="285"/>
      <c r="T61" s="285"/>
      <c r="U61" s="285"/>
      <c r="V61" s="285"/>
      <c r="W61" s="285"/>
      <c r="X61" s="285"/>
      <c r="Y61" s="285"/>
      <c r="Z61" s="285"/>
      <c r="AA61" s="285"/>
      <c r="AB61" s="285"/>
      <c r="AC61" s="285"/>
      <c r="AD61" s="286"/>
      <c r="AF61" s="266">
        <f t="shared" si="5"/>
        <v>0</v>
      </c>
      <c r="AG61" s="267">
        <f t="shared" si="13"/>
        <v>0</v>
      </c>
      <c r="AH61" s="267">
        <f t="shared" si="13"/>
        <v>0</v>
      </c>
      <c r="AI61" s="267">
        <f t="shared" si="13"/>
        <v>0</v>
      </c>
      <c r="AJ61" s="267">
        <f t="shared" si="8"/>
        <v>0</v>
      </c>
      <c r="AK61" s="267">
        <f t="shared" si="8"/>
        <v>0</v>
      </c>
      <c r="AL61" s="267">
        <f t="shared" si="8"/>
        <v>0</v>
      </c>
      <c r="AM61" s="267">
        <f t="shared" si="9"/>
        <v>0</v>
      </c>
      <c r="AN61" s="267">
        <f t="shared" si="9"/>
        <v>0</v>
      </c>
      <c r="AO61" s="267">
        <f t="shared" si="9"/>
        <v>0</v>
      </c>
      <c r="AP61" s="267">
        <f t="shared" si="9"/>
        <v>0</v>
      </c>
      <c r="AQ61" s="267">
        <f t="shared" si="9"/>
        <v>0</v>
      </c>
      <c r="AR61" s="267">
        <f t="shared" si="9"/>
        <v>0</v>
      </c>
      <c r="AS61" s="182">
        <f t="shared" si="7"/>
        <v>0</v>
      </c>
    </row>
    <row r="62" spans="2:45" s="170" customFormat="1" x14ac:dyDescent="0.2">
      <c r="B62" s="173"/>
      <c r="C62" s="283"/>
      <c r="D62" s="287"/>
      <c r="E62" s="288"/>
      <c r="F62" s="288"/>
      <c r="G62" s="288"/>
      <c r="H62" s="288"/>
      <c r="I62" s="288"/>
      <c r="J62" s="288"/>
      <c r="K62" s="288"/>
      <c r="L62" s="288"/>
      <c r="M62" s="288"/>
      <c r="N62" s="288"/>
      <c r="O62" s="288"/>
      <c r="P62" s="289"/>
      <c r="Q62" s="298"/>
      <c r="R62" s="284"/>
      <c r="S62" s="285"/>
      <c r="T62" s="285"/>
      <c r="U62" s="285"/>
      <c r="V62" s="285"/>
      <c r="W62" s="285"/>
      <c r="X62" s="285"/>
      <c r="Y62" s="285"/>
      <c r="Z62" s="285"/>
      <c r="AA62" s="285"/>
      <c r="AB62" s="285"/>
      <c r="AC62" s="285"/>
      <c r="AD62" s="286"/>
      <c r="AF62" s="266">
        <f t="shared" si="5"/>
        <v>0</v>
      </c>
      <c r="AG62" s="267">
        <f t="shared" si="13"/>
        <v>0</v>
      </c>
      <c r="AH62" s="267">
        <f t="shared" si="13"/>
        <v>0</v>
      </c>
      <c r="AI62" s="267">
        <f t="shared" si="13"/>
        <v>0</v>
      </c>
      <c r="AJ62" s="267">
        <f t="shared" si="8"/>
        <v>0</v>
      </c>
      <c r="AK62" s="267">
        <f t="shared" si="8"/>
        <v>0</v>
      </c>
      <c r="AL62" s="267">
        <f t="shared" si="8"/>
        <v>0</v>
      </c>
      <c r="AM62" s="267">
        <f t="shared" si="9"/>
        <v>0</v>
      </c>
      <c r="AN62" s="267">
        <f t="shared" si="9"/>
        <v>0</v>
      </c>
      <c r="AO62" s="267">
        <f t="shared" si="9"/>
        <v>0</v>
      </c>
      <c r="AP62" s="267">
        <f t="shared" si="9"/>
        <v>0</v>
      </c>
      <c r="AQ62" s="267">
        <f t="shared" si="9"/>
        <v>0</v>
      </c>
      <c r="AR62" s="267">
        <f t="shared" si="9"/>
        <v>0</v>
      </c>
      <c r="AS62" s="182">
        <f t="shared" si="7"/>
        <v>0</v>
      </c>
    </row>
    <row r="63" spans="2:45" s="170" customFormat="1" x14ac:dyDescent="0.2">
      <c r="B63" s="173"/>
      <c r="C63" s="283"/>
      <c r="D63" s="287"/>
      <c r="E63" s="288"/>
      <c r="F63" s="288"/>
      <c r="G63" s="288"/>
      <c r="H63" s="288"/>
      <c r="I63" s="288"/>
      <c r="J63" s="288"/>
      <c r="K63" s="288"/>
      <c r="L63" s="288"/>
      <c r="M63" s="288"/>
      <c r="N63" s="288"/>
      <c r="O63" s="288"/>
      <c r="P63" s="289"/>
      <c r="Q63" s="298"/>
      <c r="R63" s="284"/>
      <c r="S63" s="285"/>
      <c r="T63" s="285"/>
      <c r="U63" s="285"/>
      <c r="V63" s="285"/>
      <c r="W63" s="285"/>
      <c r="X63" s="285"/>
      <c r="Y63" s="285"/>
      <c r="Z63" s="285"/>
      <c r="AA63" s="285"/>
      <c r="AB63" s="285"/>
      <c r="AC63" s="285"/>
      <c r="AD63" s="286"/>
      <c r="AF63" s="266">
        <f t="shared" si="5"/>
        <v>0</v>
      </c>
      <c r="AG63" s="267">
        <f t="shared" si="13"/>
        <v>0</v>
      </c>
      <c r="AH63" s="267">
        <f t="shared" si="13"/>
        <v>0</v>
      </c>
      <c r="AI63" s="267">
        <f t="shared" si="13"/>
        <v>0</v>
      </c>
      <c r="AJ63" s="267">
        <f t="shared" si="8"/>
        <v>0</v>
      </c>
      <c r="AK63" s="267">
        <f t="shared" si="8"/>
        <v>0</v>
      </c>
      <c r="AL63" s="267">
        <f t="shared" si="8"/>
        <v>0</v>
      </c>
      <c r="AM63" s="267">
        <f t="shared" si="9"/>
        <v>0</v>
      </c>
      <c r="AN63" s="267">
        <f t="shared" si="9"/>
        <v>0</v>
      </c>
      <c r="AO63" s="267">
        <f t="shared" si="9"/>
        <v>0</v>
      </c>
      <c r="AP63" s="267">
        <f t="shared" si="9"/>
        <v>0</v>
      </c>
      <c r="AQ63" s="267">
        <f t="shared" si="9"/>
        <v>0</v>
      </c>
      <c r="AR63" s="267">
        <f t="shared" si="9"/>
        <v>0</v>
      </c>
      <c r="AS63" s="182">
        <f t="shared" si="7"/>
        <v>0</v>
      </c>
    </row>
    <row r="64" spans="2:45" s="170" customFormat="1" x14ac:dyDescent="0.2">
      <c r="B64" s="173"/>
      <c r="C64" s="283"/>
      <c r="D64" s="287"/>
      <c r="E64" s="288"/>
      <c r="F64" s="288"/>
      <c r="G64" s="288"/>
      <c r="H64" s="288"/>
      <c r="I64" s="288"/>
      <c r="J64" s="288"/>
      <c r="K64" s="288"/>
      <c r="L64" s="288"/>
      <c r="M64" s="288"/>
      <c r="N64" s="288"/>
      <c r="O64" s="288"/>
      <c r="P64" s="289"/>
      <c r="Q64" s="298"/>
      <c r="R64" s="284"/>
      <c r="S64" s="285"/>
      <c r="T64" s="285"/>
      <c r="U64" s="285"/>
      <c r="V64" s="285"/>
      <c r="W64" s="285"/>
      <c r="X64" s="285"/>
      <c r="Y64" s="285"/>
      <c r="Z64" s="285"/>
      <c r="AA64" s="285"/>
      <c r="AB64" s="285"/>
      <c r="AC64" s="285"/>
      <c r="AD64" s="286"/>
      <c r="AF64" s="266">
        <f t="shared" si="5"/>
        <v>0</v>
      </c>
      <c r="AG64" s="267">
        <f t="shared" si="13"/>
        <v>0</v>
      </c>
      <c r="AH64" s="267">
        <f t="shared" si="13"/>
        <v>0</v>
      </c>
      <c r="AI64" s="267">
        <f t="shared" si="13"/>
        <v>0</v>
      </c>
      <c r="AJ64" s="267">
        <f t="shared" si="8"/>
        <v>0</v>
      </c>
      <c r="AK64" s="267">
        <f t="shared" si="8"/>
        <v>0</v>
      </c>
      <c r="AL64" s="267">
        <f t="shared" si="8"/>
        <v>0</v>
      </c>
      <c r="AM64" s="267">
        <f t="shared" si="9"/>
        <v>0</v>
      </c>
      <c r="AN64" s="267">
        <f t="shared" si="9"/>
        <v>0</v>
      </c>
      <c r="AO64" s="267">
        <f t="shared" si="9"/>
        <v>0</v>
      </c>
      <c r="AP64" s="267">
        <f t="shared" ref="AP64:AR65" si="14">N64/100*AB64</f>
        <v>0</v>
      </c>
      <c r="AQ64" s="267">
        <f t="shared" si="14"/>
        <v>0</v>
      </c>
      <c r="AR64" s="267">
        <f t="shared" si="14"/>
        <v>0</v>
      </c>
      <c r="AS64" s="182">
        <f t="shared" si="7"/>
        <v>0</v>
      </c>
    </row>
    <row r="65" spans="2:45" s="170" customFormat="1" ht="13.5" thickBot="1" x14ac:dyDescent="0.25">
      <c r="B65" s="199"/>
      <c r="C65" s="290"/>
      <c r="D65" s="291"/>
      <c r="E65" s="292"/>
      <c r="F65" s="292"/>
      <c r="G65" s="292"/>
      <c r="H65" s="292"/>
      <c r="I65" s="292"/>
      <c r="J65" s="292"/>
      <c r="K65" s="292"/>
      <c r="L65" s="292"/>
      <c r="M65" s="292"/>
      <c r="N65" s="292"/>
      <c r="O65" s="292"/>
      <c r="P65" s="293"/>
      <c r="Q65" s="299"/>
      <c r="R65" s="294"/>
      <c r="S65" s="295"/>
      <c r="T65" s="295"/>
      <c r="U65" s="295"/>
      <c r="V65" s="295"/>
      <c r="W65" s="295"/>
      <c r="X65" s="295"/>
      <c r="Y65" s="295"/>
      <c r="Z65" s="295"/>
      <c r="AA65" s="295"/>
      <c r="AB65" s="295"/>
      <c r="AC65" s="295"/>
      <c r="AD65" s="296"/>
      <c r="AF65" s="274">
        <f t="shared" si="5"/>
        <v>0</v>
      </c>
      <c r="AG65" s="275">
        <f t="shared" si="13"/>
        <v>0</v>
      </c>
      <c r="AH65" s="275">
        <f t="shared" si="13"/>
        <v>0</v>
      </c>
      <c r="AI65" s="275">
        <f t="shared" si="13"/>
        <v>0</v>
      </c>
      <c r="AJ65" s="275">
        <f t="shared" si="8"/>
        <v>0</v>
      </c>
      <c r="AK65" s="275">
        <f t="shared" si="8"/>
        <v>0</v>
      </c>
      <c r="AL65" s="275">
        <f t="shared" si="8"/>
        <v>0</v>
      </c>
      <c r="AM65" s="275">
        <f t="shared" ref="AM65:AO65" si="15">K65/100*Y65</f>
        <v>0</v>
      </c>
      <c r="AN65" s="275">
        <f t="shared" si="15"/>
        <v>0</v>
      </c>
      <c r="AO65" s="275">
        <f t="shared" si="15"/>
        <v>0</v>
      </c>
      <c r="AP65" s="275">
        <f t="shared" si="14"/>
        <v>0</v>
      </c>
      <c r="AQ65" s="275">
        <f t="shared" si="14"/>
        <v>0</v>
      </c>
      <c r="AR65" s="275">
        <f t="shared" si="14"/>
        <v>0</v>
      </c>
      <c r="AS65" s="213">
        <f t="shared" si="7"/>
        <v>0</v>
      </c>
    </row>
    <row r="66" spans="2:45" ht="13.5" thickBot="1" x14ac:dyDescent="0.25">
      <c r="B66" s="101"/>
      <c r="C66" s="51"/>
      <c r="Q66" s="59"/>
      <c r="R66" s="102">
        <f t="shared" ref="R66:X66" si="16">SUM(R6:R65)</f>
        <v>185493.99983644587</v>
      </c>
      <c r="S66" s="102">
        <f t="shared" si="16"/>
        <v>599561471.22564006</v>
      </c>
      <c r="T66" s="102">
        <f t="shared" si="16"/>
        <v>1207834099.5976305</v>
      </c>
      <c r="U66" s="102">
        <f t="shared" si="16"/>
        <v>958957381.78903937</v>
      </c>
      <c r="V66" s="102">
        <f t="shared" si="16"/>
        <v>496625.08203243936</v>
      </c>
      <c r="W66" s="102">
        <f t="shared" si="16"/>
        <v>873110.48582753865</v>
      </c>
      <c r="X66" s="102">
        <f t="shared" si="16"/>
        <v>728257.33260741876</v>
      </c>
      <c r="Y66" s="102">
        <f t="shared" ref="Y66:AD66" si="17">SUM(Y6:Y65)</f>
        <v>175302.14541507515</v>
      </c>
      <c r="Z66" s="102">
        <f t="shared" si="17"/>
        <v>309304.6766798009</v>
      </c>
      <c r="AA66" s="102">
        <f t="shared" si="17"/>
        <v>249842.10990960704</v>
      </c>
      <c r="AB66" s="102">
        <f t="shared" si="17"/>
        <v>418280.33814951195</v>
      </c>
      <c r="AC66" s="102">
        <f t="shared" si="17"/>
        <v>755673.49860816717</v>
      </c>
      <c r="AD66" s="102">
        <f t="shared" si="17"/>
        <v>603688.46236135869</v>
      </c>
      <c r="AF66" s="102">
        <f t="shared" ref="AF66:AL66" si="18">SUM(AF6:AF65)</f>
        <v>0</v>
      </c>
      <c r="AG66" s="102">
        <f t="shared" si="18"/>
        <v>14050987.690839533</v>
      </c>
      <c r="AH66" s="102">
        <f t="shared" si="18"/>
        <v>23045290.119712617</v>
      </c>
      <c r="AI66" s="102">
        <f t="shared" si="18"/>
        <v>10379252.798276516</v>
      </c>
      <c r="AJ66" s="102">
        <f t="shared" si="18"/>
        <v>6593951.439607569</v>
      </c>
      <c r="AK66" s="102">
        <f t="shared" si="18"/>
        <v>4956399.1451738132</v>
      </c>
      <c r="AL66" s="102">
        <f t="shared" si="18"/>
        <v>1375380.5421428375</v>
      </c>
      <c r="AM66" s="102">
        <f t="shared" ref="AM66:AS66" si="19">SUM(AM6:AM65)</f>
        <v>6569.8392573044221</v>
      </c>
      <c r="AN66" s="102">
        <f t="shared" si="19"/>
        <v>7614.3441617329199</v>
      </c>
      <c r="AO66" s="102">
        <f t="shared" si="19"/>
        <v>2501.0315773678681</v>
      </c>
      <c r="AP66" s="102">
        <f t="shared" si="19"/>
        <v>15623.787757115449</v>
      </c>
      <c r="AQ66" s="102">
        <f t="shared" si="19"/>
        <v>18601.066254117475</v>
      </c>
      <c r="AR66" s="102">
        <f t="shared" si="19"/>
        <v>6011.6506163166414</v>
      </c>
      <c r="AS66" s="102">
        <f t="shared" si="19"/>
        <v>60458183.455376834</v>
      </c>
    </row>
    <row r="67" spans="2:45" ht="13.5" thickTop="1" x14ac:dyDescent="0.2">
      <c r="B67" s="101"/>
      <c r="C67" s="51"/>
      <c r="Q67" s="59"/>
    </row>
    <row r="68" spans="2:45" x14ac:dyDescent="0.2">
      <c r="B68" s="101"/>
      <c r="C68" s="51"/>
      <c r="AS68" s="103"/>
    </row>
    <row r="69" spans="2:45" x14ac:dyDescent="0.2">
      <c r="B69" s="101"/>
      <c r="C69" s="51"/>
    </row>
    <row r="70" spans="2:45" x14ac:dyDescent="0.2">
      <c r="B70" s="101"/>
      <c r="C70" s="51"/>
    </row>
    <row r="71" spans="2:45" x14ac:dyDescent="0.2">
      <c r="B71" s="101"/>
      <c r="C71" s="51"/>
    </row>
    <row r="72" spans="2:45" x14ac:dyDescent="0.2">
      <c r="B72" s="101"/>
      <c r="C72" s="51"/>
    </row>
    <row r="73" spans="2:45" x14ac:dyDescent="0.2">
      <c r="B73" s="101"/>
      <c r="C73" s="51"/>
    </row>
    <row r="74" spans="2:45" x14ac:dyDescent="0.2">
      <c r="B74" s="101"/>
      <c r="C74" s="51"/>
    </row>
    <row r="75" spans="2:45" x14ac:dyDescent="0.2">
      <c r="B75" s="101"/>
      <c r="C75" s="51"/>
    </row>
    <row r="76" spans="2:45" x14ac:dyDescent="0.2">
      <c r="B76" s="101"/>
      <c r="C76" s="51"/>
    </row>
    <row r="77" spans="2:45" x14ac:dyDescent="0.2">
      <c r="B77" s="101"/>
      <c r="C77" s="51"/>
    </row>
    <row r="78" spans="2:45" x14ac:dyDescent="0.2">
      <c r="B78" s="101"/>
      <c r="C78" s="51"/>
    </row>
    <row r="79" spans="2:45" x14ac:dyDescent="0.2">
      <c r="B79" s="101"/>
      <c r="C79" s="51"/>
    </row>
    <row r="80" spans="2:45" x14ac:dyDescent="0.2">
      <c r="B80" s="101"/>
      <c r="C80" s="51"/>
    </row>
    <row r="81" spans="2:3" x14ac:dyDescent="0.2">
      <c r="B81" s="101"/>
      <c r="C81" s="51"/>
    </row>
    <row r="82" spans="2:3" x14ac:dyDescent="0.2">
      <c r="B82" s="101"/>
      <c r="C82" s="51"/>
    </row>
    <row r="83" spans="2:3" x14ac:dyDescent="0.2">
      <c r="B83" s="101"/>
      <c r="C83" s="51"/>
    </row>
    <row r="84" spans="2:3" x14ac:dyDescent="0.2">
      <c r="B84" s="101"/>
      <c r="C84" s="51"/>
    </row>
    <row r="85" spans="2:3" x14ac:dyDescent="0.2">
      <c r="B85" s="101"/>
      <c r="C85" s="51"/>
    </row>
    <row r="86" spans="2:3" x14ac:dyDescent="0.2">
      <c r="B86" s="101"/>
      <c r="C86" s="51"/>
    </row>
    <row r="87" spans="2:3" x14ac:dyDescent="0.2">
      <c r="B87" s="101"/>
      <c r="C87" s="51"/>
    </row>
    <row r="88" spans="2:3" x14ac:dyDescent="0.2">
      <c r="B88" s="101"/>
      <c r="C88" s="51"/>
    </row>
    <row r="89" spans="2:3" x14ac:dyDescent="0.2">
      <c r="B89" s="101"/>
      <c r="C89" s="51"/>
    </row>
    <row r="90" spans="2:3" x14ac:dyDescent="0.2">
      <c r="B90" s="101"/>
      <c r="C90" s="51"/>
    </row>
    <row r="91" spans="2:3" x14ac:dyDescent="0.2">
      <c r="B91" s="101"/>
      <c r="C91" s="51"/>
    </row>
    <row r="92" spans="2:3" x14ac:dyDescent="0.2">
      <c r="B92" s="101"/>
      <c r="C92" s="51"/>
    </row>
    <row r="93" spans="2:3" x14ac:dyDescent="0.2">
      <c r="B93" s="101"/>
      <c r="C93" s="51"/>
    </row>
    <row r="94" spans="2:3" x14ac:dyDescent="0.2">
      <c r="B94" s="101"/>
      <c r="C94" s="51"/>
    </row>
    <row r="95" spans="2:3" x14ac:dyDescent="0.2">
      <c r="B95" s="101"/>
      <c r="C95" s="51"/>
    </row>
    <row r="96" spans="2:3" x14ac:dyDescent="0.2">
      <c r="B96" s="101"/>
      <c r="C96" s="51"/>
    </row>
    <row r="97" spans="2:3" x14ac:dyDescent="0.2">
      <c r="B97" s="101"/>
      <c r="C97" s="51"/>
    </row>
    <row r="98" spans="2:3" x14ac:dyDescent="0.2">
      <c r="B98" s="101"/>
      <c r="C98" s="51"/>
    </row>
    <row r="99" spans="2:3" x14ac:dyDescent="0.2">
      <c r="B99" s="101"/>
      <c r="C99" s="51"/>
    </row>
    <row r="100" spans="2:3" x14ac:dyDescent="0.2">
      <c r="B100" s="101"/>
      <c r="C100" s="51"/>
    </row>
    <row r="101" spans="2:3" x14ac:dyDescent="0.2">
      <c r="B101" s="101"/>
      <c r="C101" s="51"/>
    </row>
    <row r="102" spans="2:3" x14ac:dyDescent="0.2">
      <c r="B102" s="101"/>
      <c r="C102" s="51"/>
    </row>
    <row r="103" spans="2:3" x14ac:dyDescent="0.2">
      <c r="B103" s="101"/>
      <c r="C103" s="51"/>
    </row>
    <row r="104" spans="2:3" x14ac:dyDescent="0.2">
      <c r="B104" s="101"/>
      <c r="C104" s="51"/>
    </row>
    <row r="105" spans="2:3" x14ac:dyDescent="0.2">
      <c r="B105" s="101"/>
      <c r="C105" s="51"/>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31"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FF00"/>
  </sheetPr>
  <dimension ref="A2:X64"/>
  <sheetViews>
    <sheetView zoomScale="80" zoomScaleNormal="80" workbookViewId="0">
      <selection activeCell="G19" sqref="G19"/>
    </sheetView>
  </sheetViews>
  <sheetFormatPr defaultRowHeight="14.25" x14ac:dyDescent="0.2"/>
  <cols>
    <col min="1" max="1" width="5.42578125" style="1" customWidth="1"/>
    <col min="2" max="2" width="78.42578125" style="2" customWidth="1"/>
    <col min="3" max="3" width="18.5703125" style="3" customWidth="1"/>
    <col min="4" max="4" width="18.5703125" style="4" customWidth="1"/>
    <col min="5" max="5" width="18.7109375" style="4" customWidth="1"/>
    <col min="6" max="6" width="9" style="4" customWidth="1"/>
    <col min="7" max="7" width="10.140625" style="4" customWidth="1"/>
    <col min="8" max="8" width="9" style="4" customWidth="1"/>
    <col min="9" max="10" width="9" style="5" customWidth="1"/>
    <col min="11" max="18" width="9" style="4" customWidth="1"/>
    <col min="19" max="20" width="9.140625" style="4"/>
    <col min="21" max="21" width="8.710937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CitiPower</v>
      </c>
      <c r="C2" s="350" t="str">
        <f>'Model update'!$C$5&amp;"TransRevCont"</f>
        <v>2021TransRevCont</v>
      </c>
      <c r="D2" s="7"/>
      <c r="G2" s="45"/>
      <c r="M2" s="32"/>
      <c r="N2" s="32"/>
      <c r="O2" s="32"/>
      <c r="P2" s="32"/>
      <c r="Q2" s="32"/>
      <c r="R2" s="32"/>
    </row>
    <row r="3" spans="1:24" ht="15" x14ac:dyDescent="0.25">
      <c r="B3" s="42"/>
      <c r="D3" s="7"/>
      <c r="M3" s="32"/>
      <c r="N3" s="32"/>
      <c r="O3" s="32"/>
      <c r="P3" s="32"/>
      <c r="Q3" s="32"/>
      <c r="R3" s="32"/>
    </row>
    <row r="4" spans="1:24" ht="18.75" x14ac:dyDescent="0.3">
      <c r="B4" s="43" t="s">
        <v>132</v>
      </c>
      <c r="C4" s="44"/>
      <c r="D4" s="7"/>
      <c r="M4" s="32"/>
      <c r="N4" s="32"/>
      <c r="O4" s="32"/>
      <c r="P4" s="32"/>
      <c r="Q4" s="32"/>
      <c r="R4" s="32"/>
    </row>
    <row r="5" spans="1:24" ht="15" x14ac:dyDescent="0.25">
      <c r="B5" s="8"/>
      <c r="D5" s="7"/>
      <c r="M5" s="32"/>
      <c r="N5" s="32"/>
      <c r="O5" s="32"/>
      <c r="P5" s="32"/>
      <c r="Q5" s="32"/>
      <c r="R5" s="32"/>
    </row>
    <row r="6" spans="1:24" ht="15" x14ac:dyDescent="0.25">
      <c r="B6" s="29" t="s">
        <v>124</v>
      </c>
      <c r="C6" s="40">
        <f>'Model update'!C5</f>
        <v>2021</v>
      </c>
      <c r="D6" s="7"/>
      <c r="M6" s="32"/>
      <c r="N6" s="32"/>
      <c r="O6" s="32"/>
      <c r="P6" s="32"/>
      <c r="Q6" s="32"/>
      <c r="R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135</v>
      </c>
      <c r="C8" s="15"/>
      <c r="D8" s="16"/>
      <c r="E8" s="16"/>
      <c r="M8" s="32"/>
      <c r="N8" s="32"/>
      <c r="O8" s="32"/>
      <c r="P8" s="32"/>
      <c r="Q8" s="32"/>
      <c r="R8" s="32"/>
    </row>
    <row r="9" spans="1:24" ht="18" customHeight="1" x14ac:dyDescent="0.2">
      <c r="A9" s="12"/>
      <c r="B9" s="17" t="s">
        <v>134</v>
      </c>
      <c r="C9" s="28">
        <f>Prop2021TransTar!AS66</f>
        <v>60458183.455376834</v>
      </c>
      <c r="D9" s="16"/>
      <c r="E9" s="5"/>
      <c r="I9" s="4"/>
      <c r="J9" s="4"/>
      <c r="M9" s="32"/>
      <c r="N9" s="32"/>
      <c r="O9" s="32"/>
      <c r="P9" s="32"/>
      <c r="Q9" s="32"/>
      <c r="R9" s="32"/>
    </row>
    <row r="10" spans="1:24" ht="18" customHeight="1" x14ac:dyDescent="0.2">
      <c r="A10" s="12"/>
      <c r="B10" s="34" t="s">
        <v>133</v>
      </c>
      <c r="C10" s="35">
        <f>C19</f>
        <v>60491328.782780811</v>
      </c>
      <c r="D10" s="16"/>
      <c r="E10" s="45"/>
      <c r="I10" s="4"/>
      <c r="J10" s="4"/>
      <c r="M10" s="32"/>
      <c r="N10" s="32"/>
      <c r="O10" s="32"/>
      <c r="P10" s="32"/>
      <c r="Q10" s="32"/>
      <c r="R10" s="32"/>
    </row>
    <row r="11" spans="1:24" ht="18" customHeight="1" x14ac:dyDescent="0.25">
      <c r="A11" s="12"/>
      <c r="B11" s="36"/>
      <c r="C11" s="38" t="str">
        <f>IF(C9="","",IF(C10&gt;=C9,"DPPC REVENUE FORMULA COMPLIANT","DPPC REVENUE FORMULA BREACHED"))</f>
        <v>DPPC REVENUE FORMULA COMPLIANT</v>
      </c>
      <c r="D11" s="19"/>
      <c r="E11" s="30"/>
      <c r="F11" s="31"/>
      <c r="G11" s="31"/>
      <c r="H11" s="31"/>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31"/>
      <c r="I12" s="31"/>
      <c r="J12" s="31"/>
      <c r="K12" s="31"/>
      <c r="L12" s="31"/>
      <c r="M12" s="32"/>
      <c r="N12" s="32"/>
      <c r="O12" s="32"/>
      <c r="P12" s="32"/>
      <c r="Q12" s="32"/>
      <c r="R12" s="32"/>
      <c r="V12" s="20"/>
      <c r="W12" s="20"/>
      <c r="X12" s="20"/>
    </row>
    <row r="13" spans="1:24" ht="18" customHeight="1" x14ac:dyDescent="0.25">
      <c r="A13" s="12"/>
      <c r="B13" s="23"/>
      <c r="C13" s="39"/>
      <c r="D13" s="19"/>
      <c r="E13" s="30"/>
      <c r="F13" s="31"/>
      <c r="G13" s="31"/>
      <c r="H13" s="31"/>
      <c r="I13" s="31"/>
      <c r="J13" s="31"/>
      <c r="K13" s="31"/>
      <c r="L13" s="31"/>
      <c r="M13" s="32"/>
      <c r="N13" s="32"/>
      <c r="O13" s="32"/>
      <c r="P13" s="32"/>
      <c r="Q13" s="32"/>
      <c r="R13" s="32"/>
      <c r="V13" s="20"/>
      <c r="W13" s="20"/>
      <c r="X13" s="20"/>
    </row>
    <row r="14" spans="1:24" ht="18" customHeight="1" x14ac:dyDescent="0.25">
      <c r="A14" s="12"/>
      <c r="B14" s="13" t="s">
        <v>130</v>
      </c>
      <c r="C14" s="19"/>
      <c r="D14" s="19"/>
      <c r="E14" s="30"/>
      <c r="F14" s="31"/>
      <c r="G14" s="31"/>
      <c r="H14" s="31"/>
      <c r="I14" s="31"/>
      <c r="J14" s="31"/>
      <c r="K14" s="31"/>
      <c r="L14" s="31"/>
      <c r="M14" s="32"/>
      <c r="N14" s="32"/>
      <c r="O14" s="32"/>
      <c r="P14" s="32"/>
      <c r="Q14" s="32"/>
      <c r="R14" s="32"/>
      <c r="V14" s="20"/>
      <c r="W14" s="20"/>
      <c r="X14" s="20"/>
    </row>
    <row r="15" spans="1:24" ht="18" customHeight="1" x14ac:dyDescent="0.25">
      <c r="A15" s="12"/>
      <c r="B15" s="21" t="s">
        <v>127</v>
      </c>
      <c r="C15" s="325">
        <v>44296207.498478144</v>
      </c>
      <c r="D15" s="19"/>
      <c r="E15" s="30"/>
      <c r="F15" s="31"/>
      <c r="G15" s="31"/>
      <c r="H15" s="31"/>
      <c r="I15" s="31"/>
      <c r="J15" s="31"/>
      <c r="K15" s="31"/>
      <c r="L15" s="31"/>
      <c r="M15" s="32"/>
      <c r="N15" s="32"/>
      <c r="O15" s="32"/>
      <c r="P15" s="32"/>
      <c r="Q15" s="32"/>
      <c r="R15" s="32"/>
      <c r="V15" s="20"/>
      <c r="W15" s="20"/>
      <c r="X15" s="20"/>
    </row>
    <row r="16" spans="1:24" ht="18" customHeight="1" x14ac:dyDescent="0.25">
      <c r="A16" s="12"/>
      <c r="B16" s="22" t="s">
        <v>301</v>
      </c>
      <c r="C16" s="325">
        <v>13715735.108803634</v>
      </c>
      <c r="D16" s="19"/>
      <c r="E16" s="30"/>
      <c r="F16" s="31"/>
      <c r="G16" s="31"/>
      <c r="H16" s="31"/>
      <c r="I16" s="31"/>
      <c r="J16" s="31"/>
      <c r="K16" s="31"/>
      <c r="L16" s="31"/>
      <c r="M16" s="32"/>
      <c r="N16" s="32"/>
      <c r="O16" s="32"/>
      <c r="P16" s="32"/>
      <c r="Q16" s="32"/>
      <c r="R16" s="32"/>
      <c r="V16" s="20"/>
      <c r="W16" s="20"/>
      <c r="X16" s="20"/>
    </row>
    <row r="17" spans="1:24" ht="18" customHeight="1" x14ac:dyDescent="0.25">
      <c r="A17" s="12"/>
      <c r="B17" s="22" t="s">
        <v>128</v>
      </c>
      <c r="C17" s="325">
        <v>0</v>
      </c>
      <c r="D17" s="19"/>
      <c r="E17" s="30"/>
      <c r="F17" s="31"/>
      <c r="G17" s="31"/>
      <c r="H17" s="31"/>
      <c r="I17" s="31"/>
      <c r="J17" s="31"/>
      <c r="K17" s="31"/>
      <c r="L17" s="31"/>
      <c r="M17" s="32"/>
      <c r="N17" s="32"/>
      <c r="O17" s="32"/>
      <c r="P17" s="32"/>
      <c r="Q17" s="32"/>
      <c r="R17" s="32"/>
      <c r="V17" s="20"/>
      <c r="W17" s="20"/>
      <c r="X17" s="20"/>
    </row>
    <row r="18" spans="1:24" ht="18" customHeight="1" x14ac:dyDescent="0.25">
      <c r="A18" s="12"/>
      <c r="B18" s="22" t="s">
        <v>129</v>
      </c>
      <c r="C18" s="325">
        <v>-2479386.1754990402</v>
      </c>
      <c r="D18" s="19"/>
      <c r="E18" s="30"/>
      <c r="F18" s="31"/>
      <c r="G18" s="31"/>
      <c r="H18" s="31"/>
      <c r="I18" s="31"/>
      <c r="J18" s="31"/>
      <c r="K18" s="31"/>
      <c r="L18" s="31"/>
      <c r="M18" s="32"/>
      <c r="N18" s="32"/>
      <c r="O18" s="32"/>
      <c r="P18" s="32"/>
      <c r="Q18" s="32"/>
      <c r="R18" s="32"/>
      <c r="V18" s="20"/>
      <c r="W18" s="20"/>
      <c r="X18" s="20"/>
    </row>
    <row r="19" spans="1:24" ht="18" customHeight="1" x14ac:dyDescent="0.25">
      <c r="A19" s="12"/>
      <c r="B19" s="17" t="s">
        <v>125</v>
      </c>
      <c r="C19" s="26">
        <f>C15+C16+C17-C18</f>
        <v>60491328.782780811</v>
      </c>
      <c r="D19" s="19"/>
      <c r="E19" s="30"/>
      <c r="F19" s="31"/>
      <c r="G19" s="31"/>
      <c r="H19" s="31"/>
      <c r="I19" s="31"/>
      <c r="J19" s="31"/>
      <c r="K19" s="31"/>
      <c r="L19" s="31"/>
      <c r="M19" s="32"/>
      <c r="N19" s="32"/>
      <c r="O19" s="32"/>
      <c r="P19" s="32"/>
      <c r="Q19" s="32"/>
      <c r="R19" s="32"/>
      <c r="V19" s="20"/>
      <c r="W19" s="20"/>
      <c r="X19" s="20"/>
    </row>
    <row r="20" spans="1:24" ht="18" customHeight="1" x14ac:dyDescent="0.25">
      <c r="A20" s="12"/>
      <c r="B20" s="24"/>
      <c r="C20" s="27"/>
      <c r="D20" s="19"/>
      <c r="E20" s="30"/>
      <c r="F20" s="31"/>
      <c r="G20" s="31"/>
      <c r="H20" s="31"/>
      <c r="I20" s="31"/>
      <c r="J20" s="31"/>
      <c r="K20" s="31"/>
      <c r="L20" s="31"/>
      <c r="M20" s="32"/>
      <c r="N20" s="32"/>
      <c r="O20" s="32"/>
      <c r="P20" s="32"/>
      <c r="Q20" s="32"/>
      <c r="R20" s="32"/>
      <c r="V20" s="20"/>
      <c r="W20" s="20"/>
      <c r="X20" s="20"/>
    </row>
    <row r="21" spans="1:24" ht="18" customHeight="1" x14ac:dyDescent="0.25">
      <c r="A21" s="12"/>
      <c r="F21" s="31"/>
      <c r="G21" s="31"/>
      <c r="H21" s="31"/>
      <c r="I21" s="31"/>
      <c r="J21" s="31"/>
      <c r="K21" s="31"/>
      <c r="L21" s="31"/>
      <c r="M21" s="32"/>
      <c r="N21" s="32"/>
      <c r="O21" s="32"/>
      <c r="P21" s="32"/>
      <c r="Q21" s="32"/>
      <c r="R21" s="32"/>
      <c r="V21" s="20"/>
      <c r="W21" s="20"/>
      <c r="X21" s="20"/>
    </row>
    <row r="22" spans="1:24" ht="18" customHeight="1" x14ac:dyDescent="0.25">
      <c r="A22" s="12"/>
      <c r="F22" s="31"/>
      <c r="G22" s="31"/>
      <c r="H22" s="31"/>
      <c r="I22" s="31"/>
      <c r="J22" s="31"/>
      <c r="K22" s="31"/>
      <c r="L22" s="31"/>
      <c r="M22" s="32"/>
      <c r="N22" s="32"/>
      <c r="O22" s="32"/>
      <c r="P22" s="32"/>
      <c r="Q22" s="32"/>
      <c r="R22" s="32"/>
      <c r="V22" s="20"/>
      <c r="W22" s="20"/>
      <c r="X22" s="20"/>
    </row>
    <row r="23" spans="1:24" ht="18" customHeight="1" x14ac:dyDescent="0.25">
      <c r="A23" s="12"/>
      <c r="F23" s="31"/>
      <c r="G23" s="31"/>
      <c r="H23" s="31"/>
      <c r="I23" s="31"/>
      <c r="J23" s="31"/>
      <c r="K23" s="31"/>
      <c r="L23" s="31"/>
      <c r="M23" s="32"/>
      <c r="N23" s="32"/>
      <c r="O23" s="32"/>
      <c r="P23" s="32"/>
      <c r="Q23" s="32"/>
      <c r="R23" s="32"/>
      <c r="V23" s="20"/>
      <c r="W23" s="20"/>
      <c r="X23" s="20"/>
    </row>
    <row r="24" spans="1:24" ht="18" customHeight="1" x14ac:dyDescent="0.25">
      <c r="A24" s="12"/>
      <c r="F24" s="31"/>
      <c r="G24" s="31"/>
      <c r="H24" s="31"/>
      <c r="I24" s="31"/>
      <c r="J24" s="31"/>
      <c r="K24" s="31"/>
      <c r="L24" s="31"/>
      <c r="M24" s="32"/>
      <c r="N24" s="32"/>
      <c r="O24" s="32"/>
      <c r="P24" s="32"/>
      <c r="Q24" s="32"/>
      <c r="R24" s="32"/>
      <c r="V24" s="20"/>
      <c r="W24" s="20"/>
      <c r="X24" s="20"/>
    </row>
    <row r="25" spans="1:24" ht="18" customHeight="1" x14ac:dyDescent="0.25">
      <c r="A25" s="12"/>
      <c r="F25" s="31"/>
      <c r="G25" s="31"/>
      <c r="H25" s="31"/>
      <c r="I25" s="31"/>
      <c r="J25" s="31"/>
      <c r="K25" s="31"/>
      <c r="L25" s="31"/>
      <c r="M25" s="32"/>
      <c r="N25" s="32"/>
      <c r="O25" s="32"/>
      <c r="P25" s="32"/>
      <c r="Q25" s="32"/>
      <c r="R25" s="32"/>
      <c r="V25" s="20"/>
      <c r="W25" s="20"/>
      <c r="X25" s="20"/>
    </row>
    <row r="64" spans="7:8" ht="15" x14ac:dyDescent="0.25">
      <c r="G64" s="339"/>
      <c r="H64" s="30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indexed="15"/>
    <pageSetUpPr autoPageBreaks="0"/>
  </sheetPr>
  <dimension ref="B1:AS105"/>
  <sheetViews>
    <sheetView zoomScale="80" zoomScaleNormal="80" workbookViewId="0">
      <pane xSplit="3" ySplit="5" topLeftCell="D6" activePane="bottomRight" state="frozen"/>
      <selection activeCell="B1" sqref="B1"/>
      <selection pane="topRight" activeCell="B1" sqref="B1"/>
      <selection pane="bottomLeft" activeCell="B1" sqref="B1"/>
      <selection pane="bottomRight" activeCell="H44" sqref="H44"/>
    </sheetView>
  </sheetViews>
  <sheetFormatPr defaultRowHeight="12.75" x14ac:dyDescent="0.2"/>
  <cols>
    <col min="1" max="1" width="1.85546875" style="72" customWidth="1"/>
    <col min="2" max="2" width="45" style="72" customWidth="1"/>
    <col min="3" max="3" width="2.85546875" style="72" customWidth="1"/>
    <col min="4" max="4" width="15.28515625" style="72" customWidth="1"/>
    <col min="5" max="6" width="10.5703125" style="72" bestFit="1" customWidth="1"/>
    <col min="7" max="7" width="18" style="72" customWidth="1"/>
    <col min="8" max="9" width="10.5703125" style="72" bestFit="1" customWidth="1"/>
    <col min="10" max="12" width="9.5703125" style="72" bestFit="1" customWidth="1"/>
    <col min="13" max="13" width="11.7109375" style="72" bestFit="1" customWidth="1"/>
    <col min="14" max="14" width="11.28515625" style="72" bestFit="1" customWidth="1"/>
    <col min="15" max="16" width="10.140625" style="72" bestFit="1" customWidth="1"/>
    <col min="17" max="17" width="1.85546875" style="72" customWidth="1"/>
    <col min="18" max="18" width="16.7109375" style="72" bestFit="1" customWidth="1"/>
    <col min="19" max="19" width="19.28515625" style="72" customWidth="1"/>
    <col min="20" max="20" width="13.140625" style="72" customWidth="1"/>
    <col min="21" max="22" width="14.85546875" style="72" bestFit="1" customWidth="1"/>
    <col min="23" max="23" width="16.140625" style="72" customWidth="1"/>
    <col min="24" max="24" width="14.7109375" style="72" customWidth="1"/>
    <col min="25" max="27" width="14.85546875" style="72" bestFit="1" customWidth="1"/>
    <col min="28" max="28" width="10" style="72" customWidth="1"/>
    <col min="29" max="29" width="14.85546875" style="72" bestFit="1" customWidth="1"/>
    <col min="30" max="30" width="14.85546875" style="72" customWidth="1"/>
    <col min="31" max="31" width="1.85546875" style="72" customWidth="1"/>
    <col min="32" max="32" width="14.28515625" style="72" customWidth="1"/>
    <col min="33" max="33" width="16.42578125" style="72" customWidth="1"/>
    <col min="34" max="34" width="16.28515625" style="72" customWidth="1"/>
    <col min="35" max="35" width="14.7109375" style="72" customWidth="1"/>
    <col min="36" max="36" width="13.5703125" style="72" bestFit="1" customWidth="1"/>
    <col min="37" max="37" width="14.28515625" style="72" customWidth="1"/>
    <col min="38" max="38" width="12.42578125" style="72" bestFit="1" customWidth="1"/>
    <col min="39" max="39" width="10.5703125" style="72" customWidth="1"/>
    <col min="40" max="40" width="10.85546875" style="72" customWidth="1"/>
    <col min="41" max="41" width="15.42578125" style="72" customWidth="1"/>
    <col min="42" max="42" width="12.42578125" style="72" bestFit="1" customWidth="1"/>
    <col min="43" max="44" width="9.85546875" style="72" bestFit="1" customWidth="1"/>
    <col min="45" max="45" width="12.42578125" style="72" bestFit="1" customWidth="1"/>
    <col min="46" max="16384" width="9.140625" style="72"/>
  </cols>
  <sheetData>
    <row r="1" spans="2:45" ht="15" x14ac:dyDescent="0.25">
      <c r="B1" s="50" t="str">
        <f>"Tariff Approval - "&amp;'Model update'!C3</f>
        <v>Tariff Approval - CitiPower</v>
      </c>
      <c r="C1" s="50"/>
      <c r="D1" s="350" t="str">
        <f>"Prop"&amp;'Model update'!$C$5&amp;"JSTar"</f>
        <v>Prop2021JSTar</v>
      </c>
      <c r="F1" s="227"/>
    </row>
    <row r="2" spans="2:45" x14ac:dyDescent="0.2">
      <c r="D2" s="227"/>
      <c r="E2" s="227"/>
    </row>
    <row r="3" spans="2:45" x14ac:dyDescent="0.2">
      <c r="B3" s="94" t="str">
        <f>"PROPOSED "&amp;'Model update'!$C$5&amp;" JURISDICTIONAL SCHEME TARIFFS"</f>
        <v>PROPOSED 2021 JURISDICTIONAL SCHEME TARIFFS</v>
      </c>
      <c r="C3" s="94"/>
    </row>
    <row r="4" spans="2:45" ht="13.5" thickBot="1" x14ac:dyDescent="0.25">
      <c r="D4" s="95" t="str">
        <f>"Proposed Jurisdictional scheme Tariffs (Pt) for "&amp;'Model update'!$C$5</f>
        <v>Proposed Jurisdictional scheme Tariffs (Pt) for 2021</v>
      </c>
      <c r="E4" s="96"/>
      <c r="F4" s="96"/>
      <c r="G4" s="96"/>
      <c r="H4" s="59"/>
      <c r="I4" s="59"/>
      <c r="R4" s="97" t="str">
        <f>"Forecast Quantities (Qt) for "&amp;'Model update'!$C$5</f>
        <v>Forecast Quantities (Qt) for 2021</v>
      </c>
      <c r="S4" s="97"/>
      <c r="T4" s="59"/>
      <c r="U4" s="59"/>
      <c r="AF4" s="97" t="str">
        <f>"Forecast Revenue (Pt "&amp;'Model update'!$C$5&amp;")*(Qt " &amp;'Model update'!$C$5&amp;")"</f>
        <v>Forecast Revenue (Pt 2021)*(Qt 2021)</v>
      </c>
      <c r="AG4" s="96"/>
      <c r="AH4" s="96"/>
      <c r="AI4" s="59"/>
    </row>
    <row r="5" spans="2:45" ht="38.25" x14ac:dyDescent="0.2">
      <c r="B5" s="98" t="s">
        <v>87</v>
      </c>
      <c r="C5" s="465"/>
      <c r="D5" s="99" t="str">
        <f>[1]Prop2020DistTar!D5</f>
        <v>PropTar
Fixed</v>
      </c>
      <c r="E5" s="462" t="str">
        <f>[1]Prop2020DistTar!E5</f>
        <v>PropTar
Anytime</v>
      </c>
      <c r="F5" s="462" t="str">
        <f>[1]Prop2020DistTar!F5</f>
        <v>PropTar
PkBlk</v>
      </c>
      <c r="G5" s="462" t="str">
        <f>[1]Prop2020DistTar!G5</f>
        <v>PropTar
OPkBlk1</v>
      </c>
      <c r="H5" s="462" t="str">
        <f>[1]Prop2020DistTar!H5</f>
        <v>PropTar
Dem kVA</v>
      </c>
      <c r="I5" s="462" t="str">
        <f>[1]Prop2020DistTar!I5</f>
        <v>PropTar
Dem kW Sum</v>
      </c>
      <c r="J5" s="462" t="str">
        <f>[1]Prop2020DistTar!J5</f>
        <v>PropTar
Dem kW Win</v>
      </c>
      <c r="K5" s="462" t="str">
        <f>[1]Prop2020DistTar!K5</f>
        <v>PropTar
SumBlk1</v>
      </c>
      <c r="L5" s="462" t="str">
        <f>[1]Prop2020DistTar!L5</f>
        <v>PropTar
SumBlk2</v>
      </c>
      <c r="M5" s="462" t="str">
        <f>[1]Prop2020DistTar!M5</f>
        <v>PropTar
SumBlk3</v>
      </c>
      <c r="N5" s="462" t="str">
        <f>[1]Prop2020DistTar!N5</f>
        <v>PropTar
WtrBlk1</v>
      </c>
      <c r="O5" s="462" t="str">
        <f>[1]Prop2020DistTar!O5</f>
        <v>PropTar
WtrBlk2</v>
      </c>
      <c r="P5" s="462" t="str">
        <f>[1]Prop2020DistTar!P5</f>
        <v>PropTar
WtrBlk3</v>
      </c>
      <c r="R5" s="462" t="str">
        <f>[1]Prop2020DistTar!AF5</f>
        <v>FcastVol
Fixed</v>
      </c>
      <c r="S5" s="462" t="str">
        <f>[1]Prop2020DistTar!AG5</f>
        <v>FcastVol
Anytime</v>
      </c>
      <c r="T5" s="462" t="str">
        <f>[1]Prop2020DistTar!AH5</f>
        <v>FcastVol
Pk</v>
      </c>
      <c r="U5" s="462" t="str">
        <f>[1]Prop2020DistTar!AI5</f>
        <v>FcastVol
Opk</v>
      </c>
      <c r="V5" s="462" t="str">
        <f>[1]Prop2020DistTar!AJ5</f>
        <v>FcastVol
Dem kVA</v>
      </c>
      <c r="W5" s="462" t="str">
        <f>[1]Prop2020DistTar!AK5</f>
        <v>FcastVol
Dem kW Sum</v>
      </c>
      <c r="X5" s="462" t="str">
        <f>[1]Prop2020DistTar!AL5</f>
        <v>FcastVol
Dem kW Win</v>
      </c>
      <c r="Y5" s="462" t="str">
        <f>[1]Prop2020DistTar!AM5</f>
        <v>FcastVol
SumBlk1</v>
      </c>
      <c r="Z5" s="462" t="str">
        <f>[1]Prop2020DistTar!AN5</f>
        <v>FcastVol
SumBlk2</v>
      </c>
      <c r="AA5" s="462" t="str">
        <f>[1]Prop2020DistTar!AO5</f>
        <v>FcastVol
SumBlk3</v>
      </c>
      <c r="AB5" s="462" t="str">
        <f>[1]Prop2020DistTar!AP5</f>
        <v>FcastVol
WtrBlk1</v>
      </c>
      <c r="AC5" s="462" t="str">
        <f>[1]Prop2020DistTar!AQ5</f>
        <v>FcastVol
WtrBlk2</v>
      </c>
      <c r="AD5" s="462" t="str">
        <f>[1]Prop2020DistTar!AR5</f>
        <v>FcastVol
WtrBlk3</v>
      </c>
      <c r="AF5" s="99" t="str">
        <f>[1]Prop2020DistTar!AT5</f>
        <v>PropRev
Fixed</v>
      </c>
      <c r="AG5" s="462" t="str">
        <f>[1]Prop2020DistTar!AU5</f>
        <v>PropRev
Anytime</v>
      </c>
      <c r="AH5" s="462" t="str">
        <f>[1]Prop2020DistTar!AV5</f>
        <v>PropRev
Pk</v>
      </c>
      <c r="AI5" s="462" t="str">
        <f>[1]Prop2020DistTar!AW5</f>
        <v>PropRev
Opk</v>
      </c>
      <c r="AJ5" s="462" t="str">
        <f>[1]Prop2020DistTar!AX5</f>
        <v>PropRev
Dem kVA</v>
      </c>
      <c r="AK5" s="462" t="str">
        <f>[1]Prop2020DistTar!AY5</f>
        <v>PropRev
Dem kW Sum</v>
      </c>
      <c r="AL5" s="462" t="str">
        <f>[1]Prop2020DistTar!AZ5</f>
        <v>PropRev
Dem kW Win</v>
      </c>
      <c r="AM5" s="462" t="str">
        <f>[1]Prop2020DistTar!BA5</f>
        <v>PropRev
SumBlk1</v>
      </c>
      <c r="AN5" s="462" t="str">
        <f>[1]Prop2020DistTar!BB5</f>
        <v>PropRev
SumBlk2</v>
      </c>
      <c r="AO5" s="462" t="str">
        <f>[1]Prop2020DistTar!BC5</f>
        <v>PropRev
SumBlk3</v>
      </c>
      <c r="AP5" s="462" t="str">
        <f>[1]Prop2020DistTar!BD5</f>
        <v>PropRev
WtrBlk1</v>
      </c>
      <c r="AQ5" s="462" t="str">
        <f>[1]Prop2020DistTar!BE5</f>
        <v>PropRev
WtrBlk2</v>
      </c>
      <c r="AR5" s="462" t="str">
        <f>[1]Prop2020DistTar!BF5</f>
        <v>PropRev
WtrBlk3</v>
      </c>
      <c r="AS5" s="462" t="s">
        <v>93</v>
      </c>
    </row>
    <row r="6" spans="2:45" s="170" customFormat="1" x14ac:dyDescent="0.2">
      <c r="B6" s="173" t="str">
        <f>Prop2021DistTar!B6</f>
        <v>Residential Single Rate</v>
      </c>
      <c r="C6" s="276"/>
      <c r="D6" s="319">
        <v>0</v>
      </c>
      <c r="E6" s="320">
        <v>0.06</v>
      </c>
      <c r="F6" s="320">
        <v>0</v>
      </c>
      <c r="G6" s="320">
        <v>0</v>
      </c>
      <c r="H6" s="320">
        <v>0</v>
      </c>
      <c r="I6" s="320">
        <v>0</v>
      </c>
      <c r="J6" s="320">
        <v>0</v>
      </c>
      <c r="K6" s="320">
        <v>0</v>
      </c>
      <c r="L6" s="320">
        <v>0</v>
      </c>
      <c r="M6" s="320">
        <v>0</v>
      </c>
      <c r="N6" s="320">
        <v>0</v>
      </c>
      <c r="O6" s="320">
        <v>0</v>
      </c>
      <c r="P6" s="361">
        <v>0</v>
      </c>
      <c r="Q6" s="297"/>
      <c r="R6" s="277">
        <f>Prop2021DistTar!AF6</f>
        <v>103689.16722222226</v>
      </c>
      <c r="S6" s="278">
        <f>Prop2021DistTar!AG6</f>
        <v>405167262.35580963</v>
      </c>
      <c r="T6" s="278">
        <f>Prop2021DistTar!AH6</f>
        <v>0</v>
      </c>
      <c r="U6" s="278">
        <f>Prop2021DistTar!AI6</f>
        <v>0</v>
      </c>
      <c r="V6" s="278">
        <f>Prop2021DistTar!AJ6</f>
        <v>0</v>
      </c>
      <c r="W6" s="278">
        <f>Prop2021DistTar!AK6</f>
        <v>0</v>
      </c>
      <c r="X6" s="278">
        <f>Prop2021DistTar!AL6</f>
        <v>0</v>
      </c>
      <c r="Y6" s="278">
        <f>Prop2021DistTar!AM6</f>
        <v>0</v>
      </c>
      <c r="Z6" s="278">
        <f>Prop2021DistTar!AN6</f>
        <v>0</v>
      </c>
      <c r="AA6" s="278">
        <f>Prop2021DistTar!AO6</f>
        <v>0</v>
      </c>
      <c r="AB6" s="278">
        <f>Prop2021DistTar!AP6</f>
        <v>0</v>
      </c>
      <c r="AC6" s="278">
        <f>Prop2021DistTar!AQ6</f>
        <v>0</v>
      </c>
      <c r="AD6" s="279">
        <f>Prop2021DistTar!AR6</f>
        <v>0</v>
      </c>
      <c r="AF6" s="280">
        <f t="shared" ref="AF6" si="0">D6*R6</f>
        <v>0</v>
      </c>
      <c r="AG6" s="281">
        <f t="shared" ref="AG6:AI6" si="1">E6/100*S6</f>
        <v>243100.35741348576</v>
      </c>
      <c r="AH6" s="281">
        <f t="shared" si="1"/>
        <v>0</v>
      </c>
      <c r="AI6" s="281">
        <f t="shared" si="1"/>
        <v>0</v>
      </c>
      <c r="AJ6" s="281">
        <f t="shared" ref="AJ6:AL21" si="2">H6*V6</f>
        <v>0</v>
      </c>
      <c r="AK6" s="281">
        <f t="shared" si="2"/>
        <v>0</v>
      </c>
      <c r="AL6" s="281">
        <f t="shared" si="2"/>
        <v>0</v>
      </c>
      <c r="AM6" s="267">
        <f t="shared" ref="AM6:AR21" si="3">K6/100*Y6</f>
        <v>0</v>
      </c>
      <c r="AN6" s="267">
        <f t="shared" si="3"/>
        <v>0</v>
      </c>
      <c r="AO6" s="267">
        <f t="shared" si="3"/>
        <v>0</v>
      </c>
      <c r="AP6" s="267">
        <f t="shared" si="3"/>
        <v>0</v>
      </c>
      <c r="AQ6" s="267">
        <f t="shared" si="3"/>
        <v>0</v>
      </c>
      <c r="AR6" s="267">
        <f t="shared" si="3"/>
        <v>0</v>
      </c>
      <c r="AS6" s="282">
        <f t="shared" ref="AS6" si="4">SUM(AF6:AR6)</f>
        <v>243100.35741348576</v>
      </c>
    </row>
    <row r="7" spans="2:45" s="170" customFormat="1" x14ac:dyDescent="0.2">
      <c r="B7" s="173" t="str">
        <f>Prop2021DistTar!B7</f>
        <v>Residential Single Rate - Bulk</v>
      </c>
      <c r="C7" s="283"/>
      <c r="D7" s="322">
        <v>0</v>
      </c>
      <c r="E7" s="323">
        <v>0.06</v>
      </c>
      <c r="F7" s="323">
        <v>0</v>
      </c>
      <c r="G7" s="323">
        <v>0</v>
      </c>
      <c r="H7" s="323">
        <v>0</v>
      </c>
      <c r="I7" s="323">
        <v>0</v>
      </c>
      <c r="J7" s="323">
        <v>0</v>
      </c>
      <c r="K7" s="323">
        <v>0</v>
      </c>
      <c r="L7" s="323">
        <v>0</v>
      </c>
      <c r="M7" s="323">
        <v>0</v>
      </c>
      <c r="N7" s="323">
        <v>0</v>
      </c>
      <c r="O7" s="323">
        <v>0</v>
      </c>
      <c r="P7" s="324">
        <v>0</v>
      </c>
      <c r="Q7" s="298"/>
      <c r="R7" s="284">
        <f>Prop2021DistTar!AF7</f>
        <v>15542.053003687797</v>
      </c>
      <c r="S7" s="285">
        <f>Prop2021DistTar!AG7</f>
        <v>50996355.10262797</v>
      </c>
      <c r="T7" s="285">
        <f>Prop2021DistTar!AH7</f>
        <v>0</v>
      </c>
      <c r="U7" s="285">
        <f>Prop2021DistTar!AI7</f>
        <v>0</v>
      </c>
      <c r="V7" s="285">
        <f>Prop2021DistTar!AJ7</f>
        <v>0</v>
      </c>
      <c r="W7" s="285">
        <f>Prop2021DistTar!AK7</f>
        <v>0</v>
      </c>
      <c r="X7" s="285">
        <f>Prop2021DistTar!AL7</f>
        <v>0</v>
      </c>
      <c r="Y7" s="285">
        <f>Prop2021DistTar!AM7</f>
        <v>0</v>
      </c>
      <c r="Z7" s="285">
        <f>Prop2021DistTar!AN7</f>
        <v>0</v>
      </c>
      <c r="AA7" s="285">
        <f>Prop2021DistTar!AO7</f>
        <v>0</v>
      </c>
      <c r="AB7" s="285">
        <f>Prop2021DistTar!AP7</f>
        <v>0</v>
      </c>
      <c r="AC7" s="285">
        <f>Prop2021DistTar!AQ7</f>
        <v>0</v>
      </c>
      <c r="AD7" s="286">
        <f>Prop2021DistTar!AR7</f>
        <v>0</v>
      </c>
      <c r="AF7" s="266">
        <f t="shared" ref="AF7:AF65" si="5">D7*R7</f>
        <v>0</v>
      </c>
      <c r="AG7" s="267">
        <f t="shared" ref="AG7:AI38" si="6">E7/100*S7</f>
        <v>30597.81306157678</v>
      </c>
      <c r="AH7" s="267">
        <f t="shared" si="6"/>
        <v>0</v>
      </c>
      <c r="AI7" s="267">
        <f t="shared" si="6"/>
        <v>0</v>
      </c>
      <c r="AJ7" s="267">
        <f t="shared" si="2"/>
        <v>0</v>
      </c>
      <c r="AK7" s="267">
        <f t="shared" si="2"/>
        <v>0</v>
      </c>
      <c r="AL7" s="267">
        <f t="shared" si="2"/>
        <v>0</v>
      </c>
      <c r="AM7" s="267">
        <f t="shared" si="3"/>
        <v>0</v>
      </c>
      <c r="AN7" s="267">
        <f t="shared" si="3"/>
        <v>0</v>
      </c>
      <c r="AO7" s="267">
        <f t="shared" si="3"/>
        <v>0</v>
      </c>
      <c r="AP7" s="267">
        <f t="shared" si="3"/>
        <v>0</v>
      </c>
      <c r="AQ7" s="267">
        <f t="shared" si="3"/>
        <v>0</v>
      </c>
      <c r="AR7" s="267">
        <f t="shared" si="3"/>
        <v>0</v>
      </c>
      <c r="AS7" s="182">
        <f t="shared" ref="AS7:AS65" si="7">SUM(AF7:AR7)</f>
        <v>30597.81306157678</v>
      </c>
    </row>
    <row r="8" spans="2:45" s="170" customFormat="1" x14ac:dyDescent="0.2">
      <c r="B8" s="173" t="str">
        <f>Prop2021DistTar!B8</f>
        <v>Residential - flexible pricing</v>
      </c>
      <c r="C8" s="283"/>
      <c r="D8" s="322">
        <v>0</v>
      </c>
      <c r="E8" s="323">
        <v>0</v>
      </c>
      <c r="F8" s="323">
        <v>0</v>
      </c>
      <c r="G8" s="323">
        <v>0</v>
      </c>
      <c r="H8" s="323">
        <v>0</v>
      </c>
      <c r="I8" s="323">
        <v>0</v>
      </c>
      <c r="J8" s="323">
        <v>0</v>
      </c>
      <c r="K8" s="323">
        <v>0.06</v>
      </c>
      <c r="L8" s="323">
        <v>0.06</v>
      </c>
      <c r="M8" s="323">
        <v>0.06</v>
      </c>
      <c r="N8" s="323">
        <v>0.06</v>
      </c>
      <c r="O8" s="323">
        <v>0.06</v>
      </c>
      <c r="P8" s="324">
        <v>0.06</v>
      </c>
      <c r="Q8" s="298"/>
      <c r="R8" s="284">
        <f>Prop2021DistTar!AF8</f>
        <v>370.9023721939256</v>
      </c>
      <c r="S8" s="285">
        <f>Prop2021DistTar!AG8</f>
        <v>0</v>
      </c>
      <c r="T8" s="285">
        <f>Prop2021DistTar!AH8</f>
        <v>0</v>
      </c>
      <c r="U8" s="285">
        <f>Prop2021DistTar!AI8</f>
        <v>0</v>
      </c>
      <c r="V8" s="285">
        <f>Prop2021DistTar!AJ8</f>
        <v>0</v>
      </c>
      <c r="W8" s="285">
        <f>Prop2021DistTar!AK8</f>
        <v>0</v>
      </c>
      <c r="X8" s="285">
        <f>Prop2021DistTar!AL8</f>
        <v>0</v>
      </c>
      <c r="Y8" s="285">
        <f>Prop2021DistTar!AM8</f>
        <v>130417.58267973799</v>
      </c>
      <c r="Z8" s="285">
        <f>Prop2021DistTar!AN8</f>
        <v>277275.3367141108</v>
      </c>
      <c r="AA8" s="285">
        <f>Prop2021DistTar!AO8</f>
        <v>206472.57278502121</v>
      </c>
      <c r="AB8" s="285">
        <f>Prop2021DistTar!AP8</f>
        <v>321016.92777312908</v>
      </c>
      <c r="AC8" s="285">
        <f>Prop2021DistTar!AQ8</f>
        <v>682500.5870397304</v>
      </c>
      <c r="AD8" s="286">
        <f>Prop2021DistTar!AR8</f>
        <v>508222.81492232345</v>
      </c>
      <c r="AF8" s="266">
        <f t="shared" si="5"/>
        <v>0</v>
      </c>
      <c r="AG8" s="267">
        <f t="shared" si="6"/>
        <v>0</v>
      </c>
      <c r="AH8" s="267">
        <f t="shared" si="6"/>
        <v>0</v>
      </c>
      <c r="AI8" s="267">
        <f t="shared" si="6"/>
        <v>0</v>
      </c>
      <c r="AJ8" s="267">
        <f t="shared" si="2"/>
        <v>0</v>
      </c>
      <c r="AK8" s="267">
        <f t="shared" si="2"/>
        <v>0</v>
      </c>
      <c r="AL8" s="267">
        <f t="shared" si="2"/>
        <v>0</v>
      </c>
      <c r="AM8" s="267">
        <f t="shared" si="3"/>
        <v>78.250549607842785</v>
      </c>
      <c r="AN8" s="267">
        <f t="shared" si="3"/>
        <v>166.36520202846646</v>
      </c>
      <c r="AO8" s="267">
        <f t="shared" si="3"/>
        <v>123.88354367101272</v>
      </c>
      <c r="AP8" s="267">
        <f t="shared" si="3"/>
        <v>192.61015666387743</v>
      </c>
      <c r="AQ8" s="267">
        <f t="shared" si="3"/>
        <v>409.50035222383821</v>
      </c>
      <c r="AR8" s="267">
        <f t="shared" si="3"/>
        <v>304.93368895339404</v>
      </c>
      <c r="AS8" s="182">
        <f t="shared" si="7"/>
        <v>1275.5434931484317</v>
      </c>
    </row>
    <row r="9" spans="2:45" s="170" customFormat="1" x14ac:dyDescent="0.2">
      <c r="B9" s="173" t="str">
        <f>Prop2021DistTar!B9</f>
        <v>Residential - flexible pricing bulk</v>
      </c>
      <c r="C9" s="283"/>
      <c r="D9" s="322">
        <v>0</v>
      </c>
      <c r="E9" s="323">
        <v>0</v>
      </c>
      <c r="F9" s="323">
        <v>0</v>
      </c>
      <c r="G9" s="323">
        <v>0</v>
      </c>
      <c r="H9" s="323">
        <v>0</v>
      </c>
      <c r="I9" s="323">
        <v>0</v>
      </c>
      <c r="J9" s="323">
        <v>0</v>
      </c>
      <c r="K9" s="323">
        <v>0.06</v>
      </c>
      <c r="L9" s="323">
        <v>0.06</v>
      </c>
      <c r="M9" s="323">
        <v>0.06</v>
      </c>
      <c r="N9" s="323">
        <v>0.06</v>
      </c>
      <c r="O9" s="323">
        <v>0.06</v>
      </c>
      <c r="P9" s="324">
        <v>0.06</v>
      </c>
      <c r="Q9" s="298"/>
      <c r="R9" s="284">
        <f>Prop2021DistTar!AF9</f>
        <v>47.380345156235144</v>
      </c>
      <c r="S9" s="285">
        <f>Prop2021DistTar!AG9</f>
        <v>0</v>
      </c>
      <c r="T9" s="285">
        <f>Prop2021DistTar!AH9</f>
        <v>0</v>
      </c>
      <c r="U9" s="285">
        <f>Prop2021DistTar!AI9</f>
        <v>0</v>
      </c>
      <c r="V9" s="285">
        <f>Prop2021DistTar!AJ9</f>
        <v>0</v>
      </c>
      <c r="W9" s="285">
        <f>Prop2021DistTar!AK9</f>
        <v>0</v>
      </c>
      <c r="X9" s="285">
        <f>Prop2021DistTar!AL9</f>
        <v>0</v>
      </c>
      <c r="Y9" s="285">
        <f>Prop2021DistTar!AM9</f>
        <v>10549.805608848863</v>
      </c>
      <c r="Z9" s="285">
        <f>Prop2021DistTar!AN9</f>
        <v>22947.480949329336</v>
      </c>
      <c r="AA9" s="285">
        <f>Prop2021DistTar!AO9</f>
        <v>16383.399694154077</v>
      </c>
      <c r="AB9" s="285">
        <f>Prop2021DistTar!AP9</f>
        <v>24830.056108525299</v>
      </c>
      <c r="AC9" s="285">
        <f>Prop2021DistTar!AQ9</f>
        <v>54009.264307509337</v>
      </c>
      <c r="AD9" s="286">
        <f>Prop2021DistTar!AR9</f>
        <v>38560.02174229917</v>
      </c>
      <c r="AF9" s="266">
        <f t="shared" si="5"/>
        <v>0</v>
      </c>
      <c r="AG9" s="267">
        <f t="shared" si="6"/>
        <v>0</v>
      </c>
      <c r="AH9" s="267">
        <f t="shared" si="6"/>
        <v>0</v>
      </c>
      <c r="AI9" s="267">
        <f t="shared" si="6"/>
        <v>0</v>
      </c>
      <c r="AJ9" s="267">
        <f t="shared" si="2"/>
        <v>0</v>
      </c>
      <c r="AK9" s="267">
        <f t="shared" si="2"/>
        <v>0</v>
      </c>
      <c r="AL9" s="267">
        <f t="shared" si="2"/>
        <v>0</v>
      </c>
      <c r="AM9" s="267">
        <f t="shared" si="3"/>
        <v>6.3298833653093176</v>
      </c>
      <c r="AN9" s="267">
        <f t="shared" si="3"/>
        <v>13.768488569597601</v>
      </c>
      <c r="AO9" s="267">
        <f t="shared" si="3"/>
        <v>9.8300398164924463</v>
      </c>
      <c r="AP9" s="267">
        <f t="shared" si="3"/>
        <v>14.898033665115179</v>
      </c>
      <c r="AQ9" s="267">
        <f t="shared" si="3"/>
        <v>32.405558584505599</v>
      </c>
      <c r="AR9" s="267">
        <f t="shared" si="3"/>
        <v>23.136013045379499</v>
      </c>
      <c r="AS9" s="182">
        <f t="shared" si="7"/>
        <v>100.36801704639964</v>
      </c>
    </row>
    <row r="10" spans="2:45" s="170" customFormat="1" x14ac:dyDescent="0.2">
      <c r="B10" s="173" t="str">
        <f>Prop2021DistTar!B10</f>
        <v>Residential Two Rate 5d</v>
      </c>
      <c r="C10" s="283"/>
      <c r="D10" s="322">
        <v>0</v>
      </c>
      <c r="E10" s="323">
        <v>0</v>
      </c>
      <c r="F10" s="323">
        <v>0.06</v>
      </c>
      <c r="G10" s="323">
        <v>0.06</v>
      </c>
      <c r="H10" s="323">
        <v>0</v>
      </c>
      <c r="I10" s="323">
        <v>0</v>
      </c>
      <c r="J10" s="323">
        <v>0</v>
      </c>
      <c r="K10" s="323">
        <v>0</v>
      </c>
      <c r="L10" s="323">
        <v>0</v>
      </c>
      <c r="M10" s="323">
        <v>0</v>
      </c>
      <c r="N10" s="323">
        <v>0</v>
      </c>
      <c r="O10" s="323">
        <v>0</v>
      </c>
      <c r="P10" s="324">
        <v>0</v>
      </c>
      <c r="Q10" s="298"/>
      <c r="R10" s="284">
        <f>Prop2021DistTar!AF10</f>
        <v>5485.5875681059069</v>
      </c>
      <c r="S10" s="285">
        <f>Prop2021DistTar!AG10</f>
        <v>0</v>
      </c>
      <c r="T10" s="285">
        <f>Prop2021DistTar!AH10</f>
        <v>16388649.324740026</v>
      </c>
      <c r="U10" s="285">
        <f>Prop2021DistTar!AI10</f>
        <v>14340776.76527174</v>
      </c>
      <c r="V10" s="285">
        <f>Prop2021DistTar!AJ10</f>
        <v>0</v>
      </c>
      <c r="W10" s="285">
        <f>Prop2021DistTar!AK10</f>
        <v>0</v>
      </c>
      <c r="X10" s="285">
        <f>Prop2021DistTar!AL10</f>
        <v>0</v>
      </c>
      <c r="Y10" s="285">
        <f>Prop2021DistTar!AM10</f>
        <v>0</v>
      </c>
      <c r="Z10" s="285">
        <f>Prop2021DistTar!AN10</f>
        <v>0</v>
      </c>
      <c r="AA10" s="285">
        <f>Prop2021DistTar!AO10</f>
        <v>0</v>
      </c>
      <c r="AB10" s="285">
        <f>Prop2021DistTar!AP10</f>
        <v>0</v>
      </c>
      <c r="AC10" s="285">
        <f>Prop2021DistTar!AQ10</f>
        <v>0</v>
      </c>
      <c r="AD10" s="286">
        <f>Prop2021DistTar!AR10</f>
        <v>0</v>
      </c>
      <c r="AF10" s="266">
        <f t="shared" si="5"/>
        <v>0</v>
      </c>
      <c r="AG10" s="267">
        <f t="shared" si="6"/>
        <v>0</v>
      </c>
      <c r="AH10" s="267">
        <f t="shared" si="6"/>
        <v>9833.1895948440142</v>
      </c>
      <c r="AI10" s="267">
        <f t="shared" si="6"/>
        <v>8604.4660591630436</v>
      </c>
      <c r="AJ10" s="267">
        <f t="shared" si="2"/>
        <v>0</v>
      </c>
      <c r="AK10" s="267">
        <f t="shared" si="2"/>
        <v>0</v>
      </c>
      <c r="AL10" s="267">
        <f t="shared" si="2"/>
        <v>0</v>
      </c>
      <c r="AM10" s="267">
        <f t="shared" si="3"/>
        <v>0</v>
      </c>
      <c r="AN10" s="267">
        <f t="shared" si="3"/>
        <v>0</v>
      </c>
      <c r="AO10" s="267">
        <f t="shared" si="3"/>
        <v>0</v>
      </c>
      <c r="AP10" s="267">
        <f t="shared" si="3"/>
        <v>0</v>
      </c>
      <c r="AQ10" s="267">
        <f t="shared" si="3"/>
        <v>0</v>
      </c>
      <c r="AR10" s="267">
        <f t="shared" si="3"/>
        <v>0</v>
      </c>
      <c r="AS10" s="182">
        <f t="shared" si="7"/>
        <v>18437.65565400706</v>
      </c>
    </row>
    <row r="11" spans="2:45" s="170" customFormat="1" x14ac:dyDescent="0.2">
      <c r="B11" s="173" t="str">
        <f>Prop2021DistTar!B11</f>
        <v>Residential Two Rate 5d - Bulk</v>
      </c>
      <c r="C11" s="283"/>
      <c r="D11" s="322">
        <v>0</v>
      </c>
      <c r="E11" s="323">
        <v>0</v>
      </c>
      <c r="F11" s="323">
        <v>0.06</v>
      </c>
      <c r="G11" s="323">
        <v>0.06</v>
      </c>
      <c r="H11" s="323">
        <v>0</v>
      </c>
      <c r="I11" s="323">
        <v>0</v>
      </c>
      <c r="J11" s="323">
        <v>0</v>
      </c>
      <c r="K11" s="323">
        <v>0</v>
      </c>
      <c r="L11" s="323">
        <v>0</v>
      </c>
      <c r="M11" s="323">
        <v>0</v>
      </c>
      <c r="N11" s="323">
        <v>0</v>
      </c>
      <c r="O11" s="323">
        <v>0</v>
      </c>
      <c r="P11" s="324">
        <v>0</v>
      </c>
      <c r="Q11" s="298"/>
      <c r="R11" s="284">
        <f>Prop2021DistTar!AF11</f>
        <v>2157.8174474664402</v>
      </c>
      <c r="S11" s="285">
        <f>Prop2021DistTar!AG11</f>
        <v>0</v>
      </c>
      <c r="T11" s="285">
        <f>Prop2021DistTar!AH11</f>
        <v>5674235.5694546988</v>
      </c>
      <c r="U11" s="285">
        <f>Prop2021DistTar!AI11</f>
        <v>4958506.5011222707</v>
      </c>
      <c r="V11" s="285">
        <f>Prop2021DistTar!AJ11</f>
        <v>0</v>
      </c>
      <c r="W11" s="285">
        <f>Prop2021DistTar!AK11</f>
        <v>0</v>
      </c>
      <c r="X11" s="285">
        <f>Prop2021DistTar!AL11</f>
        <v>0</v>
      </c>
      <c r="Y11" s="285">
        <f>Prop2021DistTar!AM11</f>
        <v>0</v>
      </c>
      <c r="Z11" s="285">
        <f>Prop2021DistTar!AN11</f>
        <v>0</v>
      </c>
      <c r="AA11" s="285">
        <f>Prop2021DistTar!AO11</f>
        <v>0</v>
      </c>
      <c r="AB11" s="285">
        <f>Prop2021DistTar!AP11</f>
        <v>0</v>
      </c>
      <c r="AC11" s="285">
        <f>Prop2021DistTar!AQ11</f>
        <v>0</v>
      </c>
      <c r="AD11" s="286">
        <f>Prop2021DistTar!AR11</f>
        <v>0</v>
      </c>
      <c r="AF11" s="266">
        <f t="shared" si="5"/>
        <v>0</v>
      </c>
      <c r="AG11" s="267">
        <f t="shared" si="6"/>
        <v>0</v>
      </c>
      <c r="AH11" s="267">
        <f t="shared" si="6"/>
        <v>3404.5413416728188</v>
      </c>
      <c r="AI11" s="267">
        <f t="shared" si="6"/>
        <v>2975.1039006733622</v>
      </c>
      <c r="AJ11" s="267">
        <f t="shared" si="2"/>
        <v>0</v>
      </c>
      <c r="AK11" s="267">
        <f t="shared" si="2"/>
        <v>0</v>
      </c>
      <c r="AL11" s="267">
        <f t="shared" si="2"/>
        <v>0</v>
      </c>
      <c r="AM11" s="267">
        <f t="shared" si="3"/>
        <v>0</v>
      </c>
      <c r="AN11" s="267">
        <f t="shared" si="3"/>
        <v>0</v>
      </c>
      <c r="AO11" s="267">
        <f t="shared" si="3"/>
        <v>0</v>
      </c>
      <c r="AP11" s="267">
        <f t="shared" si="3"/>
        <v>0</v>
      </c>
      <c r="AQ11" s="267">
        <f t="shared" si="3"/>
        <v>0</v>
      </c>
      <c r="AR11" s="267">
        <f t="shared" si="3"/>
        <v>0</v>
      </c>
      <c r="AS11" s="182">
        <f t="shared" si="7"/>
        <v>6379.6452423461815</v>
      </c>
    </row>
    <row r="12" spans="2:45" s="170" customFormat="1" x14ac:dyDescent="0.2">
      <c r="B12" s="173" t="str">
        <f>Prop2021DistTar!B12</f>
        <v>Residential Interval</v>
      </c>
      <c r="C12" s="283"/>
      <c r="D12" s="322">
        <v>0</v>
      </c>
      <c r="E12" s="323">
        <v>0</v>
      </c>
      <c r="F12" s="323">
        <v>0.06</v>
      </c>
      <c r="G12" s="323">
        <v>0.06</v>
      </c>
      <c r="H12" s="323">
        <v>0</v>
      </c>
      <c r="I12" s="323">
        <v>0</v>
      </c>
      <c r="J12" s="323">
        <v>0</v>
      </c>
      <c r="K12" s="323">
        <v>0</v>
      </c>
      <c r="L12" s="323">
        <v>0</v>
      </c>
      <c r="M12" s="323">
        <v>0</v>
      </c>
      <c r="N12" s="323">
        <v>0</v>
      </c>
      <c r="O12" s="323">
        <v>0</v>
      </c>
      <c r="P12" s="324">
        <v>0</v>
      </c>
      <c r="Q12" s="298"/>
      <c r="R12" s="284">
        <f>Prop2021DistTar!AF12</f>
        <v>8452.1227174118158</v>
      </c>
      <c r="S12" s="285">
        <f>Prop2021DistTar!AG12</f>
        <v>0</v>
      </c>
      <c r="T12" s="285">
        <f>Prop2021DistTar!AH12</f>
        <v>25049656.982189029</v>
      </c>
      <c r="U12" s="285">
        <f>Prop2021DistTar!AI12</f>
        <v>22067669.109436158</v>
      </c>
      <c r="V12" s="285">
        <f>Prop2021DistTar!AJ12</f>
        <v>0</v>
      </c>
      <c r="W12" s="285">
        <f>Prop2021DistTar!AK12</f>
        <v>0</v>
      </c>
      <c r="X12" s="285">
        <f>Prop2021DistTar!AL12</f>
        <v>0</v>
      </c>
      <c r="Y12" s="285">
        <f>Prop2021DistTar!AM12</f>
        <v>0</v>
      </c>
      <c r="Z12" s="285">
        <f>Prop2021DistTar!AN12</f>
        <v>0</v>
      </c>
      <c r="AA12" s="285">
        <f>Prop2021DistTar!AO12</f>
        <v>0</v>
      </c>
      <c r="AB12" s="285">
        <f>Prop2021DistTar!AP12</f>
        <v>0</v>
      </c>
      <c r="AC12" s="285">
        <f>Prop2021DistTar!AQ12</f>
        <v>0</v>
      </c>
      <c r="AD12" s="286">
        <f>Prop2021DistTar!AR12</f>
        <v>0</v>
      </c>
      <c r="AF12" s="266">
        <f t="shared" si="5"/>
        <v>0</v>
      </c>
      <c r="AG12" s="267">
        <f t="shared" si="6"/>
        <v>0</v>
      </c>
      <c r="AH12" s="267">
        <f t="shared" si="6"/>
        <v>15029.794189313416</v>
      </c>
      <c r="AI12" s="267">
        <f t="shared" si="6"/>
        <v>13240.601465661694</v>
      </c>
      <c r="AJ12" s="267">
        <f t="shared" si="2"/>
        <v>0</v>
      </c>
      <c r="AK12" s="267">
        <f t="shared" si="2"/>
        <v>0</v>
      </c>
      <c r="AL12" s="267">
        <f t="shared" si="2"/>
        <v>0</v>
      </c>
      <c r="AM12" s="267">
        <f t="shared" si="3"/>
        <v>0</v>
      </c>
      <c r="AN12" s="267">
        <f t="shared" si="3"/>
        <v>0</v>
      </c>
      <c r="AO12" s="267">
        <f t="shared" si="3"/>
        <v>0</v>
      </c>
      <c r="AP12" s="267">
        <f t="shared" si="3"/>
        <v>0</v>
      </c>
      <c r="AQ12" s="267">
        <f t="shared" si="3"/>
        <v>0</v>
      </c>
      <c r="AR12" s="267">
        <f t="shared" si="3"/>
        <v>0</v>
      </c>
      <c r="AS12" s="182">
        <f t="shared" si="7"/>
        <v>28270.395654975109</v>
      </c>
    </row>
    <row r="13" spans="2:45" s="170" customFormat="1" x14ac:dyDescent="0.2">
      <c r="B13" s="173" t="str">
        <f>Prop2021DistTar!B13</f>
        <v>Residential Interval - Bulk</v>
      </c>
      <c r="C13" s="283"/>
      <c r="D13" s="322">
        <v>0</v>
      </c>
      <c r="E13" s="323">
        <v>0</v>
      </c>
      <c r="F13" s="323">
        <v>0.06</v>
      </c>
      <c r="G13" s="323">
        <v>0.06</v>
      </c>
      <c r="H13" s="323">
        <v>0</v>
      </c>
      <c r="I13" s="323">
        <v>0</v>
      </c>
      <c r="J13" s="323">
        <v>0</v>
      </c>
      <c r="K13" s="323">
        <v>0</v>
      </c>
      <c r="L13" s="323">
        <v>0</v>
      </c>
      <c r="M13" s="323">
        <v>0</v>
      </c>
      <c r="N13" s="323">
        <v>0</v>
      </c>
      <c r="O13" s="323">
        <v>0</v>
      </c>
      <c r="P13" s="324">
        <v>0</v>
      </c>
      <c r="Q13" s="298"/>
      <c r="R13" s="284">
        <f>Prop2021DistTar!AF13</f>
        <v>4268.0601626219241</v>
      </c>
      <c r="S13" s="285">
        <f>Prop2021DistTar!AG13</f>
        <v>0</v>
      </c>
      <c r="T13" s="285">
        <f>Prop2021DistTar!AH13</f>
        <v>6998105.2163059637</v>
      </c>
      <c r="U13" s="285">
        <f>Prop2021DistTar!AI13</f>
        <v>6632283.431711155</v>
      </c>
      <c r="V13" s="285">
        <f>Prop2021DistTar!AJ13</f>
        <v>0</v>
      </c>
      <c r="W13" s="285">
        <f>Prop2021DistTar!AK13</f>
        <v>0</v>
      </c>
      <c r="X13" s="285">
        <f>Prop2021DistTar!AL13</f>
        <v>0</v>
      </c>
      <c r="Y13" s="285">
        <f>Prop2021DistTar!AM13</f>
        <v>0</v>
      </c>
      <c r="Z13" s="285">
        <f>Prop2021DistTar!AN13</f>
        <v>0</v>
      </c>
      <c r="AA13" s="285">
        <f>Prop2021DistTar!AO13</f>
        <v>0</v>
      </c>
      <c r="AB13" s="285">
        <f>Prop2021DistTar!AP13</f>
        <v>0</v>
      </c>
      <c r="AC13" s="285">
        <f>Prop2021DistTar!AQ13</f>
        <v>0</v>
      </c>
      <c r="AD13" s="286">
        <f>Prop2021DistTar!AR13</f>
        <v>0</v>
      </c>
      <c r="AF13" s="266">
        <f t="shared" si="5"/>
        <v>0</v>
      </c>
      <c r="AG13" s="267">
        <f t="shared" si="6"/>
        <v>0</v>
      </c>
      <c r="AH13" s="267">
        <f t="shared" si="6"/>
        <v>4198.8631297835782</v>
      </c>
      <c r="AI13" s="267">
        <f t="shared" si="6"/>
        <v>3979.3700590266926</v>
      </c>
      <c r="AJ13" s="267">
        <f t="shared" si="2"/>
        <v>0</v>
      </c>
      <c r="AK13" s="267">
        <f t="shared" si="2"/>
        <v>0</v>
      </c>
      <c r="AL13" s="267">
        <f t="shared" si="2"/>
        <v>0</v>
      </c>
      <c r="AM13" s="267">
        <f t="shared" si="3"/>
        <v>0</v>
      </c>
      <c r="AN13" s="267">
        <f t="shared" si="3"/>
        <v>0</v>
      </c>
      <c r="AO13" s="267">
        <f t="shared" si="3"/>
        <v>0</v>
      </c>
      <c r="AP13" s="267">
        <f t="shared" si="3"/>
        <v>0</v>
      </c>
      <c r="AQ13" s="267">
        <f t="shared" si="3"/>
        <v>0</v>
      </c>
      <c r="AR13" s="267">
        <f t="shared" si="3"/>
        <v>0</v>
      </c>
      <c r="AS13" s="182">
        <f t="shared" si="7"/>
        <v>8178.2331888102708</v>
      </c>
    </row>
    <row r="14" spans="2:45" s="170" customFormat="1" x14ac:dyDescent="0.2">
      <c r="B14" s="173" t="str">
        <f>Prop2021DistTar!B14</f>
        <v>Residential Two Rate 5d - Controlled Load</v>
      </c>
      <c r="C14" s="283"/>
      <c r="D14" s="322">
        <v>0</v>
      </c>
      <c r="E14" s="323">
        <v>0</v>
      </c>
      <c r="F14" s="323">
        <v>0</v>
      </c>
      <c r="G14" s="323">
        <v>0</v>
      </c>
      <c r="H14" s="323">
        <v>0</v>
      </c>
      <c r="I14" s="323">
        <v>0</v>
      </c>
      <c r="J14" s="323">
        <v>0</v>
      </c>
      <c r="K14" s="323">
        <v>0</v>
      </c>
      <c r="L14" s="323">
        <v>0</v>
      </c>
      <c r="M14" s="323">
        <v>0</v>
      </c>
      <c r="N14" s="323">
        <v>0</v>
      </c>
      <c r="O14" s="323">
        <v>0</v>
      </c>
      <c r="P14" s="324">
        <v>0</v>
      </c>
      <c r="Q14" s="298"/>
      <c r="R14" s="284">
        <f>Prop2021DistTar!AF14</f>
        <v>0</v>
      </c>
      <c r="S14" s="285">
        <f>Prop2021DistTar!AG14</f>
        <v>0</v>
      </c>
      <c r="T14" s="285">
        <f>Prop2021DistTar!AH14</f>
        <v>0</v>
      </c>
      <c r="U14" s="285">
        <f>Prop2021DistTar!AI14</f>
        <v>0</v>
      </c>
      <c r="V14" s="285">
        <f>Prop2021DistTar!AJ14</f>
        <v>0</v>
      </c>
      <c r="W14" s="285">
        <f>Prop2021DistTar!AK14</f>
        <v>0</v>
      </c>
      <c r="X14" s="285">
        <f>Prop2021DistTar!AL14</f>
        <v>0</v>
      </c>
      <c r="Y14" s="285">
        <f>Prop2021DistTar!AM14</f>
        <v>0</v>
      </c>
      <c r="Z14" s="285">
        <f>Prop2021DistTar!AN14</f>
        <v>0</v>
      </c>
      <c r="AA14" s="285">
        <f>Prop2021DistTar!AO14</f>
        <v>0</v>
      </c>
      <c r="AB14" s="285">
        <f>Prop2021DistTar!AP14</f>
        <v>0</v>
      </c>
      <c r="AC14" s="285">
        <f>Prop2021DistTar!AQ14</f>
        <v>0</v>
      </c>
      <c r="AD14" s="286">
        <f>Prop2021DistTar!AR14</f>
        <v>0</v>
      </c>
      <c r="AF14" s="266">
        <f t="shared" si="5"/>
        <v>0</v>
      </c>
      <c r="AG14" s="267">
        <f t="shared" si="6"/>
        <v>0</v>
      </c>
      <c r="AH14" s="267">
        <f t="shared" si="6"/>
        <v>0</v>
      </c>
      <c r="AI14" s="267">
        <f t="shared" si="6"/>
        <v>0</v>
      </c>
      <c r="AJ14" s="267">
        <f t="shared" si="2"/>
        <v>0</v>
      </c>
      <c r="AK14" s="267">
        <f t="shared" si="2"/>
        <v>0</v>
      </c>
      <c r="AL14" s="267">
        <f t="shared" si="2"/>
        <v>0</v>
      </c>
      <c r="AM14" s="267">
        <f t="shared" si="3"/>
        <v>0</v>
      </c>
      <c r="AN14" s="267">
        <f t="shared" si="3"/>
        <v>0</v>
      </c>
      <c r="AO14" s="267">
        <f t="shared" si="3"/>
        <v>0</v>
      </c>
      <c r="AP14" s="267">
        <f t="shared" si="3"/>
        <v>0</v>
      </c>
      <c r="AQ14" s="267">
        <f t="shared" si="3"/>
        <v>0</v>
      </c>
      <c r="AR14" s="267">
        <f t="shared" si="3"/>
        <v>0</v>
      </c>
      <c r="AS14" s="182">
        <f t="shared" si="7"/>
        <v>0</v>
      </c>
    </row>
    <row r="15" spans="2:45" s="170" customFormat="1" x14ac:dyDescent="0.2">
      <c r="B15" s="173" t="str">
        <f>Prop2021DistTar!B15</f>
        <v>Residential Two Rate 5d - Bulk - Controlled Load</v>
      </c>
      <c r="C15" s="283"/>
      <c r="D15" s="322">
        <v>0</v>
      </c>
      <c r="E15" s="323">
        <v>0</v>
      </c>
      <c r="F15" s="323">
        <v>0</v>
      </c>
      <c r="G15" s="323">
        <v>0</v>
      </c>
      <c r="H15" s="323">
        <v>0</v>
      </c>
      <c r="I15" s="323">
        <v>0</v>
      </c>
      <c r="J15" s="323">
        <v>0</v>
      </c>
      <c r="K15" s="323">
        <v>0</v>
      </c>
      <c r="L15" s="323">
        <v>0</v>
      </c>
      <c r="M15" s="323">
        <v>0</v>
      </c>
      <c r="N15" s="323">
        <v>0</v>
      </c>
      <c r="O15" s="323">
        <v>0</v>
      </c>
      <c r="P15" s="324">
        <v>0</v>
      </c>
      <c r="Q15" s="298"/>
      <c r="R15" s="284">
        <f>Prop2021DistTar!AF15</f>
        <v>0</v>
      </c>
      <c r="S15" s="285">
        <f>Prop2021DistTar!AG15</f>
        <v>0</v>
      </c>
      <c r="T15" s="285">
        <f>Prop2021DistTar!AH15</f>
        <v>0</v>
      </c>
      <c r="U15" s="285">
        <f>Prop2021DistTar!AI15</f>
        <v>0</v>
      </c>
      <c r="V15" s="285">
        <f>Prop2021DistTar!AJ15</f>
        <v>0</v>
      </c>
      <c r="W15" s="285">
        <f>Prop2021DistTar!AK15</f>
        <v>0</v>
      </c>
      <c r="X15" s="285">
        <f>Prop2021DistTar!AL15</f>
        <v>0</v>
      </c>
      <c r="Y15" s="285">
        <f>Prop2021DistTar!AM15</f>
        <v>0</v>
      </c>
      <c r="Z15" s="285">
        <f>Prop2021DistTar!AN15</f>
        <v>0</v>
      </c>
      <c r="AA15" s="285">
        <f>Prop2021DistTar!AO15</f>
        <v>0</v>
      </c>
      <c r="AB15" s="285">
        <f>Prop2021DistTar!AP15</f>
        <v>0</v>
      </c>
      <c r="AC15" s="285">
        <f>Prop2021DistTar!AQ15</f>
        <v>0</v>
      </c>
      <c r="AD15" s="286">
        <f>Prop2021DistTar!AR15</f>
        <v>0</v>
      </c>
      <c r="AF15" s="266">
        <f t="shared" si="5"/>
        <v>0</v>
      </c>
      <c r="AG15" s="267">
        <f t="shared" si="6"/>
        <v>0</v>
      </c>
      <c r="AH15" s="267">
        <f t="shared" si="6"/>
        <v>0</v>
      </c>
      <c r="AI15" s="267">
        <f t="shared" si="6"/>
        <v>0</v>
      </c>
      <c r="AJ15" s="267">
        <f t="shared" si="2"/>
        <v>0</v>
      </c>
      <c r="AK15" s="267">
        <f t="shared" si="2"/>
        <v>0</v>
      </c>
      <c r="AL15" s="267">
        <f t="shared" si="2"/>
        <v>0</v>
      </c>
      <c r="AM15" s="267">
        <f t="shared" si="3"/>
        <v>0</v>
      </c>
      <c r="AN15" s="267">
        <f t="shared" si="3"/>
        <v>0</v>
      </c>
      <c r="AO15" s="267">
        <f t="shared" si="3"/>
        <v>0</v>
      </c>
      <c r="AP15" s="267">
        <f t="shared" si="3"/>
        <v>0</v>
      </c>
      <c r="AQ15" s="267">
        <f t="shared" si="3"/>
        <v>0</v>
      </c>
      <c r="AR15" s="267">
        <f t="shared" si="3"/>
        <v>0</v>
      </c>
      <c r="AS15" s="182">
        <f t="shared" si="7"/>
        <v>0</v>
      </c>
    </row>
    <row r="16" spans="2:45" s="170" customFormat="1" x14ac:dyDescent="0.2">
      <c r="B16" s="173" t="str">
        <f>Prop2021DistTar!B16</f>
        <v>Dedicated Circuit</v>
      </c>
      <c r="C16" s="283"/>
      <c r="D16" s="322">
        <v>0</v>
      </c>
      <c r="E16" s="323">
        <v>0</v>
      </c>
      <c r="F16" s="323">
        <v>0</v>
      </c>
      <c r="G16" s="323">
        <v>0.06</v>
      </c>
      <c r="H16" s="323">
        <v>0</v>
      </c>
      <c r="I16" s="323">
        <v>0</v>
      </c>
      <c r="J16" s="323">
        <v>0</v>
      </c>
      <c r="K16" s="323">
        <v>0</v>
      </c>
      <c r="L16" s="323">
        <v>0</v>
      </c>
      <c r="M16" s="323">
        <v>0</v>
      </c>
      <c r="N16" s="323">
        <v>0</v>
      </c>
      <c r="O16" s="323">
        <v>0</v>
      </c>
      <c r="P16" s="324">
        <v>0</v>
      </c>
      <c r="Q16" s="298"/>
      <c r="R16" s="284">
        <f>Prop2021DistTar!AF16</f>
        <v>16356.898883815329</v>
      </c>
      <c r="S16" s="285">
        <f>Prop2021DistTar!AG16</f>
        <v>0</v>
      </c>
      <c r="T16" s="285">
        <f>Prop2021DistTar!AH16</f>
        <v>0</v>
      </c>
      <c r="U16" s="285">
        <f>Prop2021DistTar!AI16</f>
        <v>20889037.592547044</v>
      </c>
      <c r="V16" s="285">
        <f>Prop2021DistTar!AJ16</f>
        <v>0</v>
      </c>
      <c r="W16" s="285">
        <f>Prop2021DistTar!AK16</f>
        <v>0</v>
      </c>
      <c r="X16" s="285">
        <f>Prop2021DistTar!AL16</f>
        <v>0</v>
      </c>
      <c r="Y16" s="285">
        <f>Prop2021DistTar!AM16</f>
        <v>0</v>
      </c>
      <c r="Z16" s="285">
        <f>Prop2021DistTar!AN16</f>
        <v>0</v>
      </c>
      <c r="AA16" s="285">
        <f>Prop2021DistTar!AO16</f>
        <v>0</v>
      </c>
      <c r="AB16" s="285">
        <f>Prop2021DistTar!AP16</f>
        <v>0</v>
      </c>
      <c r="AC16" s="285">
        <f>Prop2021DistTar!AQ16</f>
        <v>0</v>
      </c>
      <c r="AD16" s="286">
        <f>Prop2021DistTar!AR16</f>
        <v>0</v>
      </c>
      <c r="AF16" s="266">
        <f t="shared" si="5"/>
        <v>0</v>
      </c>
      <c r="AG16" s="267">
        <f t="shared" si="6"/>
        <v>0</v>
      </c>
      <c r="AH16" s="267">
        <f t="shared" si="6"/>
        <v>0</v>
      </c>
      <c r="AI16" s="267">
        <f t="shared" si="6"/>
        <v>12533.422555528225</v>
      </c>
      <c r="AJ16" s="267">
        <f t="shared" si="2"/>
        <v>0</v>
      </c>
      <c r="AK16" s="267">
        <f t="shared" si="2"/>
        <v>0</v>
      </c>
      <c r="AL16" s="267">
        <f t="shared" si="2"/>
        <v>0</v>
      </c>
      <c r="AM16" s="267">
        <f t="shared" si="3"/>
        <v>0</v>
      </c>
      <c r="AN16" s="267">
        <f t="shared" si="3"/>
        <v>0</v>
      </c>
      <c r="AO16" s="267">
        <f t="shared" si="3"/>
        <v>0</v>
      </c>
      <c r="AP16" s="267">
        <f t="shared" si="3"/>
        <v>0</v>
      </c>
      <c r="AQ16" s="267">
        <f t="shared" si="3"/>
        <v>0</v>
      </c>
      <c r="AR16" s="267">
        <f t="shared" si="3"/>
        <v>0</v>
      </c>
      <c r="AS16" s="182">
        <f t="shared" si="7"/>
        <v>12533.422555528225</v>
      </c>
    </row>
    <row r="17" spans="2:45" s="170" customFormat="1" x14ac:dyDescent="0.2">
      <c r="B17" s="173" t="str">
        <f>Prop2021DistTar!B17</f>
        <v>Dedicated Circuit - Bulk</v>
      </c>
      <c r="C17" s="283"/>
      <c r="D17" s="322">
        <v>0</v>
      </c>
      <c r="E17" s="323">
        <v>0</v>
      </c>
      <c r="F17" s="323">
        <v>0</v>
      </c>
      <c r="G17" s="323">
        <v>0.06</v>
      </c>
      <c r="H17" s="323">
        <v>0</v>
      </c>
      <c r="I17" s="323">
        <v>0</v>
      </c>
      <c r="J17" s="323">
        <v>0</v>
      </c>
      <c r="K17" s="323">
        <v>0</v>
      </c>
      <c r="L17" s="323">
        <v>0</v>
      </c>
      <c r="M17" s="323">
        <v>0</v>
      </c>
      <c r="N17" s="323">
        <v>0</v>
      </c>
      <c r="O17" s="323">
        <v>0</v>
      </c>
      <c r="P17" s="324">
        <v>0</v>
      </c>
      <c r="Q17" s="298"/>
      <c r="R17" s="284">
        <f>Prop2021DistTar!AF17</f>
        <v>2820.1769660071022</v>
      </c>
      <c r="S17" s="285">
        <f>Prop2021DistTar!AG17</f>
        <v>0</v>
      </c>
      <c r="T17" s="285">
        <f>Prop2021DistTar!AH17</f>
        <v>0</v>
      </c>
      <c r="U17" s="285">
        <f>Prop2021DistTar!AI17</f>
        <v>3940671.1045874362</v>
      </c>
      <c r="V17" s="285">
        <f>Prop2021DistTar!AJ17</f>
        <v>0</v>
      </c>
      <c r="W17" s="285">
        <f>Prop2021DistTar!AK17</f>
        <v>0</v>
      </c>
      <c r="X17" s="285">
        <f>Prop2021DistTar!AL17</f>
        <v>0</v>
      </c>
      <c r="Y17" s="285">
        <f>Prop2021DistTar!AM17</f>
        <v>0</v>
      </c>
      <c r="Z17" s="285">
        <f>Prop2021DistTar!AN17</f>
        <v>0</v>
      </c>
      <c r="AA17" s="285">
        <f>Prop2021DistTar!AO17</f>
        <v>0</v>
      </c>
      <c r="AB17" s="285">
        <f>Prop2021DistTar!AP17</f>
        <v>0</v>
      </c>
      <c r="AC17" s="285">
        <f>Prop2021DistTar!AQ17</f>
        <v>0</v>
      </c>
      <c r="AD17" s="286">
        <f>Prop2021DistTar!AR17</f>
        <v>0</v>
      </c>
      <c r="AF17" s="266">
        <f t="shared" si="5"/>
        <v>0</v>
      </c>
      <c r="AG17" s="267">
        <f t="shared" si="6"/>
        <v>0</v>
      </c>
      <c r="AH17" s="267">
        <f t="shared" si="6"/>
        <v>0</v>
      </c>
      <c r="AI17" s="267">
        <f t="shared" si="6"/>
        <v>2364.4026627524613</v>
      </c>
      <c r="AJ17" s="267">
        <f t="shared" si="2"/>
        <v>0</v>
      </c>
      <c r="AK17" s="267">
        <f t="shared" si="2"/>
        <v>0</v>
      </c>
      <c r="AL17" s="267">
        <f t="shared" si="2"/>
        <v>0</v>
      </c>
      <c r="AM17" s="267">
        <f t="shared" si="3"/>
        <v>0</v>
      </c>
      <c r="AN17" s="267">
        <f t="shared" si="3"/>
        <v>0</v>
      </c>
      <c r="AO17" s="267">
        <f t="shared" si="3"/>
        <v>0</v>
      </c>
      <c r="AP17" s="267">
        <f t="shared" si="3"/>
        <v>0</v>
      </c>
      <c r="AQ17" s="267">
        <f t="shared" si="3"/>
        <v>0</v>
      </c>
      <c r="AR17" s="267">
        <f t="shared" si="3"/>
        <v>0</v>
      </c>
      <c r="AS17" s="182">
        <f t="shared" si="7"/>
        <v>2364.4026627524613</v>
      </c>
    </row>
    <row r="18" spans="2:45" s="170" customFormat="1" x14ac:dyDescent="0.2">
      <c r="B18" s="173" t="str">
        <f>Prop2021DistTar!B18</f>
        <v>Residential Demand</v>
      </c>
      <c r="C18" s="283"/>
      <c r="D18" s="322">
        <v>0</v>
      </c>
      <c r="E18" s="323">
        <v>0.06</v>
      </c>
      <c r="F18" s="323">
        <v>0</v>
      </c>
      <c r="G18" s="323">
        <v>0</v>
      </c>
      <c r="H18" s="323">
        <v>0</v>
      </c>
      <c r="I18" s="323">
        <v>0</v>
      </c>
      <c r="J18" s="323">
        <v>0</v>
      </c>
      <c r="K18" s="323">
        <v>0</v>
      </c>
      <c r="L18" s="323">
        <v>0</v>
      </c>
      <c r="M18" s="323">
        <v>0</v>
      </c>
      <c r="N18" s="323">
        <v>0</v>
      </c>
      <c r="O18" s="323">
        <v>0</v>
      </c>
      <c r="P18" s="324">
        <v>0</v>
      </c>
      <c r="Q18" s="298"/>
      <c r="R18" s="284">
        <f>Prop2021DistTar!AF18</f>
        <v>5.5811473890526671</v>
      </c>
      <c r="S18" s="285">
        <f>Prop2021DistTar!AG18</f>
        <v>28084.127784552711</v>
      </c>
      <c r="T18" s="285">
        <f>Prop2021DistTar!AH18</f>
        <v>0</v>
      </c>
      <c r="U18" s="285">
        <f>Prop2021DistTar!AI18</f>
        <v>0</v>
      </c>
      <c r="V18" s="285">
        <f>Prop2021DistTar!AJ18</f>
        <v>0</v>
      </c>
      <c r="W18" s="285">
        <f>Prop2021DistTar!AK18</f>
        <v>95.352223627802374</v>
      </c>
      <c r="X18" s="285">
        <f>Prop2021DistTar!AL18</f>
        <v>109.86148665068743</v>
      </c>
      <c r="Y18" s="285">
        <f>Prop2021DistTar!AM18</f>
        <v>0</v>
      </c>
      <c r="Z18" s="285">
        <f>Prop2021DistTar!AN18</f>
        <v>0</v>
      </c>
      <c r="AA18" s="285">
        <f>Prop2021DistTar!AO18</f>
        <v>0</v>
      </c>
      <c r="AB18" s="285">
        <f>Prop2021DistTar!AP18</f>
        <v>0</v>
      </c>
      <c r="AC18" s="285">
        <f>Prop2021DistTar!AQ18</f>
        <v>0</v>
      </c>
      <c r="AD18" s="286">
        <f>Prop2021DistTar!AR18</f>
        <v>0</v>
      </c>
      <c r="AF18" s="266">
        <f t="shared" si="5"/>
        <v>0</v>
      </c>
      <c r="AG18" s="267">
        <f t="shared" si="6"/>
        <v>16.850476670731624</v>
      </c>
      <c r="AH18" s="267">
        <f t="shared" si="6"/>
        <v>0</v>
      </c>
      <c r="AI18" s="267">
        <f t="shared" si="6"/>
        <v>0</v>
      </c>
      <c r="AJ18" s="267">
        <f t="shared" si="2"/>
        <v>0</v>
      </c>
      <c r="AK18" s="267">
        <f t="shared" si="2"/>
        <v>0</v>
      </c>
      <c r="AL18" s="267">
        <f t="shared" si="2"/>
        <v>0</v>
      </c>
      <c r="AM18" s="267">
        <f t="shared" si="3"/>
        <v>0</v>
      </c>
      <c r="AN18" s="267">
        <f t="shared" si="3"/>
        <v>0</v>
      </c>
      <c r="AO18" s="267">
        <f t="shared" si="3"/>
        <v>0</v>
      </c>
      <c r="AP18" s="267">
        <f t="shared" si="3"/>
        <v>0</v>
      </c>
      <c r="AQ18" s="267">
        <f t="shared" si="3"/>
        <v>0</v>
      </c>
      <c r="AR18" s="267">
        <f t="shared" si="3"/>
        <v>0</v>
      </c>
      <c r="AS18" s="182">
        <f t="shared" si="7"/>
        <v>16.850476670731624</v>
      </c>
    </row>
    <row r="19" spans="2:45" s="170" customFormat="1" x14ac:dyDescent="0.2">
      <c r="B19" s="173" t="str">
        <f>Prop2021DistTar!B19</f>
        <v>Residential Bulk Demand</v>
      </c>
      <c r="C19" s="283"/>
      <c r="D19" s="322">
        <v>0</v>
      </c>
      <c r="E19" s="323">
        <v>0.06</v>
      </c>
      <c r="F19" s="323">
        <v>0</v>
      </c>
      <c r="G19" s="323">
        <v>0</v>
      </c>
      <c r="H19" s="323">
        <v>0</v>
      </c>
      <c r="I19" s="323">
        <v>0</v>
      </c>
      <c r="J19" s="323">
        <v>0</v>
      </c>
      <c r="K19" s="323">
        <v>0</v>
      </c>
      <c r="L19" s="323">
        <v>0</v>
      </c>
      <c r="M19" s="323">
        <v>0</v>
      </c>
      <c r="N19" s="323">
        <v>0</v>
      </c>
      <c r="O19" s="323">
        <v>0</v>
      </c>
      <c r="P19" s="324">
        <v>0</v>
      </c>
      <c r="Q19" s="298"/>
      <c r="R19" s="284">
        <f>Prop2021DistTar!AF19</f>
        <v>0.82328491479595112</v>
      </c>
      <c r="S19" s="285">
        <f>Prop2021DistTar!AG19</f>
        <v>4301.9832508745367</v>
      </c>
      <c r="T19" s="285">
        <f>Prop2021DistTar!AH19</f>
        <v>0</v>
      </c>
      <c r="U19" s="285">
        <f>Prop2021DistTar!AI19</f>
        <v>0</v>
      </c>
      <c r="V19" s="285">
        <f>Prop2021DistTar!AJ19</f>
        <v>0</v>
      </c>
      <c r="W19" s="285">
        <f>Prop2021DistTar!AK19</f>
        <v>12.711256932654223</v>
      </c>
      <c r="X19" s="285">
        <f>Prop2021DistTar!AL19</f>
        <v>14.970733490906277</v>
      </c>
      <c r="Y19" s="285">
        <f>Prop2021DistTar!AM19</f>
        <v>0</v>
      </c>
      <c r="Z19" s="285">
        <f>Prop2021DistTar!AN19</f>
        <v>0</v>
      </c>
      <c r="AA19" s="285">
        <f>Prop2021DistTar!AO19</f>
        <v>0</v>
      </c>
      <c r="AB19" s="285">
        <f>Prop2021DistTar!AP19</f>
        <v>0</v>
      </c>
      <c r="AC19" s="285">
        <f>Prop2021DistTar!AQ19</f>
        <v>0</v>
      </c>
      <c r="AD19" s="286">
        <f>Prop2021DistTar!AR19</f>
        <v>0</v>
      </c>
      <c r="AF19" s="266">
        <f t="shared" si="5"/>
        <v>0</v>
      </c>
      <c r="AG19" s="267">
        <f t="shared" si="6"/>
        <v>2.5811899505247218</v>
      </c>
      <c r="AH19" s="267">
        <f t="shared" si="6"/>
        <v>0</v>
      </c>
      <c r="AI19" s="267">
        <f t="shared" si="6"/>
        <v>0</v>
      </c>
      <c r="AJ19" s="267">
        <f t="shared" si="2"/>
        <v>0</v>
      </c>
      <c r="AK19" s="267">
        <f t="shared" si="2"/>
        <v>0</v>
      </c>
      <c r="AL19" s="267">
        <f t="shared" si="2"/>
        <v>0</v>
      </c>
      <c r="AM19" s="267">
        <f t="shared" si="3"/>
        <v>0</v>
      </c>
      <c r="AN19" s="267">
        <f t="shared" si="3"/>
        <v>0</v>
      </c>
      <c r="AO19" s="267">
        <f t="shared" si="3"/>
        <v>0</v>
      </c>
      <c r="AP19" s="267">
        <f t="shared" si="3"/>
        <v>0</v>
      </c>
      <c r="AQ19" s="267">
        <f t="shared" si="3"/>
        <v>0</v>
      </c>
      <c r="AR19" s="267">
        <f t="shared" si="3"/>
        <v>0</v>
      </c>
      <c r="AS19" s="182">
        <f t="shared" si="7"/>
        <v>2.5811899505247218</v>
      </c>
    </row>
    <row r="20" spans="2:45" s="170" customFormat="1" x14ac:dyDescent="0.2">
      <c r="B20" s="173" t="str">
        <f>Prop2021DistTar!B20</f>
        <v>Non-Residential Single Rate</v>
      </c>
      <c r="C20" s="283"/>
      <c r="D20" s="322">
        <v>0</v>
      </c>
      <c r="E20" s="323">
        <v>0.05</v>
      </c>
      <c r="F20" s="323">
        <v>0</v>
      </c>
      <c r="G20" s="323">
        <v>0</v>
      </c>
      <c r="H20" s="323">
        <v>0</v>
      </c>
      <c r="I20" s="323">
        <v>0</v>
      </c>
      <c r="J20" s="323">
        <v>0</v>
      </c>
      <c r="K20" s="323">
        <v>0</v>
      </c>
      <c r="L20" s="323">
        <v>0</v>
      </c>
      <c r="M20" s="323">
        <v>0</v>
      </c>
      <c r="N20" s="323">
        <v>0</v>
      </c>
      <c r="O20" s="323">
        <v>0</v>
      </c>
      <c r="P20" s="324">
        <v>0</v>
      </c>
      <c r="Q20" s="298"/>
      <c r="R20" s="284">
        <f>Prop2021DistTar!AF20</f>
        <v>9615.4022222222247</v>
      </c>
      <c r="S20" s="285">
        <f>Prop2021DistTar!AG20</f>
        <v>101768262.25238639</v>
      </c>
      <c r="T20" s="285">
        <f>Prop2021DistTar!AH20</f>
        <v>0</v>
      </c>
      <c r="U20" s="285">
        <f>Prop2021DistTar!AI20</f>
        <v>0</v>
      </c>
      <c r="V20" s="285">
        <f>Prop2021DistTar!AJ20</f>
        <v>0</v>
      </c>
      <c r="W20" s="285">
        <f>Prop2021DistTar!AK20</f>
        <v>0</v>
      </c>
      <c r="X20" s="285">
        <f>Prop2021DistTar!AL20</f>
        <v>0</v>
      </c>
      <c r="Y20" s="285">
        <f>Prop2021DistTar!AM20</f>
        <v>0</v>
      </c>
      <c r="Z20" s="285">
        <f>Prop2021DistTar!AN20</f>
        <v>0</v>
      </c>
      <c r="AA20" s="285">
        <f>Prop2021DistTar!AO20</f>
        <v>0</v>
      </c>
      <c r="AB20" s="285">
        <f>Prop2021DistTar!AP20</f>
        <v>0</v>
      </c>
      <c r="AC20" s="285">
        <f>Prop2021DistTar!AQ20</f>
        <v>0</v>
      </c>
      <c r="AD20" s="286">
        <f>Prop2021DistTar!AR20</f>
        <v>0</v>
      </c>
      <c r="AF20" s="266">
        <f t="shared" si="5"/>
        <v>0</v>
      </c>
      <c r="AG20" s="267">
        <f t="shared" si="6"/>
        <v>50884.131126193199</v>
      </c>
      <c r="AH20" s="267">
        <f t="shared" si="6"/>
        <v>0</v>
      </c>
      <c r="AI20" s="267">
        <f t="shared" si="6"/>
        <v>0</v>
      </c>
      <c r="AJ20" s="267">
        <f t="shared" si="2"/>
        <v>0</v>
      </c>
      <c r="AK20" s="267">
        <f t="shared" si="2"/>
        <v>0</v>
      </c>
      <c r="AL20" s="267">
        <f t="shared" si="2"/>
        <v>0</v>
      </c>
      <c r="AM20" s="267">
        <f t="shared" si="3"/>
        <v>0</v>
      </c>
      <c r="AN20" s="267">
        <f t="shared" si="3"/>
        <v>0</v>
      </c>
      <c r="AO20" s="267">
        <f t="shared" si="3"/>
        <v>0</v>
      </c>
      <c r="AP20" s="267">
        <f t="shared" si="3"/>
        <v>0</v>
      </c>
      <c r="AQ20" s="267">
        <f t="shared" si="3"/>
        <v>0</v>
      </c>
      <c r="AR20" s="267">
        <f t="shared" si="3"/>
        <v>0</v>
      </c>
      <c r="AS20" s="182">
        <f t="shared" si="7"/>
        <v>50884.131126193199</v>
      </c>
    </row>
    <row r="21" spans="2:45" s="170" customFormat="1" x14ac:dyDescent="0.2">
      <c r="B21" s="173" t="str">
        <f>Prop2021DistTar!B21</f>
        <v>Non-Residential Single Rate - Bulk</v>
      </c>
      <c r="C21" s="283"/>
      <c r="D21" s="322">
        <v>0</v>
      </c>
      <c r="E21" s="323">
        <v>0.05</v>
      </c>
      <c r="F21" s="323">
        <v>0</v>
      </c>
      <c r="G21" s="323">
        <v>0</v>
      </c>
      <c r="H21" s="323">
        <v>0</v>
      </c>
      <c r="I21" s="323">
        <v>0</v>
      </c>
      <c r="J21" s="323">
        <v>0</v>
      </c>
      <c r="K21" s="323">
        <v>0</v>
      </c>
      <c r="L21" s="323">
        <v>0</v>
      </c>
      <c r="M21" s="323">
        <v>0</v>
      </c>
      <c r="N21" s="323">
        <v>0</v>
      </c>
      <c r="O21" s="323">
        <v>0</v>
      </c>
      <c r="P21" s="324">
        <v>0</v>
      </c>
      <c r="Q21" s="298"/>
      <c r="R21" s="284">
        <f>Prop2021DistTar!AF21</f>
        <v>3064.9233333333336</v>
      </c>
      <c r="S21" s="285">
        <f>Prop2021DistTar!AG21</f>
        <v>38230383.354700655</v>
      </c>
      <c r="T21" s="285">
        <f>Prop2021DistTar!AH21</f>
        <v>0</v>
      </c>
      <c r="U21" s="285">
        <f>Prop2021DistTar!AI21</f>
        <v>0</v>
      </c>
      <c r="V21" s="285">
        <f>Prop2021DistTar!AJ21</f>
        <v>0</v>
      </c>
      <c r="W21" s="285">
        <f>Prop2021DistTar!AK21</f>
        <v>0</v>
      </c>
      <c r="X21" s="285">
        <f>Prop2021DistTar!AL21</f>
        <v>0</v>
      </c>
      <c r="Y21" s="285">
        <f>Prop2021DistTar!AM21</f>
        <v>0</v>
      </c>
      <c r="Z21" s="285">
        <f>Prop2021DistTar!AN21</f>
        <v>0</v>
      </c>
      <c r="AA21" s="285">
        <f>Prop2021DistTar!AO21</f>
        <v>0</v>
      </c>
      <c r="AB21" s="285">
        <f>Prop2021DistTar!AP21</f>
        <v>0</v>
      </c>
      <c r="AC21" s="285">
        <f>Prop2021DistTar!AQ21</f>
        <v>0</v>
      </c>
      <c r="AD21" s="286">
        <f>Prop2021DistTar!AR21</f>
        <v>0</v>
      </c>
      <c r="AF21" s="266">
        <f t="shared" si="5"/>
        <v>0</v>
      </c>
      <c r="AG21" s="267">
        <f t="shared" si="6"/>
        <v>19115.191677350329</v>
      </c>
      <c r="AH21" s="267">
        <f t="shared" si="6"/>
        <v>0</v>
      </c>
      <c r="AI21" s="267">
        <f t="shared" si="6"/>
        <v>0</v>
      </c>
      <c r="AJ21" s="267">
        <f t="shared" si="2"/>
        <v>0</v>
      </c>
      <c r="AK21" s="267">
        <f t="shared" si="2"/>
        <v>0</v>
      </c>
      <c r="AL21" s="267">
        <f t="shared" si="2"/>
        <v>0</v>
      </c>
      <c r="AM21" s="267">
        <f t="shared" si="3"/>
        <v>0</v>
      </c>
      <c r="AN21" s="267">
        <f t="shared" si="3"/>
        <v>0</v>
      </c>
      <c r="AO21" s="267">
        <f t="shared" si="3"/>
        <v>0</v>
      </c>
      <c r="AP21" s="267">
        <f t="shared" si="3"/>
        <v>0</v>
      </c>
      <c r="AQ21" s="267">
        <f t="shared" si="3"/>
        <v>0</v>
      </c>
      <c r="AR21" s="267">
        <f t="shared" si="3"/>
        <v>0</v>
      </c>
      <c r="AS21" s="182">
        <f t="shared" si="7"/>
        <v>19115.191677350329</v>
      </c>
    </row>
    <row r="22" spans="2:45" s="170" customFormat="1" x14ac:dyDescent="0.2">
      <c r="B22" s="190" t="str">
        <f>Prop2021DistTar!B22</f>
        <v>Non-Residential Two Rate 5d</v>
      </c>
      <c r="C22" s="283"/>
      <c r="D22" s="322">
        <v>0</v>
      </c>
      <c r="E22" s="323">
        <v>0</v>
      </c>
      <c r="F22" s="323">
        <v>0.05</v>
      </c>
      <c r="G22" s="323">
        <v>0.05</v>
      </c>
      <c r="H22" s="323">
        <v>0</v>
      </c>
      <c r="I22" s="323">
        <v>0</v>
      </c>
      <c r="J22" s="323">
        <v>0</v>
      </c>
      <c r="K22" s="323">
        <v>0</v>
      </c>
      <c r="L22" s="323">
        <v>0</v>
      </c>
      <c r="M22" s="323">
        <v>0</v>
      </c>
      <c r="N22" s="323">
        <v>0</v>
      </c>
      <c r="O22" s="323">
        <v>0</v>
      </c>
      <c r="P22" s="324">
        <v>0</v>
      </c>
      <c r="Q22" s="298"/>
      <c r="R22" s="284">
        <f>Prop2021DistTar!AF22</f>
        <v>2404.997614247312</v>
      </c>
      <c r="S22" s="285">
        <f>Prop2021DistTar!AG22</f>
        <v>0</v>
      </c>
      <c r="T22" s="285">
        <f>Prop2021DistTar!AH22</f>
        <v>24207963.141548548</v>
      </c>
      <c r="U22" s="285">
        <f>Prop2021DistTar!AI22</f>
        <v>15407185.573076922</v>
      </c>
      <c r="V22" s="285">
        <f>Prop2021DistTar!AJ22</f>
        <v>0</v>
      </c>
      <c r="W22" s="285">
        <f>Prop2021DistTar!AK22</f>
        <v>0</v>
      </c>
      <c r="X22" s="285">
        <f>Prop2021DistTar!AL22</f>
        <v>0</v>
      </c>
      <c r="Y22" s="285">
        <f>Prop2021DistTar!AM22</f>
        <v>0</v>
      </c>
      <c r="Z22" s="285">
        <f>Prop2021DistTar!AN22</f>
        <v>0</v>
      </c>
      <c r="AA22" s="285">
        <f>Prop2021DistTar!AO22</f>
        <v>0</v>
      </c>
      <c r="AB22" s="285">
        <f>Prop2021DistTar!AP22</f>
        <v>0</v>
      </c>
      <c r="AC22" s="285">
        <f>Prop2021DistTar!AQ22</f>
        <v>0</v>
      </c>
      <c r="AD22" s="286">
        <f>Prop2021DistTar!AR22</f>
        <v>0</v>
      </c>
      <c r="AF22" s="266">
        <f t="shared" si="5"/>
        <v>0</v>
      </c>
      <c r="AG22" s="267">
        <f t="shared" si="6"/>
        <v>0</v>
      </c>
      <c r="AH22" s="267">
        <f t="shared" si="6"/>
        <v>12103.981570774275</v>
      </c>
      <c r="AI22" s="267">
        <f t="shared" si="6"/>
        <v>7703.592786538461</v>
      </c>
      <c r="AJ22" s="267">
        <f t="shared" ref="AJ22:AL65" si="8">H22*V22</f>
        <v>0</v>
      </c>
      <c r="AK22" s="267">
        <f t="shared" si="8"/>
        <v>0</v>
      </c>
      <c r="AL22" s="267">
        <f t="shared" si="8"/>
        <v>0</v>
      </c>
      <c r="AM22" s="267">
        <f t="shared" ref="AM22:AR64" si="9">K22/100*Y22</f>
        <v>0</v>
      </c>
      <c r="AN22" s="267">
        <f t="shared" si="9"/>
        <v>0</v>
      </c>
      <c r="AO22" s="267">
        <f t="shared" si="9"/>
        <v>0</v>
      </c>
      <c r="AP22" s="267">
        <f t="shared" si="9"/>
        <v>0</v>
      </c>
      <c r="AQ22" s="267">
        <f t="shared" si="9"/>
        <v>0</v>
      </c>
      <c r="AR22" s="267">
        <f t="shared" si="9"/>
        <v>0</v>
      </c>
      <c r="AS22" s="182">
        <f t="shared" si="7"/>
        <v>19807.574357312737</v>
      </c>
    </row>
    <row r="23" spans="2:45" s="170" customFormat="1" x14ac:dyDescent="0.2">
      <c r="B23" s="173" t="str">
        <f>Prop2021DistTar!B23</f>
        <v>Non-Residential Two Rate 5d - Bulk</v>
      </c>
      <c r="C23" s="283"/>
      <c r="D23" s="322">
        <v>0</v>
      </c>
      <c r="E23" s="323">
        <v>0</v>
      </c>
      <c r="F23" s="323">
        <v>0.05</v>
      </c>
      <c r="G23" s="323">
        <v>0.05</v>
      </c>
      <c r="H23" s="323">
        <v>0</v>
      </c>
      <c r="I23" s="323">
        <v>0</v>
      </c>
      <c r="J23" s="323">
        <v>0</v>
      </c>
      <c r="K23" s="323">
        <v>0</v>
      </c>
      <c r="L23" s="323">
        <v>0</v>
      </c>
      <c r="M23" s="323">
        <v>0</v>
      </c>
      <c r="N23" s="323">
        <v>0</v>
      </c>
      <c r="O23" s="323">
        <v>0</v>
      </c>
      <c r="P23" s="324">
        <v>0</v>
      </c>
      <c r="Q23" s="298"/>
      <c r="R23" s="284">
        <f>Prop2021DistTar!AF23</f>
        <v>498.43003312211971</v>
      </c>
      <c r="S23" s="285">
        <f>Prop2021DistTar!AG23</f>
        <v>0</v>
      </c>
      <c r="T23" s="285">
        <f>Prop2021DistTar!AH23</f>
        <v>6458610.6276198849</v>
      </c>
      <c r="U23" s="285">
        <f>Prop2021DistTar!AI23</f>
        <v>3935479.6441410244</v>
      </c>
      <c r="V23" s="285">
        <f>Prop2021DistTar!AJ23</f>
        <v>0</v>
      </c>
      <c r="W23" s="285">
        <f>Prop2021DistTar!AK23</f>
        <v>0</v>
      </c>
      <c r="X23" s="285">
        <f>Prop2021DistTar!AL23</f>
        <v>0</v>
      </c>
      <c r="Y23" s="285">
        <f>Prop2021DistTar!AM23</f>
        <v>0</v>
      </c>
      <c r="Z23" s="285">
        <f>Prop2021DistTar!AN23</f>
        <v>0</v>
      </c>
      <c r="AA23" s="285">
        <f>Prop2021DistTar!AO23</f>
        <v>0</v>
      </c>
      <c r="AB23" s="285">
        <f>Prop2021DistTar!AP23</f>
        <v>0</v>
      </c>
      <c r="AC23" s="285">
        <f>Prop2021DistTar!AQ23</f>
        <v>0</v>
      </c>
      <c r="AD23" s="286">
        <f>Prop2021DistTar!AR23</f>
        <v>0</v>
      </c>
      <c r="AF23" s="266">
        <f t="shared" si="5"/>
        <v>0</v>
      </c>
      <c r="AG23" s="267">
        <f t="shared" si="6"/>
        <v>0</v>
      </c>
      <c r="AH23" s="267">
        <f t="shared" si="6"/>
        <v>3229.3053138099426</v>
      </c>
      <c r="AI23" s="267">
        <f t="shared" si="6"/>
        <v>1967.7398220705122</v>
      </c>
      <c r="AJ23" s="267">
        <f t="shared" si="8"/>
        <v>0</v>
      </c>
      <c r="AK23" s="267">
        <f t="shared" si="8"/>
        <v>0</v>
      </c>
      <c r="AL23" s="267">
        <f t="shared" si="8"/>
        <v>0</v>
      </c>
      <c r="AM23" s="267">
        <f t="shared" si="9"/>
        <v>0</v>
      </c>
      <c r="AN23" s="267">
        <f t="shared" si="9"/>
        <v>0</v>
      </c>
      <c r="AO23" s="267">
        <f t="shared" si="9"/>
        <v>0</v>
      </c>
      <c r="AP23" s="267">
        <f t="shared" si="9"/>
        <v>0</v>
      </c>
      <c r="AQ23" s="267">
        <f t="shared" si="9"/>
        <v>0</v>
      </c>
      <c r="AR23" s="267">
        <f t="shared" si="9"/>
        <v>0</v>
      </c>
      <c r="AS23" s="182">
        <f t="shared" si="7"/>
        <v>5197.0451358804548</v>
      </c>
    </row>
    <row r="24" spans="2:45" s="170" customFormat="1" x14ac:dyDescent="0.2">
      <c r="B24" s="173" t="str">
        <f>Prop2021DistTar!B24</f>
        <v>Non-Residential Interval</v>
      </c>
      <c r="C24" s="283"/>
      <c r="D24" s="322">
        <v>0</v>
      </c>
      <c r="E24" s="323">
        <v>0</v>
      </c>
      <c r="F24" s="323">
        <v>0.05</v>
      </c>
      <c r="G24" s="323">
        <v>0.05</v>
      </c>
      <c r="H24" s="323">
        <v>0</v>
      </c>
      <c r="I24" s="323">
        <v>0</v>
      </c>
      <c r="J24" s="323">
        <v>0</v>
      </c>
      <c r="K24" s="323">
        <v>0</v>
      </c>
      <c r="L24" s="323">
        <v>0</v>
      </c>
      <c r="M24" s="323">
        <v>0</v>
      </c>
      <c r="N24" s="323">
        <v>0</v>
      </c>
      <c r="O24" s="323">
        <v>0</v>
      </c>
      <c r="P24" s="324">
        <v>0</v>
      </c>
      <c r="Q24" s="298"/>
      <c r="R24" s="284">
        <f>Prop2021DistTar!AF24</f>
        <v>1896.5956418010758</v>
      </c>
      <c r="S24" s="285">
        <f>Prop2021DistTar!AG24</f>
        <v>0</v>
      </c>
      <c r="T24" s="285">
        <f>Prop2021DistTar!AH24</f>
        <v>18861774.575420383</v>
      </c>
      <c r="U24" s="285">
        <f>Prop2021DistTar!AI24</f>
        <v>10882443.506134985</v>
      </c>
      <c r="V24" s="285">
        <f>Prop2021DistTar!AJ24</f>
        <v>0</v>
      </c>
      <c r="W24" s="285">
        <f>Prop2021DistTar!AK24</f>
        <v>0</v>
      </c>
      <c r="X24" s="285">
        <f>Prop2021DistTar!AL24</f>
        <v>0</v>
      </c>
      <c r="Y24" s="285">
        <f>Prop2021DistTar!AM24</f>
        <v>0</v>
      </c>
      <c r="Z24" s="285">
        <f>Prop2021DistTar!AN24</f>
        <v>0</v>
      </c>
      <c r="AA24" s="285">
        <f>Prop2021DistTar!AO24</f>
        <v>0</v>
      </c>
      <c r="AB24" s="285">
        <f>Prop2021DistTar!AP24</f>
        <v>0</v>
      </c>
      <c r="AC24" s="285">
        <f>Prop2021DistTar!AQ24</f>
        <v>0</v>
      </c>
      <c r="AD24" s="286">
        <f>Prop2021DistTar!AR24</f>
        <v>0</v>
      </c>
      <c r="AF24" s="266">
        <f t="shared" si="5"/>
        <v>0</v>
      </c>
      <c r="AG24" s="267">
        <f t="shared" si="6"/>
        <v>0</v>
      </c>
      <c r="AH24" s="267">
        <f t="shared" si="6"/>
        <v>9430.8872877101912</v>
      </c>
      <c r="AI24" s="267">
        <f t="shared" si="6"/>
        <v>5441.2217530674925</v>
      </c>
      <c r="AJ24" s="267">
        <f t="shared" si="8"/>
        <v>0</v>
      </c>
      <c r="AK24" s="267">
        <f t="shared" si="8"/>
        <v>0</v>
      </c>
      <c r="AL24" s="267">
        <f t="shared" si="8"/>
        <v>0</v>
      </c>
      <c r="AM24" s="267">
        <f t="shared" si="9"/>
        <v>0</v>
      </c>
      <c r="AN24" s="267">
        <f t="shared" si="9"/>
        <v>0</v>
      </c>
      <c r="AO24" s="267">
        <f t="shared" si="9"/>
        <v>0</v>
      </c>
      <c r="AP24" s="267">
        <f t="shared" si="9"/>
        <v>0</v>
      </c>
      <c r="AQ24" s="267">
        <f t="shared" si="9"/>
        <v>0</v>
      </c>
      <c r="AR24" s="267">
        <f t="shared" si="9"/>
        <v>0</v>
      </c>
      <c r="AS24" s="182">
        <f t="shared" si="7"/>
        <v>14872.109040777683</v>
      </c>
    </row>
    <row r="25" spans="2:45" s="170" customFormat="1" x14ac:dyDescent="0.2">
      <c r="B25" s="173" t="str">
        <f>Prop2021DistTar!B25</f>
        <v>Non-Residential Interval - Bulk</v>
      </c>
      <c r="C25" s="283"/>
      <c r="D25" s="322">
        <v>0</v>
      </c>
      <c r="E25" s="323">
        <v>0</v>
      </c>
      <c r="F25" s="323">
        <v>0.05</v>
      </c>
      <c r="G25" s="323">
        <v>0.05</v>
      </c>
      <c r="H25" s="323">
        <v>0</v>
      </c>
      <c r="I25" s="323">
        <v>0</v>
      </c>
      <c r="J25" s="323">
        <v>0</v>
      </c>
      <c r="K25" s="323">
        <v>0</v>
      </c>
      <c r="L25" s="323">
        <v>0</v>
      </c>
      <c r="M25" s="323">
        <v>0</v>
      </c>
      <c r="N25" s="323">
        <v>0</v>
      </c>
      <c r="O25" s="323">
        <v>0</v>
      </c>
      <c r="P25" s="324">
        <v>0</v>
      </c>
      <c r="Q25" s="298"/>
      <c r="R25" s="284">
        <f>Prop2021DistTar!AF25</f>
        <v>879.66478974654399</v>
      </c>
      <c r="S25" s="285">
        <f>Prop2021DistTar!AG25</f>
        <v>0</v>
      </c>
      <c r="T25" s="285">
        <f>Prop2021DistTar!AH25</f>
        <v>11015899.562370686</v>
      </c>
      <c r="U25" s="285">
        <f>Prop2021DistTar!AI25</f>
        <v>5761774.6322561689</v>
      </c>
      <c r="V25" s="285">
        <f>Prop2021DistTar!AJ25</f>
        <v>0</v>
      </c>
      <c r="W25" s="285">
        <f>Prop2021DistTar!AK25</f>
        <v>0</v>
      </c>
      <c r="X25" s="285">
        <f>Prop2021DistTar!AL25</f>
        <v>0</v>
      </c>
      <c r="Y25" s="285">
        <f>Prop2021DistTar!AM25</f>
        <v>0</v>
      </c>
      <c r="Z25" s="285">
        <f>Prop2021DistTar!AN25</f>
        <v>0</v>
      </c>
      <c r="AA25" s="285">
        <f>Prop2021DistTar!AO25</f>
        <v>0</v>
      </c>
      <c r="AB25" s="285">
        <f>Prop2021DistTar!AP25</f>
        <v>0</v>
      </c>
      <c r="AC25" s="285">
        <f>Prop2021DistTar!AQ25</f>
        <v>0</v>
      </c>
      <c r="AD25" s="286">
        <f>Prop2021DistTar!AR25</f>
        <v>0</v>
      </c>
      <c r="AF25" s="266">
        <f t="shared" si="5"/>
        <v>0</v>
      </c>
      <c r="AG25" s="267">
        <f t="shared" si="6"/>
        <v>0</v>
      </c>
      <c r="AH25" s="267">
        <f t="shared" si="6"/>
        <v>5507.9497811853435</v>
      </c>
      <c r="AI25" s="267">
        <f t="shared" si="6"/>
        <v>2880.8873161280844</v>
      </c>
      <c r="AJ25" s="267">
        <f t="shared" si="8"/>
        <v>0</v>
      </c>
      <c r="AK25" s="267">
        <f t="shared" si="8"/>
        <v>0</v>
      </c>
      <c r="AL25" s="267">
        <f t="shared" si="8"/>
        <v>0</v>
      </c>
      <c r="AM25" s="267">
        <f t="shared" si="9"/>
        <v>0</v>
      </c>
      <c r="AN25" s="267">
        <f t="shared" si="9"/>
        <v>0</v>
      </c>
      <c r="AO25" s="267">
        <f t="shared" si="9"/>
        <v>0</v>
      </c>
      <c r="AP25" s="267">
        <f t="shared" si="9"/>
        <v>0</v>
      </c>
      <c r="AQ25" s="267">
        <f t="shared" si="9"/>
        <v>0</v>
      </c>
      <c r="AR25" s="267">
        <f t="shared" si="9"/>
        <v>0</v>
      </c>
      <c r="AS25" s="182">
        <f t="shared" si="7"/>
        <v>8388.8370973134279</v>
      </c>
    </row>
    <row r="26" spans="2:45" s="170" customFormat="1" x14ac:dyDescent="0.2">
      <c r="B26" s="173" t="str">
        <f>Prop2021DistTar!B26</f>
        <v>Non-Residential Flexible Pricing</v>
      </c>
      <c r="C26" s="283"/>
      <c r="D26" s="322">
        <v>0</v>
      </c>
      <c r="E26" s="323">
        <v>0</v>
      </c>
      <c r="F26" s="323">
        <v>0</v>
      </c>
      <c r="G26" s="323">
        <v>0</v>
      </c>
      <c r="H26" s="323">
        <v>0</v>
      </c>
      <c r="I26" s="323">
        <v>0</v>
      </c>
      <c r="J26" s="323">
        <v>0</v>
      </c>
      <c r="K26" s="323">
        <v>0.05</v>
      </c>
      <c r="L26" s="323">
        <v>0.05</v>
      </c>
      <c r="M26" s="323">
        <v>0.05</v>
      </c>
      <c r="N26" s="323">
        <v>0.05</v>
      </c>
      <c r="O26" s="323">
        <v>0.05</v>
      </c>
      <c r="P26" s="324">
        <v>0.05</v>
      </c>
      <c r="Q26" s="298"/>
      <c r="R26" s="284">
        <f>Prop2021DistTar!AF26</f>
        <v>11.643154799914861</v>
      </c>
      <c r="S26" s="285">
        <f>Prop2021DistTar!AG26</f>
        <v>0</v>
      </c>
      <c r="T26" s="285">
        <f>Prop2021DistTar!AH26</f>
        <v>0</v>
      </c>
      <c r="U26" s="285">
        <f>Prop2021DistTar!AI26</f>
        <v>0</v>
      </c>
      <c r="V26" s="285">
        <f>Prop2021DistTar!AJ26</f>
        <v>0</v>
      </c>
      <c r="W26" s="285">
        <f>Prop2021DistTar!AK26</f>
        <v>0</v>
      </c>
      <c r="X26" s="285">
        <f>Prop2021DistTar!AL26</f>
        <v>0</v>
      </c>
      <c r="Y26" s="285">
        <f>Prop2021DistTar!AM26</f>
        <v>29593.782604069216</v>
      </c>
      <c r="Z26" s="285">
        <f>Prop2021DistTar!AN26</f>
        <v>7908.0640875583613</v>
      </c>
      <c r="AA26" s="285">
        <f>Prop2021DistTar!AO26</f>
        <v>22801.159045133496</v>
      </c>
      <c r="AB26" s="285">
        <f>Prop2021DistTar!AP26</f>
        <v>62653.68538860172</v>
      </c>
      <c r="AC26" s="285">
        <f>Prop2021DistTar!AQ26</f>
        <v>16742.346390915671</v>
      </c>
      <c r="AD26" s="286">
        <f>Prop2021DistTar!AR26</f>
        <v>48272.864081688276</v>
      </c>
      <c r="AF26" s="266">
        <f t="shared" si="5"/>
        <v>0</v>
      </c>
      <c r="AG26" s="267">
        <f t="shared" si="6"/>
        <v>0</v>
      </c>
      <c r="AH26" s="267">
        <f t="shared" si="6"/>
        <v>0</v>
      </c>
      <c r="AI26" s="267">
        <f t="shared" si="6"/>
        <v>0</v>
      </c>
      <c r="AJ26" s="267">
        <f t="shared" si="8"/>
        <v>0</v>
      </c>
      <c r="AK26" s="267">
        <f t="shared" si="8"/>
        <v>0</v>
      </c>
      <c r="AL26" s="267">
        <f t="shared" si="8"/>
        <v>0</v>
      </c>
      <c r="AM26" s="267">
        <f t="shared" si="9"/>
        <v>14.796891302034608</v>
      </c>
      <c r="AN26" s="267">
        <f t="shared" si="9"/>
        <v>3.9540320437791809</v>
      </c>
      <c r="AO26" s="267">
        <f t="shared" si="9"/>
        <v>11.400579522566748</v>
      </c>
      <c r="AP26" s="267">
        <f t="shared" si="9"/>
        <v>31.326842694300861</v>
      </c>
      <c r="AQ26" s="267">
        <f t="shared" si="9"/>
        <v>8.3711731954578354</v>
      </c>
      <c r="AR26" s="267">
        <f t="shared" si="9"/>
        <v>24.136432040844138</v>
      </c>
      <c r="AS26" s="182">
        <f t="shared" si="7"/>
        <v>93.985950798983367</v>
      </c>
    </row>
    <row r="27" spans="2:45" s="170" customFormat="1" x14ac:dyDescent="0.2">
      <c r="B27" s="190" t="str">
        <f>Prop2021DistTar!B27</f>
        <v>Non-Residential - Flexible Pricing Bulk</v>
      </c>
      <c r="C27" s="283"/>
      <c r="D27" s="322">
        <v>0</v>
      </c>
      <c r="E27" s="323">
        <v>0</v>
      </c>
      <c r="F27" s="323">
        <v>0</v>
      </c>
      <c r="G27" s="323">
        <v>0</v>
      </c>
      <c r="H27" s="323">
        <v>0</v>
      </c>
      <c r="I27" s="323">
        <v>0</v>
      </c>
      <c r="J27" s="323">
        <v>0</v>
      </c>
      <c r="K27" s="323">
        <v>0.05</v>
      </c>
      <c r="L27" s="323">
        <v>0.05</v>
      </c>
      <c r="M27" s="323">
        <v>0.05</v>
      </c>
      <c r="N27" s="323">
        <v>0.05</v>
      </c>
      <c r="O27" s="323">
        <v>0.05</v>
      </c>
      <c r="P27" s="324">
        <v>0.05</v>
      </c>
      <c r="Q27" s="298"/>
      <c r="R27" s="284">
        <f>Prop2021DistTar!AF27</f>
        <v>2</v>
      </c>
      <c r="S27" s="285">
        <f>Prop2021DistTar!AG27</f>
        <v>0</v>
      </c>
      <c r="T27" s="285">
        <f>Prop2021DistTar!AH27</f>
        <v>0</v>
      </c>
      <c r="U27" s="285">
        <f>Prop2021DistTar!AI27</f>
        <v>0</v>
      </c>
      <c r="V27" s="285">
        <f>Prop2021DistTar!AJ27</f>
        <v>0</v>
      </c>
      <c r="W27" s="285">
        <f>Prop2021DistTar!AK27</f>
        <v>0</v>
      </c>
      <c r="X27" s="285">
        <f>Prop2021DistTar!AL27</f>
        <v>0</v>
      </c>
      <c r="Y27" s="285">
        <f>Prop2021DistTar!AM27</f>
        <v>4740.9745224191065</v>
      </c>
      <c r="Z27" s="285">
        <f>Prop2021DistTar!AN27</f>
        <v>1173.7949288024301</v>
      </c>
      <c r="AA27" s="285">
        <f>Prop2021DistTar!AO27</f>
        <v>4184.9783852982573</v>
      </c>
      <c r="AB27" s="285">
        <f>Prop2021DistTar!AP27</f>
        <v>9779.6688792558016</v>
      </c>
      <c r="AC27" s="285">
        <f>Prop2021DistTar!AQ27</f>
        <v>2421.3008700118507</v>
      </c>
      <c r="AD27" s="286">
        <f>Prop2021DistTar!AR27</f>
        <v>8632.761615047868</v>
      </c>
      <c r="AF27" s="266">
        <f t="shared" si="5"/>
        <v>0</v>
      </c>
      <c r="AG27" s="267">
        <f t="shared" si="6"/>
        <v>0</v>
      </c>
      <c r="AH27" s="267">
        <f t="shared" si="6"/>
        <v>0</v>
      </c>
      <c r="AI27" s="267">
        <f t="shared" si="6"/>
        <v>0</v>
      </c>
      <c r="AJ27" s="267">
        <f t="shared" si="8"/>
        <v>0</v>
      </c>
      <c r="AK27" s="267">
        <f t="shared" si="8"/>
        <v>0</v>
      </c>
      <c r="AL27" s="267">
        <f t="shared" si="8"/>
        <v>0</v>
      </c>
      <c r="AM27" s="267">
        <f t="shared" si="9"/>
        <v>2.3704872612095533</v>
      </c>
      <c r="AN27" s="267">
        <f t="shared" si="9"/>
        <v>0.58689746440121504</v>
      </c>
      <c r="AO27" s="267">
        <f t="shared" si="9"/>
        <v>2.0924891926491287</v>
      </c>
      <c r="AP27" s="267">
        <f t="shared" si="9"/>
        <v>4.8898344396279008</v>
      </c>
      <c r="AQ27" s="267">
        <f t="shared" si="9"/>
        <v>1.2106504350059255</v>
      </c>
      <c r="AR27" s="267">
        <f t="shared" si="9"/>
        <v>4.3163808075239345</v>
      </c>
      <c r="AS27" s="182">
        <f t="shared" si="7"/>
        <v>15.466739600417657</v>
      </c>
    </row>
    <row r="28" spans="2:45" s="170" customFormat="1" x14ac:dyDescent="0.2">
      <c r="B28" s="173" t="str">
        <f>Prop2021DistTar!B28</f>
        <v>Non-Residential Two Rate 7d</v>
      </c>
      <c r="C28" s="283"/>
      <c r="D28" s="322">
        <v>0</v>
      </c>
      <c r="E28" s="323">
        <v>0</v>
      </c>
      <c r="F28" s="323">
        <v>0.05</v>
      </c>
      <c r="G28" s="323">
        <v>0.05</v>
      </c>
      <c r="H28" s="323">
        <v>0</v>
      </c>
      <c r="I28" s="323">
        <v>0</v>
      </c>
      <c r="J28" s="323">
        <v>0</v>
      </c>
      <c r="K28" s="323">
        <v>0</v>
      </c>
      <c r="L28" s="323">
        <v>0</v>
      </c>
      <c r="M28" s="323">
        <v>0</v>
      </c>
      <c r="N28" s="323">
        <v>0</v>
      </c>
      <c r="O28" s="323">
        <v>0</v>
      </c>
      <c r="P28" s="324">
        <v>0</v>
      </c>
      <c r="Q28" s="298"/>
      <c r="R28" s="284">
        <f>Prop2021DistTar!AF28</f>
        <v>1166.2158602150537</v>
      </c>
      <c r="S28" s="285">
        <f>Prop2021DistTar!AG28</f>
        <v>0</v>
      </c>
      <c r="T28" s="285">
        <f>Prop2021DistTar!AH28</f>
        <v>14668895.13001664</v>
      </c>
      <c r="U28" s="285">
        <f>Prop2021DistTar!AI28</f>
        <v>3551793.959507918</v>
      </c>
      <c r="V28" s="285">
        <f>Prop2021DistTar!AJ28</f>
        <v>0</v>
      </c>
      <c r="W28" s="285">
        <f>Prop2021DistTar!AK28</f>
        <v>0</v>
      </c>
      <c r="X28" s="285">
        <f>Prop2021DistTar!AL28</f>
        <v>0</v>
      </c>
      <c r="Y28" s="285">
        <f>Prop2021DistTar!AM28</f>
        <v>0</v>
      </c>
      <c r="Z28" s="285">
        <f>Prop2021DistTar!AN28</f>
        <v>0</v>
      </c>
      <c r="AA28" s="285">
        <f>Prop2021DistTar!AO28</f>
        <v>0</v>
      </c>
      <c r="AB28" s="285">
        <f>Prop2021DistTar!AP28</f>
        <v>0</v>
      </c>
      <c r="AC28" s="285">
        <f>Prop2021DistTar!AQ28</f>
        <v>0</v>
      </c>
      <c r="AD28" s="286">
        <f>Prop2021DistTar!AR28</f>
        <v>0</v>
      </c>
      <c r="AF28" s="266">
        <f t="shared" si="5"/>
        <v>0</v>
      </c>
      <c r="AG28" s="267">
        <f t="shared" si="6"/>
        <v>0</v>
      </c>
      <c r="AH28" s="267">
        <f t="shared" si="6"/>
        <v>7334.4475650083205</v>
      </c>
      <c r="AI28" s="267">
        <f t="shared" si="6"/>
        <v>1775.8969797539589</v>
      </c>
      <c r="AJ28" s="267">
        <f t="shared" si="8"/>
        <v>0</v>
      </c>
      <c r="AK28" s="267">
        <f t="shared" si="8"/>
        <v>0</v>
      </c>
      <c r="AL28" s="267">
        <f t="shared" si="8"/>
        <v>0</v>
      </c>
      <c r="AM28" s="267">
        <f t="shared" si="9"/>
        <v>0</v>
      </c>
      <c r="AN28" s="267">
        <f t="shared" si="9"/>
        <v>0</v>
      </c>
      <c r="AO28" s="267">
        <f t="shared" si="9"/>
        <v>0</v>
      </c>
      <c r="AP28" s="267">
        <f t="shared" si="9"/>
        <v>0</v>
      </c>
      <c r="AQ28" s="267">
        <f t="shared" si="9"/>
        <v>0</v>
      </c>
      <c r="AR28" s="267">
        <f t="shared" si="9"/>
        <v>0</v>
      </c>
      <c r="AS28" s="182">
        <f t="shared" si="7"/>
        <v>9110.3445447622798</v>
      </c>
    </row>
    <row r="29" spans="2:45" s="170" customFormat="1" x14ac:dyDescent="0.2">
      <c r="B29" s="173" t="str">
        <f>Prop2021DistTar!B29</f>
        <v>Non-Residential Two Rate 7d - Bulk</v>
      </c>
      <c r="C29" s="283"/>
      <c r="D29" s="322">
        <v>0</v>
      </c>
      <c r="E29" s="323">
        <v>0</v>
      </c>
      <c r="F29" s="323">
        <v>0.05</v>
      </c>
      <c r="G29" s="323">
        <v>0.05</v>
      </c>
      <c r="H29" s="323">
        <v>0</v>
      </c>
      <c r="I29" s="323">
        <v>0</v>
      </c>
      <c r="J29" s="323">
        <v>0</v>
      </c>
      <c r="K29" s="323">
        <v>0</v>
      </c>
      <c r="L29" s="323">
        <v>0</v>
      </c>
      <c r="M29" s="323">
        <v>0</v>
      </c>
      <c r="N29" s="323">
        <v>0</v>
      </c>
      <c r="O29" s="323">
        <v>0</v>
      </c>
      <c r="P29" s="324">
        <v>0</v>
      </c>
      <c r="Q29" s="298"/>
      <c r="R29" s="284">
        <f>Prop2021DistTar!AF29</f>
        <v>118.44097949735452</v>
      </c>
      <c r="S29" s="285">
        <f>Prop2021DistTar!AG29</f>
        <v>0</v>
      </c>
      <c r="T29" s="285">
        <f>Prop2021DistTar!AH29</f>
        <v>1921340.716041815</v>
      </c>
      <c r="U29" s="285">
        <f>Prop2021DistTar!AI29</f>
        <v>477760.02450356731</v>
      </c>
      <c r="V29" s="285">
        <f>Prop2021DistTar!AJ29</f>
        <v>0</v>
      </c>
      <c r="W29" s="285">
        <f>Prop2021DistTar!AK29</f>
        <v>0</v>
      </c>
      <c r="X29" s="285">
        <f>Prop2021DistTar!AL29</f>
        <v>0</v>
      </c>
      <c r="Y29" s="285">
        <f>Prop2021DistTar!AM29</f>
        <v>0</v>
      </c>
      <c r="Z29" s="285">
        <f>Prop2021DistTar!AN29</f>
        <v>0</v>
      </c>
      <c r="AA29" s="285">
        <f>Prop2021DistTar!AO29</f>
        <v>0</v>
      </c>
      <c r="AB29" s="285">
        <f>Prop2021DistTar!AP29</f>
        <v>0</v>
      </c>
      <c r="AC29" s="285">
        <f>Prop2021DistTar!AQ29</f>
        <v>0</v>
      </c>
      <c r="AD29" s="286">
        <f>Prop2021DistTar!AR29</f>
        <v>0</v>
      </c>
      <c r="AF29" s="266">
        <f t="shared" si="5"/>
        <v>0</v>
      </c>
      <c r="AG29" s="267">
        <f t="shared" si="6"/>
        <v>0</v>
      </c>
      <c r="AH29" s="267">
        <f t="shared" si="6"/>
        <v>960.67035802090754</v>
      </c>
      <c r="AI29" s="267">
        <f t="shared" si="6"/>
        <v>238.88001225178365</v>
      </c>
      <c r="AJ29" s="267">
        <f t="shared" si="8"/>
        <v>0</v>
      </c>
      <c r="AK29" s="267">
        <f t="shared" si="8"/>
        <v>0</v>
      </c>
      <c r="AL29" s="267">
        <f t="shared" si="8"/>
        <v>0</v>
      </c>
      <c r="AM29" s="267">
        <f t="shared" si="9"/>
        <v>0</v>
      </c>
      <c r="AN29" s="267">
        <f t="shared" si="9"/>
        <v>0</v>
      </c>
      <c r="AO29" s="267">
        <f t="shared" si="9"/>
        <v>0</v>
      </c>
      <c r="AP29" s="267">
        <f t="shared" si="9"/>
        <v>0</v>
      </c>
      <c r="AQ29" s="267">
        <f t="shared" si="9"/>
        <v>0</v>
      </c>
      <c r="AR29" s="267">
        <f t="shared" si="9"/>
        <v>0</v>
      </c>
      <c r="AS29" s="182">
        <f t="shared" si="7"/>
        <v>1199.5503702726912</v>
      </c>
    </row>
    <row r="30" spans="2:45" s="170" customFormat="1" x14ac:dyDescent="0.2">
      <c r="B30" s="173" t="str">
        <f>Prop2021DistTar!B30</f>
        <v>Large Two Rate 7d</v>
      </c>
      <c r="C30" s="283"/>
      <c r="D30" s="322">
        <v>0</v>
      </c>
      <c r="E30" s="323">
        <v>0</v>
      </c>
      <c r="F30" s="323">
        <v>0.05</v>
      </c>
      <c r="G30" s="323">
        <v>0.05</v>
      </c>
      <c r="H30" s="323">
        <v>0</v>
      </c>
      <c r="I30" s="323">
        <v>0</v>
      </c>
      <c r="J30" s="323">
        <v>0</v>
      </c>
      <c r="K30" s="323">
        <v>0</v>
      </c>
      <c r="L30" s="323">
        <v>0</v>
      </c>
      <c r="M30" s="323">
        <v>0</v>
      </c>
      <c r="N30" s="323">
        <v>0</v>
      </c>
      <c r="O30" s="323">
        <v>0</v>
      </c>
      <c r="P30" s="324">
        <v>0</v>
      </c>
      <c r="Q30" s="298"/>
      <c r="R30" s="284">
        <f>Prop2021DistTar!AF30</f>
        <v>0.53775608872684355</v>
      </c>
      <c r="S30" s="285">
        <f>Prop2021DistTar!AG30</f>
        <v>0</v>
      </c>
      <c r="T30" s="285">
        <f>Prop2021DistTar!AH30</f>
        <v>15479.71640742166</v>
      </c>
      <c r="U30" s="285">
        <f>Prop2021DistTar!AI30</f>
        <v>6323.7509155303342</v>
      </c>
      <c r="V30" s="285">
        <f>Prop2021DistTar!AJ30</f>
        <v>0</v>
      </c>
      <c r="W30" s="285">
        <f>Prop2021DistTar!AK30</f>
        <v>0</v>
      </c>
      <c r="X30" s="285">
        <f>Prop2021DistTar!AL30</f>
        <v>0</v>
      </c>
      <c r="Y30" s="285">
        <f>Prop2021DistTar!AM30</f>
        <v>0</v>
      </c>
      <c r="Z30" s="285">
        <f>Prop2021DistTar!AN30</f>
        <v>0</v>
      </c>
      <c r="AA30" s="285">
        <f>Prop2021DistTar!AO30</f>
        <v>0</v>
      </c>
      <c r="AB30" s="285">
        <f>Prop2021DistTar!AP30</f>
        <v>0</v>
      </c>
      <c r="AC30" s="285">
        <f>Prop2021DistTar!AQ30</f>
        <v>0</v>
      </c>
      <c r="AD30" s="286">
        <f>Prop2021DistTar!AR30</f>
        <v>0</v>
      </c>
      <c r="AF30" s="266">
        <f t="shared" si="5"/>
        <v>0</v>
      </c>
      <c r="AG30" s="267">
        <f t="shared" si="6"/>
        <v>0</v>
      </c>
      <c r="AH30" s="267">
        <f t="shared" si="6"/>
        <v>7.7398582037108303</v>
      </c>
      <c r="AI30" s="267">
        <f t="shared" si="6"/>
        <v>3.1618754577651673</v>
      </c>
      <c r="AJ30" s="267">
        <f t="shared" si="8"/>
        <v>0</v>
      </c>
      <c r="AK30" s="267">
        <f t="shared" si="8"/>
        <v>0</v>
      </c>
      <c r="AL30" s="267">
        <f t="shared" si="8"/>
        <v>0</v>
      </c>
      <c r="AM30" s="267">
        <f t="shared" si="9"/>
        <v>0</v>
      </c>
      <c r="AN30" s="267">
        <f t="shared" si="9"/>
        <v>0</v>
      </c>
      <c r="AO30" s="267">
        <f t="shared" si="9"/>
        <v>0</v>
      </c>
      <c r="AP30" s="267">
        <f t="shared" si="9"/>
        <v>0</v>
      </c>
      <c r="AQ30" s="267">
        <f t="shared" si="9"/>
        <v>0</v>
      </c>
      <c r="AR30" s="267">
        <f t="shared" si="9"/>
        <v>0</v>
      </c>
      <c r="AS30" s="182">
        <f t="shared" si="7"/>
        <v>10.901733661475998</v>
      </c>
    </row>
    <row r="31" spans="2:45" s="170" customFormat="1" x14ac:dyDescent="0.2">
      <c r="B31" s="173" t="str">
        <f>Prop2021DistTar!B31</f>
        <v>Non-Residential Demand Tariff</v>
      </c>
      <c r="C31" s="283"/>
      <c r="D31" s="322">
        <v>0</v>
      </c>
      <c r="E31" s="323">
        <v>0.05</v>
      </c>
      <c r="F31" s="323">
        <v>0</v>
      </c>
      <c r="G31" s="323">
        <v>0</v>
      </c>
      <c r="H31" s="323">
        <v>0</v>
      </c>
      <c r="I31" s="323">
        <v>0</v>
      </c>
      <c r="J31" s="323">
        <v>0</v>
      </c>
      <c r="K31" s="323">
        <v>0</v>
      </c>
      <c r="L31" s="323">
        <v>0</v>
      </c>
      <c r="M31" s="323">
        <v>0</v>
      </c>
      <c r="N31" s="323">
        <v>0</v>
      </c>
      <c r="O31" s="323">
        <v>0</v>
      </c>
      <c r="P31" s="324">
        <v>0</v>
      </c>
      <c r="Q31" s="298"/>
      <c r="R31" s="284">
        <f>Prop2021DistTar!AF31</f>
        <v>28.048409317966456</v>
      </c>
      <c r="S31" s="285">
        <f>Prop2021DistTar!AG31</f>
        <v>1266843.3629458535</v>
      </c>
      <c r="T31" s="285">
        <f>Prop2021DistTar!AH31</f>
        <v>0</v>
      </c>
      <c r="U31" s="285">
        <f>Prop2021DistTar!AI31</f>
        <v>0</v>
      </c>
      <c r="V31" s="285">
        <f>Prop2021DistTar!AJ31</f>
        <v>0</v>
      </c>
      <c r="W31" s="285">
        <f>Prop2021DistTar!AK31</f>
        <v>872.54112576782813</v>
      </c>
      <c r="X31" s="285">
        <f>Prop2021DistTar!AL31</f>
        <v>944.50894899193509</v>
      </c>
      <c r="Y31" s="285">
        <f>Prop2021DistTar!AM31</f>
        <v>0</v>
      </c>
      <c r="Z31" s="285">
        <f>Prop2021DistTar!AN31</f>
        <v>0</v>
      </c>
      <c r="AA31" s="285">
        <f>Prop2021DistTar!AO31</f>
        <v>0</v>
      </c>
      <c r="AB31" s="285">
        <f>Prop2021DistTar!AP31</f>
        <v>0</v>
      </c>
      <c r="AC31" s="285">
        <f>Prop2021DistTar!AQ31</f>
        <v>0</v>
      </c>
      <c r="AD31" s="286">
        <f>Prop2021DistTar!AR31</f>
        <v>0</v>
      </c>
      <c r="AF31" s="266">
        <f t="shared" si="5"/>
        <v>0</v>
      </c>
      <c r="AG31" s="267">
        <f t="shared" si="6"/>
        <v>633.42168147292671</v>
      </c>
      <c r="AH31" s="267">
        <f t="shared" si="6"/>
        <v>0</v>
      </c>
      <c r="AI31" s="267">
        <f t="shared" si="6"/>
        <v>0</v>
      </c>
      <c r="AJ31" s="267">
        <f t="shared" si="8"/>
        <v>0</v>
      </c>
      <c r="AK31" s="267">
        <f t="shared" si="8"/>
        <v>0</v>
      </c>
      <c r="AL31" s="267">
        <f t="shared" si="8"/>
        <v>0</v>
      </c>
      <c r="AM31" s="267">
        <f t="shared" si="9"/>
        <v>0</v>
      </c>
      <c r="AN31" s="267">
        <f t="shared" si="9"/>
        <v>0</v>
      </c>
      <c r="AO31" s="267">
        <f t="shared" si="9"/>
        <v>0</v>
      </c>
      <c r="AP31" s="267">
        <f t="shared" si="9"/>
        <v>0</v>
      </c>
      <c r="AQ31" s="267">
        <f t="shared" si="9"/>
        <v>0</v>
      </c>
      <c r="AR31" s="267">
        <f t="shared" si="9"/>
        <v>0</v>
      </c>
      <c r="AS31" s="182">
        <f t="shared" si="7"/>
        <v>633.42168147292671</v>
      </c>
    </row>
    <row r="32" spans="2:45" s="170" customFormat="1" x14ac:dyDescent="0.2">
      <c r="B32" s="173" t="str">
        <f>Prop2021DistTar!B32</f>
        <v>Non-Residential Bulk Demand Tariff</v>
      </c>
      <c r="C32" s="283"/>
      <c r="D32" s="322">
        <v>0</v>
      </c>
      <c r="E32" s="323">
        <v>0.05</v>
      </c>
      <c r="F32" s="323">
        <v>0</v>
      </c>
      <c r="G32" s="323">
        <v>0</v>
      </c>
      <c r="H32" s="323">
        <v>0</v>
      </c>
      <c r="I32" s="323">
        <v>0</v>
      </c>
      <c r="J32" s="323">
        <v>0</v>
      </c>
      <c r="K32" s="323">
        <v>0</v>
      </c>
      <c r="L32" s="323">
        <v>0</v>
      </c>
      <c r="M32" s="323">
        <v>0</v>
      </c>
      <c r="N32" s="323">
        <v>0</v>
      </c>
      <c r="O32" s="323">
        <v>0</v>
      </c>
      <c r="P32" s="324">
        <v>0</v>
      </c>
      <c r="Q32" s="298"/>
      <c r="R32" s="284">
        <f>Prop2021DistTar!AF32</f>
        <v>47.072057411674336</v>
      </c>
      <c r="S32" s="285">
        <f>Prop2021DistTar!AG32</f>
        <v>2099978.6861341759</v>
      </c>
      <c r="T32" s="285">
        <f>Prop2021DistTar!AH32</f>
        <v>0</v>
      </c>
      <c r="U32" s="285">
        <f>Prop2021DistTar!AI32</f>
        <v>0</v>
      </c>
      <c r="V32" s="285">
        <f>Prop2021DistTar!AJ32</f>
        <v>0</v>
      </c>
      <c r="W32" s="285">
        <f>Prop2021DistTar!AK32</f>
        <v>1639.2637149884786</v>
      </c>
      <c r="X32" s="285">
        <f>Prop2021DistTar!AL32</f>
        <v>1755.4840432232454</v>
      </c>
      <c r="Y32" s="285">
        <f>Prop2021DistTar!AM32</f>
        <v>0</v>
      </c>
      <c r="Z32" s="285">
        <f>Prop2021DistTar!AN32</f>
        <v>0</v>
      </c>
      <c r="AA32" s="285">
        <f>Prop2021DistTar!AO32</f>
        <v>0</v>
      </c>
      <c r="AB32" s="285">
        <f>Prop2021DistTar!AP32</f>
        <v>0</v>
      </c>
      <c r="AC32" s="285">
        <f>Prop2021DistTar!AQ32</f>
        <v>0</v>
      </c>
      <c r="AD32" s="286">
        <f>Prop2021DistTar!AR32</f>
        <v>0</v>
      </c>
      <c r="AF32" s="266">
        <f t="shared" si="5"/>
        <v>0</v>
      </c>
      <c r="AG32" s="267">
        <f t="shared" si="6"/>
        <v>1049.9893430670879</v>
      </c>
      <c r="AH32" s="267">
        <f t="shared" si="6"/>
        <v>0</v>
      </c>
      <c r="AI32" s="267">
        <f t="shared" si="6"/>
        <v>0</v>
      </c>
      <c r="AJ32" s="267">
        <f t="shared" si="8"/>
        <v>0</v>
      </c>
      <c r="AK32" s="267">
        <f t="shared" si="8"/>
        <v>0</v>
      </c>
      <c r="AL32" s="267">
        <f t="shared" si="8"/>
        <v>0</v>
      </c>
      <c r="AM32" s="267">
        <f t="shared" si="9"/>
        <v>0</v>
      </c>
      <c r="AN32" s="267">
        <f t="shared" si="9"/>
        <v>0</v>
      </c>
      <c r="AO32" s="267">
        <f t="shared" si="9"/>
        <v>0</v>
      </c>
      <c r="AP32" s="267">
        <f t="shared" si="9"/>
        <v>0</v>
      </c>
      <c r="AQ32" s="267">
        <f t="shared" si="9"/>
        <v>0</v>
      </c>
      <c r="AR32" s="267">
        <f t="shared" si="9"/>
        <v>0</v>
      </c>
      <c r="AS32" s="182">
        <f t="shared" si="7"/>
        <v>1049.9893430670879</v>
      </c>
    </row>
    <row r="33" spans="2:45" s="170" customFormat="1" x14ac:dyDescent="0.2">
      <c r="B33" s="173" t="str">
        <f>Prop2021DistTar!B33</f>
        <v>Medium Business Demand</v>
      </c>
      <c r="C33" s="283"/>
      <c r="D33" s="322">
        <v>0</v>
      </c>
      <c r="E33" s="323">
        <v>0</v>
      </c>
      <c r="F33" s="323">
        <v>0.04</v>
      </c>
      <c r="G33" s="323">
        <v>0.04</v>
      </c>
      <c r="H33" s="323">
        <v>0</v>
      </c>
      <c r="I33" s="323">
        <v>0</v>
      </c>
      <c r="J33" s="323">
        <v>0</v>
      </c>
      <c r="K33" s="323">
        <v>0</v>
      </c>
      <c r="L33" s="323">
        <v>0</v>
      </c>
      <c r="M33" s="323">
        <v>0</v>
      </c>
      <c r="N33" s="323">
        <v>0</v>
      </c>
      <c r="O33" s="323">
        <v>0</v>
      </c>
      <c r="P33" s="324">
        <v>0</v>
      </c>
      <c r="Q33" s="298"/>
      <c r="R33" s="284">
        <f>Prop2021DistTar!AF33</f>
        <v>2082.4436021505371</v>
      </c>
      <c r="S33" s="285">
        <f>Prop2021DistTar!AG33</f>
        <v>0</v>
      </c>
      <c r="T33" s="285">
        <f>Prop2021DistTar!AH33</f>
        <v>151592487.29663926</v>
      </c>
      <c r="U33" s="285">
        <f>Prop2021DistTar!AI33</f>
        <v>111797029.72782438</v>
      </c>
      <c r="V33" s="285">
        <f>Prop2021DistTar!AJ33</f>
        <v>0</v>
      </c>
      <c r="W33" s="285">
        <f>Prop2021DistTar!AK33</f>
        <v>512294.80274802417</v>
      </c>
      <c r="X33" s="285">
        <f>Prop2021DistTar!AL33</f>
        <v>439355.79901202157</v>
      </c>
      <c r="Y33" s="285">
        <f>Prop2021DistTar!AM33</f>
        <v>0</v>
      </c>
      <c r="Z33" s="285">
        <f>Prop2021DistTar!AN33</f>
        <v>0</v>
      </c>
      <c r="AA33" s="285">
        <f>Prop2021DistTar!AO33</f>
        <v>0</v>
      </c>
      <c r="AB33" s="285">
        <f>Prop2021DistTar!AP33</f>
        <v>0</v>
      </c>
      <c r="AC33" s="285">
        <f>Prop2021DistTar!AQ33</f>
        <v>0</v>
      </c>
      <c r="AD33" s="286">
        <f>Prop2021DistTar!AR33</f>
        <v>0</v>
      </c>
      <c r="AF33" s="266">
        <f t="shared" ref="AF33:AF34" si="10">D33*R33</f>
        <v>0</v>
      </c>
      <c r="AG33" s="267">
        <f t="shared" ref="AG33:AI34" si="11">E33/100*S33</f>
        <v>0</v>
      </c>
      <c r="AH33" s="267">
        <f t="shared" si="11"/>
        <v>60636.994918655706</v>
      </c>
      <c r="AI33" s="267">
        <f t="shared" si="11"/>
        <v>44718.81189112975</v>
      </c>
      <c r="AJ33" s="267">
        <f t="shared" si="8"/>
        <v>0</v>
      </c>
      <c r="AK33" s="267">
        <f t="shared" si="8"/>
        <v>0</v>
      </c>
      <c r="AL33" s="267">
        <f t="shared" si="8"/>
        <v>0</v>
      </c>
      <c r="AM33" s="267">
        <f t="shared" si="9"/>
        <v>0</v>
      </c>
      <c r="AN33" s="267">
        <f t="shared" si="9"/>
        <v>0</v>
      </c>
      <c r="AO33" s="267">
        <f t="shared" si="9"/>
        <v>0</v>
      </c>
      <c r="AP33" s="267">
        <f t="shared" si="9"/>
        <v>0</v>
      </c>
      <c r="AQ33" s="267">
        <f t="shared" si="9"/>
        <v>0</v>
      </c>
      <c r="AR33" s="267">
        <f t="shared" si="9"/>
        <v>0</v>
      </c>
      <c r="AS33" s="182">
        <f t="shared" ref="AS33:AS34" si="12">SUM(AF33:AR33)</f>
        <v>105355.80680978546</v>
      </c>
    </row>
    <row r="34" spans="2:45" s="170" customFormat="1" x14ac:dyDescent="0.2">
      <c r="B34" s="173" t="str">
        <f>Prop2021DistTar!B34</f>
        <v>Medium Business Bulk Demand</v>
      </c>
      <c r="C34" s="283"/>
      <c r="D34" s="322">
        <v>0</v>
      </c>
      <c r="E34" s="323">
        <v>0</v>
      </c>
      <c r="F34" s="323">
        <v>0.04</v>
      </c>
      <c r="G34" s="323">
        <v>0.04</v>
      </c>
      <c r="H34" s="323">
        <v>0</v>
      </c>
      <c r="I34" s="323">
        <v>0</v>
      </c>
      <c r="J34" s="323">
        <v>0</v>
      </c>
      <c r="K34" s="323">
        <v>0</v>
      </c>
      <c r="L34" s="323">
        <v>0</v>
      </c>
      <c r="M34" s="323">
        <v>0</v>
      </c>
      <c r="N34" s="323">
        <v>0</v>
      </c>
      <c r="O34" s="323">
        <v>0</v>
      </c>
      <c r="P34" s="324">
        <v>0</v>
      </c>
      <c r="Q34" s="298"/>
      <c r="R34" s="284">
        <f>Prop2021DistTar!AF34</f>
        <v>1017.8014682033667</v>
      </c>
      <c r="S34" s="285">
        <f>Prop2021DistTar!AG34</f>
        <v>0</v>
      </c>
      <c r="T34" s="285">
        <f>Prop2021DistTar!AH34</f>
        <v>99242619.306177661</v>
      </c>
      <c r="U34" s="285">
        <f>Prop2021DistTar!AI34</f>
        <v>66564614.539026245</v>
      </c>
      <c r="V34" s="285">
        <f>Prop2021DistTar!AJ34</f>
        <v>0</v>
      </c>
      <c r="W34" s="285">
        <f>Prop2021DistTar!AK34</f>
        <v>358195.8147581977</v>
      </c>
      <c r="X34" s="285">
        <f>Prop2021DistTar!AL34</f>
        <v>286076.70838304039</v>
      </c>
      <c r="Y34" s="285">
        <f>Prop2021DistTar!AM34</f>
        <v>0</v>
      </c>
      <c r="Z34" s="285">
        <f>Prop2021DistTar!AN34</f>
        <v>0</v>
      </c>
      <c r="AA34" s="285">
        <f>Prop2021DistTar!AO34</f>
        <v>0</v>
      </c>
      <c r="AB34" s="285">
        <f>Prop2021DistTar!AP34</f>
        <v>0</v>
      </c>
      <c r="AC34" s="285">
        <f>Prop2021DistTar!AQ34</f>
        <v>0</v>
      </c>
      <c r="AD34" s="286">
        <f>Prop2021DistTar!AR34</f>
        <v>0</v>
      </c>
      <c r="AF34" s="266">
        <f t="shared" si="10"/>
        <v>0</v>
      </c>
      <c r="AG34" s="267">
        <f t="shared" si="11"/>
        <v>0</v>
      </c>
      <c r="AH34" s="267">
        <f t="shared" si="11"/>
        <v>39697.047722471063</v>
      </c>
      <c r="AI34" s="267">
        <f t="shared" si="11"/>
        <v>26625.845815610501</v>
      </c>
      <c r="AJ34" s="267">
        <f t="shared" si="8"/>
        <v>0</v>
      </c>
      <c r="AK34" s="267">
        <f t="shared" si="8"/>
        <v>0</v>
      </c>
      <c r="AL34" s="267">
        <f t="shared" si="8"/>
        <v>0</v>
      </c>
      <c r="AM34" s="267">
        <f t="shared" si="9"/>
        <v>0</v>
      </c>
      <c r="AN34" s="267">
        <f t="shared" si="9"/>
        <v>0</v>
      </c>
      <c r="AO34" s="267">
        <f t="shared" si="9"/>
        <v>0</v>
      </c>
      <c r="AP34" s="267">
        <f t="shared" si="9"/>
        <v>0</v>
      </c>
      <c r="AQ34" s="267">
        <f t="shared" si="9"/>
        <v>0</v>
      </c>
      <c r="AR34" s="267">
        <f t="shared" si="9"/>
        <v>0</v>
      </c>
      <c r="AS34" s="182">
        <f t="shared" si="12"/>
        <v>66322.893538081567</v>
      </c>
    </row>
    <row r="35" spans="2:45" s="170" customFormat="1" x14ac:dyDescent="0.2">
      <c r="B35" s="173" t="str">
        <f>Prop2021DistTar!B35</f>
        <v>Medium Business Opt-out</v>
      </c>
      <c r="C35" s="283"/>
      <c r="D35" s="322">
        <v>0</v>
      </c>
      <c r="E35" s="323">
        <v>0</v>
      </c>
      <c r="F35" s="323">
        <v>0.04</v>
      </c>
      <c r="G35" s="323">
        <v>0.04</v>
      </c>
      <c r="H35" s="323">
        <v>0</v>
      </c>
      <c r="I35" s="323">
        <v>0</v>
      </c>
      <c r="J35" s="323">
        <v>0</v>
      </c>
      <c r="K35" s="323">
        <v>0</v>
      </c>
      <c r="L35" s="323">
        <v>0</v>
      </c>
      <c r="M35" s="323">
        <v>0</v>
      </c>
      <c r="N35" s="323">
        <v>0</v>
      </c>
      <c r="O35" s="323">
        <v>0</v>
      </c>
      <c r="P35" s="324">
        <v>0</v>
      </c>
      <c r="Q35" s="298"/>
      <c r="R35" s="284">
        <f>Prop2021DistTar!AF35</f>
        <v>13.951895335523702</v>
      </c>
      <c r="S35" s="285">
        <f>Prop2021DistTar!AG35</f>
        <v>0</v>
      </c>
      <c r="T35" s="285">
        <f>Prop2021DistTar!AH35</f>
        <v>751872.7534410262</v>
      </c>
      <c r="U35" s="285">
        <f>Prop2021DistTar!AI35</f>
        <v>658346.80274918769</v>
      </c>
      <c r="V35" s="285">
        <f>Prop2021DistTar!AJ35</f>
        <v>0</v>
      </c>
      <c r="W35" s="285">
        <f>Prop2021DistTar!AK35</f>
        <v>0</v>
      </c>
      <c r="X35" s="285">
        <f>Prop2021DistTar!AL35</f>
        <v>0</v>
      </c>
      <c r="Y35" s="285">
        <f>Prop2021DistTar!AM35</f>
        <v>0</v>
      </c>
      <c r="Z35" s="285">
        <f>Prop2021DistTar!AN35</f>
        <v>0</v>
      </c>
      <c r="AA35" s="285">
        <f>Prop2021DistTar!AO35</f>
        <v>0</v>
      </c>
      <c r="AB35" s="285">
        <f>Prop2021DistTar!AP35</f>
        <v>0</v>
      </c>
      <c r="AC35" s="285">
        <f>Prop2021DistTar!AQ35</f>
        <v>0</v>
      </c>
      <c r="AD35" s="286">
        <f>Prop2021DistTar!AR35</f>
        <v>0</v>
      </c>
      <c r="AF35" s="266">
        <f t="shared" ref="AF35" si="13">D35*R35</f>
        <v>0</v>
      </c>
      <c r="AG35" s="267">
        <f t="shared" ref="AG35" si="14">E35/100*S35</f>
        <v>0</v>
      </c>
      <c r="AH35" s="267">
        <f t="shared" ref="AH35" si="15">F35/100*T35</f>
        <v>300.74910137641052</v>
      </c>
      <c r="AI35" s="267">
        <f t="shared" ref="AI35" si="16">G35/100*U35</f>
        <v>263.33872109967507</v>
      </c>
      <c r="AJ35" s="267">
        <f t="shared" si="8"/>
        <v>0</v>
      </c>
      <c r="AK35" s="267">
        <f t="shared" si="8"/>
        <v>0</v>
      </c>
      <c r="AL35" s="267">
        <f t="shared" si="8"/>
        <v>0</v>
      </c>
      <c r="AM35" s="267">
        <f t="shared" si="9"/>
        <v>0</v>
      </c>
      <c r="AN35" s="267">
        <f t="shared" si="9"/>
        <v>0</v>
      </c>
      <c r="AO35" s="267">
        <f t="shared" si="9"/>
        <v>0</v>
      </c>
      <c r="AP35" s="267">
        <f t="shared" si="9"/>
        <v>0</v>
      </c>
      <c r="AQ35" s="267">
        <f t="shared" si="9"/>
        <v>0</v>
      </c>
      <c r="AR35" s="267">
        <f t="shared" si="9"/>
        <v>0</v>
      </c>
      <c r="AS35" s="182">
        <f t="shared" ref="AS35" si="17">SUM(AF35:AR35)</f>
        <v>564.08782247608565</v>
      </c>
    </row>
    <row r="36" spans="2:45" s="170" customFormat="1" x14ac:dyDescent="0.2">
      <c r="B36" s="173" t="str">
        <f>Prop2021DistTar!B36</f>
        <v>Medium Business Bulk Opt-out</v>
      </c>
      <c r="C36" s="283"/>
      <c r="D36" s="322">
        <v>0</v>
      </c>
      <c r="E36" s="323">
        <v>0</v>
      </c>
      <c r="F36" s="323">
        <v>0.04</v>
      </c>
      <c r="G36" s="323">
        <v>0.04</v>
      </c>
      <c r="H36" s="323">
        <v>0</v>
      </c>
      <c r="I36" s="323">
        <v>0</v>
      </c>
      <c r="J36" s="323">
        <v>0</v>
      </c>
      <c r="K36" s="323">
        <v>0</v>
      </c>
      <c r="L36" s="323">
        <v>0</v>
      </c>
      <c r="M36" s="323">
        <v>0</v>
      </c>
      <c r="N36" s="323">
        <v>0</v>
      </c>
      <c r="O36" s="323">
        <v>0</v>
      </c>
      <c r="P36" s="324">
        <v>0</v>
      </c>
      <c r="Q36" s="298"/>
      <c r="R36" s="284">
        <f>Prop2021DistTar!AF36</f>
        <v>41.069363473792237</v>
      </c>
      <c r="S36" s="285">
        <f>Prop2021DistTar!AG36</f>
        <v>0</v>
      </c>
      <c r="T36" s="285">
        <f>Prop2021DistTar!AH36</f>
        <v>2409416.7551067746</v>
      </c>
      <c r="U36" s="285">
        <f>Prop2021DistTar!AI36</f>
        <v>2113940.7735448894</v>
      </c>
      <c r="V36" s="285">
        <f>Prop2021DistTar!AJ36</f>
        <v>0</v>
      </c>
      <c r="W36" s="285">
        <f>Prop2021DistTar!AK36</f>
        <v>0</v>
      </c>
      <c r="X36" s="285">
        <f>Prop2021DistTar!AL36</f>
        <v>0</v>
      </c>
      <c r="Y36" s="285">
        <f>Prop2021DistTar!AM36</f>
        <v>0</v>
      </c>
      <c r="Z36" s="285">
        <f>Prop2021DistTar!AN36</f>
        <v>0</v>
      </c>
      <c r="AA36" s="285">
        <f>Prop2021DistTar!AO36</f>
        <v>0</v>
      </c>
      <c r="AB36" s="285">
        <f>Prop2021DistTar!AP36</f>
        <v>0</v>
      </c>
      <c r="AC36" s="285">
        <f>Prop2021DistTar!AQ36</f>
        <v>0</v>
      </c>
      <c r="AD36" s="286">
        <f>Prop2021DistTar!AR36</f>
        <v>0</v>
      </c>
      <c r="AF36" s="266">
        <f t="shared" si="5"/>
        <v>0</v>
      </c>
      <c r="AG36" s="267">
        <f t="shared" si="6"/>
        <v>0</v>
      </c>
      <c r="AH36" s="267">
        <f t="shared" si="6"/>
        <v>963.76670204270988</v>
      </c>
      <c r="AI36" s="267">
        <f t="shared" si="6"/>
        <v>845.57630941795583</v>
      </c>
      <c r="AJ36" s="267">
        <f t="shared" si="8"/>
        <v>0</v>
      </c>
      <c r="AK36" s="267">
        <f t="shared" si="8"/>
        <v>0</v>
      </c>
      <c r="AL36" s="267">
        <f t="shared" si="8"/>
        <v>0</v>
      </c>
      <c r="AM36" s="267">
        <f t="shared" si="9"/>
        <v>0</v>
      </c>
      <c r="AN36" s="267">
        <f t="shared" si="9"/>
        <v>0</v>
      </c>
      <c r="AO36" s="267">
        <f t="shared" si="9"/>
        <v>0</v>
      </c>
      <c r="AP36" s="267">
        <f t="shared" si="9"/>
        <v>0</v>
      </c>
      <c r="AQ36" s="267">
        <f t="shared" si="9"/>
        <v>0</v>
      </c>
      <c r="AR36" s="267">
        <f t="shared" si="9"/>
        <v>0</v>
      </c>
      <c r="AS36" s="182">
        <f t="shared" si="7"/>
        <v>1809.3430114606658</v>
      </c>
    </row>
    <row r="37" spans="2:45" s="170" customFormat="1" x14ac:dyDescent="0.2">
      <c r="B37" s="173" t="str">
        <f>Prop2021DistTar!B37</f>
        <v>Unmetered Supplies / Public Lighting</v>
      </c>
      <c r="C37" s="283"/>
      <c r="D37" s="322">
        <v>0</v>
      </c>
      <c r="E37" s="323">
        <v>0</v>
      </c>
      <c r="F37" s="323">
        <v>0</v>
      </c>
      <c r="G37" s="323">
        <v>0</v>
      </c>
      <c r="H37" s="323">
        <v>0</v>
      </c>
      <c r="I37" s="323">
        <v>0</v>
      </c>
      <c r="J37" s="323">
        <v>0</v>
      </c>
      <c r="K37" s="323">
        <v>0</v>
      </c>
      <c r="L37" s="323">
        <v>0</v>
      </c>
      <c r="M37" s="323">
        <v>0</v>
      </c>
      <c r="N37" s="323">
        <v>0</v>
      </c>
      <c r="O37" s="323">
        <v>0</v>
      </c>
      <c r="P37" s="324">
        <v>0</v>
      </c>
      <c r="Q37" s="298"/>
      <c r="R37" s="284">
        <f>Prop2021DistTar!AF37</f>
        <v>2266.4726534753922</v>
      </c>
      <c r="S37" s="285">
        <f>Prop2021DistTar!AG37</f>
        <v>0</v>
      </c>
      <c r="T37" s="285">
        <f>Prop2021DistTar!AH37</f>
        <v>5170857.9296809472</v>
      </c>
      <c r="U37" s="285">
        <f>Prop2021DistTar!AI37</f>
        <v>13096316.869287936</v>
      </c>
      <c r="V37" s="285">
        <f>Prop2021DistTar!AJ37</f>
        <v>0</v>
      </c>
      <c r="W37" s="285">
        <f>Prop2021DistTar!AK37</f>
        <v>0</v>
      </c>
      <c r="X37" s="285">
        <f>Prop2021DistTar!AL37</f>
        <v>0</v>
      </c>
      <c r="Y37" s="285">
        <f>Prop2021DistTar!AM37</f>
        <v>0</v>
      </c>
      <c r="Z37" s="285">
        <f>Prop2021DistTar!AN37</f>
        <v>0</v>
      </c>
      <c r="AA37" s="285">
        <f>Prop2021DistTar!AO37</f>
        <v>0</v>
      </c>
      <c r="AB37" s="285">
        <f>Prop2021DistTar!AP37</f>
        <v>0</v>
      </c>
      <c r="AC37" s="285">
        <f>Prop2021DistTar!AQ37</f>
        <v>0</v>
      </c>
      <c r="AD37" s="286">
        <f>Prop2021DistTar!AR37</f>
        <v>0</v>
      </c>
      <c r="AF37" s="266">
        <f t="shared" si="5"/>
        <v>0</v>
      </c>
      <c r="AG37" s="267">
        <f t="shared" si="6"/>
        <v>0</v>
      </c>
      <c r="AH37" s="267">
        <f t="shared" si="6"/>
        <v>0</v>
      </c>
      <c r="AI37" s="267">
        <f t="shared" si="6"/>
        <v>0</v>
      </c>
      <c r="AJ37" s="267">
        <f t="shared" si="8"/>
        <v>0</v>
      </c>
      <c r="AK37" s="267">
        <f t="shared" si="8"/>
        <v>0</v>
      </c>
      <c r="AL37" s="267">
        <f t="shared" si="8"/>
        <v>0</v>
      </c>
      <c r="AM37" s="267">
        <f t="shared" si="9"/>
        <v>0</v>
      </c>
      <c r="AN37" s="267">
        <f t="shared" si="9"/>
        <v>0</v>
      </c>
      <c r="AO37" s="267">
        <f t="shared" si="9"/>
        <v>0</v>
      </c>
      <c r="AP37" s="267">
        <f t="shared" si="9"/>
        <v>0</v>
      </c>
      <c r="AQ37" s="267">
        <f t="shared" si="9"/>
        <v>0</v>
      </c>
      <c r="AR37" s="267">
        <f t="shared" si="9"/>
        <v>0</v>
      </c>
      <c r="AS37" s="182">
        <f t="shared" si="7"/>
        <v>0</v>
      </c>
    </row>
    <row r="38" spans="2:45" s="170" customFormat="1" x14ac:dyDescent="0.2">
      <c r="B38" s="173" t="str">
        <f>Prop2021DistTar!B38</f>
        <v>Large low Voltage</v>
      </c>
      <c r="C38" s="283"/>
      <c r="D38" s="322">
        <v>0</v>
      </c>
      <c r="E38" s="323">
        <v>0</v>
      </c>
      <c r="F38" s="323">
        <v>0.03</v>
      </c>
      <c r="G38" s="323">
        <v>0.03</v>
      </c>
      <c r="H38" s="323">
        <v>0</v>
      </c>
      <c r="I38" s="323">
        <v>0</v>
      </c>
      <c r="J38" s="323">
        <v>0</v>
      </c>
      <c r="K38" s="323">
        <v>0</v>
      </c>
      <c r="L38" s="323">
        <v>0</v>
      </c>
      <c r="M38" s="323">
        <v>0</v>
      </c>
      <c r="N38" s="323">
        <v>0</v>
      </c>
      <c r="O38" s="323">
        <v>0</v>
      </c>
      <c r="P38" s="324">
        <v>0</v>
      </c>
      <c r="Q38" s="298"/>
      <c r="R38" s="284">
        <f>Prop2021DistTar!AF38</f>
        <v>192.55266666666668</v>
      </c>
      <c r="S38" s="285">
        <f>Prop2021DistTar!AG38</f>
        <v>0</v>
      </c>
      <c r="T38" s="285">
        <f>Prop2021DistTar!AH38</f>
        <v>62875413.786838844</v>
      </c>
      <c r="U38" s="285">
        <f>Prop2021DistTar!AI38</f>
        <v>48397395.025305197</v>
      </c>
      <c r="V38" s="285">
        <f>Prop2021DistTar!AJ38</f>
        <v>37974.372380639827</v>
      </c>
      <c r="W38" s="285">
        <f>Prop2021DistTar!AK38</f>
        <v>0</v>
      </c>
      <c r="X38" s="285">
        <f>Prop2021DistTar!AL38</f>
        <v>0</v>
      </c>
      <c r="Y38" s="285">
        <f>Prop2021DistTar!AM38</f>
        <v>0</v>
      </c>
      <c r="Z38" s="285">
        <f>Prop2021DistTar!AN38</f>
        <v>0</v>
      </c>
      <c r="AA38" s="285">
        <f>Prop2021DistTar!AO38</f>
        <v>0</v>
      </c>
      <c r="AB38" s="285">
        <f>Prop2021DistTar!AP38</f>
        <v>0</v>
      </c>
      <c r="AC38" s="285">
        <f>Prop2021DistTar!AQ38</f>
        <v>0</v>
      </c>
      <c r="AD38" s="286">
        <f>Prop2021DistTar!AR38</f>
        <v>0</v>
      </c>
      <c r="AF38" s="266">
        <f t="shared" si="5"/>
        <v>0</v>
      </c>
      <c r="AG38" s="267">
        <f t="shared" si="6"/>
        <v>0</v>
      </c>
      <c r="AH38" s="267">
        <f t="shared" si="6"/>
        <v>18862.624136051651</v>
      </c>
      <c r="AI38" s="267">
        <f t="shared" si="6"/>
        <v>14519.218507591559</v>
      </c>
      <c r="AJ38" s="267">
        <f t="shared" si="8"/>
        <v>0</v>
      </c>
      <c r="AK38" s="267">
        <f t="shared" si="8"/>
        <v>0</v>
      </c>
      <c r="AL38" s="267">
        <f t="shared" si="8"/>
        <v>0</v>
      </c>
      <c r="AM38" s="267">
        <f t="shared" si="9"/>
        <v>0</v>
      </c>
      <c r="AN38" s="267">
        <f t="shared" si="9"/>
        <v>0</v>
      </c>
      <c r="AO38" s="267">
        <f t="shared" si="9"/>
        <v>0</v>
      </c>
      <c r="AP38" s="267">
        <f t="shared" si="9"/>
        <v>0</v>
      </c>
      <c r="AQ38" s="267">
        <f t="shared" si="9"/>
        <v>0</v>
      </c>
      <c r="AR38" s="267">
        <f t="shared" si="9"/>
        <v>0</v>
      </c>
      <c r="AS38" s="182">
        <f t="shared" si="7"/>
        <v>33381.842643643206</v>
      </c>
    </row>
    <row r="39" spans="2:45" s="170" customFormat="1" x14ac:dyDescent="0.2">
      <c r="B39" s="173" t="str">
        <f>Prop2021DistTar!B39</f>
        <v>Large low Voltage Bulk</v>
      </c>
      <c r="C39" s="283"/>
      <c r="D39" s="322">
        <v>0</v>
      </c>
      <c r="E39" s="323">
        <v>0</v>
      </c>
      <c r="F39" s="323">
        <v>0.03</v>
      </c>
      <c r="G39" s="323">
        <v>0.03</v>
      </c>
      <c r="H39" s="323">
        <v>0</v>
      </c>
      <c r="I39" s="323">
        <v>0</v>
      </c>
      <c r="J39" s="323">
        <v>0</v>
      </c>
      <c r="K39" s="323">
        <v>0</v>
      </c>
      <c r="L39" s="323">
        <v>0</v>
      </c>
      <c r="M39" s="323">
        <v>0</v>
      </c>
      <c r="N39" s="323">
        <v>0</v>
      </c>
      <c r="O39" s="323">
        <v>0</v>
      </c>
      <c r="P39" s="324">
        <v>0</v>
      </c>
      <c r="Q39" s="298"/>
      <c r="R39" s="284">
        <f>Prop2021DistTar!AF39</f>
        <v>898.58119172207159</v>
      </c>
      <c r="S39" s="285">
        <f>Prop2021DistTar!AG39</f>
        <v>0</v>
      </c>
      <c r="T39" s="285">
        <f>Prop2021DistTar!AH39</f>
        <v>549663039.14554298</v>
      </c>
      <c r="U39" s="285">
        <f>Prop2021DistTar!AI39</f>
        <v>422246368.31217599</v>
      </c>
      <c r="V39" s="285">
        <f>Prop2021DistTar!AJ39</f>
        <v>332385.51095547102</v>
      </c>
      <c r="W39" s="285">
        <f>Prop2021DistTar!AK39</f>
        <v>0</v>
      </c>
      <c r="X39" s="285">
        <f>Prop2021DistTar!AL39</f>
        <v>0</v>
      </c>
      <c r="Y39" s="285">
        <f>Prop2021DistTar!AM39</f>
        <v>0</v>
      </c>
      <c r="Z39" s="285">
        <f>Prop2021DistTar!AN39</f>
        <v>0</v>
      </c>
      <c r="AA39" s="285">
        <f>Prop2021DistTar!AO39</f>
        <v>0</v>
      </c>
      <c r="AB39" s="285">
        <f>Prop2021DistTar!AP39</f>
        <v>0</v>
      </c>
      <c r="AC39" s="285">
        <f>Prop2021DistTar!AQ39</f>
        <v>0</v>
      </c>
      <c r="AD39" s="286">
        <f>Prop2021DistTar!AR39</f>
        <v>0</v>
      </c>
      <c r="AF39" s="266">
        <f t="shared" si="5"/>
        <v>0</v>
      </c>
      <c r="AG39" s="267">
        <f t="shared" ref="AG39:AI65" si="18">E39/100*S39</f>
        <v>0</v>
      </c>
      <c r="AH39" s="267">
        <f t="shared" si="18"/>
        <v>164898.91174366287</v>
      </c>
      <c r="AI39" s="267">
        <f t="shared" si="18"/>
        <v>126673.91049365279</v>
      </c>
      <c r="AJ39" s="267">
        <f t="shared" si="8"/>
        <v>0</v>
      </c>
      <c r="AK39" s="267">
        <f t="shared" si="8"/>
        <v>0</v>
      </c>
      <c r="AL39" s="267">
        <f t="shared" si="8"/>
        <v>0</v>
      </c>
      <c r="AM39" s="267">
        <f t="shared" si="9"/>
        <v>0</v>
      </c>
      <c r="AN39" s="267">
        <f t="shared" si="9"/>
        <v>0</v>
      </c>
      <c r="AO39" s="267">
        <f t="shared" si="9"/>
        <v>0</v>
      </c>
      <c r="AP39" s="267">
        <f t="shared" si="9"/>
        <v>0</v>
      </c>
      <c r="AQ39" s="267">
        <f t="shared" si="9"/>
        <v>0</v>
      </c>
      <c r="AR39" s="267">
        <f t="shared" si="9"/>
        <v>0</v>
      </c>
      <c r="AS39" s="182">
        <f t="shared" si="7"/>
        <v>291572.82223731565</v>
      </c>
    </row>
    <row r="40" spans="2:45" s="170" customFormat="1" x14ac:dyDescent="0.2">
      <c r="B40" s="173" t="str">
        <f>Prop2021DistTar!B40</f>
        <v>High Voltage</v>
      </c>
      <c r="C40" s="283"/>
      <c r="D40" s="322">
        <v>0</v>
      </c>
      <c r="E40" s="323">
        <v>0</v>
      </c>
      <c r="F40" s="323">
        <v>0</v>
      </c>
      <c r="G40" s="323">
        <v>0</v>
      </c>
      <c r="H40" s="323">
        <v>0</v>
      </c>
      <c r="I40" s="323">
        <v>0</v>
      </c>
      <c r="J40" s="323">
        <v>0</v>
      </c>
      <c r="K40" s="323">
        <v>0</v>
      </c>
      <c r="L40" s="323">
        <v>0</v>
      </c>
      <c r="M40" s="323">
        <v>0</v>
      </c>
      <c r="N40" s="323">
        <v>0</v>
      </c>
      <c r="O40" s="323">
        <v>0</v>
      </c>
      <c r="P40" s="324">
        <v>0</v>
      </c>
      <c r="Q40" s="298"/>
      <c r="R40" s="284">
        <f>Prop2021DistTar!AF40</f>
        <v>47.588151317100483</v>
      </c>
      <c r="S40" s="285">
        <f>Prop2021DistTar!AG40</f>
        <v>0</v>
      </c>
      <c r="T40" s="285">
        <f>Prop2021DistTar!AH40</f>
        <v>174204228.29817671</v>
      </c>
      <c r="U40" s="285">
        <f>Prop2021DistTar!AI40</f>
        <v>163031402.4510684</v>
      </c>
      <c r="V40" s="285">
        <f>Prop2021DistTar!AJ40</f>
        <v>107521.34956600291</v>
      </c>
      <c r="W40" s="285">
        <f>Prop2021DistTar!AK40</f>
        <v>0</v>
      </c>
      <c r="X40" s="285">
        <f>Prop2021DistTar!AL40</f>
        <v>0</v>
      </c>
      <c r="Y40" s="285">
        <f>Prop2021DistTar!AM40</f>
        <v>0</v>
      </c>
      <c r="Z40" s="285">
        <f>Prop2021DistTar!AN40</f>
        <v>0</v>
      </c>
      <c r="AA40" s="285">
        <f>Prop2021DistTar!AO40</f>
        <v>0</v>
      </c>
      <c r="AB40" s="285">
        <f>Prop2021DistTar!AP40</f>
        <v>0</v>
      </c>
      <c r="AC40" s="285">
        <f>Prop2021DistTar!AQ40</f>
        <v>0</v>
      </c>
      <c r="AD40" s="286">
        <f>Prop2021DistTar!AR40</f>
        <v>0</v>
      </c>
      <c r="AF40" s="266">
        <f t="shared" si="5"/>
        <v>0</v>
      </c>
      <c r="AG40" s="267">
        <f t="shared" si="18"/>
        <v>0</v>
      </c>
      <c r="AH40" s="267">
        <f t="shared" si="18"/>
        <v>0</v>
      </c>
      <c r="AI40" s="267">
        <f t="shared" si="18"/>
        <v>0</v>
      </c>
      <c r="AJ40" s="267">
        <f t="shared" si="8"/>
        <v>0</v>
      </c>
      <c r="AK40" s="267">
        <f t="shared" si="8"/>
        <v>0</v>
      </c>
      <c r="AL40" s="267">
        <f t="shared" si="8"/>
        <v>0</v>
      </c>
      <c r="AM40" s="267">
        <f t="shared" si="9"/>
        <v>0</v>
      </c>
      <c r="AN40" s="267">
        <f t="shared" si="9"/>
        <v>0</v>
      </c>
      <c r="AO40" s="267">
        <f t="shared" si="9"/>
        <v>0</v>
      </c>
      <c r="AP40" s="267">
        <f t="shared" si="9"/>
        <v>0</v>
      </c>
      <c r="AQ40" s="267">
        <f t="shared" si="9"/>
        <v>0</v>
      </c>
      <c r="AR40" s="267">
        <f t="shared" si="9"/>
        <v>0</v>
      </c>
      <c r="AS40" s="182">
        <f t="shared" si="7"/>
        <v>0</v>
      </c>
    </row>
    <row r="41" spans="2:45" s="170" customFormat="1" x14ac:dyDescent="0.2">
      <c r="B41" s="173" t="str">
        <f>Prop2021DistTar!B41</f>
        <v>Subtransmission</v>
      </c>
      <c r="C41" s="283"/>
      <c r="D41" s="322">
        <v>0</v>
      </c>
      <c r="E41" s="323">
        <v>0</v>
      </c>
      <c r="F41" s="323">
        <v>0</v>
      </c>
      <c r="G41" s="323">
        <v>0</v>
      </c>
      <c r="H41" s="323">
        <v>0</v>
      </c>
      <c r="I41" s="323">
        <v>0</v>
      </c>
      <c r="J41" s="323">
        <v>0</v>
      </c>
      <c r="K41" s="323">
        <v>0</v>
      </c>
      <c r="L41" s="323">
        <v>0</v>
      </c>
      <c r="M41" s="323">
        <v>0</v>
      </c>
      <c r="N41" s="323">
        <v>0</v>
      </c>
      <c r="O41" s="323">
        <v>0</v>
      </c>
      <c r="P41" s="324">
        <v>0</v>
      </c>
      <c r="Q41" s="298"/>
      <c r="R41" s="284">
        <f>Prop2021DistTar!AF41</f>
        <v>2.9958713055632185</v>
      </c>
      <c r="S41" s="285">
        <f>Prop2021DistTar!AG41</f>
        <v>0</v>
      </c>
      <c r="T41" s="285">
        <f>Prop2021DistTar!AH41</f>
        <v>30663553.76391124</v>
      </c>
      <c r="U41" s="285">
        <f>Prop2021DistTar!AI41</f>
        <v>18200261.692845277</v>
      </c>
      <c r="V41" s="285">
        <f>Prop2021DistTar!AJ41</f>
        <v>18743.849130325598</v>
      </c>
      <c r="W41" s="285">
        <f>Prop2021DistTar!AK41</f>
        <v>0</v>
      </c>
      <c r="X41" s="285">
        <f>Prop2021DistTar!AL41</f>
        <v>0</v>
      </c>
      <c r="Y41" s="285">
        <f>Prop2021DistTar!AM41</f>
        <v>0</v>
      </c>
      <c r="Z41" s="285">
        <f>Prop2021DistTar!AN41</f>
        <v>0</v>
      </c>
      <c r="AA41" s="285">
        <f>Prop2021DistTar!AO41</f>
        <v>0</v>
      </c>
      <c r="AB41" s="285">
        <f>Prop2021DistTar!AP41</f>
        <v>0</v>
      </c>
      <c r="AC41" s="285">
        <f>Prop2021DistTar!AQ41</f>
        <v>0</v>
      </c>
      <c r="AD41" s="286">
        <f>Prop2021DistTar!AR41</f>
        <v>0</v>
      </c>
      <c r="AF41" s="266">
        <f t="shared" si="5"/>
        <v>0</v>
      </c>
      <c r="AG41" s="267">
        <f t="shared" si="18"/>
        <v>0</v>
      </c>
      <c r="AH41" s="267">
        <f t="shared" si="18"/>
        <v>0</v>
      </c>
      <c r="AI41" s="267">
        <f t="shared" si="18"/>
        <v>0</v>
      </c>
      <c r="AJ41" s="267">
        <f t="shared" si="8"/>
        <v>0</v>
      </c>
      <c r="AK41" s="267">
        <f t="shared" si="8"/>
        <v>0</v>
      </c>
      <c r="AL41" s="267">
        <f t="shared" si="8"/>
        <v>0</v>
      </c>
      <c r="AM41" s="267">
        <f t="shared" si="9"/>
        <v>0</v>
      </c>
      <c r="AN41" s="267">
        <f t="shared" si="9"/>
        <v>0</v>
      </c>
      <c r="AO41" s="267">
        <f t="shared" si="9"/>
        <v>0</v>
      </c>
      <c r="AP41" s="267">
        <f t="shared" si="9"/>
        <v>0</v>
      </c>
      <c r="AQ41" s="267">
        <f t="shared" si="9"/>
        <v>0</v>
      </c>
      <c r="AR41" s="267">
        <f t="shared" si="9"/>
        <v>0</v>
      </c>
      <c r="AS41" s="182">
        <f t="shared" si="7"/>
        <v>0</v>
      </c>
    </row>
    <row r="42" spans="2:45" s="170" customFormat="1" x14ac:dyDescent="0.2">
      <c r="B42" s="173"/>
      <c r="C42" s="283"/>
      <c r="D42" s="322"/>
      <c r="E42" s="323"/>
      <c r="F42" s="323"/>
      <c r="G42" s="323"/>
      <c r="H42" s="323"/>
      <c r="I42" s="323"/>
      <c r="J42" s="323"/>
      <c r="K42" s="323"/>
      <c r="L42" s="323"/>
      <c r="M42" s="323"/>
      <c r="N42" s="323"/>
      <c r="O42" s="323"/>
      <c r="P42" s="324"/>
      <c r="Q42" s="298"/>
      <c r="R42" s="284">
        <f>Prop2021DistTar!AF42</f>
        <v>0</v>
      </c>
      <c r="S42" s="285">
        <f>Prop2021DistTar!AG42</f>
        <v>0</v>
      </c>
      <c r="T42" s="285">
        <f>Prop2021DistTar!AH42</f>
        <v>0</v>
      </c>
      <c r="U42" s="285">
        <f>Prop2021DistTar!AI42</f>
        <v>0</v>
      </c>
      <c r="V42" s="285">
        <f>Prop2021DistTar!AJ42</f>
        <v>0</v>
      </c>
      <c r="W42" s="285">
        <f>Prop2021DistTar!AK42</f>
        <v>0</v>
      </c>
      <c r="X42" s="285">
        <f>Prop2021DistTar!AL42</f>
        <v>0</v>
      </c>
      <c r="Y42" s="285">
        <f>Prop2021DistTar!AM42</f>
        <v>0</v>
      </c>
      <c r="Z42" s="285">
        <f>Prop2021DistTar!AN42</f>
        <v>0</v>
      </c>
      <c r="AA42" s="285">
        <f>Prop2021DistTar!AO42</f>
        <v>0</v>
      </c>
      <c r="AB42" s="285">
        <f>Prop2021DistTar!AP42</f>
        <v>0</v>
      </c>
      <c r="AC42" s="285">
        <f>Prop2021DistTar!AQ42</f>
        <v>0</v>
      </c>
      <c r="AD42" s="286">
        <f>Prop2021DistTar!AR42</f>
        <v>0</v>
      </c>
      <c r="AF42" s="266">
        <f t="shared" si="5"/>
        <v>0</v>
      </c>
      <c r="AG42" s="267">
        <f t="shared" si="18"/>
        <v>0</v>
      </c>
      <c r="AH42" s="267">
        <f t="shared" si="18"/>
        <v>0</v>
      </c>
      <c r="AI42" s="267">
        <f t="shared" si="18"/>
        <v>0</v>
      </c>
      <c r="AJ42" s="267">
        <f t="shared" si="8"/>
        <v>0</v>
      </c>
      <c r="AK42" s="267">
        <f t="shared" si="8"/>
        <v>0</v>
      </c>
      <c r="AL42" s="267">
        <f t="shared" si="8"/>
        <v>0</v>
      </c>
      <c r="AM42" s="267">
        <f t="shared" si="9"/>
        <v>0</v>
      </c>
      <c r="AN42" s="267">
        <f t="shared" si="9"/>
        <v>0</v>
      </c>
      <c r="AO42" s="267">
        <f t="shared" si="9"/>
        <v>0</v>
      </c>
      <c r="AP42" s="267">
        <f t="shared" si="9"/>
        <v>0</v>
      </c>
      <c r="AQ42" s="267">
        <f t="shared" si="9"/>
        <v>0</v>
      </c>
      <c r="AR42" s="267">
        <f t="shared" si="9"/>
        <v>0</v>
      </c>
      <c r="AS42" s="182">
        <f t="shared" si="7"/>
        <v>0</v>
      </c>
    </row>
    <row r="43" spans="2:45" s="170" customFormat="1" x14ac:dyDescent="0.2">
      <c r="B43" s="173"/>
      <c r="C43" s="283"/>
      <c r="D43" s="322"/>
      <c r="E43" s="323"/>
      <c r="F43" s="323"/>
      <c r="G43" s="323"/>
      <c r="H43" s="323"/>
      <c r="I43" s="323"/>
      <c r="J43" s="323"/>
      <c r="K43" s="323"/>
      <c r="L43" s="323"/>
      <c r="M43" s="323"/>
      <c r="N43" s="323"/>
      <c r="O43" s="323"/>
      <c r="P43" s="324"/>
      <c r="Q43" s="298"/>
      <c r="R43" s="284">
        <f>Prop2021DistTar!AF43</f>
        <v>0</v>
      </c>
      <c r="S43" s="285">
        <f>Prop2021DistTar!AG43</f>
        <v>0</v>
      </c>
      <c r="T43" s="285">
        <f>Prop2021DistTar!AH43</f>
        <v>0</v>
      </c>
      <c r="U43" s="285">
        <f>Prop2021DistTar!AI43</f>
        <v>0</v>
      </c>
      <c r="V43" s="285">
        <f>Prop2021DistTar!AJ43</f>
        <v>0</v>
      </c>
      <c r="W43" s="285">
        <f>Prop2021DistTar!AK43</f>
        <v>0</v>
      </c>
      <c r="X43" s="285">
        <f>Prop2021DistTar!AL43</f>
        <v>0</v>
      </c>
      <c r="Y43" s="285">
        <f>Prop2021DistTar!AM43</f>
        <v>0</v>
      </c>
      <c r="Z43" s="285">
        <f>Prop2021DistTar!AN43</f>
        <v>0</v>
      </c>
      <c r="AA43" s="285">
        <f>Prop2021DistTar!AO43</f>
        <v>0</v>
      </c>
      <c r="AB43" s="285">
        <f>Prop2021DistTar!AP43</f>
        <v>0</v>
      </c>
      <c r="AC43" s="285">
        <f>Prop2021DistTar!AQ43</f>
        <v>0</v>
      </c>
      <c r="AD43" s="286">
        <f>Prop2021DistTar!AR43</f>
        <v>0</v>
      </c>
      <c r="AF43" s="266">
        <f t="shared" si="5"/>
        <v>0</v>
      </c>
      <c r="AG43" s="267">
        <f t="shared" si="18"/>
        <v>0</v>
      </c>
      <c r="AH43" s="267">
        <f t="shared" si="18"/>
        <v>0</v>
      </c>
      <c r="AI43" s="267">
        <f t="shared" si="18"/>
        <v>0</v>
      </c>
      <c r="AJ43" s="267">
        <f t="shared" si="8"/>
        <v>0</v>
      </c>
      <c r="AK43" s="267">
        <f t="shared" si="8"/>
        <v>0</v>
      </c>
      <c r="AL43" s="267">
        <f t="shared" si="8"/>
        <v>0</v>
      </c>
      <c r="AM43" s="267">
        <f t="shared" si="9"/>
        <v>0</v>
      </c>
      <c r="AN43" s="267">
        <f t="shared" si="9"/>
        <v>0</v>
      </c>
      <c r="AO43" s="267">
        <f t="shared" si="9"/>
        <v>0</v>
      </c>
      <c r="AP43" s="267">
        <f t="shared" si="9"/>
        <v>0</v>
      </c>
      <c r="AQ43" s="267">
        <f t="shared" si="9"/>
        <v>0</v>
      </c>
      <c r="AR43" s="267">
        <f t="shared" si="9"/>
        <v>0</v>
      </c>
      <c r="AS43" s="182">
        <f t="shared" si="7"/>
        <v>0</v>
      </c>
    </row>
    <row r="44" spans="2:45" s="170" customFormat="1" x14ac:dyDescent="0.2">
      <c r="B44" s="173"/>
      <c r="C44" s="283"/>
      <c r="D44" s="322"/>
      <c r="E44" s="323"/>
      <c r="F44" s="323"/>
      <c r="G44" s="323"/>
      <c r="H44" s="323"/>
      <c r="I44" s="323"/>
      <c r="J44" s="323"/>
      <c r="K44" s="323"/>
      <c r="L44" s="323"/>
      <c r="M44" s="323"/>
      <c r="N44" s="323"/>
      <c r="O44" s="323"/>
      <c r="P44" s="324"/>
      <c r="Q44" s="298"/>
      <c r="R44" s="284">
        <f>Prop2021DistTar!AF44</f>
        <v>0</v>
      </c>
      <c r="S44" s="285">
        <f>Prop2021DistTar!AG44</f>
        <v>0</v>
      </c>
      <c r="T44" s="285">
        <f>Prop2021DistTar!AH44</f>
        <v>0</v>
      </c>
      <c r="U44" s="285">
        <f>Prop2021DistTar!AI44</f>
        <v>0</v>
      </c>
      <c r="V44" s="285">
        <f>Prop2021DistTar!AJ44</f>
        <v>0</v>
      </c>
      <c r="W44" s="285">
        <f>Prop2021DistTar!AK44</f>
        <v>0</v>
      </c>
      <c r="X44" s="285">
        <f>Prop2021DistTar!AL44</f>
        <v>0</v>
      </c>
      <c r="Y44" s="285">
        <f>Prop2021DistTar!AM44</f>
        <v>0</v>
      </c>
      <c r="Z44" s="285">
        <f>Prop2021DistTar!AN44</f>
        <v>0</v>
      </c>
      <c r="AA44" s="285">
        <f>Prop2021DistTar!AO44</f>
        <v>0</v>
      </c>
      <c r="AB44" s="285">
        <f>Prop2021DistTar!AP44</f>
        <v>0</v>
      </c>
      <c r="AC44" s="285">
        <f>Prop2021DistTar!AQ44</f>
        <v>0</v>
      </c>
      <c r="AD44" s="286">
        <f>Prop2021DistTar!AR44</f>
        <v>0</v>
      </c>
      <c r="AF44" s="266">
        <f t="shared" si="5"/>
        <v>0</v>
      </c>
      <c r="AG44" s="267">
        <f t="shared" si="18"/>
        <v>0</v>
      </c>
      <c r="AH44" s="267">
        <f t="shared" si="18"/>
        <v>0</v>
      </c>
      <c r="AI44" s="267">
        <f t="shared" si="18"/>
        <v>0</v>
      </c>
      <c r="AJ44" s="267">
        <f t="shared" si="8"/>
        <v>0</v>
      </c>
      <c r="AK44" s="267">
        <f t="shared" si="8"/>
        <v>0</v>
      </c>
      <c r="AL44" s="267">
        <f t="shared" si="8"/>
        <v>0</v>
      </c>
      <c r="AM44" s="267">
        <f t="shared" si="9"/>
        <v>0</v>
      </c>
      <c r="AN44" s="267">
        <f t="shared" si="9"/>
        <v>0</v>
      </c>
      <c r="AO44" s="267">
        <f t="shared" si="9"/>
        <v>0</v>
      </c>
      <c r="AP44" s="267">
        <f t="shared" si="9"/>
        <v>0</v>
      </c>
      <c r="AQ44" s="267">
        <f t="shared" si="9"/>
        <v>0</v>
      </c>
      <c r="AR44" s="267">
        <f t="shared" si="9"/>
        <v>0</v>
      </c>
      <c r="AS44" s="182">
        <f t="shared" si="7"/>
        <v>0</v>
      </c>
    </row>
    <row r="45" spans="2:45" s="170" customFormat="1" x14ac:dyDescent="0.2">
      <c r="B45" s="173"/>
      <c r="C45" s="283"/>
      <c r="D45" s="322"/>
      <c r="E45" s="323"/>
      <c r="F45" s="323"/>
      <c r="G45" s="323"/>
      <c r="H45" s="323"/>
      <c r="I45" s="323"/>
      <c r="J45" s="323"/>
      <c r="K45" s="323"/>
      <c r="L45" s="323"/>
      <c r="M45" s="323"/>
      <c r="N45" s="323"/>
      <c r="O45" s="323"/>
      <c r="P45" s="324"/>
      <c r="Q45" s="298"/>
      <c r="R45" s="284">
        <f>Prop2021DistTar!AF45</f>
        <v>0</v>
      </c>
      <c r="S45" s="285">
        <f>Prop2021DistTar!AG45</f>
        <v>0</v>
      </c>
      <c r="T45" s="285">
        <f>Prop2021DistTar!AH45</f>
        <v>0</v>
      </c>
      <c r="U45" s="285">
        <f>Prop2021DistTar!AI45</f>
        <v>0</v>
      </c>
      <c r="V45" s="285">
        <f>Prop2021DistTar!AJ45</f>
        <v>0</v>
      </c>
      <c r="W45" s="285">
        <f>Prop2021DistTar!AK45</f>
        <v>0</v>
      </c>
      <c r="X45" s="285">
        <f>Prop2021DistTar!AL45</f>
        <v>0</v>
      </c>
      <c r="Y45" s="285">
        <f>Prop2021DistTar!AM45</f>
        <v>0</v>
      </c>
      <c r="Z45" s="285">
        <f>Prop2021DistTar!AN45</f>
        <v>0</v>
      </c>
      <c r="AA45" s="285">
        <f>Prop2021DistTar!AO45</f>
        <v>0</v>
      </c>
      <c r="AB45" s="285">
        <f>Prop2021DistTar!AP45</f>
        <v>0</v>
      </c>
      <c r="AC45" s="285">
        <f>Prop2021DistTar!AQ45</f>
        <v>0</v>
      </c>
      <c r="AD45" s="286">
        <f>Prop2021DistTar!AR45</f>
        <v>0</v>
      </c>
      <c r="AF45" s="266">
        <f t="shared" si="5"/>
        <v>0</v>
      </c>
      <c r="AG45" s="267">
        <f t="shared" si="18"/>
        <v>0</v>
      </c>
      <c r="AH45" s="267">
        <f t="shared" si="18"/>
        <v>0</v>
      </c>
      <c r="AI45" s="267">
        <f t="shared" si="18"/>
        <v>0</v>
      </c>
      <c r="AJ45" s="267">
        <f t="shared" si="8"/>
        <v>0</v>
      </c>
      <c r="AK45" s="267">
        <f t="shared" si="8"/>
        <v>0</v>
      </c>
      <c r="AL45" s="267">
        <f t="shared" si="8"/>
        <v>0</v>
      </c>
      <c r="AM45" s="267">
        <f t="shared" si="9"/>
        <v>0</v>
      </c>
      <c r="AN45" s="267">
        <f t="shared" si="9"/>
        <v>0</v>
      </c>
      <c r="AO45" s="267">
        <f t="shared" si="9"/>
        <v>0</v>
      </c>
      <c r="AP45" s="267">
        <f t="shared" si="9"/>
        <v>0</v>
      </c>
      <c r="AQ45" s="267">
        <f t="shared" si="9"/>
        <v>0</v>
      </c>
      <c r="AR45" s="267">
        <f t="shared" si="9"/>
        <v>0</v>
      </c>
      <c r="AS45" s="182">
        <f t="shared" si="7"/>
        <v>0</v>
      </c>
    </row>
    <row r="46" spans="2:45" s="170" customFormat="1" x14ac:dyDescent="0.2">
      <c r="B46" s="173"/>
      <c r="C46" s="283"/>
      <c r="D46" s="322"/>
      <c r="E46" s="323"/>
      <c r="F46" s="323"/>
      <c r="G46" s="323"/>
      <c r="H46" s="323"/>
      <c r="I46" s="323"/>
      <c r="J46" s="323"/>
      <c r="K46" s="323"/>
      <c r="L46" s="323"/>
      <c r="M46" s="323"/>
      <c r="N46" s="323"/>
      <c r="O46" s="323"/>
      <c r="P46" s="324"/>
      <c r="Q46" s="298"/>
      <c r="R46" s="284">
        <f>Prop2021DistTar!AF46</f>
        <v>0</v>
      </c>
      <c r="S46" s="285">
        <f>Prop2021DistTar!AG46</f>
        <v>0</v>
      </c>
      <c r="T46" s="285">
        <f>Prop2021DistTar!AH46</f>
        <v>0</v>
      </c>
      <c r="U46" s="285">
        <f>Prop2021DistTar!AI46</f>
        <v>0</v>
      </c>
      <c r="V46" s="285">
        <f>Prop2021DistTar!AJ46</f>
        <v>0</v>
      </c>
      <c r="W46" s="285">
        <f>Prop2021DistTar!AK46</f>
        <v>0</v>
      </c>
      <c r="X46" s="285">
        <f>Prop2021DistTar!AL46</f>
        <v>0</v>
      </c>
      <c r="Y46" s="285">
        <f>Prop2021DistTar!AM46</f>
        <v>0</v>
      </c>
      <c r="Z46" s="285">
        <f>Prop2021DistTar!AN46</f>
        <v>0</v>
      </c>
      <c r="AA46" s="285">
        <f>Prop2021DistTar!AO46</f>
        <v>0</v>
      </c>
      <c r="AB46" s="285">
        <f>Prop2021DistTar!AP46</f>
        <v>0</v>
      </c>
      <c r="AC46" s="285">
        <f>Prop2021DistTar!AQ46</f>
        <v>0</v>
      </c>
      <c r="AD46" s="286">
        <f>Prop2021DistTar!AR46</f>
        <v>0</v>
      </c>
      <c r="AF46" s="266">
        <f t="shared" si="5"/>
        <v>0</v>
      </c>
      <c r="AG46" s="267">
        <f t="shared" si="18"/>
        <v>0</v>
      </c>
      <c r="AH46" s="267">
        <f t="shared" si="18"/>
        <v>0</v>
      </c>
      <c r="AI46" s="267">
        <f t="shared" si="18"/>
        <v>0</v>
      </c>
      <c r="AJ46" s="267">
        <f t="shared" si="8"/>
        <v>0</v>
      </c>
      <c r="AK46" s="267">
        <f t="shared" si="8"/>
        <v>0</v>
      </c>
      <c r="AL46" s="267">
        <f t="shared" si="8"/>
        <v>0</v>
      </c>
      <c r="AM46" s="267">
        <f t="shared" si="9"/>
        <v>0</v>
      </c>
      <c r="AN46" s="267">
        <f t="shared" si="9"/>
        <v>0</v>
      </c>
      <c r="AO46" s="267">
        <f t="shared" si="9"/>
        <v>0</v>
      </c>
      <c r="AP46" s="267">
        <f t="shared" si="9"/>
        <v>0</v>
      </c>
      <c r="AQ46" s="267">
        <f t="shared" si="9"/>
        <v>0</v>
      </c>
      <c r="AR46" s="267">
        <f t="shared" si="9"/>
        <v>0</v>
      </c>
      <c r="AS46" s="182">
        <f t="shared" si="7"/>
        <v>0</v>
      </c>
    </row>
    <row r="47" spans="2:45" s="170" customFormat="1" x14ac:dyDescent="0.2">
      <c r="B47" s="173"/>
      <c r="C47" s="283"/>
      <c r="D47" s="322"/>
      <c r="E47" s="323"/>
      <c r="F47" s="323"/>
      <c r="G47" s="323"/>
      <c r="H47" s="323"/>
      <c r="I47" s="323"/>
      <c r="J47" s="323"/>
      <c r="K47" s="323"/>
      <c r="L47" s="323"/>
      <c r="M47" s="323"/>
      <c r="N47" s="323"/>
      <c r="O47" s="323"/>
      <c r="P47" s="324"/>
      <c r="Q47" s="298"/>
      <c r="R47" s="284">
        <f>Prop2021DistTar!AF47</f>
        <v>0</v>
      </c>
      <c r="S47" s="285">
        <f>Prop2021DistTar!AG47</f>
        <v>0</v>
      </c>
      <c r="T47" s="285">
        <f>Prop2021DistTar!AH47</f>
        <v>0</v>
      </c>
      <c r="U47" s="285">
        <f>Prop2021DistTar!AI47</f>
        <v>0</v>
      </c>
      <c r="V47" s="285">
        <f>Prop2021DistTar!AJ47</f>
        <v>0</v>
      </c>
      <c r="W47" s="285">
        <f>Prop2021DistTar!AK47</f>
        <v>0</v>
      </c>
      <c r="X47" s="285">
        <f>Prop2021DistTar!AL47</f>
        <v>0</v>
      </c>
      <c r="Y47" s="285">
        <f>Prop2021DistTar!AM47</f>
        <v>0</v>
      </c>
      <c r="Z47" s="285">
        <f>Prop2021DistTar!AN47</f>
        <v>0</v>
      </c>
      <c r="AA47" s="285">
        <f>Prop2021DistTar!AO47</f>
        <v>0</v>
      </c>
      <c r="AB47" s="285">
        <f>Prop2021DistTar!AP47</f>
        <v>0</v>
      </c>
      <c r="AC47" s="285">
        <f>Prop2021DistTar!AQ47</f>
        <v>0</v>
      </c>
      <c r="AD47" s="286">
        <f>Prop2021DistTar!AR47</f>
        <v>0</v>
      </c>
      <c r="AF47" s="266">
        <f t="shared" si="5"/>
        <v>0</v>
      </c>
      <c r="AG47" s="267">
        <f t="shared" si="18"/>
        <v>0</v>
      </c>
      <c r="AH47" s="267">
        <f t="shared" si="18"/>
        <v>0</v>
      </c>
      <c r="AI47" s="267">
        <f t="shared" si="18"/>
        <v>0</v>
      </c>
      <c r="AJ47" s="267">
        <f t="shared" si="8"/>
        <v>0</v>
      </c>
      <c r="AK47" s="267">
        <f t="shared" si="8"/>
        <v>0</v>
      </c>
      <c r="AL47" s="267">
        <f t="shared" si="8"/>
        <v>0</v>
      </c>
      <c r="AM47" s="267">
        <f t="shared" si="9"/>
        <v>0</v>
      </c>
      <c r="AN47" s="267">
        <f t="shared" si="9"/>
        <v>0</v>
      </c>
      <c r="AO47" s="267">
        <f t="shared" si="9"/>
        <v>0</v>
      </c>
      <c r="AP47" s="267">
        <f t="shared" si="9"/>
        <v>0</v>
      </c>
      <c r="AQ47" s="267">
        <f t="shared" si="9"/>
        <v>0</v>
      </c>
      <c r="AR47" s="267">
        <f t="shared" si="9"/>
        <v>0</v>
      </c>
      <c r="AS47" s="182">
        <f t="shared" si="7"/>
        <v>0</v>
      </c>
    </row>
    <row r="48" spans="2:45" s="170" customFormat="1" x14ac:dyDescent="0.2">
      <c r="B48" s="173"/>
      <c r="C48" s="283"/>
      <c r="D48" s="322"/>
      <c r="E48" s="323"/>
      <c r="F48" s="323"/>
      <c r="G48" s="323"/>
      <c r="H48" s="323"/>
      <c r="I48" s="323"/>
      <c r="J48" s="323"/>
      <c r="K48" s="323"/>
      <c r="L48" s="323"/>
      <c r="M48" s="323"/>
      <c r="N48" s="323"/>
      <c r="O48" s="323"/>
      <c r="P48" s="324"/>
      <c r="Q48" s="298"/>
      <c r="R48" s="284">
        <f>Prop2021DistTar!AF48</f>
        <v>0</v>
      </c>
      <c r="S48" s="285">
        <f>Prop2021DistTar!AG48</f>
        <v>0</v>
      </c>
      <c r="T48" s="285">
        <f>Prop2021DistTar!AH48</f>
        <v>0</v>
      </c>
      <c r="U48" s="285">
        <f>Prop2021DistTar!AI48</f>
        <v>0</v>
      </c>
      <c r="V48" s="285">
        <f>Prop2021DistTar!AJ48</f>
        <v>0</v>
      </c>
      <c r="W48" s="285">
        <f>Prop2021DistTar!AK48</f>
        <v>0</v>
      </c>
      <c r="X48" s="285">
        <f>Prop2021DistTar!AL48</f>
        <v>0</v>
      </c>
      <c r="Y48" s="285">
        <f>Prop2021DistTar!AM48</f>
        <v>0</v>
      </c>
      <c r="Z48" s="285">
        <f>Prop2021DistTar!AN48</f>
        <v>0</v>
      </c>
      <c r="AA48" s="285">
        <f>Prop2021DistTar!AO48</f>
        <v>0</v>
      </c>
      <c r="AB48" s="285">
        <f>Prop2021DistTar!AP48</f>
        <v>0</v>
      </c>
      <c r="AC48" s="285">
        <f>Prop2021DistTar!AQ48</f>
        <v>0</v>
      </c>
      <c r="AD48" s="286">
        <f>Prop2021DistTar!AR48</f>
        <v>0</v>
      </c>
      <c r="AF48" s="266">
        <f t="shared" si="5"/>
        <v>0</v>
      </c>
      <c r="AG48" s="267">
        <f t="shared" si="18"/>
        <v>0</v>
      </c>
      <c r="AH48" s="267">
        <f t="shared" si="18"/>
        <v>0</v>
      </c>
      <c r="AI48" s="267">
        <f t="shared" si="18"/>
        <v>0</v>
      </c>
      <c r="AJ48" s="267">
        <f t="shared" si="8"/>
        <v>0</v>
      </c>
      <c r="AK48" s="267">
        <f t="shared" si="8"/>
        <v>0</v>
      </c>
      <c r="AL48" s="267">
        <f t="shared" si="8"/>
        <v>0</v>
      </c>
      <c r="AM48" s="267">
        <f t="shared" si="9"/>
        <v>0</v>
      </c>
      <c r="AN48" s="267">
        <f t="shared" si="9"/>
        <v>0</v>
      </c>
      <c r="AO48" s="267">
        <f t="shared" si="9"/>
        <v>0</v>
      </c>
      <c r="AP48" s="267">
        <f t="shared" si="9"/>
        <v>0</v>
      </c>
      <c r="AQ48" s="267">
        <f t="shared" si="9"/>
        <v>0</v>
      </c>
      <c r="AR48" s="267">
        <f t="shared" si="9"/>
        <v>0</v>
      </c>
      <c r="AS48" s="182">
        <f t="shared" si="7"/>
        <v>0</v>
      </c>
    </row>
    <row r="49" spans="2:45" s="170" customFormat="1" x14ac:dyDescent="0.2">
      <c r="B49" s="173"/>
      <c r="C49" s="283"/>
      <c r="D49" s="322"/>
      <c r="E49" s="323"/>
      <c r="F49" s="323"/>
      <c r="G49" s="323"/>
      <c r="H49" s="323"/>
      <c r="I49" s="323"/>
      <c r="J49" s="323"/>
      <c r="K49" s="323"/>
      <c r="L49" s="323"/>
      <c r="M49" s="323"/>
      <c r="N49" s="323"/>
      <c r="O49" s="323"/>
      <c r="P49" s="324"/>
      <c r="Q49" s="298"/>
      <c r="R49" s="284">
        <f>Prop2021DistTar!AF49</f>
        <v>0</v>
      </c>
      <c r="S49" s="285">
        <f>Prop2021DistTar!AG49</f>
        <v>0</v>
      </c>
      <c r="T49" s="285">
        <f>Prop2021DistTar!AH49</f>
        <v>0</v>
      </c>
      <c r="U49" s="285">
        <f>Prop2021DistTar!AI49</f>
        <v>0</v>
      </c>
      <c r="V49" s="285">
        <f>Prop2021DistTar!AJ49</f>
        <v>0</v>
      </c>
      <c r="W49" s="285">
        <f>Prop2021DistTar!AK49</f>
        <v>0</v>
      </c>
      <c r="X49" s="285">
        <f>Prop2021DistTar!AL49</f>
        <v>0</v>
      </c>
      <c r="Y49" s="285">
        <f>Prop2021DistTar!AM49</f>
        <v>0</v>
      </c>
      <c r="Z49" s="285">
        <f>Prop2021DistTar!AN49</f>
        <v>0</v>
      </c>
      <c r="AA49" s="285">
        <f>Prop2021DistTar!AO49</f>
        <v>0</v>
      </c>
      <c r="AB49" s="285">
        <f>Prop2021DistTar!AP49</f>
        <v>0</v>
      </c>
      <c r="AC49" s="285">
        <f>Prop2021DistTar!AQ49</f>
        <v>0</v>
      </c>
      <c r="AD49" s="286">
        <f>Prop2021DistTar!AR49</f>
        <v>0</v>
      </c>
      <c r="AF49" s="266">
        <f t="shared" si="5"/>
        <v>0</v>
      </c>
      <c r="AG49" s="267">
        <f t="shared" si="18"/>
        <v>0</v>
      </c>
      <c r="AH49" s="267">
        <f t="shared" si="18"/>
        <v>0</v>
      </c>
      <c r="AI49" s="267">
        <f t="shared" si="18"/>
        <v>0</v>
      </c>
      <c r="AJ49" s="267">
        <f t="shared" si="8"/>
        <v>0</v>
      </c>
      <c r="AK49" s="267">
        <f t="shared" si="8"/>
        <v>0</v>
      </c>
      <c r="AL49" s="267">
        <f t="shared" si="8"/>
        <v>0</v>
      </c>
      <c r="AM49" s="267">
        <f t="shared" si="9"/>
        <v>0</v>
      </c>
      <c r="AN49" s="267">
        <f t="shared" si="9"/>
        <v>0</v>
      </c>
      <c r="AO49" s="267">
        <f t="shared" si="9"/>
        <v>0</v>
      </c>
      <c r="AP49" s="267">
        <f t="shared" si="9"/>
        <v>0</v>
      </c>
      <c r="AQ49" s="267">
        <f t="shared" si="9"/>
        <v>0</v>
      </c>
      <c r="AR49" s="267">
        <f t="shared" si="9"/>
        <v>0</v>
      </c>
      <c r="AS49" s="182">
        <f t="shared" si="7"/>
        <v>0</v>
      </c>
    </row>
    <row r="50" spans="2:45" s="170" customFormat="1" x14ac:dyDescent="0.2">
      <c r="B50" s="173"/>
      <c r="C50" s="283"/>
      <c r="D50" s="322"/>
      <c r="E50" s="323"/>
      <c r="F50" s="323"/>
      <c r="G50" s="323"/>
      <c r="H50" s="323"/>
      <c r="I50" s="323"/>
      <c r="J50" s="323"/>
      <c r="K50" s="323"/>
      <c r="L50" s="323"/>
      <c r="M50" s="323"/>
      <c r="N50" s="323"/>
      <c r="O50" s="323"/>
      <c r="P50" s="324"/>
      <c r="Q50" s="298"/>
      <c r="R50" s="284">
        <f>Prop2021DistTar!AF50</f>
        <v>0</v>
      </c>
      <c r="S50" s="285">
        <f>Prop2021DistTar!AG50</f>
        <v>0</v>
      </c>
      <c r="T50" s="285">
        <f>Prop2021DistTar!AH50</f>
        <v>0</v>
      </c>
      <c r="U50" s="285">
        <f>Prop2021DistTar!AI50</f>
        <v>0</v>
      </c>
      <c r="V50" s="285">
        <f>Prop2021DistTar!AJ50</f>
        <v>0</v>
      </c>
      <c r="W50" s="285">
        <f>Prop2021DistTar!AK50</f>
        <v>0</v>
      </c>
      <c r="X50" s="285">
        <f>Prop2021DistTar!AL50</f>
        <v>0</v>
      </c>
      <c r="Y50" s="285">
        <f>Prop2021DistTar!AM50</f>
        <v>0</v>
      </c>
      <c r="Z50" s="285">
        <f>Prop2021DistTar!AN50</f>
        <v>0</v>
      </c>
      <c r="AA50" s="285">
        <f>Prop2021DistTar!AO50</f>
        <v>0</v>
      </c>
      <c r="AB50" s="285">
        <f>Prop2021DistTar!AP50</f>
        <v>0</v>
      </c>
      <c r="AC50" s="285">
        <f>Prop2021DistTar!AQ50</f>
        <v>0</v>
      </c>
      <c r="AD50" s="286">
        <f>Prop2021DistTar!AR50</f>
        <v>0</v>
      </c>
      <c r="AF50" s="266">
        <f t="shared" si="5"/>
        <v>0</v>
      </c>
      <c r="AG50" s="267">
        <f t="shared" si="18"/>
        <v>0</v>
      </c>
      <c r="AH50" s="267">
        <f t="shared" si="18"/>
        <v>0</v>
      </c>
      <c r="AI50" s="267">
        <f t="shared" si="18"/>
        <v>0</v>
      </c>
      <c r="AJ50" s="267">
        <f t="shared" si="8"/>
        <v>0</v>
      </c>
      <c r="AK50" s="267">
        <f t="shared" si="8"/>
        <v>0</v>
      </c>
      <c r="AL50" s="267">
        <f t="shared" si="8"/>
        <v>0</v>
      </c>
      <c r="AM50" s="267">
        <f t="shared" si="9"/>
        <v>0</v>
      </c>
      <c r="AN50" s="267">
        <f t="shared" si="9"/>
        <v>0</v>
      </c>
      <c r="AO50" s="267">
        <f t="shared" si="9"/>
        <v>0</v>
      </c>
      <c r="AP50" s="267">
        <f t="shared" si="9"/>
        <v>0</v>
      </c>
      <c r="AQ50" s="267">
        <f t="shared" si="9"/>
        <v>0</v>
      </c>
      <c r="AR50" s="267">
        <f t="shared" si="9"/>
        <v>0</v>
      </c>
      <c r="AS50" s="182">
        <f t="shared" si="7"/>
        <v>0</v>
      </c>
    </row>
    <row r="51" spans="2:45" s="170" customFormat="1" x14ac:dyDescent="0.2">
      <c r="B51" s="173"/>
      <c r="C51" s="283"/>
      <c r="D51" s="322"/>
      <c r="E51" s="323"/>
      <c r="F51" s="323"/>
      <c r="G51" s="323"/>
      <c r="H51" s="323"/>
      <c r="I51" s="323"/>
      <c r="J51" s="323"/>
      <c r="K51" s="323"/>
      <c r="L51" s="323"/>
      <c r="M51" s="323"/>
      <c r="N51" s="323"/>
      <c r="O51" s="323"/>
      <c r="P51" s="324"/>
      <c r="Q51" s="298"/>
      <c r="R51" s="284">
        <f>Prop2021DistTar!AF51</f>
        <v>0</v>
      </c>
      <c r="S51" s="285">
        <f>Prop2021DistTar!AG51</f>
        <v>0</v>
      </c>
      <c r="T51" s="285">
        <f>Prop2021DistTar!AH51</f>
        <v>0</v>
      </c>
      <c r="U51" s="285">
        <f>Prop2021DistTar!AI51</f>
        <v>0</v>
      </c>
      <c r="V51" s="285">
        <f>Prop2021DistTar!AJ51</f>
        <v>0</v>
      </c>
      <c r="W51" s="285">
        <f>Prop2021DistTar!AK51</f>
        <v>0</v>
      </c>
      <c r="X51" s="285">
        <f>Prop2021DistTar!AL51</f>
        <v>0</v>
      </c>
      <c r="Y51" s="285">
        <f>Prop2021DistTar!AM51</f>
        <v>0</v>
      </c>
      <c r="Z51" s="285">
        <f>Prop2021DistTar!AN51</f>
        <v>0</v>
      </c>
      <c r="AA51" s="285">
        <f>Prop2021DistTar!AO51</f>
        <v>0</v>
      </c>
      <c r="AB51" s="285">
        <f>Prop2021DistTar!AP51</f>
        <v>0</v>
      </c>
      <c r="AC51" s="285">
        <f>Prop2021DistTar!AQ51</f>
        <v>0</v>
      </c>
      <c r="AD51" s="286">
        <f>Prop2021DistTar!AR51</f>
        <v>0</v>
      </c>
      <c r="AF51" s="266">
        <f t="shared" si="5"/>
        <v>0</v>
      </c>
      <c r="AG51" s="267">
        <f t="shared" si="18"/>
        <v>0</v>
      </c>
      <c r="AH51" s="267">
        <f t="shared" si="18"/>
        <v>0</v>
      </c>
      <c r="AI51" s="267">
        <f t="shared" si="18"/>
        <v>0</v>
      </c>
      <c r="AJ51" s="267">
        <f t="shared" si="8"/>
        <v>0</v>
      </c>
      <c r="AK51" s="267">
        <f t="shared" si="8"/>
        <v>0</v>
      </c>
      <c r="AL51" s="267">
        <f t="shared" si="8"/>
        <v>0</v>
      </c>
      <c r="AM51" s="267">
        <f t="shared" si="9"/>
        <v>0</v>
      </c>
      <c r="AN51" s="267">
        <f t="shared" si="9"/>
        <v>0</v>
      </c>
      <c r="AO51" s="267">
        <f t="shared" si="9"/>
        <v>0</v>
      </c>
      <c r="AP51" s="267">
        <f t="shared" si="9"/>
        <v>0</v>
      </c>
      <c r="AQ51" s="267">
        <f t="shared" si="9"/>
        <v>0</v>
      </c>
      <c r="AR51" s="267">
        <f t="shared" si="9"/>
        <v>0</v>
      </c>
      <c r="AS51" s="182">
        <f t="shared" si="7"/>
        <v>0</v>
      </c>
    </row>
    <row r="52" spans="2:45" s="170" customFormat="1" x14ac:dyDescent="0.2">
      <c r="B52" s="173"/>
      <c r="C52" s="283"/>
      <c r="D52" s="322"/>
      <c r="E52" s="323"/>
      <c r="F52" s="323"/>
      <c r="G52" s="323"/>
      <c r="H52" s="323"/>
      <c r="I52" s="323"/>
      <c r="J52" s="323"/>
      <c r="K52" s="323"/>
      <c r="L52" s="323"/>
      <c r="M52" s="323"/>
      <c r="N52" s="323"/>
      <c r="O52" s="323"/>
      <c r="P52" s="324"/>
      <c r="Q52" s="298"/>
      <c r="R52" s="284">
        <f>Prop2021DistTar!AF52</f>
        <v>0</v>
      </c>
      <c r="S52" s="285">
        <f>Prop2021DistTar!AG52</f>
        <v>0</v>
      </c>
      <c r="T52" s="285">
        <f>Prop2021DistTar!AH52</f>
        <v>0</v>
      </c>
      <c r="U52" s="285">
        <f>Prop2021DistTar!AI52</f>
        <v>0</v>
      </c>
      <c r="V52" s="285">
        <f>Prop2021DistTar!AJ52</f>
        <v>0</v>
      </c>
      <c r="W52" s="285">
        <f>Prop2021DistTar!AK52</f>
        <v>0</v>
      </c>
      <c r="X52" s="285">
        <f>Prop2021DistTar!AL52</f>
        <v>0</v>
      </c>
      <c r="Y52" s="285">
        <f>Prop2021DistTar!AM52</f>
        <v>0</v>
      </c>
      <c r="Z52" s="285">
        <f>Prop2021DistTar!AN52</f>
        <v>0</v>
      </c>
      <c r="AA52" s="285">
        <f>Prop2021DistTar!AO52</f>
        <v>0</v>
      </c>
      <c r="AB52" s="285">
        <f>Prop2021DistTar!AP52</f>
        <v>0</v>
      </c>
      <c r="AC52" s="285">
        <f>Prop2021DistTar!AQ52</f>
        <v>0</v>
      </c>
      <c r="AD52" s="286">
        <f>Prop2021DistTar!AR52</f>
        <v>0</v>
      </c>
      <c r="AF52" s="266">
        <f t="shared" si="5"/>
        <v>0</v>
      </c>
      <c r="AG52" s="267">
        <f t="shared" si="18"/>
        <v>0</v>
      </c>
      <c r="AH52" s="267">
        <f t="shared" si="18"/>
        <v>0</v>
      </c>
      <c r="AI52" s="267">
        <f t="shared" si="18"/>
        <v>0</v>
      </c>
      <c r="AJ52" s="267">
        <f t="shared" si="8"/>
        <v>0</v>
      </c>
      <c r="AK52" s="267">
        <f t="shared" si="8"/>
        <v>0</v>
      </c>
      <c r="AL52" s="267">
        <f t="shared" si="8"/>
        <v>0</v>
      </c>
      <c r="AM52" s="267">
        <f t="shared" si="9"/>
        <v>0</v>
      </c>
      <c r="AN52" s="267">
        <f t="shared" si="9"/>
        <v>0</v>
      </c>
      <c r="AO52" s="267">
        <f t="shared" si="9"/>
        <v>0</v>
      </c>
      <c r="AP52" s="267">
        <f t="shared" si="9"/>
        <v>0</v>
      </c>
      <c r="AQ52" s="267">
        <f t="shared" si="9"/>
        <v>0</v>
      </c>
      <c r="AR52" s="267">
        <f t="shared" si="9"/>
        <v>0</v>
      </c>
      <c r="AS52" s="182">
        <f t="shared" si="7"/>
        <v>0</v>
      </c>
    </row>
    <row r="53" spans="2:45" s="170" customFormat="1" x14ac:dyDescent="0.2">
      <c r="B53" s="173"/>
      <c r="C53" s="283"/>
      <c r="D53" s="322"/>
      <c r="E53" s="323"/>
      <c r="F53" s="323"/>
      <c r="G53" s="323"/>
      <c r="H53" s="323"/>
      <c r="I53" s="323"/>
      <c r="J53" s="323"/>
      <c r="K53" s="323"/>
      <c r="L53" s="323"/>
      <c r="M53" s="323"/>
      <c r="N53" s="323"/>
      <c r="O53" s="323"/>
      <c r="P53" s="324"/>
      <c r="Q53" s="298"/>
      <c r="R53" s="284">
        <f>Prop2021DistTar!AF53</f>
        <v>0</v>
      </c>
      <c r="S53" s="285">
        <f>Prop2021DistTar!AG53</f>
        <v>0</v>
      </c>
      <c r="T53" s="285">
        <f>Prop2021DistTar!AH53</f>
        <v>0</v>
      </c>
      <c r="U53" s="285">
        <f>Prop2021DistTar!AI53</f>
        <v>0</v>
      </c>
      <c r="V53" s="285">
        <f>Prop2021DistTar!AJ53</f>
        <v>0</v>
      </c>
      <c r="W53" s="285">
        <f>Prop2021DistTar!AK53</f>
        <v>0</v>
      </c>
      <c r="X53" s="285">
        <f>Prop2021DistTar!AL53</f>
        <v>0</v>
      </c>
      <c r="Y53" s="285">
        <f>Prop2021DistTar!AM53</f>
        <v>0</v>
      </c>
      <c r="Z53" s="285">
        <f>Prop2021DistTar!AN53</f>
        <v>0</v>
      </c>
      <c r="AA53" s="285">
        <f>Prop2021DistTar!AO53</f>
        <v>0</v>
      </c>
      <c r="AB53" s="285">
        <f>Prop2021DistTar!AP53</f>
        <v>0</v>
      </c>
      <c r="AC53" s="285">
        <f>Prop2021DistTar!AQ53</f>
        <v>0</v>
      </c>
      <c r="AD53" s="286">
        <f>Prop2021DistTar!AR53</f>
        <v>0</v>
      </c>
      <c r="AF53" s="266">
        <f t="shared" si="5"/>
        <v>0</v>
      </c>
      <c r="AG53" s="267">
        <f t="shared" si="18"/>
        <v>0</v>
      </c>
      <c r="AH53" s="267">
        <f t="shared" si="18"/>
        <v>0</v>
      </c>
      <c r="AI53" s="267">
        <f t="shared" si="18"/>
        <v>0</v>
      </c>
      <c r="AJ53" s="267">
        <f t="shared" si="8"/>
        <v>0</v>
      </c>
      <c r="AK53" s="267">
        <f t="shared" si="8"/>
        <v>0</v>
      </c>
      <c r="AL53" s="267">
        <f t="shared" si="8"/>
        <v>0</v>
      </c>
      <c r="AM53" s="267">
        <f t="shared" si="9"/>
        <v>0</v>
      </c>
      <c r="AN53" s="267">
        <f t="shared" si="9"/>
        <v>0</v>
      </c>
      <c r="AO53" s="267">
        <f t="shared" si="9"/>
        <v>0</v>
      </c>
      <c r="AP53" s="267">
        <f t="shared" si="9"/>
        <v>0</v>
      </c>
      <c r="AQ53" s="267">
        <f t="shared" si="9"/>
        <v>0</v>
      </c>
      <c r="AR53" s="267">
        <f t="shared" si="9"/>
        <v>0</v>
      </c>
      <c r="AS53" s="182">
        <f t="shared" si="7"/>
        <v>0</v>
      </c>
    </row>
    <row r="54" spans="2:45" s="170" customFormat="1" x14ac:dyDescent="0.2">
      <c r="B54" s="173"/>
      <c r="C54" s="283"/>
      <c r="D54" s="322"/>
      <c r="E54" s="323"/>
      <c r="F54" s="323"/>
      <c r="G54" s="323"/>
      <c r="H54" s="323"/>
      <c r="I54" s="323"/>
      <c r="J54" s="323"/>
      <c r="K54" s="323"/>
      <c r="L54" s="323"/>
      <c r="M54" s="323"/>
      <c r="N54" s="323"/>
      <c r="O54" s="323"/>
      <c r="P54" s="324"/>
      <c r="Q54" s="298"/>
      <c r="R54" s="284">
        <f>Prop2021DistTar!AF54</f>
        <v>0</v>
      </c>
      <c r="S54" s="285">
        <f>Prop2021DistTar!AG54</f>
        <v>0</v>
      </c>
      <c r="T54" s="285">
        <f>Prop2021DistTar!AH54</f>
        <v>0</v>
      </c>
      <c r="U54" s="285">
        <f>Prop2021DistTar!AI54</f>
        <v>0</v>
      </c>
      <c r="V54" s="285">
        <f>Prop2021DistTar!AJ54</f>
        <v>0</v>
      </c>
      <c r="W54" s="285">
        <f>Prop2021DistTar!AK54</f>
        <v>0</v>
      </c>
      <c r="X54" s="285">
        <f>Prop2021DistTar!AL54</f>
        <v>0</v>
      </c>
      <c r="Y54" s="285">
        <f>Prop2021DistTar!AM54</f>
        <v>0</v>
      </c>
      <c r="Z54" s="285">
        <f>Prop2021DistTar!AN54</f>
        <v>0</v>
      </c>
      <c r="AA54" s="285">
        <f>Prop2021DistTar!AO54</f>
        <v>0</v>
      </c>
      <c r="AB54" s="285">
        <f>Prop2021DistTar!AP54</f>
        <v>0</v>
      </c>
      <c r="AC54" s="285">
        <f>Prop2021DistTar!AQ54</f>
        <v>0</v>
      </c>
      <c r="AD54" s="286">
        <f>Prop2021DistTar!AR54</f>
        <v>0</v>
      </c>
      <c r="AF54" s="266">
        <f t="shared" si="5"/>
        <v>0</v>
      </c>
      <c r="AG54" s="267">
        <f t="shared" si="18"/>
        <v>0</v>
      </c>
      <c r="AH54" s="267">
        <f t="shared" si="18"/>
        <v>0</v>
      </c>
      <c r="AI54" s="267">
        <f t="shared" si="18"/>
        <v>0</v>
      </c>
      <c r="AJ54" s="267">
        <f t="shared" si="8"/>
        <v>0</v>
      </c>
      <c r="AK54" s="267">
        <f t="shared" si="8"/>
        <v>0</v>
      </c>
      <c r="AL54" s="267">
        <f t="shared" si="8"/>
        <v>0</v>
      </c>
      <c r="AM54" s="267">
        <f t="shared" si="9"/>
        <v>0</v>
      </c>
      <c r="AN54" s="267">
        <f t="shared" si="9"/>
        <v>0</v>
      </c>
      <c r="AO54" s="267">
        <f t="shared" si="9"/>
        <v>0</v>
      </c>
      <c r="AP54" s="267">
        <f t="shared" si="9"/>
        <v>0</v>
      </c>
      <c r="AQ54" s="267">
        <f t="shared" si="9"/>
        <v>0</v>
      </c>
      <c r="AR54" s="267">
        <f t="shared" si="9"/>
        <v>0</v>
      </c>
      <c r="AS54" s="182">
        <f t="shared" si="7"/>
        <v>0</v>
      </c>
    </row>
    <row r="55" spans="2:45" s="170" customFormat="1" x14ac:dyDescent="0.2">
      <c r="B55" s="173"/>
      <c r="C55" s="283"/>
      <c r="D55" s="287"/>
      <c r="E55" s="288"/>
      <c r="F55" s="288"/>
      <c r="G55" s="288"/>
      <c r="H55" s="288"/>
      <c r="I55" s="288"/>
      <c r="J55" s="288"/>
      <c r="K55" s="288"/>
      <c r="L55" s="288"/>
      <c r="M55" s="288"/>
      <c r="N55" s="288"/>
      <c r="O55" s="288"/>
      <c r="P55" s="289"/>
      <c r="Q55" s="298"/>
      <c r="R55" s="284"/>
      <c r="S55" s="285"/>
      <c r="T55" s="285"/>
      <c r="U55" s="285"/>
      <c r="V55" s="285"/>
      <c r="W55" s="285"/>
      <c r="X55" s="285"/>
      <c r="Y55" s="285"/>
      <c r="Z55" s="285"/>
      <c r="AA55" s="285"/>
      <c r="AB55" s="285"/>
      <c r="AC55" s="285"/>
      <c r="AD55" s="286"/>
      <c r="AF55" s="266">
        <f t="shared" si="5"/>
        <v>0</v>
      </c>
      <c r="AG55" s="267">
        <f t="shared" si="18"/>
        <v>0</v>
      </c>
      <c r="AH55" s="267">
        <f t="shared" si="18"/>
        <v>0</v>
      </c>
      <c r="AI55" s="267">
        <f t="shared" si="18"/>
        <v>0</v>
      </c>
      <c r="AJ55" s="267">
        <f t="shared" si="8"/>
        <v>0</v>
      </c>
      <c r="AK55" s="267">
        <f t="shared" si="8"/>
        <v>0</v>
      </c>
      <c r="AL55" s="267">
        <f t="shared" si="8"/>
        <v>0</v>
      </c>
      <c r="AM55" s="267">
        <f t="shared" si="9"/>
        <v>0</v>
      </c>
      <c r="AN55" s="267">
        <f t="shared" si="9"/>
        <v>0</v>
      </c>
      <c r="AO55" s="267">
        <f t="shared" si="9"/>
        <v>0</v>
      </c>
      <c r="AP55" s="267">
        <f t="shared" si="9"/>
        <v>0</v>
      </c>
      <c r="AQ55" s="267">
        <f t="shared" si="9"/>
        <v>0</v>
      </c>
      <c r="AR55" s="267">
        <f t="shared" si="9"/>
        <v>0</v>
      </c>
      <c r="AS55" s="182">
        <f t="shared" si="7"/>
        <v>0</v>
      </c>
    </row>
    <row r="56" spans="2:45" s="170" customFormat="1" x14ac:dyDescent="0.2">
      <c r="B56" s="173"/>
      <c r="C56" s="283"/>
      <c r="D56" s="287"/>
      <c r="E56" s="288"/>
      <c r="F56" s="288"/>
      <c r="G56" s="288"/>
      <c r="H56" s="288"/>
      <c r="I56" s="288"/>
      <c r="J56" s="288"/>
      <c r="K56" s="288"/>
      <c r="L56" s="288"/>
      <c r="M56" s="288"/>
      <c r="N56" s="288"/>
      <c r="O56" s="288"/>
      <c r="P56" s="289"/>
      <c r="Q56" s="298"/>
      <c r="R56" s="284"/>
      <c r="S56" s="285"/>
      <c r="T56" s="285"/>
      <c r="U56" s="285"/>
      <c r="V56" s="285"/>
      <c r="W56" s="285"/>
      <c r="X56" s="285"/>
      <c r="Y56" s="285"/>
      <c r="Z56" s="285"/>
      <c r="AA56" s="285"/>
      <c r="AB56" s="285"/>
      <c r="AC56" s="285"/>
      <c r="AD56" s="286"/>
      <c r="AF56" s="266">
        <f t="shared" si="5"/>
        <v>0</v>
      </c>
      <c r="AG56" s="267">
        <f t="shared" si="18"/>
        <v>0</v>
      </c>
      <c r="AH56" s="267">
        <f t="shared" si="18"/>
        <v>0</v>
      </c>
      <c r="AI56" s="267">
        <f t="shared" si="18"/>
        <v>0</v>
      </c>
      <c r="AJ56" s="267">
        <f t="shared" si="8"/>
        <v>0</v>
      </c>
      <c r="AK56" s="267">
        <f t="shared" si="8"/>
        <v>0</v>
      </c>
      <c r="AL56" s="267">
        <f t="shared" si="8"/>
        <v>0</v>
      </c>
      <c r="AM56" s="267">
        <f t="shared" si="9"/>
        <v>0</v>
      </c>
      <c r="AN56" s="267">
        <f t="shared" si="9"/>
        <v>0</v>
      </c>
      <c r="AO56" s="267">
        <f t="shared" si="9"/>
        <v>0</v>
      </c>
      <c r="AP56" s="267">
        <f t="shared" si="9"/>
        <v>0</v>
      </c>
      <c r="AQ56" s="267">
        <f t="shared" si="9"/>
        <v>0</v>
      </c>
      <c r="AR56" s="267">
        <f t="shared" si="9"/>
        <v>0</v>
      </c>
      <c r="AS56" s="182">
        <f t="shared" si="7"/>
        <v>0</v>
      </c>
    </row>
    <row r="57" spans="2:45" s="170" customFormat="1" x14ac:dyDescent="0.2">
      <c r="B57" s="173"/>
      <c r="C57" s="283"/>
      <c r="D57" s="287"/>
      <c r="E57" s="288"/>
      <c r="F57" s="288"/>
      <c r="G57" s="288"/>
      <c r="H57" s="288"/>
      <c r="I57" s="288"/>
      <c r="J57" s="288"/>
      <c r="K57" s="288"/>
      <c r="L57" s="288"/>
      <c r="M57" s="288"/>
      <c r="N57" s="288"/>
      <c r="O57" s="288"/>
      <c r="P57" s="289"/>
      <c r="Q57" s="298"/>
      <c r="R57" s="284"/>
      <c r="S57" s="285"/>
      <c r="T57" s="285"/>
      <c r="U57" s="285"/>
      <c r="V57" s="285"/>
      <c r="W57" s="285"/>
      <c r="X57" s="285"/>
      <c r="Y57" s="285"/>
      <c r="Z57" s="285"/>
      <c r="AA57" s="285"/>
      <c r="AB57" s="285"/>
      <c r="AC57" s="285"/>
      <c r="AD57" s="286"/>
      <c r="AF57" s="266">
        <f t="shared" si="5"/>
        <v>0</v>
      </c>
      <c r="AG57" s="267">
        <f t="shared" si="18"/>
        <v>0</v>
      </c>
      <c r="AH57" s="267">
        <f t="shared" si="18"/>
        <v>0</v>
      </c>
      <c r="AI57" s="267">
        <f t="shared" si="18"/>
        <v>0</v>
      </c>
      <c r="AJ57" s="267">
        <f t="shared" si="8"/>
        <v>0</v>
      </c>
      <c r="AK57" s="267">
        <f t="shared" si="8"/>
        <v>0</v>
      </c>
      <c r="AL57" s="267">
        <f t="shared" si="8"/>
        <v>0</v>
      </c>
      <c r="AM57" s="267">
        <f t="shared" si="9"/>
        <v>0</v>
      </c>
      <c r="AN57" s="267">
        <f t="shared" si="9"/>
        <v>0</v>
      </c>
      <c r="AO57" s="267">
        <f t="shared" si="9"/>
        <v>0</v>
      </c>
      <c r="AP57" s="267">
        <f t="shared" si="9"/>
        <v>0</v>
      </c>
      <c r="AQ57" s="267">
        <f t="shared" si="9"/>
        <v>0</v>
      </c>
      <c r="AR57" s="267">
        <f t="shared" si="9"/>
        <v>0</v>
      </c>
      <c r="AS57" s="182">
        <f t="shared" si="7"/>
        <v>0</v>
      </c>
    </row>
    <row r="58" spans="2:45" s="170" customFormat="1" x14ac:dyDescent="0.2">
      <c r="B58" s="173"/>
      <c r="C58" s="283"/>
      <c r="D58" s="287"/>
      <c r="E58" s="288"/>
      <c r="F58" s="288"/>
      <c r="G58" s="288"/>
      <c r="H58" s="288"/>
      <c r="I58" s="288"/>
      <c r="J58" s="288"/>
      <c r="K58" s="288"/>
      <c r="L58" s="288"/>
      <c r="M58" s="288"/>
      <c r="N58" s="288"/>
      <c r="O58" s="288"/>
      <c r="P58" s="289"/>
      <c r="Q58" s="298"/>
      <c r="R58" s="284"/>
      <c r="S58" s="285"/>
      <c r="T58" s="285"/>
      <c r="U58" s="285"/>
      <c r="V58" s="285"/>
      <c r="W58" s="285"/>
      <c r="X58" s="285"/>
      <c r="Y58" s="285"/>
      <c r="Z58" s="285"/>
      <c r="AA58" s="285"/>
      <c r="AB58" s="285"/>
      <c r="AC58" s="285"/>
      <c r="AD58" s="286"/>
      <c r="AF58" s="266">
        <f t="shared" si="5"/>
        <v>0</v>
      </c>
      <c r="AG58" s="267">
        <f t="shared" si="18"/>
        <v>0</v>
      </c>
      <c r="AH58" s="267">
        <f t="shared" si="18"/>
        <v>0</v>
      </c>
      <c r="AI58" s="267">
        <f t="shared" si="18"/>
        <v>0</v>
      </c>
      <c r="AJ58" s="267">
        <f t="shared" si="8"/>
        <v>0</v>
      </c>
      <c r="AK58" s="267">
        <f t="shared" si="8"/>
        <v>0</v>
      </c>
      <c r="AL58" s="267">
        <f t="shared" si="8"/>
        <v>0</v>
      </c>
      <c r="AM58" s="267">
        <f t="shared" si="9"/>
        <v>0</v>
      </c>
      <c r="AN58" s="267">
        <f t="shared" si="9"/>
        <v>0</v>
      </c>
      <c r="AO58" s="267">
        <f t="shared" si="9"/>
        <v>0</v>
      </c>
      <c r="AP58" s="267">
        <f t="shared" si="9"/>
        <v>0</v>
      </c>
      <c r="AQ58" s="267">
        <f t="shared" si="9"/>
        <v>0</v>
      </c>
      <c r="AR58" s="267">
        <f t="shared" si="9"/>
        <v>0</v>
      </c>
      <c r="AS58" s="182">
        <f t="shared" si="7"/>
        <v>0</v>
      </c>
    </row>
    <row r="59" spans="2:45" s="170" customFormat="1" x14ac:dyDescent="0.2">
      <c r="B59" s="173"/>
      <c r="C59" s="283"/>
      <c r="D59" s="287"/>
      <c r="E59" s="288"/>
      <c r="F59" s="288"/>
      <c r="G59" s="288"/>
      <c r="H59" s="288"/>
      <c r="I59" s="288"/>
      <c r="J59" s="288"/>
      <c r="K59" s="288"/>
      <c r="L59" s="288"/>
      <c r="M59" s="288"/>
      <c r="N59" s="288"/>
      <c r="O59" s="288"/>
      <c r="P59" s="289"/>
      <c r="Q59" s="298"/>
      <c r="R59" s="284"/>
      <c r="S59" s="285"/>
      <c r="T59" s="285"/>
      <c r="U59" s="285"/>
      <c r="V59" s="285"/>
      <c r="W59" s="285"/>
      <c r="X59" s="285"/>
      <c r="Y59" s="285"/>
      <c r="Z59" s="285"/>
      <c r="AA59" s="285"/>
      <c r="AB59" s="285"/>
      <c r="AC59" s="285"/>
      <c r="AD59" s="286"/>
      <c r="AF59" s="266">
        <f t="shared" si="5"/>
        <v>0</v>
      </c>
      <c r="AG59" s="267">
        <f t="shared" si="18"/>
        <v>0</v>
      </c>
      <c r="AH59" s="267">
        <f t="shared" si="18"/>
        <v>0</v>
      </c>
      <c r="AI59" s="267">
        <f t="shared" si="18"/>
        <v>0</v>
      </c>
      <c r="AJ59" s="267">
        <f t="shared" si="8"/>
        <v>0</v>
      </c>
      <c r="AK59" s="267">
        <f t="shared" si="8"/>
        <v>0</v>
      </c>
      <c r="AL59" s="267">
        <f t="shared" si="8"/>
        <v>0</v>
      </c>
      <c r="AM59" s="267">
        <f t="shared" si="9"/>
        <v>0</v>
      </c>
      <c r="AN59" s="267">
        <f t="shared" si="9"/>
        <v>0</v>
      </c>
      <c r="AO59" s="267">
        <f t="shared" si="9"/>
        <v>0</v>
      </c>
      <c r="AP59" s="267">
        <f t="shared" si="9"/>
        <v>0</v>
      </c>
      <c r="AQ59" s="267">
        <f t="shared" si="9"/>
        <v>0</v>
      </c>
      <c r="AR59" s="267">
        <f t="shared" si="9"/>
        <v>0</v>
      </c>
      <c r="AS59" s="182">
        <f t="shared" si="7"/>
        <v>0</v>
      </c>
    </row>
    <row r="60" spans="2:45" s="170" customFormat="1" x14ac:dyDescent="0.2">
      <c r="B60" s="173"/>
      <c r="C60" s="283"/>
      <c r="D60" s="287"/>
      <c r="E60" s="288"/>
      <c r="F60" s="288"/>
      <c r="G60" s="288"/>
      <c r="H60" s="288"/>
      <c r="I60" s="288"/>
      <c r="J60" s="288"/>
      <c r="K60" s="288"/>
      <c r="L60" s="288"/>
      <c r="M60" s="288"/>
      <c r="N60" s="288"/>
      <c r="O60" s="288"/>
      <c r="P60" s="289"/>
      <c r="Q60" s="298"/>
      <c r="R60" s="284"/>
      <c r="S60" s="285"/>
      <c r="T60" s="285"/>
      <c r="U60" s="285"/>
      <c r="V60" s="285"/>
      <c r="W60" s="285"/>
      <c r="X60" s="285"/>
      <c r="Y60" s="285"/>
      <c r="Z60" s="285"/>
      <c r="AA60" s="285"/>
      <c r="AB60" s="285"/>
      <c r="AC60" s="285"/>
      <c r="AD60" s="286"/>
      <c r="AF60" s="266">
        <f t="shared" si="5"/>
        <v>0</v>
      </c>
      <c r="AG60" s="267">
        <f t="shared" si="18"/>
        <v>0</v>
      </c>
      <c r="AH60" s="267">
        <f t="shared" si="18"/>
        <v>0</v>
      </c>
      <c r="AI60" s="267">
        <f t="shared" si="18"/>
        <v>0</v>
      </c>
      <c r="AJ60" s="267">
        <f t="shared" si="8"/>
        <v>0</v>
      </c>
      <c r="AK60" s="267">
        <f t="shared" si="8"/>
        <v>0</v>
      </c>
      <c r="AL60" s="267">
        <f t="shared" si="8"/>
        <v>0</v>
      </c>
      <c r="AM60" s="267">
        <f t="shared" si="9"/>
        <v>0</v>
      </c>
      <c r="AN60" s="267">
        <f t="shared" si="9"/>
        <v>0</v>
      </c>
      <c r="AO60" s="267">
        <f t="shared" si="9"/>
        <v>0</v>
      </c>
      <c r="AP60" s="267">
        <f t="shared" si="9"/>
        <v>0</v>
      </c>
      <c r="AQ60" s="267">
        <f t="shared" si="9"/>
        <v>0</v>
      </c>
      <c r="AR60" s="267">
        <f t="shared" si="9"/>
        <v>0</v>
      </c>
      <c r="AS60" s="182">
        <f t="shared" si="7"/>
        <v>0</v>
      </c>
    </row>
    <row r="61" spans="2:45" s="170" customFormat="1" x14ac:dyDescent="0.2">
      <c r="B61" s="173"/>
      <c r="C61" s="283"/>
      <c r="D61" s="287"/>
      <c r="E61" s="288"/>
      <c r="F61" s="288"/>
      <c r="G61" s="288"/>
      <c r="H61" s="288"/>
      <c r="I61" s="288"/>
      <c r="J61" s="288"/>
      <c r="K61" s="288"/>
      <c r="L61" s="288"/>
      <c r="M61" s="288"/>
      <c r="N61" s="288"/>
      <c r="O61" s="288"/>
      <c r="P61" s="289"/>
      <c r="Q61" s="298"/>
      <c r="R61" s="284"/>
      <c r="S61" s="285"/>
      <c r="T61" s="285"/>
      <c r="U61" s="285"/>
      <c r="V61" s="285"/>
      <c r="W61" s="285"/>
      <c r="X61" s="285"/>
      <c r="Y61" s="285"/>
      <c r="Z61" s="285"/>
      <c r="AA61" s="285"/>
      <c r="AB61" s="285"/>
      <c r="AC61" s="285"/>
      <c r="AD61" s="286"/>
      <c r="AF61" s="266">
        <f t="shared" si="5"/>
        <v>0</v>
      </c>
      <c r="AG61" s="267">
        <f t="shared" si="18"/>
        <v>0</v>
      </c>
      <c r="AH61" s="267">
        <f t="shared" si="18"/>
        <v>0</v>
      </c>
      <c r="AI61" s="267">
        <f t="shared" si="18"/>
        <v>0</v>
      </c>
      <c r="AJ61" s="267">
        <f t="shared" si="8"/>
        <v>0</v>
      </c>
      <c r="AK61" s="267">
        <f t="shared" si="8"/>
        <v>0</v>
      </c>
      <c r="AL61" s="267">
        <f t="shared" si="8"/>
        <v>0</v>
      </c>
      <c r="AM61" s="267">
        <f t="shared" si="9"/>
        <v>0</v>
      </c>
      <c r="AN61" s="267">
        <f t="shared" si="9"/>
        <v>0</v>
      </c>
      <c r="AO61" s="267">
        <f t="shared" si="9"/>
        <v>0</v>
      </c>
      <c r="AP61" s="267">
        <f t="shared" si="9"/>
        <v>0</v>
      </c>
      <c r="AQ61" s="267">
        <f t="shared" si="9"/>
        <v>0</v>
      </c>
      <c r="AR61" s="267">
        <f t="shared" si="9"/>
        <v>0</v>
      </c>
      <c r="AS61" s="182">
        <f t="shared" si="7"/>
        <v>0</v>
      </c>
    </row>
    <row r="62" spans="2:45" s="170" customFormat="1" x14ac:dyDescent="0.2">
      <c r="B62" s="173"/>
      <c r="C62" s="283"/>
      <c r="D62" s="287"/>
      <c r="E62" s="288"/>
      <c r="F62" s="288"/>
      <c r="G62" s="288"/>
      <c r="H62" s="288"/>
      <c r="I62" s="288"/>
      <c r="J62" s="288"/>
      <c r="K62" s="288"/>
      <c r="L62" s="288"/>
      <c r="M62" s="288"/>
      <c r="N62" s="288"/>
      <c r="O62" s="288"/>
      <c r="P62" s="289"/>
      <c r="Q62" s="298"/>
      <c r="R62" s="284"/>
      <c r="S62" s="285"/>
      <c r="T62" s="285"/>
      <c r="U62" s="285"/>
      <c r="V62" s="285"/>
      <c r="W62" s="285"/>
      <c r="X62" s="285"/>
      <c r="Y62" s="285"/>
      <c r="Z62" s="285"/>
      <c r="AA62" s="285"/>
      <c r="AB62" s="285"/>
      <c r="AC62" s="285"/>
      <c r="AD62" s="286"/>
      <c r="AF62" s="266">
        <f t="shared" si="5"/>
        <v>0</v>
      </c>
      <c r="AG62" s="267">
        <f t="shared" si="18"/>
        <v>0</v>
      </c>
      <c r="AH62" s="267">
        <f t="shared" si="18"/>
        <v>0</v>
      </c>
      <c r="AI62" s="267">
        <f t="shared" si="18"/>
        <v>0</v>
      </c>
      <c r="AJ62" s="267">
        <f t="shared" si="8"/>
        <v>0</v>
      </c>
      <c r="AK62" s="267">
        <f t="shared" si="8"/>
        <v>0</v>
      </c>
      <c r="AL62" s="267">
        <f t="shared" si="8"/>
        <v>0</v>
      </c>
      <c r="AM62" s="267">
        <f t="shared" si="9"/>
        <v>0</v>
      </c>
      <c r="AN62" s="267">
        <f t="shared" si="9"/>
        <v>0</v>
      </c>
      <c r="AO62" s="267">
        <f t="shared" si="9"/>
        <v>0</v>
      </c>
      <c r="AP62" s="267">
        <f t="shared" si="9"/>
        <v>0</v>
      </c>
      <c r="AQ62" s="267">
        <f t="shared" si="9"/>
        <v>0</v>
      </c>
      <c r="AR62" s="267">
        <f t="shared" si="9"/>
        <v>0</v>
      </c>
      <c r="AS62" s="182">
        <f t="shared" si="7"/>
        <v>0</v>
      </c>
    </row>
    <row r="63" spans="2:45" s="170" customFormat="1" x14ac:dyDescent="0.2">
      <c r="B63" s="173"/>
      <c r="C63" s="283"/>
      <c r="D63" s="287"/>
      <c r="E63" s="288"/>
      <c r="F63" s="288"/>
      <c r="G63" s="288"/>
      <c r="H63" s="288"/>
      <c r="I63" s="288"/>
      <c r="J63" s="288"/>
      <c r="K63" s="288"/>
      <c r="L63" s="288"/>
      <c r="M63" s="288"/>
      <c r="N63" s="288"/>
      <c r="O63" s="288"/>
      <c r="P63" s="289"/>
      <c r="Q63" s="298"/>
      <c r="R63" s="284"/>
      <c r="S63" s="285"/>
      <c r="T63" s="285"/>
      <c r="U63" s="285"/>
      <c r="V63" s="285"/>
      <c r="W63" s="285"/>
      <c r="X63" s="285"/>
      <c r="Y63" s="285"/>
      <c r="Z63" s="285"/>
      <c r="AA63" s="285"/>
      <c r="AB63" s="285"/>
      <c r="AC63" s="285"/>
      <c r="AD63" s="286"/>
      <c r="AF63" s="266">
        <f t="shared" si="5"/>
        <v>0</v>
      </c>
      <c r="AG63" s="267">
        <f t="shared" si="18"/>
        <v>0</v>
      </c>
      <c r="AH63" s="267">
        <f t="shared" si="18"/>
        <v>0</v>
      </c>
      <c r="AI63" s="267">
        <f t="shared" si="18"/>
        <v>0</v>
      </c>
      <c r="AJ63" s="267">
        <f t="shared" si="8"/>
        <v>0</v>
      </c>
      <c r="AK63" s="267">
        <f t="shared" si="8"/>
        <v>0</v>
      </c>
      <c r="AL63" s="267">
        <f t="shared" si="8"/>
        <v>0</v>
      </c>
      <c r="AM63" s="267">
        <f t="shared" si="9"/>
        <v>0</v>
      </c>
      <c r="AN63" s="267">
        <f t="shared" si="9"/>
        <v>0</v>
      </c>
      <c r="AO63" s="267">
        <f t="shared" si="9"/>
        <v>0</v>
      </c>
      <c r="AP63" s="267">
        <f t="shared" si="9"/>
        <v>0</v>
      </c>
      <c r="AQ63" s="267">
        <f t="shared" si="9"/>
        <v>0</v>
      </c>
      <c r="AR63" s="267">
        <f t="shared" si="9"/>
        <v>0</v>
      </c>
      <c r="AS63" s="182">
        <f t="shared" si="7"/>
        <v>0</v>
      </c>
    </row>
    <row r="64" spans="2:45" s="170" customFormat="1" x14ac:dyDescent="0.2">
      <c r="B64" s="173"/>
      <c r="C64" s="283"/>
      <c r="D64" s="287"/>
      <c r="E64" s="288"/>
      <c r="F64" s="288"/>
      <c r="G64" s="288"/>
      <c r="H64" s="288"/>
      <c r="I64" s="288"/>
      <c r="J64" s="288"/>
      <c r="K64" s="288"/>
      <c r="L64" s="288"/>
      <c r="M64" s="288"/>
      <c r="N64" s="288"/>
      <c r="O64" s="288"/>
      <c r="P64" s="289"/>
      <c r="Q64" s="298"/>
      <c r="R64" s="284"/>
      <c r="S64" s="285"/>
      <c r="T64" s="285"/>
      <c r="U64" s="285"/>
      <c r="V64" s="285"/>
      <c r="W64" s="285"/>
      <c r="X64" s="285"/>
      <c r="Y64" s="285"/>
      <c r="Z64" s="285"/>
      <c r="AA64" s="285"/>
      <c r="AB64" s="285"/>
      <c r="AC64" s="285"/>
      <c r="AD64" s="286"/>
      <c r="AF64" s="266">
        <f t="shared" si="5"/>
        <v>0</v>
      </c>
      <c r="AG64" s="267">
        <f t="shared" si="18"/>
        <v>0</v>
      </c>
      <c r="AH64" s="267">
        <f t="shared" si="18"/>
        <v>0</v>
      </c>
      <c r="AI64" s="267">
        <f t="shared" si="18"/>
        <v>0</v>
      </c>
      <c r="AJ64" s="267">
        <f t="shared" si="8"/>
        <v>0</v>
      </c>
      <c r="AK64" s="267">
        <f t="shared" si="8"/>
        <v>0</v>
      </c>
      <c r="AL64" s="267">
        <f t="shared" si="8"/>
        <v>0</v>
      </c>
      <c r="AM64" s="267">
        <f t="shared" si="9"/>
        <v>0</v>
      </c>
      <c r="AN64" s="267">
        <f t="shared" si="9"/>
        <v>0</v>
      </c>
      <c r="AO64" s="267">
        <f t="shared" si="9"/>
        <v>0</v>
      </c>
      <c r="AP64" s="267">
        <f t="shared" ref="AP64:AR65" si="19">N64/100*AB64</f>
        <v>0</v>
      </c>
      <c r="AQ64" s="267">
        <f t="shared" si="19"/>
        <v>0</v>
      </c>
      <c r="AR64" s="267">
        <f t="shared" si="19"/>
        <v>0</v>
      </c>
      <c r="AS64" s="182">
        <f t="shared" si="7"/>
        <v>0</v>
      </c>
    </row>
    <row r="65" spans="2:45" s="170" customFormat="1" ht="13.5" thickBot="1" x14ac:dyDescent="0.25">
      <c r="B65" s="199"/>
      <c r="C65" s="290"/>
      <c r="D65" s="291"/>
      <c r="E65" s="292"/>
      <c r="F65" s="292"/>
      <c r="G65" s="292"/>
      <c r="H65" s="292"/>
      <c r="I65" s="292"/>
      <c r="J65" s="292"/>
      <c r="K65" s="292"/>
      <c r="L65" s="292"/>
      <c r="M65" s="292"/>
      <c r="N65" s="292"/>
      <c r="O65" s="292"/>
      <c r="P65" s="293"/>
      <c r="Q65" s="299"/>
      <c r="R65" s="294"/>
      <c r="S65" s="295"/>
      <c r="T65" s="295"/>
      <c r="U65" s="295"/>
      <c r="V65" s="295"/>
      <c r="W65" s="295"/>
      <c r="X65" s="295"/>
      <c r="Y65" s="295"/>
      <c r="Z65" s="295"/>
      <c r="AA65" s="295"/>
      <c r="AB65" s="295"/>
      <c r="AC65" s="295"/>
      <c r="AD65" s="296"/>
      <c r="AF65" s="274">
        <f t="shared" si="5"/>
        <v>0</v>
      </c>
      <c r="AG65" s="275">
        <f t="shared" si="18"/>
        <v>0</v>
      </c>
      <c r="AH65" s="275">
        <f t="shared" si="18"/>
        <v>0</v>
      </c>
      <c r="AI65" s="275">
        <f t="shared" si="18"/>
        <v>0</v>
      </c>
      <c r="AJ65" s="275">
        <f t="shared" si="8"/>
        <v>0</v>
      </c>
      <c r="AK65" s="275">
        <f t="shared" si="8"/>
        <v>0</v>
      </c>
      <c r="AL65" s="275">
        <f t="shared" si="8"/>
        <v>0</v>
      </c>
      <c r="AM65" s="275">
        <f t="shared" ref="AM65:AO65" si="20">K65/100*Y65</f>
        <v>0</v>
      </c>
      <c r="AN65" s="275">
        <f t="shared" si="20"/>
        <v>0</v>
      </c>
      <c r="AO65" s="275">
        <f t="shared" si="20"/>
        <v>0</v>
      </c>
      <c r="AP65" s="275">
        <f t="shared" si="19"/>
        <v>0</v>
      </c>
      <c r="AQ65" s="275">
        <f t="shared" si="19"/>
        <v>0</v>
      </c>
      <c r="AR65" s="275">
        <f t="shared" si="19"/>
        <v>0</v>
      </c>
      <c r="AS65" s="213">
        <f t="shared" si="7"/>
        <v>0</v>
      </c>
    </row>
    <row r="66" spans="2:45" ht="13.5" thickBot="1" x14ac:dyDescent="0.25">
      <c r="B66" s="101"/>
      <c r="C66" s="51"/>
      <c r="Q66" s="59"/>
      <c r="R66" s="102">
        <f t="shared" ref="R66:X66" si="21">SUM(R6:R65)</f>
        <v>185493.99983644587</v>
      </c>
      <c r="S66" s="102">
        <f t="shared" si="21"/>
        <v>599561471.22564006</v>
      </c>
      <c r="T66" s="102">
        <f t="shared" si="21"/>
        <v>1207834099.5976305</v>
      </c>
      <c r="U66" s="102">
        <f t="shared" si="21"/>
        <v>958957381.78903937</v>
      </c>
      <c r="V66" s="102">
        <f t="shared" si="21"/>
        <v>496625.08203243936</v>
      </c>
      <c r="W66" s="102">
        <f t="shared" si="21"/>
        <v>873110.48582753865</v>
      </c>
      <c r="X66" s="102">
        <f t="shared" si="21"/>
        <v>728257.33260741876</v>
      </c>
      <c r="Y66" s="102">
        <f t="shared" ref="Y66:AD66" si="22">SUM(Y6:Y65)</f>
        <v>175302.14541507515</v>
      </c>
      <c r="Z66" s="102">
        <f t="shared" si="22"/>
        <v>309304.6766798009</v>
      </c>
      <c r="AA66" s="102">
        <f t="shared" si="22"/>
        <v>249842.10990960704</v>
      </c>
      <c r="AB66" s="102">
        <f t="shared" si="22"/>
        <v>418280.33814951195</v>
      </c>
      <c r="AC66" s="102">
        <f t="shared" si="22"/>
        <v>755673.49860816717</v>
      </c>
      <c r="AD66" s="102">
        <f t="shared" si="22"/>
        <v>603688.46236135869</v>
      </c>
      <c r="AF66" s="102">
        <f t="shared" ref="AF66:AL66" si="23">SUM(AF6:AF65)</f>
        <v>0</v>
      </c>
      <c r="AG66" s="102">
        <f t="shared" si="23"/>
        <v>345400.33596976736</v>
      </c>
      <c r="AH66" s="102">
        <f t="shared" si="23"/>
        <v>356401.46431458695</v>
      </c>
      <c r="AI66" s="102">
        <f t="shared" si="23"/>
        <v>277355.44898657576</v>
      </c>
      <c r="AJ66" s="102">
        <f t="shared" si="23"/>
        <v>0</v>
      </c>
      <c r="AK66" s="102">
        <f t="shared" si="23"/>
        <v>0</v>
      </c>
      <c r="AL66" s="102">
        <f t="shared" si="23"/>
        <v>0</v>
      </c>
      <c r="AM66" s="102">
        <f t="shared" ref="AM66:AS66" si="24">SUM(AM6:AM65)</f>
        <v>101.74781153639626</v>
      </c>
      <c r="AN66" s="102">
        <f t="shared" si="24"/>
        <v>184.67462010624445</v>
      </c>
      <c r="AO66" s="102">
        <f t="shared" si="24"/>
        <v>147.20665220272105</v>
      </c>
      <c r="AP66" s="102">
        <f t="shared" si="24"/>
        <v>243.72486746292137</v>
      </c>
      <c r="AQ66" s="102">
        <f t="shared" si="24"/>
        <v>451.48773443880759</v>
      </c>
      <c r="AR66" s="102">
        <f t="shared" si="24"/>
        <v>356.52251484714162</v>
      </c>
      <c r="AS66" s="102">
        <f t="shared" si="24"/>
        <v>980642.61347152409</v>
      </c>
    </row>
    <row r="67" spans="2:45" ht="13.5" thickTop="1" x14ac:dyDescent="0.2">
      <c r="B67" s="101"/>
      <c r="C67" s="51"/>
      <c r="Q67" s="59"/>
    </row>
    <row r="68" spans="2:45" x14ac:dyDescent="0.2">
      <c r="B68" s="101"/>
      <c r="C68" s="51"/>
      <c r="AS68" s="103"/>
    </row>
    <row r="69" spans="2:45" x14ac:dyDescent="0.2">
      <c r="B69" s="101"/>
      <c r="C69" s="51"/>
      <c r="AS69" s="103"/>
    </row>
    <row r="70" spans="2:45" x14ac:dyDescent="0.2">
      <c r="B70" s="101"/>
      <c r="C70" s="51"/>
    </row>
    <row r="71" spans="2:45" x14ac:dyDescent="0.2">
      <c r="B71" s="101"/>
      <c r="C71" s="51"/>
    </row>
    <row r="72" spans="2:45" x14ac:dyDescent="0.2">
      <c r="B72" s="101"/>
      <c r="C72" s="51"/>
    </row>
    <row r="73" spans="2:45" x14ac:dyDescent="0.2">
      <c r="B73" s="101"/>
      <c r="C73" s="51"/>
    </row>
    <row r="74" spans="2:45" x14ac:dyDescent="0.2">
      <c r="B74" s="101"/>
      <c r="C74" s="51"/>
    </row>
    <row r="75" spans="2:45" x14ac:dyDescent="0.2">
      <c r="B75" s="101"/>
      <c r="C75" s="51"/>
    </row>
    <row r="76" spans="2:45" x14ac:dyDescent="0.2">
      <c r="B76" s="101"/>
      <c r="C76" s="51"/>
    </row>
    <row r="77" spans="2:45" x14ac:dyDescent="0.2">
      <c r="B77" s="101"/>
      <c r="C77" s="51"/>
    </row>
    <row r="78" spans="2:45" x14ac:dyDescent="0.2">
      <c r="B78" s="101"/>
      <c r="C78" s="51"/>
    </row>
    <row r="79" spans="2:45" x14ac:dyDescent="0.2">
      <c r="B79" s="101"/>
      <c r="C79" s="51"/>
    </row>
    <row r="80" spans="2:45" x14ac:dyDescent="0.2">
      <c r="B80" s="101"/>
      <c r="C80" s="51"/>
    </row>
    <row r="81" spans="2:3" x14ac:dyDescent="0.2">
      <c r="B81" s="101"/>
      <c r="C81" s="51"/>
    </row>
    <row r="82" spans="2:3" x14ac:dyDescent="0.2">
      <c r="B82" s="101"/>
      <c r="C82" s="51"/>
    </row>
    <row r="83" spans="2:3" x14ac:dyDescent="0.2">
      <c r="B83" s="101"/>
      <c r="C83" s="51"/>
    </row>
    <row r="84" spans="2:3" x14ac:dyDescent="0.2">
      <c r="B84" s="101"/>
      <c r="C84" s="51"/>
    </row>
    <row r="85" spans="2:3" x14ac:dyDescent="0.2">
      <c r="B85" s="101"/>
      <c r="C85" s="51"/>
    </row>
    <row r="86" spans="2:3" x14ac:dyDescent="0.2">
      <c r="B86" s="101"/>
      <c r="C86" s="51"/>
    </row>
    <row r="87" spans="2:3" x14ac:dyDescent="0.2">
      <c r="B87" s="101"/>
      <c r="C87" s="51"/>
    </row>
    <row r="88" spans="2:3" x14ac:dyDescent="0.2">
      <c r="B88" s="101"/>
      <c r="C88" s="51"/>
    </row>
    <row r="89" spans="2:3" x14ac:dyDescent="0.2">
      <c r="B89" s="101"/>
      <c r="C89" s="51"/>
    </row>
    <row r="90" spans="2:3" x14ac:dyDescent="0.2">
      <c r="B90" s="101"/>
      <c r="C90" s="51"/>
    </row>
    <row r="91" spans="2:3" x14ac:dyDescent="0.2">
      <c r="B91" s="101"/>
      <c r="C91" s="51"/>
    </row>
    <row r="92" spans="2:3" x14ac:dyDescent="0.2">
      <c r="B92" s="101"/>
      <c r="C92" s="51"/>
    </row>
    <row r="93" spans="2:3" x14ac:dyDescent="0.2">
      <c r="B93" s="101"/>
      <c r="C93" s="51"/>
    </row>
    <row r="94" spans="2:3" x14ac:dyDescent="0.2">
      <c r="B94" s="101"/>
      <c r="C94" s="51"/>
    </row>
    <row r="95" spans="2:3" x14ac:dyDescent="0.2">
      <c r="B95" s="101"/>
      <c r="C95" s="51"/>
    </row>
    <row r="96" spans="2:3" x14ac:dyDescent="0.2">
      <c r="B96" s="101"/>
      <c r="C96" s="51"/>
    </row>
    <row r="97" spans="2:3" x14ac:dyDescent="0.2">
      <c r="B97" s="101"/>
      <c r="C97" s="51"/>
    </row>
    <row r="98" spans="2:3" x14ac:dyDescent="0.2">
      <c r="B98" s="101"/>
      <c r="C98" s="51"/>
    </row>
    <row r="99" spans="2:3" x14ac:dyDescent="0.2">
      <c r="B99" s="101"/>
      <c r="C99" s="51"/>
    </row>
    <row r="100" spans="2:3" x14ac:dyDescent="0.2">
      <c r="B100" s="101"/>
      <c r="C100" s="51"/>
    </row>
    <row r="101" spans="2:3" x14ac:dyDescent="0.2">
      <c r="B101" s="101"/>
      <c r="C101" s="51"/>
    </row>
    <row r="102" spans="2:3" x14ac:dyDescent="0.2">
      <c r="B102" s="101"/>
      <c r="C102" s="51"/>
    </row>
    <row r="103" spans="2:3" x14ac:dyDescent="0.2">
      <c r="B103" s="101"/>
      <c r="C103" s="51"/>
    </row>
    <row r="104" spans="2:3" x14ac:dyDescent="0.2">
      <c r="B104" s="101"/>
      <c r="C104" s="51"/>
    </row>
    <row r="105" spans="2:3" x14ac:dyDescent="0.2">
      <c r="B105" s="101"/>
      <c r="C105" s="51"/>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rgb="FF00FFFF"/>
  </sheetPr>
  <dimension ref="A2:X60"/>
  <sheetViews>
    <sheetView zoomScale="80" zoomScaleNormal="80" workbookViewId="0">
      <selection activeCell="D20" sqref="D20"/>
    </sheetView>
  </sheetViews>
  <sheetFormatPr defaultRowHeight="14.25" x14ac:dyDescent="0.2"/>
  <cols>
    <col min="1" max="1" width="5.42578125" style="1" customWidth="1"/>
    <col min="2" max="2" width="78.42578125" style="2" customWidth="1"/>
    <col min="3" max="3" width="18.5703125" style="3" customWidth="1"/>
    <col min="4" max="4" width="18.5703125" style="4" customWidth="1"/>
    <col min="5" max="5" width="18.7109375" style="4" customWidth="1"/>
    <col min="6" max="6" width="9" style="4" customWidth="1"/>
    <col min="7" max="7" width="10.140625" style="4" customWidth="1"/>
    <col min="8" max="8" width="9" style="4" customWidth="1"/>
    <col min="9" max="10" width="9" style="5" customWidth="1"/>
    <col min="11" max="19" width="9" style="4" customWidth="1"/>
    <col min="20" max="20" width="9.140625" style="4"/>
    <col min="21" max="21" width="8.710937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CitiPower</v>
      </c>
      <c r="C2" s="350" t="str">
        <f>'Model update'!$C$5&amp;"JSRevCont"</f>
        <v>2021JSRevCont</v>
      </c>
      <c r="D2" s="7"/>
      <c r="G2" s="45"/>
      <c r="M2" s="32"/>
      <c r="N2" s="32"/>
      <c r="O2" s="32"/>
      <c r="P2" s="32"/>
      <c r="Q2" s="32"/>
      <c r="R2" s="32"/>
    </row>
    <row r="3" spans="1:24" ht="15" x14ac:dyDescent="0.25">
      <c r="B3" s="42"/>
      <c r="D3" s="7"/>
      <c r="M3" s="32"/>
      <c r="N3" s="32"/>
      <c r="O3" s="32"/>
      <c r="P3" s="32"/>
      <c r="Q3" s="32"/>
      <c r="R3" s="32"/>
    </row>
    <row r="4" spans="1:24" ht="18.75" x14ac:dyDescent="0.3">
      <c r="B4" s="43" t="s">
        <v>138</v>
      </c>
      <c r="C4" s="44"/>
      <c r="D4" s="7"/>
      <c r="M4" s="32"/>
      <c r="N4" s="32"/>
      <c r="O4" s="32"/>
      <c r="P4" s="32"/>
      <c r="Q4" s="32"/>
      <c r="R4" s="32"/>
    </row>
    <row r="5" spans="1:24" ht="15" x14ac:dyDescent="0.25">
      <c r="B5" s="8"/>
      <c r="D5" s="7"/>
      <c r="M5" s="32"/>
      <c r="N5" s="32"/>
      <c r="O5" s="32"/>
      <c r="P5" s="32"/>
      <c r="Q5" s="32"/>
      <c r="R5" s="32"/>
    </row>
    <row r="6" spans="1:24" ht="15" x14ac:dyDescent="0.25">
      <c r="B6" s="29" t="s">
        <v>124</v>
      </c>
      <c r="C6" s="40">
        <f>'Model update'!C5</f>
        <v>2021</v>
      </c>
      <c r="D6" s="7"/>
      <c r="M6" s="32"/>
      <c r="N6" s="32"/>
      <c r="O6" s="32"/>
      <c r="P6" s="32"/>
      <c r="Q6" s="32"/>
      <c r="R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139</v>
      </c>
      <c r="C8" s="15"/>
      <c r="D8" s="16"/>
      <c r="E8" s="16"/>
      <c r="M8" s="32"/>
      <c r="N8" s="32"/>
      <c r="O8" s="32"/>
      <c r="P8" s="32"/>
      <c r="Q8" s="32"/>
      <c r="R8" s="32"/>
    </row>
    <row r="9" spans="1:24" ht="18" customHeight="1" x14ac:dyDescent="0.2">
      <c r="A9" s="12"/>
      <c r="B9" s="17" t="s">
        <v>140</v>
      </c>
      <c r="C9" s="28">
        <f>Prop2021JSTar!AS66</f>
        <v>980642.61347152409</v>
      </c>
      <c r="D9" s="16"/>
      <c r="E9" s="5"/>
      <c r="I9" s="4"/>
      <c r="J9" s="4"/>
      <c r="M9" s="32"/>
      <c r="N9" s="32"/>
      <c r="O9" s="32"/>
      <c r="P9" s="32"/>
      <c r="Q9" s="32"/>
      <c r="R9" s="32"/>
    </row>
    <row r="10" spans="1:24" ht="18" customHeight="1" x14ac:dyDescent="0.2">
      <c r="A10" s="12"/>
      <c r="B10" s="34" t="s">
        <v>141</v>
      </c>
      <c r="C10" s="35">
        <f>C17</f>
        <v>1000000</v>
      </c>
      <c r="D10" s="18"/>
      <c r="E10" s="45"/>
      <c r="I10" s="4"/>
      <c r="J10" s="4"/>
      <c r="M10" s="32"/>
      <c r="N10" s="32"/>
      <c r="O10" s="32"/>
      <c r="P10" s="32"/>
      <c r="Q10" s="32"/>
      <c r="R10" s="32"/>
    </row>
    <row r="11" spans="1:24" ht="18" customHeight="1" x14ac:dyDescent="0.25">
      <c r="A11" s="12"/>
      <c r="B11" s="36"/>
      <c r="C11" s="38" t="str">
        <f>IF(C9="","",IF(C10&gt;=C9,"JSA REVENUE FORMULA COMPLIANT","JSA REVENUE FORMULA BREACHED"))</f>
        <v>JSA REVENUE FORMULA COMPLIANT</v>
      </c>
      <c r="D11" s="19"/>
      <c r="E11" s="30"/>
      <c r="F11" s="31"/>
      <c r="G11" s="31"/>
      <c r="H11" s="31"/>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31"/>
      <c r="I12" s="31"/>
      <c r="J12" s="31"/>
      <c r="K12" s="31"/>
      <c r="L12" s="31"/>
      <c r="M12" s="32"/>
      <c r="N12" s="32"/>
      <c r="O12" s="32"/>
      <c r="P12" s="32"/>
      <c r="Q12" s="32"/>
      <c r="R12" s="32"/>
      <c r="V12" s="20"/>
      <c r="W12" s="20"/>
      <c r="X12" s="20"/>
    </row>
    <row r="13" spans="1:24" ht="18" customHeight="1" x14ac:dyDescent="0.25">
      <c r="A13" s="12"/>
      <c r="B13" s="23"/>
      <c r="C13" s="39"/>
      <c r="D13" s="19"/>
      <c r="E13" s="30"/>
      <c r="F13" s="31"/>
      <c r="G13" s="31"/>
      <c r="H13" s="31"/>
      <c r="I13" s="31"/>
      <c r="J13" s="31"/>
      <c r="K13" s="31"/>
      <c r="L13" s="31"/>
      <c r="M13" s="32"/>
      <c r="N13" s="32"/>
      <c r="O13" s="32"/>
      <c r="P13" s="32"/>
      <c r="Q13" s="32"/>
      <c r="R13" s="32"/>
      <c r="V13" s="20"/>
      <c r="W13" s="20"/>
      <c r="X13" s="20"/>
    </row>
    <row r="14" spans="1:24" ht="18" customHeight="1" x14ac:dyDescent="0.25">
      <c r="A14" s="12"/>
      <c r="B14" s="13" t="s">
        <v>143</v>
      </c>
      <c r="C14" s="19"/>
      <c r="D14" s="19"/>
      <c r="E14" s="30"/>
      <c r="F14" s="31"/>
      <c r="G14" s="31"/>
      <c r="H14" s="31"/>
      <c r="I14" s="31"/>
      <c r="J14" s="31"/>
      <c r="K14" s="31"/>
      <c r="L14" s="31"/>
      <c r="M14" s="32"/>
      <c r="N14" s="32"/>
      <c r="O14" s="32"/>
      <c r="P14" s="32"/>
      <c r="Q14" s="32"/>
      <c r="R14" s="32"/>
      <c r="V14" s="20"/>
      <c r="W14" s="20"/>
      <c r="X14" s="20"/>
    </row>
    <row r="15" spans="1:24" ht="18" customHeight="1" x14ac:dyDescent="0.25">
      <c r="A15" s="12"/>
      <c r="B15" s="21" t="s">
        <v>136</v>
      </c>
      <c r="C15" s="325">
        <v>1000000</v>
      </c>
      <c r="D15" s="19"/>
      <c r="E15" s="30"/>
      <c r="F15" s="31"/>
      <c r="G15" s="31"/>
      <c r="H15" s="31"/>
      <c r="I15" s="31"/>
      <c r="J15" s="31"/>
      <c r="K15" s="31"/>
      <c r="L15" s="31"/>
      <c r="M15" s="32"/>
      <c r="N15" s="32"/>
      <c r="O15" s="32"/>
      <c r="P15" s="32"/>
      <c r="Q15" s="32"/>
      <c r="R15" s="32"/>
      <c r="V15" s="20"/>
      <c r="W15" s="20"/>
      <c r="X15" s="20"/>
    </row>
    <row r="16" spans="1:24" ht="18" customHeight="1" x14ac:dyDescent="0.25">
      <c r="A16" s="12"/>
      <c r="B16" s="22" t="s">
        <v>137</v>
      </c>
      <c r="C16" s="325">
        <v>0</v>
      </c>
      <c r="D16" s="19"/>
      <c r="E16" s="30"/>
      <c r="F16" s="31"/>
      <c r="G16" s="31"/>
      <c r="H16" s="31"/>
      <c r="I16" s="31"/>
      <c r="J16" s="31"/>
      <c r="K16" s="31"/>
      <c r="L16" s="31"/>
      <c r="M16" s="32"/>
      <c r="N16" s="32"/>
      <c r="O16" s="32"/>
      <c r="P16" s="32"/>
      <c r="Q16" s="32"/>
      <c r="R16" s="32"/>
      <c r="V16" s="20"/>
      <c r="W16" s="20"/>
      <c r="X16" s="20"/>
    </row>
    <row r="17" spans="1:24" ht="18" customHeight="1" x14ac:dyDescent="0.25">
      <c r="A17" s="12"/>
      <c r="B17" s="17" t="s">
        <v>144</v>
      </c>
      <c r="C17" s="26">
        <f>SUM(C15:C16)</f>
        <v>1000000</v>
      </c>
      <c r="D17" s="19"/>
      <c r="E17" s="30"/>
      <c r="F17" s="31"/>
      <c r="G17" s="31"/>
      <c r="H17" s="31"/>
      <c r="I17" s="31"/>
      <c r="J17" s="31"/>
      <c r="K17" s="31"/>
      <c r="L17" s="31"/>
      <c r="M17" s="32"/>
      <c r="N17" s="32"/>
      <c r="O17" s="32"/>
      <c r="P17" s="32"/>
      <c r="Q17" s="32"/>
      <c r="R17" s="32"/>
      <c r="V17" s="20"/>
      <c r="W17" s="20"/>
      <c r="X17" s="20"/>
    </row>
    <row r="18" spans="1:24" ht="18" customHeight="1" x14ac:dyDescent="0.25">
      <c r="A18" s="12"/>
      <c r="B18" s="24"/>
      <c r="C18" s="27"/>
      <c r="D18" s="19"/>
      <c r="E18" s="30"/>
      <c r="F18" s="31"/>
      <c r="G18" s="31"/>
      <c r="H18" s="31"/>
      <c r="I18" s="31"/>
      <c r="J18" s="31"/>
      <c r="K18" s="31"/>
      <c r="L18" s="31"/>
      <c r="M18" s="32"/>
      <c r="N18" s="32"/>
      <c r="O18" s="32"/>
      <c r="P18" s="32"/>
      <c r="Q18" s="32"/>
      <c r="R18" s="32"/>
      <c r="V18" s="20"/>
      <c r="W18" s="20"/>
      <c r="X18" s="20"/>
    </row>
    <row r="19" spans="1:24" ht="18" customHeight="1" x14ac:dyDescent="0.25">
      <c r="A19" s="12"/>
      <c r="D19" s="19"/>
      <c r="E19" s="30"/>
      <c r="F19" s="31"/>
      <c r="G19" s="31"/>
      <c r="H19" s="31"/>
      <c r="I19" s="31"/>
      <c r="J19" s="31"/>
      <c r="K19" s="31"/>
      <c r="L19" s="31"/>
      <c r="M19" s="32"/>
      <c r="N19" s="32"/>
      <c r="O19" s="32"/>
      <c r="P19" s="32"/>
      <c r="Q19" s="32"/>
      <c r="R19" s="32"/>
      <c r="V19" s="20"/>
      <c r="W19" s="20"/>
      <c r="X19" s="20"/>
    </row>
    <row r="20" spans="1:24" ht="18" customHeight="1" x14ac:dyDescent="0.25">
      <c r="A20" s="12"/>
      <c r="D20" s="19"/>
      <c r="E20" s="30"/>
      <c r="F20" s="31"/>
      <c r="G20" s="31"/>
      <c r="H20" s="31"/>
      <c r="I20" s="31"/>
      <c r="J20" s="31"/>
      <c r="K20" s="31"/>
      <c r="L20" s="31"/>
      <c r="M20" s="32"/>
      <c r="N20" s="32"/>
      <c r="O20" s="32"/>
      <c r="P20" s="32"/>
      <c r="Q20" s="32"/>
      <c r="R20" s="32"/>
      <c r="V20" s="20"/>
      <c r="W20" s="20"/>
      <c r="X20" s="20"/>
    </row>
    <row r="21" spans="1:24" ht="18" customHeight="1" x14ac:dyDescent="0.25">
      <c r="A21" s="12"/>
      <c r="D21" s="19"/>
      <c r="E21" s="30"/>
      <c r="F21" s="31"/>
      <c r="G21" s="31"/>
      <c r="H21" s="31"/>
      <c r="I21" s="31"/>
      <c r="J21" s="31"/>
      <c r="K21" s="31"/>
      <c r="L21" s="31"/>
      <c r="M21" s="32"/>
      <c r="N21" s="32"/>
      <c r="O21" s="32"/>
      <c r="P21" s="32"/>
      <c r="Q21" s="32"/>
      <c r="R21" s="32"/>
      <c r="V21" s="20"/>
      <c r="W21" s="20"/>
      <c r="X21" s="20"/>
    </row>
    <row r="22" spans="1:24" ht="18" customHeight="1" x14ac:dyDescent="0.25">
      <c r="A22" s="12"/>
      <c r="F22" s="31"/>
      <c r="G22" s="31"/>
      <c r="H22" s="31"/>
      <c r="I22" s="31"/>
      <c r="J22" s="31"/>
      <c r="K22" s="31"/>
      <c r="L22" s="31"/>
      <c r="M22" s="32"/>
      <c r="N22" s="32"/>
      <c r="O22" s="32"/>
      <c r="P22" s="32"/>
      <c r="Q22" s="32"/>
      <c r="R22" s="32"/>
      <c r="V22" s="20"/>
      <c r="W22" s="20"/>
      <c r="X22" s="20"/>
    </row>
    <row r="23" spans="1:24" ht="18" customHeight="1" x14ac:dyDescent="0.25">
      <c r="A23" s="12"/>
      <c r="F23" s="31"/>
      <c r="G23" s="31"/>
      <c r="H23" s="31"/>
      <c r="I23" s="31"/>
      <c r="J23" s="31"/>
      <c r="K23" s="31"/>
      <c r="L23" s="31"/>
      <c r="M23" s="32"/>
      <c r="N23" s="32"/>
      <c r="O23" s="32"/>
      <c r="P23" s="32"/>
      <c r="Q23" s="32"/>
      <c r="R23" s="32"/>
      <c r="V23" s="20"/>
      <c r="W23" s="20"/>
      <c r="X23" s="20"/>
    </row>
    <row r="60" spans="7:7" ht="15" x14ac:dyDescent="0.25">
      <c r="G60" s="34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Formulae</vt:lpstr>
      <vt:lpstr>6 month formulae</vt:lpstr>
      <vt:lpstr>Model update</vt:lpstr>
      <vt:lpstr>Metering</vt:lpstr>
      <vt:lpstr>Metering exit fees</vt:lpstr>
      <vt:lpstr>Public lighting</vt:lpstr>
      <vt:lpstr>ANS</vt:lpstr>
      <vt:lpstr>Prop2021DistTar</vt:lpstr>
      <vt:lpstr>2021DistRevCapForm</vt:lpstr>
      <vt:lpstr>2021DistTarRebalCont</vt:lpstr>
      <vt:lpstr>Est2020DistRev</vt:lpstr>
      <vt:lpstr>Prop2021TransTar</vt:lpstr>
      <vt:lpstr>2021TransRevCont</vt:lpstr>
      <vt:lpstr>Prop2021JSTar</vt:lpstr>
      <vt:lpstr>2021JSRevCont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rombo1@bigpond.com</dc:creator>
  <cp:lastModifiedBy>Kate Jdanova</cp:lastModifiedBy>
  <cp:lastPrinted>2018-08-21T04:25:02Z</cp:lastPrinted>
  <dcterms:created xsi:type="dcterms:W3CDTF">2015-11-10T05:39:38Z</dcterms:created>
  <dcterms:modified xsi:type="dcterms:W3CDTF">2020-10-29T02:31:10Z</dcterms:modified>
</cp:coreProperties>
</file>